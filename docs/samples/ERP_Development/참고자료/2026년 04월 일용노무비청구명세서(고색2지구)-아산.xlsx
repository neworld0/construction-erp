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현재_통합_문서"/>
  <mc:AlternateContent xmlns:mc="http://schemas.openxmlformats.org/markup-compatibility/2006">
    <mc:Choice Requires="x15">
      <x15ac:absPath xmlns:x15ac="http://schemas.microsoft.com/office/spreadsheetml/2010/11/ac" url="C:\Users\commo\회사\ERP_Development\참고자료\"/>
    </mc:Choice>
  </mc:AlternateContent>
  <xr:revisionPtr revIDLastSave="0" documentId="8_{E4C734B3-3495-4B76-BE7C-D331F858C653}" xr6:coauthVersionLast="47" xr6:coauthVersionMax="47" xr10:uidLastSave="{00000000-0000-0000-0000-000000000000}"/>
  <bookViews>
    <workbookView xWindow="28680" yWindow="-120" windowWidth="29040" windowHeight="15720" tabRatio="841" activeTab="7" xr2:uid="{00000000-000D-0000-FFFF-FFFF00000000}"/>
  </bookViews>
  <sheets>
    <sheet name="★확인요망★" sheetId="156" r:id="rId1"/>
    <sheet name="요율" sheetId="67" r:id="rId2"/>
    <sheet name="청구서" sheetId="151" state="hidden" r:id="rId3"/>
    <sheet name="집계표" sheetId="152" state="hidden" r:id="rId4"/>
    <sheet name="내역서" sheetId="153" state="hidden" r:id="rId5"/>
    <sheet name="주소록" sheetId="5" r:id="rId6"/>
    <sheet name="위임장" sheetId="57" state="hidden" r:id="rId7"/>
    <sheet name="4월" sheetId="194" r:id="rId8"/>
    <sheet name="계" sheetId="148" r:id="rId9"/>
    <sheet name="각서" sheetId="154" state="hidden" r:id="rId10"/>
    <sheet name="계좌입금의뢰신고서" sheetId="155" state="hidden" r:id="rId11"/>
    <sheet name="★근로내역" sheetId="141" r:id="rId12"/>
    <sheet name="★퇴직공제" sheetId="144" r:id="rId13"/>
    <sheet name="★하도급지킴이" sheetId="145" r:id="rId14"/>
    <sheet name="근로계약서" sheetId="150" state="hidden" r:id="rId15"/>
    <sheet name="급여" sheetId="149" r:id="rId16"/>
  </sheets>
  <externalReferences>
    <externalReference r:id="rId17"/>
    <externalReference r:id="rId18"/>
  </externalReferences>
  <definedNames>
    <definedName name="__" hidden="1">#N/A</definedName>
    <definedName name="____Key11" hidden="1">#REF!</definedName>
    <definedName name="____key2" hidden="1">#REF!</definedName>
    <definedName name="___Key11" hidden="1">#REF!</definedName>
    <definedName name="___key2" hidden="1">#REF!</definedName>
    <definedName name="___key21" hidden="1">#REF!</definedName>
    <definedName name="__123Graph_A" hidden="1">#REF!</definedName>
    <definedName name="__123Graph_AA" hidden="1">#REF!</definedName>
    <definedName name="__123Graph_AB" hidden="1">#REF!</definedName>
    <definedName name="__123Graph_AC" hidden="1">#REF!</definedName>
    <definedName name="__123Graph_AD" hidden="1">#REF!</definedName>
    <definedName name="__123Graph_AE" hidden="1">#REF!</definedName>
    <definedName name="__123Graph_AF" hidden="1">#REF!</definedName>
    <definedName name="__123Graph_AG"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A" hidden="1">#REF!</definedName>
    <definedName name="__123Graph_XB" hidden="1">#REF!</definedName>
    <definedName name="__123Graph_XC" hidden="1">#REF!</definedName>
    <definedName name="__123Graph_XD" hidden="1">#REF!</definedName>
    <definedName name="__123Graph_XE" hidden="1">#REF!</definedName>
    <definedName name="__123Graph_XF" hidden="1">#REF!</definedName>
    <definedName name="__123Graph_XG" hidden="1">#REF!</definedName>
    <definedName name="__1S" hidden="1">#REF!</definedName>
    <definedName name="__2S" hidden="1">#REF!</definedName>
    <definedName name="__a122" hidden="1">{#N/A,#N/A,FALSE,"속도"}</definedName>
    <definedName name="__IntlFixup" hidden="1">TRUE</definedName>
    <definedName name="__KD2" hidden="1">#REF!</definedName>
    <definedName name="__KD3" hidden="1">#REF!</definedName>
    <definedName name="__KE2" hidden="1">#REF!</definedName>
    <definedName name="__Key11" hidden="1">#REF!</definedName>
    <definedName name="__key2" hidden="1">#REF!</definedName>
    <definedName name="__KK2" hidden="1">#REF!</definedName>
    <definedName name="__KK3" hidden="1">#REF!</definedName>
    <definedName name="__P3" hidden="1">{#N/A,#N/A,FALSE,"배수1"}</definedName>
    <definedName name="__P4" hidden="1">{#N/A,#N/A,FALSE,"혼합골재"}</definedName>
    <definedName name="__P5" hidden="1">{#N/A,#N/A,FALSE,"배수1"}</definedName>
    <definedName name="__P6" hidden="1">{#N/A,#N/A,FALSE,"2~8번"}</definedName>
    <definedName name="__S01" hidden="1">#REF!</definedName>
    <definedName name="__S3" hidden="1">{#N/A,#N/A,FALSE,"포장2"}</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_________123Graph_AMOB_01" hidden="1">#REF!</definedName>
    <definedName name="_1____123Graph_AMOB_01" hidden="1">#REF!</definedName>
    <definedName name="_10_________123Graph_AMOB_01" hidden="1">#REF!</definedName>
    <definedName name="_10_________123Graph_FMOB_02" hidden="1">#REF!</definedName>
    <definedName name="_10____123Graph_FMOB_02" hidden="1">#REF!</definedName>
    <definedName name="_100______123Graph_LBL_FMOB_02" hidden="1">#REF!</definedName>
    <definedName name="_100_____123Graph_DMOB_01" hidden="1">#REF!</definedName>
    <definedName name="_101______123Graph_XMOB_01" hidden="1">#REF!</definedName>
    <definedName name="_101_____123Graph_DMOB_02" hidden="1">#REF!</definedName>
    <definedName name="_102______123Graph_XMOB_02" hidden="1">#REF!</definedName>
    <definedName name="_102_____123Graph_EMOB_02" hidden="1">#REF!</definedName>
    <definedName name="_103______³_¿ª" hidden="1">{#N/A,#N/A,FALSE,"CCTV"}</definedName>
    <definedName name="_103_____123Graph_FMOB_02" hidden="1">#REF!</definedName>
    <definedName name="_104_____123Graph_LBL_AMOB_01" hidden="1">#REF!</definedName>
    <definedName name="_105_____0_0_F" hidden="1">#REF!</definedName>
    <definedName name="_105_____123Graph_LBL_AMOB_02" hidden="1">#REF!</definedName>
    <definedName name="_106_____123Graph_AMOB_01" hidden="1">#REF!</definedName>
    <definedName name="_106_____123Graph_LBL_BMOB_01" hidden="1">#REF!</definedName>
    <definedName name="_107_____123Graph_AMOB_02" hidden="1">#REF!</definedName>
    <definedName name="_107_____123Graph_LBL_BMOB_02" hidden="1">#REF!</definedName>
    <definedName name="_108_____123Graph_BMOB_01" hidden="1">#REF!</definedName>
    <definedName name="_108_____123Graph_LBL_CMOB_01" hidden="1">#REF!</definedName>
    <definedName name="_109_____123Graph_BMOB_02" hidden="1">#REF!</definedName>
    <definedName name="_109_____123Graph_LBL_CMOB_02" hidden="1">#REF!</definedName>
    <definedName name="_10S3_" hidden="1">{#N/A,#N/A,FALSE,"포장2"}</definedName>
    <definedName name="_11_________123Graph_AMOB_02" hidden="1">#REF!</definedName>
    <definedName name="_11_________123Graph_LBL_AMOB_01" hidden="1">#REF!</definedName>
    <definedName name="_11____123Graph_LBL_AMOB_01" hidden="1">#REF!</definedName>
    <definedName name="_110_____123Graph_CMOB_01" hidden="1">#REF!</definedName>
    <definedName name="_110_____123Graph_LBL_DMOB_01" hidden="1">#REF!</definedName>
    <definedName name="_111_____123Graph_CMOB_02" hidden="1">#REF!</definedName>
    <definedName name="_111_____123Graph_LBL_DMOB_02" hidden="1">#REF!</definedName>
    <definedName name="_112_____123Graph_DMOB_01" hidden="1">#REF!</definedName>
    <definedName name="_112_____123Graph_LBL_EMOB_02" hidden="1">#REF!</definedName>
    <definedName name="_113_____123Graph_DMOB_02" hidden="1">#REF!</definedName>
    <definedName name="_113_____123Graph_LBL_FMOB_02" hidden="1">#REF!</definedName>
    <definedName name="_114_____123Graph_EMOB_02" hidden="1">#REF!</definedName>
    <definedName name="_114_____123Graph_XMOB_01" hidden="1">#REF!</definedName>
    <definedName name="_115_____123Graph_FMOB_02" hidden="1">#REF!</definedName>
    <definedName name="_115_____123Graph_XMOB_02" hidden="1">#REF!</definedName>
    <definedName name="_116_____123Graph_LBL_AMOB_01" hidden="1">#REF!</definedName>
    <definedName name="_116_____³_¿ª" hidden="1">{#N/A,#N/A,FALSE,"CCTV"}</definedName>
    <definedName name="_117_____123Graph_LBL_AMOB_02" hidden="1">#REF!</definedName>
    <definedName name="_117____0_0_F" hidden="1">#REF!</definedName>
    <definedName name="_118_____123Graph_LBL_BMOB_01" hidden="1">#REF!</definedName>
    <definedName name="_118____³_¿ª" hidden="1">{#N/A,#N/A,FALSE,"CCTV"}</definedName>
    <definedName name="_119_____123Graph_LBL_BMOB_02" hidden="1">#REF!</definedName>
    <definedName name="_119___³_¿ª" hidden="1">{#N/A,#N/A,FALSE,"CCTV"}</definedName>
    <definedName name="_12_________123Graph_BMOB_01" hidden="1">#REF!</definedName>
    <definedName name="_12_________123Graph_LBL_AMOB_02" hidden="1">#REF!</definedName>
    <definedName name="_12____123Graph_LBL_AMOB_02" hidden="1">#REF!</definedName>
    <definedName name="_120_____123Graph_LBL_CMOB_01" hidden="1">#REF!</definedName>
    <definedName name="_120_0_0_F" hidden="1">#REF!</definedName>
    <definedName name="_121_____123Graph_LBL_CMOB_02" hidden="1">#REF!</definedName>
    <definedName name="_122_____123Graph_LBL_DMOB_01" hidden="1">#REF!</definedName>
    <definedName name="_123_____123Graph_LBL_DMOB_02" hidden="1">#REF!</definedName>
    <definedName name="_124_____123Graph_LBL_EMOB_02" hidden="1">#REF!</definedName>
    <definedName name="_125_____123Graph_LBL_FMOB_02" hidden="1">#REF!</definedName>
    <definedName name="_126_____123Graph_XMOB_01" hidden="1">#REF!</definedName>
    <definedName name="_127_____123Graph_XMOB_02" hidden="1">#REF!</definedName>
    <definedName name="_128_____³_¿ª" hidden="1">{#N/A,#N/A,FALSE,"CCTV"}</definedName>
    <definedName name="_13_________123Graph_BMOB_02" hidden="1">#REF!</definedName>
    <definedName name="_13_________123Graph_LBL_BMOB_01" hidden="1">#REF!</definedName>
    <definedName name="_13____123Graph_LBL_BMOB_01" hidden="1">#REF!</definedName>
    <definedName name="_130____0_0_F" hidden="1">#REF!</definedName>
    <definedName name="_131____³_¿ª" hidden="1">{#N/A,#N/A,FALSE,"CCTV"}</definedName>
    <definedName name="_132___³_¿ª" hidden="1">{#N/A,#N/A,FALSE,"CCTV"}</definedName>
    <definedName name="_134_0_0_F" hidden="1">#REF!</definedName>
    <definedName name="_14_________123Graph_CMOB_01" hidden="1">#REF!</definedName>
    <definedName name="_14_________123Graph_LBL_BMOB_02" hidden="1">#REF!</definedName>
    <definedName name="_14____123Graph_LBL_BMOB_02" hidden="1">#REF!</definedName>
    <definedName name="_15_________123Graph_CMOB_02" hidden="1">#REF!</definedName>
    <definedName name="_15_________123Graph_LBL_CMOB_01" hidden="1">#REF!</definedName>
    <definedName name="_15____123Graph_LBL_CMOB_01" hidden="1">#REF!</definedName>
    <definedName name="_158_0_0_F" hidden="1">#REF!</definedName>
    <definedName name="_16_________123Graph_DMOB_01" hidden="1">#REF!</definedName>
    <definedName name="_16_________123Graph_LBL_CMOB_02" hidden="1">#REF!</definedName>
    <definedName name="_16____123Graph_LBL_CMOB_02" hidden="1">#REF!</definedName>
    <definedName name="_17_________123Graph_DMOB_02" hidden="1">#REF!</definedName>
    <definedName name="_17_________123Graph_LBL_DMOB_01" hidden="1">#REF!</definedName>
    <definedName name="_17____123Graph_LBL_DMOB_01" hidden="1">#REF!</definedName>
    <definedName name="_18_________123Graph_EMOB_02" hidden="1">#REF!</definedName>
    <definedName name="_18_________123Graph_LBL_DMOB_02" hidden="1">#REF!</definedName>
    <definedName name="_18____123Graph_LBL_DMOB_02" hidden="1">#REF!</definedName>
    <definedName name="_19_________123Graph_FMOB_02" hidden="1">#REF!</definedName>
    <definedName name="_19_________123Graph_LBL_EMOB_02" hidden="1">#REF!</definedName>
    <definedName name="_19____123Graph_LBL_EMOB_02" hidden="1">#REF!</definedName>
    <definedName name="_1F" hidden="1">#REF!</definedName>
    <definedName name="_1S" hidden="1">#N/A</definedName>
    <definedName name="_2_________123Graph_AMOB_02" hidden="1">#REF!</definedName>
    <definedName name="_2____123Graph_AMOB_02" hidden="1">#REF!</definedName>
    <definedName name="_2_0_F" hidden="1">#REF!</definedName>
    <definedName name="_20_________123Graph_LBL_AMOB_01" hidden="1">#REF!</definedName>
    <definedName name="_20_________123Graph_LBL_FMOB_02" hidden="1">#REF!</definedName>
    <definedName name="_20____123Graph_LBL_FMOB_02" hidden="1">#REF!</definedName>
    <definedName name="_21_________123Graph_LBL_AMOB_02" hidden="1">#REF!</definedName>
    <definedName name="_21_________123Graph_XMOB_01" hidden="1">#REF!</definedName>
    <definedName name="_21____123Graph_XMOB_01" hidden="1">#REF!</definedName>
    <definedName name="_22_________123Graph_LBL_BMOB_01" hidden="1">#REF!</definedName>
    <definedName name="_22_________123Graph_XMOB_02" hidden="1">#REF!</definedName>
    <definedName name="_22____123Graph_XMOB_02" hidden="1">#REF!</definedName>
    <definedName name="_23_________123Graph_LBL_BMOB_02" hidden="1">#REF!</definedName>
    <definedName name="_23________0_0_F" hidden="1">#REF!</definedName>
    <definedName name="_23a122_" hidden="1">{#N/A,#N/A,FALSE,"속도"}</definedName>
    <definedName name="_24_________123Graph_LBL_CMOB_01" hidden="1">#REF!</definedName>
    <definedName name="_24________123Graph_AMOB_01" hidden="1">#REF!</definedName>
    <definedName name="_24___123Graph_AMOB_01" hidden="1">#REF!</definedName>
    <definedName name="_25_________123Graph_LBL_CMOB_02" hidden="1">#REF!</definedName>
    <definedName name="_25________123Graph_AMOB_02" hidden="1">#REF!</definedName>
    <definedName name="_25___123Graph_AMOB_01" hidden="1">#REF!</definedName>
    <definedName name="_25___123Graph_AMOB_02" hidden="1">#REF!</definedName>
    <definedName name="_26_________123Graph_LBL_DMOB_01" hidden="1">#REF!</definedName>
    <definedName name="_26________123Graph_BMOB_01" hidden="1">#REF!</definedName>
    <definedName name="_26___123Graph_AMOB_02" hidden="1">#REF!</definedName>
    <definedName name="_26___123Graph_BMOB_01" hidden="1">#REF!</definedName>
    <definedName name="_27_________123Graph_LBL_DMOB_02" hidden="1">#REF!</definedName>
    <definedName name="_27________123Graph_BMOB_02" hidden="1">#REF!</definedName>
    <definedName name="_27___123Graph_BMOB_01" hidden="1">#REF!</definedName>
    <definedName name="_27___123Graph_BMOB_02" hidden="1">#REF!</definedName>
    <definedName name="_28_________123Graph_LBL_EMOB_02" hidden="1">#REF!</definedName>
    <definedName name="_28________123Graph_CMOB_01" hidden="1">#REF!</definedName>
    <definedName name="_28___123Graph_BMOB_02" hidden="1">#REF!</definedName>
    <definedName name="_28___123Graph_CMOB_01" hidden="1">#REF!</definedName>
    <definedName name="_29_________123Graph_LBL_FMOB_02" hidden="1">#REF!</definedName>
    <definedName name="_29________123Graph_CMOB_02" hidden="1">#REF!</definedName>
    <definedName name="_29___123Graph_CMOB_01" hidden="1">#REF!</definedName>
    <definedName name="_29___123Graph_CMOB_02" hidden="1">#REF!</definedName>
    <definedName name="_2P3_" hidden="1">{#N/A,#N/A,FALSE,"배수1"}</definedName>
    <definedName name="_2S" hidden="1">#N/A</definedName>
    <definedName name="_3_________123Graph_BMOB_01" hidden="1">#REF!</definedName>
    <definedName name="_3____123Graph_BMOB_01" hidden="1">#REF!</definedName>
    <definedName name="_30_________123Graph_XMOB_01" hidden="1">#REF!</definedName>
    <definedName name="_30________123Graph_DMOB_01" hidden="1">#REF!</definedName>
    <definedName name="_30___123Graph_CMOB_02" hidden="1">#REF!</definedName>
    <definedName name="_30___123Graph_DMOB_01" hidden="1">#REF!</definedName>
    <definedName name="_31_________123Graph_XMOB_02" hidden="1">#REF!</definedName>
    <definedName name="_31________123Graph_DMOB_02" hidden="1">#REF!</definedName>
    <definedName name="_31___123Graph_DMOB_01" hidden="1">#REF!</definedName>
    <definedName name="_31___123Graph_DMOB_02" hidden="1">#REF!</definedName>
    <definedName name="_32________123Graph_EMOB_02" hidden="1">#REF!</definedName>
    <definedName name="_32___123Graph_DMOB_02" hidden="1">#REF!</definedName>
    <definedName name="_32___123Graph_EMOB_02" hidden="1">#REF!</definedName>
    <definedName name="_33________0_0_F" hidden="1">#REF!</definedName>
    <definedName name="_33________123Graph_FMOB_02" hidden="1">#REF!</definedName>
    <definedName name="_33___123Graph_EMOB_02" hidden="1">#REF!</definedName>
    <definedName name="_33___123Graph_FMOB_02" hidden="1">#REF!</definedName>
    <definedName name="_34________123Graph_AMOB_01" hidden="1">#REF!</definedName>
    <definedName name="_34________123Graph_LBL_AMOB_01" hidden="1">#REF!</definedName>
    <definedName name="_34___123Graph_FMOB_02" hidden="1">#REF!</definedName>
    <definedName name="_34___123Graph_LBL_AMOB_01" hidden="1">#REF!</definedName>
    <definedName name="_35________123Graph_AMOB_02" hidden="1">#REF!</definedName>
    <definedName name="_35________123Graph_LBL_AMOB_02" hidden="1">#REF!</definedName>
    <definedName name="_35___123Graph_LBL_AMOB_01" hidden="1">#REF!</definedName>
    <definedName name="_35___123Graph_LBL_AMOB_02" hidden="1">#REF!</definedName>
    <definedName name="_36________123Graph_BMOB_01" hidden="1">#REF!</definedName>
    <definedName name="_36________123Graph_LBL_BMOB_01" hidden="1">#REF!</definedName>
    <definedName name="_36___123Graph_LBL_AMOB_02" hidden="1">#REF!</definedName>
    <definedName name="_36___123Graph_LBL_BMOB_01" hidden="1">#REF!</definedName>
    <definedName name="_37________123Graph_BMOB_02" hidden="1">#REF!</definedName>
    <definedName name="_37________123Graph_LBL_BMOB_02" hidden="1">#REF!</definedName>
    <definedName name="_37___123Graph_LBL_BMOB_01" hidden="1">#REF!</definedName>
    <definedName name="_37___123Graph_LBL_BMOB_02" hidden="1">#REF!</definedName>
    <definedName name="_38________123Graph_CMOB_01" hidden="1">#REF!</definedName>
    <definedName name="_38________123Graph_LBL_CMOB_01" hidden="1">#REF!</definedName>
    <definedName name="_38___123Graph_LBL_BMOB_02" hidden="1">#REF!</definedName>
    <definedName name="_38___123Graph_LBL_CMOB_01" hidden="1">#REF!</definedName>
    <definedName name="_39________123Graph_CMOB_02" hidden="1">#REF!</definedName>
    <definedName name="_39________123Graph_LBL_CMOB_02" hidden="1">#REF!</definedName>
    <definedName name="_39___123Graph_LBL_CMOB_01" hidden="1">#REF!</definedName>
    <definedName name="_39___123Graph_LBL_CMOB_02" hidden="1">#REF!</definedName>
    <definedName name="_4_________123Graph_BMOB_02" hidden="1">#REF!</definedName>
    <definedName name="_4____123Graph_BMOB_02" hidden="1">#REF!</definedName>
    <definedName name="_4_0_S" hidden="1">#N/A</definedName>
    <definedName name="_40________123Graph_DMOB_01" hidden="1">#REF!</definedName>
    <definedName name="_40________123Graph_LBL_DMOB_01" hidden="1">#REF!</definedName>
    <definedName name="_40___123Graph_LBL_CMOB_02" hidden="1">#REF!</definedName>
    <definedName name="_40___123Graph_LBL_DMOB_01" hidden="1">#REF!</definedName>
    <definedName name="_41________123Graph_DMOB_02" hidden="1">#REF!</definedName>
    <definedName name="_41________123Graph_LBL_DMOB_02" hidden="1">#REF!</definedName>
    <definedName name="_41___123Graph_LBL_DMOB_01" hidden="1">#REF!</definedName>
    <definedName name="_41___123Graph_LBL_DMOB_02" hidden="1">#REF!</definedName>
    <definedName name="_42________123Graph_EMOB_02" hidden="1">#REF!</definedName>
    <definedName name="_42________123Graph_LBL_EMOB_02" hidden="1">#REF!</definedName>
    <definedName name="_42___123Graph_LBL_DMOB_02" hidden="1">#REF!</definedName>
    <definedName name="_42___123Graph_LBL_EMOB_02" hidden="1">#REF!</definedName>
    <definedName name="_43________123Graph_FMOB_02" hidden="1">#REF!</definedName>
    <definedName name="_43________123Graph_LBL_FMOB_02" hidden="1">#REF!</definedName>
    <definedName name="_43___123Graph_LBL_EMOB_02" hidden="1">#REF!</definedName>
    <definedName name="_43___123Graph_LBL_FMOB_02" hidden="1">#REF!</definedName>
    <definedName name="_44________123Graph_LBL_AMOB_01" hidden="1">#REF!</definedName>
    <definedName name="_44________123Graph_XMOB_01" hidden="1">#REF!</definedName>
    <definedName name="_44___123Graph_LBL_FMOB_02" hidden="1">#REF!</definedName>
    <definedName name="_44___123Graph_XMOB_01" hidden="1">#REF!</definedName>
    <definedName name="_45________123Graph_LBL_AMOB_02" hidden="1">#REF!</definedName>
    <definedName name="_45________123Graph_XMOB_02" hidden="1">#REF!</definedName>
    <definedName name="_45___123Graph_XMOB_01" hidden="1">#REF!</definedName>
    <definedName name="_45___123Graph_XMOB_02" hidden="1">#REF!</definedName>
    <definedName name="_46________123Graph_LBL_BMOB_01" hidden="1">#REF!</definedName>
    <definedName name="_46_______0_0_F" hidden="1">#REF!</definedName>
    <definedName name="_46___123Graph_XMOB_02" hidden="1">#REF!</definedName>
    <definedName name="_47________123Graph_LBL_BMOB_02" hidden="1">#REF!</definedName>
    <definedName name="_47_______123Graph_AMOB_01" hidden="1">#REF!</definedName>
    <definedName name="_47__123Graph_AMOB_01" hidden="1">#REF!</definedName>
    <definedName name="_48________123Graph_LBL_CMOB_01" hidden="1">#REF!</definedName>
    <definedName name="_48_______123Graph_AMOB_02" hidden="1">#REF!</definedName>
    <definedName name="_48__123Graph_AMOB_02" hidden="1">#REF!</definedName>
    <definedName name="_49________123Graph_LBL_CMOB_02" hidden="1">#REF!</definedName>
    <definedName name="_49_______123Graph_BMOB_01" hidden="1">#REF!</definedName>
    <definedName name="_49__123Graph_AMOB_01" hidden="1">#REF!</definedName>
    <definedName name="_49__123Graph_BMOB_01" hidden="1">#REF!</definedName>
    <definedName name="_4P4_" hidden="1">{#N/A,#N/A,FALSE,"혼합골재"}</definedName>
    <definedName name="_5_________123Graph_CMOB_01" hidden="1">#REF!</definedName>
    <definedName name="_5____123Graph_CMOB_01" hidden="1">#REF!</definedName>
    <definedName name="_50________123Graph_LBL_DMOB_01" hidden="1">#REF!</definedName>
    <definedName name="_50_______123Graph_BMOB_02" hidden="1">#REF!</definedName>
    <definedName name="_50__123Graph_AMOB_02" hidden="1">#REF!</definedName>
    <definedName name="_50__123Graph_BMOB_02" hidden="1">#REF!</definedName>
    <definedName name="_51________123Graph_LBL_DMOB_02" hidden="1">#REF!</definedName>
    <definedName name="_51_______123Graph_CMOB_01" hidden="1">#REF!</definedName>
    <definedName name="_51__123Graph_BMOB_01" hidden="1">#REF!</definedName>
    <definedName name="_51__123Graph_CMOB_01" hidden="1">#REF!</definedName>
    <definedName name="_52________123Graph_LBL_EMOB_02" hidden="1">#REF!</definedName>
    <definedName name="_52_______123Graph_CMOB_02" hidden="1">#REF!</definedName>
    <definedName name="_52__123Graph_BMOB_02" hidden="1">#REF!</definedName>
    <definedName name="_52__123Graph_CMOB_02" hidden="1">#REF!</definedName>
    <definedName name="_53________123Graph_LBL_FMOB_02" hidden="1">#REF!</definedName>
    <definedName name="_53_______123Graph_DMOB_01" hidden="1">#REF!</definedName>
    <definedName name="_53__123Graph_CMOB_01" hidden="1">#REF!</definedName>
    <definedName name="_53__123Graph_DMOB_01" hidden="1">#REF!</definedName>
    <definedName name="_54________123Graph_XMOB_01" hidden="1">#REF!</definedName>
    <definedName name="_54_______123Graph_DMOB_02" hidden="1">#REF!</definedName>
    <definedName name="_54__123Graph_CMOB_02" hidden="1">#REF!</definedName>
    <definedName name="_54__123Graph_DMOB_02" hidden="1">#REF!</definedName>
    <definedName name="_55________123Graph_XMOB_02" hidden="1">#REF!</definedName>
    <definedName name="_55_______123Graph_EMOB_02" hidden="1">#REF!</definedName>
    <definedName name="_55__123Graph_DMOB_01" hidden="1">#REF!</definedName>
    <definedName name="_55__123Graph_EMOB_02" hidden="1">#REF!</definedName>
    <definedName name="_56_______123Graph_FMOB_02" hidden="1">#REF!</definedName>
    <definedName name="_56__123Graph_DMOB_02" hidden="1">#REF!</definedName>
    <definedName name="_56__123Graph_FMOB_02" hidden="1">#REF!</definedName>
    <definedName name="_57_______0_0_F" hidden="1">#REF!</definedName>
    <definedName name="_57_______123Graph_LBL_AMOB_01" hidden="1">#REF!</definedName>
    <definedName name="_57__123Graph_EMOB_02" hidden="1">#REF!</definedName>
    <definedName name="_57__123Graph_LBL_AMOB_01" hidden="1">#REF!</definedName>
    <definedName name="_58_______123Graph_AMOB_01" hidden="1">#REF!</definedName>
    <definedName name="_58_______123Graph_LBL_AMOB_02" hidden="1">#REF!</definedName>
    <definedName name="_58__123Graph_FMOB_02" hidden="1">#REF!</definedName>
    <definedName name="_58__123Graph_LBL_AMOB_02" hidden="1">#REF!</definedName>
    <definedName name="_59_______123Graph_AMOB_02" hidden="1">#REF!</definedName>
    <definedName name="_59_______123Graph_LBL_BMOB_01" hidden="1">#REF!</definedName>
    <definedName name="_59__123Graph_LBL_AMOB_01" hidden="1">#REF!</definedName>
    <definedName name="_59__123Graph_LBL_BMOB_01" hidden="1">#REF!</definedName>
    <definedName name="_6_________123Graph_CMOB_02" hidden="1">#REF!</definedName>
    <definedName name="_6____123Graph_CMOB_02" hidden="1">#REF!</definedName>
    <definedName name="_6_0_0_S" hidden="1">#N/A</definedName>
    <definedName name="_60_______123Graph_BMOB_01" hidden="1">#REF!</definedName>
    <definedName name="_60_______123Graph_LBL_BMOB_02" hidden="1">#REF!</definedName>
    <definedName name="_60__123Graph_LBL_AMOB_02" hidden="1">#REF!</definedName>
    <definedName name="_60__123Graph_LBL_BMOB_02" hidden="1">#REF!</definedName>
    <definedName name="_61_______123Graph_BMOB_02" hidden="1">#REF!</definedName>
    <definedName name="_61_______123Graph_LBL_CMOB_01" hidden="1">#REF!</definedName>
    <definedName name="_61__123Graph_LBL_BMOB_01" hidden="1">#REF!</definedName>
    <definedName name="_61__123Graph_LBL_CMOB_01" hidden="1">#REF!</definedName>
    <definedName name="_62_______123Graph_CMOB_01" hidden="1">#REF!</definedName>
    <definedName name="_62_______123Graph_LBL_CMOB_02" hidden="1">#REF!</definedName>
    <definedName name="_62__123Graph_LBL_BMOB_02" hidden="1">#REF!</definedName>
    <definedName name="_62__123Graph_LBL_CMOB_02" hidden="1">#REF!</definedName>
    <definedName name="_63_______123Graph_CMOB_02" hidden="1">#REF!</definedName>
    <definedName name="_63_______123Graph_LBL_DMOB_01" hidden="1">#REF!</definedName>
    <definedName name="_63__123Graph_LBL_CMOB_01" hidden="1">#REF!</definedName>
    <definedName name="_63__123Graph_LBL_DMOB_01" hidden="1">#REF!</definedName>
    <definedName name="_64_______123Graph_DMOB_01" hidden="1">#REF!</definedName>
    <definedName name="_64_______123Graph_LBL_DMOB_02" hidden="1">#REF!</definedName>
    <definedName name="_64__123Graph_LBL_CMOB_02" hidden="1">#REF!</definedName>
    <definedName name="_64__123Graph_LBL_DMOB_02" hidden="1">#REF!</definedName>
    <definedName name="_65_______123Graph_DMOB_02" hidden="1">#REF!</definedName>
    <definedName name="_65_______123Graph_LBL_EMOB_02" hidden="1">#REF!</definedName>
    <definedName name="_65__123Graph_LBL_DMOB_01" hidden="1">#REF!</definedName>
    <definedName name="_65__123Graph_LBL_EMOB_02" hidden="1">#REF!</definedName>
    <definedName name="_66_______123Graph_EMOB_02" hidden="1">#REF!</definedName>
    <definedName name="_66_______123Graph_LBL_FMOB_02" hidden="1">#REF!</definedName>
    <definedName name="_66__123Graph_LBL_DMOB_02" hidden="1">#REF!</definedName>
    <definedName name="_66__123Graph_LBL_FMOB_02" hidden="1">#REF!</definedName>
    <definedName name="_67_______123Graph_FMOB_02" hidden="1">#REF!</definedName>
    <definedName name="_67_______123Graph_XMOB_01" hidden="1">#REF!</definedName>
    <definedName name="_67__123Graph_LBL_EMOB_02" hidden="1">#REF!</definedName>
    <definedName name="_67__123Graph_XMOB_01" hidden="1">#REF!</definedName>
    <definedName name="_68_______123Graph_LBL_AMOB_01" hidden="1">#REF!</definedName>
    <definedName name="_68_______123Graph_XMOB_02" hidden="1">#REF!</definedName>
    <definedName name="_68__123Graph_LBL_FMOB_02" hidden="1">#REF!</definedName>
    <definedName name="_68__123Graph_XMOB_02" hidden="1">#REF!</definedName>
    <definedName name="_69_______123Graph_LBL_AMOB_02" hidden="1">#REF!</definedName>
    <definedName name="_69_______³_¿ª" hidden="1">{#N/A,#N/A,FALSE,"CCTV"}</definedName>
    <definedName name="_69__123Graph_XMOB_01" hidden="1">#REF!</definedName>
    <definedName name="_6P5_" hidden="1">{#N/A,#N/A,FALSE,"배수1"}</definedName>
    <definedName name="_6S" hidden="1">#REF!</definedName>
    <definedName name="_7_________123Graph_DMOB_01" hidden="1">#REF!</definedName>
    <definedName name="_7____123Graph_DMOB_01" hidden="1">#REF!</definedName>
    <definedName name="_70_______123Graph_LBL_BMOB_01" hidden="1">#REF!</definedName>
    <definedName name="_70______123Graph_AMOB_01" hidden="1">#REF!</definedName>
    <definedName name="_70__123Graph_XMOB_02" hidden="1">#REF!</definedName>
    <definedName name="_70__³_¿ª" hidden="1">{#N/A,#N/A,FALSE,"CCTV"}</definedName>
    <definedName name="_71_______123Graph_LBL_BMOB_02" hidden="1">#REF!</definedName>
    <definedName name="_71______123Graph_AMOB_02" hidden="1">#REF!</definedName>
    <definedName name="_71__³_¿ª" hidden="1">{#N/A,#N/A,FALSE,"CCTV"}</definedName>
    <definedName name="_72_______123Graph_LBL_CMOB_01" hidden="1">#REF!</definedName>
    <definedName name="_72______123Graph_BMOB_01" hidden="1">#REF!</definedName>
    <definedName name="_72_³_¿ª" hidden="1">{#N/A,#N/A,FALSE,"CCTV"}</definedName>
    <definedName name="_73_______123Graph_LBL_CMOB_02" hidden="1">#REF!</definedName>
    <definedName name="_73______123Graph_BMOB_02" hidden="1">#REF!</definedName>
    <definedName name="_73__³_¿ª" hidden="1">{#N/A,#N/A,FALSE,"CCTV"}</definedName>
    <definedName name="_74_______123Graph_LBL_DMOB_01" hidden="1">#REF!</definedName>
    <definedName name="_74______123Graph_CMOB_01" hidden="1">#REF!</definedName>
    <definedName name="_74_³_¿ª" hidden="1">{#N/A,#N/A,FALSE,"CCTV"}</definedName>
    <definedName name="_74³_¿ª" hidden="1">{#N/A,#N/A,FALSE,"CCTV"}</definedName>
    <definedName name="_75_______123Graph_LBL_DMOB_02" hidden="1">#REF!</definedName>
    <definedName name="_75______123Graph_CMOB_02" hidden="1">#REF!</definedName>
    <definedName name="_76_______123Graph_LBL_EMOB_02" hidden="1">#REF!</definedName>
    <definedName name="_76______123Graph_DMOB_01" hidden="1">#REF!</definedName>
    <definedName name="_76_³_¿ª" hidden="1">{#N/A,#N/A,FALSE,"CCTV"}</definedName>
    <definedName name="_77_______123Graph_LBL_FMOB_02" hidden="1">#REF!</definedName>
    <definedName name="_77______123Graph_DMOB_02" hidden="1">#REF!</definedName>
    <definedName name="_77³_¿ª" hidden="1">{#N/A,#N/A,FALSE,"CCTV"}</definedName>
    <definedName name="_78_______123Graph_XMOB_01" hidden="1">#REF!</definedName>
    <definedName name="_78______123Graph_EMOB_02" hidden="1">#REF!</definedName>
    <definedName name="_79_______123Graph_XMOB_02" hidden="1">#REF!</definedName>
    <definedName name="_79______123Graph_FMOB_02" hidden="1">#REF!</definedName>
    <definedName name="_8_________123Graph_DMOB_02" hidden="1">#REF!</definedName>
    <definedName name="_8____123Graph_DMOB_02" hidden="1">#REF!</definedName>
    <definedName name="_8_0_S" hidden="1">#REF!</definedName>
    <definedName name="_8_2___Parse" hidden="1">#REF!</definedName>
    <definedName name="_80_______³_¿ª" hidden="1">{#N/A,#N/A,FALSE,"CCTV"}</definedName>
    <definedName name="_80______123Graph_LBL_AMOB_01" hidden="1">#REF!</definedName>
    <definedName name="_80³_¿ª" hidden="1">{#N/A,#N/A,FALSE,"CCTV"}</definedName>
    <definedName name="_81______123Graph_AMOB_01" hidden="1">#REF!</definedName>
    <definedName name="_81______123Graph_LBL_AMOB_02" hidden="1">#REF!</definedName>
    <definedName name="_81³_¿ª" hidden="1">{#N/A,#N/A,FALSE,"CCTV"}</definedName>
    <definedName name="_82______123Graph_AMOB_02" hidden="1">#REF!</definedName>
    <definedName name="_82______123Graph_LBL_BMOB_01" hidden="1">#REF!</definedName>
    <definedName name="_83______123Graph_BMOB_01" hidden="1">#REF!</definedName>
    <definedName name="_83______123Graph_LBL_BMOB_02" hidden="1">#REF!</definedName>
    <definedName name="_84______123Graph_BMOB_02" hidden="1">#REF!</definedName>
    <definedName name="_84______123Graph_LBL_CMOB_01" hidden="1">#REF!</definedName>
    <definedName name="_85______123Graph_CMOB_01" hidden="1">#REF!</definedName>
    <definedName name="_85______123Graph_LBL_CMOB_02" hidden="1">#REF!</definedName>
    <definedName name="_86______123Graph_CMOB_02" hidden="1">#REF!</definedName>
    <definedName name="_86______123Graph_LBL_DMOB_01" hidden="1">#REF!</definedName>
    <definedName name="_87______123Graph_DMOB_01" hidden="1">#REF!</definedName>
    <definedName name="_87______123Graph_LBL_DMOB_02" hidden="1">#REF!</definedName>
    <definedName name="_88______123Graph_DMOB_02" hidden="1">#REF!</definedName>
    <definedName name="_88______123Graph_LBL_EMOB_02" hidden="1">#REF!</definedName>
    <definedName name="_89______123Graph_EMOB_02" hidden="1">#REF!</definedName>
    <definedName name="_89______123Graph_LBL_FMOB_02" hidden="1">#REF!</definedName>
    <definedName name="_8P6_" hidden="1">{#N/A,#N/A,FALSE,"2~8번"}</definedName>
    <definedName name="_9_________123Graph_EMOB_02" hidden="1">#REF!</definedName>
    <definedName name="_9____123Graph_EMOB_02" hidden="1">#REF!</definedName>
    <definedName name="_9_2_0_Parse" hidden="1">#REF!</definedName>
    <definedName name="_90______123Graph_FMOB_02" hidden="1">#REF!</definedName>
    <definedName name="_90______123Graph_XMOB_01" hidden="1">#REF!</definedName>
    <definedName name="_91______123Graph_LBL_AMOB_01" hidden="1">#REF!</definedName>
    <definedName name="_91______123Graph_XMOB_02" hidden="1">#REF!</definedName>
    <definedName name="_92______123Graph_LBL_AMOB_02" hidden="1">#REF!</definedName>
    <definedName name="_92______³_¿ª" hidden="1">{#N/A,#N/A,FALSE,"CCTV"}</definedName>
    <definedName name="_93______123Graph_LBL_BMOB_01" hidden="1">#REF!</definedName>
    <definedName name="_93_____0_0_F" hidden="1">#REF!</definedName>
    <definedName name="_94______123Graph_LBL_BMOB_02" hidden="1">#REF!</definedName>
    <definedName name="_94_____123Graph_AMOB_01" hidden="1">#REF!</definedName>
    <definedName name="_95______123Graph_LBL_CMOB_01" hidden="1">#REF!</definedName>
    <definedName name="_95_____123Graph_AMOB_02" hidden="1">#REF!</definedName>
    <definedName name="_96______123Graph_LBL_CMOB_02" hidden="1">#REF!</definedName>
    <definedName name="_96_____123Graph_BMOB_01" hidden="1">#REF!</definedName>
    <definedName name="_97______123Graph_LBL_DMOB_01" hidden="1">#REF!</definedName>
    <definedName name="_97_____123Graph_BMOB_02" hidden="1">#REF!</definedName>
    <definedName name="_98______123Graph_LBL_DMOB_02" hidden="1">#REF!</definedName>
    <definedName name="_98_____123Graph_CMOB_01" hidden="1">#REF!</definedName>
    <definedName name="_99______123Graph_LBL_EMOB_02" hidden="1">#REF!</definedName>
    <definedName name="_99_____123Graph_CMOB_02" hidden="1">#REF!</definedName>
    <definedName name="_a122" hidden="1">{#N/A,#N/A,FALSE,"속도"}</definedName>
    <definedName name="_Dist_Bin" hidden="1">#REF!</definedName>
    <definedName name="_Dist_Values" hidden="1">#REF!</definedName>
    <definedName name="_EE1" hidden="1">{#N/A,#N/A,FALSE,"단가표지"}</definedName>
    <definedName name="_Fill" hidden="1">#REF!</definedName>
    <definedName name="_xlnm._FilterDatabase" localSheetId="12" hidden="1">★퇴직공제!$A$1:$L$12</definedName>
    <definedName name="_xlnm._FilterDatabase" localSheetId="13" hidden="1">★하도급지킴이!$A$2:$M$75</definedName>
    <definedName name="_xlnm._FilterDatabase" localSheetId="8" hidden="1">계!$A$2:$R$55</definedName>
    <definedName name="_xlnm._FilterDatabase" localSheetId="15" hidden="1">급여!$A$2:$M$12</definedName>
    <definedName name="_xlnm._FilterDatabase" localSheetId="5" hidden="1">주소록!$A$3:$L$304</definedName>
    <definedName name="_xlnm._FilterDatabase" hidden="1">#REF!</definedName>
    <definedName name="_ggg1" hidden="1">{#N/A,#N/A,FALSE,"갑지";#N/A,#N/A,FALSE,"개요";#N/A,#N/A,FALSE,"비목별";#N/A,#N/A,FALSE,"건물별";#N/A,#N/A,FALSE,"기구표";#N/A,#N/A,FALSE,"직원투입"}</definedName>
    <definedName name="_KD2" hidden="1">#REF!</definedName>
    <definedName name="_KD3" hidden="1">#REF!</definedName>
    <definedName name="_KE2" hidden="1">#REF!</definedName>
    <definedName name="_Key1" hidden="1">#REF!</definedName>
    <definedName name="_key10" hidden="1">#REF!</definedName>
    <definedName name="_Key11" hidden="1">#REF!</definedName>
    <definedName name="_Key2" hidden="1">#REF!</definedName>
    <definedName name="_kfkf" hidden="1">#REF!</definedName>
    <definedName name="_KK2" hidden="1">#REF!</definedName>
    <definedName name="_KK3" hidden="1">#REF!</definedName>
    <definedName name="_MatInverse_In" hidden="1">#REF!</definedName>
    <definedName name="_MatMult_A" hidden="1">#REF!</definedName>
    <definedName name="_MatMult_AxB" hidden="1">#REF!</definedName>
    <definedName name="_MatMult_B" hidden="1">#REF!</definedName>
    <definedName name="_Order1" hidden="1">255</definedName>
    <definedName name="_Order2" hidden="1">255</definedName>
    <definedName name="_ordr2" hidden="1">0</definedName>
    <definedName name="_ordwre2" hidden="1">0</definedName>
    <definedName name="_Parse_In" hidden="1">#REF!</definedName>
    <definedName name="_Parse_Out" hidden="1">#REF!</definedName>
    <definedName name="_QQ1" hidden="1">{#N/A,#N/A,FALSE,"단가표지"}</definedName>
    <definedName name="_QW1" hidden="1">{#N/A,#N/A,FALSE,"단가표지"}</definedName>
    <definedName name="_Regression_Int" hidden="1">1</definedName>
    <definedName name="_Regression_Out" hidden="1">#REF!</definedName>
    <definedName name="_Regression_X" hidden="1">#REF!</definedName>
    <definedName name="_Regression_Y" hidden="1">#REF!</definedName>
    <definedName name="_S01" hidden="1">#REF!</definedName>
    <definedName name="_Sort" hidden="1">#REF!</definedName>
    <definedName name="_Sort1" hidden="1">#REF!</definedName>
    <definedName name="_SS1" hidden="1">{#N/A,#N/A,FALSE,"운반시간"}</definedName>
    <definedName name="_Table1_In1" hidden="1">#REF!</definedName>
    <definedName name="_Table1_Out" hidden="1">#REF!</definedName>
    <definedName name="_woogi" hidden="1">#REF!</definedName>
    <definedName name="_woogi2" hidden="1">#REF!</definedName>
    <definedName name="_woogi24" hidden="1">#REF!</definedName>
    <definedName name="_woogi3" hidden="1">#REF!</definedName>
    <definedName name="_재ㅐ햐" hidden="1">#REF!</definedName>
    <definedName name="A1C1" hidden="1">#N/A</definedName>
    <definedName name="aaa" localSheetId="4" hidden="1">{#N/A,#N/A,FALSE,"속도"}</definedName>
    <definedName name="aaaaa" hidden="1">{#N/A,#N/A,FALSE,"조골재"}</definedName>
    <definedName name="aaaaaaaaaa" hidden="1">{#N/A,#N/A,FALSE,"운반시간"}</definedName>
    <definedName name="Access_Button" hidden="1">"정병은_0000_List"</definedName>
    <definedName name="Access_Button1" hidden="1">"정병은_0000_List"</definedName>
    <definedName name="AccessDatabase" hidden="1">"C:\My Documents\북부수도사업소\전원차단장치\전원차~1\전원차단장치 내역서 03월06일.mdb"</definedName>
    <definedName name="ADC" hidden="1">#REF!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vvv" hidden="1">{"'Firr(선)'!$AS$1:$AY$62","'Firr(사)'!$AS$1:$AY$62","'Firr(회)'!$AS$1:$AY$62","'Firr(선)'!$L$1:$V$62","'Firr(사)'!$L$1:$V$62","'Firr(회)'!$L$1:$V$62"}</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asd" hidden="1">{#N/A,#N/A,FALSE,"단가표지"}</definedName>
    <definedName name="afd" hidden="1">{#N/A,#N/A,FALSE,"운반시간"}</definedName>
    <definedName name="afdfa" hidden="1">{#N/A,#N/A,FALSE,"표지목차"}</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q" hidden="1">{#N/A,#N/A,FALSE,"CCTV"}</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hidden="1">#REF!</definedName>
    <definedName name="asfas" hidden="1">{#N/A,#N/A,FALSE,"표지목차"}</definedName>
    <definedName name="asfwe" hidden="1">{"'Firr(선)'!$AS$1:$AY$62","'Firr(사)'!$AS$1:$AY$62","'Firr(회)'!$AS$1:$AY$62","'Firr(선)'!$L$1:$V$62","'Firr(사)'!$L$1:$V$62","'Firr(회)'!$L$1:$V$62"}</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er" hidden="1">{"'Firr(선)'!$AS$1:$AY$62","'Firr(사)'!$AS$1:$AY$62","'Firr(회)'!$AS$1:$AY$62","'Firr(선)'!$L$1:$V$62","'Firr(사)'!$L$1:$V$62","'Firr(회)'!$L$1:$V$62"}</definedName>
    <definedName name="BB" hidden="1">{#N/A,#N/A,FALSE,"이태원철근"}</definedName>
    <definedName name="BBS" hidden="1">#REF!</definedName>
    <definedName name="BBSS" hidden="1">#REF!</definedName>
    <definedName name="BDE" hidden="1">#REF!</definedName>
    <definedName name="BDW" hidden="1">#REF!</definedName>
    <definedName name="BESB" hidden="1">#REF!</definedName>
    <definedName name="BESE" hidden="1">#REF!</definedName>
    <definedName name="BESES" hidden="1">#REF!</definedName>
    <definedName name="BESS" hidden="1">#REF!</definedName>
    <definedName name="BESV" hidden="1">#REF!</definedName>
    <definedName name="BI" hidden="1">{#N/A,#N/A,FALSE,"이태원철근"}</definedName>
    <definedName name="BM" hidden="1">#REF!</definedName>
    <definedName name="bnn" hidden="1">{#N/A,#N/A,FALSE,"조골재"}</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CC" hidden="1">#REF!</definedName>
    <definedName name="CHLWHD" hidden="1">{#N/A,#N/A,FALSE,"갑지";#N/A,#N/A,FALSE,"개요";#N/A,#N/A,FALSE,"비목별";#N/A,#N/A,FALSE,"건물별";#N/A,#N/A,FALSE,"기구표";#N/A,#N/A,FALSE,"직원투입"}</definedName>
    <definedName name="COST" hidden="1">#REF!</definedName>
    <definedName name="COSTT" hidden="1">#REF!</definedName>
    <definedName name="CSE" hidden="1">#REF!</definedName>
    <definedName name="cxee" hidden="1">{"'Firr(선)'!$AS$1:$AY$62","'Firr(사)'!$AS$1:$AY$62","'Firr(회)'!$AS$1:$AY$62","'Firr(선)'!$L$1:$V$62","'Firr(사)'!$L$1:$V$62","'Firr(회)'!$L$1:$V$62"}</definedName>
    <definedName name="dataww" hidden="1">#REF!</definedName>
    <definedName name="DC" hidden="1">#REF!</definedName>
    <definedName name="dddd" hidden="1">{#N/A,#N/A,FALSE,"CCTV"}</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ES" hidden="1">#REF!</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SS" hidden="1">#REF!</definedName>
    <definedName name="DDV" hidden="1">#REF!</definedName>
    <definedName name="DDWSE" hidden="1">#REF!</definedName>
    <definedName name="derwr" hidden="1">{"'Firr(선)'!$AS$1:$AY$62","'Firr(사)'!$AS$1:$AY$62","'Firr(회)'!$AS$1:$AY$62","'Firr(선)'!$L$1:$V$62","'Firr(사)'!$L$1:$V$62","'Firr(회)'!$L$1:$V$62"}</definedName>
    <definedName name="DESVW" hidden="1">#REF!</definedName>
    <definedName name="dfadsf" hidden="1">{#N/A,#N/A,FALSE,"단가표지"}</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FD" hidden="1">{#N/A,#N/A,FALSE,"골재소요량";#N/A,#N/A,FALSE,"골재소요량"}</definedName>
    <definedName name="DFDASFGDASG" hidden="1">{#N/A,#N/A,FALSE,"단가표지"}</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DF" hidden="1">{#N/A,#N/A,FALSE,"단가표지"}</definedName>
    <definedName name="DFDSADFADSF" hidden="1">{#N/A,#N/A,FALSE,"2~8번"}</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SF" hidden="1">{#N/A,#N/A,FALSE,"이정표"}</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hidden="1">{#N/A,#N/A,FALSE,"운반시간"}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wer" hidden="1">{"'Firr(선)'!$AS$1:$AY$62","'Firr(사)'!$AS$1:$AY$62","'Firr(회)'!$AS$1:$AY$62","'Firr(선)'!$L$1:$V$62","'Firr(사)'!$L$1:$V$62","'Firr(회)'!$L$1:$V$62"}</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f" hidden="1">{#N/A,#N/A,FALSE,"2~8번"}</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st_bin1" hidden="1">#REF!</definedName>
    <definedName name="dist_value1" hidden="1">#REF!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KD" hidden="1">{#N/A,#N/A,FALSE,"단가표지"}</definedName>
    <definedName name="dkdkdkdkd" hidden="1">{#N/A,#N/A,FALSE,"명세표"}</definedName>
    <definedName name="dldldldll" hidden="1">#REF!</definedName>
    <definedName name="dn" hidden="1">{#N/A,#N/A,FALSE,"혼합골재"}</definedName>
    <definedName name="dns" localSheetId="4" hidden="1">{#N/A,#N/A,FALSE,"운반시간"}</definedName>
    <definedName name="dns" hidden="1">{#N/A,#N/A,FALSE,"운반시간"}</definedName>
    <definedName name="dsaf" hidden="1">{#N/A,#N/A,FALSE,"조골재"}</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 hidden="1">#REF!</definedName>
    <definedName name="dsdsd" hidden="1">{#N/A,#N/A,FALSE,"운반시간"}</definedName>
    <definedName name="DSE" hidden="1">#REF!</definedName>
    <definedName name="DSF" hidden="1">#REF!</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 hidden="1">#REF!</definedName>
    <definedName name="edssqq" hidden="1">{#N/A,#N/A,FALSE,"혼합골재"}</definedName>
    <definedName name="ee" hidden="1">{#N/A,#N/A,FALSE,"단가표지"}</definedName>
    <definedName name="eee" hidden="1">{#N/A,#N/A,FALSE,"2~8번"}</definedName>
    <definedName name="EEEE" hidden="1">{#N/A,#N/A,FALSE,"조골재"}</definedName>
    <definedName name="EEEEEEE" hidden="1">{#N/A,#N/A,FALSE,"표지목차"}</definedName>
    <definedName name="EEWS" hidden="1">#REF!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K" hidden="1">#REF!</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WAFADS" hidden="1">#REF!</definedName>
    <definedName name="EWFDA" hidden="1">#REF!</definedName>
    <definedName name="ewq" hidden="1">{"'Firr(선)'!$AS$1:$AY$62","'Firr(사)'!$AS$1:$AY$62","'Firr(회)'!$AS$1:$AY$62","'Firr(선)'!$L$1:$V$62","'Firr(사)'!$L$1:$V$62","'Firr(회)'!$L$1:$V$62"}</definedName>
    <definedName name="EWR" hidden="1">#REF!</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WS" hidden="1">#REF!</definedName>
    <definedName name="EWXW" hidden="1">#REF!</definedName>
    <definedName name="FAN견적의뢰" hidden="1">{#N/A,#N/A,FALSE,"기안지";#N/A,#N/A,FALSE,"통신지"}</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DFAGFD" hidden="1">{#N/A,#N/A,FALSE,"포장1";#N/A,#N/A,FALSE,"포장1"}</definedName>
    <definedName name="fdgfdg" hidden="1">{#N/A,#N/A,FALSE,"2~8번"}</definedName>
    <definedName name="fdgfgf" hidden="1">{#N/A,#N/A,FALSE,"운반시간"}</definedName>
    <definedName name="fdgldgklbv" hidden="1">{"'Firr(선)'!$AS$1:$AY$62","'Firr(사)'!$AS$1:$AY$62","'Firr(회)'!$AS$1:$AY$62","'Firr(선)'!$L$1:$V$62","'Firr(사)'!$L$1:$V$62","'Firr(회)'!$L$1:$V$62"}</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 hidden="1">#REF!</definedName>
    <definedName name="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FFFF" hidden="1">{#N/A,#N/A,FALSE,"조골재"}</definedName>
    <definedName name="ffk" hidden="1">#REF!</definedName>
    <definedName name="FG" hidden="1">#REF!</definedName>
    <definedName name="FGDAG" hidden="1">{#N/A,#N/A,FALSE,"포장2"}</definedName>
    <definedName name="FGDAGFG" hidden="1">{#N/A,#N/A,FALSE,"혼합골재"}</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hidden="1">{#N/A,#N/A,FALSE,"혼합골재"}</definedName>
    <definedName name="FGFDG" hidden="1">{#N/A,#N/A,FALSE,"표지목차"}</definedName>
    <definedName name="fgfdgffff" hidden="1">{#N/A,#N/A,FALSE,"부대2"}</definedName>
    <definedName name="fgfdsgdfg" hidden="1">{#N/A,#N/A,FALSE,"혼합골재"}</definedName>
    <definedName name="fgfg" hidden="1">{#N/A,#N/A,FALSE,"2~8번"}</definedName>
    <definedName name="fgfgfg" hidden="1">{#N/A,#N/A,FALSE,"골재소요량";#N/A,#N/A,FALSE,"골재소요량"}</definedName>
    <definedName name="fghfdagfd" hidden="1">{#N/A,#N/A,FALSE,"표지목차"}</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H" hidden="1">#REF!</definedName>
    <definedName name="fhddg" hidden="1">{#N/A,#N/A,FALSE,"부대1"}</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FH" hidden="1">#REF!</definedName>
    <definedName name="FHFK" hidden="1">#REF!</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ill1" hidden="1">#REF!</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ULL" hidden="1">#REF!</definedName>
    <definedName name="GASFDAFGASG" hidden="1">{#N/A,#N/A,FALSE,"골재소요량";#N/A,#N/A,FALSE,"골재소요량"}</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 hidden="1">#REF!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EES" hidden="1">#REF!</definedName>
    <definedName name="GEMCO" hidden="1">#REF!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#REF!</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hidden="1">{#N/A,#N/A,FALSE,"토공2"}</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hgh" hidden="1">{#N/A,#N/A,FALSE,"배수2"}</definedName>
    <definedName name="GFSD" hidden="1">#REF!</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hidden="1">{#N/A,#N/A,FALSE,"포장2"}</definedName>
    <definedName name="G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g" hidden="1">{#N/A,#N/A,FALSE,"포장2"}</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AWEFDS" hidden="1">{#N/A,#N/A,FALSE,"운반시간"}</definedName>
    <definedName name="GHES" hidden="1">#REF!</definedName>
    <definedName name="ghgfh" hidden="1">{#N/A,#N/A,FALSE,"포장2"}</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JHGLI" hidden="1">{#N/A,#N/A,FALSE,"포장1";#N/A,#N/A,FALSE,"포장1"}</definedName>
    <definedName name="grew" hidden="1">#REF!</definedName>
    <definedName name="GUSTLS" hidden="1">#REF!</definedName>
    <definedName name="han" hidden="1">#REF!</definedName>
    <definedName name="hardwar" hidden="1">#REF!</definedName>
    <definedName name="HASFE" hidden="1">{#N/A,#N/A,FALSE,"단가표지"}</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d" hidden="1">{#N/A,#N/A,FALSE,"배수2"}</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h" hidden="1">{#N/A,#N/A,FALSE,"단가표지"}</definedName>
    <definedName name="hghg" hidden="1">{#N/A,#N/A,FALSE,"운반시간"}</definedName>
    <definedName name="HHHH" hidden="1">#REF!</definedName>
    <definedName name="HJK" hidden="1">{#N/A,#N/A,FALSE,"이태원철근"}</definedName>
    <definedName name="hkj" hidden="1">{#N/A,#N/A,FALSE,"혼합골재"}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{"'단계별시설공사비'!$A$3:$K$51"}</definedName>
    <definedName name="HTML_Description" hidden="1">""</definedName>
    <definedName name="HTML_Email" hidden="1">""</definedName>
    <definedName name="HTML_Header" hidden="1">"사업비총괄"</definedName>
    <definedName name="HTML_LastUpdate" hidden="1">"01-06-17"</definedName>
    <definedName name="HTML_LineAfter" hidden="1">FALSE</definedName>
    <definedName name="HTML_LineBefore" hidden="1">FALSE</definedName>
    <definedName name="HTML_Name" hidden="1">"김정호"</definedName>
    <definedName name="HTML_OBDlg2" hidden="1">TRUE</definedName>
    <definedName name="HTML_OBDlg3" hidden="1">TRUE</definedName>
    <definedName name="HTML_OBDlg4" hidden="1">TRUE</definedName>
    <definedName name="HTML_OS" hidden="1">0</definedName>
    <definedName name="HTML_PathFile" hidden="1">"C:\My Documents\6.htm"</definedName>
    <definedName name="HTML_PathTemplate" hidden="1">"C:\USERS\JHW\Kwangju\Distribution-Analysis\HTMLTemp.htm"</definedName>
    <definedName name="HTML_Title" hidden="1">"비용산출"</definedName>
    <definedName name="HTR" hidden="1">{#N/A,#N/A,FALSE,"이태원철근"}</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OIOIOIO" hidden="1">{#N/A,#N/A,FALSE,"표지목차"}</definedName>
    <definedName name="IU" hidden="1">#REF!</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ANG" hidden="1">#REF!</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jg" hidden="1">{#N/A,#N/A,FALSE,"조골재"}</definedName>
    <definedName name="jhjh" hidden="1">{#N/A,#N/A,FALSE,"표지목차"}</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K" hidden="1">#REF!</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JKJKJK" hidden="1">{#N/A,#N/A,FALSE,"포장1";#N/A,#N/A,FALSE,"포장1"}</definedName>
    <definedName name="JTDE" hidden="1">#REF!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ey" hidden="1">#REF!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hl" hidden="1">{#N/A,#N/A,FALSE,"2~8번"}</definedName>
    <definedName name="KKK" hidden="1">#REF!</definedName>
    <definedName name="KL" hidden="1">#REF!</definedName>
    <definedName name="KLLKLKLK" hidden="1">{#N/A,#N/A,FALSE,"포장2"}</definedName>
    <definedName name="ktf"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JHUGF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kㅏㅎ" hidden="1">{#N/A,#N/A,FALSE,"2~8번"}</definedName>
    <definedName name="LK" hidden="1">{#N/A,#N/A,FALSE,"부대1"}</definedName>
    <definedName name="LLL"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형측" hidden="1">{#N/A,#N/A,FALSE,"표지목차"}</definedName>
    <definedName name="m" hidden="1">#REF!</definedName>
    <definedName name="MHV" hidden="1">#REF!</definedName>
    <definedName name="mm" hidden="1">{#N/A,#N/A,TRUE,"토적및재료집계";#N/A,#N/A,TRUE,"토적및재료집계";#N/A,#N/A,TRUE,"단위량"}</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N" hidden="1">{#N/A,#N/A,FALSE,"부대2"}</definedName>
    <definedName name="NEWNAME" hidden="1">{#N/A,#N/A,FALSE,"CCTV"}</definedName>
    <definedName name="NGC" hidden="1">#REF!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OTE" hidden="1">{#N/A,#N/A,TRUE,"총괄"}</definedName>
    <definedName name="ODH" hidden="1">#REF!</definedName>
    <definedName name="OI" hidden="1">#REF!</definedName>
    <definedName name="ooo" hidden="1">#REF!</definedName>
    <definedName name="OOOOOOOOOOOOOOOOOOO"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VERLAY" localSheetId="4" hidden="1">{#N/A,#N/A,FALSE,"2~8번"}</definedName>
    <definedName name="OVERLAY" hidden="1">{#N/A,#N/A,FALSE,"2~8번"}</definedName>
    <definedName name="PIO" hidden="1">#REF!</definedName>
    <definedName name="PO" hidden="1">{#N/A,#N/A,FALSE,"배수2"}</definedName>
    <definedName name="POI" hidden="1">#REF!</definedName>
    <definedName name="_xlnm.Print_Area" localSheetId="7">'4월'!$A$1:$AZ$154</definedName>
    <definedName name="_xlnm.Print_Area" localSheetId="9">각서!$A$1:$K$28</definedName>
    <definedName name="_xlnm.Print_Area" localSheetId="10">계좌입금의뢰신고서!$A$1:$E$28</definedName>
    <definedName name="_xlnm.Print_Area" localSheetId="14">근로계약서!$A$1:$AP$57</definedName>
    <definedName name="_xlnm.Print_Area" localSheetId="4">내역서!$A$1:$G$57</definedName>
    <definedName name="_xlnm.Print_Area" localSheetId="6">위임장!$A$1:$R$34</definedName>
    <definedName name="_xlnm.Print_Area" localSheetId="3">집계표!$A$1:$K$18</definedName>
    <definedName name="_xlnm.Print_Area" localSheetId="2">청구서!$A$1:$M$49</definedName>
    <definedName name="Q3WEE" hidden="1">{#N/A,#N/A,FALSE,"조골재"}</definedName>
    <definedName name="qkqh1" hidden="1">{#N/A,#N/A,FALSE,"명세표"}</definedName>
    <definedName name="qor" hidden="1">#REF!</definedName>
    <definedName name="qqq" hidden="1">#REF!</definedName>
    <definedName name="qsdf" hidden="1">{"'Firr(선)'!$AS$1:$AY$62","'Firr(사)'!$AS$1:$AY$62","'Firr(회)'!$AS$1:$AY$62","'Firr(선)'!$L$1:$V$62","'Firr(사)'!$L$1:$V$62","'Firr(회)'!$L$1:$V$62"}</definedName>
    <definedName name="qw" localSheetId="4" hidden="1">{#N/A,#N/A,FALSE,"2~8번"}</definedName>
    <definedName name="qw" hidden="1">{#N/A,#N/A,FALSE,"단가표지"}</definedName>
    <definedName name="QWE" hidden="1">{#N/A,#N/A,FALSE,"이태원철근"}</definedName>
    <definedName name="QWER" hidden="1">{#N/A,#N/A,FALSE,"이태원철근"}</definedName>
    <definedName name="QWQED" hidden="1">{#N/A,#N/A,FALSE,"혼합골재"}</definedName>
    <definedName name="REG" hidden="1">#REF!</definedName>
    <definedName name="RFYIFIOYGOPIO" hidden="1">#REF!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K" hidden="1">#REF!</definedName>
    <definedName name="rkdkd" hidden="1">{#N/A,#N/A,FALSE,"2~8번"}</definedName>
    <definedName name="rksk" hidden="1">{#N/A,#N/A,FALSE,"배수1"}</definedName>
    <definedName name="Royalty" hidden="1">{#N/A,#N/A,FALSE,"Sheet1"}</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 hidden="1">{#N/A,#N/A,FALSE,"이태원철근"}</definedName>
    <definedName name="RWD" hidden="1">#REF!</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견적" hidden="1">{#N/A,#N/A,FALSE,"월공사비집계표양식 (7)";#N/A,#N/A,FALSE,"월공사비집계표양식 (7)"}</definedName>
    <definedName name="sagsgf" hidden="1">#REF!</definedName>
    <definedName name="SAPBEXdnldView" hidden="1">"41JLQUL0YNPVK3OX98UIGJGNP"</definedName>
    <definedName name="SAPBEXsysID" hidden="1">"BWP"</definedName>
    <definedName name="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S" hidden="1">{"'Firr(선)'!$AS$1:$AY$62","'Firr(사)'!$AS$1:$AY$62","'Firr(회)'!$AS$1:$AY$62","'Firr(선)'!$L$1:$V$62","'Firr(사)'!$L$1:$V$62","'Firr(회)'!$L$1:$V$62"}</definedName>
    <definedName name="SDCFG\" hidden="1">{#N/A,#N/A,FALSE,"운반시간"}</definedName>
    <definedName name="SDDFD" hidden="1">{#N/A,#N/A,FALSE,"배수1"}</definedName>
    <definedName name="SDF" hidden="1">{#N/A,#N/A,FALSE,"전력간선"}</definedName>
    <definedName name="SDFDFD" hidden="1">{#N/A,#N/A,FALSE,"운반시간"}</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g" hidden="1">#REF!</definedName>
    <definedName name="sdlgkjalsdgjadfs" hidden="1">#REF!</definedName>
    <definedName name="SDS" hidden="1">{#N/A,#N/A,FALSE,"2~8번"}</definedName>
    <definedName name="sdsdddd" hidden="1">{#N/A,#N/A,FALSE,"토공2"}</definedName>
    <definedName name="SE" hidden="1">#REF!</definedName>
    <definedName name="SERVICE" hidden="1">{#N/A,#N/A,FALSE,"이태원철근"}</definedName>
    <definedName name="SFFF" hidden="1">#REF!</definedName>
    <definedName name="SFFFFF" hidden="1">#REF!</definedName>
    <definedName name="sfggf" hidden="1">{#N/A,#N/A,FALSE,"배수1"}</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eet" hidden="1">{#N/A,#N/A,FALSE,"골재소요량";#N/A,#N/A,FALSE,"골재소요량"}</definedName>
    <definedName name="SK" hidden="1">{#N/A,#N/A,FALSE,"월공사비집계표양식 (7)";#N/A,#N/A,FALSE,"월공사비집계표양식 (7)"}</definedName>
    <definedName name="SKI" hidden="1">#REF!</definedName>
    <definedName name="solver_adj" hidden="1">#REF!,#REF!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mp" hidden="1">#REF!,#REF!</definedName>
    <definedName name="solver_tol" hidden="1">0.05</definedName>
    <definedName name="solver_typ" hidden="1">1</definedName>
    <definedName name="solver_val" hidden="1">0</definedName>
    <definedName name="SORT" hidden="1">#N/A</definedName>
    <definedName name="SORT1" hidden="1">#REF!</definedName>
    <definedName name="sortt" hidden="1">#REF!</definedName>
    <definedName name="SS" hidden="1">#REF!</definedName>
    <definedName name="SSVSS" hidden="1">#REF!</definedName>
    <definedName name="SUMMARY" hidden="1">#REF!</definedName>
    <definedName name="SUMMARYT" hidden="1">#REF!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ank" hidden="1">#REF!</definedName>
    <definedName name="TC" hidden="1">#REF!</definedName>
    <definedName name="TEZ" hidden="1">#REF!</definedName>
    <definedName name="TGES" hidden="1">#REF!</definedName>
    <definedName name="thy" hidden="1">#REF!</definedName>
    <definedName name="TODLFJ" hidden="1">{"'별표'!$N$220"}</definedName>
    <definedName name="tr" hidden="1">#REF!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TTT" hidden="1">#REF!</definedName>
    <definedName name="TUR" hidden="1">#REF!</definedName>
    <definedName name="TYHFDGFD" hidden="1">{#N/A,#N/A,FALSE,"배수2"}</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dffdf" hidden="1">{#N/A,#N/A,FALSE,"단가표지"}</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Y" hidden="1">#REF!</definedName>
    <definedName name="UYY" hidden="1">#REF!</definedName>
    <definedName name="VB" hidden="1">{#N/A,#N/A,FALSE,"이태원철근"}</definedName>
    <definedName name="VBN" hidden="1">{#N/A,#N/A,FALSE,"이태원철근"}</definedName>
    <definedName name="VC" hidden="1">{#N/A,#N/A,FALSE,"속도"}</definedName>
    <definedName name="VE" hidden="1">#REF!</definedName>
    <definedName name="VFFFFFF" hidden="1">{#N/A,#N/A,FALSE,"골재소요량";#N/A,#N/A,FALSE,"골재소요량"}</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ZZ" hidden="1">#REF!</definedName>
    <definedName name="WE" hidden="1">#REF!</definedName>
    <definedName name="wer" hidden="1">{#N/A,#N/A,FALSE,"골재소요량";#N/A,#N/A,FALSE,"골재소요량"}</definedName>
    <definedName name="wererr" hidden="1">{#N/A,#N/A,FALSE,"운반시간"}</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#REF!</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LQ" hidden="1">{#N/A,#N/A,FALSE,"명세표"}</definedName>
    <definedName name="wm.속도." hidden="1">{#N/A,#N/A,FALSE,"속도"}</definedName>
    <definedName name="wm.조골재1" hidden="1">{#N/A,#N/A,FALSE,"조골재"}</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 hidden="1">{#N/A,#N/A,FALSE,"정산총괄 ";#N/A,#N/A,FALSE,"정산설명개착"}</definedName>
    <definedName name="wrn.2번." localSheetId="4" hidden="1">{#N/A,#N/A,FALSE,"2~8번"}</definedName>
    <definedName name="wrn.2번." hidden="1">{#N/A,#N/A,FALSE,"2~8번"}</definedName>
    <definedName name="wrn.97년._.사업계획._.및._.예산지침." hidden="1">{#N/A,#N/A,TRUE,"1";#N/A,#N/A,TRUE,"2";#N/A,#N/A,TRUE,"3";#N/A,#N/A,TRUE,"4";#N/A,#N/A,TRUE,"5";#N/A,#N/A,TRUE,"6";#N/A,#N/A,TRUE,"7"}</definedName>
    <definedName name="wrn.BM."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test1." hidden="1">{#N/A,#N/A,FALSE,"명세표"}</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경비인쇄." hidden="1">{#N/A,#N/A,FALSE,"경비"}</definedName>
    <definedName name="wrn.고희석." hidden="1">{#N/A,#N/A,FALSE,"교리2"}</definedName>
    <definedName name="wrn.골재소요량." localSheetId="4" hidden="1">{#N/A,#N/A,FALSE,"골재소요량";#N/A,#N/A,FALSE,"골재소요량"}</definedName>
    <definedName name="wrn.골재소요량." hidden="1">{#N/A,#N/A,FALSE,"골재소요량";#N/A,#N/A,FALSE,"골재소요량"}</definedName>
    <definedName name="wrn.공사설계서." hidden="1">{#N/A,#N/A,TRUE,"설계수량";#N/A,#N/A,TRUE,"예정공정표60";#N/A,#N/A,TRUE,"공사설명서";#N/A,#N/A,TRUE,"수량총괄";#N/A,#N/A,TRUE,"공사비예산서";#N/A,#N/A,TRUE,"공사계획서";#N/A,#N/A,TRUE,"품셈총괄";#N/A,#N/A,TRUE,"설계서표지"}</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교육청.1" hidden="1">{#N/A,#N/A,FALSE,"전력간선"}</definedName>
    <definedName name="wrn.구조2." localSheetId="4" hidden="1">{#N/A,#N/A,FALSE,"구조2"}</definedName>
    <definedName name="wrn.구조2." hidden="1">{#N/A,#N/A,FALSE,"구조2"}</definedName>
    <definedName name="wrn.기성." hidden="1">{#N/A,#N/A,FALSE,"신청통보";#N/A,#N/A,FALSE,"기성확인서";#N/A,#N/A,FALSE,"기성내역서"}</definedName>
    <definedName name="wrn.기타인쇄." hidden="1">{#N/A,#N/A,FALSE,"기타"}</definedName>
    <definedName name="wrn.노무비인쇄." hidden="1">{#N/A,#N/A,FALSE,"노무비"}</definedName>
    <definedName name="wrn.단가표지." localSheetId="4" hidden="1">{#N/A,#N/A,FALSE,"단가표지"}</definedName>
    <definedName name="wrn.단가표지." hidden="1">{#N/A,#N/A,FALSE,"단가표지"}</definedName>
    <definedName name="wrn.ㅁㅁㅁ." hidden="1">{#N/A,#N/A,FALSE,"월공사비집계표양식 (7)";#N/A,#N/A,FALSE,"월공사비집계표양식 (7)"}</definedName>
    <definedName name="wrn.배수1." localSheetId="4" hidden="1">{#N/A,#N/A,FALSE,"배수1"}</definedName>
    <definedName name="wrn.배수1." hidden="1">{#N/A,#N/A,FALSE,"배수1"}</definedName>
    <definedName name="wrn.배수2." localSheetId="4" hidden="1">{#N/A,#N/A,FALSE,"배수2"}</definedName>
    <definedName name="wrn.배수2." hidden="1">{#N/A,#N/A,FALSE,"배수2"}</definedName>
    <definedName name="wrn.부대1." localSheetId="4" hidden="1">{#N/A,#N/A,FALSE,"부대1"}</definedName>
    <definedName name="wrn.부대1." hidden="1">{#N/A,#N/A,FALSE,"부대1"}</definedName>
    <definedName name="wrn.부대2." localSheetId="4" hidden="1">{#N/A,#N/A,FALSE,"부대2"}</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설계내역서인쇄." hidden="1">{#N/A,#N/A,FALSE,"설계내역서"}</definedName>
    <definedName name="wrn.속도." localSheetId="4" hidden="1">{#N/A,#N/A,FALSE,"속도"}</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{#N/A,#N/A,FALSE,"결의서";#N/A,#N/A,FALSE,"내역서";#N/A,#N/A,FALSE,"도급예상";#N/A,#N/A,FALSE,"시방서"}</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업체별._.견적공사명." hidden="1">{"SJ - 기본 보기",#N/A,FALSE,"공사별 외주견적"}</definedName>
    <definedName name="wrn.연동제." hidden="1">{#N/A,#N/A,TRUE,"총괄"}</definedName>
    <definedName name="wrn.운반시간." localSheetId="4" hidden="1">{#N/A,#N/A,FALSE,"운반시간"}</definedName>
    <definedName name="wrn.운반시간." hidden="1">{#N/A,#N/A,FALSE,"운반시간"}</definedName>
    <definedName name="wrn.원가계산서인쇄." hidden="1">{#N/A,#N/A,FALSE,"원가계산서"}</definedName>
    <definedName name="wrn.이정표." localSheetId="4" hidden="1">{#N/A,#N/A,FALSE,"이정표"}</definedName>
    <definedName name="wrn.이정표." hidden="1">{#N/A,#N/A,FALSE,"이정표"}</definedName>
    <definedName name="wrn.이태원._.철근." hidden="1">{#N/A,#N/A,FALSE,"이태원철근"}</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재료비인쇄." hidden="1">{#N/A,#N/A,FALSE,"재료비"}</definedName>
    <definedName name="wrn.조골재." localSheetId="4" hidden="1">{#N/A,#N/A,FALSE,"조골재"}</definedName>
    <definedName name="wrn.조골재." hidden="1">{#N/A,#N/A,FALSE,"조골재"}</definedName>
    <definedName name="wrn.준공조서." hidden="1">{#N/A,#N/A,FALSE,"정산총괄 ";#N/A,#N/A,FALSE,"정산설명개착"}</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철골집계표._.5칸." hidden="1">{#N/A,#N/A,FALSE,"Sheet1"}</definedName>
    <definedName name="wrn.토공1." localSheetId="4" hidden="1">{#N/A,#N/A,FALSE,"구조1"}</definedName>
    <definedName name="wrn.토공1." hidden="1">{#N/A,#N/A,FALSE,"구조1"}</definedName>
    <definedName name="wrn.토공2." localSheetId="4" hidden="1">{#N/A,#N/A,FALSE,"토공2"}</definedName>
    <definedName name="wrn.토공2." hidden="1">{#N/A,#N/A,FALSE,"토공2"}</definedName>
    <definedName name="wrn.통신지." hidden="1">{#N/A,#N/A,FALSE,"기안지";#N/A,#N/A,FALSE,"통신지"}</definedName>
    <definedName name="wrn.포장1." localSheetId="4" hidden="1">{#N/A,#N/A,FALSE,"포장1";#N/A,#N/A,FALSE,"포장1"}</definedName>
    <definedName name="wrn.포장1." hidden="1">{#N/A,#N/A,FALSE,"포장1";#N/A,#N/A,FALSE,"포장1"}</definedName>
    <definedName name="wrn.포장2." localSheetId="4" hidden="1">{#N/A,#N/A,FALSE,"포장2"}</definedName>
    <definedName name="wrn.포장2." hidden="1">{#N/A,#N/A,FALSE,"포장2"}</definedName>
    <definedName name="wrn.표지." hidden="1">{#N/A,#N/A,FALSE,"표지"}</definedName>
    <definedName name="wrn.표지목차." localSheetId="4" hidden="1">{#N/A,#N/A,FALSE,"표지목차"}</definedName>
    <definedName name="wrn.표지목차." hidden="1">{#N/A,#N/A,FALSE,"표지목차"}</definedName>
    <definedName name="wrn.현장._.NCR._.분석." hidden="1">{#N/A,#N/A,FALSE,"현장 NCR 분석";#N/A,#N/A,FALSE,"현장품질감사";#N/A,#N/A,FALSE,"현장품질감사"}</definedName>
    <definedName name="wrn.혼합골재." localSheetId="4" hidden="1">{#N/A,#N/A,FALSE,"혼합골재"}</definedName>
    <definedName name="wrn.혼합골재." hidden="1">{#N/A,#N/A,FALSE,"혼합골재"}</definedName>
    <definedName name="WW" hidden="1">#REF!</definedName>
    <definedName name="x" localSheetId="4" hidden="1">{#N/A,#N/A,FALSE,"운반시간"}</definedName>
    <definedName name="X" hidden="1">#REF!</definedName>
    <definedName name="xx" hidden="1">#REF!</definedName>
    <definedName name="xxca" hidden="1">{"'Firr(선)'!$AS$1:$AY$62","'Firr(사)'!$AS$1:$AY$62","'Firr(회)'!$AS$1:$AY$62","'Firr(선)'!$L$1:$V$62","'Firr(사)'!$L$1:$V$62","'Firr(회)'!$L$1:$V$62"}</definedName>
    <definedName name="Y" hidden="1">#N/A</definedName>
    <definedName name="YRE" hidden="1">#REF!</definedName>
    <definedName name="YTE" hidden="1">#REF!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YUY" hidden="1">{#N/A,#N/A,FALSE,"혼합골재"}</definedName>
    <definedName name="yyy" hidden="1">#REF!</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a" hidden="1">#REF!</definedName>
    <definedName name="zx" hidden="1">#REF!</definedName>
    <definedName name="ZXC" hidden="1">{#N/A,#N/A,FALSE,"이태원철근"}</definedName>
    <definedName name="ㄱ" hidden="1">#REF!</definedName>
    <definedName name="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ㄷㄱㄷ" hidden="1">#REF!</definedName>
    <definedName name="ㄱㄷㄷ" hidden="1">#REF!</definedName>
    <definedName name="ㄱㄷㄹㄹ" hidden="1">{#N/A,#N/A,FALSE,"표지목차"}</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ㅈㅎ" hidden="1">#REF!</definedName>
    <definedName name="가나다" hidden="1">#REF!</definedName>
    <definedName name="가나다라마" hidden="1">{#N/A,#N/A,FALSE,"배수2"}</definedName>
    <definedName name="가도" hidden="1">#REF!</definedName>
    <definedName name="가라" hidden="1">{#N/A,#N/A,FALSE,"골재소요량";#N/A,#N/A,FALSE,"골재소요량"}</definedName>
    <definedName name="가산" hidden="1">{#N/A,#N/A,FALSE,"혼합골재"}</definedName>
    <definedName name="가설용역갑지" hidden="1">{#N/A,#N/A,FALSE,"CCTV"}</definedName>
    <definedName name="가스" hidden="1">{#N/A,#N/A,FALSE,"CCTV"}</definedName>
    <definedName name="가실행1" hidden="1">{#N/A,#N/A,FALSE,"배수1"}</definedName>
    <definedName name="가아" hidden="1">#REF!</definedName>
    <definedName name="가평" hidden="1">{#N/A,#N/A,FALSE,"손익표지";#N/A,#N/A,FALSE,"손익계산";#N/A,#N/A,FALSE,"일반관리비";#N/A,#N/A,FALSE,"영업외수익";#N/A,#N/A,FALSE,"영업외비용";#N/A,#N/A,FALSE,"매출액";#N/A,#N/A,FALSE,"요약손익";#N/A,#N/A,FALSE,"요약대차";#N/A,#N/A,FALSE,"매출채권현황";#N/A,#N/A,FALSE,"매출채권명세"}</definedName>
    <definedName name="가ㅓ사" hidden="1">{#N/A,#N/A,FALSE,"단가표지"}</definedName>
    <definedName name="간지_배수공" hidden="1">#REF!</definedName>
    <definedName name="갑비" hidden="1">{#N/A,#N/A,FALSE,"전력간선"}</definedName>
    <definedName name="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갑지2" hidden="1">{#N/A,#N/A,FALSE,"CCTV"}</definedName>
    <definedName name="갑지3" hidden="1">{#N/A,#N/A,FALSE,"CCTV"}</definedName>
    <definedName name="강교" hidden="1">{#N/A,#N/A,FALSE,"포장2"}</definedName>
    <definedName name="강구조물" hidden="1">{#N/A,#N/A,FALSE,"포장1";#N/A,#N/A,FALSE,"포장1"}</definedName>
    <definedName name="강아지" hidden="1">#REF!</definedName>
    <definedName name="강재" hidden="1">{#N/A,#N/A,FALSE,"혼합골재"}</definedName>
    <definedName name="강호" hidden="1">{#N/A,#N/A,TRUE,"토적및재료집계";#N/A,#N/A,TRUE,"토적및재료집계";#N/A,#N/A,TRUE,"단위량"}</definedName>
    <definedName name="강환" hidden="1">{#N/A,#N/A,FALSE,"월공사비집계표양식 (7)";#N/A,#N/A,FALSE,"월공사비집계표양식 (7)"}</definedName>
    <definedName name="개거" hidden="1">#REF!</definedName>
    <definedName name="거ㅏ" hidden="1">#REF!</definedName>
    <definedName name="건설기계" hidden="1">{#N/A,#N/A,FALSE,"골재소요량";#N/A,#N/A,FALSE,"골재소요량"}</definedName>
    <definedName name="건축" hidden="1">{#N/A,#N/A,TRUE,"토적및재료집계";#N/A,#N/A,TRUE,"토적및재료집계";#N/A,#N/A,TRUE,"단위량"}</definedName>
    <definedName name="건축가실" hidden="1">#REF!</definedName>
    <definedName name="건축수량집계" hidden="1">{#N/A,#N/A,FALSE,"월공사비집계표양식 (7)";#N/A,#N/A,FALSE,"월공사비집계표양식 (7)"}</definedName>
    <definedName name="건축원가" hidden="1">#REF!</definedName>
    <definedName name="검C" hidden="1">{#N/A,#N/A,FALSE,"운반시간"}</definedName>
    <definedName name="견적1" hidden="1">{#N/A,#N/A,FALSE,"토공2"}</definedName>
    <definedName name="견적갑지1" hidden="1">{#N/A,#N/A,FALSE,"부대1"}</definedName>
    <definedName name="견적대비" hidden="1">{#N/A,#N/A,FALSE,"포장2"}</definedName>
    <definedName name="견적조건" hidden="1">{#N/A,#N/A,FALSE,"CCTV"}</definedName>
    <definedName name="견적조건8" hidden="1">{#N/A,#N/A,FALSE,"CCTV"}</definedName>
    <definedName name="결" hidden="1">{#N/A,#N/A,FALSE,"포장2"}</definedName>
    <definedName name="결과" hidden="1">{#N/A,#N/A,FALSE,"포장2"}</definedName>
    <definedName name="결의" hidden="1">{#N/A,#N/A,FALSE,"결의서";#N/A,#N/A,FALSE,"내역서";#N/A,#N/A,FALSE,"도급예상";#N/A,#N/A,FALSE,"시방서"}</definedName>
    <definedName name="경계블럭연장" hidden="1">#REF!</definedName>
    <definedName name="경계석" hidden="1">#REF!</definedName>
    <definedName name="경비1" hidden="1">#REF!</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상비2" hidden="1">{#N/A,#N/A,FALSE,"기안지";#N/A,#N/A,FALSE,"통신지"}</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의뢰"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르기" hidden="1">{#N/A,#N/A,FALSE,"표지목차"}</definedName>
    <definedName name="곡동" hidden="1">{"'Firr(선)'!$AS$1:$AY$62","'Firr(사)'!$AS$1:$AY$62","'Firr(회)'!$AS$1:$AY$62","'Firr(선)'!$L$1:$V$62","'Firr(사)'!$L$1:$V$62","'Firr(회)'!$L$1:$V$62"}</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서" hidden="1">{#N/A,#N/A,FALSE,"구조2"}</definedName>
    <definedName name="공사비대비" hidden="1">{#N/A,#N/A,FALSE,"배수2"}</definedName>
    <definedName name="공사비증.감" hidden="1">{#N/A,#N/A,FALSE,"배수1"}</definedName>
    <definedName name="공사비증감" hidden="1">{#N/A,#N/A,FALSE,"구조2"}</definedName>
    <definedName name="공사비증감대비표" hidden="1">{#N/A,#N/A,FALSE,"구조2"}</definedName>
    <definedName name="공사원가계산서" hidden="1">{#N/A,#N/A,TRUE,"토적및재료집계";#N/A,#N/A,TRUE,"토적및재료집계";#N/A,#N/A,TRUE,"단위량"}</definedName>
    <definedName name="공원등기초" hidden="1">{#N/A,#N/A,FALSE,"골재소요량";#N/A,#N/A,FALSE,"골재소요량"}</definedName>
    <definedName name="공장동" hidden="1">#N/A</definedName>
    <definedName name="공정표" hidden="1">{#N/A,#N/A,FALSE,"현장 NCR 분석";#N/A,#N/A,FALSE,"현장품질감사";#N/A,#N/A,FALSE,"현장품질감사"}</definedName>
    <definedName name="공제" hidden="1">#REF!</definedName>
    <definedName name="공종집3" hidden="1">{#N/A,#N/A,FALSE,"Sheet1"}</definedName>
    <definedName name="공종집계2" hidden="1">{#N/A,#N/A,FALSE,"Sheet1"}</definedName>
    <definedName name="공종집계3" hidden="1">{#N/A,#N/A,FALSE,"Sheet1"}</definedName>
    <definedName name="곽동준" hidden="1">{"'Firr(선)'!$AS$1:$AY$62","'Firr(사)'!$AS$1:$AY$62","'Firr(회)'!$AS$1:$AY$62","'Firr(선)'!$L$1:$V$62","'Firr(사)'!$L$1:$V$62","'Firr(회)'!$L$1:$V$62"}</definedName>
    <definedName name="곽동중" hidden="1">{"'Firr(선)'!$AS$1:$AY$62","'Firr(사)'!$AS$1:$AY$62","'Firr(회)'!$AS$1:$AY$62","'Firr(선)'!$L$1:$V$62","'Firr(사)'!$L$1:$V$62","'Firr(회)'!$L$1:$V$62"}</definedName>
    <definedName name="관급조달" hidden="1">{#N/A,#N/A,FALSE,"Sheet1"}</definedName>
    <definedName name="관리" hidden="1">{#N/A,#N/A,FALSE,"포장2"}</definedName>
    <definedName name="관리비작성기준" hidden="1">#REF!</definedName>
    <definedName name="교대펄근집계" hidden="1">{#N/A,#N/A,FALSE,"배수1"}</definedName>
    <definedName name="교동토목공사" hidden="1">{#N/A,#N/A,FALSE,"이태원철근"}</definedName>
    <definedName name="교실동" hidden="1">{#N/A,#N/A,FALSE,"월공사비집계표양식 (7)";#N/A,#N/A,FALSE,"월공사비집계표양식 (7)"}</definedName>
    <definedName name="교좌" hidden="1">{#N/A,#N/A,FALSE,"포장2"}</definedName>
    <definedName name="구산갑지" hidden="1">#REF!</definedName>
    <definedName name="구조물공사" hidden="1">{#N/A,#N/A,TRUE,"토적및재료집계";#N/A,#N/A,TRUE,"토적및재료집계";#N/A,#N/A,TRUE,"단위량"}</definedName>
    <definedName name="구체철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권대협" hidden="1">{#N/A,#N/A,FALSE,"CCTV"}</definedName>
    <definedName name="금광추정" hidden="1">{#N/A,#N/A,FALSE,"포장2"}</definedName>
    <definedName name="기계경비지수" hidden="1">{#N/A,#N/A,FALSE,"단가표지"}</definedName>
    <definedName name="기성3" hidden="1">{#N/A,#N/A,FALSE,"CCTV"}</definedName>
    <definedName name="기성갑" hidden="1">#REF!</definedName>
    <definedName name="기성원가" hidden="1">{#N/A,#N/A,FALSE,"월공사비집계표양식 (7)";#N/A,#N/A,FALSE,"월공사비집계표양식 (7)"}</definedName>
    <definedName name="기술" hidden="1">{#N/A,#N/A,FALSE,"부대1"}</definedName>
    <definedName name="김" hidden="1">{#N/A,#N/A,FALSE,"2~8번"}</definedName>
    <definedName name="김1" hidden="1">{"'Firr(선)'!$AS$1:$AY$62","'Firr(사)'!$AS$1:$AY$62","'Firr(회)'!$AS$1:$AY$62","'Firr(선)'!$L$1:$V$62","'Firr(사)'!$L$1:$V$62","'Firr(회)'!$L$1:$V$62"}</definedName>
    <definedName name="김동" hidden="1">{"'Firr(선)'!$AS$1:$AY$62","'Firr(사)'!$AS$1:$AY$62","'Firr(회)'!$AS$1:$AY$62","'Firr(선)'!$L$1:$V$62","'Firr(사)'!$L$1:$V$62","'Firr(회)'!$L$1:$V$62"}</definedName>
    <definedName name="김동준" hidden="1">{"'Firr(선)'!$AS$1:$AY$62","'Firr(사)'!$AS$1:$AY$62","'Firr(회)'!$AS$1:$AY$62","'Firr(선)'!$L$1:$V$62","'Firr(사)'!$L$1:$V$62","'Firr(회)'!$L$1:$V$62"}</definedName>
    <definedName name="깨기" hidden="1">{"'중기작업1'!$A$1:$V$18"}</definedName>
    <definedName name="ㄳ" hidden="1">{#N/A,#N/A,FALSE,"단가표지"}</definedName>
    <definedName name="ㄴㄱㄹ" hidden="1">#REF!</definedName>
    <definedName name="ㄴㄴ" hidden="1">{#N/A,#N/A,FALSE,"CCTV"}</definedName>
    <definedName name="ㄴㄴㄴ" hidden="1">#REF!</definedName>
    <definedName name="ㄴㄴㄴㄴㄴ" hidden="1">#REF!</definedName>
    <definedName name="ㄴㄴㄴㄴㄴㄴ" localSheetId="4" hidden="1">{#N/A,#N/A,FALSE,"구조1"}</definedName>
    <definedName name="ㄴㄴㄴㄴㄴㄴ" hidden="1">{#N/A,#N/A,FALSE,"구조1"}</definedName>
    <definedName name="ㄴㄹ" hidden="1">{#N/A,#N/A,FALSE,"2~8번"}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ㄻㄴㅇ" hidden="1">{#N/A,#N/A,FALSE,"조골재"}</definedName>
    <definedName name="ㄴㅁ" hidden="1">{#N/A,#N/A,TRUE,"토적및재료집계";#N/A,#N/A,TRUE,"토적및재료집계";#N/A,#N/A,TRUE,"단위량"}</definedName>
    <definedName name="ㄴㅁㄹㄴㅁㅇㄴㅇㅁㄹㄴ" hidden="1">{#N/A,#N/A,FALSE,"단가표지"}</definedName>
    <definedName name="ㄴㅇㄴㅁ" hidden="1">{#N/A,#N/A,FALSE,"운반시간"}</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로ㅠㅎ" hidden="1">{#N/A,#N/A,FALSE,"구조2"}</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 hidden="1">{#N/A,#N/A,FALSE,"토공2"}</definedName>
    <definedName name="ㄴㅇㅁㄴㅇ" hidden="1">{#N/A,#N/A,TRUE,"토적및재료집계";#N/A,#N/A,TRUE,"토적및재료집계";#N/A,#N/A,TRUE,"단위량"}</definedName>
    <definedName name="ㄴㅇㅇ" hidden="1">#REF!</definedName>
    <definedName name="ㄴ흂" hidden="1">{#N/A,#N/A,FALSE,"단가표지"}</definedName>
    <definedName name="나다" hidden="1">{#N/A,#N/A,FALSE,"혼합골재"}</definedName>
    <definedName name="난간대1" hidden="1">{#N/A,#N/A,FALSE,"부대1"}</definedName>
    <definedName name="내역" hidden="1">{#N/A,#N/A,FALSE,"CCTV"}</definedName>
    <definedName name="내역3" hidden="1">{#N/A,#N/A,FALSE,"Sheet1"}</definedName>
    <definedName name="내역비교" hidden="1">{#N/A,#N/A,FALSE,"표지목차"}</definedName>
    <definedName name="내역사" hidden="1">{#N/A,#N/A,FALSE,"단가표지"}</definedName>
    <definedName name="내역서" hidden="1">{#N/A,#N/A,FALSE,"단가표지"}</definedName>
    <definedName name="내역서2" hidden="1">{#N/A,#N/A,FALSE,"Sheet1"}</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냉전" hidden="1">{#N/A,#N/A,FALSE,"Sheet1"}</definedName>
    <definedName name="넣러" hidden="1">{#N/A,#N/A,FALSE,"표지목차"}</definedName>
    <definedName name="노무비단가산출서" hidden="1">#REF!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트" hidden="1">{#N/A,#N/A,TRUE,"총괄"}</definedName>
    <definedName name="놓ㄹ노" hidden="1">{#N/A,#N/A,FALSE,"골재소요량";#N/A,#N/A,FALSE,"골재소요량"}</definedName>
    <definedName name="님" hidden="1">{#N/A,#N/A,FALSE,"골재소요량";#N/A,#N/A,FALSE,"골재소요량"}</definedName>
    <definedName name="ㄶㅇㅀㄴㅇ" hidden="1">{#N/A,#N/A,FALSE,"표지목차"}</definedName>
    <definedName name="ㄷ" hidden="1">{#N/A,#N/A,TRUE,"토적및재료집계";#N/A,#N/A,TRUE,"토적및재료집계";#N/A,#N/A,TRUE,"단위량"}</definedName>
    <definedName name="ㄷㄱㄷㄱ" hidden="1">{#N/A,#N/A,FALSE,"혼합골재"}</definedName>
    <definedName name="ㄷㄷ" hidden="1">#REF!</definedName>
    <definedName name="ㄷㄷㄷ" hidden="1">#REF!</definedName>
    <definedName name="ㄷㄷㄷㄷㄷㄷ" localSheetId="4" hidden="1">{#N/A,#N/A,FALSE,"운반시간"}</definedName>
    <definedName name="ㄷㄷㄷㄷㄷㄷ" hidden="1">{#N/A,#N/A,FALSE,"운반시간"}</definedName>
    <definedName name="ㄷㄹ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ㄷ" hidden="1">{#N/A,#N/A,FALSE,"속도"}</definedName>
    <definedName name="ㄷㅈㅂㄱㄷㅈ" hidden="1">#REF!</definedName>
    <definedName name="ㄷㅈㅇㄹㅇ" hidden="1">#REF!</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라" hidden="1">{#N/A,#N/A,FALSE,"단가표지"}</definedName>
    <definedName name="단ㄱ" hidden="1">{#N/A,#N/A,FALSE,"전력간선"}</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덕" hidden="1">{#N/A,#N/A,FALSE,"CCTV"}</definedName>
    <definedName name="대운반비" hidden="1">#REF!</definedName>
    <definedName name="댕기" hidden="1">{"'중기작업1'!$A$1:$V$18"}</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hidden="1">{#N/A,#N/A,FALSE,"포장2"}</definedName>
    <definedName name="덕진" hidden="1">{#N/A,#N/A,FALSE,"포장2"}</definedName>
    <definedName name="데스크" hidden="1">{#N/A,#N/A,FALSE,"단가표지"}</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실행시행대비표" hidden="1">{#N/A,#N/A,FALSE,"혼합골재"}</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준" hidden="1">{"'Firr(선)'!$AS$1:$AY$62","'Firr(사)'!$AS$1:$AY$62","'Firr(회)'!$AS$1:$AY$62","'Firr(선)'!$L$1:$V$62","'Firr(사)'!$L$1:$V$62","'Firr(회)'!$L$1:$V$62"}</definedName>
    <definedName name="동준친" hidden="1">{"'Firr(선)'!$AS$1:$AY$62","'Firr(사)'!$AS$1:$AY$62","'Firr(회)'!$AS$1:$AY$62","'Firr(선)'!$L$1:$V$62","'Firr(사)'!$L$1:$V$62","'Firr(회)'!$L$1:$V$62"}</definedName>
    <definedName name="두호" hidden="1">{#N/A,#N/A,FALSE,"2~8번"}</definedName>
    <definedName name="ㄹ" hidden="1">{#N/A,#N/A,TRUE,"토적및재료집계";#N/A,#N/A,TRUE,"토적및재료집계";#N/A,#N/A,TRUE,"단위량"}</definedName>
    <definedName name="ㄹㄴㅇㄻㄴ" hidden="1">{#N/A,#N/A,FALSE,"단가표지"}</definedName>
    <definedName name="ㄹㄴ웋" hidden="1">{#N/A,#N/A,FALSE,"운반시간"}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ㅁㄷ" hidden="1">#REF!</definedName>
    <definedName name="ㄹㄹ" localSheetId="4" hidden="1">{#N/A,#N/A,FALSE,"속도"}</definedName>
    <definedName name="ㄹㄹ" hidden="1">#REF!</definedName>
    <definedName name="ㄹㄹㄹ" localSheetId="4" hidden="1">{#N/A,#N/A,FALSE,"부대1"}</definedName>
    <definedName name="ㄹㄹㄹ" hidden="1">#REF!</definedName>
    <definedName name="ㄹㄹㄹㄹㄹㄹ" localSheetId="4" hidden="1">{#N/A,#N/A,FALSE,"토공2"}</definedName>
    <definedName name="ㄹㄹㄹㄹㄹㄹ" hidden="1">{#N/A,#N/A,FALSE,"토공2"}</definedName>
    <definedName name="ㄹㄹㄹ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ㅇ" hidden="1">#REF!</definedName>
    <definedName name="ㄹㅇㄴ" hidden="1">#REF!</definedName>
    <definedName name="ㄹㅇㄹㅇ" hidden="1">#REF!</definedName>
    <definedName name="ㄹㅇㅌㅇㄴㄱㄷ" hidden="1">{#N/A,#N/A,FALSE,"포장2"}</definedName>
    <definedName name="ㄹㅇㅎㄴㅇ" hidden="1">{#N/A,#N/A,FALSE,"조골재"}</definedName>
    <definedName name="ㄹ호" hidden="1">#REF!</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러시아" hidden="1">{#N/A,#N/A,FALSE,"손익표지";#N/A,#N/A,FALSE,"손익계산";#N/A,#N/A,FALSE,"일반관리비";#N/A,#N/A,FALSE,"영업외수익";#N/A,#N/A,FALSE,"영업외비용";#N/A,#N/A,FALSE,"매출액";#N/A,#N/A,FALSE,"요약손익";#N/A,#N/A,FALSE,"요약대차";#N/A,#N/A,FALSE,"매출채권현황";#N/A,#N/A,FALSE,"매출채권명세"}</definedName>
    <definedName name="레미콘다시" hidden="1">{#N/A,#N/A,FALSE,"토공2"}</definedName>
    <definedName name="류효정" hidden="1">{"'Firr(선)'!$AS$1:$AY$62","'Firr(사)'!$AS$1:$AY$62","'Firr(회)'!$AS$1:$AY$62","'Firr(선)'!$L$1:$V$62","'Firr(사)'!$L$1:$V$62","'Firr(회)'!$L$1:$V$62"}</definedName>
    <definedName name="ㄻㄴㄹㅇㄴㅁ" hidden="1">{#N/A,#N/A,FALSE,"운반시간"}</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ㄻㅇ" hidden="1">{#N/A,#N/A,FALSE,"단가표지"}</definedName>
    <definedName name="ㅀ" hidden="1">{#N/A,#N/A,TRUE,"토적및재료집계";#N/A,#N/A,TRUE,"토적및재료집계";#N/A,#N/A,TRUE,"단위량"}</definedName>
    <definedName name="ㅀㄹ" hidden="1">{#N/A,#N/A,TRUE,"토적및재료집계";#N/A,#N/A,TRUE,"토적및재료집계";#N/A,#N/A,TRUE,"단위량"}</definedName>
    <definedName name="ㅀㅀ" hidden="1">{"'Firr(선)'!$AS$1:$AY$62","'Firr(사)'!$AS$1:$AY$62","'Firr(회)'!$AS$1:$AY$62","'Firr(선)'!$L$1:$V$62","'Firr(사)'!$L$1:$V$62","'Firr(회)'!$L$1:$V$62"}</definedName>
    <definedName name="ㅀㅀㄴ" hidden="1">{#N/A,#N/A,FALSE,"조골재"}</definedName>
    <definedName name="ㅀㅇㅁ" hidden="1">{#N/A,#N/A,FALSE,"골재소요량";#N/A,#N/A,FALSE,"골재소요량"}</definedName>
    <definedName name="ㅀㅎ" hidden="1">{#N/A,#N/A,FALSE,"2~8번"}</definedName>
    <definedName name="ㅀ허" hidden="1">{#N/A,#N/A,FALSE,"CCTV"}</definedName>
    <definedName name="ㅁ" hidden="1">#REF!</definedName>
    <definedName name="ㅁㄴ" hidden="1">#REF!</definedName>
    <definedName name="ㅁㄴㄹ" hidden="1">{#N/A,#N/A,FALSE,"전력간선"}</definedName>
    <definedName name="ㅁㄴㄹㄴ" hidden="1">{#N/A,#N/A,FALSE,"운반시간"}</definedName>
    <definedName name="ㅁㄴㄹㅇㅁ" hidden="1">{#N/A,#N/A,FALSE,"단가표지"}</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ㅇㄴ" hidden="1">{#N/A,#N/A,TRUE,"토적및재료집계";#N/A,#N/A,TRUE,"토적및재료집계";#N/A,#N/A,TRUE,"단위량"}</definedName>
    <definedName name="ㅁㄴㅇㄹ" hidden="1">{#N/A,#N/A,FALSE,"속도"}</definedName>
    <definedName name="ㅁㄴㅇ류" hidden="1">#REF!</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ㅇㄻㄴㄹ" hidden="1">{#N/A,#N/A,FALSE,"명세표"}</definedName>
    <definedName name="ㅁㄷ" hidden="1">#REF!</definedName>
    <definedName name="ㅁㄹ" hidden="1">{#N/A,#N/A,FALSE,"2~8번"}</definedName>
    <definedName name="ㅁㄹㄴㅇ" hidden="1">{#N/A,#N/A,FALSE,"단가표지"}</definedName>
    <definedName name="ㅁㄹㄴㅇㄻㄴㄹ" hidden="1">{#N/A,#N/A,FALSE,"골재소요량";#N/A,#N/A,FALSE,"골재소요량"}</definedName>
    <definedName name="ㅁㄹㄴㅇㅁ" hidden="1">{#N/A,#N/A,FALSE,"표지목차"}</definedName>
    <definedName name="ㅁㄹㄹ" hidden="1">{#N/A,#N/A,FALSE,"2~8번"}</definedName>
    <definedName name="ㅁㄹㅇㄴ" hidden="1">{#N/A,#N/A,FALSE,"단가표지"}</definedName>
    <definedName name="ㅁㄹㅇ림ㅇ" hidden="1">{#N/A,#N/A,FALSE,"단가표지"}</definedName>
    <definedName name="ㅁㄹㅇㅁㄴ" hidden="1">{#N/A,#N/A,FALSE,"골재소요량";#N/A,#N/A,FALSE,"골재소요량"}</definedName>
    <definedName name="ㅁㄻㄴㄹ" hidden="1">{#N/A,#N/A,FALSE,"골재소요량";#N/A,#N/A,FALSE,"골재소요량"}</definedName>
    <definedName name="ㅁㄻㅇㄻㅎㄹ" hidden="1">{#N/A,#N/A,FALSE,"단가표지"}</definedName>
    <definedName name="ㅁㅀㅎ" hidden="1">{#N/A,#N/A,FALSE,"골재소요량";#N/A,#N/A,FALSE,"골재소요량"}</definedName>
    <definedName name="ㅁㅁ" hidden="1">#REF!</definedName>
    <definedName name="ㅁㅁㅁ" hidden="1">#REF!</definedName>
    <definedName name="ㅁㅁㅁㅁㅁㅁ" localSheetId="4" hidden="1">{#N/A,#N/A,FALSE,"조골재"}</definedName>
    <definedName name="ㅁㅁㅁㅁㅁㅁ" hidden="1">#REF!</definedName>
    <definedName name="ㅁㅁㅁㅁㅁㅁㅁㅁ" hidden="1">{#N/A,#N/A,FALSE,"배수1"}</definedName>
    <definedName name="ㅁㅇㄴㄹ" hidden="1">{"SJ - 기본 보기",#N/A,FALSE,"공사별 외주견적"}</definedName>
    <definedName name="ㅁㅇㄹㄴㅇㅁㄹ" hidden="1">{#N/A,#N/A,FALSE,"운반시간"}</definedName>
    <definedName name="ㅁㅇㄹㅇㅁ" hidden="1">{#N/A,#N/A,FALSE,"운반시간"}</definedName>
    <definedName name="ㅁㅇㄻ" hidden="1">{#N/A,#N/A,FALSE,"조골재"}</definedName>
    <definedName name="ㅁㅇㄻㄴㄹ" hidden="1">{#N/A,#N/A,FALSE,"혼합골재"}</definedName>
    <definedName name="ㅁㅇㄻㅇㅎ" hidden="1">{#N/A,#N/A,FALSE,"조골재"}</definedName>
    <definedName name="ㅁㅇㅀㅁㅇ" hidden="1">{#N/A,#N/A,FALSE,"단가표지"}</definedName>
    <definedName name="ㅁㅍㅊ" hidden="1">{#N/A,#N/A,FALSE,"속도"}</definedName>
    <definedName name="ㅁㅎㄻㅇㄻ" hidden="1">{#N/A,#N/A,FALSE,"운반시간"}</definedName>
    <definedName name="ㅁㅎㅇㅀㅁㅇ" hidden="1">{#N/A,#N/A,FALSE,"2~8번"}</definedName>
    <definedName name="ㅁㅎㅇㅀㅁㅎ" hidden="1">{#N/A,#N/A,FALSE,"단가표지"}</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만득이" hidden="1">{#N/A,#N/A,FALSE,"2~8번"}</definedName>
    <definedName name="매출액" hidden="1">#REF!</definedName>
    <definedName name="머" hidden="1">{#N/A,#N/A,FALSE,"명세표"}</definedName>
    <definedName name="명일" hidden="1">{#N/A,#N/A,FALSE,"속도"}</definedName>
    <definedName name="몰라" hidden="1">{#N/A,#N/A,FALSE,"명세표"}</definedName>
    <definedName name="물" hidden="1">{#N/A,#N/A,FALSE,"이태원철근"}</definedName>
    <definedName name="물가" hidden="1">{#N/A,#N/A,FALSE,"이태원철근"}</definedName>
    <definedName name="뭐가이태원이야" hidden="1">{#N/A,#N/A,FALSE,"이태원철근"}</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{#N/A,#N/A,TRUE,"토적및재료집계";#N/A,#N/A,TRUE,"토적및재료집계";#N/A,#N/A,TRUE,"단위량"}</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hidden="1">{#N/A,#N/A,FALSE,"표지"}</definedName>
    <definedName name="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4" hidden="1">{#N/A,#N/A,FALSE,"표지목차"}</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ㅂ" hidden="1">{#N/A,#N/A,FALSE,"명세표"}</definedName>
    <definedName name="ㅂㅂㅂㅂㅂㅂㅂㄴㄴㄴㄴㄴㄴ" hidden="1">{#N/A,#N/A,FALSE,"단가표지"}</definedName>
    <definedName name="ㅂㅈ" hidden="1">{#N/A,#N/A,TRUE,"1";#N/A,#N/A,TRUE,"2";#N/A,#N/A,TRUE,"3";#N/A,#N/A,TRUE,"4";#N/A,#N/A,TRUE,"5";#N/A,#N/A,TRUE,"6";#N/A,#N/A,TRUE,"7"}</definedName>
    <definedName name="ㅂㅈㄷㄷ" hidden="1">{#N/A,#N/A,TRUE,"토적및재료집계";#N/A,#N/A,TRUE,"토적및재료집계";#N/A,#N/A,TRUE,"단위량"}</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붕" hidden="1">{#N/A,#N/A,FALSE,"전력간선"}</definedName>
    <definedName name="배수" hidden="1">{#N/A,#N/A,FALSE,"월공사비집계표양식 (7)";#N/A,#N/A,FALSE,"월공사비집계표양식 (7)"}</definedName>
    <definedName name="배수공집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수로" hidden="1">{"'중기작업1'!$A$1:$V$18"}</definedName>
    <definedName name="백" hidden="1">{#N/A,#N/A,FALSE,"월공사비집계표양식 (7)";#N/A,#N/A,FALSE,"월공사비집계표양식 (7)"}</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hidden="1">{#N/A,#N/A,FALSE,"혼합골재"}</definedName>
    <definedName name="변경" hidden="1">{#N/A,#N/A,FALSE,"현장 NCR 분석";#N/A,#N/A,FALSE,"현장품질감사";#N/A,#N/A,FALSE,"현장품질감사"}</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복구단명" hidden="1">{#N/A,#N/A,TRUE,"토적및재료집계";#N/A,#N/A,TRUE,"토적및재료집계";#N/A,#N/A,TRUE,"단위량"}</definedName>
    <definedName name="복지" hidden="1">#REF!</definedName>
    <definedName name="본" hidden="1">#REF!</definedName>
    <definedName name="봉등비교" hidden="1">{#N/A,#N/A,FALSE,"CCTV"}</definedName>
    <definedName name="부" hidden="1">{#N/A,#N/A,FALSE,"현장 NCR 분석";#N/A,#N/A,FALSE,"현장품질감사";#N/A,#N/A,FALSE,"현장품질감사"}</definedName>
    <definedName name="부대1" hidden="1">{#N/A,#N/A,FALSE,"운반시간"}</definedName>
    <definedName name="부대공총괄수량집계" localSheetId="4" hidden="1">{#N/A,#N/A,FALSE,"2~8번"}</definedName>
    <definedName name="부대공총괄수량집계" hidden="1">{#N/A,#N/A,FALSE,"2~8번"}</definedName>
    <definedName name="부대부본" hidden="1">{#N/A,#N/A,FALSE,"토공2"}</definedName>
    <definedName name="부대원가" hidden="1">{#N/A,#N/A,FALSE,"배수2"}</definedName>
    <definedName name="부대원본" hidden="1">{#N/A,#N/A,FALSE,"토공2"}</definedName>
    <definedName name="부대원본1" hidden="1">{#N/A,#N/A,FALSE,"토공2"}</definedName>
    <definedName name="부대입찰서류작성" hidden="1">#N/A</definedName>
    <definedName name="부대토공" hidden="1">{#N/A,#N/A,FALSE,"구조2"}</definedName>
    <definedName name="부손익" hidden="1">{#N/A,#N/A,FALSE,"현장 NCR 분석";#N/A,#N/A,FALSE,"현장품질감사";#N/A,#N/A,FALSE,"현장품질감사"}</definedName>
    <definedName name="분" hidden="1">{#N/A,#N/A,FALSE,"이태원철근"}</definedName>
    <definedName name="분당협조" hidden="1">{#N/A,#N/A,FALSE,"이태원철근"}</definedName>
    <definedName name="뷰" hidden="1">{#N/A,#N/A,FALSE,"단가표지"}</definedName>
    <definedName name="비교표1" hidden="1">255</definedName>
    <definedName name="비목군집계" hidden="1">#REF!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{#N/A,#N/A,TRUE,"토적및재료집계";#N/A,#N/A,TRUE,"토적및재료집계";#N/A,#N/A,TRUE,"단위량"}</definedName>
    <definedName name="ㅅㄱㄷ" hidden="1">#REF!</definedName>
    <definedName name="ㅅㄱㄷ쇼" hidden="1">#REF!</definedName>
    <definedName name="ㅅㄱ됴ㅛ" hidden="1">#REF!</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굲유" hidden="1">{#N/A,#N/A,FALSE,"조골재"}</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hidden="1">#REF!</definedName>
    <definedName name="ㅅㅅㅅ" hidden="1">{#N/A,#N/A,FALSE,"조골재"}</definedName>
    <definedName name="사" hidden="1">#REF!</definedName>
    <definedName name="사급" hidden="1">{#N/A,#N/A,FALSE,"배수2"}</definedName>
    <definedName name="사랑합니다" hidden="1">{#N/A,#N/A,TRUE,"토적및재료집계";#N/A,#N/A,TRUE,"토적및재료집계";#N/A,#N/A,TRUE,"단위량"}</definedName>
    <definedName name="사진" hidden="1">{#N/A,#N/A,FALSE,"단가표지"}</definedName>
    <definedName name="산출근거44" hidden="1">{"'제10장(표)'!$A$5:$L$10"}</definedName>
    <definedName name="산출기초2" hidden="1">#REF!</definedName>
    <definedName name="산출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산출내역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삼호" hidden="1">{#N/A,#N/A,FALSE,"배수2"}</definedName>
    <definedName name="상수도2차" hidden="1">{#N/A,#N/A,FALSE,"결의서";#N/A,#N/A,FALSE,"내역서";#N/A,#N/A,FALSE,"도급예상";#N/A,#N/A,FALSE,"시방서"}</definedName>
    <definedName name="새공통" hidden="1">{#N/A,#N/A,FALSE,"이태원철근"}</definedName>
    <definedName name="석재받은의뢰업체" hidden="1">255</definedName>
    <definedName name="석항" hidden="1">{#N/A,#N/A,FALSE,"명세표"}</definedName>
    <definedName name="설" hidden="1">{#N/A,#N/A,TRUE,"총괄"}</definedName>
    <definedName name="설계내역서" hidden="1">{"'별표'!$N$220"}</definedName>
    <definedName name="설계대예산대비표" hidden="1">#REF!</definedName>
    <definedName name="설명" hidden="1">{#N/A,#N/A,FALSE,"부대1"}</definedName>
    <definedName name="설명서" hidden="1">{#N/A,#N/A,FALSE,"포장1";#N/A,#N/A,FALSE,"포장1"}</definedName>
    <definedName name="설변" hidden="1">{#N/A,#N/A,FALSE,"월공사비집계표양식 (7)";#N/A,#N/A,FALSE,"월공사비집계표양식 (7)"}</definedName>
    <definedName name="설비" hidden="1">{#N/A,#N/A,FALSE,"이태원철근"}</definedName>
    <definedName name="세륜세차" hidden="1">#REF!</definedName>
    <definedName name="셔ㅛ" hidden="1">{#N/A,#N/A,FALSE,"운반시간"}</definedName>
    <definedName name="소방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예산" hidden="1">{#N/A,#N/A,FALSE,"단가표지"}</definedName>
    <definedName name="소화갑지" hidden="1">{#N/A,#N/A,FALSE,"CCTV"}</definedName>
    <definedName name="손영주" hidden="1">{#N/A,#N/A,FALSE,"조골재"}</definedName>
    <definedName name="숏" hidden="1">#REF!</definedName>
    <definedName name="순위결정" hidden="1">{"'제10장(표)'!$A$5:$L$10"}</definedName>
    <definedName name="승용교" hidden="1">{#N/A,#N/A,FALSE,"2~8번"}</definedName>
    <definedName name="승인" hidden="1">{#N/A,#N/A,FALSE,"기안지";#N/A,#N/A,FALSE,"통신지"}</definedName>
    <definedName name="승인보고21차" hidden="1">{#N/A,#N/A,FALSE,"기안지";#N/A,#N/A,FALSE,"통신지"}</definedName>
    <definedName name="시멘트골재집계" hidden="1">#REF!</definedName>
    <definedName name="시행" hidden="1">{#N/A,#N/A,FALSE,"이태원철근"}</definedName>
    <definedName name="시행결의갑" hidden="1">{#N/A,#N/A,FALSE,"혼합골재"}</definedName>
    <definedName name="식재이식삽도" hidden="1">{#N/A,#N/A,FALSE,"운반시간"}</definedName>
    <definedName name="신설" hidden="1">{#N/A,#N/A,FALSE,"명세표"}</definedName>
    <definedName name="신호등" hidden="1">{#N/A,#N/A,FALSE,"신청통보";#N/A,#N/A,FALSE,"기성확인서";#N/A,#N/A,FALSE,"기성내역서"}</definedName>
    <definedName name="ㅇ" hidden="1">#REF!</definedName>
    <definedName name="ㅇㄴ" hidden="1">{#N/A,#N/A,FALSE,"2~8번"}</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ㄹㄴㄹㄹ" hidden="1">{#N/A,#N/A,FALSE,"운반시간"}</definedName>
    <definedName name="ㅇㄴㄹㅇㄴ" hidden="1">#REF!</definedName>
    <definedName name="ㅇㄴㄻ" hidden="1">{#N/A,#N/A,FALSE,"표지목차"}</definedName>
    <definedName name="ㅇㄴㄻㄴㅇ" hidden="1">{#N/A,#N/A,FALSE,"표지목차"}</definedName>
    <definedName name="ㅇㄴㅁ" hidden="1">#REF!</definedName>
    <definedName name="ㅇㄴㅇㄹ" hidden="1">#REF!</definedName>
    <definedName name="ㅇㄴㅇㄹㄴㅁ" hidden="1">#REF!</definedName>
    <definedName name="ㅇㄴㅇㅇ" hidden="1">#REF!</definedName>
    <definedName name="ㅇㄴㅊ" hidden="1">#REF!</definedName>
    <definedName name="ㅇㄹ" hidden="1">#REF!</definedName>
    <definedName name="ㅇㄹㄴㄹ" hidden="1">#REF!</definedName>
    <definedName name="ㅇㄹㄴㅁㅇㄹ" hidden="1">#REF!</definedName>
    <definedName name="ㅇㄹㄹ" hidden="1">#REF!</definedName>
    <definedName name="ㅇㄹㄹㄴㅇㄹㅇㄹㄴㅇ" hidden="1">#REF!</definedName>
    <definedName name="ㅇㄹㄹㄹㄹㄹㄹ" hidden="1">{#N/A,#N/A,FALSE,"표지목차"}</definedName>
    <definedName name="ㅇㄹㄹㅇ" hidden="1">{#N/A,#N/A,FALSE,"2~8번"}</definedName>
    <definedName name="ㅇㄹㅇ" hidden="1">{#N/A,#N/A,FALSE,"운반시간"}</definedName>
    <definedName name="ㅇㄹㅇㄹ" hidden="1">#REF!</definedName>
    <definedName name="ㅇㄹㅇㅁㄴㄹㅇ" hidden="1">#REF!</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러ㅣㄴ이ㅏ러ㅣ" hidden="1">{#N/A,#N/A,FALSE,"Sheet1"}</definedName>
    <definedName name="ㅇㄻㅇㄻㄴㄹ" hidden="1">{#N/A,#N/A,FALSE,"단가표지"}</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ㅁㅇㅁㅇ" hidden="1">{#N/A,#N/A,FALSE,"단가표지"}</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ㅁㄴㄹㅇ" hidden="1">#REF!</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ㄹㅇㅁㄴㄹ" hidden="1">{#N/A,#N/A,FALSE,"표지목차"}</definedName>
    <definedName name="ㅇㅁㄻ" hidden="1">{#N/A,#N/A,FALSE,"Sheet1"}</definedName>
    <definedName name="ㅇㅁㄻㄴㄹ" hidden="1">{#N/A,#N/A,FALSE,"단가표지"}</definedName>
    <definedName name="ㅇㅇ" localSheetId="4" hidden="1">{#N/A,#N/A,FALSE,"배수2"}</definedName>
    <definedName name="ㅇㅇ" hidden="1">#REF!</definedName>
    <definedName name="ㅇㅇㄴㄴㅇㄹ" hidden="1">#REF!</definedName>
    <definedName name="ㅇㅇㄴㅇㄴ" hidden="1">#REF!</definedName>
    <definedName name="ㅇㅇㄴㅇㅁㅇㄴㄹ" hidden="1">#REF!</definedName>
    <definedName name="ㅇㅇㄹ" hidden="1">#REF!</definedName>
    <definedName name="ㅇㅇㄹㄹㅇ" hidden="1">#REF!</definedName>
    <definedName name="ㅇㅇㄹㄹㅇㄹ" hidden="1">#REF!</definedName>
    <definedName name="ㅇㅇㅇ" hidden="1">#REF!</definedName>
    <definedName name="ㅇㅇㅇㄴ" hidden="1">#REF!</definedName>
    <definedName name="ㅇㅇㅇㅇ" hidden="1">#REF!</definedName>
    <definedName name="ㅇㅇㅇㅇㅇㅇ" hidden="1">{#N/A,#N/A,FALSE,"조골재"}</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ㄷㅄㅂㅈㄷㄱ" hidden="1">#REF!</definedName>
    <definedName name="ㅇㅊㅍㅍㅊㅌㅍㅊㅌㅍㅌ" hidden="1">#REF!</definedName>
    <definedName name="ㅇ호" hidden="1">{#N/A,#N/A,FALSE,"혼합골재"}</definedName>
    <definedName name="아란" hidden="1">{#N/A,#N/A,FALSE,"혼합골재"}</definedName>
    <definedName name="아러ㅏ러" hidden="1">{"'Firr(선)'!$AS$1:$AY$62","'Firr(사)'!$AS$1:$AY$62","'Firr(회)'!$AS$1:$AY$62","'Firr(선)'!$L$1:$V$62","'Firr(사)'!$L$1:$V$62","'Firr(회)'!$L$1:$V$62"}</definedName>
    <definedName name="아무" hidden="1">{#N/A,#N/A,FALSE,"배수2"}</definedName>
    <definedName name="아무거나" hidden="1">{#N/A,#N/A,FALSE,"배수2"}</definedName>
    <definedName name="아스콘2" hidden="1">#N/A</definedName>
    <definedName name="아스콘깨기" hidden="1">{#N/A,#N/A,FALSE,"골재소요량";#N/A,#N/A,FALSE,"골재소요량"}</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원만남1" hidden="1">{#N/A,#N/A,TRUE,"토적및재료집계";#N/A,#N/A,TRUE,"토적및재료집계";#N/A,#N/A,TRUE,"단위량"}</definedName>
    <definedName name="아ㅏ" hidden="1">{#N/A,#N/A,FALSE,"조골재"}</definedName>
    <definedName name="아ㅓ림" hidden="1">{#N/A,#N/A,FALSE,"포장1";#N/A,#N/A,FALSE,"포장1"}</definedName>
    <definedName name="안전점검을" hidden="1">{#N/A,#N/A,FALSE,"결의서";#N/A,#N/A,FALSE,"내역서";#N/A,#N/A,FALSE,"도급예상";#N/A,#N/A,FALSE,"시방서"}</definedName>
    <definedName name="암거재료집계" hidden="1">{"'중기작업1'!$A$1:$V$18"}</definedName>
    <definedName name="앤" hidden="1">#REF!</definedName>
    <definedName name="양기용" hidden="1">{#N/A,#N/A,FALSE,"월공사비집계표양식 (7)";#N/A,#N/A,FALSE,"월공사비집계표양식 (7)"}</definedName>
    <definedName name="억이상" hidden="1">{#N/A,#N/A,FALSE,"2~8번"}</definedName>
    <definedName name="업" hidden="1">{#N/A,#N/A,FALSE,"포장2"}</definedName>
    <definedName name="업무배분3" hidden="1">{"'관경확장'!$A$79:$M$98","'관경확장'!$A$54:$M$78"}</definedName>
    <definedName name="업종" hidden="1">{#N/A,#N/A,FALSE,"포장2"}</definedName>
    <definedName name="업체" hidden="1">{#N/A,#N/A,FALSE,"구조2"}</definedName>
    <definedName name="업체순위" hidden="1">{#N/A,#N/A,FALSE,"배수2"}</definedName>
    <definedName name="업체형틀" hidden="1">{#N/A,#N/A,FALSE,"월공사비집계표양식 (7)";#N/A,#N/A,FALSE,"월공사비집계표양식 (7)"}</definedName>
    <definedName name="영산" hidden="1">{#N/A,#N/A,FALSE,"정산총괄 ";#N/A,#N/A,FALSE,"정산설명개착"}</definedName>
    <definedName name="예비" hidden="1">{#N/A,#N/A,TRUE,"토적및재료집계";#N/A,#N/A,TRUE,"토적및재료집계";#N/A,#N/A,TRUE,"단위량"}</definedName>
    <definedName name="예정가" hidden="1">{#N/A,#N/A,FALSE,"포장2"}</definedName>
    <definedName name="오" hidden="1">#REF!</definedName>
    <definedName name="옥외대비" hidden="1">{#N/A,#N/A,FALSE,"이태원철근"}</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수량집계표" hidden="1">{#N/A,#N/A,FALSE,"2~8번"}</definedName>
    <definedName name="옹벽수량집계표총괄" hidden="1">{#N/A,#N/A,FALSE,"혼합골재"}</definedName>
    <definedName name="완공3" hidden="1">#REF!</definedName>
    <definedName name="완도" hidden="1">{#N/A,#N/A,FALSE,"포장2"}</definedName>
    <definedName name="외주비" hidden="1">{#N/A,#N/A,FALSE,"기안지";#N/A,#N/A,FALSE,"통신지"}</definedName>
    <definedName name="외주비교" hidden="1">{#N/A,#N/A,FALSE,"결의서";#N/A,#N/A,FALSE,"내역서";#N/A,#N/A,FALSE,"도급예상";#N/A,#N/A,FALSE,"시방서"}</definedName>
    <definedName name="용용" hidden="1">{#N/A,#N/A,FALSE,"포장2"}</definedName>
    <definedName name="우ㅗ홓ㅇ" hidden="1">{#N/A,#N/A,FALSE,"조골재"}</definedName>
    <definedName name="운산" hidden="1">{#N/A,#N/A,FALSE,"혼합골재"}</definedName>
    <definedName name="원가" hidden="1">{#N/A,#N/A,FALSE,"운반시간"}</definedName>
    <definedName name="원가계산서3" hidden="1">{#N/A,#N/A,FALSE,"Sheet1"}</definedName>
    <definedName name="원남내역" hidden="1">#REF!</definedName>
    <definedName name="월드건설" hidden="1">{#N/A,#N/A,FALSE,"이태원철근"}</definedName>
    <definedName name="위연주" hidden="1">{#N/A,#N/A,FALSE,"조골재"}</definedName>
    <definedName name="위치도" hidden="1">{#N/A,#N/A,FALSE,"손익표지";#N/A,#N/A,FALSE,"손익계산";#N/A,#N/A,FALSE,"일반관리비";#N/A,#N/A,FALSE,"영업외수익";#N/A,#N/A,FALSE,"영업외비용";#N/A,#N/A,FALSE,"매출액";#N/A,#N/A,FALSE,"요약손익";#N/A,#N/A,FALSE,"요약대차";#N/A,#N/A,FALSE,"매출채권현황";#N/A,#N/A,FALSE,"매출채권명세"}</definedName>
    <definedName name="유문" hidden="1">{#N/A,#N/A,FALSE,"월공사비집계표양식 (7)";#N/A,#N/A,FALSE,"월공사비집계표양식 (7)"}</definedName>
    <definedName name="유지관" hidden="1">#REF!</definedName>
    <definedName name="윤동ㅎ" hidden="1">{#N/A,#N/A,FALSE,"손익표지";#N/A,#N/A,FALSE,"손익계산";#N/A,#N/A,FALSE,"일반관리비";#N/A,#N/A,FALSE,"영업외수익";#N/A,#N/A,FALSE,"영업외비용";#N/A,#N/A,FALSE,"매출액";#N/A,#N/A,FALSE,"요약손익";#N/A,#N/A,FALSE,"요약대차";#N/A,#N/A,FALSE,"매출채권현황";#N/A,#N/A,FALSE,"매출채권명세"}</definedName>
    <definedName name="윤창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행명" hidden="1">[1]주소록!$N$4:$N$27</definedName>
    <definedName name="을지1" hidden="1">{#N/A,#N/A,TRUE,"1";#N/A,#N/A,TRUE,"2";#N/A,#N/A,TRUE,"3";#N/A,#N/A,TRUE,"4";#N/A,#N/A,TRUE,"5";#N/A,#N/A,TRUE,"6";#N/A,#N/A,TRUE,"7"}</definedName>
    <definedName name="의" hidden="1">{#N/A,#N/A,FALSE,"운반시간"}</definedName>
    <definedName name="이가" hidden="1">{"'Firr(선)'!$AS$1:$AY$62","'Firr(사)'!$AS$1:$AY$62","'Firr(회)'!$AS$1:$AY$62","'Firr(선)'!$L$1:$V$62","'Firr(사)'!$L$1:$V$62","'Firr(회)'!$L$1:$V$62"}</definedName>
    <definedName name="이강" hidden="1">{#N/A,#N/A,FALSE,"월공사비집계표양식 (7)";#N/A,#N/A,FALSE,"월공사비집계표양식 (7)"}</definedName>
    <definedName name="이강환" hidden="1">{#N/A,#N/A,FALSE,"월공사비집계표양식 (7)";#N/A,#N/A,FALSE,"월공사비집계표양식 (7)"}</definedName>
    <definedName name="이른" hidden="1">{#N/A,#N/A,FALSE,"2~8번"}</definedName>
    <definedName name="이름" hidden="1">{#N/A,#N/A,FALSE,"구조1"}</definedName>
    <definedName name="이름표" hidden="1">{#N/A,#N/A,FALSE,"단가표지"}</definedName>
    <definedName name="이릉" hidden="1">#REF!</definedName>
    <definedName name="이잉" hidden="1">{#N/A,#N/A,TRUE,"토적및재료집계";#N/A,#N/A,TRUE,"토적및재료집계";#N/A,#N/A,TRUE,"단위량"}</definedName>
    <definedName name="이정" hidden="1">{#N/A,#N/A,FALSE,"2~8번"}</definedName>
    <definedName name="이종훈" hidden="1">#REF!</definedName>
    <definedName name="이ㅓ니ㅣㅓㅇ" hidden="1">0</definedName>
    <definedName name="이ㅣ" hidden="1">{#N/A,#N/A,FALSE,"노무비"}</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반가구" hidden="1">{#N/A,#N/A,FALSE,"현장 NCR 분석";#N/A,#N/A,FALSE,"현장품질감사";#N/A,#N/A,FALSE,"현장품질감사"}</definedName>
    <definedName name="일반부" hidden="1">{#N/A,#N/A,FALSE,"조골재"}</definedName>
    <definedName name="입찰금액안" hidden="1">#REF!</definedName>
    <definedName name="ㅈ" hidden="1">#REF!</definedName>
    <definedName name="ㅈㄱ" hidden="1">{#N/A,#N/A,FALSE,"조골재"}</definedName>
    <definedName name="ㅈㄷ" hidden="1">{#N/A,#N/A,FALSE,"혼합골재"}</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ㅈ" hidden="1">#REF!</definedName>
    <definedName name="ㅈㅈㅈ" hidden="1">{#N/A,#N/A,FALSE,"월공사비집계표양식 (7)";#N/A,#N/A,FALSE,"월공사비집계표양식 (7)"}</definedName>
    <definedName name="ㅈㅈㅈㅈ" hidden="1">{#N/A,#N/A,FALSE,"명세표"}</definedName>
    <definedName name="ㅈㅈㅈㅈㅈㅈ" localSheetId="4" hidden="1">{#N/A,#N/A,FALSE,"혼합골재"}</definedName>
    <definedName name="ㅈㅈㅈㅈㅈㅈ" hidden="1">{#N/A,#N/A,FALSE,"혼합골재"}</definedName>
    <definedName name="ㅈ자" hidden="1">{#N/A,#N/A,FALSE,"CCTV"}</definedName>
    <definedName name="자미" hidden="1">{#N/A,#N/A,FALSE,"명세표"}</definedName>
    <definedName name="자설용역" hidden="1">{#N/A,#N/A,FALSE,"CCTV"}</definedName>
    <definedName name="자재2" hidden="1">{#N/A,#N/A,FALSE,"구조2"}</definedName>
    <definedName name="자재단가근거" hidden="1">#REF!</definedName>
    <definedName name="자재비청구서" hidden="1">#N/A</definedName>
    <definedName name="장" hidden="1">{#N/A,#N/A,FALSE,"CCTV"}</definedName>
    <definedName name="장비비9월분" hidden="1">{#N/A,#N/A,FALSE,"골재소요량";#N/A,#N/A,FALSE,"골재소요량"}</definedName>
    <definedName name="장위" hidden="1">#REF!</definedName>
    <definedName name="전기1" hidden="1">#REF!</definedName>
    <definedName name="전기내역" hidden="1">{#N/A,#N/A,FALSE,"CCTV"}</definedName>
    <definedName name="전기마감" hidden="1">#REF!</definedName>
    <definedName name="전기특기조건" hidden="1">{#N/A,#N/A,FALSE,"현장 NCR 분석";#N/A,#N/A,FALSE,"현장품질감사";#N/A,#N/A,FALSE,"현장품질감사"}</definedName>
    <definedName name="전선관및접지내역서" hidden="1">#REF!</definedName>
    <definedName name="정" hidden="1">{#N/A,#N/A,TRUE,"수량총괄";#N/A,#N/A,TRUE,"공사비예산서";#N/A,#N/A,TRUE,"공사비예산서 (2)"}</definedName>
    <definedName name="정산수량" hidden="1">{#N/A,#N/A,TRUE,"수량총괄";#N/A,#N/A,TRUE,"공사비예산서";#N/A,#N/A,TRUE,"공사비예산서 (2)"}</definedName>
    <definedName name="정산표" hidden="1">{#N/A,#N/A,FALSE,"현장 NCR 분석";#N/A,#N/A,FALSE,"현장품질감사";#N/A,#N/A,FALSE,"현장품질감사"}</definedName>
    <definedName name="정협사랑" hidden="1">{#N/A,#N/A,TRUE,"토적및재료집계";#N/A,#N/A,TRUE,"토적및재료집계";#N/A,#N/A,TRUE,"단위량"}</definedName>
    <definedName name="정화조" hidden="1">{#N/A,#N/A,FALSE,"CCTV"}</definedName>
    <definedName name="제" hidden="1">#REF!</definedName>
    <definedName name="제수문" hidden="1">#REF!</definedName>
    <definedName name="조경공사" hidden="1">{#N/A,#N/A,FALSE,"갑지";#N/A,#N/A,FALSE,"개요";#N/A,#N/A,FALSE,"비목별";#N/A,#N/A,FALSE,"건물별";#N/A,#N/A,FALSE,"기구표";#N/A,#N/A,FALSE,"직원투입"}</definedName>
    <definedName name="조사가" hidden="1">#REF!</definedName>
    <definedName name="조차장" hidden="1">{#N/A,#N/A,FALSE,"명세표"}</definedName>
    <definedName name="조효" hidden="1">{"'Firr(선)'!$AS$1:$AY$62","'Firr(사)'!$AS$1:$AY$62","'Firr(회)'!$AS$1:$AY$62","'Firr(선)'!$L$1:$V$62","'Firr(사)'!$L$1:$V$62","'Firr(회)'!$L$1:$V$62"}</definedName>
    <definedName name="조효석" hidden="1">{"'Firr(선)'!$AS$1:$AY$62","'Firr(사)'!$AS$1:$AY$62","'Firr(회)'!$AS$1:$AY$62","'Firr(선)'!$L$1:$V$62","'Firr(사)'!$L$1:$V$62","'Firr(회)'!$L$1:$V$62"}</definedName>
    <definedName name="종" hidden="1">#REF!</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소록" hidden="1">[2]주소록!$A$3:$L$454</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증감내역" hidden="1">#REF!</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직종표" hidden="1">[1]주소록!$Q$4:$Q$542</definedName>
    <definedName name="진" hidden="1">{#N/A,#N/A,FALSE,"2~8번"}</definedName>
    <definedName name="진주" hidden="1">{#N/A,#N/A,FALSE,"배수1"}</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 hidden="1">{#N/A,#N/A,FALSE,"월공사비집계표양식 (7)";#N/A,#N/A,FALSE,"월공사비집계표양식 (7)"}</definedName>
    <definedName name="집계1" hidden="1">{#N/A,#N/A,FALSE,"토공2"}</definedName>
    <definedName name="집수정" hidden="1">{#N/A,#N/A,FALSE,"2~8번"}</definedName>
    <definedName name="집수정1" hidden="1">{#N/A,#N/A,FALSE,"배수1"}</definedName>
    <definedName name="집수정1최종" hidden="1">{#N/A,#N/A,FALSE,"2~8번"}</definedName>
    <definedName name="집수정토공산출" hidden="1">{#N/A,#N/A,FALSE,"2~8번"}</definedName>
    <definedName name="ㅊ추ㅜ" localSheetId="4" hidden="1">{#N/A,#N/A,FALSE,"구조2"}</definedName>
    <definedName name="ㅊ추ㅜ" hidden="1">{#N/A,#N/A,FALSE,"구조2"}</definedName>
    <definedName name="ㅊㅍ" localSheetId="4" hidden="1">{#N/A,#N/A,FALSE,"2~8번"}</definedName>
    <definedName name="ㅊㅍ" hidden="1">{#N/A,#N/A,FALSE,"2~8번"}</definedName>
    <definedName name="ㅊㅍㅋㅌㅊㅋ" hidden="1">{#N/A,#N/A,FALSE,"운반시간"}</definedName>
    <definedName name="ㅊㅍㅋㅌㅍㅌ" hidden="1">{#N/A,#N/A,FALSE,"혼합골재"}</definedName>
    <definedName name="차수별" hidden="1">{#N/A,#N/A,FALSE,"토공2"}</definedName>
    <definedName name="차차" hidden="1">#REF!</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골"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철골협의" hidden="1">{#N/A,#N/A,FALSE,"현장 NCR 분석";#N/A,#N/A,FALSE,"현장품질감사";#N/A,#N/A,FALSE,"현장품질감사"}</definedName>
    <definedName name="철근량" hidden="1">{#N/A,#N/A,FALSE,"전력간선"}</definedName>
    <definedName name="철콘부대외" hidden="1">{#N/A,#N/A,FALSE,"Sheet1"}</definedName>
    <definedName name="첫장" hidden="1">{#N/A,#N/A,TRUE,"총괄"}</definedName>
    <definedName name="총" hidden="1">{#N/A,#N/A,FALSE,"부대1"}</definedName>
    <definedName name="총공" hidden="1">{#N/A,#N/A,FALSE,"운반시간"}</definedName>
    <definedName name="총공사비2" hidden="1">{#N/A,#N/A,FALSE,"전력간선"}</definedName>
    <definedName name="총괄내역" hidden="1">{#N/A,#N/A,TRUE,"총괄"}</definedName>
    <definedName name="총괄내역서" hidden="1">{#N/A,#N/A,TRUE,"총괄"}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깍기" hidden="1">{#N/A,#N/A,FALSE,"조골재"}</definedName>
    <definedName name="추정" hidden="1">{#N/A,#N/A,FALSE,"포장2"}</definedName>
    <definedName name="충주" hidden="1">#REF!</definedName>
    <definedName name="측구단수L옹벽형" hidden="1">#REF!</definedName>
    <definedName name="칤" hidden="1">#REF!</definedName>
    <definedName name="ㅋ" hidden="1">{#N/A,#N/A,FALSE,"조골재"}</definedName>
    <definedName name="ㅋㅁ" hidden="1">{#N/A,#N/A,FALSE,"명세표"}</definedName>
    <definedName name="ㅋㅋ"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ㅋㅋㅋ" hidden="1">{#N/A,#N/A,FALSE,"단가표지"}</definedName>
    <definedName name="ㅋ쿠ㅜ" localSheetId="4" hidden="1">{#N/A,#N/A,FALSE,"2~8번"}</definedName>
    <definedName name="ㅋ쿠ㅜ" hidden="1">{#N/A,#N/A,FALSE,"2~8번"}</definedName>
    <definedName name="케이블간지" hidden="1">{#N/A,#N/A,TRUE,"토적및재료집계";#N/A,#N/A,TRUE,"토적및재료집계";#N/A,#N/A,TRUE,"단위량"}</definedName>
    <definedName name="콘크리트2" hidden="1">#REF!</definedName>
    <definedName name="콘크리트깨기" hidden="1">{"'중기작업1'!$A$1:$V$18"}</definedName>
    <definedName name="ㅌ" hidden="1">{#N/A,#N/A,FALSE,"2~8번"}</definedName>
    <definedName name="ㅌㅁㅋ" hidden="1">#REF!</definedName>
    <definedName name="ㅌㅊㅀ" hidden="1">{#N/A,#N/A,FALSE,"운반시간"}</definedName>
    <definedName name="ㅌㅌ" localSheetId="4" hidden="1">{#N/A,#N/A,FALSE,"2~8번"}</definedName>
    <definedName name="ㅌㅌ" hidden="1">#REF!</definedName>
    <definedName name="ㅌ투ㅜ" localSheetId="4" hidden="1">{#N/A,#N/A,FALSE,"골재소요량";#N/A,#N/A,FALSE,"골재소요량"}</definedName>
    <definedName name="ㅌ투ㅜ" hidden="1">{#N/A,#N/A,FALSE,"골재소요량";#N/A,#N/A,FALSE,"골재소요량"}</definedName>
    <definedName name="ㅌㅍ츛ㅌ" hidden="1">{#N/A,#N/A,FALSE,"운반시간"}</definedName>
    <definedName name="탈" hidden="1">{#N/A,#N/A,FALSE,"CCTV"}</definedName>
    <definedName name="태영지급" hidden="1">{#N/A,#N/A,FALSE,"부대1"}</definedName>
    <definedName name="테스크" hidden="1">{#N/A,#N/A,FALSE,"단가표지"}</definedName>
    <definedName name="테스트" hidden="1">#REF!</definedName>
    <definedName name="토" hidden="1">#REF!</definedName>
    <definedName name="토공" hidden="1">{#N/A,#N/A,FALSE,"포장2"}</definedName>
    <definedName name="토공11" hidden="1">{#N/A,#N/A,FALSE,"포장2"}</definedName>
    <definedName name="토공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견적" hidden="1">{#N/A,#N/A,FALSE,"골재소요량";#N/A,#N/A,FALSE,"골재소요량"}</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토적계산" hidden="1">#REF!</definedName>
    <definedName name="토적집계1" hidden="1">{#N/A,#N/A,TRUE,"토적및재료집계";#N/A,#N/A,TRUE,"토적및재료집계";#N/A,#N/A,TRUE,"단위량"}</definedName>
    <definedName name="토적집계2" hidden="1">{#N/A,#N/A,TRUE,"토적및재료집계";#N/A,#N/A,TRUE,"토적및재료집계";#N/A,#N/A,TRUE,"단위량"}</definedName>
    <definedName name="토적표" hidden="1">#REF!</definedName>
    <definedName name="토출조" hidden="1">{"'중기작업1'!$A$1:$V$18"}</definedName>
    <definedName name="통관총괄" hidden="1">#REF!</definedName>
    <definedName name="투3" hidden="1">{#N/A,#N/A,FALSE,"배수2"}</definedName>
    <definedName name="투찰표" hidden="1">{#N/A,#N/A,FALSE,"부대1"}</definedName>
    <definedName name="ㅍ" hidden="1">{#N/A,#N/A,FALSE,"2~8번"}</definedName>
    <definedName name="ㅍㄴㄹ" hidden="1">#REF!</definedName>
    <definedName name="ㅍㅊㅊㅊ" localSheetId="4" hidden="1">{#N/A,#N/A,FALSE,"운반시간"}</definedName>
    <definedName name="ㅍㅊㅊㅊ" hidden="1">{#N/A,#N/A,FALSE,"운반시간"}</definedName>
    <definedName name="ㅍㅊㅊㅍㅊㅍㅍㅊㅊㅍ" hidden="1">#REF!</definedName>
    <definedName name="ㅍㅊㅊㅍㅍㅊㅊㅍ" hidden="1">#REF!</definedName>
    <definedName name="ㅍㅊㅌ" hidden="1">#REF!</definedName>
    <definedName name="ㅍㅊㅍㅊ" hidden="1">#REF!</definedName>
    <definedName name="ㅍㅊㅍㅍㅊㅊ" hidden="1">#REF!</definedName>
    <definedName name="ㅍ춫" hidden="1">{#N/A,#N/A,FALSE,"골재소요량";#N/A,#N/A,FALSE,"골재소요량"}</definedName>
    <definedName name="ㅍ츝" hidden="1">{#N/A,#N/A,FALSE,"표지목차"}</definedName>
    <definedName name="ㅍㅍ" localSheetId="4" hidden="1">{#N/A,#N/A,FALSE,"단가표지"}</definedName>
    <definedName name="ㅍㅍ" hidden="1">{#N/A,#N/A,TRUE,"토적및재료집계";#N/A,#N/A,TRUE,"토적및재료집계";#N/A,#N/A,TRUE,"단위량"}</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#REF!</definedName>
    <definedName name="ㅍㅍㅍㅍ" hidden="1">#REF!</definedName>
    <definedName name="ㅍㅍㅍㅍㅍ" hidden="1">#REF!</definedName>
    <definedName name="파일" hidden="1">#REF!</definedName>
    <definedName name="팔" hidden="1">#REF!</definedName>
    <definedName name="페이지" hidden="1">{"'Firr(선)'!$AS$1:$AY$62","'Firr(사)'!$AS$1:$AY$62","'Firr(회)'!$AS$1:$AY$62","'Firr(선)'!$L$1:$V$62","'Firr(사)'!$L$1:$V$62","'Firr(회)'!$L$1:$V$62"}</definedName>
    <definedName name="평당단가" hidden="1">#REF!</definedName>
    <definedName name="포장" hidden="1">{#N/A,#N/A,FALSE,"포장2"}</definedName>
    <definedName name="표석" hidden="1">{#N/A,#N/A,FALSE,"구조2"}</definedName>
    <definedName name="표지" hidden="1">#REF!</definedName>
    <definedName name="표지2" hidden="1">#REF!</definedName>
    <definedName name="표지3" hidden="1">{"'관경확장'!$A$79:$M$98","'관경확장'!$A$54:$M$78"}</definedName>
    <definedName name="표지5" hidden="1">{#N/A,#N/A,FALSE,"Sheet1"}</definedName>
    <definedName name="품의서" hidden="1">{#N/A,#N/A,FALSE,"혼합골재"}</definedName>
    <definedName name="피로티" hidden="1">{#N/A,#N/A,FALSE,"이태원철근"}</definedName>
    <definedName name="피로티1" hidden="1">{#N/A,#N/A,FALSE,"이태원철근"}</definedName>
    <definedName name="ㅎ5" hidden="1">{#N/A,#N/A,FALSE,"골재소요량";#N/A,#N/A,FALSE,"골재소요량"}</definedName>
    <definedName name="ㅎㄴ" hidden="1">{#N/A,#N/A,FALSE,"단가표지"}</definedName>
    <definedName name="ㅎ노ㅠ" hidden="1">{#N/A,#N/A,FALSE,"배수1"}</definedName>
    <definedName name="ㅎㄶ" hidden="1">{#N/A,#N/A,FALSE,"속도"}</definedName>
    <definedName name="ㅎㄷ" hidden="1">#REF!</definedName>
    <definedName name="ㅎㄹㄴㅇ" hidden="1">{#N/A,#N/A,FALSE,"단가표지"}</definedName>
    <definedName name="ㅎㄹㅇㄴ" hidden="1">{#N/A,#N/A,FALSE,"골재소요량";#N/A,#N/A,FALSE,"골재소요량"}</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ㅇㅀㅁㅇ" hidden="1">{#N/A,#N/A,FALSE,"단가표지"}</definedName>
    <definedName name="ㅎㅁㅇㅀㅁㅇㅎㅁ" hidden="1">{#N/A,#N/A,FALSE,"단가표지"}</definedName>
    <definedName name="ㅎㅇㄴ" hidden="1">{#N/A,#N/A,FALSE,"단가표지"}</definedName>
    <definedName name="ㅎㅇㄶㅇㄴ" hidden="1">#REF!</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ㅎ" hidden="1">#REF!</definedName>
    <definedName name="ㅎㅎㅎㅎ" localSheetId="4" hidden="1">{#N/A,#N/A,FALSE,"부대2"}</definedName>
    <definedName name="ㅎㅎㅎㅎ" hidden="1">{#N/A,#N/A,FALSE,"부대2"}</definedName>
    <definedName name="ㅎㅎㅎㅎㅎㅎ" localSheetId="4" hidden="1">{#N/A,#N/A,FALSE,"포장1";#N/A,#N/A,FALSE,"포장1"}</definedName>
    <definedName name="ㅎㅎㅎㅎㅎㅎ" hidden="1">{#N/A,#N/A,FALSE,"포장1";#N/A,#N/A,FALSE,"포장1"}</definedName>
    <definedName name="하다" hidden="1">{#N/A,#N/A,FALSE,"골재소요량";#N/A,#N/A,FALSE,"골재소요량"}</definedName>
    <definedName name="하도급통" hidden="1">{#N/A,#N/A,FALSE,"혼합골재"}</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상유지공" hidden="1">{#N/A,#N/A,FALSE,"배수1"}</definedName>
    <definedName name="하하하" hidden="1">{#N/A,#N/A,FALSE,"단가표지"}</definedName>
    <definedName name="하한선" hidden="1">{#N/A,#N/A,FALSE,"배수2"}</definedName>
    <definedName name="학교" hidden="1">{#N/A,#N/A,FALSE,"2~8번"}</definedName>
    <definedName name="학교는간다" hidden="1">{#N/A,#N/A,FALSE,"단가표지"}</definedName>
    <definedName name="한" hidden="1">#REF!</definedName>
    <definedName name="한동" hidden="1">{#N/A,#N/A,FALSE,"단가표지"}</definedName>
    <definedName name="한동1" hidden="1">{#N/A,#N/A,FALSE,"단가표지"}</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 hidden="1">{#N/A,#N/A,FALSE,"포장2"}</definedName>
    <definedName name="현장" hidden="1">{#N/A,#N/A,FALSE,"CCTV"}</definedName>
    <definedName name="현장운영비산출" hidden="1">#REF!</definedName>
    <definedName name="현조" hidden="1">#REF!</definedName>
    <definedName name="협" hidden="1">{#N/A,#N/A,FALSE,"배수2"}</definedName>
    <definedName name="협력" hidden="1">{#N/A,#N/A,FALSE,"포장2"}</definedName>
    <definedName name="협력업체" hidden="1">{#N/A,#N/A,FALSE,"포장2"}</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형틀업체" hidden="1">{#N/A,#N/A,FALSE,"월공사비집계표양식 (7)";#N/A,#N/A,FALSE,"월공사비집계표양식 (7)"}</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우" hidden="1">{#N/A,#N/A,FALSE,"표지목차"}</definedName>
    <definedName name="호우ㅗ" hidden="1">{#N/A,#N/A,FALSE,"단가표지"}</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호호" hidden="1">{#N/A,#N/A,FALSE,"명세표"}</definedName>
    <definedName name="호ㅓㅎ" hidden="1">{#N/A,#N/A,FALSE,"표지목차"}</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ㅕㅏ6ㅅ서ㅛㅓ" hidden="1">#REF!</definedName>
    <definedName name="혼ㄹ" hidden="1">{#N/A,#N/A,FALSE,"운반시간"}</definedName>
    <definedName name="홀ㄴㄺㅅ" hidden="1">{#N/A,#N/A,FALSE,"단가표지"}</definedName>
    <definedName name="홀ㄹㄹㄹㄹㄹㄹㄹㄹ" hidden="1">{#N/A,#N/A,FALSE,"단가표지"}</definedName>
    <definedName name="홓" hidden="1">{#N/A,#N/A,FALSE,"조골재"}</definedName>
    <definedName name="홓렁호ㅓ호" hidden="1">{#N/A,#N/A,FALSE,"단가표지"}</definedName>
    <definedName name="홓로" hidden="1">{#N/A,#N/A,FALSE,"단가표지"}</definedName>
    <definedName name="화허호ㅓ" hidden="1">{#N/A,#N/A,FALSE,"조골재"}</definedName>
    <definedName name="확역서1" hidden="1">#REF!</definedName>
    <definedName name="환" hidden="1">{#N/A,#N/A,FALSE,"월공사비집계표양식 (7)";#N/A,#N/A,FALSE,"월공사비집계표양식 (7)"}</definedName>
    <definedName name="효석" hidden="1">{"'Firr(선)'!$AS$1:$AY$62","'Firr(사)'!$AS$1:$AY$62","'Firr(회)'!$AS$1:$AY$62","'Firr(선)'!$L$1:$V$62","'Firr(사)'!$L$1:$V$62","'Firr(회)'!$L$1:$V$62"}</definedName>
    <definedName name="ㅏ" hidden="1">{#N/A,#N/A,FALSE,"운반시간"}</definedName>
    <definedName name="ㅏ1" hidden="1">#REF!</definedName>
    <definedName name="ㅏ허화" hidden="1">{#N/A,#N/A,FALSE,"골재소요량";#N/A,#N/A,FALSE,"골재소요량"}</definedName>
    <definedName name="ㅏㅏㅏ"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ㅏ" hidden="1">{#N/A,#N/A,FALSE,"2~8번"}</definedName>
    <definedName name="ㅏㅓ" hidden="1">{#N/A,#N/A,FALSE,"골재소요량";#N/A,#N/A,FALSE,"골재소요량"}</definedName>
    <definedName name="ㅏㅓ화호" hidden="1">{#N/A,#N/A,FALSE,"단가표지"}</definedName>
    <definedName name="ㅏㅓㅏ" hidden="1">{#N/A,#N/A,FALSE,"단가표지"}</definedName>
    <definedName name="ㅏㅓㅏㅓ" hidden="1">{#N/A,#N/A,FALSE,"2~8번"}</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ㅕ라ㅕ" hidden="1">#REF!</definedName>
    <definedName name="ㅏㅗㅓㅏ화호" hidden="1">{#N/A,#N/A,FALSE,"표지목차"}</definedName>
    <definedName name="ㅏㅣ" hidden="1">{#N/A,#N/A,FALSE,"단가표지"}</definedName>
    <definedName name="ㅐ" hidden="1">{#N/A,#N/A,FALSE,"이태원철근"}</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ㅑ" hidden="1">{#N/A,#N/A,FALSE,"조골재"}</definedName>
    <definedName name="ㅓ" hidden="1">{#N/A,#N/A,FALSE,"이태원철근"}</definedName>
    <definedName name="ㅓ7" hidden="1">{#N/A,#N/A,FALSE,"단가표지"}</definedName>
    <definedName name="ㅓ가거" hidden="1">{#N/A,#N/A,FALSE,"단가표지"}</definedName>
    <definedName name="ㅓㄴㄱ" hidden="1">#REF!</definedName>
    <definedName name="ㅓㄴㅇ러" hidden="1">{#N/A,#N/A,FALSE,"골재소요량";#N/A,#N/A,FALSE,"골재소요량"}</definedName>
    <definedName name="ㅓ롤" hidden="1">{#N/A,#N/A,FALSE,"골재소요량";#N/A,#N/A,FALSE,"골재소요량"}</definedName>
    <definedName name="ㅓㅇㄴ" hidden="1">{#N/A,#N/A,FALSE,"단가표지"}</definedName>
    <definedName name="ㅓㅇ호ㅓㅇ호ㅓㅇ허" hidden="1">{#N/A,#N/A,FALSE,"표지목차"}</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 hidden="1">{#N/A,#N/A,FALSE,"골재소요량";#N/A,#N/A,FALSE,"골재소요량"}</definedName>
    <definedName name="ㅓㅏ호" hidden="1">{#N/A,#N/A,FALSE,"단가표지"}</definedName>
    <definedName name="ㅓㅏ호ㅓ" hidden="1">{#N/A,#N/A,FALSE,"단가표지"}</definedName>
    <definedName name="ㅓㅏㅓ" hidden="1">{#N/A,#N/A,FALSE,"조골재"}</definedName>
    <definedName name="ㅓㅏㅗ하ㅗㅓㅎ" hidden="1">{#N/A,#N/A,FALSE,"혼합골재"}</definedName>
    <definedName name="ㅓㅓㅓㅓㅓ" localSheetId="4" hidden="1">{#N/A,#N/A,FALSE,"운반시간"}</definedName>
    <definedName name="ㅓㅓㅓㅓㅓ" hidden="1">{#N/A,#N/A,FALSE,"운반시간"}</definedName>
    <definedName name="ㅓㅓㅓㅓㅓㅓㅓㅓ" localSheetId="4" hidden="1">{#N/A,#N/A,FALSE,"포장2"}</definedName>
    <definedName name="ㅓㅓㅓㅓㅓㅓㅓㅓ" hidden="1">{#N/A,#N/A,FALSE,"포장2"}</definedName>
    <definedName name="ㅓㅓㅗ" hidden="1">{#N/A,#N/A,FALSE,"조골재"}</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hidden="1">{#N/A,#N/A,FALSE,"2~8번"}</definedName>
    <definedName name="ㅓㅗㅗ" hidden="1">{#N/A,#N/A,FALSE,"단가표지"}</definedName>
    <definedName name="ㅓㅗㅗㅗ" hidden="1">{#N/A,#N/A,FALSE,"골재소요량";#N/A,#N/A,FALSE,"골재소요량"}</definedName>
    <definedName name="ㅔ" hidden="1">{#N/A,#N/A,FALSE,"이태원철근"}</definedName>
    <definedName name="ㅔ3" hidden="1">{#N/A,#N/A,FALSE,"배수1"}</definedName>
    <definedName name="ㅔㅔ" hidden="1">#REF!</definedName>
    <definedName name="ㅕㅓㅑㅓ" hidden="1">{#N/A,#N/A,FALSE,"단가표지"}</definedName>
    <definedName name="ㅕㅕㅑ" hidden="1">#REF!</definedName>
    <definedName name="ㅕㅕㅕ" hidden="1">{#N/A,#N/A,FALSE,"표지"}</definedName>
    <definedName name="ㅗ" hidden="1">{#N/A,#N/A,FALSE,"이태원철근"}</definedName>
    <definedName name="ㅗㄹㄶ" hidden="1">{#N/A,#N/A,FALSE,"조골재"}</definedName>
    <definedName name="ㅗㅅㄱ" hidden="1">{#N/A,#N/A,TRUE,"토적및재료집계";#N/A,#N/A,TRUE,"토적및재료집계";#N/A,#N/A,TRUE,"단위량"}</definedName>
    <definedName name="ㅗ옹" hidden="1">{"'제조(순번)'!$A$386:$A$387","'제조(순번)'!$A$1:$H$399"}</definedName>
    <definedName name="ㅗㅎ" hidden="1">{#N/A,#N/A,FALSE,"운반시간"}</definedName>
    <definedName name="ㅗㅎㄴ" hidden="1">{#N/A,#N/A,FALSE,"골재소요량";#N/A,#N/A,FALSE,"골재소요량"}</definedName>
    <definedName name="ㅗㅎㄴㄹ" hidden="1">{#N/A,#N/A,FALSE,"단가표지"}</definedName>
    <definedName name="ㅗㅎ로ㅜ" hidden="1">{#N/A,#N/A,FALSE,"운반시간"}</definedName>
    <definedName name="ㅗㅎ론ㄹ" hidden="1">{#N/A,#N/A,FALSE,"표지목차"}</definedName>
    <definedName name="ㅗㅎ롯홋ㄱ" hidden="1">{#N/A,#N/A,FALSE,"혼합골재"}</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허ㅗ" hidden="1">{#N/A,#N/A,FALSE,"단가표지"}</definedName>
    <definedName name="ㅗ호" hidden="1">{#N/A,#N/A,FALSE,"조골재"}</definedName>
    <definedName name="ㅗㅓ" hidden="1">{#N/A,#N/A,FALSE,"조골재"}</definedName>
    <definedName name="ㅗㅓ쇼ㅓㅕㄷ쇼ㅓㅕㄷㅅ" hidden="1">{#N/A,#N/A,FALSE,"단가표지"}</definedName>
    <definedName name="ㅗㅓㅎ로ㅓㅎㄹ" hidden="1">{#N/A,#N/A,FALSE,"표지목차"}</definedName>
    <definedName name="ㅗㅓㅗ" hidden="1">{#N/A,#N/A,FALSE,"골재소요량";#N/A,#N/A,FALSE,"골재소요량"}</definedName>
    <definedName name="ㅗㅗ" hidden="1">{#N/A,#N/A,FALSE,"명세표"}</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ㅗㅗㅗㅗㅗ" localSheetId="4" hidden="1">{#N/A,#N/A,FALSE,"속도"}</definedName>
    <definedName name="ㅗㅗㅗㅗㅗ" hidden="1">{#N/A,#N/A,FALSE,"속도"}</definedName>
    <definedName name="ㅗㅠㅍ" hidden="1">{#N/A,#N/A,FALSE,"혼합골재"}</definedName>
    <definedName name="ㅘㅗ허ㅎ" hidden="1">#REF!</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hidden="1">{#N/A,#N/A,FALSE,"이태원철근"}</definedName>
    <definedName name="ㅛㅛ" localSheetId="4" hidden="1">{#N/A,#N/A,FALSE,"배수1"}</definedName>
    <definedName name="ㅛㅛ" hidden="1">{#N/A,#N/A,FALSE,"배수1"}</definedName>
    <definedName name="ㅛㅛㅛㅛ" hidden="1">#REF!</definedName>
    <definedName name="ㅜ" hidden="1">{#N/A,#N/A,FALSE,"조골재"}</definedName>
    <definedName name="ㅜㄴㄱ" hidden="1">{#N/A,#N/A,FALSE,"운반시간"}</definedName>
    <definedName name="ㅜㄹ윤" hidden="1">{#N/A,#N/A,FALSE,"단가표지"}</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ㅅㄱㄴ" hidden="1">{#N/A,#N/A,FALSE,"단가표지"}</definedName>
    <definedName name="ㅜㅗㅇㅎㅌ" hidden="1">{#N/A,#N/A,FALSE,"단가표지"}</definedName>
    <definedName name="ㅜㅗㅇ훟" hidden="1">{#N/A,#N/A,FALSE,"단가표지"}</definedName>
    <definedName name="ㅜㅗㅗㅗㅇㅎ" hidden="1">{#N/A,#N/A,FALSE,"운반시간"}</definedName>
    <definedName name="ㅜㅜㅜㅜㅜㅜ" localSheetId="4" hidden="1">{#N/A,#N/A,FALSE,"2~8번"}</definedName>
    <definedName name="ㅜㅜㅜㅜㅜㅜ" hidden="1">{#N/A,#N/A,FALSE,"2~8번"}</definedName>
    <definedName name="ㅜㅠ푸" hidden="1">{#N/A,#N/A,FALSE,"운반시간"}</definedName>
    <definedName name="ㅜㅠㅠ" hidden="1">{#N/A,#N/A,FALSE,"골재소요량";#N/A,#N/A,FALSE,"골재소요량"}</definedName>
    <definedName name="ㅜㅡㅡㅡ" hidden="1">{#N/A,#N/A,FALSE,"단가표지"}</definedName>
    <definedName name="ㅝㅎㄹ" hidden="1">{#N/A,#N/A,FALSE,"단가표지"}</definedName>
    <definedName name="ㅠ" localSheetId="4" hidden="1">{#N/A,#N/A,FALSE,"단가표지"}</definedName>
    <definedName name="ㅠ" hidden="1">{#N/A,#N/A,FALSE,"이태원철근"}</definedName>
    <definedName name="ㅠㄱㅇ" hidden="1">#REF!</definedName>
    <definedName name="ㅠㄴ" hidden="1">{#N/A,#N/A,FALSE,"조골재"}</definedName>
    <definedName name="ㅠㄴㅀㅎ" hidden="1">#REF!</definedName>
    <definedName name="ㅠㄷㅁㄴ" hidden="1">#REF!</definedName>
    <definedName name="ㅠㄹㅇㄴㄴㄹㅇ" hidden="1">{#N/A,#N/A,FALSE,"단가표지"}</definedName>
    <definedName name="ㅠㅁㄹㅇㄹ" hidden="1">#REF!</definedName>
    <definedName name="ㅠ뮤ㅐ" hidden="1">#REF!</definedName>
    <definedName name="ㅠㅇㅁㄹㅇㅁ" hidden="1">#REF!</definedName>
    <definedName name="ㅠㅊㅌ큐" hidden="1">#REF!</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ㄷㄴ" hidden="1">#REF!</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ㅠ" hidden="1">#REF!</definedName>
    <definedName name="ㅠㅠㅠ" hidden="1">#REF!</definedName>
    <definedName name="ㅡ" hidden="1">{#N/A,#N/A,FALSE,"2~8번"}</definedName>
    <definedName name="ㅡㅋ" localSheetId="4" hidden="1">{#N/A,#N/A,FALSE,"2~8번"}</definedName>
    <definedName name="ㅡㅋ" hidden="1">{#N/A,#N/A,FALSE,"2~8번"}</definedName>
    <definedName name="ㅡㅡ" hidden="1">{#N/A,#N/A,FALSE,"명세표"}</definedName>
    <definedName name="ㅣ허ㅏㅣ하" hidden="1">{#N/A,#N/A,FALSE,"혼합골재"}</definedName>
    <definedName name="ㅣ허ㅣ호ㅓㅏ" hidden="1">{#N/A,#N/A,FALSE,"조골재"}</definedName>
    <definedName name="ㅣㅏ허ㅏ허ㅏ허ㅏ" hidden="1">{#N/A,#N/A,FALSE,"단가표지"}</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ㅏㅚㅗㅓ" hidden="1">#REF!</definedName>
    <definedName name="ㅣㅏㅣㅏ" hidden="1">{#N/A,#N/A,FALSE,"손익표지";#N/A,#N/A,FALSE,"손익계산";#N/A,#N/A,FALSE,"일반관리비";#N/A,#N/A,FALSE,"영업외수익";#N/A,#N/A,FALSE,"영업외비용";#N/A,#N/A,FALSE,"매출액";#N/A,#N/A,FALSE,"요약손익";#N/A,#N/A,FALSE,"요약대차";#N/A,#N/A,FALSE,"매출채권현황";#N/A,#N/A,FALSE,"매출채권명세"}</definedName>
    <definedName name="ㅣㅑㅑ" hidden="1">{#N/A,#N/A,FALSE,"단가표지"}</definedName>
    <definedName name="ㅣㅓㅏ허" hidden="1">{#N/A,#N/A,FALSE,"운반시간"}</definedName>
    <definedName name="ㅣㅓㅏ허ㅏㅣ허ㅏㅓ" hidden="1">{#N/A,#N/A,FALSE,"운반시간"}</definedName>
    <definedName name="ㅣㅚㅓㅏ" hidden="1">{#N/A,#N/A,FALSE,"단가표지"}</definedName>
    <definedName name="ㅣㅣㅣㅣ" hidden="1">#REF!</definedName>
    <definedName name="ㅣㅣㅣㅣㅣ" hidden="1">#REF!</definedName>
    <definedName name="ㅣㅣㅣㅣㅣㅣ" hidden="1">#REF!</definedName>
  </definedNames>
  <calcPr calcId="191029"/>
</workbook>
</file>

<file path=xl/calcChain.xml><?xml version="1.0" encoding="utf-8"?>
<calcChain xmlns="http://schemas.openxmlformats.org/spreadsheetml/2006/main">
  <c r="I100" i="5" l="1"/>
  <c r="I99" i="5"/>
  <c r="I98" i="5"/>
  <c r="I97" i="5"/>
  <c r="I96" i="5"/>
  <c r="AZ27" i="194" l="1"/>
  <c r="AZ25" i="194"/>
  <c r="AZ23" i="194"/>
  <c r="AZ21" i="194"/>
  <c r="C21" i="194" l="1"/>
  <c r="C25" i="194"/>
  <c r="G25" i="194"/>
  <c r="C26" i="194"/>
  <c r="G26" i="194"/>
  <c r="J26" i="194"/>
  <c r="C27" i="194"/>
  <c r="G27" i="194"/>
  <c r="C28" i="194"/>
  <c r="G28" i="194"/>
  <c r="J28" i="194"/>
  <c r="C29" i="194"/>
  <c r="G29" i="194"/>
  <c r="C30" i="194"/>
  <c r="G30" i="194"/>
  <c r="J30" i="194"/>
  <c r="C31" i="194"/>
  <c r="G31" i="194"/>
  <c r="C32" i="194"/>
  <c r="G32" i="194"/>
  <c r="J32" i="194"/>
  <c r="AZ7" i="194"/>
  <c r="AZ11" i="194"/>
  <c r="AZ13" i="194"/>
  <c r="AZ15" i="194"/>
  <c r="AZ19" i="194"/>
  <c r="AZ17" i="194"/>
  <c r="AD154" i="194" l="1"/>
  <c r="AC154" i="194"/>
  <c r="AB154" i="194"/>
  <c r="AA154" i="194"/>
  <c r="Z154" i="194"/>
  <c r="Y154" i="194"/>
  <c r="X154" i="194"/>
  <c r="W154" i="194"/>
  <c r="V154" i="194"/>
  <c r="U154" i="194"/>
  <c r="T154" i="194"/>
  <c r="S154" i="194"/>
  <c r="R154" i="194"/>
  <c r="Q154" i="194"/>
  <c r="P154" i="194"/>
  <c r="O154" i="194"/>
  <c r="AD153" i="194"/>
  <c r="AC153" i="194"/>
  <c r="AB153" i="194"/>
  <c r="AA153" i="194"/>
  <c r="Z153" i="194"/>
  <c r="Y153" i="194"/>
  <c r="X153" i="194"/>
  <c r="W153" i="194"/>
  <c r="V153" i="194"/>
  <c r="U153" i="194"/>
  <c r="T153" i="194"/>
  <c r="S153" i="194"/>
  <c r="R153" i="194"/>
  <c r="Q153" i="194"/>
  <c r="P153" i="194"/>
  <c r="O153" i="194"/>
  <c r="CB152" i="194"/>
  <c r="CA152" i="194"/>
  <c r="BZ152" i="194"/>
  <c r="BY152" i="194"/>
  <c r="BX152" i="194"/>
  <c r="BW152" i="194"/>
  <c r="BV152" i="194"/>
  <c r="BU152" i="194"/>
  <c r="BT152" i="194"/>
  <c r="BS152" i="194"/>
  <c r="BR152" i="194"/>
  <c r="BQ152" i="194"/>
  <c r="BP152" i="194"/>
  <c r="BO152" i="194"/>
  <c r="BN152" i="194"/>
  <c r="BM152" i="194"/>
  <c r="BD152" i="194"/>
  <c r="AE152" i="194"/>
  <c r="AH151" i="194" s="1"/>
  <c r="J152" i="194"/>
  <c r="G152" i="194"/>
  <c r="C152" i="194"/>
  <c r="CD151" i="194"/>
  <c r="CB151" i="194"/>
  <c r="CA151" i="194"/>
  <c r="BZ151" i="194"/>
  <c r="BY151" i="194"/>
  <c r="BX151" i="194"/>
  <c r="BW151" i="194"/>
  <c r="BV151" i="194"/>
  <c r="BU151" i="194"/>
  <c r="BT151" i="194"/>
  <c r="BS151" i="194"/>
  <c r="BR151" i="194"/>
  <c r="BQ151" i="194"/>
  <c r="BP151" i="194"/>
  <c r="BO151" i="194"/>
  <c r="BN151" i="194"/>
  <c r="BM151" i="194"/>
  <c r="BA151" i="194"/>
  <c r="B152" i="194" s="1"/>
  <c r="AE151" i="194"/>
  <c r="AN151" i="194" s="1"/>
  <c r="AN152" i="194" s="1"/>
  <c r="G151" i="194"/>
  <c r="C151" i="194"/>
  <c r="AQ152" i="194" s="1"/>
  <c r="CB150" i="194"/>
  <c r="CA150" i="194"/>
  <c r="BZ150" i="194"/>
  <c r="BY150" i="194"/>
  <c r="BX150" i="194"/>
  <c r="BW150" i="194"/>
  <c r="BV150" i="194"/>
  <c r="BU150" i="194"/>
  <c r="BT150" i="194"/>
  <c r="BS150" i="194"/>
  <c r="BR150" i="194"/>
  <c r="BQ150" i="194"/>
  <c r="BP150" i="194"/>
  <c r="BO150" i="194"/>
  <c r="BN150" i="194"/>
  <c r="BM150" i="194"/>
  <c r="BD150" i="194"/>
  <c r="AE150" i="194"/>
  <c r="AH149" i="194" s="1"/>
  <c r="J150" i="194"/>
  <c r="G150" i="194"/>
  <c r="C150" i="194"/>
  <c r="CD149" i="194"/>
  <c r="CB149" i="194"/>
  <c r="CA149" i="194"/>
  <c r="BZ149" i="194"/>
  <c r="BY149" i="194"/>
  <c r="BX149" i="194"/>
  <c r="BW149" i="194"/>
  <c r="BV149" i="194"/>
  <c r="BU149" i="194"/>
  <c r="BT149" i="194"/>
  <c r="BS149" i="194"/>
  <c r="BR149" i="194"/>
  <c r="BQ149" i="194"/>
  <c r="BP149" i="194"/>
  <c r="BO149" i="194"/>
  <c r="BN149" i="194"/>
  <c r="BM149" i="194"/>
  <c r="BA149" i="194"/>
  <c r="BA150" i="194" s="1"/>
  <c r="AE149" i="194"/>
  <c r="AN149" i="194" s="1"/>
  <c r="AN150" i="194" s="1"/>
  <c r="G149" i="194"/>
  <c r="C149" i="194"/>
  <c r="CB148" i="194"/>
  <c r="CA148" i="194"/>
  <c r="BZ148" i="194"/>
  <c r="BY148" i="194"/>
  <c r="BX148" i="194"/>
  <c r="BW148" i="194"/>
  <c r="BV148" i="194"/>
  <c r="BU148" i="194"/>
  <c r="BT148" i="194"/>
  <c r="BS148" i="194"/>
  <c r="BR148" i="194"/>
  <c r="BQ148" i="194"/>
  <c r="BP148" i="194"/>
  <c r="BO148" i="194"/>
  <c r="BN148" i="194"/>
  <c r="BM148" i="194"/>
  <c r="BD148" i="194"/>
  <c r="AE148" i="194"/>
  <c r="AH147" i="194" s="1"/>
  <c r="J148" i="194"/>
  <c r="G148" i="194"/>
  <c r="C148" i="194"/>
  <c r="CD147" i="194"/>
  <c r="CB147" i="194"/>
  <c r="CA147" i="194"/>
  <c r="BZ147" i="194"/>
  <c r="BY147" i="194"/>
  <c r="BX147" i="194"/>
  <c r="BW147" i="194"/>
  <c r="BV147" i="194"/>
  <c r="BU147" i="194"/>
  <c r="BT147" i="194"/>
  <c r="BS147" i="194"/>
  <c r="BR147" i="194"/>
  <c r="BQ147" i="194"/>
  <c r="BP147" i="194"/>
  <c r="BO147" i="194"/>
  <c r="BN147" i="194"/>
  <c r="BM147" i="194"/>
  <c r="BA147" i="194"/>
  <c r="BA148" i="194" s="1"/>
  <c r="AE147" i="194"/>
  <c r="AN147" i="194" s="1"/>
  <c r="AN148" i="194" s="1"/>
  <c r="G147" i="194"/>
  <c r="C147" i="194"/>
  <c r="CB146" i="194"/>
  <c r="CA146" i="194"/>
  <c r="BZ146" i="194"/>
  <c r="BY146" i="194"/>
  <c r="BX146" i="194"/>
  <c r="BW146" i="194"/>
  <c r="BV146" i="194"/>
  <c r="BU146" i="194"/>
  <c r="BT146" i="194"/>
  <c r="BS146" i="194"/>
  <c r="BR146" i="194"/>
  <c r="BQ146" i="194"/>
  <c r="BP146" i="194"/>
  <c r="BO146" i="194"/>
  <c r="BN146" i="194"/>
  <c r="BM146" i="194"/>
  <c r="BD146" i="194"/>
  <c r="AE146" i="194"/>
  <c r="AH145" i="194" s="1"/>
  <c r="J146" i="194"/>
  <c r="G146" i="194"/>
  <c r="C146" i="194"/>
  <c r="CD145" i="194"/>
  <c r="CB145" i="194"/>
  <c r="CA145" i="194"/>
  <c r="BZ145" i="194"/>
  <c r="BY145" i="194"/>
  <c r="BX145" i="194"/>
  <c r="BW145" i="194"/>
  <c r="BV145" i="194"/>
  <c r="BU145" i="194"/>
  <c r="BT145" i="194"/>
  <c r="BS145" i="194"/>
  <c r="BR145" i="194"/>
  <c r="BQ145" i="194"/>
  <c r="BP145" i="194"/>
  <c r="BO145" i="194"/>
  <c r="BN145" i="194"/>
  <c r="BM145" i="194"/>
  <c r="BA145" i="194"/>
  <c r="BA146" i="194" s="1"/>
  <c r="AE145" i="194"/>
  <c r="AN145" i="194" s="1"/>
  <c r="AN146" i="194" s="1"/>
  <c r="G145" i="194"/>
  <c r="C145" i="194"/>
  <c r="CB144" i="194"/>
  <c r="CA144" i="194"/>
  <c r="BZ144" i="194"/>
  <c r="BY144" i="194"/>
  <c r="BX144" i="194"/>
  <c r="BW144" i="194"/>
  <c r="BV144" i="194"/>
  <c r="BU144" i="194"/>
  <c r="BT144" i="194"/>
  <c r="BS144" i="194"/>
  <c r="BR144" i="194"/>
  <c r="BQ144" i="194"/>
  <c r="BP144" i="194"/>
  <c r="BO144" i="194"/>
  <c r="BN144" i="194"/>
  <c r="BM144" i="194"/>
  <c r="BD144" i="194"/>
  <c r="AE144" i="194"/>
  <c r="AH143" i="194" s="1"/>
  <c r="J144" i="194"/>
  <c r="G144" i="194"/>
  <c r="C144" i="194"/>
  <c r="CD143" i="194"/>
  <c r="CB143" i="194"/>
  <c r="CA143" i="194"/>
  <c r="BZ143" i="194"/>
  <c r="BY143" i="194"/>
  <c r="BX143" i="194"/>
  <c r="BW143" i="194"/>
  <c r="BV143" i="194"/>
  <c r="BU143" i="194"/>
  <c r="BT143" i="194"/>
  <c r="BS143" i="194"/>
  <c r="BR143" i="194"/>
  <c r="BQ143" i="194"/>
  <c r="BP143" i="194"/>
  <c r="BO143" i="194"/>
  <c r="BN143" i="194"/>
  <c r="BM143" i="194"/>
  <c r="BA143" i="194"/>
  <c r="BA144" i="194" s="1"/>
  <c r="AE143" i="194"/>
  <c r="AN143" i="194" s="1"/>
  <c r="AN144" i="194" s="1"/>
  <c r="G143" i="194"/>
  <c r="C143" i="194"/>
  <c r="CB142" i="194"/>
  <c r="CA142" i="194"/>
  <c r="BZ142" i="194"/>
  <c r="BY142" i="194"/>
  <c r="BX142" i="194"/>
  <c r="BW142" i="194"/>
  <c r="BV142" i="194"/>
  <c r="BU142" i="194"/>
  <c r="BT142" i="194"/>
  <c r="BS142" i="194"/>
  <c r="BR142" i="194"/>
  <c r="BQ142" i="194"/>
  <c r="BP142" i="194"/>
  <c r="BO142" i="194"/>
  <c r="BN142" i="194"/>
  <c r="BM142" i="194"/>
  <c r="BD142" i="194"/>
  <c r="AE142" i="194"/>
  <c r="AH141" i="194" s="1"/>
  <c r="J142" i="194"/>
  <c r="G142" i="194"/>
  <c r="C142" i="194"/>
  <c r="CD141" i="194"/>
  <c r="CB141" i="194"/>
  <c r="CA141" i="194"/>
  <c r="BZ141" i="194"/>
  <c r="BY141" i="194"/>
  <c r="BX141" i="194"/>
  <c r="BW141" i="194"/>
  <c r="BV141" i="194"/>
  <c r="BU141" i="194"/>
  <c r="BT141" i="194"/>
  <c r="BS141" i="194"/>
  <c r="BR141" i="194"/>
  <c r="BQ141" i="194"/>
  <c r="BP141" i="194"/>
  <c r="BO141" i="194"/>
  <c r="BN141" i="194"/>
  <c r="BM141" i="194"/>
  <c r="BA141" i="194"/>
  <c r="BA142" i="194" s="1"/>
  <c r="AE141" i="194"/>
  <c r="AN141" i="194" s="1"/>
  <c r="AN142" i="194" s="1"/>
  <c r="G141" i="194"/>
  <c r="C141" i="194"/>
  <c r="AQ142" i="194" s="1"/>
  <c r="CB140" i="194"/>
  <c r="CA140" i="194"/>
  <c r="BZ140" i="194"/>
  <c r="BY140" i="194"/>
  <c r="BX140" i="194"/>
  <c r="BW140" i="194"/>
  <c r="BV140" i="194"/>
  <c r="BU140" i="194"/>
  <c r="BT140" i="194"/>
  <c r="BS140" i="194"/>
  <c r="BR140" i="194"/>
  <c r="BQ140" i="194"/>
  <c r="BP140" i="194"/>
  <c r="BO140" i="194"/>
  <c r="BN140" i="194"/>
  <c r="BM140" i="194"/>
  <c r="BD140" i="194"/>
  <c r="AE140" i="194"/>
  <c r="AH139" i="194" s="1"/>
  <c r="J140" i="194"/>
  <c r="G140" i="194"/>
  <c r="C140" i="194"/>
  <c r="CD139" i="194"/>
  <c r="CB139" i="194"/>
  <c r="CA139" i="194"/>
  <c r="BZ139" i="194"/>
  <c r="BY139" i="194"/>
  <c r="BX139" i="194"/>
  <c r="BW139" i="194"/>
  <c r="BV139" i="194"/>
  <c r="BU139" i="194"/>
  <c r="BT139" i="194"/>
  <c r="BS139" i="194"/>
  <c r="BR139" i="194"/>
  <c r="BQ139" i="194"/>
  <c r="BP139" i="194"/>
  <c r="BO139" i="194"/>
  <c r="BN139" i="194"/>
  <c r="BM139" i="194"/>
  <c r="BA139" i="194"/>
  <c r="B140" i="194" s="1"/>
  <c r="AE139" i="194"/>
  <c r="AN139" i="194" s="1"/>
  <c r="AN140" i="194" s="1"/>
  <c r="G139" i="194"/>
  <c r="C139" i="194"/>
  <c r="AQ140" i="194" s="1"/>
  <c r="CB138" i="194"/>
  <c r="CA138" i="194"/>
  <c r="BZ138" i="194"/>
  <c r="BY138" i="194"/>
  <c r="BX138" i="194"/>
  <c r="BW138" i="194"/>
  <c r="BV138" i="194"/>
  <c r="BU138" i="194"/>
  <c r="BT138" i="194"/>
  <c r="BS138" i="194"/>
  <c r="BR138" i="194"/>
  <c r="BQ138" i="194"/>
  <c r="BP138" i="194"/>
  <c r="BO138" i="194"/>
  <c r="BN138" i="194"/>
  <c r="BM138" i="194"/>
  <c r="BD138" i="194"/>
  <c r="AE138" i="194"/>
  <c r="AH137" i="194" s="1"/>
  <c r="J138" i="194"/>
  <c r="G138" i="194"/>
  <c r="C138" i="194"/>
  <c r="CD137" i="194"/>
  <c r="CB137" i="194"/>
  <c r="CA137" i="194"/>
  <c r="BZ137" i="194"/>
  <c r="BY137" i="194"/>
  <c r="BX137" i="194"/>
  <c r="BW137" i="194"/>
  <c r="BV137" i="194"/>
  <c r="BU137" i="194"/>
  <c r="BT137" i="194"/>
  <c r="BS137" i="194"/>
  <c r="BR137" i="194"/>
  <c r="BQ137" i="194"/>
  <c r="BP137" i="194"/>
  <c r="BO137" i="194"/>
  <c r="BN137" i="194"/>
  <c r="BM137" i="194"/>
  <c r="BA137" i="194"/>
  <c r="BA138" i="194" s="1"/>
  <c r="AE137" i="194"/>
  <c r="AN137" i="194" s="1"/>
  <c r="AN138" i="194" s="1"/>
  <c r="G137" i="194"/>
  <c r="C137" i="194"/>
  <c r="BD137" i="194" s="1"/>
  <c r="CB136" i="194"/>
  <c r="CA136" i="194"/>
  <c r="BZ136" i="194"/>
  <c r="BY136" i="194"/>
  <c r="BX136" i="194"/>
  <c r="BW136" i="194"/>
  <c r="BV136" i="194"/>
  <c r="BU136" i="194"/>
  <c r="BT136" i="194"/>
  <c r="BS136" i="194"/>
  <c r="BR136" i="194"/>
  <c r="BQ136" i="194"/>
  <c r="BP136" i="194"/>
  <c r="BO136" i="194"/>
  <c r="BN136" i="194"/>
  <c r="BM136" i="194"/>
  <c r="BD136" i="194"/>
  <c r="AE136" i="194"/>
  <c r="AH135" i="194" s="1"/>
  <c r="J136" i="194"/>
  <c r="G136" i="194"/>
  <c r="C136" i="194"/>
  <c r="CD135" i="194"/>
  <c r="CB135" i="194"/>
  <c r="CA135" i="194"/>
  <c r="BZ135" i="194"/>
  <c r="BY135" i="194"/>
  <c r="BX135" i="194"/>
  <c r="BW135" i="194"/>
  <c r="BV135" i="194"/>
  <c r="BU135" i="194"/>
  <c r="BT135" i="194"/>
  <c r="BS135" i="194"/>
  <c r="BR135" i="194"/>
  <c r="BQ135" i="194"/>
  <c r="BP135" i="194"/>
  <c r="BO135" i="194"/>
  <c r="BN135" i="194"/>
  <c r="BM135" i="194"/>
  <c r="BA135" i="194"/>
  <c r="AE135" i="194"/>
  <c r="AN135" i="194" s="1"/>
  <c r="AN136" i="194" s="1"/>
  <c r="G135" i="194"/>
  <c r="C135" i="194"/>
  <c r="AQ136" i="194" s="1"/>
  <c r="CB134" i="194"/>
  <c r="CA134" i="194"/>
  <c r="BZ134" i="194"/>
  <c r="BY134" i="194"/>
  <c r="BX134" i="194"/>
  <c r="BW134" i="194"/>
  <c r="BV134" i="194"/>
  <c r="BU134" i="194"/>
  <c r="BT134" i="194"/>
  <c r="BS134" i="194"/>
  <c r="BR134" i="194"/>
  <c r="BQ134" i="194"/>
  <c r="BP134" i="194"/>
  <c r="BO134" i="194"/>
  <c r="BN134" i="194"/>
  <c r="BM134" i="194"/>
  <c r="BD134" i="194"/>
  <c r="AE134" i="194"/>
  <c r="AH133" i="194" s="1"/>
  <c r="J134" i="194"/>
  <c r="G134" i="194"/>
  <c r="C134" i="194"/>
  <c r="CD133" i="194"/>
  <c r="CB133" i="194"/>
  <c r="CA133" i="194"/>
  <c r="BZ133" i="194"/>
  <c r="BY133" i="194"/>
  <c r="BX133" i="194"/>
  <c r="BW133" i="194"/>
  <c r="BV133" i="194"/>
  <c r="BU133" i="194"/>
  <c r="BT133" i="194"/>
  <c r="BS133" i="194"/>
  <c r="BR133" i="194"/>
  <c r="BQ133" i="194"/>
  <c r="BP133" i="194"/>
  <c r="BO133" i="194"/>
  <c r="BN133" i="194"/>
  <c r="BM133" i="194"/>
  <c r="BA133" i="194"/>
  <c r="BA134" i="194" s="1"/>
  <c r="AE133" i="194"/>
  <c r="AN133" i="194" s="1"/>
  <c r="AN134" i="194" s="1"/>
  <c r="G133" i="194"/>
  <c r="C133" i="194"/>
  <c r="CB132" i="194"/>
  <c r="CA132" i="194"/>
  <c r="BZ132" i="194"/>
  <c r="BY132" i="194"/>
  <c r="BX132" i="194"/>
  <c r="BW132" i="194"/>
  <c r="BV132" i="194"/>
  <c r="BU132" i="194"/>
  <c r="BT132" i="194"/>
  <c r="BS132" i="194"/>
  <c r="BR132" i="194"/>
  <c r="BQ132" i="194"/>
  <c r="BP132" i="194"/>
  <c r="BO132" i="194"/>
  <c r="BN132" i="194"/>
  <c r="BM132" i="194"/>
  <c r="BD132" i="194"/>
  <c r="AE132" i="194"/>
  <c r="AH131" i="194" s="1"/>
  <c r="J132" i="194"/>
  <c r="G132" i="194"/>
  <c r="C132" i="194"/>
  <c r="CD131" i="194"/>
  <c r="CB131" i="194"/>
  <c r="CA131" i="194"/>
  <c r="BZ131" i="194"/>
  <c r="BY131" i="194"/>
  <c r="BX131" i="194"/>
  <c r="BW131" i="194"/>
  <c r="BV131" i="194"/>
  <c r="BU131" i="194"/>
  <c r="BT131" i="194"/>
  <c r="BS131" i="194"/>
  <c r="BR131" i="194"/>
  <c r="BQ131" i="194"/>
  <c r="BP131" i="194"/>
  <c r="BO131" i="194"/>
  <c r="BN131" i="194"/>
  <c r="BM131" i="194"/>
  <c r="BA131" i="194"/>
  <c r="BA132" i="194" s="1"/>
  <c r="AE131" i="194"/>
  <c r="AN131" i="194" s="1"/>
  <c r="AN132" i="194" s="1"/>
  <c r="G131" i="194"/>
  <c r="C131" i="194"/>
  <c r="AQ132" i="194" s="1"/>
  <c r="CB130" i="194"/>
  <c r="CA130" i="194"/>
  <c r="BZ130" i="194"/>
  <c r="BY130" i="194"/>
  <c r="BX130" i="194"/>
  <c r="BW130" i="194"/>
  <c r="BV130" i="194"/>
  <c r="BU130" i="194"/>
  <c r="BT130" i="194"/>
  <c r="BS130" i="194"/>
  <c r="BR130" i="194"/>
  <c r="BQ130" i="194"/>
  <c r="BP130" i="194"/>
  <c r="BO130" i="194"/>
  <c r="BN130" i="194"/>
  <c r="BM130" i="194"/>
  <c r="BD130" i="194"/>
  <c r="AE130" i="194"/>
  <c r="AH129" i="194" s="1"/>
  <c r="J130" i="194"/>
  <c r="G130" i="194"/>
  <c r="C130" i="194"/>
  <c r="CD129" i="194"/>
  <c r="CB129" i="194"/>
  <c r="CA129" i="194"/>
  <c r="BZ129" i="194"/>
  <c r="BY129" i="194"/>
  <c r="BX129" i="194"/>
  <c r="BW129" i="194"/>
  <c r="BV129" i="194"/>
  <c r="BU129" i="194"/>
  <c r="BT129" i="194"/>
  <c r="BS129" i="194"/>
  <c r="BR129" i="194"/>
  <c r="BQ129" i="194"/>
  <c r="BP129" i="194"/>
  <c r="BO129" i="194"/>
  <c r="BN129" i="194"/>
  <c r="BM129" i="194"/>
  <c r="BA129" i="194"/>
  <c r="B130" i="194" s="1"/>
  <c r="AE129" i="194"/>
  <c r="AN129" i="194" s="1"/>
  <c r="AN130" i="194" s="1"/>
  <c r="G129" i="194"/>
  <c r="C129" i="194"/>
  <c r="BD129" i="194" s="1"/>
  <c r="CB128" i="194"/>
  <c r="CA128" i="194"/>
  <c r="BZ128" i="194"/>
  <c r="BY128" i="194"/>
  <c r="BX128" i="194"/>
  <c r="BW128" i="194"/>
  <c r="BV128" i="194"/>
  <c r="BU128" i="194"/>
  <c r="BT128" i="194"/>
  <c r="BS128" i="194"/>
  <c r="BR128" i="194"/>
  <c r="BQ128" i="194"/>
  <c r="BP128" i="194"/>
  <c r="BO128" i="194"/>
  <c r="BN128" i="194"/>
  <c r="BM128" i="194"/>
  <c r="BD128" i="194"/>
  <c r="AE128" i="194"/>
  <c r="AH127" i="194" s="1"/>
  <c r="J128" i="194"/>
  <c r="G128" i="194"/>
  <c r="C128" i="194"/>
  <c r="CD127" i="194"/>
  <c r="CB127" i="194"/>
  <c r="CA127" i="194"/>
  <c r="BZ127" i="194"/>
  <c r="BY127" i="194"/>
  <c r="BX127" i="194"/>
  <c r="BW127" i="194"/>
  <c r="BV127" i="194"/>
  <c r="BU127" i="194"/>
  <c r="BT127" i="194"/>
  <c r="BS127" i="194"/>
  <c r="BR127" i="194"/>
  <c r="BQ127" i="194"/>
  <c r="BP127" i="194"/>
  <c r="BO127" i="194"/>
  <c r="BN127" i="194"/>
  <c r="BM127" i="194"/>
  <c r="BA127" i="194"/>
  <c r="BA128" i="194" s="1"/>
  <c r="AE127" i="194"/>
  <c r="AN127" i="194" s="1"/>
  <c r="AN128" i="194" s="1"/>
  <c r="G127" i="194"/>
  <c r="C127" i="194"/>
  <c r="AQ128" i="194" s="1"/>
  <c r="CB126" i="194"/>
  <c r="CA126" i="194"/>
  <c r="BZ126" i="194"/>
  <c r="BY126" i="194"/>
  <c r="BX126" i="194"/>
  <c r="BW126" i="194"/>
  <c r="BV126" i="194"/>
  <c r="BU126" i="194"/>
  <c r="BT126" i="194"/>
  <c r="BS126" i="194"/>
  <c r="BR126" i="194"/>
  <c r="BQ126" i="194"/>
  <c r="BP126" i="194"/>
  <c r="BO126" i="194"/>
  <c r="BN126" i="194"/>
  <c r="BM126" i="194"/>
  <c r="BD126" i="194"/>
  <c r="AE126" i="194"/>
  <c r="AH125" i="194" s="1"/>
  <c r="J126" i="194"/>
  <c r="G126" i="194"/>
  <c r="C126" i="194"/>
  <c r="CD125" i="194"/>
  <c r="CB125" i="194"/>
  <c r="CA125" i="194"/>
  <c r="BZ125" i="194"/>
  <c r="BY125" i="194"/>
  <c r="BX125" i="194"/>
  <c r="BW125" i="194"/>
  <c r="BV125" i="194"/>
  <c r="BU125" i="194"/>
  <c r="BT125" i="194"/>
  <c r="BS125" i="194"/>
  <c r="BR125" i="194"/>
  <c r="BQ125" i="194"/>
  <c r="BP125" i="194"/>
  <c r="BO125" i="194"/>
  <c r="BN125" i="194"/>
  <c r="BM125" i="194"/>
  <c r="BA125" i="194"/>
  <c r="BA126" i="194" s="1"/>
  <c r="AE125" i="194"/>
  <c r="AN125" i="194" s="1"/>
  <c r="AN126" i="194" s="1"/>
  <c r="G125" i="194"/>
  <c r="C125" i="194"/>
  <c r="AQ126" i="194" s="1"/>
  <c r="CB124" i="194"/>
  <c r="CA124" i="194"/>
  <c r="BZ124" i="194"/>
  <c r="BY124" i="194"/>
  <c r="BX124" i="194"/>
  <c r="BW124" i="194"/>
  <c r="BV124" i="194"/>
  <c r="BU124" i="194"/>
  <c r="BT124" i="194"/>
  <c r="BS124" i="194"/>
  <c r="BR124" i="194"/>
  <c r="BQ124" i="194"/>
  <c r="BP124" i="194"/>
  <c r="BO124" i="194"/>
  <c r="BN124" i="194"/>
  <c r="BM124" i="194"/>
  <c r="BD124" i="194"/>
  <c r="AE124" i="194"/>
  <c r="AH123" i="194" s="1"/>
  <c r="J124" i="194"/>
  <c r="G124" i="194"/>
  <c r="C124" i="194"/>
  <c r="CD123" i="194"/>
  <c r="CB123" i="194"/>
  <c r="CA123" i="194"/>
  <c r="BZ123" i="194"/>
  <c r="BY123" i="194"/>
  <c r="BX123" i="194"/>
  <c r="BW123" i="194"/>
  <c r="BV123" i="194"/>
  <c r="BU123" i="194"/>
  <c r="BT123" i="194"/>
  <c r="BS123" i="194"/>
  <c r="BR123" i="194"/>
  <c r="BQ123" i="194"/>
  <c r="BP123" i="194"/>
  <c r="BO123" i="194"/>
  <c r="BN123" i="194"/>
  <c r="BM123" i="194"/>
  <c r="BA123" i="194"/>
  <c r="AE123" i="194"/>
  <c r="AN123" i="194" s="1"/>
  <c r="AN124" i="194" s="1"/>
  <c r="G123" i="194"/>
  <c r="C123" i="194"/>
  <c r="BD123" i="194" s="1"/>
  <c r="CB122" i="194"/>
  <c r="CA122" i="194"/>
  <c r="BZ122" i="194"/>
  <c r="BY122" i="194"/>
  <c r="BX122" i="194"/>
  <c r="BW122" i="194"/>
  <c r="BV122" i="194"/>
  <c r="BU122" i="194"/>
  <c r="BT122" i="194"/>
  <c r="BS122" i="194"/>
  <c r="BR122" i="194"/>
  <c r="BQ122" i="194"/>
  <c r="BP122" i="194"/>
  <c r="BO122" i="194"/>
  <c r="BN122" i="194"/>
  <c r="BM122" i="194"/>
  <c r="BD122" i="194"/>
  <c r="AE122" i="194"/>
  <c r="AH121" i="194" s="1"/>
  <c r="J122" i="194"/>
  <c r="G122" i="194"/>
  <c r="C122" i="194"/>
  <c r="CD121" i="194"/>
  <c r="CB121" i="194"/>
  <c r="CA121" i="194"/>
  <c r="BZ121" i="194"/>
  <c r="BY121" i="194"/>
  <c r="BX121" i="194"/>
  <c r="BW121" i="194"/>
  <c r="BV121" i="194"/>
  <c r="BU121" i="194"/>
  <c r="BT121" i="194"/>
  <c r="BS121" i="194"/>
  <c r="BR121" i="194"/>
  <c r="BQ121" i="194"/>
  <c r="BP121" i="194"/>
  <c r="BO121" i="194"/>
  <c r="BN121" i="194"/>
  <c r="BM121" i="194"/>
  <c r="BA121" i="194"/>
  <c r="AN121" i="194"/>
  <c r="AN122" i="194" s="1"/>
  <c r="AE121" i="194"/>
  <c r="G121" i="194"/>
  <c r="C121" i="194"/>
  <c r="CB120" i="194"/>
  <c r="CA120" i="194"/>
  <c r="BZ120" i="194"/>
  <c r="BY120" i="194"/>
  <c r="BX120" i="194"/>
  <c r="BW120" i="194"/>
  <c r="BV120" i="194"/>
  <c r="BU120" i="194"/>
  <c r="BT120" i="194"/>
  <c r="BS120" i="194"/>
  <c r="BR120" i="194"/>
  <c r="BQ120" i="194"/>
  <c r="BP120" i="194"/>
  <c r="BO120" i="194"/>
  <c r="BN120" i="194"/>
  <c r="BM120" i="194"/>
  <c r="BD120" i="194"/>
  <c r="AE120" i="194"/>
  <c r="AH119" i="194" s="1"/>
  <c r="J120" i="194"/>
  <c r="G120" i="194"/>
  <c r="C120" i="194"/>
  <c r="CD119" i="194"/>
  <c r="CB119" i="194"/>
  <c r="CA119" i="194"/>
  <c r="BZ119" i="194"/>
  <c r="BY119" i="194"/>
  <c r="BX119" i="194"/>
  <c r="BW119" i="194"/>
  <c r="BV119" i="194"/>
  <c r="BU119" i="194"/>
  <c r="BT119" i="194"/>
  <c r="BS119" i="194"/>
  <c r="BR119" i="194"/>
  <c r="BQ119" i="194"/>
  <c r="BP119" i="194"/>
  <c r="BO119" i="194"/>
  <c r="BN119" i="194"/>
  <c r="BM119" i="194"/>
  <c r="BA119" i="194"/>
  <c r="B120" i="194" s="1"/>
  <c r="AE119" i="194"/>
  <c r="AN119" i="194" s="1"/>
  <c r="AN120" i="194" s="1"/>
  <c r="G119" i="194"/>
  <c r="C119" i="194"/>
  <c r="AQ120" i="194" s="1"/>
  <c r="CB118" i="194"/>
  <c r="CA118" i="194"/>
  <c r="BZ118" i="194"/>
  <c r="BY118" i="194"/>
  <c r="BX118" i="194"/>
  <c r="BW118" i="194"/>
  <c r="BV118" i="194"/>
  <c r="BU118" i="194"/>
  <c r="BT118" i="194"/>
  <c r="BS118" i="194"/>
  <c r="BR118" i="194"/>
  <c r="BQ118" i="194"/>
  <c r="BP118" i="194"/>
  <c r="BO118" i="194"/>
  <c r="BN118" i="194"/>
  <c r="BM118" i="194"/>
  <c r="BD118" i="194"/>
  <c r="AE118" i="194"/>
  <c r="AH117" i="194" s="1"/>
  <c r="J118" i="194"/>
  <c r="G118" i="194"/>
  <c r="C118" i="194"/>
  <c r="CD117" i="194"/>
  <c r="CB117" i="194"/>
  <c r="CA117" i="194"/>
  <c r="BZ117" i="194"/>
  <c r="BY117" i="194"/>
  <c r="BX117" i="194"/>
  <c r="BW117" i="194"/>
  <c r="BV117" i="194"/>
  <c r="BU117" i="194"/>
  <c r="BT117" i="194"/>
  <c r="BS117" i="194"/>
  <c r="BR117" i="194"/>
  <c r="BQ117" i="194"/>
  <c r="BP117" i="194"/>
  <c r="BO117" i="194"/>
  <c r="BN117" i="194"/>
  <c r="BM117" i="194"/>
  <c r="BA117" i="194"/>
  <c r="B118" i="194" s="1"/>
  <c r="AE117" i="194"/>
  <c r="AN117" i="194" s="1"/>
  <c r="AN118" i="194" s="1"/>
  <c r="G117" i="194"/>
  <c r="C117" i="194"/>
  <c r="AQ118" i="194" s="1"/>
  <c r="CB116" i="194"/>
  <c r="CA116" i="194"/>
  <c r="BZ116" i="194"/>
  <c r="BY116" i="194"/>
  <c r="BX116" i="194"/>
  <c r="BW116" i="194"/>
  <c r="BV116" i="194"/>
  <c r="BU116" i="194"/>
  <c r="BT116" i="194"/>
  <c r="BS116" i="194"/>
  <c r="BR116" i="194"/>
  <c r="BQ116" i="194"/>
  <c r="BP116" i="194"/>
  <c r="BO116" i="194"/>
  <c r="BN116" i="194"/>
  <c r="BM116" i="194"/>
  <c r="BD116" i="194"/>
  <c r="AE116" i="194"/>
  <c r="AH115" i="194" s="1"/>
  <c r="J116" i="194"/>
  <c r="G116" i="194"/>
  <c r="C116" i="194"/>
  <c r="CD115" i="194"/>
  <c r="CB115" i="194"/>
  <c r="CA115" i="194"/>
  <c r="BZ115" i="194"/>
  <c r="BY115" i="194"/>
  <c r="BX115" i="194"/>
  <c r="BW115" i="194"/>
  <c r="BV115" i="194"/>
  <c r="BU115" i="194"/>
  <c r="BT115" i="194"/>
  <c r="BS115" i="194"/>
  <c r="BR115" i="194"/>
  <c r="BQ115" i="194"/>
  <c r="BP115" i="194"/>
  <c r="BO115" i="194"/>
  <c r="BN115" i="194"/>
  <c r="BM115" i="194"/>
  <c r="BA115" i="194"/>
  <c r="BA116" i="194" s="1"/>
  <c r="AE115" i="194"/>
  <c r="AN115" i="194" s="1"/>
  <c r="AN116" i="194" s="1"/>
  <c r="G115" i="194"/>
  <c r="C115" i="194"/>
  <c r="AQ116" i="194" s="1"/>
  <c r="CB114" i="194"/>
  <c r="CA114" i="194"/>
  <c r="BZ114" i="194"/>
  <c r="BY114" i="194"/>
  <c r="BX114" i="194"/>
  <c r="BW114" i="194"/>
  <c r="BV114" i="194"/>
  <c r="BU114" i="194"/>
  <c r="BT114" i="194"/>
  <c r="BS114" i="194"/>
  <c r="BR114" i="194"/>
  <c r="BQ114" i="194"/>
  <c r="BP114" i="194"/>
  <c r="BO114" i="194"/>
  <c r="BN114" i="194"/>
  <c r="BM114" i="194"/>
  <c r="BD114" i="194"/>
  <c r="AE114" i="194"/>
  <c r="AH113" i="194" s="1"/>
  <c r="J114" i="194"/>
  <c r="G114" i="194"/>
  <c r="C114" i="194"/>
  <c r="CD113" i="194"/>
  <c r="CB113" i="194"/>
  <c r="CA113" i="194"/>
  <c r="BZ113" i="194"/>
  <c r="BY113" i="194"/>
  <c r="BX113" i="194"/>
  <c r="BW113" i="194"/>
  <c r="BV113" i="194"/>
  <c r="BU113" i="194"/>
  <c r="BT113" i="194"/>
  <c r="BS113" i="194"/>
  <c r="BR113" i="194"/>
  <c r="BQ113" i="194"/>
  <c r="BP113" i="194"/>
  <c r="BO113" i="194"/>
  <c r="BN113" i="194"/>
  <c r="BM113" i="194"/>
  <c r="BA113" i="194"/>
  <c r="AE113" i="194"/>
  <c r="AN113" i="194" s="1"/>
  <c r="AN114" i="194" s="1"/>
  <c r="G113" i="194"/>
  <c r="C113" i="194"/>
  <c r="CB112" i="194"/>
  <c r="CA112" i="194"/>
  <c r="BZ112" i="194"/>
  <c r="BY112" i="194"/>
  <c r="BX112" i="194"/>
  <c r="BW112" i="194"/>
  <c r="BV112" i="194"/>
  <c r="BU112" i="194"/>
  <c r="BT112" i="194"/>
  <c r="BS112" i="194"/>
  <c r="BR112" i="194"/>
  <c r="BQ112" i="194"/>
  <c r="BP112" i="194"/>
  <c r="BO112" i="194"/>
  <c r="BN112" i="194"/>
  <c r="BM112" i="194"/>
  <c r="BD112" i="194"/>
  <c r="AE112" i="194"/>
  <c r="AH111" i="194" s="1"/>
  <c r="J112" i="194"/>
  <c r="G112" i="194"/>
  <c r="C112" i="194"/>
  <c r="CD111" i="194"/>
  <c r="CB111" i="194"/>
  <c r="CA111" i="194"/>
  <c r="BZ111" i="194"/>
  <c r="BY111" i="194"/>
  <c r="BX111" i="194"/>
  <c r="BW111" i="194"/>
  <c r="BV111" i="194"/>
  <c r="BU111" i="194"/>
  <c r="BT111" i="194"/>
  <c r="BS111" i="194"/>
  <c r="BR111" i="194"/>
  <c r="BQ111" i="194"/>
  <c r="BP111" i="194"/>
  <c r="BO111" i="194"/>
  <c r="BN111" i="194"/>
  <c r="BM111" i="194"/>
  <c r="BA111" i="194"/>
  <c r="B112" i="194" s="1"/>
  <c r="AE111" i="194"/>
  <c r="AN111" i="194" s="1"/>
  <c r="AN112" i="194" s="1"/>
  <c r="G111" i="194"/>
  <c r="C111" i="194"/>
  <c r="AQ112" i="194" s="1"/>
  <c r="CB110" i="194"/>
  <c r="CA110" i="194"/>
  <c r="BZ110" i="194"/>
  <c r="BY110" i="194"/>
  <c r="BX110" i="194"/>
  <c r="BW110" i="194"/>
  <c r="BV110" i="194"/>
  <c r="BU110" i="194"/>
  <c r="BT110" i="194"/>
  <c r="BS110" i="194"/>
  <c r="BR110" i="194"/>
  <c r="BQ110" i="194"/>
  <c r="BP110" i="194"/>
  <c r="BO110" i="194"/>
  <c r="BN110" i="194"/>
  <c r="BM110" i="194"/>
  <c r="BD110" i="194"/>
  <c r="AE110" i="194"/>
  <c r="AH109" i="194" s="1"/>
  <c r="J110" i="194"/>
  <c r="G110" i="194"/>
  <c r="C110" i="194"/>
  <c r="CD109" i="194"/>
  <c r="CB109" i="194"/>
  <c r="CA109" i="194"/>
  <c r="BZ109" i="194"/>
  <c r="BY109" i="194"/>
  <c r="BX109" i="194"/>
  <c r="BW109" i="194"/>
  <c r="BV109" i="194"/>
  <c r="BU109" i="194"/>
  <c r="BT109" i="194"/>
  <c r="BS109" i="194"/>
  <c r="BR109" i="194"/>
  <c r="BQ109" i="194"/>
  <c r="BP109" i="194"/>
  <c r="BO109" i="194"/>
  <c r="BN109" i="194"/>
  <c r="BM109" i="194"/>
  <c r="BA109" i="194"/>
  <c r="BA110" i="194" s="1"/>
  <c r="AE109" i="194"/>
  <c r="AN109" i="194" s="1"/>
  <c r="AN110" i="194" s="1"/>
  <c r="G109" i="194"/>
  <c r="C109" i="194"/>
  <c r="BD109" i="194" s="1"/>
  <c r="CB108" i="194"/>
  <c r="CA108" i="194"/>
  <c r="BZ108" i="194"/>
  <c r="BY108" i="194"/>
  <c r="BX108" i="194"/>
  <c r="BW108" i="194"/>
  <c r="BV108" i="194"/>
  <c r="BU108" i="194"/>
  <c r="BT108" i="194"/>
  <c r="BS108" i="194"/>
  <c r="BR108" i="194"/>
  <c r="BQ108" i="194"/>
  <c r="BP108" i="194"/>
  <c r="BO108" i="194"/>
  <c r="BN108" i="194"/>
  <c r="BM108" i="194"/>
  <c r="BD108" i="194"/>
  <c r="AE108" i="194"/>
  <c r="AH107" i="194" s="1"/>
  <c r="J108" i="194"/>
  <c r="G108" i="194"/>
  <c r="C108" i="194"/>
  <c r="CD107" i="194"/>
  <c r="CB107" i="194"/>
  <c r="CA107" i="194"/>
  <c r="BZ107" i="194"/>
  <c r="BY107" i="194"/>
  <c r="BX107" i="194"/>
  <c r="BW107" i="194"/>
  <c r="BV107" i="194"/>
  <c r="BU107" i="194"/>
  <c r="BT107" i="194"/>
  <c r="BS107" i="194"/>
  <c r="BR107" i="194"/>
  <c r="BQ107" i="194"/>
  <c r="BP107" i="194"/>
  <c r="BO107" i="194"/>
  <c r="BN107" i="194"/>
  <c r="BM107" i="194"/>
  <c r="BA107" i="194"/>
  <c r="B108" i="194" s="1"/>
  <c r="AE107" i="194"/>
  <c r="AN107" i="194" s="1"/>
  <c r="AN108" i="194" s="1"/>
  <c r="G107" i="194"/>
  <c r="C107" i="194"/>
  <c r="AQ108" i="194" s="1"/>
  <c r="CB106" i="194"/>
  <c r="CA106" i="194"/>
  <c r="BZ106" i="194"/>
  <c r="BY106" i="194"/>
  <c r="BX106" i="194"/>
  <c r="BW106" i="194"/>
  <c r="BV106" i="194"/>
  <c r="BU106" i="194"/>
  <c r="BT106" i="194"/>
  <c r="BS106" i="194"/>
  <c r="BR106" i="194"/>
  <c r="BQ106" i="194"/>
  <c r="BP106" i="194"/>
  <c r="BO106" i="194"/>
  <c r="BN106" i="194"/>
  <c r="BM106" i="194"/>
  <c r="BD106" i="194"/>
  <c r="AE106" i="194"/>
  <c r="AH105" i="194" s="1"/>
  <c r="J106" i="194"/>
  <c r="G106" i="194"/>
  <c r="C106" i="194"/>
  <c r="CD105" i="194"/>
  <c r="CB105" i="194"/>
  <c r="CA105" i="194"/>
  <c r="BZ105" i="194"/>
  <c r="BY105" i="194"/>
  <c r="BX105" i="194"/>
  <c r="BW105" i="194"/>
  <c r="BV105" i="194"/>
  <c r="BU105" i="194"/>
  <c r="BT105" i="194"/>
  <c r="BS105" i="194"/>
  <c r="BR105" i="194"/>
  <c r="BQ105" i="194"/>
  <c r="BP105" i="194"/>
  <c r="BO105" i="194"/>
  <c r="BN105" i="194"/>
  <c r="BM105" i="194"/>
  <c r="BA105" i="194"/>
  <c r="B106" i="194" s="1"/>
  <c r="AE105" i="194"/>
  <c r="AN105" i="194" s="1"/>
  <c r="AN106" i="194" s="1"/>
  <c r="G105" i="194"/>
  <c r="C105" i="194"/>
  <c r="BD105" i="194" s="1"/>
  <c r="CB104" i="194"/>
  <c r="CA104" i="194"/>
  <c r="BZ104" i="194"/>
  <c r="BY104" i="194"/>
  <c r="BX104" i="194"/>
  <c r="BW104" i="194"/>
  <c r="BV104" i="194"/>
  <c r="BU104" i="194"/>
  <c r="BT104" i="194"/>
  <c r="BS104" i="194"/>
  <c r="BR104" i="194"/>
  <c r="BQ104" i="194"/>
  <c r="BP104" i="194"/>
  <c r="BO104" i="194"/>
  <c r="BN104" i="194"/>
  <c r="BM104" i="194"/>
  <c r="BD104" i="194"/>
  <c r="AE104" i="194"/>
  <c r="AH103" i="194" s="1"/>
  <c r="J104" i="194"/>
  <c r="G104" i="194"/>
  <c r="C104" i="194"/>
  <c r="CD103" i="194"/>
  <c r="CB103" i="194"/>
  <c r="CA103" i="194"/>
  <c r="BZ103" i="194"/>
  <c r="BY103" i="194"/>
  <c r="BX103" i="194"/>
  <c r="BW103" i="194"/>
  <c r="BV103" i="194"/>
  <c r="BU103" i="194"/>
  <c r="BT103" i="194"/>
  <c r="BS103" i="194"/>
  <c r="BR103" i="194"/>
  <c r="BQ103" i="194"/>
  <c r="BP103" i="194"/>
  <c r="BO103" i="194"/>
  <c r="BN103" i="194"/>
  <c r="BM103" i="194"/>
  <c r="BA103" i="194"/>
  <c r="BA104" i="194" s="1"/>
  <c r="AE103" i="194"/>
  <c r="AN103" i="194" s="1"/>
  <c r="AN104" i="194" s="1"/>
  <c r="G103" i="194"/>
  <c r="C103" i="194"/>
  <c r="AQ104" i="194" s="1"/>
  <c r="CB102" i="194"/>
  <c r="CA102" i="194"/>
  <c r="BZ102" i="194"/>
  <c r="BY102" i="194"/>
  <c r="BX102" i="194"/>
  <c r="BW102" i="194"/>
  <c r="BV102" i="194"/>
  <c r="BU102" i="194"/>
  <c r="BT102" i="194"/>
  <c r="BS102" i="194"/>
  <c r="BR102" i="194"/>
  <c r="BQ102" i="194"/>
  <c r="BP102" i="194"/>
  <c r="BO102" i="194"/>
  <c r="BN102" i="194"/>
  <c r="BM102" i="194"/>
  <c r="BD102" i="194"/>
  <c r="AE102" i="194"/>
  <c r="AH101" i="194" s="1"/>
  <c r="J102" i="194"/>
  <c r="G102" i="194"/>
  <c r="C102" i="194"/>
  <c r="CD101" i="194"/>
  <c r="CB101" i="194"/>
  <c r="CA101" i="194"/>
  <c r="BZ101" i="194"/>
  <c r="BY101" i="194"/>
  <c r="BX101" i="194"/>
  <c r="BW101" i="194"/>
  <c r="BV101" i="194"/>
  <c r="BU101" i="194"/>
  <c r="BT101" i="194"/>
  <c r="BS101" i="194"/>
  <c r="BR101" i="194"/>
  <c r="BQ101" i="194"/>
  <c r="BP101" i="194"/>
  <c r="BO101" i="194"/>
  <c r="BN101" i="194"/>
  <c r="BM101" i="194"/>
  <c r="BA101" i="194"/>
  <c r="AE101" i="194"/>
  <c r="AN101" i="194" s="1"/>
  <c r="AN102" i="194" s="1"/>
  <c r="G101" i="194"/>
  <c r="C101" i="194"/>
  <c r="BD101" i="194" s="1"/>
  <c r="CB100" i="194"/>
  <c r="CA100" i="194"/>
  <c r="BZ100" i="194"/>
  <c r="BY100" i="194"/>
  <c r="BX100" i="194"/>
  <c r="BW100" i="194"/>
  <c r="BV100" i="194"/>
  <c r="BU100" i="194"/>
  <c r="BT100" i="194"/>
  <c r="BS100" i="194"/>
  <c r="BR100" i="194"/>
  <c r="BQ100" i="194"/>
  <c r="BP100" i="194"/>
  <c r="BO100" i="194"/>
  <c r="BN100" i="194"/>
  <c r="BM100" i="194"/>
  <c r="BD100" i="194"/>
  <c r="AE100" i="194"/>
  <c r="AH99" i="194" s="1"/>
  <c r="J100" i="194"/>
  <c r="G100" i="194"/>
  <c r="C100" i="194"/>
  <c r="CD99" i="194"/>
  <c r="CB99" i="194"/>
  <c r="CA99" i="194"/>
  <c r="BZ99" i="194"/>
  <c r="BY99" i="194"/>
  <c r="BX99" i="194"/>
  <c r="BW99" i="194"/>
  <c r="BV99" i="194"/>
  <c r="BU99" i="194"/>
  <c r="BT99" i="194"/>
  <c r="BS99" i="194"/>
  <c r="BR99" i="194"/>
  <c r="BQ99" i="194"/>
  <c r="BP99" i="194"/>
  <c r="BO99" i="194"/>
  <c r="BN99" i="194"/>
  <c r="BM99" i="194"/>
  <c r="BA99" i="194"/>
  <c r="BA100" i="194" s="1"/>
  <c r="AE99" i="194"/>
  <c r="AN99" i="194" s="1"/>
  <c r="AN100" i="194" s="1"/>
  <c r="G99" i="194"/>
  <c r="C99" i="194"/>
  <c r="CB98" i="194"/>
  <c r="CA98" i="194"/>
  <c r="BZ98" i="194"/>
  <c r="BY98" i="194"/>
  <c r="BX98" i="194"/>
  <c r="BW98" i="194"/>
  <c r="BV98" i="194"/>
  <c r="BU98" i="194"/>
  <c r="BT98" i="194"/>
  <c r="BS98" i="194"/>
  <c r="BR98" i="194"/>
  <c r="BQ98" i="194"/>
  <c r="BP98" i="194"/>
  <c r="BO98" i="194"/>
  <c r="BN98" i="194"/>
  <c r="BM98" i="194"/>
  <c r="BD98" i="194"/>
  <c r="AE98" i="194"/>
  <c r="AH97" i="194" s="1"/>
  <c r="J98" i="194"/>
  <c r="G98" i="194"/>
  <c r="C98" i="194"/>
  <c r="CD97" i="194"/>
  <c r="CB97" i="194"/>
  <c r="CA97" i="194"/>
  <c r="BZ97" i="194"/>
  <c r="BY97" i="194"/>
  <c r="BX97" i="194"/>
  <c r="BW97" i="194"/>
  <c r="BV97" i="194"/>
  <c r="BU97" i="194"/>
  <c r="BT97" i="194"/>
  <c r="BS97" i="194"/>
  <c r="BR97" i="194"/>
  <c r="BQ97" i="194"/>
  <c r="BP97" i="194"/>
  <c r="BO97" i="194"/>
  <c r="BN97" i="194"/>
  <c r="BM97" i="194"/>
  <c r="BA97" i="194"/>
  <c r="BA98" i="194" s="1"/>
  <c r="AE97" i="194"/>
  <c r="AN97" i="194" s="1"/>
  <c r="AN98" i="194" s="1"/>
  <c r="G97" i="194"/>
  <c r="C97" i="194"/>
  <c r="AQ98" i="194" s="1"/>
  <c r="CB96" i="194"/>
  <c r="CA96" i="194"/>
  <c r="BZ96" i="194"/>
  <c r="BY96" i="194"/>
  <c r="BX96" i="194"/>
  <c r="BW96" i="194"/>
  <c r="BV96" i="194"/>
  <c r="BU96" i="194"/>
  <c r="BT96" i="194"/>
  <c r="BS96" i="194"/>
  <c r="BR96" i="194"/>
  <c r="BQ96" i="194"/>
  <c r="BP96" i="194"/>
  <c r="BO96" i="194"/>
  <c r="BN96" i="194"/>
  <c r="BM96" i="194"/>
  <c r="BD96" i="194"/>
  <c r="AE96" i="194"/>
  <c r="AH95" i="194" s="1"/>
  <c r="J96" i="194"/>
  <c r="G96" i="194"/>
  <c r="C96" i="194"/>
  <c r="CD95" i="194"/>
  <c r="CB95" i="194"/>
  <c r="CA95" i="194"/>
  <c r="BZ95" i="194"/>
  <c r="BY95" i="194"/>
  <c r="BX95" i="194"/>
  <c r="BW95" i="194"/>
  <c r="BV95" i="194"/>
  <c r="BU95" i="194"/>
  <c r="BT95" i="194"/>
  <c r="BS95" i="194"/>
  <c r="BR95" i="194"/>
  <c r="BQ95" i="194"/>
  <c r="BP95" i="194"/>
  <c r="BO95" i="194"/>
  <c r="BN95" i="194"/>
  <c r="BM95" i="194"/>
  <c r="BA95" i="194"/>
  <c r="AE95" i="194"/>
  <c r="AN95" i="194" s="1"/>
  <c r="AN96" i="194" s="1"/>
  <c r="G95" i="194"/>
  <c r="C95" i="194"/>
  <c r="BD95" i="194" s="1"/>
  <c r="CB94" i="194"/>
  <c r="CA94" i="194"/>
  <c r="BZ94" i="194"/>
  <c r="BY94" i="194"/>
  <c r="BX94" i="194"/>
  <c r="BW94" i="194"/>
  <c r="BV94" i="194"/>
  <c r="BU94" i="194"/>
  <c r="BT94" i="194"/>
  <c r="BS94" i="194"/>
  <c r="BR94" i="194"/>
  <c r="BQ94" i="194"/>
  <c r="BP94" i="194"/>
  <c r="BO94" i="194"/>
  <c r="BN94" i="194"/>
  <c r="BM94" i="194"/>
  <c r="BD94" i="194"/>
  <c r="AE94" i="194"/>
  <c r="AH93" i="194" s="1"/>
  <c r="J94" i="194"/>
  <c r="G94" i="194"/>
  <c r="C94" i="194"/>
  <c r="CD93" i="194"/>
  <c r="CB93" i="194"/>
  <c r="CA93" i="194"/>
  <c r="BZ93" i="194"/>
  <c r="BY93" i="194"/>
  <c r="BX93" i="194"/>
  <c r="BW93" i="194"/>
  <c r="BV93" i="194"/>
  <c r="BU93" i="194"/>
  <c r="BT93" i="194"/>
  <c r="BS93" i="194"/>
  <c r="BR93" i="194"/>
  <c r="BQ93" i="194"/>
  <c r="BP93" i="194"/>
  <c r="BO93" i="194"/>
  <c r="BN93" i="194"/>
  <c r="BM93" i="194"/>
  <c r="BA93" i="194"/>
  <c r="BA94" i="194" s="1"/>
  <c r="AE93" i="194"/>
  <c r="AN93" i="194" s="1"/>
  <c r="AN94" i="194" s="1"/>
  <c r="G93" i="194"/>
  <c r="C93" i="194"/>
  <c r="CB92" i="194"/>
  <c r="CA92" i="194"/>
  <c r="BZ92" i="194"/>
  <c r="BY92" i="194"/>
  <c r="BX92" i="194"/>
  <c r="BW92" i="194"/>
  <c r="BV92" i="194"/>
  <c r="BU92" i="194"/>
  <c r="BT92" i="194"/>
  <c r="BS92" i="194"/>
  <c r="BR92" i="194"/>
  <c r="BQ92" i="194"/>
  <c r="BP92" i="194"/>
  <c r="BO92" i="194"/>
  <c r="BN92" i="194"/>
  <c r="BM92" i="194"/>
  <c r="BD92" i="194"/>
  <c r="AE92" i="194"/>
  <c r="AH91" i="194" s="1"/>
  <c r="J92" i="194"/>
  <c r="G92" i="194"/>
  <c r="C92" i="194"/>
  <c r="CD91" i="194"/>
  <c r="CB91" i="194"/>
  <c r="CA91" i="194"/>
  <c r="BZ91" i="194"/>
  <c r="BY91" i="194"/>
  <c r="BX91" i="194"/>
  <c r="BW91" i="194"/>
  <c r="BV91" i="194"/>
  <c r="BU91" i="194"/>
  <c r="BT91" i="194"/>
  <c r="BS91" i="194"/>
  <c r="BR91" i="194"/>
  <c r="BQ91" i="194"/>
  <c r="BP91" i="194"/>
  <c r="BO91" i="194"/>
  <c r="BN91" i="194"/>
  <c r="BM91" i="194"/>
  <c r="BA91" i="194"/>
  <c r="BA92" i="194" s="1"/>
  <c r="AE91" i="194"/>
  <c r="AN91" i="194" s="1"/>
  <c r="AN92" i="194" s="1"/>
  <c r="G91" i="194"/>
  <c r="C91" i="194"/>
  <c r="CB90" i="194"/>
  <c r="CA90" i="194"/>
  <c r="BZ90" i="194"/>
  <c r="BY90" i="194"/>
  <c r="BX90" i="194"/>
  <c r="BW90" i="194"/>
  <c r="BV90" i="194"/>
  <c r="BU90" i="194"/>
  <c r="BT90" i="194"/>
  <c r="BS90" i="194"/>
  <c r="BR90" i="194"/>
  <c r="BQ90" i="194"/>
  <c r="BP90" i="194"/>
  <c r="BO90" i="194"/>
  <c r="BN90" i="194"/>
  <c r="BM90" i="194"/>
  <c r="BD90" i="194"/>
  <c r="AE90" i="194"/>
  <c r="AH89" i="194" s="1"/>
  <c r="J90" i="194"/>
  <c r="G90" i="194"/>
  <c r="C90" i="194"/>
  <c r="CD89" i="194"/>
  <c r="CB89" i="194"/>
  <c r="CA89" i="194"/>
  <c r="BZ89" i="194"/>
  <c r="BY89" i="194"/>
  <c r="BX89" i="194"/>
  <c r="BW89" i="194"/>
  <c r="BV89" i="194"/>
  <c r="BU89" i="194"/>
  <c r="BT89" i="194"/>
  <c r="BS89" i="194"/>
  <c r="BR89" i="194"/>
  <c r="BQ89" i="194"/>
  <c r="BP89" i="194"/>
  <c r="BO89" i="194"/>
  <c r="BN89" i="194"/>
  <c r="BM89" i="194"/>
  <c r="BA89" i="194"/>
  <c r="B90" i="194" s="1"/>
  <c r="AE89" i="194"/>
  <c r="AN89" i="194" s="1"/>
  <c r="AN90" i="194" s="1"/>
  <c r="G89" i="194"/>
  <c r="C89" i="194"/>
  <c r="AQ90" i="194" s="1"/>
  <c r="CB88" i="194"/>
  <c r="CA88" i="194"/>
  <c r="BZ88" i="194"/>
  <c r="BY88" i="194"/>
  <c r="BX88" i="194"/>
  <c r="BW88" i="194"/>
  <c r="BV88" i="194"/>
  <c r="BU88" i="194"/>
  <c r="BT88" i="194"/>
  <c r="BS88" i="194"/>
  <c r="BR88" i="194"/>
  <c r="BQ88" i="194"/>
  <c r="BP88" i="194"/>
  <c r="BO88" i="194"/>
  <c r="BN88" i="194"/>
  <c r="BM88" i="194"/>
  <c r="BD88" i="194"/>
  <c r="AE88" i="194"/>
  <c r="AH87" i="194" s="1"/>
  <c r="J88" i="194"/>
  <c r="G88" i="194"/>
  <c r="C88" i="194"/>
  <c r="CD87" i="194"/>
  <c r="CB87" i="194"/>
  <c r="CA87" i="194"/>
  <c r="BZ87" i="194"/>
  <c r="BY87" i="194"/>
  <c r="BX87" i="194"/>
  <c r="BW87" i="194"/>
  <c r="BV87" i="194"/>
  <c r="BU87" i="194"/>
  <c r="BT87" i="194"/>
  <c r="BS87" i="194"/>
  <c r="BR87" i="194"/>
  <c r="BQ87" i="194"/>
  <c r="BP87" i="194"/>
  <c r="BO87" i="194"/>
  <c r="BN87" i="194"/>
  <c r="BM87" i="194"/>
  <c r="BA87" i="194"/>
  <c r="BA88" i="194" s="1"/>
  <c r="AE87" i="194"/>
  <c r="AN87" i="194" s="1"/>
  <c r="AN88" i="194" s="1"/>
  <c r="G87" i="194"/>
  <c r="C87" i="194"/>
  <c r="AQ88" i="194" s="1"/>
  <c r="CB86" i="194"/>
  <c r="CA86" i="194"/>
  <c r="BZ86" i="194"/>
  <c r="BY86" i="194"/>
  <c r="BX86" i="194"/>
  <c r="BW86" i="194"/>
  <c r="BV86" i="194"/>
  <c r="BU86" i="194"/>
  <c r="BT86" i="194"/>
  <c r="BS86" i="194"/>
  <c r="BR86" i="194"/>
  <c r="BQ86" i="194"/>
  <c r="BP86" i="194"/>
  <c r="BO86" i="194"/>
  <c r="BN86" i="194"/>
  <c r="BM86" i="194"/>
  <c r="BD86" i="194"/>
  <c r="AE86" i="194"/>
  <c r="AH85" i="194" s="1"/>
  <c r="J86" i="194"/>
  <c r="G86" i="194"/>
  <c r="C86" i="194"/>
  <c r="CD85" i="194"/>
  <c r="CB85" i="194"/>
  <c r="CA85" i="194"/>
  <c r="BZ85" i="194"/>
  <c r="BY85" i="194"/>
  <c r="BX85" i="194"/>
  <c r="BW85" i="194"/>
  <c r="BV85" i="194"/>
  <c r="BU85" i="194"/>
  <c r="BT85" i="194"/>
  <c r="BS85" i="194"/>
  <c r="BR85" i="194"/>
  <c r="BQ85" i="194"/>
  <c r="BP85" i="194"/>
  <c r="BO85" i="194"/>
  <c r="BN85" i="194"/>
  <c r="BM85" i="194"/>
  <c r="BA85" i="194"/>
  <c r="BA86" i="194" s="1"/>
  <c r="AE85" i="194"/>
  <c r="AN85" i="194" s="1"/>
  <c r="AN86" i="194" s="1"/>
  <c r="G85" i="194"/>
  <c r="C85" i="194"/>
  <c r="BD85" i="194" s="1"/>
  <c r="CB84" i="194"/>
  <c r="CA84" i="194"/>
  <c r="BZ84" i="194"/>
  <c r="BY84" i="194"/>
  <c r="BX84" i="194"/>
  <c r="BW84" i="194"/>
  <c r="BV84" i="194"/>
  <c r="BU84" i="194"/>
  <c r="BT84" i="194"/>
  <c r="BS84" i="194"/>
  <c r="BR84" i="194"/>
  <c r="BQ84" i="194"/>
  <c r="BP84" i="194"/>
  <c r="BO84" i="194"/>
  <c r="BN84" i="194"/>
  <c r="BM84" i="194"/>
  <c r="BD84" i="194"/>
  <c r="AE84" i="194"/>
  <c r="AH83" i="194" s="1"/>
  <c r="J84" i="194"/>
  <c r="G84" i="194"/>
  <c r="C84" i="194"/>
  <c r="CD83" i="194"/>
  <c r="CB83" i="194"/>
  <c r="CA83" i="194"/>
  <c r="BZ83" i="194"/>
  <c r="BY83" i="194"/>
  <c r="BX83" i="194"/>
  <c r="BW83" i="194"/>
  <c r="BV83" i="194"/>
  <c r="BU83" i="194"/>
  <c r="BT83" i="194"/>
  <c r="BS83" i="194"/>
  <c r="BR83" i="194"/>
  <c r="BQ83" i="194"/>
  <c r="BP83" i="194"/>
  <c r="BO83" i="194"/>
  <c r="BN83" i="194"/>
  <c r="BM83" i="194"/>
  <c r="BA83" i="194"/>
  <c r="B84" i="194" s="1"/>
  <c r="AE83" i="194"/>
  <c r="AN83" i="194" s="1"/>
  <c r="AN84" i="194" s="1"/>
  <c r="G83" i="194"/>
  <c r="C83" i="194"/>
  <c r="AQ84" i="194" s="1"/>
  <c r="CB82" i="194"/>
  <c r="CA82" i="194"/>
  <c r="BZ82" i="194"/>
  <c r="BY82" i="194"/>
  <c r="BX82" i="194"/>
  <c r="BW82" i="194"/>
  <c r="BV82" i="194"/>
  <c r="BU82" i="194"/>
  <c r="BT82" i="194"/>
  <c r="BS82" i="194"/>
  <c r="BR82" i="194"/>
  <c r="BQ82" i="194"/>
  <c r="BP82" i="194"/>
  <c r="BO82" i="194"/>
  <c r="BN82" i="194"/>
  <c r="BM82" i="194"/>
  <c r="BD82" i="194"/>
  <c r="AE82" i="194"/>
  <c r="AH81" i="194" s="1"/>
  <c r="J82" i="194"/>
  <c r="G82" i="194"/>
  <c r="C82" i="194"/>
  <c r="CD81" i="194"/>
  <c r="CB81" i="194"/>
  <c r="CA81" i="194"/>
  <c r="BZ81" i="194"/>
  <c r="BY81" i="194"/>
  <c r="BX81" i="194"/>
  <c r="BW81" i="194"/>
  <c r="BV81" i="194"/>
  <c r="BU81" i="194"/>
  <c r="BT81" i="194"/>
  <c r="BS81" i="194"/>
  <c r="BR81" i="194"/>
  <c r="BQ81" i="194"/>
  <c r="BP81" i="194"/>
  <c r="BO81" i="194"/>
  <c r="BN81" i="194"/>
  <c r="BM81" i="194"/>
  <c r="BA81" i="194"/>
  <c r="BA82" i="194" s="1"/>
  <c r="AE81" i="194"/>
  <c r="AN81" i="194" s="1"/>
  <c r="AN82" i="194" s="1"/>
  <c r="G81" i="194"/>
  <c r="C81" i="194"/>
  <c r="AQ82" i="194" s="1"/>
  <c r="CB80" i="194"/>
  <c r="CA80" i="194"/>
  <c r="BZ80" i="194"/>
  <c r="BY80" i="194"/>
  <c r="BX80" i="194"/>
  <c r="BW80" i="194"/>
  <c r="BV80" i="194"/>
  <c r="BU80" i="194"/>
  <c r="BT80" i="194"/>
  <c r="BS80" i="194"/>
  <c r="BR80" i="194"/>
  <c r="BQ80" i="194"/>
  <c r="BP80" i="194"/>
  <c r="BO80" i="194"/>
  <c r="BN80" i="194"/>
  <c r="BM80" i="194"/>
  <c r="BD80" i="194"/>
  <c r="AE80" i="194"/>
  <c r="AH79" i="194" s="1"/>
  <c r="J80" i="194"/>
  <c r="G80" i="194"/>
  <c r="C80" i="194"/>
  <c r="CD79" i="194"/>
  <c r="CB79" i="194"/>
  <c r="CA79" i="194"/>
  <c r="BZ79" i="194"/>
  <c r="BY79" i="194"/>
  <c r="BX79" i="194"/>
  <c r="BW79" i="194"/>
  <c r="BV79" i="194"/>
  <c r="BU79" i="194"/>
  <c r="BT79" i="194"/>
  <c r="BS79" i="194"/>
  <c r="BR79" i="194"/>
  <c r="BQ79" i="194"/>
  <c r="BP79" i="194"/>
  <c r="BO79" i="194"/>
  <c r="BN79" i="194"/>
  <c r="BM79" i="194"/>
  <c r="BA79" i="194"/>
  <c r="AE79" i="194"/>
  <c r="AN79" i="194" s="1"/>
  <c r="AN80" i="194" s="1"/>
  <c r="G79" i="194"/>
  <c r="C79" i="194"/>
  <c r="AQ80" i="194" s="1"/>
  <c r="CB78" i="194"/>
  <c r="CA78" i="194"/>
  <c r="BZ78" i="194"/>
  <c r="BY78" i="194"/>
  <c r="BX78" i="194"/>
  <c r="BW78" i="194"/>
  <c r="BV78" i="194"/>
  <c r="BU78" i="194"/>
  <c r="BT78" i="194"/>
  <c r="BS78" i="194"/>
  <c r="BR78" i="194"/>
  <c r="BQ78" i="194"/>
  <c r="BP78" i="194"/>
  <c r="BO78" i="194"/>
  <c r="BN78" i="194"/>
  <c r="BM78" i="194"/>
  <c r="BD78" i="194"/>
  <c r="AE78" i="194"/>
  <c r="AH77" i="194" s="1"/>
  <c r="J78" i="194"/>
  <c r="G78" i="194"/>
  <c r="C78" i="194"/>
  <c r="CD77" i="194"/>
  <c r="CB77" i="194"/>
  <c r="CA77" i="194"/>
  <c r="BZ77" i="194"/>
  <c r="BY77" i="194"/>
  <c r="BX77" i="194"/>
  <c r="BW77" i="194"/>
  <c r="BV77" i="194"/>
  <c r="BU77" i="194"/>
  <c r="BT77" i="194"/>
  <c r="BS77" i="194"/>
  <c r="BR77" i="194"/>
  <c r="BQ77" i="194"/>
  <c r="BP77" i="194"/>
  <c r="BO77" i="194"/>
  <c r="BN77" i="194"/>
  <c r="BM77" i="194"/>
  <c r="BA77" i="194"/>
  <c r="BA78" i="194" s="1"/>
  <c r="AE77" i="194"/>
  <c r="AN77" i="194" s="1"/>
  <c r="AN78" i="194" s="1"/>
  <c r="G77" i="194"/>
  <c r="C77" i="194"/>
  <c r="AQ78" i="194" s="1"/>
  <c r="CB76" i="194"/>
  <c r="CA76" i="194"/>
  <c r="BZ76" i="194"/>
  <c r="BY76" i="194"/>
  <c r="BX76" i="194"/>
  <c r="BW76" i="194"/>
  <c r="BV76" i="194"/>
  <c r="BU76" i="194"/>
  <c r="BT76" i="194"/>
  <c r="BS76" i="194"/>
  <c r="BR76" i="194"/>
  <c r="BQ76" i="194"/>
  <c r="BP76" i="194"/>
  <c r="BO76" i="194"/>
  <c r="BN76" i="194"/>
  <c r="BM76" i="194"/>
  <c r="BD76" i="194"/>
  <c r="AE76" i="194"/>
  <c r="AH75" i="194" s="1"/>
  <c r="J76" i="194"/>
  <c r="G76" i="194"/>
  <c r="C76" i="194"/>
  <c r="CD75" i="194"/>
  <c r="CB75" i="194"/>
  <c r="CA75" i="194"/>
  <c r="BZ75" i="194"/>
  <c r="BY75" i="194"/>
  <c r="BX75" i="194"/>
  <c r="BW75" i="194"/>
  <c r="BV75" i="194"/>
  <c r="BU75" i="194"/>
  <c r="BT75" i="194"/>
  <c r="BS75" i="194"/>
  <c r="BR75" i="194"/>
  <c r="BQ75" i="194"/>
  <c r="BP75" i="194"/>
  <c r="BO75" i="194"/>
  <c r="BN75" i="194"/>
  <c r="BM75" i="194"/>
  <c r="BA75" i="194"/>
  <c r="B76" i="194" s="1"/>
  <c r="AE75" i="194"/>
  <c r="AN75" i="194" s="1"/>
  <c r="AN76" i="194" s="1"/>
  <c r="G75" i="194"/>
  <c r="C75" i="194"/>
  <c r="BD75" i="194" s="1"/>
  <c r="CB74" i="194"/>
  <c r="CA74" i="194"/>
  <c r="BZ74" i="194"/>
  <c r="BY74" i="194"/>
  <c r="BX74" i="194"/>
  <c r="BW74" i="194"/>
  <c r="BV74" i="194"/>
  <c r="BU74" i="194"/>
  <c r="BT74" i="194"/>
  <c r="BS74" i="194"/>
  <c r="BR74" i="194"/>
  <c r="BQ74" i="194"/>
  <c r="BP74" i="194"/>
  <c r="BO74" i="194"/>
  <c r="BN74" i="194"/>
  <c r="BM74" i="194"/>
  <c r="BD74" i="194"/>
  <c r="AE74" i="194"/>
  <c r="AH73" i="194" s="1"/>
  <c r="J74" i="194"/>
  <c r="G74" i="194"/>
  <c r="C74" i="194"/>
  <c r="CD73" i="194"/>
  <c r="CB73" i="194"/>
  <c r="CA73" i="194"/>
  <c r="BZ73" i="194"/>
  <c r="BY73" i="194"/>
  <c r="BX73" i="194"/>
  <c r="BW73" i="194"/>
  <c r="BV73" i="194"/>
  <c r="BU73" i="194"/>
  <c r="BT73" i="194"/>
  <c r="BS73" i="194"/>
  <c r="BR73" i="194"/>
  <c r="BQ73" i="194"/>
  <c r="BP73" i="194"/>
  <c r="BO73" i="194"/>
  <c r="BN73" i="194"/>
  <c r="BM73" i="194"/>
  <c r="BA73" i="194"/>
  <c r="B74" i="194" s="1"/>
  <c r="AE73" i="194"/>
  <c r="AN73" i="194" s="1"/>
  <c r="AN74" i="194" s="1"/>
  <c r="G73" i="194"/>
  <c r="C73" i="194"/>
  <c r="BD73" i="194" s="1"/>
  <c r="CB72" i="194"/>
  <c r="CA72" i="194"/>
  <c r="BZ72" i="194"/>
  <c r="BY72" i="194"/>
  <c r="BX72" i="194"/>
  <c r="BW72" i="194"/>
  <c r="BV72" i="194"/>
  <c r="BU72" i="194"/>
  <c r="BT72" i="194"/>
  <c r="BS72" i="194"/>
  <c r="BR72" i="194"/>
  <c r="BQ72" i="194"/>
  <c r="BP72" i="194"/>
  <c r="BO72" i="194"/>
  <c r="BN72" i="194"/>
  <c r="BM72" i="194"/>
  <c r="BD72" i="194"/>
  <c r="AE72" i="194"/>
  <c r="AH71" i="194" s="1"/>
  <c r="J72" i="194"/>
  <c r="G72" i="194"/>
  <c r="C72" i="194"/>
  <c r="CD71" i="194"/>
  <c r="CB71" i="194"/>
  <c r="CA71" i="194"/>
  <c r="BZ71" i="194"/>
  <c r="BY71" i="194"/>
  <c r="BX71" i="194"/>
  <c r="BW71" i="194"/>
  <c r="BV71" i="194"/>
  <c r="BU71" i="194"/>
  <c r="BT71" i="194"/>
  <c r="BS71" i="194"/>
  <c r="BR71" i="194"/>
  <c r="BQ71" i="194"/>
  <c r="BP71" i="194"/>
  <c r="BO71" i="194"/>
  <c r="BN71" i="194"/>
  <c r="BM71" i="194"/>
  <c r="BA71" i="194"/>
  <c r="B72" i="194" s="1"/>
  <c r="AE71" i="194"/>
  <c r="AN71" i="194" s="1"/>
  <c r="AN72" i="194" s="1"/>
  <c r="G71" i="194"/>
  <c r="C71" i="194"/>
  <c r="AQ72" i="194" s="1"/>
  <c r="CB70" i="194"/>
  <c r="CA70" i="194"/>
  <c r="BZ70" i="194"/>
  <c r="BY70" i="194"/>
  <c r="BX70" i="194"/>
  <c r="BW70" i="194"/>
  <c r="BV70" i="194"/>
  <c r="BU70" i="194"/>
  <c r="BT70" i="194"/>
  <c r="BS70" i="194"/>
  <c r="BR70" i="194"/>
  <c r="BQ70" i="194"/>
  <c r="BP70" i="194"/>
  <c r="BO70" i="194"/>
  <c r="BN70" i="194"/>
  <c r="BM70" i="194"/>
  <c r="BD70" i="194"/>
  <c r="AE70" i="194"/>
  <c r="AH69" i="194" s="1"/>
  <c r="J70" i="194"/>
  <c r="G70" i="194"/>
  <c r="C70" i="194"/>
  <c r="CD69" i="194"/>
  <c r="CB69" i="194"/>
  <c r="CA69" i="194"/>
  <c r="BZ69" i="194"/>
  <c r="BY69" i="194"/>
  <c r="BX69" i="194"/>
  <c r="BW69" i="194"/>
  <c r="BV69" i="194"/>
  <c r="BU69" i="194"/>
  <c r="BT69" i="194"/>
  <c r="BS69" i="194"/>
  <c r="BR69" i="194"/>
  <c r="BQ69" i="194"/>
  <c r="BP69" i="194"/>
  <c r="BO69" i="194"/>
  <c r="BN69" i="194"/>
  <c r="BM69" i="194"/>
  <c r="BA69" i="194"/>
  <c r="BA70" i="194" s="1"/>
  <c r="AE69" i="194"/>
  <c r="AN69" i="194" s="1"/>
  <c r="AN70" i="194" s="1"/>
  <c r="G69" i="194"/>
  <c r="C69" i="194"/>
  <c r="CB68" i="194"/>
  <c r="CA68" i="194"/>
  <c r="BZ68" i="194"/>
  <c r="BY68" i="194"/>
  <c r="BX68" i="194"/>
  <c r="BW68" i="194"/>
  <c r="BV68" i="194"/>
  <c r="BU68" i="194"/>
  <c r="BT68" i="194"/>
  <c r="BS68" i="194"/>
  <c r="BR68" i="194"/>
  <c r="BQ68" i="194"/>
  <c r="BP68" i="194"/>
  <c r="BO68" i="194"/>
  <c r="BN68" i="194"/>
  <c r="BM68" i="194"/>
  <c r="BD68" i="194"/>
  <c r="AE68" i="194"/>
  <c r="AH67" i="194" s="1"/>
  <c r="J68" i="194"/>
  <c r="G68" i="194"/>
  <c r="C68" i="194"/>
  <c r="CD67" i="194"/>
  <c r="CB67" i="194"/>
  <c r="CA67" i="194"/>
  <c r="BZ67" i="194"/>
  <c r="BY67" i="194"/>
  <c r="BX67" i="194"/>
  <c r="BW67" i="194"/>
  <c r="BV67" i="194"/>
  <c r="BU67" i="194"/>
  <c r="BT67" i="194"/>
  <c r="BS67" i="194"/>
  <c r="BR67" i="194"/>
  <c r="BQ67" i="194"/>
  <c r="BP67" i="194"/>
  <c r="BO67" i="194"/>
  <c r="BN67" i="194"/>
  <c r="BM67" i="194"/>
  <c r="BA67" i="194"/>
  <c r="BA68" i="194" s="1"/>
  <c r="AE67" i="194"/>
  <c r="AN67" i="194" s="1"/>
  <c r="AN68" i="194" s="1"/>
  <c r="G67" i="194"/>
  <c r="C67" i="194"/>
  <c r="CB66" i="194"/>
  <c r="CA66" i="194"/>
  <c r="BZ66" i="194"/>
  <c r="BY66" i="194"/>
  <c r="BX66" i="194"/>
  <c r="BW66" i="194"/>
  <c r="BV66" i="194"/>
  <c r="BU66" i="194"/>
  <c r="BT66" i="194"/>
  <c r="BS66" i="194"/>
  <c r="BR66" i="194"/>
  <c r="BQ66" i="194"/>
  <c r="BP66" i="194"/>
  <c r="BO66" i="194"/>
  <c r="BN66" i="194"/>
  <c r="BM66" i="194"/>
  <c r="BD66" i="194"/>
  <c r="AE66" i="194"/>
  <c r="AH65" i="194" s="1"/>
  <c r="J66" i="194"/>
  <c r="G66" i="194"/>
  <c r="C66" i="194"/>
  <c r="CD65" i="194"/>
  <c r="CB65" i="194"/>
  <c r="CA65" i="194"/>
  <c r="BZ65" i="194"/>
  <c r="BY65" i="194"/>
  <c r="BX65" i="194"/>
  <c r="BW65" i="194"/>
  <c r="BV65" i="194"/>
  <c r="BU65" i="194"/>
  <c r="BT65" i="194"/>
  <c r="BS65" i="194"/>
  <c r="BR65" i="194"/>
  <c r="BQ65" i="194"/>
  <c r="BP65" i="194"/>
  <c r="BO65" i="194"/>
  <c r="BN65" i="194"/>
  <c r="BM65" i="194"/>
  <c r="BA65" i="194"/>
  <c r="BA66" i="194" s="1"/>
  <c r="AN65" i="194"/>
  <c r="AN66" i="194" s="1"/>
  <c r="AE65" i="194"/>
  <c r="G65" i="194"/>
  <c r="C65" i="194"/>
  <c r="CB64" i="194"/>
  <c r="CA64" i="194"/>
  <c r="BZ64" i="194"/>
  <c r="BY64" i="194"/>
  <c r="BX64" i="194"/>
  <c r="BW64" i="194"/>
  <c r="BV64" i="194"/>
  <c r="BU64" i="194"/>
  <c r="BT64" i="194"/>
  <c r="BS64" i="194"/>
  <c r="BR64" i="194"/>
  <c r="BQ64" i="194"/>
  <c r="BP64" i="194"/>
  <c r="BO64" i="194"/>
  <c r="BN64" i="194"/>
  <c r="BM64" i="194"/>
  <c r="BD64" i="194"/>
  <c r="AE64" i="194"/>
  <c r="AH63" i="194" s="1"/>
  <c r="J64" i="194"/>
  <c r="G64" i="194"/>
  <c r="C64" i="194"/>
  <c r="CD63" i="194"/>
  <c r="CB63" i="194"/>
  <c r="CA63" i="194"/>
  <c r="BZ63" i="194"/>
  <c r="BY63" i="194"/>
  <c r="BX63" i="194"/>
  <c r="BW63" i="194"/>
  <c r="BV63" i="194"/>
  <c r="BU63" i="194"/>
  <c r="BT63" i="194"/>
  <c r="BS63" i="194"/>
  <c r="BR63" i="194"/>
  <c r="BQ63" i="194"/>
  <c r="BP63" i="194"/>
  <c r="BO63" i="194"/>
  <c r="BN63" i="194"/>
  <c r="BM63" i="194"/>
  <c r="BA63" i="194"/>
  <c r="BA64" i="194" s="1"/>
  <c r="AE63" i="194"/>
  <c r="AN63" i="194" s="1"/>
  <c r="AN64" i="194" s="1"/>
  <c r="G63" i="194"/>
  <c r="C63" i="194"/>
  <c r="BD63" i="194" s="1"/>
  <c r="CB62" i="194"/>
  <c r="CA62" i="194"/>
  <c r="BZ62" i="194"/>
  <c r="BY62" i="194"/>
  <c r="BX62" i="194"/>
  <c r="BW62" i="194"/>
  <c r="BV62" i="194"/>
  <c r="BU62" i="194"/>
  <c r="BT62" i="194"/>
  <c r="BS62" i="194"/>
  <c r="BR62" i="194"/>
  <c r="BQ62" i="194"/>
  <c r="BP62" i="194"/>
  <c r="BO62" i="194"/>
  <c r="BN62" i="194"/>
  <c r="BM62" i="194"/>
  <c r="BD62" i="194"/>
  <c r="AE62" i="194"/>
  <c r="AH61" i="194" s="1"/>
  <c r="J62" i="194"/>
  <c r="G62" i="194"/>
  <c r="C62" i="194"/>
  <c r="CD61" i="194"/>
  <c r="CB61" i="194"/>
  <c r="CA61" i="194"/>
  <c r="BZ61" i="194"/>
  <c r="BY61" i="194"/>
  <c r="BX61" i="194"/>
  <c r="BW61" i="194"/>
  <c r="BV61" i="194"/>
  <c r="BU61" i="194"/>
  <c r="BT61" i="194"/>
  <c r="BS61" i="194"/>
  <c r="BR61" i="194"/>
  <c r="BQ61" i="194"/>
  <c r="BP61" i="194"/>
  <c r="BO61" i="194"/>
  <c r="BN61" i="194"/>
  <c r="BM61" i="194"/>
  <c r="BA61" i="194"/>
  <c r="B62" i="194" s="1"/>
  <c r="AE61" i="194"/>
  <c r="AN61" i="194" s="1"/>
  <c r="AN62" i="194" s="1"/>
  <c r="G61" i="194"/>
  <c r="C61" i="194"/>
  <c r="CB60" i="194"/>
  <c r="CA60" i="194"/>
  <c r="BZ60" i="194"/>
  <c r="BY60" i="194"/>
  <c r="BX60" i="194"/>
  <c r="BW60" i="194"/>
  <c r="BV60" i="194"/>
  <c r="BU60" i="194"/>
  <c r="BT60" i="194"/>
  <c r="BS60" i="194"/>
  <c r="BR60" i="194"/>
  <c r="BQ60" i="194"/>
  <c r="BP60" i="194"/>
  <c r="BO60" i="194"/>
  <c r="BN60" i="194"/>
  <c r="BM60" i="194"/>
  <c r="BD60" i="194"/>
  <c r="AE60" i="194"/>
  <c r="AH59" i="194" s="1"/>
  <c r="J60" i="194"/>
  <c r="G60" i="194"/>
  <c r="C60" i="194"/>
  <c r="CD59" i="194"/>
  <c r="CB59" i="194"/>
  <c r="CA59" i="194"/>
  <c r="BZ59" i="194"/>
  <c r="BY59" i="194"/>
  <c r="BX59" i="194"/>
  <c r="BW59" i="194"/>
  <c r="BV59" i="194"/>
  <c r="BU59" i="194"/>
  <c r="BT59" i="194"/>
  <c r="BS59" i="194"/>
  <c r="BR59" i="194"/>
  <c r="BQ59" i="194"/>
  <c r="BP59" i="194"/>
  <c r="BO59" i="194"/>
  <c r="BN59" i="194"/>
  <c r="BM59" i="194"/>
  <c r="BA59" i="194"/>
  <c r="BA60" i="194" s="1"/>
  <c r="AE59" i="194"/>
  <c r="AN59" i="194" s="1"/>
  <c r="AN60" i="194" s="1"/>
  <c r="G59" i="194"/>
  <c r="C59" i="194"/>
  <c r="AQ60" i="194" s="1"/>
  <c r="CB58" i="194"/>
  <c r="CA58" i="194"/>
  <c r="BZ58" i="194"/>
  <c r="BY58" i="194"/>
  <c r="BX58" i="194"/>
  <c r="BW58" i="194"/>
  <c r="BV58" i="194"/>
  <c r="BU58" i="194"/>
  <c r="BT58" i="194"/>
  <c r="BS58" i="194"/>
  <c r="BR58" i="194"/>
  <c r="BQ58" i="194"/>
  <c r="BP58" i="194"/>
  <c r="BO58" i="194"/>
  <c r="BN58" i="194"/>
  <c r="BM58" i="194"/>
  <c r="BD58" i="194"/>
  <c r="AE58" i="194"/>
  <c r="AH57" i="194" s="1"/>
  <c r="J58" i="194"/>
  <c r="G58" i="194"/>
  <c r="C58" i="194"/>
  <c r="CD57" i="194"/>
  <c r="CB57" i="194"/>
  <c r="CA57" i="194"/>
  <c r="BZ57" i="194"/>
  <c r="BY57" i="194"/>
  <c r="BX57" i="194"/>
  <c r="BW57" i="194"/>
  <c r="BV57" i="194"/>
  <c r="BU57" i="194"/>
  <c r="BT57" i="194"/>
  <c r="BS57" i="194"/>
  <c r="BR57" i="194"/>
  <c r="BQ57" i="194"/>
  <c r="BP57" i="194"/>
  <c r="BO57" i="194"/>
  <c r="BN57" i="194"/>
  <c r="BM57" i="194"/>
  <c r="BA57" i="194"/>
  <c r="AE57" i="194"/>
  <c r="AN57" i="194" s="1"/>
  <c r="AN58" i="194" s="1"/>
  <c r="G57" i="194"/>
  <c r="C57" i="194"/>
  <c r="CB56" i="194"/>
  <c r="CA56" i="194"/>
  <c r="BZ56" i="194"/>
  <c r="BY56" i="194"/>
  <c r="BX56" i="194"/>
  <c r="BW56" i="194"/>
  <c r="BV56" i="194"/>
  <c r="BU56" i="194"/>
  <c r="BT56" i="194"/>
  <c r="BS56" i="194"/>
  <c r="BR56" i="194"/>
  <c r="BQ56" i="194"/>
  <c r="BP56" i="194"/>
  <c r="BO56" i="194"/>
  <c r="BN56" i="194"/>
  <c r="BM56" i="194"/>
  <c r="BD56" i="194"/>
  <c r="AE56" i="194"/>
  <c r="AH55" i="194" s="1"/>
  <c r="J56" i="194"/>
  <c r="G56" i="194"/>
  <c r="C56" i="194"/>
  <c r="CD55" i="194"/>
  <c r="CB55" i="194"/>
  <c r="CA55" i="194"/>
  <c r="BZ55" i="194"/>
  <c r="BY55" i="194"/>
  <c r="BX55" i="194"/>
  <c r="BW55" i="194"/>
  <c r="BV55" i="194"/>
  <c r="BU55" i="194"/>
  <c r="BT55" i="194"/>
  <c r="BS55" i="194"/>
  <c r="BR55" i="194"/>
  <c r="BQ55" i="194"/>
  <c r="BP55" i="194"/>
  <c r="BO55" i="194"/>
  <c r="BN55" i="194"/>
  <c r="BM55" i="194"/>
  <c r="BA55" i="194"/>
  <c r="BA56" i="194" s="1"/>
  <c r="AE55" i="194"/>
  <c r="AN55" i="194" s="1"/>
  <c r="AN56" i="194" s="1"/>
  <c r="G55" i="194"/>
  <c r="C55" i="194"/>
  <c r="CB54" i="194"/>
  <c r="CA54" i="194"/>
  <c r="BZ54" i="194"/>
  <c r="BY54" i="194"/>
  <c r="BX54" i="194"/>
  <c r="BW54" i="194"/>
  <c r="BV54" i="194"/>
  <c r="BU54" i="194"/>
  <c r="BT54" i="194"/>
  <c r="BS54" i="194"/>
  <c r="BR54" i="194"/>
  <c r="BQ54" i="194"/>
  <c r="BP54" i="194"/>
  <c r="BO54" i="194"/>
  <c r="BN54" i="194"/>
  <c r="BM54" i="194"/>
  <c r="BD54" i="194"/>
  <c r="AE54" i="194"/>
  <c r="AH53" i="194" s="1"/>
  <c r="J54" i="194"/>
  <c r="G54" i="194"/>
  <c r="C54" i="194"/>
  <c r="CD53" i="194"/>
  <c r="CB53" i="194"/>
  <c r="CA53" i="194"/>
  <c r="BZ53" i="194"/>
  <c r="BY53" i="194"/>
  <c r="BX53" i="194"/>
  <c r="BW53" i="194"/>
  <c r="BV53" i="194"/>
  <c r="BU53" i="194"/>
  <c r="BT53" i="194"/>
  <c r="BS53" i="194"/>
  <c r="BR53" i="194"/>
  <c r="BQ53" i="194"/>
  <c r="BP53" i="194"/>
  <c r="BO53" i="194"/>
  <c r="BN53" i="194"/>
  <c r="BM53" i="194"/>
  <c r="BA53" i="194"/>
  <c r="BA54" i="194" s="1"/>
  <c r="AE53" i="194"/>
  <c r="AN53" i="194" s="1"/>
  <c r="AN54" i="194" s="1"/>
  <c r="G53" i="194"/>
  <c r="C53" i="194"/>
  <c r="BD53" i="194" s="1"/>
  <c r="CB52" i="194"/>
  <c r="CA52" i="194"/>
  <c r="BZ52" i="194"/>
  <c r="BY52" i="194"/>
  <c r="BX52" i="194"/>
  <c r="BW52" i="194"/>
  <c r="BV52" i="194"/>
  <c r="BU52" i="194"/>
  <c r="BT52" i="194"/>
  <c r="BS52" i="194"/>
  <c r="BR52" i="194"/>
  <c r="BQ52" i="194"/>
  <c r="BP52" i="194"/>
  <c r="BO52" i="194"/>
  <c r="BN52" i="194"/>
  <c r="BM52" i="194"/>
  <c r="BD52" i="194"/>
  <c r="AE52" i="194"/>
  <c r="AH51" i="194" s="1"/>
  <c r="J52" i="194"/>
  <c r="G52" i="194"/>
  <c r="C52" i="194"/>
  <c r="CD51" i="194"/>
  <c r="CB51" i="194"/>
  <c r="CA51" i="194"/>
  <c r="BZ51" i="194"/>
  <c r="BY51" i="194"/>
  <c r="BX51" i="194"/>
  <c r="BW51" i="194"/>
  <c r="BV51" i="194"/>
  <c r="BU51" i="194"/>
  <c r="BT51" i="194"/>
  <c r="BS51" i="194"/>
  <c r="BR51" i="194"/>
  <c r="BQ51" i="194"/>
  <c r="BP51" i="194"/>
  <c r="BO51" i="194"/>
  <c r="BN51" i="194"/>
  <c r="BM51" i="194"/>
  <c r="BA51" i="194"/>
  <c r="B52" i="194" s="1"/>
  <c r="AE51" i="194"/>
  <c r="AN51" i="194" s="1"/>
  <c r="AN52" i="194" s="1"/>
  <c r="G51" i="194"/>
  <c r="C51" i="194"/>
  <c r="AQ52" i="194" s="1"/>
  <c r="CB50" i="194"/>
  <c r="CA50" i="194"/>
  <c r="BZ50" i="194"/>
  <c r="BY50" i="194"/>
  <c r="BX50" i="194"/>
  <c r="BW50" i="194"/>
  <c r="BV50" i="194"/>
  <c r="BU50" i="194"/>
  <c r="BT50" i="194"/>
  <c r="BS50" i="194"/>
  <c r="BR50" i="194"/>
  <c r="BQ50" i="194"/>
  <c r="BP50" i="194"/>
  <c r="BO50" i="194"/>
  <c r="BN50" i="194"/>
  <c r="BM50" i="194"/>
  <c r="BD50" i="194"/>
  <c r="AE50" i="194"/>
  <c r="AH49" i="194" s="1"/>
  <c r="J50" i="194"/>
  <c r="G50" i="194"/>
  <c r="C50" i="194"/>
  <c r="CD49" i="194"/>
  <c r="CB49" i="194"/>
  <c r="CA49" i="194"/>
  <c r="BZ49" i="194"/>
  <c r="BY49" i="194"/>
  <c r="BX49" i="194"/>
  <c r="BW49" i="194"/>
  <c r="BV49" i="194"/>
  <c r="BU49" i="194"/>
  <c r="BT49" i="194"/>
  <c r="BS49" i="194"/>
  <c r="BR49" i="194"/>
  <c r="BQ49" i="194"/>
  <c r="BP49" i="194"/>
  <c r="BO49" i="194"/>
  <c r="BN49" i="194"/>
  <c r="BM49" i="194"/>
  <c r="BA49" i="194"/>
  <c r="B50" i="194" s="1"/>
  <c r="AE49" i="194"/>
  <c r="AN49" i="194" s="1"/>
  <c r="AN50" i="194" s="1"/>
  <c r="G49" i="194"/>
  <c r="C49" i="194"/>
  <c r="AQ50" i="194" s="1"/>
  <c r="CB48" i="194"/>
  <c r="CA48" i="194"/>
  <c r="BZ48" i="194"/>
  <c r="BY48" i="194"/>
  <c r="BX48" i="194"/>
  <c r="BW48" i="194"/>
  <c r="BV48" i="194"/>
  <c r="BU48" i="194"/>
  <c r="BT48" i="194"/>
  <c r="BS48" i="194"/>
  <c r="BR48" i="194"/>
  <c r="BQ48" i="194"/>
  <c r="BP48" i="194"/>
  <c r="BO48" i="194"/>
  <c r="BN48" i="194"/>
  <c r="BM48" i="194"/>
  <c r="BD48" i="194"/>
  <c r="AE48" i="194"/>
  <c r="AH47" i="194" s="1"/>
  <c r="J48" i="194"/>
  <c r="G48" i="194"/>
  <c r="C48" i="194"/>
  <c r="CD47" i="194"/>
  <c r="CB47" i="194"/>
  <c r="CA47" i="194"/>
  <c r="BZ47" i="194"/>
  <c r="BY47" i="194"/>
  <c r="BX47" i="194"/>
  <c r="BW47" i="194"/>
  <c r="BV47" i="194"/>
  <c r="BU47" i="194"/>
  <c r="BT47" i="194"/>
  <c r="BS47" i="194"/>
  <c r="BR47" i="194"/>
  <c r="BQ47" i="194"/>
  <c r="BP47" i="194"/>
  <c r="BO47" i="194"/>
  <c r="BN47" i="194"/>
  <c r="BM47" i="194"/>
  <c r="BA47" i="194"/>
  <c r="BA48" i="194" s="1"/>
  <c r="AN47" i="194"/>
  <c r="AN48" i="194" s="1"/>
  <c r="AE47" i="194"/>
  <c r="G47" i="194"/>
  <c r="C47" i="194"/>
  <c r="AQ48" i="194" s="1"/>
  <c r="CB46" i="194"/>
  <c r="CA46" i="194"/>
  <c r="BZ46" i="194"/>
  <c r="BY46" i="194"/>
  <c r="BX46" i="194"/>
  <c r="BW46" i="194"/>
  <c r="BV46" i="194"/>
  <c r="BU46" i="194"/>
  <c r="BT46" i="194"/>
  <c r="BS46" i="194"/>
  <c r="BR46" i="194"/>
  <c r="BQ46" i="194"/>
  <c r="BP46" i="194"/>
  <c r="BO46" i="194"/>
  <c r="BN46" i="194"/>
  <c r="BM46" i="194"/>
  <c r="BD46" i="194"/>
  <c r="AE46" i="194"/>
  <c r="J46" i="194"/>
  <c r="G46" i="194"/>
  <c r="C46" i="194"/>
  <c r="CD45" i="194"/>
  <c r="CB45" i="194"/>
  <c r="CA45" i="194"/>
  <c r="BZ45" i="194"/>
  <c r="BY45" i="194"/>
  <c r="BX45" i="194"/>
  <c r="BW45" i="194"/>
  <c r="BV45" i="194"/>
  <c r="BU45" i="194"/>
  <c r="BT45" i="194"/>
  <c r="BS45" i="194"/>
  <c r="BR45" i="194"/>
  <c r="BQ45" i="194"/>
  <c r="BP45" i="194"/>
  <c r="BO45" i="194"/>
  <c r="BN45" i="194"/>
  <c r="BM45" i="194"/>
  <c r="BA45" i="194"/>
  <c r="AH45" i="194"/>
  <c r="AE45" i="194"/>
  <c r="AN45" i="194" s="1"/>
  <c r="AN46" i="194" s="1"/>
  <c r="G45" i="194"/>
  <c r="C45" i="194"/>
  <c r="CB44" i="194"/>
  <c r="CA44" i="194"/>
  <c r="BZ44" i="194"/>
  <c r="BY44" i="194"/>
  <c r="BX44" i="194"/>
  <c r="BW44" i="194"/>
  <c r="BV44" i="194"/>
  <c r="BU44" i="194"/>
  <c r="BT44" i="194"/>
  <c r="BS44" i="194"/>
  <c r="BR44" i="194"/>
  <c r="BQ44" i="194"/>
  <c r="BP44" i="194"/>
  <c r="BO44" i="194"/>
  <c r="BN44" i="194"/>
  <c r="BM44" i="194"/>
  <c r="BD44" i="194"/>
  <c r="AE44" i="194"/>
  <c r="AH43" i="194" s="1"/>
  <c r="J44" i="194"/>
  <c r="G44" i="194"/>
  <c r="C44" i="194"/>
  <c r="CD43" i="194"/>
  <c r="CB43" i="194"/>
  <c r="CA43" i="194"/>
  <c r="BZ43" i="194"/>
  <c r="BY43" i="194"/>
  <c r="BX43" i="194"/>
  <c r="BW43" i="194"/>
  <c r="BV43" i="194"/>
  <c r="BU43" i="194"/>
  <c r="BT43" i="194"/>
  <c r="BS43" i="194"/>
  <c r="BR43" i="194"/>
  <c r="BQ43" i="194"/>
  <c r="BP43" i="194"/>
  <c r="BO43" i="194"/>
  <c r="BN43" i="194"/>
  <c r="BM43" i="194"/>
  <c r="BA43" i="194"/>
  <c r="BA44" i="194" s="1"/>
  <c r="AE43" i="194"/>
  <c r="AN43" i="194" s="1"/>
  <c r="AN44" i="194" s="1"/>
  <c r="G43" i="194"/>
  <c r="C43" i="194"/>
  <c r="CB42" i="194"/>
  <c r="CA42" i="194"/>
  <c r="BZ42" i="194"/>
  <c r="BY42" i="194"/>
  <c r="BX42" i="194"/>
  <c r="BW42" i="194"/>
  <c r="BV42" i="194"/>
  <c r="BU42" i="194"/>
  <c r="BT42" i="194"/>
  <c r="BS42" i="194"/>
  <c r="BR42" i="194"/>
  <c r="BQ42" i="194"/>
  <c r="BP42" i="194"/>
  <c r="BO42" i="194"/>
  <c r="BN42" i="194"/>
  <c r="BM42" i="194"/>
  <c r="BD42" i="194"/>
  <c r="AE42" i="194"/>
  <c r="J42" i="194"/>
  <c r="G42" i="194"/>
  <c r="C42" i="194"/>
  <c r="CD41" i="194"/>
  <c r="CB41" i="194"/>
  <c r="CA41" i="194"/>
  <c r="BZ41" i="194"/>
  <c r="BY41" i="194"/>
  <c r="BX41" i="194"/>
  <c r="BW41" i="194"/>
  <c r="BV41" i="194"/>
  <c r="BU41" i="194"/>
  <c r="BT41" i="194"/>
  <c r="BS41" i="194"/>
  <c r="BR41" i="194"/>
  <c r="BQ41" i="194"/>
  <c r="BP41" i="194"/>
  <c r="BO41" i="194"/>
  <c r="BN41" i="194"/>
  <c r="BM41" i="194"/>
  <c r="BA41" i="194"/>
  <c r="B42" i="194" s="1"/>
  <c r="AH41" i="194"/>
  <c r="AE41" i="194"/>
  <c r="AN41" i="194" s="1"/>
  <c r="AN42" i="194" s="1"/>
  <c r="G41" i="194"/>
  <c r="C41" i="194"/>
  <c r="AQ42" i="194" s="1"/>
  <c r="CB40" i="194"/>
  <c r="CA40" i="194"/>
  <c r="BZ40" i="194"/>
  <c r="BY40" i="194"/>
  <c r="BX40" i="194"/>
  <c r="BW40" i="194"/>
  <c r="BV40" i="194"/>
  <c r="BU40" i="194"/>
  <c r="BT40" i="194"/>
  <c r="BS40" i="194"/>
  <c r="BR40" i="194"/>
  <c r="BQ40" i="194"/>
  <c r="BP40" i="194"/>
  <c r="BO40" i="194"/>
  <c r="BN40" i="194"/>
  <c r="BM40" i="194"/>
  <c r="BD40" i="194"/>
  <c r="AE40" i="194"/>
  <c r="AH39" i="194" s="1"/>
  <c r="J40" i="194"/>
  <c r="G40" i="194"/>
  <c r="C40" i="194"/>
  <c r="CD39" i="194"/>
  <c r="CB39" i="194"/>
  <c r="CA39" i="194"/>
  <c r="BZ39" i="194"/>
  <c r="BY39" i="194"/>
  <c r="BX39" i="194"/>
  <c r="BW39" i="194"/>
  <c r="BV39" i="194"/>
  <c r="BU39" i="194"/>
  <c r="BT39" i="194"/>
  <c r="BS39" i="194"/>
  <c r="BR39" i="194"/>
  <c r="BQ39" i="194"/>
  <c r="BP39" i="194"/>
  <c r="BO39" i="194"/>
  <c r="BN39" i="194"/>
  <c r="BM39" i="194"/>
  <c r="BA39" i="194"/>
  <c r="B40" i="194" s="1"/>
  <c r="AE39" i="194"/>
  <c r="AN39" i="194" s="1"/>
  <c r="AN40" i="194" s="1"/>
  <c r="G39" i="194"/>
  <c r="C39" i="194"/>
  <c r="BD39" i="194" s="1"/>
  <c r="CB38" i="194"/>
  <c r="CA38" i="194"/>
  <c r="BZ38" i="194"/>
  <c r="BY38" i="194"/>
  <c r="BX38" i="194"/>
  <c r="BW38" i="194"/>
  <c r="BV38" i="194"/>
  <c r="BU38" i="194"/>
  <c r="BT38" i="194"/>
  <c r="BS38" i="194"/>
  <c r="BR38" i="194"/>
  <c r="BQ38" i="194"/>
  <c r="BP38" i="194"/>
  <c r="BO38" i="194"/>
  <c r="BN38" i="194"/>
  <c r="BM38" i="194"/>
  <c r="BD38" i="194"/>
  <c r="AE38" i="194"/>
  <c r="AH37" i="194" s="1"/>
  <c r="J38" i="194"/>
  <c r="G38" i="194"/>
  <c r="C38" i="194"/>
  <c r="CD37" i="194"/>
  <c r="CB37" i="194"/>
  <c r="CA37" i="194"/>
  <c r="BZ37" i="194"/>
  <c r="BY37" i="194"/>
  <c r="BX37" i="194"/>
  <c r="BW37" i="194"/>
  <c r="BV37" i="194"/>
  <c r="BU37" i="194"/>
  <c r="BT37" i="194"/>
  <c r="BS37" i="194"/>
  <c r="BR37" i="194"/>
  <c r="BQ37" i="194"/>
  <c r="BP37" i="194"/>
  <c r="BO37" i="194"/>
  <c r="BN37" i="194"/>
  <c r="BM37" i="194"/>
  <c r="BA37" i="194"/>
  <c r="BA38" i="194" s="1"/>
  <c r="AE37" i="194"/>
  <c r="AN37" i="194" s="1"/>
  <c r="AN38" i="194" s="1"/>
  <c r="G37" i="194"/>
  <c r="C37" i="194"/>
  <c r="CB36" i="194"/>
  <c r="CA36" i="194"/>
  <c r="BZ36" i="194"/>
  <c r="BY36" i="194"/>
  <c r="BX36" i="194"/>
  <c r="BW36" i="194"/>
  <c r="BV36" i="194"/>
  <c r="BU36" i="194"/>
  <c r="BT36" i="194"/>
  <c r="BS36" i="194"/>
  <c r="BR36" i="194"/>
  <c r="BQ36" i="194"/>
  <c r="BP36" i="194"/>
  <c r="BO36" i="194"/>
  <c r="BN36" i="194"/>
  <c r="BM36" i="194"/>
  <c r="BD36" i="194"/>
  <c r="AE36" i="194"/>
  <c r="AH35" i="194" s="1"/>
  <c r="J36" i="194"/>
  <c r="G36" i="194"/>
  <c r="C36" i="194"/>
  <c r="CD35" i="194"/>
  <c r="CB35" i="194"/>
  <c r="CA35" i="194"/>
  <c r="BZ35" i="194"/>
  <c r="BY35" i="194"/>
  <c r="BX35" i="194"/>
  <c r="BW35" i="194"/>
  <c r="BV35" i="194"/>
  <c r="BU35" i="194"/>
  <c r="BT35" i="194"/>
  <c r="BS35" i="194"/>
  <c r="BR35" i="194"/>
  <c r="BQ35" i="194"/>
  <c r="BP35" i="194"/>
  <c r="BO35" i="194"/>
  <c r="BN35" i="194"/>
  <c r="BM35" i="194"/>
  <c r="BA35" i="194"/>
  <c r="BA36" i="194" s="1"/>
  <c r="AE35" i="194"/>
  <c r="AN35" i="194" s="1"/>
  <c r="AN36" i="194" s="1"/>
  <c r="G35" i="194"/>
  <c r="C35" i="194"/>
  <c r="CB34" i="194"/>
  <c r="CA34" i="194"/>
  <c r="BZ34" i="194"/>
  <c r="BY34" i="194"/>
  <c r="BX34" i="194"/>
  <c r="BW34" i="194"/>
  <c r="BV34" i="194"/>
  <c r="BU34" i="194"/>
  <c r="BT34" i="194"/>
  <c r="BS34" i="194"/>
  <c r="BR34" i="194"/>
  <c r="BQ34" i="194"/>
  <c r="BP34" i="194"/>
  <c r="BO34" i="194"/>
  <c r="BN34" i="194"/>
  <c r="BM34" i="194"/>
  <c r="BD34" i="194"/>
  <c r="AE34" i="194"/>
  <c r="AH33" i="194" s="1"/>
  <c r="J34" i="194"/>
  <c r="G34" i="194"/>
  <c r="C34" i="194"/>
  <c r="CD33" i="194"/>
  <c r="CB33" i="194"/>
  <c r="CA33" i="194"/>
  <c r="BZ33" i="194"/>
  <c r="BY33" i="194"/>
  <c r="BX33" i="194"/>
  <c r="BW33" i="194"/>
  <c r="BV33" i="194"/>
  <c r="BU33" i="194"/>
  <c r="BT33" i="194"/>
  <c r="BS33" i="194"/>
  <c r="BR33" i="194"/>
  <c r="BQ33" i="194"/>
  <c r="BP33" i="194"/>
  <c r="BO33" i="194"/>
  <c r="BN33" i="194"/>
  <c r="BM33" i="194"/>
  <c r="BA33" i="194"/>
  <c r="BA34" i="194" s="1"/>
  <c r="AE33" i="194"/>
  <c r="G33" i="194"/>
  <c r="C33" i="194"/>
  <c r="AQ34" i="194" s="1"/>
  <c r="CB32" i="194"/>
  <c r="CA32" i="194"/>
  <c r="BZ32" i="194"/>
  <c r="BY32" i="194"/>
  <c r="BX32" i="194"/>
  <c r="BW32" i="194"/>
  <c r="BV32" i="194"/>
  <c r="BU32" i="194"/>
  <c r="BT32" i="194"/>
  <c r="BS32" i="194"/>
  <c r="BR32" i="194"/>
  <c r="BQ32" i="194"/>
  <c r="BP32" i="194"/>
  <c r="BO32" i="194"/>
  <c r="BN32" i="194"/>
  <c r="BM32" i="194"/>
  <c r="BD32" i="194"/>
  <c r="AE32" i="194"/>
  <c r="AH31" i="194" s="1"/>
  <c r="CD31" i="194"/>
  <c r="CB31" i="194"/>
  <c r="CA31" i="194"/>
  <c r="BZ31" i="194"/>
  <c r="BY31" i="194"/>
  <c r="BX31" i="194"/>
  <c r="BW31" i="194"/>
  <c r="BV31" i="194"/>
  <c r="BU31" i="194"/>
  <c r="BT31" i="194"/>
  <c r="BS31" i="194"/>
  <c r="BR31" i="194"/>
  <c r="BQ31" i="194"/>
  <c r="BP31" i="194"/>
  <c r="BO31" i="194"/>
  <c r="BN31" i="194"/>
  <c r="BM31" i="194"/>
  <c r="BA31" i="194"/>
  <c r="AE31" i="194"/>
  <c r="AN31" i="194" s="1"/>
  <c r="AN32" i="194" s="1"/>
  <c r="AQ32" i="194"/>
  <c r="CB30" i="194"/>
  <c r="CA30" i="194"/>
  <c r="BZ30" i="194"/>
  <c r="BY30" i="194"/>
  <c r="BX30" i="194"/>
  <c r="BW30" i="194"/>
  <c r="BV30" i="194"/>
  <c r="BU30" i="194"/>
  <c r="BT30" i="194"/>
  <c r="BS30" i="194"/>
  <c r="BR30" i="194"/>
  <c r="BQ30" i="194"/>
  <c r="BP30" i="194"/>
  <c r="BO30" i="194"/>
  <c r="BN30" i="194"/>
  <c r="BM30" i="194"/>
  <c r="BD30" i="194"/>
  <c r="AE30" i="194"/>
  <c r="AH29" i="194" s="1"/>
  <c r="CD29" i="194"/>
  <c r="CB29" i="194"/>
  <c r="CA29" i="194"/>
  <c r="BZ29" i="194"/>
  <c r="BY29" i="194"/>
  <c r="BX29" i="194"/>
  <c r="BW29" i="194"/>
  <c r="BV29" i="194"/>
  <c r="BU29" i="194"/>
  <c r="BT29" i="194"/>
  <c r="BS29" i="194"/>
  <c r="BR29" i="194"/>
  <c r="BQ29" i="194"/>
  <c r="BP29" i="194"/>
  <c r="BO29" i="194"/>
  <c r="BN29" i="194"/>
  <c r="BM29" i="194"/>
  <c r="BA29" i="194"/>
  <c r="AE29" i="194"/>
  <c r="BD29" i="194"/>
  <c r="CB28" i="194"/>
  <c r="CA28" i="194"/>
  <c r="BZ28" i="194"/>
  <c r="BY28" i="194"/>
  <c r="BX28" i="194"/>
  <c r="BW28" i="194"/>
  <c r="BV28" i="194"/>
  <c r="BU28" i="194"/>
  <c r="BT28" i="194"/>
  <c r="BS28" i="194"/>
  <c r="BR28" i="194"/>
  <c r="BQ28" i="194"/>
  <c r="BP28" i="194"/>
  <c r="BO28" i="194"/>
  <c r="BN28" i="194"/>
  <c r="BM28" i="194"/>
  <c r="BD28" i="194"/>
  <c r="AE28" i="194"/>
  <c r="AH27" i="194" s="1"/>
  <c r="CD27" i="194"/>
  <c r="CB27" i="194"/>
  <c r="CA27" i="194"/>
  <c r="BZ27" i="194"/>
  <c r="BY27" i="194"/>
  <c r="BX27" i="194"/>
  <c r="BW27" i="194"/>
  <c r="BV27" i="194"/>
  <c r="BU27" i="194"/>
  <c r="BT27" i="194"/>
  <c r="BS27" i="194"/>
  <c r="BR27" i="194"/>
  <c r="BQ27" i="194"/>
  <c r="BP27" i="194"/>
  <c r="BO27" i="194"/>
  <c r="BN27" i="194"/>
  <c r="BM27" i="194"/>
  <c r="BA27" i="194"/>
  <c r="B28" i="194" s="1"/>
  <c r="AE27" i="194"/>
  <c r="CB26" i="194"/>
  <c r="CA26" i="194"/>
  <c r="BZ26" i="194"/>
  <c r="BY26" i="194"/>
  <c r="BX26" i="194"/>
  <c r="BW26" i="194"/>
  <c r="BV26" i="194"/>
  <c r="BU26" i="194"/>
  <c r="BT26" i="194"/>
  <c r="BS26" i="194"/>
  <c r="BR26" i="194"/>
  <c r="BQ26" i="194"/>
  <c r="BP26" i="194"/>
  <c r="BO26" i="194"/>
  <c r="BN26" i="194"/>
  <c r="BM26" i="194"/>
  <c r="BD26" i="194"/>
  <c r="AE26" i="194"/>
  <c r="AH25" i="194" s="1"/>
  <c r="CD25" i="194"/>
  <c r="CB25" i="194"/>
  <c r="CA25" i="194"/>
  <c r="BZ25" i="194"/>
  <c r="BY25" i="194"/>
  <c r="BX25" i="194"/>
  <c r="BW25" i="194"/>
  <c r="BV25" i="194"/>
  <c r="BU25" i="194"/>
  <c r="BT25" i="194"/>
  <c r="BS25" i="194"/>
  <c r="BR25" i="194"/>
  <c r="BQ25" i="194"/>
  <c r="BP25" i="194"/>
  <c r="BO25" i="194"/>
  <c r="BN25" i="194"/>
  <c r="BM25" i="194"/>
  <c r="BA25" i="194"/>
  <c r="AE25" i="194"/>
  <c r="AN25" i="194" s="1"/>
  <c r="AN26" i="194" s="1"/>
  <c r="CB24" i="194"/>
  <c r="CA24" i="194"/>
  <c r="BZ24" i="194"/>
  <c r="BY24" i="194"/>
  <c r="BX24" i="194"/>
  <c r="BW24" i="194"/>
  <c r="BV24" i="194"/>
  <c r="BU24" i="194"/>
  <c r="BT24" i="194"/>
  <c r="BS24" i="194"/>
  <c r="BR24" i="194"/>
  <c r="BQ24" i="194"/>
  <c r="BP24" i="194"/>
  <c r="BO24" i="194"/>
  <c r="BN24" i="194"/>
  <c r="BM24" i="194"/>
  <c r="BD24" i="194"/>
  <c r="AE24" i="194"/>
  <c r="AH23" i="194" s="1"/>
  <c r="J24" i="194"/>
  <c r="G24" i="194"/>
  <c r="C24" i="194"/>
  <c r="CD23" i="194"/>
  <c r="CB23" i="194"/>
  <c r="CA23" i="194"/>
  <c r="BZ23" i="194"/>
  <c r="BY23" i="194"/>
  <c r="BX23" i="194"/>
  <c r="BW23" i="194"/>
  <c r="BV23" i="194"/>
  <c r="BU23" i="194"/>
  <c r="BT23" i="194"/>
  <c r="BS23" i="194"/>
  <c r="BR23" i="194"/>
  <c r="BQ23" i="194"/>
  <c r="BP23" i="194"/>
  <c r="BO23" i="194"/>
  <c r="BN23" i="194"/>
  <c r="BM23" i="194"/>
  <c r="BA23" i="194"/>
  <c r="AE23" i="194"/>
  <c r="AN23" i="194" s="1"/>
  <c r="AN24" i="194" s="1"/>
  <c r="C23" i="194"/>
  <c r="CB22" i="194"/>
  <c r="CA22" i="194"/>
  <c r="BZ22" i="194"/>
  <c r="BY22" i="194"/>
  <c r="BX22" i="194"/>
  <c r="BW22" i="194"/>
  <c r="BV22" i="194"/>
  <c r="BU22" i="194"/>
  <c r="BT22" i="194"/>
  <c r="BS22" i="194"/>
  <c r="BR22" i="194"/>
  <c r="BQ22" i="194"/>
  <c r="BP22" i="194"/>
  <c r="BO22" i="194"/>
  <c r="BN22" i="194"/>
  <c r="BM22" i="194"/>
  <c r="BD22" i="194"/>
  <c r="AE22" i="194"/>
  <c r="AH21" i="194" s="1"/>
  <c r="J22" i="194"/>
  <c r="G22" i="194"/>
  <c r="C22" i="194"/>
  <c r="CD21" i="194"/>
  <c r="CB21" i="194"/>
  <c r="CA21" i="194"/>
  <c r="BZ21" i="194"/>
  <c r="BY21" i="194"/>
  <c r="BX21" i="194"/>
  <c r="BW21" i="194"/>
  <c r="BV21" i="194"/>
  <c r="BU21" i="194"/>
  <c r="BT21" i="194"/>
  <c r="BS21" i="194"/>
  <c r="BR21" i="194"/>
  <c r="BQ21" i="194"/>
  <c r="BP21" i="194"/>
  <c r="BO21" i="194"/>
  <c r="BN21" i="194"/>
  <c r="BM21" i="194"/>
  <c r="BA21" i="194"/>
  <c r="B22" i="194" s="1"/>
  <c r="AE21" i="194"/>
  <c r="AN21" i="194" s="1"/>
  <c r="AN22" i="194" s="1"/>
  <c r="CB20" i="194"/>
  <c r="CA20" i="194"/>
  <c r="BZ20" i="194"/>
  <c r="BY20" i="194"/>
  <c r="BX20" i="194"/>
  <c r="BW20" i="194"/>
  <c r="BV20" i="194"/>
  <c r="BU20" i="194"/>
  <c r="BT20" i="194"/>
  <c r="BS20" i="194"/>
  <c r="BR20" i="194"/>
  <c r="BQ20" i="194"/>
  <c r="BP20" i="194"/>
  <c r="BO20" i="194"/>
  <c r="BN20" i="194"/>
  <c r="BM20" i="194"/>
  <c r="BD20" i="194"/>
  <c r="AE20" i="194"/>
  <c r="AH19" i="194" s="1"/>
  <c r="J20" i="194"/>
  <c r="G20" i="194"/>
  <c r="C20" i="194"/>
  <c r="CD19" i="194"/>
  <c r="CB19" i="194"/>
  <c r="CA19" i="194"/>
  <c r="BZ19" i="194"/>
  <c r="BY19" i="194"/>
  <c r="BX19" i="194"/>
  <c r="BW19" i="194"/>
  <c r="BV19" i="194"/>
  <c r="BU19" i="194"/>
  <c r="BT19" i="194"/>
  <c r="BS19" i="194"/>
  <c r="BR19" i="194"/>
  <c r="BQ19" i="194"/>
  <c r="BP19" i="194"/>
  <c r="BO19" i="194"/>
  <c r="BN19" i="194"/>
  <c r="BM19" i="194"/>
  <c r="BA19" i="194"/>
  <c r="BA20" i="194" s="1"/>
  <c r="AE19" i="194"/>
  <c r="AN19" i="194" s="1"/>
  <c r="AN20" i="194" s="1"/>
  <c r="G19" i="194"/>
  <c r="C19" i="194"/>
  <c r="BD19" i="194" s="1"/>
  <c r="CB18" i="194"/>
  <c r="CA18" i="194"/>
  <c r="BZ18" i="194"/>
  <c r="BY18" i="194"/>
  <c r="BX18" i="194"/>
  <c r="BW18" i="194"/>
  <c r="BV18" i="194"/>
  <c r="BU18" i="194"/>
  <c r="BT18" i="194"/>
  <c r="BS18" i="194"/>
  <c r="BR18" i="194"/>
  <c r="BQ18" i="194"/>
  <c r="BP18" i="194"/>
  <c r="BO18" i="194"/>
  <c r="BN18" i="194"/>
  <c r="BM18" i="194"/>
  <c r="BD18" i="194"/>
  <c r="AE18" i="194"/>
  <c r="AH17" i="194" s="1"/>
  <c r="J18" i="194"/>
  <c r="G18" i="194"/>
  <c r="C18" i="194"/>
  <c r="CD17" i="194"/>
  <c r="CB17" i="194"/>
  <c r="CA17" i="194"/>
  <c r="BZ17" i="194"/>
  <c r="BY17" i="194"/>
  <c r="BX17" i="194"/>
  <c r="BW17" i="194"/>
  <c r="BV17" i="194"/>
  <c r="BU17" i="194"/>
  <c r="BT17" i="194"/>
  <c r="BS17" i="194"/>
  <c r="BR17" i="194"/>
  <c r="BQ17" i="194"/>
  <c r="BP17" i="194"/>
  <c r="BO17" i="194"/>
  <c r="BN17" i="194"/>
  <c r="BM17" i="194"/>
  <c r="BA17" i="194"/>
  <c r="AE17" i="194"/>
  <c r="AN17" i="194" s="1"/>
  <c r="AN18" i="194" s="1"/>
  <c r="G17" i="194"/>
  <c r="C17" i="194"/>
  <c r="BD17" i="194" s="1"/>
  <c r="CB16" i="194"/>
  <c r="CA16" i="194"/>
  <c r="BZ16" i="194"/>
  <c r="BY16" i="194"/>
  <c r="BX16" i="194"/>
  <c r="BW16" i="194"/>
  <c r="BV16" i="194"/>
  <c r="BU16" i="194"/>
  <c r="BT16" i="194"/>
  <c r="BS16" i="194"/>
  <c r="BR16" i="194"/>
  <c r="BQ16" i="194"/>
  <c r="BP16" i="194"/>
  <c r="BO16" i="194"/>
  <c r="BN16" i="194"/>
  <c r="BM16" i="194"/>
  <c r="BD16" i="194"/>
  <c r="AE16" i="194"/>
  <c r="AH15" i="194" s="1"/>
  <c r="J16" i="194"/>
  <c r="G16" i="194"/>
  <c r="C16" i="194"/>
  <c r="CD15" i="194"/>
  <c r="CB15" i="194"/>
  <c r="CA15" i="194"/>
  <c r="BZ15" i="194"/>
  <c r="BY15" i="194"/>
  <c r="BX15" i="194"/>
  <c r="BW15" i="194"/>
  <c r="BV15" i="194"/>
  <c r="BU15" i="194"/>
  <c r="BT15" i="194"/>
  <c r="BS15" i="194"/>
  <c r="BR15" i="194"/>
  <c r="BQ15" i="194"/>
  <c r="BP15" i="194"/>
  <c r="BO15" i="194"/>
  <c r="BN15" i="194"/>
  <c r="BM15" i="194"/>
  <c r="BA15" i="194"/>
  <c r="BA16" i="194" s="1"/>
  <c r="AE15" i="194"/>
  <c r="G15" i="194"/>
  <c r="C15" i="194"/>
  <c r="CB14" i="194"/>
  <c r="CA14" i="194"/>
  <c r="BZ14" i="194"/>
  <c r="BY14" i="194"/>
  <c r="BX14" i="194"/>
  <c r="BW14" i="194"/>
  <c r="BV14" i="194"/>
  <c r="BU14" i="194"/>
  <c r="BT14" i="194"/>
  <c r="BS14" i="194"/>
  <c r="BR14" i="194"/>
  <c r="BQ14" i="194"/>
  <c r="BP14" i="194"/>
  <c r="BO14" i="194"/>
  <c r="BN14" i="194"/>
  <c r="BM14" i="194"/>
  <c r="BD14" i="194"/>
  <c r="AE14" i="194"/>
  <c r="AH13" i="194" s="1"/>
  <c r="J14" i="194"/>
  <c r="G14" i="194"/>
  <c r="C14" i="194"/>
  <c r="CD13" i="194"/>
  <c r="CB13" i="194"/>
  <c r="CA13" i="194"/>
  <c r="BZ13" i="194"/>
  <c r="BY13" i="194"/>
  <c r="BX13" i="194"/>
  <c r="BW13" i="194"/>
  <c r="BV13" i="194"/>
  <c r="BU13" i="194"/>
  <c r="BT13" i="194"/>
  <c r="BS13" i="194"/>
  <c r="BR13" i="194"/>
  <c r="BQ13" i="194"/>
  <c r="BP13" i="194"/>
  <c r="BO13" i="194"/>
  <c r="BN13" i="194"/>
  <c r="BM13" i="194"/>
  <c r="BA13" i="194"/>
  <c r="BA14" i="194" s="1"/>
  <c r="AE13" i="194"/>
  <c r="G13" i="194"/>
  <c r="C13" i="194"/>
  <c r="CB12" i="194"/>
  <c r="CA12" i="194"/>
  <c r="BZ12" i="194"/>
  <c r="BY12" i="194"/>
  <c r="BX12" i="194"/>
  <c r="BW12" i="194"/>
  <c r="BV12" i="194"/>
  <c r="BU12" i="194"/>
  <c r="BT12" i="194"/>
  <c r="BS12" i="194"/>
  <c r="BR12" i="194"/>
  <c r="BQ12" i="194"/>
  <c r="BP12" i="194"/>
  <c r="BO12" i="194"/>
  <c r="BN12" i="194"/>
  <c r="BM12" i="194"/>
  <c r="BD12" i="194"/>
  <c r="AE12" i="194"/>
  <c r="AH11" i="194" s="1"/>
  <c r="J12" i="194"/>
  <c r="G12" i="194"/>
  <c r="C12" i="194"/>
  <c r="CD11" i="194"/>
  <c r="CB11" i="194"/>
  <c r="CA11" i="194"/>
  <c r="BZ11" i="194"/>
  <c r="BY11" i="194"/>
  <c r="BX11" i="194"/>
  <c r="BW11" i="194"/>
  <c r="BV11" i="194"/>
  <c r="BU11" i="194"/>
  <c r="BT11" i="194"/>
  <c r="BS11" i="194"/>
  <c r="BR11" i="194"/>
  <c r="BQ11" i="194"/>
  <c r="BP11" i="194"/>
  <c r="BO11" i="194"/>
  <c r="BN11" i="194"/>
  <c r="BM11" i="194"/>
  <c r="BA11" i="194"/>
  <c r="BA12" i="194" s="1"/>
  <c r="AE11" i="194"/>
  <c r="G11" i="194"/>
  <c r="C11" i="194"/>
  <c r="BD11" i="194" s="1"/>
  <c r="CB10" i="194"/>
  <c r="CA10" i="194"/>
  <c r="BZ10" i="194"/>
  <c r="BY10" i="194"/>
  <c r="BX10" i="194"/>
  <c r="BW10" i="194"/>
  <c r="BV10" i="194"/>
  <c r="BU10" i="194"/>
  <c r="BT10" i="194"/>
  <c r="BS10" i="194"/>
  <c r="BR10" i="194"/>
  <c r="BQ10" i="194"/>
  <c r="BP10" i="194"/>
  <c r="BO10" i="194"/>
  <c r="BN10" i="194"/>
  <c r="BM10" i="194"/>
  <c r="BD10" i="194"/>
  <c r="AE10" i="194"/>
  <c r="AH9" i="194" s="1"/>
  <c r="J10" i="194"/>
  <c r="G10" i="194"/>
  <c r="C10" i="194"/>
  <c r="CD9" i="194"/>
  <c r="CB9" i="194"/>
  <c r="CA9" i="194"/>
  <c r="BZ9" i="194"/>
  <c r="BY9" i="194"/>
  <c r="BX9" i="194"/>
  <c r="BW9" i="194"/>
  <c r="BV9" i="194"/>
  <c r="BU9" i="194"/>
  <c r="BT9" i="194"/>
  <c r="BS9" i="194"/>
  <c r="BR9" i="194"/>
  <c r="BQ9" i="194"/>
  <c r="BP9" i="194"/>
  <c r="BO9" i="194"/>
  <c r="BN9" i="194"/>
  <c r="BM9" i="194"/>
  <c r="BA9" i="194"/>
  <c r="BA10" i="194" s="1"/>
  <c r="AE9" i="194"/>
  <c r="G9" i="194"/>
  <c r="C9" i="194"/>
  <c r="A9" i="194"/>
  <c r="BC9" i="194" s="1"/>
  <c r="CB8" i="194"/>
  <c r="CA8" i="194"/>
  <c r="BZ8" i="194"/>
  <c r="BY8" i="194"/>
  <c r="BX8" i="194"/>
  <c r="BW8" i="194"/>
  <c r="BV8" i="194"/>
  <c r="BU8" i="194"/>
  <c r="BT8" i="194"/>
  <c r="BS8" i="194"/>
  <c r="BR8" i="194"/>
  <c r="BQ8" i="194"/>
  <c r="BP8" i="194"/>
  <c r="BO8" i="194"/>
  <c r="BN8" i="194"/>
  <c r="BM8" i="194"/>
  <c r="BD8" i="194"/>
  <c r="AE8" i="194"/>
  <c r="J8" i="194"/>
  <c r="G8" i="194"/>
  <c r="C8" i="194"/>
  <c r="CD7" i="194"/>
  <c r="CB7" i="194"/>
  <c r="CA7" i="194"/>
  <c r="BZ7" i="194"/>
  <c r="BY7" i="194"/>
  <c r="BX7" i="194"/>
  <c r="BW7" i="194"/>
  <c r="BV7" i="194"/>
  <c r="BU7" i="194"/>
  <c r="BT7" i="194"/>
  <c r="BS7" i="194"/>
  <c r="BR7" i="194"/>
  <c r="BQ7" i="194"/>
  <c r="BP7" i="194"/>
  <c r="BO7" i="194"/>
  <c r="BN7" i="194"/>
  <c r="BM7" i="194"/>
  <c r="BC7" i="194"/>
  <c r="BA7" i="194"/>
  <c r="BA8" i="194" s="1"/>
  <c r="AE7" i="194"/>
  <c r="G7" i="194"/>
  <c r="C7" i="194"/>
  <c r="AK6" i="194"/>
  <c r="AK5" i="194"/>
  <c r="BG6" i="194" s="1"/>
  <c r="BA3" i="194"/>
  <c r="S3" i="194"/>
  <c r="O3" i="194"/>
  <c r="AQ26" i="194" s="1"/>
  <c r="C3" i="194"/>
  <c r="BA2" i="194"/>
  <c r="C2" i="194"/>
  <c r="BA1" i="194"/>
  <c r="BG134" i="194" l="1"/>
  <c r="AK133" i="194" s="1"/>
  <c r="AN27" i="194"/>
  <c r="AN28" i="194" s="1"/>
  <c r="AK2" i="194"/>
  <c r="BG116" i="194"/>
  <c r="AK115" i="194" s="1"/>
  <c r="BG73" i="194"/>
  <c r="BG53" i="194"/>
  <c r="BG64" i="194"/>
  <c r="AK63" i="194" s="1"/>
  <c r="BG74" i="194"/>
  <c r="AK73" i="194" s="1"/>
  <c r="BG88" i="194"/>
  <c r="AK87" i="194" s="1"/>
  <c r="BG120" i="194"/>
  <c r="AK119" i="194" s="1"/>
  <c r="BG50" i="194"/>
  <c r="AK49" i="194" s="1"/>
  <c r="BG56" i="194"/>
  <c r="AK55" i="194" s="1"/>
  <c r="BG78" i="194"/>
  <c r="AK77" i="194" s="1"/>
  <c r="BG72" i="194"/>
  <c r="AK71" i="194" s="1"/>
  <c r="BG96" i="194"/>
  <c r="AK95" i="194" s="1"/>
  <c r="BG122" i="194"/>
  <c r="AK121" i="194" s="1"/>
  <c r="A11" i="194"/>
  <c r="AN33" i="194"/>
  <c r="AN34" i="194" s="1"/>
  <c r="AN9" i="194"/>
  <c r="AN10" i="194" s="1"/>
  <c r="AN11" i="194"/>
  <c r="AN12" i="194" s="1"/>
  <c r="AN29" i="194"/>
  <c r="AN30" i="194" s="1"/>
  <c r="AQ86" i="194"/>
  <c r="BD97" i="194"/>
  <c r="BG97" i="194" s="1"/>
  <c r="BA30" i="194"/>
  <c r="B30" i="194"/>
  <c r="BA26" i="194"/>
  <c r="B26" i="194"/>
  <c r="BA32" i="194"/>
  <c r="B32" i="194"/>
  <c r="AN13" i="194"/>
  <c r="AN14" i="194" s="1"/>
  <c r="AN15" i="194"/>
  <c r="AN16" i="194" s="1"/>
  <c r="AQ16" i="194"/>
  <c r="AQ20" i="194"/>
  <c r="BG94" i="194"/>
  <c r="AK93" i="194" s="1"/>
  <c r="BG40" i="194"/>
  <c r="AK39" i="194" s="1"/>
  <c r="BG128" i="194"/>
  <c r="AK127" i="194" s="1"/>
  <c r="BG76" i="194"/>
  <c r="AK75" i="194" s="1"/>
  <c r="BG100" i="194"/>
  <c r="AK99" i="194" s="1"/>
  <c r="BG38" i="194"/>
  <c r="AK37" i="194" s="1"/>
  <c r="BG84" i="194"/>
  <c r="AK83" i="194" s="1"/>
  <c r="BG118" i="194"/>
  <c r="AK117" i="194" s="1"/>
  <c r="BG52" i="194"/>
  <c r="AK51" i="194" s="1"/>
  <c r="BG30" i="194"/>
  <c r="AK29" i="194" s="1"/>
  <c r="AK30" i="194" s="1"/>
  <c r="BG80" i="194"/>
  <c r="AK79" i="194" s="1"/>
  <c r="BG130" i="194"/>
  <c r="AK129" i="194" s="1"/>
  <c r="AK120" i="194"/>
  <c r="BG62" i="194"/>
  <c r="AK61" i="194" s="1"/>
  <c r="AQ18" i="194"/>
  <c r="AQ76" i="194"/>
  <c r="BD41" i="194"/>
  <c r="BG41" i="194" s="1"/>
  <c r="AK96" i="194"/>
  <c r="AQ96" i="194"/>
  <c r="BA42" i="194"/>
  <c r="B78" i="194"/>
  <c r="BD139" i="194"/>
  <c r="BG139" i="194" s="1"/>
  <c r="B94" i="194"/>
  <c r="BD131" i="194"/>
  <c r="BG131" i="194" s="1"/>
  <c r="BA112" i="194"/>
  <c r="B92" i="194"/>
  <c r="AQ138" i="194"/>
  <c r="BA28" i="194"/>
  <c r="B34" i="194"/>
  <c r="BA74" i="194"/>
  <c r="AQ130" i="194"/>
  <c r="B56" i="194"/>
  <c r="AQ40" i="194"/>
  <c r="B48" i="194"/>
  <c r="AQ74" i="194"/>
  <c r="BA76" i="194"/>
  <c r="B20" i="194"/>
  <c r="AQ30" i="194"/>
  <c r="BA72" i="194"/>
  <c r="AQ110" i="194"/>
  <c r="B138" i="194"/>
  <c r="BA140" i="194"/>
  <c r="B146" i="194"/>
  <c r="B16" i="194"/>
  <c r="BD51" i="194"/>
  <c r="BG51" i="194" s="1"/>
  <c r="BA90" i="194"/>
  <c r="BD83" i="194"/>
  <c r="BG83" i="194" s="1"/>
  <c r="B134" i="194"/>
  <c r="B142" i="194"/>
  <c r="B104" i="194"/>
  <c r="BA106" i="194"/>
  <c r="BA22" i="194"/>
  <c r="AQ54" i="194"/>
  <c r="AQ64" i="194"/>
  <c r="BD7" i="194"/>
  <c r="BG7" i="194" s="1"/>
  <c r="B38" i="194"/>
  <c r="B60" i="194"/>
  <c r="BA62" i="194"/>
  <c r="BD25" i="194"/>
  <c r="BG25" i="194" s="1"/>
  <c r="B70" i="194"/>
  <c r="BD119" i="194"/>
  <c r="BG119" i="194" s="1"/>
  <c r="BK119" i="194" s="1"/>
  <c r="B132" i="194"/>
  <c r="B110" i="194"/>
  <c r="BD117" i="194"/>
  <c r="BG117" i="194" s="1"/>
  <c r="B36" i="194"/>
  <c r="BA50" i="194"/>
  <c r="B68" i="194"/>
  <c r="BD107" i="194"/>
  <c r="BG107" i="194" s="1"/>
  <c r="B128" i="194"/>
  <c r="BD141" i="194"/>
  <c r="BG141" i="194" s="1"/>
  <c r="BD151" i="194"/>
  <c r="BG151" i="194" s="1"/>
  <c r="B14" i="194"/>
  <c r="BD81" i="194"/>
  <c r="BG81" i="194" s="1"/>
  <c r="B100" i="194"/>
  <c r="B98" i="194"/>
  <c r="B82" i="194"/>
  <c r="BD79" i="194"/>
  <c r="BG79" i="194" s="1"/>
  <c r="B116" i="194"/>
  <c r="B126" i="194"/>
  <c r="B150" i="194"/>
  <c r="BD31" i="194"/>
  <c r="BG31" i="194" s="1"/>
  <c r="BA130" i="194"/>
  <c r="B54" i="194"/>
  <c r="B64" i="194"/>
  <c r="BA118" i="194"/>
  <c r="BA84" i="194"/>
  <c r="BD135" i="194"/>
  <c r="BG135" i="194" s="1"/>
  <c r="B148" i="194"/>
  <c r="CB153" i="194"/>
  <c r="BG10" i="194"/>
  <c r="AK9" i="194" s="1"/>
  <c r="AK10" i="194" s="1"/>
  <c r="BG18" i="194"/>
  <c r="AK17" i="194" s="1"/>
  <c r="AK18" i="194" s="1"/>
  <c r="BV153" i="194"/>
  <c r="BG16" i="194"/>
  <c r="AK15" i="194" s="1"/>
  <c r="AK16" i="194" s="1"/>
  <c r="BG123" i="194"/>
  <c r="BJ123" i="194" s="1"/>
  <c r="BG75" i="194"/>
  <c r="BK75" i="194" s="1"/>
  <c r="BJ73" i="194"/>
  <c r="BK73" i="194"/>
  <c r="AK52" i="194"/>
  <c r="BJ53" i="194"/>
  <c r="BK53" i="194"/>
  <c r="AK118" i="194"/>
  <c r="AQ62" i="194"/>
  <c r="BD61" i="194"/>
  <c r="BG61" i="194" s="1"/>
  <c r="AK62" i="194"/>
  <c r="BG108" i="194"/>
  <c r="AK107" i="194" s="1"/>
  <c r="AK116" i="194"/>
  <c r="BD145" i="194"/>
  <c r="BG145" i="194" s="1"/>
  <c r="AQ146" i="194"/>
  <c r="BG8" i="194"/>
  <c r="AK7" i="194" s="1"/>
  <c r="BY153" i="194"/>
  <c r="B18" i="194"/>
  <c r="BA18" i="194"/>
  <c r="BG90" i="194"/>
  <c r="AK89" i="194" s="1"/>
  <c r="AQ100" i="194"/>
  <c r="BD99" i="194"/>
  <c r="BG99" i="194" s="1"/>
  <c r="AK100" i="194"/>
  <c r="BS153" i="194"/>
  <c r="BT153" i="194"/>
  <c r="BD15" i="194"/>
  <c r="BG15" i="194" s="1"/>
  <c r="BG32" i="194"/>
  <c r="AK31" i="194" s="1"/>
  <c r="AK32" i="194" s="1"/>
  <c r="BU153" i="194"/>
  <c r="BG26" i="194"/>
  <c r="AK25" i="194" s="1"/>
  <c r="AK26" i="194" s="1"/>
  <c r="AQ24" i="194"/>
  <c r="BD23" i="194"/>
  <c r="BG23" i="194" s="1"/>
  <c r="BG106" i="194"/>
  <c r="AK105" i="194" s="1"/>
  <c r="AK106" i="194" s="1"/>
  <c r="BG22" i="194"/>
  <c r="AK21" i="194" s="1"/>
  <c r="BG82" i="194"/>
  <c r="AK81" i="194" s="1"/>
  <c r="AK88" i="194"/>
  <c r="BG152" i="194"/>
  <c r="AK151" i="194" s="1"/>
  <c r="BA136" i="194"/>
  <c r="B136" i="194"/>
  <c r="AQ70" i="194"/>
  <c r="BD69" i="194"/>
  <c r="BG69" i="194" s="1"/>
  <c r="BG150" i="194"/>
  <c r="AK149" i="194" s="1"/>
  <c r="AK150" i="194" s="1"/>
  <c r="BD45" i="194"/>
  <c r="BG45" i="194" s="1"/>
  <c r="AQ46" i="194"/>
  <c r="BG86" i="194"/>
  <c r="AK85" i="194" s="1"/>
  <c r="B96" i="194"/>
  <c r="BA96" i="194"/>
  <c r="BG58" i="194"/>
  <c r="AK57" i="194" s="1"/>
  <c r="AK58" i="194" s="1"/>
  <c r="AK74" i="194"/>
  <c r="BG44" i="194"/>
  <c r="AK43" i="194" s="1"/>
  <c r="BA120" i="194"/>
  <c r="BG144" i="194"/>
  <c r="AK143" i="194" s="1"/>
  <c r="AK144" i="194" s="1"/>
  <c r="BZ153" i="194"/>
  <c r="AK84" i="194"/>
  <c r="BD133" i="194"/>
  <c r="BG133" i="194" s="1"/>
  <c r="AK134" i="194"/>
  <c r="AQ134" i="194"/>
  <c r="CA153" i="194"/>
  <c r="BD21" i="194"/>
  <c r="BG21" i="194" s="1"/>
  <c r="AQ22" i="194"/>
  <c r="AK64" i="194"/>
  <c r="BA122" i="194"/>
  <c r="B122" i="194"/>
  <c r="BG140" i="194"/>
  <c r="AK139" i="194" s="1"/>
  <c r="BR153" i="194"/>
  <c r="BA80" i="194"/>
  <c r="B80" i="194"/>
  <c r="AK40" i="194"/>
  <c r="BG104" i="194"/>
  <c r="AK103" i="194" s="1"/>
  <c r="BG12" i="194"/>
  <c r="AK11" i="194" s="1"/>
  <c r="BW153" i="194"/>
  <c r="BG60" i="194"/>
  <c r="AK59" i="194" s="1"/>
  <c r="AQ102" i="194"/>
  <c r="BG138" i="194"/>
  <c r="AK137" i="194" s="1"/>
  <c r="AK138" i="194" s="1"/>
  <c r="AK130" i="194"/>
  <c r="BG54" i="194"/>
  <c r="AK53" i="194" s="1"/>
  <c r="BG28" i="194"/>
  <c r="AK27" i="194" s="1"/>
  <c r="AK28" i="194" s="1"/>
  <c r="BG66" i="194"/>
  <c r="AK65" i="194" s="1"/>
  <c r="AK66" i="194" s="1"/>
  <c r="AQ68" i="194"/>
  <c r="BD67" i="194"/>
  <c r="BG67" i="194" s="1"/>
  <c r="AK76" i="194"/>
  <c r="AQ94" i="194"/>
  <c r="BD93" i="194"/>
  <c r="BG93" i="194" s="1"/>
  <c r="AK94" i="194"/>
  <c r="BG137" i="194"/>
  <c r="BG17" i="194"/>
  <c r="BA24" i="194"/>
  <c r="B24" i="194"/>
  <c r="BG95" i="194"/>
  <c r="BG124" i="194"/>
  <c r="AK123" i="194" s="1"/>
  <c r="AK124" i="194" s="1"/>
  <c r="BD127" i="194"/>
  <c r="BG127" i="194" s="1"/>
  <c r="AK128" i="194"/>
  <c r="BG136" i="194"/>
  <c r="AK135" i="194" s="1"/>
  <c r="BX153" i="194"/>
  <c r="B44" i="194"/>
  <c r="B66" i="194"/>
  <c r="B144" i="194"/>
  <c r="BG34" i="194"/>
  <c r="AK33" i="194" s="1"/>
  <c r="AK34" i="194" s="1"/>
  <c r="AQ38" i="194"/>
  <c r="BD37" i="194"/>
  <c r="BG37" i="194" s="1"/>
  <c r="AK38" i="194"/>
  <c r="BG101" i="194"/>
  <c r="BD143" i="194"/>
  <c r="BG143" i="194" s="1"/>
  <c r="AQ144" i="194"/>
  <c r="BG19" i="194"/>
  <c r="BG24" i="194"/>
  <c r="AK23" i="194" s="1"/>
  <c r="BG48" i="194"/>
  <c r="AK47" i="194" s="1"/>
  <c r="BG102" i="194"/>
  <c r="AK101" i="194" s="1"/>
  <c r="BG148" i="194"/>
  <c r="AK147" i="194" s="1"/>
  <c r="BA46" i="194"/>
  <c r="B46" i="194"/>
  <c r="BG3" i="194"/>
  <c r="BG63" i="194"/>
  <c r="BG70" i="194"/>
  <c r="AK69" i="194" s="1"/>
  <c r="AK70" i="194" s="1"/>
  <c r="B86" i="194"/>
  <c r="BD91" i="194"/>
  <c r="BG91" i="194" s="1"/>
  <c r="AQ92" i="194"/>
  <c r="AQ114" i="194"/>
  <c r="BD113" i="194"/>
  <c r="BG113" i="194" s="1"/>
  <c r="AE154" i="194"/>
  <c r="AQ14" i="194"/>
  <c r="BD13" i="194"/>
  <c r="BG13" i="194" s="1"/>
  <c r="B12" i="194"/>
  <c r="BG129" i="194"/>
  <c r="B8" i="194"/>
  <c r="BD9" i="194"/>
  <c r="BG9" i="194" s="1"/>
  <c r="AQ10" i="194"/>
  <c r="BG20" i="194"/>
  <c r="AK19" i="194" s="1"/>
  <c r="BG39" i="194"/>
  <c r="BA40" i="194"/>
  <c r="O5" i="194"/>
  <c r="B10" i="194"/>
  <c r="B88" i="194"/>
  <c r="BG132" i="194"/>
  <c r="AK131" i="194" s="1"/>
  <c r="AQ44" i="194"/>
  <c r="AK44" i="194"/>
  <c r="BD43" i="194"/>
  <c r="BG43" i="194" s="1"/>
  <c r="BG46" i="194"/>
  <c r="AK45" i="194" s="1"/>
  <c r="AK46" i="194" s="1"/>
  <c r="AQ12" i="194"/>
  <c r="AQ106" i="194"/>
  <c r="BG146" i="194"/>
  <c r="AK145" i="194" s="1"/>
  <c r="AK50" i="194"/>
  <c r="BG68" i="194"/>
  <c r="AK67" i="194" s="1"/>
  <c r="BD77" i="194"/>
  <c r="BG77" i="194" s="1"/>
  <c r="AK78" i="194"/>
  <c r="BA108" i="194"/>
  <c r="BD111" i="194"/>
  <c r="BG111" i="194" s="1"/>
  <c r="BA152" i="194"/>
  <c r="BD65" i="194"/>
  <c r="BG65" i="194" s="1"/>
  <c r="AQ66" i="194"/>
  <c r="AQ58" i="194"/>
  <c r="BD57" i="194"/>
  <c r="BG57" i="194" s="1"/>
  <c r="AQ150" i="194"/>
  <c r="BD149" i="194"/>
  <c r="BG149" i="194" s="1"/>
  <c r="BD27" i="194"/>
  <c r="BG27" i="194" s="1"/>
  <c r="AQ28" i="194"/>
  <c r="BD87" i="194"/>
  <c r="BG87" i="194" s="1"/>
  <c r="BG105" i="194"/>
  <c r="BG114" i="194"/>
  <c r="AK113" i="194" s="1"/>
  <c r="AQ122" i="194"/>
  <c r="BD121" i="194"/>
  <c r="BG121" i="194" s="1"/>
  <c r="AK122" i="194"/>
  <c r="BG126" i="194"/>
  <c r="AK125" i="194" s="1"/>
  <c r="AK126" i="194" s="1"/>
  <c r="BG142" i="194"/>
  <c r="AK141" i="194" s="1"/>
  <c r="BG112" i="194"/>
  <c r="AK111" i="194" s="1"/>
  <c r="BG98" i="194"/>
  <c r="AK97" i="194" s="1"/>
  <c r="AH7" i="194"/>
  <c r="AE153" i="194"/>
  <c r="BA114" i="194"/>
  <c r="B114" i="194"/>
  <c r="BG11" i="194"/>
  <c r="BD89" i="194"/>
  <c r="BG89" i="194" s="1"/>
  <c r="BG92" i="194"/>
  <c r="AK91" i="194" s="1"/>
  <c r="AK92" i="194" s="1"/>
  <c r="AQ124" i="194"/>
  <c r="BD35" i="194"/>
  <c r="BG35" i="194" s="1"/>
  <c r="AQ36" i="194"/>
  <c r="AK56" i="194"/>
  <c r="BM153" i="194"/>
  <c r="BG29" i="194"/>
  <c r="BD71" i="194"/>
  <c r="BG71" i="194" s="1"/>
  <c r="AK72" i="194"/>
  <c r="AK80" i="194"/>
  <c r="BG109" i="194"/>
  <c r="BA124" i="194"/>
  <c r="B124" i="194"/>
  <c r="BA102" i="194"/>
  <c r="B102" i="194"/>
  <c r="BG14" i="194"/>
  <c r="AK13" i="194" s="1"/>
  <c r="AK14" i="194" s="1"/>
  <c r="BG42" i="194"/>
  <c r="AK41" i="194" s="1"/>
  <c r="BP153" i="194"/>
  <c r="BN153" i="194"/>
  <c r="BD33" i="194"/>
  <c r="BG33" i="194" s="1"/>
  <c r="BG36" i="194"/>
  <c r="AK35" i="194" s="1"/>
  <c r="BA58" i="194"/>
  <c r="B58" i="194"/>
  <c r="BG110" i="194"/>
  <c r="AK109" i="194" s="1"/>
  <c r="BG85" i="194"/>
  <c r="BQ153" i="194"/>
  <c r="BO153" i="194"/>
  <c r="BD49" i="194"/>
  <c r="BG49" i="194" s="1"/>
  <c r="BA52" i="194"/>
  <c r="BD55" i="194"/>
  <c r="BG55" i="194" s="1"/>
  <c r="AQ56" i="194"/>
  <c r="BD147" i="194"/>
  <c r="BG147" i="194" s="1"/>
  <c r="BD125" i="194"/>
  <c r="BG125" i="194" s="1"/>
  <c r="AQ148" i="194"/>
  <c r="BD47" i="194"/>
  <c r="BG47" i="194" s="1"/>
  <c r="BD103" i="194"/>
  <c r="BG103" i="194" s="1"/>
  <c r="BD59" i="194"/>
  <c r="BG59" i="194" s="1"/>
  <c r="BD115" i="194"/>
  <c r="BG115" i="194" s="1"/>
  <c r="L3" i="145"/>
  <c r="D2" i="144"/>
  <c r="D7" i="67"/>
  <c r="D8" i="67"/>
  <c r="D27" i="67"/>
  <c r="D28" i="67"/>
  <c r="N480" i="5"/>
  <c r="N479" i="5"/>
  <c r="N478" i="5"/>
  <c r="N477" i="5"/>
  <c r="N476" i="5"/>
  <c r="N475" i="5"/>
  <c r="N474" i="5"/>
  <c r="N473" i="5"/>
  <c r="N472" i="5"/>
  <c r="N471" i="5"/>
  <c r="N470" i="5"/>
  <c r="N469" i="5"/>
  <c r="N468" i="5"/>
  <c r="N467" i="5"/>
  <c r="N466" i="5"/>
  <c r="N465" i="5"/>
  <c r="N464" i="5"/>
  <c r="N463" i="5"/>
  <c r="N462" i="5"/>
  <c r="N461" i="5"/>
  <c r="N460" i="5"/>
  <c r="N459" i="5"/>
  <c r="N458" i="5"/>
  <c r="N457" i="5"/>
  <c r="N456" i="5"/>
  <c r="N455" i="5"/>
  <c r="N454" i="5"/>
  <c r="N453" i="5"/>
  <c r="N452" i="5"/>
  <c r="N451" i="5"/>
  <c r="N450" i="5"/>
  <c r="N449" i="5"/>
  <c r="N448" i="5"/>
  <c r="N447" i="5"/>
  <c r="N446" i="5"/>
  <c r="N445" i="5"/>
  <c r="N444" i="5"/>
  <c r="N443" i="5"/>
  <c r="N442" i="5"/>
  <c r="N441" i="5"/>
  <c r="N440" i="5"/>
  <c r="N439" i="5"/>
  <c r="N438" i="5"/>
  <c r="N437" i="5"/>
  <c r="N436" i="5"/>
  <c r="N435" i="5"/>
  <c r="N434" i="5"/>
  <c r="N433" i="5"/>
  <c r="N432" i="5"/>
  <c r="N431" i="5"/>
  <c r="N430" i="5"/>
  <c r="N429" i="5"/>
  <c r="N428" i="5"/>
  <c r="N427" i="5"/>
  <c r="N426" i="5"/>
  <c r="N425" i="5"/>
  <c r="N424" i="5"/>
  <c r="N423" i="5"/>
  <c r="N422" i="5"/>
  <c r="N421" i="5"/>
  <c r="N420" i="5"/>
  <c r="N419" i="5"/>
  <c r="N418" i="5"/>
  <c r="N417" i="5"/>
  <c r="N416" i="5"/>
  <c r="N415" i="5"/>
  <c r="N414" i="5"/>
  <c r="N413" i="5"/>
  <c r="N412" i="5"/>
  <c r="N411" i="5"/>
  <c r="N410" i="5"/>
  <c r="N409" i="5"/>
  <c r="N408" i="5"/>
  <c r="N407" i="5"/>
  <c r="N406" i="5"/>
  <c r="N405" i="5"/>
  <c r="N404" i="5"/>
  <c r="N403" i="5"/>
  <c r="N402" i="5"/>
  <c r="N401" i="5"/>
  <c r="N400" i="5"/>
  <c r="N399" i="5"/>
  <c r="N398" i="5"/>
  <c r="N397" i="5"/>
  <c r="N396" i="5"/>
  <c r="N395" i="5"/>
  <c r="N394" i="5"/>
  <c r="N393" i="5"/>
  <c r="N392" i="5"/>
  <c r="N391" i="5"/>
  <c r="N390" i="5"/>
  <c r="N389" i="5"/>
  <c r="N388" i="5"/>
  <c r="N387" i="5"/>
  <c r="N386" i="5"/>
  <c r="N385" i="5"/>
  <c r="N384" i="5"/>
  <c r="N383" i="5"/>
  <c r="N382" i="5"/>
  <c r="N381" i="5"/>
  <c r="N380" i="5"/>
  <c r="N379" i="5"/>
  <c r="N378" i="5"/>
  <c r="N377" i="5"/>
  <c r="N376" i="5"/>
  <c r="N375" i="5"/>
  <c r="N374" i="5"/>
  <c r="N373" i="5"/>
  <c r="N372" i="5"/>
  <c r="N371" i="5"/>
  <c r="N370" i="5"/>
  <c r="N369" i="5"/>
  <c r="N368" i="5"/>
  <c r="N367" i="5"/>
  <c r="N366" i="5"/>
  <c r="N365" i="5"/>
  <c r="N364" i="5"/>
  <c r="N363" i="5"/>
  <c r="N362" i="5"/>
  <c r="N361" i="5"/>
  <c r="N360" i="5"/>
  <c r="N359" i="5"/>
  <c r="N358" i="5"/>
  <c r="N357" i="5"/>
  <c r="N356" i="5"/>
  <c r="N355" i="5"/>
  <c r="N354" i="5"/>
  <c r="N353" i="5"/>
  <c r="N352" i="5"/>
  <c r="N351" i="5"/>
  <c r="N350" i="5"/>
  <c r="N349" i="5"/>
  <c r="N348" i="5"/>
  <c r="N347" i="5"/>
  <c r="N346" i="5"/>
  <c r="N345" i="5"/>
  <c r="N344" i="5"/>
  <c r="N343" i="5"/>
  <c r="N342" i="5"/>
  <c r="N341" i="5"/>
  <c r="N340" i="5"/>
  <c r="N339" i="5"/>
  <c r="N338" i="5"/>
  <c r="N337" i="5"/>
  <c r="N336" i="5"/>
  <c r="N335" i="5"/>
  <c r="N334" i="5"/>
  <c r="N333" i="5"/>
  <c r="N332" i="5"/>
  <c r="N331" i="5"/>
  <c r="N330" i="5"/>
  <c r="N329" i="5"/>
  <c r="N328" i="5"/>
  <c r="N327" i="5"/>
  <c r="N326" i="5"/>
  <c r="N325" i="5"/>
  <c r="N324" i="5"/>
  <c r="N323" i="5"/>
  <c r="N322" i="5"/>
  <c r="N321" i="5"/>
  <c r="N320" i="5"/>
  <c r="N319" i="5"/>
  <c r="N318" i="5"/>
  <c r="N317" i="5"/>
  <c r="N316" i="5"/>
  <c r="N315" i="5"/>
  <c r="N314" i="5"/>
  <c r="N313" i="5"/>
  <c r="N312" i="5"/>
  <c r="N311" i="5"/>
  <c r="N310" i="5"/>
  <c r="N309" i="5"/>
  <c r="N308" i="5"/>
  <c r="N307" i="5"/>
  <c r="N306" i="5"/>
  <c r="N305" i="5"/>
  <c r="N304" i="5"/>
  <c r="N303" i="5"/>
  <c r="N302" i="5"/>
  <c r="N301" i="5"/>
  <c r="N300" i="5"/>
  <c r="N299" i="5"/>
  <c r="N298" i="5"/>
  <c r="N297" i="5"/>
  <c r="N296" i="5"/>
  <c r="N295" i="5"/>
  <c r="N294" i="5"/>
  <c r="N293" i="5"/>
  <c r="N292" i="5"/>
  <c r="N291" i="5"/>
  <c r="N290" i="5"/>
  <c r="N289" i="5"/>
  <c r="N288" i="5"/>
  <c r="N287" i="5"/>
  <c r="N286" i="5"/>
  <c r="N285" i="5"/>
  <c r="N284" i="5"/>
  <c r="N283" i="5"/>
  <c r="N282" i="5"/>
  <c r="N281" i="5"/>
  <c r="N280" i="5"/>
  <c r="N279" i="5"/>
  <c r="N278" i="5"/>
  <c r="N277" i="5"/>
  <c r="N276" i="5"/>
  <c r="N275" i="5"/>
  <c r="N274" i="5"/>
  <c r="N273" i="5"/>
  <c r="N272" i="5"/>
  <c r="N271" i="5"/>
  <c r="N270" i="5"/>
  <c r="N269" i="5"/>
  <c r="N268" i="5"/>
  <c r="N267" i="5"/>
  <c r="N266" i="5"/>
  <c r="N265" i="5"/>
  <c r="N264" i="5"/>
  <c r="N263" i="5"/>
  <c r="N262" i="5"/>
  <c r="N261" i="5"/>
  <c r="N260" i="5"/>
  <c r="N259" i="5"/>
  <c r="N258" i="5"/>
  <c r="N257" i="5"/>
  <c r="N256" i="5"/>
  <c r="N255" i="5"/>
  <c r="N254" i="5"/>
  <c r="N253" i="5"/>
  <c r="N252" i="5"/>
  <c r="N251" i="5"/>
  <c r="N250" i="5"/>
  <c r="N249" i="5"/>
  <c r="N248" i="5"/>
  <c r="N247" i="5"/>
  <c r="N246" i="5"/>
  <c r="N245" i="5"/>
  <c r="N244" i="5"/>
  <c r="N243" i="5"/>
  <c r="N242" i="5"/>
  <c r="N241" i="5"/>
  <c r="N240" i="5"/>
  <c r="N239" i="5"/>
  <c r="N238" i="5"/>
  <c r="N237" i="5"/>
  <c r="N236" i="5"/>
  <c r="N235" i="5"/>
  <c r="N234" i="5"/>
  <c r="N233" i="5"/>
  <c r="N232" i="5"/>
  <c r="N231" i="5"/>
  <c r="N230" i="5"/>
  <c r="N229" i="5"/>
  <c r="N228" i="5"/>
  <c r="N227" i="5"/>
  <c r="N226" i="5"/>
  <c r="N225" i="5"/>
  <c r="N224" i="5"/>
  <c r="N223" i="5"/>
  <c r="N222" i="5"/>
  <c r="N221" i="5"/>
  <c r="N220" i="5"/>
  <c r="N219" i="5"/>
  <c r="N218" i="5"/>
  <c r="N217" i="5"/>
  <c r="N216" i="5"/>
  <c r="N215" i="5"/>
  <c r="N214" i="5"/>
  <c r="N213" i="5"/>
  <c r="N212" i="5"/>
  <c r="N211" i="5"/>
  <c r="N210" i="5"/>
  <c r="N209" i="5"/>
  <c r="N208" i="5"/>
  <c r="N207" i="5"/>
  <c r="N206" i="5"/>
  <c r="N205" i="5"/>
  <c r="N204" i="5"/>
  <c r="N203" i="5"/>
  <c r="N202" i="5"/>
  <c r="N201" i="5"/>
  <c r="N200" i="5"/>
  <c r="N199" i="5"/>
  <c r="N198" i="5"/>
  <c r="N197" i="5"/>
  <c r="N196" i="5"/>
  <c r="N195" i="5"/>
  <c r="N194" i="5"/>
  <c r="N193" i="5"/>
  <c r="N192" i="5"/>
  <c r="N191" i="5"/>
  <c r="N190" i="5"/>
  <c r="N189" i="5"/>
  <c r="N188" i="5"/>
  <c r="N187" i="5"/>
  <c r="N186" i="5"/>
  <c r="N185" i="5"/>
  <c r="N184" i="5"/>
  <c r="N183" i="5"/>
  <c r="N182" i="5"/>
  <c r="N181" i="5"/>
  <c r="N180" i="5"/>
  <c r="N179" i="5"/>
  <c r="N178" i="5"/>
  <c r="N177" i="5"/>
  <c r="N176" i="5"/>
  <c r="N175" i="5"/>
  <c r="N174" i="5"/>
  <c r="N173" i="5"/>
  <c r="N172" i="5"/>
  <c r="N171" i="5"/>
  <c r="N170" i="5"/>
  <c r="N169" i="5"/>
  <c r="N168" i="5"/>
  <c r="N167" i="5"/>
  <c r="N166" i="5"/>
  <c r="N165" i="5"/>
  <c r="N164" i="5"/>
  <c r="N163" i="5"/>
  <c r="N162" i="5"/>
  <c r="N161" i="5"/>
  <c r="N160" i="5"/>
  <c r="N159" i="5"/>
  <c r="N158" i="5"/>
  <c r="N157" i="5"/>
  <c r="N156" i="5"/>
  <c r="N155" i="5"/>
  <c r="N154" i="5"/>
  <c r="N153" i="5"/>
  <c r="N152" i="5"/>
  <c r="N151" i="5"/>
  <c r="N150" i="5"/>
  <c r="N149" i="5"/>
  <c r="N148" i="5"/>
  <c r="N147" i="5"/>
  <c r="N146" i="5"/>
  <c r="N145" i="5"/>
  <c r="N144" i="5"/>
  <c r="N143" i="5"/>
  <c r="N142" i="5"/>
  <c r="N141" i="5"/>
  <c r="N140" i="5"/>
  <c r="N139" i="5"/>
  <c r="N138" i="5"/>
  <c r="N137" i="5"/>
  <c r="N136" i="5"/>
  <c r="N135" i="5"/>
  <c r="N134" i="5"/>
  <c r="N133" i="5"/>
  <c r="N132" i="5"/>
  <c r="N131" i="5"/>
  <c r="N130" i="5"/>
  <c r="N129" i="5"/>
  <c r="N128" i="5"/>
  <c r="N127" i="5"/>
  <c r="N126" i="5"/>
  <c r="N125" i="5"/>
  <c r="N124" i="5"/>
  <c r="N123" i="5"/>
  <c r="N122" i="5"/>
  <c r="N121" i="5"/>
  <c r="N120" i="5"/>
  <c r="N119" i="5"/>
  <c r="N118" i="5"/>
  <c r="N117" i="5"/>
  <c r="N116" i="5"/>
  <c r="N115" i="5"/>
  <c r="N114" i="5"/>
  <c r="N113" i="5"/>
  <c r="N112" i="5"/>
  <c r="N111" i="5"/>
  <c r="N110" i="5"/>
  <c r="N109" i="5"/>
  <c r="N108" i="5"/>
  <c r="N107" i="5"/>
  <c r="N106" i="5"/>
  <c r="N105" i="5"/>
  <c r="N104" i="5"/>
  <c r="N103" i="5"/>
  <c r="N102" i="5"/>
  <c r="N101" i="5"/>
  <c r="N100" i="5"/>
  <c r="N99" i="5"/>
  <c r="N98" i="5"/>
  <c r="N97" i="5"/>
  <c r="N96" i="5"/>
  <c r="N95" i="5"/>
  <c r="N94" i="5"/>
  <c r="N93" i="5"/>
  <c r="N92" i="5"/>
  <c r="N91" i="5"/>
  <c r="N90" i="5"/>
  <c r="N89" i="5"/>
  <c r="N88" i="5"/>
  <c r="N87" i="5"/>
  <c r="N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N47" i="5"/>
  <c r="N46" i="5"/>
  <c r="N45" i="5"/>
  <c r="N44" i="5"/>
  <c r="N43" i="5"/>
  <c r="N42" i="5"/>
  <c r="N41" i="5"/>
  <c r="N4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N8" i="5"/>
  <c r="N7" i="5"/>
  <c r="N6" i="5"/>
  <c r="N5" i="5"/>
  <c r="N4" i="5"/>
  <c r="N2" i="5"/>
  <c r="AQ8" i="194" l="1"/>
  <c r="BC11" i="194"/>
  <c r="A13" i="194"/>
  <c r="BK41" i="194"/>
  <c r="BJ41" i="194"/>
  <c r="AN7" i="194"/>
  <c r="BK123" i="194"/>
  <c r="BL123" i="194" s="1"/>
  <c r="AQ123" i="194" s="1"/>
  <c r="AT123" i="194" s="1"/>
  <c r="AW123" i="194" s="1"/>
  <c r="BL53" i="194"/>
  <c r="AQ53" i="194" s="1"/>
  <c r="BK117" i="194"/>
  <c r="BJ117" i="194"/>
  <c r="BJ75" i="194"/>
  <c r="BL75" i="194" s="1"/>
  <c r="AQ75" i="194" s="1"/>
  <c r="AT75" i="194" s="1"/>
  <c r="AW75" i="194" s="1"/>
  <c r="BJ119" i="194"/>
  <c r="BL119" i="194" s="1"/>
  <c r="AQ119" i="194" s="1"/>
  <c r="AT119" i="194" s="1"/>
  <c r="AW119" i="194" s="1"/>
  <c r="BL73" i="194"/>
  <c r="AQ73" i="194" s="1"/>
  <c r="AT73" i="194" s="1"/>
  <c r="AW73" i="194" s="1"/>
  <c r="BK145" i="194"/>
  <c r="BJ145" i="194"/>
  <c r="BK57" i="194"/>
  <c r="BJ57" i="194"/>
  <c r="BK147" i="194"/>
  <c r="BJ147" i="194"/>
  <c r="BK61" i="194"/>
  <c r="BJ61" i="194"/>
  <c r="BK125" i="194"/>
  <c r="BJ125" i="194"/>
  <c r="BK33" i="194"/>
  <c r="BJ33" i="194"/>
  <c r="BK93" i="194"/>
  <c r="BJ93" i="194"/>
  <c r="BK27" i="194"/>
  <c r="BJ27" i="194"/>
  <c r="BK35" i="194"/>
  <c r="BJ35" i="194"/>
  <c r="BJ9" i="194"/>
  <c r="BK9" i="194"/>
  <c r="BL9" i="194" s="1"/>
  <c r="AQ9" i="194" s="1"/>
  <c r="AT9" i="194" s="1"/>
  <c r="AW9" i="194" s="1"/>
  <c r="BK133" i="194"/>
  <c r="BJ133" i="194"/>
  <c r="BK113" i="194"/>
  <c r="BJ113" i="194"/>
  <c r="BK15" i="194"/>
  <c r="BJ15" i="194"/>
  <c r="BK69" i="194"/>
  <c r="BJ69" i="194"/>
  <c r="BK13" i="194"/>
  <c r="BJ13" i="194"/>
  <c r="BJ43" i="194"/>
  <c r="BK43" i="194"/>
  <c r="BJ115" i="194"/>
  <c r="BK115" i="194"/>
  <c r="BJ45" i="194"/>
  <c r="BK45" i="194"/>
  <c r="BK67" i="194"/>
  <c r="BJ67" i="194"/>
  <c r="BJ59" i="194"/>
  <c r="BK59" i="194"/>
  <c r="BK127" i="194"/>
  <c r="BJ127" i="194"/>
  <c r="BK103" i="194"/>
  <c r="BJ103" i="194"/>
  <c r="BJ121" i="194"/>
  <c r="BK121" i="194"/>
  <c r="BK99" i="194"/>
  <c r="BJ99" i="194"/>
  <c r="BK47" i="194"/>
  <c r="BJ47" i="194"/>
  <c r="BK139" i="194"/>
  <c r="BJ139" i="194"/>
  <c r="AK98" i="194"/>
  <c r="BK89" i="194"/>
  <c r="BJ89" i="194"/>
  <c r="BK95" i="194"/>
  <c r="BJ95" i="194"/>
  <c r="BK135" i="194"/>
  <c r="BJ135" i="194"/>
  <c r="BJ83" i="194"/>
  <c r="BK83" i="194"/>
  <c r="BK77" i="194"/>
  <c r="BJ77" i="194"/>
  <c r="AK60" i="194"/>
  <c r="BK37" i="194"/>
  <c r="BJ37" i="194"/>
  <c r="AK12" i="194"/>
  <c r="BJ129" i="194"/>
  <c r="BK129" i="194"/>
  <c r="AK24" i="194"/>
  <c r="BK17" i="194"/>
  <c r="BJ17" i="194"/>
  <c r="BJ141" i="194"/>
  <c r="BK141" i="194"/>
  <c r="BJ21" i="194"/>
  <c r="BK21" i="194"/>
  <c r="BK31" i="194"/>
  <c r="BJ31" i="194"/>
  <c r="BK149" i="194"/>
  <c r="BJ149" i="194"/>
  <c r="AK152" i="194"/>
  <c r="BK111" i="194"/>
  <c r="BJ111" i="194"/>
  <c r="AK110" i="194"/>
  <c r="BK105" i="194"/>
  <c r="BJ105" i="194"/>
  <c r="BJ65" i="194"/>
  <c r="BK65" i="194"/>
  <c r="AK82" i="194"/>
  <c r="BJ23" i="194"/>
  <c r="BK23" i="194"/>
  <c r="AK90" i="194"/>
  <c r="BK143" i="194"/>
  <c r="BJ143" i="194"/>
  <c r="AK36" i="194"/>
  <c r="AK148" i="194"/>
  <c r="AK132" i="194"/>
  <c r="AK102" i="194"/>
  <c r="AK112" i="194"/>
  <c r="BJ85" i="194"/>
  <c r="BK85" i="194"/>
  <c r="BK131" i="194"/>
  <c r="BJ131" i="194"/>
  <c r="AK104" i="194"/>
  <c r="AK48" i="194"/>
  <c r="BK109" i="194"/>
  <c r="BJ109" i="194"/>
  <c r="BK11" i="194"/>
  <c r="BJ11" i="194"/>
  <c r="AK146" i="194"/>
  <c r="AK54" i="194"/>
  <c r="BK63" i="194"/>
  <c r="BJ63" i="194"/>
  <c r="AK114" i="194"/>
  <c r="AK140" i="194"/>
  <c r="P5" i="194"/>
  <c r="Q5" i="194" s="1"/>
  <c r="R5" i="194" s="1"/>
  <c r="S5" i="194" s="1"/>
  <c r="T5" i="194" s="1"/>
  <c r="U5" i="194" s="1"/>
  <c r="V5" i="194" s="1"/>
  <c r="W5" i="194" s="1"/>
  <c r="X5" i="194" s="1"/>
  <c r="Y5" i="194" s="1"/>
  <c r="Z5" i="194" s="1"/>
  <c r="AA5" i="194" s="1"/>
  <c r="AB5" i="194" s="1"/>
  <c r="AC5" i="194" s="1"/>
  <c r="O6" i="194"/>
  <c r="P6" i="194" s="1"/>
  <c r="Q6" i="194" s="1"/>
  <c r="R6" i="194" s="1"/>
  <c r="S6" i="194" s="1"/>
  <c r="T6" i="194" s="1"/>
  <c r="U6" i="194" s="1"/>
  <c r="V6" i="194" s="1"/>
  <c r="W6" i="194" s="1"/>
  <c r="X6" i="194" s="1"/>
  <c r="Y6" i="194" s="1"/>
  <c r="Z6" i="194" s="1"/>
  <c r="AA6" i="194" s="1"/>
  <c r="AB6" i="194" s="1"/>
  <c r="AC6" i="194" s="1"/>
  <c r="AD6" i="194" s="1"/>
  <c r="AK86" i="194"/>
  <c r="AK8" i="194"/>
  <c r="BK71" i="194"/>
  <c r="BJ71" i="194"/>
  <c r="BK151" i="194"/>
  <c r="BJ151" i="194"/>
  <c r="AK142" i="194"/>
  <c r="BK19" i="194"/>
  <c r="BJ19" i="194"/>
  <c r="BK101" i="194"/>
  <c r="BJ101" i="194"/>
  <c r="BJ7" i="194"/>
  <c r="BK7" i="194"/>
  <c r="BJ79" i="194"/>
  <c r="BK79" i="194"/>
  <c r="BK55" i="194"/>
  <c r="BJ55" i="194"/>
  <c r="AK136" i="194"/>
  <c r="AK68" i="194"/>
  <c r="BK29" i="194"/>
  <c r="BJ29" i="194"/>
  <c r="BK39" i="194"/>
  <c r="BJ39" i="194"/>
  <c r="BK25" i="194"/>
  <c r="BJ25" i="194"/>
  <c r="AK22" i="194"/>
  <c r="AK108" i="194"/>
  <c r="BK87" i="194"/>
  <c r="BJ87" i="194"/>
  <c r="AK42" i="194"/>
  <c r="BK91" i="194"/>
  <c r="BJ91" i="194"/>
  <c r="BK51" i="194"/>
  <c r="BJ51" i="194"/>
  <c r="BK81" i="194"/>
  <c r="BJ81" i="194"/>
  <c r="BK97" i="194"/>
  <c r="BJ97" i="194"/>
  <c r="BK49" i="194"/>
  <c r="BJ49" i="194"/>
  <c r="AH153" i="194"/>
  <c r="AH3" i="194" s="1"/>
  <c r="BK107" i="194"/>
  <c r="BJ107" i="194"/>
  <c r="AK20" i="194"/>
  <c r="BK137" i="194"/>
  <c r="BJ137" i="194"/>
  <c r="BC13" i="194" l="1"/>
  <c r="A15" i="194"/>
  <c r="BL41" i="194"/>
  <c r="AQ41" i="194" s="1"/>
  <c r="AT41" i="194" s="1"/>
  <c r="AW41" i="194" s="1"/>
  <c r="BL117" i="194"/>
  <c r="AQ117" i="194" s="1"/>
  <c r="AT117" i="194" s="1"/>
  <c r="AW117" i="194" s="1"/>
  <c r="BL83" i="194"/>
  <c r="AQ83" i="194" s="1"/>
  <c r="AT83" i="194" s="1"/>
  <c r="AW83" i="194" s="1"/>
  <c r="BL45" i="194"/>
  <c r="AQ45" i="194" s="1"/>
  <c r="AT45" i="194" s="1"/>
  <c r="AW45" i="194" s="1"/>
  <c r="AT53" i="194"/>
  <c r="AW53" i="194" s="1"/>
  <c r="AN8" i="194"/>
  <c r="AN153" i="194" s="1"/>
  <c r="BL59" i="194"/>
  <c r="AQ59" i="194" s="1"/>
  <c r="AT59" i="194" s="1"/>
  <c r="AW59" i="194" s="1"/>
  <c r="BL115" i="194"/>
  <c r="AQ115" i="194" s="1"/>
  <c r="AT115" i="194" s="1"/>
  <c r="AW115" i="194" s="1"/>
  <c r="BL141" i="194"/>
  <c r="AQ141" i="194" s="1"/>
  <c r="AT141" i="194" s="1"/>
  <c r="AW141" i="194" s="1"/>
  <c r="BL7" i="194"/>
  <c r="AQ7" i="194" s="1"/>
  <c r="BL129" i="194"/>
  <c r="AQ129" i="194" s="1"/>
  <c r="AT129" i="194" s="1"/>
  <c r="AW129" i="194" s="1"/>
  <c r="BL121" i="194"/>
  <c r="AQ121" i="194" s="1"/>
  <c r="AT121" i="194" s="1"/>
  <c r="AW121" i="194" s="1"/>
  <c r="BL85" i="194"/>
  <c r="AQ85" i="194" s="1"/>
  <c r="AT85" i="194" s="1"/>
  <c r="AW85" i="194" s="1"/>
  <c r="BL21" i="194"/>
  <c r="AQ21" i="194" s="1"/>
  <c r="AT21" i="194" s="1"/>
  <c r="AW21" i="194" s="1"/>
  <c r="AK3" i="194"/>
  <c r="AK153" i="194"/>
  <c r="BL79" i="194"/>
  <c r="AQ79" i="194" s="1"/>
  <c r="AT79" i="194" s="1"/>
  <c r="AW79" i="194" s="1"/>
  <c r="BL23" i="194"/>
  <c r="AQ23" i="194" s="1"/>
  <c r="AT23" i="194" s="1"/>
  <c r="AW23" i="194" s="1"/>
  <c r="BL65" i="194"/>
  <c r="AQ65" i="194" s="1"/>
  <c r="AT65" i="194" s="1"/>
  <c r="AW65" i="194" s="1"/>
  <c r="BL77" i="194"/>
  <c r="AQ77" i="194" s="1"/>
  <c r="AT77" i="194" s="1"/>
  <c r="AW77" i="194" s="1"/>
  <c r="BL43" i="194"/>
  <c r="AQ43" i="194" s="1"/>
  <c r="AT43" i="194" s="1"/>
  <c r="AW43" i="194" s="1"/>
  <c r="BL111" i="194"/>
  <c r="AQ111" i="194" s="1"/>
  <c r="AT111" i="194" s="1"/>
  <c r="AW111" i="194" s="1"/>
  <c r="BL89" i="194"/>
  <c r="AQ89" i="194" s="1"/>
  <c r="AT89" i="194" s="1"/>
  <c r="AW89" i="194" s="1"/>
  <c r="BL139" i="194"/>
  <c r="AQ139" i="194" s="1"/>
  <c r="AT139" i="194" s="1"/>
  <c r="AW139" i="194" s="1"/>
  <c r="BL133" i="194"/>
  <c r="AQ133" i="194" s="1"/>
  <c r="AT133" i="194" s="1"/>
  <c r="AW133" i="194" s="1"/>
  <c r="AK154" i="194"/>
  <c r="BL131" i="194"/>
  <c r="AQ131" i="194" s="1"/>
  <c r="AT131" i="194" s="1"/>
  <c r="AW131" i="194" s="1"/>
  <c r="BL33" i="194"/>
  <c r="AQ33" i="194" s="1"/>
  <c r="AT33" i="194" s="1"/>
  <c r="AW33" i="194" s="1"/>
  <c r="BL63" i="194"/>
  <c r="AQ63" i="194" s="1"/>
  <c r="AT63" i="194" s="1"/>
  <c r="AW63" i="194" s="1"/>
  <c r="BL143" i="194"/>
  <c r="AQ143" i="194" s="1"/>
  <c r="AT143" i="194" s="1"/>
  <c r="AW143" i="194" s="1"/>
  <c r="BL47" i="194"/>
  <c r="AQ47" i="194" s="1"/>
  <c r="AT47" i="194" s="1"/>
  <c r="AW47" i="194" s="1"/>
  <c r="BL39" i="194"/>
  <c r="AQ39" i="194" s="1"/>
  <c r="AT39" i="194" s="1"/>
  <c r="AW39" i="194" s="1"/>
  <c r="BL93" i="194"/>
  <c r="AQ93" i="194" s="1"/>
  <c r="AT93" i="194" s="1"/>
  <c r="AW93" i="194" s="1"/>
  <c r="BL67" i="194"/>
  <c r="AQ67" i="194" s="1"/>
  <c r="AT67" i="194" s="1"/>
  <c r="AW67" i="194" s="1"/>
  <c r="BL69" i="194"/>
  <c r="AQ69" i="194" s="1"/>
  <c r="AT69" i="194" s="1"/>
  <c r="AW69" i="194" s="1"/>
  <c r="BL15" i="194"/>
  <c r="AQ15" i="194" s="1"/>
  <c r="AT15" i="194" s="1"/>
  <c r="AW15" i="194" s="1"/>
  <c r="BL37" i="194"/>
  <c r="AQ37" i="194" s="1"/>
  <c r="AT37" i="194" s="1"/>
  <c r="AW37" i="194" s="1"/>
  <c r="BL27" i="194"/>
  <c r="AQ27" i="194" s="1"/>
  <c r="AT27" i="194" s="1"/>
  <c r="AW27" i="194" s="1"/>
  <c r="BL125" i="194"/>
  <c r="AQ125" i="194" s="1"/>
  <c r="AT125" i="194" s="1"/>
  <c r="AW125" i="194" s="1"/>
  <c r="BL61" i="194"/>
  <c r="AQ61" i="194" s="1"/>
  <c r="AT61" i="194" s="1"/>
  <c r="AW61" i="194" s="1"/>
  <c r="BL149" i="194"/>
  <c r="AQ149" i="194" s="1"/>
  <c r="AT149" i="194" s="1"/>
  <c r="AW149" i="194" s="1"/>
  <c r="BL147" i="194"/>
  <c r="AQ147" i="194" s="1"/>
  <c r="AT147" i="194" s="1"/>
  <c r="AW147" i="194" s="1"/>
  <c r="BL91" i="194"/>
  <c r="AQ91" i="194" s="1"/>
  <c r="AT91" i="194" s="1"/>
  <c r="AW91" i="194" s="1"/>
  <c r="BL97" i="194"/>
  <c r="AQ97" i="194" s="1"/>
  <c r="AT97" i="194" s="1"/>
  <c r="AW97" i="194" s="1"/>
  <c r="BL55" i="194"/>
  <c r="AQ55" i="194" s="1"/>
  <c r="AT55" i="194" s="1"/>
  <c r="AW55" i="194" s="1"/>
  <c r="BL135" i="194"/>
  <c r="AQ135" i="194" s="1"/>
  <c r="AT135" i="194" s="1"/>
  <c r="AW135" i="194" s="1"/>
  <c r="BL17" i="194"/>
  <c r="AQ17" i="194" s="1"/>
  <c r="AT17" i="194" s="1"/>
  <c r="AW17" i="194" s="1"/>
  <c r="BL113" i="194"/>
  <c r="AQ113" i="194" s="1"/>
  <c r="AT113" i="194" s="1"/>
  <c r="AW113" i="194" s="1"/>
  <c r="BL87" i="194"/>
  <c r="AQ87" i="194" s="1"/>
  <c r="AT87" i="194" s="1"/>
  <c r="AW87" i="194" s="1"/>
  <c r="BL71" i="194"/>
  <c r="AQ71" i="194" s="1"/>
  <c r="AT71" i="194" s="1"/>
  <c r="AW71" i="194" s="1"/>
  <c r="BL127" i="194"/>
  <c r="AQ127" i="194" s="1"/>
  <c r="AT127" i="194" s="1"/>
  <c r="AW127" i="194" s="1"/>
  <c r="BL107" i="194"/>
  <c r="AQ107" i="194" s="1"/>
  <c r="AT107" i="194" s="1"/>
  <c r="AW107" i="194" s="1"/>
  <c r="BL31" i="194"/>
  <c r="AQ31" i="194" s="1"/>
  <c r="AT31" i="194" s="1"/>
  <c r="AW31" i="194" s="1"/>
  <c r="BL57" i="194"/>
  <c r="AQ57" i="194" s="1"/>
  <c r="AT57" i="194" s="1"/>
  <c r="AW57" i="194" s="1"/>
  <c r="BL109" i="194"/>
  <c r="AQ109" i="194" s="1"/>
  <c r="AT109" i="194" s="1"/>
  <c r="AW109" i="194" s="1"/>
  <c r="BL137" i="194"/>
  <c r="AQ137" i="194" s="1"/>
  <c r="AT137" i="194" s="1"/>
  <c r="AW137" i="194" s="1"/>
  <c r="BL35" i="194"/>
  <c r="AQ35" i="194" s="1"/>
  <c r="AT35" i="194" s="1"/>
  <c r="AW35" i="194" s="1"/>
  <c r="BL105" i="194"/>
  <c r="AQ105" i="194" s="1"/>
  <c r="AT105" i="194" s="1"/>
  <c r="AW105" i="194" s="1"/>
  <c r="BL95" i="194"/>
  <c r="AQ95" i="194" s="1"/>
  <c r="AT95" i="194" s="1"/>
  <c r="AW95" i="194" s="1"/>
  <c r="BL51" i="194"/>
  <c r="AQ51" i="194" s="1"/>
  <c r="AT51" i="194" s="1"/>
  <c r="AW51" i="194" s="1"/>
  <c r="BL101" i="194"/>
  <c r="AQ101" i="194" s="1"/>
  <c r="AT101" i="194" s="1"/>
  <c r="AW101" i="194" s="1"/>
  <c r="BL19" i="194"/>
  <c r="AQ19" i="194" s="1"/>
  <c r="AT19" i="194" s="1"/>
  <c r="AW19" i="194" s="1"/>
  <c r="BL11" i="194"/>
  <c r="AQ11" i="194" s="1"/>
  <c r="AT11" i="194" s="1"/>
  <c r="AW11" i="194" s="1"/>
  <c r="BL99" i="194"/>
  <c r="AQ99" i="194" s="1"/>
  <c r="AT99" i="194" s="1"/>
  <c r="AW99" i="194" s="1"/>
  <c r="BL151" i="194"/>
  <c r="AQ151" i="194" s="1"/>
  <c r="AT151" i="194" s="1"/>
  <c r="AW151" i="194" s="1"/>
  <c r="BL25" i="194"/>
  <c r="AQ25" i="194" s="1"/>
  <c r="AT25" i="194" s="1"/>
  <c r="AW25" i="194" s="1"/>
  <c r="BL103" i="194"/>
  <c r="AQ103" i="194" s="1"/>
  <c r="AT103" i="194" s="1"/>
  <c r="AW103" i="194" s="1"/>
  <c r="BL29" i="194"/>
  <c r="AQ29" i="194" s="1"/>
  <c r="AT29" i="194" s="1"/>
  <c r="AW29" i="194" s="1"/>
  <c r="BL49" i="194"/>
  <c r="AQ49" i="194" s="1"/>
  <c r="AT49" i="194" s="1"/>
  <c r="AW49" i="194" s="1"/>
  <c r="BL81" i="194"/>
  <c r="AQ81" i="194" s="1"/>
  <c r="AT81" i="194" s="1"/>
  <c r="AW81" i="194" s="1"/>
  <c r="BL13" i="194"/>
  <c r="AQ13" i="194" s="1"/>
  <c r="AT13" i="194" s="1"/>
  <c r="AW13" i="194" s="1"/>
  <c r="BL145" i="194"/>
  <c r="AQ145" i="194" s="1"/>
  <c r="AT145" i="194" s="1"/>
  <c r="AW145" i="194" s="1"/>
  <c r="BC15" i="194" l="1"/>
  <c r="A17" i="194"/>
  <c r="AN154" i="194"/>
  <c r="AN3" i="194"/>
  <c r="AT7" i="194"/>
  <c r="AQ3" i="194"/>
  <c r="AQ154" i="194"/>
  <c r="AQ153" i="194"/>
  <c r="AT154" i="194" l="1"/>
  <c r="AW7" i="194"/>
  <c r="AW3" i="194" s="1"/>
  <c r="A19" i="194"/>
  <c r="BC17" i="194"/>
  <c r="AT153" i="194"/>
  <c r="AT3" i="194"/>
  <c r="A21" i="194" l="1"/>
  <c r="BC19" i="194"/>
  <c r="AW153" i="194"/>
  <c r="BC21" i="194" l="1"/>
  <c r="A23" i="194"/>
  <c r="BC23" i="194" l="1"/>
  <c r="A25" i="194"/>
  <c r="A27" i="194" l="1"/>
  <c r="BC25" i="194"/>
  <c r="A29" i="194" l="1"/>
  <c r="BC27" i="194"/>
  <c r="A31" i="194" l="1"/>
  <c r="BC29" i="194"/>
  <c r="BC31" i="194" l="1"/>
  <c r="A33" i="194"/>
  <c r="BC33" i="194" l="1"/>
  <c r="A35" i="194"/>
  <c r="BC35" i="194" l="1"/>
  <c r="A37" i="194"/>
  <c r="BC37" i="194" l="1"/>
  <c r="A39" i="194"/>
  <c r="A41" i="194" l="1"/>
  <c r="BC39" i="194"/>
  <c r="BC41" i="194" l="1"/>
  <c r="A43" i="194"/>
  <c r="BC43" i="194" l="1"/>
  <c r="A45" i="194"/>
  <c r="BC45" i="194" l="1"/>
  <c r="A47" i="194"/>
  <c r="BC47" i="194" l="1"/>
  <c r="A49" i="194"/>
  <c r="BC49" i="194" l="1"/>
  <c r="A51" i="194"/>
  <c r="A53" i="194" l="1"/>
  <c r="BC51" i="194"/>
  <c r="A55" i="194" l="1"/>
  <c r="BC53" i="194"/>
  <c r="BC55" i="194" l="1"/>
  <c r="A57" i="194"/>
  <c r="A59" i="194" l="1"/>
  <c r="BC57" i="194"/>
  <c r="BC59" i="194" l="1"/>
  <c r="A61" i="194"/>
  <c r="A63" i="194" l="1"/>
  <c r="BC61" i="194"/>
  <c r="BC63" i="194" l="1"/>
  <c r="A65" i="194"/>
  <c r="BC65" i="194" l="1"/>
  <c r="A67" i="194"/>
  <c r="BC67" i="194" l="1"/>
  <c r="A69" i="194"/>
  <c r="BC69" i="194" l="1"/>
  <c r="A71" i="194"/>
  <c r="A73" i="194" l="1"/>
  <c r="BC71" i="194"/>
  <c r="A75" i="194" l="1"/>
  <c r="BC73" i="194"/>
  <c r="A77" i="194" l="1"/>
  <c r="BC75" i="194"/>
  <c r="BC77" i="194" l="1"/>
  <c r="A79" i="194"/>
  <c r="A81" i="194" l="1"/>
  <c r="BC79" i="194"/>
  <c r="BC81" i="194" l="1"/>
  <c r="A83" i="194"/>
  <c r="A85" i="194" l="1"/>
  <c r="BC83" i="194"/>
  <c r="A87" i="194" l="1"/>
  <c r="BC85" i="194"/>
  <c r="BC87" i="194" l="1"/>
  <c r="A89" i="194"/>
  <c r="BC89" i="194" l="1"/>
  <c r="A91" i="194"/>
  <c r="BC91" i="194" l="1"/>
  <c r="A93" i="194"/>
  <c r="BC93" i="194" l="1"/>
  <c r="A95" i="194"/>
  <c r="A97" i="194" l="1"/>
  <c r="BC95" i="194"/>
  <c r="BC97" i="194" l="1"/>
  <c r="A99" i="194"/>
  <c r="BC99" i="194" l="1"/>
  <c r="A101" i="194"/>
  <c r="A103" i="194" l="1"/>
  <c r="BC101" i="194"/>
  <c r="BC103" i="194" l="1"/>
  <c r="A105" i="194"/>
  <c r="BC105" i="194" l="1"/>
  <c r="A107" i="194"/>
  <c r="A109" i="194" l="1"/>
  <c r="BC107" i="194"/>
  <c r="BC109" i="194" l="1"/>
  <c r="A111" i="194"/>
  <c r="BC111" i="194" l="1"/>
  <c r="A113" i="194"/>
  <c r="BC113" i="194" l="1"/>
  <c r="A115" i="194"/>
  <c r="BC115" i="194" l="1"/>
  <c r="A117" i="194"/>
  <c r="A119" i="194" l="1"/>
  <c r="BC117" i="194"/>
  <c r="A121" i="194" l="1"/>
  <c r="BC119" i="194"/>
  <c r="BC121" i="194" l="1"/>
  <c r="A123" i="194"/>
  <c r="BC123" i="194" l="1"/>
  <c r="A125" i="194"/>
  <c r="BC125" i="194" l="1"/>
  <c r="A127" i="194"/>
  <c r="A129" i="194" l="1"/>
  <c r="BC127" i="194"/>
  <c r="A131" i="194" l="1"/>
  <c r="BC129" i="194"/>
  <c r="BC131" i="194" l="1"/>
  <c r="A133" i="194"/>
  <c r="BC133" i="194" l="1"/>
  <c r="A135" i="194"/>
  <c r="A137" i="194" l="1"/>
  <c r="BC135" i="194"/>
  <c r="BC137" i="194" l="1"/>
  <c r="A139" i="194"/>
  <c r="L19" i="5"/>
  <c r="L18" i="5"/>
  <c r="L17" i="5"/>
  <c r="L16" i="5"/>
  <c r="L15" i="5"/>
  <c r="L14" i="5"/>
  <c r="L13" i="5"/>
  <c r="L12" i="5"/>
  <c r="L11" i="5"/>
  <c r="L10" i="5"/>
  <c r="A141" i="194" l="1"/>
  <c r="BC139" i="194"/>
  <c r="L9" i="5"/>
  <c r="L8" i="5"/>
  <c r="A143" i="194" l="1"/>
  <c r="BC141" i="194"/>
  <c r="L7" i="5"/>
  <c r="B3" i="141"/>
  <c r="B2" i="141"/>
  <c r="BC143" i="194" l="1"/>
  <c r="A145" i="194"/>
  <c r="L20" i="5"/>
  <c r="BC145" i="194" l="1"/>
  <c r="A147" i="194"/>
  <c r="D68" i="141"/>
  <c r="B74" i="144"/>
  <c r="B73" i="144"/>
  <c r="B72" i="144"/>
  <c r="B71" i="144"/>
  <c r="B70" i="144"/>
  <c r="B69" i="144"/>
  <c r="B68" i="144"/>
  <c r="B67" i="144"/>
  <c r="B66" i="144"/>
  <c r="B65" i="144"/>
  <c r="B64" i="144"/>
  <c r="B63" i="144"/>
  <c r="B62" i="144"/>
  <c r="B61" i="144"/>
  <c r="B60" i="144"/>
  <c r="B59" i="144"/>
  <c r="B58" i="144"/>
  <c r="B57" i="144"/>
  <c r="B56" i="144"/>
  <c r="B55" i="144"/>
  <c r="B54" i="144"/>
  <c r="B53" i="144"/>
  <c r="B52" i="144"/>
  <c r="B51" i="144"/>
  <c r="B50" i="144"/>
  <c r="B49" i="144"/>
  <c r="B48" i="144"/>
  <c r="B47" i="144"/>
  <c r="B46" i="144"/>
  <c r="B45" i="144"/>
  <c r="B44" i="144"/>
  <c r="B43" i="144"/>
  <c r="B42" i="144"/>
  <c r="B41" i="144"/>
  <c r="B40" i="144"/>
  <c r="B39" i="144"/>
  <c r="B38" i="144"/>
  <c r="B37" i="144"/>
  <c r="B36" i="144"/>
  <c r="B35" i="144"/>
  <c r="B34" i="144"/>
  <c r="B33" i="144"/>
  <c r="B32" i="144"/>
  <c r="B31" i="144"/>
  <c r="B30" i="144"/>
  <c r="B29" i="144"/>
  <c r="B28" i="144"/>
  <c r="B27" i="144"/>
  <c r="B26" i="144"/>
  <c r="B25" i="144"/>
  <c r="B24" i="144"/>
  <c r="B23" i="144"/>
  <c r="B22" i="144"/>
  <c r="B21" i="144"/>
  <c r="B20" i="144"/>
  <c r="B19" i="144"/>
  <c r="B18" i="144"/>
  <c r="B17" i="144"/>
  <c r="B16" i="144"/>
  <c r="B15" i="144"/>
  <c r="B14" i="144"/>
  <c r="B13" i="144"/>
  <c r="B12" i="144"/>
  <c r="B11" i="144"/>
  <c r="B10" i="144"/>
  <c r="B9" i="144"/>
  <c r="B8" i="144"/>
  <c r="B7" i="144"/>
  <c r="B6" i="144"/>
  <c r="B5" i="144"/>
  <c r="B4" i="144"/>
  <c r="B3" i="144"/>
  <c r="B2" i="144"/>
  <c r="A75" i="145"/>
  <c r="A74" i="145"/>
  <c r="A73" i="145"/>
  <c r="A72" i="145"/>
  <c r="A71" i="145"/>
  <c r="A70" i="145"/>
  <c r="A69" i="145"/>
  <c r="A68" i="145"/>
  <c r="A67" i="145"/>
  <c r="A66" i="145"/>
  <c r="A65" i="145"/>
  <c r="A64" i="145"/>
  <c r="A63" i="145"/>
  <c r="A62" i="145"/>
  <c r="A61" i="145"/>
  <c r="A60" i="145"/>
  <c r="A59" i="145"/>
  <c r="A58" i="145"/>
  <c r="A57" i="145"/>
  <c r="A56" i="145"/>
  <c r="A55" i="145"/>
  <c r="A54" i="145"/>
  <c r="A53" i="145"/>
  <c r="A52" i="145"/>
  <c r="A51" i="145"/>
  <c r="A50" i="145"/>
  <c r="A49" i="145"/>
  <c r="A48" i="145"/>
  <c r="A47" i="145"/>
  <c r="A46" i="145"/>
  <c r="A45" i="145"/>
  <c r="A44" i="145"/>
  <c r="A43" i="145"/>
  <c r="A42" i="145"/>
  <c r="A41" i="145"/>
  <c r="A40" i="145"/>
  <c r="A39" i="145"/>
  <c r="A38" i="145"/>
  <c r="A37" i="145"/>
  <c r="A36" i="145"/>
  <c r="A35" i="145"/>
  <c r="A34" i="145"/>
  <c r="A33" i="145"/>
  <c r="A32" i="145"/>
  <c r="A31" i="145"/>
  <c r="A30" i="145"/>
  <c r="A29" i="145"/>
  <c r="A28" i="145"/>
  <c r="A27" i="145"/>
  <c r="A26" i="145"/>
  <c r="A25" i="145"/>
  <c r="A24" i="145"/>
  <c r="A23" i="145"/>
  <c r="A22" i="145"/>
  <c r="A21" i="145"/>
  <c r="A20" i="145"/>
  <c r="A19" i="145"/>
  <c r="A18" i="145"/>
  <c r="A17" i="145"/>
  <c r="A16" i="145"/>
  <c r="A15" i="145"/>
  <c r="A14" i="145"/>
  <c r="A13" i="145"/>
  <c r="A12" i="145"/>
  <c r="A11" i="145"/>
  <c r="A10" i="145"/>
  <c r="A9" i="145"/>
  <c r="A8" i="145"/>
  <c r="A7" i="145"/>
  <c r="A6" i="145"/>
  <c r="A5" i="145"/>
  <c r="A4" i="145"/>
  <c r="A3" i="145"/>
  <c r="AO74" i="141"/>
  <c r="AN74" i="141"/>
  <c r="AM74" i="141"/>
  <c r="AL74" i="141"/>
  <c r="AK74" i="141"/>
  <c r="AJ74" i="141"/>
  <c r="AI74" i="141"/>
  <c r="AH74" i="141"/>
  <c r="AG74" i="141"/>
  <c r="AF74" i="141"/>
  <c r="AE74" i="141"/>
  <c r="AD74" i="141"/>
  <c r="AC74" i="141"/>
  <c r="AB74" i="141"/>
  <c r="AA74" i="141"/>
  <c r="Z74" i="141"/>
  <c r="Y74" i="141"/>
  <c r="X74" i="141"/>
  <c r="W74" i="141"/>
  <c r="V74" i="141"/>
  <c r="U74" i="141"/>
  <c r="T74" i="141"/>
  <c r="S74" i="141"/>
  <c r="R74" i="141"/>
  <c r="Q74" i="141"/>
  <c r="P74" i="141"/>
  <c r="O74" i="141"/>
  <c r="N74" i="141"/>
  <c r="M74" i="141"/>
  <c r="L74" i="141"/>
  <c r="K74" i="141"/>
  <c r="B74" i="141"/>
  <c r="AO73" i="141"/>
  <c r="AN73" i="141"/>
  <c r="AM73" i="141"/>
  <c r="AL73" i="141"/>
  <c r="AK73" i="141"/>
  <c r="AJ73" i="141"/>
  <c r="AI73" i="141"/>
  <c r="AH73" i="141"/>
  <c r="AG73" i="141"/>
  <c r="AF73" i="141"/>
  <c r="AE73" i="141"/>
  <c r="AD73" i="141"/>
  <c r="AC73" i="141"/>
  <c r="AB73" i="141"/>
  <c r="AA73" i="141"/>
  <c r="Z73" i="141"/>
  <c r="Y73" i="141"/>
  <c r="X73" i="141"/>
  <c r="W73" i="141"/>
  <c r="V73" i="141"/>
  <c r="U73" i="141"/>
  <c r="T73" i="141"/>
  <c r="S73" i="141"/>
  <c r="R73" i="141"/>
  <c r="Q73" i="141"/>
  <c r="P73" i="141"/>
  <c r="O73" i="141"/>
  <c r="N73" i="141"/>
  <c r="M73" i="141"/>
  <c r="L73" i="141"/>
  <c r="K73" i="141"/>
  <c r="B73" i="141"/>
  <c r="AO72" i="141"/>
  <c r="AN72" i="141"/>
  <c r="AM72" i="141"/>
  <c r="AL72" i="141"/>
  <c r="AK72" i="141"/>
  <c r="AJ72" i="141"/>
  <c r="AI72" i="141"/>
  <c r="AH72" i="141"/>
  <c r="AG72" i="141"/>
  <c r="AF72" i="141"/>
  <c r="AE72" i="141"/>
  <c r="AD72" i="141"/>
  <c r="AC72" i="141"/>
  <c r="AB72" i="141"/>
  <c r="AA72" i="141"/>
  <c r="Z72" i="141"/>
  <c r="Y72" i="141"/>
  <c r="X72" i="141"/>
  <c r="W72" i="141"/>
  <c r="V72" i="141"/>
  <c r="U72" i="141"/>
  <c r="T72" i="141"/>
  <c r="S72" i="141"/>
  <c r="R72" i="141"/>
  <c r="Q72" i="141"/>
  <c r="P72" i="141"/>
  <c r="O72" i="141"/>
  <c r="N72" i="141"/>
  <c r="M72" i="141"/>
  <c r="L72" i="141"/>
  <c r="K72" i="141"/>
  <c r="B72" i="141"/>
  <c r="AO71" i="141"/>
  <c r="AN71" i="141"/>
  <c r="AM71" i="141"/>
  <c r="AL71" i="141"/>
  <c r="AK71" i="141"/>
  <c r="AJ71" i="141"/>
  <c r="AI71" i="141"/>
  <c r="AH71" i="141"/>
  <c r="AG71" i="141"/>
  <c r="AF71" i="141"/>
  <c r="AE71" i="141"/>
  <c r="AD71" i="141"/>
  <c r="AC71" i="141"/>
  <c r="AB71" i="141"/>
  <c r="AA71" i="141"/>
  <c r="Z71" i="141"/>
  <c r="Y71" i="141"/>
  <c r="X71" i="141"/>
  <c r="W71" i="141"/>
  <c r="V71" i="141"/>
  <c r="U71" i="141"/>
  <c r="T71" i="141"/>
  <c r="S71" i="141"/>
  <c r="R71" i="141"/>
  <c r="Q71" i="141"/>
  <c r="P71" i="141"/>
  <c r="O71" i="141"/>
  <c r="N71" i="141"/>
  <c r="M71" i="141"/>
  <c r="L71" i="141"/>
  <c r="K71" i="141"/>
  <c r="B71" i="141"/>
  <c r="AO70" i="141"/>
  <c r="AN70" i="141"/>
  <c r="AM70" i="141"/>
  <c r="AL70" i="141"/>
  <c r="AK70" i="141"/>
  <c r="AJ70" i="141"/>
  <c r="AI70" i="141"/>
  <c r="AH70" i="141"/>
  <c r="AG70" i="141"/>
  <c r="AF70" i="141"/>
  <c r="AE70" i="141"/>
  <c r="AD70" i="141"/>
  <c r="AC70" i="141"/>
  <c r="AB70" i="141"/>
  <c r="AA70" i="141"/>
  <c r="Z70" i="141"/>
  <c r="Y70" i="141"/>
  <c r="X70" i="141"/>
  <c r="W70" i="141"/>
  <c r="V70" i="141"/>
  <c r="U70" i="141"/>
  <c r="T70" i="141"/>
  <c r="S70" i="141"/>
  <c r="R70" i="141"/>
  <c r="Q70" i="141"/>
  <c r="P70" i="141"/>
  <c r="O70" i="141"/>
  <c r="N70" i="141"/>
  <c r="M70" i="141"/>
  <c r="L70" i="141"/>
  <c r="K70" i="141"/>
  <c r="B70" i="141"/>
  <c r="AO69" i="141"/>
  <c r="AN69" i="141"/>
  <c r="AM69" i="141"/>
  <c r="AL69" i="141"/>
  <c r="AK69" i="141"/>
  <c r="AJ69" i="141"/>
  <c r="AI69" i="141"/>
  <c r="AH69" i="141"/>
  <c r="AG69" i="141"/>
  <c r="AF69" i="141"/>
  <c r="AE69" i="141"/>
  <c r="AD69" i="141"/>
  <c r="AC69" i="141"/>
  <c r="AB69" i="141"/>
  <c r="AA69" i="141"/>
  <c r="Z69" i="141"/>
  <c r="Y69" i="141"/>
  <c r="X69" i="141"/>
  <c r="W69" i="141"/>
  <c r="V69" i="141"/>
  <c r="U69" i="141"/>
  <c r="T69" i="141"/>
  <c r="S69" i="141"/>
  <c r="R69" i="141"/>
  <c r="Q69" i="141"/>
  <c r="P69" i="141"/>
  <c r="O69" i="141"/>
  <c r="N69" i="141"/>
  <c r="M69" i="141"/>
  <c r="L69" i="141"/>
  <c r="K69" i="141"/>
  <c r="B69" i="141"/>
  <c r="AO68" i="141"/>
  <c r="AN68" i="141"/>
  <c r="AM68" i="141"/>
  <c r="AL68" i="141"/>
  <c r="AK68" i="141"/>
  <c r="AJ68" i="141"/>
  <c r="AI68" i="141"/>
  <c r="AH68" i="141"/>
  <c r="AG68" i="141"/>
  <c r="AF68" i="141"/>
  <c r="AE68" i="141"/>
  <c r="AD68" i="141"/>
  <c r="AC68" i="141"/>
  <c r="AB68" i="141"/>
  <c r="AA68" i="141"/>
  <c r="Z68" i="141"/>
  <c r="Y68" i="141"/>
  <c r="X68" i="141"/>
  <c r="W68" i="141"/>
  <c r="V68" i="141"/>
  <c r="U68" i="141"/>
  <c r="T68" i="141"/>
  <c r="S68" i="141"/>
  <c r="R68" i="141"/>
  <c r="Q68" i="141"/>
  <c r="P68" i="141"/>
  <c r="O68" i="141"/>
  <c r="N68" i="141"/>
  <c r="M68" i="141"/>
  <c r="L68" i="141"/>
  <c r="K68" i="141"/>
  <c r="B68" i="141"/>
  <c r="AO67" i="141"/>
  <c r="AN67" i="141"/>
  <c r="AM67" i="141"/>
  <c r="AL67" i="141"/>
  <c r="AK67" i="141"/>
  <c r="AJ67" i="141"/>
  <c r="AI67" i="141"/>
  <c r="AH67" i="141"/>
  <c r="AG67" i="141"/>
  <c r="AF67" i="141"/>
  <c r="AE67" i="141"/>
  <c r="AD67" i="141"/>
  <c r="AC67" i="141"/>
  <c r="AB67" i="141"/>
  <c r="AA67" i="141"/>
  <c r="Z67" i="141"/>
  <c r="Y67" i="141"/>
  <c r="X67" i="141"/>
  <c r="W67" i="141"/>
  <c r="V67" i="141"/>
  <c r="U67" i="141"/>
  <c r="T67" i="141"/>
  <c r="S67" i="141"/>
  <c r="R67" i="141"/>
  <c r="Q67" i="141"/>
  <c r="P67" i="141"/>
  <c r="O67" i="141"/>
  <c r="N67" i="141"/>
  <c r="M67" i="141"/>
  <c r="L67" i="141"/>
  <c r="K67" i="141"/>
  <c r="B67" i="141"/>
  <c r="AO66" i="141"/>
  <c r="AN66" i="141"/>
  <c r="AM66" i="141"/>
  <c r="AL66" i="141"/>
  <c r="AK66" i="141"/>
  <c r="AJ66" i="141"/>
  <c r="AI66" i="141"/>
  <c r="AH66" i="141"/>
  <c r="AG66" i="141"/>
  <c r="AF66" i="141"/>
  <c r="AE66" i="141"/>
  <c r="AD66" i="141"/>
  <c r="AC66" i="141"/>
  <c r="AB66" i="141"/>
  <c r="AA66" i="141"/>
  <c r="Z66" i="141"/>
  <c r="Y66" i="141"/>
  <c r="X66" i="141"/>
  <c r="W66" i="141"/>
  <c r="V66" i="141"/>
  <c r="U66" i="141"/>
  <c r="T66" i="141"/>
  <c r="S66" i="141"/>
  <c r="R66" i="141"/>
  <c r="Q66" i="141"/>
  <c r="P66" i="141"/>
  <c r="O66" i="141"/>
  <c r="N66" i="141"/>
  <c r="M66" i="141"/>
  <c r="L66" i="141"/>
  <c r="K66" i="141"/>
  <c r="B66" i="141"/>
  <c r="AO65" i="141"/>
  <c r="AN65" i="141"/>
  <c r="AM65" i="141"/>
  <c r="AL65" i="141"/>
  <c r="AK65" i="141"/>
  <c r="AJ65" i="141"/>
  <c r="AI65" i="141"/>
  <c r="AH65" i="141"/>
  <c r="AG65" i="141"/>
  <c r="AF65" i="141"/>
  <c r="AE65" i="141"/>
  <c r="AD65" i="141"/>
  <c r="AC65" i="141"/>
  <c r="AB65" i="141"/>
  <c r="AA65" i="141"/>
  <c r="Z65" i="141"/>
  <c r="Y65" i="141"/>
  <c r="X65" i="141"/>
  <c r="W65" i="141"/>
  <c r="V65" i="141"/>
  <c r="U65" i="141"/>
  <c r="T65" i="141"/>
  <c r="S65" i="141"/>
  <c r="R65" i="141"/>
  <c r="Q65" i="141"/>
  <c r="P65" i="141"/>
  <c r="O65" i="141"/>
  <c r="N65" i="141"/>
  <c r="M65" i="141"/>
  <c r="L65" i="141"/>
  <c r="K65" i="141"/>
  <c r="B65" i="141"/>
  <c r="AO64" i="141"/>
  <c r="AN64" i="141"/>
  <c r="AM64" i="141"/>
  <c r="AL64" i="141"/>
  <c r="AK64" i="141"/>
  <c r="AJ64" i="141"/>
  <c r="AI64" i="141"/>
  <c r="AH64" i="141"/>
  <c r="AG64" i="141"/>
  <c r="AF64" i="141"/>
  <c r="AE64" i="141"/>
  <c r="AD64" i="141"/>
  <c r="AC64" i="141"/>
  <c r="AB64" i="141"/>
  <c r="AA64" i="141"/>
  <c r="Z64" i="141"/>
  <c r="Y64" i="141"/>
  <c r="X64" i="141"/>
  <c r="W64" i="141"/>
  <c r="V64" i="141"/>
  <c r="U64" i="141"/>
  <c r="T64" i="141"/>
  <c r="S64" i="141"/>
  <c r="R64" i="141"/>
  <c r="Q64" i="141"/>
  <c r="P64" i="141"/>
  <c r="O64" i="141"/>
  <c r="N64" i="141"/>
  <c r="M64" i="141"/>
  <c r="L64" i="141"/>
  <c r="K64" i="141"/>
  <c r="B64" i="141"/>
  <c r="AO63" i="141"/>
  <c r="AN63" i="141"/>
  <c r="AM63" i="141"/>
  <c r="AL63" i="141"/>
  <c r="AK63" i="141"/>
  <c r="AJ63" i="141"/>
  <c r="AI63" i="141"/>
  <c r="AH63" i="141"/>
  <c r="AG63" i="141"/>
  <c r="AF63" i="141"/>
  <c r="AE63" i="141"/>
  <c r="AD63" i="141"/>
  <c r="AC63" i="141"/>
  <c r="AB63" i="141"/>
  <c r="AA63" i="141"/>
  <c r="Z63" i="141"/>
  <c r="Y63" i="141"/>
  <c r="X63" i="141"/>
  <c r="W63" i="141"/>
  <c r="V63" i="141"/>
  <c r="U63" i="141"/>
  <c r="T63" i="141"/>
  <c r="S63" i="141"/>
  <c r="R63" i="141"/>
  <c r="Q63" i="141"/>
  <c r="P63" i="141"/>
  <c r="O63" i="141"/>
  <c r="N63" i="141"/>
  <c r="M63" i="141"/>
  <c r="L63" i="141"/>
  <c r="K63" i="141"/>
  <c r="B63" i="141"/>
  <c r="AO62" i="141"/>
  <c r="AN62" i="141"/>
  <c r="AM62" i="141"/>
  <c r="AL62" i="141"/>
  <c r="AK62" i="141"/>
  <c r="AJ62" i="141"/>
  <c r="AI62" i="141"/>
  <c r="AH62" i="141"/>
  <c r="AG62" i="141"/>
  <c r="AF62" i="141"/>
  <c r="AE62" i="141"/>
  <c r="AD62" i="141"/>
  <c r="AC62" i="141"/>
  <c r="AB62" i="141"/>
  <c r="AA62" i="141"/>
  <c r="Z62" i="141"/>
  <c r="Y62" i="141"/>
  <c r="X62" i="141"/>
  <c r="W62" i="141"/>
  <c r="V62" i="141"/>
  <c r="U62" i="141"/>
  <c r="T62" i="141"/>
  <c r="S62" i="141"/>
  <c r="R62" i="141"/>
  <c r="Q62" i="141"/>
  <c r="P62" i="141"/>
  <c r="O62" i="141"/>
  <c r="N62" i="141"/>
  <c r="M62" i="141"/>
  <c r="L62" i="141"/>
  <c r="K62" i="141"/>
  <c r="B62" i="141"/>
  <c r="AO61" i="141"/>
  <c r="AN61" i="141"/>
  <c r="AM61" i="141"/>
  <c r="AL61" i="141"/>
  <c r="AK61" i="141"/>
  <c r="AJ61" i="141"/>
  <c r="AI61" i="141"/>
  <c r="AH61" i="141"/>
  <c r="AG61" i="141"/>
  <c r="AF61" i="141"/>
  <c r="AE61" i="141"/>
  <c r="AD61" i="141"/>
  <c r="AC61" i="141"/>
  <c r="AB61" i="141"/>
  <c r="AA61" i="141"/>
  <c r="Z61" i="141"/>
  <c r="Y61" i="141"/>
  <c r="X61" i="141"/>
  <c r="W61" i="141"/>
  <c r="V61" i="141"/>
  <c r="U61" i="141"/>
  <c r="T61" i="141"/>
  <c r="S61" i="141"/>
  <c r="R61" i="141"/>
  <c r="Q61" i="141"/>
  <c r="P61" i="141"/>
  <c r="O61" i="141"/>
  <c r="N61" i="141"/>
  <c r="M61" i="141"/>
  <c r="L61" i="141"/>
  <c r="K61" i="141"/>
  <c r="B61" i="141"/>
  <c r="AO60" i="141"/>
  <c r="AN60" i="141"/>
  <c r="AM60" i="141"/>
  <c r="AL60" i="141"/>
  <c r="AK60" i="141"/>
  <c r="AJ60" i="141"/>
  <c r="AI60" i="141"/>
  <c r="AH60" i="141"/>
  <c r="AG60" i="141"/>
  <c r="AF60" i="141"/>
  <c r="AE60" i="141"/>
  <c r="AD60" i="141"/>
  <c r="AC60" i="141"/>
  <c r="AB60" i="141"/>
  <c r="AA60" i="141"/>
  <c r="Z60" i="141"/>
  <c r="Y60" i="141"/>
  <c r="X60" i="141"/>
  <c r="W60" i="141"/>
  <c r="V60" i="141"/>
  <c r="U60" i="141"/>
  <c r="T60" i="141"/>
  <c r="S60" i="141"/>
  <c r="R60" i="141"/>
  <c r="Q60" i="141"/>
  <c r="P60" i="141"/>
  <c r="O60" i="141"/>
  <c r="N60" i="141"/>
  <c r="M60" i="141"/>
  <c r="L60" i="141"/>
  <c r="K60" i="141"/>
  <c r="B60" i="141"/>
  <c r="AO59" i="141"/>
  <c r="AN59" i="141"/>
  <c r="AM59" i="141"/>
  <c r="AL59" i="141"/>
  <c r="AK59" i="141"/>
  <c r="AJ59" i="141"/>
  <c r="AI59" i="141"/>
  <c r="AH59" i="141"/>
  <c r="AG59" i="141"/>
  <c r="AF59" i="141"/>
  <c r="AE59" i="141"/>
  <c r="AD59" i="141"/>
  <c r="AC59" i="141"/>
  <c r="AB59" i="141"/>
  <c r="AA59" i="141"/>
  <c r="Z59" i="141"/>
  <c r="Y59" i="141"/>
  <c r="X59" i="141"/>
  <c r="W59" i="141"/>
  <c r="V59" i="141"/>
  <c r="U59" i="141"/>
  <c r="T59" i="141"/>
  <c r="S59" i="141"/>
  <c r="R59" i="141"/>
  <c r="Q59" i="141"/>
  <c r="P59" i="141"/>
  <c r="O59" i="141"/>
  <c r="N59" i="141"/>
  <c r="M59" i="141"/>
  <c r="L59" i="141"/>
  <c r="K59" i="141"/>
  <c r="B59" i="141"/>
  <c r="AO58" i="141"/>
  <c r="AN58" i="141"/>
  <c r="AM58" i="141"/>
  <c r="AL58" i="141"/>
  <c r="AK58" i="141"/>
  <c r="AJ58" i="141"/>
  <c r="AI58" i="141"/>
  <c r="AH58" i="141"/>
  <c r="AG58" i="141"/>
  <c r="AF58" i="141"/>
  <c r="AE58" i="141"/>
  <c r="AD58" i="141"/>
  <c r="AC58" i="141"/>
  <c r="AB58" i="141"/>
  <c r="AA58" i="141"/>
  <c r="Z58" i="141"/>
  <c r="Y58" i="141"/>
  <c r="X58" i="141"/>
  <c r="W58" i="141"/>
  <c r="V58" i="141"/>
  <c r="U58" i="141"/>
  <c r="T58" i="141"/>
  <c r="S58" i="141"/>
  <c r="R58" i="141"/>
  <c r="Q58" i="141"/>
  <c r="P58" i="141"/>
  <c r="O58" i="141"/>
  <c r="N58" i="141"/>
  <c r="M58" i="141"/>
  <c r="L58" i="141"/>
  <c r="K58" i="141"/>
  <c r="B58" i="141"/>
  <c r="AO57" i="141"/>
  <c r="AN57" i="141"/>
  <c r="AM57" i="141"/>
  <c r="AL57" i="141"/>
  <c r="AK57" i="141"/>
  <c r="AJ57" i="141"/>
  <c r="AI57" i="141"/>
  <c r="AH57" i="141"/>
  <c r="AG57" i="141"/>
  <c r="AF57" i="141"/>
  <c r="AE57" i="141"/>
  <c r="AD57" i="141"/>
  <c r="AC57" i="141"/>
  <c r="AB57" i="141"/>
  <c r="AA57" i="141"/>
  <c r="Z57" i="141"/>
  <c r="Y57" i="141"/>
  <c r="X57" i="141"/>
  <c r="W57" i="141"/>
  <c r="V57" i="141"/>
  <c r="U57" i="141"/>
  <c r="T57" i="141"/>
  <c r="S57" i="141"/>
  <c r="R57" i="141"/>
  <c r="Q57" i="141"/>
  <c r="P57" i="141"/>
  <c r="O57" i="141"/>
  <c r="N57" i="141"/>
  <c r="M57" i="141"/>
  <c r="L57" i="141"/>
  <c r="K57" i="141"/>
  <c r="B57" i="141"/>
  <c r="AO56" i="141"/>
  <c r="AN56" i="141"/>
  <c r="AM56" i="141"/>
  <c r="AL56" i="141"/>
  <c r="AK56" i="141"/>
  <c r="AJ56" i="141"/>
  <c r="AI56" i="141"/>
  <c r="AH56" i="141"/>
  <c r="AG56" i="141"/>
  <c r="AF56" i="141"/>
  <c r="AE56" i="141"/>
  <c r="AD56" i="141"/>
  <c r="AC56" i="141"/>
  <c r="AB56" i="141"/>
  <c r="AA56" i="141"/>
  <c r="Z56" i="141"/>
  <c r="Y56" i="141"/>
  <c r="X56" i="141"/>
  <c r="W56" i="141"/>
  <c r="V56" i="141"/>
  <c r="U56" i="141"/>
  <c r="T56" i="141"/>
  <c r="S56" i="141"/>
  <c r="R56" i="141"/>
  <c r="Q56" i="141"/>
  <c r="P56" i="141"/>
  <c r="O56" i="141"/>
  <c r="N56" i="141"/>
  <c r="M56" i="141"/>
  <c r="L56" i="141"/>
  <c r="K56" i="141"/>
  <c r="B56" i="141"/>
  <c r="AO55" i="141"/>
  <c r="AN55" i="141"/>
  <c r="AM55" i="141"/>
  <c r="AL55" i="141"/>
  <c r="AK55" i="141"/>
  <c r="AJ55" i="141"/>
  <c r="AI55" i="141"/>
  <c r="AH55" i="141"/>
  <c r="AG55" i="141"/>
  <c r="AF55" i="141"/>
  <c r="AE55" i="141"/>
  <c r="AD55" i="141"/>
  <c r="AC55" i="141"/>
  <c r="AB55" i="141"/>
  <c r="AA55" i="141"/>
  <c r="Z55" i="141"/>
  <c r="Y55" i="141"/>
  <c r="X55" i="141"/>
  <c r="W55" i="141"/>
  <c r="V55" i="141"/>
  <c r="U55" i="141"/>
  <c r="T55" i="141"/>
  <c r="S55" i="141"/>
  <c r="R55" i="141"/>
  <c r="Q55" i="141"/>
  <c r="P55" i="141"/>
  <c r="O55" i="141"/>
  <c r="N55" i="141"/>
  <c r="M55" i="141"/>
  <c r="L55" i="141"/>
  <c r="K55" i="141"/>
  <c r="B55" i="141"/>
  <c r="AO54" i="141"/>
  <c r="AN54" i="141"/>
  <c r="AM54" i="141"/>
  <c r="AL54" i="141"/>
  <c r="AK54" i="141"/>
  <c r="AJ54" i="141"/>
  <c r="AI54" i="141"/>
  <c r="AH54" i="141"/>
  <c r="AG54" i="141"/>
  <c r="AF54" i="141"/>
  <c r="AE54" i="141"/>
  <c r="AD54" i="141"/>
  <c r="AC54" i="141"/>
  <c r="AB54" i="141"/>
  <c r="AA54" i="141"/>
  <c r="Z54" i="141"/>
  <c r="Y54" i="141"/>
  <c r="X54" i="141"/>
  <c r="W54" i="141"/>
  <c r="V54" i="141"/>
  <c r="U54" i="141"/>
  <c r="T54" i="141"/>
  <c r="S54" i="141"/>
  <c r="R54" i="141"/>
  <c r="Q54" i="141"/>
  <c r="P54" i="141"/>
  <c r="O54" i="141"/>
  <c r="N54" i="141"/>
  <c r="M54" i="141"/>
  <c r="L54" i="141"/>
  <c r="K54" i="141"/>
  <c r="B54" i="141"/>
  <c r="AO53" i="141"/>
  <c r="AN53" i="141"/>
  <c r="AM53" i="141"/>
  <c r="AL53" i="141"/>
  <c r="AK53" i="141"/>
  <c r="AJ53" i="141"/>
  <c r="AI53" i="141"/>
  <c r="AH53" i="141"/>
  <c r="AG53" i="141"/>
  <c r="AF53" i="141"/>
  <c r="AE53" i="141"/>
  <c r="AD53" i="141"/>
  <c r="AC53" i="141"/>
  <c r="AB53" i="141"/>
  <c r="AA53" i="141"/>
  <c r="Z53" i="141"/>
  <c r="Y53" i="141"/>
  <c r="X53" i="141"/>
  <c r="W53" i="141"/>
  <c r="V53" i="141"/>
  <c r="U53" i="141"/>
  <c r="T53" i="141"/>
  <c r="S53" i="141"/>
  <c r="R53" i="141"/>
  <c r="Q53" i="141"/>
  <c r="P53" i="141"/>
  <c r="O53" i="141"/>
  <c r="N53" i="141"/>
  <c r="M53" i="141"/>
  <c r="L53" i="141"/>
  <c r="K53" i="141"/>
  <c r="B53" i="141"/>
  <c r="AO52" i="141"/>
  <c r="AN52" i="141"/>
  <c r="AM52" i="141"/>
  <c r="AL52" i="141"/>
  <c r="AK52" i="141"/>
  <c r="AJ52" i="141"/>
  <c r="AI52" i="141"/>
  <c r="AH52" i="141"/>
  <c r="AG52" i="141"/>
  <c r="AF52" i="141"/>
  <c r="AE52" i="141"/>
  <c r="AD52" i="141"/>
  <c r="AC52" i="141"/>
  <c r="AB52" i="141"/>
  <c r="AA52" i="141"/>
  <c r="Z52" i="141"/>
  <c r="Y52" i="141"/>
  <c r="X52" i="141"/>
  <c r="W52" i="141"/>
  <c r="V52" i="141"/>
  <c r="U52" i="141"/>
  <c r="T52" i="141"/>
  <c r="S52" i="141"/>
  <c r="R52" i="141"/>
  <c r="Q52" i="141"/>
  <c r="P52" i="141"/>
  <c r="O52" i="141"/>
  <c r="N52" i="141"/>
  <c r="M52" i="141"/>
  <c r="L52" i="141"/>
  <c r="K52" i="141"/>
  <c r="B52" i="141"/>
  <c r="AO51" i="141"/>
  <c r="AN51" i="141"/>
  <c r="AM51" i="141"/>
  <c r="AL51" i="141"/>
  <c r="AK51" i="141"/>
  <c r="AJ51" i="141"/>
  <c r="AI51" i="141"/>
  <c r="AH51" i="141"/>
  <c r="AG51" i="141"/>
  <c r="AF51" i="141"/>
  <c r="AE51" i="141"/>
  <c r="AD51" i="141"/>
  <c r="AC51" i="141"/>
  <c r="AB51" i="141"/>
  <c r="AA51" i="141"/>
  <c r="Z51" i="141"/>
  <c r="Y51" i="141"/>
  <c r="X51" i="141"/>
  <c r="W51" i="141"/>
  <c r="V51" i="141"/>
  <c r="U51" i="141"/>
  <c r="T51" i="141"/>
  <c r="S51" i="141"/>
  <c r="R51" i="141"/>
  <c r="Q51" i="141"/>
  <c r="P51" i="141"/>
  <c r="O51" i="141"/>
  <c r="N51" i="141"/>
  <c r="M51" i="141"/>
  <c r="L51" i="141"/>
  <c r="K51" i="141"/>
  <c r="B51" i="141"/>
  <c r="AO50" i="141"/>
  <c r="AN50" i="141"/>
  <c r="AM50" i="141"/>
  <c r="AL50" i="141"/>
  <c r="AK50" i="141"/>
  <c r="AJ50" i="141"/>
  <c r="AI50" i="141"/>
  <c r="AH50" i="141"/>
  <c r="AG50" i="141"/>
  <c r="AF50" i="141"/>
  <c r="AE50" i="141"/>
  <c r="AD50" i="141"/>
  <c r="AC50" i="141"/>
  <c r="AB50" i="141"/>
  <c r="AA50" i="141"/>
  <c r="Z50" i="141"/>
  <c r="Y50" i="141"/>
  <c r="X50" i="141"/>
  <c r="W50" i="141"/>
  <c r="V50" i="141"/>
  <c r="U50" i="141"/>
  <c r="T50" i="141"/>
  <c r="S50" i="141"/>
  <c r="R50" i="141"/>
  <c r="Q50" i="141"/>
  <c r="P50" i="141"/>
  <c r="O50" i="141"/>
  <c r="N50" i="141"/>
  <c r="M50" i="141"/>
  <c r="L50" i="141"/>
  <c r="K50" i="141"/>
  <c r="B50" i="141"/>
  <c r="AO49" i="141"/>
  <c r="AN49" i="141"/>
  <c r="AM49" i="141"/>
  <c r="AL49" i="141"/>
  <c r="AK49" i="141"/>
  <c r="AJ49" i="141"/>
  <c r="AI49" i="141"/>
  <c r="AH49" i="141"/>
  <c r="AG49" i="141"/>
  <c r="AF49" i="141"/>
  <c r="AE49" i="141"/>
  <c r="AD49" i="141"/>
  <c r="AC49" i="141"/>
  <c r="AB49" i="141"/>
  <c r="AA49" i="141"/>
  <c r="Z49" i="141"/>
  <c r="Y49" i="141"/>
  <c r="X49" i="141"/>
  <c r="W49" i="141"/>
  <c r="V49" i="141"/>
  <c r="U49" i="141"/>
  <c r="T49" i="141"/>
  <c r="S49" i="141"/>
  <c r="R49" i="141"/>
  <c r="Q49" i="141"/>
  <c r="P49" i="141"/>
  <c r="O49" i="141"/>
  <c r="N49" i="141"/>
  <c r="M49" i="141"/>
  <c r="L49" i="141"/>
  <c r="K49" i="141"/>
  <c r="B49" i="141"/>
  <c r="AO48" i="141"/>
  <c r="AN48" i="141"/>
  <c r="AM48" i="141"/>
  <c r="AL48" i="141"/>
  <c r="AK48" i="141"/>
  <c r="AJ48" i="141"/>
  <c r="AI48" i="141"/>
  <c r="AH48" i="141"/>
  <c r="AG48" i="141"/>
  <c r="AF48" i="141"/>
  <c r="AE48" i="141"/>
  <c r="AD48" i="141"/>
  <c r="AC48" i="141"/>
  <c r="AB48" i="141"/>
  <c r="AA48" i="141"/>
  <c r="Z48" i="141"/>
  <c r="Y48" i="141"/>
  <c r="X48" i="141"/>
  <c r="W48" i="141"/>
  <c r="V48" i="141"/>
  <c r="U48" i="141"/>
  <c r="T48" i="141"/>
  <c r="S48" i="141"/>
  <c r="R48" i="141"/>
  <c r="Q48" i="141"/>
  <c r="P48" i="141"/>
  <c r="O48" i="141"/>
  <c r="N48" i="141"/>
  <c r="M48" i="141"/>
  <c r="L48" i="141"/>
  <c r="K48" i="141"/>
  <c r="B48" i="141"/>
  <c r="AO47" i="141"/>
  <c r="AN47" i="141"/>
  <c r="AM47" i="141"/>
  <c r="AL47" i="141"/>
  <c r="AK47" i="141"/>
  <c r="AJ47" i="141"/>
  <c r="AI47" i="141"/>
  <c r="AH47" i="141"/>
  <c r="AG47" i="141"/>
  <c r="AF47" i="141"/>
  <c r="AE47" i="141"/>
  <c r="AD47" i="141"/>
  <c r="AC47" i="141"/>
  <c r="AB47" i="141"/>
  <c r="AA47" i="141"/>
  <c r="Z47" i="141"/>
  <c r="Y47" i="141"/>
  <c r="X47" i="141"/>
  <c r="W47" i="141"/>
  <c r="V47" i="141"/>
  <c r="U47" i="141"/>
  <c r="T47" i="141"/>
  <c r="S47" i="141"/>
  <c r="R47" i="141"/>
  <c r="Q47" i="141"/>
  <c r="P47" i="141"/>
  <c r="O47" i="141"/>
  <c r="N47" i="141"/>
  <c r="M47" i="141"/>
  <c r="L47" i="141"/>
  <c r="K47" i="141"/>
  <c r="B47" i="141"/>
  <c r="AO46" i="141"/>
  <c r="AN46" i="141"/>
  <c r="AM46" i="141"/>
  <c r="AL46" i="141"/>
  <c r="AK46" i="141"/>
  <c r="AJ46" i="141"/>
  <c r="AI46" i="141"/>
  <c r="AH46" i="141"/>
  <c r="AG46" i="141"/>
  <c r="AF46" i="141"/>
  <c r="AE46" i="141"/>
  <c r="AD46" i="141"/>
  <c r="AC46" i="141"/>
  <c r="AB46" i="141"/>
  <c r="AA46" i="141"/>
  <c r="Z46" i="141"/>
  <c r="Y46" i="141"/>
  <c r="X46" i="141"/>
  <c r="W46" i="141"/>
  <c r="V46" i="141"/>
  <c r="U46" i="141"/>
  <c r="T46" i="141"/>
  <c r="S46" i="141"/>
  <c r="R46" i="141"/>
  <c r="Q46" i="141"/>
  <c r="P46" i="141"/>
  <c r="O46" i="141"/>
  <c r="N46" i="141"/>
  <c r="M46" i="141"/>
  <c r="L46" i="141"/>
  <c r="K46" i="141"/>
  <c r="B46" i="141"/>
  <c r="AO45" i="141"/>
  <c r="AN45" i="141"/>
  <c r="AM45" i="141"/>
  <c r="AL45" i="141"/>
  <c r="AK45" i="141"/>
  <c r="AJ45" i="141"/>
  <c r="AI45" i="141"/>
  <c r="AH45" i="141"/>
  <c r="AG45" i="141"/>
  <c r="AF45" i="141"/>
  <c r="AE45" i="141"/>
  <c r="AD45" i="141"/>
  <c r="AC45" i="141"/>
  <c r="AB45" i="141"/>
  <c r="AA45" i="141"/>
  <c r="Z45" i="141"/>
  <c r="Y45" i="141"/>
  <c r="X45" i="141"/>
  <c r="W45" i="141"/>
  <c r="V45" i="141"/>
  <c r="U45" i="141"/>
  <c r="T45" i="141"/>
  <c r="S45" i="141"/>
  <c r="R45" i="141"/>
  <c r="Q45" i="141"/>
  <c r="P45" i="141"/>
  <c r="O45" i="141"/>
  <c r="N45" i="141"/>
  <c r="M45" i="141"/>
  <c r="L45" i="141"/>
  <c r="K45" i="141"/>
  <c r="B45" i="141"/>
  <c r="AO44" i="141"/>
  <c r="AN44" i="141"/>
  <c r="AM44" i="141"/>
  <c r="AL44" i="141"/>
  <c r="AK44" i="141"/>
  <c r="AJ44" i="141"/>
  <c r="AI44" i="141"/>
  <c r="AH44" i="141"/>
  <c r="AG44" i="141"/>
  <c r="AF44" i="141"/>
  <c r="AE44" i="141"/>
  <c r="AD44" i="141"/>
  <c r="AC44" i="141"/>
  <c r="AB44" i="141"/>
  <c r="AA44" i="141"/>
  <c r="Z44" i="141"/>
  <c r="Y44" i="141"/>
  <c r="X44" i="141"/>
  <c r="W44" i="141"/>
  <c r="V44" i="141"/>
  <c r="U44" i="141"/>
  <c r="T44" i="141"/>
  <c r="S44" i="141"/>
  <c r="R44" i="141"/>
  <c r="Q44" i="141"/>
  <c r="P44" i="141"/>
  <c r="O44" i="141"/>
  <c r="N44" i="141"/>
  <c r="M44" i="141"/>
  <c r="L44" i="141"/>
  <c r="K44" i="141"/>
  <c r="B44" i="141"/>
  <c r="AO43" i="141"/>
  <c r="AN43" i="141"/>
  <c r="AM43" i="141"/>
  <c r="AL43" i="141"/>
  <c r="AK43" i="141"/>
  <c r="AJ43" i="141"/>
  <c r="AI43" i="141"/>
  <c r="AH43" i="141"/>
  <c r="AG43" i="141"/>
  <c r="AF43" i="141"/>
  <c r="AE43" i="141"/>
  <c r="AD43" i="141"/>
  <c r="AC43" i="141"/>
  <c r="AB43" i="141"/>
  <c r="AA43" i="141"/>
  <c r="Z43" i="141"/>
  <c r="Y43" i="141"/>
  <c r="X43" i="141"/>
  <c r="W43" i="141"/>
  <c r="V43" i="141"/>
  <c r="U43" i="141"/>
  <c r="T43" i="141"/>
  <c r="S43" i="141"/>
  <c r="R43" i="141"/>
  <c r="Q43" i="141"/>
  <c r="P43" i="141"/>
  <c r="O43" i="141"/>
  <c r="N43" i="141"/>
  <c r="M43" i="141"/>
  <c r="L43" i="141"/>
  <c r="K43" i="141"/>
  <c r="B43" i="141"/>
  <c r="AO42" i="141"/>
  <c r="AN42" i="141"/>
  <c r="AM42" i="141"/>
  <c r="AL42" i="141"/>
  <c r="AK42" i="141"/>
  <c r="AJ42" i="141"/>
  <c r="AI42" i="141"/>
  <c r="AH42" i="141"/>
  <c r="AG42" i="141"/>
  <c r="AF42" i="141"/>
  <c r="AE42" i="141"/>
  <c r="AD42" i="141"/>
  <c r="AC42" i="141"/>
  <c r="AB42" i="141"/>
  <c r="AA42" i="141"/>
  <c r="Z42" i="141"/>
  <c r="Y42" i="141"/>
  <c r="X42" i="141"/>
  <c r="W42" i="141"/>
  <c r="V42" i="141"/>
  <c r="U42" i="141"/>
  <c r="T42" i="141"/>
  <c r="S42" i="141"/>
  <c r="R42" i="141"/>
  <c r="Q42" i="141"/>
  <c r="P42" i="141"/>
  <c r="O42" i="141"/>
  <c r="N42" i="141"/>
  <c r="M42" i="141"/>
  <c r="L42" i="141"/>
  <c r="K42" i="141"/>
  <c r="B42" i="141"/>
  <c r="AO41" i="141"/>
  <c r="AN41" i="141"/>
  <c r="AM41" i="141"/>
  <c r="AL41" i="141"/>
  <c r="AK41" i="141"/>
  <c r="AJ41" i="141"/>
  <c r="AI41" i="141"/>
  <c r="AH41" i="141"/>
  <c r="AG41" i="141"/>
  <c r="AF41" i="141"/>
  <c r="AE41" i="141"/>
  <c r="AD41" i="141"/>
  <c r="AC41" i="141"/>
  <c r="AB41" i="141"/>
  <c r="AA41" i="141"/>
  <c r="Z41" i="141"/>
  <c r="Y41" i="141"/>
  <c r="X41" i="141"/>
  <c r="W41" i="141"/>
  <c r="V41" i="141"/>
  <c r="U41" i="141"/>
  <c r="T41" i="141"/>
  <c r="S41" i="141"/>
  <c r="R41" i="141"/>
  <c r="Q41" i="141"/>
  <c r="P41" i="141"/>
  <c r="O41" i="141"/>
  <c r="N41" i="141"/>
  <c r="M41" i="141"/>
  <c r="L41" i="141"/>
  <c r="K41" i="141"/>
  <c r="B41" i="141"/>
  <c r="AO40" i="141"/>
  <c r="AN40" i="141"/>
  <c r="AM40" i="141"/>
  <c r="AL40" i="141"/>
  <c r="AK40" i="141"/>
  <c r="AJ40" i="141"/>
  <c r="AI40" i="141"/>
  <c r="AH40" i="141"/>
  <c r="AG40" i="141"/>
  <c r="AF40" i="141"/>
  <c r="AE40" i="141"/>
  <c r="AD40" i="141"/>
  <c r="AC40" i="141"/>
  <c r="AB40" i="141"/>
  <c r="AA40" i="141"/>
  <c r="Z40" i="141"/>
  <c r="Y40" i="141"/>
  <c r="X40" i="141"/>
  <c r="W40" i="141"/>
  <c r="V40" i="141"/>
  <c r="U40" i="141"/>
  <c r="T40" i="141"/>
  <c r="S40" i="141"/>
  <c r="R40" i="141"/>
  <c r="Q40" i="141"/>
  <c r="P40" i="141"/>
  <c r="O40" i="141"/>
  <c r="N40" i="141"/>
  <c r="M40" i="141"/>
  <c r="L40" i="141"/>
  <c r="K40" i="141"/>
  <c r="B40" i="141"/>
  <c r="AO39" i="141"/>
  <c r="AN39" i="141"/>
  <c r="AM39" i="141"/>
  <c r="AL39" i="141"/>
  <c r="AK39" i="141"/>
  <c r="AJ39" i="141"/>
  <c r="AI39" i="141"/>
  <c r="AH39" i="141"/>
  <c r="AG39" i="141"/>
  <c r="AF39" i="141"/>
  <c r="AE39" i="141"/>
  <c r="AD39" i="141"/>
  <c r="AC39" i="141"/>
  <c r="AB39" i="141"/>
  <c r="AA39" i="141"/>
  <c r="Z39" i="141"/>
  <c r="Y39" i="141"/>
  <c r="X39" i="141"/>
  <c r="W39" i="141"/>
  <c r="V39" i="141"/>
  <c r="U39" i="141"/>
  <c r="T39" i="141"/>
  <c r="S39" i="141"/>
  <c r="R39" i="141"/>
  <c r="Q39" i="141"/>
  <c r="P39" i="141"/>
  <c r="O39" i="141"/>
  <c r="N39" i="141"/>
  <c r="M39" i="141"/>
  <c r="L39" i="141"/>
  <c r="K39" i="141"/>
  <c r="B39" i="141"/>
  <c r="AO38" i="141"/>
  <c r="AN38" i="141"/>
  <c r="AM38" i="141"/>
  <c r="AL38" i="141"/>
  <c r="AK38" i="141"/>
  <c r="AJ38" i="141"/>
  <c r="AI38" i="141"/>
  <c r="AH38" i="141"/>
  <c r="AG38" i="141"/>
  <c r="AF38" i="141"/>
  <c r="AE38" i="141"/>
  <c r="AD38" i="141"/>
  <c r="AC38" i="141"/>
  <c r="AB38" i="141"/>
  <c r="AA38" i="141"/>
  <c r="Z38" i="141"/>
  <c r="Y38" i="141"/>
  <c r="X38" i="141"/>
  <c r="W38" i="141"/>
  <c r="V38" i="141"/>
  <c r="U38" i="141"/>
  <c r="T38" i="141"/>
  <c r="S38" i="141"/>
  <c r="R38" i="141"/>
  <c r="Q38" i="141"/>
  <c r="P38" i="141"/>
  <c r="O38" i="141"/>
  <c r="N38" i="141"/>
  <c r="M38" i="141"/>
  <c r="L38" i="141"/>
  <c r="K38" i="141"/>
  <c r="B38" i="141"/>
  <c r="AO37" i="141"/>
  <c r="AN37" i="141"/>
  <c r="AM37" i="141"/>
  <c r="AL37" i="141"/>
  <c r="AK37" i="141"/>
  <c r="AJ37" i="141"/>
  <c r="AI37" i="141"/>
  <c r="AH37" i="141"/>
  <c r="AG37" i="141"/>
  <c r="AF37" i="141"/>
  <c r="AE37" i="141"/>
  <c r="AD37" i="141"/>
  <c r="AC37" i="141"/>
  <c r="AB37" i="141"/>
  <c r="AA37" i="141"/>
  <c r="Z37" i="141"/>
  <c r="Y37" i="141"/>
  <c r="X37" i="141"/>
  <c r="W37" i="141"/>
  <c r="V37" i="141"/>
  <c r="U37" i="141"/>
  <c r="T37" i="141"/>
  <c r="S37" i="141"/>
  <c r="R37" i="141"/>
  <c r="Q37" i="141"/>
  <c r="P37" i="141"/>
  <c r="O37" i="141"/>
  <c r="N37" i="141"/>
  <c r="M37" i="141"/>
  <c r="L37" i="141"/>
  <c r="K37" i="141"/>
  <c r="B37" i="141"/>
  <c r="AO36" i="141"/>
  <c r="AN36" i="141"/>
  <c r="AM36" i="141"/>
  <c r="AL36" i="141"/>
  <c r="AK36" i="141"/>
  <c r="AJ36" i="141"/>
  <c r="AI36" i="141"/>
  <c r="AH36" i="141"/>
  <c r="AG36" i="141"/>
  <c r="AF36" i="141"/>
  <c r="AE36" i="141"/>
  <c r="AD36" i="141"/>
  <c r="AC36" i="141"/>
  <c r="AB36" i="141"/>
  <c r="AA36" i="141"/>
  <c r="Z36" i="141"/>
  <c r="Y36" i="141"/>
  <c r="X36" i="141"/>
  <c r="W36" i="141"/>
  <c r="V36" i="141"/>
  <c r="U36" i="141"/>
  <c r="T36" i="141"/>
  <c r="S36" i="141"/>
  <c r="R36" i="141"/>
  <c r="Q36" i="141"/>
  <c r="P36" i="141"/>
  <c r="O36" i="141"/>
  <c r="N36" i="141"/>
  <c r="M36" i="141"/>
  <c r="L36" i="141"/>
  <c r="K36" i="141"/>
  <c r="B36" i="141"/>
  <c r="AO35" i="141"/>
  <c r="AN35" i="141"/>
  <c r="AM35" i="141"/>
  <c r="AL35" i="141"/>
  <c r="AK35" i="141"/>
  <c r="AJ35" i="141"/>
  <c r="AI35" i="141"/>
  <c r="AH35" i="141"/>
  <c r="AG35" i="141"/>
  <c r="AF35" i="141"/>
  <c r="AE35" i="141"/>
  <c r="AD35" i="141"/>
  <c r="AC35" i="141"/>
  <c r="AB35" i="141"/>
  <c r="AA35" i="141"/>
  <c r="Z35" i="141"/>
  <c r="Y35" i="141"/>
  <c r="X35" i="141"/>
  <c r="W35" i="141"/>
  <c r="V35" i="141"/>
  <c r="U35" i="141"/>
  <c r="T35" i="141"/>
  <c r="S35" i="141"/>
  <c r="R35" i="141"/>
  <c r="Q35" i="141"/>
  <c r="P35" i="141"/>
  <c r="O35" i="141"/>
  <c r="N35" i="141"/>
  <c r="M35" i="141"/>
  <c r="L35" i="141"/>
  <c r="K35" i="141"/>
  <c r="B35" i="141"/>
  <c r="AO34" i="141"/>
  <c r="AN34" i="141"/>
  <c r="AM34" i="141"/>
  <c r="AL34" i="141"/>
  <c r="AK34" i="141"/>
  <c r="AJ34" i="141"/>
  <c r="AI34" i="141"/>
  <c r="AH34" i="141"/>
  <c r="AG34" i="141"/>
  <c r="AF34" i="141"/>
  <c r="AE34" i="141"/>
  <c r="AD34" i="141"/>
  <c r="AC34" i="141"/>
  <c r="AB34" i="141"/>
  <c r="AA34" i="141"/>
  <c r="Z34" i="141"/>
  <c r="Y34" i="141"/>
  <c r="X34" i="141"/>
  <c r="W34" i="141"/>
  <c r="V34" i="141"/>
  <c r="U34" i="141"/>
  <c r="T34" i="141"/>
  <c r="S34" i="141"/>
  <c r="R34" i="141"/>
  <c r="Q34" i="141"/>
  <c r="P34" i="141"/>
  <c r="O34" i="141"/>
  <c r="N34" i="141"/>
  <c r="M34" i="141"/>
  <c r="L34" i="141"/>
  <c r="K34" i="141"/>
  <c r="B34" i="141"/>
  <c r="AO33" i="141"/>
  <c r="AN33" i="141"/>
  <c r="AM33" i="141"/>
  <c r="AL33" i="141"/>
  <c r="AK33" i="141"/>
  <c r="AJ33" i="141"/>
  <c r="AI33" i="141"/>
  <c r="AH33" i="141"/>
  <c r="AG33" i="141"/>
  <c r="AF33" i="141"/>
  <c r="AE33" i="141"/>
  <c r="AD33" i="141"/>
  <c r="AC33" i="141"/>
  <c r="AB33" i="141"/>
  <c r="AA33" i="141"/>
  <c r="Z33" i="141"/>
  <c r="Y33" i="141"/>
  <c r="X33" i="141"/>
  <c r="W33" i="141"/>
  <c r="V33" i="141"/>
  <c r="U33" i="141"/>
  <c r="T33" i="141"/>
  <c r="S33" i="141"/>
  <c r="R33" i="141"/>
  <c r="Q33" i="141"/>
  <c r="P33" i="141"/>
  <c r="O33" i="141"/>
  <c r="N33" i="141"/>
  <c r="M33" i="141"/>
  <c r="L33" i="141"/>
  <c r="K33" i="141"/>
  <c r="B33" i="141"/>
  <c r="AO32" i="141"/>
  <c r="AN32" i="141"/>
  <c r="AM32" i="141"/>
  <c r="AL32" i="141"/>
  <c r="AK32" i="141"/>
  <c r="AJ32" i="141"/>
  <c r="AI32" i="141"/>
  <c r="AH32" i="141"/>
  <c r="AG32" i="141"/>
  <c r="AF32" i="141"/>
  <c r="AE32" i="141"/>
  <c r="AD32" i="141"/>
  <c r="AC32" i="141"/>
  <c r="AB32" i="141"/>
  <c r="AA32" i="141"/>
  <c r="Z32" i="141"/>
  <c r="Y32" i="141"/>
  <c r="X32" i="141"/>
  <c r="W32" i="141"/>
  <c r="V32" i="141"/>
  <c r="U32" i="141"/>
  <c r="T32" i="141"/>
  <c r="S32" i="141"/>
  <c r="R32" i="141"/>
  <c r="Q32" i="141"/>
  <c r="P32" i="141"/>
  <c r="O32" i="141"/>
  <c r="N32" i="141"/>
  <c r="M32" i="141"/>
  <c r="L32" i="141"/>
  <c r="K32" i="141"/>
  <c r="B32" i="141"/>
  <c r="AO31" i="141"/>
  <c r="AN31" i="141"/>
  <c r="AM31" i="141"/>
  <c r="AL31" i="141"/>
  <c r="AK31" i="141"/>
  <c r="AJ31" i="141"/>
  <c r="AI31" i="141"/>
  <c r="AH31" i="141"/>
  <c r="AG31" i="141"/>
  <c r="AF31" i="141"/>
  <c r="AE31" i="141"/>
  <c r="AD31" i="141"/>
  <c r="AC31" i="141"/>
  <c r="AB31" i="141"/>
  <c r="AA31" i="141"/>
  <c r="Z31" i="141"/>
  <c r="Y31" i="141"/>
  <c r="X31" i="141"/>
  <c r="W31" i="141"/>
  <c r="V31" i="141"/>
  <c r="U31" i="141"/>
  <c r="T31" i="141"/>
  <c r="S31" i="141"/>
  <c r="R31" i="141"/>
  <c r="Q31" i="141"/>
  <c r="P31" i="141"/>
  <c r="O31" i="141"/>
  <c r="N31" i="141"/>
  <c r="M31" i="141"/>
  <c r="L31" i="141"/>
  <c r="K31" i="141"/>
  <c r="B31" i="141"/>
  <c r="AO30" i="141"/>
  <c r="AN30" i="141"/>
  <c r="AM30" i="141"/>
  <c r="AL30" i="141"/>
  <c r="AK30" i="141"/>
  <c r="AJ30" i="141"/>
  <c r="AI30" i="141"/>
  <c r="AH30" i="141"/>
  <c r="AG30" i="141"/>
  <c r="AF30" i="141"/>
  <c r="AE30" i="141"/>
  <c r="AD30" i="141"/>
  <c r="AC30" i="141"/>
  <c r="AB30" i="141"/>
  <c r="AA30" i="141"/>
  <c r="Z30" i="141"/>
  <c r="Y30" i="141"/>
  <c r="X30" i="141"/>
  <c r="W30" i="141"/>
  <c r="V30" i="141"/>
  <c r="U30" i="141"/>
  <c r="T30" i="141"/>
  <c r="S30" i="141"/>
  <c r="R30" i="141"/>
  <c r="Q30" i="141"/>
  <c r="P30" i="141"/>
  <c r="O30" i="141"/>
  <c r="N30" i="141"/>
  <c r="M30" i="141"/>
  <c r="L30" i="141"/>
  <c r="K30" i="141"/>
  <c r="B30" i="141"/>
  <c r="AO29" i="141"/>
  <c r="AN29" i="141"/>
  <c r="AM29" i="141"/>
  <c r="AL29" i="141"/>
  <c r="AK29" i="141"/>
  <c r="AJ29" i="141"/>
  <c r="AI29" i="141"/>
  <c r="AH29" i="141"/>
  <c r="AG29" i="141"/>
  <c r="AF29" i="141"/>
  <c r="AE29" i="141"/>
  <c r="AD29" i="141"/>
  <c r="AC29" i="141"/>
  <c r="AB29" i="141"/>
  <c r="AA29" i="141"/>
  <c r="Z29" i="141"/>
  <c r="Y29" i="141"/>
  <c r="X29" i="141"/>
  <c r="W29" i="141"/>
  <c r="V29" i="141"/>
  <c r="U29" i="141"/>
  <c r="T29" i="141"/>
  <c r="S29" i="141"/>
  <c r="R29" i="141"/>
  <c r="Q29" i="141"/>
  <c r="P29" i="141"/>
  <c r="O29" i="141"/>
  <c r="N29" i="141"/>
  <c r="M29" i="141"/>
  <c r="L29" i="141"/>
  <c r="K29" i="141"/>
  <c r="B29" i="141"/>
  <c r="AO28" i="141"/>
  <c r="AN28" i="141"/>
  <c r="AM28" i="141"/>
  <c r="AL28" i="141"/>
  <c r="AK28" i="141"/>
  <c r="AJ28" i="141"/>
  <c r="AI28" i="141"/>
  <c r="AH28" i="141"/>
  <c r="AG28" i="141"/>
  <c r="AF28" i="141"/>
  <c r="AE28" i="141"/>
  <c r="AD28" i="141"/>
  <c r="AC28" i="141"/>
  <c r="AB28" i="141"/>
  <c r="AA28" i="141"/>
  <c r="Z28" i="141"/>
  <c r="Y28" i="141"/>
  <c r="X28" i="141"/>
  <c r="W28" i="141"/>
  <c r="V28" i="141"/>
  <c r="U28" i="141"/>
  <c r="T28" i="141"/>
  <c r="S28" i="141"/>
  <c r="R28" i="141"/>
  <c r="Q28" i="141"/>
  <c r="P28" i="141"/>
  <c r="O28" i="141"/>
  <c r="N28" i="141"/>
  <c r="M28" i="141"/>
  <c r="L28" i="141"/>
  <c r="K28" i="141"/>
  <c r="B28" i="141"/>
  <c r="AO27" i="141"/>
  <c r="AN27" i="141"/>
  <c r="AM27" i="141"/>
  <c r="AL27" i="141"/>
  <c r="AK27" i="141"/>
  <c r="AJ27" i="141"/>
  <c r="AI27" i="141"/>
  <c r="AH27" i="141"/>
  <c r="AG27" i="141"/>
  <c r="AF27" i="141"/>
  <c r="AE27" i="141"/>
  <c r="AD27" i="141"/>
  <c r="AC27" i="141"/>
  <c r="AB27" i="141"/>
  <c r="AA27" i="141"/>
  <c r="Z27" i="141"/>
  <c r="Y27" i="141"/>
  <c r="X27" i="141"/>
  <c r="W27" i="141"/>
  <c r="V27" i="141"/>
  <c r="U27" i="141"/>
  <c r="T27" i="141"/>
  <c r="S27" i="141"/>
  <c r="R27" i="141"/>
  <c r="Q27" i="141"/>
  <c r="P27" i="141"/>
  <c r="O27" i="141"/>
  <c r="N27" i="141"/>
  <c r="M27" i="141"/>
  <c r="L27" i="141"/>
  <c r="K27" i="141"/>
  <c r="B27" i="141"/>
  <c r="AO26" i="141"/>
  <c r="AN26" i="141"/>
  <c r="AM26" i="141"/>
  <c r="AL26" i="141"/>
  <c r="AK26" i="141"/>
  <c r="AJ26" i="141"/>
  <c r="AI26" i="141"/>
  <c r="AH26" i="141"/>
  <c r="AG26" i="141"/>
  <c r="AF26" i="141"/>
  <c r="AE26" i="141"/>
  <c r="AD26" i="141"/>
  <c r="AC26" i="141"/>
  <c r="AB26" i="141"/>
  <c r="AA26" i="141"/>
  <c r="Z26" i="141"/>
  <c r="Y26" i="141"/>
  <c r="X26" i="141"/>
  <c r="W26" i="141"/>
  <c r="V26" i="141"/>
  <c r="U26" i="141"/>
  <c r="T26" i="141"/>
  <c r="S26" i="141"/>
  <c r="R26" i="141"/>
  <c r="Q26" i="141"/>
  <c r="P26" i="141"/>
  <c r="O26" i="141"/>
  <c r="N26" i="141"/>
  <c r="M26" i="141"/>
  <c r="L26" i="141"/>
  <c r="K26" i="141"/>
  <c r="B26" i="141"/>
  <c r="AO25" i="141"/>
  <c r="AN25" i="141"/>
  <c r="AM25" i="141"/>
  <c r="AL25" i="141"/>
  <c r="AK25" i="141"/>
  <c r="AJ25" i="141"/>
  <c r="AI25" i="141"/>
  <c r="AH25" i="141"/>
  <c r="AG25" i="141"/>
  <c r="AF25" i="141"/>
  <c r="AE25" i="141"/>
  <c r="AD25" i="141"/>
  <c r="AC25" i="141"/>
  <c r="AB25" i="141"/>
  <c r="AA25" i="141"/>
  <c r="Z25" i="141"/>
  <c r="Y25" i="141"/>
  <c r="X25" i="141"/>
  <c r="W25" i="141"/>
  <c r="V25" i="141"/>
  <c r="U25" i="141"/>
  <c r="T25" i="141"/>
  <c r="S25" i="141"/>
  <c r="R25" i="141"/>
  <c r="Q25" i="141"/>
  <c r="P25" i="141"/>
  <c r="O25" i="141"/>
  <c r="N25" i="141"/>
  <c r="M25" i="141"/>
  <c r="L25" i="141"/>
  <c r="K25" i="141"/>
  <c r="B25" i="141"/>
  <c r="AO24" i="141"/>
  <c r="AN24" i="141"/>
  <c r="AM24" i="141"/>
  <c r="AL24" i="141"/>
  <c r="AK24" i="141"/>
  <c r="AJ24" i="141"/>
  <c r="AI24" i="141"/>
  <c r="AH24" i="141"/>
  <c r="AG24" i="141"/>
  <c r="AF24" i="141"/>
  <c r="AE24" i="141"/>
  <c r="AD24" i="141"/>
  <c r="AC24" i="141"/>
  <c r="AB24" i="141"/>
  <c r="AA24" i="141"/>
  <c r="Z24" i="141"/>
  <c r="Y24" i="141"/>
  <c r="X24" i="141"/>
  <c r="W24" i="141"/>
  <c r="V24" i="141"/>
  <c r="U24" i="141"/>
  <c r="T24" i="141"/>
  <c r="S24" i="141"/>
  <c r="R24" i="141"/>
  <c r="Q24" i="141"/>
  <c r="P24" i="141"/>
  <c r="O24" i="141"/>
  <c r="N24" i="141"/>
  <c r="M24" i="141"/>
  <c r="L24" i="141"/>
  <c r="K24" i="141"/>
  <c r="B24" i="141"/>
  <c r="AO23" i="141"/>
  <c r="AN23" i="141"/>
  <c r="AM23" i="141"/>
  <c r="AL23" i="141"/>
  <c r="AK23" i="141"/>
  <c r="AJ23" i="141"/>
  <c r="AI23" i="141"/>
  <c r="AH23" i="141"/>
  <c r="AG23" i="141"/>
  <c r="AF23" i="141"/>
  <c r="AE23" i="141"/>
  <c r="AD23" i="141"/>
  <c r="AC23" i="141"/>
  <c r="AB23" i="141"/>
  <c r="AA23" i="141"/>
  <c r="Z23" i="141"/>
  <c r="Y23" i="141"/>
  <c r="X23" i="141"/>
  <c r="W23" i="141"/>
  <c r="V23" i="141"/>
  <c r="U23" i="141"/>
  <c r="T23" i="141"/>
  <c r="S23" i="141"/>
  <c r="R23" i="141"/>
  <c r="Q23" i="141"/>
  <c r="P23" i="141"/>
  <c r="O23" i="141"/>
  <c r="N23" i="141"/>
  <c r="M23" i="141"/>
  <c r="L23" i="141"/>
  <c r="K23" i="141"/>
  <c r="B23" i="141"/>
  <c r="AO22" i="141"/>
  <c r="AN22" i="141"/>
  <c r="AM22" i="141"/>
  <c r="AL22" i="141"/>
  <c r="AK22" i="141"/>
  <c r="AJ22" i="141"/>
  <c r="AI22" i="141"/>
  <c r="AH22" i="141"/>
  <c r="AG22" i="141"/>
  <c r="AF22" i="141"/>
  <c r="AE22" i="141"/>
  <c r="AD22" i="141"/>
  <c r="AC22" i="141"/>
  <c r="AB22" i="141"/>
  <c r="AA22" i="141"/>
  <c r="Z22" i="141"/>
  <c r="Y22" i="141"/>
  <c r="X22" i="141"/>
  <c r="W22" i="141"/>
  <c r="V22" i="141"/>
  <c r="U22" i="141"/>
  <c r="T22" i="141"/>
  <c r="S22" i="141"/>
  <c r="R22" i="141"/>
  <c r="Q22" i="141"/>
  <c r="P22" i="141"/>
  <c r="O22" i="141"/>
  <c r="N22" i="141"/>
  <c r="M22" i="141"/>
  <c r="L22" i="141"/>
  <c r="K22" i="141"/>
  <c r="B22" i="141"/>
  <c r="AO21" i="141"/>
  <c r="AN21" i="141"/>
  <c r="AM21" i="141"/>
  <c r="AL21" i="141"/>
  <c r="AK21" i="141"/>
  <c r="AJ21" i="141"/>
  <c r="AI21" i="141"/>
  <c r="AH21" i="141"/>
  <c r="AG21" i="141"/>
  <c r="AF21" i="141"/>
  <c r="AE21" i="141"/>
  <c r="AD21" i="141"/>
  <c r="AC21" i="141"/>
  <c r="AB21" i="141"/>
  <c r="AA21" i="141"/>
  <c r="Z21" i="141"/>
  <c r="Y21" i="141"/>
  <c r="X21" i="141"/>
  <c r="W21" i="141"/>
  <c r="V21" i="141"/>
  <c r="U21" i="141"/>
  <c r="T21" i="141"/>
  <c r="S21" i="141"/>
  <c r="R21" i="141"/>
  <c r="Q21" i="141"/>
  <c r="P21" i="141"/>
  <c r="O21" i="141"/>
  <c r="N21" i="141"/>
  <c r="M21" i="141"/>
  <c r="L21" i="141"/>
  <c r="K21" i="141"/>
  <c r="B21" i="141"/>
  <c r="AO20" i="141"/>
  <c r="AN20" i="141"/>
  <c r="AM20" i="141"/>
  <c r="AL20" i="141"/>
  <c r="AK20" i="141"/>
  <c r="AJ20" i="141"/>
  <c r="AI20" i="141"/>
  <c r="AH20" i="141"/>
  <c r="AG20" i="141"/>
  <c r="AF20" i="141"/>
  <c r="AE20" i="141"/>
  <c r="AD20" i="141"/>
  <c r="AC20" i="141"/>
  <c r="AB20" i="141"/>
  <c r="AA20" i="141"/>
  <c r="Z20" i="141"/>
  <c r="Y20" i="141"/>
  <c r="X20" i="141"/>
  <c r="W20" i="141"/>
  <c r="V20" i="141"/>
  <c r="U20" i="141"/>
  <c r="T20" i="141"/>
  <c r="S20" i="141"/>
  <c r="R20" i="141"/>
  <c r="Q20" i="141"/>
  <c r="P20" i="141"/>
  <c r="O20" i="141"/>
  <c r="N20" i="141"/>
  <c r="M20" i="141"/>
  <c r="L20" i="141"/>
  <c r="K20" i="141"/>
  <c r="B20" i="141"/>
  <c r="AO19" i="141"/>
  <c r="AN19" i="141"/>
  <c r="AM19" i="141"/>
  <c r="AL19" i="141"/>
  <c r="AK19" i="141"/>
  <c r="AJ19" i="141"/>
  <c r="AI19" i="141"/>
  <c r="AH19" i="141"/>
  <c r="AG19" i="141"/>
  <c r="AF19" i="141"/>
  <c r="AE19" i="141"/>
  <c r="AD19" i="141"/>
  <c r="AC19" i="141"/>
  <c r="AB19" i="141"/>
  <c r="AA19" i="141"/>
  <c r="Z19" i="141"/>
  <c r="Y19" i="141"/>
  <c r="X19" i="141"/>
  <c r="W19" i="141"/>
  <c r="V19" i="141"/>
  <c r="U19" i="141"/>
  <c r="T19" i="141"/>
  <c r="S19" i="141"/>
  <c r="R19" i="141"/>
  <c r="Q19" i="141"/>
  <c r="P19" i="141"/>
  <c r="O19" i="141"/>
  <c r="N19" i="141"/>
  <c r="M19" i="141"/>
  <c r="L19" i="141"/>
  <c r="K19" i="141"/>
  <c r="B19" i="141"/>
  <c r="AO18" i="141"/>
  <c r="AN18" i="141"/>
  <c r="AM18" i="141"/>
  <c r="AL18" i="141"/>
  <c r="AK18" i="141"/>
  <c r="AJ18" i="141"/>
  <c r="AI18" i="141"/>
  <c r="AH18" i="141"/>
  <c r="AG18" i="141"/>
  <c r="AF18" i="141"/>
  <c r="AE18" i="141"/>
  <c r="AD18" i="141"/>
  <c r="AC18" i="141"/>
  <c r="AB18" i="141"/>
  <c r="AA18" i="141"/>
  <c r="Z18" i="141"/>
  <c r="Y18" i="141"/>
  <c r="X18" i="141"/>
  <c r="W18" i="141"/>
  <c r="V18" i="141"/>
  <c r="U18" i="141"/>
  <c r="T18" i="141"/>
  <c r="S18" i="141"/>
  <c r="R18" i="141"/>
  <c r="Q18" i="141"/>
  <c r="P18" i="141"/>
  <c r="O18" i="141"/>
  <c r="N18" i="141"/>
  <c r="M18" i="141"/>
  <c r="L18" i="141"/>
  <c r="K18" i="141"/>
  <c r="B18" i="141"/>
  <c r="AO17" i="141"/>
  <c r="AN17" i="141"/>
  <c r="AM17" i="141"/>
  <c r="AL17" i="141"/>
  <c r="AK17" i="141"/>
  <c r="AJ17" i="141"/>
  <c r="AI17" i="141"/>
  <c r="AH17" i="141"/>
  <c r="AG17" i="141"/>
  <c r="AF17" i="141"/>
  <c r="AE17" i="141"/>
  <c r="AD17" i="141"/>
  <c r="AC17" i="141"/>
  <c r="AB17" i="141"/>
  <c r="AA17" i="141"/>
  <c r="Z17" i="141"/>
  <c r="Y17" i="141"/>
  <c r="X17" i="141"/>
  <c r="W17" i="141"/>
  <c r="V17" i="141"/>
  <c r="U17" i="141"/>
  <c r="T17" i="141"/>
  <c r="S17" i="141"/>
  <c r="R17" i="141"/>
  <c r="Q17" i="141"/>
  <c r="P17" i="141"/>
  <c r="O17" i="141"/>
  <c r="N17" i="141"/>
  <c r="M17" i="141"/>
  <c r="L17" i="141"/>
  <c r="K17" i="141"/>
  <c r="B17" i="141"/>
  <c r="AO16" i="141"/>
  <c r="AN16" i="141"/>
  <c r="AM16" i="141"/>
  <c r="AL16" i="141"/>
  <c r="AK16" i="141"/>
  <c r="AJ16" i="141"/>
  <c r="AI16" i="141"/>
  <c r="AH16" i="141"/>
  <c r="AG16" i="141"/>
  <c r="AF16" i="141"/>
  <c r="AE16" i="141"/>
  <c r="AD16" i="141"/>
  <c r="AC16" i="141"/>
  <c r="AB16" i="141"/>
  <c r="AA16" i="141"/>
  <c r="Z16" i="141"/>
  <c r="Y16" i="141"/>
  <c r="X16" i="141"/>
  <c r="W16" i="141"/>
  <c r="V16" i="141"/>
  <c r="U16" i="141"/>
  <c r="T16" i="141"/>
  <c r="S16" i="141"/>
  <c r="R16" i="141"/>
  <c r="Q16" i="141"/>
  <c r="P16" i="141"/>
  <c r="O16" i="141"/>
  <c r="N16" i="141"/>
  <c r="M16" i="141"/>
  <c r="L16" i="141"/>
  <c r="K16" i="141"/>
  <c r="B16" i="141"/>
  <c r="AO15" i="141"/>
  <c r="AN15" i="141"/>
  <c r="AM15" i="141"/>
  <c r="AL15" i="141"/>
  <c r="AK15" i="141"/>
  <c r="AJ15" i="141"/>
  <c r="AI15" i="141"/>
  <c r="AH15" i="141"/>
  <c r="AG15" i="141"/>
  <c r="AF15" i="141"/>
  <c r="AE15" i="141"/>
  <c r="AD15" i="141"/>
  <c r="AC15" i="141"/>
  <c r="AB15" i="141"/>
  <c r="AA15" i="141"/>
  <c r="Z15" i="141"/>
  <c r="Y15" i="141"/>
  <c r="X15" i="141"/>
  <c r="W15" i="141"/>
  <c r="V15" i="141"/>
  <c r="U15" i="141"/>
  <c r="T15" i="141"/>
  <c r="S15" i="141"/>
  <c r="R15" i="141"/>
  <c r="Q15" i="141"/>
  <c r="P15" i="141"/>
  <c r="O15" i="141"/>
  <c r="N15" i="141"/>
  <c r="M15" i="141"/>
  <c r="L15" i="141"/>
  <c r="K15" i="141"/>
  <c r="B15" i="141"/>
  <c r="AO14" i="141"/>
  <c r="AN14" i="141"/>
  <c r="AM14" i="141"/>
  <c r="AL14" i="141"/>
  <c r="AK14" i="141"/>
  <c r="AJ14" i="141"/>
  <c r="AI14" i="141"/>
  <c r="AH14" i="141"/>
  <c r="AG14" i="141"/>
  <c r="AF14" i="141"/>
  <c r="AE14" i="141"/>
  <c r="AD14" i="141"/>
  <c r="AC14" i="141"/>
  <c r="AB14" i="141"/>
  <c r="AA14" i="141"/>
  <c r="Z14" i="141"/>
  <c r="Y14" i="141"/>
  <c r="X14" i="141"/>
  <c r="W14" i="141"/>
  <c r="V14" i="141"/>
  <c r="U14" i="141"/>
  <c r="T14" i="141"/>
  <c r="S14" i="141"/>
  <c r="R14" i="141"/>
  <c r="Q14" i="141"/>
  <c r="P14" i="141"/>
  <c r="O14" i="141"/>
  <c r="N14" i="141"/>
  <c r="M14" i="141"/>
  <c r="L14" i="141"/>
  <c r="K14" i="141"/>
  <c r="B14" i="141"/>
  <c r="AO13" i="141"/>
  <c r="AN13" i="141"/>
  <c r="AM13" i="141"/>
  <c r="AL13" i="141"/>
  <c r="AK13" i="141"/>
  <c r="AJ13" i="141"/>
  <c r="AI13" i="141"/>
  <c r="AH13" i="141"/>
  <c r="AG13" i="141"/>
  <c r="AF13" i="141"/>
  <c r="AE13" i="141"/>
  <c r="AD13" i="141"/>
  <c r="AC13" i="141"/>
  <c r="AB13" i="141"/>
  <c r="AA13" i="141"/>
  <c r="Z13" i="141"/>
  <c r="Y13" i="141"/>
  <c r="X13" i="141"/>
  <c r="W13" i="141"/>
  <c r="V13" i="141"/>
  <c r="U13" i="141"/>
  <c r="T13" i="141"/>
  <c r="S13" i="141"/>
  <c r="R13" i="141"/>
  <c r="Q13" i="141"/>
  <c r="P13" i="141"/>
  <c r="O13" i="141"/>
  <c r="N13" i="141"/>
  <c r="M13" i="141"/>
  <c r="L13" i="141"/>
  <c r="K13" i="141"/>
  <c r="B13" i="141"/>
  <c r="AO12" i="141"/>
  <c r="AN12" i="141"/>
  <c r="AM12" i="141"/>
  <c r="AL12" i="141"/>
  <c r="AK12" i="141"/>
  <c r="AJ12" i="141"/>
  <c r="AI12" i="141"/>
  <c r="AH12" i="141"/>
  <c r="AG12" i="141"/>
  <c r="AF12" i="141"/>
  <c r="AE12" i="141"/>
  <c r="AD12" i="141"/>
  <c r="AC12" i="141"/>
  <c r="AB12" i="141"/>
  <c r="AA12" i="141"/>
  <c r="Z12" i="141"/>
  <c r="Y12" i="141"/>
  <c r="X12" i="141"/>
  <c r="W12" i="141"/>
  <c r="V12" i="141"/>
  <c r="U12" i="141"/>
  <c r="T12" i="141"/>
  <c r="S12" i="141"/>
  <c r="R12" i="141"/>
  <c r="Q12" i="141"/>
  <c r="P12" i="141"/>
  <c r="O12" i="141"/>
  <c r="N12" i="141"/>
  <c r="M12" i="141"/>
  <c r="L12" i="141"/>
  <c r="K12" i="141"/>
  <c r="B12" i="141"/>
  <c r="AO11" i="141"/>
  <c r="AN11" i="141"/>
  <c r="AM11" i="141"/>
  <c r="AL11" i="141"/>
  <c r="AK11" i="141"/>
  <c r="AJ11" i="141"/>
  <c r="AI11" i="141"/>
  <c r="AH11" i="141"/>
  <c r="AG11" i="141"/>
  <c r="AF11" i="141"/>
  <c r="AE11" i="141"/>
  <c r="AD11" i="141"/>
  <c r="AC11" i="141"/>
  <c r="AB11" i="141"/>
  <c r="AA11" i="141"/>
  <c r="Z11" i="141"/>
  <c r="Y11" i="141"/>
  <c r="X11" i="141"/>
  <c r="W11" i="141"/>
  <c r="V11" i="141"/>
  <c r="U11" i="141"/>
  <c r="T11" i="141"/>
  <c r="S11" i="141"/>
  <c r="R11" i="141"/>
  <c r="Q11" i="141"/>
  <c r="P11" i="141"/>
  <c r="O11" i="141"/>
  <c r="N11" i="141"/>
  <c r="M11" i="141"/>
  <c r="L11" i="141"/>
  <c r="K11" i="141"/>
  <c r="B11" i="141"/>
  <c r="AO10" i="141"/>
  <c r="AN10" i="141"/>
  <c r="AM10" i="141"/>
  <c r="AL10" i="141"/>
  <c r="AK10" i="141"/>
  <c r="AJ10" i="141"/>
  <c r="AI10" i="141"/>
  <c r="AH10" i="141"/>
  <c r="AG10" i="141"/>
  <c r="AF10" i="141"/>
  <c r="AE10" i="141"/>
  <c r="AD10" i="141"/>
  <c r="AC10" i="141"/>
  <c r="AB10" i="141"/>
  <c r="AA10" i="141"/>
  <c r="Z10" i="141"/>
  <c r="Y10" i="141"/>
  <c r="X10" i="141"/>
  <c r="W10" i="141"/>
  <c r="V10" i="141"/>
  <c r="U10" i="141"/>
  <c r="T10" i="141"/>
  <c r="S10" i="141"/>
  <c r="R10" i="141"/>
  <c r="Q10" i="141"/>
  <c r="P10" i="141"/>
  <c r="O10" i="141"/>
  <c r="N10" i="141"/>
  <c r="M10" i="141"/>
  <c r="L10" i="141"/>
  <c r="K10" i="141"/>
  <c r="B10" i="141"/>
  <c r="AO9" i="141"/>
  <c r="AN9" i="141"/>
  <c r="AM9" i="141"/>
  <c r="AL9" i="141"/>
  <c r="AK9" i="141"/>
  <c r="AJ9" i="141"/>
  <c r="AI9" i="141"/>
  <c r="AH9" i="141"/>
  <c r="AG9" i="141"/>
  <c r="AF9" i="141"/>
  <c r="AE9" i="141"/>
  <c r="AD9" i="141"/>
  <c r="AC9" i="141"/>
  <c r="AB9" i="141"/>
  <c r="AA9" i="141"/>
  <c r="Z9" i="141"/>
  <c r="Y9" i="141"/>
  <c r="X9" i="141"/>
  <c r="W9" i="141"/>
  <c r="V9" i="141"/>
  <c r="U9" i="141"/>
  <c r="T9" i="141"/>
  <c r="S9" i="141"/>
  <c r="R9" i="141"/>
  <c r="Q9" i="141"/>
  <c r="P9" i="141"/>
  <c r="O9" i="141"/>
  <c r="N9" i="141"/>
  <c r="M9" i="141"/>
  <c r="L9" i="141"/>
  <c r="K9" i="141"/>
  <c r="B9" i="141"/>
  <c r="AO8" i="141"/>
  <c r="AN8" i="141"/>
  <c r="AM8" i="141"/>
  <c r="AL8" i="141"/>
  <c r="AK8" i="141"/>
  <c r="AJ8" i="141"/>
  <c r="AI8" i="141"/>
  <c r="AH8" i="141"/>
  <c r="AG8" i="141"/>
  <c r="AF8" i="141"/>
  <c r="AE8" i="141"/>
  <c r="AD8" i="141"/>
  <c r="AC8" i="141"/>
  <c r="AB8" i="141"/>
  <c r="AA8" i="141"/>
  <c r="Z8" i="141"/>
  <c r="Y8" i="141"/>
  <c r="X8" i="141"/>
  <c r="W8" i="141"/>
  <c r="V8" i="141"/>
  <c r="U8" i="141"/>
  <c r="T8" i="141"/>
  <c r="S8" i="141"/>
  <c r="R8" i="141"/>
  <c r="Q8" i="141"/>
  <c r="P8" i="141"/>
  <c r="O8" i="141"/>
  <c r="N8" i="141"/>
  <c r="M8" i="141"/>
  <c r="L8" i="141"/>
  <c r="K8" i="141"/>
  <c r="B8" i="141"/>
  <c r="AO7" i="141"/>
  <c r="AN7" i="141"/>
  <c r="AM7" i="141"/>
  <c r="AL7" i="141"/>
  <c r="AK7" i="141"/>
  <c r="AJ7" i="141"/>
  <c r="AI7" i="141"/>
  <c r="AH7" i="141"/>
  <c r="AG7" i="141"/>
  <c r="AF7" i="141"/>
  <c r="AE7" i="141"/>
  <c r="AD7" i="141"/>
  <c r="AC7" i="141"/>
  <c r="AB7" i="141"/>
  <c r="AA7" i="141"/>
  <c r="Z7" i="141"/>
  <c r="Y7" i="141"/>
  <c r="X7" i="141"/>
  <c r="W7" i="141"/>
  <c r="V7" i="141"/>
  <c r="U7" i="141"/>
  <c r="T7" i="141"/>
  <c r="S7" i="141"/>
  <c r="R7" i="141"/>
  <c r="Q7" i="141"/>
  <c r="P7" i="141"/>
  <c r="O7" i="141"/>
  <c r="N7" i="141"/>
  <c r="M7" i="141"/>
  <c r="L7" i="141"/>
  <c r="K7" i="141"/>
  <c r="B7" i="141"/>
  <c r="AO6" i="141"/>
  <c r="AN6" i="141"/>
  <c r="AM6" i="141"/>
  <c r="AL6" i="141"/>
  <c r="AK6" i="141"/>
  <c r="AJ6" i="141"/>
  <c r="AI6" i="141"/>
  <c r="AH6" i="141"/>
  <c r="AG6" i="141"/>
  <c r="AF6" i="141"/>
  <c r="AE6" i="141"/>
  <c r="AD6" i="141"/>
  <c r="AC6" i="141"/>
  <c r="AB6" i="141"/>
  <c r="AA6" i="141"/>
  <c r="Z6" i="141"/>
  <c r="Y6" i="141"/>
  <c r="X6" i="141"/>
  <c r="W6" i="141"/>
  <c r="V6" i="141"/>
  <c r="U6" i="141"/>
  <c r="T6" i="141"/>
  <c r="S6" i="141"/>
  <c r="R6" i="141"/>
  <c r="Q6" i="141"/>
  <c r="P6" i="141"/>
  <c r="O6" i="141"/>
  <c r="N6" i="141"/>
  <c r="M6" i="141"/>
  <c r="L6" i="141"/>
  <c r="K6" i="141"/>
  <c r="B6" i="141"/>
  <c r="AO5" i="141"/>
  <c r="AN5" i="141"/>
  <c r="AM5" i="141"/>
  <c r="AL5" i="141"/>
  <c r="AK5" i="141"/>
  <c r="AJ5" i="141"/>
  <c r="AI5" i="141"/>
  <c r="AH5" i="141"/>
  <c r="AG5" i="141"/>
  <c r="AF5" i="141"/>
  <c r="AE5" i="141"/>
  <c r="AD5" i="141"/>
  <c r="AC5" i="141"/>
  <c r="AB5" i="141"/>
  <c r="AA5" i="141"/>
  <c r="Z5" i="141"/>
  <c r="Y5" i="141"/>
  <c r="X5" i="141"/>
  <c r="W5" i="141"/>
  <c r="V5" i="141"/>
  <c r="U5" i="141"/>
  <c r="T5" i="141"/>
  <c r="S5" i="141"/>
  <c r="R5" i="141"/>
  <c r="Q5" i="141"/>
  <c r="P5" i="141"/>
  <c r="O5" i="141"/>
  <c r="N5" i="141"/>
  <c r="M5" i="141"/>
  <c r="L5" i="141"/>
  <c r="K5" i="141"/>
  <c r="B5" i="141"/>
  <c r="AO4" i="141"/>
  <c r="AN4" i="141"/>
  <c r="AM4" i="141"/>
  <c r="AL4" i="141"/>
  <c r="AK4" i="141"/>
  <c r="AJ4" i="141"/>
  <c r="AI4" i="141"/>
  <c r="AH4" i="141"/>
  <c r="AG4" i="141"/>
  <c r="AF4" i="141"/>
  <c r="AE4" i="141"/>
  <c r="AD4" i="141"/>
  <c r="AC4" i="141"/>
  <c r="AB4" i="141"/>
  <c r="AA4" i="141"/>
  <c r="Z4" i="141"/>
  <c r="Y4" i="141"/>
  <c r="X4" i="141"/>
  <c r="W4" i="141"/>
  <c r="V4" i="141"/>
  <c r="U4" i="141"/>
  <c r="T4" i="141"/>
  <c r="S4" i="141"/>
  <c r="R4" i="141"/>
  <c r="Q4" i="141"/>
  <c r="P4" i="141"/>
  <c r="O4" i="141"/>
  <c r="N4" i="141"/>
  <c r="M4" i="141"/>
  <c r="L4" i="141"/>
  <c r="K4" i="141"/>
  <c r="B4" i="141"/>
  <c r="AO3" i="141"/>
  <c r="AN3" i="141"/>
  <c r="AM3" i="141"/>
  <c r="AL3" i="141"/>
  <c r="AK3" i="141"/>
  <c r="AJ3" i="141"/>
  <c r="AI3" i="141"/>
  <c r="AH3" i="141"/>
  <c r="AG3" i="141"/>
  <c r="AF3" i="141"/>
  <c r="AE3" i="141"/>
  <c r="AD3" i="141"/>
  <c r="AC3" i="141"/>
  <c r="AB3" i="141"/>
  <c r="AA3" i="141"/>
  <c r="Z3" i="141"/>
  <c r="Y3" i="141"/>
  <c r="X3" i="141"/>
  <c r="W3" i="141"/>
  <c r="V3" i="141"/>
  <c r="U3" i="141"/>
  <c r="T3" i="141"/>
  <c r="S3" i="141"/>
  <c r="R3" i="141"/>
  <c r="Q3" i="141"/>
  <c r="P3" i="141"/>
  <c r="O3" i="141"/>
  <c r="N3" i="141"/>
  <c r="M3" i="141"/>
  <c r="L3" i="141"/>
  <c r="K3" i="141"/>
  <c r="AO2" i="141"/>
  <c r="AN2" i="141"/>
  <c r="AM2" i="141"/>
  <c r="AL2" i="141"/>
  <c r="AK2" i="141"/>
  <c r="AJ2" i="141"/>
  <c r="AI2" i="141"/>
  <c r="AH2" i="141"/>
  <c r="AG2" i="141"/>
  <c r="AF2" i="141"/>
  <c r="AE2" i="141"/>
  <c r="AD2" i="141"/>
  <c r="AC2" i="141"/>
  <c r="AB2" i="141"/>
  <c r="AA2" i="141"/>
  <c r="Z2" i="141"/>
  <c r="Y2" i="141"/>
  <c r="X2" i="141"/>
  <c r="W2" i="141"/>
  <c r="V2" i="141"/>
  <c r="U2" i="141"/>
  <c r="T2" i="141"/>
  <c r="S2" i="141"/>
  <c r="R2" i="141"/>
  <c r="Q2" i="141"/>
  <c r="P2" i="141"/>
  <c r="O2" i="141"/>
  <c r="N2" i="141"/>
  <c r="M2" i="141"/>
  <c r="L2" i="141"/>
  <c r="K2" i="141"/>
  <c r="A149" i="194" l="1"/>
  <c r="BC147" i="194"/>
  <c r="D42" i="141"/>
  <c r="D16" i="141"/>
  <c r="D13" i="141"/>
  <c r="D55" i="141"/>
  <c r="D69" i="141"/>
  <c r="D7" i="141"/>
  <c r="D41" i="141"/>
  <c r="D35" i="141"/>
  <c r="D48" i="141"/>
  <c r="D23" i="141"/>
  <c r="D63" i="141"/>
  <c r="D11" i="141"/>
  <c r="D44" i="141"/>
  <c r="D4" i="141"/>
  <c r="D25" i="141"/>
  <c r="D30" i="141"/>
  <c r="D49" i="141"/>
  <c r="D18" i="141"/>
  <c r="D62" i="141"/>
  <c r="D6" i="141"/>
  <c r="D37" i="141"/>
  <c r="D56" i="141"/>
  <c r="D20" i="141"/>
  <c r="D14" i="141"/>
  <c r="D2" i="141"/>
  <c r="D58" i="141"/>
  <c r="D27" i="141"/>
  <c r="D21" i="141"/>
  <c r="D65" i="141"/>
  <c r="D51" i="141"/>
  <c r="D9" i="141"/>
  <c r="D34" i="141"/>
  <c r="D70" i="141"/>
  <c r="D72" i="141"/>
  <c r="D28" i="141"/>
  <c r="D3" i="141"/>
  <c r="D10" i="141"/>
  <c r="D17" i="141"/>
  <c r="D24" i="141"/>
  <c r="D31" i="141"/>
  <c r="D38" i="141"/>
  <c r="D45" i="141"/>
  <c r="D52" i="141"/>
  <c r="D59" i="141"/>
  <c r="D66" i="141"/>
  <c r="D73" i="141"/>
  <c r="D32" i="141"/>
  <c r="D39" i="141"/>
  <c r="D46" i="141"/>
  <c r="D53" i="141"/>
  <c r="D60" i="141"/>
  <c r="D67" i="141"/>
  <c r="D74" i="141"/>
  <c r="D64" i="141"/>
  <c r="D71" i="141"/>
  <c r="D8" i="141"/>
  <c r="D15" i="141"/>
  <c r="D22" i="141"/>
  <c r="D29" i="141"/>
  <c r="D36" i="141"/>
  <c r="D43" i="141"/>
  <c r="D50" i="141"/>
  <c r="D57" i="141"/>
  <c r="D5" i="141"/>
  <c r="D12" i="141"/>
  <c r="D19" i="141"/>
  <c r="D26" i="141"/>
  <c r="D33" i="141"/>
  <c r="D40" i="141"/>
  <c r="D47" i="141"/>
  <c r="D54" i="141"/>
  <c r="D61" i="141"/>
  <c r="L101" i="5"/>
  <c r="F101" i="5"/>
  <c r="L100" i="5"/>
  <c r="L99" i="5"/>
  <c r="L98" i="5"/>
  <c r="L97" i="5"/>
  <c r="L96" i="5"/>
  <c r="L95" i="5"/>
  <c r="F95" i="5"/>
  <c r="L94" i="5"/>
  <c r="G21" i="194"/>
  <c r="L93" i="5"/>
  <c r="G23" i="194"/>
  <c r="L92" i="5"/>
  <c r="F92" i="5"/>
  <c r="L91" i="5"/>
  <c r="L90" i="5"/>
  <c r="L89" i="5"/>
  <c r="L88" i="5"/>
  <c r="L87" i="5"/>
  <c r="L86" i="5"/>
  <c r="L85" i="5"/>
  <c r="L84" i="5"/>
  <c r="L83" i="5"/>
  <c r="L82" i="5"/>
  <c r="L81" i="5"/>
  <c r="L80" i="5"/>
  <c r="L79" i="5"/>
  <c r="L78" i="5"/>
  <c r="L77" i="5"/>
  <c r="L76" i="5"/>
  <c r="L75" i="5"/>
  <c r="L74" i="5"/>
  <c r="L129" i="5"/>
  <c r="F129" i="5"/>
  <c r="L128" i="5"/>
  <c r="F128" i="5"/>
  <c r="L127" i="5"/>
  <c r="F127" i="5"/>
  <c r="L126" i="5"/>
  <c r="F126" i="5"/>
  <c r="L125" i="5"/>
  <c r="F125" i="5"/>
  <c r="L124" i="5"/>
  <c r="F124" i="5"/>
  <c r="L123" i="5"/>
  <c r="F123" i="5"/>
  <c r="L122" i="5"/>
  <c r="F122" i="5"/>
  <c r="L121" i="5"/>
  <c r="F121" i="5"/>
  <c r="L120" i="5"/>
  <c r="F120" i="5"/>
  <c r="L119" i="5"/>
  <c r="F119" i="5"/>
  <c r="L118" i="5"/>
  <c r="F118" i="5"/>
  <c r="L117" i="5"/>
  <c r="F117" i="5"/>
  <c r="L116" i="5"/>
  <c r="F116" i="5"/>
  <c r="L115" i="5"/>
  <c r="F115" i="5"/>
  <c r="L114" i="5"/>
  <c r="F114" i="5"/>
  <c r="L113" i="5"/>
  <c r="F113" i="5"/>
  <c r="L112" i="5"/>
  <c r="F112" i="5"/>
  <c r="L111" i="5"/>
  <c r="F111" i="5"/>
  <c r="L110" i="5"/>
  <c r="F110" i="5"/>
  <c r="L109" i="5"/>
  <c r="F109" i="5"/>
  <c r="L108" i="5"/>
  <c r="F108" i="5"/>
  <c r="L107" i="5"/>
  <c r="F107" i="5"/>
  <c r="L106" i="5"/>
  <c r="F106" i="5"/>
  <c r="L105" i="5"/>
  <c r="F105" i="5"/>
  <c r="L104" i="5"/>
  <c r="F104" i="5"/>
  <c r="L103" i="5"/>
  <c r="F103" i="5"/>
  <c r="L102" i="5"/>
  <c r="F102" i="5"/>
  <c r="L157" i="5"/>
  <c r="F157" i="5"/>
  <c r="L156" i="5"/>
  <c r="F156" i="5"/>
  <c r="L155" i="5"/>
  <c r="F155" i="5"/>
  <c r="L154" i="5"/>
  <c r="F154" i="5"/>
  <c r="L153" i="5"/>
  <c r="F153" i="5"/>
  <c r="L152" i="5"/>
  <c r="F152" i="5"/>
  <c r="L151" i="5"/>
  <c r="F151" i="5"/>
  <c r="L150" i="5"/>
  <c r="F150" i="5"/>
  <c r="L149" i="5"/>
  <c r="F149" i="5"/>
  <c r="L148" i="5"/>
  <c r="F148" i="5"/>
  <c r="L147" i="5"/>
  <c r="F147" i="5"/>
  <c r="L146" i="5"/>
  <c r="F146" i="5"/>
  <c r="L145" i="5"/>
  <c r="F145" i="5"/>
  <c r="L144" i="5"/>
  <c r="F144" i="5"/>
  <c r="L143" i="5"/>
  <c r="F143" i="5"/>
  <c r="L142" i="5"/>
  <c r="F142" i="5"/>
  <c r="L141" i="5"/>
  <c r="F141" i="5"/>
  <c r="L140" i="5"/>
  <c r="F140" i="5"/>
  <c r="L139" i="5"/>
  <c r="F139" i="5"/>
  <c r="L138" i="5"/>
  <c r="F138" i="5"/>
  <c r="L137" i="5"/>
  <c r="F137" i="5"/>
  <c r="L136" i="5"/>
  <c r="F136" i="5"/>
  <c r="L135" i="5"/>
  <c r="F135" i="5"/>
  <c r="L134" i="5"/>
  <c r="F134" i="5"/>
  <c r="L133" i="5"/>
  <c r="F133" i="5"/>
  <c r="L132" i="5"/>
  <c r="F132" i="5"/>
  <c r="L131" i="5"/>
  <c r="F131" i="5"/>
  <c r="L130" i="5"/>
  <c r="F130" i="5"/>
  <c r="L185" i="5"/>
  <c r="F185" i="5"/>
  <c r="L184" i="5"/>
  <c r="F184" i="5"/>
  <c r="L183" i="5"/>
  <c r="F183" i="5"/>
  <c r="L182" i="5"/>
  <c r="F182" i="5"/>
  <c r="L181" i="5"/>
  <c r="F181" i="5"/>
  <c r="L180" i="5"/>
  <c r="F180" i="5"/>
  <c r="L179" i="5"/>
  <c r="F179" i="5"/>
  <c r="L178" i="5"/>
  <c r="F178" i="5"/>
  <c r="L177" i="5"/>
  <c r="F177" i="5"/>
  <c r="L176" i="5"/>
  <c r="F176" i="5"/>
  <c r="L175" i="5"/>
  <c r="F175" i="5"/>
  <c r="L174" i="5"/>
  <c r="F174" i="5"/>
  <c r="L173" i="5"/>
  <c r="F173" i="5"/>
  <c r="L172" i="5"/>
  <c r="F172" i="5"/>
  <c r="L171" i="5"/>
  <c r="F171" i="5"/>
  <c r="L170" i="5"/>
  <c r="F170" i="5"/>
  <c r="L169" i="5"/>
  <c r="F169" i="5"/>
  <c r="L168" i="5"/>
  <c r="F168" i="5"/>
  <c r="L167" i="5"/>
  <c r="F167" i="5"/>
  <c r="L166" i="5"/>
  <c r="F166" i="5"/>
  <c r="L165" i="5"/>
  <c r="F165" i="5"/>
  <c r="L164" i="5"/>
  <c r="F164" i="5"/>
  <c r="L163" i="5"/>
  <c r="F163" i="5"/>
  <c r="L162" i="5"/>
  <c r="F162" i="5"/>
  <c r="L161" i="5"/>
  <c r="F161" i="5"/>
  <c r="L160" i="5"/>
  <c r="F160" i="5"/>
  <c r="L159" i="5"/>
  <c r="F159" i="5"/>
  <c r="L158" i="5"/>
  <c r="F158" i="5"/>
  <c r="L213" i="5"/>
  <c r="F213" i="5"/>
  <c r="L212" i="5"/>
  <c r="F212" i="5"/>
  <c r="L211" i="5"/>
  <c r="F211" i="5"/>
  <c r="L210" i="5"/>
  <c r="F210" i="5"/>
  <c r="L209" i="5"/>
  <c r="F209" i="5"/>
  <c r="L208" i="5"/>
  <c r="F208" i="5"/>
  <c r="L207" i="5"/>
  <c r="F207" i="5"/>
  <c r="L206" i="5"/>
  <c r="F206" i="5"/>
  <c r="L205" i="5"/>
  <c r="F205" i="5"/>
  <c r="L204" i="5"/>
  <c r="F204" i="5"/>
  <c r="L203" i="5"/>
  <c r="F203" i="5"/>
  <c r="L202" i="5"/>
  <c r="F202" i="5"/>
  <c r="L201" i="5"/>
  <c r="F201" i="5"/>
  <c r="L200" i="5"/>
  <c r="F200" i="5"/>
  <c r="L199" i="5"/>
  <c r="F199" i="5"/>
  <c r="L198" i="5"/>
  <c r="F198" i="5"/>
  <c r="L197" i="5"/>
  <c r="F197" i="5"/>
  <c r="L196" i="5"/>
  <c r="F196" i="5"/>
  <c r="L195" i="5"/>
  <c r="F195" i="5"/>
  <c r="L194" i="5"/>
  <c r="F194" i="5"/>
  <c r="L193" i="5"/>
  <c r="F193" i="5"/>
  <c r="L192" i="5"/>
  <c r="F192" i="5"/>
  <c r="L191" i="5"/>
  <c r="F191" i="5"/>
  <c r="L190" i="5"/>
  <c r="F190" i="5"/>
  <c r="L189" i="5"/>
  <c r="F189" i="5"/>
  <c r="L188" i="5"/>
  <c r="F188" i="5"/>
  <c r="L187" i="5"/>
  <c r="F187" i="5"/>
  <c r="L186" i="5"/>
  <c r="F186" i="5"/>
  <c r="L241" i="5"/>
  <c r="F241" i="5"/>
  <c r="L240" i="5"/>
  <c r="F240" i="5"/>
  <c r="L239" i="5"/>
  <c r="F239" i="5"/>
  <c r="L238" i="5"/>
  <c r="F238" i="5"/>
  <c r="L237" i="5"/>
  <c r="F237" i="5"/>
  <c r="L236" i="5"/>
  <c r="F236" i="5"/>
  <c r="L235" i="5"/>
  <c r="F235" i="5"/>
  <c r="L234" i="5"/>
  <c r="F234" i="5"/>
  <c r="L233" i="5"/>
  <c r="F233" i="5"/>
  <c r="L232" i="5"/>
  <c r="F232" i="5"/>
  <c r="L231" i="5"/>
  <c r="F231" i="5"/>
  <c r="L230" i="5"/>
  <c r="F230" i="5"/>
  <c r="L229" i="5"/>
  <c r="F229" i="5"/>
  <c r="L228" i="5"/>
  <c r="F228" i="5"/>
  <c r="L227" i="5"/>
  <c r="F227" i="5"/>
  <c r="L226" i="5"/>
  <c r="F226" i="5"/>
  <c r="L225" i="5"/>
  <c r="F225" i="5"/>
  <c r="L224" i="5"/>
  <c r="F224" i="5"/>
  <c r="L223" i="5"/>
  <c r="F223" i="5"/>
  <c r="L222" i="5"/>
  <c r="F222" i="5"/>
  <c r="L221" i="5"/>
  <c r="F221" i="5"/>
  <c r="L220" i="5"/>
  <c r="F220" i="5"/>
  <c r="L219" i="5"/>
  <c r="F219" i="5"/>
  <c r="L218" i="5"/>
  <c r="F218" i="5"/>
  <c r="L217" i="5"/>
  <c r="F217" i="5"/>
  <c r="L216" i="5"/>
  <c r="F216" i="5"/>
  <c r="L215" i="5"/>
  <c r="F215" i="5"/>
  <c r="L214" i="5"/>
  <c r="F214" i="5"/>
  <c r="L269" i="5"/>
  <c r="F269" i="5"/>
  <c r="L268" i="5"/>
  <c r="F268" i="5"/>
  <c r="L267" i="5"/>
  <c r="F267" i="5"/>
  <c r="L266" i="5"/>
  <c r="F266" i="5"/>
  <c r="L265" i="5"/>
  <c r="F265" i="5"/>
  <c r="L264" i="5"/>
  <c r="F264" i="5"/>
  <c r="L263" i="5"/>
  <c r="F263" i="5"/>
  <c r="L262" i="5"/>
  <c r="F262" i="5"/>
  <c r="L261" i="5"/>
  <c r="F261" i="5"/>
  <c r="L260" i="5"/>
  <c r="F260" i="5"/>
  <c r="L259" i="5"/>
  <c r="F259" i="5"/>
  <c r="L258" i="5"/>
  <c r="F258" i="5"/>
  <c r="L257" i="5"/>
  <c r="F257" i="5"/>
  <c r="L256" i="5"/>
  <c r="F256" i="5"/>
  <c r="L255" i="5"/>
  <c r="F255" i="5"/>
  <c r="L254" i="5"/>
  <c r="F254" i="5"/>
  <c r="L253" i="5"/>
  <c r="F253" i="5"/>
  <c r="L252" i="5"/>
  <c r="F252" i="5"/>
  <c r="L251" i="5"/>
  <c r="F251" i="5"/>
  <c r="L250" i="5"/>
  <c r="F250" i="5"/>
  <c r="L249" i="5"/>
  <c r="F249" i="5"/>
  <c r="L248" i="5"/>
  <c r="F248" i="5"/>
  <c r="L247" i="5"/>
  <c r="F247" i="5"/>
  <c r="L246" i="5"/>
  <c r="F246" i="5"/>
  <c r="L245" i="5"/>
  <c r="F245" i="5"/>
  <c r="L244" i="5"/>
  <c r="F244" i="5"/>
  <c r="L243" i="5"/>
  <c r="F243" i="5"/>
  <c r="L242" i="5"/>
  <c r="F242" i="5"/>
  <c r="L283" i="5"/>
  <c r="F283" i="5"/>
  <c r="L282" i="5"/>
  <c r="F282" i="5"/>
  <c r="L281" i="5"/>
  <c r="F281" i="5"/>
  <c r="L280" i="5"/>
  <c r="F280" i="5"/>
  <c r="L279" i="5"/>
  <c r="F279" i="5"/>
  <c r="L278" i="5"/>
  <c r="F278" i="5"/>
  <c r="L277" i="5"/>
  <c r="F277" i="5"/>
  <c r="L276" i="5"/>
  <c r="F276" i="5"/>
  <c r="L275" i="5"/>
  <c r="F275" i="5"/>
  <c r="L274" i="5"/>
  <c r="F274" i="5"/>
  <c r="L273" i="5"/>
  <c r="F273" i="5"/>
  <c r="L272" i="5"/>
  <c r="F272" i="5"/>
  <c r="L271" i="5"/>
  <c r="F271" i="5"/>
  <c r="L270" i="5"/>
  <c r="F270" i="5"/>
  <c r="L290" i="5"/>
  <c r="F290" i="5"/>
  <c r="L289" i="5"/>
  <c r="F289" i="5"/>
  <c r="L288" i="5"/>
  <c r="F288" i="5"/>
  <c r="L287" i="5"/>
  <c r="F287" i="5"/>
  <c r="L286" i="5"/>
  <c r="F286" i="5"/>
  <c r="L285" i="5"/>
  <c r="F285" i="5"/>
  <c r="L284" i="5"/>
  <c r="F284" i="5"/>
  <c r="L297" i="5"/>
  <c r="F297" i="5"/>
  <c r="L296" i="5"/>
  <c r="F296" i="5"/>
  <c r="L295" i="5"/>
  <c r="F295" i="5"/>
  <c r="L294" i="5"/>
  <c r="F294" i="5"/>
  <c r="L293" i="5"/>
  <c r="F293" i="5"/>
  <c r="L292" i="5"/>
  <c r="F292" i="5"/>
  <c r="L291" i="5"/>
  <c r="F291" i="5"/>
  <c r="BC149" i="194" l="1"/>
  <c r="A151" i="194"/>
  <c r="BC151" i="194" s="1"/>
  <c r="V8" i="57"/>
  <c r="G20" i="57"/>
  <c r="G34" i="57"/>
  <c r="G33" i="57"/>
  <c r="G32" i="57"/>
  <c r="G31" i="57"/>
  <c r="G30" i="57"/>
  <c r="G29" i="57"/>
  <c r="G28" i="57"/>
  <c r="G27" i="57"/>
  <c r="G26" i="57"/>
  <c r="G25" i="57"/>
  <c r="G24" i="57"/>
  <c r="G23" i="57"/>
  <c r="G22" i="57"/>
  <c r="G21" i="57"/>
  <c r="G8" i="153"/>
  <c r="C41" i="153"/>
  <c r="C40" i="153"/>
  <c r="C39" i="153"/>
  <c r="C38" i="153"/>
  <c r="C37" i="153"/>
  <c r="C36" i="153"/>
  <c r="C35" i="153"/>
  <c r="C34" i="153"/>
  <c r="C33" i="153"/>
  <c r="C32" i="153"/>
  <c r="C9" i="155"/>
  <c r="C7" i="155"/>
  <c r="M16" i="57"/>
  <c r="M17" i="57"/>
  <c r="M15" i="57"/>
  <c r="E32" i="153" l="1"/>
  <c r="E33" i="153"/>
  <c r="E34" i="153"/>
  <c r="E36" i="153"/>
  <c r="E38" i="153"/>
  <c r="E40" i="153"/>
  <c r="E35" i="153"/>
  <c r="E37" i="153"/>
  <c r="E39" i="153"/>
  <c r="E41" i="153"/>
  <c r="B32" i="153"/>
  <c r="B33" i="153"/>
  <c r="B34" i="153"/>
  <c r="B35" i="153"/>
  <c r="B36" i="153"/>
  <c r="B37" i="153"/>
  <c r="B38" i="153"/>
  <c r="B39" i="153"/>
  <c r="B40" i="153"/>
  <c r="B41" i="153"/>
  <c r="F32" i="153"/>
  <c r="F35" i="153"/>
  <c r="F38" i="153"/>
  <c r="F40" i="153"/>
  <c r="F41" i="153"/>
  <c r="F33" i="153"/>
  <c r="F34" i="153"/>
  <c r="F36" i="153"/>
  <c r="F37" i="153"/>
  <c r="F39" i="153"/>
  <c r="B21" i="154" l="1"/>
  <c r="A6" i="149"/>
  <c r="B8" i="153"/>
  <c r="F8" i="153"/>
  <c r="E8" i="153"/>
  <c r="C6" i="153"/>
  <c r="C7" i="153"/>
  <c r="C9" i="153"/>
  <c r="C10" i="153"/>
  <c r="G10" i="153" s="1"/>
  <c r="C11" i="153"/>
  <c r="C12" i="153"/>
  <c r="C13" i="153"/>
  <c r="C14" i="153"/>
  <c r="C15" i="153"/>
  <c r="C16" i="153"/>
  <c r="G16" i="153" s="1"/>
  <c r="C17" i="153"/>
  <c r="C18" i="153"/>
  <c r="E18" i="153" s="1"/>
  <c r="C19" i="153"/>
  <c r="C20" i="153"/>
  <c r="C21" i="153"/>
  <c r="C22" i="153"/>
  <c r="G22" i="153" s="1"/>
  <c r="C23" i="153"/>
  <c r="E23" i="153" s="1"/>
  <c r="C24" i="153"/>
  <c r="C25" i="153"/>
  <c r="C26" i="153"/>
  <c r="C27" i="153"/>
  <c r="C5" i="153"/>
  <c r="G3" i="151"/>
  <c r="B3" i="153" s="1"/>
  <c r="B17" i="155"/>
  <c r="H26" i="154"/>
  <c r="C21" i="155" s="1"/>
  <c r="H25" i="154"/>
  <c r="C20" i="155" s="1"/>
  <c r="E56" i="153"/>
  <c r="E55" i="153"/>
  <c r="E54" i="153"/>
  <c r="H17" i="152"/>
  <c r="G17" i="152"/>
  <c r="F17" i="152"/>
  <c r="J16" i="152"/>
  <c r="J15" i="152"/>
  <c r="L14" i="152"/>
  <c r="J14" i="152"/>
  <c r="J13" i="152"/>
  <c r="J12" i="152"/>
  <c r="J11" i="152"/>
  <c r="G10" i="152"/>
  <c r="G18" i="152" s="1"/>
  <c r="J9" i="152"/>
  <c r="J8" i="152"/>
  <c r="A3" i="152"/>
  <c r="A49" i="151"/>
  <c r="B28" i="154" s="1"/>
  <c r="B27" i="155" s="1"/>
  <c r="I46" i="151"/>
  <c r="I45" i="151"/>
  <c r="O44" i="151"/>
  <c r="I44" i="151" s="1"/>
  <c r="I43" i="151"/>
  <c r="I42" i="151"/>
  <c r="O41" i="151"/>
  <c r="I41" i="151" s="1"/>
  <c r="I40" i="151"/>
  <c r="I39" i="151"/>
  <c r="O38" i="151"/>
  <c r="I38" i="151" s="1"/>
  <c r="I37" i="151"/>
  <c r="I36" i="151"/>
  <c r="D27" i="151"/>
  <c r="D26" i="151"/>
  <c r="D25" i="151"/>
  <c r="D24" i="151"/>
  <c r="O19" i="151"/>
  <c r="L19" i="151"/>
  <c r="G19" i="151" s="1"/>
  <c r="O17" i="151"/>
  <c r="L17" i="151"/>
  <c r="P17" i="151" s="1"/>
  <c r="P15" i="151"/>
  <c r="O15" i="151"/>
  <c r="L15" i="151"/>
  <c r="G15" i="151" s="1"/>
  <c r="O13" i="151"/>
  <c r="L13" i="151"/>
  <c r="P13" i="151" s="1"/>
  <c r="Q7" i="151"/>
  <c r="R6" i="151"/>
  <c r="S6" i="151" s="1"/>
  <c r="L8" i="151" s="1"/>
  <c r="G4" i="151"/>
  <c r="A3" i="144"/>
  <c r="A4" i="144" s="1"/>
  <c r="A5" i="144" s="1"/>
  <c r="A6" i="144" s="1"/>
  <c r="A7" i="144" s="1"/>
  <c r="A8" i="144" s="1"/>
  <c r="A9" i="144" s="1"/>
  <c r="A10" i="144" s="1"/>
  <c r="A11" i="144" s="1"/>
  <c r="A12" i="144" s="1"/>
  <c r="A13" i="144" s="1"/>
  <c r="A14" i="144" s="1"/>
  <c r="A15" i="144" s="1"/>
  <c r="A16" i="144" s="1"/>
  <c r="A17" i="144" s="1"/>
  <c r="A18" i="144" s="1"/>
  <c r="A19" i="144" s="1"/>
  <c r="A20" i="144" s="1"/>
  <c r="A21" i="144" s="1"/>
  <c r="A22" i="144" s="1"/>
  <c r="A23" i="144" s="1"/>
  <c r="A24" i="144" s="1"/>
  <c r="A25" i="144" s="1"/>
  <c r="A26" i="144" s="1"/>
  <c r="A27" i="144" s="1"/>
  <c r="A28" i="144" s="1"/>
  <c r="A29" i="144" s="1"/>
  <c r="A30" i="144" s="1"/>
  <c r="A31" i="144" s="1"/>
  <c r="A32" i="144" s="1"/>
  <c r="A33" i="144" s="1"/>
  <c r="A34" i="144" s="1"/>
  <c r="A35" i="144" s="1"/>
  <c r="A36" i="144" s="1"/>
  <c r="A37" i="144" s="1"/>
  <c r="A38" i="144" s="1"/>
  <c r="A39" i="144" s="1"/>
  <c r="A40" i="144" s="1"/>
  <c r="A41" i="144" s="1"/>
  <c r="A42" i="144" s="1"/>
  <c r="A43" i="144" s="1"/>
  <c r="A44" i="144" s="1"/>
  <c r="A45" i="144" s="1"/>
  <c r="A46" i="144" s="1"/>
  <c r="A47" i="144" s="1"/>
  <c r="A48" i="144" s="1"/>
  <c r="A49" i="144" s="1"/>
  <c r="A50" i="144" s="1"/>
  <c r="A51" i="144" s="1"/>
  <c r="A52" i="144" s="1"/>
  <c r="A53" i="144" s="1"/>
  <c r="A54" i="144" s="1"/>
  <c r="A55" i="144" s="1"/>
  <c r="A56" i="144" s="1"/>
  <c r="A57" i="144" s="1"/>
  <c r="A58" i="144" s="1"/>
  <c r="A59" i="144" s="1"/>
  <c r="A60" i="144" s="1"/>
  <c r="A61" i="144" s="1"/>
  <c r="A62" i="144" s="1"/>
  <c r="A63" i="144" s="1"/>
  <c r="A64" i="144" s="1"/>
  <c r="A65" i="144" s="1"/>
  <c r="A66" i="144" s="1"/>
  <c r="A67" i="144" s="1"/>
  <c r="A68" i="144" s="1"/>
  <c r="A69" i="144" s="1"/>
  <c r="A70" i="144" s="1"/>
  <c r="A71" i="144" s="1"/>
  <c r="A72" i="144" s="1"/>
  <c r="A73" i="144" s="1"/>
  <c r="A74" i="144" s="1"/>
  <c r="K75" i="145"/>
  <c r="K74" i="145"/>
  <c r="K73" i="145"/>
  <c r="K72" i="145"/>
  <c r="K71" i="145"/>
  <c r="K70" i="145"/>
  <c r="K69" i="145"/>
  <c r="K68" i="145"/>
  <c r="K67" i="145"/>
  <c r="K66" i="145"/>
  <c r="K65" i="145"/>
  <c r="K64" i="145"/>
  <c r="K63" i="145"/>
  <c r="K62" i="145"/>
  <c r="K61" i="145"/>
  <c r="K60" i="145"/>
  <c r="K59" i="145"/>
  <c r="K58" i="145"/>
  <c r="K57" i="145"/>
  <c r="K56" i="145"/>
  <c r="K55" i="145"/>
  <c r="K54" i="145"/>
  <c r="K53" i="145"/>
  <c r="K52" i="145"/>
  <c r="K51" i="145"/>
  <c r="K50" i="145"/>
  <c r="K49" i="145"/>
  <c r="K48" i="145"/>
  <c r="K47" i="145"/>
  <c r="K46" i="145"/>
  <c r="K45" i="145"/>
  <c r="K44" i="145"/>
  <c r="K43" i="145"/>
  <c r="K42" i="145"/>
  <c r="K41" i="145"/>
  <c r="K40" i="145"/>
  <c r="K39" i="145"/>
  <c r="K38" i="145"/>
  <c r="K37" i="145"/>
  <c r="K36" i="145"/>
  <c r="K35" i="145"/>
  <c r="K34" i="145"/>
  <c r="K33" i="145"/>
  <c r="K32" i="145"/>
  <c r="K31" i="145"/>
  <c r="K30" i="145"/>
  <c r="K29" i="145"/>
  <c r="K28" i="145"/>
  <c r="K27" i="145"/>
  <c r="K26" i="145"/>
  <c r="K25" i="145"/>
  <c r="K24" i="145"/>
  <c r="K23" i="145"/>
  <c r="K22" i="145"/>
  <c r="K21" i="145"/>
  <c r="K20" i="145"/>
  <c r="K19" i="145"/>
  <c r="K18" i="145"/>
  <c r="K17" i="145"/>
  <c r="K16" i="145"/>
  <c r="K15" i="145"/>
  <c r="K14" i="145"/>
  <c r="K13" i="145"/>
  <c r="K12" i="145"/>
  <c r="K11" i="145"/>
  <c r="K10" i="145"/>
  <c r="K9" i="145"/>
  <c r="K8" i="145"/>
  <c r="K7" i="145"/>
  <c r="K6" i="145"/>
  <c r="K5" i="145"/>
  <c r="K4" i="145"/>
  <c r="L6" i="5"/>
  <c r="C3" i="152" l="1"/>
  <c r="G17" i="151"/>
  <c r="J17" i="152"/>
  <c r="E4" i="154"/>
  <c r="F10" i="153"/>
  <c r="F16" i="153"/>
  <c r="E16" i="153"/>
  <c r="E27" i="153"/>
  <c r="G27" i="153"/>
  <c r="F23" i="153"/>
  <c r="G23" i="153"/>
  <c r="F22" i="153"/>
  <c r="B27" i="153"/>
  <c r="F24" i="153"/>
  <c r="G24" i="153"/>
  <c r="E22" i="153"/>
  <c r="F27" i="153"/>
  <c r="E25" i="153"/>
  <c r="G25" i="153"/>
  <c r="E26" i="153"/>
  <c r="G26" i="153"/>
  <c r="E24" i="153"/>
  <c r="B22" i="153"/>
  <c r="E19" i="153"/>
  <c r="G19" i="153"/>
  <c r="E15" i="153"/>
  <c r="G15" i="153"/>
  <c r="F11" i="153"/>
  <c r="G11" i="153"/>
  <c r="E11" i="153"/>
  <c r="B10" i="153"/>
  <c r="E20" i="153"/>
  <c r="G20" i="153"/>
  <c r="F12" i="153"/>
  <c r="G12" i="153"/>
  <c r="E12" i="153"/>
  <c r="F15" i="153"/>
  <c r="B15" i="153"/>
  <c r="E21" i="153"/>
  <c r="G21" i="153"/>
  <c r="F17" i="153"/>
  <c r="G17" i="153"/>
  <c r="E13" i="153"/>
  <c r="G13" i="153"/>
  <c r="E9" i="153"/>
  <c r="G9" i="153"/>
  <c r="B16" i="153"/>
  <c r="F18" i="153"/>
  <c r="G18" i="153"/>
  <c r="E14" i="153"/>
  <c r="G14" i="153"/>
  <c r="E17" i="153"/>
  <c r="E10" i="153"/>
  <c r="F21" i="153"/>
  <c r="F9" i="153"/>
  <c r="B21" i="153"/>
  <c r="B9" i="153"/>
  <c r="E7" i="153"/>
  <c r="G7" i="153"/>
  <c r="E6" i="153"/>
  <c r="G6" i="153"/>
  <c r="G5" i="153"/>
  <c r="B5" i="153"/>
  <c r="F5" i="153"/>
  <c r="E5" i="153"/>
  <c r="O35" i="151"/>
  <c r="A5" i="153" s="1"/>
  <c r="C10" i="155"/>
  <c r="D7" i="152"/>
  <c r="B26" i="153"/>
  <c r="B20" i="153"/>
  <c r="B14" i="153"/>
  <c r="F26" i="153"/>
  <c r="F20" i="153"/>
  <c r="F14" i="153"/>
  <c r="B25" i="153"/>
  <c r="B19" i="153"/>
  <c r="B13" i="153"/>
  <c r="B7" i="153"/>
  <c r="F25" i="153"/>
  <c r="F19" i="153"/>
  <c r="F13" i="153"/>
  <c r="F7" i="153"/>
  <c r="B24" i="153"/>
  <c r="B18" i="153"/>
  <c r="B12" i="153"/>
  <c r="B6" i="153"/>
  <c r="F6" i="153"/>
  <c r="B23" i="153"/>
  <c r="B17" i="153"/>
  <c r="B11" i="153"/>
  <c r="L7" i="152"/>
  <c r="F7" i="152" s="1"/>
  <c r="F10" i="152" s="1"/>
  <c r="F18" i="152" s="1"/>
  <c r="G8" i="151"/>
  <c r="I4" i="152"/>
  <c r="C4" i="152" s="1"/>
  <c r="Q13" i="151"/>
  <c r="R13" i="151" s="1"/>
  <c r="L9" i="151"/>
  <c r="G9" i="151" s="1"/>
  <c r="Q15" i="151"/>
  <c r="R15" i="151" s="1"/>
  <c r="R7" i="151"/>
  <c r="S7" i="151" s="1"/>
  <c r="G13" i="151"/>
  <c r="Q17" i="151"/>
  <c r="P19" i="151"/>
  <c r="H24" i="154" l="1"/>
  <c r="C19" i="155" s="1"/>
  <c r="I35" i="151"/>
  <c r="R17" i="151"/>
  <c r="S17" i="151" s="1"/>
  <c r="Q19" i="151"/>
  <c r="R19" i="151" s="1"/>
  <c r="S13" i="151"/>
  <c r="S15" i="151"/>
  <c r="G55" i="150"/>
  <c r="Z56" i="150"/>
  <c r="E74" i="141"/>
  <c r="E73" i="141"/>
  <c r="E72" i="141"/>
  <c r="E71" i="141"/>
  <c r="E70" i="141"/>
  <c r="E69" i="141"/>
  <c r="E68" i="141"/>
  <c r="E67" i="141"/>
  <c r="E66" i="141"/>
  <c r="E65" i="141"/>
  <c r="E64" i="141"/>
  <c r="E63" i="141"/>
  <c r="E62" i="141"/>
  <c r="E61" i="141"/>
  <c r="E60" i="141"/>
  <c r="E59" i="141"/>
  <c r="E58" i="141"/>
  <c r="E57" i="141"/>
  <c r="E56" i="141"/>
  <c r="E55" i="141"/>
  <c r="E54" i="141"/>
  <c r="E53" i="141"/>
  <c r="E52" i="141"/>
  <c r="E51" i="141"/>
  <c r="E50" i="141"/>
  <c r="E49" i="141"/>
  <c r="E48" i="141"/>
  <c r="E47" i="141"/>
  <c r="E46" i="141"/>
  <c r="E45" i="141"/>
  <c r="E44" i="141"/>
  <c r="E43" i="141"/>
  <c r="E42" i="141"/>
  <c r="E41" i="141"/>
  <c r="E40" i="141"/>
  <c r="E39" i="141"/>
  <c r="E38" i="141"/>
  <c r="E37" i="141"/>
  <c r="E36" i="141"/>
  <c r="E35" i="141"/>
  <c r="E34" i="141"/>
  <c r="E33" i="141"/>
  <c r="E32" i="141"/>
  <c r="E31" i="141"/>
  <c r="E30" i="141"/>
  <c r="E29" i="141"/>
  <c r="E28" i="141"/>
  <c r="E27" i="141"/>
  <c r="E26" i="141"/>
  <c r="E24" i="141"/>
  <c r="E22" i="141"/>
  <c r="E21" i="141"/>
  <c r="E20" i="141"/>
  <c r="E19" i="141"/>
  <c r="E17" i="141"/>
  <c r="E16" i="141"/>
  <c r="E15" i="141"/>
  <c r="E12" i="141"/>
  <c r="E11" i="141"/>
  <c r="E10" i="141"/>
  <c r="E9" i="141"/>
  <c r="E8" i="141"/>
  <c r="E7" i="141"/>
  <c r="E6" i="141"/>
  <c r="E5" i="141"/>
  <c r="E4" i="141"/>
  <c r="E3" i="141"/>
  <c r="S19" i="151" l="1"/>
  <c r="F10" i="141"/>
  <c r="F21" i="141"/>
  <c r="F36" i="141"/>
  <c r="F55" i="141"/>
  <c r="AP10" i="141"/>
  <c r="AP33" i="141"/>
  <c r="AP36" i="141"/>
  <c r="AP40" i="141"/>
  <c r="AP52" i="141"/>
  <c r="AP8" i="141"/>
  <c r="AP39" i="141"/>
  <c r="AP43" i="141"/>
  <c r="AP47" i="141"/>
  <c r="AP51" i="141"/>
  <c r="AP58" i="141"/>
  <c r="AP62" i="141"/>
  <c r="AP66" i="141"/>
  <c r="AP70" i="141"/>
  <c r="F6" i="141"/>
  <c r="F9" i="141"/>
  <c r="F26" i="141"/>
  <c r="AP11" i="141"/>
  <c r="AP3" i="141"/>
  <c r="E14" i="141"/>
  <c r="F14" i="141"/>
  <c r="AP21" i="141"/>
  <c r="E23" i="141"/>
  <c r="F23" i="141"/>
  <c r="AP44" i="141"/>
  <c r="AP48" i="141"/>
  <c r="F5" i="141"/>
  <c r="AP5" i="141"/>
  <c r="E18" i="141"/>
  <c r="F18" i="141"/>
  <c r="E13" i="141"/>
  <c r="F13" i="141"/>
  <c r="E25" i="141"/>
  <c r="F25" i="141"/>
  <c r="AP32" i="141"/>
  <c r="AP4" i="141"/>
  <c r="AP12" i="141"/>
  <c r="AP18" i="141"/>
  <c r="AP63" i="141"/>
  <c r="AP67" i="141"/>
  <c r="AP6" i="141"/>
  <c r="AP9" i="141"/>
  <c r="AP13" i="141"/>
  <c r="AP19" i="141"/>
  <c r="AP26" i="141"/>
  <c r="AP29" i="141"/>
  <c r="AP30" i="141"/>
  <c r="AP31" i="141"/>
  <c r="AP55" i="141"/>
  <c r="AP59" i="141"/>
  <c r="AP7" i="141"/>
  <c r="AP16" i="141"/>
  <c r="AP23" i="141"/>
  <c r="AP24" i="141"/>
  <c r="AP73" i="141"/>
  <c r="AP74" i="141"/>
  <c r="AP14" i="141"/>
  <c r="F17" i="141"/>
  <c r="AP17" i="141"/>
  <c r="AP20" i="141"/>
  <c r="F22" i="141"/>
  <c r="AP22" i="141"/>
  <c r="AP27" i="141"/>
  <c r="AP34" i="141"/>
  <c r="AP37" i="141"/>
  <c r="AP41" i="141"/>
  <c r="AP45" i="141"/>
  <c r="AP49" i="141"/>
  <c r="AP53" i="141"/>
  <c r="AP56" i="141"/>
  <c r="AP60" i="141"/>
  <c r="AP64" i="141"/>
  <c r="AP68" i="141"/>
  <c r="AP71" i="141"/>
  <c r="AP15" i="141"/>
  <c r="AP25" i="141"/>
  <c r="AP28" i="141"/>
  <c r="AP35" i="141"/>
  <c r="AP38" i="141"/>
  <c r="AP42" i="141"/>
  <c r="AP46" i="141"/>
  <c r="AP50" i="141"/>
  <c r="AP54" i="141"/>
  <c r="AP57" i="141"/>
  <c r="AP61" i="141"/>
  <c r="AP65" i="141"/>
  <c r="AP69" i="141"/>
  <c r="AP72" i="141"/>
  <c r="F3" i="141"/>
  <c r="F7" i="141"/>
  <c r="F11" i="141"/>
  <c r="F15" i="141"/>
  <c r="F19" i="141"/>
  <c r="F4" i="141"/>
  <c r="F8" i="141"/>
  <c r="F12" i="141"/>
  <c r="F16" i="141"/>
  <c r="F20" i="141"/>
  <c r="F24" i="141"/>
  <c r="F28" i="141"/>
  <c r="F32" i="141"/>
  <c r="F33" i="141"/>
  <c r="F40" i="141"/>
  <c r="F41" i="141"/>
  <c r="F43" i="141"/>
  <c r="F48" i="141"/>
  <c r="F49" i="141"/>
  <c r="F52" i="141"/>
  <c r="F54" i="141"/>
  <c r="F56" i="141"/>
  <c r="F57" i="141"/>
  <c r="F58" i="141"/>
  <c r="F59" i="141"/>
  <c r="F60" i="141"/>
  <c r="F61" i="141"/>
  <c r="F62" i="141"/>
  <c r="F63" i="141"/>
  <c r="F64" i="141"/>
  <c r="F65" i="141"/>
  <c r="F66" i="141"/>
  <c r="F67" i="141"/>
  <c r="F68" i="141"/>
  <c r="F69" i="141"/>
  <c r="F70" i="141"/>
  <c r="F71" i="141"/>
  <c r="F72" i="141"/>
  <c r="F73" i="141"/>
  <c r="F74" i="141"/>
  <c r="F29" i="141"/>
  <c r="F34" i="141"/>
  <c r="F37" i="141"/>
  <c r="F38" i="141"/>
  <c r="F39" i="141"/>
  <c r="F46" i="141"/>
  <c r="F47" i="141"/>
  <c r="F50" i="141"/>
  <c r="F51" i="141"/>
  <c r="F53" i="141"/>
  <c r="F27" i="141"/>
  <c r="F30" i="141"/>
  <c r="F31" i="141"/>
  <c r="F35" i="141"/>
  <c r="F42" i="141"/>
  <c r="F44" i="141"/>
  <c r="F45" i="141"/>
  <c r="K3" i="145"/>
  <c r="J3" i="145"/>
  <c r="H3" i="145"/>
  <c r="AR2" i="141"/>
  <c r="J75" i="145"/>
  <c r="H75" i="145"/>
  <c r="AR74" i="141"/>
  <c r="F74" i="144"/>
  <c r="J74" i="145"/>
  <c r="H74" i="145"/>
  <c r="AR73" i="141"/>
  <c r="F73" i="144"/>
  <c r="J73" i="145"/>
  <c r="H73" i="145"/>
  <c r="H72" i="144"/>
  <c r="AR72" i="141"/>
  <c r="F72" i="144"/>
  <c r="J72" i="145"/>
  <c r="H72" i="145"/>
  <c r="AR71" i="141"/>
  <c r="F71" i="144"/>
  <c r="J71" i="145"/>
  <c r="H71" i="145"/>
  <c r="AR70" i="141"/>
  <c r="F70" i="144"/>
  <c r="J70" i="145"/>
  <c r="H70" i="145"/>
  <c r="H69" i="144"/>
  <c r="AR69" i="141"/>
  <c r="F69" i="144"/>
  <c r="J69" i="145"/>
  <c r="H69" i="145"/>
  <c r="AR68" i="141"/>
  <c r="F68" i="144"/>
  <c r="J68" i="145"/>
  <c r="H68" i="145"/>
  <c r="AR67" i="141"/>
  <c r="F67" i="144"/>
  <c r="J67" i="145"/>
  <c r="H67" i="145"/>
  <c r="AR66" i="141"/>
  <c r="F66" i="144"/>
  <c r="J66" i="145"/>
  <c r="H66" i="145"/>
  <c r="H65" i="144"/>
  <c r="AR65" i="141"/>
  <c r="F65" i="144"/>
  <c r="J65" i="145"/>
  <c r="H65" i="145"/>
  <c r="AR64" i="141"/>
  <c r="F64" i="144"/>
  <c r="J64" i="145"/>
  <c r="H64" i="145"/>
  <c r="AR63" i="141"/>
  <c r="F63" i="144"/>
  <c r="J63" i="145"/>
  <c r="H63" i="145"/>
  <c r="AR62" i="141"/>
  <c r="F62" i="144"/>
  <c r="J62" i="145"/>
  <c r="H62" i="145"/>
  <c r="H61" i="144"/>
  <c r="AR61" i="141"/>
  <c r="F61" i="144"/>
  <c r="J61" i="145"/>
  <c r="H61" i="145"/>
  <c r="AR60" i="141"/>
  <c r="F60" i="144"/>
  <c r="J60" i="145"/>
  <c r="H60" i="145"/>
  <c r="AR59" i="141"/>
  <c r="F59" i="144"/>
  <c r="J59" i="145"/>
  <c r="H59" i="145"/>
  <c r="AR58" i="141"/>
  <c r="F58" i="144"/>
  <c r="J58" i="145"/>
  <c r="H58" i="145"/>
  <c r="AR57" i="141"/>
  <c r="F57" i="144"/>
  <c r="J57" i="145"/>
  <c r="H57" i="145"/>
  <c r="AR56" i="141"/>
  <c r="F56" i="144"/>
  <c r="J56" i="145"/>
  <c r="H56" i="145"/>
  <c r="AR55" i="141"/>
  <c r="F55" i="144"/>
  <c r="J55" i="145"/>
  <c r="H55" i="145"/>
  <c r="AR54" i="141"/>
  <c r="F54" i="144"/>
  <c r="J54" i="145"/>
  <c r="H54" i="145"/>
  <c r="AR53" i="141"/>
  <c r="F53" i="144"/>
  <c r="J53" i="145"/>
  <c r="H53" i="145"/>
  <c r="AR52" i="141"/>
  <c r="F52" i="144"/>
  <c r="J52" i="145"/>
  <c r="H52" i="145"/>
  <c r="AR51" i="141"/>
  <c r="F51" i="144"/>
  <c r="J51" i="145"/>
  <c r="H51" i="145"/>
  <c r="AR50" i="141"/>
  <c r="F50" i="144"/>
  <c r="J50" i="145"/>
  <c r="H50" i="145"/>
  <c r="H49" i="144"/>
  <c r="AR49" i="141"/>
  <c r="F49" i="144"/>
  <c r="J49" i="145"/>
  <c r="H49" i="145"/>
  <c r="AR48" i="141"/>
  <c r="F48" i="144"/>
  <c r="J48" i="145"/>
  <c r="H48" i="145"/>
  <c r="AR47" i="141"/>
  <c r="F47" i="144"/>
  <c r="J47" i="145"/>
  <c r="H47" i="145"/>
  <c r="AR46" i="141"/>
  <c r="F46" i="144"/>
  <c r="J46" i="145"/>
  <c r="H46" i="145"/>
  <c r="H45" i="144"/>
  <c r="AR45" i="141"/>
  <c r="F45" i="144"/>
  <c r="E44" i="144"/>
  <c r="J45" i="145"/>
  <c r="H45" i="145"/>
  <c r="AR44" i="141"/>
  <c r="F44" i="144"/>
  <c r="J44" i="145"/>
  <c r="H44" i="145"/>
  <c r="H43" i="144"/>
  <c r="AR43" i="141"/>
  <c r="F43" i="144"/>
  <c r="J43" i="145"/>
  <c r="H43" i="145"/>
  <c r="AR42" i="141"/>
  <c r="F42" i="144"/>
  <c r="J42" i="145"/>
  <c r="H42" i="145"/>
  <c r="H41" i="144"/>
  <c r="AR41" i="141"/>
  <c r="F41" i="144"/>
  <c r="J41" i="145"/>
  <c r="H41" i="145"/>
  <c r="AR40" i="141"/>
  <c r="F40" i="144"/>
  <c r="J40" i="145"/>
  <c r="H40" i="145"/>
  <c r="AR39" i="141"/>
  <c r="F39" i="144"/>
  <c r="J39" i="145"/>
  <c r="H39" i="145"/>
  <c r="AR38" i="141"/>
  <c r="F38" i="144"/>
  <c r="J38" i="145"/>
  <c r="H38" i="145"/>
  <c r="H37" i="144"/>
  <c r="AR37" i="141"/>
  <c r="F37" i="144"/>
  <c r="J37" i="145"/>
  <c r="H37" i="145"/>
  <c r="AR36" i="141"/>
  <c r="F36" i="144"/>
  <c r="J36" i="145"/>
  <c r="H36" i="145"/>
  <c r="AR35" i="141"/>
  <c r="F35" i="144"/>
  <c r="J35" i="145"/>
  <c r="H35" i="145"/>
  <c r="AR34" i="141"/>
  <c r="F34" i="144"/>
  <c r="J34" i="145"/>
  <c r="H34" i="145"/>
  <c r="H33" i="144"/>
  <c r="AR33" i="141"/>
  <c r="F33" i="144"/>
  <c r="J33" i="145"/>
  <c r="H33" i="145"/>
  <c r="AR32" i="141"/>
  <c r="F32" i="144"/>
  <c r="J32" i="145"/>
  <c r="H32" i="145"/>
  <c r="AR31" i="141"/>
  <c r="F31" i="144"/>
  <c r="J31" i="145"/>
  <c r="H31" i="145"/>
  <c r="AR30" i="141"/>
  <c r="F30" i="144"/>
  <c r="J30" i="145"/>
  <c r="H30" i="145"/>
  <c r="H29" i="144"/>
  <c r="AR29" i="141"/>
  <c r="F29" i="144"/>
  <c r="J29" i="145"/>
  <c r="H29" i="145"/>
  <c r="AR28" i="141"/>
  <c r="F28" i="144"/>
  <c r="J28" i="145"/>
  <c r="H28" i="145"/>
  <c r="AR27" i="141"/>
  <c r="F27" i="144"/>
  <c r="J27" i="145"/>
  <c r="H27" i="145"/>
  <c r="AR26" i="141"/>
  <c r="F26" i="144"/>
  <c r="J26" i="145"/>
  <c r="H26" i="145"/>
  <c r="H25" i="144"/>
  <c r="AR25" i="141"/>
  <c r="F25" i="144"/>
  <c r="J25" i="145"/>
  <c r="H25" i="145"/>
  <c r="AR24" i="141"/>
  <c r="F24" i="144"/>
  <c r="J24" i="145"/>
  <c r="H24" i="145"/>
  <c r="AR23" i="141"/>
  <c r="F23" i="144"/>
  <c r="J23" i="145"/>
  <c r="H23" i="145"/>
  <c r="AR22" i="141"/>
  <c r="F22" i="144"/>
  <c r="J22" i="145"/>
  <c r="H22" i="145"/>
  <c r="AR21" i="141"/>
  <c r="F21" i="144"/>
  <c r="J21" i="145"/>
  <c r="H21" i="145"/>
  <c r="AR20" i="141"/>
  <c r="F20" i="144"/>
  <c r="J20" i="145"/>
  <c r="H20" i="145"/>
  <c r="AR19" i="141"/>
  <c r="F19" i="144"/>
  <c r="J19" i="145"/>
  <c r="H19" i="145"/>
  <c r="AR18" i="141"/>
  <c r="F18" i="144"/>
  <c r="J18" i="145"/>
  <c r="H18" i="145"/>
  <c r="H17" i="144"/>
  <c r="AR17" i="141"/>
  <c r="F17" i="144"/>
  <c r="J17" i="145"/>
  <c r="H17" i="145"/>
  <c r="AR16" i="141"/>
  <c r="F16" i="144"/>
  <c r="J16" i="145"/>
  <c r="H16" i="145"/>
  <c r="H15" i="144"/>
  <c r="AR15" i="141"/>
  <c r="F15" i="144"/>
  <c r="J15" i="145"/>
  <c r="H15" i="145"/>
  <c r="AR14" i="141"/>
  <c r="F14" i="144"/>
  <c r="J14" i="145"/>
  <c r="H14" i="145"/>
  <c r="AR13" i="141"/>
  <c r="F13" i="144"/>
  <c r="J13" i="145"/>
  <c r="H13" i="145"/>
  <c r="H12" i="144"/>
  <c r="AR12" i="141"/>
  <c r="F12" i="144"/>
  <c r="J12" i="145"/>
  <c r="H12" i="145"/>
  <c r="AR11" i="141"/>
  <c r="F11" i="144"/>
  <c r="J11" i="145"/>
  <c r="H11" i="145"/>
  <c r="AR10" i="141"/>
  <c r="F10" i="144"/>
  <c r="J10" i="145"/>
  <c r="H10" i="145"/>
  <c r="AR9" i="141"/>
  <c r="F9" i="144"/>
  <c r="J9" i="145"/>
  <c r="H9" i="145"/>
  <c r="AR8" i="141"/>
  <c r="F8" i="144"/>
  <c r="J8" i="145"/>
  <c r="H8" i="145"/>
  <c r="AR7" i="141"/>
  <c r="F7" i="144"/>
  <c r="J7" i="145"/>
  <c r="H7" i="145"/>
  <c r="AR6" i="141"/>
  <c r="F6" i="144"/>
  <c r="J6" i="145"/>
  <c r="H6" i="145"/>
  <c r="AR5" i="141"/>
  <c r="F5" i="144"/>
  <c r="J5" i="145"/>
  <c r="H5" i="145"/>
  <c r="AR4" i="141"/>
  <c r="F4" i="144"/>
  <c r="J4" i="145"/>
  <c r="H4" i="145"/>
  <c r="AR3" i="141"/>
  <c r="F3" i="144"/>
  <c r="B2" i="5"/>
  <c r="C2" i="5" s="1"/>
  <c r="D2" i="5" s="1"/>
  <c r="E2" i="5" s="1"/>
  <c r="F2" i="5" s="1"/>
  <c r="G2" i="5" s="1"/>
  <c r="H2" i="5" s="1"/>
  <c r="I2" i="5" s="1"/>
  <c r="J2" i="5" s="1"/>
  <c r="K2" i="5" s="1"/>
  <c r="F298" i="5"/>
  <c r="F299" i="5"/>
  <c r="F300" i="5"/>
  <c r="F301" i="5"/>
  <c r="F302" i="5"/>
  <c r="F303" i="5"/>
  <c r="F304" i="5"/>
  <c r="F2" i="144" l="1"/>
  <c r="AT44" i="141"/>
  <c r="E26" i="144"/>
  <c r="E39" i="144"/>
  <c r="AS44" i="141"/>
  <c r="E45" i="145"/>
  <c r="E54" i="144"/>
  <c r="E68" i="144"/>
  <c r="E18" i="144"/>
  <c r="E29" i="144"/>
  <c r="E12" i="144"/>
  <c r="E33" i="144"/>
  <c r="E40" i="144"/>
  <c r="E47" i="144"/>
  <c r="E61" i="144"/>
  <c r="E60" i="144"/>
  <c r="E43" i="144"/>
  <c r="E50" i="144"/>
  <c r="E67" i="144"/>
  <c r="E53" i="144"/>
  <c r="E46" i="144"/>
  <c r="E15" i="144"/>
  <c r="E64" i="144"/>
  <c r="E23" i="144"/>
  <c r="E51" i="144"/>
  <c r="E27" i="144"/>
  <c r="E48" i="144"/>
  <c r="E4" i="144"/>
  <c r="E25" i="144"/>
  <c r="E22" i="144"/>
  <c r="E36" i="144"/>
  <c r="E9" i="144"/>
  <c r="E37" i="144"/>
  <c r="E41" i="144"/>
  <c r="E55" i="144"/>
  <c r="E62" i="144"/>
  <c r="E69" i="144"/>
  <c r="E6" i="144"/>
  <c r="E3" i="144"/>
  <c r="E45" i="144"/>
  <c r="E52" i="144"/>
  <c r="E59" i="144"/>
  <c r="E66" i="144"/>
  <c r="E73" i="144"/>
  <c r="E31" i="144"/>
  <c r="E74" i="144"/>
  <c r="E8" i="144"/>
  <c r="E57" i="144"/>
  <c r="E10" i="144"/>
  <c r="E11" i="144"/>
  <c r="E5" i="144"/>
  <c r="E19" i="144"/>
  <c r="E58" i="144"/>
  <c r="E65" i="144"/>
  <c r="E72" i="144"/>
  <c r="E17" i="144"/>
  <c r="E42" i="144"/>
  <c r="E2" i="144"/>
  <c r="E71" i="144"/>
  <c r="E16" i="144"/>
  <c r="E30" i="144"/>
  <c r="E20" i="144"/>
  <c r="E7" i="144"/>
  <c r="E14" i="144"/>
  <c r="E21" i="144"/>
  <c r="E28" i="144"/>
  <c r="E35" i="144"/>
  <c r="E49" i="144"/>
  <c r="E56" i="144"/>
  <c r="E63" i="144"/>
  <c r="E70" i="144"/>
  <c r="E32" i="144"/>
  <c r="E13" i="144"/>
  <c r="E34" i="144"/>
  <c r="E24" i="144"/>
  <c r="E38" i="144"/>
  <c r="C3" i="144"/>
  <c r="B4" i="145"/>
  <c r="C3" i="141"/>
  <c r="B5" i="145"/>
  <c r="C4" i="144"/>
  <c r="C4" i="141"/>
  <c r="C5" i="141"/>
  <c r="C5" i="144"/>
  <c r="B6" i="145"/>
  <c r="B7" i="145"/>
  <c r="C6" i="144"/>
  <c r="C6" i="141"/>
  <c r="C7" i="144"/>
  <c r="B8" i="145"/>
  <c r="C7" i="141"/>
  <c r="B9" i="145"/>
  <c r="C8" i="144"/>
  <c r="C8" i="141"/>
  <c r="C9" i="141"/>
  <c r="C9" i="144"/>
  <c r="B10" i="145"/>
  <c r="B11" i="145"/>
  <c r="C10" i="144"/>
  <c r="C10" i="141"/>
  <c r="C11" i="144"/>
  <c r="B12" i="145"/>
  <c r="C11" i="141"/>
  <c r="B13" i="145"/>
  <c r="C12" i="144"/>
  <c r="C12" i="141"/>
  <c r="C13" i="141"/>
  <c r="C13" i="144"/>
  <c r="B14" i="145"/>
  <c r="B15" i="145"/>
  <c r="C14" i="144"/>
  <c r="C14" i="141"/>
  <c r="C15" i="144"/>
  <c r="B16" i="145"/>
  <c r="C15" i="141"/>
  <c r="B17" i="145"/>
  <c r="C16" i="144"/>
  <c r="C16" i="141"/>
  <c r="C17" i="141"/>
  <c r="C17" i="144"/>
  <c r="B18" i="145"/>
  <c r="B19" i="145"/>
  <c r="C18" i="144"/>
  <c r="C18" i="141"/>
  <c r="C19" i="144"/>
  <c r="B20" i="145"/>
  <c r="C19" i="141"/>
  <c r="B21" i="145"/>
  <c r="C20" i="144"/>
  <c r="C20" i="141"/>
  <c r="G20" i="144"/>
  <c r="C21" i="145"/>
  <c r="C21" i="141"/>
  <c r="C21" i="144"/>
  <c r="B22" i="145"/>
  <c r="C22" i="145"/>
  <c r="G21" i="144"/>
  <c r="B23" i="145"/>
  <c r="C22" i="144"/>
  <c r="C22" i="141"/>
  <c r="G22" i="144"/>
  <c r="C23" i="145"/>
  <c r="C23" i="144"/>
  <c r="B24" i="145"/>
  <c r="C23" i="141"/>
  <c r="G23" i="144"/>
  <c r="C24" i="145"/>
  <c r="B25" i="145"/>
  <c r="C24" i="144"/>
  <c r="C24" i="141"/>
  <c r="G24" i="144"/>
  <c r="C25" i="145"/>
  <c r="C25" i="141"/>
  <c r="C25" i="144"/>
  <c r="B26" i="145"/>
  <c r="C26" i="145"/>
  <c r="G25" i="144"/>
  <c r="B27" i="145"/>
  <c r="C26" i="144"/>
  <c r="C26" i="141"/>
  <c r="G26" i="144"/>
  <c r="C27" i="145"/>
  <c r="C27" i="144"/>
  <c r="B28" i="145"/>
  <c r="C27" i="141"/>
  <c r="G27" i="144"/>
  <c r="C28" i="145"/>
  <c r="B29" i="145"/>
  <c r="C28" i="144"/>
  <c r="C28" i="141"/>
  <c r="G28" i="144"/>
  <c r="C29" i="145"/>
  <c r="C29" i="141"/>
  <c r="C29" i="144"/>
  <c r="B30" i="145"/>
  <c r="C30" i="145"/>
  <c r="G29" i="144"/>
  <c r="B31" i="145"/>
  <c r="C30" i="144"/>
  <c r="C30" i="141"/>
  <c r="G30" i="144"/>
  <c r="C31" i="145"/>
  <c r="C31" i="144"/>
  <c r="B32" i="145"/>
  <c r="C31" i="141"/>
  <c r="G31" i="144"/>
  <c r="C32" i="145"/>
  <c r="B33" i="145"/>
  <c r="C32" i="144"/>
  <c r="C32" i="141"/>
  <c r="G32" i="144"/>
  <c r="C33" i="145"/>
  <c r="C33" i="141"/>
  <c r="C33" i="144"/>
  <c r="B34" i="145"/>
  <c r="C34" i="145"/>
  <c r="G33" i="144"/>
  <c r="B35" i="145"/>
  <c r="C34" i="144"/>
  <c r="C34" i="141"/>
  <c r="G34" i="144"/>
  <c r="C35" i="145"/>
  <c r="C35" i="144"/>
  <c r="B36" i="145"/>
  <c r="C35" i="141"/>
  <c r="G35" i="144"/>
  <c r="C36" i="145"/>
  <c r="B37" i="145"/>
  <c r="C36" i="144"/>
  <c r="C36" i="141"/>
  <c r="G36" i="144"/>
  <c r="C37" i="145"/>
  <c r="C37" i="141"/>
  <c r="C37" i="144"/>
  <c r="B38" i="145"/>
  <c r="C38" i="145"/>
  <c r="G37" i="144"/>
  <c r="B39" i="145"/>
  <c r="C38" i="144"/>
  <c r="C38" i="141"/>
  <c r="G38" i="144"/>
  <c r="C39" i="145"/>
  <c r="C39" i="144"/>
  <c r="B40" i="145"/>
  <c r="C39" i="141"/>
  <c r="G39" i="144"/>
  <c r="C40" i="145"/>
  <c r="B41" i="145"/>
  <c r="C40" i="144"/>
  <c r="C40" i="141"/>
  <c r="G40" i="144"/>
  <c r="C41" i="145"/>
  <c r="C41" i="141"/>
  <c r="C41" i="144"/>
  <c r="B42" i="145"/>
  <c r="C42" i="145"/>
  <c r="G41" i="144"/>
  <c r="B43" i="145"/>
  <c r="C42" i="144"/>
  <c r="C42" i="141"/>
  <c r="G42" i="144"/>
  <c r="C43" i="145"/>
  <c r="C43" i="144"/>
  <c r="B44" i="145"/>
  <c r="C43" i="141"/>
  <c r="G43" i="144"/>
  <c r="C44" i="145"/>
  <c r="B45" i="145"/>
  <c r="C44" i="144"/>
  <c r="C44" i="141"/>
  <c r="G3" i="144"/>
  <c r="C4" i="145"/>
  <c r="G4" i="144"/>
  <c r="C5" i="145"/>
  <c r="C6" i="145"/>
  <c r="G5" i="144"/>
  <c r="G6" i="144"/>
  <c r="C7" i="145"/>
  <c r="G7" i="144"/>
  <c r="C8" i="145"/>
  <c r="G8" i="144"/>
  <c r="C9" i="145"/>
  <c r="C10" i="145"/>
  <c r="G9" i="144"/>
  <c r="G10" i="144"/>
  <c r="C11" i="145"/>
  <c r="G11" i="144"/>
  <c r="C12" i="145"/>
  <c r="G12" i="144"/>
  <c r="C13" i="145"/>
  <c r="C14" i="145"/>
  <c r="G13" i="144"/>
  <c r="G14" i="144"/>
  <c r="C15" i="145"/>
  <c r="G15" i="144"/>
  <c r="C16" i="145"/>
  <c r="G16" i="144"/>
  <c r="C17" i="145"/>
  <c r="C18" i="145"/>
  <c r="G17" i="144"/>
  <c r="G18" i="144"/>
  <c r="C19" i="145"/>
  <c r="G19" i="144"/>
  <c r="C20" i="145"/>
  <c r="H3" i="144"/>
  <c r="G44" i="144"/>
  <c r="C45" i="145"/>
  <c r="C45" i="141"/>
  <c r="C45" i="144"/>
  <c r="B46" i="145"/>
  <c r="C46" i="145"/>
  <c r="G45" i="144"/>
  <c r="B47" i="145"/>
  <c r="C46" i="144"/>
  <c r="C46" i="141"/>
  <c r="G46" i="144"/>
  <c r="C47" i="145"/>
  <c r="C47" i="144"/>
  <c r="B48" i="145"/>
  <c r="C47" i="141"/>
  <c r="G47" i="144"/>
  <c r="C48" i="145"/>
  <c r="B49" i="145"/>
  <c r="C48" i="144"/>
  <c r="C48" i="141"/>
  <c r="G48" i="144"/>
  <c r="C49" i="145"/>
  <c r="C49" i="141"/>
  <c r="C49" i="144"/>
  <c r="B50" i="145"/>
  <c r="C50" i="145"/>
  <c r="G49" i="144"/>
  <c r="B51" i="145"/>
  <c r="C50" i="144"/>
  <c r="C50" i="141"/>
  <c r="G50" i="144"/>
  <c r="C51" i="145"/>
  <c r="C51" i="144"/>
  <c r="B52" i="145"/>
  <c r="C51" i="141"/>
  <c r="G51" i="144"/>
  <c r="C52" i="145"/>
  <c r="B53" i="145"/>
  <c r="C52" i="144"/>
  <c r="C52" i="141"/>
  <c r="G52" i="144"/>
  <c r="C53" i="145"/>
  <c r="C53" i="141"/>
  <c r="C53" i="144"/>
  <c r="B54" i="145"/>
  <c r="C54" i="145"/>
  <c r="G53" i="144"/>
  <c r="B55" i="145"/>
  <c r="C54" i="144"/>
  <c r="C54" i="141"/>
  <c r="G54" i="144"/>
  <c r="C55" i="145"/>
  <c r="C55" i="144"/>
  <c r="B56" i="145"/>
  <c r="C55" i="141"/>
  <c r="G55" i="144"/>
  <c r="C56" i="145"/>
  <c r="B57" i="145"/>
  <c r="C56" i="144"/>
  <c r="C56" i="141"/>
  <c r="G56" i="144"/>
  <c r="C57" i="145"/>
  <c r="C57" i="141"/>
  <c r="C57" i="144"/>
  <c r="B58" i="145"/>
  <c r="C58" i="145"/>
  <c r="G57" i="144"/>
  <c r="B59" i="145"/>
  <c r="C58" i="144"/>
  <c r="C58" i="141"/>
  <c r="G58" i="144"/>
  <c r="C59" i="145"/>
  <c r="C59" i="144"/>
  <c r="B60" i="145"/>
  <c r="C59" i="141"/>
  <c r="G59" i="144"/>
  <c r="C60" i="145"/>
  <c r="B61" i="145"/>
  <c r="C60" i="144"/>
  <c r="C60" i="141"/>
  <c r="G60" i="144"/>
  <c r="C61" i="145"/>
  <c r="C61" i="141"/>
  <c r="C61" i="144"/>
  <c r="B62" i="145"/>
  <c r="C62" i="145"/>
  <c r="G61" i="144"/>
  <c r="B63" i="145"/>
  <c r="C62" i="144"/>
  <c r="C62" i="141"/>
  <c r="G62" i="144"/>
  <c r="C63" i="145"/>
  <c r="C63" i="144"/>
  <c r="B64" i="145"/>
  <c r="C63" i="141"/>
  <c r="G63" i="144"/>
  <c r="C64" i="145"/>
  <c r="B65" i="145"/>
  <c r="C64" i="144"/>
  <c r="C64" i="141"/>
  <c r="G64" i="144"/>
  <c r="C65" i="145"/>
  <c r="C65" i="141"/>
  <c r="C65" i="144"/>
  <c r="B66" i="145"/>
  <c r="C66" i="145"/>
  <c r="G65" i="144"/>
  <c r="B67" i="145"/>
  <c r="C66" i="144"/>
  <c r="C66" i="141"/>
  <c r="G66" i="144"/>
  <c r="C67" i="145"/>
  <c r="C67" i="144"/>
  <c r="B68" i="145"/>
  <c r="C67" i="141"/>
  <c r="G67" i="144"/>
  <c r="C68" i="145"/>
  <c r="B69" i="145"/>
  <c r="C68" i="144"/>
  <c r="C68" i="141"/>
  <c r="G68" i="144"/>
  <c r="C69" i="145"/>
  <c r="C69" i="141"/>
  <c r="C69" i="144"/>
  <c r="B70" i="145"/>
  <c r="C70" i="145"/>
  <c r="G69" i="144"/>
  <c r="B71" i="145"/>
  <c r="C70" i="144"/>
  <c r="C70" i="141"/>
  <c r="G70" i="144"/>
  <c r="C71" i="145"/>
  <c r="C71" i="144"/>
  <c r="B72" i="145"/>
  <c r="C71" i="141"/>
  <c r="G71" i="144"/>
  <c r="C72" i="145"/>
  <c r="B73" i="145"/>
  <c r="C72" i="144"/>
  <c r="C72" i="141"/>
  <c r="G72" i="144"/>
  <c r="C73" i="145"/>
  <c r="C73" i="141"/>
  <c r="C73" i="144"/>
  <c r="B74" i="145"/>
  <c r="C74" i="145"/>
  <c r="G73" i="144"/>
  <c r="B75" i="145"/>
  <c r="C74" i="144"/>
  <c r="C74" i="141"/>
  <c r="G74" i="144"/>
  <c r="C75" i="145"/>
  <c r="C2" i="144"/>
  <c r="C2" i="141"/>
  <c r="B3" i="145"/>
  <c r="H2" i="144"/>
  <c r="G2" i="144"/>
  <c r="C3" i="145"/>
  <c r="H35" i="144"/>
  <c r="H73" i="144"/>
  <c r="H51" i="144"/>
  <c r="H27" i="144"/>
  <c r="H5" i="144"/>
  <c r="H21" i="144"/>
  <c r="H53" i="144"/>
  <c r="H13" i="144"/>
  <c r="H23" i="144"/>
  <c r="H31" i="144"/>
  <c r="H39" i="144"/>
  <c r="H47" i="144"/>
  <c r="H55" i="144"/>
  <c r="H9" i="144"/>
  <c r="H57" i="144"/>
  <c r="H8" i="144"/>
  <c r="H16" i="144"/>
  <c r="H7" i="144"/>
  <c r="H11" i="144"/>
  <c r="H19" i="144"/>
  <c r="H59" i="144"/>
  <c r="H63" i="144"/>
  <c r="H67" i="144"/>
  <c r="H4" i="144"/>
  <c r="H20" i="144"/>
  <c r="H6" i="144"/>
  <c r="H10" i="144"/>
  <c r="H14" i="144"/>
  <c r="H18" i="144"/>
  <c r="H22" i="144"/>
  <c r="H26" i="144"/>
  <c r="H30" i="144"/>
  <c r="H34" i="144"/>
  <c r="H38" i="144"/>
  <c r="H42" i="144"/>
  <c r="H46" i="144"/>
  <c r="H50" i="144"/>
  <c r="H54" i="144"/>
  <c r="H60" i="144"/>
  <c r="H64" i="144"/>
  <c r="H68" i="144"/>
  <c r="H71" i="144"/>
  <c r="H24" i="144"/>
  <c r="H28" i="144"/>
  <c r="H32" i="144"/>
  <c r="H36" i="144"/>
  <c r="H40" i="144"/>
  <c r="H44" i="144"/>
  <c r="H48" i="144"/>
  <c r="H52" i="144"/>
  <c r="H56" i="144"/>
  <c r="H58" i="144"/>
  <c r="H62" i="144"/>
  <c r="H66" i="144"/>
  <c r="H70" i="144"/>
  <c r="H74" i="144"/>
  <c r="AT32" i="141" l="1"/>
  <c r="AS32" i="141"/>
  <c r="E33" i="145"/>
  <c r="E72" i="145"/>
  <c r="AT71" i="141"/>
  <c r="AS71" i="141"/>
  <c r="AT31" i="141"/>
  <c r="AS31" i="141"/>
  <c r="E32" i="145"/>
  <c r="E37" i="145"/>
  <c r="AT36" i="141"/>
  <c r="AS36" i="141"/>
  <c r="E44" i="145"/>
  <c r="AT43" i="141"/>
  <c r="AS43" i="141"/>
  <c r="AT70" i="141"/>
  <c r="AS70" i="141"/>
  <c r="E71" i="145"/>
  <c r="E3" i="145"/>
  <c r="AT2" i="141"/>
  <c r="AS2" i="141"/>
  <c r="AT73" i="141"/>
  <c r="E74" i="145"/>
  <c r="AS73" i="141"/>
  <c r="E23" i="145"/>
  <c r="AT22" i="141"/>
  <c r="AS22" i="141"/>
  <c r="AT60" i="141"/>
  <c r="AS60" i="141"/>
  <c r="E61" i="145"/>
  <c r="AT63" i="141"/>
  <c r="AS63" i="141"/>
  <c r="E64" i="145"/>
  <c r="AT42" i="141"/>
  <c r="AS42" i="141"/>
  <c r="E43" i="145"/>
  <c r="E67" i="145"/>
  <c r="AT66" i="141"/>
  <c r="AS66" i="141"/>
  <c r="AT25" i="141"/>
  <c r="AS25" i="141"/>
  <c r="E26" i="145"/>
  <c r="AS61" i="141"/>
  <c r="AT61" i="141"/>
  <c r="E62" i="145"/>
  <c r="AT47" i="141"/>
  <c r="E48" i="145"/>
  <c r="AS47" i="141"/>
  <c r="E57" i="145"/>
  <c r="AT56" i="141"/>
  <c r="AS56" i="141"/>
  <c r="AT17" i="141"/>
  <c r="E18" i="145"/>
  <c r="AS17" i="141"/>
  <c r="AT4" i="141"/>
  <c r="AS4" i="141"/>
  <c r="E5" i="145"/>
  <c r="AT49" i="141"/>
  <c r="AS49" i="141"/>
  <c r="E50" i="145"/>
  <c r="AT72" i="141"/>
  <c r="AS72" i="141"/>
  <c r="E73" i="145"/>
  <c r="AT52" i="141"/>
  <c r="AS52" i="141"/>
  <c r="E53" i="145"/>
  <c r="E49" i="145"/>
  <c r="AS48" i="141"/>
  <c r="AT48" i="141"/>
  <c r="AT40" i="141"/>
  <c r="E41" i="145"/>
  <c r="AS40" i="141"/>
  <c r="AT59" i="141"/>
  <c r="AS59" i="141"/>
  <c r="E60" i="145"/>
  <c r="AT35" i="141"/>
  <c r="AS35" i="141"/>
  <c r="E36" i="145"/>
  <c r="E59" i="145"/>
  <c r="AT58" i="141"/>
  <c r="AS58" i="141"/>
  <c r="AT3" i="141"/>
  <c r="AS3" i="141"/>
  <c r="E4" i="145"/>
  <c r="E52" i="145"/>
  <c r="AT51" i="141"/>
  <c r="AS51" i="141"/>
  <c r="AT12" i="141"/>
  <c r="AS12" i="141"/>
  <c r="E13" i="145"/>
  <c r="AT21" i="141"/>
  <c r="AS21" i="141"/>
  <c r="E22" i="145"/>
  <c r="AS5" i="141"/>
  <c r="AT5" i="141"/>
  <c r="E6" i="145"/>
  <c r="AS69" i="141"/>
  <c r="E70" i="145"/>
  <c r="AT69" i="141"/>
  <c r="E65" i="145"/>
  <c r="AT64" i="141"/>
  <c r="AS64" i="141"/>
  <c r="AT18" i="141"/>
  <c r="AS18" i="141"/>
  <c r="E19" i="145"/>
  <c r="AT19" i="141"/>
  <c r="E20" i="145"/>
  <c r="AS19" i="141"/>
  <c r="AT45" i="141"/>
  <c r="E46" i="145"/>
  <c r="AS45" i="141"/>
  <c r="AT28" i="141"/>
  <c r="E29" i="145"/>
  <c r="AS28" i="141"/>
  <c r="AT68" i="141"/>
  <c r="AS68" i="141"/>
  <c r="E69" i="145"/>
  <c r="E39" i="145"/>
  <c r="AT38" i="141"/>
  <c r="AS38" i="141"/>
  <c r="AT7" i="141"/>
  <c r="AS7" i="141"/>
  <c r="E8" i="145"/>
  <c r="E11" i="145"/>
  <c r="AT10" i="141"/>
  <c r="AS10" i="141"/>
  <c r="AT55" i="141"/>
  <c r="E56" i="145"/>
  <c r="AS55" i="141"/>
  <c r="AT46" i="141"/>
  <c r="AS46" i="141"/>
  <c r="E47" i="145"/>
  <c r="AT54" i="141"/>
  <c r="AS54" i="141"/>
  <c r="E55" i="145"/>
  <c r="AT62" i="141"/>
  <c r="AS62" i="141"/>
  <c r="E63" i="145"/>
  <c r="AT33" i="141"/>
  <c r="AS33" i="141"/>
  <c r="E34" i="145"/>
  <c r="AT24" i="141"/>
  <c r="AS24" i="141"/>
  <c r="E25" i="145"/>
  <c r="E21" i="145"/>
  <c r="AT20" i="141"/>
  <c r="AS20" i="141"/>
  <c r="E58" i="145"/>
  <c r="AT57" i="141"/>
  <c r="AS57" i="141"/>
  <c r="AT41" i="141"/>
  <c r="AS41" i="141"/>
  <c r="E42" i="145"/>
  <c r="AT53" i="141"/>
  <c r="AS53" i="141"/>
  <c r="E54" i="145"/>
  <c r="E66" i="145"/>
  <c r="AT65" i="141"/>
  <c r="AS65" i="141"/>
  <c r="AT6" i="141"/>
  <c r="AS6" i="141"/>
  <c r="E7" i="145"/>
  <c r="E12" i="145"/>
  <c r="AT11" i="141"/>
  <c r="AS11" i="141"/>
  <c r="AT34" i="141"/>
  <c r="AS34" i="141"/>
  <c r="E35" i="145"/>
  <c r="E31" i="145"/>
  <c r="AT30" i="141"/>
  <c r="AS30" i="141"/>
  <c r="E9" i="145"/>
  <c r="AT8" i="141"/>
  <c r="AS8" i="141"/>
  <c r="E38" i="145"/>
  <c r="AT37" i="141"/>
  <c r="AS37" i="141"/>
  <c r="E68" i="145"/>
  <c r="AT67" i="141"/>
  <c r="AS67" i="141"/>
  <c r="AS27" i="141"/>
  <c r="AT27" i="141"/>
  <c r="E28" i="145"/>
  <c r="E24" i="145"/>
  <c r="AT23" i="141"/>
  <c r="AS23" i="141"/>
  <c r="AT14" i="141"/>
  <c r="AS14" i="141"/>
  <c r="E15" i="145"/>
  <c r="E40" i="145"/>
  <c r="AT39" i="141"/>
  <c r="AS39" i="141"/>
  <c r="AS13" i="141"/>
  <c r="E14" i="145"/>
  <c r="AT13" i="141"/>
  <c r="E17" i="145"/>
  <c r="AT16" i="141"/>
  <c r="AS16" i="141"/>
  <c r="AT74" i="141"/>
  <c r="AS74" i="141"/>
  <c r="E75" i="145"/>
  <c r="E10" i="145"/>
  <c r="AT9" i="141"/>
  <c r="AS9" i="141"/>
  <c r="E51" i="145"/>
  <c r="AT50" i="141"/>
  <c r="AS50" i="141"/>
  <c r="E30" i="145"/>
  <c r="AT29" i="141"/>
  <c r="AS29" i="141"/>
  <c r="E16" i="145"/>
  <c r="AT15" i="141"/>
  <c r="AS15" i="141"/>
  <c r="AS26" i="141"/>
  <c r="E27" i="145"/>
  <c r="AT26" i="141"/>
  <c r="AY37" i="150"/>
  <c r="M75" i="149"/>
  <c r="A75" i="149"/>
  <c r="M74" i="149"/>
  <c r="A74" i="149"/>
  <c r="M73" i="149"/>
  <c r="A73" i="149"/>
  <c r="M72" i="149"/>
  <c r="A72" i="149"/>
  <c r="M71" i="149"/>
  <c r="A71" i="149"/>
  <c r="M70" i="149"/>
  <c r="A70" i="149"/>
  <c r="M69" i="149"/>
  <c r="A69" i="149"/>
  <c r="M68" i="149"/>
  <c r="A68" i="149"/>
  <c r="M67" i="149"/>
  <c r="A67" i="149"/>
  <c r="M66" i="149"/>
  <c r="A66" i="149"/>
  <c r="M65" i="149"/>
  <c r="A65" i="149"/>
  <c r="M64" i="149"/>
  <c r="A64" i="149"/>
  <c r="M63" i="149"/>
  <c r="A63" i="149"/>
  <c r="M62" i="149"/>
  <c r="A62" i="149"/>
  <c r="M61" i="149"/>
  <c r="A61" i="149"/>
  <c r="M60" i="149"/>
  <c r="A60" i="149"/>
  <c r="M59" i="149"/>
  <c r="A59" i="149"/>
  <c r="M58" i="149"/>
  <c r="A58" i="149"/>
  <c r="M57" i="149"/>
  <c r="A57" i="149"/>
  <c r="M56" i="149"/>
  <c r="A56" i="149"/>
  <c r="M55" i="149"/>
  <c r="A55" i="149"/>
  <c r="M54" i="149"/>
  <c r="A54" i="149"/>
  <c r="M53" i="149"/>
  <c r="A53" i="149"/>
  <c r="M52" i="149"/>
  <c r="A52" i="149"/>
  <c r="M51" i="149"/>
  <c r="A51" i="149"/>
  <c r="M50" i="149"/>
  <c r="A50" i="149"/>
  <c r="M49" i="149"/>
  <c r="A49" i="149"/>
  <c r="M48" i="149"/>
  <c r="A48" i="149"/>
  <c r="M47" i="149"/>
  <c r="A47" i="149"/>
  <c r="M46" i="149"/>
  <c r="A46" i="149"/>
  <c r="M45" i="149"/>
  <c r="A45" i="149"/>
  <c r="M44" i="149"/>
  <c r="A44" i="149"/>
  <c r="M43" i="149"/>
  <c r="A43" i="149"/>
  <c r="M42" i="149"/>
  <c r="A42" i="149"/>
  <c r="M41" i="149"/>
  <c r="A41" i="149"/>
  <c r="M40" i="149"/>
  <c r="A40" i="149"/>
  <c r="M39" i="149"/>
  <c r="A39" i="149"/>
  <c r="M38" i="149"/>
  <c r="A38" i="149"/>
  <c r="M37" i="149"/>
  <c r="A37" i="149"/>
  <c r="M36" i="149"/>
  <c r="A36" i="149"/>
  <c r="M35" i="149"/>
  <c r="A35" i="149"/>
  <c r="M34" i="149"/>
  <c r="A34" i="149"/>
  <c r="M33" i="149"/>
  <c r="A33" i="149"/>
  <c r="M32" i="149"/>
  <c r="A32" i="149"/>
  <c r="M31" i="149"/>
  <c r="A31" i="149"/>
  <c r="M30" i="149"/>
  <c r="A30" i="149"/>
  <c r="M29" i="149"/>
  <c r="A29" i="149"/>
  <c r="M28" i="149"/>
  <c r="A28" i="149"/>
  <c r="M27" i="149"/>
  <c r="A27" i="149"/>
  <c r="M26" i="149"/>
  <c r="A26" i="149"/>
  <c r="M25" i="149"/>
  <c r="A25" i="149"/>
  <c r="M24" i="149"/>
  <c r="A24" i="149"/>
  <c r="M23" i="149"/>
  <c r="A23" i="149"/>
  <c r="M22" i="149"/>
  <c r="A22" i="149"/>
  <c r="M21" i="149"/>
  <c r="A21" i="149"/>
  <c r="M20" i="149"/>
  <c r="A20" i="149"/>
  <c r="M19" i="149"/>
  <c r="A19" i="149"/>
  <c r="M18" i="149"/>
  <c r="A18" i="149"/>
  <c r="M17" i="149"/>
  <c r="A17" i="149"/>
  <c r="M16" i="149"/>
  <c r="A16" i="149"/>
  <c r="M15" i="149"/>
  <c r="A15" i="149"/>
  <c r="M14" i="149"/>
  <c r="A14" i="149"/>
  <c r="M13" i="149"/>
  <c r="A13" i="149"/>
  <c r="M12" i="149"/>
  <c r="A12" i="149"/>
  <c r="M11" i="149"/>
  <c r="A11" i="149"/>
  <c r="M10" i="149"/>
  <c r="A10" i="149"/>
  <c r="M9" i="149"/>
  <c r="A9" i="149"/>
  <c r="M8" i="149"/>
  <c r="A8" i="149"/>
  <c r="M7" i="149"/>
  <c r="A7" i="149"/>
  <c r="M6" i="149"/>
  <c r="M5" i="149"/>
  <c r="A5" i="149"/>
  <c r="M4" i="149"/>
  <c r="A4" i="149"/>
  <c r="M3" i="149"/>
  <c r="A3" i="149"/>
  <c r="B75" i="150"/>
  <c r="B74" i="150"/>
  <c r="B73" i="150"/>
  <c r="B72" i="150"/>
  <c r="B71" i="150"/>
  <c r="B70" i="150"/>
  <c r="B69" i="150"/>
  <c r="B68" i="150"/>
  <c r="B67" i="150"/>
  <c r="B66" i="150"/>
  <c r="B65" i="150"/>
  <c r="B64" i="150"/>
  <c r="B63" i="150"/>
  <c r="B62" i="150"/>
  <c r="B61" i="150"/>
  <c r="B60" i="150"/>
  <c r="B59" i="150"/>
  <c r="D9" i="150"/>
  <c r="D8" i="153" l="1"/>
  <c r="F2" i="141"/>
  <c r="E2" i="141"/>
  <c r="L4" i="5" l="1"/>
  <c r="L5" i="5"/>
  <c r="L68" i="145" l="1"/>
  <c r="L40" i="145"/>
  <c r="L12" i="145"/>
  <c r="L49" i="145"/>
  <c r="L21" i="145"/>
  <c r="L58" i="145"/>
  <c r="L30" i="145"/>
  <c r="L67" i="145"/>
  <c r="L39" i="145"/>
  <c r="L11" i="145"/>
  <c r="L33" i="145"/>
  <c r="L70" i="145"/>
  <c r="L48" i="145"/>
  <c r="L20" i="145"/>
  <c r="L57" i="145"/>
  <c r="L29" i="145"/>
  <c r="L66" i="145"/>
  <c r="L38" i="145"/>
  <c r="L10" i="145"/>
  <c r="L75" i="145"/>
  <c r="L47" i="145"/>
  <c r="L19" i="145"/>
  <c r="L63" i="145"/>
  <c r="L35" i="145"/>
  <c r="L42" i="145"/>
  <c r="L32" i="145"/>
  <c r="L4" i="145"/>
  <c r="L56" i="145"/>
  <c r="L28" i="145"/>
  <c r="L61" i="145"/>
  <c r="L5" i="145"/>
  <c r="L14" i="145"/>
  <c r="L51" i="145"/>
  <c r="L23" i="145"/>
  <c r="L65" i="145"/>
  <c r="L37" i="145"/>
  <c r="L9" i="145"/>
  <c r="L74" i="145"/>
  <c r="L46" i="145"/>
  <c r="L18" i="145"/>
  <c r="L55" i="145"/>
  <c r="L27" i="145"/>
  <c r="L64" i="145"/>
  <c r="L36" i="145"/>
  <c r="L8" i="145"/>
  <c r="L72" i="145"/>
  <c r="L44" i="145"/>
  <c r="L16" i="145"/>
  <c r="L53" i="145"/>
  <c r="L25" i="145"/>
  <c r="L62" i="145"/>
  <c r="L34" i="145"/>
  <c r="L6" i="145"/>
  <c r="L52" i="145"/>
  <c r="L24" i="145"/>
  <c r="L60" i="145"/>
  <c r="L71" i="145"/>
  <c r="L43" i="145"/>
  <c r="L15" i="145"/>
  <c r="L69" i="145"/>
  <c r="L41" i="145"/>
  <c r="L13" i="145"/>
  <c r="L50" i="145"/>
  <c r="L22" i="145"/>
  <c r="L59" i="145"/>
  <c r="L31" i="145"/>
  <c r="L73" i="145"/>
  <c r="L45" i="145"/>
  <c r="L17" i="145"/>
  <c r="L54" i="145"/>
  <c r="L26" i="145"/>
  <c r="L7" i="145"/>
  <c r="D69" i="144"/>
  <c r="D41" i="144"/>
  <c r="D13" i="144"/>
  <c r="D27" i="144"/>
  <c r="D50" i="144"/>
  <c r="D22" i="144"/>
  <c r="D59" i="144"/>
  <c r="D31" i="144"/>
  <c r="D3" i="144"/>
  <c r="D68" i="144"/>
  <c r="D40" i="144"/>
  <c r="D12" i="144"/>
  <c r="D74" i="144"/>
  <c r="D64" i="144"/>
  <c r="D15" i="144"/>
  <c r="D52" i="144"/>
  <c r="D61" i="144"/>
  <c r="D49" i="144"/>
  <c r="D21" i="144"/>
  <c r="D58" i="144"/>
  <c r="D30" i="144"/>
  <c r="D67" i="144"/>
  <c r="D39" i="144"/>
  <c r="D11" i="144"/>
  <c r="D6" i="144"/>
  <c r="D48" i="144"/>
  <c r="D20" i="144"/>
  <c r="D36" i="144"/>
  <c r="D24" i="144"/>
  <c r="D5" i="144"/>
  <c r="D57" i="144"/>
  <c r="D29" i="144"/>
  <c r="D34" i="144"/>
  <c r="D66" i="144"/>
  <c r="D38" i="144"/>
  <c r="D10" i="144"/>
  <c r="D47" i="144"/>
  <c r="D19" i="144"/>
  <c r="D56" i="144"/>
  <c r="D28" i="144"/>
  <c r="D65" i="144"/>
  <c r="D37" i="144"/>
  <c r="D9" i="144"/>
  <c r="D46" i="144"/>
  <c r="D8" i="144"/>
  <c r="D43" i="144"/>
  <c r="D33" i="144"/>
  <c r="D73" i="144"/>
  <c r="D45" i="144"/>
  <c r="D17" i="144"/>
  <c r="D54" i="144"/>
  <c r="D26" i="144"/>
  <c r="D63" i="144"/>
  <c r="D35" i="144"/>
  <c r="D7" i="144"/>
  <c r="D62" i="144"/>
  <c r="D72" i="144"/>
  <c r="D44" i="144"/>
  <c r="D16" i="144"/>
  <c r="D53" i="144"/>
  <c r="D25" i="144"/>
  <c r="D70" i="144"/>
  <c r="D42" i="144"/>
  <c r="D14" i="144"/>
  <c r="D51" i="144"/>
  <c r="D23" i="144"/>
  <c r="D60" i="144"/>
  <c r="D32" i="144"/>
  <c r="D4" i="144"/>
  <c r="D18" i="144"/>
  <c r="D55" i="144"/>
  <c r="D71" i="144"/>
  <c r="L304" i="5" l="1"/>
  <c r="L303" i="5"/>
  <c r="L302" i="5"/>
  <c r="L301" i="5"/>
  <c r="L300" i="5"/>
  <c r="L299" i="5"/>
  <c r="L298" i="5"/>
  <c r="L73" i="5"/>
  <c r="L72" i="5"/>
  <c r="L71" i="5"/>
  <c r="L70" i="5"/>
  <c r="L69" i="5"/>
  <c r="L68" i="5"/>
  <c r="L67" i="5"/>
  <c r="L66" i="5"/>
  <c r="L65" i="5"/>
  <c r="L64" i="5"/>
  <c r="L63" i="5"/>
  <c r="L62" i="5"/>
  <c r="L61" i="5"/>
  <c r="L60" i="5"/>
  <c r="L59" i="5"/>
  <c r="L58" i="5"/>
  <c r="L57" i="5"/>
  <c r="L56" i="5"/>
  <c r="L55" i="5"/>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B131" i="150" l="1"/>
  <c r="B130" i="150"/>
  <c r="B129" i="150"/>
  <c r="B128" i="150"/>
  <c r="B127" i="150"/>
  <c r="B126" i="150"/>
  <c r="B125" i="150"/>
  <c r="B124" i="150"/>
  <c r="B123" i="150"/>
  <c r="B122" i="150"/>
  <c r="B121" i="150"/>
  <c r="B120" i="150"/>
  <c r="B119" i="150"/>
  <c r="B118" i="150"/>
  <c r="B117" i="150"/>
  <c r="B116" i="150"/>
  <c r="B115" i="150"/>
  <c r="B114" i="150"/>
  <c r="B113" i="150"/>
  <c r="B112" i="150"/>
  <c r="B111" i="150"/>
  <c r="B110" i="150"/>
  <c r="B109" i="150"/>
  <c r="B108" i="150"/>
  <c r="B107" i="150"/>
  <c r="B106" i="150"/>
  <c r="B105" i="150"/>
  <c r="B104" i="150"/>
  <c r="B103" i="150"/>
  <c r="B102" i="150"/>
  <c r="B101" i="150"/>
  <c r="B100" i="150"/>
  <c r="B99" i="150"/>
  <c r="B98" i="150"/>
  <c r="B97" i="150"/>
  <c r="B96" i="150"/>
  <c r="B95" i="150"/>
  <c r="B94" i="150"/>
  <c r="B93" i="150"/>
  <c r="B92" i="150"/>
  <c r="B91" i="150"/>
  <c r="B90" i="150"/>
  <c r="B89" i="150"/>
  <c r="B88" i="150"/>
  <c r="B87" i="150"/>
  <c r="B86" i="150"/>
  <c r="B85" i="150"/>
  <c r="B84" i="150"/>
  <c r="B83" i="150"/>
  <c r="B82" i="150"/>
  <c r="B81" i="150"/>
  <c r="B80" i="150"/>
  <c r="B79" i="150"/>
  <c r="B78" i="150"/>
  <c r="B77" i="150"/>
  <c r="B76" i="150"/>
  <c r="AR75" i="141"/>
  <c r="L5" i="149" l="1"/>
  <c r="L7" i="149"/>
  <c r="L9" i="149"/>
  <c r="L11" i="149"/>
  <c r="L13" i="149"/>
  <c r="L15" i="149"/>
  <c r="L17" i="149"/>
  <c r="L19" i="149"/>
  <c r="L21" i="149"/>
  <c r="L23" i="149"/>
  <c r="L25" i="149"/>
  <c r="L27" i="149"/>
  <c r="L29" i="149"/>
  <c r="L31" i="149"/>
  <c r="L33" i="149"/>
  <c r="L35" i="149"/>
  <c r="L37" i="149"/>
  <c r="L39" i="149"/>
  <c r="L41" i="149"/>
  <c r="L43" i="149"/>
  <c r="L45" i="149"/>
  <c r="L47" i="149"/>
  <c r="L49" i="149"/>
  <c r="L51" i="149"/>
  <c r="L53" i="149"/>
  <c r="L55" i="149"/>
  <c r="L57" i="149"/>
  <c r="L59" i="149"/>
  <c r="L61" i="149"/>
  <c r="L63" i="149"/>
  <c r="L65" i="149"/>
  <c r="L67" i="149"/>
  <c r="L69" i="149"/>
  <c r="L71" i="149"/>
  <c r="L73" i="149"/>
  <c r="L75" i="149"/>
  <c r="L4" i="149"/>
  <c r="L6" i="149"/>
  <c r="L8" i="149"/>
  <c r="L10" i="149"/>
  <c r="L12" i="149"/>
  <c r="L14" i="149"/>
  <c r="L16" i="149"/>
  <c r="L18" i="149"/>
  <c r="L20" i="149"/>
  <c r="L22" i="149"/>
  <c r="L24" i="149"/>
  <c r="L26" i="149"/>
  <c r="L28" i="149"/>
  <c r="L30" i="149"/>
  <c r="L32" i="149"/>
  <c r="L34" i="149"/>
  <c r="L36" i="149"/>
  <c r="L38" i="149"/>
  <c r="L40" i="149"/>
  <c r="L42" i="149"/>
  <c r="L44" i="149"/>
  <c r="L46" i="149"/>
  <c r="L48" i="149"/>
  <c r="L50" i="149"/>
  <c r="L52" i="149"/>
  <c r="L54" i="149"/>
  <c r="L56" i="149"/>
  <c r="L58" i="149"/>
  <c r="L60" i="149"/>
  <c r="L62" i="149"/>
  <c r="L64" i="149"/>
  <c r="L66" i="149"/>
  <c r="L68" i="149"/>
  <c r="L70" i="149"/>
  <c r="L72" i="149"/>
  <c r="L74" i="149"/>
  <c r="L3" i="149"/>
  <c r="J5" i="149" l="1"/>
  <c r="G56" i="150" l="1"/>
  <c r="G54" i="150"/>
  <c r="V29" i="150"/>
  <c r="V28" i="150"/>
  <c r="V27" i="150"/>
  <c r="V26" i="150"/>
  <c r="V25" i="150"/>
  <c r="AA28" i="150" l="1"/>
  <c r="AA25" i="150"/>
  <c r="AA27" i="150"/>
  <c r="AA26" i="150"/>
  <c r="AA30" i="150"/>
  <c r="AA29" i="150"/>
  <c r="B4" i="148" l="1"/>
  <c r="B5" i="148" s="1"/>
  <c r="B6" i="148" s="1"/>
  <c r="B7" i="148" s="1"/>
  <c r="B8" i="148" s="1"/>
  <c r="B9" i="148" s="1"/>
  <c r="B10" i="148" s="1"/>
  <c r="B11" i="148" s="1"/>
  <c r="B12" i="148" s="1"/>
  <c r="B13" i="148" s="1"/>
  <c r="B14" i="148" s="1"/>
  <c r="B15" i="148" s="1"/>
  <c r="B16" i="148" s="1"/>
  <c r="B17" i="148" s="1"/>
  <c r="B18" i="148" s="1"/>
  <c r="B19" i="148" s="1"/>
  <c r="B20" i="148" s="1"/>
  <c r="B21" i="148" s="1"/>
  <c r="B22" i="148" s="1"/>
  <c r="B23" i="148" l="1"/>
  <c r="B24" i="148" s="1"/>
  <c r="B25" i="148" s="1"/>
  <c r="B26" i="148" s="1"/>
  <c r="B27" i="148" s="1"/>
  <c r="B28" i="148" s="1"/>
  <c r="B29" i="148" s="1"/>
  <c r="B30" i="148" s="1"/>
  <c r="B31" i="148" s="1"/>
  <c r="B32" i="148" s="1"/>
  <c r="B33" i="148" s="1"/>
  <c r="B34" i="148" s="1"/>
  <c r="B35" i="148" s="1"/>
  <c r="B36" i="148" s="1"/>
  <c r="B37" i="148" s="1"/>
  <c r="B38" i="148" s="1"/>
  <c r="B39" i="148" s="1"/>
  <c r="B40" i="148" s="1"/>
  <c r="B41" i="148" s="1"/>
  <c r="B42" i="148" s="1"/>
  <c r="B43" i="148" s="1"/>
  <c r="B44" i="148" s="1"/>
  <c r="B45" i="148" s="1"/>
  <c r="B46" i="148" s="1"/>
  <c r="B47" i="148" s="1"/>
  <c r="B48" i="148" s="1"/>
  <c r="B49" i="148" l="1"/>
  <c r="B50" i="148" s="1"/>
  <c r="B51" i="148" s="1"/>
  <c r="B52" i="148" s="1"/>
  <c r="C3" i="149" l="1"/>
  <c r="B3" i="149"/>
  <c r="F12" i="149"/>
  <c r="B4" i="149"/>
  <c r="K8" i="149"/>
  <c r="C8" i="149"/>
  <c r="B10" i="149"/>
  <c r="K12" i="149"/>
  <c r="C12" i="149"/>
  <c r="B6" i="149"/>
  <c r="B7" i="149"/>
  <c r="K9" i="149"/>
  <c r="C9" i="149"/>
  <c r="B11" i="149"/>
  <c r="C5" i="149"/>
  <c r="C4" i="149"/>
  <c r="B8" i="149"/>
  <c r="K10" i="149"/>
  <c r="C10" i="149"/>
  <c r="B12" i="149"/>
  <c r="C6" i="149"/>
  <c r="C7" i="149"/>
  <c r="B9" i="149"/>
  <c r="K11" i="149"/>
  <c r="C11" i="149"/>
  <c r="B5" i="149"/>
  <c r="J12" i="149"/>
  <c r="F4" i="149" l="1"/>
  <c r="J9" i="149"/>
  <c r="F8" i="149"/>
  <c r="F11" i="149"/>
  <c r="F6" i="149"/>
  <c r="D6" i="153" s="1"/>
  <c r="F9" i="149"/>
  <c r="J8" i="149"/>
  <c r="F10" i="149"/>
  <c r="F5" i="149"/>
  <c r="J11" i="149"/>
  <c r="D7" i="153" l="1"/>
  <c r="J10" i="149"/>
  <c r="B15" i="149" l="1"/>
  <c r="K17" i="149"/>
  <c r="C17" i="149"/>
  <c r="B19" i="149"/>
  <c r="K21" i="149"/>
  <c r="C21" i="149"/>
  <c r="B23" i="149"/>
  <c r="C13" i="149"/>
  <c r="K14" i="149"/>
  <c r="C14" i="149"/>
  <c r="B16" i="149"/>
  <c r="K18" i="149"/>
  <c r="C18" i="149"/>
  <c r="B20" i="149"/>
  <c r="K22" i="149"/>
  <c r="C22" i="149"/>
  <c r="B24" i="149"/>
  <c r="B14" i="149"/>
  <c r="B13" i="149"/>
  <c r="C15" i="149"/>
  <c r="B17" i="149"/>
  <c r="C19" i="149"/>
  <c r="B21" i="149"/>
  <c r="C23" i="149"/>
  <c r="C16" i="149"/>
  <c r="B18" i="149"/>
  <c r="C20" i="149"/>
  <c r="B22" i="149"/>
  <c r="C24" i="149"/>
  <c r="I18" i="145"/>
  <c r="I22" i="145"/>
  <c r="I17" i="145"/>
  <c r="I21" i="145"/>
  <c r="I20" i="145"/>
  <c r="I24" i="145"/>
  <c r="I19" i="145"/>
  <c r="I23" i="145"/>
  <c r="I6" i="145"/>
  <c r="I10" i="145"/>
  <c r="I14" i="145"/>
  <c r="I5" i="145"/>
  <c r="I9" i="145"/>
  <c r="I13" i="145"/>
  <c r="I4" i="145"/>
  <c r="I8" i="145"/>
  <c r="I12" i="145"/>
  <c r="I16" i="145"/>
  <c r="I7" i="145"/>
  <c r="I11" i="145"/>
  <c r="I15" i="145"/>
  <c r="G51" i="148"/>
  <c r="G31" i="148"/>
  <c r="G17" i="148"/>
  <c r="G10" i="148"/>
  <c r="G42" i="148"/>
  <c r="G4" i="148"/>
  <c r="G44" i="148"/>
  <c r="G28" i="148"/>
  <c r="G14" i="148"/>
  <c r="G11" i="148"/>
  <c r="G38" i="148"/>
  <c r="G41" i="148"/>
  <c r="G52" i="148"/>
  <c r="G21" i="148"/>
  <c r="G18" i="148"/>
  <c r="G25" i="148"/>
  <c r="G43" i="148"/>
  <c r="G27" i="148"/>
  <c r="G13" i="148"/>
  <c r="G30" i="148"/>
  <c r="G40" i="148"/>
  <c r="G24" i="148"/>
  <c r="G6" i="148"/>
  <c r="G37" i="148"/>
  <c r="G34" i="148"/>
  <c r="G7" i="148"/>
  <c r="G50" i="148"/>
  <c r="G39" i="148"/>
  <c r="G23" i="148"/>
  <c r="G9" i="148"/>
  <c r="G15" i="148"/>
  <c r="G26" i="148"/>
  <c r="G48" i="148"/>
  <c r="G36" i="148"/>
  <c r="G22" i="148"/>
  <c r="G29" i="148"/>
  <c r="G8" i="148"/>
  <c r="G33" i="148"/>
  <c r="G20" i="148"/>
  <c r="G35" i="148"/>
  <c r="G16" i="148"/>
  <c r="G47" i="148"/>
  <c r="G46" i="148"/>
  <c r="G49" i="148"/>
  <c r="G5" i="148"/>
  <c r="G32" i="148"/>
  <c r="G19" i="148"/>
  <c r="G45" i="148"/>
  <c r="G12" i="148"/>
  <c r="K51" i="148"/>
  <c r="K52" i="148"/>
  <c r="K43" i="148"/>
  <c r="K39" i="148"/>
  <c r="K35" i="148"/>
  <c r="K31" i="148"/>
  <c r="K27" i="148"/>
  <c r="K23" i="148"/>
  <c r="K17" i="148"/>
  <c r="K13" i="148"/>
  <c r="K9" i="148"/>
  <c r="K5" i="148"/>
  <c r="K14" i="148"/>
  <c r="K6" i="148"/>
  <c r="K29" i="148"/>
  <c r="K25" i="148"/>
  <c r="K7" i="148"/>
  <c r="K38" i="148"/>
  <c r="K34" i="148"/>
  <c r="K20" i="148"/>
  <c r="K8" i="148"/>
  <c r="K50" i="148"/>
  <c r="K49" i="148"/>
  <c r="K44" i="148"/>
  <c r="K40" i="148"/>
  <c r="K36" i="148"/>
  <c r="K32" i="148"/>
  <c r="K28" i="148"/>
  <c r="K24" i="148"/>
  <c r="K22" i="148"/>
  <c r="K18" i="148"/>
  <c r="K10" i="148"/>
  <c r="K33" i="148"/>
  <c r="K15" i="148"/>
  <c r="K42" i="148"/>
  <c r="K30" i="148"/>
  <c r="K26" i="148"/>
  <c r="K16" i="148"/>
  <c r="K48" i="148"/>
  <c r="K47" i="148"/>
  <c r="K45" i="148"/>
  <c r="K41" i="148"/>
  <c r="K37" i="148"/>
  <c r="K19" i="148"/>
  <c r="K11" i="148"/>
  <c r="K46" i="148"/>
  <c r="K4" i="148"/>
  <c r="K13" i="149"/>
  <c r="J50" i="148"/>
  <c r="J48" i="148"/>
  <c r="J46" i="148"/>
  <c r="J42" i="148"/>
  <c r="J38" i="148"/>
  <c r="J34" i="148"/>
  <c r="J30" i="148"/>
  <c r="J20" i="148"/>
  <c r="J16" i="148"/>
  <c r="J8" i="148"/>
  <c r="J4" i="148"/>
  <c r="J17" i="148"/>
  <c r="J13" i="148"/>
  <c r="J9" i="148"/>
  <c r="J24" i="148"/>
  <c r="J18" i="148"/>
  <c r="J10" i="148"/>
  <c r="J45" i="148"/>
  <c r="J33" i="148"/>
  <c r="J29" i="148"/>
  <c r="J19" i="148"/>
  <c r="J52" i="148"/>
  <c r="J51" i="148"/>
  <c r="J43" i="148"/>
  <c r="J39" i="148"/>
  <c r="J35" i="148"/>
  <c r="J31" i="148"/>
  <c r="J27" i="148"/>
  <c r="J23" i="148"/>
  <c r="J5" i="148"/>
  <c r="J28" i="148"/>
  <c r="J22" i="148"/>
  <c r="J14" i="148"/>
  <c r="J6" i="148"/>
  <c r="J47" i="148"/>
  <c r="J41" i="148"/>
  <c r="J15" i="148"/>
  <c r="J11" i="148"/>
  <c r="J49" i="148"/>
  <c r="J44" i="148"/>
  <c r="J40" i="148"/>
  <c r="J36" i="148"/>
  <c r="J32" i="148"/>
  <c r="J37" i="148"/>
  <c r="J25" i="148"/>
  <c r="J7" i="148"/>
  <c r="I49" i="148"/>
  <c r="I47" i="148"/>
  <c r="I45" i="148"/>
  <c r="I41" i="148"/>
  <c r="I37" i="148"/>
  <c r="I33" i="148"/>
  <c r="I29" i="148"/>
  <c r="I25" i="148"/>
  <c r="I19" i="148"/>
  <c r="I15" i="148"/>
  <c r="I11" i="148"/>
  <c r="I7" i="148"/>
  <c r="I8" i="148"/>
  <c r="I4" i="148"/>
  <c r="I17" i="148"/>
  <c r="I13" i="148"/>
  <c r="I9" i="148"/>
  <c r="I44" i="148"/>
  <c r="I32" i="148"/>
  <c r="I24" i="148"/>
  <c r="I22" i="148"/>
  <c r="I46" i="148"/>
  <c r="I42" i="148"/>
  <c r="I38" i="148"/>
  <c r="I34" i="148"/>
  <c r="I30" i="148"/>
  <c r="I26" i="148"/>
  <c r="I20" i="148"/>
  <c r="I16" i="148"/>
  <c r="I27" i="148"/>
  <c r="I21" i="148"/>
  <c r="I40" i="148"/>
  <c r="I36" i="148"/>
  <c r="I14" i="148"/>
  <c r="I10" i="148"/>
  <c r="I6" i="148"/>
  <c r="I52" i="148"/>
  <c r="I51" i="148"/>
  <c r="I50" i="148"/>
  <c r="I43" i="148"/>
  <c r="I39" i="148"/>
  <c r="I35" i="148"/>
  <c r="I31" i="148"/>
  <c r="I23" i="148"/>
  <c r="I5" i="148"/>
  <c r="I48" i="148"/>
  <c r="I28" i="148"/>
  <c r="I18" i="148"/>
  <c r="H52" i="148"/>
  <c r="H48" i="148"/>
  <c r="H47" i="148"/>
  <c r="H44" i="148"/>
  <c r="H40" i="148"/>
  <c r="H36" i="148"/>
  <c r="H32" i="148"/>
  <c r="H28" i="148"/>
  <c r="H24" i="148"/>
  <c r="H22" i="148"/>
  <c r="H18" i="148"/>
  <c r="H14" i="148"/>
  <c r="H10" i="148"/>
  <c r="H6" i="148"/>
  <c r="H15" i="148"/>
  <c r="H7" i="148"/>
  <c r="H30" i="148"/>
  <c r="H26" i="148"/>
  <c r="H4" i="148"/>
  <c r="H51" i="148"/>
  <c r="H49" i="148"/>
  <c r="H39" i="148"/>
  <c r="H35" i="148"/>
  <c r="H27" i="148"/>
  <c r="H21" i="148"/>
  <c r="H17" i="148"/>
  <c r="H9" i="148"/>
  <c r="H45" i="148"/>
  <c r="H41" i="148"/>
  <c r="H37" i="148"/>
  <c r="H33" i="148"/>
  <c r="H29" i="148"/>
  <c r="H25" i="148"/>
  <c r="H19" i="148"/>
  <c r="H11" i="148"/>
  <c r="H20" i="148"/>
  <c r="H12" i="148"/>
  <c r="H50" i="148"/>
  <c r="H23" i="148"/>
  <c r="H5" i="148"/>
  <c r="H46" i="148"/>
  <c r="H42" i="148"/>
  <c r="H38" i="148"/>
  <c r="H34" i="148"/>
  <c r="H16" i="148"/>
  <c r="H8" i="148"/>
  <c r="H43" i="148"/>
  <c r="H31" i="148"/>
  <c r="H13" i="148"/>
  <c r="Q49" i="148"/>
  <c r="Q47" i="148"/>
  <c r="Q52" i="148"/>
  <c r="Q51" i="148"/>
  <c r="Q50" i="148"/>
  <c r="Q45" i="148"/>
  <c r="Q41" i="148"/>
  <c r="Q37" i="148"/>
  <c r="Q33" i="148"/>
  <c r="Q29" i="148"/>
  <c r="Q25" i="148"/>
  <c r="Q19" i="148"/>
  <c r="Q15" i="148"/>
  <c r="Q11" i="148"/>
  <c r="Q7" i="148"/>
  <c r="Q8" i="148"/>
  <c r="Q4" i="148"/>
  <c r="Q31" i="148"/>
  <c r="Q21" i="148"/>
  <c r="Q5" i="148"/>
  <c r="Q40" i="148"/>
  <c r="Q24" i="148"/>
  <c r="Q22" i="148"/>
  <c r="Q18" i="148"/>
  <c r="Q10" i="148"/>
  <c r="Q48" i="148"/>
  <c r="Q42" i="148"/>
  <c r="Q38" i="148"/>
  <c r="Q34" i="148"/>
  <c r="Q30" i="148"/>
  <c r="Q26" i="148"/>
  <c r="Q20" i="148"/>
  <c r="Q16" i="148"/>
  <c r="Q12" i="148"/>
  <c r="Q23" i="148"/>
  <c r="Q9" i="148"/>
  <c r="Q44" i="148"/>
  <c r="Q36" i="148"/>
  <c r="Q28" i="148"/>
  <c r="Q6" i="148"/>
  <c r="Q46" i="148"/>
  <c r="Q43" i="148"/>
  <c r="Q39" i="148"/>
  <c r="Q35" i="148"/>
  <c r="Q27" i="148"/>
  <c r="Q17" i="148"/>
  <c r="Q32" i="148"/>
  <c r="Q14" i="148"/>
  <c r="P52" i="148"/>
  <c r="P46" i="148"/>
  <c r="P44" i="148"/>
  <c r="P40" i="148"/>
  <c r="P36" i="148"/>
  <c r="P32" i="148"/>
  <c r="P28" i="148"/>
  <c r="P24" i="148"/>
  <c r="P22" i="148"/>
  <c r="P18" i="148"/>
  <c r="P6" i="148"/>
  <c r="P11" i="148"/>
  <c r="P30" i="148"/>
  <c r="P26" i="148"/>
  <c r="P4" i="148"/>
  <c r="P39" i="148"/>
  <c r="P35" i="148"/>
  <c r="P31" i="148"/>
  <c r="P17" i="148"/>
  <c r="P9" i="148"/>
  <c r="P51" i="148"/>
  <c r="P50" i="148"/>
  <c r="P49" i="148"/>
  <c r="P45" i="148"/>
  <c r="P41" i="148"/>
  <c r="P37" i="148"/>
  <c r="P33" i="148"/>
  <c r="P29" i="148"/>
  <c r="P25" i="148"/>
  <c r="P19" i="148"/>
  <c r="P7" i="148"/>
  <c r="P16" i="148"/>
  <c r="P8" i="148"/>
  <c r="P43" i="148"/>
  <c r="P27" i="148"/>
  <c r="P21" i="148"/>
  <c r="P48" i="148"/>
  <c r="P47" i="148"/>
  <c r="P42" i="148"/>
  <c r="P38" i="148"/>
  <c r="P34" i="148"/>
  <c r="P20" i="148"/>
  <c r="P23" i="148"/>
  <c r="P5" i="148"/>
  <c r="O51" i="148"/>
  <c r="O43" i="148"/>
  <c r="O39" i="148"/>
  <c r="O35" i="148"/>
  <c r="O31" i="148"/>
  <c r="O27" i="148"/>
  <c r="O23" i="148"/>
  <c r="O21" i="148"/>
  <c r="O17" i="148"/>
  <c r="O10" i="148"/>
  <c r="O33" i="148"/>
  <c r="O19" i="148"/>
  <c r="O48" i="148"/>
  <c r="O47" i="148"/>
  <c r="O46" i="148"/>
  <c r="O42" i="148"/>
  <c r="O30" i="148"/>
  <c r="O52" i="148"/>
  <c r="O44" i="148"/>
  <c r="O40" i="148"/>
  <c r="O36" i="148"/>
  <c r="O32" i="148"/>
  <c r="O28" i="148"/>
  <c r="O24" i="148"/>
  <c r="O22" i="148"/>
  <c r="O18" i="148"/>
  <c r="O14" i="148"/>
  <c r="O25" i="148"/>
  <c r="O34" i="148"/>
  <c r="O20" i="148"/>
  <c r="O50" i="148"/>
  <c r="O49" i="148"/>
  <c r="O45" i="148"/>
  <c r="O41" i="148"/>
  <c r="O37" i="148"/>
  <c r="O29" i="148"/>
  <c r="O38" i="148"/>
  <c r="O26" i="148"/>
  <c r="O16" i="148"/>
  <c r="N50" i="148"/>
  <c r="N48" i="148"/>
  <c r="N47" i="148"/>
  <c r="N46" i="148"/>
  <c r="N42" i="148"/>
  <c r="N38" i="148"/>
  <c r="N34" i="148"/>
  <c r="N30" i="148"/>
  <c r="N26" i="148"/>
  <c r="N20" i="148"/>
  <c r="N16" i="148"/>
  <c r="N8" i="148"/>
  <c r="N13" i="148"/>
  <c r="N32" i="148"/>
  <c r="N28" i="148"/>
  <c r="N18" i="148"/>
  <c r="N10" i="148"/>
  <c r="N45" i="148"/>
  <c r="N37" i="148"/>
  <c r="N15" i="148"/>
  <c r="N43" i="148"/>
  <c r="N39" i="148"/>
  <c r="N35" i="148"/>
  <c r="N31" i="148"/>
  <c r="N27" i="148"/>
  <c r="N23" i="148"/>
  <c r="N21" i="148"/>
  <c r="N17" i="148"/>
  <c r="N24" i="148"/>
  <c r="N33" i="148"/>
  <c r="N25" i="148"/>
  <c r="N19" i="148"/>
  <c r="N52" i="148"/>
  <c r="N51" i="148"/>
  <c r="N44" i="148"/>
  <c r="N40" i="148"/>
  <c r="N36" i="148"/>
  <c r="N22" i="148"/>
  <c r="N14" i="148"/>
  <c r="N49" i="148"/>
  <c r="N41" i="148"/>
  <c r="N29" i="148"/>
  <c r="M49" i="148"/>
  <c r="M47" i="148"/>
  <c r="M48" i="148"/>
  <c r="M45" i="148"/>
  <c r="M41" i="148"/>
  <c r="M37" i="148"/>
  <c r="M33" i="148"/>
  <c r="M29" i="148"/>
  <c r="M25" i="148"/>
  <c r="M19" i="148"/>
  <c r="M15" i="148"/>
  <c r="M7" i="148"/>
  <c r="M16" i="148"/>
  <c r="M27" i="148"/>
  <c r="M23" i="148"/>
  <c r="M21" i="148"/>
  <c r="M52" i="148"/>
  <c r="M50" i="148"/>
  <c r="M36" i="148"/>
  <c r="M28" i="148"/>
  <c r="M14" i="148"/>
  <c r="M6" i="148"/>
  <c r="M46" i="148"/>
  <c r="M42" i="148"/>
  <c r="M38" i="148"/>
  <c r="M34" i="148"/>
  <c r="M30" i="148"/>
  <c r="M26" i="148"/>
  <c r="M20" i="148"/>
  <c r="M8" i="148"/>
  <c r="M31" i="148"/>
  <c r="M17" i="148"/>
  <c r="M13" i="148"/>
  <c r="M51" i="148"/>
  <c r="M32" i="148"/>
  <c r="M24" i="148"/>
  <c r="M18" i="148"/>
  <c r="M43" i="148"/>
  <c r="M39" i="148"/>
  <c r="M35" i="148"/>
  <c r="M44" i="148"/>
  <c r="M40" i="148"/>
  <c r="M22" i="148"/>
  <c r="M10" i="148"/>
  <c r="L52" i="148"/>
  <c r="L51" i="148"/>
  <c r="L49" i="148"/>
  <c r="L36" i="148"/>
  <c r="L32" i="148"/>
  <c r="L28" i="148"/>
  <c r="L18" i="148"/>
  <c r="L14" i="148"/>
  <c r="L10" i="148"/>
  <c r="L6" i="148"/>
  <c r="L11" i="148"/>
  <c r="L7" i="148"/>
  <c r="L20" i="148"/>
  <c r="L16" i="148"/>
  <c r="L12" i="148"/>
  <c r="L8" i="148"/>
  <c r="L43" i="148"/>
  <c r="L27" i="148"/>
  <c r="L23" i="148"/>
  <c r="L13" i="148"/>
  <c r="L5" i="148"/>
  <c r="L47" i="148"/>
  <c r="L45" i="148"/>
  <c r="L41" i="148"/>
  <c r="L37" i="148"/>
  <c r="L33" i="148"/>
  <c r="L29" i="148"/>
  <c r="L25" i="148"/>
  <c r="L19" i="148"/>
  <c r="L15" i="148"/>
  <c r="L30" i="148"/>
  <c r="L4" i="148"/>
  <c r="L39" i="148"/>
  <c r="L17" i="148"/>
  <c r="L9" i="148"/>
  <c r="L46" i="148"/>
  <c r="L42" i="148"/>
  <c r="L26" i="148"/>
  <c r="L35" i="148"/>
  <c r="K19" i="149"/>
  <c r="K23" i="149"/>
  <c r="K16" i="149"/>
  <c r="K20" i="149"/>
  <c r="K24" i="149"/>
  <c r="K15" i="149"/>
  <c r="I74" i="145" l="1"/>
  <c r="I73" i="145"/>
  <c r="I72" i="145"/>
  <c r="I71" i="145"/>
  <c r="I70" i="145"/>
  <c r="I69" i="145"/>
  <c r="I68" i="145"/>
  <c r="I67" i="145"/>
  <c r="I66" i="145"/>
  <c r="I65" i="145"/>
  <c r="I64" i="145"/>
  <c r="I63" i="145"/>
  <c r="I62" i="145"/>
  <c r="I61" i="145"/>
  <c r="I60" i="145"/>
  <c r="I59" i="145"/>
  <c r="I58" i="145"/>
  <c r="I57" i="145"/>
  <c r="I56" i="145"/>
  <c r="I55" i="145"/>
  <c r="I54" i="145"/>
  <c r="I53" i="145"/>
  <c r="B55" i="149" l="1"/>
  <c r="K56" i="149"/>
  <c r="C56" i="149"/>
  <c r="B56" i="149"/>
  <c r="B61" i="149"/>
  <c r="K62" i="149"/>
  <c r="C62" i="149"/>
  <c r="F71" i="149"/>
  <c r="B72" i="149"/>
  <c r="K73" i="149"/>
  <c r="C73" i="149"/>
  <c r="F54" i="149"/>
  <c r="F55" i="149"/>
  <c r="K57" i="149"/>
  <c r="C57" i="149"/>
  <c r="B57" i="149"/>
  <c r="K58" i="149"/>
  <c r="C58" i="149"/>
  <c r="B62" i="149"/>
  <c r="K63" i="149"/>
  <c r="C63" i="149"/>
  <c r="B63" i="149"/>
  <c r="K64" i="149"/>
  <c r="C64" i="149"/>
  <c r="B64" i="149"/>
  <c r="K65" i="149"/>
  <c r="C65" i="149"/>
  <c r="B65" i="149"/>
  <c r="K66" i="149"/>
  <c r="C66" i="149"/>
  <c r="B66" i="149"/>
  <c r="K67" i="149"/>
  <c r="C67" i="149"/>
  <c r="B67" i="149"/>
  <c r="K68" i="149"/>
  <c r="C68" i="149"/>
  <c r="B68" i="149"/>
  <c r="K69" i="149"/>
  <c r="C69" i="149"/>
  <c r="B69" i="149"/>
  <c r="K70" i="149"/>
  <c r="C70" i="149"/>
  <c r="F72" i="149"/>
  <c r="B73" i="149"/>
  <c r="K74" i="149"/>
  <c r="C74" i="149"/>
  <c r="K53" i="149"/>
  <c r="C53" i="149"/>
  <c r="B53" i="149"/>
  <c r="K54" i="149"/>
  <c r="C54" i="149"/>
  <c r="B54" i="149"/>
  <c r="B58" i="149"/>
  <c r="K59" i="149"/>
  <c r="C59" i="149"/>
  <c r="B70" i="149"/>
  <c r="K71" i="149"/>
  <c r="C71" i="149"/>
  <c r="F73" i="149"/>
  <c r="B74" i="149"/>
  <c r="K55" i="149"/>
  <c r="C55" i="149"/>
  <c r="F56" i="149"/>
  <c r="B59" i="149"/>
  <c r="K60" i="149"/>
  <c r="C60" i="149"/>
  <c r="B60" i="149"/>
  <c r="K61" i="149"/>
  <c r="C61" i="149"/>
  <c r="F70" i="149"/>
  <c r="B71" i="149"/>
  <c r="K72" i="149"/>
  <c r="C72" i="149"/>
  <c r="F74" i="149"/>
  <c r="J58" i="149"/>
  <c r="J62" i="149"/>
  <c r="J61" i="149"/>
  <c r="J59" i="149"/>
  <c r="J60" i="149"/>
  <c r="J57" i="149"/>
  <c r="J63" i="149"/>
  <c r="J64" i="149"/>
  <c r="J65" i="149"/>
  <c r="J66" i="149"/>
  <c r="J67" i="149"/>
  <c r="J68" i="149"/>
  <c r="J69" i="149"/>
  <c r="J70" i="149"/>
  <c r="J71" i="149"/>
  <c r="J72" i="149"/>
  <c r="J73" i="149"/>
  <c r="J74" i="149"/>
  <c r="H63" i="149" l="1"/>
  <c r="H60" i="149"/>
  <c r="H66" i="149"/>
  <c r="H55" i="149"/>
  <c r="G63" i="149"/>
  <c r="F68" i="149"/>
  <c r="F64" i="149"/>
  <c r="F59" i="149"/>
  <c r="J54" i="149"/>
  <c r="J55" i="149"/>
  <c r="F58" i="149"/>
  <c r="F67" i="149"/>
  <c r="F63" i="149"/>
  <c r="F61" i="149"/>
  <c r="F66" i="149"/>
  <c r="F62" i="149"/>
  <c r="J56" i="149"/>
  <c r="J53" i="149"/>
  <c r="G60" i="149"/>
  <c r="G66" i="149"/>
  <c r="G55" i="149"/>
  <c r="F53" i="149"/>
  <c r="F69" i="149"/>
  <c r="F65" i="149"/>
  <c r="F60" i="149"/>
  <c r="F57" i="149"/>
  <c r="H61" i="149" l="1"/>
  <c r="H73" i="149"/>
  <c r="H64" i="149"/>
  <c r="H71" i="149"/>
  <c r="H72" i="149"/>
  <c r="H62" i="149"/>
  <c r="H67" i="149"/>
  <c r="H59" i="149"/>
  <c r="H57" i="149"/>
  <c r="G61" i="149"/>
  <c r="G73" i="149"/>
  <c r="G64" i="149"/>
  <c r="G71" i="149"/>
  <c r="G72" i="149"/>
  <c r="G62" i="149"/>
  <c r="G67" i="149"/>
  <c r="G59" i="149"/>
  <c r="G57" i="149"/>
  <c r="H53" i="149"/>
  <c r="H70" i="149"/>
  <c r="H69" i="149"/>
  <c r="H56" i="149"/>
  <c r="H58" i="149"/>
  <c r="H54" i="149"/>
  <c r="H74" i="149"/>
  <c r="H68" i="149"/>
  <c r="H65" i="149"/>
  <c r="G53" i="149"/>
  <c r="G70" i="149"/>
  <c r="G69" i="149"/>
  <c r="G56" i="149"/>
  <c r="G58" i="149"/>
  <c r="G54" i="149"/>
  <c r="G74" i="149"/>
  <c r="G68" i="149"/>
  <c r="G65" i="149"/>
  <c r="O11" i="148" l="1"/>
  <c r="O13" i="148"/>
  <c r="O4" i="148"/>
  <c r="O15" i="148"/>
  <c r="O12" i="148"/>
  <c r="O8" i="148"/>
  <c r="O9" i="148"/>
  <c r="O6" i="148" l="1"/>
  <c r="O7" i="148"/>
  <c r="O5" i="148"/>
  <c r="AP2" i="141" l="1"/>
  <c r="AP75" i="141" s="1"/>
  <c r="J3" i="148" l="1"/>
  <c r="J26" i="148"/>
  <c r="J21" i="148"/>
  <c r="J12" i="148"/>
  <c r="J53" i="148" l="1"/>
  <c r="J54" i="148"/>
  <c r="J55" i="148" l="1"/>
  <c r="K3" i="148" l="1"/>
  <c r="O3" i="148"/>
  <c r="O53" i="148" l="1"/>
  <c r="I75" i="145"/>
  <c r="I52" i="145"/>
  <c r="I51" i="145"/>
  <c r="I50" i="145"/>
  <c r="I49" i="145"/>
  <c r="I48" i="145"/>
  <c r="I47" i="145"/>
  <c r="I46" i="145"/>
  <c r="I45" i="145"/>
  <c r="I44" i="145"/>
  <c r="I43" i="145"/>
  <c r="I42" i="145"/>
  <c r="I41" i="145"/>
  <c r="I40" i="145"/>
  <c r="I39" i="145"/>
  <c r="I38" i="145"/>
  <c r="I37" i="145"/>
  <c r="I36" i="145"/>
  <c r="I35" i="145"/>
  <c r="I34" i="145"/>
  <c r="I33" i="145"/>
  <c r="I32" i="145"/>
  <c r="I31" i="145"/>
  <c r="I30" i="145"/>
  <c r="I29" i="145"/>
  <c r="I28" i="145"/>
  <c r="I27" i="145"/>
  <c r="I26" i="145"/>
  <c r="I25" i="145"/>
  <c r="K26" i="149" l="1"/>
  <c r="C26" i="149"/>
  <c r="B27" i="149"/>
  <c r="K29" i="149"/>
  <c r="C29" i="149"/>
  <c r="B31" i="149"/>
  <c r="B34" i="149"/>
  <c r="B36" i="149"/>
  <c r="K38" i="149"/>
  <c r="C38" i="149"/>
  <c r="B39" i="149"/>
  <c r="B42" i="149"/>
  <c r="B45" i="149"/>
  <c r="K47" i="149"/>
  <c r="C47" i="149"/>
  <c r="F48" i="149"/>
  <c r="K49" i="149"/>
  <c r="C49" i="149"/>
  <c r="F51" i="149"/>
  <c r="K52" i="149"/>
  <c r="C52" i="149"/>
  <c r="K27" i="149"/>
  <c r="C27" i="149"/>
  <c r="B28" i="149"/>
  <c r="K30" i="149"/>
  <c r="C30" i="149"/>
  <c r="F32" i="149"/>
  <c r="K33" i="149"/>
  <c r="C33" i="149"/>
  <c r="F35" i="149"/>
  <c r="K36" i="149"/>
  <c r="C36" i="149"/>
  <c r="B37" i="149"/>
  <c r="K39" i="149"/>
  <c r="C39" i="149"/>
  <c r="F40" i="149"/>
  <c r="K41" i="149"/>
  <c r="C41" i="149"/>
  <c r="F43" i="149"/>
  <c r="K44" i="149"/>
  <c r="C44" i="149"/>
  <c r="B46" i="149"/>
  <c r="B48" i="149"/>
  <c r="K50" i="149"/>
  <c r="C50" i="149"/>
  <c r="B51" i="149"/>
  <c r="F75" i="149"/>
  <c r="C25" i="149"/>
  <c r="J29" i="149"/>
  <c r="B26" i="149"/>
  <c r="B29" i="149"/>
  <c r="K31" i="149"/>
  <c r="C31" i="149"/>
  <c r="B32" i="149"/>
  <c r="K34" i="149"/>
  <c r="C34" i="149"/>
  <c r="B35" i="149"/>
  <c r="B38" i="149"/>
  <c r="B40" i="149"/>
  <c r="K42" i="149"/>
  <c r="C42" i="149"/>
  <c r="B43" i="149"/>
  <c r="K45" i="149"/>
  <c r="C45" i="149"/>
  <c r="F47" i="149"/>
  <c r="K48" i="149"/>
  <c r="C48" i="149"/>
  <c r="B49" i="149"/>
  <c r="K51" i="149"/>
  <c r="C51" i="149"/>
  <c r="F52" i="149"/>
  <c r="C75" i="149"/>
  <c r="B75" i="149"/>
  <c r="B25" i="149"/>
  <c r="F27" i="149"/>
  <c r="K28" i="149"/>
  <c r="C28" i="149"/>
  <c r="B30" i="149"/>
  <c r="K32" i="149"/>
  <c r="C32" i="149"/>
  <c r="B33" i="149"/>
  <c r="K35" i="149"/>
  <c r="C35" i="149"/>
  <c r="F36" i="149"/>
  <c r="K37" i="149"/>
  <c r="C37" i="149"/>
  <c r="F39" i="149"/>
  <c r="K40" i="149"/>
  <c r="C40" i="149"/>
  <c r="B41" i="149"/>
  <c r="K43" i="149"/>
  <c r="C43" i="149"/>
  <c r="B44" i="149"/>
  <c r="K46" i="149"/>
  <c r="C46" i="149"/>
  <c r="B47" i="149"/>
  <c r="B50" i="149"/>
  <c r="B52" i="149"/>
  <c r="K25" i="149"/>
  <c r="F23" i="148"/>
  <c r="F40" i="148"/>
  <c r="F6" i="148"/>
  <c r="F48" i="148"/>
  <c r="F16" i="148"/>
  <c r="F47" i="148"/>
  <c r="F22" i="148"/>
  <c r="F13" i="148"/>
  <c r="F28" i="148"/>
  <c r="F35" i="148"/>
  <c r="F51" i="148"/>
  <c r="F11" i="148"/>
  <c r="F33" i="148"/>
  <c r="F30" i="148"/>
  <c r="F46" i="148"/>
  <c r="F10" i="148"/>
  <c r="F34" i="148"/>
  <c r="F43" i="148"/>
  <c r="F14" i="148"/>
  <c r="F5" i="148"/>
  <c r="F45" i="148"/>
  <c r="F31" i="148"/>
  <c r="F42" i="148"/>
  <c r="F12" i="148"/>
  <c r="F41" i="148"/>
  <c r="F20" i="148"/>
  <c r="F25" i="148"/>
  <c r="F19" i="148"/>
  <c r="F21" i="148"/>
  <c r="F39" i="148"/>
  <c r="F18" i="148"/>
  <c r="F38" i="148"/>
  <c r="F9" i="148"/>
  <c r="F36" i="148"/>
  <c r="F44" i="148"/>
  <c r="F17" i="148"/>
  <c r="F7" i="148"/>
  <c r="F27" i="148"/>
  <c r="F50" i="148"/>
  <c r="F8" i="148"/>
  <c r="F32" i="148"/>
  <c r="F26" i="148"/>
  <c r="F52" i="148"/>
  <c r="F49" i="148"/>
  <c r="F29" i="148"/>
  <c r="F24" i="148"/>
  <c r="F15" i="148"/>
  <c r="F37" i="148"/>
  <c r="K75" i="149"/>
  <c r="J34" i="149"/>
  <c r="J75" i="149"/>
  <c r="J36" i="149"/>
  <c r="J38" i="149"/>
  <c r="J27" i="149"/>
  <c r="J42" i="149"/>
  <c r="H44" i="149" l="1"/>
  <c r="H25" i="149"/>
  <c r="J28" i="149"/>
  <c r="J44" i="149"/>
  <c r="J31" i="149"/>
  <c r="J40" i="149"/>
  <c r="J32" i="149"/>
  <c r="J50" i="149"/>
  <c r="J26" i="149"/>
  <c r="J30" i="149"/>
  <c r="J46" i="149"/>
  <c r="J39" i="149"/>
  <c r="F28" i="149"/>
  <c r="J48" i="149"/>
  <c r="F29" i="149"/>
  <c r="F44" i="149"/>
  <c r="J37" i="149"/>
  <c r="F45" i="149"/>
  <c r="F31" i="149"/>
  <c r="G25" i="149"/>
  <c r="F41" i="149"/>
  <c r="F33" i="149"/>
  <c r="F42" i="149"/>
  <c r="J25" i="149"/>
  <c r="J35" i="149"/>
  <c r="J45" i="149"/>
  <c r="J41" i="149"/>
  <c r="J33" i="149"/>
  <c r="F25" i="149"/>
  <c r="F50" i="149"/>
  <c r="J43" i="149"/>
  <c r="F30" i="149"/>
  <c r="F38" i="149"/>
  <c r="F26" i="149"/>
  <c r="G44" i="149"/>
  <c r="F46" i="149"/>
  <c r="F49" i="149"/>
  <c r="F34" i="149"/>
  <c r="F37" i="149"/>
  <c r="R29" i="148"/>
  <c r="R52" i="148"/>
  <c r="R8" i="148"/>
  <c r="R36" i="148"/>
  <c r="R25" i="148"/>
  <c r="R42" i="148"/>
  <c r="R30" i="148"/>
  <c r="R51" i="148"/>
  <c r="R47" i="148"/>
  <c r="R26" i="148"/>
  <c r="R27" i="148"/>
  <c r="R39" i="148"/>
  <c r="R46" i="148"/>
  <c r="R35" i="148"/>
  <c r="R28" i="148"/>
  <c r="R37" i="148"/>
  <c r="R49" i="148"/>
  <c r="R17" i="148"/>
  <c r="R19" i="148"/>
  <c r="R20" i="148"/>
  <c r="R41" i="148"/>
  <c r="R33" i="148"/>
  <c r="R23" i="148"/>
  <c r="R32" i="148"/>
  <c r="R18" i="148"/>
  <c r="R45" i="148"/>
  <c r="R43" i="148"/>
  <c r="R16" i="148"/>
  <c r="J47" i="149"/>
  <c r="J52" i="149"/>
  <c r="J51" i="149"/>
  <c r="J49" i="149"/>
  <c r="H51" i="149" l="1"/>
  <c r="H45" i="149"/>
  <c r="H34" i="149"/>
  <c r="H29" i="149"/>
  <c r="H46" i="149"/>
  <c r="H43" i="149"/>
  <c r="H42" i="149"/>
  <c r="H75" i="149"/>
  <c r="H27" i="149"/>
  <c r="H52" i="149"/>
  <c r="H48" i="149"/>
  <c r="H26" i="149"/>
  <c r="H38" i="149"/>
  <c r="G51" i="149"/>
  <c r="G45" i="149"/>
  <c r="G34" i="149"/>
  <c r="G29" i="149"/>
  <c r="G46" i="149"/>
  <c r="G43" i="149"/>
  <c r="G42" i="149"/>
  <c r="G75" i="149"/>
  <c r="G27" i="149"/>
  <c r="G52" i="149"/>
  <c r="G48" i="149"/>
  <c r="G26" i="149"/>
  <c r="G38" i="149"/>
  <c r="H32" i="149"/>
  <c r="H50" i="149"/>
  <c r="H30" i="149"/>
  <c r="H49" i="149"/>
  <c r="H28" i="149"/>
  <c r="H35" i="149"/>
  <c r="H37" i="149"/>
  <c r="H36" i="149"/>
  <c r="H33" i="149"/>
  <c r="H39" i="149"/>
  <c r="H47" i="149"/>
  <c r="H31" i="149"/>
  <c r="H41" i="149"/>
  <c r="H40" i="149"/>
  <c r="G32" i="149"/>
  <c r="G50" i="149"/>
  <c r="G30" i="149"/>
  <c r="G49" i="149"/>
  <c r="G28" i="149"/>
  <c r="G35" i="149"/>
  <c r="G37" i="149"/>
  <c r="G36" i="149"/>
  <c r="G33" i="149"/>
  <c r="G39" i="149"/>
  <c r="G47" i="149"/>
  <c r="G31" i="149"/>
  <c r="G41" i="149"/>
  <c r="G40" i="149"/>
  <c r="F7" i="149" l="1"/>
  <c r="J7" i="149" l="1"/>
  <c r="H8" i="149" l="1"/>
  <c r="G8" i="149"/>
  <c r="H7" i="149"/>
  <c r="G7" i="149"/>
  <c r="F22" i="149" l="1"/>
  <c r="J22" i="149"/>
  <c r="H22" i="149" l="1"/>
  <c r="G22" i="149"/>
  <c r="F21" i="149"/>
  <c r="F18" i="149"/>
  <c r="F20" i="149"/>
  <c r="F19" i="149"/>
  <c r="J21" i="149"/>
  <c r="J19" i="149" l="1"/>
  <c r="J18" i="149"/>
  <c r="J20" i="149"/>
  <c r="H18" i="149" l="1"/>
  <c r="H20" i="149"/>
  <c r="G18" i="149"/>
  <c r="G20" i="149"/>
  <c r="H21" i="149"/>
  <c r="H19" i="149"/>
  <c r="G21" i="149"/>
  <c r="G19" i="149"/>
  <c r="P10" i="148" l="1"/>
  <c r="P13" i="148"/>
  <c r="P15" i="148"/>
  <c r="M9" i="148"/>
  <c r="K21" i="148"/>
  <c r="K12" i="148"/>
  <c r="I12" i="148"/>
  <c r="N6" i="148" l="1"/>
  <c r="R6" i="148" s="1"/>
  <c r="N7" i="148"/>
  <c r="R7" i="148" s="1"/>
  <c r="N9" i="148"/>
  <c r="R9" i="148" s="1"/>
  <c r="Q3" i="148"/>
  <c r="M4" i="148"/>
  <c r="M11" i="148"/>
  <c r="M5" i="148"/>
  <c r="M12" i="148"/>
  <c r="N4" i="148"/>
  <c r="N11" i="148"/>
  <c r="N5" i="148"/>
  <c r="N12" i="148"/>
  <c r="Q13" i="148"/>
  <c r="R13" i="148" s="1"/>
  <c r="R15" i="148"/>
  <c r="R10" i="148"/>
  <c r="P14" i="148"/>
  <c r="P12" i="148"/>
  <c r="M3" i="148"/>
  <c r="I3" i="148"/>
  <c r="G3" i="148"/>
  <c r="H3" i="148"/>
  <c r="N3" i="148"/>
  <c r="P3" i="148"/>
  <c r="I54" i="148"/>
  <c r="G54" i="148"/>
  <c r="N54" i="148"/>
  <c r="P54" i="148"/>
  <c r="Q54" i="148"/>
  <c r="K54" i="148"/>
  <c r="M54" i="148"/>
  <c r="R12" i="148" l="1"/>
  <c r="R5" i="148"/>
  <c r="R11" i="148"/>
  <c r="R14" i="148"/>
  <c r="K53" i="148"/>
  <c r="K55" i="148" s="1"/>
  <c r="M53" i="148"/>
  <c r="M55" i="148" s="1"/>
  <c r="P53" i="148"/>
  <c r="P55" i="148" s="1"/>
  <c r="N53" i="148"/>
  <c r="N55" i="148" s="1"/>
  <c r="I53" i="148"/>
  <c r="I55" i="148" s="1"/>
  <c r="Q53" i="148"/>
  <c r="Q55" i="148" s="1"/>
  <c r="H53" i="148"/>
  <c r="H54" i="148"/>
  <c r="H55" i="148" l="1"/>
  <c r="G53" i="148"/>
  <c r="G55" i="148" s="1"/>
  <c r="F15" i="149" l="1"/>
  <c r="F13" i="149"/>
  <c r="F23" i="149"/>
  <c r="F17" i="149"/>
  <c r="F14" i="149"/>
  <c r="F24" i="149"/>
  <c r="F16" i="149"/>
  <c r="J14" i="149"/>
  <c r="J24" i="149"/>
  <c r="J15" i="149"/>
  <c r="J13" i="149"/>
  <c r="G10" i="149" l="1"/>
  <c r="J17" i="149"/>
  <c r="J23" i="149"/>
  <c r="J16" i="149"/>
  <c r="H13" i="149" l="1"/>
  <c r="H23" i="149"/>
  <c r="H9" i="149"/>
  <c r="H17" i="149"/>
  <c r="G13" i="149"/>
  <c r="G23" i="149"/>
  <c r="G9" i="149"/>
  <c r="G17" i="149"/>
  <c r="H10" i="149"/>
  <c r="H12" i="149"/>
  <c r="H16" i="149"/>
  <c r="H11" i="149"/>
  <c r="H14" i="149"/>
  <c r="H15" i="149"/>
  <c r="H24" i="149"/>
  <c r="G12" i="149"/>
  <c r="G16" i="149"/>
  <c r="G11" i="149"/>
  <c r="G14" i="149"/>
  <c r="G15" i="149"/>
  <c r="G24" i="149"/>
  <c r="J4" i="149" l="1"/>
  <c r="J10" i="150"/>
  <c r="D10" i="150" l="1"/>
  <c r="K5" i="149"/>
  <c r="K7" i="149"/>
  <c r="K4" i="149"/>
  <c r="K6" i="149"/>
  <c r="A9" i="57" l="1"/>
  <c r="A10" i="57" l="1"/>
  <c r="A8" i="57"/>
  <c r="G8" i="145" l="1"/>
  <c r="F8" i="145"/>
  <c r="G28" i="145"/>
  <c r="F28" i="145"/>
  <c r="G75" i="145"/>
  <c r="F75" i="145"/>
  <c r="G11" i="145"/>
  <c r="F11" i="145"/>
  <c r="G45" i="145"/>
  <c r="F45" i="145"/>
  <c r="G12" i="145"/>
  <c r="F12" i="145"/>
  <c r="G64" i="145"/>
  <c r="F64" i="145"/>
  <c r="G34" i="145"/>
  <c r="F34" i="145"/>
  <c r="G13" i="145"/>
  <c r="F13" i="145"/>
  <c r="G55" i="145"/>
  <c r="F55" i="145"/>
  <c r="G29" i="145"/>
  <c r="F29" i="145"/>
  <c r="G54" i="145"/>
  <c r="F54" i="145"/>
  <c r="G56" i="145"/>
  <c r="F56" i="145"/>
  <c r="I12" i="149"/>
  <c r="I29" i="149"/>
  <c r="I54" i="149"/>
  <c r="I56" i="149"/>
  <c r="I64" i="149"/>
  <c r="I34" i="149"/>
  <c r="I13" i="149"/>
  <c r="I55" i="149"/>
  <c r="I8" i="149"/>
  <c r="I45" i="149"/>
  <c r="I28" i="149"/>
  <c r="I75" i="149"/>
  <c r="I11" i="149"/>
  <c r="G40" i="145" l="1"/>
  <c r="F40" i="145"/>
  <c r="G35" i="145"/>
  <c r="F35" i="145"/>
  <c r="G48" i="145"/>
  <c r="F48" i="145"/>
  <c r="G71" i="145"/>
  <c r="F71" i="145"/>
  <c r="G51" i="145"/>
  <c r="F51" i="145"/>
  <c r="G19" i="145"/>
  <c r="F19" i="145"/>
  <c r="G10" i="145"/>
  <c r="F10" i="145"/>
  <c r="G27" i="145"/>
  <c r="F27" i="145"/>
  <c r="G7" i="145"/>
  <c r="F7" i="145"/>
  <c r="G70" i="145"/>
  <c r="F70" i="145"/>
  <c r="G21" i="145"/>
  <c r="F21" i="145"/>
  <c r="G44" i="145"/>
  <c r="F44" i="145"/>
  <c r="G24" i="145"/>
  <c r="F24" i="145"/>
  <c r="G32" i="145"/>
  <c r="F32" i="145"/>
  <c r="G52" i="145"/>
  <c r="F52" i="145"/>
  <c r="G41" i="145"/>
  <c r="F41" i="145"/>
  <c r="G22" i="145"/>
  <c r="F22" i="145"/>
  <c r="G14" i="145"/>
  <c r="F14" i="145"/>
  <c r="G68" i="145"/>
  <c r="F68" i="145"/>
  <c r="G46" i="145"/>
  <c r="F46" i="145"/>
  <c r="G73" i="145"/>
  <c r="F73" i="145"/>
  <c r="G33" i="145"/>
  <c r="F33" i="145"/>
  <c r="G72" i="145"/>
  <c r="F72" i="145"/>
  <c r="G39" i="145"/>
  <c r="F39" i="145"/>
  <c r="G50" i="145"/>
  <c r="F50" i="145"/>
  <c r="G59" i="145"/>
  <c r="F59" i="145"/>
  <c r="G30" i="145"/>
  <c r="F30" i="145"/>
  <c r="G57" i="145"/>
  <c r="F57" i="145"/>
  <c r="G42" i="145"/>
  <c r="F42" i="145"/>
  <c r="G18" i="145"/>
  <c r="F18" i="145"/>
  <c r="G65" i="145"/>
  <c r="F65" i="145"/>
  <c r="G31" i="145"/>
  <c r="F31" i="145"/>
  <c r="G60" i="145"/>
  <c r="F60" i="145"/>
  <c r="G25" i="145"/>
  <c r="F25" i="145"/>
  <c r="G23" i="145"/>
  <c r="F23" i="145"/>
  <c r="G43" i="145"/>
  <c r="F43" i="145"/>
  <c r="G15" i="145"/>
  <c r="F15" i="145"/>
  <c r="G9" i="145"/>
  <c r="F9" i="145"/>
  <c r="G38" i="145"/>
  <c r="F38" i="145"/>
  <c r="G62" i="145"/>
  <c r="F62" i="145"/>
  <c r="G47" i="145"/>
  <c r="F47" i="145"/>
  <c r="G63" i="145"/>
  <c r="F63" i="145"/>
  <c r="G20" i="145"/>
  <c r="F20" i="145"/>
  <c r="G69" i="145"/>
  <c r="F69" i="145"/>
  <c r="G53" i="145"/>
  <c r="F53" i="145"/>
  <c r="G49" i="145"/>
  <c r="F49" i="145"/>
  <c r="G17" i="145"/>
  <c r="F17" i="145"/>
  <c r="G37" i="145"/>
  <c r="F37" i="145"/>
  <c r="G66" i="145"/>
  <c r="F66" i="145"/>
  <c r="G26" i="145"/>
  <c r="F26" i="145"/>
  <c r="G36" i="145"/>
  <c r="F36" i="145"/>
  <c r="G74" i="145"/>
  <c r="F74" i="145"/>
  <c r="G16" i="145"/>
  <c r="F16" i="145"/>
  <c r="G58" i="145"/>
  <c r="F58" i="145"/>
  <c r="G67" i="145"/>
  <c r="F67" i="145"/>
  <c r="G61" i="145"/>
  <c r="F61" i="145"/>
  <c r="I61" i="149"/>
  <c r="I52" i="149"/>
  <c r="I20" i="149"/>
  <c r="I41" i="149"/>
  <c r="I69" i="149"/>
  <c r="I22" i="149"/>
  <c r="I53" i="149"/>
  <c r="I14" i="149"/>
  <c r="I49" i="149"/>
  <c r="I68" i="149"/>
  <c r="I17" i="149"/>
  <c r="I46" i="149"/>
  <c r="I37" i="149"/>
  <c r="I73" i="149"/>
  <c r="I66" i="149"/>
  <c r="I33" i="149"/>
  <c r="I26" i="149"/>
  <c r="I72" i="149"/>
  <c r="I36" i="149"/>
  <c r="I39" i="149"/>
  <c r="I74" i="149"/>
  <c r="I50" i="149"/>
  <c r="I16" i="149"/>
  <c r="I59" i="149"/>
  <c r="I58" i="149"/>
  <c r="I30" i="149"/>
  <c r="I67" i="149"/>
  <c r="I57" i="149"/>
  <c r="I40" i="149"/>
  <c r="I42" i="149"/>
  <c r="I35" i="149"/>
  <c r="I18" i="149"/>
  <c r="I48" i="149"/>
  <c r="I65" i="149"/>
  <c r="I71" i="149"/>
  <c r="I31" i="149"/>
  <c r="I51" i="149"/>
  <c r="I60" i="149"/>
  <c r="I19" i="149"/>
  <c r="I25" i="149"/>
  <c r="I10" i="149"/>
  <c r="I23" i="149"/>
  <c r="I27" i="149"/>
  <c r="I43" i="149"/>
  <c r="I7" i="149"/>
  <c r="I15" i="149"/>
  <c r="I70" i="149"/>
  <c r="I9" i="149"/>
  <c r="I21" i="149"/>
  <c r="I38" i="149"/>
  <c r="I44" i="149"/>
  <c r="I62" i="149"/>
  <c r="I24" i="149"/>
  <c r="I47" i="149"/>
  <c r="I32" i="149"/>
  <c r="I63" i="149"/>
  <c r="O54" i="148"/>
  <c r="D25" i="145" l="1"/>
  <c r="D57" i="145"/>
  <c r="D38" i="145"/>
  <c r="D64" i="145"/>
  <c r="D52" i="145"/>
  <c r="D58" i="145"/>
  <c r="D49" i="145"/>
  <c r="D29" i="145"/>
  <c r="D53" i="145"/>
  <c r="D70" i="145"/>
  <c r="D66" i="145"/>
  <c r="D28" i="145"/>
  <c r="D73" i="145"/>
  <c r="D41" i="145"/>
  <c r="D59" i="145"/>
  <c r="D35" i="145"/>
  <c r="D51" i="145"/>
  <c r="D67" i="145"/>
  <c r="D33" i="145"/>
  <c r="D62" i="145"/>
  <c r="D75" i="145"/>
  <c r="D68" i="145"/>
  <c r="D39" i="145"/>
  <c r="D46" i="145"/>
  <c r="D55" i="145"/>
  <c r="D40" i="145"/>
  <c r="D42" i="145"/>
  <c r="D30" i="145"/>
  <c r="D60" i="145"/>
  <c r="D50" i="145"/>
  <c r="D56" i="145"/>
  <c r="D45" i="145"/>
  <c r="D31" i="145"/>
  <c r="D34" i="145"/>
  <c r="D74" i="145"/>
  <c r="D48" i="145"/>
  <c r="D44" i="145"/>
  <c r="D23" i="145"/>
  <c r="D72" i="145"/>
  <c r="D32" i="145"/>
  <c r="D26" i="145"/>
  <c r="D61" i="145"/>
  <c r="D71" i="145"/>
  <c r="D36" i="145"/>
  <c r="D37" i="145"/>
  <c r="D24" i="145"/>
  <c r="D69" i="145"/>
  <c r="D43" i="145"/>
  <c r="D54" i="145"/>
  <c r="D65" i="145"/>
  <c r="D63" i="145"/>
  <c r="D47" i="145"/>
  <c r="O55" i="148"/>
  <c r="D22" i="145" l="1"/>
  <c r="I3" i="145" l="1"/>
  <c r="E75" i="144" l="1"/>
  <c r="L24" i="148"/>
  <c r="L34" i="148"/>
  <c r="L38" i="148"/>
  <c r="L50" i="148"/>
  <c r="L44" i="148"/>
  <c r="L21" i="148"/>
  <c r="M34" i="57"/>
  <c r="M19" i="57"/>
  <c r="M21" i="57"/>
  <c r="M32" i="57"/>
  <c r="M30" i="57"/>
  <c r="M20" i="57"/>
  <c r="M25" i="57"/>
  <c r="M23" i="57"/>
  <c r="M28" i="57"/>
  <c r="M22" i="57"/>
  <c r="M29" i="57"/>
  <c r="M31" i="57"/>
  <c r="M18" i="57"/>
  <c r="M26" i="57"/>
  <c r="M24" i="57"/>
  <c r="M27" i="57"/>
  <c r="M33" i="57"/>
  <c r="AI9" i="150" l="1"/>
  <c r="AI23" i="150"/>
  <c r="AB6" i="150"/>
  <c r="F3" i="148"/>
  <c r="F3" i="149"/>
  <c r="D5" i="153" s="1"/>
  <c r="AS75" i="141"/>
  <c r="R24" i="148"/>
  <c r="R21" i="148"/>
  <c r="R44" i="148"/>
  <c r="R38" i="148"/>
  <c r="R50" i="148"/>
  <c r="R34" i="148"/>
  <c r="L22" i="148"/>
  <c r="L40" i="148"/>
  <c r="L48" i="148"/>
  <c r="L31" i="148"/>
  <c r="F4" i="148"/>
  <c r="J6" i="149"/>
  <c r="F54" i="148"/>
  <c r="L3" i="148"/>
  <c r="K3" i="149"/>
  <c r="D35" i="153" l="1"/>
  <c r="D34" i="153"/>
  <c r="D38" i="153"/>
  <c r="D37" i="153"/>
  <c r="D36" i="153"/>
  <c r="D33" i="153"/>
  <c r="D40" i="153"/>
  <c r="D32" i="153"/>
  <c r="D39" i="153"/>
  <c r="D41" i="153"/>
  <c r="D22" i="153"/>
  <c r="D24" i="153"/>
  <c r="D18" i="153"/>
  <c r="D9" i="153"/>
  <c r="D14" i="153"/>
  <c r="D17" i="153"/>
  <c r="D11" i="153"/>
  <c r="D16" i="153"/>
  <c r="D21" i="153"/>
  <c r="D20" i="153"/>
  <c r="D10" i="153"/>
  <c r="D26" i="153"/>
  <c r="D12" i="153"/>
  <c r="D27" i="153"/>
  <c r="D13" i="153"/>
  <c r="D23" i="153"/>
  <c r="D19" i="153"/>
  <c r="D25" i="153"/>
  <c r="D15" i="153"/>
  <c r="AA32" i="150"/>
  <c r="AH7" i="150"/>
  <c r="H7" i="150"/>
  <c r="Z54" i="150" s="1"/>
  <c r="Z55" i="150"/>
  <c r="AD30" i="150"/>
  <c r="AD27" i="150"/>
  <c r="AD28" i="150"/>
  <c r="AD29" i="150"/>
  <c r="AD25" i="150"/>
  <c r="O15" i="150" s="1"/>
  <c r="X15" i="150" s="1"/>
  <c r="AZ2" i="150" s="1"/>
  <c r="AD26" i="150"/>
  <c r="H3" i="149"/>
  <c r="G3" i="149"/>
  <c r="H5" i="149"/>
  <c r="G5" i="149"/>
  <c r="H6" i="149"/>
  <c r="G6" i="149"/>
  <c r="H4" i="149"/>
  <c r="G4" i="149"/>
  <c r="J3" i="149"/>
  <c r="E76" i="145"/>
  <c r="R31" i="148"/>
  <c r="R22" i="148"/>
  <c r="R40" i="148"/>
  <c r="R48" i="148"/>
  <c r="R4" i="148"/>
  <c r="L54" i="148"/>
  <c r="L53" i="148"/>
  <c r="F53" i="148"/>
  <c r="F55" i="148" s="1"/>
  <c r="R3" i="148"/>
  <c r="G3" i="145" l="1"/>
  <c r="F3" i="145"/>
  <c r="D28" i="153"/>
  <c r="D45" i="153"/>
  <c r="D46" i="153" s="1"/>
  <c r="D47" i="153" s="1"/>
  <c r="I5" i="149"/>
  <c r="I4" i="149"/>
  <c r="I3" i="149"/>
  <c r="L55" i="148"/>
  <c r="R54" i="148"/>
  <c r="R53" i="148"/>
  <c r="G6" i="145" l="1"/>
  <c r="F6" i="145"/>
  <c r="G5" i="145"/>
  <c r="F5" i="145"/>
  <c r="G4" i="145"/>
  <c r="F4" i="145"/>
  <c r="D29" i="153"/>
  <c r="D30" i="153" s="1"/>
  <c r="H7" i="152" s="1"/>
  <c r="D48" i="153"/>
  <c r="D49" i="153" s="1"/>
  <c r="D50" i="153" s="1"/>
  <c r="D51" i="153" s="1"/>
  <c r="I6" i="149"/>
  <c r="R55" i="148"/>
  <c r="D27" i="145"/>
  <c r="L11" i="151" l="1"/>
  <c r="H10" i="152"/>
  <c r="J7" i="152"/>
  <c r="G11" i="151" l="1"/>
  <c r="L10" i="151"/>
  <c r="J24" i="151"/>
  <c r="P11" i="151"/>
  <c r="Q11" i="151" s="1"/>
  <c r="R11" i="151" s="1"/>
  <c r="S11" i="151" s="1"/>
  <c r="J10" i="152"/>
  <c r="H18" i="152"/>
  <c r="D4" i="145"/>
  <c r="D5" i="145"/>
  <c r="D14" i="145"/>
  <c r="D9" i="145"/>
  <c r="D8" i="145"/>
  <c r="D7" i="145"/>
  <c r="D19" i="145"/>
  <c r="D20" i="145"/>
  <c r="D21" i="145"/>
  <c r="F76" i="145"/>
  <c r="D17" i="145"/>
  <c r="D18" i="145"/>
  <c r="D16" i="145"/>
  <c r="G76" i="145"/>
  <c r="D13" i="145"/>
  <c r="D6" i="145"/>
  <c r="D15" i="145"/>
  <c r="D10" i="145"/>
  <c r="D12" i="145"/>
  <c r="D11" i="145"/>
  <c r="D3" i="145"/>
  <c r="N6" i="57"/>
  <c r="G10" i="151" l="1"/>
  <c r="P10" i="151"/>
  <c r="Q10" i="151" s="1"/>
  <c r="L21" i="151"/>
  <c r="G21" i="151" s="1"/>
  <c r="J18" i="152"/>
  <c r="I5" i="152"/>
  <c r="C5" i="152" s="1"/>
  <c r="D76" i="145"/>
  <c r="L4" i="57"/>
  <c r="D5" i="57"/>
  <c r="L6" i="57"/>
  <c r="D6" i="57"/>
  <c r="C34" i="57"/>
  <c r="C33" i="57"/>
  <c r="C32" i="57"/>
  <c r="C31" i="57"/>
  <c r="C30" i="57"/>
  <c r="C29" i="57"/>
  <c r="C28" i="57"/>
  <c r="C27" i="57"/>
  <c r="C26" i="57"/>
  <c r="C25" i="57"/>
  <c r="C24" i="57"/>
  <c r="C23" i="57"/>
  <c r="C22" i="57"/>
  <c r="C21" i="57"/>
  <c r="C20" i="57"/>
  <c r="R10" i="151" l="1"/>
  <c r="S10" i="15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2" authorId="0" shapeId="0" xr:uid="{00000000-0006-0000-1400-000001000000}">
      <text>
        <r>
          <rPr>
            <b/>
            <sz val="10"/>
            <color indexed="81"/>
            <rFont val="맑은 고딕"/>
            <family val="3"/>
            <charset val="129"/>
            <scheme val="major"/>
          </rPr>
          <t>주소록에서 복사</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 authorId="0" shapeId="0" xr:uid="{00000000-0006-0000-1700-000001000000}">
      <text>
        <r>
          <rPr>
            <b/>
            <sz val="9"/>
            <color indexed="10"/>
            <rFont val="맑은 고딕"/>
            <family val="3"/>
            <charset val="129"/>
          </rPr>
          <t>필히 바꾸기 : 해당 신고월</t>
        </r>
      </text>
    </comment>
    <comment ref="K1" authorId="0" shapeId="0" xr:uid="{00000000-0006-0000-1700-000002000000}">
      <text>
        <r>
          <rPr>
            <b/>
            <sz val="9"/>
            <color indexed="10"/>
            <rFont val="맑은 고딕"/>
            <family val="3"/>
            <charset val="129"/>
          </rPr>
          <t xml:space="preserve">근로내역, 퇴직공제, 하도급지킴이, 근로계약서
4개 시트 그룹 설정 후 수식 바꾸기
전달(예, </t>
        </r>
        <r>
          <rPr>
            <b/>
            <sz val="9"/>
            <color indexed="17"/>
            <rFont val="맑은 고딕"/>
            <family val="3"/>
            <charset val="129"/>
          </rPr>
          <t>21_04</t>
        </r>
        <r>
          <rPr>
            <b/>
            <sz val="9"/>
            <color indexed="10"/>
            <rFont val="맑은 고딕"/>
            <family val="3"/>
            <charset val="129"/>
          </rPr>
          <t xml:space="preserve">) → 해당월(예, </t>
        </r>
        <r>
          <rPr>
            <b/>
            <sz val="9"/>
            <color indexed="17"/>
            <rFont val="맑은 고딕"/>
            <family val="3"/>
            <charset val="129"/>
          </rPr>
          <t>21_05</t>
        </r>
        <r>
          <rPr>
            <b/>
            <sz val="9"/>
            <color indexed="10"/>
            <rFont val="맑은 고딕"/>
            <family val="3"/>
            <charset val="129"/>
          </rPr>
          <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최용훈</author>
    <author>user</author>
  </authors>
  <commentList>
    <comment ref="A1" authorId="0" shapeId="0" xr:uid="{00000000-0006-0000-1800-000001000000}">
      <text>
        <r>
          <rPr>
            <b/>
            <sz val="9"/>
            <color indexed="81"/>
            <rFont val="굴림"/>
            <family val="3"/>
            <charset val="129"/>
          </rPr>
          <t xml:space="preserve">※ 서식사용시 셀 위치 변경 금지
    - 1번째 행은 항목별 제목 표시행
    - 2번째 행부터 근로내역 실제 입력자료
    - 셀병합 금지 </t>
        </r>
      </text>
    </comment>
    <comment ref="B1" authorId="0" shapeId="0" xr:uid="{00000000-0006-0000-1800-000002000000}">
      <text>
        <r>
          <rPr>
            <b/>
            <sz val="9"/>
            <color indexed="81"/>
            <rFont val="굴림"/>
            <family val="3"/>
            <charset val="129"/>
          </rPr>
          <t xml:space="preserve">빈 공백없이 입력
</t>
        </r>
      </text>
    </comment>
    <comment ref="C1" authorId="0" shapeId="0" xr:uid="{00000000-0006-0000-1800-000003000000}">
      <text>
        <r>
          <rPr>
            <b/>
            <sz val="9"/>
            <color indexed="81"/>
            <rFont val="굴림"/>
            <family val="3"/>
            <charset val="129"/>
          </rPr>
          <t>하이픈(-) 포함해서 14자리</t>
        </r>
        <r>
          <rPr>
            <sz val="9"/>
            <color indexed="81"/>
            <rFont val="굴림"/>
            <family val="3"/>
            <charset val="129"/>
          </rPr>
          <t xml:space="preserve">
</t>
        </r>
      </text>
    </comment>
    <comment ref="D1" authorId="1" shapeId="0" xr:uid="{00000000-0006-0000-1800-000004000000}">
      <text>
        <r>
          <rPr>
            <b/>
            <sz val="9"/>
            <color indexed="10"/>
            <rFont val="맑은 고딕"/>
            <family val="3"/>
            <charset val="129"/>
          </rPr>
          <t>필히 바꾸기 : 해당 신고월</t>
        </r>
      </text>
    </comment>
    <comment ref="E1" authorId="0" shapeId="0" xr:uid="{00000000-0006-0000-1800-000005000000}">
      <text>
        <r>
          <rPr>
            <b/>
            <sz val="9"/>
            <color indexed="81"/>
            <rFont val="맑은 고딕"/>
            <family val="3"/>
            <charset val="129"/>
            <scheme val="minor"/>
          </rPr>
          <t>출력공수
월 합계 출력공수가 소수점 단위로 끝나면 올려준다
13.5 → 14
원래는 13으로 내려줘야하지만 내려준만큼 계속 유예로 남겨둬야하는 번거로움이 있어 올려서 신고하기로 한다</t>
        </r>
      </text>
    </comment>
    <comment ref="F1" authorId="1" shapeId="0" xr:uid="{00000000-0006-0000-1800-000006000000}">
      <text>
        <r>
          <rPr>
            <b/>
            <sz val="9"/>
            <color indexed="10"/>
            <rFont val="맑은 고딕"/>
            <family val="3"/>
            <charset val="129"/>
          </rPr>
          <t xml:space="preserve">수식 바꾸기
전달(예, </t>
        </r>
        <r>
          <rPr>
            <b/>
            <sz val="9"/>
            <color indexed="17"/>
            <rFont val="맑은 고딕"/>
            <family val="3"/>
            <charset val="129"/>
          </rPr>
          <t>21_04</t>
        </r>
        <r>
          <rPr>
            <b/>
            <sz val="9"/>
            <color indexed="10"/>
            <rFont val="맑은 고딕"/>
            <family val="3"/>
            <charset val="129"/>
          </rPr>
          <t>) → 해당월</t>
        </r>
      </text>
    </comment>
    <comment ref="K1" authorId="0" shapeId="0" xr:uid="{00000000-0006-0000-1800-000007000000}">
      <text>
        <r>
          <rPr>
            <b/>
            <sz val="9"/>
            <color indexed="81"/>
            <rFont val="굴림"/>
            <family val="3"/>
            <charset val="129"/>
          </rPr>
          <t>하이픈(-) 없이 5자리</t>
        </r>
      </text>
    </comment>
    <comment ref="A2" authorId="1" shapeId="0" xr:uid="{00000000-0006-0000-1800-000008000000}">
      <text>
        <r>
          <rPr>
            <b/>
            <sz val="9"/>
            <color indexed="10"/>
            <rFont val="맑은 고딕"/>
            <family val="3"/>
            <charset val="129"/>
          </rPr>
          <t xml:space="preserve">수식 바꾸기
전달(예, </t>
        </r>
        <r>
          <rPr>
            <b/>
            <sz val="9"/>
            <color indexed="17"/>
            <rFont val="맑은 고딕"/>
            <family val="3"/>
            <charset val="129"/>
          </rPr>
          <t>21_04</t>
        </r>
        <r>
          <rPr>
            <b/>
            <sz val="9"/>
            <color indexed="10"/>
            <rFont val="맑은 고딕"/>
            <family val="3"/>
            <charset val="129"/>
          </rPr>
          <t>) → 해당월</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dc</author>
  </authors>
  <commentList>
    <comment ref="A2" authorId="0" shapeId="0" xr:uid="{00000000-0006-0000-1900-000001000000}">
      <text>
        <r>
          <rPr>
            <b/>
            <sz val="9"/>
            <color indexed="10"/>
            <rFont val="맑은 고딕"/>
            <family val="3"/>
            <charset val="129"/>
          </rPr>
          <t xml:space="preserve">수식 바꾸기
전달(예, </t>
        </r>
        <r>
          <rPr>
            <b/>
            <sz val="9"/>
            <color indexed="17"/>
            <rFont val="맑은 고딕"/>
            <family val="3"/>
            <charset val="129"/>
          </rPr>
          <t>21_04</t>
        </r>
        <r>
          <rPr>
            <b/>
            <sz val="9"/>
            <color indexed="10"/>
            <rFont val="맑은 고딕"/>
            <family val="3"/>
            <charset val="129"/>
          </rPr>
          <t>) → 해당월</t>
        </r>
      </text>
    </comment>
    <comment ref="M2" authorId="1" shapeId="0" xr:uid="{00000000-0006-0000-1900-000002000000}">
      <text>
        <r>
          <rPr>
            <b/>
            <sz val="9"/>
            <color indexed="81"/>
            <rFont val="Tahoma"/>
            <family val="2"/>
          </rPr>
          <t>dc:</t>
        </r>
        <r>
          <rPr>
            <sz val="9"/>
            <color indexed="81"/>
            <rFont val="Tahoma"/>
            <family val="2"/>
          </rPr>
          <t xml:space="preserve">
</t>
        </r>
        <r>
          <rPr>
            <sz val="9"/>
            <color indexed="81"/>
            <rFont val="돋움"/>
            <family val="3"/>
            <charset val="129"/>
          </rPr>
          <t>일반지급</t>
        </r>
        <r>
          <rPr>
            <sz val="9"/>
            <color indexed="81"/>
            <rFont val="Tahoma"/>
            <family val="2"/>
          </rPr>
          <t xml:space="preserve"> : </t>
        </r>
        <r>
          <rPr>
            <sz val="9"/>
            <color indexed="81"/>
            <rFont val="돋움"/>
            <family val="3"/>
            <charset val="129"/>
          </rPr>
          <t>기관</t>
        </r>
        <r>
          <rPr>
            <sz val="9"/>
            <color indexed="81"/>
            <rFont val="Tahoma"/>
            <family val="2"/>
          </rPr>
          <t>(</t>
        </r>
        <r>
          <rPr>
            <sz val="9"/>
            <color indexed="81"/>
            <rFont val="돋움"/>
            <family val="3"/>
            <charset val="129"/>
          </rPr>
          <t>원도급업체</t>
        </r>
        <r>
          <rPr>
            <sz val="9"/>
            <color indexed="81"/>
            <rFont val="Tahoma"/>
            <family val="2"/>
          </rPr>
          <t>)</t>
        </r>
        <r>
          <rPr>
            <sz val="9"/>
            <color indexed="81"/>
            <rFont val="돋움"/>
            <family val="3"/>
            <charset val="129"/>
          </rPr>
          <t>로부터</t>
        </r>
        <r>
          <rPr>
            <sz val="9"/>
            <color indexed="81"/>
            <rFont val="Tahoma"/>
            <family val="2"/>
          </rPr>
          <t xml:space="preserve"> </t>
        </r>
        <r>
          <rPr>
            <sz val="9"/>
            <color indexed="81"/>
            <rFont val="돋움"/>
            <family val="3"/>
            <charset val="129"/>
          </rPr>
          <t>대금</t>
        </r>
        <r>
          <rPr>
            <sz val="9"/>
            <color indexed="81"/>
            <rFont val="Tahoma"/>
            <family val="2"/>
          </rPr>
          <t xml:space="preserve"> </t>
        </r>
        <r>
          <rPr>
            <sz val="9"/>
            <color indexed="81"/>
            <rFont val="돋움"/>
            <family val="3"/>
            <charset val="129"/>
          </rPr>
          <t>수령</t>
        </r>
        <r>
          <rPr>
            <sz val="9"/>
            <color indexed="81"/>
            <rFont val="Tahoma"/>
            <family val="2"/>
          </rPr>
          <t xml:space="preserve"> </t>
        </r>
        <r>
          <rPr>
            <sz val="9"/>
            <color indexed="81"/>
            <rFont val="돋움"/>
            <family val="3"/>
            <charset val="129"/>
          </rPr>
          <t>후</t>
        </r>
        <r>
          <rPr>
            <sz val="9"/>
            <color indexed="81"/>
            <rFont val="Tahoma"/>
            <family val="2"/>
          </rPr>
          <t xml:space="preserve"> </t>
        </r>
        <r>
          <rPr>
            <sz val="9"/>
            <color indexed="81"/>
            <rFont val="돋움"/>
            <family val="3"/>
            <charset val="129"/>
          </rPr>
          <t>지급하는</t>
        </r>
        <r>
          <rPr>
            <sz val="9"/>
            <color indexed="81"/>
            <rFont val="Tahoma"/>
            <family val="2"/>
          </rPr>
          <t xml:space="preserve"> </t>
        </r>
        <r>
          <rPr>
            <sz val="9"/>
            <color indexed="81"/>
            <rFont val="돋움"/>
            <family val="3"/>
            <charset val="129"/>
          </rPr>
          <t>경우
선지급</t>
        </r>
        <r>
          <rPr>
            <sz val="9"/>
            <color indexed="81"/>
            <rFont val="Tahoma"/>
            <family val="2"/>
          </rPr>
          <t xml:space="preserve"> : </t>
        </r>
        <r>
          <rPr>
            <sz val="9"/>
            <color indexed="81"/>
            <rFont val="돋움"/>
            <family val="3"/>
            <charset val="129"/>
          </rPr>
          <t>업체</t>
        </r>
        <r>
          <rPr>
            <sz val="9"/>
            <color indexed="81"/>
            <rFont val="Tahoma"/>
            <family val="2"/>
          </rPr>
          <t xml:space="preserve"> </t>
        </r>
        <r>
          <rPr>
            <sz val="9"/>
            <color indexed="81"/>
            <rFont val="돋움"/>
            <family val="3"/>
            <charset val="129"/>
          </rPr>
          <t>대금으로</t>
        </r>
        <r>
          <rPr>
            <sz val="9"/>
            <color indexed="81"/>
            <rFont val="Tahoma"/>
            <family val="2"/>
          </rPr>
          <t xml:space="preserve"> </t>
        </r>
        <r>
          <rPr>
            <sz val="9"/>
            <color indexed="81"/>
            <rFont val="돋움"/>
            <family val="3"/>
            <charset val="129"/>
          </rPr>
          <t>먼저</t>
        </r>
        <r>
          <rPr>
            <sz val="9"/>
            <color indexed="81"/>
            <rFont val="Tahoma"/>
            <family val="2"/>
          </rPr>
          <t xml:space="preserve"> </t>
        </r>
        <r>
          <rPr>
            <sz val="9"/>
            <color indexed="81"/>
            <rFont val="돋움"/>
            <family val="3"/>
            <charset val="129"/>
          </rPr>
          <t>지급</t>
        </r>
        <r>
          <rPr>
            <sz val="9"/>
            <color indexed="81"/>
            <rFont val="Tahoma"/>
            <family val="2"/>
          </rPr>
          <t xml:space="preserve"> </t>
        </r>
        <r>
          <rPr>
            <sz val="9"/>
            <color indexed="81"/>
            <rFont val="돋움"/>
            <family val="3"/>
            <charset val="129"/>
          </rPr>
          <t>후</t>
        </r>
        <r>
          <rPr>
            <sz val="9"/>
            <color indexed="81"/>
            <rFont val="Tahoma"/>
            <family val="2"/>
          </rPr>
          <t xml:space="preserve"> </t>
        </r>
        <r>
          <rPr>
            <sz val="9"/>
            <color indexed="81"/>
            <rFont val="돋움"/>
            <family val="3"/>
            <charset val="129"/>
          </rPr>
          <t>기관</t>
        </r>
        <r>
          <rPr>
            <sz val="9"/>
            <color indexed="81"/>
            <rFont val="Tahoma"/>
            <family val="2"/>
          </rPr>
          <t>(</t>
        </r>
        <r>
          <rPr>
            <sz val="9"/>
            <color indexed="81"/>
            <rFont val="돋움"/>
            <family val="3"/>
            <charset val="129"/>
          </rPr>
          <t>원도급업체</t>
        </r>
        <r>
          <rPr>
            <sz val="9"/>
            <color indexed="81"/>
            <rFont val="Tahoma"/>
            <family val="2"/>
          </rPr>
          <t>)</t>
        </r>
        <r>
          <rPr>
            <sz val="9"/>
            <color indexed="81"/>
            <rFont val="돋움"/>
            <family val="3"/>
            <charset val="129"/>
          </rPr>
          <t>로부터</t>
        </r>
        <r>
          <rPr>
            <sz val="9"/>
            <color indexed="81"/>
            <rFont val="Tahoma"/>
            <family val="2"/>
          </rPr>
          <t xml:space="preserve"> </t>
        </r>
        <r>
          <rPr>
            <sz val="9"/>
            <color indexed="81"/>
            <rFont val="돋움"/>
            <family val="3"/>
            <charset val="129"/>
          </rPr>
          <t>대금</t>
        </r>
        <r>
          <rPr>
            <sz val="9"/>
            <color indexed="81"/>
            <rFont val="Tahoma"/>
            <family val="2"/>
          </rPr>
          <t xml:space="preserve"> </t>
        </r>
        <r>
          <rPr>
            <sz val="9"/>
            <color indexed="81"/>
            <rFont val="돋움"/>
            <family val="3"/>
            <charset val="129"/>
          </rPr>
          <t>수령하는</t>
        </r>
        <r>
          <rPr>
            <sz val="9"/>
            <color indexed="81"/>
            <rFont val="Tahoma"/>
            <family val="2"/>
          </rPr>
          <t xml:space="preserve"> </t>
        </r>
        <r>
          <rPr>
            <sz val="9"/>
            <color indexed="81"/>
            <rFont val="돋움"/>
            <family val="3"/>
            <charset val="129"/>
          </rPr>
          <t>경우</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KJH</author>
    <author>IBR</author>
  </authors>
  <commentList>
    <comment ref="B2" authorId="0" shapeId="0" xr:uid="{00000000-0006-0000-1A00-000001000000}">
      <text>
        <r>
          <rPr>
            <b/>
            <sz val="9"/>
            <color indexed="10"/>
            <rFont val="맑은 고딕"/>
            <family val="3"/>
            <charset val="129"/>
          </rPr>
          <t xml:space="preserve">수식 바꾸기
전달(예, </t>
        </r>
        <r>
          <rPr>
            <b/>
            <sz val="9"/>
            <color indexed="17"/>
            <rFont val="맑은 고딕"/>
            <family val="3"/>
            <charset val="129"/>
          </rPr>
          <t>21_04</t>
        </r>
        <r>
          <rPr>
            <b/>
            <sz val="9"/>
            <color indexed="10"/>
            <rFont val="맑은 고딕"/>
            <family val="3"/>
            <charset val="129"/>
          </rPr>
          <t>)
 → 해당월</t>
        </r>
      </text>
    </comment>
    <comment ref="L2" authorId="0" shapeId="0" xr:uid="{00000000-0006-0000-1A00-000002000000}">
      <text>
        <r>
          <rPr>
            <b/>
            <sz val="14"/>
            <color indexed="81"/>
            <rFont val="Tahoma"/>
            <family val="2"/>
          </rPr>
          <t>1</t>
        </r>
        <r>
          <rPr>
            <b/>
            <sz val="14"/>
            <color indexed="81"/>
            <rFont val="돋움"/>
            <family val="3"/>
            <charset val="129"/>
          </rPr>
          <t xml:space="preserve">달계약
</t>
        </r>
        <r>
          <rPr>
            <b/>
            <sz val="14"/>
            <color indexed="81"/>
            <rFont val="Tahoma"/>
            <family val="2"/>
          </rPr>
          <t>1</t>
        </r>
        <r>
          <rPr>
            <b/>
            <sz val="14"/>
            <color indexed="81"/>
            <rFont val="돋움"/>
            <family val="3"/>
            <charset val="129"/>
          </rPr>
          <t>일</t>
        </r>
        <r>
          <rPr>
            <b/>
            <sz val="14"/>
            <color indexed="81"/>
            <rFont val="Tahoma"/>
            <family val="2"/>
          </rPr>
          <t xml:space="preserve"> 8</t>
        </r>
        <r>
          <rPr>
            <b/>
            <sz val="14"/>
            <color indexed="81"/>
            <rFont val="돋움"/>
            <family val="3"/>
            <charset val="129"/>
          </rPr>
          <t>시간</t>
        </r>
        <r>
          <rPr>
            <b/>
            <sz val="14"/>
            <color indexed="81"/>
            <rFont val="Tahoma"/>
            <family val="2"/>
          </rPr>
          <t>, 26</t>
        </r>
        <r>
          <rPr>
            <b/>
            <sz val="14"/>
            <color indexed="81"/>
            <rFont val="돋움"/>
            <family val="3"/>
            <charset val="129"/>
          </rPr>
          <t>일</t>
        </r>
        <r>
          <rPr>
            <b/>
            <sz val="14"/>
            <color indexed="81"/>
            <rFont val="Tahoma"/>
            <family val="2"/>
          </rPr>
          <t xml:space="preserve"> </t>
        </r>
        <r>
          <rPr>
            <b/>
            <sz val="14"/>
            <color indexed="81"/>
            <rFont val="돋움"/>
            <family val="3"/>
            <charset val="129"/>
          </rPr>
          <t>근무</t>
        </r>
      </text>
    </comment>
    <comment ref="J10" authorId="1" shapeId="0" xr:uid="{00000000-0006-0000-1A00-000003000000}">
      <text>
        <r>
          <rPr>
            <b/>
            <sz val="9"/>
            <color indexed="81"/>
            <rFont val="Tahoma"/>
            <family val="2"/>
          </rPr>
          <t>KJH:</t>
        </r>
        <r>
          <rPr>
            <sz val="9"/>
            <color indexed="81"/>
            <rFont val="Tahoma"/>
            <family val="2"/>
          </rPr>
          <t xml:space="preserve">
1</t>
        </r>
        <r>
          <rPr>
            <sz val="9"/>
            <color indexed="81"/>
            <rFont val="돋움"/>
            <family val="3"/>
            <charset val="129"/>
          </rPr>
          <t>개월의</t>
        </r>
        <r>
          <rPr>
            <sz val="9"/>
            <color indexed="81"/>
            <rFont val="Tahoma"/>
            <family val="2"/>
          </rPr>
          <t xml:space="preserve"> </t>
        </r>
        <r>
          <rPr>
            <sz val="9"/>
            <color indexed="81"/>
            <rFont val="돋움"/>
            <family val="3"/>
            <charset val="129"/>
          </rPr>
          <t>근로계약기간을</t>
        </r>
        <r>
          <rPr>
            <sz val="9"/>
            <color indexed="81"/>
            <rFont val="Tahoma"/>
            <family val="2"/>
          </rPr>
          <t xml:space="preserve"> </t>
        </r>
        <r>
          <rPr>
            <sz val="9"/>
            <color indexed="81"/>
            <rFont val="돋움"/>
            <family val="3"/>
            <charset val="129"/>
          </rPr>
          <t>적습니다</t>
        </r>
        <r>
          <rPr>
            <sz val="9"/>
            <color indexed="81"/>
            <rFont val="Tahoma"/>
            <family val="2"/>
          </rPr>
          <t xml:space="preserve">. </t>
        </r>
      </text>
    </comment>
    <comment ref="X15" authorId="1" shapeId="0" xr:uid="{00000000-0006-0000-1A00-000004000000}">
      <text>
        <r>
          <rPr>
            <b/>
            <sz val="9"/>
            <color indexed="81"/>
            <rFont val="Tahoma"/>
            <family val="2"/>
          </rPr>
          <t>KJH:</t>
        </r>
        <r>
          <rPr>
            <sz val="9"/>
            <color indexed="81"/>
            <rFont val="Tahoma"/>
            <family val="2"/>
          </rPr>
          <t xml:space="preserve">
</t>
        </r>
        <r>
          <rPr>
            <sz val="9"/>
            <color indexed="81"/>
            <rFont val="돋움"/>
            <family val="3"/>
            <charset val="129"/>
          </rPr>
          <t>해당월의</t>
        </r>
        <r>
          <rPr>
            <sz val="9"/>
            <color indexed="81"/>
            <rFont val="Tahoma"/>
            <family val="2"/>
          </rPr>
          <t xml:space="preserve"> </t>
        </r>
        <r>
          <rPr>
            <sz val="9"/>
            <color indexed="81"/>
            <rFont val="돋움"/>
            <family val="3"/>
            <charset val="129"/>
          </rPr>
          <t>관공서</t>
        </r>
        <r>
          <rPr>
            <sz val="9"/>
            <color indexed="81"/>
            <rFont val="Tahoma"/>
            <family val="2"/>
          </rPr>
          <t xml:space="preserve"> </t>
        </r>
        <r>
          <rPr>
            <sz val="9"/>
            <color indexed="81"/>
            <rFont val="돋움"/>
            <family val="3"/>
            <charset val="129"/>
          </rPr>
          <t>공휴일</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휴일근로일수에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매달</t>
        </r>
        <r>
          <rPr>
            <sz val="9"/>
            <color indexed="81"/>
            <rFont val="Tahoma"/>
            <family val="2"/>
          </rPr>
          <t xml:space="preserve"> </t>
        </r>
        <r>
          <rPr>
            <sz val="9"/>
            <color indexed="81"/>
            <rFont val="돋움"/>
            <family val="3"/>
            <charset val="129"/>
          </rPr>
          <t>시급이</t>
        </r>
        <r>
          <rPr>
            <sz val="9"/>
            <color indexed="81"/>
            <rFont val="Tahoma"/>
            <family val="2"/>
          </rPr>
          <t xml:space="preserve"> </t>
        </r>
        <r>
          <rPr>
            <sz val="9"/>
            <color indexed="81"/>
            <rFont val="돋움"/>
            <family val="3"/>
            <charset val="129"/>
          </rPr>
          <t>달라질</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있다는</t>
        </r>
        <r>
          <rPr>
            <sz val="9"/>
            <color indexed="81"/>
            <rFont val="Tahoma"/>
            <family val="2"/>
          </rPr>
          <t xml:space="preserve"> </t>
        </r>
        <r>
          <rPr>
            <sz val="9"/>
            <color indexed="81"/>
            <rFont val="돋움"/>
            <family val="3"/>
            <charset val="129"/>
          </rPr>
          <t>점</t>
        </r>
        <r>
          <rPr>
            <sz val="9"/>
            <color indexed="81"/>
            <rFont val="Tahoma"/>
            <family val="2"/>
          </rPr>
          <t xml:space="preserve">, </t>
        </r>
        <r>
          <rPr>
            <sz val="9"/>
            <color indexed="81"/>
            <rFont val="돋움"/>
            <family val="3"/>
            <charset val="129"/>
          </rPr>
          <t>유의하시기</t>
        </r>
        <r>
          <rPr>
            <sz val="9"/>
            <color indexed="81"/>
            <rFont val="Tahoma"/>
            <family val="2"/>
          </rPr>
          <t xml:space="preserve"> </t>
        </r>
        <r>
          <rPr>
            <sz val="9"/>
            <color indexed="81"/>
            <rFont val="돋움"/>
            <family val="3"/>
            <charset val="129"/>
          </rPr>
          <t>바랍니다</t>
        </r>
        <r>
          <rPr>
            <sz val="9"/>
            <color indexed="81"/>
            <rFont val="Tahoma"/>
            <family val="2"/>
          </rPr>
          <t xml:space="preserve">. </t>
        </r>
      </text>
    </comment>
    <comment ref="AI23" authorId="2" shapeId="0" xr:uid="{00000000-0006-0000-1A00-000005000000}">
      <text>
        <r>
          <rPr>
            <b/>
            <sz val="9"/>
            <color indexed="81"/>
            <rFont val="Tahoma"/>
            <family val="2"/>
          </rPr>
          <t>IBR:</t>
        </r>
        <r>
          <rPr>
            <sz val="9"/>
            <color indexed="81"/>
            <rFont val="Tahoma"/>
            <family val="2"/>
          </rPr>
          <t xml:space="preserve">
</t>
        </r>
        <r>
          <rPr>
            <sz val="11"/>
            <color indexed="81"/>
            <rFont val="돋움"/>
            <family val="3"/>
            <charset val="129"/>
          </rPr>
          <t>일당액을</t>
        </r>
        <r>
          <rPr>
            <sz val="11"/>
            <color indexed="81"/>
            <rFont val="Tahoma"/>
            <family val="2"/>
          </rPr>
          <t xml:space="preserve"> </t>
        </r>
        <r>
          <rPr>
            <sz val="11"/>
            <color indexed="81"/>
            <rFont val="돋움"/>
            <family val="3"/>
            <charset val="129"/>
          </rPr>
          <t>적습니다</t>
        </r>
        <r>
          <rPr>
            <sz val="11"/>
            <color indexed="81"/>
            <rFont val="Tahoma"/>
            <family val="2"/>
          </rPr>
          <t>.</t>
        </r>
      </text>
    </comment>
    <comment ref="M28" authorId="1" shapeId="0" xr:uid="{00000000-0006-0000-1A00-000006000000}">
      <text>
        <r>
          <rPr>
            <b/>
            <sz val="9"/>
            <color indexed="81"/>
            <rFont val="Tahoma"/>
            <family val="2"/>
          </rPr>
          <t>KJH:</t>
        </r>
        <r>
          <rPr>
            <sz val="9"/>
            <color indexed="81"/>
            <rFont val="Tahoma"/>
            <family val="2"/>
          </rPr>
          <t xml:space="preserve">
</t>
        </r>
        <r>
          <rPr>
            <sz val="9"/>
            <color indexed="81"/>
            <rFont val="돋움"/>
            <family val="3"/>
            <charset val="129"/>
          </rPr>
          <t>해당월의</t>
        </r>
        <r>
          <rPr>
            <sz val="9"/>
            <color indexed="81"/>
            <rFont val="Tahoma"/>
            <family val="2"/>
          </rPr>
          <t xml:space="preserve"> </t>
        </r>
        <r>
          <rPr>
            <sz val="9"/>
            <color indexed="81"/>
            <rFont val="돋움"/>
            <family val="3"/>
            <charset val="129"/>
          </rPr>
          <t>국공휴일에</t>
        </r>
        <r>
          <rPr>
            <sz val="9"/>
            <color indexed="81"/>
            <rFont val="Tahoma"/>
            <family val="2"/>
          </rPr>
          <t xml:space="preserve"> </t>
        </r>
        <r>
          <rPr>
            <sz val="9"/>
            <color indexed="81"/>
            <rFont val="돋움"/>
            <family val="3"/>
            <charset val="129"/>
          </rPr>
          <t>근무할</t>
        </r>
        <r>
          <rPr>
            <sz val="9"/>
            <color indexed="81"/>
            <rFont val="Tahoma"/>
            <family val="2"/>
          </rPr>
          <t xml:space="preserve"> </t>
        </r>
        <r>
          <rPr>
            <sz val="9"/>
            <color indexed="81"/>
            <rFont val="돋움"/>
            <family val="3"/>
            <charset val="129"/>
          </rPr>
          <t>일수를</t>
        </r>
        <r>
          <rPr>
            <sz val="9"/>
            <color indexed="81"/>
            <rFont val="Tahoma"/>
            <family val="2"/>
          </rPr>
          <t xml:space="preserve"> </t>
        </r>
        <r>
          <rPr>
            <sz val="9"/>
            <color indexed="81"/>
            <rFont val="돋움"/>
            <family val="3"/>
            <charset val="129"/>
          </rPr>
          <t>적습니다</t>
        </r>
        <r>
          <rPr>
            <sz val="9"/>
            <color indexed="81"/>
            <rFont val="Tahoma"/>
            <family val="2"/>
          </rPr>
          <t>.
(</t>
        </r>
        <r>
          <rPr>
            <sz val="9"/>
            <color indexed="81"/>
            <rFont val="돋움"/>
            <family val="3"/>
            <charset val="129"/>
          </rPr>
          <t>예</t>
        </r>
        <r>
          <rPr>
            <sz val="9"/>
            <color indexed="81"/>
            <rFont val="Tahoma"/>
            <family val="2"/>
          </rPr>
          <t>) 2022</t>
        </r>
        <r>
          <rPr>
            <sz val="9"/>
            <color indexed="81"/>
            <rFont val="돋움"/>
            <family val="3"/>
            <charset val="129"/>
          </rPr>
          <t>년</t>
        </r>
        <r>
          <rPr>
            <sz val="9"/>
            <color indexed="81"/>
            <rFont val="Tahoma"/>
            <family val="2"/>
          </rPr>
          <t xml:space="preserve"> 2</t>
        </r>
        <r>
          <rPr>
            <sz val="9"/>
            <color indexed="81"/>
            <rFont val="돋움"/>
            <family val="3"/>
            <charset val="129"/>
          </rPr>
          <t>월의</t>
        </r>
        <r>
          <rPr>
            <sz val="9"/>
            <color indexed="81"/>
            <rFont val="Tahoma"/>
            <family val="2"/>
          </rPr>
          <t xml:space="preserve"> </t>
        </r>
        <r>
          <rPr>
            <sz val="9"/>
            <color indexed="81"/>
            <rFont val="돋움"/>
            <family val="3"/>
            <charset val="129"/>
          </rPr>
          <t>관공서</t>
        </r>
        <r>
          <rPr>
            <sz val="9"/>
            <color indexed="81"/>
            <rFont val="Tahoma"/>
            <family val="2"/>
          </rPr>
          <t xml:space="preserve"> </t>
        </r>
        <r>
          <rPr>
            <sz val="9"/>
            <color indexed="81"/>
            <rFont val="돋움"/>
            <family val="3"/>
            <charset val="129"/>
          </rPr>
          <t>공휴일</t>
        </r>
        <r>
          <rPr>
            <sz val="9"/>
            <color indexed="81"/>
            <rFont val="Tahoma"/>
            <family val="2"/>
          </rPr>
          <t xml:space="preserve"> 2</t>
        </r>
        <r>
          <rPr>
            <sz val="9"/>
            <color indexed="81"/>
            <rFont val="돋움"/>
            <family val="3"/>
            <charset val="129"/>
          </rPr>
          <t>일</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귀</t>
        </r>
        <r>
          <rPr>
            <sz val="9"/>
            <color indexed="81"/>
            <rFont val="Tahoma"/>
            <family val="2"/>
          </rPr>
          <t xml:space="preserve"> </t>
        </r>
        <r>
          <rPr>
            <sz val="9"/>
            <color indexed="81"/>
            <rFont val="돋움"/>
            <family val="3"/>
            <charset val="129"/>
          </rPr>
          <t>사가</t>
        </r>
        <r>
          <rPr>
            <sz val="9"/>
            <color indexed="81"/>
            <rFont val="Tahoma"/>
            <family val="2"/>
          </rPr>
          <t xml:space="preserve"> 1</t>
        </r>
        <r>
          <rPr>
            <sz val="9"/>
            <color indexed="81"/>
            <rFont val="돋움"/>
            <family val="3"/>
            <charset val="129"/>
          </rPr>
          <t>일만</t>
        </r>
        <r>
          <rPr>
            <sz val="9"/>
            <color indexed="81"/>
            <rFont val="Tahoma"/>
            <family val="2"/>
          </rPr>
          <t xml:space="preserve"> </t>
        </r>
        <r>
          <rPr>
            <sz val="9"/>
            <color indexed="81"/>
            <rFont val="돋움"/>
            <family val="3"/>
            <charset val="129"/>
          </rPr>
          <t>근무하는</t>
        </r>
        <r>
          <rPr>
            <sz val="9"/>
            <color indexed="81"/>
            <rFont val="Tahoma"/>
            <family val="2"/>
          </rPr>
          <t xml:space="preserve"> </t>
        </r>
        <r>
          <rPr>
            <sz val="9"/>
            <color indexed="81"/>
            <rFont val="돋움"/>
            <family val="3"/>
            <charset val="129"/>
          </rPr>
          <t>경우</t>
        </r>
        <r>
          <rPr>
            <sz val="9"/>
            <color indexed="81"/>
            <rFont val="Tahoma"/>
            <family val="2"/>
          </rPr>
          <t xml:space="preserve"> 1</t>
        </r>
        <r>
          <rPr>
            <sz val="9"/>
            <color indexed="81"/>
            <rFont val="돋움"/>
            <family val="3"/>
            <charset val="129"/>
          </rPr>
          <t>일을</t>
        </r>
        <r>
          <rPr>
            <sz val="9"/>
            <color indexed="81"/>
            <rFont val="Tahoma"/>
            <family val="2"/>
          </rPr>
          <t xml:space="preserve"> </t>
        </r>
        <r>
          <rPr>
            <sz val="9"/>
            <color indexed="81"/>
            <rFont val="돋움"/>
            <family val="3"/>
            <charset val="129"/>
          </rPr>
          <t>입력함</t>
        </r>
        <r>
          <rPr>
            <sz val="9"/>
            <color indexed="81"/>
            <rFont val="Tahoma"/>
            <family val="2"/>
          </rPr>
          <t>.
(</t>
        </r>
        <r>
          <rPr>
            <sz val="9"/>
            <color indexed="81"/>
            <rFont val="돋움"/>
            <family val="3"/>
            <charset val="129"/>
          </rPr>
          <t>예</t>
        </r>
        <r>
          <rPr>
            <sz val="9"/>
            <color indexed="81"/>
            <rFont val="Tahoma"/>
            <family val="2"/>
          </rPr>
          <t xml:space="preserve">) </t>
        </r>
        <r>
          <rPr>
            <sz val="9"/>
            <color indexed="81"/>
            <rFont val="돋움"/>
            <family val="3"/>
            <charset val="129"/>
          </rPr>
          <t>관공서</t>
        </r>
        <r>
          <rPr>
            <sz val="9"/>
            <color indexed="81"/>
            <rFont val="Tahoma"/>
            <family val="2"/>
          </rPr>
          <t xml:space="preserve"> </t>
        </r>
        <r>
          <rPr>
            <sz val="9"/>
            <color indexed="81"/>
            <rFont val="돋움"/>
            <family val="3"/>
            <charset val="129"/>
          </rPr>
          <t>공휴일에</t>
        </r>
        <r>
          <rPr>
            <sz val="9"/>
            <color indexed="81"/>
            <rFont val="Tahoma"/>
            <family val="2"/>
          </rPr>
          <t xml:space="preserve"> </t>
        </r>
        <r>
          <rPr>
            <sz val="9"/>
            <color indexed="81"/>
            <rFont val="돋움"/>
            <family val="3"/>
            <charset val="129"/>
          </rPr>
          <t>근무를</t>
        </r>
        <r>
          <rPr>
            <sz val="9"/>
            <color indexed="81"/>
            <rFont val="Tahoma"/>
            <family val="2"/>
          </rPr>
          <t xml:space="preserve"> </t>
        </r>
        <r>
          <rPr>
            <sz val="9"/>
            <color indexed="81"/>
            <rFont val="돋움"/>
            <family val="3"/>
            <charset val="129"/>
          </rPr>
          <t>하지</t>
        </r>
        <r>
          <rPr>
            <sz val="9"/>
            <color indexed="81"/>
            <rFont val="Tahoma"/>
            <family val="2"/>
          </rPr>
          <t xml:space="preserve"> </t>
        </r>
        <r>
          <rPr>
            <sz val="9"/>
            <color indexed="81"/>
            <rFont val="돋움"/>
            <family val="3"/>
            <charset val="129"/>
          </rPr>
          <t>않는</t>
        </r>
        <r>
          <rPr>
            <sz val="9"/>
            <color indexed="81"/>
            <rFont val="Tahoma"/>
            <family val="2"/>
          </rPr>
          <t xml:space="preserve"> </t>
        </r>
        <r>
          <rPr>
            <sz val="9"/>
            <color indexed="81"/>
            <rFont val="돋움"/>
            <family val="3"/>
            <charset val="129"/>
          </rPr>
          <t>경우에는</t>
        </r>
        <r>
          <rPr>
            <sz val="9"/>
            <color indexed="81"/>
            <rFont val="Tahoma"/>
            <family val="2"/>
          </rPr>
          <t xml:space="preserve"> 0</t>
        </r>
        <r>
          <rPr>
            <sz val="9"/>
            <color indexed="81"/>
            <rFont val="돋움"/>
            <family val="3"/>
            <charset val="129"/>
          </rPr>
          <t>을</t>
        </r>
        <r>
          <rPr>
            <sz val="9"/>
            <color indexed="81"/>
            <rFont val="Tahoma"/>
            <family val="2"/>
          </rPr>
          <t xml:space="preserve"> </t>
        </r>
        <r>
          <rPr>
            <sz val="9"/>
            <color indexed="81"/>
            <rFont val="돋움"/>
            <family val="3"/>
            <charset val="129"/>
          </rPr>
          <t>입력함</t>
        </r>
        <r>
          <rPr>
            <sz val="9"/>
            <color indexed="81"/>
            <rFont val="Tahoma"/>
            <family val="2"/>
          </rPr>
          <t>.</t>
        </r>
      </text>
    </comment>
    <comment ref="M29" authorId="1" shapeId="0" xr:uid="{00000000-0006-0000-1A00-000007000000}">
      <text>
        <r>
          <rPr>
            <b/>
            <sz val="9"/>
            <color indexed="81"/>
            <rFont val="Tahoma"/>
            <family val="2"/>
          </rPr>
          <t>KJH:</t>
        </r>
        <r>
          <rPr>
            <sz val="9"/>
            <color indexed="81"/>
            <rFont val="Tahoma"/>
            <family val="2"/>
          </rPr>
          <t xml:space="preserve">
</t>
        </r>
        <r>
          <rPr>
            <sz val="9"/>
            <color indexed="81"/>
            <rFont val="돋움"/>
            <family val="3"/>
            <charset val="129"/>
          </rPr>
          <t>해당월의</t>
        </r>
        <r>
          <rPr>
            <sz val="9"/>
            <color indexed="81"/>
            <rFont val="Tahoma"/>
            <family val="2"/>
          </rPr>
          <t xml:space="preserve"> </t>
        </r>
        <r>
          <rPr>
            <sz val="9"/>
            <color indexed="81"/>
            <rFont val="돋움"/>
            <family val="3"/>
            <charset val="129"/>
          </rPr>
          <t>관공서</t>
        </r>
        <r>
          <rPr>
            <sz val="9"/>
            <color indexed="81"/>
            <rFont val="Tahoma"/>
            <family val="2"/>
          </rPr>
          <t xml:space="preserve"> </t>
        </r>
        <r>
          <rPr>
            <sz val="9"/>
            <color indexed="81"/>
            <rFont val="돋움"/>
            <family val="3"/>
            <charset val="129"/>
          </rPr>
          <t>공휴일의</t>
        </r>
        <r>
          <rPr>
            <sz val="9"/>
            <color indexed="81"/>
            <rFont val="Tahoma"/>
            <family val="2"/>
          </rPr>
          <t xml:space="preserve"> </t>
        </r>
        <r>
          <rPr>
            <sz val="9"/>
            <color indexed="81"/>
            <rFont val="돋움"/>
            <family val="3"/>
            <charset val="129"/>
          </rPr>
          <t>총</t>
        </r>
        <r>
          <rPr>
            <sz val="9"/>
            <color indexed="81"/>
            <rFont val="Tahoma"/>
            <family val="2"/>
          </rPr>
          <t xml:space="preserve"> </t>
        </r>
        <r>
          <rPr>
            <sz val="9"/>
            <color indexed="81"/>
            <rFont val="돋움"/>
            <family val="3"/>
            <charset val="129"/>
          </rPr>
          <t>일수를</t>
        </r>
        <r>
          <rPr>
            <sz val="9"/>
            <color indexed="81"/>
            <rFont val="Tahoma"/>
            <family val="2"/>
          </rPr>
          <t xml:space="preserve"> </t>
        </r>
        <r>
          <rPr>
            <sz val="9"/>
            <color indexed="81"/>
            <rFont val="돋움"/>
            <family val="3"/>
            <charset val="129"/>
          </rPr>
          <t>적습니다</t>
        </r>
        <r>
          <rPr>
            <sz val="9"/>
            <color indexed="81"/>
            <rFont val="Tahoma"/>
            <family val="2"/>
          </rPr>
          <t>(2022</t>
        </r>
        <r>
          <rPr>
            <sz val="9"/>
            <color indexed="81"/>
            <rFont val="돋움"/>
            <family val="3"/>
            <charset val="129"/>
          </rPr>
          <t>년</t>
        </r>
        <r>
          <rPr>
            <sz val="9"/>
            <color indexed="81"/>
            <rFont val="Tahoma"/>
            <family val="2"/>
          </rPr>
          <t xml:space="preserve"> </t>
        </r>
        <r>
          <rPr>
            <sz val="9"/>
            <color indexed="81"/>
            <rFont val="돋움"/>
            <family val="3"/>
            <charset val="129"/>
          </rPr>
          <t>관공서</t>
        </r>
        <r>
          <rPr>
            <sz val="9"/>
            <color indexed="81"/>
            <rFont val="Tahoma"/>
            <family val="2"/>
          </rPr>
          <t xml:space="preserve"> </t>
        </r>
        <r>
          <rPr>
            <sz val="9"/>
            <color indexed="81"/>
            <rFont val="돋움"/>
            <family val="3"/>
            <charset val="129"/>
          </rPr>
          <t>공휴일</t>
        </r>
        <r>
          <rPr>
            <sz val="9"/>
            <color indexed="81"/>
            <rFont val="Tahoma"/>
            <family val="2"/>
          </rPr>
          <t xml:space="preserve"> </t>
        </r>
        <r>
          <rPr>
            <sz val="9"/>
            <color indexed="81"/>
            <rFont val="돋움"/>
            <family val="3"/>
            <charset val="129"/>
          </rPr>
          <t>수</t>
        </r>
        <r>
          <rPr>
            <sz val="9"/>
            <color indexed="81"/>
            <rFont val="Tahoma"/>
            <family val="2"/>
          </rPr>
          <t xml:space="preserve"> </t>
        </r>
        <r>
          <rPr>
            <sz val="9"/>
            <color indexed="81"/>
            <rFont val="돋움"/>
            <family val="3"/>
            <charset val="129"/>
          </rPr>
          <t>참고</t>
        </r>
        <r>
          <rPr>
            <sz val="9"/>
            <color indexed="81"/>
            <rFont val="Tahoma"/>
            <family val="2"/>
          </rPr>
          <t>).
(</t>
        </r>
        <r>
          <rPr>
            <sz val="9"/>
            <color indexed="81"/>
            <rFont val="돋움"/>
            <family val="3"/>
            <charset val="129"/>
          </rPr>
          <t>예</t>
        </r>
        <r>
          <rPr>
            <sz val="9"/>
            <color indexed="81"/>
            <rFont val="Tahoma"/>
            <family val="2"/>
          </rPr>
          <t>) 2022</t>
        </r>
        <r>
          <rPr>
            <sz val="9"/>
            <color indexed="81"/>
            <rFont val="돋움"/>
            <family val="3"/>
            <charset val="129"/>
          </rPr>
          <t>년</t>
        </r>
        <r>
          <rPr>
            <sz val="9"/>
            <color indexed="81"/>
            <rFont val="Tahoma"/>
            <family val="2"/>
          </rPr>
          <t>2</t>
        </r>
        <r>
          <rPr>
            <sz val="9"/>
            <color indexed="81"/>
            <rFont val="돋움"/>
            <family val="3"/>
            <charset val="129"/>
          </rPr>
          <t>월에</t>
        </r>
        <r>
          <rPr>
            <sz val="9"/>
            <color indexed="81"/>
            <rFont val="Tahoma"/>
            <family val="2"/>
          </rPr>
          <t xml:space="preserve"> </t>
        </r>
        <r>
          <rPr>
            <sz val="9"/>
            <color indexed="81"/>
            <rFont val="돋움"/>
            <family val="3"/>
            <charset val="129"/>
          </rPr>
          <t>근로계약서를</t>
        </r>
        <r>
          <rPr>
            <sz val="9"/>
            <color indexed="81"/>
            <rFont val="Tahoma"/>
            <family val="2"/>
          </rPr>
          <t xml:space="preserve"> </t>
        </r>
        <r>
          <rPr>
            <sz val="9"/>
            <color indexed="81"/>
            <rFont val="돋움"/>
            <family val="3"/>
            <charset val="129"/>
          </rPr>
          <t>작성하는</t>
        </r>
        <r>
          <rPr>
            <sz val="9"/>
            <color indexed="81"/>
            <rFont val="Tahoma"/>
            <family val="2"/>
          </rPr>
          <t xml:space="preserve"> </t>
        </r>
        <r>
          <rPr>
            <sz val="9"/>
            <color indexed="81"/>
            <rFont val="돋움"/>
            <family val="3"/>
            <charset val="129"/>
          </rPr>
          <t>경우</t>
        </r>
        <r>
          <rPr>
            <sz val="9"/>
            <color indexed="81"/>
            <rFont val="Tahoma"/>
            <family val="2"/>
          </rPr>
          <t xml:space="preserve"> 2</t>
        </r>
        <r>
          <rPr>
            <sz val="9"/>
            <color indexed="81"/>
            <rFont val="돋움"/>
            <family val="3"/>
            <charset val="129"/>
          </rPr>
          <t>일을</t>
        </r>
        <r>
          <rPr>
            <sz val="9"/>
            <color indexed="81"/>
            <rFont val="Tahoma"/>
            <family val="2"/>
          </rPr>
          <t xml:space="preserve"> </t>
        </r>
        <r>
          <rPr>
            <sz val="9"/>
            <color indexed="81"/>
            <rFont val="돋움"/>
            <family val="3"/>
            <charset val="129"/>
          </rPr>
          <t>입력함</t>
        </r>
      </text>
    </comment>
  </commentList>
</comments>
</file>

<file path=xl/sharedStrings.xml><?xml version="1.0" encoding="utf-8"?>
<sst xmlns="http://schemas.openxmlformats.org/spreadsheetml/2006/main" count="2310" uniqueCount="1250">
  <si>
    <t>성명</t>
  </si>
  <si>
    <t>직종</t>
  </si>
  <si>
    <t>주민등록번호</t>
  </si>
  <si>
    <t>주소</t>
  </si>
  <si>
    <t>연락처</t>
  </si>
  <si>
    <t>은행코드</t>
  </si>
  <si>
    <t>은행</t>
  </si>
  <si>
    <t>계좌번호</t>
  </si>
  <si>
    <t>예금주</t>
  </si>
  <si>
    <t>소 득 세</t>
    <phoneticPr fontId="4" type="noConversion"/>
  </si>
  <si>
    <t>번 호</t>
    <phoneticPr fontId="4" type="noConversion"/>
  </si>
  <si>
    <t>성 명</t>
    <phoneticPr fontId="4" type="noConversion"/>
  </si>
  <si>
    <t>출력일수</t>
    <phoneticPr fontId="4" type="noConversion"/>
  </si>
  <si>
    <t>지 급 총 액</t>
    <phoneticPr fontId="4" type="noConversion"/>
  </si>
  <si>
    <t>건강보험</t>
    <phoneticPr fontId="4" type="noConversion"/>
  </si>
  <si>
    <t>국민연금</t>
    <phoneticPr fontId="4" type="noConversion"/>
  </si>
  <si>
    <t>공제소계</t>
    <phoneticPr fontId="4" type="noConversion"/>
  </si>
  <si>
    <t>차감 지급액</t>
    <phoneticPr fontId="4" type="noConversion"/>
  </si>
  <si>
    <t>팀 명</t>
    <phoneticPr fontId="4" type="noConversion"/>
  </si>
  <si>
    <t>출력공수</t>
    <phoneticPr fontId="4" type="noConversion"/>
  </si>
  <si>
    <t>노인장기</t>
    <phoneticPr fontId="4" type="noConversion"/>
  </si>
  <si>
    <t>고용보험</t>
    <phoneticPr fontId="4" type="noConversion"/>
  </si>
  <si>
    <t>기타</t>
    <phoneticPr fontId="4" type="noConversion"/>
  </si>
  <si>
    <t>주 민 번 호</t>
    <phoneticPr fontId="4" type="noConversion"/>
  </si>
  <si>
    <t/>
  </si>
  <si>
    <t>위 임 장</t>
    <phoneticPr fontId="10" type="noConversion"/>
  </si>
  <si>
    <t>수 임 인</t>
    <phoneticPr fontId="10" type="noConversion"/>
  </si>
  <si>
    <t>성 명</t>
    <phoneticPr fontId="10" type="noConversion"/>
  </si>
  <si>
    <t>주 민 번 호</t>
    <phoneticPr fontId="10" type="noConversion"/>
  </si>
  <si>
    <t>주 소</t>
    <phoneticPr fontId="10" type="noConversion"/>
  </si>
  <si>
    <t>연 락 처</t>
    <phoneticPr fontId="10" type="noConversion"/>
  </si>
  <si>
    <t>계 좌 번 호</t>
    <phoneticPr fontId="10" type="noConversion"/>
  </si>
  <si>
    <t>청구금액</t>
    <phoneticPr fontId="10" type="noConversion"/>
  </si>
  <si>
    <t>서 명</t>
    <phoneticPr fontId="10" type="noConversion"/>
  </si>
  <si>
    <t>청 구 금 액</t>
    <phoneticPr fontId="4" type="noConversion"/>
  </si>
  <si>
    <t>건강보험                  노인장기</t>
    <phoneticPr fontId="4" type="noConversion"/>
  </si>
  <si>
    <t>국민연금                       고용보험</t>
    <phoneticPr fontId="4" type="noConversion"/>
  </si>
  <si>
    <t>실 지급액</t>
    <phoneticPr fontId="4" type="noConversion"/>
  </si>
  <si>
    <t>주 소</t>
    <phoneticPr fontId="4" type="noConversion"/>
  </si>
  <si>
    <t>은 행 명</t>
    <phoneticPr fontId="4" type="noConversion"/>
  </si>
  <si>
    <t>계 좌 번 호</t>
    <phoneticPr fontId="4" type="noConversion"/>
  </si>
  <si>
    <t>연 락 처</t>
    <phoneticPr fontId="4" type="noConversion"/>
  </si>
  <si>
    <t>직 종</t>
    <phoneticPr fontId="4" type="noConversion"/>
  </si>
  <si>
    <t>기   간</t>
    <phoneticPr fontId="4" type="noConversion"/>
  </si>
  <si>
    <t>일급</t>
    <phoneticPr fontId="4" type="noConversion"/>
  </si>
  <si>
    <t>요율1</t>
    <phoneticPr fontId="4" type="noConversion"/>
  </si>
  <si>
    <t>요율2</t>
    <phoneticPr fontId="4" type="noConversion"/>
  </si>
  <si>
    <t>비과세 기준액</t>
    <phoneticPr fontId="4" type="noConversion"/>
  </si>
  <si>
    <t>갑 근 세</t>
    <phoneticPr fontId="4" type="noConversion"/>
  </si>
  <si>
    <t>주 민 세</t>
    <phoneticPr fontId="4" type="noConversion"/>
  </si>
  <si>
    <t>연금·건강보험 적용</t>
    <phoneticPr fontId="4" type="noConversion"/>
  </si>
  <si>
    <t>공제계</t>
    <phoneticPr fontId="4" type="noConversion"/>
  </si>
  <si>
    <t>영수인</t>
    <phoneticPr fontId="4" type="noConversion"/>
  </si>
  <si>
    <t>생년월일</t>
    <phoneticPr fontId="4" type="noConversion"/>
  </si>
  <si>
    <t>하한액</t>
    <phoneticPr fontId="4" type="noConversion"/>
  </si>
  <si>
    <t>상한액</t>
    <phoneticPr fontId="4" type="noConversion"/>
  </si>
  <si>
    <t>나 이</t>
    <phoneticPr fontId="4" type="noConversion"/>
  </si>
  <si>
    <t>선 택</t>
    <phoneticPr fontId="4" type="noConversion"/>
  </si>
  <si>
    <t>구 분</t>
    <phoneticPr fontId="4" type="noConversion"/>
  </si>
  <si>
    <t xml:space="preserve"> 일용 노무비 지급 명세서</t>
    <phoneticPr fontId="4" type="noConversion"/>
  </si>
  <si>
    <t>소 득 세</t>
  </si>
  <si>
    <t>지방소득세</t>
  </si>
  <si>
    <t>고용보험 만 65세이상 적용</t>
    <phoneticPr fontId="4" type="noConversion"/>
  </si>
  <si>
    <t>공사명</t>
    <phoneticPr fontId="4" type="noConversion"/>
  </si>
  <si>
    <t>원도급 회사</t>
    <phoneticPr fontId="4" type="noConversion"/>
  </si>
  <si>
    <t>하도급 회사</t>
    <phoneticPr fontId="4" type="noConversion"/>
  </si>
  <si>
    <t>청구 월</t>
    <phoneticPr fontId="4" type="noConversion"/>
  </si>
  <si>
    <t xml:space="preserve"> 분실,휭령,공문서 위조등을 포함한 모든 책임을 본인이 감수하며 민,형사상 처벌을 감수할것이며 어떠한 법률적</t>
    <phoneticPr fontId="4" type="noConversion"/>
  </si>
  <si>
    <t xml:space="preserve"> 책임도 이의를 제기치 않을 것을 서명 날인 합니다</t>
    <phoneticPr fontId="4" type="noConversion"/>
  </si>
  <si>
    <t>(주)하도급 회사</t>
    <phoneticPr fontId="4" type="noConversion"/>
  </si>
  <si>
    <t>~</t>
    <phoneticPr fontId="4" type="noConversion"/>
  </si>
  <si>
    <t>명칭변경 시 수정</t>
    <phoneticPr fontId="4" type="noConversion"/>
  </si>
  <si>
    <t>오늘기준</t>
    <phoneticPr fontId="4" type="noConversion"/>
  </si>
  <si>
    <t>고용보험 외국인 적용</t>
    <phoneticPr fontId="4" type="noConversion"/>
  </si>
  <si>
    <t>X</t>
  </si>
  <si>
    <t>기준날짜</t>
    <phoneticPr fontId="4" type="noConversion"/>
  </si>
  <si>
    <t>○</t>
    <phoneticPr fontId="4" type="noConversion"/>
  </si>
  <si>
    <t>우리은행</t>
  </si>
  <si>
    <t>신한은행</t>
  </si>
  <si>
    <t>우체국</t>
  </si>
  <si>
    <t>목공</t>
  </si>
  <si>
    <t>대구은행</t>
  </si>
  <si>
    <t>비계공</t>
  </si>
  <si>
    <t>벌목공</t>
  </si>
  <si>
    <t>발파공</t>
  </si>
  <si>
    <t>국민은행</t>
  </si>
  <si>
    <t>예금주검증</t>
    <phoneticPr fontId="4" type="noConversion"/>
  </si>
  <si>
    <t>산림조합중앙회</t>
  </si>
  <si>
    <t>새마을금고</t>
  </si>
  <si>
    <t>신협중앙회</t>
  </si>
  <si>
    <t>카카오뱅크</t>
  </si>
  <si>
    <t>KEB하나은행</t>
  </si>
  <si>
    <t>농협중앙회</t>
  </si>
  <si>
    <t>농협회원조합</t>
  </si>
  <si>
    <t>보험구분</t>
    <phoneticPr fontId="40" type="noConversion"/>
  </si>
  <si>
    <t>성명</t>
    <phoneticPr fontId="38" type="noConversion"/>
  </si>
  <si>
    <t>주민(외국인)등록번호</t>
    <phoneticPr fontId="40" type="noConversion"/>
  </si>
  <si>
    <t>신고월</t>
    <phoneticPr fontId="38" type="noConversion"/>
  </si>
  <si>
    <t>국적코드</t>
    <phoneticPr fontId="38" type="noConversion"/>
  </si>
  <si>
    <t>체류자격코드</t>
    <phoneticPr fontId="38" type="noConversion"/>
  </si>
  <si>
    <t>전화(지역번호)</t>
    <phoneticPr fontId="40" type="noConversion"/>
  </si>
  <si>
    <t>전화(국번)</t>
    <phoneticPr fontId="40" type="noConversion"/>
  </si>
  <si>
    <t>전화(뒷번호)</t>
    <phoneticPr fontId="40" type="noConversion"/>
  </si>
  <si>
    <t>직종코드</t>
    <phoneticPr fontId="38" type="noConversion"/>
  </si>
  <si>
    <t>1일</t>
    <phoneticPr fontId="38" type="noConversion"/>
  </si>
  <si>
    <t>2일</t>
    <phoneticPr fontId="38" type="noConversion"/>
  </si>
  <si>
    <t>3일</t>
    <phoneticPr fontId="38" type="noConversion"/>
  </si>
  <si>
    <t>4일</t>
  </si>
  <si>
    <t>5일</t>
  </si>
  <si>
    <t>6일</t>
  </si>
  <si>
    <t>7일</t>
  </si>
  <si>
    <t>8일</t>
  </si>
  <si>
    <t>9일</t>
  </si>
  <si>
    <t>10일</t>
  </si>
  <si>
    <t>11일</t>
  </si>
  <si>
    <t>12일</t>
  </si>
  <si>
    <t>13일</t>
  </si>
  <si>
    <t>14일</t>
  </si>
  <si>
    <t>15일</t>
  </si>
  <si>
    <t>16일</t>
  </si>
  <si>
    <t>17일</t>
  </si>
  <si>
    <t>18일</t>
  </si>
  <si>
    <t>19일</t>
  </si>
  <si>
    <t>20일</t>
  </si>
  <si>
    <t>21일</t>
  </si>
  <si>
    <t>22일</t>
  </si>
  <si>
    <t>23일</t>
  </si>
  <si>
    <t>24일</t>
  </si>
  <si>
    <t>25일</t>
  </si>
  <si>
    <t>26일</t>
  </si>
  <si>
    <t>27일</t>
  </si>
  <si>
    <t>28일</t>
  </si>
  <si>
    <t>29일</t>
  </si>
  <si>
    <t>30일</t>
  </si>
  <si>
    <t>31일</t>
    <phoneticPr fontId="40" type="noConversion"/>
  </si>
  <si>
    <t>근로일수</t>
    <phoneticPr fontId="40" type="noConversion"/>
  </si>
  <si>
    <t>일평균
근로시간</t>
    <phoneticPr fontId="40" type="noConversion"/>
  </si>
  <si>
    <t>보수지급
기초일수</t>
    <phoneticPr fontId="40" type="noConversion"/>
  </si>
  <si>
    <t>보수총액
(과세소득)</t>
    <phoneticPr fontId="40" type="noConversion"/>
  </si>
  <si>
    <t>임금총액</t>
    <phoneticPr fontId="40" type="noConversion"/>
  </si>
  <si>
    <t>이직사유코드</t>
    <phoneticPr fontId="40" type="noConversion"/>
  </si>
  <si>
    <t>보험료부과구분
부호</t>
    <phoneticPr fontId="40" type="noConversion"/>
  </si>
  <si>
    <t>보험료부과구분
사유</t>
    <phoneticPr fontId="40" type="noConversion"/>
  </si>
  <si>
    <t>국세청
일용근로소득
신고여부</t>
    <phoneticPr fontId="40" type="noConversion"/>
  </si>
  <si>
    <t>지급월</t>
    <phoneticPr fontId="40" type="noConversion"/>
  </si>
  <si>
    <t>총지급액
(과세소득)</t>
    <phoneticPr fontId="40" type="noConversion"/>
  </si>
  <si>
    <t>비과세소득</t>
    <phoneticPr fontId="40" type="noConversion"/>
  </si>
  <si>
    <t>소득세</t>
    <phoneticPr fontId="40" type="noConversion"/>
  </si>
  <si>
    <t>지방소득세</t>
    <phoneticPr fontId="40" type="noConversion"/>
  </si>
  <si>
    <t>일자리
안정자금
신청여부</t>
    <phoneticPr fontId="40" type="noConversion"/>
  </si>
  <si>
    <t>706</t>
  </si>
  <si>
    <t>8</t>
  </si>
  <si>
    <t>기업은행</t>
  </si>
  <si>
    <t>가시설공</t>
  </si>
  <si>
    <t>T O T A L</t>
    <phoneticPr fontId="4" type="noConversion"/>
  </si>
  <si>
    <t>P.C제작공</t>
  </si>
  <si>
    <t>보통인부</t>
  </si>
  <si>
    <t>철근공</t>
  </si>
  <si>
    <t>은행명</t>
    <phoneticPr fontId="4" type="noConversion"/>
  </si>
  <si>
    <t>직종</t>
    <phoneticPr fontId="4" type="noConversion"/>
  </si>
  <si>
    <t>0081</t>
  </si>
  <si>
    <t>CPU시험사</t>
  </si>
  <si>
    <t>경남은행</t>
  </si>
  <si>
    <t>0039</t>
  </si>
  <si>
    <t>H/W설치사</t>
  </si>
  <si>
    <t>광주은행</t>
  </si>
  <si>
    <t>0034</t>
  </si>
  <si>
    <t>H/W시험사</t>
  </si>
  <si>
    <t>0004</t>
  </si>
  <si>
    <t>P.C설치공</t>
  </si>
  <si>
    <t>0003</t>
  </si>
  <si>
    <t>0011</t>
  </si>
  <si>
    <t>P.S공</t>
  </si>
  <si>
    <t>0012</t>
  </si>
  <si>
    <t>S/W시험사</t>
  </si>
  <si>
    <t>0031</t>
  </si>
  <si>
    <t>가구공</t>
  </si>
  <si>
    <t>부산은행</t>
  </si>
  <si>
    <t>0032</t>
  </si>
  <si>
    <t>가구목공</t>
  </si>
  <si>
    <t>0064</t>
  </si>
  <si>
    <t>가스용접공</t>
  </si>
  <si>
    <t>산업은행</t>
  </si>
  <si>
    <t>0002</t>
  </si>
  <si>
    <t>0045</t>
  </si>
  <si>
    <t>가시설철골공</t>
  </si>
  <si>
    <t>수협은행(회원조합)</t>
  </si>
  <si>
    <t>0007</t>
  </si>
  <si>
    <t>가위절단공</t>
  </si>
  <si>
    <t>0088</t>
  </si>
  <si>
    <t>갑판선원</t>
  </si>
  <si>
    <t>0048</t>
  </si>
  <si>
    <t>강판공</t>
  </si>
  <si>
    <t>0020</t>
  </si>
  <si>
    <t>갱부</t>
  </si>
  <si>
    <t>0071</t>
  </si>
  <si>
    <t>건설기계운전원</t>
  </si>
  <si>
    <t>전북은행</t>
  </si>
  <si>
    <t>0037</t>
  </si>
  <si>
    <t>건설기계조장</t>
  </si>
  <si>
    <t>제일은행</t>
  </si>
  <si>
    <t>0023</t>
  </si>
  <si>
    <t>건설안전공</t>
  </si>
  <si>
    <t>제주은행</t>
  </si>
  <si>
    <t>0035</t>
  </si>
  <si>
    <t>건축목공</t>
  </si>
  <si>
    <t>0090</t>
  </si>
  <si>
    <t>견출공</t>
  </si>
  <si>
    <t>케이뱅크</t>
  </si>
  <si>
    <t>0089</t>
  </si>
  <si>
    <t>경량기포공</t>
  </si>
  <si>
    <t>한국시티은행</t>
  </si>
  <si>
    <t>0027</t>
  </si>
  <si>
    <t>경량철골공</t>
  </si>
  <si>
    <t>경비</t>
  </si>
  <si>
    <t>계령공</t>
  </si>
  <si>
    <t>계장공</t>
  </si>
  <si>
    <t>계측공</t>
  </si>
  <si>
    <t>고압케이블전공</t>
  </si>
  <si>
    <t>골재쇄석공</t>
  </si>
  <si>
    <t>공구검사원</t>
  </si>
  <si>
    <t>관리자</t>
  </si>
  <si>
    <t>광케이블설치사</t>
  </si>
  <si>
    <t>광통신설치사</t>
  </si>
  <si>
    <t>구조물공</t>
  </si>
  <si>
    <t>굴삭기(운전원)</t>
  </si>
  <si>
    <t>굴착기(운전원)</t>
  </si>
  <si>
    <t>궤도공</t>
  </si>
  <si>
    <t>그라우팅공</t>
  </si>
  <si>
    <t>그레이더(운전원)</t>
  </si>
  <si>
    <t>금속쇠톱공</t>
  </si>
  <si>
    <t>기계계장공</t>
  </si>
  <si>
    <t>기계설계사</t>
  </si>
  <si>
    <t>기계설치공</t>
  </si>
  <si>
    <t>기계제도사</t>
  </si>
  <si>
    <t>기관선원</t>
  </si>
  <si>
    <t>기관장</t>
  </si>
  <si>
    <t>기술보조</t>
  </si>
  <si>
    <t>기와공</t>
  </si>
  <si>
    <t>기중기선원</t>
  </si>
  <si>
    <t>내선전공</t>
  </si>
  <si>
    <t>내장공</t>
  </si>
  <si>
    <t>내장목공</t>
  </si>
  <si>
    <t>내화벽돌공</t>
  </si>
  <si>
    <t>냉동수리공</t>
  </si>
  <si>
    <t>노즐공</t>
  </si>
  <si>
    <t>대리석공</t>
  </si>
  <si>
    <t>대장공</t>
  </si>
  <si>
    <t>덕트공</t>
  </si>
  <si>
    <t>덤프트럭(운전원)</t>
  </si>
  <si>
    <t>데크공</t>
  </si>
  <si>
    <t>도목수</t>
  </si>
  <si>
    <t>도배공</t>
  </si>
  <si>
    <t>도색공</t>
  </si>
  <si>
    <t>도우저(운전원)</t>
  </si>
  <si>
    <t>도장공</t>
  </si>
  <si>
    <t>도편수</t>
  </si>
  <si>
    <t>동발공</t>
  </si>
  <si>
    <t>드릴링공</t>
  </si>
  <si>
    <t>드잡이공</t>
  </si>
  <si>
    <t>드잡이공편수</t>
  </si>
  <si>
    <t>디워터링공</t>
  </si>
  <si>
    <t>라인마킹공</t>
  </si>
  <si>
    <t>락볼팅공</t>
  </si>
  <si>
    <t>로드헤다공</t>
  </si>
  <si>
    <t>로우더(운전원)</t>
  </si>
  <si>
    <t>롤러(운전원)</t>
  </si>
  <si>
    <t>루핑공</t>
  </si>
  <si>
    <t>리벳공</t>
  </si>
  <si>
    <t>마루판공</t>
  </si>
  <si>
    <t>마킹공</t>
  </si>
  <si>
    <t>모래분사공</t>
  </si>
  <si>
    <t>모형절단공</t>
  </si>
  <si>
    <t>목조각공</t>
  </si>
  <si>
    <t>몰탈스프래이공</t>
  </si>
  <si>
    <t>무선안테나공</t>
  </si>
  <si>
    <t>물다짐흙쌓기공</t>
  </si>
  <si>
    <t>미술사</t>
  </si>
  <si>
    <t>미장공</t>
  </si>
  <si>
    <t>바닥공</t>
  </si>
  <si>
    <t>바이브래타공</t>
  </si>
  <si>
    <t>발전기공</t>
  </si>
  <si>
    <t>발포콘크리트공</t>
  </si>
  <si>
    <t>방수공</t>
  </si>
  <si>
    <t>방화공</t>
  </si>
  <si>
    <t>배관공</t>
  </si>
  <si>
    <t>배관공(수도)</t>
  </si>
  <si>
    <t>배전전공</t>
  </si>
  <si>
    <t>배전활선전공</t>
  </si>
  <si>
    <t>벽돌(블록)공</t>
  </si>
  <si>
    <t>벽돌(블록)제작공</t>
  </si>
  <si>
    <t>벽체뿜칠공</t>
  </si>
  <si>
    <t>변전전공</t>
  </si>
  <si>
    <t>보링공</t>
  </si>
  <si>
    <t>보안공</t>
  </si>
  <si>
    <t>보온공</t>
  </si>
  <si>
    <t>보일러공</t>
  </si>
  <si>
    <t>부대공</t>
  </si>
  <si>
    <t>비파괴시험공</t>
  </si>
  <si>
    <t>사무보조</t>
  </si>
  <si>
    <t>사춤공</t>
  </si>
  <si>
    <t>샷시공</t>
  </si>
  <si>
    <t>석공</t>
  </si>
  <si>
    <t>석면해체공</t>
  </si>
  <si>
    <t>석조각공</t>
  </si>
  <si>
    <t>선원</t>
  </si>
  <si>
    <t>선장</t>
  </si>
  <si>
    <t>설비공</t>
  </si>
  <si>
    <t>성형공</t>
  </si>
  <si>
    <t>소장</t>
  </si>
  <si>
    <t>송배전설비보수원</t>
  </si>
  <si>
    <t>송전전공</t>
  </si>
  <si>
    <t>송전활선전공</t>
  </si>
  <si>
    <t>쇼트공</t>
  </si>
  <si>
    <t>수장공</t>
  </si>
  <si>
    <t>쉴드머신(운전원)</t>
  </si>
  <si>
    <t>스크레이퍼(운전원)</t>
  </si>
  <si>
    <t>스테이빌라이저(운전원)</t>
  </si>
  <si>
    <t>스프레이도장공</t>
  </si>
  <si>
    <t>시스템서포트공</t>
  </si>
  <si>
    <t>시운전공</t>
  </si>
  <si>
    <t>신호수</t>
  </si>
  <si>
    <t>아스타일공</t>
  </si>
  <si>
    <t>아스팔트방수공</t>
  </si>
  <si>
    <t>아스팔트타이트공</t>
  </si>
  <si>
    <t>아스팔트포장공</t>
  </si>
  <si>
    <t>아스팔트플랜트(운전원)</t>
  </si>
  <si>
    <t>아스팔트피니셔(운전원)</t>
  </si>
  <si>
    <t>안전시설공</t>
  </si>
  <si>
    <t>액체방수공</t>
  </si>
  <si>
    <t>양생공</t>
  </si>
  <si>
    <t>양수공</t>
  </si>
  <si>
    <t>엘리베이터공</t>
  </si>
  <si>
    <t>엘리베이터기계공</t>
  </si>
  <si>
    <t>엘리베이터전공</t>
  </si>
  <si>
    <t>엘리베이터조정공</t>
  </si>
  <si>
    <t>연돌공</t>
  </si>
  <si>
    <t>연마공</t>
  </si>
  <si>
    <t>열처리공</t>
  </si>
  <si>
    <t>외선전공</t>
  </si>
  <si>
    <t>용접공</t>
  </si>
  <si>
    <t>우물공</t>
  </si>
  <si>
    <t>우오수공</t>
  </si>
  <si>
    <t>원자력기계설치공</t>
  </si>
  <si>
    <t>원자력용접공</t>
  </si>
  <si>
    <t>원자력품질관리사</t>
  </si>
  <si>
    <t>원자력플랜트전공</t>
  </si>
  <si>
    <t>위생공</t>
  </si>
  <si>
    <t>유리공</t>
  </si>
  <si>
    <t>인력운반공</t>
  </si>
  <si>
    <t>인양공</t>
  </si>
  <si>
    <t>인조목공</t>
  </si>
  <si>
    <t>인조석공</t>
  </si>
  <si>
    <t>인테리어공</t>
  </si>
  <si>
    <t>일반기계운전원</t>
  </si>
  <si>
    <t>작업반장</t>
  </si>
  <si>
    <t>잠수공</t>
  </si>
  <si>
    <t>잠함공</t>
  </si>
  <si>
    <t>잡철공</t>
  </si>
  <si>
    <t>장판공</t>
  </si>
  <si>
    <t>저압케이블전공</t>
  </si>
  <si>
    <t>적층공</t>
  </si>
  <si>
    <t>전공</t>
  </si>
  <si>
    <t>전기공</t>
  </si>
  <si>
    <t>전기공사기사</t>
  </si>
  <si>
    <t>전기공사산업기사</t>
  </si>
  <si>
    <t>전기시험공</t>
  </si>
  <si>
    <t>전기용접공</t>
  </si>
  <si>
    <t>전기제도사</t>
  </si>
  <si>
    <t>전선작업공</t>
  </si>
  <si>
    <t>전주설치공</t>
  </si>
  <si>
    <t>전차선공</t>
  </si>
  <si>
    <t>절단공</t>
  </si>
  <si>
    <t>제관공</t>
  </si>
  <si>
    <t>제도공</t>
  </si>
  <si>
    <t>제재공</t>
  </si>
  <si>
    <t>제철축로공</t>
  </si>
  <si>
    <t>조경공</t>
  </si>
  <si>
    <t>조력공</t>
  </si>
  <si>
    <t>조림공</t>
  </si>
  <si>
    <t>조선목공</t>
  </si>
  <si>
    <t>조적공</t>
  </si>
  <si>
    <t>준설선공</t>
  </si>
  <si>
    <t>준설선기관사</t>
  </si>
  <si>
    <t>준설선선장</t>
  </si>
  <si>
    <t>줄눈공</t>
  </si>
  <si>
    <t>중장비정비공</t>
  </si>
  <si>
    <t>지게차(운전원)</t>
  </si>
  <si>
    <t>지붕잇기공</t>
  </si>
  <si>
    <t>지적기능사</t>
  </si>
  <si>
    <t>지적기사</t>
  </si>
  <si>
    <t>지적산업기사</t>
  </si>
  <si>
    <t>차선도색공</t>
  </si>
  <si>
    <t>착암공</t>
  </si>
  <si>
    <t>창틀공</t>
  </si>
  <si>
    <t>철골공</t>
  </si>
  <si>
    <t>철골설치공</t>
  </si>
  <si>
    <t>철골제작공</t>
  </si>
  <si>
    <t>철공</t>
  </si>
  <si>
    <t>철도신호공</t>
  </si>
  <si>
    <t>철물절단공</t>
  </si>
  <si>
    <t>철판공</t>
  </si>
  <si>
    <t>청소원</t>
  </si>
  <si>
    <t>초음파절단공</t>
  </si>
  <si>
    <t>측량공</t>
  </si>
  <si>
    <t>치장벽돌공</t>
  </si>
  <si>
    <t>카페트공</t>
  </si>
  <si>
    <t>커튼공</t>
  </si>
  <si>
    <t>케이블공</t>
  </si>
  <si>
    <t>콘도라공</t>
  </si>
  <si>
    <t>콘크리트공</t>
  </si>
  <si>
    <t>콤퓨레샤(운전원)</t>
  </si>
  <si>
    <t>크레인(운전원)</t>
  </si>
  <si>
    <t>타워크레인(운전원)</t>
  </si>
  <si>
    <t>타일공</t>
  </si>
  <si>
    <t>토공</t>
  </si>
  <si>
    <t>토류판공</t>
  </si>
  <si>
    <t>통신공</t>
  </si>
  <si>
    <t>품질관리원※ 초급·중급·고급·특급</t>
  </si>
  <si>
    <t>프레스공</t>
  </si>
  <si>
    <t>플랜트계장공</t>
  </si>
  <si>
    <t>플랜트공</t>
  </si>
  <si>
    <t>플랜트기계설치공</t>
  </si>
  <si>
    <t>플랜트기술자</t>
  </si>
  <si>
    <t>플랜트덕트공</t>
  </si>
  <si>
    <t>플랜트도장공</t>
  </si>
  <si>
    <t>플랜트배관공</t>
  </si>
  <si>
    <t>플랜트보온공</t>
  </si>
  <si>
    <t>플랜트비계공</t>
  </si>
  <si>
    <t xml:space="preserve">플랜트시운전공 </t>
  </si>
  <si>
    <t>플랜트용접공</t>
  </si>
  <si>
    <t>플랜트전공</t>
  </si>
  <si>
    <t>플랜트제관공</t>
  </si>
  <si>
    <t>플랜트케이블전공</t>
  </si>
  <si>
    <t>플랜트특별보통인부</t>
  </si>
  <si>
    <t>플랜트특수용접공</t>
  </si>
  <si>
    <t>한식단청공편수</t>
  </si>
  <si>
    <t>한식목공</t>
  </si>
  <si>
    <t>한식목공조공</t>
  </si>
  <si>
    <t>한식미장공</t>
  </si>
  <si>
    <t>한식미장공조공</t>
  </si>
  <si>
    <t>한식미장공편수</t>
  </si>
  <si>
    <t>한식석공</t>
  </si>
  <si>
    <t>한식석공조공</t>
  </si>
  <si>
    <t>한식와공</t>
  </si>
  <si>
    <t>한식와공조공</t>
  </si>
  <si>
    <t>한식와공편수</t>
  </si>
  <si>
    <t>할석공</t>
  </si>
  <si>
    <t>함석공</t>
  </si>
  <si>
    <t>합판공</t>
  </si>
  <si>
    <t>항타공</t>
  </si>
  <si>
    <t>항타선원</t>
  </si>
  <si>
    <t>해상공</t>
  </si>
  <si>
    <t>현도사</t>
  </si>
  <si>
    <t>형틀목공</t>
  </si>
  <si>
    <t>호이스트운전원</t>
  </si>
  <si>
    <t>화공</t>
  </si>
  <si>
    <t>화물차(운전원)</t>
  </si>
  <si>
    <t>화약취급공</t>
  </si>
  <si>
    <t>흄관공</t>
  </si>
  <si>
    <t>흙막이공</t>
  </si>
  <si>
    <t>국적코드</t>
  </si>
  <si>
    <t>체류자격코드</t>
  </si>
  <si>
    <t>은행명 아래 표 참고해서 통일 시켜주세요~</t>
    <phoneticPr fontId="4" type="noConversion"/>
  </si>
  <si>
    <t>피공제자
성명</t>
    <phoneticPr fontId="38" type="noConversion"/>
  </si>
  <si>
    <t>주민등록번호</t>
    <phoneticPr fontId="38" type="noConversion"/>
  </si>
  <si>
    <t>근로년월</t>
    <phoneticPr fontId="38" type="noConversion"/>
  </si>
  <si>
    <t>근로일수</t>
    <phoneticPr fontId="38" type="noConversion"/>
  </si>
  <si>
    <t>전화번호</t>
    <phoneticPr fontId="38" type="noConversion"/>
  </si>
  <si>
    <t>직종</t>
    <phoneticPr fontId="38" type="noConversion"/>
  </si>
  <si>
    <t>국적
(외국인)</t>
    <phoneticPr fontId="38" type="noConversion"/>
  </si>
  <si>
    <t>여권번호
(외국인)</t>
    <phoneticPr fontId="38" type="noConversion"/>
  </si>
  <si>
    <t>우편번호</t>
    <phoneticPr fontId="38" type="noConversion"/>
  </si>
  <si>
    <t>비고
(업체명)</t>
    <phoneticPr fontId="38" type="noConversion"/>
  </si>
  <si>
    <t>근로자명</t>
  </si>
  <si>
    <t>생년월일
예시 : 1988/01/02</t>
    <phoneticPr fontId="38" type="noConversion"/>
  </si>
  <si>
    <t>핸드폰번호
예시 : 010-0000-0000</t>
    <phoneticPr fontId="38" type="noConversion"/>
  </si>
  <si>
    <t>노무비금액
(자동계산)
D = A+B+C</t>
    <phoneticPr fontId="38" type="noConversion"/>
  </si>
  <si>
    <t>부가가치세
( A )</t>
    <phoneticPr fontId="38" type="noConversion"/>
  </si>
  <si>
    <t>공제금액
( B )</t>
    <phoneticPr fontId="38" type="noConversion"/>
  </si>
  <si>
    <t>실지급액
( C )</t>
    <phoneticPr fontId="38" type="noConversion"/>
  </si>
  <si>
    <t>은행명
(은행명 시트 참조해서 작성)</t>
    <phoneticPr fontId="38" type="noConversion"/>
  </si>
  <si>
    <t>은행코드
(은행명 입력시
자동입력)</t>
    <phoneticPr fontId="38" type="noConversion"/>
  </si>
  <si>
    <t>타인 명의 계좌 사유
(근로자 명의 계좌가 아닌 경우 작성)</t>
    <phoneticPr fontId="38" type="noConversion"/>
  </si>
  <si>
    <t>지급월분
예시 : 201701</t>
    <phoneticPr fontId="38" type="noConversion"/>
  </si>
  <si>
    <t>지급유형
(일반지급, 선지급 중 선택)</t>
    <phoneticPr fontId="38" type="noConversion"/>
  </si>
  <si>
    <t>일반지급</t>
    <phoneticPr fontId="38" type="noConversion"/>
  </si>
  <si>
    <r>
      <t xml:space="preserve">   연번</t>
    </r>
    <r>
      <rPr>
        <b/>
        <sz val="9"/>
        <color indexed="9"/>
        <rFont val="맑은 고딕"/>
        <family val="3"/>
        <charset val="129"/>
        <scheme val="major"/>
      </rPr>
      <t xml:space="preserve">   (빨간색이 있는 항목 제목</t>
    </r>
    <r>
      <rPr>
        <b/>
        <sz val="9"/>
        <color indexed="22"/>
        <rFont val="맑은 고딕"/>
        <family val="3"/>
        <charset val="129"/>
        <scheme val="major"/>
      </rPr>
      <t>셀을 클릭하면 주의사항이 표시됩니다.)</t>
    </r>
    <phoneticPr fontId="38" type="noConversion"/>
  </si>
  <si>
    <t>아래의 샘플데이터를 참고해서 작성하시길 바랍니다. 노무비금액과 은행코드, 지급유형(노란색 셀)은 복사해서 사용하시길 바랍니다.</t>
    <phoneticPr fontId="38" type="noConversion"/>
  </si>
  <si>
    <t>주소</t>
    <phoneticPr fontId="38" type="noConversion"/>
  </si>
  <si>
    <t>1월</t>
    <phoneticPr fontId="4" type="noConversion"/>
  </si>
  <si>
    <t>3월</t>
  </si>
  <si>
    <t>4월</t>
  </si>
  <si>
    <t>5월</t>
  </si>
  <si>
    <t>6월</t>
  </si>
  <si>
    <t>7월</t>
  </si>
  <si>
    <t>8월</t>
  </si>
  <si>
    <t>9월</t>
  </si>
  <si>
    <t>10월</t>
  </si>
  <si>
    <t>11월</t>
  </si>
  <si>
    <t>12월</t>
  </si>
  <si>
    <t>계</t>
    <phoneticPr fontId="4" type="noConversion"/>
  </si>
  <si>
    <t>NO</t>
    <phoneticPr fontId="4" type="noConversion"/>
  </si>
  <si>
    <t>계</t>
    <phoneticPr fontId="4" type="noConversion"/>
  </si>
  <si>
    <t>확인</t>
    <phoneticPr fontId="4" type="noConversion"/>
  </si>
  <si>
    <t>2월</t>
    <phoneticPr fontId="4" type="noConversion"/>
  </si>
  <si>
    <t>차이</t>
    <phoneticPr fontId="4" type="noConversion"/>
  </si>
  <si>
    <t>은행명</t>
  </si>
  <si>
    <t>인사항목</t>
  </si>
  <si>
    <t>지급항목</t>
  </si>
  <si>
    <t>공제항목</t>
  </si>
  <si>
    <t>근로항목</t>
  </si>
  <si>
    <t>이름(필수)</t>
  </si>
  <si>
    <t>전화번호(필수)</t>
  </si>
  <si>
    <t>생년월일(필수)</t>
  </si>
  <si>
    <t>임금지급일(필수)</t>
  </si>
  <si>
    <t>기본급여</t>
  </si>
  <si>
    <t>소득세</t>
  </si>
  <si>
    <t>국민연금</t>
  </si>
  <si>
    <t>건강보험</t>
  </si>
  <si>
    <t>고용보험</t>
  </si>
  <si>
    <t>일급</t>
    <phoneticPr fontId="4" type="noConversion"/>
  </si>
  <si>
    <t>기타</t>
    <phoneticPr fontId="4" type="noConversion"/>
  </si>
  <si>
    <t>근로일수(공수)</t>
    <phoneticPr fontId="4" type="noConversion"/>
  </si>
  <si>
    <t>건강연금</t>
    <phoneticPr fontId="4" type="noConversion"/>
  </si>
  <si>
    <t>일수</t>
    <phoneticPr fontId="4" type="noConversion"/>
  </si>
  <si>
    <t>금액</t>
    <phoneticPr fontId="4" type="noConversion"/>
  </si>
  <si>
    <t>확정</t>
    <phoneticPr fontId="4" type="noConversion"/>
  </si>
  <si>
    <t>나이 (만)</t>
  </si>
  <si>
    <t>근 로 계 약 서 (현장일용직)</t>
  </si>
  <si>
    <t>사업주</t>
  </si>
  <si>
    <t>상 호</t>
    <phoneticPr fontId="4" type="noConversion"/>
  </si>
  <si>
    <t>대표이사</t>
    <phoneticPr fontId="4" type="noConversion"/>
  </si>
  <si>
    <t>주 소</t>
  </si>
  <si>
    <t>근로자</t>
  </si>
  <si>
    <t>성 명</t>
  </si>
  <si>
    <t>전화번호</t>
    <phoneticPr fontId="4" type="noConversion"/>
  </si>
  <si>
    <t>"갑"과 "을"은 아래의 근로조건을 성실히 이행할 것을 약정하고 근로계약을 체결한다.
- 아    래 -</t>
    <phoneticPr fontId="4" type="noConversion"/>
  </si>
  <si>
    <t>근로장소</t>
    <phoneticPr fontId="4" type="noConversion"/>
  </si>
  <si>
    <t>공종/수행업무</t>
    <phoneticPr fontId="4" type="noConversion"/>
  </si>
  <si>
    <t>계약기간</t>
    <phoneticPr fontId="4" type="noConversion"/>
  </si>
  <si>
    <t>~</t>
  </si>
  <si>
    <t>(1개월) 까지로 한다.</t>
    <phoneticPr fontId="4" type="noConversion"/>
  </si>
  <si>
    <t>임 금</t>
    <phoneticPr fontId="4" type="noConversion"/>
  </si>
  <si>
    <t>① "근로자"의 1일 8시간 기본급은 (</t>
    <phoneticPr fontId="4" type="noConversion"/>
  </si>
  <si>
    <t>) 원, 시간급</t>
    <phoneticPr fontId="4" type="noConversion"/>
  </si>
  <si>
    <t>(</t>
    <phoneticPr fontId="4" type="noConversion"/>
  </si>
  <si>
    <t>)</t>
    <phoneticPr fontId="4" type="noConversion"/>
  </si>
  <si>
    <t>원으로 하며, 법정수당의 산정방식은 다음과 같다.</t>
    <phoneticPr fontId="4" type="noConversion"/>
  </si>
  <si>
    <t xml:space="preserve">  ㉠ 연장근로수당: 시간급(=기본급/8시간) x 연장근로시간 x 150%</t>
    <phoneticPr fontId="4" type="noConversion"/>
  </si>
  <si>
    <t xml:space="preserve">  ㉡ 휴일가산수당: 시간급(=기본급/8시간) x 휴일근로시간 x 150%</t>
    <phoneticPr fontId="4" type="noConversion"/>
  </si>
  <si>
    <t xml:space="preserve">  ㉢ 야간근로수당: 시간급(=기본급/8시간) x 야간근로시간(22:00~06:00) x 50%</t>
    <phoneticPr fontId="4" type="noConversion"/>
  </si>
  <si>
    <t xml:space="preserve">  ㉣ 유급주휴수당: 전 주간(월~금)만근한 경우 시간급 x 8시간</t>
    <phoneticPr fontId="4" type="noConversion"/>
  </si>
  <si>
    <t xml:space="preserve">  ㉤ 연차휴가수당: 1개월(1-말일)간 만근 후,  연차휴가 미사용시 시간급 × 8시간 </t>
    <phoneticPr fontId="4" type="noConversion"/>
  </si>
  <si>
    <r>
      <t xml:space="preserve">  </t>
    </r>
    <r>
      <rPr>
        <sz val="9"/>
        <rFont val="맑은 고딕"/>
        <family val="3"/>
        <charset val="129"/>
      </rPr>
      <t>㉥ 관공서 공휴일근로수당 : 관공서 공휴일 중 근무한 일수 x 시간급(=기본급/8시간) x 8시간 x 150%</t>
    </r>
    <phoneticPr fontId="4" type="noConversion"/>
  </si>
  <si>
    <r>
      <t xml:space="preserve">  </t>
    </r>
    <r>
      <rPr>
        <sz val="9"/>
        <rFont val="맑은 고딕"/>
        <family val="3"/>
        <charset val="129"/>
      </rPr>
      <t>㉦ 유급관공서휴일수당 : 관공서 공휴일수 x 시간급(=기본급/8시간) x 8시간 x 100%</t>
    </r>
    <phoneticPr fontId="4" type="noConversion"/>
  </si>
  <si>
    <t>기본급 1주</t>
    <phoneticPr fontId="4" type="noConversion"/>
  </si>
  <si>
    <t>시간,</t>
  </si>
  <si>
    <t>월 환산</t>
  </si>
  <si>
    <t>시간,</t>
    <phoneticPr fontId="4" type="noConversion"/>
  </si>
  <si>
    <t>%</t>
  </si>
  <si>
    <t>원</t>
    <phoneticPr fontId="4" type="noConversion"/>
  </si>
  <si>
    <t>연장근로수당 1주</t>
    <phoneticPr fontId="4" type="noConversion"/>
  </si>
  <si>
    <t xml:space="preserve">1월 </t>
    <phoneticPr fontId="4" type="noConversion"/>
  </si>
  <si>
    <t xml:space="preserve">유급주휴수당 1주 </t>
    <phoneticPr fontId="4" type="noConversion"/>
  </si>
  <si>
    <t>관공서 공휴일근로수당(月)</t>
    <phoneticPr fontId="4" type="noConversion"/>
  </si>
  <si>
    <t>일,</t>
    <phoneticPr fontId="4" type="noConversion"/>
  </si>
  <si>
    <t>월 환산</t>
    <phoneticPr fontId="4" type="noConversion"/>
  </si>
  <si>
    <t>유급관공서휴일수당(月)</t>
    <phoneticPr fontId="4" type="noConversion"/>
  </si>
  <si>
    <t>-</t>
    <phoneticPr fontId="4" type="noConversion"/>
  </si>
  <si>
    <t>연차휴가수당 (1월)</t>
    <phoneticPr fontId="4" type="noConversion"/>
  </si>
  <si>
    <t>근로시간
및
휴게시간</t>
    <phoneticPr fontId="4" type="noConversion"/>
  </si>
  <si>
    <t>3일</t>
    <phoneticPr fontId="4" type="noConversion"/>
  </si>
  <si>
    <t>휴가</t>
    <phoneticPr fontId="4" type="noConversion"/>
  </si>
  <si>
    <t>① 전월에 만근시 1일의 연차휴가를 부여하며, 사용하지 않을 경우 포괄역산하여 지급한다.
② 부여된 연차 휴가는 하기에 대체하여 사용할 수 있다.</t>
    <phoneticPr fontId="38" type="noConversion"/>
  </si>
  <si>
    <t>휴일</t>
    <phoneticPr fontId="4" type="noConversion"/>
  </si>
  <si>
    <t>합계</t>
    <phoneticPr fontId="4" type="noConversion"/>
  </si>
  <si>
    <t xml:space="preserve">근로계약       해지사유
</t>
    <phoneticPr fontId="4" type="noConversion"/>
  </si>
  <si>
    <t>① 월 합계 또는 계속하여 3일 이상 결근한 경우, 근로계약은 자동 해지된다.
② 안전수칙 불이행 근무태만, 근무지무단이탈, 취업규칙 불이행으로 2회 이상 경고처분 받은 경우
③ 정당한 업무지시 불이행 및 고의 또는 중대한 과실로 사고나 손실을 야기시킨 경우
④ 갑의 사정으로 인하여 계약기간 까지 을의 당 현장 계속 근무가 불필요할 때
⑤ 신체(고혈압, 디스크포함)·정신상 장애로 해당 업무를 수행할 수 없을 경우
⑥ 폭행,파괴,태업을 선동하거나 적극 참여하는 등 불법 집단행동 업무방해를 주도하였거나 적극 참여한 경우
⑦ "사업주"의 동의없이 타 작업장에 취업한 때 및 근로계약기간이 종료되었을 때
⑧ 그 외"사업주"의 취업규칙상의 징계기준에 해당될 때</t>
    <phoneticPr fontId="38" type="noConversion"/>
  </si>
  <si>
    <t>채용결격
사유</t>
    <phoneticPr fontId="38" type="noConversion"/>
  </si>
  <si>
    <t>불법체류자, 지명수배중에 있는자, 채용시 고혈압 및 척추질환등 업무수행에 곤란을 초래할 수 있는 자는 채용될 수 없으며, 위 사실이 추후 발견된 경우 본 근로계약은 취소된다.</t>
    <phoneticPr fontId="38" type="noConversion"/>
  </si>
  <si>
    <t xml:space="preserve"> 기타근로 
조건</t>
    <phoneticPr fontId="38" type="noConversion"/>
  </si>
  <si>
    <t>① 본 계약서상에 명시되지 않은 사항은 당 사 취업규칙 및 근로기준법에 따른다.</t>
    <phoneticPr fontId="38" type="noConversion"/>
  </si>
  <si>
    <t>② "근로자"가 계약기간 중 퇴직하고자 할 경우에는 5일 전에 통보하여야 한다.</t>
    <phoneticPr fontId="4" type="noConversion"/>
  </si>
  <si>
    <t>안전장구
지급확인</t>
    <phoneticPr fontId="38" type="noConversion"/>
  </si>
  <si>
    <t>① 안전장구 등 지급확인 : 우리현장 신규 수령자인 경우 체크(          )</t>
    <phoneticPr fontId="4" type="noConversion"/>
  </si>
  <si>
    <t>안전모</t>
    <phoneticPr fontId="4" type="noConversion"/>
  </si>
  <si>
    <t>안전화</t>
  </si>
  <si>
    <t>안전벨트</t>
  </si>
  <si>
    <t>보호안경</t>
  </si>
  <si>
    <t>안전교육이수여부</t>
  </si>
  <si>
    <t>기타 (          )</t>
    <phoneticPr fontId="4" type="noConversion"/>
  </si>
  <si>
    <t>② 안전장구 등 지급확인 : 기소지자인 경우 체크(          )</t>
    <phoneticPr fontId="4" type="noConversion"/>
  </si>
  <si>
    <t>( 근 로 자 )</t>
  </si>
  <si>
    <t>회사명   :</t>
    <phoneticPr fontId="4" type="noConversion"/>
  </si>
  <si>
    <t>대표이사   :</t>
    <phoneticPr fontId="4" type="noConversion"/>
  </si>
  <si>
    <t>주민등록번호 :</t>
  </si>
  <si>
    <t>③ "근로자"의 월급은 매월 (        )일에 지급하며, 지급시 근로소득세 및 고용보험료, 건강보험료, 국민연금 등 제세공과금을 원천징수한 후</t>
    <phoneticPr fontId="4" type="noConversion"/>
  </si>
  <si>
    <t>※급여수령 통장 및 계좌번호 :</t>
    <phoneticPr fontId="4" type="noConversion"/>
  </si>
  <si>
    <t>2023  년         월         일</t>
    <phoneticPr fontId="38" type="noConversion"/>
  </si>
  <si>
    <t>3/1(수,삼일절)</t>
    <phoneticPr fontId="4" type="noConversion"/>
  </si>
  <si>
    <t>9/28-30(목-토,추석)</t>
    <phoneticPr fontId="4" type="noConversion"/>
  </si>
  <si>
    <t>12/25(월,성탄절)</t>
    <phoneticPr fontId="4" type="noConversion"/>
  </si>
  <si>
    <t>6/6(화,현충일)</t>
    <phoneticPr fontId="4" type="noConversion"/>
  </si>
  <si>
    <t>5/5(금,어린이날)  5/27(토,석가탄신일)</t>
    <phoneticPr fontId="4" type="noConversion"/>
  </si>
  <si>
    <t>10/3(화,개천절)  10/9(월,한글날)</t>
    <phoneticPr fontId="4" type="noConversion"/>
  </si>
  <si>
    <r>
      <rPr>
        <sz val="10"/>
        <color rgb="FF0000FF"/>
        <rFont val="맑은 고딕"/>
        <family val="3"/>
        <charset val="129"/>
        <scheme val="minor"/>
      </rPr>
      <t xml:space="preserve">1/1(일-제외,신정) </t>
    </r>
    <r>
      <rPr>
        <sz val="10"/>
        <color rgb="FFFF0000"/>
        <rFont val="맑은 고딕"/>
        <family val="3"/>
        <charset val="129"/>
        <scheme val="minor"/>
      </rPr>
      <t xml:space="preserve"> </t>
    </r>
    <r>
      <rPr>
        <sz val="10"/>
        <color theme="1"/>
        <rFont val="맑은 고딕"/>
        <family val="3"/>
        <charset val="129"/>
        <scheme val="minor"/>
      </rPr>
      <t>1/21,23-24(토,월-화,설날)</t>
    </r>
    <phoneticPr fontId="4" type="noConversion"/>
  </si>
  <si>
    <r>
      <rPr>
        <b/>
        <sz val="10"/>
        <color rgb="FF0000FF"/>
        <rFont val="맑은 고딕"/>
        <family val="3"/>
        <charset val="129"/>
        <scheme val="minor"/>
      </rPr>
      <t xml:space="preserve">2023년 </t>
    </r>
    <r>
      <rPr>
        <b/>
        <sz val="10"/>
        <color theme="1"/>
        <rFont val="맑은 고딕"/>
        <family val="3"/>
        <charset val="129"/>
        <scheme val="minor"/>
      </rPr>
      <t>관공서의 공휴일 수 (일X / 토O)</t>
    </r>
    <phoneticPr fontId="4" type="noConversion"/>
  </si>
  <si>
    <t>8/15(화,광복절)</t>
    <phoneticPr fontId="4" type="noConversion"/>
  </si>
  <si>
    <t>3</t>
    <phoneticPr fontId="4" type="noConversion"/>
  </si>
  <si>
    <t>② "근로자"의 임금은 제1항의 기본급에 주휴수당, 연장수당, 휴일(국공휴일 포함)수당, 연차수당을 포함한 일급(￦</t>
    <phoneticPr fontId="4" type="noConversion"/>
  </si>
  <si>
    <r>
      <t xml:space="preserve">     곱하여 산정하고, "근로자"는 이와 같은 포괄임금 산정방식에 대하여 동의한다.   </t>
    </r>
    <r>
      <rPr>
        <b/>
        <u/>
        <sz val="9"/>
        <color rgb="FFFF0000"/>
        <rFont val="맑은 고딕"/>
        <family val="3"/>
        <charset val="129"/>
        <scheme val="minor"/>
      </rPr>
      <t>* 동의자  성명 :                      (인)</t>
    </r>
    <phoneticPr fontId="4" type="noConversion"/>
  </si>
  <si>
    <t>구성
항목</t>
    <phoneticPr fontId="4" type="noConversion"/>
  </si>
  <si>
    <t>① 전주간(월-금)만근한 경우 일요일 및 근로자의 날(5.1)은 유급주휴를 부여한다(다만, 현장의 공사일정에 따라 부득이한 경우 주휴일은 일요일이
    아닌 평일에 부여할 수 있다. 이 경우 일요일의 근로는 휴일근로가 아닌 통상의 근로일로 본다). 
② 토요일은 무급휴무일로 하며 해당일 근무에 대한 임금은 포괄역산한다. 그 외의 휴일은 취업규칙에서 정한 바에 따른다</t>
    <phoneticPr fontId="38" type="noConversion"/>
  </si>
  <si>
    <t>③ 개인정보(성명, 주민등록번호, 주소, 급여, 전화번호)를 원청, 발주처의 안전, 노무, 현장 출입관련업무 담당에게 제공/활용하는 데 동의한다.</t>
    <phoneticPr fontId="4" type="noConversion"/>
  </si>
  <si>
    <r>
      <t xml:space="preserve">① </t>
    </r>
    <r>
      <rPr>
        <b/>
        <sz val="9"/>
        <color theme="1"/>
        <rFont val="맑은 고딕"/>
        <family val="3"/>
        <charset val="129"/>
        <scheme val="minor"/>
      </rPr>
      <t xml:space="preserve">시업 및 종업시간:    </t>
    </r>
    <r>
      <rPr>
        <b/>
        <sz val="9"/>
        <color rgb="FFFF0000"/>
        <rFont val="맑은 고딕"/>
        <family val="3"/>
        <charset val="129"/>
        <scheme val="minor"/>
      </rPr>
      <t xml:space="preserve"> 07:00     ~    17:00</t>
    </r>
    <r>
      <rPr>
        <sz val="9"/>
        <color theme="1"/>
        <rFont val="맑은 고딕"/>
        <family val="3"/>
        <charset val="129"/>
        <scheme val="minor"/>
      </rPr>
      <t xml:space="preserve">
</t>
    </r>
    <r>
      <rPr>
        <sz val="9"/>
        <color theme="1"/>
        <rFont val="맑은 고딕"/>
        <family val="3"/>
        <charset val="129"/>
      </rPr>
      <t>②</t>
    </r>
    <r>
      <rPr>
        <sz val="9"/>
        <color theme="1"/>
        <rFont val="맑은 고딕"/>
        <family val="3"/>
        <charset val="129"/>
        <scheme val="minor"/>
      </rPr>
      <t xml:space="preserve"> 소정근로시간은 휴게시간을 제외하고 1일 8시간, 1주 40시간으로 하되 "근로자"는 근로기준법이 정하는 바에 따라 1주일에 12시간의
    범위 내에서 연장근로를 수행함에 동의한다.                                                                     * </t>
    </r>
    <r>
      <rPr>
        <b/>
        <sz val="9"/>
        <color theme="1"/>
        <rFont val="맑은 고딕"/>
        <family val="3"/>
        <charset val="129"/>
        <scheme val="minor"/>
      </rPr>
      <t xml:space="preserve">동의자  성명 : </t>
    </r>
    <r>
      <rPr>
        <b/>
        <u/>
        <sz val="9"/>
        <color theme="1"/>
        <rFont val="맑은 고딕"/>
        <family val="3"/>
        <charset val="129"/>
        <scheme val="minor"/>
      </rPr>
      <t xml:space="preserve">                            </t>
    </r>
    <r>
      <rPr>
        <b/>
        <sz val="9"/>
        <color theme="1"/>
        <rFont val="맑은 고딕"/>
        <family val="3"/>
        <charset val="129"/>
        <scheme val="minor"/>
      </rPr>
      <t xml:space="preserve"> (인)</t>
    </r>
    <r>
      <rPr>
        <sz val="9"/>
        <color theme="0" tint="-0.34998626667073579"/>
        <rFont val="맑은 고딕"/>
        <family val="3"/>
        <charset val="129"/>
        <scheme val="minor"/>
      </rPr>
      <t xml:space="preserve">
</t>
    </r>
    <r>
      <rPr>
        <b/>
        <sz val="9"/>
        <color rgb="FFFF0000"/>
        <rFont val="맑은 고딕"/>
        <family val="3"/>
        <charset val="129"/>
        <scheme val="minor"/>
      </rPr>
      <t>③ 휴게시간(09:00 ~ 09:30, 12:00 ~ 13:00, 15:00 ~ 15:30)</t>
    </r>
    <r>
      <rPr>
        <sz val="9"/>
        <rFont val="맑은 고딕"/>
        <family val="3"/>
        <charset val="129"/>
        <scheme val="minor"/>
      </rPr>
      <t>은 작업장내에서 자유로이 사용할 수 있다. 다만, 현장상황에 따라 변경될수 있다</t>
    </r>
    <phoneticPr fontId="38" type="noConversion"/>
  </si>
  <si>
    <r>
      <t xml:space="preserve">③ 상기 안전장구 수령확인 및 근로계약/취업규칙 내용을 확인하고 이행함을 동의합니다.
                                                                                                                        </t>
    </r>
    <r>
      <rPr>
        <b/>
        <sz val="9"/>
        <color theme="1"/>
        <rFont val="맑은 고딕"/>
        <family val="3"/>
        <charset val="129"/>
        <scheme val="minor"/>
      </rPr>
      <t xml:space="preserve">           * 수령 및 확인자 :   </t>
    </r>
    <r>
      <rPr>
        <b/>
        <u/>
        <sz val="9"/>
        <color theme="1"/>
        <rFont val="맑은 고딕"/>
        <family val="3"/>
        <charset val="129"/>
        <scheme val="minor"/>
      </rPr>
      <t xml:space="preserve">                          </t>
    </r>
    <r>
      <rPr>
        <b/>
        <sz val="9"/>
        <color theme="1"/>
        <rFont val="맑은 고딕"/>
        <family val="3"/>
        <charset val="129"/>
        <scheme val="minor"/>
      </rPr>
      <t xml:space="preserve"> (인)</t>
    </r>
    <phoneticPr fontId="4" type="noConversion"/>
  </si>
  <si>
    <r>
      <t xml:space="preserve">                                                                                                             </t>
    </r>
    <r>
      <rPr>
        <b/>
        <sz val="9"/>
        <rFont val="맑은 고딕"/>
        <family val="3"/>
        <charset val="129"/>
        <scheme val="minor"/>
      </rPr>
      <t xml:space="preserve">      * 개인정보 제공동의자 성명 :</t>
    </r>
    <r>
      <rPr>
        <b/>
        <sz val="9"/>
        <color theme="1"/>
        <rFont val="맑은 고딕"/>
        <family val="3"/>
        <charset val="129"/>
        <scheme val="minor"/>
      </rPr>
      <t xml:space="preserve">   </t>
    </r>
    <r>
      <rPr>
        <b/>
        <u/>
        <sz val="9"/>
        <color theme="1"/>
        <rFont val="맑은 고딕"/>
        <family val="3"/>
        <charset val="129"/>
        <scheme val="minor"/>
      </rPr>
      <t xml:space="preserve">                          </t>
    </r>
    <r>
      <rPr>
        <b/>
        <sz val="9"/>
        <color theme="1"/>
        <rFont val="맑은 고딕"/>
        <family val="3"/>
        <charset val="129"/>
        <scheme val="minor"/>
      </rPr>
      <t xml:space="preserve"> (인)</t>
    </r>
    <phoneticPr fontId="4" type="noConversion"/>
  </si>
  <si>
    <t xml:space="preserve">    현장 작업에 필요한 안전모 등의 안전장구를 귀 사에서 지급하는 것이 원칙임에도 본인은 귀 사 타 현장, 본인소유 기사용 장구소지 등의 사유로</t>
    <phoneticPr fontId="4" type="noConversion"/>
  </si>
  <si>
    <t xml:space="preserve">    인해 귀 사에서 지급받지 아니하며 다만 현장 작업 시 반드시 항시 착용하여 안전관리에 최선을 다하겠습니다.</t>
    <phoneticPr fontId="4" type="noConversion"/>
  </si>
  <si>
    <t xml:space="preserve">   ( 사 업 주 )</t>
    <phoneticPr fontId="4" type="noConversion"/>
  </si>
  <si>
    <r>
      <t xml:space="preserve">                                                                                                                                     * 동의자  성명 : </t>
    </r>
    <r>
      <rPr>
        <b/>
        <u/>
        <sz val="9"/>
        <color theme="1"/>
        <rFont val="맑은 고딕"/>
        <family val="3"/>
        <charset val="129"/>
        <scheme val="minor"/>
      </rPr>
      <t xml:space="preserve">                           </t>
    </r>
    <r>
      <rPr>
        <b/>
        <sz val="9"/>
        <color theme="1"/>
        <rFont val="맑은 고딕"/>
        <family val="3"/>
        <charset val="129"/>
        <scheme val="minor"/>
      </rPr>
      <t xml:space="preserve"> (인)</t>
    </r>
    <phoneticPr fontId="4" type="noConversion"/>
  </si>
  <si>
    <t>다만, 근로계약 기간 중이라도 천재지변, 동절기 공사중단, 발주처의 공사중단ㆍ</t>
    <phoneticPr fontId="4" type="noConversion"/>
  </si>
  <si>
    <t xml:space="preserve"> 설계변경ㆍ공사도급계약 중도해지 등 불가피한 사유로 공사를 계속할 수 없거나  "근로자"가 수행하던 공종이 중단된 경우에는 그 때를 계약</t>
    <phoneticPr fontId="38" type="noConversion"/>
  </si>
  <si>
    <t xml:space="preserve"> 만료일로 하여 하며, 근로계약이 갱신 체결된 경우라도 근로계약의 최대기간은 공사현장의 "근로자"가 수행하던 해당 공종 종료일을 초과하지</t>
    <phoneticPr fontId="4" type="noConversion"/>
  </si>
  <si>
    <t xml:space="preserve"> 못한다.</t>
    <phoneticPr fontId="4" type="noConversion"/>
  </si>
  <si>
    <t xml:space="preserve">    "근로자"의 온라인 통장계좌로 지급함에 동의한다.</t>
    <phoneticPr fontId="4" type="noConversion"/>
  </si>
  <si>
    <t>주   소   :</t>
    <phoneticPr fontId="4" type="noConversion"/>
  </si>
  <si>
    <t>주   소 :</t>
    <phoneticPr fontId="4" type="noConversion"/>
  </si>
  <si>
    <t>성  명 :</t>
    <phoneticPr fontId="4" type="noConversion"/>
  </si>
  <si>
    <t>아름다운건설㈜</t>
    <phoneticPr fontId="4" type="noConversion"/>
  </si>
  <si>
    <t>현장명 수기입력</t>
    <phoneticPr fontId="4" type="noConversion"/>
  </si>
  <si>
    <t>지급일 수기입력</t>
    <phoneticPr fontId="4" type="noConversion"/>
  </si>
  <si>
    <t>서울 대전 대구 부산 찍고</t>
    <phoneticPr fontId="4" type="noConversion"/>
  </si>
  <si>
    <t>김  대  표</t>
    <phoneticPr fontId="4" type="noConversion"/>
  </si>
  <si>
    <t xml:space="preserve"> : 2023년 최저시급 9,620원</t>
    <phoneticPr fontId="4" type="noConversion"/>
  </si>
  <si>
    <t>회  사  명</t>
    <phoneticPr fontId="4" type="noConversion"/>
  </si>
  <si>
    <t>공  사  명</t>
    <phoneticPr fontId="4" type="noConversion"/>
  </si>
  <si>
    <t>A</t>
    <phoneticPr fontId="4" type="noConversion"/>
  </si>
  <si>
    <t>C</t>
    <phoneticPr fontId="4" type="noConversion"/>
  </si>
  <si>
    <t>1.</t>
    <phoneticPr fontId="4" type="noConversion"/>
  </si>
  <si>
    <t>공 사 명</t>
  </si>
  <si>
    <t>:</t>
  </si>
  <si>
    <t>2.</t>
    <phoneticPr fontId="4" type="noConversion"/>
  </si>
  <si>
    <t>계 약 금 액</t>
  </si>
  <si>
    <t>(</t>
    <phoneticPr fontId="40" type="noConversion"/>
  </si>
  <si>
    <t>)</t>
    <phoneticPr fontId="40" type="noConversion"/>
  </si>
  <si>
    <t>3.</t>
  </si>
  <si>
    <t>계 약 년 월 일</t>
  </si>
  <si>
    <t>4.</t>
  </si>
  <si>
    <t>착 공 년 월 일</t>
  </si>
  <si>
    <t>5.</t>
  </si>
  <si>
    <t>준 공 년 월 일</t>
  </si>
  <si>
    <t>6.</t>
    <phoneticPr fontId="4" type="noConversion"/>
  </si>
  <si>
    <t>노무비총액</t>
    <phoneticPr fontId="40" type="noConversion"/>
  </si>
  <si>
    <t>7.</t>
    <phoneticPr fontId="4" type="noConversion"/>
  </si>
  <si>
    <t>기지급금액</t>
  </si>
  <si>
    <t>직불금</t>
    <phoneticPr fontId="40" type="noConversion"/>
  </si>
  <si>
    <t>합계</t>
    <phoneticPr fontId="40" type="noConversion"/>
  </si>
  <si>
    <t>공급액</t>
    <phoneticPr fontId="40" type="noConversion"/>
  </si>
  <si>
    <t>부가세</t>
    <phoneticPr fontId="40" type="noConversion"/>
  </si>
  <si>
    <t>8.</t>
    <phoneticPr fontId="4" type="noConversion"/>
  </si>
  <si>
    <t>금회청구액</t>
    <phoneticPr fontId="40" type="noConversion"/>
  </si>
  <si>
    <t xml:space="preserve">(계약상대자) </t>
    <phoneticPr fontId="40" type="noConversion"/>
  </si>
  <si>
    <t>원도급</t>
    <phoneticPr fontId="40" type="noConversion"/>
  </si>
  <si>
    <t>부강종합건설㈜</t>
    <phoneticPr fontId="4" type="noConversion"/>
  </si>
  <si>
    <t xml:space="preserve">(직불하도급사) </t>
    <phoneticPr fontId="40" type="noConversion"/>
  </si>
  <si>
    <t>9.</t>
    <phoneticPr fontId="4" type="noConversion"/>
  </si>
  <si>
    <t>잔여금액</t>
  </si>
  <si>
    <t>선지급금</t>
    <phoneticPr fontId="40" type="noConversion"/>
  </si>
  <si>
    <t>구분</t>
  </si>
  <si>
    <t>업 체 명</t>
    <phoneticPr fontId="40" type="noConversion"/>
  </si>
  <si>
    <t>계좌번호(노무비)</t>
    <phoneticPr fontId="4" type="noConversion"/>
  </si>
  <si>
    <t>청구액</t>
  </si>
  <si>
    <t>계약상대자</t>
    <phoneticPr fontId="40" type="noConversion"/>
  </si>
  <si>
    <t>농협은행</t>
    <phoneticPr fontId="4" type="noConversion"/>
  </si>
  <si>
    <t>355-0062-3586-33</t>
    <phoneticPr fontId="4" type="noConversion"/>
  </si>
  <si>
    <t>직불하도급사</t>
    <phoneticPr fontId="4" type="noConversion"/>
  </si>
  <si>
    <t>붙 임 : 1. 노무자 명부 및 당월 개인별 노무비 청구(지급) 내역서 각 1부.</t>
    <phoneticPr fontId="40" type="noConversion"/>
  </si>
  <si>
    <t xml:space="preserve">계약상대자 : </t>
    <phoneticPr fontId="40" type="noConversion"/>
  </si>
  <si>
    <t>회사명</t>
    <phoneticPr fontId="4" type="noConversion"/>
  </si>
  <si>
    <t>주소</t>
    <phoneticPr fontId="4" type="noConversion"/>
  </si>
  <si>
    <t>대표자</t>
    <phoneticPr fontId="4" type="noConversion"/>
  </si>
  <si>
    <t xml:space="preserve">직불하도급사 : </t>
    <phoneticPr fontId="40" type="noConversion"/>
  </si>
  <si>
    <t>경상남도교육지원청</t>
    <phoneticPr fontId="4" type="noConversion"/>
  </si>
  <si>
    <t>○ 노무비 금액：</t>
    <phoneticPr fontId="40" type="noConversion"/>
  </si>
  <si>
    <t>○ 금월 청구금액：</t>
  </si>
  <si>
    <t>구 분</t>
  </si>
  <si>
    <t>공 종</t>
  </si>
  <si>
    <t>업 체 명</t>
  </si>
  <si>
    <t>전용계좌번호</t>
  </si>
  <si>
    <t>노무비
금액</t>
    <phoneticPr fontId="40" type="noConversion"/>
  </si>
  <si>
    <t>전월까지
금액</t>
    <phoneticPr fontId="40" type="noConversion"/>
  </si>
  <si>
    <t>금월
청구금액</t>
    <phoneticPr fontId="40" type="noConversion"/>
  </si>
  <si>
    <t>누계
금액</t>
    <phoneticPr fontId="40" type="noConversion"/>
  </si>
  <si>
    <t>도급사</t>
    <phoneticPr fontId="40" type="noConversion"/>
  </si>
  <si>
    <t>건축공사</t>
    <phoneticPr fontId="40" type="noConversion"/>
  </si>
  <si>
    <t>355-0062-3586-33 농협은행(노무비)</t>
    <phoneticPr fontId="4" type="noConversion"/>
  </si>
  <si>
    <t>소 계(A)</t>
  </si>
  <si>
    <t>직불
하도
급사</t>
    <phoneticPr fontId="40" type="noConversion"/>
  </si>
  <si>
    <t>소 계(B)</t>
    <phoneticPr fontId="40" type="noConversion"/>
  </si>
  <si>
    <t>합 계(A+B)</t>
    <phoneticPr fontId="40" type="noConversion"/>
  </si>
  <si>
    <t>○ 공  사  명 :</t>
    <phoneticPr fontId="40" type="noConversion"/>
  </si>
  <si>
    <t>계약상대자</t>
  </si>
  <si>
    <t>직종</t>
    <phoneticPr fontId="40" type="noConversion"/>
  </si>
  <si>
    <t>근로자성명</t>
    <phoneticPr fontId="40" type="noConversion"/>
  </si>
  <si>
    <t>청구금액</t>
  </si>
  <si>
    <t>휴대폰번호</t>
  </si>
  <si>
    <t>[소계1]</t>
    <phoneticPr fontId="4" type="noConversion"/>
  </si>
  <si>
    <t>부가세</t>
    <phoneticPr fontId="4" type="noConversion"/>
  </si>
  <si>
    <t>청구금액</t>
    <phoneticPr fontId="4" type="noConversion"/>
  </si>
  <si>
    <t>직불하도급사</t>
  </si>
  <si>
    <t>[소계2]</t>
    <phoneticPr fontId="4" type="noConversion"/>
  </si>
  <si>
    <t>[합 계]</t>
    <phoneticPr fontId="4" type="noConversion"/>
  </si>
  <si>
    <t>[ 총  계 ]</t>
    <phoneticPr fontId="4" type="noConversion"/>
  </si>
  <si>
    <r>
      <t xml:space="preserve">붙임 : </t>
    </r>
    <r>
      <rPr>
        <u/>
        <sz val="10"/>
        <color indexed="10"/>
        <rFont val="맑은 고딕"/>
        <family val="3"/>
        <charset val="129"/>
        <scheme val="minor"/>
      </rPr>
      <t>임금지급내역서, 통장사본 각 1부</t>
    </r>
  </si>
  <si>
    <t>※ 근로자의 계좌 개설 불가 또는 현금 지급 희망 등 사유의 경우에는 해당 근로자의 확인 서명(날인)</t>
  </si>
  <si>
    <t>정명덕</t>
    <phoneticPr fontId="4" type="noConversion"/>
  </si>
  <si>
    <t>각     서</t>
    <phoneticPr fontId="38" type="noConversion"/>
  </si>
  <si>
    <t xml:space="preserve">공사명 </t>
    <phoneticPr fontId="38" type="noConversion"/>
  </si>
  <si>
    <t>:</t>
    <phoneticPr fontId="38" type="noConversion"/>
  </si>
  <si>
    <t xml:space="preserve">  상기공사에 대하여 공사기간 중 발생한 노무비를 (공사근로자 노무비 구분관리 및</t>
    <phoneticPr fontId="38" type="noConversion"/>
  </si>
  <si>
    <t>지급확인제)에 따라 노무비를 청구함에 있어 차후 초과 청구로 인한 문제가 발생 할</t>
    <phoneticPr fontId="38" type="noConversion"/>
  </si>
  <si>
    <t>경우 어떠한 조치도 감수하겠기에 각서를 제출합니다.</t>
    <phoneticPr fontId="38" type="noConversion"/>
  </si>
  <si>
    <t>회사명</t>
    <phoneticPr fontId="38" type="noConversion"/>
  </si>
  <si>
    <t>대표이사</t>
    <phoneticPr fontId="38" type="noConversion"/>
  </si>
  <si>
    <t>(인)</t>
    <phoneticPr fontId="4" type="noConversion"/>
  </si>
  <si>
    <t>[별지 제13호서식]</t>
  </si>
  <si>
    <t xml:space="preserve">  </t>
  </si>
  <si>
    <t>계좌입금의뢰신고서</t>
  </si>
  <si>
    <t>귀 교와의 계약거래에 따른 본인(사)의 채권에 대하여는 아래에 지정하는 계좌에 입금시켜 주실 것을 의뢰합니다.</t>
    <phoneticPr fontId="4" type="noConversion"/>
  </si>
  <si>
    <t>거 래 은 행</t>
  </si>
  <si>
    <t>예 금 종 류</t>
  </si>
  <si>
    <t>계 좌 번 호</t>
  </si>
  <si>
    <t>예 금 주</t>
  </si>
  <si>
    <t>계 좌 입 금 방 법</t>
  </si>
  <si>
    <t>하도급지킴이</t>
  </si>
  <si>
    <t>※ 신고사항의 변경</t>
  </si>
  <si>
    <t xml:space="preserve">  ①본 약정에 기입된 계좌입금 관련 사항에 변경이 있을 때에는 다시 작성하여 제출하여야 한다.</t>
    <phoneticPr fontId="4" type="noConversion"/>
  </si>
  <si>
    <t xml:space="preserve">  ②전항의 신고 전에 신고사항의 변경으로 인한 손해에 대하여 국민건강보험공단은 그 책임을 지지 않는다. </t>
    <phoneticPr fontId="4" type="noConversion"/>
  </si>
  <si>
    <t>주   소</t>
    <phoneticPr fontId="4" type="noConversion"/>
  </si>
  <si>
    <t>인감대조</t>
  </si>
  <si>
    <t>공사근로자 노무비 청구서(2023년 01월)</t>
    <phoneticPr fontId="40" type="noConversion"/>
  </si>
  <si>
    <t>공사근로자 노무비 청구 내역서(2023 년 01월)</t>
    <phoneticPr fontId="40" type="noConversion"/>
  </si>
  <si>
    <t>공사근로자 노무비 청구 내역 집계표(2023 년 01 월)</t>
    <phoneticPr fontId="40" type="noConversion"/>
  </si>
  <si>
    <t>2023 년  02 월      일</t>
    <phoneticPr fontId="40" type="noConversion"/>
  </si>
  <si>
    <r>
      <t xml:space="preserve">   위 금액을 </t>
    </r>
    <r>
      <rPr>
        <b/>
        <sz val="11"/>
        <color rgb="FF000000"/>
        <rFont val="맑은 고딕"/>
        <family val="3"/>
        <charset val="129"/>
        <scheme val="minor"/>
      </rPr>
      <t>2023 년 01월 노무비(1회)</t>
    </r>
    <r>
      <rPr>
        <sz val="11"/>
        <color indexed="8"/>
        <rFont val="맑은 고딕"/>
        <family val="3"/>
        <charset val="129"/>
        <scheme val="minor"/>
      </rPr>
      <t>로 청구하오니 아래와 같이 지급하여 주시기 바랍니다.</t>
    </r>
    <phoneticPr fontId="40" type="noConversion"/>
  </si>
  <si>
    <t>00건설㈜</t>
    <phoneticPr fontId="4" type="noConversion"/>
  </si>
  <si>
    <t>㈜00기업</t>
    <phoneticPr fontId="4" type="noConversion"/>
  </si>
  <si>
    <t>㈜000개발</t>
    <phoneticPr fontId="40" type="noConversion"/>
  </si>
  <si>
    <t>주식회사 00</t>
    <phoneticPr fontId="4" type="noConversion"/>
  </si>
  <si>
    <t>강 0 0</t>
    <phoneticPr fontId="4" type="noConversion"/>
  </si>
  <si>
    <t>김 0 0</t>
    <phoneticPr fontId="4" type="noConversion"/>
  </si>
  <si>
    <t>박 0 0</t>
    <phoneticPr fontId="4" type="noConversion"/>
  </si>
  <si>
    <t xml:space="preserve">경남 김해시 </t>
    <phoneticPr fontId="4" type="noConversion"/>
  </si>
  <si>
    <t>대구광역시 수성구</t>
    <phoneticPr fontId="4" type="noConversion"/>
  </si>
  <si>
    <t xml:space="preserve">경남 남해군 </t>
    <phoneticPr fontId="4" type="noConversion"/>
  </si>
  <si>
    <t xml:space="preserve">경남 합천군 </t>
    <phoneticPr fontId="4" type="noConversion"/>
  </si>
  <si>
    <r>
      <rPr>
        <b/>
        <sz val="16"/>
        <color rgb="FF000000"/>
        <rFont val="맑은 고딕"/>
        <family val="3"/>
        <charset val="129"/>
        <scheme val="minor"/>
      </rPr>
      <t>주소록 탭</t>
    </r>
    <r>
      <rPr>
        <sz val="16"/>
        <color indexed="8"/>
        <rFont val="맑은 고딕"/>
        <family val="3"/>
        <charset val="129"/>
        <scheme val="minor"/>
      </rPr>
      <t xml:space="preserve"> 기재 후 </t>
    </r>
    <r>
      <rPr>
        <b/>
        <sz val="16"/>
        <color rgb="FF000000"/>
        <rFont val="맑은 고딕"/>
        <family val="3"/>
        <charset val="129"/>
        <scheme val="minor"/>
      </rPr>
      <t>청구내역서</t>
    </r>
    <r>
      <rPr>
        <sz val="16"/>
        <color indexed="8"/>
        <rFont val="맑은 고딕"/>
        <family val="3"/>
        <charset val="129"/>
        <scheme val="minor"/>
      </rPr>
      <t xml:space="preserve"> 상 근로자 이름만
 적으면 데이터 자동 연결됩니다.</t>
    </r>
    <phoneticPr fontId="4" type="noConversion"/>
  </si>
  <si>
    <t xml:space="preserve"> - 고용보험(65세이상, 보수월액X0.9%(요율))</t>
    <phoneticPr fontId="4" type="noConversion"/>
  </si>
  <si>
    <t xml:space="preserve"> - 건강보험(8일이상, 보수월액X3.545%(요율))</t>
    <phoneticPr fontId="4" type="noConversion"/>
  </si>
  <si>
    <t xml:space="preserve"> - 2000년생 확인 및 신규채용자 후 체크요망.</t>
    <phoneticPr fontId="4" type="noConversion"/>
  </si>
  <si>
    <t xml:space="preserve"> - 갑근세 단가 15만원이상</t>
    <phoneticPr fontId="4" type="noConversion"/>
  </si>
  <si>
    <t xml:space="preserve">    신규채용자 한해서 1일자로 근무한 근로자는 해당. 1일 이후 근무자는 비해당.</t>
    <phoneticPr fontId="4" type="noConversion"/>
  </si>
  <si>
    <t xml:space="preserve"> - 연금보험(60세이하, 8일이상, 보수월액X4.5%(요율), 상한액 5,530,000원 이상 시 248,850원 적용 )</t>
    <phoneticPr fontId="4" type="noConversion"/>
  </si>
  <si>
    <t>2023년</t>
    <phoneticPr fontId="4" type="noConversion"/>
  </si>
  <si>
    <t>오부택</t>
  </si>
  <si>
    <t>하해군</t>
  </si>
  <si>
    <t>유수진</t>
  </si>
  <si>
    <t>경기도 남양주시 도농동 291-34 19/4</t>
  </si>
  <si>
    <t>경기도 남양주시 진건읍 사릉로용정1길 11</t>
  </si>
  <si>
    <t>경기도  포천군 영북면 운천리 528</t>
  </si>
  <si>
    <t>010-8783-1657</t>
  </si>
  <si>
    <t>010-4993-9423</t>
  </si>
  <si>
    <t>010-3124-2716</t>
  </si>
  <si>
    <t>김방수</t>
  </si>
  <si>
    <t>경기도 남양주시 경춘로859번길26, B동 204호(금곡동,동익빌라)</t>
  </si>
  <si>
    <t>010-9342-8092</t>
  </si>
  <si>
    <t>204074-51-050436</t>
  </si>
  <si>
    <t xml:space="preserve"> </t>
  </si>
  <si>
    <t>국민연금(2025.07.01~2025.09.30)</t>
    <phoneticPr fontId="4" type="noConversion"/>
  </si>
  <si>
    <t>국민연금(2025.10.01~2025.12.31)</t>
    <phoneticPr fontId="4" type="noConversion"/>
  </si>
  <si>
    <t xml:space="preserve"> - 연금보험(60세이하, 8일이상, 보수월액X4.5%(요율), 상한액 6,170,000원 이상 시 277,650원 적용 )</t>
    <phoneticPr fontId="4" type="noConversion"/>
  </si>
  <si>
    <t xml:space="preserve"> - 장기요양보험(요율 12.95%)</t>
    <phoneticPr fontId="4" type="noConversion"/>
  </si>
  <si>
    <t>2025.01.01</t>
    <phoneticPr fontId="4" type="noConversion"/>
  </si>
  <si>
    <t>주민번호
체크</t>
    <phoneticPr fontId="4" type="noConversion"/>
  </si>
  <si>
    <t>2026년 상반기 (1월 ~ 6월 적용)</t>
    <phoneticPr fontId="4" type="noConversion"/>
  </si>
  <si>
    <t>국민연금(2025.07.01~2026.06.30)</t>
    <phoneticPr fontId="4" type="noConversion"/>
  </si>
  <si>
    <t>2026년 1월 1일부터 적용</t>
    <phoneticPr fontId="4" type="noConversion"/>
  </si>
  <si>
    <t>2026년 하반기 (7월 ~ 9월 적용)</t>
    <phoneticPr fontId="4" type="noConversion"/>
  </si>
  <si>
    <t>2026년 1월 1일부터 적용</t>
    <phoneticPr fontId="4" type="noConversion"/>
  </si>
  <si>
    <t>2026년 07월 1일부터 적용</t>
    <phoneticPr fontId="4" type="noConversion"/>
  </si>
  <si>
    <t>2026년 하반기 (10월 ~ 12월 적용)</t>
    <phoneticPr fontId="4" type="noConversion"/>
  </si>
  <si>
    <t>651015-1333111</t>
  </si>
  <si>
    <t>630816-1221210</t>
  </si>
  <si>
    <t>701126-1241813</t>
  </si>
  <si>
    <t>김웅탄</t>
  </si>
  <si>
    <t>411111-1519812</t>
  </si>
  <si>
    <t>인천 연수구 솔샘로 87 106호(청학동)</t>
  </si>
  <si>
    <t>010-4890-8284</t>
  </si>
  <si>
    <t>김종국</t>
  </si>
  <si>
    <t>500905-1325613</t>
  </si>
  <si>
    <t>인천 남구 소성로332번길 36, 201호</t>
  </si>
  <si>
    <t>010-4758-7433</t>
  </si>
  <si>
    <t>박원산</t>
  </si>
  <si>
    <t>580603-1155811</t>
  </si>
  <si>
    <t>인천 남동구 남촌동로 15번길 21, 102동 1602호</t>
  </si>
  <si>
    <t>010-2284-9212</t>
  </si>
  <si>
    <t>백동수</t>
  </si>
  <si>
    <t>451223-1520310</t>
  </si>
  <si>
    <t>인천 남구 용현동 456-84 성신빌라 201호</t>
  </si>
  <si>
    <t>010-2683-6831</t>
  </si>
  <si>
    <t>송병훈</t>
  </si>
  <si>
    <t>450130-1149022</t>
  </si>
  <si>
    <t>인천 연수구 독배로 90번길 47, 101동 301호</t>
  </si>
  <si>
    <t>010-3277-4506</t>
  </si>
  <si>
    <t>오복만</t>
  </si>
  <si>
    <t>560203-1253812</t>
  </si>
  <si>
    <t>경기도 용인시 처인구 금령로 134 마평동</t>
  </si>
  <si>
    <t>010-5709-4518</t>
  </si>
  <si>
    <t>유순희</t>
  </si>
  <si>
    <t>430710-1143311</t>
  </si>
  <si>
    <t>인천광역시 남구 숭의동 230-135</t>
  </si>
  <si>
    <t>010-3644-0353</t>
  </si>
  <si>
    <t>이병대</t>
  </si>
  <si>
    <t>610316-1543716</t>
  </si>
  <si>
    <t>서울 강동구 천호동 211-12</t>
  </si>
  <si>
    <t>010-8736-9866</t>
  </si>
  <si>
    <t>이병인</t>
  </si>
  <si>
    <t>500709-1063529</t>
  </si>
  <si>
    <t>인천 연수구 예술로 22번길 20, 401호</t>
  </si>
  <si>
    <t>010-2010-0909</t>
  </si>
  <si>
    <t>이우정</t>
  </si>
  <si>
    <t>560418-1327011</t>
  </si>
  <si>
    <t>인천 남구 소성로 211, 3동 303호 학익동 신동아아파트</t>
  </si>
  <si>
    <t>010-8639-4427</t>
  </si>
  <si>
    <t>정원봉</t>
  </si>
  <si>
    <t>490711-1652917</t>
  </si>
  <si>
    <t>인천 연수구 선학동 347 선학시영아파트 115동 206호</t>
  </si>
  <si>
    <t>010-7732-5769</t>
  </si>
  <si>
    <t>정형기</t>
  </si>
  <si>
    <t>440320-1472111</t>
  </si>
  <si>
    <t>인천 부평구 백범로 340번길 6 십정동</t>
  </si>
  <si>
    <t>010-3705-2432</t>
  </si>
  <si>
    <t>조태휘</t>
  </si>
  <si>
    <t>461015-1148113</t>
  </si>
  <si>
    <t>인천 남구 관교동 13-8 풍림아파트 102동 303호</t>
  </si>
  <si>
    <t>010-7799-6342</t>
  </si>
  <si>
    <t>차용수</t>
  </si>
  <si>
    <t>430320-1141011</t>
  </si>
  <si>
    <t>경기도 부천시원미구 상동  1832-504 반달마을1832동504호</t>
  </si>
  <si>
    <t>010-2820-7710</t>
  </si>
  <si>
    <t>한정수</t>
  </si>
  <si>
    <t>560904-1245511</t>
  </si>
  <si>
    <t>인천 남동구 만수동 1049 담방마을아파트 101동 1102호</t>
  </si>
  <si>
    <t>010-2375-8518</t>
  </si>
  <si>
    <t>김윤자</t>
  </si>
  <si>
    <t>470310-2011417</t>
  </si>
  <si>
    <t>인천광역시 남구 주안동 421-53</t>
  </si>
  <si>
    <t>010-4847-3572</t>
  </si>
  <si>
    <t>이명분</t>
  </si>
  <si>
    <t>491128-2149618</t>
  </si>
  <si>
    <t>인천광역시 남구 주안동 1434-19</t>
  </si>
  <si>
    <t>010-5758-9519</t>
  </si>
  <si>
    <t>이인애</t>
  </si>
  <si>
    <t>491119-2141011</t>
  </si>
  <si>
    <t>인천 남구 주안동 668-6 남승빌라 202호</t>
  </si>
  <si>
    <t>010-4326-7710</t>
  </si>
  <si>
    <t>이정주</t>
  </si>
  <si>
    <t>461024-2143612</t>
  </si>
  <si>
    <t>인천 남구 인하로 198번지 13 주안동</t>
  </si>
  <si>
    <t>010-2375-9442</t>
  </si>
  <si>
    <t>이현자</t>
  </si>
  <si>
    <t>550519-2543711</t>
  </si>
  <si>
    <t>인천 남동구 간석동 1157-1 우신아파트 다동 301호</t>
  </si>
  <si>
    <t>010-3105-5988</t>
  </si>
  <si>
    <t>유군희</t>
  </si>
  <si>
    <t>660220-1249131</t>
  </si>
  <si>
    <t>서울특별시 은평구 구산동 20-9 2/2</t>
  </si>
  <si>
    <t>010-3711-1935</t>
  </si>
  <si>
    <t>1002-539-484383</t>
  </si>
  <si>
    <t>유점희</t>
  </si>
  <si>
    <t>류시현</t>
  </si>
  <si>
    <t>610927-1784016</t>
  </si>
  <si>
    <t>서울특별시 은평구 갈현로29길 53, 지층 B01호</t>
  </si>
  <si>
    <t>010-7609-0150</t>
  </si>
  <si>
    <t>이복필</t>
  </si>
  <si>
    <t>700523-5780194</t>
  </si>
  <si>
    <t>서울특별시 은평구 갈현1동 391-11</t>
  </si>
  <si>
    <t>010-8248-7978</t>
  </si>
  <si>
    <t>302-0008-5936-11</t>
  </si>
  <si>
    <t>LI FUBI</t>
  </si>
  <si>
    <t>김덕인</t>
  </si>
  <si>
    <t>560218-1235012</t>
  </si>
  <si>
    <t>경기도 고양시 덕양구 보광로 18-13</t>
  </si>
  <si>
    <t>010-3273-5067</t>
  </si>
  <si>
    <t>024-01-0485-929</t>
  </si>
  <si>
    <t>남진원</t>
  </si>
  <si>
    <t>640325-1580517</t>
  </si>
  <si>
    <t>서울특별시 은평구 불광동 567-1 2층 우측호</t>
  </si>
  <si>
    <t>010-4231-8211</t>
  </si>
  <si>
    <t>1002-655-064475</t>
  </si>
  <si>
    <t>전형천</t>
  </si>
  <si>
    <t>670605-1233623</t>
  </si>
  <si>
    <t>서울특별시 강서구 가양동 1478 도시개발아파트 405동 802호</t>
  </si>
  <si>
    <t>010-9219-3363</t>
  </si>
  <si>
    <t>132-131-314647</t>
  </si>
  <si>
    <t>송영일</t>
  </si>
  <si>
    <t>810502-1348028</t>
  </si>
  <si>
    <t>부산 연제구 중앙대로 1120번길 24, 602호(연산동)</t>
  </si>
  <si>
    <t>010-4066-8152</t>
  </si>
  <si>
    <t>351-0230-2264-73</t>
  </si>
  <si>
    <t>정해용</t>
  </si>
  <si>
    <t>581026-1117913</t>
  </si>
  <si>
    <t>인천 연수구 독배로90번길 53,9동 B01호 옥련동,송광빌라</t>
  </si>
  <si>
    <t>010-6206-2192</t>
  </si>
  <si>
    <t>361-018197-02-016</t>
  </si>
  <si>
    <t>강진선</t>
  </si>
  <si>
    <t>520309-2149112</t>
  </si>
  <si>
    <t>인천 남구 용현동 124-14</t>
  </si>
  <si>
    <t>010-9516-0145</t>
  </si>
  <si>
    <t>2235-09-011707-2</t>
  </si>
  <si>
    <t>나연자</t>
  </si>
  <si>
    <t>530305-2148311</t>
  </si>
  <si>
    <t>인천시 남구 도화동 533-6</t>
  </si>
  <si>
    <t>010-3751-5258</t>
  </si>
  <si>
    <t>340-07-115896</t>
  </si>
  <si>
    <t>배귀성</t>
  </si>
  <si>
    <t>510415-2258412</t>
  </si>
  <si>
    <t>인천시 남구 경인북길 321, 201호</t>
  </si>
  <si>
    <t>010-4597-1269</t>
  </si>
  <si>
    <t>644201-01-292074</t>
  </si>
  <si>
    <t>송록주</t>
  </si>
  <si>
    <t>550304-2018635</t>
  </si>
  <si>
    <t>인천시 남동구 간석동609</t>
  </si>
  <si>
    <t>010-9110-5950</t>
  </si>
  <si>
    <t>133-12-403184</t>
  </si>
  <si>
    <t>이안순</t>
  </si>
  <si>
    <t>530317-2036617</t>
  </si>
  <si>
    <t>인천시 남구 인하로292</t>
  </si>
  <si>
    <t>010-8782-2561</t>
  </si>
  <si>
    <t>110-012-119990</t>
  </si>
  <si>
    <t>이장임</t>
  </si>
  <si>
    <t>550304-2529011</t>
  </si>
  <si>
    <t>인천시 남구 주안동 851-2</t>
  </si>
  <si>
    <t>010-2447-4697</t>
  </si>
  <si>
    <t>435-25191-269</t>
  </si>
  <si>
    <t>전금순</t>
  </si>
  <si>
    <t>540308-2144512</t>
  </si>
  <si>
    <t>인천시 남구 주안동1600</t>
  </si>
  <si>
    <t>010-2748-2226</t>
  </si>
  <si>
    <t>352-0630-4707-63</t>
  </si>
  <si>
    <t>조순애</t>
  </si>
  <si>
    <t>540424-2025116</t>
  </si>
  <si>
    <t>인천시 남구 도황동 142-11</t>
  </si>
  <si>
    <t>010-6282-1878</t>
  </si>
  <si>
    <t>352-2084-6306-13</t>
  </si>
  <si>
    <t>진순금</t>
  </si>
  <si>
    <t>540913-2394217</t>
  </si>
  <si>
    <t>인천 남동구 논현동 635-1 논현휴먼시아 하늘마을 316동 704호</t>
  </si>
  <si>
    <t>010-5361-8975</t>
  </si>
  <si>
    <t>351-0314-5156-53</t>
  </si>
  <si>
    <t>CUI SONGZHE</t>
  </si>
  <si>
    <t>LI GUANGSHAN</t>
  </si>
  <si>
    <t>QUAN GUANGSHI</t>
  </si>
  <si>
    <t>이성회</t>
  </si>
  <si>
    <t>김우용</t>
  </si>
  <si>
    <t>조왕행</t>
  </si>
  <si>
    <t>700520-2909022</t>
  </si>
  <si>
    <t>NIGAY VLADIMIR</t>
  </si>
  <si>
    <t>경기도 안산시 상로구 둥지길4</t>
  </si>
  <si>
    <t>NIGAY ANATOLIY</t>
  </si>
  <si>
    <t>박찬구</t>
  </si>
  <si>
    <t>204030-56-159309</t>
  </si>
  <si>
    <t>352-0964-6051-63</t>
  </si>
  <si>
    <t>하진욱</t>
  </si>
  <si>
    <t>352601-01-213053</t>
  </si>
  <si>
    <t>650604-1622312</t>
  </si>
  <si>
    <t>유광열</t>
  </si>
  <si>
    <t>600815-1650411</t>
  </si>
  <si>
    <t>서울시 동대문구 제기로21길 63-4</t>
  </si>
  <si>
    <t>010-8750-3852</t>
  </si>
  <si>
    <t>420802-01-297649</t>
  </si>
  <si>
    <t>현영석</t>
  </si>
  <si>
    <t>591020-1037016</t>
  </si>
  <si>
    <t>서울시 서대문구 세무서길 50-1</t>
  </si>
  <si>
    <t>010-5335-3740</t>
  </si>
  <si>
    <t>1002-209-949780</t>
  </si>
  <si>
    <t>김성배</t>
  </si>
  <si>
    <t>540910-1041520</t>
  </si>
  <si>
    <t>서울시 은평구 녹번동 4-262</t>
  </si>
  <si>
    <t>010-2084-1165</t>
  </si>
  <si>
    <t>139-018946-02-039</t>
  </si>
  <si>
    <t>민경식</t>
  </si>
  <si>
    <t>720302-1037116</t>
  </si>
  <si>
    <t>서울특별시 은평구 녹번동 44-26 B02호</t>
  </si>
  <si>
    <t>010-4253-6883</t>
  </si>
  <si>
    <t>110-065-529493</t>
  </si>
  <si>
    <t>문순철</t>
  </si>
  <si>
    <t>580706-5860194</t>
  </si>
  <si>
    <t>서울특별시 은평구 연소로 35길7 101</t>
  </si>
  <si>
    <t>010-7963-6888</t>
  </si>
  <si>
    <t>302-1775-7802-51</t>
  </si>
  <si>
    <t>WEN SHUNZHE</t>
  </si>
  <si>
    <t>김기윤</t>
  </si>
  <si>
    <t>620811-1538913</t>
  </si>
  <si>
    <t>서울특별시 은평구 갈현로31길3, 302호(갈현동, 장성케이씨빌)</t>
  </si>
  <si>
    <t>010-5358-5893</t>
  </si>
  <si>
    <t>833-21-0509-800</t>
  </si>
  <si>
    <t>김수석</t>
  </si>
  <si>
    <t>650502-1810529</t>
  </si>
  <si>
    <t>경기도 남양주시 와부읍 덕소로67-20, 105동 505호</t>
  </si>
  <si>
    <t>010-9185-0935</t>
  </si>
  <si>
    <t>204040-56-201577</t>
  </si>
  <si>
    <t>권오훈</t>
  </si>
  <si>
    <t>640920-1814621</t>
  </si>
  <si>
    <t>경기도 남양주시 와부읍 수레로1번길 28-3, 203호(장미연립)</t>
  </si>
  <si>
    <t>010-3433-9377</t>
  </si>
  <si>
    <t>172080-52-090513</t>
  </si>
  <si>
    <t>윤종현</t>
  </si>
  <si>
    <t>470616-1042211</t>
  </si>
  <si>
    <t>서울특별시 은평구 가좌로21 9-5(응암동)</t>
  </si>
  <si>
    <t>010-8716-9947</t>
  </si>
  <si>
    <t>035802-04-481610</t>
  </si>
  <si>
    <t>김원태</t>
  </si>
  <si>
    <t>590427-5101290</t>
  </si>
  <si>
    <t>서울특별시 은평구 연서로34길 4-14</t>
  </si>
  <si>
    <t>010-5540-5904</t>
  </si>
  <si>
    <t>580-910278-79407</t>
  </si>
  <si>
    <t>JINYUANTAI</t>
  </si>
  <si>
    <t>정재우</t>
  </si>
  <si>
    <t>000404-3038013</t>
  </si>
  <si>
    <t>서울특별시 서대문구 거북골로84, 104동 212호(남가좌동, DMC에코자이)</t>
  </si>
  <si>
    <t>010-7767-5506</t>
  </si>
  <si>
    <t>102822-02-132334</t>
  </si>
  <si>
    <t>110-414-437990</t>
  </si>
  <si>
    <t>304-05-042055</t>
  </si>
  <si>
    <t>352-1743-2793-83</t>
  </si>
  <si>
    <t>121-890110-24607</t>
  </si>
  <si>
    <t>351-0761-0692-63</t>
  </si>
  <si>
    <t>352-1034-5515-03</t>
  </si>
  <si>
    <t>2234-09-008673-9</t>
  </si>
  <si>
    <t>110-412-527148</t>
  </si>
  <si>
    <t>352-1702-4909-03</t>
  </si>
  <si>
    <t>133-12-125675</t>
  </si>
  <si>
    <t>110-300-559320</t>
  </si>
  <si>
    <t>132-132-096895</t>
  </si>
  <si>
    <t>110-479-254923</t>
  </si>
  <si>
    <t>216011-52-042985</t>
  </si>
  <si>
    <t>132-069-090029</t>
  </si>
  <si>
    <t>110-118-001184</t>
  </si>
  <si>
    <t>301-0021-1505-41</t>
  </si>
  <si>
    <t>9002-1804-7397-0</t>
  </si>
  <si>
    <t>170671-52-086183</t>
  </si>
  <si>
    <t>224601-04-129755</t>
  </si>
  <si>
    <t>이현자(외향산)</t>
  </si>
  <si>
    <t>580-20-374487</t>
  </si>
  <si>
    <t>이병호</t>
  </si>
  <si>
    <t>590724-1321219</t>
  </si>
  <si>
    <t>경기도 용인시 처인구 김량장 159-22</t>
  </si>
  <si>
    <t>010-3797-7304</t>
  </si>
  <si>
    <t>235020-52-083554</t>
  </si>
  <si>
    <t>이병묵</t>
  </si>
  <si>
    <t>630504-1321213</t>
  </si>
  <si>
    <t>경기도 수원시 장안구 장안로 211</t>
  </si>
  <si>
    <t>010-9050-5294</t>
  </si>
  <si>
    <t>356-1148-2295-63</t>
  </si>
  <si>
    <t>이춘식</t>
  </si>
  <si>
    <t>610213-1229113</t>
  </si>
  <si>
    <t>경기도 용인시 처인구 유방동 93</t>
  </si>
  <si>
    <t>010-9014-4004</t>
  </si>
  <si>
    <t>235010-56-164581</t>
  </si>
  <si>
    <t>630418-5101795</t>
  </si>
  <si>
    <t>경기도 용인시 처인구 금령로 93번길 12-6</t>
  </si>
  <si>
    <t>010-5755-8878</t>
  </si>
  <si>
    <t>302-0699-9766-61</t>
  </si>
  <si>
    <t>741015-5761090</t>
  </si>
  <si>
    <t>경기도 용인시 처인구 학산로 69</t>
  </si>
  <si>
    <t>010-8689-6778</t>
  </si>
  <si>
    <t>351-0394-9779-43</t>
  </si>
  <si>
    <t>550312-5300299</t>
  </si>
  <si>
    <t>경기도 용인시 처인구 금학로 383번길</t>
  </si>
  <si>
    <t>010-3115-9188</t>
  </si>
  <si>
    <t>9003-2802-2730-1</t>
  </si>
  <si>
    <t>730117-1821011</t>
  </si>
  <si>
    <t>경상남도 창원시 마산합포구 장장군로 3</t>
  </si>
  <si>
    <t>010-5495-9645</t>
  </si>
  <si>
    <t>346-910740-02107</t>
  </si>
  <si>
    <t>550713-1249716</t>
  </si>
  <si>
    <t>경기도 용인시 처인구 포곡읍 포곡로 108번길</t>
  </si>
  <si>
    <t>010-7215-4530</t>
  </si>
  <si>
    <t>9003-2360-9222-2</t>
  </si>
  <si>
    <t>470518-1329213</t>
  </si>
  <si>
    <t>경기도 용인시 처인구 금령로 106번길</t>
  </si>
  <si>
    <t>010-8780-8916</t>
  </si>
  <si>
    <t>356-1489-0156-23</t>
  </si>
  <si>
    <t>이미정</t>
  </si>
  <si>
    <t>경기도 용인시 기흥구 동백8로 131번길 20</t>
  </si>
  <si>
    <t>010-5527-0633</t>
  </si>
  <si>
    <t>110-240-521583</t>
  </si>
  <si>
    <t>김명선</t>
  </si>
  <si>
    <t>570219-1526525</t>
  </si>
  <si>
    <t>서울시 영등포구 신길 2176</t>
  </si>
  <si>
    <t>010-5217-1834</t>
  </si>
  <si>
    <t>110-059-759360</t>
  </si>
  <si>
    <t>장진권</t>
  </si>
  <si>
    <t>용역</t>
  </si>
  <si>
    <t>571216-1069414</t>
  </si>
  <si>
    <t>경기도 용인시 처인구 포곡읍 포곡로118번길</t>
  </si>
  <si>
    <t>010-6312-5256</t>
  </si>
  <si>
    <t>352-0309-1895-63</t>
  </si>
  <si>
    <t>김성준</t>
  </si>
  <si>
    <t>610125-1249228</t>
  </si>
  <si>
    <t>경기도 용인시 포곡면 마성리 304-2</t>
  </si>
  <si>
    <t>010-4615-4531</t>
  </si>
  <si>
    <t>352-1734-3501-63</t>
  </si>
  <si>
    <t>유호열</t>
  </si>
  <si>
    <t>600805-1233826</t>
  </si>
  <si>
    <t>경기도 용인시 처인구 포곡읍 포곡로 272번길</t>
  </si>
  <si>
    <t>010-3409-1127</t>
  </si>
  <si>
    <t>351-1324-2250-13</t>
  </si>
  <si>
    <t>박찬식</t>
  </si>
  <si>
    <t>590407-1906717</t>
  </si>
  <si>
    <t>부산광역시 동구 작전동 768-26</t>
  </si>
  <si>
    <t>010-3837-5876</t>
  </si>
  <si>
    <t>211041-56-176755</t>
  </si>
  <si>
    <t>조영제</t>
  </si>
  <si>
    <t>600326-1822229</t>
  </si>
  <si>
    <t>경상남도 창원시 마산합포구 산호남3길 6-1</t>
  </si>
  <si>
    <t>010-8031-5915</t>
  </si>
  <si>
    <t>110-0027-29329</t>
  </si>
  <si>
    <t>박용선</t>
  </si>
  <si>
    <t>670318-1237525</t>
  </si>
  <si>
    <t>서울시 강서구 강서로8길 192</t>
  </si>
  <si>
    <t>010-5300-0045</t>
  </si>
  <si>
    <t>013243-02-236841</t>
  </si>
  <si>
    <t>641216-5820035</t>
  </si>
  <si>
    <t>010-5755-4575</t>
  </si>
  <si>
    <t>784501-00-427717</t>
  </si>
  <si>
    <t>020521-7820013</t>
  </si>
  <si>
    <t>010-4448-2403</t>
  </si>
  <si>
    <t>110-529-925219</t>
  </si>
  <si>
    <t>570411-1640313</t>
  </si>
  <si>
    <t>경기도 김포시 하성면 전류리 67-9</t>
  </si>
  <si>
    <t>010-9313-6807</t>
  </si>
  <si>
    <t>351-0499-5374-13</t>
  </si>
  <si>
    <t>이제훈</t>
  </si>
  <si>
    <t>560525-1244814</t>
  </si>
  <si>
    <t>경기도 남양주시 별내3로 23</t>
  </si>
  <si>
    <t>010-5272-2183</t>
  </si>
  <si>
    <t>100027-51-038748</t>
  </si>
  <si>
    <t>이주흥</t>
  </si>
  <si>
    <t>580616-1010426</t>
  </si>
  <si>
    <t>서울시 강동구 상일로 74</t>
  </si>
  <si>
    <t>010-5459-6046</t>
  </si>
  <si>
    <t>1002-843-373434</t>
  </si>
  <si>
    <t>용석규</t>
  </si>
  <si>
    <t>670403-1340511</t>
  </si>
  <si>
    <t>경기도 용인시 처인구 포곡읍 진성로21</t>
  </si>
  <si>
    <t>010-5252-1269</t>
  </si>
  <si>
    <t>235020-52-023971</t>
  </si>
  <si>
    <t>이상옥</t>
  </si>
  <si>
    <t>511216-1330619</t>
  </si>
  <si>
    <t>경기도 용인시 처인구 포곡읍 부곡로32번길 9</t>
  </si>
  <si>
    <t>010-8524-8490</t>
  </si>
  <si>
    <t>235020-51-054834</t>
  </si>
  <si>
    <t>이상운</t>
  </si>
  <si>
    <t>601014-1340513</t>
  </si>
  <si>
    <t>경기도 용인시 처인구 포곡읍 전대로 63-3</t>
  </si>
  <si>
    <t>010-4382-2000</t>
  </si>
  <si>
    <t>235020-52-135860</t>
  </si>
  <si>
    <t>김영환</t>
  </si>
  <si>
    <t>520910-1252412</t>
  </si>
  <si>
    <t>경기도 용인시 처인구 고림로22</t>
  </si>
  <si>
    <t>010-4025-8994</t>
  </si>
  <si>
    <t>110-0137-51851</t>
  </si>
  <si>
    <t>정만진</t>
  </si>
  <si>
    <t>620603-1249135</t>
  </si>
  <si>
    <t>경기도 용인시 고림동 438</t>
  </si>
  <si>
    <t>010-6256-0489</t>
  </si>
  <si>
    <t>356-0712-8412-33</t>
  </si>
  <si>
    <t>권경준</t>
  </si>
  <si>
    <t>541217-1675619</t>
  </si>
  <si>
    <t>경기도 용인시 처인구 금학로399번길 11</t>
  </si>
  <si>
    <t>010-4079-8915</t>
  </si>
  <si>
    <t>207179-56-172156</t>
  </si>
  <si>
    <t>김재현</t>
  </si>
  <si>
    <t>550115-1006023</t>
  </si>
  <si>
    <t>경기도 용인시 기흥구 삼하636</t>
  </si>
  <si>
    <t>010-7134-3773</t>
  </si>
  <si>
    <t>302-0765-9777-11</t>
  </si>
  <si>
    <t>박진상</t>
  </si>
  <si>
    <t>560823-1665841</t>
  </si>
  <si>
    <t>경기도 용인시 처인구 포곡읍 전대로69번길 6</t>
  </si>
  <si>
    <t>010-2771-3622</t>
  </si>
  <si>
    <t>235020-51-016240</t>
  </si>
  <si>
    <t>조선환</t>
  </si>
  <si>
    <t>581220-1222024</t>
  </si>
  <si>
    <t>인천광역시 남동구 청능대로718번길 7</t>
  </si>
  <si>
    <t>010-8776-1868</t>
  </si>
  <si>
    <t>130012-52-229539</t>
  </si>
  <si>
    <t>오부택</t>
    <phoneticPr fontId="4" type="noConversion"/>
  </si>
  <si>
    <t>하해군</t>
    <phoneticPr fontId="4" type="noConversion"/>
  </si>
  <si>
    <t>유수진</t>
    <phoneticPr fontId="4" type="noConversion"/>
  </si>
  <si>
    <t>김방수</t>
    <phoneticPr fontId="4" type="noConversion"/>
  </si>
  <si>
    <t>류시현</t>
    <phoneticPr fontId="4" type="noConversion"/>
  </si>
  <si>
    <t>박찬구</t>
    <phoneticPr fontId="4" type="noConversion"/>
  </si>
  <si>
    <t>박찬식</t>
    <phoneticPr fontId="4" type="noConversion"/>
  </si>
  <si>
    <t>하진욱</t>
    <phoneticPr fontId="4" type="noConversion"/>
  </si>
  <si>
    <t>정연복</t>
    <phoneticPr fontId="4" type="noConversion"/>
  </si>
  <si>
    <t>김학춘</t>
    <phoneticPr fontId="4" type="noConversion"/>
  </si>
  <si>
    <t>이찬석</t>
    <phoneticPr fontId="4" type="noConversion"/>
  </si>
  <si>
    <t>이기연</t>
    <phoneticPr fontId="4" type="noConversion"/>
  </si>
  <si>
    <t>조경공</t>
    <phoneticPr fontId="4" type="noConversion"/>
  </si>
  <si>
    <t>590120-1244816</t>
  </si>
  <si>
    <t>651110-1232814</t>
  </si>
  <si>
    <t>경기도 파주시 하지석길 150-67</t>
  </si>
  <si>
    <t>경기도 파주시 정담길 123 101동 602호</t>
  </si>
  <si>
    <t>010-9120-2168</t>
  </si>
  <si>
    <t>010-7671-5881</t>
  </si>
  <si>
    <t>215120-52-005803</t>
  </si>
  <si>
    <t>352-1705-3514-03</t>
  </si>
  <si>
    <t>690525-1321017</t>
    <phoneticPr fontId="4" type="noConversion"/>
  </si>
  <si>
    <t>인천광역시 미추홀구 길파로35번길 71-1, 102호</t>
    <phoneticPr fontId="4" type="noConversion"/>
  </si>
  <si>
    <t>640909-1324212</t>
    <phoneticPr fontId="4" type="noConversion"/>
  </si>
  <si>
    <t>인천광역시 미추홀구 미추홀대로 657번길 22-1</t>
    <phoneticPr fontId="4" type="noConversion"/>
  </si>
  <si>
    <t>LI ZHEXUN(이철훈)</t>
    <phoneticPr fontId="4" type="noConversion"/>
  </si>
  <si>
    <t>621222-5100053</t>
    <phoneticPr fontId="4" type="noConversion"/>
  </si>
  <si>
    <t>인천광역시 미추홀구 수봉남로17번길37 102호(용현동,럭키빌라)</t>
    <phoneticPr fontId="4" type="noConversion"/>
  </si>
  <si>
    <t>CUI CHENGMIN(최성민)</t>
    <phoneticPr fontId="4" type="noConversion"/>
  </si>
  <si>
    <t>710413-5100057</t>
    <phoneticPr fontId="4" type="noConversion"/>
  </si>
  <si>
    <t>JIN YUANTAI(김원태)</t>
    <phoneticPr fontId="4" type="noConversion"/>
  </si>
  <si>
    <t>590427-5101290</t>
    <phoneticPr fontId="4" type="noConversion"/>
  </si>
  <si>
    <t>인천광역시 미추홀구 수봉로70번길 3 202동(숭의동)</t>
    <phoneticPr fontId="4" type="noConversion"/>
  </si>
  <si>
    <t>010-8227-3088</t>
    <phoneticPr fontId="4" type="noConversion"/>
  </si>
  <si>
    <t>010-5824-7954</t>
    <phoneticPr fontId="4" type="noConversion"/>
  </si>
  <si>
    <t>010-5540-5904</t>
    <phoneticPr fontId="4" type="noConversion"/>
  </si>
  <si>
    <t>인천광역시 미추홀구 독정안길 71-20 삼영빌라</t>
    <phoneticPr fontId="4" type="noConversion"/>
  </si>
  <si>
    <t>010-5306-6707</t>
    <phoneticPr fontId="4" type="noConversion"/>
  </si>
  <si>
    <t>580-910278-79407</t>
    <phoneticPr fontId="4" type="noConversion"/>
  </si>
  <si>
    <t>620-910226-10107</t>
    <phoneticPr fontId="4" type="noConversion"/>
  </si>
  <si>
    <t>259201-04-132579</t>
    <phoneticPr fontId="4" type="noConversion"/>
  </si>
  <si>
    <t>024801-04-446948</t>
    <phoneticPr fontId="4" type="noConversion"/>
  </si>
  <si>
    <t>010-2081-4474</t>
    <phoneticPr fontId="4" type="noConversion"/>
  </si>
  <si>
    <t>403-910413-64207</t>
    <phoneticPr fontId="4" type="noConversion"/>
  </si>
  <si>
    <t>LI ZHEXUN
(이철훈)</t>
    <phoneticPr fontId="4" type="noConversion"/>
  </si>
  <si>
    <t>CUI CHENGMIN
(최성민)</t>
    <phoneticPr fontId="4" type="noConversion"/>
  </si>
  <si>
    <t>JIN YUANTAI
(김원태)</t>
    <phoneticPr fontId="4" type="noConversion"/>
  </si>
  <si>
    <t>㈜아 산</t>
    <phoneticPr fontId="4" type="noConversion"/>
  </si>
  <si>
    <t>고색2지구 공원 및 공공공지 조성공사</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</si>
</sst>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2" formatCode="_-&quot;₩&quot;* #,##0_-;\-&quot;₩&quot;* #,##0_-;_-&quot;₩&quot;* &quot;-&quot;_-;_-@_-"/>
    <numFmt numFmtId="41" formatCode="_-* #,##0_-;\-* #,##0_-;_-* &quot;-&quot;_-;_-@_-"/>
    <numFmt numFmtId="176" formatCode="#,#00&quot;원&quot;"/>
    <numFmt numFmtId="177" formatCode="000000\-0000000"/>
    <numFmt numFmtId="178" formatCode="yyyy/mm/dd;@"/>
    <numFmt numFmtId="179" formatCode="0&quot;일&quot;"/>
    <numFmt numFmtId="180" formatCode="0.0_ "/>
    <numFmt numFmtId="181" formatCode="0.0&quot;공수&quot;"/>
    <numFmt numFmtId="182" formatCode="0_ "/>
    <numFmt numFmtId="183" formatCode="General\ &quot;%&quot;"/>
    <numFmt numFmtId="184" formatCode="General\ &quot;일&quot;"/>
    <numFmt numFmtId="185" formatCode="_-* #,##0_-&quot;원&quot;;\-* #,##0_-&quot;원&quot;;_-* &quot;-&quot;_-;_-@_-"/>
    <numFmt numFmtId="186" formatCode="#,##0_);[Red]\(#,##0\)"/>
    <numFmt numFmtId="187" formatCode="_ * #,##0_ ;_ * \-#,##0_ ;_ * &quot;-&quot;_ ;_ @_ "/>
    <numFmt numFmtId="188" formatCode="#,##0.00_ "/>
    <numFmt numFmtId="189" formatCode="_ * #,##0.00_ ;_ * \-#,##0.00_ ;_ * &quot;-&quot;??_ ;_ @_ "/>
    <numFmt numFmtId="190" formatCode="&quot;₩&quot;#,##0.00;[Red]&quot;₩&quot;\-&quot;₩&quot;#,##0.00"/>
    <numFmt numFmtId="191" formatCode="&quot;₩&quot;#,##0;&quot;₩&quot;\-#,##0"/>
    <numFmt numFmtId="192" formatCode="#,##0_ ;[Red]\-#,##0\ "/>
    <numFmt numFmtId="193" formatCode="@\ &quot;월&quot;"/>
    <numFmt numFmtId="194" formatCode="General&quot;년&quot;"/>
    <numFmt numFmtId="195" formatCode="General&quot;월&quot;"/>
    <numFmt numFmtId="196" formatCode="d"/>
    <numFmt numFmtId="197" formatCode="#,##0_ "/>
    <numFmt numFmtId="198" formatCode="#,##0.0_ "/>
    <numFmt numFmtId="199" formatCode="0000#"/>
    <numFmt numFmtId="200" formatCode="yyyy&quot;-&quot;mm&quot;-&quot;dd"/>
    <numFmt numFmtId="201" formatCode="#,##0\ &quot;원&quot;"/>
    <numFmt numFmtId="202" formatCode="#,##0.0_);[Red]\(#,##0.0\)"/>
    <numFmt numFmtId="203" formatCode="#,##0_&amp;&quot;) 에 출역일수를&quot;"/>
    <numFmt numFmtId="204" formatCode="&quot;₩&quot;#,##0_);[Red]\(&quot;₩&quot;#,##0\)"/>
    <numFmt numFmtId="205" formatCode="&quot;₩&quot;#,##0"/>
    <numFmt numFmtId="206" formatCode="0_);[Red]\(0\)"/>
    <numFmt numFmtId="207" formatCode="#,###"/>
    <numFmt numFmtId="208" formatCode="#,##0;\-#,##0;\-;@"/>
  </numFmts>
  <fonts count="127">
    <font>
      <sz val="11"/>
      <color theme="1"/>
      <name val="맑은 고딕"/>
      <family val="2"/>
      <charset val="129"/>
      <scheme val="minor"/>
    </font>
    <font>
      <sz val="11"/>
      <color theme="1"/>
      <name val="Malgun Gothic"/>
      <family val="2"/>
      <charset val="129"/>
    </font>
    <font>
      <sz val="11"/>
      <color theme="1"/>
      <name val="Malgun Gothic"/>
      <family val="2"/>
      <charset val="129"/>
    </font>
    <font>
      <sz val="11"/>
      <color theme="1"/>
      <name val="맑은 고딕"/>
      <family val="2"/>
      <charset val="129"/>
      <scheme val="minor"/>
    </font>
    <font>
      <sz val="8"/>
      <name val="맑은 고딕"/>
      <family val="2"/>
      <charset val="129"/>
      <scheme val="minor"/>
    </font>
    <font>
      <b/>
      <sz val="11"/>
      <color rgb="FFFF0000"/>
      <name val="맑은 고딕"/>
      <family val="3"/>
      <charset val="129"/>
      <scheme val="minor"/>
    </font>
    <font>
      <b/>
      <sz val="11"/>
      <name val="맑은 고딕"/>
      <family val="3"/>
      <charset val="129"/>
      <scheme val="minor"/>
    </font>
    <font>
      <b/>
      <sz val="11"/>
      <color theme="1"/>
      <name val="맑은 고딕"/>
      <family val="3"/>
      <charset val="129"/>
      <scheme val="minor"/>
    </font>
    <font>
      <sz val="11"/>
      <color theme="1"/>
      <name val="맑은 고딕"/>
      <family val="3"/>
      <charset val="129"/>
      <scheme val="minor"/>
    </font>
    <font>
      <sz val="11"/>
      <color rgb="FFFF0000"/>
      <name val="맑은 고딕"/>
      <family val="3"/>
      <charset val="129"/>
      <scheme val="minor"/>
    </font>
    <font>
      <sz val="8"/>
      <name val="Malgun Gothic"/>
      <family val="2"/>
      <charset val="129"/>
    </font>
    <font>
      <b/>
      <sz val="10"/>
      <color theme="1"/>
      <name val="맑은 고딕"/>
      <family val="3"/>
      <charset val="129"/>
      <scheme val="minor"/>
    </font>
    <font>
      <b/>
      <sz val="20"/>
      <color theme="1"/>
      <name val="맑은 고딕"/>
      <family val="3"/>
      <charset val="129"/>
      <scheme val="minor"/>
    </font>
    <font>
      <b/>
      <sz val="18"/>
      <color theme="1"/>
      <name val="맑은 고딕"/>
      <family val="3"/>
      <charset val="129"/>
      <scheme val="minor"/>
    </font>
    <font>
      <sz val="11"/>
      <name val="맑은 고딕"/>
      <family val="3"/>
      <charset val="129"/>
      <scheme val="minor"/>
    </font>
    <font>
      <sz val="11"/>
      <name val="돋움"/>
      <family val="3"/>
      <charset val="129"/>
    </font>
    <font>
      <sz val="12"/>
      <name val="바탕체"/>
      <family val="1"/>
      <charset val="129"/>
    </font>
    <font>
      <sz val="12"/>
      <name val="굴림체"/>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1"/>
      <name val="굴림체"/>
      <family val="3"/>
      <charset val="129"/>
    </font>
    <font>
      <sz val="14"/>
      <name val="뼻뮝"/>
      <family val="1"/>
      <charset val="129"/>
    </font>
    <font>
      <sz val="12"/>
      <name val="뼻뮝"/>
      <family val="1"/>
      <charset val="129"/>
    </font>
    <font>
      <b/>
      <sz val="10"/>
      <name val="Helv"/>
      <family val="2"/>
    </font>
    <font>
      <sz val="10"/>
      <name val="Arial"/>
      <family val="2"/>
    </font>
    <font>
      <sz val="8"/>
      <name val="Arial"/>
      <family val="2"/>
    </font>
    <font>
      <b/>
      <sz val="12"/>
      <name val="Helv"/>
      <family val="2"/>
    </font>
    <font>
      <b/>
      <sz val="12"/>
      <name val="Arial"/>
      <family val="2"/>
    </font>
    <font>
      <b/>
      <sz val="11"/>
      <name val="Helv"/>
      <family val="2"/>
    </font>
    <font>
      <b/>
      <u/>
      <sz val="13"/>
      <name val="굴림체"/>
      <family val="3"/>
      <charset val="129"/>
    </font>
    <font>
      <b/>
      <sz val="18"/>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sz val="10"/>
      <color theme="1"/>
      <name val="맑은 고딕"/>
      <family val="3"/>
      <charset val="129"/>
      <scheme val="major"/>
    </font>
    <font>
      <b/>
      <sz val="11"/>
      <color rgb="FFFF0000"/>
      <name val="맑은 고딕"/>
      <family val="3"/>
      <charset val="129"/>
      <scheme val="major"/>
    </font>
    <font>
      <sz val="10"/>
      <color theme="1"/>
      <name val="맑은 고딕"/>
      <family val="3"/>
      <charset val="129"/>
      <scheme val="minor"/>
    </font>
    <font>
      <sz val="11"/>
      <color rgb="FFFF0000"/>
      <name val="맑은 고딕"/>
      <family val="2"/>
      <charset val="129"/>
      <scheme val="minor"/>
    </font>
    <font>
      <sz val="8"/>
      <name val="돋움"/>
      <family val="3"/>
      <charset val="129"/>
    </font>
    <font>
      <sz val="11"/>
      <color indexed="8"/>
      <name val="맑은 고딕"/>
      <family val="3"/>
      <charset val="129"/>
      <scheme val="minor"/>
    </font>
    <font>
      <sz val="8"/>
      <name val="맑은 고딕"/>
      <family val="3"/>
      <charset val="129"/>
    </font>
    <font>
      <b/>
      <sz val="10"/>
      <name val="맑은 고딕"/>
      <family val="3"/>
      <charset val="129"/>
      <scheme val="major"/>
    </font>
    <font>
      <sz val="10"/>
      <color indexed="8"/>
      <name val="맑은 고딕"/>
      <family val="3"/>
      <charset val="129"/>
      <scheme val="major"/>
    </font>
    <font>
      <b/>
      <sz val="9"/>
      <color indexed="10"/>
      <name val="맑은 고딕"/>
      <family val="3"/>
      <charset val="129"/>
    </font>
    <font>
      <b/>
      <sz val="10"/>
      <color rgb="FFFF0000"/>
      <name val="맑은 고딕"/>
      <family val="3"/>
      <charset val="129"/>
      <scheme val="major"/>
    </font>
    <font>
      <b/>
      <sz val="9"/>
      <color indexed="17"/>
      <name val="맑은 고딕"/>
      <family val="3"/>
      <charset val="129"/>
    </font>
    <font>
      <sz val="9"/>
      <color theme="1"/>
      <name val="맑은 고딕"/>
      <family val="2"/>
      <charset val="129"/>
      <scheme val="minor"/>
    </font>
    <font>
      <sz val="9"/>
      <color theme="1"/>
      <name val="맑은 고딕"/>
      <family val="3"/>
      <charset val="129"/>
      <scheme val="minor"/>
    </font>
    <font>
      <b/>
      <sz val="9"/>
      <color indexed="81"/>
      <name val="굴림"/>
      <family val="3"/>
      <charset val="129"/>
    </font>
    <font>
      <sz val="9"/>
      <color indexed="81"/>
      <name val="굴림"/>
      <family val="3"/>
      <charset val="129"/>
    </font>
    <font>
      <sz val="9"/>
      <color indexed="81"/>
      <name val="Tahoma"/>
      <family val="2"/>
    </font>
    <font>
      <b/>
      <sz val="9"/>
      <color indexed="81"/>
      <name val="맑은 고딕"/>
      <family val="3"/>
      <charset val="129"/>
      <scheme val="minor"/>
    </font>
    <font>
      <b/>
      <sz val="9"/>
      <color indexed="81"/>
      <name val="Tahoma"/>
      <family val="2"/>
    </font>
    <font>
      <sz val="9"/>
      <color indexed="81"/>
      <name val="돋움"/>
      <family val="3"/>
      <charset val="129"/>
    </font>
    <font>
      <b/>
      <sz val="9"/>
      <name val="맑은 고딕"/>
      <family val="3"/>
      <charset val="129"/>
      <scheme val="major"/>
    </font>
    <font>
      <b/>
      <sz val="9"/>
      <color indexed="9"/>
      <name val="맑은 고딕"/>
      <family val="3"/>
      <charset val="129"/>
      <scheme val="major"/>
    </font>
    <font>
      <b/>
      <sz val="9"/>
      <color indexed="22"/>
      <name val="맑은 고딕"/>
      <family val="3"/>
      <charset val="129"/>
      <scheme val="major"/>
    </font>
    <font>
      <b/>
      <sz val="9"/>
      <color rgb="FFFF0000"/>
      <name val="맑은 고딕"/>
      <family val="3"/>
      <charset val="129"/>
      <scheme val="major"/>
    </font>
    <font>
      <sz val="9"/>
      <name val="맑은 고딕"/>
      <family val="3"/>
      <charset val="129"/>
      <scheme val="major"/>
    </font>
    <font>
      <sz val="9"/>
      <color rgb="FFFF0000"/>
      <name val="맑은 고딕"/>
      <family val="3"/>
      <charset val="129"/>
      <scheme val="major"/>
    </font>
    <font>
      <sz val="10"/>
      <color theme="1"/>
      <name val="맑은 고딕"/>
      <family val="2"/>
      <charset val="129"/>
      <scheme val="minor"/>
    </font>
    <font>
      <sz val="10"/>
      <color rgb="FFFF0000"/>
      <name val="맑은 고딕"/>
      <family val="2"/>
      <charset val="129"/>
      <scheme val="minor"/>
    </font>
    <font>
      <sz val="10"/>
      <color rgb="FFFF0000"/>
      <name val="맑은 고딕"/>
      <family val="3"/>
      <charset val="129"/>
      <scheme val="minor"/>
    </font>
    <font>
      <sz val="10"/>
      <color rgb="FF0000FF"/>
      <name val="맑은 고딕"/>
      <family val="3"/>
      <charset val="129"/>
      <scheme val="minor"/>
    </font>
    <font>
      <b/>
      <i/>
      <sz val="9"/>
      <color theme="1"/>
      <name val="맑은 고딕"/>
      <family val="2"/>
      <charset val="129"/>
      <scheme val="minor"/>
    </font>
    <font>
      <b/>
      <i/>
      <sz val="9"/>
      <color theme="1"/>
      <name val="맑은 고딕"/>
      <family val="3"/>
      <charset val="129"/>
      <scheme val="minor"/>
    </font>
    <font>
      <b/>
      <i/>
      <sz val="9"/>
      <color rgb="FFFF0000"/>
      <name val="맑은 고딕"/>
      <family val="3"/>
      <charset val="129"/>
      <scheme val="minor"/>
    </font>
    <font>
      <sz val="12"/>
      <name val="Calibri"/>
      <family val="2"/>
    </font>
    <font>
      <sz val="9"/>
      <name val="맑은 고딕"/>
      <family val="3"/>
      <charset val="129"/>
      <scheme val="minor"/>
    </font>
    <font>
      <sz val="11"/>
      <name val="돋움"/>
      <family val="3"/>
    </font>
    <font>
      <b/>
      <sz val="8"/>
      <name val="맑은 고딕"/>
      <family val="3"/>
      <charset val="129"/>
      <scheme val="minor"/>
    </font>
    <font>
      <b/>
      <sz val="18"/>
      <name val="맑은 고딕"/>
      <family val="3"/>
      <charset val="129"/>
      <scheme val="minor"/>
    </font>
    <font>
      <b/>
      <sz val="9"/>
      <name val="맑은 고딕"/>
      <family val="3"/>
      <charset val="129"/>
      <scheme val="minor"/>
    </font>
    <font>
      <b/>
      <sz val="9"/>
      <color theme="1"/>
      <name val="맑은 고딕"/>
      <family val="3"/>
      <charset val="129"/>
      <scheme val="minor"/>
    </font>
    <font>
      <b/>
      <sz val="9"/>
      <color rgb="FFFF0000"/>
      <name val="맑은 고딕"/>
      <family val="3"/>
      <charset val="129"/>
      <scheme val="minor"/>
    </font>
    <font>
      <sz val="9"/>
      <name val="맑은 고딕"/>
      <family val="3"/>
      <charset val="129"/>
    </font>
    <font>
      <b/>
      <u/>
      <sz val="9"/>
      <color rgb="FFFF0000"/>
      <name val="맑은 고딕"/>
      <family val="3"/>
      <charset val="129"/>
      <scheme val="minor"/>
    </font>
    <font>
      <sz val="9"/>
      <color theme="1"/>
      <name val="맑은 고딕"/>
      <family val="3"/>
      <charset val="129"/>
    </font>
    <font>
      <sz val="9"/>
      <color theme="0" tint="-0.34998626667073579"/>
      <name val="맑은 고딕"/>
      <family val="3"/>
      <charset val="129"/>
      <scheme val="minor"/>
    </font>
    <font>
      <b/>
      <sz val="14"/>
      <color indexed="81"/>
      <name val="Tahoma"/>
      <family val="2"/>
    </font>
    <font>
      <b/>
      <sz val="14"/>
      <color indexed="81"/>
      <name val="돋움"/>
      <family val="3"/>
      <charset val="129"/>
    </font>
    <font>
      <sz val="11"/>
      <color indexed="81"/>
      <name val="돋움"/>
      <family val="3"/>
      <charset val="129"/>
    </font>
    <font>
      <sz val="11"/>
      <color indexed="81"/>
      <name val="Tahoma"/>
      <family val="2"/>
    </font>
    <font>
      <sz val="11"/>
      <color theme="1"/>
      <name val="맑은 고딕"/>
      <family val="3"/>
      <charset val="129"/>
    </font>
    <font>
      <sz val="11"/>
      <color rgb="FF000000"/>
      <name val="맑은 고딕"/>
      <family val="3"/>
      <charset val="129"/>
    </font>
    <font>
      <b/>
      <sz val="11"/>
      <color rgb="FF000000"/>
      <name val="맑은 고딕"/>
      <family val="3"/>
      <charset val="129"/>
    </font>
    <font>
      <sz val="11"/>
      <color rgb="FF0000FF"/>
      <name val="맑은 고딕"/>
      <family val="3"/>
      <charset val="129"/>
    </font>
    <font>
      <b/>
      <sz val="9"/>
      <color indexed="8"/>
      <name val="맑은 고딕"/>
      <family val="3"/>
      <charset val="129"/>
      <scheme val="major"/>
    </font>
    <font>
      <sz val="11"/>
      <color theme="0"/>
      <name val="맑은 고딕"/>
      <family val="3"/>
      <charset val="129"/>
      <scheme val="minor"/>
    </font>
    <font>
      <b/>
      <sz val="10"/>
      <color rgb="FFFF0000"/>
      <name val="맑은 고딕"/>
      <family val="3"/>
      <charset val="129"/>
      <scheme val="minor"/>
    </font>
    <font>
      <b/>
      <sz val="10"/>
      <color rgb="FF0000FF"/>
      <name val="맑은 고딕"/>
      <family val="3"/>
      <charset val="129"/>
      <scheme val="minor"/>
    </font>
    <font>
      <sz val="10"/>
      <name val="맑은 고딕"/>
      <family val="3"/>
      <charset val="129"/>
      <scheme val="major"/>
    </font>
    <font>
      <b/>
      <sz val="10"/>
      <color rgb="FF0000FF"/>
      <name val="맑은 고딕"/>
      <family val="3"/>
      <charset val="129"/>
      <scheme val="major"/>
    </font>
    <font>
      <b/>
      <sz val="8"/>
      <name val="맑은 고딕"/>
      <family val="3"/>
      <charset val="129"/>
      <scheme val="major"/>
    </font>
    <font>
      <b/>
      <u/>
      <sz val="9"/>
      <color theme="1"/>
      <name val="맑은 고딕"/>
      <family val="3"/>
      <charset val="129"/>
      <scheme val="minor"/>
    </font>
    <font>
      <b/>
      <sz val="10"/>
      <color indexed="81"/>
      <name val="맑은 고딕"/>
      <family val="3"/>
      <charset val="129"/>
      <scheme val="major"/>
    </font>
    <font>
      <sz val="13"/>
      <color indexed="8"/>
      <name val="맑은 고딕"/>
      <family val="3"/>
      <charset val="129"/>
      <scheme val="minor"/>
    </font>
    <font>
      <b/>
      <sz val="18"/>
      <color indexed="8"/>
      <name val="맑은 고딕"/>
      <family val="3"/>
      <charset val="129"/>
      <scheme val="minor"/>
    </font>
    <font>
      <sz val="11"/>
      <color indexed="8"/>
      <name val="맑은 고딕"/>
      <family val="3"/>
      <charset val="129"/>
    </font>
    <font>
      <b/>
      <sz val="11"/>
      <color indexed="8"/>
      <name val="맑은 고딕"/>
      <family val="3"/>
      <charset val="129"/>
      <scheme val="minor"/>
    </font>
    <font>
      <b/>
      <sz val="11"/>
      <color rgb="FF000000"/>
      <name val="맑은 고딕"/>
      <family val="3"/>
      <charset val="129"/>
      <scheme val="minor"/>
    </font>
    <font>
      <sz val="10"/>
      <color indexed="8"/>
      <name val="맑은 고딕"/>
      <family val="3"/>
      <charset val="129"/>
      <scheme val="minor"/>
    </font>
    <font>
      <sz val="9"/>
      <color indexed="8"/>
      <name val="맑은 고딕"/>
      <family val="3"/>
      <charset val="129"/>
      <scheme val="minor"/>
    </font>
    <font>
      <sz val="11"/>
      <color theme="1"/>
      <name val="맑은 고딕"/>
      <family val="2"/>
      <scheme val="minor"/>
    </font>
    <font>
      <b/>
      <sz val="12"/>
      <color indexed="8"/>
      <name val="맑은 고딕"/>
      <family val="3"/>
      <charset val="129"/>
      <scheme val="minor"/>
    </font>
    <font>
      <sz val="12"/>
      <color indexed="8"/>
      <name val="맑은 고딕"/>
      <family val="3"/>
      <charset val="129"/>
      <scheme val="minor"/>
    </font>
    <font>
      <b/>
      <u/>
      <sz val="18"/>
      <color indexed="8"/>
      <name val="맑은 고딕"/>
      <family val="3"/>
      <charset val="129"/>
      <scheme val="minor"/>
    </font>
    <font>
      <sz val="8"/>
      <color indexed="8"/>
      <name val="맑은 고딕"/>
      <family val="3"/>
      <charset val="129"/>
      <scheme val="minor"/>
    </font>
    <font>
      <sz val="10"/>
      <name val="맑은 고딕"/>
      <family val="3"/>
      <charset val="129"/>
      <scheme val="minor"/>
    </font>
    <font>
      <sz val="16"/>
      <color indexed="8"/>
      <name val="맑은 고딕"/>
      <family val="3"/>
      <charset val="129"/>
      <scheme val="minor"/>
    </font>
    <font>
      <b/>
      <sz val="16"/>
      <color rgb="FF000000"/>
      <name val="맑은 고딕"/>
      <family val="3"/>
      <charset val="129"/>
      <scheme val="minor"/>
    </font>
    <font>
      <u/>
      <sz val="10"/>
      <color indexed="10"/>
      <name val="맑은 고딕"/>
      <family val="3"/>
      <charset val="129"/>
      <scheme val="minor"/>
    </font>
    <font>
      <b/>
      <sz val="10"/>
      <color indexed="12"/>
      <name val="맑은 고딕"/>
      <family val="3"/>
      <charset val="129"/>
      <scheme val="minor"/>
    </font>
    <font>
      <sz val="18"/>
      <name val="맑은 고딕"/>
      <family val="3"/>
      <charset val="129"/>
      <scheme val="minor"/>
    </font>
    <font>
      <b/>
      <sz val="20"/>
      <name val="맑은 고딕"/>
      <family val="3"/>
      <charset val="129"/>
      <scheme val="minor"/>
    </font>
    <font>
      <b/>
      <sz val="10"/>
      <name val="맑은 고딕"/>
      <family val="3"/>
      <charset val="129"/>
      <scheme val="minor"/>
    </font>
    <font>
      <sz val="13"/>
      <name val="맑은 고딕"/>
      <family val="3"/>
      <charset val="129"/>
      <scheme val="minor"/>
    </font>
    <font>
      <sz val="12"/>
      <name val="맑은 고딕"/>
      <family val="3"/>
      <charset val="129"/>
      <scheme val="minor"/>
    </font>
    <font>
      <b/>
      <sz val="13"/>
      <name val="맑은 고딕"/>
      <family val="3"/>
      <charset val="129"/>
      <scheme val="minor"/>
    </font>
    <font>
      <sz val="11.5"/>
      <color rgb="FF000000"/>
      <name val="맑은 고딕"/>
      <family val="3"/>
      <charset val="129"/>
      <scheme val="minor"/>
    </font>
    <font>
      <b/>
      <u/>
      <sz val="14"/>
      <color rgb="FF000000"/>
      <name val="맑은 고딕"/>
      <family val="3"/>
      <charset val="129"/>
      <scheme val="minor"/>
    </font>
    <font>
      <sz val="11"/>
      <color rgb="FF000000"/>
      <name val="맑은 고딕"/>
      <family val="3"/>
      <charset val="129"/>
      <scheme val="minor"/>
    </font>
    <font>
      <b/>
      <sz val="13"/>
      <color theme="1"/>
      <name val="맑은 고딕"/>
      <family val="3"/>
      <charset val="129"/>
      <scheme val="minor"/>
    </font>
    <font>
      <sz val="10"/>
      <color rgb="FF000000"/>
      <name val="맑은 고딕"/>
      <family val="3"/>
      <charset val="129"/>
      <scheme val="minor"/>
    </font>
    <font>
      <sz val="18"/>
      <color theme="1"/>
      <name val="맑은 고딕"/>
      <family val="3"/>
      <charset val="129"/>
      <scheme val="minor"/>
    </font>
    <font>
      <sz val="18"/>
      <color rgb="FFFF0000"/>
      <name val="맑은 고딕"/>
      <family val="3"/>
      <charset val="129"/>
      <scheme val="minor"/>
    </font>
    <font>
      <b/>
      <sz val="11"/>
      <color rgb="FF00B0F0"/>
      <name val="맑은 고딕"/>
      <family val="3"/>
      <charset val="129"/>
      <scheme val="minor"/>
    </font>
  </fonts>
  <fills count="26">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indexed="9"/>
        <bgColor indexed="64"/>
      </patternFill>
    </fill>
    <fill>
      <patternFill patternType="solid">
        <fgColor rgb="FFFFFF99"/>
        <bgColor indexed="64"/>
      </patternFill>
    </fill>
    <fill>
      <patternFill patternType="solid">
        <fgColor rgb="FFFFC000"/>
        <bgColor indexed="64"/>
      </patternFill>
    </fill>
    <fill>
      <patternFill patternType="solid">
        <fgColor rgb="FFF6D0FC"/>
        <bgColor indexed="64"/>
      </patternFill>
    </fill>
    <fill>
      <patternFill patternType="solid">
        <fgColor rgb="FF92D050"/>
        <bgColor indexed="64"/>
      </patternFill>
    </fill>
    <fill>
      <patternFill patternType="solid">
        <fgColor rgb="FFFFFF00"/>
        <bgColor indexed="64"/>
      </patternFill>
    </fill>
    <fill>
      <patternFill patternType="solid">
        <fgColor indexed="22"/>
        <bgColor indexed="64"/>
      </patternFill>
    </fill>
    <fill>
      <patternFill patternType="solid">
        <fgColor theme="0" tint="-0.249977111117893"/>
        <bgColor indexed="64"/>
      </patternFill>
    </fill>
    <fill>
      <patternFill patternType="solid">
        <fgColor rgb="FFFFFFCC"/>
        <bgColor indexed="64"/>
      </patternFill>
    </fill>
    <fill>
      <patternFill patternType="solid">
        <fgColor theme="5" tint="0.79998168889431442"/>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0" tint="-4.9989318521683403E-2"/>
        <bgColor indexed="64"/>
      </patternFill>
    </fill>
    <fill>
      <patternFill patternType="solid">
        <fgColor rgb="FFE5E5E5"/>
        <bgColor indexed="64"/>
      </patternFill>
    </fill>
    <fill>
      <patternFill patternType="solid">
        <fgColor rgb="FFDDDDDD"/>
        <bgColor indexed="64"/>
      </patternFill>
    </fill>
    <fill>
      <patternFill patternType="solid">
        <fgColor rgb="FFCCFF66"/>
        <bgColor indexed="64"/>
      </patternFill>
    </fill>
    <fill>
      <patternFill patternType="solid">
        <fgColor theme="8" tint="0.39997558519241921"/>
        <bgColor indexed="64"/>
      </patternFill>
    </fill>
    <fill>
      <patternFill patternType="solid">
        <fgColor theme="7" tint="0.79998168889431442"/>
        <bgColor indexed="64"/>
      </patternFill>
    </fill>
  </fills>
  <borders count="18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right/>
      <top/>
      <bottom style="thin">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indexed="64"/>
      </right>
      <top style="hair">
        <color auto="1"/>
      </top>
      <bottom style="thin">
        <color auto="1"/>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auto="1"/>
      </left>
      <right style="hair">
        <color auto="1"/>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auto="1"/>
      </left>
      <right/>
      <top style="thin">
        <color auto="1"/>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auto="1"/>
      </left>
      <right/>
      <top style="hair">
        <color auto="1"/>
      </top>
      <bottom style="hair">
        <color auto="1"/>
      </bottom>
      <diagonal/>
    </border>
    <border>
      <left style="thin">
        <color auto="1"/>
      </left>
      <right/>
      <top/>
      <bottom/>
      <diagonal/>
    </border>
    <border>
      <left/>
      <right style="thin">
        <color indexed="64"/>
      </right>
      <top/>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hair">
        <color auto="1"/>
      </left>
      <right style="hair">
        <color auto="1"/>
      </right>
      <top style="hair">
        <color auto="1"/>
      </top>
      <bottom style="hair">
        <color auto="1"/>
      </bottom>
      <diagonal/>
    </border>
    <border>
      <left style="thin">
        <color indexed="64"/>
      </left>
      <right style="hair">
        <color indexed="64"/>
      </right>
      <top style="hair">
        <color auto="1"/>
      </top>
      <bottom style="hair">
        <color auto="1"/>
      </bottom>
      <diagonal/>
    </border>
    <border>
      <left/>
      <right/>
      <top style="thin">
        <color auto="1"/>
      </top>
      <bottom style="medium">
        <color auto="1"/>
      </bottom>
      <diagonal/>
    </border>
    <border>
      <left/>
      <right/>
      <top style="medium">
        <color indexed="64"/>
      </top>
      <bottom style="thin">
        <color indexed="64"/>
      </bottom>
      <diagonal/>
    </border>
    <border>
      <left style="hair">
        <color auto="1"/>
      </left>
      <right/>
      <top style="thin">
        <color indexed="64"/>
      </top>
      <bottom style="hair">
        <color indexed="64"/>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right style="hair">
        <color auto="1"/>
      </right>
      <top style="thin">
        <color auto="1"/>
      </top>
      <bottom style="hair">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hair">
        <color auto="1"/>
      </right>
      <top/>
      <bottom style="thin">
        <color auto="1"/>
      </bottom>
      <diagonal/>
    </border>
    <border>
      <left style="thin">
        <color auto="1"/>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indexed="64"/>
      </right>
      <top style="hair">
        <color auto="1"/>
      </top>
      <bottom style="thin">
        <color auto="1"/>
      </bottom>
      <diagonal/>
    </border>
    <border>
      <left style="hair">
        <color auto="1"/>
      </left>
      <right style="hair">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bottom/>
      <diagonal/>
    </border>
    <border>
      <left/>
      <right/>
      <top/>
      <bottom style="medium">
        <color auto="1"/>
      </bottom>
      <diagonal/>
    </border>
    <border>
      <left style="thin">
        <color indexed="64"/>
      </left>
      <right style="hair">
        <color auto="1"/>
      </right>
      <top style="thin">
        <color indexed="64"/>
      </top>
      <bottom style="thin">
        <color auto="1"/>
      </bottom>
      <diagonal/>
    </border>
    <border>
      <left/>
      <right/>
      <top style="double">
        <color indexed="64"/>
      </top>
      <bottom/>
      <diagonal/>
    </border>
    <border>
      <left/>
      <right/>
      <top style="medium">
        <color indexed="64"/>
      </top>
      <bottom style="medium">
        <color indexed="64"/>
      </bottom>
      <diagonal/>
    </border>
    <border diagonalUp="1">
      <left style="hair">
        <color auto="1"/>
      </left>
      <right style="thin">
        <color indexed="64"/>
      </right>
      <top style="thin">
        <color indexed="64"/>
      </top>
      <bottom style="thin">
        <color auto="1"/>
      </bottom>
      <diagonal style="hair">
        <color auto="1"/>
      </diagonal>
    </border>
    <border diagonalUp="1">
      <left style="hair">
        <color indexed="64"/>
      </left>
      <right style="thin">
        <color indexed="64"/>
      </right>
      <top style="thin">
        <color indexed="64"/>
      </top>
      <bottom style="hair">
        <color indexed="64"/>
      </bottom>
      <diagonal style="hair">
        <color indexed="64"/>
      </diagonal>
    </border>
    <border>
      <left style="hair">
        <color auto="1"/>
      </left>
      <right/>
      <top/>
      <bottom style="thin">
        <color auto="1"/>
      </bottom>
      <diagonal/>
    </border>
    <border>
      <left style="thin">
        <color indexed="64"/>
      </left>
      <right style="thin">
        <color indexed="64"/>
      </right>
      <top style="hair">
        <color auto="1"/>
      </top>
      <bottom/>
      <diagonal/>
    </border>
    <border>
      <left style="hair">
        <color auto="1"/>
      </left>
      <right style="hair">
        <color auto="1"/>
      </right>
      <top/>
      <bottom style="thin">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diagonalUp="1">
      <left/>
      <right style="thin">
        <color indexed="64"/>
      </right>
      <top style="thin">
        <color indexed="64"/>
      </top>
      <bottom style="thin">
        <color auto="1"/>
      </bottom>
      <diagonal style="hair">
        <color auto="1"/>
      </diagonal>
    </border>
    <border>
      <left style="hair">
        <color auto="1"/>
      </left>
      <right style="thin">
        <color auto="1"/>
      </right>
      <top style="thin">
        <color indexed="64"/>
      </top>
      <bottom/>
      <diagonal/>
    </border>
    <border>
      <left style="hair">
        <color auto="1"/>
      </left>
      <right style="thin">
        <color auto="1"/>
      </right>
      <top/>
      <bottom style="thin">
        <color auto="1"/>
      </bottom>
      <diagonal/>
    </border>
    <border>
      <left style="thin">
        <color auto="1"/>
      </left>
      <right style="thin">
        <color auto="1"/>
      </right>
      <top style="medium">
        <color auto="1"/>
      </top>
      <bottom style="medium">
        <color auto="1"/>
      </bottom>
      <diagonal/>
    </border>
    <border>
      <left/>
      <right style="medium">
        <color auto="1"/>
      </right>
      <top/>
      <bottom style="hair">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hair">
        <color auto="1"/>
      </top>
      <bottom/>
      <diagonal/>
    </border>
    <border>
      <left style="hair">
        <color auto="1"/>
      </left>
      <right style="thin">
        <color auto="1"/>
      </right>
      <top style="thin">
        <color auto="1"/>
      </top>
      <bottom style="thin">
        <color auto="1"/>
      </bottom>
      <diagonal/>
    </border>
    <border>
      <left/>
      <right style="thin">
        <color auto="1"/>
      </right>
      <top style="medium">
        <color auto="1"/>
      </top>
      <bottom style="medium">
        <color auto="1"/>
      </bottom>
      <diagonal/>
    </border>
    <border>
      <left/>
      <right style="thin">
        <color auto="1"/>
      </right>
      <top style="hair">
        <color auto="1"/>
      </top>
      <bottom/>
      <diagonal/>
    </border>
    <border>
      <left style="hair">
        <color indexed="64"/>
      </left>
      <right style="hair">
        <color indexed="64"/>
      </right>
      <top style="hair">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medium">
        <color theme="9" tint="-0.2499465926084170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medium">
        <color auto="1"/>
      </top>
      <bottom style="hair">
        <color auto="1"/>
      </bottom>
      <diagonal/>
    </border>
    <border>
      <left style="medium">
        <color auto="1"/>
      </left>
      <right style="thin">
        <color auto="1"/>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right style="medium">
        <color auto="1"/>
      </right>
      <top style="hair">
        <color auto="1"/>
      </top>
      <bottom style="hair">
        <color auto="1"/>
      </bottom>
      <diagonal/>
    </border>
    <border>
      <left style="thin">
        <color auto="1"/>
      </left>
      <right style="thin">
        <color auto="1"/>
      </right>
      <top style="double">
        <color auto="1"/>
      </top>
      <bottom style="thin">
        <color auto="1"/>
      </bottom>
      <diagonal/>
    </border>
    <border>
      <left/>
      <right/>
      <top style="double">
        <color auto="1"/>
      </top>
      <bottom style="thin">
        <color auto="1"/>
      </bottom>
      <diagonal/>
    </border>
    <border>
      <left style="hair">
        <color auto="1"/>
      </left>
      <right style="medium">
        <color indexed="64"/>
      </right>
      <top style="thin">
        <color auto="1"/>
      </top>
      <bottom style="hair">
        <color auto="1"/>
      </bottom>
      <diagonal/>
    </border>
    <border>
      <left style="hair">
        <color auto="1"/>
      </left>
      <right style="medium">
        <color indexed="64"/>
      </right>
      <top style="hair">
        <color auto="1"/>
      </top>
      <bottom style="thin">
        <color indexed="64"/>
      </bottom>
      <diagonal/>
    </border>
    <border>
      <left/>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64"/>
      </bottom>
      <diagonal/>
    </border>
    <border>
      <left/>
      <right/>
      <top style="thin">
        <color indexed="64"/>
      </top>
      <bottom style="thin">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top style="hair">
        <color indexed="8"/>
      </top>
      <bottom/>
      <diagonal/>
    </border>
    <border>
      <left/>
      <right/>
      <top style="hair">
        <color indexed="8"/>
      </top>
      <bottom style="hair">
        <color indexed="8"/>
      </bottom>
      <diagonal/>
    </border>
    <border>
      <left/>
      <right style="thin">
        <color indexed="8"/>
      </right>
      <top style="hair">
        <color indexed="8"/>
      </top>
      <bottom style="hair">
        <color indexed="8"/>
      </bottom>
      <diagonal/>
    </border>
    <border>
      <left/>
      <right/>
      <top/>
      <bottom style="hair">
        <color indexed="8"/>
      </bottom>
      <diagonal/>
    </border>
    <border>
      <left/>
      <right style="thin">
        <color indexed="8"/>
      </right>
      <top/>
      <bottom/>
      <diagonal/>
    </border>
    <border>
      <left style="thin">
        <color indexed="8"/>
      </left>
      <right/>
      <top/>
      <bottom style="thin">
        <color indexed="8"/>
      </bottom>
      <diagonal/>
    </border>
    <border>
      <left/>
      <right style="thin">
        <color indexed="8"/>
      </right>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medium">
        <color indexed="64"/>
      </left>
      <right style="thin">
        <color indexed="8"/>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64"/>
      </right>
      <top/>
      <bottom style="thin">
        <color indexed="8"/>
      </bottom>
      <diagonal/>
    </border>
    <border>
      <left style="medium">
        <color indexed="64"/>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64"/>
      </right>
      <top style="thin">
        <color indexed="8"/>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bottom/>
      <diagonal/>
    </border>
    <border>
      <left/>
      <right/>
      <top/>
      <bottom style="thin">
        <color indexed="64"/>
      </bottom>
      <diagonal/>
    </border>
    <border>
      <left style="medium">
        <color indexed="64"/>
      </left>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medium">
        <color indexed="64"/>
      </left>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top style="thin">
        <color rgb="FF000000"/>
      </top>
      <bottom style="medium">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right style="thin">
        <color indexed="64"/>
      </right>
      <top style="thin">
        <color indexed="64"/>
      </top>
      <bottom style="hair">
        <color indexed="64"/>
      </bottom>
      <diagonal/>
    </border>
    <border>
      <left style="thin">
        <color auto="1"/>
      </left>
      <right style="thin">
        <color auto="1"/>
      </right>
      <top/>
      <bottom/>
      <diagonal/>
    </border>
    <border>
      <left style="thin">
        <color auto="1"/>
      </left>
      <right/>
      <top style="thin">
        <color auto="1"/>
      </top>
      <bottom style="hair">
        <color auto="1"/>
      </bottom>
      <diagonal/>
    </border>
    <border>
      <left style="thin">
        <color theme="0" tint="-0.499984740745262"/>
      </left>
      <right style="thin">
        <color theme="0" tint="-0.499984740745262"/>
      </right>
      <top style="thin">
        <color indexed="64"/>
      </top>
      <bottom/>
      <diagonal/>
    </border>
    <border>
      <left style="thin">
        <color theme="0" tint="-0.499984740745262"/>
      </left>
      <right style="thin">
        <color theme="0" tint="-0.499984740745262"/>
      </right>
      <top style="medium">
        <color theme="9" tint="-0.24994659260841701"/>
      </top>
      <bottom/>
      <diagonal/>
    </border>
    <border>
      <left style="thin">
        <color theme="0" tint="-0.499984740745262"/>
      </left>
      <right style="thin">
        <color theme="0" tint="-0.499984740745262"/>
      </right>
      <top/>
      <bottom style="thin">
        <color indexed="64"/>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medium">
        <color theme="9" tint="-0.24994659260841701"/>
      </bottom>
      <diagonal/>
    </border>
    <border>
      <left/>
      <right style="thin">
        <color theme="0" tint="-0.499984740745262"/>
      </right>
      <top/>
      <bottom style="medium">
        <color theme="9" tint="-0.24994659260841701"/>
      </bottom>
      <diagonal/>
    </border>
  </borders>
  <cellStyleXfs count="71">
    <xf numFmtId="0" fontId="0" fillId="0" borderId="0">
      <alignment vertical="center"/>
    </xf>
    <xf numFmtId="41" fontId="3"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1" fillId="0" borderId="0" applyFont="0" applyFill="0" applyBorder="0" applyAlignment="0" applyProtection="0">
      <alignment vertical="center"/>
    </xf>
    <xf numFmtId="0" fontId="15" fillId="0" borderId="0"/>
    <xf numFmtId="41" fontId="15" fillId="0" borderId="0" applyFont="0" applyFill="0" applyBorder="0" applyAlignment="0" applyProtection="0"/>
    <xf numFmtId="0" fontId="16" fillId="0" borderId="0"/>
    <xf numFmtId="38" fontId="17" fillId="0" borderId="0"/>
    <xf numFmtId="2" fontId="18"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38" fontId="21" fillId="0" borderId="0"/>
    <xf numFmtId="0" fontId="18" fillId="0" borderId="0" applyFont="0" applyFill="0" applyBorder="0" applyAlignment="0" applyProtection="0"/>
    <xf numFmtId="0" fontId="18" fillId="0" borderId="0" applyFont="0" applyFill="0" applyBorder="0" applyAlignment="0" applyProtection="0"/>
    <xf numFmtId="40" fontId="22" fillId="0" borderId="0" applyFont="0" applyFill="0" applyBorder="0" applyAlignment="0" applyProtection="0"/>
    <xf numFmtId="38"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9" fontId="21" fillId="7" borderId="0" applyFill="0" applyBorder="0" applyProtection="0">
      <alignment horizontal="right"/>
    </xf>
    <xf numFmtId="10" fontId="21" fillId="0" borderId="0" applyFill="0" applyBorder="0" applyProtection="0">
      <alignment horizontal="right"/>
    </xf>
    <xf numFmtId="9" fontId="15" fillId="0" borderId="0" applyFont="0" applyFill="0" applyBorder="0" applyAlignment="0" applyProtection="0"/>
    <xf numFmtId="0" fontId="23" fillId="0" borderId="0"/>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xf numFmtId="4" fontId="18" fillId="0" borderId="0" applyFont="0" applyFill="0" applyBorder="0" applyAlignment="0" applyProtection="0"/>
    <xf numFmtId="3" fontId="18" fillId="0" borderId="0" applyFont="0" applyFill="0" applyBorder="0" applyAlignment="0" applyProtection="0"/>
    <xf numFmtId="187" fontId="16" fillId="0" borderId="0" applyFont="0" applyFill="0" applyBorder="0" applyAlignment="0" applyProtection="0"/>
    <xf numFmtId="188" fontId="21" fillId="7" borderId="0" applyFill="0" applyBorder="0" applyProtection="0">
      <alignment horizontal="right"/>
    </xf>
    <xf numFmtId="189" fontId="16" fillId="0" borderId="0" applyFont="0" applyFill="0" applyBorder="0" applyAlignment="0" applyProtection="0"/>
    <xf numFmtId="10" fontId="18" fillId="0" borderId="0" applyFont="0" applyFill="0" applyBorder="0" applyAlignment="0" applyProtection="0"/>
    <xf numFmtId="0" fontId="15" fillId="0" borderId="0">
      <alignment vertical="center"/>
    </xf>
    <xf numFmtId="0" fontId="15" fillId="0" borderId="0">
      <alignment vertical="center"/>
    </xf>
    <xf numFmtId="0" fontId="15" fillId="0" borderId="0"/>
    <xf numFmtId="0" fontId="15" fillId="0" borderId="0">
      <alignment vertical="center"/>
    </xf>
    <xf numFmtId="0" fontId="18" fillId="0" borderId="50" applyNumberFormat="0" applyFont="0" applyFill="0" applyAlignment="0" applyProtection="0"/>
    <xf numFmtId="190" fontId="15" fillId="0" borderId="0" applyFont="0" applyFill="0" applyBorder="0" applyAlignment="0" applyProtection="0"/>
    <xf numFmtId="191" fontId="18" fillId="0" borderId="0" applyFont="0" applyFill="0" applyBorder="0" applyAlignment="0" applyProtection="0"/>
    <xf numFmtId="0" fontId="24" fillId="0" borderId="0"/>
    <xf numFmtId="0"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38" fontId="26" fillId="7" borderId="0" applyNumberFormat="0" applyBorder="0" applyAlignment="0" applyProtection="0"/>
    <xf numFmtId="0" fontId="27" fillId="0" borderId="0">
      <alignment horizontal="left"/>
    </xf>
    <xf numFmtId="0" fontId="28" fillId="0" borderId="51" applyNumberFormat="0" applyAlignment="0" applyProtection="0">
      <alignment horizontal="left" vertical="center"/>
    </xf>
    <xf numFmtId="0" fontId="28" fillId="0" borderId="7">
      <alignment horizontal="left" vertical="center"/>
    </xf>
    <xf numFmtId="10" fontId="26" fillId="7" borderId="1" applyNumberFormat="0" applyBorder="0" applyAlignment="0" applyProtection="0"/>
    <xf numFmtId="0" fontId="29" fillId="0" borderId="48"/>
    <xf numFmtId="0" fontId="16" fillId="0" borderId="0"/>
    <xf numFmtId="0" fontId="25" fillId="0" borderId="0"/>
    <xf numFmtId="10" fontId="25" fillId="0" borderId="0" applyFont="0" applyFill="0" applyBorder="0" applyAlignment="0" applyProtection="0"/>
    <xf numFmtId="0" fontId="29" fillId="0" borderId="0"/>
    <xf numFmtId="0" fontId="30" fillId="0" borderId="0" applyFill="0" applyBorder="0" applyProtection="0">
      <alignment horizontal="centerContinuous" vertical="center"/>
    </xf>
    <xf numFmtId="0" fontId="17" fillId="7" borderId="0" applyFill="0" applyBorder="0" applyProtection="0">
      <alignment horizontal="center" vertical="center"/>
    </xf>
    <xf numFmtId="42" fontId="15" fillId="0" borderId="0" applyFont="0" applyFill="0" applyBorder="0" applyAlignment="0" applyProtection="0">
      <alignment vertical="center"/>
    </xf>
    <xf numFmtId="0" fontId="15" fillId="0" borderId="0">
      <alignment vertical="center"/>
    </xf>
    <xf numFmtId="0" fontId="8" fillId="0" borderId="0">
      <alignment vertical="center"/>
    </xf>
    <xf numFmtId="0" fontId="15" fillId="0" borderId="0">
      <alignment vertical="center"/>
    </xf>
    <xf numFmtId="0" fontId="16" fillId="0" borderId="0"/>
    <xf numFmtId="0" fontId="25" fillId="0" borderId="0"/>
    <xf numFmtId="0" fontId="67" fillId="0" borderId="0"/>
    <xf numFmtId="0" fontId="69" fillId="0" borderId="0"/>
    <xf numFmtId="0" fontId="3" fillId="0" borderId="0">
      <alignment vertical="center"/>
    </xf>
    <xf numFmtId="0" fontId="8" fillId="0" borderId="0">
      <alignment vertical="center"/>
    </xf>
    <xf numFmtId="41" fontId="98" fillId="0" borderId="0" applyFont="0" applyFill="0" applyBorder="0" applyAlignment="0" applyProtection="0">
      <alignment vertical="center"/>
    </xf>
    <xf numFmtId="0" fontId="103" fillId="0" borderId="0"/>
    <xf numFmtId="0" fontId="15" fillId="0" borderId="0"/>
    <xf numFmtId="0" fontId="15" fillId="0" borderId="0"/>
    <xf numFmtId="41" fontId="15" fillId="0" borderId="0" applyFont="0" applyFill="0" applyBorder="0" applyAlignment="0" applyProtection="0">
      <alignment vertical="center"/>
    </xf>
  </cellStyleXfs>
  <cellXfs count="1065">
    <xf numFmtId="0" fontId="0" fillId="0" borderId="0" xfId="0">
      <alignment vertical="center"/>
    </xf>
    <xf numFmtId="0" fontId="0" fillId="3" borderId="2" xfId="0" applyFill="1" applyBorder="1" applyAlignment="1">
      <alignment horizontal="center" vertical="center"/>
    </xf>
    <xf numFmtId="0" fontId="0" fillId="3" borderId="2" xfId="0" applyFill="1" applyBorder="1" applyAlignment="1">
      <alignment horizontal="left" vertical="center"/>
    </xf>
    <xf numFmtId="41" fontId="0" fillId="3" borderId="2" xfId="1" applyFont="1" applyFill="1" applyBorder="1" applyAlignment="1">
      <alignment horizontal="center" vertical="center"/>
    </xf>
    <xf numFmtId="0" fontId="7" fillId="0" borderId="0" xfId="0" applyFont="1">
      <alignment vertical="center"/>
    </xf>
    <xf numFmtId="0" fontId="8" fillId="0" borderId="0" xfId="0" applyFont="1" applyProtection="1">
      <alignment vertical="center"/>
      <protection locked="0"/>
    </xf>
    <xf numFmtId="0" fontId="8" fillId="0" borderId="0" xfId="0" applyFont="1" applyAlignment="1" applyProtection="1">
      <alignment horizontal="center" vertical="center"/>
      <protection locked="0"/>
    </xf>
    <xf numFmtId="0" fontId="6" fillId="4" borderId="6" xfId="0" applyFont="1" applyFill="1" applyBorder="1" applyAlignment="1" applyProtection="1">
      <alignment horizontal="center" vertical="center"/>
      <protection locked="0"/>
    </xf>
    <xf numFmtId="0" fontId="6" fillId="4" borderId="44" xfId="0" applyFont="1" applyFill="1" applyBorder="1" applyAlignment="1" applyProtection="1">
      <alignment horizontal="center" vertical="center"/>
      <protection locked="0"/>
    </xf>
    <xf numFmtId="0" fontId="6" fillId="5" borderId="6" xfId="0" applyFont="1" applyFill="1" applyBorder="1" applyAlignment="1" applyProtection="1">
      <alignment horizontal="center" vertical="center"/>
      <protection locked="0"/>
    </xf>
    <xf numFmtId="0" fontId="6" fillId="5" borderId="44" xfId="0" applyFont="1" applyFill="1" applyBorder="1" applyAlignment="1" applyProtection="1">
      <alignment horizontal="center" vertical="center"/>
      <protection locked="0"/>
    </xf>
    <xf numFmtId="0" fontId="6" fillId="5" borderId="8" xfId="0" applyFont="1" applyFill="1" applyBorder="1" applyAlignment="1" applyProtection="1">
      <alignment horizontal="center" vertical="center"/>
      <protection locked="0"/>
    </xf>
    <xf numFmtId="176" fontId="5" fillId="2" borderId="18" xfId="1" applyNumberFormat="1" applyFont="1" applyFill="1" applyBorder="1" applyAlignment="1" applyProtection="1">
      <alignment horizontal="right" vertical="center"/>
      <protection locked="0"/>
    </xf>
    <xf numFmtId="180" fontId="7" fillId="5" borderId="11" xfId="0" applyNumberFormat="1" applyFont="1" applyFill="1" applyBorder="1" applyAlignment="1" applyProtection="1">
      <alignment vertical="center" shrinkToFit="1"/>
      <protection locked="0"/>
    </xf>
    <xf numFmtId="176" fontId="5" fillId="2" borderId="20" xfId="1" applyNumberFormat="1" applyFont="1" applyFill="1" applyBorder="1" applyAlignment="1" applyProtection="1">
      <alignment horizontal="right" vertical="center"/>
      <protection locked="0"/>
    </xf>
    <xf numFmtId="182" fontId="7" fillId="0" borderId="17" xfId="0" applyNumberFormat="1" applyFont="1" applyBorder="1" applyAlignment="1">
      <alignment vertical="center" shrinkToFit="1"/>
    </xf>
    <xf numFmtId="182" fontId="7" fillId="0" borderId="33" xfId="0" applyNumberFormat="1" applyFont="1" applyBorder="1" applyAlignment="1">
      <alignment vertical="center" shrinkToFit="1"/>
    </xf>
    <xf numFmtId="182" fontId="7" fillId="0" borderId="41" xfId="0" applyNumberFormat="1" applyFont="1" applyBorder="1" applyAlignment="1">
      <alignment vertical="center" shrinkToFit="1"/>
    </xf>
    <xf numFmtId="182" fontId="7" fillId="0" borderId="11" xfId="0" applyNumberFormat="1" applyFont="1" applyBorder="1" applyAlignment="1">
      <alignment vertical="center" shrinkToFit="1"/>
    </xf>
    <xf numFmtId="182" fontId="7" fillId="0" borderId="43" xfId="0" applyNumberFormat="1" applyFont="1" applyBorder="1" applyAlignment="1">
      <alignment vertical="center" shrinkToFit="1"/>
    </xf>
    <xf numFmtId="180" fontId="5" fillId="0" borderId="15" xfId="0" applyNumberFormat="1" applyFont="1" applyBorder="1" applyAlignment="1">
      <alignment vertical="center" shrinkToFit="1"/>
    </xf>
    <xf numFmtId="176" fontId="14" fillId="0" borderId="37" xfId="1" applyNumberFormat="1" applyFont="1" applyBorder="1" applyAlignment="1" applyProtection="1">
      <alignment horizontal="right" vertical="center"/>
    </xf>
    <xf numFmtId="176" fontId="14" fillId="0" borderId="38" xfId="1" applyNumberFormat="1" applyFont="1" applyBorder="1" applyAlignment="1" applyProtection="1">
      <alignment horizontal="right" vertical="center"/>
    </xf>
    <xf numFmtId="0" fontId="8" fillId="0" borderId="7" xfId="0" applyFont="1" applyBorder="1" applyAlignment="1" applyProtection="1">
      <alignment horizontal="center" vertical="center"/>
      <protection locked="0"/>
    </xf>
    <xf numFmtId="180" fontId="5" fillId="0" borderId="40" xfId="0" applyNumberFormat="1" applyFont="1" applyBorder="1" applyAlignment="1">
      <alignment vertical="center" shrinkToFit="1"/>
    </xf>
    <xf numFmtId="180" fontId="7" fillId="5" borderId="41" xfId="0" applyNumberFormat="1" applyFont="1" applyFill="1" applyBorder="1" applyAlignment="1" applyProtection="1">
      <alignment vertical="center" shrinkToFit="1"/>
      <protection locked="0"/>
    </xf>
    <xf numFmtId="180" fontId="5" fillId="0" borderId="25" xfId="0" applyNumberFormat="1" applyFont="1" applyBorder="1" applyAlignment="1">
      <alignment vertical="center" shrinkToFit="1"/>
    </xf>
    <xf numFmtId="180" fontId="7" fillId="5" borderId="43" xfId="0" applyNumberFormat="1" applyFont="1" applyFill="1" applyBorder="1" applyAlignment="1" applyProtection="1">
      <alignment vertical="center" shrinkToFit="1"/>
      <protection locked="0"/>
    </xf>
    <xf numFmtId="0" fontId="7" fillId="4" borderId="1"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protection locked="0"/>
    </xf>
    <xf numFmtId="0" fontId="6" fillId="4" borderId="52" xfId="0" applyFont="1" applyFill="1" applyBorder="1" applyAlignment="1" applyProtection="1">
      <alignment horizontal="center" vertical="center"/>
      <protection locked="0"/>
    </xf>
    <xf numFmtId="182" fontId="7" fillId="0" borderId="53" xfId="0" applyNumberFormat="1" applyFont="1" applyBorder="1" applyAlignment="1">
      <alignment vertical="center" shrinkToFit="1"/>
    </xf>
    <xf numFmtId="0" fontId="0" fillId="0" borderId="0" xfId="0" applyProtection="1">
      <alignment vertical="center"/>
      <protection locked="0"/>
    </xf>
    <xf numFmtId="0" fontId="0" fillId="0" borderId="0" xfId="0" applyAlignment="1" applyProtection="1">
      <alignment horizontal="center" vertical="center"/>
      <protection locked="0"/>
    </xf>
    <xf numFmtId="0" fontId="7" fillId="5" borderId="1" xfId="0" applyFont="1" applyFill="1" applyBorder="1" applyProtection="1">
      <alignment vertical="center"/>
      <protection locked="0"/>
    </xf>
    <xf numFmtId="0" fontId="7" fillId="0" borderId="0" xfId="0" applyFont="1" applyAlignment="1">
      <alignment horizontal="center" vertical="center"/>
    </xf>
    <xf numFmtId="0" fontId="0" fillId="0" borderId="0" xfId="0" applyAlignment="1">
      <alignment horizontal="center" vertical="center"/>
    </xf>
    <xf numFmtId="0" fontId="32" fillId="0" borderId="0" xfId="2" applyFont="1" applyProtection="1">
      <alignment vertical="center"/>
      <protection locked="0"/>
    </xf>
    <xf numFmtId="0" fontId="32" fillId="0" borderId="29" xfId="2" applyFont="1" applyBorder="1" applyProtection="1">
      <alignment vertical="center"/>
      <protection locked="0"/>
    </xf>
    <xf numFmtId="0" fontId="32" fillId="0" borderId="30" xfId="2" applyFont="1" applyBorder="1" applyProtection="1">
      <alignment vertical="center"/>
      <protection locked="0"/>
    </xf>
    <xf numFmtId="14" fontId="32" fillId="0" borderId="0" xfId="2" applyNumberFormat="1" applyFont="1" applyProtection="1">
      <alignment vertical="center"/>
      <protection locked="0"/>
    </xf>
    <xf numFmtId="193" fontId="32" fillId="0" borderId="0" xfId="2" applyNumberFormat="1" applyFont="1" applyProtection="1">
      <alignment vertical="center"/>
      <protection locked="0"/>
    </xf>
    <xf numFmtId="49" fontId="32" fillId="0" borderId="37" xfId="2" applyNumberFormat="1" applyFont="1" applyBorder="1" applyAlignment="1" applyProtection="1">
      <alignment horizontal="center" vertical="center"/>
      <protection locked="0"/>
    </xf>
    <xf numFmtId="49" fontId="32" fillId="0" borderId="38" xfId="2" applyNumberFormat="1" applyFont="1" applyBorder="1" applyAlignment="1" applyProtection="1">
      <alignment horizontal="center" vertical="center"/>
      <protection locked="0"/>
    </xf>
    <xf numFmtId="0" fontId="35" fillId="0" borderId="20" xfId="2" applyFont="1" applyBorder="1" applyAlignment="1" applyProtection="1">
      <alignment horizontal="center" vertical="center"/>
      <protection locked="0"/>
    </xf>
    <xf numFmtId="49" fontId="32" fillId="0" borderId="2" xfId="2" applyNumberFormat="1" applyFont="1" applyBorder="1" applyAlignment="1" applyProtection="1">
      <alignment horizontal="center" vertical="center"/>
      <protection locked="0"/>
    </xf>
    <xf numFmtId="0" fontId="32" fillId="8" borderId="19" xfId="2" applyFont="1" applyFill="1" applyBorder="1" applyAlignment="1">
      <alignment horizontal="center" vertical="center"/>
    </xf>
    <xf numFmtId="0" fontId="32" fillId="8" borderId="3" xfId="2" applyFont="1" applyFill="1" applyBorder="1" applyAlignment="1">
      <alignment horizontal="center" vertical="center"/>
    </xf>
    <xf numFmtId="0" fontId="8" fillId="3" borderId="11" xfId="0" applyFont="1" applyFill="1" applyBorder="1" applyAlignment="1" applyProtection="1">
      <alignment horizontal="center" vertical="center"/>
      <protection locked="0"/>
    </xf>
    <xf numFmtId="0" fontId="12" fillId="3" borderId="17" xfId="0" applyFont="1" applyFill="1" applyBorder="1" applyProtection="1">
      <alignment vertical="center"/>
      <protection locked="0"/>
    </xf>
    <xf numFmtId="194" fontId="12" fillId="3" borderId="21" xfId="0" applyNumberFormat="1" applyFont="1" applyFill="1" applyBorder="1" applyProtection="1">
      <alignment vertical="center"/>
      <protection locked="0"/>
    </xf>
    <xf numFmtId="0" fontId="12" fillId="3" borderId="18" xfId="0" applyFont="1" applyFill="1" applyBorder="1" applyProtection="1">
      <alignment vertical="center"/>
      <protection locked="0"/>
    </xf>
    <xf numFmtId="0" fontId="12" fillId="3" borderId="19" xfId="0" applyFont="1" applyFill="1" applyBorder="1" applyProtection="1">
      <alignment vertical="center"/>
      <protection locked="0"/>
    </xf>
    <xf numFmtId="194" fontId="12" fillId="3" borderId="3" xfId="0" applyNumberFormat="1" applyFont="1" applyFill="1" applyBorder="1" applyProtection="1">
      <alignment vertical="center"/>
      <protection locked="0"/>
    </xf>
    <xf numFmtId="0" fontId="12" fillId="3" borderId="20" xfId="0" applyFont="1" applyFill="1" applyBorder="1" applyProtection="1">
      <alignment vertical="center"/>
      <protection locked="0"/>
    </xf>
    <xf numFmtId="183" fontId="8" fillId="4" borderId="6" xfId="0" applyNumberFormat="1" applyFont="1" applyFill="1" applyBorder="1" applyAlignment="1">
      <alignment horizontal="center" vertical="center"/>
    </xf>
    <xf numFmtId="41" fontId="8" fillId="4" borderId="1" xfId="1" applyFont="1" applyFill="1" applyBorder="1" applyAlignment="1" applyProtection="1">
      <alignment vertical="center"/>
      <protection locked="0"/>
    </xf>
    <xf numFmtId="0" fontId="7" fillId="4" borderId="1" xfId="0" applyFont="1" applyFill="1" applyBorder="1" applyProtection="1">
      <alignment vertical="center"/>
      <protection locked="0"/>
    </xf>
    <xf numFmtId="41" fontId="8" fillId="4" borderId="1" xfId="1" applyFont="1" applyFill="1" applyBorder="1" applyAlignment="1" applyProtection="1">
      <alignment vertical="center"/>
    </xf>
    <xf numFmtId="0" fontId="7" fillId="9" borderId="1" xfId="0" applyFont="1" applyFill="1" applyBorder="1" applyAlignment="1" applyProtection="1">
      <alignment horizontal="center" vertical="center"/>
      <protection locked="0"/>
    </xf>
    <xf numFmtId="0" fontId="7" fillId="11" borderId="1" xfId="0" applyFont="1" applyFill="1" applyBorder="1" applyAlignment="1" applyProtection="1">
      <alignment horizontal="center" vertical="center"/>
      <protection locked="0"/>
    </xf>
    <xf numFmtId="0" fontId="8" fillId="11" borderId="6" xfId="0" applyFont="1" applyFill="1" applyBorder="1" applyAlignment="1" applyProtection="1">
      <alignment horizontal="center" vertical="center"/>
      <protection locked="0"/>
    </xf>
    <xf numFmtId="0" fontId="8" fillId="9" borderId="6" xfId="0" applyFont="1" applyFill="1" applyBorder="1" applyAlignment="1" applyProtection="1">
      <alignment horizontal="center" vertical="center"/>
      <protection locked="0"/>
    </xf>
    <xf numFmtId="0" fontId="7" fillId="10" borderId="1" xfId="0" applyFont="1" applyFill="1" applyBorder="1" applyAlignment="1" applyProtection="1">
      <alignment horizontal="center" vertical="center"/>
      <protection locked="0"/>
    </xf>
    <xf numFmtId="0" fontId="8" fillId="10" borderId="6" xfId="0" applyFont="1" applyFill="1" applyBorder="1" applyAlignment="1" applyProtection="1">
      <alignment horizontal="center" vertical="center"/>
      <protection locked="0"/>
    </xf>
    <xf numFmtId="0" fontId="0" fillId="3" borderId="64" xfId="0" applyFill="1" applyBorder="1" applyAlignment="1">
      <alignment horizontal="center" vertical="center"/>
    </xf>
    <xf numFmtId="0" fontId="7" fillId="2" borderId="63" xfId="0" applyFont="1" applyFill="1" applyBorder="1" applyAlignment="1">
      <alignment horizontal="center" vertical="center"/>
    </xf>
    <xf numFmtId="0" fontId="7" fillId="2" borderId="67" xfId="0" applyFont="1" applyFill="1" applyBorder="1" applyAlignment="1">
      <alignment horizontal="center" vertical="center" wrapText="1"/>
    </xf>
    <xf numFmtId="49" fontId="34" fillId="0" borderId="1" xfId="58" applyNumberFormat="1" applyFont="1" applyBorder="1" applyAlignment="1">
      <alignment horizontal="center" vertical="center"/>
    </xf>
    <xf numFmtId="0" fontId="42" fillId="0" borderId="1" xfId="58" applyFont="1" applyBorder="1" applyAlignment="1">
      <alignment horizontal="center" vertical="center" shrinkToFit="1"/>
    </xf>
    <xf numFmtId="0" fontId="34" fillId="0" borderId="1" xfId="58" applyFont="1" applyBorder="1" applyAlignment="1">
      <alignment horizontal="center" vertical="center"/>
    </xf>
    <xf numFmtId="197" fontId="34" fillId="0" borderId="38" xfId="58" applyNumberFormat="1" applyFont="1" applyBorder="1" applyAlignment="1">
      <alignment horizontal="center" vertical="center"/>
    </xf>
    <xf numFmtId="49" fontId="34" fillId="0" borderId="38" xfId="58" applyNumberFormat="1" applyFont="1" applyBorder="1" applyAlignment="1">
      <alignment horizontal="center" vertical="center"/>
    </xf>
    <xf numFmtId="49" fontId="8" fillId="0" borderId="0" xfId="58" applyNumberFormat="1" applyAlignment="1">
      <alignment horizontal="center" vertical="center"/>
    </xf>
    <xf numFmtId="49" fontId="42" fillId="0" borderId="0" xfId="58" applyNumberFormat="1" applyFont="1" applyAlignment="1">
      <alignment horizontal="center" vertical="center"/>
    </xf>
    <xf numFmtId="49" fontId="44" fillId="0" borderId="0" xfId="58" applyNumberFormat="1" applyFont="1" applyAlignment="1">
      <alignment horizontal="center" vertical="center"/>
    </xf>
    <xf numFmtId="0" fontId="5" fillId="0" borderId="0" xfId="0" applyFont="1" applyAlignment="1">
      <alignment horizontal="left" vertical="center" indent="2"/>
    </xf>
    <xf numFmtId="0" fontId="47" fillId="0" borderId="0" xfId="0" applyFont="1" applyAlignment="1">
      <alignment horizontal="center" vertical="center"/>
    </xf>
    <xf numFmtId="0" fontId="0" fillId="3" borderId="71" xfId="0" applyFill="1" applyBorder="1" applyAlignment="1">
      <alignment horizontal="center" vertical="center"/>
    </xf>
    <xf numFmtId="0" fontId="0" fillId="3" borderId="68" xfId="0" applyFill="1" applyBorder="1" applyAlignment="1">
      <alignment horizontal="center" vertical="center" shrinkToFit="1"/>
    </xf>
    <xf numFmtId="0" fontId="54" fillId="13" borderId="72" xfId="5" applyFont="1" applyFill="1" applyBorder="1" applyAlignment="1">
      <alignment horizontal="center" vertical="center" wrapText="1"/>
    </xf>
    <xf numFmtId="49" fontId="57" fillId="13" borderId="72" xfId="5" applyNumberFormat="1" applyFont="1" applyFill="1" applyBorder="1" applyAlignment="1">
      <alignment horizontal="center" vertical="center"/>
    </xf>
    <xf numFmtId="0" fontId="54" fillId="13" borderId="72" xfId="5" applyFont="1" applyFill="1" applyBorder="1" applyAlignment="1">
      <alignment horizontal="center" vertical="center" shrinkToFit="1"/>
    </xf>
    <xf numFmtId="49" fontId="54" fillId="13" borderId="72" xfId="5" applyNumberFormat="1" applyFont="1" applyFill="1" applyBorder="1" applyAlignment="1">
      <alignment horizontal="center" vertical="center" shrinkToFit="1"/>
    </xf>
    <xf numFmtId="0" fontId="54" fillId="13" borderId="72" xfId="5" applyFont="1" applyFill="1" applyBorder="1" applyAlignment="1">
      <alignment horizontal="center" vertical="center" wrapText="1" shrinkToFit="1"/>
    </xf>
    <xf numFmtId="0" fontId="54" fillId="13" borderId="27" xfId="5" applyFont="1" applyFill="1" applyBorder="1" applyAlignment="1">
      <alignment horizontal="center" vertical="center" wrapText="1" shrinkToFit="1"/>
    </xf>
    <xf numFmtId="199" fontId="54" fillId="13" borderId="27" xfId="5" applyNumberFormat="1" applyFont="1" applyFill="1" applyBorder="1" applyAlignment="1">
      <alignment horizontal="center" vertical="center"/>
    </xf>
    <xf numFmtId="0" fontId="58" fillId="3" borderId="57" xfId="5" applyFont="1" applyFill="1" applyBorder="1" applyAlignment="1" applyProtection="1">
      <alignment horizontal="center" vertical="center" shrinkToFit="1"/>
      <protection locked="0"/>
    </xf>
    <xf numFmtId="0" fontId="58" fillId="0" borderId="27" xfId="5" applyFont="1" applyBorder="1" applyAlignment="1">
      <alignment horizontal="center" vertical="center" shrinkToFit="1"/>
    </xf>
    <xf numFmtId="177" fontId="58" fillId="0" borderId="27" xfId="60" applyNumberFormat="1" applyFont="1" applyBorder="1" applyAlignment="1">
      <alignment horizontal="center" vertical="center"/>
    </xf>
    <xf numFmtId="0" fontId="58" fillId="0" borderId="27" xfId="5" applyFont="1" applyBorder="1" applyAlignment="1" applyProtection="1">
      <alignment horizontal="center" vertical="center" shrinkToFit="1"/>
      <protection locked="0"/>
    </xf>
    <xf numFmtId="199" fontId="58" fillId="0" borderId="27" xfId="5" applyNumberFormat="1" applyFont="1" applyBorder="1" applyAlignment="1" applyProtection="1">
      <alignment horizontal="center" vertical="center"/>
      <protection locked="0"/>
    </xf>
    <xf numFmtId="0" fontId="58" fillId="0" borderId="0" xfId="5" applyFont="1"/>
    <xf numFmtId="0" fontId="57" fillId="0" borderId="0" xfId="5" applyFont="1"/>
    <xf numFmtId="0" fontId="58" fillId="0" borderId="0" xfId="61" applyFont="1" applyAlignment="1">
      <alignment horizontal="center" vertical="center"/>
    </xf>
    <xf numFmtId="0" fontId="54" fillId="0" borderId="1" xfId="61" applyFont="1" applyBorder="1" applyAlignment="1">
      <alignment horizontal="center" vertical="center"/>
    </xf>
    <xf numFmtId="0" fontId="54" fillId="0" borderId="1" xfId="61" applyFont="1" applyBorder="1" applyAlignment="1">
      <alignment horizontal="center" vertical="center" wrapText="1"/>
    </xf>
    <xf numFmtId="197" fontId="54" fillId="12" borderId="1" xfId="61" applyNumberFormat="1" applyFont="1" applyFill="1" applyBorder="1" applyAlignment="1">
      <alignment horizontal="center" vertical="center" wrapText="1"/>
    </xf>
    <xf numFmtId="197" fontId="54" fillId="0" borderId="1" xfId="61" applyNumberFormat="1" applyFont="1" applyBorder="1" applyAlignment="1">
      <alignment horizontal="center" vertical="center" wrapText="1"/>
    </xf>
    <xf numFmtId="0" fontId="54" fillId="12" borderId="1" xfId="61" applyFont="1" applyFill="1" applyBorder="1" applyAlignment="1">
      <alignment horizontal="center" vertical="center" wrapText="1"/>
    </xf>
    <xf numFmtId="0" fontId="58" fillId="0" borderId="1" xfId="61" applyFont="1" applyBorder="1" applyAlignment="1">
      <alignment horizontal="center" vertical="center"/>
    </xf>
    <xf numFmtId="197" fontId="58" fillId="12" borderId="1" xfId="61" applyNumberFormat="1" applyFont="1" applyFill="1" applyBorder="1" applyAlignment="1">
      <alignment horizontal="center" vertical="center"/>
    </xf>
    <xf numFmtId="197" fontId="58" fillId="0" borderId="1" xfId="61" applyNumberFormat="1" applyFont="1" applyBorder="1" applyAlignment="1">
      <alignment horizontal="center" vertical="center"/>
    </xf>
    <xf numFmtId="0" fontId="58" fillId="12" borderId="1" xfId="61" applyFont="1" applyFill="1" applyBorder="1" applyAlignment="1">
      <alignment horizontal="center" vertical="center"/>
    </xf>
    <xf numFmtId="49" fontId="58" fillId="0" borderId="0" xfId="61" applyNumberFormat="1" applyFont="1" applyAlignment="1">
      <alignment horizontal="center" vertical="center"/>
    </xf>
    <xf numFmtId="197" fontId="58" fillId="0" borderId="0" xfId="61" applyNumberFormat="1" applyFont="1" applyAlignment="1">
      <alignment horizontal="center" vertical="center"/>
    </xf>
    <xf numFmtId="0" fontId="46" fillId="0" borderId="0" xfId="0" applyFont="1">
      <alignment vertical="center"/>
    </xf>
    <xf numFmtId="0" fontId="57" fillId="10" borderId="1" xfId="61" applyFont="1" applyFill="1" applyBorder="1" applyAlignment="1">
      <alignment horizontal="center" vertical="center" wrapText="1"/>
    </xf>
    <xf numFmtId="0" fontId="57" fillId="10" borderId="1" xfId="61" applyFont="1" applyFill="1" applyBorder="1" applyAlignment="1">
      <alignment horizontal="center" vertical="center"/>
    </xf>
    <xf numFmtId="0" fontId="57" fillId="10" borderId="0" xfId="61" applyFont="1" applyFill="1" applyAlignment="1">
      <alignment horizontal="center" vertical="center"/>
    </xf>
    <xf numFmtId="0" fontId="8" fillId="0" borderId="7" xfId="0" applyFont="1" applyBorder="1" applyProtection="1">
      <alignment vertical="center"/>
      <protection locked="0"/>
    </xf>
    <xf numFmtId="0" fontId="60" fillId="0" borderId="0" xfId="0" applyFont="1" applyAlignment="1">
      <alignment horizontal="center" vertical="center"/>
    </xf>
    <xf numFmtId="0" fontId="36" fillId="0" borderId="0" xfId="0" applyFont="1" applyAlignment="1">
      <alignment horizontal="center" vertical="center"/>
    </xf>
    <xf numFmtId="197" fontId="36" fillId="0" borderId="0" xfId="0" applyNumberFormat="1" applyFont="1" applyAlignment="1">
      <alignment horizontal="right" vertical="center"/>
    </xf>
    <xf numFmtId="0" fontId="36" fillId="0" borderId="0" xfId="0" applyFont="1" applyAlignment="1">
      <alignment horizontal="right" vertical="center"/>
    </xf>
    <xf numFmtId="197" fontId="36" fillId="0" borderId="23" xfId="0" applyNumberFormat="1" applyFont="1" applyBorder="1" applyAlignment="1">
      <alignment horizontal="right" vertical="center"/>
    </xf>
    <xf numFmtId="0" fontId="61" fillId="0" borderId="0" xfId="0" applyFont="1" applyAlignment="1">
      <alignment horizontal="center" vertical="center"/>
    </xf>
    <xf numFmtId="197" fontId="62" fillId="0" borderId="0" xfId="0" applyNumberFormat="1" applyFont="1" applyAlignment="1">
      <alignment horizontal="right" vertical="center"/>
    </xf>
    <xf numFmtId="0" fontId="62" fillId="0" borderId="0" xfId="0" applyFont="1" applyAlignment="1">
      <alignment horizontal="right" vertical="center"/>
    </xf>
    <xf numFmtId="197" fontId="65" fillId="0" borderId="0" xfId="0" applyNumberFormat="1" applyFont="1" applyAlignment="1">
      <alignment horizontal="right" vertical="center"/>
    </xf>
    <xf numFmtId="197" fontId="66" fillId="0" borderId="0" xfId="0" applyNumberFormat="1" applyFont="1" applyAlignment="1">
      <alignment horizontal="right" vertical="center"/>
    </xf>
    <xf numFmtId="0" fontId="65" fillId="0" borderId="0" xfId="0" applyFont="1" applyAlignment="1">
      <alignment horizontal="center" vertical="center"/>
    </xf>
    <xf numFmtId="197" fontId="59" fillId="0" borderId="1" xfId="61" applyNumberFormat="1" applyFont="1" applyBorder="1" applyAlignment="1">
      <alignment horizontal="center" vertical="center"/>
    </xf>
    <xf numFmtId="197" fontId="54" fillId="13" borderId="72" xfId="6" applyNumberFormat="1" applyFont="1" applyFill="1" applyBorder="1" applyAlignment="1" applyProtection="1">
      <alignment horizontal="center" vertical="center"/>
    </xf>
    <xf numFmtId="197" fontId="58" fillId="0" borderId="27" xfId="5" applyNumberFormat="1" applyFont="1" applyBorder="1" applyAlignment="1">
      <alignment horizontal="center" vertical="center" shrinkToFit="1"/>
    </xf>
    <xf numFmtId="197" fontId="41" fillId="12" borderId="27" xfId="5" applyNumberFormat="1" applyFont="1" applyFill="1" applyBorder="1" applyAlignment="1">
      <alignment horizontal="center" vertical="center" shrinkToFit="1"/>
    </xf>
    <xf numFmtId="197" fontId="58" fillId="0" borderId="0" xfId="5" applyNumberFormat="1" applyFont="1" applyAlignment="1">
      <alignment horizontal="center"/>
    </xf>
    <xf numFmtId="183" fontId="14" fillId="4" borderId="6" xfId="0" applyNumberFormat="1" applyFont="1" applyFill="1" applyBorder="1" applyAlignment="1">
      <alignment horizontal="center" vertical="center"/>
    </xf>
    <xf numFmtId="183" fontId="14" fillId="4" borderId="17" xfId="0" applyNumberFormat="1" applyFont="1" applyFill="1" applyBorder="1" applyAlignment="1">
      <alignment horizontal="center" vertical="center"/>
    </xf>
    <xf numFmtId="184" fontId="14" fillId="4" borderId="17" xfId="0" applyNumberFormat="1" applyFont="1" applyFill="1" applyBorder="1" applyAlignment="1">
      <alignment horizontal="center" vertical="center"/>
    </xf>
    <xf numFmtId="183" fontId="14" fillId="0" borderId="2" xfId="0" applyNumberFormat="1" applyFont="1" applyBorder="1" applyAlignment="1" applyProtection="1">
      <alignment horizontal="center" vertical="center"/>
      <protection locked="0"/>
    </xf>
    <xf numFmtId="183" fontId="14" fillId="0" borderId="38" xfId="0" applyNumberFormat="1" applyFont="1" applyBorder="1" applyAlignment="1" applyProtection="1">
      <alignment horizontal="center" vertical="center"/>
      <protection locked="0"/>
    </xf>
    <xf numFmtId="3" fontId="8" fillId="0" borderId="0" xfId="0" applyNumberFormat="1" applyFont="1" applyAlignment="1" applyProtection="1">
      <alignment horizontal="center" vertical="center"/>
      <protection locked="0"/>
    </xf>
    <xf numFmtId="3" fontId="8" fillId="0" borderId="32" xfId="0" applyNumberFormat="1" applyFont="1" applyBorder="1" applyAlignment="1">
      <alignment horizontal="center" vertical="center" shrinkToFit="1"/>
    </xf>
    <xf numFmtId="3" fontId="9" fillId="2" borderId="21" xfId="0" applyNumberFormat="1" applyFont="1" applyFill="1" applyBorder="1" applyAlignment="1" applyProtection="1">
      <alignment horizontal="center" vertical="center" shrinkToFit="1"/>
      <protection locked="0"/>
    </xf>
    <xf numFmtId="3" fontId="9" fillId="2" borderId="3" xfId="0" applyNumberFormat="1" applyFont="1" applyFill="1" applyBorder="1" applyAlignment="1" applyProtection="1">
      <alignment horizontal="center" vertical="center" shrinkToFit="1"/>
      <protection locked="0"/>
    </xf>
    <xf numFmtId="3" fontId="7" fillId="5" borderId="49" xfId="0" applyNumberFormat="1" applyFont="1" applyFill="1" applyBorder="1" applyAlignment="1" applyProtection="1">
      <alignment horizontal="center" vertical="center"/>
      <protection locked="0"/>
    </xf>
    <xf numFmtId="3" fontId="7" fillId="5" borderId="44" xfId="0" applyNumberFormat="1" applyFont="1" applyFill="1" applyBorder="1" applyAlignment="1" applyProtection="1">
      <alignment horizontal="center" vertical="center"/>
      <protection locked="0"/>
    </xf>
    <xf numFmtId="3" fontId="9" fillId="0" borderId="0" xfId="0" applyNumberFormat="1" applyFont="1" applyAlignment="1" applyProtection="1">
      <alignment horizontal="center" vertical="center"/>
      <protection locked="0"/>
    </xf>
    <xf numFmtId="3" fontId="5" fillId="5" borderId="69" xfId="0" applyNumberFormat="1" applyFont="1" applyFill="1" applyBorder="1" applyAlignment="1" applyProtection="1">
      <alignment horizontal="center" vertical="center"/>
      <protection locked="0"/>
    </xf>
    <xf numFmtId="3" fontId="9" fillId="0" borderId="61" xfId="0" applyNumberFormat="1" applyFont="1" applyBorder="1" applyAlignment="1">
      <alignment horizontal="center" vertical="center" shrinkToFit="1"/>
    </xf>
    <xf numFmtId="0" fontId="9" fillId="0" borderId="0" xfId="0" applyFont="1" applyProtection="1">
      <alignment vertical="center"/>
      <protection locked="0"/>
    </xf>
    <xf numFmtId="0" fontId="9" fillId="0" borderId="0" xfId="0" applyFont="1" applyAlignment="1" applyProtection="1">
      <alignment horizontal="right" vertical="center"/>
      <protection locked="0"/>
    </xf>
    <xf numFmtId="3" fontId="8" fillId="0" borderId="33" xfId="0" applyNumberFormat="1" applyFont="1" applyBorder="1" applyAlignment="1">
      <alignment horizontal="center" vertical="center" shrinkToFit="1"/>
    </xf>
    <xf numFmtId="3" fontId="8" fillId="0" borderId="39" xfId="1" applyNumberFormat="1" applyFont="1" applyBorder="1" applyAlignment="1" applyProtection="1">
      <alignment horizontal="center" vertical="center" shrinkToFit="1"/>
    </xf>
    <xf numFmtId="3" fontId="8" fillId="0" borderId="56" xfId="1" applyNumberFormat="1" applyFont="1" applyBorder="1" applyAlignment="1" applyProtection="1">
      <alignment horizontal="center" vertical="center" shrinkToFit="1"/>
    </xf>
    <xf numFmtId="3" fontId="9" fillId="0" borderId="62" xfId="1" applyNumberFormat="1" applyFont="1" applyBorder="1" applyAlignment="1" applyProtection="1">
      <alignment horizontal="center" vertical="center" shrinkToFit="1"/>
    </xf>
    <xf numFmtId="0" fontId="7" fillId="0" borderId="0" xfId="0" applyFont="1" applyAlignment="1">
      <alignment vertical="center" shrinkToFit="1"/>
    </xf>
    <xf numFmtId="0" fontId="7" fillId="2" borderId="66" xfId="0" applyFont="1" applyFill="1" applyBorder="1" applyAlignment="1">
      <alignment horizontal="center" vertical="center" shrinkToFit="1"/>
    </xf>
    <xf numFmtId="0" fontId="0" fillId="0" borderId="0" xfId="0" applyAlignment="1">
      <alignment vertical="center" shrinkToFit="1"/>
    </xf>
    <xf numFmtId="0" fontId="37" fillId="0" borderId="0" xfId="0" applyFont="1">
      <alignment vertical="center"/>
    </xf>
    <xf numFmtId="0" fontId="70" fillId="0" borderId="0" xfId="63" applyFont="1" applyAlignment="1">
      <alignment vertical="center"/>
    </xf>
    <xf numFmtId="0" fontId="14" fillId="0" borderId="0" xfId="63" applyFont="1"/>
    <xf numFmtId="0" fontId="5" fillId="20" borderId="0" xfId="0" applyFont="1" applyFill="1" applyAlignment="1">
      <alignment horizontal="center" vertical="center"/>
    </xf>
    <xf numFmtId="0" fontId="0" fillId="0" borderId="0" xfId="0" quotePrefix="1">
      <alignment vertical="center"/>
    </xf>
    <xf numFmtId="0" fontId="71" fillId="0" borderId="0" xfId="63" applyFont="1" applyAlignment="1" applyProtection="1">
      <alignment horizontal="center" vertical="center" wrapText="1"/>
      <protection locked="0"/>
    </xf>
    <xf numFmtId="0" fontId="5" fillId="0" borderId="0" xfId="0" applyFont="1">
      <alignment vertical="center"/>
    </xf>
    <xf numFmtId="41" fontId="72" fillId="0" borderId="7" xfId="1" applyFont="1" applyFill="1" applyBorder="1" applyAlignment="1" applyProtection="1">
      <alignment vertical="center" wrapText="1"/>
      <protection locked="0"/>
    </xf>
    <xf numFmtId="41" fontId="72" fillId="0" borderId="8" xfId="1" applyFont="1" applyFill="1" applyBorder="1" applyAlignment="1" applyProtection="1">
      <alignment vertical="center" wrapText="1"/>
      <protection locked="0"/>
    </xf>
    <xf numFmtId="41" fontId="68" fillId="0" borderId="21" xfId="1" applyFont="1" applyBorder="1" applyAlignment="1" applyProtection="1">
      <alignment horizontal="right" vertical="center" wrapText="1"/>
      <protection locked="0"/>
    </xf>
    <xf numFmtId="0" fontId="68" fillId="0" borderId="21" xfId="63" applyFont="1" applyBorder="1" applyAlignment="1" applyProtection="1">
      <alignment horizontal="right" vertical="center" wrapText="1"/>
      <protection locked="0"/>
    </xf>
    <xf numFmtId="41" fontId="0" fillId="0" borderId="0" xfId="0" applyNumberFormat="1">
      <alignment vertical="center"/>
    </xf>
    <xf numFmtId="0" fontId="68" fillId="0" borderId="3" xfId="63" applyFont="1" applyBorder="1" applyAlignment="1" applyProtection="1">
      <alignment horizontal="left" vertical="center" wrapText="1"/>
      <protection locked="0"/>
    </xf>
    <xf numFmtId="41" fontId="47" fillId="0" borderId="20" xfId="1" applyFont="1" applyBorder="1" applyAlignment="1" applyProtection="1">
      <alignment horizontal="center" vertical="center"/>
      <protection locked="0"/>
    </xf>
    <xf numFmtId="0" fontId="68" fillId="0" borderId="7" xfId="63" applyFont="1" applyBorder="1" applyAlignment="1" applyProtection="1">
      <alignment horizontal="left" vertical="center" wrapText="1"/>
      <protection locked="0"/>
    </xf>
    <xf numFmtId="41" fontId="47" fillId="0" borderId="8" xfId="1" applyFont="1" applyBorder="1" applyAlignment="1" applyProtection="1">
      <alignment horizontal="center" vertical="center"/>
      <protection locked="0"/>
    </xf>
    <xf numFmtId="41" fontId="72" fillId="0" borderId="65" xfId="1" applyFont="1" applyBorder="1" applyAlignment="1" applyProtection="1">
      <alignment vertical="center" wrapText="1"/>
      <protection locked="0"/>
    </xf>
    <xf numFmtId="0" fontId="0" fillId="0" borderId="0" xfId="0" applyAlignment="1">
      <alignment horizontal="left" vertical="center"/>
    </xf>
    <xf numFmtId="0" fontId="54" fillId="0" borderId="1" xfId="61" applyFont="1" applyBorder="1" applyAlignment="1">
      <alignment horizontal="center" vertical="center" shrinkToFit="1"/>
    </xf>
    <xf numFmtId="0" fontId="58" fillId="0" borderId="1" xfId="61" applyFont="1" applyBorder="1" applyAlignment="1">
      <alignment horizontal="center" vertical="center" shrinkToFit="1"/>
    </xf>
    <xf numFmtId="0" fontId="58" fillId="0" borderId="0" xfId="61" applyFont="1" applyAlignment="1">
      <alignment horizontal="center" vertical="center" shrinkToFit="1"/>
    </xf>
    <xf numFmtId="0" fontId="83" fillId="0" borderId="0" xfId="0" applyFont="1">
      <alignment vertical="center"/>
    </xf>
    <xf numFmtId="41" fontId="14" fillId="4" borderId="1" xfId="1" applyFont="1" applyFill="1" applyBorder="1" applyAlignment="1" applyProtection="1">
      <alignment vertical="center"/>
      <protection locked="0"/>
    </xf>
    <xf numFmtId="0" fontId="84" fillId="0" borderId="108" xfId="0" applyFont="1" applyBorder="1" applyAlignment="1">
      <alignment horizontal="center" vertical="center" wrapText="1"/>
    </xf>
    <xf numFmtId="201" fontId="84" fillId="0" borderId="108" xfId="0" applyNumberFormat="1" applyFont="1" applyBorder="1" applyAlignment="1">
      <alignment horizontal="center" vertical="center" wrapText="1"/>
    </xf>
    <xf numFmtId="201" fontId="85" fillId="21" borderId="108" xfId="0" applyNumberFormat="1" applyFont="1" applyFill="1" applyBorder="1" applyAlignment="1">
      <alignment horizontal="center" vertical="center" wrapText="1"/>
    </xf>
    <xf numFmtId="0" fontId="84" fillId="0" borderId="109" xfId="0" applyFont="1" applyBorder="1" applyAlignment="1">
      <alignment horizontal="center" vertical="center" wrapText="1"/>
    </xf>
    <xf numFmtId="201" fontId="84" fillId="0" borderId="109" xfId="0" applyNumberFormat="1" applyFont="1" applyBorder="1" applyAlignment="1">
      <alignment horizontal="center" vertical="center" wrapText="1"/>
    </xf>
    <xf numFmtId="201" fontId="85" fillId="21" borderId="109" xfId="0" applyNumberFormat="1" applyFont="1" applyFill="1" applyBorder="1" applyAlignment="1">
      <alignment horizontal="center" vertical="center" wrapText="1"/>
    </xf>
    <xf numFmtId="0" fontId="84" fillId="0" borderId="110" xfId="0" applyFont="1" applyBorder="1" applyAlignment="1">
      <alignment horizontal="center" vertical="center" wrapText="1"/>
    </xf>
    <xf numFmtId="201" fontId="84" fillId="0" borderId="110" xfId="0" applyNumberFormat="1" applyFont="1" applyBorder="1" applyAlignment="1">
      <alignment horizontal="center" vertical="center" wrapText="1"/>
    </xf>
    <xf numFmtId="201" fontId="85" fillId="21" borderId="110" xfId="0" applyNumberFormat="1" applyFont="1" applyFill="1" applyBorder="1" applyAlignment="1">
      <alignment horizontal="center" vertical="center" wrapText="1"/>
    </xf>
    <xf numFmtId="49" fontId="87" fillId="13" borderId="1" xfId="58" applyNumberFormat="1" applyFont="1" applyFill="1" applyBorder="1" applyAlignment="1">
      <alignment horizontal="center" vertical="center" wrapText="1"/>
    </xf>
    <xf numFmtId="49" fontId="54" fillId="14" borderId="1" xfId="59" applyNumberFormat="1" applyFont="1" applyFill="1" applyBorder="1" applyAlignment="1">
      <alignment horizontal="center" vertical="center" wrapText="1"/>
    </xf>
    <xf numFmtId="49" fontId="57" fillId="15" borderId="1" xfId="59" applyNumberFormat="1" applyFont="1" applyFill="1" applyBorder="1" applyAlignment="1">
      <alignment horizontal="center" vertical="center" wrapText="1"/>
    </xf>
    <xf numFmtId="49" fontId="54" fillId="0" borderId="1" xfId="59" applyNumberFormat="1" applyFont="1" applyBorder="1" applyAlignment="1">
      <alignment horizontal="center" vertical="center" wrapText="1"/>
    </xf>
    <xf numFmtId="49" fontId="87" fillId="0" borderId="1" xfId="58" applyNumberFormat="1" applyFont="1" applyBorder="1" applyAlignment="1">
      <alignment horizontal="center" vertical="center" wrapText="1"/>
    </xf>
    <xf numFmtId="49" fontId="54" fillId="14" borderId="49" xfId="59" applyNumberFormat="1" applyFont="1" applyFill="1" applyBorder="1" applyAlignment="1">
      <alignment horizontal="center" vertical="center" wrapText="1"/>
    </xf>
    <xf numFmtId="49" fontId="54" fillId="14" borderId="44" xfId="59" applyNumberFormat="1" applyFont="1" applyFill="1" applyBorder="1" applyAlignment="1">
      <alignment horizontal="center" vertical="center" wrapText="1"/>
    </xf>
    <xf numFmtId="49" fontId="54" fillId="14" borderId="69" xfId="59" applyNumberFormat="1" applyFont="1" applyFill="1" applyBorder="1" applyAlignment="1">
      <alignment horizontal="center" vertical="center" wrapText="1"/>
    </xf>
    <xf numFmtId="202" fontId="54" fillId="13" borderId="1" xfId="59" applyNumberFormat="1" applyFont="1" applyFill="1" applyBorder="1" applyAlignment="1">
      <alignment horizontal="center" vertical="center" wrapText="1"/>
    </xf>
    <xf numFmtId="49" fontId="54" fillId="13" borderId="1" xfId="59" applyNumberFormat="1" applyFont="1" applyFill="1" applyBorder="1" applyAlignment="1">
      <alignment horizontal="center" vertical="center" wrapText="1"/>
    </xf>
    <xf numFmtId="49" fontId="54" fillId="0" borderId="1" xfId="58" applyNumberFormat="1" applyFont="1" applyBorder="1" applyAlignment="1">
      <alignment horizontal="center" vertical="center" wrapText="1"/>
    </xf>
    <xf numFmtId="49" fontId="87" fillId="0" borderId="0" xfId="58" applyNumberFormat="1" applyFont="1" applyAlignment="1">
      <alignment horizontal="center" vertical="center" wrapText="1"/>
    </xf>
    <xf numFmtId="0" fontId="34" fillId="0" borderId="49" xfId="58" applyFont="1" applyBorder="1" applyAlignment="1">
      <alignment horizontal="center" vertical="center"/>
    </xf>
    <xf numFmtId="0" fontId="34" fillId="0" borderId="44" xfId="58" applyFont="1" applyBorder="1" applyAlignment="1">
      <alignment horizontal="center" vertical="center"/>
    </xf>
    <xf numFmtId="0" fontId="34" fillId="0" borderId="69" xfId="58" applyFont="1" applyBorder="1" applyAlignment="1">
      <alignment horizontal="center" vertical="center"/>
    </xf>
    <xf numFmtId="197" fontId="36" fillId="0" borderId="17" xfId="0" applyNumberFormat="1" applyFont="1" applyBorder="1" applyAlignment="1">
      <alignment horizontal="right" vertical="center"/>
    </xf>
    <xf numFmtId="197" fontId="36" fillId="0" borderId="21" xfId="0" applyNumberFormat="1" applyFont="1" applyBorder="1" applyAlignment="1">
      <alignment horizontal="right" vertical="center"/>
    </xf>
    <xf numFmtId="197" fontId="62" fillId="0" borderId="21" xfId="0" applyNumberFormat="1" applyFont="1" applyBorder="1" applyAlignment="1">
      <alignment horizontal="right" vertical="center"/>
    </xf>
    <xf numFmtId="0" fontId="88" fillId="0" borderId="0" xfId="0" applyFont="1" applyProtection="1">
      <alignment vertical="center"/>
      <protection locked="0"/>
    </xf>
    <xf numFmtId="0" fontId="44" fillId="15" borderId="1" xfId="58" quotePrefix="1" applyFont="1" applyFill="1" applyBorder="1" applyAlignment="1">
      <alignment horizontal="center" vertical="center"/>
    </xf>
    <xf numFmtId="0" fontId="57" fillId="0" borderId="27" xfId="5" quotePrefix="1" applyFont="1" applyBorder="1" applyAlignment="1">
      <alignment horizontal="center" vertical="center"/>
    </xf>
    <xf numFmtId="0" fontId="60" fillId="0" borderId="3" xfId="0" applyFont="1" applyBorder="1" applyAlignment="1">
      <alignment horizontal="center" vertical="center"/>
    </xf>
    <xf numFmtId="0" fontId="36" fillId="0" borderId="3" xfId="0" applyFont="1" applyBorder="1" applyAlignment="1">
      <alignment horizontal="center" vertical="center"/>
    </xf>
    <xf numFmtId="0" fontId="60" fillId="0" borderId="19" xfId="0" applyFont="1" applyBorder="1" applyAlignment="1">
      <alignment horizontal="center" vertical="center"/>
    </xf>
    <xf numFmtId="0" fontId="61" fillId="0" borderId="3" xfId="0" applyFont="1" applyBorder="1" applyAlignment="1">
      <alignment horizontal="center" vertical="center"/>
    </xf>
    <xf numFmtId="0" fontId="54" fillId="13" borderId="72" xfId="5" applyFont="1" applyFill="1" applyBorder="1" applyAlignment="1">
      <alignment horizontal="center" vertical="center"/>
    </xf>
    <xf numFmtId="0" fontId="54" fillId="0" borderId="0" xfId="5" applyFont="1" applyAlignment="1">
      <alignment horizontal="center" vertical="center"/>
    </xf>
    <xf numFmtId="0" fontId="57" fillId="17" borderId="0" xfId="62" applyFont="1" applyFill="1" applyAlignment="1">
      <alignment horizontal="center" vertical="center"/>
    </xf>
    <xf numFmtId="0" fontId="58" fillId="17" borderId="0" xfId="62" applyFont="1" applyFill="1" applyAlignment="1">
      <alignment horizontal="center" vertical="center"/>
    </xf>
    <xf numFmtId="197" fontId="58" fillId="12" borderId="0" xfId="62" applyNumberFormat="1" applyFont="1" applyFill="1" applyAlignment="1">
      <alignment horizontal="center" vertical="center"/>
    </xf>
    <xf numFmtId="197" fontId="58" fillId="17" borderId="0" xfId="62" applyNumberFormat="1" applyFont="1" applyFill="1" applyAlignment="1">
      <alignment horizontal="center" vertical="center"/>
    </xf>
    <xf numFmtId="197" fontId="57" fillId="18" borderId="0" xfId="62" applyNumberFormat="1" applyFont="1" applyFill="1" applyAlignment="1">
      <alignment horizontal="center" vertical="center"/>
    </xf>
    <xf numFmtId="197" fontId="57" fillId="19" borderId="0" xfId="62" applyNumberFormat="1" applyFont="1" applyFill="1" applyAlignment="1">
      <alignment horizontal="center" vertical="center"/>
    </xf>
    <xf numFmtId="197" fontId="58" fillId="19" borderId="0" xfId="62" applyNumberFormat="1" applyFont="1" applyFill="1" applyAlignment="1">
      <alignment horizontal="center" vertical="center"/>
    </xf>
    <xf numFmtId="197" fontId="58" fillId="16" borderId="0" xfId="62" applyNumberFormat="1" applyFont="1" applyFill="1" applyAlignment="1">
      <alignment horizontal="center" vertical="center"/>
    </xf>
    <xf numFmtId="0" fontId="58" fillId="0" borderId="0" xfId="62" applyFont="1" applyAlignment="1">
      <alignment horizontal="center" vertical="center"/>
    </xf>
    <xf numFmtId="197" fontId="57" fillId="12" borderId="0" xfId="62" applyNumberFormat="1" applyFont="1" applyFill="1" applyAlignment="1">
      <alignment horizontal="center" vertical="center"/>
    </xf>
    <xf numFmtId="197" fontId="57" fillId="17" borderId="0" xfId="62" applyNumberFormat="1" applyFont="1" applyFill="1" applyAlignment="1">
      <alignment horizontal="center" vertical="center"/>
    </xf>
    <xf numFmtId="197" fontId="58" fillId="18" borderId="0" xfId="62" applyNumberFormat="1" applyFont="1" applyFill="1" applyAlignment="1">
      <alignment horizontal="center" vertical="center"/>
    </xf>
    <xf numFmtId="197" fontId="58" fillId="0" borderId="0" xfId="62" applyNumberFormat="1" applyFont="1" applyAlignment="1">
      <alignment horizontal="center" vertical="center"/>
    </xf>
    <xf numFmtId="198" fontId="58" fillId="0" borderId="0" xfId="62" applyNumberFormat="1" applyFont="1" applyAlignment="1">
      <alignment horizontal="center" vertical="center"/>
    </xf>
    <xf numFmtId="0" fontId="8" fillId="11" borderId="40" xfId="0" applyFont="1" applyFill="1" applyBorder="1" applyAlignment="1" applyProtection="1">
      <alignment horizontal="center" vertical="center"/>
      <protection locked="0"/>
    </xf>
    <xf numFmtId="0" fontId="8" fillId="11" borderId="41" xfId="0" applyFont="1" applyFill="1" applyBorder="1" applyAlignment="1" applyProtection="1">
      <alignment horizontal="center" vertical="center"/>
      <protection locked="0"/>
    </xf>
    <xf numFmtId="0" fontId="8" fillId="9" borderId="40" xfId="0" applyFont="1" applyFill="1" applyBorder="1" applyAlignment="1" applyProtection="1">
      <alignment horizontal="center" vertical="center"/>
      <protection locked="0"/>
    </xf>
    <xf numFmtId="0" fontId="8" fillId="9" borderId="41" xfId="0" applyFont="1" applyFill="1" applyBorder="1" applyAlignment="1" applyProtection="1">
      <alignment horizontal="center" vertical="center"/>
      <protection locked="0"/>
    </xf>
    <xf numFmtId="0" fontId="8" fillId="10" borderId="40" xfId="0" applyFont="1" applyFill="1" applyBorder="1" applyAlignment="1" applyProtection="1">
      <alignment horizontal="center" vertical="center"/>
      <protection locked="0"/>
    </xf>
    <xf numFmtId="0" fontId="8" fillId="10" borderId="41" xfId="0" applyFont="1" applyFill="1" applyBorder="1" applyAlignment="1" applyProtection="1">
      <alignment horizontal="center" vertical="center"/>
      <protection locked="0"/>
    </xf>
    <xf numFmtId="0" fontId="37" fillId="0" borderId="23" xfId="0" applyFont="1" applyBorder="1" applyProtection="1">
      <alignment vertical="center"/>
      <protection locked="0"/>
    </xf>
    <xf numFmtId="197" fontId="65" fillId="0" borderId="23" xfId="0" applyNumberFormat="1" applyFont="1" applyBorder="1" applyAlignment="1">
      <alignment horizontal="right" vertical="center"/>
    </xf>
    <xf numFmtId="0" fontId="36" fillId="0" borderId="0" xfId="0" applyFont="1">
      <alignment vertical="center"/>
    </xf>
    <xf numFmtId="0" fontId="62" fillId="0" borderId="0" xfId="0" applyFont="1">
      <alignment vertical="center"/>
    </xf>
    <xf numFmtId="0" fontId="36" fillId="0" borderId="13" xfId="0" applyFont="1" applyBorder="1" applyAlignment="1">
      <alignment horizontal="center" vertical="center"/>
    </xf>
    <xf numFmtId="184" fontId="89" fillId="0" borderId="13" xfId="0" applyNumberFormat="1" applyFont="1" applyBorder="1" applyAlignment="1">
      <alignment horizontal="center" vertical="center"/>
    </xf>
    <xf numFmtId="0" fontId="36" fillId="0" borderId="13" xfId="0" applyFont="1" applyBorder="1" applyAlignment="1">
      <alignment horizontal="left" vertical="center"/>
    </xf>
    <xf numFmtId="0" fontId="36" fillId="0" borderId="2" xfId="0" applyFont="1" applyBorder="1" applyAlignment="1">
      <alignment horizontal="center" vertical="center"/>
    </xf>
    <xf numFmtId="184" fontId="89" fillId="0" borderId="2" xfId="0" applyNumberFormat="1" applyFont="1" applyBorder="1" applyAlignment="1">
      <alignment horizontal="center" vertical="center"/>
    </xf>
    <xf numFmtId="0" fontId="36" fillId="0" borderId="2" xfId="0" applyFont="1" applyBorder="1" applyAlignment="1">
      <alignment horizontal="left" vertical="center" wrapText="1"/>
    </xf>
    <xf numFmtId="184" fontId="89" fillId="0" borderId="2" xfId="0" quotePrefix="1" applyNumberFormat="1" applyFont="1" applyBorder="1" applyAlignment="1">
      <alignment horizontal="center" vertical="center"/>
    </xf>
    <xf numFmtId="0" fontId="36" fillId="0" borderId="2" xfId="0" quotePrefix="1" applyFont="1" applyBorder="1" applyAlignment="1">
      <alignment horizontal="left" vertical="center" wrapText="1"/>
    </xf>
    <xf numFmtId="0" fontId="36" fillId="0" borderId="2" xfId="0" applyFont="1" applyBorder="1" applyAlignment="1">
      <alignment horizontal="left" vertical="center"/>
    </xf>
    <xf numFmtId="0" fontId="36" fillId="0" borderId="55" xfId="0" applyFont="1" applyBorder="1" applyAlignment="1">
      <alignment horizontal="center" vertical="center"/>
    </xf>
    <xf numFmtId="184" fontId="89" fillId="0" borderId="55" xfId="0" quotePrefix="1" applyNumberFormat="1" applyFont="1" applyBorder="1" applyAlignment="1">
      <alignment horizontal="center" vertical="center"/>
    </xf>
    <xf numFmtId="0" fontId="36" fillId="0" borderId="55" xfId="0" applyFont="1" applyBorder="1" applyAlignment="1">
      <alignment horizontal="left" vertical="center"/>
    </xf>
    <xf numFmtId="0" fontId="36" fillId="0" borderId="117" xfId="0" applyFont="1" applyBorder="1" applyAlignment="1">
      <alignment horizontal="center" vertical="center"/>
    </xf>
    <xf numFmtId="184" fontId="89" fillId="0" borderId="118" xfId="0" applyNumberFormat="1" applyFont="1" applyBorder="1" applyAlignment="1">
      <alignment horizontal="center" vertical="center"/>
    </xf>
    <xf numFmtId="0" fontId="36" fillId="0" borderId="117" xfId="0" applyFont="1" applyBorder="1" applyAlignment="1">
      <alignment horizontal="left" vertical="center"/>
    </xf>
    <xf numFmtId="0" fontId="7" fillId="0" borderId="0" xfId="0" applyFont="1" applyAlignment="1">
      <alignment horizontal="center" vertical="center" shrinkToFit="1"/>
    </xf>
    <xf numFmtId="0" fontId="11" fillId="2" borderId="70" xfId="0" applyFont="1" applyFill="1" applyBorder="1" applyAlignment="1">
      <alignment horizontal="center" vertical="center"/>
    </xf>
    <xf numFmtId="197" fontId="54" fillId="0" borderId="1" xfId="59" applyNumberFormat="1" applyFont="1" applyBorder="1" applyAlignment="1">
      <alignment horizontal="center" vertical="center" wrapText="1"/>
    </xf>
    <xf numFmtId="197" fontId="91" fillId="0" borderId="1" xfId="58" applyNumberFormat="1" applyFont="1" applyBorder="1" applyAlignment="1">
      <alignment horizontal="center" vertical="center"/>
    </xf>
    <xf numFmtId="197" fontId="42" fillId="0" borderId="0" xfId="58" applyNumberFormat="1" applyFont="1" applyAlignment="1">
      <alignment horizontal="center" vertical="center"/>
    </xf>
    <xf numFmtId="197" fontId="92" fillId="0" borderId="1" xfId="58" applyNumberFormat="1" applyFont="1" applyBorder="1" applyAlignment="1">
      <alignment horizontal="center" vertical="center"/>
    </xf>
    <xf numFmtId="197" fontId="92" fillId="0" borderId="1" xfId="1" applyNumberFormat="1" applyFont="1" applyBorder="1" applyAlignment="1" applyProtection="1">
      <alignment horizontal="center" vertical="center"/>
    </xf>
    <xf numFmtId="49" fontId="93" fillId="14" borderId="1" xfId="59" applyNumberFormat="1" applyFont="1" applyFill="1" applyBorder="1" applyAlignment="1">
      <alignment horizontal="center" vertical="center" wrapText="1"/>
    </xf>
    <xf numFmtId="0" fontId="54" fillId="13" borderId="27" xfId="5" applyFont="1" applyFill="1" applyBorder="1" applyAlignment="1">
      <alignment horizontal="left" vertical="center"/>
    </xf>
    <xf numFmtId="0" fontId="60" fillId="0" borderId="23" xfId="0" applyFont="1" applyBorder="1" applyAlignment="1">
      <alignment horizontal="center" vertical="center"/>
    </xf>
    <xf numFmtId="0" fontId="5" fillId="12" borderId="1" xfId="0" applyFont="1" applyFill="1" applyBorder="1" applyProtection="1">
      <alignment vertical="center"/>
      <protection locked="0"/>
    </xf>
    <xf numFmtId="0" fontId="89" fillId="12" borderId="1" xfId="0" applyFont="1" applyFill="1" applyBorder="1" applyAlignment="1" applyProtection="1">
      <alignment vertical="center" wrapText="1"/>
      <protection locked="0"/>
    </xf>
    <xf numFmtId="0" fontId="8" fillId="0" borderId="37" xfId="0" applyFont="1" applyBorder="1" applyAlignment="1" applyProtection="1">
      <alignment horizontal="center" vertical="center" shrinkToFit="1"/>
      <protection locked="0"/>
    </xf>
    <xf numFmtId="176" fontId="8" fillId="0" borderId="38" xfId="0" applyNumberFormat="1" applyFont="1" applyBorder="1" applyAlignment="1" applyProtection="1">
      <alignment horizontal="center" vertical="center" shrinkToFit="1"/>
      <protection locked="0"/>
    </xf>
    <xf numFmtId="0" fontId="39" fillId="0" borderId="0" xfId="65" applyFont="1">
      <alignment vertical="center"/>
    </xf>
    <xf numFmtId="0" fontId="39" fillId="0" borderId="0" xfId="65" applyFont="1" applyAlignment="1">
      <alignment horizontal="center" vertical="center"/>
    </xf>
    <xf numFmtId="0" fontId="8" fillId="0" borderId="0" xfId="65">
      <alignment vertical="center"/>
    </xf>
    <xf numFmtId="204" fontId="8" fillId="0" borderId="0" xfId="65" applyNumberFormat="1">
      <alignment vertical="center"/>
    </xf>
    <xf numFmtId="0" fontId="39" fillId="0" borderId="123" xfId="65" applyFont="1" applyBorder="1" applyAlignment="1">
      <alignment horizontal="right" vertical="center" wrapText="1"/>
    </xf>
    <xf numFmtId="0" fontId="39" fillId="0" borderId="123" xfId="65" applyFont="1" applyBorder="1" applyAlignment="1">
      <alignment horizontal="center" vertical="center" wrapText="1"/>
    </xf>
    <xf numFmtId="204" fontId="39" fillId="0" borderId="0" xfId="65" applyNumberFormat="1" applyFont="1">
      <alignment vertical="center"/>
    </xf>
    <xf numFmtId="205" fontId="39" fillId="0" borderId="123" xfId="65" applyNumberFormat="1" applyFont="1" applyBorder="1" applyAlignment="1">
      <alignment horizontal="center" vertical="center" wrapText="1"/>
    </xf>
    <xf numFmtId="0" fontId="39" fillId="0" borderId="124" xfId="65" applyFont="1" applyBorder="1" applyAlignment="1">
      <alignment vertical="center" wrapText="1"/>
    </xf>
    <xf numFmtId="41" fontId="39" fillId="0" borderId="0" xfId="65" applyNumberFormat="1" applyFont="1">
      <alignment vertical="center"/>
    </xf>
    <xf numFmtId="0" fontId="39" fillId="0" borderId="121" xfId="65" applyFont="1" applyBorder="1" applyAlignment="1">
      <alignment vertical="center" wrapText="1"/>
    </xf>
    <xf numFmtId="0" fontId="39" fillId="0" borderId="123" xfId="65" applyFont="1" applyBorder="1" applyAlignment="1">
      <alignment vertical="center" wrapText="1"/>
    </xf>
    <xf numFmtId="0" fontId="39" fillId="0" borderId="128" xfId="65" applyFont="1" applyBorder="1" applyAlignment="1">
      <alignment horizontal="right" vertical="center" wrapText="1"/>
    </xf>
    <xf numFmtId="0" fontId="39" fillId="0" borderId="128" xfId="65" applyFont="1" applyBorder="1" applyAlignment="1">
      <alignment horizontal="center" vertical="center" wrapText="1"/>
    </xf>
    <xf numFmtId="205" fontId="39" fillId="0" borderId="128" xfId="65" applyNumberFormat="1" applyFont="1" applyBorder="1" applyAlignment="1">
      <alignment horizontal="center" vertical="center" wrapText="1"/>
    </xf>
    <xf numFmtId="0" fontId="39" fillId="0" borderId="129" xfId="65" applyFont="1" applyBorder="1" applyAlignment="1">
      <alignment vertical="center" wrapText="1"/>
    </xf>
    <xf numFmtId="41" fontId="39" fillId="0" borderId="0" xfId="66" applyFont="1" applyFill="1">
      <alignment vertical="center"/>
    </xf>
    <xf numFmtId="204" fontId="14" fillId="0" borderId="0" xfId="65" applyNumberFormat="1" applyFont="1">
      <alignment vertical="center"/>
    </xf>
    <xf numFmtId="204" fontId="39" fillId="0" borderId="0" xfId="65" applyNumberFormat="1" applyFont="1" applyAlignment="1">
      <alignment horizontal="center" vertical="center"/>
    </xf>
    <xf numFmtId="0" fontId="39" fillId="0" borderId="129" xfId="65" applyFont="1" applyBorder="1" applyAlignment="1">
      <alignment horizontal="left" vertical="center" wrapText="1"/>
    </xf>
    <xf numFmtId="204" fontId="39" fillId="0" borderId="0" xfId="66" applyNumberFormat="1" applyFont="1" applyFill="1">
      <alignment vertical="center"/>
    </xf>
    <xf numFmtId="3" fontId="39" fillId="0" borderId="0" xfId="65" applyNumberFormat="1" applyFont="1">
      <alignment vertical="center"/>
    </xf>
    <xf numFmtId="0" fontId="39" fillId="0" borderId="0" xfId="65" applyFont="1" applyAlignment="1">
      <alignment horizontal="center" vertical="center" wrapText="1"/>
    </xf>
    <xf numFmtId="0" fontId="39" fillId="0" borderId="0" xfId="65" applyFont="1" applyAlignment="1">
      <alignment horizontal="distributed" vertical="center" wrapText="1" indent="1"/>
    </xf>
    <xf numFmtId="204" fontId="39" fillId="0" borderId="0" xfId="66" applyNumberFormat="1" applyFont="1" applyFill="1" applyBorder="1">
      <alignment vertical="center"/>
    </xf>
    <xf numFmtId="0" fontId="39" fillId="0" borderId="135" xfId="65" applyFont="1" applyBorder="1" applyAlignment="1">
      <alignment horizontal="center" vertical="center" wrapText="1"/>
    </xf>
    <xf numFmtId="0" fontId="39" fillId="0" borderId="139" xfId="65" applyFont="1" applyBorder="1" applyAlignment="1">
      <alignment horizontal="right" vertical="center" wrapText="1"/>
    </xf>
    <xf numFmtId="0" fontId="39" fillId="0" borderId="139" xfId="65" applyFont="1" applyBorder="1" applyAlignment="1">
      <alignment horizontal="center" vertical="center" wrapText="1"/>
    </xf>
    <xf numFmtId="205" fontId="39" fillId="0" borderId="139" xfId="65" applyNumberFormat="1" applyFont="1" applyBorder="1" applyAlignment="1">
      <alignment horizontal="center" vertical="center" wrapText="1"/>
    </xf>
    <xf numFmtId="0" fontId="39" fillId="0" borderId="141" xfId="65" applyFont="1" applyBorder="1" applyAlignment="1">
      <alignment vertical="center" wrapText="1"/>
    </xf>
    <xf numFmtId="205" fontId="39" fillId="0" borderId="0" xfId="65" applyNumberFormat="1" applyFont="1">
      <alignment vertical="center"/>
    </xf>
    <xf numFmtId="0" fontId="39" fillId="0" borderId="0" xfId="65" applyFont="1" applyAlignment="1">
      <alignment horizontal="left" vertical="center"/>
    </xf>
    <xf numFmtId="41" fontId="39" fillId="0" borderId="0" xfId="66" applyFont="1" applyFill="1" applyBorder="1" applyAlignment="1">
      <alignment horizontal="left" vertical="center"/>
    </xf>
    <xf numFmtId="41" fontId="39" fillId="0" borderId="0" xfId="66" applyFont="1" applyFill="1" applyAlignment="1">
      <alignment horizontal="left" vertical="center"/>
    </xf>
    <xf numFmtId="0" fontId="39" fillId="0" borderId="130" xfId="65" applyFont="1" applyBorder="1" applyAlignment="1">
      <alignment vertical="center" wrapText="1"/>
    </xf>
    <xf numFmtId="0" fontId="39" fillId="0" borderId="145" xfId="65" applyFont="1" applyBorder="1" applyAlignment="1">
      <alignment horizontal="center" vertical="center" wrapText="1"/>
    </xf>
    <xf numFmtId="0" fontId="39" fillId="0" borderId="135" xfId="65" applyFont="1" applyBorder="1" applyAlignment="1">
      <alignment vertical="center" wrapText="1"/>
    </xf>
    <xf numFmtId="41" fontId="39" fillId="0" borderId="0" xfId="66" applyFont="1" applyFill="1" applyBorder="1">
      <alignment vertical="center"/>
    </xf>
    <xf numFmtId="0" fontId="39" fillId="0" borderId="148" xfId="65" applyFont="1" applyBorder="1" applyAlignment="1">
      <alignment horizontal="center" vertical="center" wrapText="1"/>
    </xf>
    <xf numFmtId="0" fontId="39" fillId="0" borderId="151" xfId="65" applyFont="1" applyBorder="1" applyAlignment="1">
      <alignment horizontal="center" vertical="center" wrapText="1"/>
    </xf>
    <xf numFmtId="0" fontId="102" fillId="0" borderId="151" xfId="65" applyFont="1" applyBorder="1" applyAlignment="1">
      <alignment horizontal="center" vertical="center" wrapText="1"/>
    </xf>
    <xf numFmtId="0" fontId="39" fillId="0" borderId="154" xfId="65" applyFont="1" applyBorder="1" applyAlignment="1">
      <alignment horizontal="center" vertical="center" wrapText="1"/>
    </xf>
    <xf numFmtId="0" fontId="102" fillId="0" borderId="154" xfId="65" applyFont="1" applyBorder="1" applyAlignment="1">
      <alignment horizontal="center" vertical="center" wrapText="1"/>
    </xf>
    <xf numFmtId="206" fontId="39" fillId="0" borderId="0" xfId="65" applyNumberFormat="1" applyFont="1">
      <alignment vertical="center"/>
    </xf>
    <xf numFmtId="0" fontId="39" fillId="0" borderId="0" xfId="65" applyFont="1" applyAlignment="1">
      <alignment vertical="center" wrapText="1"/>
    </xf>
    <xf numFmtId="41" fontId="39" fillId="0" borderId="0" xfId="66" applyFont="1" applyFill="1" applyBorder="1" applyAlignment="1">
      <alignment vertical="center"/>
    </xf>
    <xf numFmtId="0" fontId="39" fillId="0" borderId="130" xfId="65" applyFont="1" applyBorder="1" applyAlignment="1">
      <alignment horizontal="justify" vertical="center" wrapText="1"/>
    </xf>
    <xf numFmtId="0" fontId="39" fillId="0" borderId="0" xfId="65" applyFont="1" applyAlignment="1">
      <alignment horizontal="justify" vertical="center" wrapText="1"/>
    </xf>
    <xf numFmtId="0" fontId="39" fillId="0" borderId="135" xfId="65" applyFont="1" applyBorder="1" applyAlignment="1">
      <alignment horizontal="justify" vertical="center" wrapText="1"/>
    </xf>
    <xf numFmtId="0" fontId="39" fillId="0" borderId="130" xfId="65" applyFont="1" applyBorder="1" applyAlignment="1">
      <alignment horizontal="center" vertical="center" wrapText="1"/>
    </xf>
    <xf numFmtId="0" fontId="39" fillId="0" borderId="0" xfId="65" applyFont="1" applyAlignment="1">
      <alignment horizontal="right" vertical="center"/>
    </xf>
    <xf numFmtId="0" fontId="39" fillId="0" borderId="0" xfId="65" applyFont="1" applyAlignment="1">
      <alignment horizontal="distributed" vertical="center" indent="1"/>
    </xf>
    <xf numFmtId="0" fontId="39" fillId="0" borderId="0" xfId="65" applyFont="1" applyAlignment="1">
      <alignment horizontal="distributed" vertical="center"/>
    </xf>
    <xf numFmtId="0" fontId="103" fillId="0" borderId="0" xfId="67" applyAlignment="1">
      <alignment horizontal="left" vertical="center"/>
    </xf>
    <xf numFmtId="0" fontId="39" fillId="0" borderId="0" xfId="65" applyFont="1" applyAlignment="1">
      <alignment horizontal="center" vertical="center" shrinkToFit="1"/>
    </xf>
    <xf numFmtId="0" fontId="39" fillId="0" borderId="0" xfId="65" applyFont="1" applyAlignment="1">
      <alignment horizontal="distributed" vertical="center" shrinkToFit="1"/>
    </xf>
    <xf numFmtId="0" fontId="101" fillId="0" borderId="135" xfId="65" applyFont="1" applyBorder="1" applyAlignment="1">
      <alignment horizontal="left" vertical="center" shrinkToFit="1"/>
    </xf>
    <xf numFmtId="0" fontId="39" fillId="0" borderId="135" xfId="65" applyFont="1" applyBorder="1" applyAlignment="1">
      <alignment horizontal="left" vertical="center" wrapText="1"/>
    </xf>
    <xf numFmtId="0" fontId="39" fillId="0" borderId="0" xfId="65" applyFont="1" applyAlignment="1">
      <alignment horizontal="left" vertical="center" wrapText="1"/>
    </xf>
    <xf numFmtId="0" fontId="99" fillId="0" borderId="0" xfId="65" applyFont="1">
      <alignment vertical="center"/>
    </xf>
    <xf numFmtId="0" fontId="39" fillId="0" borderId="0" xfId="65" applyFont="1" applyAlignment="1">
      <alignment horizontal="justify" vertical="center"/>
    </xf>
    <xf numFmtId="0" fontId="105" fillId="0" borderId="0" xfId="65" applyFont="1">
      <alignment vertical="center"/>
    </xf>
    <xf numFmtId="204" fontId="105" fillId="0" borderId="0" xfId="65" applyNumberFormat="1" applyFont="1">
      <alignment vertical="center"/>
    </xf>
    <xf numFmtId="0" fontId="8" fillId="0" borderId="0" xfId="65" applyAlignment="1">
      <alignment horizontal="center" vertical="center"/>
    </xf>
    <xf numFmtId="0" fontId="96" fillId="0" borderId="0" xfId="65" applyFont="1" applyAlignment="1">
      <alignment horizontal="left" vertical="center"/>
    </xf>
    <xf numFmtId="41" fontId="39" fillId="0" borderId="0" xfId="66" applyFont="1">
      <alignment vertical="center"/>
    </xf>
    <xf numFmtId="207" fontId="101" fillId="0" borderId="0" xfId="65" applyNumberFormat="1" applyFont="1">
      <alignment vertical="center"/>
    </xf>
    <xf numFmtId="0" fontId="101" fillId="0" borderId="0" xfId="65" applyFont="1">
      <alignment vertical="center"/>
    </xf>
    <xf numFmtId="0" fontId="101" fillId="0" borderId="154" xfId="65" applyFont="1" applyBorder="1" applyAlignment="1">
      <alignment horizontal="center" vertical="center" wrapText="1"/>
    </xf>
    <xf numFmtId="41" fontId="101" fillId="0" borderId="0" xfId="65" applyNumberFormat="1" applyFont="1">
      <alignment vertical="center"/>
    </xf>
    <xf numFmtId="0" fontId="101" fillId="0" borderId="157" xfId="65" applyFont="1" applyBorder="1" applyAlignment="1">
      <alignment horizontal="center" vertical="center" wrapText="1"/>
    </xf>
    <xf numFmtId="0" fontId="102" fillId="0" borderId="157" xfId="65" applyFont="1" applyBorder="1" applyAlignment="1">
      <alignment horizontal="center" vertical="center" wrapText="1"/>
    </xf>
    <xf numFmtId="41" fontId="101" fillId="0" borderId="157" xfId="65" applyNumberFormat="1" applyFont="1" applyBorder="1" applyAlignment="1">
      <alignment horizontal="center" vertical="center" wrapText="1"/>
    </xf>
    <xf numFmtId="41" fontId="101" fillId="0" borderId="157" xfId="66" applyFont="1" applyBorder="1" applyAlignment="1">
      <alignment horizontal="center" vertical="center" wrapText="1"/>
    </xf>
    <xf numFmtId="197" fontId="101" fillId="0" borderId="154" xfId="65" applyNumberFormat="1" applyFont="1" applyBorder="1" applyAlignment="1">
      <alignment vertical="center" wrapText="1"/>
    </xf>
    <xf numFmtId="0" fontId="101" fillId="0" borderId="154" xfId="65" applyFont="1" applyBorder="1" applyAlignment="1">
      <alignment vertical="center" wrapText="1"/>
    </xf>
    <xf numFmtId="0" fontId="102" fillId="0" borderId="154" xfId="65" applyFont="1" applyBorder="1" applyAlignment="1">
      <alignment vertical="center" wrapText="1"/>
    </xf>
    <xf numFmtId="41" fontId="101" fillId="0" borderId="154" xfId="66" applyFont="1" applyBorder="1" applyAlignment="1">
      <alignment vertical="center" wrapText="1"/>
    </xf>
    <xf numFmtId="197" fontId="101" fillId="0" borderId="162" xfId="65" applyNumberFormat="1" applyFont="1" applyBorder="1" applyAlignment="1">
      <alignment vertical="center" wrapText="1"/>
    </xf>
    <xf numFmtId="197" fontId="39" fillId="0" borderId="0" xfId="65" applyNumberFormat="1" applyFont="1">
      <alignment vertical="center"/>
    </xf>
    <xf numFmtId="41" fontId="39" fillId="0" borderId="0" xfId="65" applyNumberFormat="1" applyFont="1" applyAlignment="1">
      <alignment horizontal="center" vertical="center"/>
    </xf>
    <xf numFmtId="41" fontId="8" fillId="0" borderId="0" xfId="66" applyFont="1">
      <alignment vertical="center"/>
    </xf>
    <xf numFmtId="0" fontId="39" fillId="0" borderId="0" xfId="65" applyFont="1" applyAlignment="1">
      <alignment vertical="center" shrinkToFit="1"/>
    </xf>
    <xf numFmtId="0" fontId="99" fillId="0" borderId="121" xfId="65" applyFont="1" applyBorder="1" applyAlignment="1">
      <alignment horizontal="distributed" vertical="center" shrinkToFit="1"/>
    </xf>
    <xf numFmtId="0" fontId="39" fillId="2" borderId="154" xfId="65" applyFont="1" applyFill="1" applyBorder="1" applyAlignment="1">
      <alignment horizontal="center" vertical="center" shrinkToFit="1"/>
    </xf>
    <xf numFmtId="0" fontId="39" fillId="2" borderId="0" xfId="65" applyFont="1" applyFill="1" applyAlignment="1">
      <alignment vertical="center" shrinkToFit="1"/>
    </xf>
    <xf numFmtId="0" fontId="39" fillId="0" borderId="157" xfId="65" applyFont="1" applyBorder="1" applyAlignment="1">
      <alignment horizontal="center" vertical="center" shrinkToFit="1"/>
    </xf>
    <xf numFmtId="208" fontId="108" fillId="7" borderId="13" xfId="68" applyNumberFormat="1" applyFont="1" applyFill="1" applyBorder="1" applyAlignment="1">
      <alignment horizontal="center" vertical="center" shrinkToFit="1"/>
    </xf>
    <xf numFmtId="208" fontId="108" fillId="2" borderId="13" xfId="68" applyNumberFormat="1" applyFont="1" applyFill="1" applyBorder="1" applyAlignment="1">
      <alignment horizontal="center" vertical="center" shrinkToFit="1"/>
    </xf>
    <xf numFmtId="0" fontId="11" fillId="0" borderId="164" xfId="0" applyFont="1" applyBorder="1" applyAlignment="1">
      <alignment horizontal="center" vertical="center"/>
    </xf>
    <xf numFmtId="41" fontId="11" fillId="0" borderId="164" xfId="0" applyNumberFormat="1" applyFont="1" applyBorder="1">
      <alignment vertical="center"/>
    </xf>
    <xf numFmtId="0" fontId="11" fillId="0" borderId="164" xfId="0" applyFont="1" applyBorder="1">
      <alignment vertical="center"/>
    </xf>
    <xf numFmtId="0" fontId="11" fillId="0" borderId="0" xfId="0" applyFont="1" applyAlignment="1">
      <alignment horizontal="center" vertical="center"/>
    </xf>
    <xf numFmtId="0" fontId="11" fillId="0" borderId="0" xfId="0" applyFont="1">
      <alignment vertical="center"/>
    </xf>
    <xf numFmtId="0" fontId="11" fillId="0" borderId="38" xfId="0" applyFont="1" applyBorder="1" applyAlignment="1">
      <alignment horizontal="center" vertical="center"/>
    </xf>
    <xf numFmtId="41" fontId="11" fillId="0" borderId="38" xfId="0" applyNumberFormat="1" applyFont="1" applyBorder="1">
      <alignment vertical="center"/>
    </xf>
    <xf numFmtId="0" fontId="11" fillId="0" borderId="38" xfId="0" applyFont="1" applyBorder="1">
      <alignment vertical="center"/>
    </xf>
    <xf numFmtId="41" fontId="39" fillId="2" borderId="154" xfId="66" applyFont="1" applyFill="1" applyBorder="1" applyAlignment="1">
      <alignment horizontal="center" vertical="center" shrinkToFit="1"/>
    </xf>
    <xf numFmtId="0" fontId="39" fillId="0" borderId="154" xfId="65" applyFont="1" applyBorder="1" applyAlignment="1">
      <alignment horizontal="center" vertical="center" shrinkToFit="1"/>
    </xf>
    <xf numFmtId="41" fontId="39" fillId="0" borderId="154" xfId="66" applyFont="1" applyBorder="1" applyAlignment="1">
      <alignment vertical="center" shrinkToFit="1"/>
    </xf>
    <xf numFmtId="0" fontId="11" fillId="2" borderId="164" xfId="0" applyFont="1" applyFill="1" applyBorder="1" applyAlignment="1">
      <alignment horizontal="center" vertical="center"/>
    </xf>
    <xf numFmtId="41" fontId="11" fillId="2" borderId="164" xfId="0" applyNumberFormat="1" applyFont="1" applyFill="1" applyBorder="1">
      <alignment vertical="center"/>
    </xf>
    <xf numFmtId="0" fontId="11" fillId="2" borderId="164" xfId="0" applyFont="1" applyFill="1" applyBorder="1">
      <alignment vertical="center"/>
    </xf>
    <xf numFmtId="0" fontId="11" fillId="2" borderId="0" xfId="0" applyFont="1" applyFill="1" applyAlignment="1">
      <alignment horizontal="center" vertical="center"/>
    </xf>
    <xf numFmtId="0" fontId="11" fillId="2" borderId="0" xfId="0" applyFont="1" applyFill="1">
      <alignment vertical="center"/>
    </xf>
    <xf numFmtId="0" fontId="11" fillId="2" borderId="38" xfId="0" applyFont="1" applyFill="1" applyBorder="1" applyAlignment="1">
      <alignment horizontal="center" vertical="center"/>
    </xf>
    <xf numFmtId="41" fontId="11" fillId="2" borderId="38" xfId="0" applyNumberFormat="1" applyFont="1" applyFill="1" applyBorder="1">
      <alignment vertical="center"/>
    </xf>
    <xf numFmtId="0" fontId="11" fillId="2" borderId="38" xfId="0" applyFont="1" applyFill="1" applyBorder="1">
      <alignment vertical="center"/>
    </xf>
    <xf numFmtId="41" fontId="11" fillId="24" borderId="38" xfId="0" applyNumberFormat="1" applyFont="1" applyFill="1" applyBorder="1">
      <alignment vertical="center"/>
    </xf>
    <xf numFmtId="0" fontId="11" fillId="24" borderId="38" xfId="0" applyFont="1" applyFill="1" applyBorder="1">
      <alignment vertical="center"/>
    </xf>
    <xf numFmtId="0" fontId="39" fillId="0" borderId="0" xfId="65" quotePrefix="1" applyFont="1" applyAlignment="1">
      <alignment vertical="center" shrinkToFit="1"/>
    </xf>
    <xf numFmtId="0" fontId="104" fillId="0" borderId="0" xfId="65" applyFont="1" applyAlignment="1">
      <alignment horizontal="center" vertical="center" shrinkToFit="1"/>
    </xf>
    <xf numFmtId="0" fontId="101" fillId="0" borderId="0" xfId="65" applyFont="1" applyAlignment="1">
      <alignment vertical="center" shrinkToFit="1"/>
    </xf>
    <xf numFmtId="0" fontId="113" fillId="0" borderId="0" xfId="69" applyFont="1" applyAlignment="1">
      <alignment vertical="center"/>
    </xf>
    <xf numFmtId="0" fontId="114" fillId="0" borderId="0" xfId="69" applyFont="1" applyAlignment="1">
      <alignment horizontal="center" vertical="center"/>
    </xf>
    <xf numFmtId="0" fontId="108" fillId="0" borderId="0" xfId="69" applyFont="1" applyAlignment="1">
      <alignment vertical="center"/>
    </xf>
    <xf numFmtId="0" fontId="108" fillId="0" borderId="0" xfId="69" quotePrefix="1" applyFont="1" applyAlignment="1">
      <alignment vertical="center"/>
    </xf>
    <xf numFmtId="0" fontId="108" fillId="0" borderId="0" xfId="69" applyFont="1" applyAlignment="1">
      <alignment horizontal="distributed" vertical="center"/>
    </xf>
    <xf numFmtId="0" fontId="115" fillId="0" borderId="0" xfId="69" applyFont="1" applyAlignment="1">
      <alignment vertical="center"/>
    </xf>
    <xf numFmtId="41" fontId="108" fillId="0" borderId="0" xfId="70" applyFont="1" applyAlignment="1">
      <alignment vertical="center"/>
    </xf>
    <xf numFmtId="0" fontId="108" fillId="0" borderId="0" xfId="69" applyFont="1" applyAlignment="1">
      <alignment horizontal="left" vertical="center" shrinkToFit="1"/>
    </xf>
    <xf numFmtId="0" fontId="108" fillId="11" borderId="0" xfId="69" applyFont="1" applyFill="1" applyAlignment="1">
      <alignment vertical="center"/>
    </xf>
    <xf numFmtId="0" fontId="108" fillId="0" borderId="0" xfId="69" applyFont="1" applyAlignment="1">
      <alignment horizontal="center" vertical="center"/>
    </xf>
    <xf numFmtId="0" fontId="116" fillId="0" borderId="0" xfId="69" applyFont="1" applyAlignment="1">
      <alignment vertical="center"/>
    </xf>
    <xf numFmtId="31" fontId="116" fillId="0" borderId="0" xfId="69" applyNumberFormat="1" applyFont="1" applyAlignment="1">
      <alignment horizontal="center" vertical="center"/>
    </xf>
    <xf numFmtId="0" fontId="14" fillId="0" borderId="0" xfId="69" applyFont="1" applyAlignment="1">
      <alignment vertical="center"/>
    </xf>
    <xf numFmtId="0" fontId="117" fillId="0" borderId="0" xfId="69" applyFont="1" applyAlignment="1">
      <alignment vertical="center"/>
    </xf>
    <xf numFmtId="0" fontId="108" fillId="0" borderId="0" xfId="69" applyFont="1" applyAlignment="1">
      <alignment horizontal="left" vertical="center"/>
    </xf>
    <xf numFmtId="0" fontId="14" fillId="0" borderId="0" xfId="69" applyFont="1" applyAlignment="1">
      <alignment horizontal="distributed" vertical="center"/>
    </xf>
    <xf numFmtId="0" fontId="14" fillId="0" borderId="0" xfId="69" applyFont="1" applyAlignment="1">
      <alignment horizontal="center" vertical="center"/>
    </xf>
    <xf numFmtId="0" fontId="14" fillId="0" borderId="0" xfId="69" applyFont="1" applyAlignment="1">
      <alignment horizontal="left" vertical="center"/>
    </xf>
    <xf numFmtId="0" fontId="118" fillId="0" borderId="0" xfId="69" applyFont="1" applyAlignment="1">
      <alignment vertical="center"/>
    </xf>
    <xf numFmtId="0" fontId="113" fillId="0" borderId="163" xfId="69" applyFont="1" applyBorder="1" applyAlignment="1">
      <alignment vertical="center"/>
    </xf>
    <xf numFmtId="0" fontId="113" fillId="0" borderId="167" xfId="69" applyFont="1" applyBorder="1" applyAlignment="1">
      <alignment vertical="center"/>
    </xf>
    <xf numFmtId="0" fontId="113" fillId="0" borderId="19" xfId="69" applyFont="1" applyBorder="1" applyAlignment="1">
      <alignment vertical="center"/>
    </xf>
    <xf numFmtId="0" fontId="113" fillId="0" borderId="168" xfId="69" applyFont="1" applyBorder="1" applyAlignment="1">
      <alignment vertical="center"/>
    </xf>
    <xf numFmtId="0" fontId="113" fillId="0" borderId="20" xfId="69" applyFont="1" applyBorder="1" applyAlignment="1">
      <alignment vertical="center"/>
    </xf>
    <xf numFmtId="0" fontId="119" fillId="0" borderId="0" xfId="0" applyFont="1" applyAlignment="1">
      <alignment horizontal="justify" vertical="center"/>
    </xf>
    <xf numFmtId="0" fontId="8" fillId="0" borderId="0" xfId="0" applyFont="1">
      <alignment vertical="center"/>
    </xf>
    <xf numFmtId="0" fontId="119" fillId="0" borderId="0" xfId="0" applyFont="1" applyAlignment="1">
      <alignment horizontal="left" vertical="center"/>
    </xf>
    <xf numFmtId="0" fontId="121" fillId="0" borderId="169" xfId="0" applyFont="1" applyBorder="1" applyAlignment="1">
      <alignment horizontal="center" vertical="center" wrapText="1"/>
    </xf>
    <xf numFmtId="0" fontId="121" fillId="0" borderId="171" xfId="0" applyFont="1" applyBorder="1" applyAlignment="1">
      <alignment horizontal="center" vertical="center" wrapText="1"/>
    </xf>
    <xf numFmtId="0" fontId="121" fillId="0" borderId="173" xfId="0" applyFont="1" applyBorder="1" applyAlignment="1">
      <alignment horizontal="center" vertical="center" wrapText="1"/>
    </xf>
    <xf numFmtId="0" fontId="119" fillId="0" borderId="0" xfId="0" applyFont="1">
      <alignment vertical="center"/>
    </xf>
    <xf numFmtId="0" fontId="39" fillId="0" borderId="0" xfId="65" applyFont="1" applyAlignment="1">
      <alignment horizontal="right" vertical="center" indent="1"/>
    </xf>
    <xf numFmtId="0" fontId="39" fillId="0" borderId="0" xfId="65" applyFont="1" applyAlignment="1">
      <alignment horizontal="right" vertical="center" indent="1" shrinkToFit="1"/>
    </xf>
    <xf numFmtId="0" fontId="121" fillId="0" borderId="174" xfId="0" applyFont="1" applyBorder="1" applyAlignment="1">
      <alignment horizontal="center" vertical="center" wrapText="1"/>
    </xf>
    <xf numFmtId="0" fontId="100" fillId="0" borderId="174" xfId="0" applyFont="1" applyBorder="1" applyAlignment="1">
      <alignment horizontal="justify" vertical="center" wrapText="1"/>
    </xf>
    <xf numFmtId="0" fontId="122" fillId="0" borderId="0" xfId="0" applyFont="1">
      <alignment vertical="center"/>
    </xf>
    <xf numFmtId="0" fontId="123" fillId="0" borderId="0" xfId="0" applyFont="1" applyAlignment="1">
      <alignment horizontal="justify" vertical="center"/>
    </xf>
    <xf numFmtId="0" fontId="8" fillId="0" borderId="163" xfId="0" applyFont="1" applyBorder="1">
      <alignment vertical="center"/>
    </xf>
    <xf numFmtId="0" fontId="8" fillId="0" borderId="167" xfId="0" applyFont="1" applyBorder="1">
      <alignment vertical="center"/>
    </xf>
    <xf numFmtId="0" fontId="8" fillId="0" borderId="19" xfId="0" applyFont="1" applyBorder="1">
      <alignment vertical="center"/>
    </xf>
    <xf numFmtId="0" fontId="8" fillId="0" borderId="168" xfId="0" applyFont="1" applyBorder="1">
      <alignment vertical="center"/>
    </xf>
    <xf numFmtId="0" fontId="8" fillId="0" borderId="20" xfId="0" applyFont="1" applyBorder="1">
      <alignment vertical="center"/>
    </xf>
    <xf numFmtId="0" fontId="124" fillId="0" borderId="0" xfId="0" quotePrefix="1" applyFont="1">
      <alignment vertical="center"/>
    </xf>
    <xf numFmtId="0" fontId="125" fillId="0" borderId="0" xfId="0" quotePrefix="1" applyFont="1">
      <alignment vertical="center"/>
    </xf>
    <xf numFmtId="196" fontId="7" fillId="4" borderId="6" xfId="0" applyNumberFormat="1" applyFont="1" applyFill="1" applyBorder="1" applyAlignment="1">
      <alignment horizontal="center" vertical="center"/>
    </xf>
    <xf numFmtId="196" fontId="7" fillId="4" borderId="44" xfId="0" applyNumberFormat="1" applyFont="1" applyFill="1" applyBorder="1" applyAlignment="1">
      <alignment horizontal="center" vertical="center"/>
    </xf>
    <xf numFmtId="196" fontId="7" fillId="4" borderId="45" xfId="0" applyNumberFormat="1" applyFont="1" applyFill="1" applyBorder="1" applyAlignment="1">
      <alignment horizontal="center" vertical="center"/>
    </xf>
    <xf numFmtId="196" fontId="7" fillId="4" borderId="49" xfId="0" applyNumberFormat="1" applyFont="1" applyFill="1" applyBorder="1" applyAlignment="1">
      <alignment horizontal="center" vertical="center"/>
    </xf>
    <xf numFmtId="0" fontId="7" fillId="4" borderId="60" xfId="0" applyFont="1" applyFill="1" applyBorder="1" applyAlignment="1">
      <alignment horizontal="center" vertical="center"/>
    </xf>
    <xf numFmtId="196" fontId="7" fillId="5" borderId="6" xfId="0" applyNumberFormat="1" applyFont="1" applyFill="1" applyBorder="1" applyAlignment="1">
      <alignment horizontal="center" vertical="center"/>
    </xf>
    <xf numFmtId="196" fontId="7" fillId="5" borderId="44" xfId="0" applyNumberFormat="1" applyFont="1" applyFill="1" applyBorder="1" applyAlignment="1">
      <alignment horizontal="center" vertical="center"/>
    </xf>
    <xf numFmtId="196" fontId="7" fillId="5" borderId="45" xfId="0" applyNumberFormat="1" applyFont="1" applyFill="1" applyBorder="1" applyAlignment="1">
      <alignment horizontal="center" vertical="center"/>
    </xf>
    <xf numFmtId="196" fontId="7" fillId="5" borderId="49" xfId="0" applyNumberFormat="1" applyFont="1" applyFill="1" applyBorder="1" applyAlignment="1">
      <alignment horizontal="center" vertical="center"/>
    </xf>
    <xf numFmtId="41" fontId="0" fillId="0" borderId="2" xfId="1" applyFont="1" applyFill="1" applyBorder="1" applyAlignment="1">
      <alignment horizontal="center" vertical="center"/>
    </xf>
    <xf numFmtId="183" fontId="14" fillId="4" borderId="13" xfId="0" applyNumberFormat="1" applyFont="1" applyFill="1" applyBorder="1" applyAlignment="1">
      <alignment horizontal="center" vertical="center"/>
    </xf>
    <xf numFmtId="185" fontId="5" fillId="15" borderId="22" xfId="1" applyNumberFormat="1" applyFont="1" applyFill="1" applyBorder="1" applyAlignment="1" applyProtection="1">
      <alignment horizontal="center" vertical="center"/>
    </xf>
    <xf numFmtId="185" fontId="5" fillId="15" borderId="19" xfId="1" applyNumberFormat="1" applyFont="1" applyFill="1" applyBorder="1" applyAlignment="1" applyProtection="1">
      <alignment horizontal="center" vertical="center"/>
    </xf>
    <xf numFmtId="183" fontId="5" fillId="15" borderId="9" xfId="0" applyNumberFormat="1" applyFont="1" applyFill="1" applyBorder="1" applyAlignment="1">
      <alignment horizontal="center" vertical="center"/>
    </xf>
    <xf numFmtId="185" fontId="7" fillId="15" borderId="22" xfId="0" applyNumberFormat="1" applyFont="1" applyFill="1" applyBorder="1" applyAlignment="1">
      <alignment horizontal="center" vertical="center"/>
    </xf>
    <xf numFmtId="185" fontId="6" fillId="15" borderId="22" xfId="0" applyNumberFormat="1" applyFont="1" applyFill="1" applyBorder="1" applyAlignment="1">
      <alignment horizontal="center" vertical="center"/>
    </xf>
    <xf numFmtId="183" fontId="37" fillId="0" borderId="23" xfId="0" applyNumberFormat="1" applyFont="1" applyBorder="1" applyProtection="1">
      <alignment vertical="center"/>
      <protection locked="0"/>
    </xf>
    <xf numFmtId="0" fontId="9" fillId="0" borderId="0" xfId="0" applyFont="1">
      <alignment vertical="center"/>
    </xf>
    <xf numFmtId="0" fontId="0" fillId="0" borderId="112" xfId="0" applyBorder="1" applyAlignment="1">
      <alignment horizontal="center" vertical="center" shrinkToFit="1"/>
    </xf>
    <xf numFmtId="0" fontId="0" fillId="0" borderId="111" xfId="0" applyBorder="1" applyAlignment="1">
      <alignment horizontal="center" vertical="center"/>
    </xf>
    <xf numFmtId="0" fontId="0" fillId="0" borderId="111" xfId="0" applyBorder="1" applyAlignment="1">
      <alignment horizontal="left" vertical="center"/>
    </xf>
    <xf numFmtId="41" fontId="0" fillId="0" borderId="111" xfId="1" applyFont="1" applyFill="1" applyBorder="1" applyAlignment="1">
      <alignment horizontal="center" vertical="center"/>
    </xf>
    <xf numFmtId="0" fontId="0" fillId="0" borderId="113" xfId="0" applyBorder="1" applyAlignment="1">
      <alignment horizontal="center" vertical="center"/>
    </xf>
    <xf numFmtId="0" fontId="0" fillId="0" borderId="114" xfId="0" applyBorder="1" applyAlignment="1">
      <alignment horizontal="center" vertical="center"/>
    </xf>
    <xf numFmtId="0" fontId="0" fillId="0" borderId="115" xfId="0"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left" vertical="center"/>
    </xf>
    <xf numFmtId="0" fontId="0" fillId="0" borderId="59" xfId="0" applyBorder="1" applyAlignment="1">
      <alignment horizontal="center" vertical="center"/>
    </xf>
    <xf numFmtId="0" fontId="0" fillId="0" borderId="116" xfId="0" applyBorder="1" applyAlignment="1">
      <alignment horizontal="center" vertical="center"/>
    </xf>
    <xf numFmtId="0" fontId="0" fillId="0" borderId="68" xfId="0" applyBorder="1" applyAlignment="1">
      <alignment horizontal="center" vertical="center" shrinkToFit="1"/>
    </xf>
    <xf numFmtId="0" fontId="0" fillId="0" borderId="71" xfId="0" applyBorder="1" applyAlignment="1">
      <alignment horizontal="center" vertical="center"/>
    </xf>
    <xf numFmtId="0" fontId="0" fillId="0" borderId="64" xfId="0" applyBorder="1" applyAlignment="1">
      <alignment horizontal="center" vertical="center"/>
    </xf>
    <xf numFmtId="0" fontId="126" fillId="0" borderId="2" xfId="0" applyFont="1" applyBorder="1" applyAlignment="1">
      <alignment horizontal="center" vertical="center"/>
    </xf>
    <xf numFmtId="0" fontId="0" fillId="0" borderId="4" xfId="0" applyBorder="1" applyAlignment="1">
      <alignment horizontal="center" vertical="center" shrinkToFit="1"/>
    </xf>
    <xf numFmtId="0" fontId="0" fillId="0" borderId="5" xfId="0" applyBorder="1" applyAlignment="1">
      <alignment horizontal="center" vertical="center"/>
    </xf>
    <xf numFmtId="0" fontId="0" fillId="0" borderId="5" xfId="0" applyBorder="1" applyAlignment="1">
      <alignment horizontal="left" vertical="center"/>
    </xf>
    <xf numFmtId="0" fontId="0" fillId="0" borderId="5" xfId="0" applyBorder="1" applyAlignment="1">
      <alignment horizontal="center" vertical="distributed"/>
    </xf>
    <xf numFmtId="0" fontId="0" fillId="0" borderId="65" xfId="0" applyBorder="1" applyAlignment="1">
      <alignment horizontal="center" vertical="center"/>
    </xf>
    <xf numFmtId="0" fontId="126" fillId="0" borderId="115" xfId="0" applyFont="1" applyBorder="1" applyAlignment="1">
      <alignment horizontal="center" vertical="center" shrinkToFit="1"/>
    </xf>
    <xf numFmtId="0" fontId="0" fillId="0" borderId="2" xfId="0" applyBorder="1" applyAlignment="1">
      <alignment horizontal="center" vertical="distributed"/>
    </xf>
    <xf numFmtId="0" fontId="37" fillId="0" borderId="0" xfId="0" applyFont="1" applyAlignment="1" applyProtection="1">
      <alignment horizontal="center" vertical="center"/>
      <protection locked="0"/>
    </xf>
    <xf numFmtId="0" fontId="7" fillId="2" borderId="37" xfId="0" applyFont="1" applyFill="1" applyBorder="1" applyAlignment="1" applyProtection="1">
      <alignment horizontal="center" vertical="center" wrapText="1"/>
      <protection locked="0"/>
    </xf>
    <xf numFmtId="0" fontId="0" fillId="15" borderId="37" xfId="0" applyFill="1" applyBorder="1" applyAlignment="1">
      <alignment horizontal="center" vertical="center"/>
    </xf>
    <xf numFmtId="0" fontId="0" fillId="15" borderId="2" xfId="0" applyFill="1" applyBorder="1" applyAlignment="1">
      <alignment horizontal="center" vertical="center"/>
    </xf>
    <xf numFmtId="0" fontId="0" fillId="15" borderId="175" xfId="0" applyFill="1" applyBorder="1" applyAlignment="1">
      <alignment horizontal="center" vertical="center"/>
    </xf>
    <xf numFmtId="0" fontId="0" fillId="0" borderId="104" xfId="0" applyBorder="1" applyAlignment="1">
      <alignment horizontal="center" vertical="center"/>
    </xf>
    <xf numFmtId="186" fontId="14" fillId="0" borderId="37" xfId="0" applyNumberFormat="1" applyFont="1" applyBorder="1" applyAlignment="1" applyProtection="1">
      <alignment horizontal="center" vertical="center"/>
      <protection locked="0"/>
    </xf>
    <xf numFmtId="10" fontId="37" fillId="0" borderId="23" xfId="0" applyNumberFormat="1" applyFont="1" applyBorder="1" applyAlignment="1" applyProtection="1">
      <alignment horizontal="center" vertical="center"/>
      <protection locked="0"/>
    </xf>
    <xf numFmtId="180" fontId="9" fillId="0" borderId="15" xfId="0" applyNumberFormat="1" applyFont="1" applyBorder="1" applyAlignment="1" applyProtection="1">
      <alignment horizontal="left" vertical="center" shrinkToFit="1"/>
      <protection locked="0"/>
    </xf>
    <xf numFmtId="180" fontId="9" fillId="5" borderId="11" xfId="0" applyNumberFormat="1" applyFont="1" applyFill="1" applyBorder="1" applyAlignment="1" applyProtection="1">
      <alignment horizontal="right" vertical="center" shrinkToFit="1"/>
      <protection locked="0"/>
    </xf>
    <xf numFmtId="180" fontId="14" fillId="0" borderId="14" xfId="0" applyNumberFormat="1" applyFont="1" applyBorder="1" applyAlignment="1" applyProtection="1">
      <alignment horizontal="left" vertical="center" shrinkToFit="1"/>
      <protection locked="0"/>
    </xf>
    <xf numFmtId="180" fontId="14" fillId="0" borderId="15" xfId="0" applyNumberFormat="1" applyFont="1" applyBorder="1" applyAlignment="1" applyProtection="1">
      <alignment horizontal="left" vertical="center" shrinkToFit="1"/>
      <protection locked="0"/>
    </xf>
    <xf numFmtId="180" fontId="14" fillId="0" borderId="16" xfId="0" applyNumberFormat="1" applyFont="1" applyBorder="1" applyAlignment="1" applyProtection="1">
      <alignment horizontal="left" vertical="center" shrinkToFit="1"/>
      <protection locked="0"/>
    </xf>
    <xf numFmtId="180" fontId="14" fillId="0" borderId="34" xfId="0" applyNumberFormat="1" applyFont="1" applyBorder="1" applyAlignment="1" applyProtection="1">
      <alignment horizontal="left" vertical="center" shrinkToFit="1"/>
      <protection locked="0"/>
    </xf>
    <xf numFmtId="180" fontId="14" fillId="0" borderId="53" xfId="0" applyNumberFormat="1" applyFont="1" applyBorder="1" applyAlignment="1" applyProtection="1">
      <alignment horizontal="left" vertical="center" shrinkToFit="1"/>
      <protection locked="0"/>
    </xf>
    <xf numFmtId="180" fontId="14" fillId="5" borderId="10" xfId="0" applyNumberFormat="1" applyFont="1" applyFill="1" applyBorder="1" applyAlignment="1" applyProtection="1">
      <alignment horizontal="right" vertical="center" shrinkToFit="1"/>
      <protection locked="0"/>
    </xf>
    <xf numFmtId="180" fontId="14" fillId="5" borderId="11" xfId="0" applyNumberFormat="1" applyFont="1" applyFill="1" applyBorder="1" applyAlignment="1" applyProtection="1">
      <alignment horizontal="right" vertical="center" shrinkToFit="1"/>
      <protection locked="0"/>
    </xf>
    <xf numFmtId="180" fontId="14" fillId="5" borderId="35" xfId="0" applyNumberFormat="1" applyFont="1" applyFill="1" applyBorder="1" applyAlignment="1" applyProtection="1">
      <alignment horizontal="right" vertical="center" shrinkToFit="1"/>
      <protection locked="0"/>
    </xf>
    <xf numFmtId="180" fontId="14" fillId="5" borderId="12" xfId="0" applyNumberFormat="1" applyFont="1" applyFill="1" applyBorder="1" applyAlignment="1" applyProtection="1">
      <alignment horizontal="right" vertical="center" shrinkToFit="1"/>
      <protection locked="0"/>
    </xf>
    <xf numFmtId="180" fontId="9" fillId="0" borderId="31" xfId="0" applyNumberFormat="1" applyFont="1" applyBorder="1" applyAlignment="1" applyProtection="1">
      <alignment horizontal="left" vertical="center" shrinkToFit="1"/>
      <protection locked="0"/>
    </xf>
    <xf numFmtId="180" fontId="9" fillId="5" borderId="36" xfId="0" applyNumberFormat="1" applyFont="1" applyFill="1" applyBorder="1" applyAlignment="1" applyProtection="1">
      <alignment horizontal="right" vertical="center" shrinkToFit="1"/>
      <protection locked="0"/>
    </xf>
    <xf numFmtId="176" fontId="6" fillId="2" borderId="37" xfId="1" applyNumberFormat="1" applyFont="1" applyFill="1" applyBorder="1" applyAlignment="1" applyProtection="1">
      <alignment horizontal="right" vertical="center"/>
      <protection locked="0"/>
    </xf>
    <xf numFmtId="176" fontId="6" fillId="2" borderId="38" xfId="1" applyNumberFormat="1" applyFont="1" applyFill="1" applyBorder="1" applyAlignment="1" applyProtection="1">
      <alignment horizontal="right" vertical="center"/>
      <protection locked="0"/>
    </xf>
    <xf numFmtId="180" fontId="70" fillId="2" borderId="32" xfId="0" applyNumberFormat="1" applyFont="1" applyFill="1" applyBorder="1">
      <alignment vertical="center"/>
    </xf>
    <xf numFmtId="180" fontId="70" fillId="2" borderId="33" xfId="0" applyNumberFormat="1" applyFont="1" applyFill="1" applyBorder="1">
      <alignment vertical="center"/>
    </xf>
    <xf numFmtId="180" fontId="70" fillId="2" borderId="61" xfId="0" applyNumberFormat="1" applyFont="1" applyFill="1" applyBorder="1">
      <alignment vertical="center"/>
    </xf>
    <xf numFmtId="180" fontId="70" fillId="2" borderId="39" xfId="0" applyNumberFormat="1" applyFont="1" applyFill="1" applyBorder="1">
      <alignment vertical="center"/>
    </xf>
    <xf numFmtId="180" fontId="70" fillId="2" borderId="56" xfId="0" applyNumberFormat="1" applyFont="1" applyFill="1" applyBorder="1">
      <alignment vertical="center"/>
    </xf>
    <xf numFmtId="180" fontId="70" fillId="2" borderId="62" xfId="0" applyNumberFormat="1" applyFont="1" applyFill="1" applyBorder="1">
      <alignment vertical="center"/>
    </xf>
    <xf numFmtId="0" fontId="8" fillId="11" borderId="37" xfId="0" applyFont="1" applyFill="1" applyBorder="1" applyAlignment="1" applyProtection="1">
      <alignment horizontal="center" vertical="top" wrapText="1"/>
      <protection locked="0"/>
    </xf>
    <xf numFmtId="0" fontId="8" fillId="11" borderId="177" xfId="0" applyFont="1" applyFill="1" applyBorder="1" applyAlignment="1" applyProtection="1">
      <alignment horizontal="center" vertical="top" wrapText="1"/>
      <protection locked="0"/>
    </xf>
    <xf numFmtId="0" fontId="8" fillId="11" borderId="38" xfId="0" applyFont="1" applyFill="1" applyBorder="1" applyAlignment="1" applyProtection="1">
      <alignment horizontal="center" vertical="top" wrapText="1"/>
      <protection locked="0"/>
    </xf>
    <xf numFmtId="0" fontId="8" fillId="10" borderId="37" xfId="0" applyFont="1" applyFill="1" applyBorder="1" applyAlignment="1" applyProtection="1">
      <alignment horizontal="center" vertical="top" wrapText="1"/>
      <protection locked="0"/>
    </xf>
    <xf numFmtId="0" fontId="8" fillId="10" borderId="177" xfId="0" applyFont="1" applyFill="1" applyBorder="1" applyAlignment="1" applyProtection="1">
      <alignment horizontal="center" vertical="top" wrapText="1"/>
      <protection locked="0"/>
    </xf>
    <xf numFmtId="0" fontId="8" fillId="10" borderId="38" xfId="0" applyFont="1" applyFill="1" applyBorder="1" applyAlignment="1" applyProtection="1">
      <alignment horizontal="center" vertical="top" wrapText="1"/>
      <protection locked="0"/>
    </xf>
    <xf numFmtId="183" fontId="14" fillId="4" borderId="178" xfId="0" applyNumberFormat="1" applyFont="1" applyFill="1" applyBorder="1" applyAlignment="1" applyProtection="1">
      <alignment horizontal="center" vertical="center"/>
      <protection locked="0"/>
    </xf>
    <xf numFmtId="183" fontId="14" fillId="4" borderId="176" xfId="0" applyNumberFormat="1" applyFont="1" applyFill="1" applyBorder="1" applyAlignment="1" applyProtection="1">
      <alignment horizontal="center" vertical="center"/>
      <protection locked="0"/>
    </xf>
    <xf numFmtId="183" fontId="5" fillId="15" borderId="41" xfId="0" applyNumberFormat="1" applyFont="1" applyFill="1" applyBorder="1" applyAlignment="1" applyProtection="1">
      <alignment horizontal="center" vertical="center"/>
      <protection locked="0"/>
    </xf>
    <xf numFmtId="183" fontId="5" fillId="15" borderId="43" xfId="0" applyNumberFormat="1" applyFont="1" applyFill="1" applyBorder="1" applyAlignment="1" applyProtection="1">
      <alignment horizontal="center" vertical="center"/>
      <protection locked="0"/>
    </xf>
    <xf numFmtId="183" fontId="8" fillId="0" borderId="6" xfId="0" applyNumberFormat="1" applyFont="1" applyBorder="1" applyAlignment="1" applyProtection="1">
      <alignment horizontal="center" vertical="center"/>
      <protection locked="0"/>
    </xf>
    <xf numFmtId="183" fontId="8" fillId="0" borderId="8" xfId="0" applyNumberFormat="1" applyFont="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8" fillId="9" borderId="37" xfId="0" applyFont="1" applyFill="1" applyBorder="1" applyAlignment="1" applyProtection="1">
      <alignment horizontal="center" vertical="top" wrapText="1"/>
      <protection locked="0"/>
    </xf>
    <xf numFmtId="0" fontId="8" fillId="9" borderId="177" xfId="0" applyFont="1" applyFill="1" applyBorder="1" applyAlignment="1" applyProtection="1">
      <alignment horizontal="center" vertical="top" wrapText="1"/>
      <protection locked="0"/>
    </xf>
    <xf numFmtId="0" fontId="8" fillId="9" borderId="38" xfId="0" applyFont="1" applyFill="1" applyBorder="1" applyAlignment="1" applyProtection="1">
      <alignment horizontal="center" vertical="top" wrapText="1"/>
      <protection locked="0"/>
    </xf>
    <xf numFmtId="0" fontId="83" fillId="0" borderId="182" xfId="0" applyFont="1" applyBorder="1" applyAlignment="1">
      <alignment horizontal="center" vertical="center"/>
    </xf>
    <xf numFmtId="0" fontId="83" fillId="0" borderId="183" xfId="0" applyFont="1" applyBorder="1" applyAlignment="1">
      <alignment horizontal="center" vertical="center"/>
    </xf>
    <xf numFmtId="0" fontId="83" fillId="0" borderId="184" xfId="0" applyFont="1" applyBorder="1" applyAlignment="1">
      <alignment horizontal="center" vertical="center"/>
    </xf>
    <xf numFmtId="0" fontId="83" fillId="0" borderId="185" xfId="0" applyFont="1" applyBorder="1" applyAlignment="1">
      <alignment horizontal="center" vertical="center"/>
    </xf>
    <xf numFmtId="0" fontId="84" fillId="0" borderId="106" xfId="0" applyFont="1" applyBorder="1" applyAlignment="1">
      <alignment horizontal="center" vertical="center" wrapText="1"/>
    </xf>
    <xf numFmtId="0" fontId="84" fillId="0" borderId="107" xfId="0" applyFont="1" applyBorder="1" applyAlignment="1">
      <alignment horizontal="center" vertical="center" wrapText="1"/>
    </xf>
    <xf numFmtId="0" fontId="85" fillId="21" borderId="106" xfId="0" applyFont="1" applyFill="1" applyBorder="1" applyAlignment="1">
      <alignment horizontal="center" vertical="center" wrapText="1"/>
    </xf>
    <xf numFmtId="0" fontId="85" fillId="21" borderId="107" xfId="0" applyFont="1" applyFill="1" applyBorder="1" applyAlignment="1">
      <alignment horizontal="center" vertical="center" wrapText="1"/>
    </xf>
    <xf numFmtId="0" fontId="83" fillId="0" borderId="180" xfId="0" applyFont="1" applyBorder="1" applyAlignment="1">
      <alignment horizontal="center" vertical="center"/>
    </xf>
    <xf numFmtId="0" fontId="83" fillId="0" borderId="181" xfId="0" applyFont="1" applyBorder="1" applyAlignment="1">
      <alignment horizontal="center" vertical="center"/>
    </xf>
    <xf numFmtId="0" fontId="86" fillId="0" borderId="179" xfId="0" applyFont="1" applyBorder="1" applyAlignment="1">
      <alignment horizontal="center" vertical="center"/>
    </xf>
    <xf numFmtId="0" fontId="86" fillId="0" borderId="108" xfId="0" applyFont="1" applyBorder="1" applyAlignment="1">
      <alignment horizontal="center" vertical="center"/>
    </xf>
    <xf numFmtId="0" fontId="104" fillId="0" borderId="136" xfId="65" applyFont="1" applyBorder="1" applyAlignment="1">
      <alignment horizontal="left" vertical="center" wrapText="1"/>
    </xf>
    <xf numFmtId="0" fontId="104" fillId="0" borderId="121" xfId="65" applyFont="1" applyBorder="1" applyAlignment="1">
      <alignment horizontal="left" vertical="center" wrapText="1"/>
    </xf>
    <xf numFmtId="0" fontId="104" fillId="0" borderId="156" xfId="65" applyFont="1" applyBorder="1" applyAlignment="1">
      <alignment horizontal="left" vertical="center" wrapText="1"/>
    </xf>
    <xf numFmtId="0" fontId="39" fillId="0" borderId="0" xfId="65" applyFont="1" applyAlignment="1">
      <alignment horizontal="left" vertical="center" wrapText="1" indent="1"/>
    </xf>
    <xf numFmtId="0" fontId="39" fillId="0" borderId="0" xfId="65" applyFont="1" applyAlignment="1">
      <alignment horizontal="distributed" vertical="center" wrapText="1" indent="1"/>
    </xf>
    <xf numFmtId="0" fontId="39" fillId="0" borderId="0" xfId="65" applyFont="1" applyAlignment="1">
      <alignment horizontal="distributed" vertical="center" indent="1"/>
    </xf>
    <xf numFmtId="0" fontId="101" fillId="0" borderId="150" xfId="65" applyFont="1" applyBorder="1" applyAlignment="1">
      <alignment horizontal="distributed" vertical="center" wrapText="1"/>
    </xf>
    <xf numFmtId="0" fontId="101" fillId="0" borderId="151" xfId="65" applyFont="1" applyBorder="1" applyAlignment="1">
      <alignment horizontal="distributed" vertical="center" wrapText="1"/>
    </xf>
    <xf numFmtId="0" fontId="39" fillId="0" borderId="151" xfId="65" applyFont="1" applyBorder="1" applyAlignment="1">
      <alignment horizontal="distributed" vertical="center" wrapText="1" indent="1"/>
    </xf>
    <xf numFmtId="205" fontId="39" fillId="0" borderId="151" xfId="65" applyNumberFormat="1" applyFont="1" applyBorder="1" applyAlignment="1">
      <alignment horizontal="center" vertical="center" wrapText="1"/>
    </xf>
    <xf numFmtId="205" fontId="39" fillId="0" borderId="152" xfId="65" applyNumberFormat="1" applyFont="1" applyBorder="1" applyAlignment="1">
      <alignment horizontal="center" vertical="center" wrapText="1"/>
    </xf>
    <xf numFmtId="0" fontId="101" fillId="0" borderId="153" xfId="65" applyFont="1" applyBorder="1" applyAlignment="1">
      <alignment horizontal="distributed" vertical="center" wrapText="1"/>
    </xf>
    <xf numFmtId="0" fontId="101" fillId="0" borderId="154" xfId="65" applyFont="1" applyBorder="1" applyAlignment="1">
      <alignment horizontal="distributed" vertical="center" wrapText="1"/>
    </xf>
    <xf numFmtId="0" fontId="39" fillId="0" borderId="154" xfId="65" applyFont="1" applyBorder="1" applyAlignment="1">
      <alignment horizontal="distributed" vertical="center" wrapText="1" indent="1"/>
    </xf>
    <xf numFmtId="205" fontId="39" fillId="0" borderId="154" xfId="65" applyNumberFormat="1" applyFont="1" applyBorder="1" applyAlignment="1">
      <alignment horizontal="center" vertical="center" wrapText="1"/>
    </xf>
    <xf numFmtId="205" fontId="39" fillId="0" borderId="155" xfId="65" applyNumberFormat="1" applyFont="1" applyBorder="1" applyAlignment="1">
      <alignment horizontal="center" vertical="center" wrapText="1"/>
    </xf>
    <xf numFmtId="0" fontId="101" fillId="0" borderId="147" xfId="65" applyFont="1" applyBorder="1" applyAlignment="1">
      <alignment horizontal="distributed" vertical="center" wrapText="1"/>
    </xf>
    <xf numFmtId="0" fontId="101" fillId="0" borderId="148" xfId="65" applyFont="1" applyBorder="1" applyAlignment="1">
      <alignment horizontal="distributed" vertical="center" wrapText="1"/>
    </xf>
    <xf numFmtId="0" fontId="39" fillId="0" borderId="148" xfId="65" applyFont="1" applyBorder="1" applyAlignment="1">
      <alignment horizontal="distributed" vertical="center" wrapText="1" indent="1"/>
    </xf>
    <xf numFmtId="205" fontId="39" fillId="0" borderId="148" xfId="65" applyNumberFormat="1" applyFont="1" applyBorder="1" applyAlignment="1">
      <alignment horizontal="center" vertical="center" wrapText="1"/>
    </xf>
    <xf numFmtId="0" fontId="39" fillId="0" borderId="148" xfId="65" applyFont="1" applyBorder="1" applyAlignment="1">
      <alignment horizontal="center" vertical="center" wrapText="1"/>
    </xf>
    <xf numFmtId="0" fontId="39" fillId="0" borderId="149" xfId="65" applyFont="1" applyBorder="1" applyAlignment="1">
      <alignment horizontal="center" vertical="center" wrapText="1"/>
    </xf>
    <xf numFmtId="0" fontId="39" fillId="0" borderId="130" xfId="65" applyFont="1" applyBorder="1" applyAlignment="1">
      <alignment vertical="center" wrapText="1"/>
    </xf>
    <xf numFmtId="0" fontId="39" fillId="0" borderId="0" xfId="65" applyFont="1" applyAlignment="1">
      <alignment vertical="center" wrapText="1"/>
    </xf>
    <xf numFmtId="0" fontId="39" fillId="0" borderId="135" xfId="65" applyFont="1" applyBorder="1" applyAlignment="1">
      <alignment vertical="center" wrapText="1"/>
    </xf>
    <xf numFmtId="0" fontId="39" fillId="0" borderId="130" xfId="65" applyFont="1" applyBorder="1" applyAlignment="1">
      <alignment horizontal="justify" vertical="center" wrapText="1"/>
    </xf>
    <xf numFmtId="0" fontId="39" fillId="0" borderId="0" xfId="65" applyFont="1" applyAlignment="1">
      <alignment horizontal="justify" vertical="center" wrapText="1"/>
    </xf>
    <xf numFmtId="0" fontId="39" fillId="0" borderId="135" xfId="65" applyFont="1" applyBorder="1" applyAlignment="1">
      <alignment horizontal="justify" vertical="center" wrapText="1"/>
    </xf>
    <xf numFmtId="0" fontId="39" fillId="0" borderId="130" xfId="65" applyFont="1" applyBorder="1" applyAlignment="1">
      <alignment horizontal="center" vertical="center" wrapText="1"/>
    </xf>
    <xf numFmtId="0" fontId="39" fillId="0" borderId="0" xfId="65" applyFont="1" applyAlignment="1">
      <alignment horizontal="center" vertical="center" wrapText="1"/>
    </xf>
    <xf numFmtId="0" fontId="39" fillId="0" borderId="135" xfId="65" applyFont="1" applyBorder="1" applyAlignment="1">
      <alignment horizontal="center" vertical="center" wrapText="1"/>
    </xf>
    <xf numFmtId="0" fontId="39" fillId="0" borderId="144" xfId="65" applyFont="1" applyBorder="1" applyAlignment="1">
      <alignment horizontal="center" vertical="center" wrapText="1"/>
    </xf>
    <xf numFmtId="0" fontId="39" fillId="0" borderId="145" xfId="65" applyFont="1" applyBorder="1" applyAlignment="1">
      <alignment horizontal="center" vertical="center" wrapText="1"/>
    </xf>
    <xf numFmtId="0" fontId="39" fillId="0" borderId="146" xfId="65" applyFont="1" applyBorder="1" applyAlignment="1">
      <alignment horizontal="center" vertical="center" wrapText="1"/>
    </xf>
    <xf numFmtId="205" fontId="39" fillId="0" borderId="149" xfId="65" applyNumberFormat="1" applyFont="1" applyBorder="1" applyAlignment="1">
      <alignment horizontal="center" vertical="center" wrapText="1"/>
    </xf>
    <xf numFmtId="0" fontId="39" fillId="0" borderId="142" xfId="65" applyFont="1" applyBorder="1" applyAlignment="1">
      <alignment horizontal="left" vertical="center" wrapText="1"/>
    </xf>
    <xf numFmtId="0" fontId="39" fillId="0" borderId="140" xfId="65" applyFont="1" applyBorder="1" applyAlignment="1">
      <alignment horizontal="left" vertical="center" wrapText="1"/>
    </xf>
    <xf numFmtId="0" fontId="39" fillId="0" borderId="143" xfId="65" applyFont="1" applyBorder="1" applyAlignment="1">
      <alignment horizontal="left" vertical="center" wrapText="1"/>
    </xf>
    <xf numFmtId="0" fontId="39" fillId="0" borderId="132" xfId="65" applyFont="1" applyBorder="1" applyAlignment="1">
      <alignment horizontal="center" vertical="center" wrapText="1"/>
    </xf>
    <xf numFmtId="205" fontId="39" fillId="0" borderId="132" xfId="65" applyNumberFormat="1" applyFont="1" applyBorder="1" applyAlignment="1">
      <alignment horizontal="center" vertical="center" wrapText="1"/>
    </xf>
    <xf numFmtId="0" fontId="39" fillId="0" borderId="137" xfId="65" applyFont="1" applyBorder="1" applyAlignment="1">
      <alignment horizontal="center" vertical="center" wrapText="1"/>
    </xf>
    <xf numFmtId="0" fontId="39" fillId="0" borderId="121" xfId="65" applyFont="1" applyBorder="1" applyAlignment="1">
      <alignment horizontal="distributed" vertical="center" wrapText="1" indent="1"/>
    </xf>
    <xf numFmtId="0" fontId="99" fillId="0" borderId="131" xfId="65" applyFont="1" applyBorder="1" applyAlignment="1">
      <alignment horizontal="distributed" vertical="center" wrapText="1" indent="1"/>
    </xf>
    <xf numFmtId="0" fontId="39" fillId="0" borderId="131" xfId="65" applyFont="1" applyBorder="1" applyAlignment="1">
      <alignment horizontal="center" vertical="center" wrapText="1"/>
    </xf>
    <xf numFmtId="0" fontId="39" fillId="0" borderId="134" xfId="65" applyFont="1" applyBorder="1" applyAlignment="1">
      <alignment horizontal="center" vertical="center" wrapText="1"/>
    </xf>
    <xf numFmtId="0" fontId="14" fillId="0" borderId="131" xfId="65" applyFont="1" applyBorder="1" applyAlignment="1">
      <alignment horizontal="left" vertical="center"/>
    </xf>
    <xf numFmtId="0" fontId="14" fillId="0" borderId="134" xfId="65" applyFont="1" applyBorder="1" applyAlignment="1">
      <alignment horizontal="left" vertical="center"/>
    </xf>
    <xf numFmtId="0" fontId="39" fillId="0" borderId="133" xfId="65" applyFont="1" applyBorder="1" applyAlignment="1">
      <alignment horizontal="center" vertical="center" wrapText="1"/>
    </xf>
    <xf numFmtId="0" fontId="39" fillId="0" borderId="134" xfId="65" applyFont="1" applyBorder="1" applyAlignment="1">
      <alignment horizontal="distributed" vertical="center" wrapText="1" indent="1"/>
    </xf>
    <xf numFmtId="0" fontId="14" fillId="0" borderId="0" xfId="65" applyFont="1" applyAlignment="1">
      <alignment horizontal="left" vertical="center"/>
    </xf>
    <xf numFmtId="0" fontId="14" fillId="0" borderId="121" xfId="65" applyFont="1" applyBorder="1" applyAlignment="1">
      <alignment horizontal="left" vertical="center"/>
    </xf>
    <xf numFmtId="205" fontId="39" fillId="0" borderId="0" xfId="65" applyNumberFormat="1" applyFont="1" applyAlignment="1">
      <alignment horizontal="center" vertical="center" wrapText="1"/>
    </xf>
    <xf numFmtId="205" fontId="39" fillId="0" borderId="134" xfId="65" applyNumberFormat="1" applyFont="1" applyBorder="1" applyAlignment="1">
      <alignment horizontal="center" vertical="center" wrapText="1"/>
    </xf>
    <xf numFmtId="0" fontId="39" fillId="0" borderId="138" xfId="65" quotePrefix="1" applyFont="1" applyBorder="1" applyAlignment="1">
      <alignment horizontal="right" vertical="center" wrapText="1"/>
    </xf>
    <xf numFmtId="0" fontId="39" fillId="0" borderId="139" xfId="65" applyFont="1" applyBorder="1" applyAlignment="1">
      <alignment horizontal="right" vertical="center" wrapText="1"/>
    </xf>
    <xf numFmtId="0" fontId="39" fillId="0" borderId="139" xfId="65" applyFont="1" applyBorder="1" applyAlignment="1">
      <alignment horizontal="distributed" vertical="center" wrapText="1" indent="1"/>
    </xf>
    <xf numFmtId="0" fontId="14" fillId="0" borderId="140" xfId="65" applyFont="1" applyBorder="1" applyAlignment="1">
      <alignment horizontal="left" vertical="center"/>
    </xf>
    <xf numFmtId="0" fontId="99" fillId="0" borderId="0" xfId="65" applyFont="1" applyAlignment="1">
      <alignment horizontal="distributed" vertical="center" wrapText="1" indent="1"/>
    </xf>
    <xf numFmtId="0" fontId="39" fillId="0" borderId="122" xfId="65" quotePrefix="1" applyFont="1" applyBorder="1" applyAlignment="1">
      <alignment horizontal="right" vertical="center" wrapText="1"/>
    </xf>
    <xf numFmtId="0" fontId="39" fillId="0" borderId="123" xfId="65" applyFont="1" applyBorder="1" applyAlignment="1">
      <alignment horizontal="right" vertical="center" wrapText="1"/>
    </xf>
    <xf numFmtId="0" fontId="39" fillId="0" borderId="123" xfId="65" applyFont="1" applyBorder="1" applyAlignment="1">
      <alignment horizontal="distributed" vertical="center" wrapText="1" indent="1"/>
    </xf>
    <xf numFmtId="0" fontId="14" fillId="0" borderId="125" xfId="65" applyFont="1" applyBorder="1" applyAlignment="1">
      <alignment horizontal="left" vertical="center"/>
    </xf>
    <xf numFmtId="0" fontId="39" fillId="0" borderId="127" xfId="65" quotePrefix="1" applyFont="1" applyBorder="1" applyAlignment="1">
      <alignment horizontal="right" vertical="center" wrapText="1"/>
    </xf>
    <xf numFmtId="0" fontId="39" fillId="0" borderId="128" xfId="65" applyFont="1" applyBorder="1" applyAlignment="1">
      <alignment horizontal="right" vertical="center" wrapText="1"/>
    </xf>
    <xf numFmtId="0" fontId="39" fillId="0" borderId="130" xfId="65" applyFont="1" applyBorder="1" applyAlignment="1">
      <alignment horizontal="right" vertical="center" wrapText="1"/>
    </xf>
    <xf numFmtId="0" fontId="39" fillId="0" borderId="0" xfId="65" applyFont="1" applyAlignment="1">
      <alignment horizontal="right" vertical="center" wrapText="1"/>
    </xf>
    <xf numFmtId="0" fontId="39" fillId="0" borderId="136" xfId="65" applyFont="1" applyBorder="1" applyAlignment="1">
      <alignment horizontal="right" vertical="center" wrapText="1"/>
    </xf>
    <xf numFmtId="0" fontId="39" fillId="0" borderId="121" xfId="65" applyFont="1" applyBorder="1" applyAlignment="1">
      <alignment horizontal="right" vertical="center" wrapText="1"/>
    </xf>
    <xf numFmtId="0" fontId="39" fillId="0" borderId="128" xfId="65" applyFont="1" applyBorder="1" applyAlignment="1">
      <alignment horizontal="distributed" vertical="center" wrapText="1" indent="1"/>
    </xf>
    <xf numFmtId="0" fontId="39" fillId="0" borderId="121" xfId="65" applyFont="1" applyBorder="1" applyAlignment="1">
      <alignment horizontal="center" vertical="center" wrapText="1"/>
    </xf>
    <xf numFmtId="31" fontId="14" fillId="0" borderId="126" xfId="65" applyNumberFormat="1" applyFont="1" applyBorder="1" applyAlignment="1">
      <alignment horizontal="left" vertical="center"/>
    </xf>
    <xf numFmtId="0" fontId="96" fillId="0" borderId="121" xfId="65" applyFont="1" applyBorder="1" applyAlignment="1">
      <alignment horizontal="left" vertical="center"/>
    </xf>
    <xf numFmtId="0" fontId="97" fillId="0" borderId="122" xfId="65" applyFont="1" applyBorder="1" applyAlignment="1">
      <alignment horizontal="center" vertical="center" wrapText="1"/>
    </xf>
    <xf numFmtId="0" fontId="97" fillId="0" borderId="123" xfId="65" applyFont="1" applyBorder="1" applyAlignment="1">
      <alignment horizontal="center" vertical="center" wrapText="1"/>
    </xf>
    <xf numFmtId="0" fontId="97" fillId="0" borderId="124" xfId="65" applyFont="1" applyBorder="1" applyAlignment="1">
      <alignment horizontal="center" vertical="center" wrapText="1"/>
    </xf>
    <xf numFmtId="0" fontId="39" fillId="0" borderId="123" xfId="65" applyFont="1" applyBorder="1" applyAlignment="1">
      <alignment horizontal="left" vertical="center" wrapText="1"/>
    </xf>
    <xf numFmtId="0" fontId="39" fillId="0" borderId="124" xfId="65" applyFont="1" applyBorder="1" applyAlignment="1">
      <alignment horizontal="left" vertical="center" wrapText="1"/>
    </xf>
    <xf numFmtId="0" fontId="101" fillId="0" borderId="159" xfId="65" applyFont="1" applyBorder="1" applyAlignment="1">
      <alignment horizontal="center" vertical="center" wrapText="1"/>
    </xf>
    <xf numFmtId="0" fontId="101" fillId="0" borderId="160" xfId="65" applyFont="1" applyBorder="1" applyAlignment="1">
      <alignment horizontal="center" vertical="center" wrapText="1"/>
    </xf>
    <xf numFmtId="0" fontId="101" fillId="0" borderId="161" xfId="65" applyFont="1" applyBorder="1" applyAlignment="1">
      <alignment horizontal="center" vertical="center" wrapText="1"/>
    </xf>
    <xf numFmtId="197" fontId="101" fillId="0" borderId="159" xfId="65" applyNumberFormat="1" applyFont="1" applyBorder="1" applyAlignment="1">
      <alignment horizontal="center" vertical="center" wrapText="1"/>
    </xf>
    <xf numFmtId="197" fontId="101" fillId="0" borderId="161" xfId="65" applyNumberFormat="1" applyFont="1" applyBorder="1" applyAlignment="1">
      <alignment horizontal="center" vertical="center" wrapText="1"/>
    </xf>
    <xf numFmtId="0" fontId="101" fillId="0" borderId="138" xfId="65" applyFont="1" applyBorder="1" applyAlignment="1">
      <alignment horizontal="center" vertical="center" wrapText="1"/>
    </xf>
    <xf numFmtId="0" fontId="101" fillId="0" borderId="141" xfId="65" applyFont="1" applyBorder="1" applyAlignment="1">
      <alignment horizontal="center" vertical="center" wrapText="1"/>
    </xf>
    <xf numFmtId="197" fontId="101" fillId="0" borderId="138" xfId="65" applyNumberFormat="1" applyFont="1" applyBorder="1" applyAlignment="1">
      <alignment horizontal="center" vertical="center" wrapText="1"/>
    </xf>
    <xf numFmtId="197" fontId="101" fillId="0" borderId="141" xfId="65" applyNumberFormat="1" applyFont="1" applyBorder="1" applyAlignment="1">
      <alignment horizontal="center" vertical="center" wrapText="1"/>
    </xf>
    <xf numFmtId="197" fontId="101" fillId="0" borderId="142" xfId="65" applyNumberFormat="1" applyFont="1" applyBorder="1" applyAlignment="1">
      <alignment horizontal="center" vertical="center" wrapText="1"/>
    </xf>
    <xf numFmtId="197" fontId="101" fillId="0" borderId="143" xfId="65" applyNumberFormat="1" applyFont="1" applyBorder="1" applyAlignment="1">
      <alignment horizontal="center" vertical="center" wrapText="1"/>
    </xf>
    <xf numFmtId="0" fontId="101" fillId="0" borderId="139" xfId="65" applyFont="1" applyBorder="1" applyAlignment="1">
      <alignment horizontal="center" vertical="center" wrapText="1"/>
    </xf>
    <xf numFmtId="0" fontId="101" fillId="0" borderId="157" xfId="65" applyFont="1" applyBorder="1" applyAlignment="1">
      <alignment horizontal="center" vertical="center" wrapText="1"/>
    </xf>
    <xf numFmtId="0" fontId="101" fillId="0" borderId="158" xfId="65" applyFont="1" applyBorder="1" applyAlignment="1">
      <alignment horizontal="center" vertical="center" wrapText="1"/>
    </xf>
    <xf numFmtId="0" fontId="101" fillId="0" borderId="151" xfId="65" applyFont="1" applyBorder="1" applyAlignment="1">
      <alignment horizontal="center" vertical="center" wrapText="1"/>
    </xf>
    <xf numFmtId="0" fontId="107" fillId="0" borderId="138" xfId="65" applyFont="1" applyBorder="1" applyAlignment="1">
      <alignment horizontal="center" vertical="center" wrapText="1"/>
    </xf>
    <xf numFmtId="0" fontId="107" fillId="0" borderId="141" xfId="65" applyFont="1" applyBorder="1" applyAlignment="1">
      <alignment horizontal="center" vertical="center" wrapText="1"/>
    </xf>
    <xf numFmtId="0" fontId="102" fillId="0" borderId="138" xfId="65" applyFont="1" applyBorder="1" applyAlignment="1">
      <alignment horizontal="center" vertical="center" wrapText="1" shrinkToFit="1"/>
    </xf>
    <xf numFmtId="0" fontId="102" fillId="0" borderId="141" xfId="65" applyFont="1" applyBorder="1" applyAlignment="1">
      <alignment horizontal="center" vertical="center" wrapText="1" shrinkToFit="1"/>
    </xf>
    <xf numFmtId="0" fontId="39" fillId="0" borderId="121" xfId="65" applyFont="1" applyBorder="1" applyAlignment="1">
      <alignment horizontal="distributed" vertical="center"/>
    </xf>
    <xf numFmtId="0" fontId="39" fillId="0" borderId="121" xfId="65" applyFont="1" applyBorder="1" applyAlignment="1">
      <alignment horizontal="left" vertical="center"/>
    </xf>
    <xf numFmtId="41" fontId="39" fillId="0" borderId="121" xfId="66" applyFont="1" applyBorder="1" applyAlignment="1">
      <alignment horizontal="center" vertical="center"/>
    </xf>
    <xf numFmtId="0" fontId="101" fillId="0" borderId="141" xfId="65" applyFont="1" applyBorder="1">
      <alignment vertical="center"/>
    </xf>
    <xf numFmtId="0" fontId="96" fillId="0" borderId="0" xfId="65" applyFont="1" applyAlignment="1">
      <alignment horizontal="left" vertical="center"/>
    </xf>
    <xf numFmtId="0" fontId="106" fillId="0" borderId="0" xfId="65" applyFont="1" applyAlignment="1">
      <alignment horizontal="center" vertical="center"/>
    </xf>
    <xf numFmtId="0" fontId="39" fillId="0" borderId="0" xfId="65" applyFont="1" applyAlignment="1">
      <alignment horizontal="distributed" vertical="center"/>
    </xf>
    <xf numFmtId="0" fontId="39" fillId="0" borderId="0" xfId="65" applyFont="1" applyAlignment="1">
      <alignment horizontal="left" vertical="center"/>
    </xf>
    <xf numFmtId="41" fontId="39" fillId="0" borderId="0" xfId="66" applyFont="1" applyBorder="1" applyAlignment="1">
      <alignment horizontal="center" vertical="center"/>
    </xf>
    <xf numFmtId="0" fontId="39" fillId="0" borderId="0" xfId="65" quotePrefix="1" applyFont="1" applyAlignment="1">
      <alignment horizontal="left" vertical="center" shrinkToFit="1"/>
    </xf>
    <xf numFmtId="0" fontId="39" fillId="0" borderId="0" xfId="65" quotePrefix="1" applyFont="1" applyAlignment="1">
      <alignment horizontal="right" vertical="center" shrinkToFit="1"/>
    </xf>
    <xf numFmtId="0" fontId="39" fillId="0" borderId="0" xfId="65" applyFont="1" applyAlignment="1">
      <alignment horizontal="right" vertical="top" shrinkToFit="1"/>
    </xf>
    <xf numFmtId="0" fontId="112" fillId="0" borderId="0" xfId="65" applyFont="1" applyAlignment="1">
      <alignment horizontal="center" vertical="center" shrinkToFit="1"/>
    </xf>
    <xf numFmtId="0" fontId="106" fillId="0" borderId="0" xfId="65" applyFont="1" applyAlignment="1">
      <alignment horizontal="center" vertical="center" shrinkToFit="1"/>
    </xf>
    <xf numFmtId="0" fontId="99" fillId="0" borderId="121" xfId="65" applyFont="1" applyBorder="1" applyAlignment="1">
      <alignment horizontal="left" vertical="center" shrinkToFit="1"/>
    </xf>
    <xf numFmtId="0" fontId="109" fillId="0" borderId="163" xfId="65" applyFont="1" applyBorder="1" applyAlignment="1">
      <alignment horizontal="center" vertical="center" wrapText="1" shrinkToFit="1"/>
    </xf>
    <xf numFmtId="0" fontId="109" fillId="0" borderId="0" xfId="65" applyFont="1" applyAlignment="1">
      <alignment horizontal="center" vertical="center" wrapText="1" shrinkToFit="1"/>
    </xf>
    <xf numFmtId="0" fontId="11" fillId="24" borderId="165" xfId="0" applyFont="1" applyFill="1" applyBorder="1" applyAlignment="1">
      <alignment horizontal="center" vertical="center"/>
    </xf>
    <xf numFmtId="0" fontId="11" fillId="24" borderId="126" xfId="0" applyFont="1" applyFill="1" applyBorder="1" applyAlignment="1">
      <alignment horizontal="center" vertical="center"/>
    </xf>
    <xf numFmtId="0" fontId="11" fillId="24" borderId="166" xfId="0" applyFont="1" applyFill="1" applyBorder="1" applyAlignment="1">
      <alignment horizontal="center" vertical="center"/>
    </xf>
    <xf numFmtId="0" fontId="101" fillId="0" borderId="0" xfId="65" applyFont="1" applyAlignment="1">
      <alignment horizontal="left" vertical="center" shrinkToFit="1"/>
    </xf>
    <xf numFmtId="0" fontId="32" fillId="0" borderId="2" xfId="2" applyFont="1" applyBorder="1" applyAlignment="1" applyProtection="1">
      <alignment horizontal="center" vertical="center"/>
      <protection locked="0"/>
    </xf>
    <xf numFmtId="177" fontId="32" fillId="0" borderId="2" xfId="2" applyNumberFormat="1" applyFont="1" applyBorder="1" applyAlignment="1">
      <alignment horizontal="center" vertical="center"/>
    </xf>
    <xf numFmtId="0" fontId="32" fillId="0" borderId="22" xfId="2" applyFont="1" applyBorder="1" applyAlignment="1">
      <alignment horizontal="left" vertical="center" indent="1" shrinkToFit="1"/>
    </xf>
    <xf numFmtId="0" fontId="32" fillId="0" borderId="58" xfId="2" applyFont="1" applyBorder="1" applyAlignment="1">
      <alignment horizontal="left" vertical="center" indent="1" shrinkToFit="1"/>
    </xf>
    <xf numFmtId="0" fontId="32" fillId="0" borderId="59" xfId="2" applyFont="1" applyBorder="1" applyAlignment="1">
      <alignment horizontal="left" vertical="center" indent="1" shrinkToFit="1"/>
    </xf>
    <xf numFmtId="41" fontId="32" fillId="0" borderId="2" xfId="3" applyFont="1" applyBorder="1" applyAlignment="1" applyProtection="1">
      <alignment horizontal="right" vertical="center"/>
    </xf>
    <xf numFmtId="0" fontId="32" fillId="0" borderId="9" xfId="2" applyFont="1" applyBorder="1" applyAlignment="1" applyProtection="1">
      <alignment horizontal="center" vertical="center"/>
      <protection locked="0"/>
    </xf>
    <xf numFmtId="177" fontId="32" fillId="0" borderId="9" xfId="2" applyNumberFormat="1" applyFont="1" applyBorder="1" applyAlignment="1">
      <alignment horizontal="center" vertical="center"/>
    </xf>
    <xf numFmtId="0" fontId="32" fillId="0" borderId="41" xfId="2" applyFont="1" applyBorder="1" applyAlignment="1">
      <alignment horizontal="left" vertical="center" indent="1" shrinkToFit="1"/>
    </xf>
    <xf numFmtId="0" fontId="32" fillId="0" borderId="42" xfId="2" applyFont="1" applyBorder="1" applyAlignment="1">
      <alignment horizontal="left" vertical="center" indent="1" shrinkToFit="1"/>
    </xf>
    <xf numFmtId="0" fontId="32" fillId="0" borderId="43" xfId="2" applyFont="1" applyBorder="1" applyAlignment="1">
      <alignment horizontal="left" vertical="center" indent="1" shrinkToFit="1"/>
    </xf>
    <xf numFmtId="41" fontId="32" fillId="0" borderId="38" xfId="3" applyFont="1" applyBorder="1" applyAlignment="1" applyProtection="1">
      <alignment horizontal="right" vertical="center"/>
    </xf>
    <xf numFmtId="0" fontId="32" fillId="0" borderId="22" xfId="2" applyFont="1" applyBorder="1" applyAlignment="1" applyProtection="1">
      <alignment horizontal="center" vertical="center"/>
      <protection locked="0"/>
    </xf>
    <xf numFmtId="0" fontId="32" fillId="0" borderId="59" xfId="2" applyFont="1" applyBorder="1" applyAlignment="1" applyProtection="1">
      <alignment horizontal="center" vertical="center"/>
      <protection locked="0"/>
    </xf>
    <xf numFmtId="0" fontId="34" fillId="0" borderId="23" xfId="2" applyFont="1" applyBorder="1" applyAlignment="1" applyProtection="1">
      <alignment horizontal="left" vertical="center"/>
      <protection locked="0"/>
    </xf>
    <xf numFmtId="0" fontId="34" fillId="0" borderId="0" xfId="2" applyFont="1" applyAlignment="1" applyProtection="1">
      <alignment horizontal="left" vertical="center"/>
      <protection locked="0"/>
    </xf>
    <xf numFmtId="0" fontId="34" fillId="0" borderId="24" xfId="2" applyFont="1" applyBorder="1" applyAlignment="1" applyProtection="1">
      <alignment horizontal="left" vertical="center"/>
      <protection locked="0"/>
    </xf>
    <xf numFmtId="0" fontId="33" fillId="2" borderId="1" xfId="2" applyFont="1" applyFill="1" applyBorder="1" applyAlignment="1" applyProtection="1">
      <alignment horizontal="center" vertical="center"/>
      <protection locked="0"/>
    </xf>
    <xf numFmtId="0" fontId="33" fillId="2" borderId="1" xfId="2" applyFont="1" applyFill="1" applyBorder="1" applyAlignment="1" applyProtection="1">
      <alignment horizontal="center" vertical="center" shrinkToFit="1"/>
      <protection locked="0"/>
    </xf>
    <xf numFmtId="0" fontId="32" fillId="0" borderId="13" xfId="2" applyFont="1" applyBorder="1" applyAlignment="1" applyProtection="1">
      <alignment horizontal="center" vertical="center"/>
      <protection locked="0"/>
    </xf>
    <xf numFmtId="177" fontId="32" fillId="0" borderId="13" xfId="2" applyNumberFormat="1" applyFont="1" applyBorder="1" applyAlignment="1">
      <alignment horizontal="center" vertical="center"/>
    </xf>
    <xf numFmtId="0" fontId="32" fillId="0" borderId="13" xfId="2" applyFont="1" applyBorder="1" applyAlignment="1">
      <alignment horizontal="left" vertical="center" indent="1" shrinkToFit="1"/>
    </xf>
    <xf numFmtId="41" fontId="32" fillId="0" borderId="37" xfId="3" applyFont="1" applyBorder="1" applyAlignment="1" applyProtection="1">
      <alignment horizontal="right" vertical="center"/>
    </xf>
    <xf numFmtId="0" fontId="31" fillId="0" borderId="0" xfId="2" applyFont="1" applyAlignment="1" applyProtection="1">
      <alignment horizontal="center" vertical="center"/>
      <protection locked="0"/>
    </xf>
    <xf numFmtId="0" fontId="31" fillId="0" borderId="3" xfId="2" applyFont="1" applyBorder="1" applyAlignment="1" applyProtection="1">
      <alignment horizontal="center" vertical="center"/>
      <protection locked="0"/>
    </xf>
    <xf numFmtId="0" fontId="33" fillId="2" borderId="6" xfId="2" applyFont="1" applyFill="1" applyBorder="1" applyAlignment="1" applyProtection="1">
      <alignment horizontal="center" vertical="center"/>
      <protection locked="0"/>
    </xf>
    <xf numFmtId="0" fontId="33" fillId="2" borderId="7" xfId="2" applyFont="1" applyFill="1" applyBorder="1" applyAlignment="1" applyProtection="1">
      <alignment horizontal="center" vertical="center"/>
      <protection locked="0"/>
    </xf>
    <xf numFmtId="0" fontId="33" fillId="2" borderId="8" xfId="2" applyFont="1" applyFill="1" applyBorder="1" applyAlignment="1" applyProtection="1">
      <alignment horizontal="center" vertical="center"/>
      <protection locked="0"/>
    </xf>
    <xf numFmtId="0" fontId="33" fillId="3" borderId="14" xfId="2" applyFont="1" applyFill="1" applyBorder="1" applyAlignment="1" applyProtection="1">
      <alignment horizontal="center" vertical="center"/>
      <protection locked="0"/>
    </xf>
    <xf numFmtId="0" fontId="33" fillId="3" borderId="15" xfId="2" applyFont="1" applyFill="1" applyBorder="1" applyAlignment="1" applyProtection="1">
      <alignment horizontal="center" vertical="center"/>
      <protection locked="0"/>
    </xf>
    <xf numFmtId="0" fontId="32" fillId="3" borderId="15" xfId="2" applyFont="1" applyFill="1" applyBorder="1" applyAlignment="1" applyProtection="1">
      <alignment horizontal="center" vertical="center"/>
      <protection locked="0"/>
    </xf>
    <xf numFmtId="177" fontId="32" fillId="3" borderId="15" xfId="2" applyNumberFormat="1" applyFont="1" applyFill="1" applyBorder="1" applyAlignment="1">
      <alignment horizontal="center" vertical="center"/>
    </xf>
    <xf numFmtId="177" fontId="32" fillId="3" borderId="16" xfId="2" applyNumberFormat="1" applyFont="1" applyFill="1" applyBorder="1" applyAlignment="1">
      <alignment horizontal="center" vertical="center"/>
    </xf>
    <xf numFmtId="0" fontId="34" fillId="0" borderId="23" xfId="2" applyFont="1" applyBorder="1" applyAlignment="1">
      <alignment horizontal="left" vertical="center" shrinkToFit="1"/>
    </xf>
    <xf numFmtId="0" fontId="34" fillId="0" borderId="0" xfId="2" applyFont="1" applyAlignment="1">
      <alignment horizontal="left" vertical="center" shrinkToFit="1"/>
    </xf>
    <xf numFmtId="0" fontId="34" fillId="0" borderId="24" xfId="2" applyFont="1" applyBorder="1" applyAlignment="1">
      <alignment horizontal="left" vertical="center" shrinkToFit="1"/>
    </xf>
    <xf numFmtId="0" fontId="34" fillId="0" borderId="23" xfId="2" applyFont="1" applyBorder="1" applyAlignment="1">
      <alignment horizontal="left" vertical="center"/>
    </xf>
    <xf numFmtId="0" fontId="34" fillId="0" borderId="0" xfId="2" applyFont="1" applyAlignment="1">
      <alignment horizontal="left" vertical="center"/>
    </xf>
    <xf numFmtId="0" fontId="34" fillId="0" borderId="24" xfId="2" applyFont="1" applyBorder="1" applyAlignment="1">
      <alignment horizontal="left" vertical="center"/>
    </xf>
    <xf numFmtId="0" fontId="32" fillId="8" borderId="37" xfId="2" applyFont="1" applyFill="1" applyBorder="1" applyAlignment="1">
      <alignment horizontal="left" vertical="center"/>
    </xf>
    <xf numFmtId="49" fontId="32" fillId="6" borderId="2" xfId="2" applyNumberFormat="1" applyFont="1" applyFill="1" applyBorder="1" applyAlignment="1" applyProtection="1">
      <alignment horizontal="left" vertical="center"/>
      <protection locked="0"/>
    </xf>
    <xf numFmtId="0" fontId="33" fillId="3" borderId="28" xfId="2" applyFont="1" applyFill="1" applyBorder="1" applyAlignment="1" applyProtection="1">
      <alignment horizontal="center" vertical="center"/>
      <protection locked="0"/>
    </xf>
    <xf numFmtId="0" fontId="33" fillId="3" borderId="27" xfId="2" applyFont="1" applyFill="1" applyBorder="1" applyAlignment="1" applyProtection="1">
      <alignment horizontal="center" vertical="center"/>
      <protection locked="0"/>
    </xf>
    <xf numFmtId="0" fontId="32" fillId="3" borderId="57" xfId="2" applyFont="1" applyFill="1" applyBorder="1" applyAlignment="1">
      <alignment horizontal="left" vertical="center" indent="1"/>
    </xf>
    <xf numFmtId="0" fontId="32" fillId="3" borderId="58" xfId="2" applyFont="1" applyFill="1" applyBorder="1" applyAlignment="1">
      <alignment horizontal="left" vertical="center" indent="1"/>
    </xf>
    <xf numFmtId="0" fontId="32" fillId="3" borderId="59" xfId="2" applyFont="1" applyFill="1" applyBorder="1" applyAlignment="1">
      <alignment horizontal="left" vertical="center" indent="1"/>
    </xf>
    <xf numFmtId="0" fontId="33" fillId="3" borderId="10" xfId="2" applyFont="1" applyFill="1" applyBorder="1" applyAlignment="1" applyProtection="1">
      <alignment horizontal="center" vertical="center"/>
      <protection locked="0"/>
    </xf>
    <xf numFmtId="0" fontId="33" fillId="3" borderId="11" xfId="2" applyFont="1" applyFill="1" applyBorder="1" applyAlignment="1" applyProtection="1">
      <alignment horizontal="center" vertical="center"/>
      <protection locked="0"/>
    </xf>
    <xf numFmtId="0" fontId="32" fillId="3" borderId="11" xfId="2" applyFont="1" applyFill="1" applyBorder="1" applyAlignment="1">
      <alignment horizontal="center" vertical="center"/>
    </xf>
    <xf numFmtId="0" fontId="33" fillId="3" borderId="11" xfId="2" applyFont="1" applyFill="1" applyBorder="1" applyAlignment="1">
      <alignment horizontal="center" vertical="center" shrinkToFit="1"/>
    </xf>
    <xf numFmtId="0" fontId="32" fillId="3" borderId="12" xfId="2" applyFont="1" applyFill="1" applyBorder="1" applyAlignment="1">
      <alignment horizontal="center" vertical="center"/>
    </xf>
    <xf numFmtId="192" fontId="5" fillId="0" borderId="17" xfId="1" applyNumberFormat="1" applyFont="1" applyFill="1" applyBorder="1" applyAlignment="1" applyProtection="1">
      <alignment horizontal="right" vertical="center"/>
    </xf>
    <xf numFmtId="192" fontId="5" fillId="0" borderId="21" xfId="1" applyNumberFormat="1" applyFont="1" applyFill="1" applyBorder="1" applyAlignment="1" applyProtection="1">
      <alignment horizontal="right" vertical="center"/>
    </xf>
    <xf numFmtId="192" fontId="5" fillId="0" borderId="18" xfId="1" applyNumberFormat="1" applyFont="1" applyFill="1" applyBorder="1" applyAlignment="1" applyProtection="1">
      <alignment horizontal="right" vertical="center"/>
    </xf>
    <xf numFmtId="192" fontId="5" fillId="0" borderId="19" xfId="1" applyNumberFormat="1" applyFont="1" applyFill="1" applyBorder="1" applyAlignment="1" applyProtection="1">
      <alignment horizontal="right" vertical="center"/>
    </xf>
    <xf numFmtId="192" fontId="5" fillId="0" borderId="3" xfId="1" applyNumberFormat="1" applyFont="1" applyFill="1" applyBorder="1" applyAlignment="1" applyProtection="1">
      <alignment horizontal="right" vertical="center"/>
    </xf>
    <xf numFmtId="192" fontId="5" fillId="0" borderId="20" xfId="1" applyNumberFormat="1" applyFont="1" applyFill="1" applyBorder="1" applyAlignment="1" applyProtection="1">
      <alignment horizontal="right" vertical="center"/>
    </xf>
    <xf numFmtId="177" fontId="8" fillId="0" borderId="42" xfId="0" applyNumberFormat="1" applyFont="1" applyBorder="1" applyAlignment="1">
      <alignment horizontal="center" vertical="center" wrapText="1" shrinkToFit="1"/>
    </xf>
    <xf numFmtId="177" fontId="8" fillId="0" borderId="36" xfId="0" applyNumberFormat="1" applyFont="1" applyBorder="1" applyAlignment="1">
      <alignment horizontal="center" vertical="center" wrapText="1" shrinkToFit="1"/>
    </xf>
    <xf numFmtId="177" fontId="8" fillId="0" borderId="35" xfId="0" applyNumberFormat="1" applyFont="1" applyBorder="1" applyAlignment="1">
      <alignment horizontal="center" vertical="center" shrinkToFit="1"/>
    </xf>
    <xf numFmtId="177" fontId="8" fillId="0" borderId="42" xfId="0" applyNumberFormat="1" applyFont="1" applyBorder="1" applyAlignment="1">
      <alignment horizontal="center" vertical="center" shrinkToFit="1"/>
    </xf>
    <xf numFmtId="177" fontId="8" fillId="0" borderId="36" xfId="0" applyNumberFormat="1" applyFont="1" applyBorder="1" applyAlignment="1">
      <alignment horizontal="center" vertical="center" shrinkToFit="1"/>
    </xf>
    <xf numFmtId="177" fontId="8" fillId="0" borderId="43" xfId="0" applyNumberFormat="1" applyFont="1" applyBorder="1" applyAlignment="1">
      <alignment horizontal="center" vertical="center" shrinkToFit="1"/>
    </xf>
    <xf numFmtId="181" fontId="8" fillId="0" borderId="36" xfId="0" applyNumberFormat="1" applyFont="1" applyBorder="1" applyAlignment="1">
      <alignment horizontal="center" vertical="center"/>
    </xf>
    <xf numFmtId="181" fontId="8" fillId="0" borderId="35" xfId="0" applyNumberFormat="1" applyFont="1" applyBorder="1" applyAlignment="1">
      <alignment horizontal="center" vertical="center"/>
    </xf>
    <xf numFmtId="192" fontId="8" fillId="0" borderId="41" xfId="0" applyNumberFormat="1" applyFont="1" applyBorder="1" applyAlignment="1">
      <alignment horizontal="right" vertical="center"/>
    </xf>
    <xf numFmtId="192" fontId="8" fillId="0" borderId="42" xfId="0" applyNumberFormat="1" applyFont="1" applyBorder="1" applyAlignment="1">
      <alignment horizontal="right" vertical="center"/>
    </xf>
    <xf numFmtId="192" fontId="8" fillId="0" borderId="36" xfId="0" applyNumberFormat="1" applyFont="1" applyBorder="1" applyAlignment="1">
      <alignment horizontal="right" vertical="center"/>
    </xf>
    <xf numFmtId="192" fontId="8" fillId="0" borderId="11" xfId="0" applyNumberFormat="1" applyFont="1" applyBorder="1" applyAlignment="1">
      <alignment horizontal="right" vertical="center"/>
    </xf>
    <xf numFmtId="192" fontId="6" fillId="2" borderId="14" xfId="1" applyNumberFormat="1" applyFont="1" applyFill="1" applyBorder="1" applyAlignment="1" applyProtection="1">
      <alignment horizontal="right" vertical="center"/>
    </xf>
    <xf numFmtId="192" fontId="6" fillId="2" borderId="15" xfId="1" applyNumberFormat="1" applyFont="1" applyFill="1" applyBorder="1" applyAlignment="1" applyProtection="1">
      <alignment horizontal="right" vertical="center"/>
    </xf>
    <xf numFmtId="192" fontId="6" fillId="2" borderId="16" xfId="1" applyNumberFormat="1" applyFont="1" applyFill="1" applyBorder="1" applyAlignment="1" applyProtection="1">
      <alignment horizontal="right" vertical="center"/>
    </xf>
    <xf numFmtId="192" fontId="6" fillId="2" borderId="10" xfId="1" applyNumberFormat="1" applyFont="1" applyFill="1" applyBorder="1" applyAlignment="1" applyProtection="1">
      <alignment horizontal="right" vertical="center"/>
    </xf>
    <xf numFmtId="192" fontId="6" fillId="2" borderId="11" xfId="1" applyNumberFormat="1" applyFont="1" applyFill="1" applyBorder="1" applyAlignment="1" applyProtection="1">
      <alignment horizontal="right" vertical="center"/>
    </xf>
    <xf numFmtId="192" fontId="6" fillId="2" borderId="12" xfId="1" applyNumberFormat="1" applyFont="1" applyFill="1" applyBorder="1" applyAlignment="1" applyProtection="1">
      <alignment horizontal="right" vertical="center"/>
    </xf>
    <xf numFmtId="177" fontId="8" fillId="0" borderId="26" xfId="0" applyNumberFormat="1" applyFont="1" applyBorder="1" applyAlignment="1">
      <alignment horizontal="center" vertical="center" wrapText="1" shrinkToFit="1"/>
    </xf>
    <xf numFmtId="177" fontId="8" fillId="0" borderId="34" xfId="0" applyNumberFormat="1" applyFont="1" applyBorder="1" applyAlignment="1">
      <alignment horizontal="center" vertical="center" wrapText="1" shrinkToFit="1"/>
    </xf>
    <xf numFmtId="177" fontId="8" fillId="0" borderId="31" xfId="0" applyNumberFormat="1" applyFont="1" applyBorder="1" applyAlignment="1">
      <alignment horizontal="left" vertical="center" shrinkToFit="1"/>
    </xf>
    <xf numFmtId="177" fontId="8" fillId="0" borderId="26" xfId="0" applyNumberFormat="1" applyFont="1" applyBorder="1" applyAlignment="1">
      <alignment horizontal="left" vertical="center" shrinkToFit="1"/>
    </xf>
    <xf numFmtId="177" fontId="8" fillId="0" borderId="25" xfId="0" applyNumberFormat="1" applyFont="1" applyBorder="1" applyAlignment="1">
      <alignment horizontal="left" vertical="center" shrinkToFit="1"/>
    </xf>
    <xf numFmtId="192" fontId="8" fillId="0" borderId="35" xfId="0" applyNumberFormat="1" applyFont="1" applyBorder="1" applyAlignment="1">
      <alignment horizontal="right" vertical="center"/>
    </xf>
    <xf numFmtId="192" fontId="8" fillId="0" borderId="10" xfId="0" applyNumberFormat="1" applyFont="1" applyBorder="1" applyAlignment="1" applyProtection="1">
      <alignment horizontal="right" vertical="center"/>
      <protection locked="0"/>
    </xf>
    <xf numFmtId="192" fontId="8" fillId="0" borderId="11" xfId="0" applyNumberFormat="1" applyFont="1" applyBorder="1" applyAlignment="1" applyProtection="1">
      <alignment horizontal="right" vertical="center"/>
      <protection locked="0"/>
    </xf>
    <xf numFmtId="192" fontId="8" fillId="0" borderId="12" xfId="0" applyNumberFormat="1" applyFont="1" applyBorder="1" applyAlignment="1" applyProtection="1">
      <alignment horizontal="right" vertical="center"/>
      <protection locked="0"/>
    </xf>
    <xf numFmtId="192" fontId="7" fillId="0" borderId="14" xfId="0" applyNumberFormat="1" applyFont="1" applyBorder="1" applyAlignment="1">
      <alignment horizontal="right" vertical="center"/>
    </xf>
    <xf numFmtId="192" fontId="7" fillId="0" borderId="15" xfId="0" applyNumberFormat="1" applyFont="1" applyBorder="1" applyAlignment="1">
      <alignment horizontal="right" vertical="center"/>
    </xf>
    <xf numFmtId="192" fontId="7" fillId="0" borderId="16" xfId="0" applyNumberFormat="1" applyFont="1" applyBorder="1" applyAlignment="1">
      <alignment horizontal="right" vertical="center"/>
    </xf>
    <xf numFmtId="192" fontId="5" fillId="0" borderId="14" xfId="1" applyNumberFormat="1" applyFont="1" applyBorder="1" applyAlignment="1" applyProtection="1">
      <alignment horizontal="right" vertical="center"/>
    </xf>
    <xf numFmtId="192" fontId="5" fillId="0" borderId="15" xfId="1" applyNumberFormat="1" applyFont="1" applyBorder="1" applyAlignment="1" applyProtection="1">
      <alignment horizontal="right" vertical="center"/>
    </xf>
    <xf numFmtId="192" fontId="5" fillId="0" borderId="16" xfId="1" applyNumberFormat="1" applyFont="1" applyBorder="1" applyAlignment="1" applyProtection="1">
      <alignment horizontal="right" vertical="center"/>
    </xf>
    <xf numFmtId="192" fontId="5" fillId="0" borderId="10" xfId="1" applyNumberFormat="1" applyFont="1" applyBorder="1" applyAlignment="1" applyProtection="1">
      <alignment horizontal="right" vertical="center"/>
    </xf>
    <xf numFmtId="192" fontId="5" fillId="0" borderId="11" xfId="1" applyNumberFormat="1" applyFont="1" applyBorder="1" applyAlignment="1" applyProtection="1">
      <alignment horizontal="right" vertical="center"/>
    </xf>
    <xf numFmtId="192" fontId="5" fillId="0" borderId="12" xfId="1" applyNumberFormat="1" applyFont="1" applyBorder="1" applyAlignment="1" applyProtection="1">
      <alignment horizontal="right" vertical="center"/>
    </xf>
    <xf numFmtId="181" fontId="6" fillId="2" borderId="10" xfId="0" applyNumberFormat="1" applyFont="1" applyFill="1" applyBorder="1" applyAlignment="1">
      <alignment horizontal="center" vertical="center"/>
    </xf>
    <xf numFmtId="181" fontId="6" fillId="2" borderId="12" xfId="0" applyNumberFormat="1" applyFont="1" applyFill="1" applyBorder="1" applyAlignment="1">
      <alignment horizontal="center" vertical="center"/>
    </xf>
    <xf numFmtId="192" fontId="6" fillId="5" borderId="36" xfId="0" applyNumberFormat="1" applyFont="1" applyFill="1" applyBorder="1" applyAlignment="1">
      <alignment horizontal="right" vertical="center"/>
    </xf>
    <xf numFmtId="192" fontId="6" fillId="5" borderId="11" xfId="0" applyNumberFormat="1" applyFont="1" applyFill="1" applyBorder="1" applyAlignment="1">
      <alignment horizontal="right" vertical="center"/>
    </xf>
    <xf numFmtId="192" fontId="6" fillId="5" borderId="35" xfId="0" applyNumberFormat="1" applyFont="1" applyFill="1" applyBorder="1" applyAlignment="1">
      <alignment horizontal="right" vertical="center"/>
    </xf>
    <xf numFmtId="192" fontId="6" fillId="5" borderId="10" xfId="0" applyNumberFormat="1" applyFont="1" applyFill="1" applyBorder="1" applyAlignment="1">
      <alignment horizontal="right" vertical="center"/>
    </xf>
    <xf numFmtId="192" fontId="6" fillId="5" borderId="12" xfId="0" applyNumberFormat="1" applyFont="1" applyFill="1" applyBorder="1" applyAlignment="1">
      <alignment horizontal="right" vertical="center"/>
    </xf>
    <xf numFmtId="0" fontId="8" fillId="0" borderId="11" xfId="0" applyFont="1" applyBorder="1" applyAlignment="1">
      <alignment horizontal="center" vertical="center"/>
    </xf>
    <xf numFmtId="186" fontId="8" fillId="0" borderId="35" xfId="1" applyNumberFormat="1" applyFont="1" applyBorder="1" applyAlignment="1" applyProtection="1">
      <alignment horizontal="center" vertical="center" shrinkToFit="1"/>
    </xf>
    <xf numFmtId="186" fontId="8" fillId="0" borderId="42" xfId="1" applyNumberFormat="1" applyFont="1" applyBorder="1" applyAlignment="1" applyProtection="1">
      <alignment horizontal="center" vertical="center" shrinkToFit="1"/>
    </xf>
    <xf numFmtId="186" fontId="8" fillId="0" borderId="43" xfId="1" applyNumberFormat="1" applyFont="1" applyBorder="1" applyAlignment="1" applyProtection="1">
      <alignment horizontal="center" vertical="center" shrinkToFit="1"/>
    </xf>
    <xf numFmtId="0" fontId="6" fillId="2" borderId="17" xfId="0" applyFont="1" applyFill="1" applyBorder="1" applyProtection="1">
      <alignment vertical="center"/>
      <protection locked="0"/>
    </xf>
    <xf numFmtId="0" fontId="6" fillId="2" borderId="21" xfId="0" applyFont="1" applyFill="1" applyBorder="1" applyProtection="1">
      <alignment vertical="center"/>
      <protection locked="0"/>
    </xf>
    <xf numFmtId="0" fontId="6" fillId="2" borderId="18" xfId="0" applyFont="1" applyFill="1" applyBorder="1" applyProtection="1">
      <alignment vertical="center"/>
      <protection locked="0"/>
    </xf>
    <xf numFmtId="0" fontId="6" fillId="2" borderId="19" xfId="0" applyFont="1" applyFill="1" applyBorder="1" applyProtection="1">
      <alignment vertical="center"/>
      <protection locked="0"/>
    </xf>
    <xf numFmtId="0" fontId="6" fillId="2" borderId="3" xfId="0" applyFont="1" applyFill="1" applyBorder="1" applyProtection="1">
      <alignment vertical="center"/>
      <protection locked="0"/>
    </xf>
    <xf numFmtId="0" fontId="6" fillId="2" borderId="20" xfId="0" applyFont="1" applyFill="1" applyBorder="1" applyProtection="1">
      <alignment vertical="center"/>
      <protection locked="0"/>
    </xf>
    <xf numFmtId="179" fontId="6" fillId="2" borderId="14" xfId="0" applyNumberFormat="1" applyFont="1" applyFill="1" applyBorder="1" applyAlignment="1">
      <alignment horizontal="center" vertical="center"/>
    </xf>
    <xf numFmtId="179" fontId="6" fillId="2" borderId="16" xfId="0" applyNumberFormat="1" applyFont="1" applyFill="1" applyBorder="1" applyAlignment="1">
      <alignment horizontal="center" vertical="center"/>
    </xf>
    <xf numFmtId="192" fontId="14" fillId="2" borderId="17" xfId="0" applyNumberFormat="1" applyFont="1" applyFill="1" applyBorder="1" applyAlignment="1" applyProtection="1">
      <alignment horizontal="right" vertical="center"/>
      <protection locked="0"/>
    </xf>
    <xf numFmtId="192" fontId="14" fillId="2" borderId="19" xfId="0" applyNumberFormat="1" applyFont="1" applyFill="1" applyBorder="1" applyAlignment="1" applyProtection="1">
      <alignment horizontal="right" vertical="center"/>
      <protection locked="0"/>
    </xf>
    <xf numFmtId="192" fontId="6" fillId="4" borderId="34" xfId="0" applyNumberFormat="1" applyFont="1" applyFill="1" applyBorder="1" applyAlignment="1">
      <alignment horizontal="right" vertical="center"/>
    </xf>
    <xf numFmtId="192" fontId="6" fillId="4" borderId="15" xfId="0" applyNumberFormat="1" applyFont="1" applyFill="1" applyBorder="1" applyAlignment="1">
      <alignment horizontal="right" vertical="center"/>
    </xf>
    <xf numFmtId="192" fontId="6" fillId="4" borderId="31" xfId="0" applyNumberFormat="1" applyFont="1" applyFill="1" applyBorder="1" applyAlignment="1">
      <alignment horizontal="right" vertical="center"/>
    </xf>
    <xf numFmtId="192" fontId="6" fillId="4" borderId="14" xfId="0" applyNumberFormat="1" applyFont="1" applyFill="1" applyBorder="1" applyAlignment="1">
      <alignment horizontal="right" vertical="center"/>
    </xf>
    <xf numFmtId="192" fontId="6" fillId="4" borderId="16" xfId="0" applyNumberFormat="1" applyFont="1" applyFill="1" applyBorder="1" applyAlignment="1">
      <alignment horizontal="right" vertical="center"/>
    </xf>
    <xf numFmtId="0" fontId="8" fillId="0" borderId="32" xfId="0" applyFont="1" applyBorder="1" applyAlignment="1" applyProtection="1">
      <alignment horizontal="center" vertical="center"/>
      <protection locked="0"/>
    </xf>
    <xf numFmtId="0" fontId="8" fillId="0" borderId="39" xfId="0" applyFont="1" applyBorder="1" applyAlignment="1" applyProtection="1">
      <alignment horizontal="center" vertical="center"/>
      <protection locked="0"/>
    </xf>
    <xf numFmtId="0" fontId="8" fillId="0" borderId="15" xfId="0" applyFont="1" applyBorder="1" applyAlignment="1">
      <alignment horizontal="center" vertical="center"/>
    </xf>
    <xf numFmtId="192" fontId="8" fillId="0" borderId="40" xfId="0" applyNumberFormat="1" applyFont="1" applyBorder="1" applyAlignment="1">
      <alignment horizontal="right" vertical="center"/>
    </xf>
    <xf numFmtId="192" fontId="8" fillId="0" borderId="26" xfId="0" applyNumberFormat="1" applyFont="1" applyBorder="1" applyAlignment="1">
      <alignment horizontal="right" vertical="center"/>
    </xf>
    <xf numFmtId="192" fontId="8" fillId="0" borderId="34" xfId="0" applyNumberFormat="1" applyFont="1" applyBorder="1" applyAlignment="1">
      <alignment horizontal="right" vertical="center"/>
    </xf>
    <xf numFmtId="192" fontId="8" fillId="0" borderId="31" xfId="0" applyNumberFormat="1" applyFont="1" applyBorder="1" applyAlignment="1">
      <alignment horizontal="right" vertical="center"/>
    </xf>
    <xf numFmtId="192" fontId="8" fillId="0" borderId="25" xfId="0" applyNumberFormat="1" applyFont="1" applyBorder="1" applyAlignment="1">
      <alignment horizontal="right" vertical="center"/>
    </xf>
    <xf numFmtId="0" fontId="8" fillId="0" borderId="13"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179" fontId="8" fillId="0" borderId="34" xfId="0" applyNumberFormat="1" applyFont="1" applyBorder="1" applyAlignment="1">
      <alignment horizontal="center" vertical="center"/>
    </xf>
    <xf numFmtId="179" fontId="8" fillId="0" borderId="31" xfId="0" applyNumberFormat="1" applyFont="1" applyBorder="1" applyAlignment="1">
      <alignment horizontal="center" vertical="center"/>
    </xf>
    <xf numFmtId="192" fontId="8" fillId="0" borderId="37" xfId="0" applyNumberFormat="1" applyFont="1" applyBorder="1" applyAlignment="1" applyProtection="1">
      <alignment horizontal="right" vertical="center" shrinkToFit="1"/>
      <protection locked="0"/>
    </xf>
    <xf numFmtId="192" fontId="8" fillId="0" borderId="38" xfId="0" applyNumberFormat="1" applyFont="1" applyBorder="1" applyAlignment="1" applyProtection="1">
      <alignment horizontal="right" vertical="center" shrinkToFit="1"/>
      <protection locked="0"/>
    </xf>
    <xf numFmtId="176" fontId="14" fillId="0" borderId="37" xfId="1" applyNumberFormat="1" applyFont="1" applyBorder="1" applyAlignment="1" applyProtection="1">
      <alignment horizontal="center" vertical="center"/>
      <protection locked="0"/>
    </xf>
    <xf numFmtId="176" fontId="14" fillId="0" borderId="38" xfId="1" applyNumberFormat="1" applyFont="1" applyBorder="1" applyAlignment="1" applyProtection="1">
      <alignment horizontal="center" vertical="center"/>
      <protection locked="0"/>
    </xf>
    <xf numFmtId="1" fontId="8" fillId="0" borderId="31" xfId="0" applyNumberFormat="1" applyFont="1" applyBorder="1" applyAlignment="1">
      <alignment horizontal="center" vertical="center" shrinkToFit="1"/>
    </xf>
    <xf numFmtId="1" fontId="8" fillId="0" borderId="26" xfId="0" applyNumberFormat="1" applyFont="1" applyBorder="1" applyAlignment="1">
      <alignment horizontal="center" vertical="center" shrinkToFit="1"/>
    </xf>
    <xf numFmtId="1" fontId="8" fillId="0" borderId="25" xfId="0" applyNumberFormat="1" applyFont="1" applyBorder="1" applyAlignment="1">
      <alignment horizontal="center" vertical="center" shrinkToFit="1"/>
    </xf>
    <xf numFmtId="0" fontId="9" fillId="2" borderId="1" xfId="0" applyFont="1" applyFill="1" applyBorder="1" applyAlignment="1" applyProtection="1">
      <alignment horizontal="center" vertical="center"/>
      <protection locked="0"/>
    </xf>
    <xf numFmtId="0" fontId="9" fillId="2" borderId="6" xfId="0" applyFont="1" applyFill="1" applyBorder="1" applyAlignment="1" applyProtection="1">
      <alignment horizontal="center" vertical="center"/>
      <protection locked="0"/>
    </xf>
    <xf numFmtId="0" fontId="9" fillId="2" borderId="21" xfId="0" applyFont="1" applyFill="1" applyBorder="1" applyAlignment="1" applyProtection="1">
      <alignment horizontal="center" vertical="center" shrinkToFit="1"/>
      <protection locked="0"/>
    </xf>
    <xf numFmtId="0" fontId="9" fillId="2" borderId="3" xfId="0" applyFont="1" applyFill="1" applyBorder="1" applyAlignment="1" applyProtection="1">
      <alignment horizontal="center" vertical="center" shrinkToFit="1"/>
      <protection locked="0"/>
    </xf>
    <xf numFmtId="192" fontId="6" fillId="0" borderId="14" xfId="1" applyNumberFormat="1" applyFont="1" applyBorder="1" applyAlignment="1" applyProtection="1">
      <alignment horizontal="right" vertical="center"/>
    </xf>
    <xf numFmtId="192" fontId="6" fillId="0" borderId="15" xfId="1" applyNumberFormat="1" applyFont="1" applyBorder="1" applyAlignment="1" applyProtection="1">
      <alignment horizontal="right" vertical="center"/>
    </xf>
    <xf numFmtId="192" fontId="6" fillId="0" borderId="16" xfId="1" applyNumberFormat="1" applyFont="1" applyBorder="1" applyAlignment="1" applyProtection="1">
      <alignment horizontal="right" vertical="center"/>
    </xf>
    <xf numFmtId="192" fontId="6" fillId="0" borderId="10" xfId="1" applyNumberFormat="1" applyFont="1" applyBorder="1" applyAlignment="1" applyProtection="1">
      <alignment horizontal="right" vertical="center"/>
    </xf>
    <xf numFmtId="192" fontId="6" fillId="0" borderId="11" xfId="1" applyNumberFormat="1" applyFont="1" applyBorder="1" applyAlignment="1" applyProtection="1">
      <alignment horizontal="right" vertical="center"/>
    </xf>
    <xf numFmtId="192" fontId="6" fillId="0" borderId="12" xfId="1" applyNumberFormat="1" applyFont="1" applyBorder="1" applyAlignment="1" applyProtection="1">
      <alignment horizontal="right" vertical="center"/>
    </xf>
    <xf numFmtId="176" fontId="108" fillId="0" borderId="37" xfId="1" applyNumberFormat="1" applyFont="1" applyBorder="1" applyAlignment="1" applyProtection="1">
      <alignment horizontal="center" vertical="center" wrapText="1"/>
      <protection locked="0"/>
    </xf>
    <xf numFmtId="176" fontId="108" fillId="0" borderId="38" xfId="1" applyNumberFormat="1" applyFont="1" applyBorder="1" applyAlignment="1" applyProtection="1">
      <alignment horizontal="center" vertical="center" wrapText="1"/>
      <protection locked="0"/>
    </xf>
    <xf numFmtId="179" fontId="8" fillId="0" borderId="178" xfId="0" applyNumberFormat="1" applyFont="1" applyBorder="1" applyAlignment="1">
      <alignment horizontal="center" vertical="center"/>
    </xf>
    <xf numFmtId="179" fontId="8" fillId="0" borderId="25" xfId="0" applyNumberFormat="1" applyFont="1" applyBorder="1" applyAlignment="1">
      <alignment horizontal="center" vertical="center"/>
    </xf>
    <xf numFmtId="192" fontId="6" fillId="25" borderId="17" xfId="1" applyNumberFormat="1" applyFont="1" applyFill="1" applyBorder="1" applyAlignment="1" applyProtection="1">
      <alignment horizontal="right" vertical="center"/>
    </xf>
    <xf numFmtId="192" fontId="6" fillId="25" borderId="21" xfId="1" applyNumberFormat="1" applyFont="1" applyFill="1" applyBorder="1" applyAlignment="1" applyProtection="1">
      <alignment horizontal="right" vertical="center"/>
    </xf>
    <xf numFmtId="192" fontId="6" fillId="25" borderId="18" xfId="1" applyNumberFormat="1" applyFont="1" applyFill="1" applyBorder="1" applyAlignment="1" applyProtection="1">
      <alignment horizontal="right" vertical="center"/>
    </xf>
    <xf numFmtId="192" fontId="6" fillId="25" borderId="19" xfId="1" applyNumberFormat="1" applyFont="1" applyFill="1" applyBorder="1" applyAlignment="1" applyProtection="1">
      <alignment horizontal="right" vertical="center"/>
    </xf>
    <xf numFmtId="192" fontId="6" fillId="25" borderId="3" xfId="1" applyNumberFormat="1" applyFont="1" applyFill="1" applyBorder="1" applyAlignment="1" applyProtection="1">
      <alignment horizontal="right" vertical="center"/>
    </xf>
    <xf numFmtId="192" fontId="6" fillId="25" borderId="20" xfId="1" applyNumberFormat="1" applyFont="1" applyFill="1" applyBorder="1" applyAlignment="1" applyProtection="1">
      <alignment horizontal="right" vertical="center"/>
    </xf>
    <xf numFmtId="192" fontId="6" fillId="4" borderId="17" xfId="1" applyNumberFormat="1" applyFont="1" applyFill="1" applyBorder="1" applyAlignment="1" applyProtection="1">
      <alignment horizontal="right" vertical="center"/>
    </xf>
    <xf numFmtId="192" fontId="6" fillId="4" borderId="21" xfId="1" applyNumberFormat="1" applyFont="1" applyFill="1" applyBorder="1" applyAlignment="1" applyProtection="1">
      <alignment horizontal="right" vertical="center"/>
    </xf>
    <xf numFmtId="192" fontId="6" fillId="4" borderId="18" xfId="1" applyNumberFormat="1" applyFont="1" applyFill="1" applyBorder="1" applyAlignment="1" applyProtection="1">
      <alignment horizontal="right" vertical="center"/>
    </xf>
    <xf numFmtId="192" fontId="6" fillId="4" borderId="19" xfId="1" applyNumberFormat="1" applyFont="1" applyFill="1" applyBorder="1" applyAlignment="1" applyProtection="1">
      <alignment horizontal="right" vertical="center"/>
    </xf>
    <xf numFmtId="192" fontId="6" fillId="4" borderId="3" xfId="1" applyNumberFormat="1" applyFont="1" applyFill="1" applyBorder="1" applyAlignment="1" applyProtection="1">
      <alignment horizontal="right" vertical="center"/>
    </xf>
    <xf numFmtId="192" fontId="6" fillId="4" borderId="20" xfId="1" applyNumberFormat="1" applyFont="1" applyFill="1" applyBorder="1" applyAlignment="1" applyProtection="1">
      <alignment horizontal="right" vertical="center"/>
    </xf>
    <xf numFmtId="192" fontId="6" fillId="0" borderId="14" xfId="1" applyNumberFormat="1" applyFont="1" applyFill="1" applyBorder="1" applyAlignment="1" applyProtection="1">
      <alignment horizontal="right" vertical="center"/>
    </xf>
    <xf numFmtId="192" fontId="6" fillId="0" borderId="15" xfId="1" applyNumberFormat="1" applyFont="1" applyFill="1" applyBorder="1" applyAlignment="1" applyProtection="1">
      <alignment horizontal="right" vertical="center"/>
    </xf>
    <xf numFmtId="192" fontId="6" fillId="0" borderId="16" xfId="1" applyNumberFormat="1" applyFont="1" applyFill="1" applyBorder="1" applyAlignment="1" applyProtection="1">
      <alignment horizontal="right" vertical="center"/>
    </xf>
    <xf numFmtId="192" fontId="6" fillId="0" borderId="10" xfId="1" applyNumberFormat="1" applyFont="1" applyFill="1" applyBorder="1" applyAlignment="1" applyProtection="1">
      <alignment horizontal="right" vertical="center"/>
    </xf>
    <xf numFmtId="192" fontId="6" fillId="0" borderId="11" xfId="1" applyNumberFormat="1" applyFont="1" applyFill="1" applyBorder="1" applyAlignment="1" applyProtection="1">
      <alignment horizontal="right" vertical="center"/>
    </xf>
    <xf numFmtId="192" fontId="6" fillId="0" borderId="12" xfId="1" applyNumberFormat="1" applyFont="1" applyFill="1" applyBorder="1" applyAlignment="1" applyProtection="1">
      <alignment horizontal="right" vertical="center"/>
    </xf>
    <xf numFmtId="192" fontId="8" fillId="0" borderId="15" xfId="0" applyNumberFormat="1" applyFont="1" applyBorder="1" applyAlignment="1">
      <alignment horizontal="right" vertical="center"/>
    </xf>
    <xf numFmtId="192" fontId="8" fillId="0" borderId="31" xfId="0" quotePrefix="1" applyNumberFormat="1" applyFont="1" applyBorder="1" applyAlignment="1">
      <alignment horizontal="right" vertical="center"/>
    </xf>
    <xf numFmtId="192" fontId="8" fillId="0" borderId="26" xfId="0" quotePrefix="1" applyNumberFormat="1" applyFont="1" applyBorder="1" applyAlignment="1">
      <alignment horizontal="right" vertical="center"/>
    </xf>
    <xf numFmtId="192" fontId="8" fillId="0" borderId="25" xfId="0" quotePrefix="1" applyNumberFormat="1" applyFont="1" applyBorder="1" applyAlignment="1">
      <alignment horizontal="right" vertical="center"/>
    </xf>
    <xf numFmtId="181" fontId="8" fillId="3" borderId="36" xfId="0" applyNumberFormat="1" applyFont="1" applyFill="1" applyBorder="1" applyAlignment="1">
      <alignment horizontal="center" vertical="center"/>
    </xf>
    <xf numFmtId="181" fontId="8" fillId="3" borderId="35" xfId="0" applyNumberFormat="1" applyFont="1" applyFill="1" applyBorder="1" applyAlignment="1">
      <alignment horizontal="center" vertical="center"/>
    </xf>
    <xf numFmtId="0" fontId="7" fillId="5" borderId="37" xfId="0" applyFont="1" applyFill="1" applyBorder="1" applyAlignment="1" applyProtection="1">
      <alignment horizontal="center" vertical="center"/>
      <protection locked="0"/>
    </xf>
    <xf numFmtId="0" fontId="7" fillId="5" borderId="38" xfId="0" applyFont="1" applyFill="1" applyBorder="1" applyAlignment="1" applyProtection="1">
      <alignment horizontal="center" vertical="center"/>
      <protection locked="0"/>
    </xf>
    <xf numFmtId="0" fontId="7" fillId="5" borderId="6" xfId="0" applyFont="1" applyFill="1" applyBorder="1" applyAlignment="1" applyProtection="1">
      <alignment horizontal="center" vertical="center"/>
      <protection locked="0"/>
    </xf>
    <xf numFmtId="0" fontId="7" fillId="5" borderId="7" xfId="0" applyFont="1" applyFill="1" applyBorder="1" applyAlignment="1" applyProtection="1">
      <alignment horizontal="center" vertical="center"/>
      <protection locked="0"/>
    </xf>
    <xf numFmtId="0" fontId="7" fillId="5" borderId="46" xfId="0" applyFont="1" applyFill="1" applyBorder="1" applyAlignment="1" applyProtection="1">
      <alignment horizontal="center" vertical="center"/>
      <protection locked="0"/>
    </xf>
    <xf numFmtId="0" fontId="7" fillId="5" borderId="7" xfId="0" applyFont="1" applyFill="1" applyBorder="1" applyAlignment="1" applyProtection="1">
      <alignment horizontal="center" vertical="center" wrapText="1"/>
      <protection locked="0"/>
    </xf>
    <xf numFmtId="0" fontId="7" fillId="5" borderId="46" xfId="0" applyFont="1" applyFill="1" applyBorder="1" applyAlignment="1" applyProtection="1">
      <alignment horizontal="center" vertical="center" wrapText="1"/>
      <protection locked="0"/>
    </xf>
    <xf numFmtId="0" fontId="7" fillId="5" borderId="8" xfId="0" applyFont="1" applyFill="1" applyBorder="1" applyAlignment="1" applyProtection="1">
      <alignment horizontal="center" vertical="center" wrapText="1"/>
      <protection locked="0"/>
    </xf>
    <xf numFmtId="0" fontId="7" fillId="5" borderId="1" xfId="0" applyFont="1" applyFill="1" applyBorder="1" applyAlignment="1" applyProtection="1">
      <alignment horizontal="center" vertical="center"/>
      <protection locked="0"/>
    </xf>
    <xf numFmtId="0" fontId="7" fillId="5" borderId="1"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44" xfId="0" applyFont="1" applyFill="1" applyBorder="1" applyAlignment="1" applyProtection="1">
      <alignment horizontal="center" vertical="center"/>
      <protection locked="0"/>
    </xf>
    <xf numFmtId="0" fontId="7" fillId="5" borderId="45" xfId="0" applyFont="1" applyFill="1" applyBorder="1" applyAlignment="1" applyProtection="1">
      <alignment horizontal="center" vertical="center"/>
      <protection locked="0"/>
    </xf>
    <xf numFmtId="0" fontId="7" fillId="5" borderId="37" xfId="0" applyFont="1" applyFill="1" applyBorder="1" applyAlignment="1" applyProtection="1">
      <alignment horizontal="center" vertical="center" wrapText="1"/>
      <protection locked="0"/>
    </xf>
    <xf numFmtId="0" fontId="7" fillId="5" borderId="38" xfId="0" applyFont="1" applyFill="1" applyBorder="1" applyAlignment="1" applyProtection="1">
      <alignment horizontal="center" vertical="center" wrapText="1"/>
      <protection locked="0"/>
    </xf>
    <xf numFmtId="0" fontId="7" fillId="4" borderId="1" xfId="0" applyFont="1" applyFill="1" applyBorder="1" applyAlignment="1" applyProtection="1">
      <alignment horizontal="center" vertical="center"/>
      <protection locked="0"/>
    </xf>
    <xf numFmtId="3" fontId="7" fillId="4" borderId="1" xfId="0" applyNumberFormat="1" applyFont="1" applyFill="1" applyBorder="1" applyAlignment="1" applyProtection="1">
      <alignment horizontal="center" vertical="center"/>
      <protection locked="0"/>
    </xf>
    <xf numFmtId="0" fontId="7" fillId="5" borderId="17" xfId="0" applyFont="1" applyFill="1" applyBorder="1" applyAlignment="1" applyProtection="1">
      <alignment horizontal="center" vertical="center"/>
      <protection locked="0"/>
    </xf>
    <xf numFmtId="0" fontId="7" fillId="5" borderId="19" xfId="0" applyFont="1" applyFill="1" applyBorder="1" applyAlignment="1" applyProtection="1">
      <alignment horizontal="center" vertical="center"/>
      <protection locked="0"/>
    </xf>
    <xf numFmtId="0" fontId="7" fillId="4" borderId="1"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44" xfId="0" applyFont="1" applyFill="1" applyBorder="1" applyAlignment="1" applyProtection="1">
      <alignment horizontal="center" vertical="center"/>
      <protection locked="0"/>
    </xf>
    <xf numFmtId="0" fontId="7" fillId="4" borderId="45" xfId="0" applyFont="1" applyFill="1" applyBorder="1" applyAlignment="1" applyProtection="1">
      <alignment horizontal="center" vertical="center"/>
      <protection locked="0"/>
    </xf>
    <xf numFmtId="0" fontId="13" fillId="0" borderId="3" xfId="0" applyFont="1" applyBorder="1" applyAlignment="1" applyProtection="1">
      <alignment horizontal="center" vertical="center"/>
      <protection locked="0"/>
    </xf>
    <xf numFmtId="0" fontId="7" fillId="2" borderId="40" xfId="0" applyFont="1" applyFill="1" applyBorder="1" applyAlignment="1" applyProtection="1">
      <alignment horizontal="center" vertical="center"/>
      <protection locked="0"/>
    </xf>
    <xf numFmtId="0" fontId="7" fillId="2" borderId="25" xfId="0" applyFont="1" applyFill="1" applyBorder="1" applyAlignment="1" applyProtection="1">
      <alignment horizontal="center" vertical="center"/>
      <protection locked="0"/>
    </xf>
    <xf numFmtId="0" fontId="8" fillId="0" borderId="26" xfId="0" applyFont="1" applyBorder="1" applyAlignment="1" applyProtection="1">
      <alignment horizontal="left" vertical="center"/>
      <protection locked="0"/>
    </xf>
    <xf numFmtId="0" fontId="8" fillId="0" borderId="25" xfId="0" applyFont="1" applyBorder="1" applyAlignment="1" applyProtection="1">
      <alignment horizontal="left" vertical="center"/>
      <protection locked="0"/>
    </xf>
    <xf numFmtId="0" fontId="7" fillId="0" borderId="4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25" xfId="0" applyFont="1" applyBorder="1" applyAlignment="1" applyProtection="1">
      <alignment horizontal="center" vertical="center"/>
      <protection locked="0"/>
    </xf>
    <xf numFmtId="194" fontId="12" fillId="3" borderId="21" xfId="0" applyNumberFormat="1" applyFont="1" applyFill="1" applyBorder="1" applyAlignment="1" applyProtection="1">
      <alignment horizontal="right" vertical="center"/>
      <protection locked="0"/>
    </xf>
    <xf numFmtId="194" fontId="12" fillId="3" borderId="3" xfId="0" applyNumberFormat="1" applyFont="1" applyFill="1" applyBorder="1" applyAlignment="1" applyProtection="1">
      <alignment horizontal="right" vertical="center"/>
      <protection locked="0"/>
    </xf>
    <xf numFmtId="195" fontId="12" fillId="3" borderId="21" xfId="0" applyNumberFormat="1" applyFont="1" applyFill="1" applyBorder="1" applyAlignment="1" applyProtection="1">
      <alignment horizontal="right" vertical="center"/>
      <protection locked="0"/>
    </xf>
    <xf numFmtId="195" fontId="12" fillId="3" borderId="3" xfId="0" applyNumberFormat="1" applyFont="1" applyFill="1" applyBorder="1" applyAlignment="1" applyProtection="1">
      <alignment horizontal="right" vertical="center"/>
      <protection locked="0"/>
    </xf>
    <xf numFmtId="0" fontId="12" fillId="3" borderId="21" xfId="0" applyFont="1" applyFill="1" applyBorder="1" applyAlignment="1" applyProtection="1">
      <alignment horizontal="center" vertical="center"/>
      <protection locked="0"/>
    </xf>
    <xf numFmtId="0" fontId="12" fillId="3" borderId="3" xfId="0" applyFont="1" applyFill="1" applyBorder="1" applyAlignment="1" applyProtection="1">
      <alignment horizontal="center" vertical="center"/>
      <protection locked="0"/>
    </xf>
    <xf numFmtId="0" fontId="7" fillId="5" borderId="8" xfId="0" applyFont="1" applyFill="1" applyBorder="1" applyAlignment="1" applyProtection="1">
      <alignment horizontal="center" vertical="center"/>
      <protection locked="0"/>
    </xf>
    <xf numFmtId="0" fontId="11" fillId="5" borderId="6" xfId="0" applyFont="1" applyFill="1" applyBorder="1" applyAlignment="1">
      <alignment horizontal="center" vertical="center" wrapText="1" shrinkToFit="1"/>
    </xf>
    <xf numFmtId="0" fontId="11" fillId="5" borderId="7" xfId="0" applyFont="1" applyFill="1" applyBorder="1" applyAlignment="1">
      <alignment horizontal="center" vertical="center" wrapText="1" shrinkToFit="1"/>
    </xf>
    <xf numFmtId="0" fontId="11" fillId="5" borderId="45" xfId="0" applyFont="1" applyFill="1" applyBorder="1" applyAlignment="1" applyProtection="1">
      <alignment horizontal="center" vertical="center" wrapText="1" shrinkToFit="1"/>
      <protection locked="0"/>
    </xf>
    <xf numFmtId="0" fontId="11" fillId="5" borderId="7" xfId="0" applyFont="1" applyFill="1" applyBorder="1" applyAlignment="1" applyProtection="1">
      <alignment horizontal="center" vertical="center" wrapText="1" shrinkToFit="1"/>
      <protection locked="0"/>
    </xf>
    <xf numFmtId="0" fontId="11" fillId="5" borderId="46" xfId="0" applyFont="1" applyFill="1" applyBorder="1" applyAlignment="1" applyProtection="1">
      <alignment horizontal="center" vertical="center" wrapText="1" shrinkToFit="1"/>
      <protection locked="0"/>
    </xf>
    <xf numFmtId="192" fontId="7" fillId="3" borderId="45" xfId="0" applyNumberFormat="1" applyFont="1" applyFill="1" applyBorder="1" applyAlignment="1">
      <alignment horizontal="right" vertical="center"/>
    </xf>
    <xf numFmtId="192" fontId="7" fillId="3" borderId="7" xfId="0" applyNumberFormat="1" applyFont="1" applyFill="1" applyBorder="1" applyAlignment="1">
      <alignment horizontal="right" vertical="center"/>
    </xf>
    <xf numFmtId="192" fontId="7" fillId="3" borderId="46" xfId="0" applyNumberFormat="1" applyFont="1" applyFill="1" applyBorder="1" applyAlignment="1">
      <alignment horizontal="right" vertical="center"/>
    </xf>
    <xf numFmtId="192" fontId="7" fillId="3" borderId="8" xfId="0" applyNumberFormat="1" applyFont="1" applyFill="1" applyBorder="1" applyAlignment="1">
      <alignment horizontal="right" vertical="center"/>
    </xf>
    <xf numFmtId="192" fontId="7" fillId="3" borderId="6" xfId="0" applyNumberFormat="1" applyFont="1" applyFill="1" applyBorder="1" applyAlignment="1">
      <alignment horizontal="right" vertical="center"/>
    </xf>
    <xf numFmtId="192" fontId="6" fillId="3" borderId="6" xfId="0" applyNumberFormat="1" applyFont="1" applyFill="1" applyBorder="1" applyAlignment="1">
      <alignment horizontal="center" vertical="center" shrinkToFit="1"/>
    </xf>
    <xf numFmtId="192" fontId="6" fillId="3" borderId="7" xfId="0" applyNumberFormat="1" applyFont="1" applyFill="1" applyBorder="1" applyAlignment="1">
      <alignment horizontal="center" vertical="center" shrinkToFit="1"/>
    </xf>
    <xf numFmtId="192" fontId="6" fillId="3" borderId="8" xfId="0" applyNumberFormat="1" applyFont="1" applyFill="1" applyBorder="1" applyAlignment="1">
      <alignment horizontal="center" vertical="center" shrinkToFit="1"/>
    </xf>
    <xf numFmtId="14" fontId="8" fillId="0" borderId="1" xfId="0" applyNumberFormat="1" applyFont="1" applyBorder="1" applyAlignment="1" applyProtection="1">
      <alignment horizontal="center" vertical="center"/>
      <protection locked="0"/>
    </xf>
    <xf numFmtId="0" fontId="7" fillId="5" borderId="1" xfId="0" applyFont="1" applyFill="1" applyBorder="1" applyAlignment="1" applyProtection="1">
      <alignment horizontal="center" vertical="center" wrapText="1"/>
      <protection locked="0"/>
    </xf>
    <xf numFmtId="0" fontId="7" fillId="4" borderId="37" xfId="0" applyFont="1" applyFill="1" applyBorder="1" applyAlignment="1" applyProtection="1">
      <alignment horizontal="center" vertical="center"/>
      <protection locked="0"/>
    </xf>
    <xf numFmtId="0" fontId="7" fillId="4" borderId="38" xfId="0" applyFont="1" applyFill="1" applyBorder="1" applyAlignment="1" applyProtection="1">
      <alignment horizontal="center" vertical="center"/>
      <protection locked="0"/>
    </xf>
    <xf numFmtId="0" fontId="7" fillId="4" borderId="6" xfId="0" applyFont="1" applyFill="1" applyBorder="1" applyAlignment="1" applyProtection="1">
      <alignment horizontal="center" vertical="center"/>
      <protection locked="0"/>
    </xf>
    <xf numFmtId="0" fontId="7" fillId="4" borderId="7" xfId="0" applyFont="1" applyFill="1" applyBorder="1" applyAlignment="1" applyProtection="1">
      <alignment horizontal="center" vertical="center"/>
      <protection locked="0"/>
    </xf>
    <xf numFmtId="0" fontId="7" fillId="4" borderId="46" xfId="0" applyFont="1" applyFill="1" applyBorder="1" applyAlignment="1" applyProtection="1">
      <alignment horizontal="center" vertical="center"/>
      <protection locked="0"/>
    </xf>
    <xf numFmtId="0" fontId="7" fillId="4" borderId="7" xfId="0" applyFont="1" applyFill="1" applyBorder="1" applyAlignment="1" applyProtection="1">
      <alignment horizontal="center" vertical="center" wrapText="1"/>
      <protection locked="0"/>
    </xf>
    <xf numFmtId="0" fontId="7" fillId="4" borderId="8" xfId="0" applyFont="1" applyFill="1" applyBorder="1" applyAlignment="1" applyProtection="1">
      <alignment horizontal="center" vertical="center" wrapText="1"/>
      <protection locked="0"/>
    </xf>
    <xf numFmtId="0" fontId="11" fillId="5" borderId="8" xfId="0" applyFont="1" applyFill="1" applyBorder="1" applyAlignment="1" applyProtection="1">
      <alignment horizontal="center" vertical="center" wrapText="1" shrinkToFit="1"/>
      <protection locked="0"/>
    </xf>
    <xf numFmtId="0" fontId="11" fillId="5" borderId="6" xfId="0" applyFont="1" applyFill="1" applyBorder="1" applyAlignment="1" applyProtection="1">
      <alignment horizontal="center" vertical="center" wrapText="1" shrinkToFit="1"/>
      <protection locked="0"/>
    </xf>
    <xf numFmtId="178" fontId="7" fillId="5" borderId="6" xfId="0" applyNumberFormat="1" applyFont="1" applyFill="1" applyBorder="1" applyAlignment="1" applyProtection="1">
      <alignment horizontal="center" vertical="center"/>
      <protection locked="0"/>
    </xf>
    <xf numFmtId="178" fontId="7" fillId="5" borderId="7" xfId="0" applyNumberFormat="1" applyFont="1" applyFill="1" applyBorder="1" applyAlignment="1" applyProtection="1">
      <alignment horizontal="center" vertical="center"/>
      <protection locked="0"/>
    </xf>
    <xf numFmtId="178" fontId="7" fillId="5" borderId="8" xfId="0" applyNumberFormat="1" applyFont="1" applyFill="1" applyBorder="1" applyAlignment="1" applyProtection="1">
      <alignment horizontal="center" vertical="center"/>
      <protection locked="0"/>
    </xf>
    <xf numFmtId="0" fontId="7" fillId="2" borderId="41" xfId="0" applyFont="1" applyFill="1" applyBorder="1" applyAlignment="1" applyProtection="1">
      <alignment horizontal="center" vertical="center"/>
      <protection locked="0"/>
    </xf>
    <xf numFmtId="0" fontId="7" fillId="2" borderId="43" xfId="0" applyFont="1" applyFill="1" applyBorder="1" applyAlignment="1" applyProtection="1">
      <alignment horizontal="center" vertical="center"/>
      <protection locked="0"/>
    </xf>
    <xf numFmtId="0" fontId="8" fillId="3" borderId="42" xfId="0" applyFont="1" applyFill="1" applyBorder="1" applyAlignment="1" applyProtection="1">
      <alignment horizontal="left" vertical="center"/>
      <protection locked="0"/>
    </xf>
    <xf numFmtId="0" fontId="8" fillId="3" borderId="43" xfId="0" applyFont="1" applyFill="1" applyBorder="1" applyAlignment="1" applyProtection="1">
      <alignment horizontal="left" vertical="center"/>
      <protection locked="0"/>
    </xf>
    <xf numFmtId="14" fontId="8" fillId="3" borderId="11" xfId="0" applyNumberFormat="1" applyFont="1" applyFill="1" applyBorder="1" applyAlignment="1">
      <alignment horizontal="center" vertical="center"/>
    </xf>
    <xf numFmtId="0" fontId="8" fillId="3" borderId="11" xfId="0" applyFont="1" applyFill="1" applyBorder="1" applyAlignment="1">
      <alignment horizontal="center" vertical="center"/>
    </xf>
    <xf numFmtId="0" fontId="8" fillId="3" borderId="12" xfId="0" applyFont="1" applyFill="1" applyBorder="1" applyAlignment="1">
      <alignment horizontal="center" vertical="center"/>
    </xf>
    <xf numFmtId="0" fontId="60" fillId="0" borderId="21" xfId="0" applyFont="1" applyBorder="1" applyAlignment="1">
      <alignment horizontal="center" vertical="center"/>
    </xf>
    <xf numFmtId="0" fontId="60" fillId="0" borderId="0" xfId="0" applyFont="1" applyAlignment="1">
      <alignment horizontal="center" vertical="center"/>
    </xf>
    <xf numFmtId="0" fontId="64" fillId="0" borderId="0" xfId="0" applyFont="1" applyAlignment="1">
      <alignment horizontal="center" vertical="center"/>
    </xf>
    <xf numFmtId="0" fontId="108" fillId="0" borderId="0" xfId="69" applyFont="1" applyAlignment="1">
      <alignment horizontal="left" vertical="center" wrapText="1"/>
    </xf>
    <xf numFmtId="0" fontId="108" fillId="0" borderId="0" xfId="69" applyFont="1" applyAlignment="1">
      <alignment horizontal="left" vertical="center" shrinkToFit="1"/>
    </xf>
    <xf numFmtId="0" fontId="108" fillId="0" borderId="0" xfId="69" applyFont="1" applyAlignment="1">
      <alignment horizontal="center" vertical="center"/>
    </xf>
    <xf numFmtId="31" fontId="116" fillId="0" borderId="0" xfId="69" applyNumberFormat="1" applyFont="1" applyAlignment="1">
      <alignment horizontal="center" vertical="center"/>
    </xf>
    <xf numFmtId="0" fontId="114" fillId="0" borderId="0" xfId="69" applyFont="1" applyAlignment="1">
      <alignment horizontal="center" vertical="center"/>
    </xf>
    <xf numFmtId="0" fontId="108" fillId="0" borderId="0" xfId="69" applyFont="1" applyAlignment="1">
      <alignment horizontal="center" vertical="center" shrinkToFit="1"/>
    </xf>
    <xf numFmtId="0" fontId="121" fillId="0" borderId="81" xfId="0" applyFont="1" applyBorder="1" applyAlignment="1">
      <alignment horizontal="left" vertical="center" wrapText="1" indent="1"/>
    </xf>
    <xf numFmtId="0" fontId="121" fillId="0" borderId="102" xfId="0" applyFont="1" applyBorder="1" applyAlignment="1">
      <alignment horizontal="left" vertical="center" wrapText="1" indent="1"/>
    </xf>
    <xf numFmtId="0" fontId="119" fillId="0" borderId="0" xfId="0" applyFont="1">
      <alignment vertical="center"/>
    </xf>
    <xf numFmtId="31" fontId="119" fillId="0" borderId="0" xfId="0" applyNumberFormat="1" applyFont="1" applyAlignment="1">
      <alignment horizontal="right" vertical="center"/>
    </xf>
    <xf numFmtId="0" fontId="119" fillId="0" borderId="0" xfId="0" applyFont="1" applyAlignment="1">
      <alignment horizontal="justify" vertical="center"/>
    </xf>
    <xf numFmtId="0" fontId="121" fillId="0" borderId="164" xfId="0" applyFont="1" applyBorder="1" applyAlignment="1">
      <alignment horizontal="left" vertical="center" wrapText="1" indent="1"/>
    </xf>
    <xf numFmtId="0" fontId="121" fillId="0" borderId="172" xfId="0" applyFont="1" applyBorder="1" applyAlignment="1">
      <alignment horizontal="left" vertical="center" wrapText="1" indent="1"/>
    </xf>
    <xf numFmtId="0" fontId="120" fillId="0" borderId="0" xfId="0" applyFont="1" applyAlignment="1">
      <alignment horizontal="center" vertical="center"/>
    </xf>
    <xf numFmtId="0" fontId="121" fillId="0" borderId="74" xfId="0" applyFont="1" applyBorder="1" applyAlignment="1">
      <alignment horizontal="left" vertical="center" wrapText="1" indent="1"/>
    </xf>
    <xf numFmtId="0" fontId="121" fillId="0" borderId="170" xfId="0" applyFont="1" applyBorder="1" applyAlignment="1">
      <alignment horizontal="left" vertical="center" wrapText="1" indent="1"/>
    </xf>
    <xf numFmtId="0" fontId="57" fillId="0" borderId="19" xfId="61" applyFont="1" applyBorder="1" applyAlignment="1">
      <alignment horizontal="center" vertical="center"/>
    </xf>
    <xf numFmtId="0" fontId="57" fillId="0" borderId="3" xfId="61" applyFont="1" applyBorder="1" applyAlignment="1">
      <alignment horizontal="center" vertical="center"/>
    </xf>
    <xf numFmtId="0" fontId="72" fillId="0" borderId="100" xfId="63" applyFont="1" applyBorder="1" applyAlignment="1" applyProtection="1">
      <alignment horizontal="right" vertical="center" wrapText="1"/>
      <protection locked="0"/>
    </xf>
    <xf numFmtId="0" fontId="72" fillId="0" borderId="48" xfId="63" applyFont="1" applyBorder="1" applyAlignment="1" applyProtection="1">
      <alignment horizontal="right" vertical="center" wrapText="1"/>
      <protection locked="0"/>
    </xf>
    <xf numFmtId="41" fontId="72" fillId="0" borderId="48" xfId="1" applyFont="1" applyBorder="1" applyAlignment="1" applyProtection="1">
      <alignment horizontal="left" vertical="center" shrinkToFit="1"/>
      <protection locked="0"/>
    </xf>
    <xf numFmtId="0" fontId="72" fillId="0" borderId="48" xfId="63" applyFont="1" applyBorder="1" applyAlignment="1" applyProtection="1">
      <alignment horizontal="left" vertical="center" wrapText="1"/>
      <protection locked="0"/>
    </xf>
    <xf numFmtId="41" fontId="72" fillId="0" borderId="48" xfId="1" applyFont="1" applyBorder="1" applyAlignment="1" applyProtection="1">
      <alignment vertical="center" wrapText="1"/>
      <protection locked="0"/>
    </xf>
    <xf numFmtId="41" fontId="72" fillId="0" borderId="48" xfId="1" applyFont="1" applyBorder="1" applyAlignment="1" applyProtection="1">
      <alignment horizontal="left" vertical="center" wrapText="1"/>
      <protection locked="0"/>
    </xf>
    <xf numFmtId="0" fontId="72" fillId="0" borderId="89" xfId="63" applyFont="1" applyBorder="1" applyAlignment="1" applyProtection="1">
      <alignment horizontal="right" vertical="center" wrapText="1"/>
      <protection locked="0"/>
    </xf>
    <xf numFmtId="0" fontId="72" fillId="0" borderId="0" xfId="63" applyFont="1" applyAlignment="1" applyProtection="1">
      <alignment horizontal="right" vertical="center" wrapText="1"/>
      <protection locked="0"/>
    </xf>
    <xf numFmtId="41" fontId="72" fillId="0" borderId="0" xfId="1" applyFont="1" applyBorder="1" applyAlignment="1" applyProtection="1">
      <alignment horizontal="left" vertical="center" wrapText="1"/>
      <protection locked="0"/>
    </xf>
    <xf numFmtId="0" fontId="72" fillId="0" borderId="0" xfId="63" applyFont="1" applyAlignment="1" applyProtection="1">
      <alignment horizontal="left" vertical="center" wrapText="1"/>
      <protection locked="0"/>
    </xf>
    <xf numFmtId="41" fontId="72" fillId="0" borderId="24" xfId="1" applyFont="1" applyBorder="1" applyAlignment="1" applyProtection="1">
      <alignment vertical="center" wrapText="1"/>
      <protection locked="0"/>
    </xf>
    <xf numFmtId="41" fontId="72" fillId="0" borderId="91" xfId="1" applyFont="1" applyBorder="1" applyAlignment="1" applyProtection="1">
      <alignment vertical="center" wrapText="1"/>
      <protection locked="0"/>
    </xf>
    <xf numFmtId="41" fontId="72" fillId="0" borderId="0" xfId="1" applyFont="1" applyBorder="1" applyAlignment="1" applyProtection="1">
      <alignment vertical="center" wrapText="1"/>
      <protection locked="0"/>
    </xf>
    <xf numFmtId="0" fontId="72" fillId="0" borderId="103" xfId="63" applyFont="1" applyBorder="1" applyAlignment="1" applyProtection="1">
      <alignment horizontal="center" vertical="center" wrapText="1"/>
      <protection locked="0"/>
    </xf>
    <xf numFmtId="0" fontId="72" fillId="0" borderId="104" xfId="63" applyFont="1" applyBorder="1" applyAlignment="1" applyProtection="1">
      <alignment horizontal="center" vertical="center" wrapText="1"/>
      <protection locked="0"/>
    </xf>
    <xf numFmtId="0" fontId="72" fillId="0" borderId="105" xfId="63" applyFont="1" applyBorder="1" applyAlignment="1" applyProtection="1">
      <alignment horizontal="center" vertical="center" wrapText="1"/>
      <protection locked="0"/>
    </xf>
    <xf numFmtId="0" fontId="72" fillId="0" borderId="89" xfId="63" applyFont="1" applyBorder="1" applyAlignment="1" applyProtection="1">
      <alignment horizontal="left" vertical="center" wrapText="1"/>
      <protection locked="0"/>
    </xf>
    <xf numFmtId="0" fontId="72" fillId="0" borderId="23" xfId="63" applyFont="1" applyBorder="1" applyAlignment="1" applyProtection="1">
      <alignment horizontal="left" vertical="center" wrapText="1"/>
      <protection locked="0"/>
    </xf>
    <xf numFmtId="0" fontId="72" fillId="0" borderId="24" xfId="63" applyFont="1" applyBorder="1" applyAlignment="1" applyProtection="1">
      <alignment horizontal="left" vertical="center" wrapText="1"/>
      <protection locked="0"/>
    </xf>
    <xf numFmtId="0" fontId="72" fillId="0" borderId="91" xfId="63" applyFont="1" applyBorder="1" applyAlignment="1" applyProtection="1">
      <alignment horizontal="left" vertical="center" wrapText="1"/>
      <protection locked="0"/>
    </xf>
    <xf numFmtId="0" fontId="68" fillId="0" borderId="15" xfId="63" applyFont="1" applyBorder="1" applyAlignment="1" applyProtection="1">
      <alignment horizontal="center" vertical="center" wrapText="1"/>
      <protection locked="0"/>
    </xf>
    <xf numFmtId="0" fontId="68" fillId="0" borderId="119" xfId="63" applyFont="1" applyBorder="1" applyAlignment="1" applyProtection="1">
      <alignment horizontal="center" vertical="center" wrapText="1"/>
      <protection locked="0"/>
    </xf>
    <xf numFmtId="0" fontId="68" fillId="0" borderId="10" xfId="63" applyFont="1" applyBorder="1" applyAlignment="1" applyProtection="1">
      <alignment horizontal="center" vertical="center" wrapText="1"/>
      <protection locked="0"/>
    </xf>
    <xf numFmtId="0" fontId="68" fillId="0" borderId="11" xfId="63" applyFont="1" applyBorder="1" applyAlignment="1" applyProtection="1">
      <alignment horizontal="center" vertical="center" wrapText="1"/>
      <protection locked="0"/>
    </xf>
    <xf numFmtId="0" fontId="68" fillId="0" borderId="11" xfId="63" applyFont="1" applyBorder="1" applyAlignment="1" applyProtection="1">
      <alignment horizontal="left" vertical="center" wrapText="1"/>
      <protection locked="0"/>
    </xf>
    <xf numFmtId="0" fontId="68" fillId="0" borderId="120" xfId="63" applyFont="1" applyBorder="1" applyAlignment="1" applyProtection="1">
      <alignment horizontal="left" vertical="center" wrapText="1"/>
      <protection locked="0"/>
    </xf>
    <xf numFmtId="0" fontId="72" fillId="0" borderId="87" xfId="63" applyFont="1" applyBorder="1" applyAlignment="1" applyProtection="1">
      <alignment horizontal="center" vertical="center" wrapText="1"/>
      <protection locked="0"/>
    </xf>
    <xf numFmtId="0" fontId="72" fillId="0" borderId="18" xfId="63" applyFont="1" applyBorder="1" applyAlignment="1" applyProtection="1">
      <alignment horizontal="center" vertical="center" wrapText="1"/>
      <protection locked="0"/>
    </xf>
    <xf numFmtId="0" fontId="72" fillId="0" borderId="89" xfId="63" applyFont="1" applyBorder="1" applyAlignment="1" applyProtection="1">
      <alignment horizontal="center" vertical="center" wrapText="1"/>
      <protection locked="0"/>
    </xf>
    <xf numFmtId="0" fontId="72" fillId="0" borderId="24" xfId="63" applyFont="1" applyBorder="1" applyAlignment="1" applyProtection="1">
      <alignment horizontal="center" vertical="center" wrapText="1"/>
      <protection locked="0"/>
    </xf>
    <xf numFmtId="0" fontId="72" fillId="0" borderId="92" xfId="63" applyFont="1" applyBorder="1" applyAlignment="1" applyProtection="1">
      <alignment horizontal="center" vertical="center" wrapText="1"/>
      <protection locked="0"/>
    </xf>
    <xf numFmtId="0" fontId="72" fillId="0" borderId="20" xfId="63" applyFont="1" applyBorder="1" applyAlignment="1" applyProtection="1">
      <alignment horizontal="center" vertical="center" wrapText="1"/>
      <protection locked="0"/>
    </xf>
    <xf numFmtId="0" fontId="68" fillId="0" borderId="37" xfId="63" applyFont="1" applyBorder="1" applyAlignment="1" applyProtection="1">
      <alignment horizontal="left" vertical="center" wrapText="1"/>
      <protection locked="0"/>
    </xf>
    <xf numFmtId="0" fontId="68" fillId="0" borderId="99" xfId="63" applyFont="1" applyBorder="1" applyAlignment="1" applyProtection="1">
      <alignment horizontal="left" vertical="center" wrapText="1"/>
      <protection locked="0"/>
    </xf>
    <xf numFmtId="0" fontId="68" fillId="0" borderId="23" xfId="63" applyFont="1" applyBorder="1" applyAlignment="1" applyProtection="1">
      <alignment horizontal="left" vertical="center"/>
      <protection locked="0"/>
    </xf>
    <xf numFmtId="0" fontId="68" fillId="0" borderId="0" xfId="63" applyFont="1" applyAlignment="1" applyProtection="1">
      <alignment horizontal="left" vertical="center"/>
      <protection locked="0"/>
    </xf>
    <xf numFmtId="0" fontId="68" fillId="0" borderId="91" xfId="63" applyFont="1" applyBorder="1" applyAlignment="1" applyProtection="1">
      <alignment horizontal="left" vertical="center"/>
      <protection locked="0"/>
    </xf>
    <xf numFmtId="0" fontId="68" fillId="0" borderId="23" xfId="63" applyFont="1" applyBorder="1" applyAlignment="1" applyProtection="1">
      <alignment horizontal="left" vertical="center" wrapText="1"/>
      <protection locked="0"/>
    </xf>
    <xf numFmtId="0" fontId="68" fillId="0" borderId="0" xfId="63" applyFont="1" applyAlignment="1" applyProtection="1">
      <alignment horizontal="left" vertical="center" wrapText="1"/>
      <protection locked="0"/>
    </xf>
    <xf numFmtId="0" fontId="68" fillId="0" borderId="91" xfId="63" applyFont="1" applyBorder="1" applyAlignment="1" applyProtection="1">
      <alignment horizontal="left" vertical="center" wrapText="1"/>
      <protection locked="0"/>
    </xf>
    <xf numFmtId="0" fontId="68" fillId="0" borderId="19" xfId="63" applyFont="1" applyBorder="1" applyAlignment="1" applyProtection="1">
      <alignment horizontal="left" vertical="center"/>
      <protection locked="0"/>
    </xf>
    <xf numFmtId="0" fontId="68" fillId="0" borderId="3" xfId="63" applyFont="1" applyBorder="1" applyAlignment="1" applyProtection="1">
      <alignment horizontal="left" vertical="center"/>
      <protection locked="0"/>
    </xf>
    <xf numFmtId="0" fontId="68" fillId="0" borderId="93" xfId="63" applyFont="1" applyBorder="1" applyAlignment="1" applyProtection="1">
      <alignment horizontal="left" vertical="center"/>
      <protection locked="0"/>
    </xf>
    <xf numFmtId="0" fontId="72" fillId="0" borderId="0" xfId="63" applyFont="1" applyAlignment="1" applyProtection="1">
      <alignment horizontal="center" vertical="center" wrapText="1"/>
      <protection locked="0"/>
    </xf>
    <xf numFmtId="0" fontId="72" fillId="0" borderId="100" xfId="63" applyFont="1" applyBorder="1" applyAlignment="1" applyProtection="1">
      <alignment horizontal="center" vertical="center" wrapText="1"/>
      <protection locked="0"/>
    </xf>
    <xf numFmtId="0" fontId="72" fillId="0" borderId="101" xfId="63" applyFont="1" applyBorder="1" applyAlignment="1" applyProtection="1">
      <alignment horizontal="center" vertical="center" wrapText="1"/>
      <protection locked="0"/>
    </xf>
    <xf numFmtId="0" fontId="68" fillId="0" borderId="1" xfId="63" applyFont="1" applyBorder="1" applyAlignment="1" applyProtection="1">
      <alignment horizontal="left" vertical="center" wrapText="1"/>
      <protection locked="0"/>
    </xf>
    <xf numFmtId="0" fontId="68" fillId="0" borderId="98" xfId="63" applyFont="1" applyBorder="1" applyAlignment="1" applyProtection="1">
      <alignment horizontal="left" vertical="center" wrapText="1"/>
      <protection locked="0"/>
    </xf>
    <xf numFmtId="0" fontId="68" fillId="0" borderId="14" xfId="63" applyFont="1" applyBorder="1" applyAlignment="1" applyProtection="1">
      <alignment horizontal="center" vertical="center" wrapText="1"/>
      <protection locked="0"/>
    </xf>
    <xf numFmtId="0" fontId="68" fillId="0" borderId="19" xfId="63" applyFont="1" applyBorder="1" applyAlignment="1" applyProtection="1">
      <alignment horizontal="left" vertical="center" wrapText="1"/>
      <protection locked="0"/>
    </xf>
    <xf numFmtId="0" fontId="68" fillId="0" borderId="3" xfId="63" applyFont="1" applyBorder="1" applyAlignment="1" applyProtection="1">
      <alignment horizontal="left" vertical="center" wrapText="1"/>
      <protection locked="0"/>
    </xf>
    <xf numFmtId="0" fontId="68" fillId="0" borderId="93" xfId="63" applyFont="1" applyBorder="1" applyAlignment="1" applyProtection="1">
      <alignment horizontal="left" vertical="center" wrapText="1"/>
      <protection locked="0"/>
    </xf>
    <xf numFmtId="0" fontId="68" fillId="0" borderId="81" xfId="63" applyFont="1" applyBorder="1" applyAlignment="1" applyProtection="1">
      <alignment horizontal="left" vertical="center" wrapText="1"/>
      <protection locked="0"/>
    </xf>
    <xf numFmtId="0" fontId="68" fillId="0" borderId="102" xfId="63" applyFont="1" applyBorder="1" applyAlignment="1" applyProtection="1">
      <alignment horizontal="left" vertical="center" wrapText="1"/>
      <protection locked="0"/>
    </xf>
    <xf numFmtId="0" fontId="72" fillId="0" borderId="97" xfId="63" applyFont="1" applyBorder="1" applyAlignment="1" applyProtection="1">
      <alignment horizontal="center" vertical="center" wrapText="1"/>
      <protection locked="0"/>
    </xf>
    <xf numFmtId="0" fontId="72" fillId="0" borderId="8" xfId="63" applyFont="1" applyBorder="1" applyAlignment="1" applyProtection="1">
      <alignment horizontal="center" vertical="center" wrapText="1"/>
      <protection locked="0"/>
    </xf>
    <xf numFmtId="180" fontId="68" fillId="0" borderId="54" xfId="63" applyNumberFormat="1" applyFont="1" applyBorder="1" applyAlignment="1" applyProtection="1">
      <alignment horizontal="right" vertical="center" wrapText="1"/>
      <protection locked="0"/>
    </xf>
    <xf numFmtId="180" fontId="68" fillId="0" borderId="3" xfId="63" applyNumberFormat="1" applyFont="1" applyBorder="1" applyAlignment="1" applyProtection="1">
      <alignment horizontal="right" vertical="center" wrapText="1"/>
      <protection locked="0"/>
    </xf>
    <xf numFmtId="41" fontId="47" fillId="0" borderId="54" xfId="1" applyFont="1" applyBorder="1" applyAlignment="1" applyProtection="1">
      <alignment horizontal="center" vertical="center" wrapText="1"/>
      <protection locked="0"/>
    </xf>
    <xf numFmtId="41" fontId="47" fillId="0" borderId="3" xfId="1" applyFont="1" applyBorder="1" applyAlignment="1" applyProtection="1">
      <alignment horizontal="center" vertical="center" wrapText="1"/>
      <protection locked="0"/>
    </xf>
    <xf numFmtId="0" fontId="47" fillId="0" borderId="17" xfId="63" applyFont="1" applyBorder="1" applyAlignment="1" applyProtection="1">
      <alignment horizontal="left" vertical="center" wrapText="1"/>
      <protection locked="0"/>
    </xf>
    <xf numFmtId="0" fontId="47" fillId="0" borderId="21" xfId="63" applyFont="1" applyBorder="1" applyAlignment="1" applyProtection="1">
      <alignment horizontal="left" vertical="center" wrapText="1"/>
      <protection locked="0"/>
    </xf>
    <xf numFmtId="0" fontId="47" fillId="0" borderId="88" xfId="63" applyFont="1" applyBorder="1" applyAlignment="1" applyProtection="1">
      <alignment horizontal="left" vertical="center" wrapText="1"/>
      <protection locked="0"/>
    </xf>
    <xf numFmtId="0" fontId="47" fillId="0" borderId="23" xfId="63" applyFont="1" applyBorder="1" applyAlignment="1" applyProtection="1">
      <alignment horizontal="left" vertical="center" wrapText="1"/>
      <protection locked="0"/>
    </xf>
    <xf numFmtId="0" fontId="47" fillId="0" borderId="0" xfId="63" applyFont="1" applyAlignment="1" applyProtection="1">
      <alignment horizontal="left" vertical="center" wrapText="1"/>
      <protection locked="0"/>
    </xf>
    <xf numFmtId="0" fontId="47" fillId="0" borderId="91" xfId="63" applyFont="1" applyBorder="1" applyAlignment="1" applyProtection="1">
      <alignment horizontal="left" vertical="center" wrapText="1"/>
      <protection locked="0"/>
    </xf>
    <xf numFmtId="0" fontId="47" fillId="0" borderId="19" xfId="63" applyFont="1" applyBorder="1" applyAlignment="1" applyProtection="1">
      <alignment horizontal="left" vertical="center" wrapText="1"/>
      <protection locked="0"/>
    </xf>
    <xf numFmtId="0" fontId="47" fillId="0" borderId="3" xfId="63" applyFont="1" applyBorder="1" applyAlignment="1" applyProtection="1">
      <alignment horizontal="left" vertical="center" wrapText="1"/>
      <protection locked="0"/>
    </xf>
    <xf numFmtId="0" fontId="47" fillId="0" borderId="93" xfId="63" applyFont="1" applyBorder="1" applyAlignment="1" applyProtection="1">
      <alignment horizontal="left" vertical="center" wrapText="1"/>
      <protection locked="0"/>
    </xf>
    <xf numFmtId="0" fontId="72" fillId="22" borderId="6" xfId="63" applyFont="1" applyFill="1" applyBorder="1" applyAlignment="1" applyProtection="1">
      <alignment horizontal="center" vertical="center" wrapText="1"/>
      <protection locked="0"/>
    </xf>
    <xf numFmtId="0" fontId="72" fillId="22" borderId="7" xfId="63" applyFont="1" applyFill="1" applyBorder="1" applyAlignment="1" applyProtection="1">
      <alignment horizontal="center" vertical="center" wrapText="1"/>
      <protection locked="0"/>
    </xf>
    <xf numFmtId="0" fontId="72" fillId="22" borderId="46" xfId="63" applyFont="1" applyFill="1" applyBorder="1" applyAlignment="1" applyProtection="1">
      <alignment horizontal="center" vertical="center" wrapText="1"/>
      <protection locked="0"/>
    </xf>
    <xf numFmtId="0" fontId="68" fillId="0" borderId="45" xfId="63" applyFont="1" applyBorder="1" applyAlignment="1" applyProtection="1">
      <alignment horizontal="right" vertical="center" wrapText="1"/>
      <protection locked="0"/>
    </xf>
    <xf numFmtId="0" fontId="68" fillId="0" borderId="7" xfId="63" applyFont="1" applyBorder="1" applyAlignment="1" applyProtection="1">
      <alignment horizontal="right" vertical="center" wrapText="1"/>
      <protection locked="0"/>
    </xf>
    <xf numFmtId="0" fontId="68" fillId="0" borderId="7" xfId="63" applyFont="1" applyBorder="1" applyAlignment="1" applyProtection="1">
      <alignment horizontal="left" vertical="center" wrapText="1"/>
      <protection locked="0"/>
    </xf>
    <xf numFmtId="0" fontId="68" fillId="0" borderId="69" xfId="63" applyFont="1" applyBorder="1" applyAlignment="1" applyProtection="1">
      <alignment horizontal="left" vertical="center" wrapText="1"/>
      <protection locked="0"/>
    </xf>
    <xf numFmtId="0" fontId="68" fillId="0" borderId="6" xfId="63" applyFont="1" applyBorder="1" applyAlignment="1" applyProtection="1">
      <alignment horizontal="left" vertical="center" wrapText="1"/>
      <protection locked="0"/>
    </xf>
    <xf numFmtId="180" fontId="68" fillId="0" borderId="7" xfId="63" applyNumberFormat="1" applyFont="1" applyBorder="1" applyAlignment="1" applyProtection="1">
      <alignment horizontal="right" vertical="center" wrapText="1"/>
      <protection locked="0"/>
    </xf>
    <xf numFmtId="0" fontId="72" fillId="0" borderId="78" xfId="63" applyFont="1" applyBorder="1" applyAlignment="1" applyProtection="1">
      <alignment horizontal="center" vertical="center" wrapText="1"/>
      <protection locked="0"/>
    </xf>
    <xf numFmtId="0" fontId="72" fillId="0" borderId="1" xfId="63" applyFont="1" applyBorder="1" applyAlignment="1" applyProtection="1">
      <alignment horizontal="center" vertical="center" wrapText="1"/>
      <protection locked="0"/>
    </xf>
    <xf numFmtId="0" fontId="68" fillId="8" borderId="45" xfId="63" applyFont="1" applyFill="1" applyBorder="1" applyAlignment="1" applyProtection="1">
      <alignment horizontal="right" vertical="center" wrapText="1"/>
      <protection locked="0"/>
    </xf>
    <xf numFmtId="0" fontId="68" fillId="8" borderId="7" xfId="63" applyFont="1" applyFill="1" applyBorder="1" applyAlignment="1" applyProtection="1">
      <alignment horizontal="right" vertical="center" wrapText="1"/>
      <protection locked="0"/>
    </xf>
    <xf numFmtId="0" fontId="47" fillId="0" borderId="1" xfId="63" applyFont="1" applyBorder="1" applyAlignment="1" applyProtection="1">
      <alignment horizontal="left" vertical="center" wrapText="1"/>
      <protection locked="0"/>
    </xf>
    <xf numFmtId="0" fontId="47" fillId="0" borderId="98" xfId="63" applyFont="1" applyBorder="1" applyAlignment="1" applyProtection="1">
      <alignment horizontal="left" vertical="center" wrapText="1"/>
      <protection locked="0"/>
    </xf>
    <xf numFmtId="0" fontId="11" fillId="0" borderId="1" xfId="0" applyFont="1" applyBorder="1" applyAlignment="1">
      <alignment horizontal="center" vertical="center"/>
    </xf>
    <xf numFmtId="0" fontId="68" fillId="0" borderId="17" xfId="63" applyFont="1" applyBorder="1" applyAlignment="1" applyProtection="1">
      <alignment horizontal="left" vertical="center" wrapText="1"/>
      <protection locked="0"/>
    </xf>
    <xf numFmtId="0" fontId="68" fillId="0" borderId="21" xfId="63" applyFont="1" applyBorder="1" applyAlignment="1" applyProtection="1">
      <alignment horizontal="left" vertical="center" wrapText="1"/>
      <protection locked="0"/>
    </xf>
    <xf numFmtId="0" fontId="68" fillId="0" borderId="88" xfId="63" applyFont="1" applyBorder="1" applyAlignment="1" applyProtection="1">
      <alignment horizontal="left" vertical="center" wrapText="1"/>
      <protection locked="0"/>
    </xf>
    <xf numFmtId="41" fontId="68" fillId="0" borderId="3" xfId="1" applyFont="1" applyFill="1" applyBorder="1" applyAlignment="1" applyProtection="1">
      <alignment horizontal="right" vertical="center" wrapText="1"/>
      <protection locked="0"/>
    </xf>
    <xf numFmtId="0" fontId="72" fillId="0" borderId="3" xfId="63" applyFont="1" applyBorder="1" applyAlignment="1" applyProtection="1">
      <alignment horizontal="left" vertical="center" shrinkToFit="1"/>
      <protection locked="0"/>
    </xf>
    <xf numFmtId="0" fontId="72" fillId="0" borderId="93" xfId="63" applyFont="1" applyBorder="1" applyAlignment="1" applyProtection="1">
      <alignment horizontal="left" vertical="center" shrinkToFit="1"/>
      <protection locked="0"/>
    </xf>
    <xf numFmtId="0" fontId="68" fillId="0" borderId="94" xfId="63" applyFont="1" applyBorder="1" applyAlignment="1" applyProtection="1">
      <alignment horizontal="left" vertical="center" wrapText="1"/>
      <protection locked="0"/>
    </xf>
    <xf numFmtId="0" fontId="68" fillId="0" borderId="95" xfId="63" applyFont="1" applyBorder="1" applyAlignment="1" applyProtection="1">
      <alignment horizontal="left" vertical="center" wrapText="1"/>
      <protection locked="0"/>
    </xf>
    <xf numFmtId="0" fontId="68" fillId="0" borderId="96" xfId="63" applyFont="1" applyBorder="1" applyAlignment="1" applyProtection="1">
      <alignment horizontal="left" vertical="center" wrapText="1"/>
      <protection locked="0"/>
    </xf>
    <xf numFmtId="0" fontId="72" fillId="22" borderId="17" xfId="63" applyFont="1" applyFill="1" applyBorder="1" applyAlignment="1" applyProtection="1">
      <alignment horizontal="center" vertical="center" wrapText="1"/>
      <protection locked="0"/>
    </xf>
    <xf numFmtId="0" fontId="72" fillId="22" borderId="21" xfId="63" applyFont="1" applyFill="1" applyBorder="1" applyAlignment="1" applyProtection="1">
      <alignment horizontal="center" vertical="center" wrapText="1"/>
      <protection locked="0"/>
    </xf>
    <xf numFmtId="0" fontId="72" fillId="22" borderId="23" xfId="63" applyFont="1" applyFill="1" applyBorder="1" applyAlignment="1" applyProtection="1">
      <alignment horizontal="center" vertical="center" wrapText="1"/>
      <protection locked="0"/>
    </xf>
    <xf numFmtId="0" fontId="72" fillId="22" borderId="0" xfId="63" applyFont="1" applyFill="1" applyAlignment="1" applyProtection="1">
      <alignment horizontal="center" vertical="center" wrapText="1"/>
      <protection locked="0"/>
    </xf>
    <xf numFmtId="0" fontId="72" fillId="22" borderId="19" xfId="63" applyFont="1" applyFill="1" applyBorder="1" applyAlignment="1" applyProtection="1">
      <alignment horizontal="center" vertical="center" wrapText="1"/>
      <protection locked="0"/>
    </xf>
    <xf numFmtId="0" fontId="72" fillId="22" borderId="3" xfId="63" applyFont="1" applyFill="1" applyBorder="1" applyAlignment="1" applyProtection="1">
      <alignment horizontal="center" vertical="center" wrapText="1"/>
      <protection locked="0"/>
    </xf>
    <xf numFmtId="0" fontId="68" fillId="0" borderId="54" xfId="63" applyFont="1" applyBorder="1" applyAlignment="1" applyProtection="1">
      <alignment horizontal="right" vertical="center" wrapText="1"/>
      <protection locked="0"/>
    </xf>
    <xf numFmtId="0" fontId="68" fillId="0" borderId="3" xfId="63" applyFont="1" applyBorder="1" applyAlignment="1" applyProtection="1">
      <alignment horizontal="right" vertical="center" wrapText="1"/>
      <protection locked="0"/>
    </xf>
    <xf numFmtId="0" fontId="68" fillId="0" borderId="62" xfId="63" applyFont="1" applyBorder="1" applyAlignment="1" applyProtection="1">
      <alignment horizontal="left" vertical="center" wrapText="1"/>
      <protection locked="0"/>
    </xf>
    <xf numFmtId="0" fontId="68" fillId="0" borderId="38" xfId="63" applyFont="1" applyBorder="1" applyAlignment="1" applyProtection="1">
      <alignment horizontal="left" vertical="center" wrapText="1"/>
      <protection locked="0"/>
    </xf>
    <xf numFmtId="41" fontId="47" fillId="0" borderId="17" xfId="1" applyFont="1" applyBorder="1" applyAlignment="1" applyProtection="1">
      <alignment horizontal="center" vertical="center" wrapText="1"/>
      <protection locked="0"/>
    </xf>
    <xf numFmtId="41" fontId="47" fillId="0" borderId="21" xfId="1" applyFont="1" applyBorder="1" applyAlignment="1" applyProtection="1">
      <alignment horizontal="center" vertical="center" wrapText="1"/>
      <protection locked="0"/>
    </xf>
    <xf numFmtId="41" fontId="47" fillId="0" borderId="88" xfId="1" applyFont="1" applyBorder="1" applyAlignment="1" applyProtection="1">
      <alignment horizontal="center" vertical="center" wrapText="1"/>
      <protection locked="0"/>
    </xf>
    <xf numFmtId="41" fontId="47" fillId="0" borderId="23" xfId="1" applyFont="1" applyBorder="1" applyAlignment="1" applyProtection="1">
      <alignment horizontal="center" vertical="center" wrapText="1"/>
      <protection locked="0"/>
    </xf>
    <xf numFmtId="41" fontId="47" fillId="0" borderId="0" xfId="1" applyFont="1" applyBorder="1" applyAlignment="1" applyProtection="1">
      <alignment horizontal="center" vertical="center" wrapText="1"/>
      <protection locked="0"/>
    </xf>
    <xf numFmtId="41" fontId="47" fillId="0" borderId="91" xfId="1" applyFont="1" applyBorder="1" applyAlignment="1" applyProtection="1">
      <alignment horizontal="center" vertical="center" wrapText="1"/>
      <protection locked="0"/>
    </xf>
    <xf numFmtId="41" fontId="47" fillId="0" borderId="19" xfId="1" applyFont="1" applyBorder="1" applyAlignment="1" applyProtection="1">
      <alignment horizontal="center" vertical="center" wrapText="1"/>
      <protection locked="0"/>
    </xf>
    <xf numFmtId="41" fontId="47" fillId="0" borderId="93" xfId="1" applyFont="1" applyBorder="1" applyAlignment="1" applyProtection="1">
      <alignment horizontal="center" vertical="center" wrapText="1"/>
      <protection locked="0"/>
    </xf>
    <xf numFmtId="203" fontId="68" fillId="0" borderId="0" xfId="1" applyNumberFormat="1" applyFont="1" applyFill="1" applyBorder="1" applyAlignment="1" applyProtection="1">
      <alignment horizontal="left" vertical="center" wrapText="1"/>
      <protection locked="0"/>
    </xf>
    <xf numFmtId="203" fontId="68" fillId="0" borderId="91" xfId="1" applyNumberFormat="1" applyFont="1" applyFill="1" applyBorder="1" applyAlignment="1" applyProtection="1">
      <alignment horizontal="left" vertical="center" wrapText="1"/>
      <protection locked="0"/>
    </xf>
    <xf numFmtId="0" fontId="68" fillId="0" borderId="24" xfId="63" applyFont="1" applyBorder="1" applyAlignment="1" applyProtection="1">
      <alignment horizontal="left" vertical="center" wrapText="1"/>
      <protection locked="0"/>
    </xf>
    <xf numFmtId="0" fontId="68" fillId="0" borderId="47" xfId="63" applyFont="1" applyBorder="1" applyAlignment="1" applyProtection="1">
      <alignment horizontal="left" vertical="center" wrapText="1"/>
      <protection locked="0"/>
    </xf>
    <xf numFmtId="0" fontId="68" fillId="0" borderId="90" xfId="63" applyFont="1" applyBorder="1" applyAlignment="1" applyProtection="1">
      <alignment horizontal="left" vertical="center" wrapText="1"/>
      <protection locked="0"/>
    </xf>
    <xf numFmtId="0" fontId="73" fillId="0" borderId="19" xfId="63" applyFont="1" applyBorder="1" applyAlignment="1" applyProtection="1">
      <alignment horizontal="center" vertical="center"/>
      <protection locked="0"/>
    </xf>
    <xf numFmtId="0" fontId="68" fillId="0" borderId="3" xfId="63" applyFont="1" applyBorder="1" applyAlignment="1" applyProtection="1">
      <alignment horizontal="center" vertical="center"/>
      <protection locked="0"/>
    </xf>
    <xf numFmtId="0" fontId="68" fillId="0" borderId="93" xfId="63" applyFont="1" applyBorder="1" applyAlignment="1" applyProtection="1">
      <alignment horizontal="center" vertical="center"/>
      <protection locked="0"/>
    </xf>
    <xf numFmtId="41" fontId="68" fillId="22" borderId="21" xfId="1" applyFont="1" applyFill="1" applyBorder="1" applyAlignment="1" applyProtection="1">
      <alignment horizontal="center" vertical="center" wrapText="1"/>
      <protection locked="0"/>
    </xf>
    <xf numFmtId="0" fontId="68" fillId="0" borderId="21" xfId="63" applyFont="1" applyBorder="1" applyAlignment="1" applyProtection="1">
      <alignment horizontal="right" vertical="center" wrapText="1"/>
      <protection locked="0"/>
    </xf>
    <xf numFmtId="200" fontId="74" fillId="0" borderId="21" xfId="63" applyNumberFormat="1" applyFont="1" applyBorder="1" applyAlignment="1" applyProtection="1">
      <alignment vertical="center" wrapText="1"/>
      <protection locked="0"/>
    </xf>
    <xf numFmtId="200" fontId="74" fillId="0" borderId="17" xfId="63" applyNumberFormat="1" applyFont="1" applyBorder="1" applyAlignment="1" applyProtection="1">
      <alignment vertical="center" wrapText="1"/>
      <protection locked="0"/>
    </xf>
    <xf numFmtId="0" fontId="72" fillId="0" borderId="21" xfId="63" applyFont="1" applyBorder="1" applyAlignment="1" applyProtection="1">
      <alignment horizontal="center" vertical="center" wrapText="1"/>
      <protection locked="0"/>
    </xf>
    <xf numFmtId="200" fontId="74" fillId="0" borderId="21" xfId="63" applyNumberFormat="1" applyFont="1" applyBorder="1" applyAlignment="1" applyProtection="1">
      <alignment horizontal="left" vertical="center" wrapText="1"/>
      <protection locked="0"/>
    </xf>
    <xf numFmtId="0" fontId="72" fillId="0" borderId="21" xfId="63" applyFont="1" applyBorder="1" applyAlignment="1" applyProtection="1">
      <alignment horizontal="left" vertical="center" wrapText="1"/>
      <protection locked="0"/>
    </xf>
    <xf numFmtId="0" fontId="68" fillId="0" borderId="66" xfId="63" applyFont="1" applyBorder="1" applyAlignment="1" applyProtection="1">
      <alignment horizontal="center" vertical="center" wrapText="1"/>
      <protection locked="0"/>
    </xf>
    <xf numFmtId="0" fontId="68" fillId="0" borderId="63" xfId="63" applyFont="1" applyBorder="1" applyAlignment="1" applyProtection="1">
      <alignment horizontal="center" vertical="center" wrapText="1"/>
      <protection locked="0"/>
    </xf>
    <xf numFmtId="0" fontId="68" fillId="0" borderId="85" xfId="63" applyFont="1" applyBorder="1" applyAlignment="1" applyProtection="1">
      <alignment horizontal="center" vertical="center" wrapText="1"/>
      <protection locked="0"/>
    </xf>
    <xf numFmtId="0" fontId="72" fillId="0" borderId="86" xfId="63" applyFont="1" applyBorder="1" applyAlignment="1" applyProtection="1">
      <alignment horizontal="center" vertical="center" wrapText="1"/>
      <protection locked="0"/>
    </xf>
    <xf numFmtId="0" fontId="72" fillId="0" borderId="76" xfId="63" applyFont="1" applyBorder="1" applyAlignment="1" applyProtection="1">
      <alignment horizontal="center" vertical="center" wrapText="1"/>
      <protection locked="0"/>
    </xf>
    <xf numFmtId="41" fontId="73" fillId="0" borderId="75" xfId="1" applyFont="1" applyBorder="1" applyAlignment="1" applyProtection="1">
      <alignment horizontal="left" vertical="center" wrapText="1"/>
      <protection locked="0"/>
    </xf>
    <xf numFmtId="41" fontId="73" fillId="0" borderId="30" xfId="1" applyFont="1" applyBorder="1" applyAlignment="1" applyProtection="1">
      <alignment horizontal="left" vertical="center" wrapText="1"/>
      <protection locked="0"/>
    </xf>
    <xf numFmtId="41" fontId="73" fillId="0" borderId="76" xfId="1" applyFont="1" applyBorder="1" applyAlignment="1" applyProtection="1">
      <alignment horizontal="left" vertical="center" wrapText="1"/>
      <protection locked="0"/>
    </xf>
    <xf numFmtId="0" fontId="73" fillId="0" borderId="75" xfId="63" applyFont="1" applyBorder="1" applyAlignment="1" applyProtection="1">
      <alignment horizontal="center" vertical="center" wrapText="1"/>
      <protection locked="0"/>
    </xf>
    <xf numFmtId="0" fontId="73" fillId="0" borderId="30" xfId="63" applyFont="1" applyBorder="1" applyAlignment="1" applyProtection="1">
      <alignment horizontal="center" vertical="center" wrapText="1"/>
      <protection locked="0"/>
    </xf>
    <xf numFmtId="0" fontId="73" fillId="0" borderId="76" xfId="63" applyFont="1" applyBorder="1" applyAlignment="1" applyProtection="1">
      <alignment horizontal="center" vertical="center" wrapText="1"/>
      <protection locked="0"/>
    </xf>
    <xf numFmtId="41" fontId="72" fillId="0" borderId="75" xfId="1" applyFont="1" applyBorder="1" applyAlignment="1" applyProtection="1">
      <alignment horizontal="left" vertical="center" wrapText="1"/>
      <protection locked="0"/>
    </xf>
    <xf numFmtId="41" fontId="72" fillId="0" borderId="30" xfId="1" applyFont="1" applyBorder="1" applyAlignment="1" applyProtection="1">
      <alignment horizontal="left" vertical="center" wrapText="1"/>
      <protection locked="0"/>
    </xf>
    <xf numFmtId="41" fontId="72" fillId="0" borderId="77" xfId="1" applyFont="1" applyBorder="1" applyAlignment="1" applyProtection="1">
      <alignment horizontal="left" vertical="center" wrapText="1"/>
      <protection locked="0"/>
    </xf>
    <xf numFmtId="0" fontId="71" fillId="0" borderId="0" xfId="63" applyFont="1" applyAlignment="1" applyProtection="1">
      <alignment horizontal="center" vertical="center" wrapText="1"/>
      <protection locked="0"/>
    </xf>
    <xf numFmtId="0" fontId="72" fillId="0" borderId="73" xfId="63" applyFont="1" applyBorder="1" applyAlignment="1" applyProtection="1">
      <alignment horizontal="center" vertical="center" wrapText="1"/>
      <protection locked="0"/>
    </xf>
    <xf numFmtId="0" fontId="72" fillId="0" borderId="74" xfId="63" applyFont="1" applyBorder="1" applyAlignment="1" applyProtection="1">
      <alignment horizontal="center" vertical="center" wrapText="1"/>
      <protection locked="0"/>
    </xf>
    <xf numFmtId="41" fontId="72" fillId="0" borderId="76" xfId="1" applyFont="1" applyBorder="1" applyAlignment="1" applyProtection="1">
      <alignment horizontal="left" vertical="center" wrapText="1"/>
      <protection locked="0"/>
    </xf>
    <xf numFmtId="0" fontId="72" fillId="0" borderId="75" xfId="63" applyFont="1" applyBorder="1" applyAlignment="1" applyProtection="1">
      <alignment horizontal="center" vertical="center" wrapText="1"/>
      <protection locked="0"/>
    </xf>
    <xf numFmtId="0" fontId="72" fillId="0" borderId="30" xfId="63" applyFont="1" applyBorder="1" applyAlignment="1" applyProtection="1">
      <alignment horizontal="center" vertical="center" wrapText="1"/>
      <protection locked="0"/>
    </xf>
    <xf numFmtId="41" fontId="72" fillId="0" borderId="6" xfId="1" applyFont="1" applyBorder="1" applyAlignment="1" applyProtection="1">
      <alignment horizontal="left" vertical="center" wrapText="1"/>
      <protection locked="0"/>
    </xf>
    <xf numFmtId="41" fontId="72" fillId="0" borderId="7" xfId="1" applyFont="1" applyBorder="1" applyAlignment="1" applyProtection="1">
      <alignment horizontal="left" vertical="center" wrapText="1"/>
      <protection locked="0"/>
    </xf>
    <xf numFmtId="41" fontId="72" fillId="0" borderId="79" xfId="1" applyFont="1" applyBorder="1" applyAlignment="1" applyProtection="1">
      <alignment horizontal="left" vertical="center" wrapText="1"/>
      <protection locked="0"/>
    </xf>
    <xf numFmtId="0" fontId="72" fillId="0" borderId="80" xfId="63" applyFont="1" applyBorder="1" applyAlignment="1" applyProtection="1">
      <alignment horizontal="center" vertical="center" wrapText="1"/>
      <protection locked="0"/>
    </xf>
    <xf numFmtId="0" fontId="72" fillId="0" borderId="81" xfId="63" applyFont="1" applyBorder="1" applyAlignment="1" applyProtection="1">
      <alignment horizontal="center" vertical="center" wrapText="1"/>
      <protection locked="0"/>
    </xf>
    <xf numFmtId="41" fontId="72" fillId="23" borderId="6" xfId="1" applyFont="1" applyFill="1" applyBorder="1" applyAlignment="1" applyProtection="1">
      <alignment horizontal="left" vertical="center" wrapText="1"/>
      <protection locked="0"/>
    </xf>
    <xf numFmtId="41" fontId="72" fillId="23" borderId="7" xfId="1" applyFont="1" applyFill="1" applyBorder="1" applyAlignment="1" applyProtection="1">
      <alignment horizontal="left" vertical="center" wrapText="1"/>
      <protection locked="0"/>
    </xf>
    <xf numFmtId="0" fontId="72" fillId="0" borderId="6" xfId="63" applyFont="1" applyBorder="1" applyAlignment="1" applyProtection="1">
      <alignment horizontal="center" vertical="center" wrapText="1"/>
      <protection locked="0"/>
    </xf>
    <xf numFmtId="0" fontId="72" fillId="0" borderId="7" xfId="63" applyFont="1" applyBorder="1" applyAlignment="1" applyProtection="1">
      <alignment horizontal="center" vertical="center" wrapText="1"/>
      <protection locked="0"/>
    </xf>
    <xf numFmtId="41" fontId="72" fillId="0" borderId="82" xfId="1" applyFont="1" applyBorder="1" applyAlignment="1" applyProtection="1">
      <alignment horizontal="left" vertical="center" wrapText="1"/>
      <protection locked="0"/>
    </xf>
    <xf numFmtId="41" fontId="72" fillId="0" borderId="29" xfId="1" applyFont="1" applyBorder="1" applyAlignment="1" applyProtection="1">
      <alignment horizontal="left" vertical="center" wrapText="1"/>
      <protection locked="0"/>
    </xf>
    <xf numFmtId="41" fontId="72" fillId="0" borderId="83" xfId="1" applyFont="1" applyBorder="1" applyAlignment="1" applyProtection="1">
      <alignment horizontal="left" vertical="center" wrapText="1"/>
      <protection locked="0"/>
    </xf>
    <xf numFmtId="0" fontId="72" fillId="0" borderId="82" xfId="63" applyFont="1" applyBorder="1" applyAlignment="1" applyProtection="1">
      <alignment horizontal="center" vertical="center" wrapText="1"/>
      <protection locked="0"/>
    </xf>
    <xf numFmtId="0" fontId="72" fillId="0" borderId="29" xfId="63" applyFont="1" applyBorder="1" applyAlignment="1" applyProtection="1">
      <alignment horizontal="center" vertical="center" wrapText="1"/>
      <protection locked="0"/>
    </xf>
    <xf numFmtId="0" fontId="72" fillId="0" borderId="83" xfId="63" applyFont="1" applyBorder="1" applyAlignment="1" applyProtection="1">
      <alignment horizontal="center" vertical="center" wrapText="1"/>
      <protection locked="0"/>
    </xf>
    <xf numFmtId="41" fontId="72" fillId="0" borderId="84" xfId="1" applyFont="1" applyBorder="1" applyAlignment="1" applyProtection="1">
      <alignment horizontal="left" vertical="center" wrapText="1"/>
      <protection locked="0"/>
    </xf>
  </cellXfs>
  <cellStyles count="71">
    <cellStyle name="??&amp;O?&amp;H?_x0008_??_x0007__x0001__x0001_" xfId="7" xr:uid="{00000000-0005-0000-0000-000000000000}"/>
    <cellStyle name="category" xfId="39" xr:uid="{00000000-0005-0000-0000-000001000000}"/>
    <cellStyle name="Comma [0]_ SG&amp;A Bridge " xfId="40" xr:uid="{00000000-0005-0000-0000-000002000000}"/>
    <cellStyle name="Comma_ SG&amp;A Bridge " xfId="41" xr:uid="{00000000-0005-0000-0000-000003000000}"/>
    <cellStyle name="Currency [0]_ SG&amp;A Bridge " xfId="42" xr:uid="{00000000-0005-0000-0000-000004000000}"/>
    <cellStyle name="Currency_ SG&amp;A Bridge " xfId="43" xr:uid="{00000000-0005-0000-0000-000005000000}"/>
    <cellStyle name="Grey" xfId="44" xr:uid="{00000000-0005-0000-0000-000006000000}"/>
    <cellStyle name="HEADER" xfId="45" xr:uid="{00000000-0005-0000-0000-000007000000}"/>
    <cellStyle name="Header1" xfId="46" xr:uid="{00000000-0005-0000-0000-000008000000}"/>
    <cellStyle name="Header2" xfId="47" xr:uid="{00000000-0005-0000-0000-000009000000}"/>
    <cellStyle name="Input [yellow]" xfId="48" xr:uid="{00000000-0005-0000-0000-00000A000000}"/>
    <cellStyle name="Model" xfId="49" xr:uid="{00000000-0005-0000-0000-00000B000000}"/>
    <cellStyle name="Normal - Style1" xfId="50" xr:uid="{00000000-0005-0000-0000-00000C000000}"/>
    <cellStyle name="Normal_ SG&amp;A Bridge " xfId="51" xr:uid="{00000000-0005-0000-0000-00000D000000}"/>
    <cellStyle name="Percent [2]" xfId="52" xr:uid="{00000000-0005-0000-0000-00000E000000}"/>
    <cellStyle name="subhead" xfId="53" xr:uid="{00000000-0005-0000-0000-00000F000000}"/>
    <cellStyle name="title [1]" xfId="54" xr:uid="{00000000-0005-0000-0000-000010000000}"/>
    <cellStyle name="title [2]" xfId="55" xr:uid="{00000000-0005-0000-0000-000011000000}"/>
    <cellStyle name="견적" xfId="8" xr:uid="{00000000-0005-0000-0000-000012000000}"/>
    <cellStyle name="고정소숫점" xfId="9" xr:uid="{00000000-0005-0000-0000-000013000000}"/>
    <cellStyle name="고정출력1" xfId="10" xr:uid="{00000000-0005-0000-0000-000014000000}"/>
    <cellStyle name="고정출력2" xfId="11" xr:uid="{00000000-0005-0000-0000-000015000000}"/>
    <cellStyle name="기계" xfId="12" xr:uid="{00000000-0005-0000-0000-000016000000}"/>
    <cellStyle name="날짜" xfId="13" xr:uid="{00000000-0005-0000-0000-000017000000}"/>
    <cellStyle name="달러" xfId="14" xr:uid="{00000000-0005-0000-0000-000018000000}"/>
    <cellStyle name="똿뗦먛귟 [0.00]_PRODUCT DETAIL Q1" xfId="15" xr:uid="{00000000-0005-0000-0000-000019000000}"/>
    <cellStyle name="똿뗦먛귟_PRODUCT DETAIL Q1" xfId="16" xr:uid="{00000000-0005-0000-0000-00001A000000}"/>
    <cellStyle name="믅됞 [0.00]_PRODUCT DETAIL Q1" xfId="17" xr:uid="{00000000-0005-0000-0000-00001B000000}"/>
    <cellStyle name="믅됞_PRODUCT DETAIL Q1" xfId="18" xr:uid="{00000000-0005-0000-0000-00001C000000}"/>
    <cellStyle name="백분율 [0]" xfId="19" xr:uid="{00000000-0005-0000-0000-00001D000000}"/>
    <cellStyle name="백분율 [2]" xfId="20" xr:uid="{00000000-0005-0000-0000-00001E000000}"/>
    <cellStyle name="백분율 2" xfId="21" xr:uid="{00000000-0005-0000-0000-00001F000000}"/>
    <cellStyle name="뷭?_BOOKSHIP" xfId="22" xr:uid="{00000000-0005-0000-0000-000020000000}"/>
    <cellStyle name="쉼표 [0]" xfId="1" builtinId="6"/>
    <cellStyle name="쉼표 [0] 13" xfId="70" xr:uid="{00000000-0005-0000-0000-000022000000}"/>
    <cellStyle name="쉼표 [0] 2" xfId="3" xr:uid="{00000000-0005-0000-0000-000023000000}"/>
    <cellStyle name="쉼표 [0] 2 2" xfId="23" xr:uid="{00000000-0005-0000-0000-000024000000}"/>
    <cellStyle name="쉼표 [0] 3" xfId="4" xr:uid="{00000000-0005-0000-0000-000025000000}"/>
    <cellStyle name="쉼표 [0] 3 2" xfId="24" xr:uid="{00000000-0005-0000-0000-000026000000}"/>
    <cellStyle name="쉼표 [0] 3 3" xfId="66" xr:uid="{00000000-0005-0000-0000-000027000000}"/>
    <cellStyle name="쉼표 [0] 4" xfId="6" xr:uid="{00000000-0005-0000-0000-000028000000}"/>
    <cellStyle name="쉼표 [0] 4 2" xfId="25" xr:uid="{00000000-0005-0000-0000-000029000000}"/>
    <cellStyle name="자리수" xfId="26" xr:uid="{00000000-0005-0000-0000-00002A000000}"/>
    <cellStyle name="자리수0" xfId="27" xr:uid="{00000000-0005-0000-0000-00002B000000}"/>
    <cellStyle name="콤마 [0]_0011내역" xfId="28" xr:uid="{00000000-0005-0000-0000-00002C000000}"/>
    <cellStyle name="콤마 [2]" xfId="29" xr:uid="{00000000-0005-0000-0000-00002D000000}"/>
    <cellStyle name="콤마_0011내역" xfId="30" xr:uid="{00000000-0005-0000-0000-00002E000000}"/>
    <cellStyle name="통화 [0] 3" xfId="56" xr:uid="{00000000-0005-0000-0000-00002F000000}"/>
    <cellStyle name="퍼센트" xfId="31" xr:uid="{00000000-0005-0000-0000-000030000000}"/>
    <cellStyle name="표준" xfId="0" builtinId="0"/>
    <cellStyle name="표준 10" xfId="65" xr:uid="{00000000-0005-0000-0000-000032000000}"/>
    <cellStyle name="표준 100" xfId="64" xr:uid="{00000000-0005-0000-0000-000033000000}"/>
    <cellStyle name="표준 2" xfId="5" xr:uid="{00000000-0005-0000-0000-000034000000}"/>
    <cellStyle name="표준 2 10 2" xfId="69" xr:uid="{00000000-0005-0000-0000-000035000000}"/>
    <cellStyle name="표준 2 2 2" xfId="57" xr:uid="{00000000-0005-0000-0000-000036000000}"/>
    <cellStyle name="표준 3" xfId="2" xr:uid="{00000000-0005-0000-0000-000037000000}"/>
    <cellStyle name="표준 3 2" xfId="32" xr:uid="{00000000-0005-0000-0000-000038000000}"/>
    <cellStyle name="표준 4" xfId="33" xr:uid="{00000000-0005-0000-0000-000039000000}"/>
    <cellStyle name="표준 44" xfId="67" xr:uid="{00000000-0005-0000-0000-00003A000000}"/>
    <cellStyle name="표준 5" xfId="34" xr:uid="{00000000-0005-0000-0000-00003B000000}"/>
    <cellStyle name="표준 6" xfId="58" xr:uid="{00000000-0005-0000-0000-00003C000000}"/>
    <cellStyle name="표준 7" xfId="61" xr:uid="{00000000-0005-0000-0000-00003D000000}"/>
    <cellStyle name="표준 8" xfId="62" xr:uid="{00000000-0005-0000-0000-00003E000000}"/>
    <cellStyle name="표준 8 2" xfId="63" xr:uid="{00000000-0005-0000-0000-00003F000000}"/>
    <cellStyle name="표준 9" xfId="35" xr:uid="{00000000-0005-0000-0000-000040000000}"/>
    <cellStyle name="표준_11월 노임_자금청구7월" xfId="68" xr:uid="{00000000-0005-0000-0000-000041000000}"/>
    <cellStyle name="표준_실행청구내역(4)" xfId="60" xr:uid="{00000000-0005-0000-0000-000042000000}"/>
    <cellStyle name="표준_작성예" xfId="59" xr:uid="{00000000-0005-0000-0000-000043000000}"/>
    <cellStyle name="합산" xfId="36" xr:uid="{00000000-0005-0000-0000-000044000000}"/>
    <cellStyle name="화폐기호" xfId="37" xr:uid="{00000000-0005-0000-0000-000045000000}"/>
    <cellStyle name="화폐기호0" xfId="38" xr:uid="{00000000-0005-0000-0000-000046000000}"/>
  </cellStyles>
  <dxfs count="10">
    <dxf>
      <fill>
        <patternFill>
          <bgColor rgb="FFFFFF00"/>
        </patternFill>
      </fill>
    </dxf>
    <dxf>
      <fill>
        <patternFill>
          <bgColor rgb="FFFFCCFF"/>
        </patternFill>
      </fill>
    </dxf>
    <dxf>
      <font>
        <color rgb="FF9C0006"/>
      </font>
      <fill>
        <patternFill>
          <bgColor rgb="FFFFC7CE"/>
        </patternFill>
      </fill>
    </dxf>
    <dxf>
      <font>
        <color rgb="FF9C0006"/>
      </font>
      <fill>
        <patternFill>
          <bgColor rgb="FFFFC7CE"/>
        </patternFill>
      </fill>
    </dxf>
    <dxf>
      <font>
        <color rgb="FF7030A0"/>
      </font>
    </dxf>
    <dxf>
      <fill>
        <patternFill>
          <bgColor rgb="FFFFFF00"/>
        </patternFill>
      </fill>
    </dxf>
    <dxf>
      <font>
        <b/>
        <i val="0"/>
        <color rgb="FFFF0000"/>
      </font>
    </dxf>
    <dxf>
      <font>
        <b/>
        <i val="0"/>
        <color theme="0"/>
      </font>
      <fill>
        <patternFill>
          <bgColor rgb="FFFF0000"/>
        </patternFill>
      </fill>
    </dxf>
    <dxf>
      <fill>
        <patternFill>
          <bgColor rgb="FFFF0000"/>
        </patternFill>
      </fill>
    </dxf>
    <dxf>
      <font>
        <color rgb="FF9C0006"/>
      </font>
      <fill>
        <patternFill>
          <bgColor rgb="FFFFC7CE"/>
        </patternFill>
      </fill>
    </dxf>
  </dxfs>
  <tableStyles count="0" defaultTableStyle="TableStyleMedium2" defaultPivotStyle="PivotStyleLight16"/>
  <colors>
    <mruColors>
      <color rgb="FF0000FF"/>
      <color rgb="FFCCFF66"/>
      <color rgb="FFFFCCFF"/>
      <color rgb="FFFFFFCC"/>
      <color rgb="FFFEA472"/>
      <color rgb="FFFE9154"/>
      <color rgb="FFFFFF99"/>
      <color rgb="FFDDDDDD"/>
      <color rgb="FFFFFF66"/>
      <color rgb="FFA3D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trlProps/ctrlProp1.xml><?xml version="1.0" encoding="utf-8"?>
<formControlPr xmlns="http://schemas.microsoft.com/office/spreadsheetml/2009/9/main" objectType="Spin" dx="16" fmlaLink="$AC$2" max="12" min="1" page="10" val="4"/>
</file>

<file path=xl/ctrlProps/ctrlProp2.xml><?xml version="1.0" encoding="utf-8"?>
<formControlPr xmlns="http://schemas.microsoft.com/office/spreadsheetml/2009/9/main" objectType="Spin" dx="16" fmlaLink="$Y$2" max="2099" min="2000" page="10" val="2026"/>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17</xdr:row>
      <xdr:rowOff>0</xdr:rowOff>
    </xdr:from>
    <xdr:to>
      <xdr:col>14</xdr:col>
      <xdr:colOff>122781</xdr:colOff>
      <xdr:row>38</xdr:row>
      <xdr:rowOff>151831</xdr:rowOff>
    </xdr:to>
    <xdr:pic>
      <xdr:nvPicPr>
        <xdr:cNvPr id="2" name="그림 1">
          <a:extLst>
            <a:ext uri="{FF2B5EF4-FFF2-40B4-BE49-F238E27FC236}">
              <a16:creationId xmlns:a16="http://schemas.microsoft.com/office/drawing/2014/main" id="{DA5EEDB7-F5EF-7EE4-74F6-1DE329264FC9}"/>
            </a:ext>
          </a:extLst>
        </xdr:cNvPr>
        <xdr:cNvPicPr>
          <a:picLocks noChangeAspect="1"/>
        </xdr:cNvPicPr>
      </xdr:nvPicPr>
      <xdr:blipFill>
        <a:blip xmlns:r="http://schemas.openxmlformats.org/officeDocument/2006/relationships" r:embed="rId1" cstate="print"/>
        <a:stretch>
          <a:fillRect/>
        </a:stretch>
      </xdr:blipFill>
      <xdr:spPr>
        <a:xfrm>
          <a:off x="1371600" y="4343400"/>
          <a:ext cx="8352381" cy="45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286310</xdr:colOff>
      <xdr:row>26</xdr:row>
      <xdr:rowOff>98612</xdr:rowOff>
    </xdr:from>
    <xdr:to>
      <xdr:col>17</xdr:col>
      <xdr:colOff>132229</xdr:colOff>
      <xdr:row>50</xdr:row>
      <xdr:rowOff>24653</xdr:rowOff>
    </xdr:to>
    <xdr:pic>
      <xdr:nvPicPr>
        <xdr:cNvPr id="2" name="그림 1">
          <a:extLst>
            <a:ext uri="{FF2B5EF4-FFF2-40B4-BE49-F238E27FC236}">
              <a16:creationId xmlns:a16="http://schemas.microsoft.com/office/drawing/2014/main" id="{00000000-0008-0000-0100-000002000000}"/>
            </a:ext>
          </a:extLst>
        </xdr:cNvPr>
        <xdr:cNvPicPr>
          <a:picLocks noChangeAspect="1" noChangeArrowheads="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l="14932" t="2765" r="15467" b="2612"/>
        <a:stretch/>
      </xdr:blipFill>
      <xdr:spPr bwMode="auto">
        <a:xfrm>
          <a:off x="18663957" y="6575612"/>
          <a:ext cx="2479301" cy="5842747"/>
        </a:xfrm>
        <a:prstGeom prst="rect">
          <a:avLst/>
        </a:prstGeom>
        <a:solidFill>
          <a:srgbClr val="FFFFCC"/>
        </a:solidFill>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30</xdr:col>
          <xdr:colOff>361950</xdr:colOff>
          <xdr:row>1</xdr:row>
          <xdr:rowOff>152400</xdr:rowOff>
        </xdr:from>
        <xdr:to>
          <xdr:col>31</xdr:col>
          <xdr:colOff>247650</xdr:colOff>
          <xdr:row>2</xdr:row>
          <xdr:rowOff>276225</xdr:rowOff>
        </xdr:to>
        <xdr:sp macro="" textlink="">
          <xdr:nvSpPr>
            <xdr:cNvPr id="394241" name="Spinner 1" hidden="1">
              <a:extLst>
                <a:ext uri="{63B3BB69-23CF-44E3-9099-C40C66FF867C}">
                  <a14:compatExt spid="_x0000_s394241"/>
                </a:ext>
                <a:ext uri="{FF2B5EF4-FFF2-40B4-BE49-F238E27FC236}">
                  <a16:creationId xmlns:a16="http://schemas.microsoft.com/office/drawing/2014/main" id="{A39A265D-3270-4B51-9714-0D9DC988341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27</xdr:col>
          <xdr:colOff>285750</xdr:colOff>
          <xdr:row>1</xdr:row>
          <xdr:rowOff>152400</xdr:rowOff>
        </xdr:from>
        <xdr:to>
          <xdr:col>28</xdr:col>
          <xdr:colOff>247650</xdr:colOff>
          <xdr:row>2</xdr:row>
          <xdr:rowOff>276225</xdr:rowOff>
        </xdr:to>
        <xdr:sp macro="" textlink="">
          <xdr:nvSpPr>
            <xdr:cNvPr id="394242" name="Spinner 2" hidden="1">
              <a:extLst>
                <a:ext uri="{63B3BB69-23CF-44E3-9099-C40C66FF867C}">
                  <a14:compatExt spid="_x0000_s394242"/>
                </a:ext>
                <a:ext uri="{FF2B5EF4-FFF2-40B4-BE49-F238E27FC236}">
                  <a16:creationId xmlns:a16="http://schemas.microsoft.com/office/drawing/2014/main" id="{02EC6B39-652D-4262-A662-5FC73BD4AA12}"/>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34</xdr:col>
      <xdr:colOff>195580</xdr:colOff>
      <xdr:row>11</xdr:row>
      <xdr:rowOff>568113</xdr:rowOff>
    </xdr:from>
    <xdr:to>
      <xdr:col>35</xdr:col>
      <xdr:colOff>181186</xdr:colOff>
      <xdr:row>13</xdr:row>
      <xdr:rowOff>246380</xdr:rowOff>
    </xdr:to>
    <xdr:pic>
      <xdr:nvPicPr>
        <xdr:cNvPr id="2" name="_x165582824" descr="EMB000034603155">
          <a:extLst>
            <a:ext uri="{FF2B5EF4-FFF2-40B4-BE49-F238E27FC236}">
              <a16:creationId xmlns:a16="http://schemas.microsoft.com/office/drawing/2014/main" id="{77B59CE4-FBD2-4A9E-9390-D510A1CD7D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465655" y="4244763"/>
          <a:ext cx="671406" cy="659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332739</xdr:colOff>
      <xdr:row>6</xdr:row>
      <xdr:rowOff>317501</xdr:rowOff>
    </xdr:from>
    <xdr:to>
      <xdr:col>32</xdr:col>
      <xdr:colOff>314112</xdr:colOff>
      <xdr:row>8</xdr:row>
      <xdr:rowOff>283634</xdr:rowOff>
    </xdr:to>
    <xdr:pic>
      <xdr:nvPicPr>
        <xdr:cNvPr id="3" name="_x165357264" descr="EMB000034603155">
          <a:extLst>
            <a:ext uri="{FF2B5EF4-FFF2-40B4-BE49-F238E27FC236}">
              <a16:creationId xmlns:a16="http://schemas.microsoft.com/office/drawing/2014/main" id="{DBA4645D-9DE0-41AB-BE3C-1340104704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545414" y="2279651"/>
          <a:ext cx="667173" cy="6519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51</xdr:col>
      <xdr:colOff>19050</xdr:colOff>
      <xdr:row>3</xdr:row>
      <xdr:rowOff>47626</xdr:rowOff>
    </xdr:from>
    <xdr:to>
      <xdr:col>53</xdr:col>
      <xdr:colOff>219075</xdr:colOff>
      <xdr:row>20</xdr:row>
      <xdr:rowOff>10404</xdr:rowOff>
    </xdr:to>
    <xdr:pic>
      <xdr:nvPicPr>
        <xdr:cNvPr id="2" name="그림 1">
          <a:extLst>
            <a:ext uri="{FF2B5EF4-FFF2-40B4-BE49-F238E27FC236}">
              <a16:creationId xmlns:a16="http://schemas.microsoft.com/office/drawing/2014/main" id="{AF6BBFFC-E773-495F-B5BC-8F65874E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01350" y="704851"/>
          <a:ext cx="4105275" cy="3525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50500;&#49328;&#52980;&#54504;&#53552;\d\(&#51452;)&#50500;&#49328;\&#50689;&#50629;\1.&#45432;&#47924;&#48708;%20&#51649;&#48520;&#51060;&#54665;\1.&#44033;&#54788;&#51109;&#48324;%20&#45432;&#47924;&#48708;%20&#47749;&#49464;&#54364;(&#48376;&#49324;&#51089;&#49457;)\2024&#45380;\5&#50900;\8.&#51648;&#44552;&#45453;&#51109;\&#9733;&#51068;&#50857;&#45432;&#47924;&#48708;&#47749;&#49464;&#49436;(2024&#45380;05&#50900;)-&#51648;&#44552;&#46041;&#45453;&#51109;.xlsb" TargetMode="External"/><Relationship Id="rId1" Type="http://schemas.openxmlformats.org/officeDocument/2006/relationships/externalLinkPath" Target="file:///\\&#50500;&#49328;&#52980;&#54504;&#53552;\d\(&#51452;)&#50500;&#49328;\&#50689;&#50629;\1.&#45432;&#47924;&#48708;%20&#51649;&#48520;&#51060;&#54665;\1.&#44033;&#54788;&#51109;&#48324;%20&#45432;&#47924;&#48708;%20&#47749;&#49464;&#54364;(&#48376;&#49324;&#51089;&#49457;)\2024&#45380;\5&#50900;\8.&#51648;&#44552;&#45453;&#51109;\&#9733;&#51068;&#50857;&#45432;&#47924;&#48708;&#47749;&#49464;&#49436;(2024&#45380;05&#50900;)-&#51648;&#44552;&#46041;&#45453;&#51109;.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50500;&#49328;&#52980;&#54504;&#53552;\d\(&#51452;)&#50500;&#49328;\&#44277;&#47924;\&#54788;&#51109;\2024&#45380;&#46020;\6.&#44256;&#49353;2&#51648;&#44396;%20&#44277;&#50896;%20&#48143;%20&#44277;&#44277;&#44277;&#51648;%20&#51312;&#49457;&#44277;&#49324;\&#45432;&#47924;&#48708;\2026.03&#50900;&#48516;(&#50500;&#49328;,&#49457;&#47548;)\2026&#45380;%2003&#50900;%20&#51068;&#50857;&#45432;&#47924;&#48708;&#52397;&#44396;&#47749;&#49464;&#49436;(&#44256;&#49353;2&#51648;&#44396;)-&#50500;&#49328;.xlsb" TargetMode="External"/><Relationship Id="rId1" Type="http://schemas.openxmlformats.org/officeDocument/2006/relationships/externalLinkPath" Target="file:///\\&#50500;&#49328;&#52980;&#54504;&#53552;\d\(&#51452;)&#50500;&#49328;\&#44277;&#47924;\&#54788;&#51109;\2024&#45380;&#46020;\6.&#44256;&#49353;2&#51648;&#44396;%20&#44277;&#50896;%20&#48143;%20&#44277;&#44277;&#44277;&#51648;%20&#51312;&#49457;&#44277;&#49324;\&#45432;&#47924;&#48708;\2026.03&#50900;&#48516;(&#50500;&#49328;,&#49457;&#47548;)\2026&#45380;%2003&#50900;%20&#51068;&#50857;&#45432;&#47924;&#48708;&#52397;&#44396;&#47749;&#49464;&#49436;(&#44256;&#49353;2&#51648;&#44396;)-&#50500;&#49328;.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확인요망★"/>
      <sheetName val="요율"/>
      <sheetName val="청구서"/>
      <sheetName val="집계표"/>
      <sheetName val="내역서"/>
      <sheetName val="주소록"/>
      <sheetName val="위임장"/>
      <sheetName val="집계"/>
      <sheetName val="24_01"/>
      <sheetName val="24_02"/>
      <sheetName val="24_03"/>
      <sheetName val="24_04"/>
      <sheetName val="24_05"/>
      <sheetName val="24_06"/>
      <sheetName val="24_07"/>
      <sheetName val="24_08"/>
      <sheetName val="24_09"/>
      <sheetName val="24_10"/>
      <sheetName val="24_11"/>
      <sheetName val="24_12"/>
      <sheetName val="계"/>
      <sheetName val="각서"/>
      <sheetName val="계좌입금의뢰신고서"/>
      <sheetName val="★근로내역"/>
      <sheetName val="★퇴직공제"/>
      <sheetName val="★하도급지킴이"/>
      <sheetName val="근로계약서"/>
      <sheetName val="급여"/>
    </sheetNames>
    <sheetDataSet>
      <sheetData sheetId="0"/>
      <sheetData sheetId="1"/>
      <sheetData sheetId="2"/>
      <sheetData sheetId="3"/>
      <sheetData sheetId="4"/>
      <sheetData sheetId="5">
        <row r="4">
          <cell r="N4" t="str">
            <v>KEB하나은행</v>
          </cell>
          <cell r="Q4" t="str">
            <v>H/W설치사</v>
          </cell>
        </row>
        <row r="5">
          <cell r="N5" t="str">
            <v>경남은행</v>
          </cell>
          <cell r="Q5" t="str">
            <v>H/W시험사</v>
          </cell>
        </row>
        <row r="6">
          <cell r="N6" t="str">
            <v>광주은행</v>
          </cell>
          <cell r="Q6" t="str">
            <v>H/W시험사</v>
          </cell>
        </row>
        <row r="7">
          <cell r="N7" t="str">
            <v>국민은행</v>
          </cell>
          <cell r="Q7" t="str">
            <v>P.C설치공</v>
          </cell>
        </row>
        <row r="8">
          <cell r="N8" t="str">
            <v>기업은행</v>
          </cell>
          <cell r="Q8" t="str">
            <v>P.C제작공</v>
          </cell>
        </row>
        <row r="9">
          <cell r="N9" t="str">
            <v>농협중앙회</v>
          </cell>
          <cell r="Q9" t="str">
            <v>P.S공</v>
          </cell>
        </row>
        <row r="10">
          <cell r="N10" t="str">
            <v>농협회원조합</v>
          </cell>
          <cell r="Q10" t="str">
            <v>P.S공</v>
          </cell>
        </row>
        <row r="11">
          <cell r="N11" t="str">
            <v>대구은행</v>
          </cell>
          <cell r="Q11" t="str">
            <v>S/W시험사</v>
          </cell>
        </row>
        <row r="12">
          <cell r="N12" t="str">
            <v>부산은행</v>
          </cell>
          <cell r="Q12" t="str">
            <v>가구공</v>
          </cell>
        </row>
        <row r="13">
          <cell r="N13" t="str">
            <v>산림조합중앙회</v>
          </cell>
          <cell r="Q13" t="str">
            <v>가구공</v>
          </cell>
        </row>
        <row r="14">
          <cell r="N14" t="str">
            <v>산업은행</v>
          </cell>
          <cell r="Q14" t="str">
            <v>가구목공</v>
          </cell>
        </row>
        <row r="15">
          <cell r="N15" t="str">
            <v>새마을금고</v>
          </cell>
          <cell r="Q15" t="str">
            <v>가스용접공</v>
          </cell>
        </row>
        <row r="16">
          <cell r="N16" t="str">
            <v>수협은행(회원조합)</v>
          </cell>
          <cell r="Q16" t="str">
            <v>가시설공</v>
          </cell>
        </row>
        <row r="17">
          <cell r="N17" t="str">
            <v>신한은행</v>
          </cell>
          <cell r="Q17" t="str">
            <v>가시설철골공</v>
          </cell>
        </row>
        <row r="18">
          <cell r="N18" t="str">
            <v>신협중앙회</v>
          </cell>
          <cell r="Q18" t="str">
            <v>가위절단공</v>
          </cell>
        </row>
        <row r="19">
          <cell r="N19" t="str">
            <v>우리은행</v>
          </cell>
          <cell r="Q19" t="str">
            <v>갑판선원</v>
          </cell>
        </row>
        <row r="20">
          <cell r="N20" t="str">
            <v>우체국</v>
          </cell>
          <cell r="Q20" t="str">
            <v>갑판선원</v>
          </cell>
        </row>
        <row r="21">
          <cell r="N21" t="str">
            <v>전북은행</v>
          </cell>
          <cell r="Q21" t="str">
            <v>강판공</v>
          </cell>
        </row>
        <row r="22">
          <cell r="N22" t="str">
            <v>제일은행</v>
          </cell>
          <cell r="Q22" t="str">
            <v>갱부</v>
          </cell>
        </row>
        <row r="23">
          <cell r="N23" t="str">
            <v>제주은행</v>
          </cell>
          <cell r="Q23" t="str">
            <v>건설기계운전원</v>
          </cell>
        </row>
        <row r="24">
          <cell r="N24" t="str">
            <v>카카오뱅크</v>
          </cell>
          <cell r="Q24" t="str">
            <v>건설기계조장</v>
          </cell>
        </row>
        <row r="25">
          <cell r="N25" t="str">
            <v>케이뱅크</v>
          </cell>
          <cell r="Q25" t="str">
            <v>건설안전공</v>
          </cell>
        </row>
        <row r="26">
          <cell r="N26" t="str">
            <v>한국시티은행</v>
          </cell>
          <cell r="Q26" t="str">
            <v>건설안전공</v>
          </cell>
        </row>
        <row r="27">
          <cell r="N27"/>
          <cell r="Q27" t="str">
            <v>건축목공</v>
          </cell>
        </row>
        <row r="28">
          <cell r="Q28" t="str">
            <v>견출공</v>
          </cell>
        </row>
        <row r="29">
          <cell r="Q29" t="str">
            <v>경량기포공</v>
          </cell>
        </row>
        <row r="30">
          <cell r="Q30" t="str">
            <v>경량기포공</v>
          </cell>
        </row>
        <row r="31">
          <cell r="Q31" t="str">
            <v>경량철골공</v>
          </cell>
        </row>
        <row r="32">
          <cell r="Q32" t="str">
            <v>경비</v>
          </cell>
        </row>
        <row r="33">
          <cell r="Q33" t="str">
            <v>계령공</v>
          </cell>
        </row>
        <row r="34">
          <cell r="Q34" t="str">
            <v>계장공</v>
          </cell>
        </row>
        <row r="35">
          <cell r="Q35" t="str">
            <v>계측공</v>
          </cell>
        </row>
        <row r="36">
          <cell r="Q36" t="str">
            <v>계측공</v>
          </cell>
        </row>
        <row r="37">
          <cell r="Q37" t="str">
            <v>고압케이블전공</v>
          </cell>
        </row>
        <row r="38">
          <cell r="Q38" t="str">
            <v>골재쇄석공</v>
          </cell>
        </row>
        <row r="39">
          <cell r="Q39" t="str">
            <v>공구검사원</v>
          </cell>
        </row>
        <row r="40">
          <cell r="Q40" t="str">
            <v>공구검사원</v>
          </cell>
        </row>
        <row r="41">
          <cell r="Q41" t="str">
            <v>관리자</v>
          </cell>
        </row>
        <row r="42">
          <cell r="Q42" t="str">
            <v>광케이블설치사</v>
          </cell>
        </row>
        <row r="43">
          <cell r="Q43" t="str">
            <v>광통신설치사</v>
          </cell>
        </row>
        <row r="44">
          <cell r="Q44" t="str">
            <v>구조물공</v>
          </cell>
        </row>
        <row r="45">
          <cell r="Q45" t="str">
            <v>굴삭기(운전원)</v>
          </cell>
        </row>
        <row r="46">
          <cell r="Q46" t="str">
            <v>굴착기(운전원)</v>
          </cell>
        </row>
        <row r="47">
          <cell r="Q47" t="str">
            <v>궤도공</v>
          </cell>
        </row>
        <row r="48">
          <cell r="Q48" t="str">
            <v>그라우팅공</v>
          </cell>
        </row>
        <row r="49">
          <cell r="Q49" t="str">
            <v>그레이더(운전원)</v>
          </cell>
        </row>
        <row r="50">
          <cell r="Q50" t="str">
            <v>금속쇠톱공</v>
          </cell>
        </row>
        <row r="51">
          <cell r="Q51" t="str">
            <v>기계계장공</v>
          </cell>
        </row>
        <row r="52">
          <cell r="Q52" t="str">
            <v>기계설계사</v>
          </cell>
        </row>
        <row r="53">
          <cell r="Q53" t="str">
            <v>기계설치공</v>
          </cell>
        </row>
        <row r="54">
          <cell r="Q54" t="str">
            <v>기계제도사</v>
          </cell>
        </row>
        <row r="55">
          <cell r="Q55" t="str">
            <v>기관선원</v>
          </cell>
        </row>
        <row r="56">
          <cell r="Q56" t="str">
            <v>기관장</v>
          </cell>
        </row>
        <row r="57">
          <cell r="Q57" t="str">
            <v>기술보조</v>
          </cell>
        </row>
        <row r="58">
          <cell r="Q58" t="str">
            <v>기와공</v>
          </cell>
        </row>
        <row r="59">
          <cell r="Q59" t="str">
            <v>기중기선원</v>
          </cell>
        </row>
        <row r="60">
          <cell r="Q60" t="str">
            <v>내선전공</v>
          </cell>
        </row>
        <row r="61">
          <cell r="Q61" t="str">
            <v>내장공</v>
          </cell>
        </row>
        <row r="62">
          <cell r="Q62" t="str">
            <v>내장목공</v>
          </cell>
        </row>
        <row r="63">
          <cell r="Q63" t="str">
            <v>내화벽돌공</v>
          </cell>
        </row>
        <row r="64">
          <cell r="Q64" t="str">
            <v>내화벽돌공</v>
          </cell>
        </row>
        <row r="65">
          <cell r="Q65" t="str">
            <v>냉동수리공</v>
          </cell>
        </row>
        <row r="66">
          <cell r="Q66" t="str">
            <v>노즐공</v>
          </cell>
        </row>
        <row r="67">
          <cell r="Q67" t="str">
            <v>대리석공</v>
          </cell>
        </row>
        <row r="68">
          <cell r="Q68" t="str">
            <v>대장공</v>
          </cell>
        </row>
        <row r="69">
          <cell r="Q69" t="str">
            <v>덕트공</v>
          </cell>
        </row>
        <row r="70">
          <cell r="Q70" t="str">
            <v>덤프트럭(운전원)</v>
          </cell>
        </row>
        <row r="71">
          <cell r="Q71" t="str">
            <v>데크공</v>
          </cell>
        </row>
        <row r="72">
          <cell r="Q72" t="str">
            <v>도목수</v>
          </cell>
        </row>
        <row r="73">
          <cell r="Q73" t="str">
            <v>도배공</v>
          </cell>
        </row>
        <row r="74">
          <cell r="Q74" t="str">
            <v>도색공</v>
          </cell>
        </row>
        <row r="75">
          <cell r="Q75" t="str">
            <v>도우저(운전원)</v>
          </cell>
        </row>
        <row r="76">
          <cell r="Q76" t="str">
            <v>도우저(운전원)</v>
          </cell>
        </row>
        <row r="77">
          <cell r="Q77" t="str">
            <v>도장공</v>
          </cell>
        </row>
        <row r="78">
          <cell r="Q78" t="str">
            <v>도편수</v>
          </cell>
        </row>
        <row r="79">
          <cell r="Q79" t="str">
            <v>동발공</v>
          </cell>
        </row>
        <row r="80">
          <cell r="Q80" t="str">
            <v>드릴링공</v>
          </cell>
        </row>
        <row r="81">
          <cell r="Q81" t="str">
            <v>드잡이공</v>
          </cell>
        </row>
        <row r="82">
          <cell r="Q82" t="str">
            <v>드잡이공편수</v>
          </cell>
        </row>
        <row r="83">
          <cell r="Q83" t="str">
            <v>디워터링공</v>
          </cell>
        </row>
        <row r="84">
          <cell r="Q84" t="str">
            <v>디워터링공</v>
          </cell>
        </row>
        <row r="85">
          <cell r="Q85" t="str">
            <v>라인마킹공</v>
          </cell>
        </row>
        <row r="86">
          <cell r="Q86" t="str">
            <v>락볼팅공</v>
          </cell>
        </row>
        <row r="87">
          <cell r="Q87" t="str">
            <v>락볼팅공</v>
          </cell>
        </row>
        <row r="88">
          <cell r="Q88" t="str">
            <v>로드헤다공</v>
          </cell>
        </row>
        <row r="89">
          <cell r="Q89" t="str">
            <v>로드헤다공</v>
          </cell>
        </row>
        <row r="90">
          <cell r="Q90" t="str">
            <v>로우더(운전원)</v>
          </cell>
        </row>
        <row r="91">
          <cell r="Q91" t="str">
            <v>롤러(운전원)</v>
          </cell>
        </row>
        <row r="92">
          <cell r="Q92" t="str">
            <v>롤러(운전원)</v>
          </cell>
        </row>
        <row r="93">
          <cell r="Q93" t="str">
            <v>루핑공</v>
          </cell>
        </row>
        <row r="94">
          <cell r="Q94" t="str">
            <v>리벳공</v>
          </cell>
        </row>
        <row r="95">
          <cell r="Q95" t="str">
            <v>마루판공</v>
          </cell>
        </row>
        <row r="96">
          <cell r="Q96" t="str">
            <v>마킹공</v>
          </cell>
        </row>
        <row r="97">
          <cell r="Q97" t="str">
            <v>마킹공</v>
          </cell>
        </row>
        <row r="98">
          <cell r="Q98" t="str">
            <v>모래분사공</v>
          </cell>
        </row>
        <row r="99">
          <cell r="Q99" t="str">
            <v>모형절단공</v>
          </cell>
        </row>
        <row r="100">
          <cell r="Q100" t="str">
            <v>모형절단공</v>
          </cell>
        </row>
        <row r="101">
          <cell r="Q101" t="str">
            <v>목공</v>
          </cell>
        </row>
        <row r="102">
          <cell r="Q102" t="str">
            <v>목조각공</v>
          </cell>
        </row>
        <row r="103">
          <cell r="Q103" t="str">
            <v>목조각공</v>
          </cell>
        </row>
        <row r="104">
          <cell r="Q104" t="str">
            <v>몰탈스프래이공</v>
          </cell>
        </row>
        <row r="105">
          <cell r="Q105" t="str">
            <v>무선안테나공</v>
          </cell>
        </row>
        <row r="106">
          <cell r="Q106" t="str">
            <v>물다짐흙쌓기공</v>
          </cell>
        </row>
        <row r="107">
          <cell r="Q107" t="str">
            <v>미술사</v>
          </cell>
        </row>
        <row r="108">
          <cell r="Q108" t="str">
            <v>미장공</v>
          </cell>
        </row>
        <row r="109">
          <cell r="Q109" t="str">
            <v>바닥공</v>
          </cell>
        </row>
        <row r="110">
          <cell r="Q110" t="str">
            <v>바이브래타공</v>
          </cell>
        </row>
        <row r="111">
          <cell r="Q111" t="str">
            <v>발전기공</v>
          </cell>
        </row>
        <row r="112">
          <cell r="Q112" t="str">
            <v>발파공</v>
          </cell>
        </row>
        <row r="113">
          <cell r="Q113" t="str">
            <v>발포콘크리트공</v>
          </cell>
        </row>
        <row r="114">
          <cell r="Q114" t="str">
            <v>방수공</v>
          </cell>
        </row>
        <row r="115">
          <cell r="Q115" t="str">
            <v>방화공</v>
          </cell>
        </row>
        <row r="116">
          <cell r="Q116" t="str">
            <v>배관공</v>
          </cell>
        </row>
        <row r="117">
          <cell r="Q117" t="str">
            <v>배관공(수도)</v>
          </cell>
        </row>
        <row r="118">
          <cell r="Q118" t="str">
            <v>배전전공</v>
          </cell>
        </row>
        <row r="119">
          <cell r="Q119" t="str">
            <v>배전활선전공</v>
          </cell>
        </row>
        <row r="120">
          <cell r="Q120" t="str">
            <v>벌목공</v>
          </cell>
        </row>
        <row r="121">
          <cell r="Q121" t="str">
            <v>벽돌(블록)공</v>
          </cell>
        </row>
        <row r="122">
          <cell r="Q122" t="str">
            <v>벽돌(블록)제작공</v>
          </cell>
        </row>
        <row r="123">
          <cell r="Q123" t="str">
            <v>벽체뿜칠공</v>
          </cell>
        </row>
        <row r="124">
          <cell r="Q124" t="str">
            <v>변전전공</v>
          </cell>
        </row>
        <row r="125">
          <cell r="Q125" t="str">
            <v>보링공</v>
          </cell>
        </row>
        <row r="126">
          <cell r="Q126" t="str">
            <v>보안공</v>
          </cell>
        </row>
        <row r="127">
          <cell r="Q127" t="str">
            <v>보온공</v>
          </cell>
        </row>
        <row r="128">
          <cell r="Q128" t="str">
            <v>보일러공</v>
          </cell>
        </row>
        <row r="129">
          <cell r="Q129" t="str">
            <v>보통인부</v>
          </cell>
        </row>
        <row r="130">
          <cell r="Q130" t="str">
            <v>부대공</v>
          </cell>
        </row>
        <row r="131">
          <cell r="Q131" t="str">
            <v>비계공</v>
          </cell>
        </row>
        <row r="132">
          <cell r="Q132" t="str">
            <v>비파괴시험공</v>
          </cell>
        </row>
        <row r="133">
          <cell r="Q133" t="str">
            <v>사무보조</v>
          </cell>
        </row>
        <row r="134">
          <cell r="Q134" t="str">
            <v>사춤공</v>
          </cell>
        </row>
        <row r="135">
          <cell r="Q135" t="str">
            <v>샷시공</v>
          </cell>
        </row>
        <row r="136">
          <cell r="Q136" t="str">
            <v>석공</v>
          </cell>
        </row>
        <row r="137">
          <cell r="Q137" t="str">
            <v>석면해체공</v>
          </cell>
        </row>
        <row r="138">
          <cell r="Q138" t="str">
            <v>석조각공</v>
          </cell>
        </row>
        <row r="139">
          <cell r="Q139" t="str">
            <v>선원</v>
          </cell>
        </row>
        <row r="140">
          <cell r="Q140" t="str">
            <v>선장</v>
          </cell>
        </row>
        <row r="141">
          <cell r="Q141" t="str">
            <v>설비공</v>
          </cell>
        </row>
        <row r="142">
          <cell r="Q142" t="str">
            <v>성형공</v>
          </cell>
        </row>
        <row r="143">
          <cell r="Q143" t="str">
            <v>소장</v>
          </cell>
        </row>
        <row r="144">
          <cell r="Q144" t="str">
            <v>송배전설비보수원</v>
          </cell>
        </row>
        <row r="145">
          <cell r="Q145" t="str">
            <v>송전전공</v>
          </cell>
        </row>
        <row r="146">
          <cell r="Q146" t="str">
            <v>송전활선전공</v>
          </cell>
        </row>
        <row r="147">
          <cell r="Q147" t="str">
            <v>쇼트공</v>
          </cell>
        </row>
        <row r="148">
          <cell r="Q148" t="str">
            <v>수장공</v>
          </cell>
        </row>
        <row r="149">
          <cell r="Q149" t="str">
            <v>쉴드머신(운전원)</v>
          </cell>
        </row>
        <row r="150">
          <cell r="Q150" t="str">
            <v>스크레이퍼(운전원)</v>
          </cell>
        </row>
        <row r="151">
          <cell r="Q151" t="str">
            <v>스테이빌라이저(운전원)</v>
          </cell>
        </row>
        <row r="152">
          <cell r="Q152" t="str">
            <v>스프레이도장공</v>
          </cell>
        </row>
        <row r="153">
          <cell r="Q153" t="str">
            <v>시스템서포트공</v>
          </cell>
        </row>
        <row r="154">
          <cell r="Q154" t="str">
            <v>시운전공</v>
          </cell>
        </row>
        <row r="155">
          <cell r="Q155" t="str">
            <v>신호수</v>
          </cell>
        </row>
        <row r="156">
          <cell r="Q156" t="str">
            <v>아스타일공</v>
          </cell>
        </row>
        <row r="157">
          <cell r="Q157" t="str">
            <v>아스팔트방수공</v>
          </cell>
        </row>
        <row r="158">
          <cell r="Q158" t="str">
            <v>아스팔트타이트공</v>
          </cell>
        </row>
        <row r="159">
          <cell r="Q159" t="str">
            <v>아스팔트포장공</v>
          </cell>
        </row>
        <row r="160">
          <cell r="Q160" t="str">
            <v>아스팔트플랜트(운전원)</v>
          </cell>
        </row>
        <row r="161">
          <cell r="Q161" t="str">
            <v>아스팔트피니셔(운전원)</v>
          </cell>
        </row>
        <row r="162">
          <cell r="Q162" t="str">
            <v>안전시설공</v>
          </cell>
        </row>
        <row r="163">
          <cell r="Q163" t="str">
            <v>액체방수공</v>
          </cell>
        </row>
        <row r="164">
          <cell r="Q164" t="str">
            <v>양생공</v>
          </cell>
        </row>
        <row r="165">
          <cell r="Q165" t="str">
            <v>양수공</v>
          </cell>
        </row>
        <row r="166">
          <cell r="Q166" t="str">
            <v>엘리베이터공</v>
          </cell>
        </row>
        <row r="167">
          <cell r="Q167" t="str">
            <v>엘리베이터기계공</v>
          </cell>
        </row>
        <row r="168">
          <cell r="Q168" t="str">
            <v>엘리베이터전공</v>
          </cell>
        </row>
        <row r="169">
          <cell r="Q169" t="str">
            <v>엘리베이터조정공</v>
          </cell>
        </row>
        <row r="170">
          <cell r="Q170" t="str">
            <v>연돌공</v>
          </cell>
        </row>
        <row r="171">
          <cell r="Q171" t="str">
            <v>연마공</v>
          </cell>
        </row>
        <row r="172">
          <cell r="Q172" t="str">
            <v>열처리공</v>
          </cell>
        </row>
        <row r="173">
          <cell r="Q173" t="str">
            <v>외선전공</v>
          </cell>
        </row>
        <row r="174">
          <cell r="Q174" t="str">
            <v>용접공</v>
          </cell>
        </row>
        <row r="175">
          <cell r="Q175" t="str">
            <v>우물공</v>
          </cell>
        </row>
        <row r="176">
          <cell r="Q176" t="str">
            <v>우오수공</v>
          </cell>
        </row>
        <row r="177">
          <cell r="Q177" t="str">
            <v>원자력기계설치공</v>
          </cell>
        </row>
        <row r="178">
          <cell r="Q178" t="str">
            <v>원자력용접공</v>
          </cell>
        </row>
        <row r="179">
          <cell r="Q179" t="str">
            <v>원자력품질관리사</v>
          </cell>
        </row>
        <row r="180">
          <cell r="Q180" t="str">
            <v>원자력플랜트전공</v>
          </cell>
        </row>
        <row r="181">
          <cell r="Q181" t="str">
            <v>위생공</v>
          </cell>
        </row>
        <row r="182">
          <cell r="Q182" t="str">
            <v>유리공</v>
          </cell>
        </row>
        <row r="183">
          <cell r="Q183" t="str">
            <v>인력운반공</v>
          </cell>
        </row>
        <row r="184">
          <cell r="Q184" t="str">
            <v>인양공</v>
          </cell>
        </row>
        <row r="185">
          <cell r="Q185" t="str">
            <v>인조목공</v>
          </cell>
        </row>
        <row r="186">
          <cell r="Q186" t="str">
            <v>인조석공</v>
          </cell>
        </row>
        <row r="187">
          <cell r="Q187" t="str">
            <v>인테리어공</v>
          </cell>
        </row>
        <row r="188">
          <cell r="Q188" t="str">
            <v>일반기계운전원</v>
          </cell>
        </row>
        <row r="189">
          <cell r="Q189" t="str">
            <v>작업반장</v>
          </cell>
        </row>
        <row r="190">
          <cell r="Q190" t="str">
            <v>잠수공</v>
          </cell>
        </row>
        <row r="191">
          <cell r="Q191" t="str">
            <v>잠함공</v>
          </cell>
        </row>
        <row r="192">
          <cell r="Q192" t="str">
            <v>잡철공</v>
          </cell>
        </row>
        <row r="193">
          <cell r="Q193" t="str">
            <v>장판공</v>
          </cell>
        </row>
        <row r="194">
          <cell r="Q194" t="str">
            <v>저압케이블전공</v>
          </cell>
        </row>
        <row r="195">
          <cell r="Q195" t="str">
            <v>적층공</v>
          </cell>
        </row>
        <row r="196">
          <cell r="Q196" t="str">
            <v>전공</v>
          </cell>
        </row>
        <row r="197">
          <cell r="Q197" t="str">
            <v>전기공</v>
          </cell>
        </row>
        <row r="198">
          <cell r="Q198" t="str">
            <v>전기공사기사</v>
          </cell>
        </row>
        <row r="199">
          <cell r="Q199" t="str">
            <v>전기공사산업기사</v>
          </cell>
        </row>
        <row r="200">
          <cell r="Q200" t="str">
            <v>전기시험공</v>
          </cell>
        </row>
        <row r="201">
          <cell r="Q201" t="str">
            <v>전기용접공</v>
          </cell>
        </row>
        <row r="202">
          <cell r="Q202" t="str">
            <v>전기제도사</v>
          </cell>
        </row>
        <row r="203">
          <cell r="Q203" t="str">
            <v>전선작업공</v>
          </cell>
        </row>
        <row r="204">
          <cell r="Q204" t="str">
            <v>전주설치공</v>
          </cell>
        </row>
        <row r="205">
          <cell r="Q205" t="str">
            <v>전차선공</v>
          </cell>
        </row>
        <row r="206">
          <cell r="Q206" t="str">
            <v>절단공</v>
          </cell>
        </row>
        <row r="207">
          <cell r="Q207" t="str">
            <v>제관공</v>
          </cell>
        </row>
        <row r="208">
          <cell r="Q208" t="str">
            <v>제도공</v>
          </cell>
        </row>
        <row r="209">
          <cell r="Q209" t="str">
            <v>제재공</v>
          </cell>
        </row>
        <row r="210">
          <cell r="Q210" t="str">
            <v>제철축로공</v>
          </cell>
        </row>
        <row r="211">
          <cell r="Q211" t="str">
            <v>조경공</v>
          </cell>
        </row>
        <row r="212">
          <cell r="Q212" t="str">
            <v>조력공</v>
          </cell>
        </row>
        <row r="213">
          <cell r="Q213" t="str">
            <v>조림공</v>
          </cell>
        </row>
        <row r="214">
          <cell r="Q214" t="str">
            <v>조선목공</v>
          </cell>
        </row>
        <row r="215">
          <cell r="Q215" t="str">
            <v>조적공</v>
          </cell>
        </row>
        <row r="216">
          <cell r="Q216" t="str">
            <v>준설선공</v>
          </cell>
        </row>
        <row r="217">
          <cell r="Q217" t="str">
            <v>준설선기관사</v>
          </cell>
        </row>
        <row r="218">
          <cell r="Q218" t="str">
            <v>준설선선장</v>
          </cell>
        </row>
        <row r="219">
          <cell r="Q219" t="str">
            <v>줄눈공</v>
          </cell>
        </row>
        <row r="220">
          <cell r="Q220" t="str">
            <v>중장비정비공</v>
          </cell>
        </row>
        <row r="221">
          <cell r="Q221" t="str">
            <v>지게차(운전원)</v>
          </cell>
        </row>
        <row r="222">
          <cell r="Q222" t="str">
            <v>지붕잇기공</v>
          </cell>
        </row>
        <row r="223">
          <cell r="Q223" t="str">
            <v>지적기능사</v>
          </cell>
        </row>
        <row r="224">
          <cell r="Q224" t="str">
            <v>지적기사</v>
          </cell>
        </row>
        <row r="225">
          <cell r="Q225" t="str">
            <v>지적산업기사</v>
          </cell>
        </row>
        <row r="226">
          <cell r="Q226" t="str">
            <v>직종</v>
          </cell>
        </row>
        <row r="227">
          <cell r="Q227" t="str">
            <v>차선도색공</v>
          </cell>
        </row>
        <row r="228">
          <cell r="Q228" t="str">
            <v>차선도색공</v>
          </cell>
        </row>
        <row r="229">
          <cell r="Q229" t="str">
            <v>착암공</v>
          </cell>
        </row>
        <row r="230">
          <cell r="Q230" t="str">
            <v>착암공</v>
          </cell>
        </row>
        <row r="231">
          <cell r="Q231" t="str">
            <v>창틀공</v>
          </cell>
        </row>
        <row r="232">
          <cell r="Q232" t="str">
            <v>창틀공</v>
          </cell>
        </row>
        <row r="233">
          <cell r="Q233" t="str">
            <v>철골공</v>
          </cell>
        </row>
        <row r="234">
          <cell r="Q234" t="str">
            <v>철골설치공</v>
          </cell>
        </row>
        <row r="235">
          <cell r="Q235" t="str">
            <v>철골제작공</v>
          </cell>
        </row>
        <row r="236">
          <cell r="Q236" t="str">
            <v>철공</v>
          </cell>
        </row>
        <row r="237">
          <cell r="Q237" t="str">
            <v>철근공</v>
          </cell>
        </row>
        <row r="238">
          <cell r="Q238" t="str">
            <v>철도신호공</v>
          </cell>
        </row>
        <row r="239">
          <cell r="Q239" t="str">
            <v>철물절단공</v>
          </cell>
        </row>
        <row r="240">
          <cell r="Q240" t="str">
            <v>철판공</v>
          </cell>
        </row>
        <row r="241">
          <cell r="Q241" t="str">
            <v>청소원</v>
          </cell>
        </row>
        <row r="242">
          <cell r="Q242" t="str">
            <v>초음파절단공</v>
          </cell>
        </row>
        <row r="243">
          <cell r="Q243" t="str">
            <v>측량공</v>
          </cell>
        </row>
        <row r="244">
          <cell r="Q244" t="str">
            <v>치장벽돌공</v>
          </cell>
        </row>
        <row r="245">
          <cell r="Q245" t="str">
            <v>카페트공</v>
          </cell>
        </row>
        <row r="246">
          <cell r="Q246" t="str">
            <v>커튼공</v>
          </cell>
        </row>
        <row r="247">
          <cell r="Q247" t="str">
            <v>케이블공</v>
          </cell>
        </row>
        <row r="248">
          <cell r="Q248" t="str">
            <v>콘도라공</v>
          </cell>
        </row>
        <row r="249">
          <cell r="Q249" t="str">
            <v>콘크리트공</v>
          </cell>
        </row>
        <row r="250">
          <cell r="Q250" t="str">
            <v>콤퓨레샤(운전원)</v>
          </cell>
        </row>
        <row r="251">
          <cell r="Q251" t="str">
            <v>크레인(운전원)</v>
          </cell>
        </row>
        <row r="252">
          <cell r="Q252" t="str">
            <v>타워크레인(운전원)</v>
          </cell>
        </row>
        <row r="253">
          <cell r="Q253" t="str">
            <v>타일공</v>
          </cell>
        </row>
        <row r="254">
          <cell r="Q254" t="str">
            <v>토공</v>
          </cell>
        </row>
        <row r="255">
          <cell r="Q255" t="str">
            <v>토류판공</v>
          </cell>
        </row>
        <row r="256">
          <cell r="Q256" t="str">
            <v>통신공</v>
          </cell>
        </row>
        <row r="257">
          <cell r="Q257" t="str">
            <v>품질관리원※ 초급·중급·고급·특급</v>
          </cell>
        </row>
        <row r="258">
          <cell r="Q258" t="str">
            <v>프레스공</v>
          </cell>
        </row>
        <row r="259">
          <cell r="Q259" t="str">
            <v>플랜트계장공</v>
          </cell>
        </row>
        <row r="260">
          <cell r="Q260" t="str">
            <v>플랜트공</v>
          </cell>
        </row>
        <row r="261">
          <cell r="Q261" t="str">
            <v>플랜트기계설치공</v>
          </cell>
        </row>
        <row r="262">
          <cell r="Q262" t="str">
            <v>플랜트기술자</v>
          </cell>
        </row>
        <row r="263">
          <cell r="Q263" t="str">
            <v>플랜트덕트공</v>
          </cell>
        </row>
        <row r="264">
          <cell r="Q264" t="str">
            <v>플랜트도장공</v>
          </cell>
        </row>
        <row r="265">
          <cell r="Q265" t="str">
            <v>플랜트배관공</v>
          </cell>
        </row>
        <row r="266">
          <cell r="Q266" t="str">
            <v>플랜트보온공</v>
          </cell>
        </row>
        <row r="267">
          <cell r="Q267" t="str">
            <v>플랜트비계공</v>
          </cell>
        </row>
        <row r="268">
          <cell r="Q268" t="str">
            <v xml:space="preserve">플랜트시운전공 </v>
          </cell>
        </row>
        <row r="269">
          <cell r="Q269" t="str">
            <v>플랜트용접공</v>
          </cell>
        </row>
        <row r="270">
          <cell r="Q270" t="str">
            <v>플랜트전공</v>
          </cell>
        </row>
        <row r="271">
          <cell r="Q271" t="str">
            <v>플랜트제관공</v>
          </cell>
        </row>
        <row r="272">
          <cell r="Q272" t="str">
            <v>플랜트케이블전공</v>
          </cell>
        </row>
        <row r="273">
          <cell r="Q273" t="str">
            <v>플랜트특별보통인부</v>
          </cell>
        </row>
        <row r="274">
          <cell r="Q274" t="str">
            <v>플랜트특수용접공</v>
          </cell>
        </row>
        <row r="275">
          <cell r="Q275" t="str">
            <v>한식단청공편수</v>
          </cell>
        </row>
        <row r="276">
          <cell r="Q276" t="str">
            <v>한식목공</v>
          </cell>
        </row>
        <row r="277">
          <cell r="Q277" t="str">
            <v>한식목공조공</v>
          </cell>
        </row>
        <row r="278">
          <cell r="Q278" t="str">
            <v>한식미장공</v>
          </cell>
        </row>
        <row r="279">
          <cell r="Q279" t="str">
            <v>한식미장공조공</v>
          </cell>
        </row>
        <row r="280">
          <cell r="Q280" t="str">
            <v>한식미장공편수</v>
          </cell>
        </row>
        <row r="281">
          <cell r="Q281" t="str">
            <v>한식석공</v>
          </cell>
        </row>
        <row r="282">
          <cell r="Q282" t="str">
            <v>한식석공조공</v>
          </cell>
        </row>
        <row r="283">
          <cell r="Q283" t="str">
            <v>한식와공</v>
          </cell>
        </row>
        <row r="284">
          <cell r="Q284" t="str">
            <v>한식와공조공</v>
          </cell>
        </row>
        <row r="285">
          <cell r="Q285" t="str">
            <v>한식와공편수</v>
          </cell>
        </row>
        <row r="286">
          <cell r="Q286" t="str">
            <v>할석공</v>
          </cell>
        </row>
        <row r="287">
          <cell r="Q287" t="str">
            <v>함석공</v>
          </cell>
        </row>
        <row r="288">
          <cell r="Q288" t="str">
            <v>합판공</v>
          </cell>
        </row>
        <row r="289">
          <cell r="Q289" t="str">
            <v>항타공</v>
          </cell>
        </row>
        <row r="290">
          <cell r="Q290" t="str">
            <v>항타선원</v>
          </cell>
        </row>
        <row r="291">
          <cell r="Q291" t="str">
            <v>해상공</v>
          </cell>
        </row>
        <row r="292">
          <cell r="Q292" t="str">
            <v>현도사</v>
          </cell>
        </row>
        <row r="293">
          <cell r="Q293" t="str">
            <v>형틀목공</v>
          </cell>
        </row>
        <row r="294">
          <cell r="Q294" t="str">
            <v>호이스트운전원</v>
          </cell>
        </row>
        <row r="295">
          <cell r="Q295" t="str">
            <v>화공</v>
          </cell>
        </row>
        <row r="296">
          <cell r="Q296" t="str">
            <v>화물차(운전원)</v>
          </cell>
        </row>
        <row r="297">
          <cell r="Q297" t="str">
            <v>화약취급공</v>
          </cell>
        </row>
        <row r="298">
          <cell r="Q298" t="str">
            <v>흄관공</v>
          </cell>
        </row>
        <row r="299">
          <cell r="Q299" t="str">
            <v>흙막이공</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확인요망★"/>
      <sheetName val="요율"/>
      <sheetName val="청구서"/>
      <sheetName val="집계표"/>
      <sheetName val="내역서"/>
      <sheetName val="주소록"/>
      <sheetName val="위임장"/>
      <sheetName val="집계"/>
      <sheetName val="24_01"/>
      <sheetName val="24_02"/>
      <sheetName val="24_03"/>
      <sheetName val="24_04"/>
      <sheetName val="24_05"/>
      <sheetName val="24_06"/>
      <sheetName val="24_07"/>
      <sheetName val="24_08"/>
      <sheetName val="24_09"/>
      <sheetName val="24_10"/>
      <sheetName val="24_11"/>
      <sheetName val="24_12"/>
      <sheetName val="계"/>
      <sheetName val="각서"/>
      <sheetName val="계좌입금의뢰신고서"/>
      <sheetName val="★근로내역"/>
      <sheetName val="★퇴직공제"/>
      <sheetName val="★하도급지킴이"/>
      <sheetName val="근로계약서"/>
      <sheetName val="급여"/>
    </sheetNames>
    <sheetDataSet>
      <sheetData sheetId="0"/>
      <sheetData sheetId="1"/>
      <sheetData sheetId="2"/>
      <sheetData sheetId="3"/>
      <sheetData sheetId="4"/>
      <sheetData sheetId="5">
        <row r="3">
          <cell r="A3" t="str">
            <v>성명</v>
          </cell>
          <cell r="B3" t="str">
            <v>직종</v>
          </cell>
          <cell r="C3" t="str">
            <v>주민등록번호</v>
          </cell>
          <cell r="D3" t="str">
            <v>주소</v>
          </cell>
          <cell r="E3" t="str">
            <v>연락처</v>
          </cell>
          <cell r="F3" t="str">
            <v>은행코드</v>
          </cell>
          <cell r="G3" t="str">
            <v>은행</v>
          </cell>
          <cell r="H3" t="str">
            <v>계좌번호</v>
          </cell>
          <cell r="I3" t="str">
            <v>예금주</v>
          </cell>
          <cell r="J3" t="str">
            <v>국적코드</v>
          </cell>
          <cell r="K3" t="str">
            <v>체류자격코드</v>
          </cell>
          <cell r="L3" t="str">
            <v>나이 (만)</v>
          </cell>
        </row>
        <row r="4">
          <cell r="A4" t="str">
            <v>오부택</v>
          </cell>
          <cell r="B4" t="str">
            <v>작업반장</v>
          </cell>
          <cell r="C4" t="str">
            <v>651015-1333111</v>
          </cell>
          <cell r="D4" t="str">
            <v>경기도 남양주시 도농동 291-34 19/4</v>
          </cell>
          <cell r="E4" t="str">
            <v>010-8783-1657</v>
          </cell>
          <cell r="F4" t="str">
            <v>0011</v>
          </cell>
          <cell r="G4" t="str">
            <v>농협중앙회</v>
          </cell>
          <cell r="H4" t="str">
            <v>204030-56-159309</v>
          </cell>
          <cell r="I4" t="str">
            <v>오부택</v>
          </cell>
          <cell r="L4">
            <v>60</v>
          </cell>
        </row>
        <row r="5">
          <cell r="A5" t="str">
            <v>하해군</v>
          </cell>
          <cell r="B5" t="str">
            <v>조경공</v>
          </cell>
          <cell r="C5" t="str">
            <v>630816-1221210</v>
          </cell>
          <cell r="D5" t="str">
            <v>경기도 남양주시 진건읍 사릉로용정1길 11</v>
          </cell>
          <cell r="E5" t="str">
            <v>010-4993-9423</v>
          </cell>
          <cell r="F5" t="str">
            <v>0011</v>
          </cell>
          <cell r="G5" t="str">
            <v>농협중앙회</v>
          </cell>
          <cell r="H5" t="str">
            <v>352-0964-6051-63</v>
          </cell>
          <cell r="I5" t="str">
            <v>하진욱</v>
          </cell>
          <cell r="L5">
            <v>62</v>
          </cell>
        </row>
        <row r="6">
          <cell r="A6" t="str">
            <v>유수진</v>
          </cell>
          <cell r="B6" t="str">
            <v>조경공</v>
          </cell>
          <cell r="C6" t="str">
            <v>701126-1241813</v>
          </cell>
          <cell r="D6" t="str">
            <v>경기도  포천군 영북면 운천리 528</v>
          </cell>
          <cell r="E6" t="str">
            <v>010-3124-2716</v>
          </cell>
          <cell r="F6" t="str">
            <v>0004</v>
          </cell>
          <cell r="G6" t="str">
            <v>국민은행</v>
          </cell>
          <cell r="H6" t="str">
            <v>352601-01-213053</v>
          </cell>
          <cell r="I6" t="str">
            <v>유수진</v>
          </cell>
          <cell r="L6">
            <v>55</v>
          </cell>
        </row>
        <row r="7">
          <cell r="A7" t="str">
            <v>김방수</v>
          </cell>
          <cell r="B7" t="str">
            <v>조경공</v>
          </cell>
          <cell r="C7" t="str">
            <v>650604-1622312</v>
          </cell>
          <cell r="D7" t="str">
            <v>경기도 남양주시 경춘로859번길26, B동 204호(금곡동,동익빌라)</v>
          </cell>
          <cell r="E7" t="str">
            <v>010-9342-8092</v>
          </cell>
          <cell r="F7" t="str">
            <v>0011</v>
          </cell>
          <cell r="G7" t="str">
            <v>농협중앙회</v>
          </cell>
          <cell r="H7" t="str">
            <v>204074-51-050436</v>
          </cell>
          <cell r="I7" t="str">
            <v>김방수</v>
          </cell>
          <cell r="L7">
            <v>60</v>
          </cell>
        </row>
        <row r="8">
          <cell r="A8" t="str">
            <v>유광열</v>
          </cell>
          <cell r="B8" t="str">
            <v>조경공</v>
          </cell>
          <cell r="C8" t="str">
            <v>600815-1650411</v>
          </cell>
          <cell r="D8" t="str">
            <v>서울시 동대문구 제기로21길 63-4</v>
          </cell>
          <cell r="E8" t="str">
            <v>010-8750-3852</v>
          </cell>
          <cell r="F8" t="str">
            <v>0004</v>
          </cell>
          <cell r="G8" t="str">
            <v>국민은행</v>
          </cell>
          <cell r="H8" t="str">
            <v>420802-01-297649</v>
          </cell>
          <cell r="I8" t="str">
            <v>유광열</v>
          </cell>
          <cell r="L8">
            <v>65</v>
          </cell>
        </row>
        <row r="9">
          <cell r="A9" t="str">
            <v>현영석</v>
          </cell>
          <cell r="B9" t="str">
            <v>조경공</v>
          </cell>
          <cell r="C9" t="str">
            <v>591020-1037016</v>
          </cell>
          <cell r="D9" t="str">
            <v>서울시 서대문구 세무서길 50-1</v>
          </cell>
          <cell r="E9" t="str">
            <v>010-5335-3740</v>
          </cell>
          <cell r="F9" t="str">
            <v>0020</v>
          </cell>
          <cell r="G9" t="str">
            <v>우리은행</v>
          </cell>
          <cell r="H9" t="str">
            <v>1002-209-949780</v>
          </cell>
          <cell r="I9" t="str">
            <v>현영석</v>
          </cell>
          <cell r="L9">
            <v>66</v>
          </cell>
        </row>
        <row r="10">
          <cell r="A10" t="str">
            <v>김성배</v>
          </cell>
          <cell r="B10" t="str">
            <v>조경공</v>
          </cell>
          <cell r="C10" t="str">
            <v>540910-1041520</v>
          </cell>
          <cell r="D10" t="str">
            <v>서울시 은평구 녹번동 4-262</v>
          </cell>
          <cell r="E10" t="str">
            <v>010-2084-1165</v>
          </cell>
          <cell r="F10" t="str">
            <v>0003</v>
          </cell>
          <cell r="G10" t="str">
            <v>기업은행</v>
          </cell>
          <cell r="H10" t="str">
            <v>139-018946-02-039</v>
          </cell>
          <cell r="I10" t="str">
            <v>김성배</v>
          </cell>
          <cell r="L10">
            <v>71</v>
          </cell>
        </row>
        <row r="11">
          <cell r="A11" t="str">
            <v>민경식</v>
          </cell>
          <cell r="B11" t="str">
            <v>조경공</v>
          </cell>
          <cell r="C11" t="str">
            <v>720302-1037116</v>
          </cell>
          <cell r="D11" t="str">
            <v>서울특별시 은평구 녹번동 44-26 B02호</v>
          </cell>
          <cell r="E11" t="str">
            <v>010-4253-6883</v>
          </cell>
          <cell r="F11" t="str">
            <v>0088</v>
          </cell>
          <cell r="G11" t="str">
            <v>신한은행</v>
          </cell>
          <cell r="H11" t="str">
            <v>110-065-529493</v>
          </cell>
          <cell r="I11" t="str">
            <v>민경식</v>
          </cell>
          <cell r="L11">
            <v>54</v>
          </cell>
        </row>
        <row r="12">
          <cell r="A12" t="str">
            <v>문순철</v>
          </cell>
          <cell r="B12" t="str">
            <v>보통인부</v>
          </cell>
          <cell r="C12" t="str">
            <v>580706-5860194</v>
          </cell>
          <cell r="D12" t="str">
            <v>서울특별시 은평구 연소로 35길7 101</v>
          </cell>
          <cell r="E12" t="str">
            <v>010-7963-6888</v>
          </cell>
          <cell r="F12" t="str">
            <v>0011</v>
          </cell>
          <cell r="G12" t="str">
            <v>농협중앙회</v>
          </cell>
          <cell r="H12" t="str">
            <v>302-1775-7802-51</v>
          </cell>
          <cell r="I12" t="str">
            <v>WEN SHUNZHE</v>
          </cell>
          <cell r="L12">
            <v>67</v>
          </cell>
        </row>
        <row r="13">
          <cell r="A13" t="str">
            <v>김기윤</v>
          </cell>
          <cell r="B13" t="str">
            <v>조경공</v>
          </cell>
          <cell r="C13" t="str">
            <v>620811-1538913</v>
          </cell>
          <cell r="D13" t="str">
            <v>서울특별시 은평구 갈현로31길3, 302호(갈현동, 장성케이씨빌)</v>
          </cell>
          <cell r="E13" t="str">
            <v>010-5358-5893</v>
          </cell>
          <cell r="F13" t="str">
            <v>0004</v>
          </cell>
          <cell r="G13" t="str">
            <v>국민은행</v>
          </cell>
          <cell r="H13" t="str">
            <v>833-21-0509-800</v>
          </cell>
          <cell r="I13" t="str">
            <v>김기윤</v>
          </cell>
          <cell r="L13">
            <v>63</v>
          </cell>
        </row>
        <row r="14">
          <cell r="A14" t="str">
            <v>김수석</v>
          </cell>
          <cell r="B14" t="str">
            <v>조경공</v>
          </cell>
          <cell r="C14" t="str">
            <v>650502-1810529</v>
          </cell>
          <cell r="D14" t="str">
            <v>경기도 남양주시 와부읍 덕소로67-20, 105동 505호</v>
          </cell>
          <cell r="E14" t="str">
            <v>010-9185-0935</v>
          </cell>
          <cell r="F14" t="str">
            <v>0011</v>
          </cell>
          <cell r="G14" t="str">
            <v>농협중앙회</v>
          </cell>
          <cell r="H14" t="str">
            <v>204040-56-201577</v>
          </cell>
          <cell r="I14" t="str">
            <v>김수석</v>
          </cell>
          <cell r="L14">
            <v>60</v>
          </cell>
        </row>
        <row r="15">
          <cell r="A15" t="str">
            <v>권오훈</v>
          </cell>
          <cell r="B15" t="str">
            <v>조경공</v>
          </cell>
          <cell r="C15" t="str">
            <v>640920-1814621</v>
          </cell>
          <cell r="D15" t="str">
            <v>경기도 남양주시 와부읍 수레로1번길 28-3, 203호(장미연립)</v>
          </cell>
          <cell r="E15" t="str">
            <v>010-3433-9377</v>
          </cell>
          <cell r="F15" t="str">
            <v>0011</v>
          </cell>
          <cell r="G15" t="str">
            <v>농협중앙회</v>
          </cell>
          <cell r="H15" t="str">
            <v>172080-52-090513</v>
          </cell>
          <cell r="I15" t="str">
            <v>권오훈</v>
          </cell>
          <cell r="L15">
            <v>61</v>
          </cell>
        </row>
        <row r="16">
          <cell r="A16" t="str">
            <v>윤종현</v>
          </cell>
          <cell r="B16" t="str">
            <v>조경공</v>
          </cell>
          <cell r="C16" t="str">
            <v>470616-1042211</v>
          </cell>
          <cell r="D16" t="str">
            <v>서울특별시 은평구 가좌로21 9-5(응암동)</v>
          </cell>
          <cell r="E16" t="str">
            <v>010-8716-9947</v>
          </cell>
          <cell r="F16" t="str">
            <v>0004</v>
          </cell>
          <cell r="G16" t="str">
            <v>국민은행</v>
          </cell>
          <cell r="H16" t="str">
            <v>035802-04-481610</v>
          </cell>
          <cell r="I16" t="str">
            <v>윤종현</v>
          </cell>
          <cell r="L16">
            <v>78</v>
          </cell>
        </row>
        <row r="17">
          <cell r="A17" t="str">
            <v>김원태</v>
          </cell>
          <cell r="B17" t="str">
            <v>보통인부</v>
          </cell>
          <cell r="C17" t="str">
            <v>590427-5101290</v>
          </cell>
          <cell r="D17" t="str">
            <v>서울특별시 은평구 연서로34길 4-14</v>
          </cell>
          <cell r="E17" t="str">
            <v>010-5540-5904</v>
          </cell>
          <cell r="F17" t="str">
            <v>0081</v>
          </cell>
          <cell r="G17" t="str">
            <v>KEB하나은행</v>
          </cell>
          <cell r="H17" t="str">
            <v>580-910278-79407</v>
          </cell>
          <cell r="I17" t="str">
            <v>JINYUANTAI</v>
          </cell>
          <cell r="L17">
            <v>66</v>
          </cell>
        </row>
        <row r="18">
          <cell r="A18" t="str">
            <v>정재우</v>
          </cell>
          <cell r="B18" t="str">
            <v>조경공</v>
          </cell>
          <cell r="C18" t="str">
            <v>000404-3038013</v>
          </cell>
          <cell r="D18" t="str">
            <v>서울특별시 서대문구 거북골로84, 104동 212호(남가좌동, DMC에코자이)</v>
          </cell>
          <cell r="E18" t="str">
            <v>010-7767-5506</v>
          </cell>
          <cell r="F18" t="str">
            <v>0071</v>
          </cell>
          <cell r="G18" t="str">
            <v>우체국</v>
          </cell>
          <cell r="H18" t="str">
            <v>102822-02-132334</v>
          </cell>
          <cell r="I18" t="str">
            <v>정재우</v>
          </cell>
          <cell r="L18">
            <v>25</v>
          </cell>
        </row>
        <row r="19">
          <cell r="A19" t="str">
            <v>김웅탄</v>
          </cell>
          <cell r="B19" t="str">
            <v>조경공</v>
          </cell>
          <cell r="C19" t="str">
            <v>411111-1519812</v>
          </cell>
          <cell r="D19" t="str">
            <v>인천 연수구 솔샘로 87 106호(청학동)</v>
          </cell>
          <cell r="E19" t="str">
            <v>010-4890-8284</v>
          </cell>
          <cell r="F19" t="str">
            <v>0088</v>
          </cell>
          <cell r="G19" t="str">
            <v>신한은행</v>
          </cell>
          <cell r="H19" t="str">
            <v>110-414-437990</v>
          </cell>
          <cell r="I19" t="str">
            <v>김웅탄</v>
          </cell>
          <cell r="L19">
            <v>84</v>
          </cell>
        </row>
        <row r="20">
          <cell r="A20" t="str">
            <v>김종국</v>
          </cell>
          <cell r="B20" t="str">
            <v>조경공</v>
          </cell>
          <cell r="C20" t="str">
            <v>500905-1325613</v>
          </cell>
          <cell r="D20" t="str">
            <v>인천 남구 소성로332번길 36, 201호</v>
          </cell>
          <cell r="E20" t="str">
            <v>010-4758-7433</v>
          </cell>
          <cell r="F20" t="str">
            <v>0020</v>
          </cell>
          <cell r="G20" t="str">
            <v>우리은행</v>
          </cell>
          <cell r="H20" t="str">
            <v>304-05-042055</v>
          </cell>
          <cell r="I20" t="str">
            <v>김종국</v>
          </cell>
          <cell r="L20">
            <v>75</v>
          </cell>
        </row>
        <row r="21">
          <cell r="A21" t="str">
            <v>박원산</v>
          </cell>
          <cell r="B21" t="str">
            <v>조경공</v>
          </cell>
          <cell r="C21" t="str">
            <v>580603-1155811</v>
          </cell>
          <cell r="D21" t="str">
            <v>인천 남동구 남촌동로 15번길 21, 102동 1602호</v>
          </cell>
          <cell r="E21" t="str">
            <v>010-2284-9212</v>
          </cell>
          <cell r="F21" t="str">
            <v>0011</v>
          </cell>
          <cell r="G21" t="str">
            <v>농협중앙회</v>
          </cell>
          <cell r="H21" t="str">
            <v>352-1743-2793-83</v>
          </cell>
          <cell r="I21" t="str">
            <v>박원산</v>
          </cell>
          <cell r="L21">
            <v>67</v>
          </cell>
        </row>
        <row r="22">
          <cell r="A22" t="str">
            <v>백동수</v>
          </cell>
          <cell r="B22" t="str">
            <v>조경공</v>
          </cell>
          <cell r="C22" t="str">
            <v>451223-1520310</v>
          </cell>
          <cell r="D22" t="str">
            <v>인천 남구 용현동 456-84 성신빌라 201호</v>
          </cell>
          <cell r="E22" t="str">
            <v>010-2683-6831</v>
          </cell>
          <cell r="F22" t="str">
            <v>0081</v>
          </cell>
          <cell r="G22" t="str">
            <v>KEB하나은행</v>
          </cell>
          <cell r="H22" t="str">
            <v>121-890110-24607</v>
          </cell>
          <cell r="I22" t="str">
            <v>백동수</v>
          </cell>
          <cell r="L22">
            <v>80</v>
          </cell>
        </row>
        <row r="23">
          <cell r="A23" t="str">
            <v>송병훈</v>
          </cell>
          <cell r="B23" t="str">
            <v>조경공</v>
          </cell>
          <cell r="C23" t="str">
            <v>450130-1149022</v>
          </cell>
          <cell r="D23" t="str">
            <v>인천 연수구 독배로 90번길 47, 101동 301호</v>
          </cell>
          <cell r="E23" t="str">
            <v>010-3277-4506</v>
          </cell>
          <cell r="F23" t="str">
            <v>0011</v>
          </cell>
          <cell r="G23" t="str">
            <v>농협중앙회</v>
          </cell>
          <cell r="H23" t="str">
            <v>351-0761-0692-63</v>
          </cell>
          <cell r="I23" t="str">
            <v>송병훈</v>
          </cell>
          <cell r="L23">
            <v>81</v>
          </cell>
        </row>
        <row r="24">
          <cell r="A24" t="str">
            <v>오복만</v>
          </cell>
          <cell r="B24" t="str">
            <v>조경공</v>
          </cell>
          <cell r="C24" t="str">
            <v>560203-1253812</v>
          </cell>
          <cell r="D24" t="str">
            <v>경기도 용인시 처인구 금령로 134 마평동</v>
          </cell>
          <cell r="E24" t="str">
            <v>010-5709-4518</v>
          </cell>
          <cell r="F24" t="str">
            <v>0011</v>
          </cell>
          <cell r="G24" t="str">
            <v>농협중앙회</v>
          </cell>
          <cell r="H24" t="str">
            <v>352-1034-5515-03</v>
          </cell>
          <cell r="I24" t="str">
            <v>오복만</v>
          </cell>
          <cell r="L24">
            <v>70</v>
          </cell>
        </row>
        <row r="25">
          <cell r="A25" t="str">
            <v>유순희</v>
          </cell>
          <cell r="B25" t="str">
            <v>조경공</v>
          </cell>
          <cell r="C25" t="str">
            <v>430710-1143311</v>
          </cell>
          <cell r="D25" t="str">
            <v>인천광역시 남구 숭의동 230-135</v>
          </cell>
          <cell r="E25" t="str">
            <v>010-3644-0353</v>
          </cell>
          <cell r="F25" t="str">
            <v>0045</v>
          </cell>
          <cell r="G25" t="str">
            <v>새마을금고</v>
          </cell>
          <cell r="H25" t="str">
            <v>2234-09-008673-9</v>
          </cell>
          <cell r="I25" t="str">
            <v>유순희</v>
          </cell>
          <cell r="L25">
            <v>82</v>
          </cell>
        </row>
        <row r="26">
          <cell r="A26" t="str">
            <v>이병대</v>
          </cell>
          <cell r="B26" t="str">
            <v>조경공</v>
          </cell>
          <cell r="C26" t="str">
            <v>610316-1543716</v>
          </cell>
          <cell r="D26" t="str">
            <v>서울 강동구 천호동 211-12</v>
          </cell>
          <cell r="E26" t="str">
            <v>010-8736-9866</v>
          </cell>
          <cell r="F26" t="str">
            <v>0088</v>
          </cell>
          <cell r="G26" t="str">
            <v>신한은행</v>
          </cell>
          <cell r="H26" t="str">
            <v>110-412-527148</v>
          </cell>
          <cell r="I26" t="str">
            <v>이병대</v>
          </cell>
          <cell r="L26">
            <v>65</v>
          </cell>
        </row>
        <row r="27">
          <cell r="A27" t="str">
            <v>이병인</v>
          </cell>
          <cell r="B27" t="str">
            <v>조경공</v>
          </cell>
          <cell r="C27" t="str">
            <v>500709-1063529</v>
          </cell>
          <cell r="D27" t="str">
            <v>인천 연수구 예술로 22번길 20, 401호</v>
          </cell>
          <cell r="E27" t="str">
            <v>010-2010-0909</v>
          </cell>
          <cell r="F27" t="str">
            <v>0011</v>
          </cell>
          <cell r="G27" t="str">
            <v>농협중앙회</v>
          </cell>
          <cell r="H27" t="str">
            <v>352-1702-4909-03</v>
          </cell>
          <cell r="I27" t="str">
            <v>이병인</v>
          </cell>
          <cell r="L27">
            <v>75</v>
          </cell>
        </row>
        <row r="28">
          <cell r="A28" t="str">
            <v>이우정</v>
          </cell>
          <cell r="B28" t="str">
            <v>조경공</v>
          </cell>
          <cell r="C28" t="str">
            <v>560418-1327011</v>
          </cell>
          <cell r="D28" t="str">
            <v>인천 남구 소성로 211, 3동 303호 학익동 신동아아파트</v>
          </cell>
          <cell r="E28" t="str">
            <v>010-8639-4427</v>
          </cell>
          <cell r="F28" t="str">
            <v>0011</v>
          </cell>
          <cell r="G28" t="str">
            <v>농협중앙회</v>
          </cell>
          <cell r="H28" t="str">
            <v>133-12-125675</v>
          </cell>
          <cell r="I28" t="str">
            <v>이우정</v>
          </cell>
          <cell r="L28">
            <v>69</v>
          </cell>
        </row>
        <row r="29">
          <cell r="A29" t="str">
            <v>정원봉</v>
          </cell>
          <cell r="B29" t="str">
            <v>조경공</v>
          </cell>
          <cell r="C29" t="str">
            <v>490711-1652917</v>
          </cell>
          <cell r="D29" t="str">
            <v>인천 연수구 선학동 347 선학시영아파트 115동 206호</v>
          </cell>
          <cell r="E29" t="str">
            <v>010-7732-5769</v>
          </cell>
          <cell r="F29" t="str">
            <v>0088</v>
          </cell>
          <cell r="G29" t="str">
            <v>신한은행</v>
          </cell>
          <cell r="H29" t="str">
            <v>110-300-559320</v>
          </cell>
          <cell r="I29" t="str">
            <v>정원봉</v>
          </cell>
          <cell r="L29">
            <v>76</v>
          </cell>
        </row>
        <row r="30">
          <cell r="A30" t="str">
            <v>정형기</v>
          </cell>
          <cell r="B30" t="str">
            <v>조경공</v>
          </cell>
          <cell r="C30" t="str">
            <v>440320-1472111</v>
          </cell>
          <cell r="D30" t="str">
            <v>인천 부평구 백범로 340번길 6 십정동</v>
          </cell>
          <cell r="E30" t="str">
            <v>010-3705-2432</v>
          </cell>
          <cell r="F30" t="str">
            <v>0048</v>
          </cell>
          <cell r="G30" t="str">
            <v>신협중앙회</v>
          </cell>
          <cell r="H30" t="str">
            <v>132-132-096895</v>
          </cell>
          <cell r="I30" t="str">
            <v>정형기</v>
          </cell>
          <cell r="L30">
            <v>82</v>
          </cell>
        </row>
        <row r="31">
          <cell r="A31" t="str">
            <v>조태휘</v>
          </cell>
          <cell r="B31" t="str">
            <v>조경공</v>
          </cell>
          <cell r="C31" t="str">
            <v>461015-1148113</v>
          </cell>
          <cell r="D31" t="str">
            <v>인천 남구 관교동 13-8 풍림아파트 102동 303호</v>
          </cell>
          <cell r="E31" t="str">
            <v>010-7799-6342</v>
          </cell>
          <cell r="F31" t="str">
            <v>0088</v>
          </cell>
          <cell r="G31" t="str">
            <v>신한은행</v>
          </cell>
          <cell r="H31" t="str">
            <v>110-479-254923</v>
          </cell>
          <cell r="I31" t="str">
            <v>조태휘</v>
          </cell>
          <cell r="L31">
            <v>79</v>
          </cell>
        </row>
        <row r="32">
          <cell r="A32" t="str">
            <v>차용수</v>
          </cell>
          <cell r="B32" t="str">
            <v>조경공</v>
          </cell>
          <cell r="C32" t="str">
            <v>430320-1141011</v>
          </cell>
          <cell r="D32" t="str">
            <v>경기도 부천시원미구 상동  1832-504 반달마을1832동504호</v>
          </cell>
          <cell r="E32" t="str">
            <v>010-2820-7710</v>
          </cell>
          <cell r="F32" t="str">
            <v>0011</v>
          </cell>
          <cell r="G32" t="str">
            <v>농협중앙회</v>
          </cell>
          <cell r="H32" t="str">
            <v>216011-52-042985</v>
          </cell>
          <cell r="I32" t="str">
            <v>차용수</v>
          </cell>
          <cell r="L32">
            <v>83</v>
          </cell>
        </row>
        <row r="33">
          <cell r="A33" t="str">
            <v>한정수</v>
          </cell>
          <cell r="B33" t="str">
            <v>조경공</v>
          </cell>
          <cell r="C33" t="str">
            <v>560904-1245511</v>
          </cell>
          <cell r="D33" t="str">
            <v>인천 남동구 만수동 1049 담방마을아파트 101동 1102호</v>
          </cell>
          <cell r="E33" t="str">
            <v>010-2375-8518</v>
          </cell>
          <cell r="F33" t="str">
            <v>0048</v>
          </cell>
          <cell r="G33" t="str">
            <v>신협중앙회</v>
          </cell>
          <cell r="H33" t="str">
            <v>132-069-090029</v>
          </cell>
          <cell r="I33" t="str">
            <v>한정수</v>
          </cell>
          <cell r="L33">
            <v>69</v>
          </cell>
        </row>
        <row r="34">
          <cell r="A34" t="str">
            <v>김윤자</v>
          </cell>
          <cell r="B34" t="str">
            <v>조경공</v>
          </cell>
          <cell r="C34" t="str">
            <v>470310-2011417</v>
          </cell>
          <cell r="D34" t="str">
            <v>인천광역시 남구 주안동 421-53</v>
          </cell>
          <cell r="E34" t="str">
            <v>010-4847-3572</v>
          </cell>
          <cell r="F34" t="str">
            <v>0088</v>
          </cell>
          <cell r="G34" t="str">
            <v>신한은행</v>
          </cell>
          <cell r="H34" t="str">
            <v>110-118-001184</v>
          </cell>
          <cell r="I34" t="str">
            <v>김윤자</v>
          </cell>
          <cell r="L34">
            <v>79</v>
          </cell>
        </row>
        <row r="35">
          <cell r="A35" t="str">
            <v>이명분</v>
          </cell>
          <cell r="B35" t="str">
            <v>조경공</v>
          </cell>
          <cell r="C35" t="str">
            <v>491128-2149618</v>
          </cell>
          <cell r="D35" t="str">
            <v>인천광역시 남구 주안동 1434-19</v>
          </cell>
          <cell r="E35" t="str">
            <v>010-5758-9519</v>
          </cell>
          <cell r="F35" t="str">
            <v>0011</v>
          </cell>
          <cell r="G35" t="str">
            <v>농협중앙회</v>
          </cell>
          <cell r="H35" t="str">
            <v>301-0021-1505-41</v>
          </cell>
          <cell r="I35" t="str">
            <v>이명분</v>
          </cell>
          <cell r="L35">
            <v>76</v>
          </cell>
        </row>
        <row r="36">
          <cell r="A36" t="str">
            <v>이인애</v>
          </cell>
          <cell r="B36" t="str">
            <v>조경공</v>
          </cell>
          <cell r="C36" t="str">
            <v>491119-2141011</v>
          </cell>
          <cell r="D36" t="str">
            <v>인천 남구 주안동 668-6 남승빌라 202호</v>
          </cell>
          <cell r="E36" t="str">
            <v>010-4326-7710</v>
          </cell>
          <cell r="F36" t="str">
            <v>0045</v>
          </cell>
          <cell r="G36" t="str">
            <v>새마을금고</v>
          </cell>
          <cell r="H36" t="str">
            <v>9002-1804-7397-0</v>
          </cell>
          <cell r="I36" t="str">
            <v>이인애</v>
          </cell>
          <cell r="L36">
            <v>76</v>
          </cell>
        </row>
        <row r="37">
          <cell r="A37" t="str">
            <v>이정주</v>
          </cell>
          <cell r="B37" t="str">
            <v>조경공</v>
          </cell>
          <cell r="C37" t="str">
            <v>461024-2143612</v>
          </cell>
          <cell r="D37" t="str">
            <v>인천 남구 인하로 198번지 13 주안동</v>
          </cell>
          <cell r="E37" t="str">
            <v>010-2375-9442</v>
          </cell>
          <cell r="F37" t="str">
            <v>0011</v>
          </cell>
          <cell r="G37" t="str">
            <v>농협중앙회</v>
          </cell>
          <cell r="H37" t="str">
            <v>170671-52-086183</v>
          </cell>
          <cell r="I37" t="str">
            <v>이정주</v>
          </cell>
          <cell r="L37">
            <v>79</v>
          </cell>
        </row>
        <row r="38">
          <cell r="A38" t="str">
            <v>이현자</v>
          </cell>
          <cell r="B38" t="str">
            <v>조경공</v>
          </cell>
          <cell r="C38" t="str">
            <v>550519-2543711</v>
          </cell>
          <cell r="D38" t="str">
            <v>인천 남동구 간석동 1157-1 우신아파트 다동 301호</v>
          </cell>
          <cell r="E38" t="str">
            <v>010-3105-5988</v>
          </cell>
          <cell r="F38" t="str">
            <v>0004</v>
          </cell>
          <cell r="G38" t="str">
            <v>국민은행</v>
          </cell>
          <cell r="H38" t="str">
            <v>224601-04-129755</v>
          </cell>
          <cell r="I38" t="str">
            <v>이현자(외향산)</v>
          </cell>
          <cell r="L38">
            <v>70</v>
          </cell>
        </row>
        <row r="39">
          <cell r="A39" t="str">
            <v>유군희</v>
          </cell>
          <cell r="B39" t="str">
            <v>조경공</v>
          </cell>
          <cell r="C39" t="str">
            <v>660220-1249131</v>
          </cell>
          <cell r="D39" t="str">
            <v>서울특별시 은평구 구산동 20-9 2/2</v>
          </cell>
          <cell r="E39" t="str">
            <v>010-3711-1935</v>
          </cell>
          <cell r="F39" t="str">
            <v>0020</v>
          </cell>
          <cell r="G39" t="str">
            <v>우리은행</v>
          </cell>
          <cell r="H39" t="str">
            <v>1002-539-484383</v>
          </cell>
          <cell r="I39" t="str">
            <v>유점희</v>
          </cell>
          <cell r="L39">
            <v>60</v>
          </cell>
        </row>
        <row r="40">
          <cell r="A40" t="str">
            <v>류시현</v>
          </cell>
          <cell r="B40" t="str">
            <v>조경공</v>
          </cell>
          <cell r="C40" t="str">
            <v>610927-1784016</v>
          </cell>
          <cell r="D40" t="str">
            <v>서울특별시 은평구 갈현로29길 53, 지층 B01호</v>
          </cell>
          <cell r="E40" t="str">
            <v>010-7609-0150</v>
          </cell>
          <cell r="F40" t="str">
            <v>0023</v>
          </cell>
          <cell r="G40" t="str">
            <v>제일은행</v>
          </cell>
          <cell r="H40" t="str">
            <v>580-20-374487</v>
          </cell>
          <cell r="I40" t="str">
            <v>류시현</v>
          </cell>
          <cell r="L40">
            <v>64</v>
          </cell>
        </row>
        <row r="41">
          <cell r="A41" t="str">
            <v>이복필</v>
          </cell>
          <cell r="B41" t="str">
            <v>조경공</v>
          </cell>
          <cell r="C41" t="str">
            <v>700523-5780194</v>
          </cell>
          <cell r="D41" t="str">
            <v>서울특별시 은평구 갈현1동 391-11</v>
          </cell>
          <cell r="E41" t="str">
            <v>010-8248-7978</v>
          </cell>
          <cell r="F41" t="str">
            <v>0011</v>
          </cell>
          <cell r="G41" t="str">
            <v>농협중앙회</v>
          </cell>
          <cell r="H41" t="str">
            <v>302-0008-5936-11</v>
          </cell>
          <cell r="I41" t="str">
            <v>LI FUBI</v>
          </cell>
          <cell r="L41">
            <v>55</v>
          </cell>
        </row>
        <row r="42">
          <cell r="A42" t="str">
            <v>김덕인</v>
          </cell>
          <cell r="B42" t="str">
            <v>조경공</v>
          </cell>
          <cell r="C42" t="str">
            <v>560218-1235012</v>
          </cell>
          <cell r="D42" t="str">
            <v>경기도 고양시 덕양구 보광로 18-13</v>
          </cell>
          <cell r="E42" t="str">
            <v>010-3273-5067</v>
          </cell>
          <cell r="F42" t="str">
            <v>0004</v>
          </cell>
          <cell r="G42" t="str">
            <v>국민은행</v>
          </cell>
          <cell r="H42" t="str">
            <v>024-01-0485-929</v>
          </cell>
          <cell r="I42" t="str">
            <v>김덕인</v>
          </cell>
          <cell r="L42">
            <v>70</v>
          </cell>
        </row>
        <row r="43">
          <cell r="A43" t="str">
            <v>남진원</v>
          </cell>
          <cell r="B43" t="str">
            <v>조경공</v>
          </cell>
          <cell r="C43" t="str">
            <v>640325-1580517</v>
          </cell>
          <cell r="D43" t="str">
            <v>서울특별시 은평구 불광동 567-1 2층 우측호</v>
          </cell>
          <cell r="E43" t="str">
            <v>010-4231-8211</v>
          </cell>
          <cell r="F43" t="str">
            <v>0020</v>
          </cell>
          <cell r="G43" t="str">
            <v>우리은행</v>
          </cell>
          <cell r="H43" t="str">
            <v>1002-655-064475</v>
          </cell>
          <cell r="I43" t="str">
            <v>남진원</v>
          </cell>
          <cell r="L43">
            <v>62</v>
          </cell>
        </row>
        <row r="44">
          <cell r="A44" t="str">
            <v>전형천</v>
          </cell>
          <cell r="B44" t="str">
            <v>조경공</v>
          </cell>
          <cell r="C44" t="str">
            <v>670605-1233623</v>
          </cell>
          <cell r="D44" t="str">
            <v>서울특별시 강서구 가양동 1478 도시개발아파트 405동 802호</v>
          </cell>
          <cell r="E44" t="str">
            <v>010-9219-3363</v>
          </cell>
          <cell r="F44" t="str">
            <v>0048</v>
          </cell>
          <cell r="G44" t="str">
            <v>신협중앙회</v>
          </cell>
          <cell r="H44" t="str">
            <v>132-131-314647</v>
          </cell>
          <cell r="I44" t="str">
            <v>전형천</v>
          </cell>
          <cell r="L44">
            <v>58</v>
          </cell>
        </row>
        <row r="45">
          <cell r="A45" t="str">
            <v>송영일</v>
          </cell>
          <cell r="B45" t="str">
            <v>보통인부</v>
          </cell>
          <cell r="C45" t="str">
            <v>810502-1348028</v>
          </cell>
          <cell r="D45" t="str">
            <v>부산 연제구 중앙대로 1120번길 24, 602호(연산동)</v>
          </cell>
          <cell r="E45" t="str">
            <v>010-4066-8152</v>
          </cell>
          <cell r="F45" t="str">
            <v>0011</v>
          </cell>
          <cell r="G45" t="str">
            <v>농협중앙회</v>
          </cell>
          <cell r="H45" t="str">
            <v>351-0230-2264-73</v>
          </cell>
          <cell r="I45" t="str">
            <v>송영일</v>
          </cell>
          <cell r="L45">
            <v>44</v>
          </cell>
        </row>
        <row r="46">
          <cell r="A46" t="str">
            <v>정해용</v>
          </cell>
          <cell r="B46" t="str">
            <v>조경공</v>
          </cell>
          <cell r="C46" t="str">
            <v>581026-1117913</v>
          </cell>
          <cell r="D46" t="str">
            <v>인천 연수구 독배로90번길 53,9동 B01호 옥련동,송광빌라</v>
          </cell>
          <cell r="E46" t="str">
            <v>010-6206-2192</v>
          </cell>
          <cell r="F46" t="str">
            <v>0003</v>
          </cell>
          <cell r="G46" t="str">
            <v>기업은행</v>
          </cell>
          <cell r="H46" t="str">
            <v>361-018197-02-016</v>
          </cell>
          <cell r="I46" t="str">
            <v>정해용</v>
          </cell>
          <cell r="L46">
            <v>67</v>
          </cell>
        </row>
        <row r="47">
          <cell r="A47" t="str">
            <v>강진선</v>
          </cell>
          <cell r="B47" t="str">
            <v>조경공</v>
          </cell>
          <cell r="C47" t="str">
            <v>520309-2149112</v>
          </cell>
          <cell r="D47" t="str">
            <v>인천 남구 용현동 124-14</v>
          </cell>
          <cell r="E47" t="str">
            <v>010-9516-0145</v>
          </cell>
          <cell r="F47" t="str">
            <v>0045</v>
          </cell>
          <cell r="G47" t="str">
            <v>새마을금고</v>
          </cell>
          <cell r="H47" t="str">
            <v>2235-09-011707-2</v>
          </cell>
          <cell r="I47" t="str">
            <v>강진선</v>
          </cell>
          <cell r="L47">
            <v>74</v>
          </cell>
        </row>
        <row r="48">
          <cell r="A48" t="str">
            <v>나연자</v>
          </cell>
          <cell r="B48" t="str">
            <v>보통인부</v>
          </cell>
          <cell r="C48" t="str">
            <v>530305-2148311</v>
          </cell>
          <cell r="D48" t="str">
            <v>인천시 남구 도화동 533-6</v>
          </cell>
          <cell r="E48" t="str">
            <v>010-3751-5258</v>
          </cell>
          <cell r="F48" t="str">
            <v>0020</v>
          </cell>
          <cell r="G48" t="str">
            <v>우리은행</v>
          </cell>
          <cell r="H48" t="str">
            <v>340-07-115896</v>
          </cell>
          <cell r="I48" t="str">
            <v>나연자</v>
          </cell>
          <cell r="L48">
            <v>73</v>
          </cell>
        </row>
        <row r="49">
          <cell r="A49" t="str">
            <v>배귀성</v>
          </cell>
          <cell r="B49" t="str">
            <v>보통인부</v>
          </cell>
          <cell r="C49" t="str">
            <v>510415-2258412</v>
          </cell>
          <cell r="D49" t="str">
            <v>인천시 남구 경인북길 321, 201호</v>
          </cell>
          <cell r="E49" t="str">
            <v>010-4597-1269</v>
          </cell>
          <cell r="F49" t="str">
            <v>0004</v>
          </cell>
          <cell r="G49" t="str">
            <v>국민은행</v>
          </cell>
          <cell r="H49" t="str">
            <v>644201-01-292074</v>
          </cell>
          <cell r="I49" t="str">
            <v>배귀성</v>
          </cell>
          <cell r="L49">
            <v>74</v>
          </cell>
        </row>
        <row r="50">
          <cell r="A50" t="str">
            <v>송록주</v>
          </cell>
          <cell r="B50" t="str">
            <v>보통인부</v>
          </cell>
          <cell r="C50" t="str">
            <v>550304-2018635</v>
          </cell>
          <cell r="D50" t="str">
            <v>인천시 남동구 간석동609</v>
          </cell>
          <cell r="E50" t="str">
            <v>010-9110-5950</v>
          </cell>
          <cell r="F50" t="str">
            <v>0011</v>
          </cell>
          <cell r="G50" t="str">
            <v>농협중앙회</v>
          </cell>
          <cell r="H50" t="str">
            <v>133-12-403184</v>
          </cell>
          <cell r="I50" t="str">
            <v>송록주</v>
          </cell>
          <cell r="L50">
            <v>71</v>
          </cell>
        </row>
        <row r="51">
          <cell r="A51" t="str">
            <v>이안순</v>
          </cell>
          <cell r="B51" t="str">
            <v>보통인부</v>
          </cell>
          <cell r="C51" t="str">
            <v>530317-2036617</v>
          </cell>
          <cell r="D51" t="str">
            <v>인천시 남구 인하로292</v>
          </cell>
          <cell r="E51" t="str">
            <v>010-8782-2561</v>
          </cell>
          <cell r="F51" t="str">
            <v>0088</v>
          </cell>
          <cell r="G51" t="str">
            <v>신한은행</v>
          </cell>
          <cell r="H51" t="str">
            <v>110-012-119990</v>
          </cell>
          <cell r="I51" t="str">
            <v>이안순</v>
          </cell>
          <cell r="L51">
            <v>73</v>
          </cell>
        </row>
        <row r="52">
          <cell r="A52" t="str">
            <v>이장임</v>
          </cell>
          <cell r="B52" t="str">
            <v>보통인부</v>
          </cell>
          <cell r="C52" t="str">
            <v>550304-2529011</v>
          </cell>
          <cell r="D52" t="str">
            <v>인천시 남구 주안동 851-2</v>
          </cell>
          <cell r="E52" t="str">
            <v>010-2447-4697</v>
          </cell>
          <cell r="F52" t="str">
            <v>0027</v>
          </cell>
          <cell r="G52" t="str">
            <v>한국시티은행</v>
          </cell>
          <cell r="H52" t="str">
            <v>435-25191-269</v>
          </cell>
          <cell r="I52" t="str">
            <v>이장임</v>
          </cell>
          <cell r="L52">
            <v>71</v>
          </cell>
        </row>
        <row r="53">
          <cell r="A53" t="str">
            <v>전금순</v>
          </cell>
          <cell r="B53" t="str">
            <v>보통인부</v>
          </cell>
          <cell r="C53" t="str">
            <v>540308-2144512</v>
          </cell>
          <cell r="D53" t="str">
            <v>인천시 남구 주안동1600</v>
          </cell>
          <cell r="E53" t="str">
            <v>010-2748-2226</v>
          </cell>
          <cell r="F53" t="str">
            <v>0011</v>
          </cell>
          <cell r="G53" t="str">
            <v>농협중앙회</v>
          </cell>
          <cell r="H53" t="str">
            <v>352-0630-4707-63</v>
          </cell>
          <cell r="I53" t="str">
            <v>전금순</v>
          </cell>
          <cell r="L53">
            <v>72</v>
          </cell>
        </row>
        <row r="54">
          <cell r="A54" t="str">
            <v>조순애</v>
          </cell>
          <cell r="B54" t="str">
            <v>보통인부</v>
          </cell>
          <cell r="C54" t="str">
            <v>540424-2025116</v>
          </cell>
          <cell r="D54" t="str">
            <v>인천시 남구 도황동 142-11</v>
          </cell>
          <cell r="E54" t="str">
            <v>010-6282-1878</v>
          </cell>
          <cell r="F54" t="str">
            <v>0011</v>
          </cell>
          <cell r="G54" t="str">
            <v>농협중앙회</v>
          </cell>
          <cell r="H54" t="str">
            <v>352-2084-6306-13</v>
          </cell>
          <cell r="I54" t="str">
            <v>조순애</v>
          </cell>
          <cell r="L54">
            <v>71</v>
          </cell>
        </row>
        <row r="55">
          <cell r="A55" t="str">
            <v>진순금</v>
          </cell>
          <cell r="B55" t="str">
            <v>조경공</v>
          </cell>
          <cell r="C55" t="str">
            <v>540913-2394217</v>
          </cell>
          <cell r="D55" t="str">
            <v>인천 남동구 논현동 635-1 논현휴먼시아 하늘마을 316동 704호</v>
          </cell>
          <cell r="E55" t="str">
            <v>010-5361-8975</v>
          </cell>
          <cell r="F55" t="str">
            <v>0011</v>
          </cell>
          <cell r="G55" t="str">
            <v>농협중앙회</v>
          </cell>
          <cell r="H55" t="str">
            <v>351-0314-5156-53</v>
          </cell>
          <cell r="I55" t="str">
            <v>진순금</v>
          </cell>
          <cell r="L55">
            <v>71</v>
          </cell>
        </row>
        <row r="56">
          <cell r="F56" t="str">
            <v/>
          </cell>
          <cell r="L56" t="str">
            <v/>
          </cell>
        </row>
        <row r="57">
          <cell r="A57" t="str">
            <v>이병호</v>
          </cell>
          <cell r="B57" t="str">
            <v>조경공</v>
          </cell>
          <cell r="C57" t="str">
            <v>590724-1321219</v>
          </cell>
          <cell r="D57" t="str">
            <v>경기도 용인시 처인구 김량장 159-22</v>
          </cell>
          <cell r="E57" t="str">
            <v>010-3797-7304</v>
          </cell>
          <cell r="F57" t="str">
            <v>0011</v>
          </cell>
          <cell r="G57" t="str">
            <v>농협중앙회</v>
          </cell>
          <cell r="H57" t="str">
            <v>235020-52-083554</v>
          </cell>
          <cell r="I57" t="str">
            <v>이병호</v>
          </cell>
          <cell r="L57">
            <v>66</v>
          </cell>
        </row>
        <row r="58">
          <cell r="A58" t="str">
            <v>이병묵</v>
          </cell>
          <cell r="B58" t="str">
            <v>조경공</v>
          </cell>
          <cell r="C58" t="str">
            <v>630504-1321213</v>
          </cell>
          <cell r="D58" t="str">
            <v>경기도 수원시 장안구 장안로 211</v>
          </cell>
          <cell r="E58" t="str">
            <v>010-9050-5294</v>
          </cell>
          <cell r="F58" t="str">
            <v>0011</v>
          </cell>
          <cell r="G58" t="str">
            <v>농협중앙회</v>
          </cell>
          <cell r="H58" t="str">
            <v>356-1148-2295-63</v>
          </cell>
          <cell r="I58" t="str">
            <v>이병묵</v>
          </cell>
          <cell r="L58">
            <v>62</v>
          </cell>
        </row>
        <row r="59">
          <cell r="A59" t="str">
            <v>이춘식</v>
          </cell>
          <cell r="B59" t="str">
            <v>조경공</v>
          </cell>
          <cell r="C59" t="str">
            <v>610213-1229113</v>
          </cell>
          <cell r="D59" t="str">
            <v>경기도 용인시 처인구 유방동 93</v>
          </cell>
          <cell r="E59" t="str">
            <v>010-9014-4004</v>
          </cell>
          <cell r="F59" t="str">
            <v>0011</v>
          </cell>
          <cell r="G59" t="str">
            <v>농협중앙회</v>
          </cell>
          <cell r="H59" t="str">
            <v>235010-56-164581</v>
          </cell>
          <cell r="I59" t="str">
            <v>이춘식</v>
          </cell>
          <cell r="L59">
            <v>65</v>
          </cell>
        </row>
        <row r="60">
          <cell r="A60" t="str">
            <v>CUI SONGZHE</v>
          </cell>
          <cell r="B60" t="str">
            <v>조경공</v>
          </cell>
          <cell r="C60" t="str">
            <v>630418-5101795</v>
          </cell>
          <cell r="D60" t="str">
            <v>경기도 용인시 처인구 금령로 93번길 12-6</v>
          </cell>
          <cell r="E60" t="str">
            <v>010-5755-8878</v>
          </cell>
          <cell r="F60" t="str">
            <v>0011</v>
          </cell>
          <cell r="G60" t="str">
            <v>농협중앙회</v>
          </cell>
          <cell r="H60" t="str">
            <v>302-0699-9766-61</v>
          </cell>
          <cell r="I60" t="str">
            <v>CUI SONGZHE</v>
          </cell>
          <cell r="L60">
            <v>62</v>
          </cell>
        </row>
        <row r="61">
          <cell r="A61" t="str">
            <v>LI GUANGSHAN</v>
          </cell>
          <cell r="B61" t="str">
            <v>조경공</v>
          </cell>
          <cell r="C61" t="str">
            <v>741015-5761090</v>
          </cell>
          <cell r="D61" t="str">
            <v>경기도 용인시 처인구 학산로 69</v>
          </cell>
          <cell r="E61" t="str">
            <v>010-8689-6778</v>
          </cell>
          <cell r="F61" t="str">
            <v>0011</v>
          </cell>
          <cell r="G61" t="str">
            <v>농협중앙회</v>
          </cell>
          <cell r="H61" t="str">
            <v>351-0394-9779-43</v>
          </cell>
          <cell r="I61" t="str">
            <v>LI GUANGSHAN</v>
          </cell>
          <cell r="L61">
            <v>51</v>
          </cell>
        </row>
        <row r="62">
          <cell r="A62" t="str">
            <v>QUAN GUANGSHI</v>
          </cell>
          <cell r="B62" t="str">
            <v>조경공</v>
          </cell>
          <cell r="C62" t="str">
            <v>550312-5300299</v>
          </cell>
          <cell r="D62" t="str">
            <v>경기도 용인시 처인구 금학로 383번길</v>
          </cell>
          <cell r="E62" t="str">
            <v>010-3115-9188</v>
          </cell>
          <cell r="F62" t="str">
            <v>0045</v>
          </cell>
          <cell r="G62" t="str">
            <v>새마을금고</v>
          </cell>
          <cell r="H62" t="str">
            <v>9003-2802-2730-1</v>
          </cell>
          <cell r="I62" t="str">
            <v>QUAN GUANGSHI</v>
          </cell>
          <cell r="L62">
            <v>71</v>
          </cell>
        </row>
        <row r="63">
          <cell r="A63" t="str">
            <v>이성회</v>
          </cell>
          <cell r="B63" t="str">
            <v>조경공</v>
          </cell>
          <cell r="C63" t="str">
            <v>730117-1821011</v>
          </cell>
          <cell r="D63" t="str">
            <v>경상남도 창원시 마산합포구 장장군로 3</v>
          </cell>
          <cell r="E63" t="str">
            <v>010-5495-9645</v>
          </cell>
          <cell r="F63" t="str">
            <v>0081</v>
          </cell>
          <cell r="G63" t="str">
            <v>KEB하나은행</v>
          </cell>
          <cell r="H63" t="str">
            <v>346-910740-02107</v>
          </cell>
          <cell r="I63" t="str">
            <v>이성회</v>
          </cell>
          <cell r="L63">
            <v>53</v>
          </cell>
        </row>
        <row r="64">
          <cell r="A64" t="str">
            <v>김우용</v>
          </cell>
          <cell r="B64" t="str">
            <v>조경공</v>
          </cell>
          <cell r="C64" t="str">
            <v>550713-1249716</v>
          </cell>
          <cell r="D64" t="str">
            <v>경기도 용인시 처인구 포곡읍 포곡로 108번길</v>
          </cell>
          <cell r="E64" t="str">
            <v>010-7215-4530</v>
          </cell>
          <cell r="F64" t="str">
            <v>0045</v>
          </cell>
          <cell r="G64" t="str">
            <v>새마을금고</v>
          </cell>
          <cell r="H64" t="str">
            <v>9003-2360-9222-2</v>
          </cell>
          <cell r="I64" t="str">
            <v>김우용</v>
          </cell>
          <cell r="L64">
            <v>70</v>
          </cell>
        </row>
        <row r="65">
          <cell r="A65" t="str">
            <v>조왕행</v>
          </cell>
          <cell r="B65" t="str">
            <v>조경공</v>
          </cell>
          <cell r="C65" t="str">
            <v>470518-1329213</v>
          </cell>
          <cell r="D65" t="str">
            <v>경기도 용인시 처인구 금령로 106번길</v>
          </cell>
          <cell r="E65" t="str">
            <v>010-8780-8916</v>
          </cell>
          <cell r="F65" t="str">
            <v>0011</v>
          </cell>
          <cell r="G65" t="str">
            <v>농협중앙회</v>
          </cell>
          <cell r="H65" t="str">
            <v>356-1489-0156-23</v>
          </cell>
          <cell r="I65" t="str">
            <v>조왕행</v>
          </cell>
          <cell r="L65">
            <v>78</v>
          </cell>
        </row>
        <row r="66">
          <cell r="A66" t="str">
            <v>이미정</v>
          </cell>
          <cell r="B66" t="str">
            <v>신호수</v>
          </cell>
          <cell r="C66" t="str">
            <v>700520-2909022</v>
          </cell>
          <cell r="D66" t="str">
            <v>경기도 용인시 기흥구 동백8로 131번길 20</v>
          </cell>
          <cell r="E66" t="str">
            <v>010-5527-0633</v>
          </cell>
          <cell r="F66" t="str">
            <v>0088</v>
          </cell>
          <cell r="G66" t="str">
            <v>신한은행</v>
          </cell>
          <cell r="H66" t="str">
            <v>110-240-521583</v>
          </cell>
          <cell r="I66" t="str">
            <v>이미정</v>
          </cell>
          <cell r="L66">
            <v>55</v>
          </cell>
        </row>
        <row r="67">
          <cell r="A67" t="str">
            <v>김명선</v>
          </cell>
          <cell r="B67" t="str">
            <v>조경공</v>
          </cell>
          <cell r="C67" t="str">
            <v>570219-1526525</v>
          </cell>
          <cell r="D67" t="str">
            <v>서울시 영등포구 신길 2176</v>
          </cell>
          <cell r="E67" t="str">
            <v>010-5217-1834</v>
          </cell>
          <cell r="F67" t="str">
            <v>0088</v>
          </cell>
          <cell r="G67" t="str">
            <v>신한은행</v>
          </cell>
          <cell r="H67" t="str">
            <v>110-059-759360</v>
          </cell>
          <cell r="I67" t="str">
            <v>김명선</v>
          </cell>
          <cell r="L67">
            <v>69</v>
          </cell>
        </row>
        <row r="68">
          <cell r="F68" t="str">
            <v/>
          </cell>
          <cell r="L68" t="str">
            <v/>
          </cell>
        </row>
        <row r="69">
          <cell r="A69" t="str">
            <v>장진권</v>
          </cell>
          <cell r="B69" t="str">
            <v>용역</v>
          </cell>
          <cell r="C69" t="str">
            <v>571216-1069414</v>
          </cell>
          <cell r="D69" t="str">
            <v>경기도 용인시 처인구 포곡읍 포곡로118번길</v>
          </cell>
          <cell r="E69" t="str">
            <v>010-6312-5256</v>
          </cell>
          <cell r="F69" t="str">
            <v>0011</v>
          </cell>
          <cell r="G69" t="str">
            <v>농협중앙회</v>
          </cell>
          <cell r="H69" t="str">
            <v>352-0309-1895-63</v>
          </cell>
          <cell r="I69" t="str">
            <v>장진권</v>
          </cell>
          <cell r="L69">
            <v>68</v>
          </cell>
        </row>
        <row r="70">
          <cell r="A70" t="str">
            <v>김성준</v>
          </cell>
          <cell r="B70" t="str">
            <v>용역</v>
          </cell>
          <cell r="C70" t="str">
            <v>610125-1249228</v>
          </cell>
          <cell r="D70" t="str">
            <v>경기도 용인시 포곡면 마성리 304-2</v>
          </cell>
          <cell r="E70" t="str">
            <v>010-4615-4531</v>
          </cell>
          <cell r="F70" t="str">
            <v>0011</v>
          </cell>
          <cell r="G70" t="str">
            <v>농협중앙회</v>
          </cell>
          <cell r="H70" t="str">
            <v>352-1734-3501-63</v>
          </cell>
          <cell r="I70" t="str">
            <v>김성준</v>
          </cell>
          <cell r="L70">
            <v>65</v>
          </cell>
        </row>
        <row r="71">
          <cell r="A71" t="str">
            <v>유호열</v>
          </cell>
          <cell r="B71" t="str">
            <v>용역</v>
          </cell>
          <cell r="C71" t="str">
            <v>600805-1233826</v>
          </cell>
          <cell r="D71" t="str">
            <v>경기도 용인시 처인구 포곡읍 포곡로 272번길</v>
          </cell>
          <cell r="E71" t="str">
            <v>010-3409-1127</v>
          </cell>
          <cell r="F71" t="str">
            <v>0011</v>
          </cell>
          <cell r="G71" t="str">
            <v>농협중앙회</v>
          </cell>
          <cell r="H71" t="str">
            <v>351-1324-2250-13</v>
          </cell>
          <cell r="I71" t="str">
            <v>유호열</v>
          </cell>
          <cell r="L71">
            <v>65</v>
          </cell>
        </row>
        <row r="72">
          <cell r="F72" t="str">
            <v/>
          </cell>
          <cell r="L72" t="str">
            <v/>
          </cell>
        </row>
        <row r="73">
          <cell r="A73" t="str">
            <v>박찬식</v>
          </cell>
          <cell r="B73" t="str">
            <v>보통인부</v>
          </cell>
          <cell r="C73" t="str">
            <v>590407-1906717</v>
          </cell>
          <cell r="D73" t="str">
            <v>부산광역시 동구 작전동 768-26</v>
          </cell>
          <cell r="E73" t="str">
            <v>010-3837-5876</v>
          </cell>
          <cell r="F73" t="str">
            <v>0011</v>
          </cell>
          <cell r="G73" t="str">
            <v>농협중앙회</v>
          </cell>
          <cell r="H73" t="str">
            <v>211041-56-176755</v>
          </cell>
          <cell r="I73" t="str">
            <v>박찬식</v>
          </cell>
          <cell r="L73">
            <v>66</v>
          </cell>
        </row>
        <row r="74">
          <cell r="A74" t="str">
            <v>조영제</v>
          </cell>
          <cell r="B74" t="str">
            <v>보통인부</v>
          </cell>
          <cell r="C74" t="str">
            <v>600326-1822229</v>
          </cell>
          <cell r="D74" t="str">
            <v>경상남도 창원시 마산합포구 산호남3길 6-1</v>
          </cell>
          <cell r="E74" t="str">
            <v>010-8031-5915</v>
          </cell>
          <cell r="F74" t="str">
            <v>0071</v>
          </cell>
          <cell r="G74" t="str">
            <v>우체국</v>
          </cell>
          <cell r="H74" t="str">
            <v>110-0027-29329</v>
          </cell>
          <cell r="I74" t="str">
            <v>조영제</v>
          </cell>
          <cell r="L74">
            <v>66</v>
          </cell>
        </row>
        <row r="75">
          <cell r="A75" t="str">
            <v>박용선</v>
          </cell>
          <cell r="B75" t="str">
            <v>보통인부</v>
          </cell>
          <cell r="C75" t="str">
            <v>670318-1237525</v>
          </cell>
          <cell r="D75" t="str">
            <v>서울시 강서구 강서로8길 192</v>
          </cell>
          <cell r="E75" t="str">
            <v>010-5300-0045</v>
          </cell>
          <cell r="F75" t="str">
            <v>0071</v>
          </cell>
          <cell r="G75" t="str">
            <v>우체국</v>
          </cell>
          <cell r="H75" t="str">
            <v>013243-02-236841</v>
          </cell>
          <cell r="I75" t="str">
            <v>박용선</v>
          </cell>
          <cell r="L75">
            <v>59</v>
          </cell>
        </row>
        <row r="76">
          <cell r="A76" t="str">
            <v>NIGAY VLADIMIR</v>
          </cell>
          <cell r="B76" t="str">
            <v>보통인부</v>
          </cell>
          <cell r="C76" t="str">
            <v>641216-5820035</v>
          </cell>
          <cell r="D76" t="str">
            <v>경기도 안산시 상로구 둥지길4</v>
          </cell>
          <cell r="E76" t="str">
            <v>010-5755-4575</v>
          </cell>
          <cell r="F76" t="str">
            <v>0004</v>
          </cell>
          <cell r="G76" t="str">
            <v>국민은행</v>
          </cell>
          <cell r="H76" t="str">
            <v>784501-00-427717</v>
          </cell>
          <cell r="I76" t="str">
            <v>NIGAY VLADIMIR</v>
          </cell>
          <cell r="L76">
            <v>61</v>
          </cell>
        </row>
        <row r="77">
          <cell r="A77" t="str">
            <v>NIGAY ANATOLIY</v>
          </cell>
          <cell r="B77" t="str">
            <v>보통인부</v>
          </cell>
          <cell r="C77" t="str">
            <v>020521-7820013</v>
          </cell>
          <cell r="D77" t="str">
            <v>경기도 안산시 상로구 둥지길4</v>
          </cell>
          <cell r="E77" t="str">
            <v>010-4448-2403</v>
          </cell>
          <cell r="F77" t="str">
            <v>0088</v>
          </cell>
          <cell r="G77" t="str">
            <v>신한은행</v>
          </cell>
          <cell r="H77" t="str">
            <v>110-529-925219</v>
          </cell>
          <cell r="I77" t="str">
            <v>NIGAY ANATOLIY</v>
          </cell>
          <cell r="L77">
            <v>23</v>
          </cell>
        </row>
        <row r="78">
          <cell r="A78" t="str">
            <v>박찬구</v>
          </cell>
          <cell r="B78" t="str">
            <v>보통인부</v>
          </cell>
          <cell r="C78" t="str">
            <v>570411-1640313</v>
          </cell>
          <cell r="D78" t="str">
            <v>경기도 김포시 하성면 전류리 67-9</v>
          </cell>
          <cell r="E78" t="str">
            <v>010-9313-6807</v>
          </cell>
          <cell r="F78" t="str">
            <v>0011</v>
          </cell>
          <cell r="G78" t="str">
            <v>농협중앙회</v>
          </cell>
          <cell r="H78" t="str">
            <v>351-0499-5374-13</v>
          </cell>
          <cell r="I78" t="str">
            <v>박찬구</v>
          </cell>
          <cell r="L78">
            <v>68</v>
          </cell>
        </row>
        <row r="79">
          <cell r="A79" t="str">
            <v>이제훈</v>
          </cell>
          <cell r="B79" t="str">
            <v>보통인부</v>
          </cell>
          <cell r="C79" t="str">
            <v>560525-1244814</v>
          </cell>
          <cell r="D79" t="str">
            <v>경기도 남양주시 별내3로 23</v>
          </cell>
          <cell r="E79" t="str">
            <v>010-5272-2183</v>
          </cell>
          <cell r="F79" t="str">
            <v>0011</v>
          </cell>
          <cell r="G79" t="str">
            <v>농협중앙회</v>
          </cell>
          <cell r="H79" t="str">
            <v>100027-51-038748</v>
          </cell>
          <cell r="I79" t="str">
            <v>이제훈</v>
          </cell>
          <cell r="L79">
            <v>69</v>
          </cell>
        </row>
        <row r="80">
          <cell r="A80" t="str">
            <v>이주흥</v>
          </cell>
          <cell r="B80" t="str">
            <v>보통인부</v>
          </cell>
          <cell r="C80" t="str">
            <v>580616-1010426</v>
          </cell>
          <cell r="D80" t="str">
            <v>서울시 강동구 상일로 74</v>
          </cell>
          <cell r="E80" t="str">
            <v>010-5459-6046</v>
          </cell>
          <cell r="F80" t="str">
            <v>0020</v>
          </cell>
          <cell r="G80" t="str">
            <v>우리은행</v>
          </cell>
          <cell r="H80" t="str">
            <v>1002-843-373434</v>
          </cell>
          <cell r="I80" t="str">
            <v>이주흥</v>
          </cell>
          <cell r="L80">
            <v>67</v>
          </cell>
        </row>
        <row r="81">
          <cell r="F81" t="str">
            <v/>
          </cell>
          <cell r="L81" t="str">
            <v/>
          </cell>
        </row>
        <row r="82">
          <cell r="A82" t="str">
            <v>용석규</v>
          </cell>
          <cell r="B82" t="str">
            <v>조경공</v>
          </cell>
          <cell r="C82" t="str">
            <v>670403-1340511</v>
          </cell>
          <cell r="D82" t="str">
            <v>경기도 용인시 처인구 포곡읍 진성로21</v>
          </cell>
          <cell r="E82" t="str">
            <v>010-5252-1269</v>
          </cell>
          <cell r="F82" t="str">
            <v>0011</v>
          </cell>
          <cell r="G82" t="str">
            <v>농협중앙회</v>
          </cell>
          <cell r="H82" t="str">
            <v>235020-52-023971</v>
          </cell>
          <cell r="I82" t="str">
            <v>용석규</v>
          </cell>
          <cell r="L82">
            <v>58</v>
          </cell>
        </row>
        <row r="83">
          <cell r="A83" t="str">
            <v>이상옥</v>
          </cell>
          <cell r="B83" t="str">
            <v>조경공</v>
          </cell>
          <cell r="C83" t="str">
            <v>511216-1330619</v>
          </cell>
          <cell r="D83" t="str">
            <v>경기도 용인시 처인구 포곡읍 부곡로32번길 9</v>
          </cell>
          <cell r="E83" t="str">
            <v>010-8524-8490</v>
          </cell>
          <cell r="F83" t="str">
            <v>0011</v>
          </cell>
          <cell r="G83" t="str">
            <v>농협중앙회</v>
          </cell>
          <cell r="H83" t="str">
            <v>235020-51-054834</v>
          </cell>
          <cell r="I83" t="str">
            <v>이상옥</v>
          </cell>
          <cell r="L83">
            <v>74</v>
          </cell>
        </row>
        <row r="84">
          <cell r="A84" t="str">
            <v>이상운</v>
          </cell>
          <cell r="B84" t="str">
            <v>조경공</v>
          </cell>
          <cell r="C84" t="str">
            <v>601014-1340513</v>
          </cell>
          <cell r="D84" t="str">
            <v>경기도 용인시 처인구 포곡읍 전대로 63-3</v>
          </cell>
          <cell r="E84" t="str">
            <v>010-4382-2000</v>
          </cell>
          <cell r="F84" t="str">
            <v>0011</v>
          </cell>
          <cell r="G84" t="str">
            <v>농협중앙회</v>
          </cell>
          <cell r="H84" t="str">
            <v>235020-52-135860</v>
          </cell>
          <cell r="I84" t="str">
            <v>이상운</v>
          </cell>
          <cell r="L84">
            <v>65</v>
          </cell>
        </row>
        <row r="85">
          <cell r="A85" t="str">
            <v>김영환</v>
          </cell>
          <cell r="B85" t="str">
            <v>조경공</v>
          </cell>
          <cell r="C85" t="str">
            <v>520910-1252412</v>
          </cell>
          <cell r="D85" t="str">
            <v>경기도 용인시 처인구 고림로22</v>
          </cell>
          <cell r="E85" t="str">
            <v>010-4025-8994</v>
          </cell>
          <cell r="F85" t="str">
            <v>0071</v>
          </cell>
          <cell r="G85" t="str">
            <v>우체국</v>
          </cell>
          <cell r="H85" t="str">
            <v>110-0137-51851</v>
          </cell>
          <cell r="I85" t="str">
            <v>김영환</v>
          </cell>
          <cell r="L85">
            <v>73</v>
          </cell>
        </row>
        <row r="86">
          <cell r="A86" t="str">
            <v>정만진</v>
          </cell>
          <cell r="B86" t="str">
            <v>조경공</v>
          </cell>
          <cell r="C86" t="str">
            <v>620603-1249135</v>
          </cell>
          <cell r="D86" t="str">
            <v>경기도 용인시 고림동 438</v>
          </cell>
          <cell r="E86" t="str">
            <v>010-6256-0489</v>
          </cell>
          <cell r="F86" t="str">
            <v>0011</v>
          </cell>
          <cell r="G86" t="str">
            <v>농협중앙회</v>
          </cell>
          <cell r="H86" t="str">
            <v>356-0712-8412-33</v>
          </cell>
          <cell r="I86" t="str">
            <v>정만진</v>
          </cell>
          <cell r="L86">
            <v>63</v>
          </cell>
        </row>
        <row r="87">
          <cell r="A87" t="str">
            <v>권경준</v>
          </cell>
          <cell r="B87" t="str">
            <v>조경공</v>
          </cell>
          <cell r="C87" t="str">
            <v>541217-1675619</v>
          </cell>
          <cell r="D87" t="str">
            <v>경기도 용인시 처인구 금학로399번길 11</v>
          </cell>
          <cell r="E87" t="str">
            <v>010-4079-8915</v>
          </cell>
          <cell r="F87" t="str">
            <v>0011</v>
          </cell>
          <cell r="G87" t="str">
            <v>농협중앙회</v>
          </cell>
          <cell r="H87" t="str">
            <v>207179-56-172156</v>
          </cell>
          <cell r="I87" t="str">
            <v>권경준</v>
          </cell>
          <cell r="L87">
            <v>71</v>
          </cell>
        </row>
        <row r="88">
          <cell r="A88" t="str">
            <v>김재현</v>
          </cell>
          <cell r="B88" t="str">
            <v>조경공</v>
          </cell>
          <cell r="C88" t="str">
            <v>550115-1006023</v>
          </cell>
          <cell r="D88" t="str">
            <v>경기도 용인시 기흥구 삼하636</v>
          </cell>
          <cell r="E88" t="str">
            <v>010-7134-3773</v>
          </cell>
          <cell r="F88" t="str">
            <v>0011</v>
          </cell>
          <cell r="G88" t="str">
            <v>농협중앙회</v>
          </cell>
          <cell r="H88" t="str">
            <v>302-0765-9777-11</v>
          </cell>
          <cell r="I88" t="str">
            <v>김재현</v>
          </cell>
          <cell r="L88">
            <v>71</v>
          </cell>
        </row>
        <row r="89">
          <cell r="A89" t="str">
            <v>박진상</v>
          </cell>
          <cell r="B89" t="str">
            <v>조경공</v>
          </cell>
          <cell r="C89" t="str">
            <v>560823-1665841</v>
          </cell>
          <cell r="D89" t="str">
            <v>경기도 용인시 처인구 포곡읍 전대로69번길 6</v>
          </cell>
          <cell r="E89" t="str">
            <v>010-2771-3622</v>
          </cell>
          <cell r="F89" t="str">
            <v>0011</v>
          </cell>
          <cell r="G89" t="str">
            <v>농협중앙회</v>
          </cell>
          <cell r="H89" t="str">
            <v>235020-51-016240</v>
          </cell>
          <cell r="I89" t="str">
            <v>박진상</v>
          </cell>
          <cell r="L89">
            <v>69</v>
          </cell>
        </row>
        <row r="90">
          <cell r="A90" t="str">
            <v>LI FUBI</v>
          </cell>
          <cell r="B90" t="str">
            <v>조경공</v>
          </cell>
          <cell r="C90" t="str">
            <v>700523-5780194</v>
          </cell>
          <cell r="D90" t="str">
            <v>서울특별시 은평구 갈현1동 391-11</v>
          </cell>
          <cell r="E90" t="str">
            <v>010-8248-7978</v>
          </cell>
          <cell r="F90" t="str">
            <v>0011</v>
          </cell>
          <cell r="G90" t="str">
            <v>농협중앙회</v>
          </cell>
          <cell r="H90" t="str">
            <v>302-0008-5936-11</v>
          </cell>
          <cell r="I90" t="str">
            <v>LI FUBI</v>
          </cell>
          <cell r="L90">
            <v>55</v>
          </cell>
        </row>
        <row r="91">
          <cell r="A91" t="str">
            <v>조선환</v>
          </cell>
          <cell r="B91" t="str">
            <v>석공</v>
          </cell>
          <cell r="C91" t="str">
            <v>581220-1222024</v>
          </cell>
          <cell r="D91" t="str">
            <v>인천광역시 남동구 청능대로718번길 7</v>
          </cell>
          <cell r="E91" t="str">
            <v>010-8776-1868</v>
          </cell>
          <cell r="F91" t="str">
            <v>0011</v>
          </cell>
          <cell r="G91" t="str">
            <v>농협중앙회</v>
          </cell>
          <cell r="H91" t="str">
            <v>130012-52-229539</v>
          </cell>
          <cell r="I91" t="str">
            <v>조선환</v>
          </cell>
          <cell r="L91">
            <v>67</v>
          </cell>
        </row>
        <row r="92">
          <cell r="F92" t="str">
            <v/>
          </cell>
          <cell r="L92" t="str">
            <v/>
          </cell>
        </row>
        <row r="93">
          <cell r="F93" t="str">
            <v/>
          </cell>
          <cell r="L93" t="str">
            <v/>
          </cell>
        </row>
        <row r="94">
          <cell r="F94" t="str">
            <v/>
          </cell>
          <cell r="L94" t="str">
            <v/>
          </cell>
        </row>
        <row r="95">
          <cell r="F95" t="str">
            <v/>
          </cell>
          <cell r="L95" t="str">
            <v/>
          </cell>
        </row>
        <row r="96">
          <cell r="F96" t="str">
            <v/>
          </cell>
          <cell r="L96" t="str">
            <v/>
          </cell>
        </row>
        <row r="97">
          <cell r="F97" t="str">
            <v/>
          </cell>
          <cell r="L97" t="str">
            <v/>
          </cell>
        </row>
        <row r="98">
          <cell r="F98" t="str">
            <v/>
          </cell>
          <cell r="L98" t="str">
            <v/>
          </cell>
        </row>
        <row r="99">
          <cell r="F99" t="str">
            <v/>
          </cell>
          <cell r="L99" t="str">
            <v/>
          </cell>
        </row>
        <row r="100">
          <cell r="F100" t="str">
            <v/>
          </cell>
          <cell r="L100" t="str">
            <v/>
          </cell>
        </row>
        <row r="101">
          <cell r="F101" t="str">
            <v/>
          </cell>
          <cell r="L101" t="str">
            <v/>
          </cell>
        </row>
        <row r="102">
          <cell r="F102" t="str">
            <v/>
          </cell>
          <cell r="L102" t="str">
            <v/>
          </cell>
        </row>
        <row r="103">
          <cell r="F103" t="str">
            <v/>
          </cell>
          <cell r="L103" t="str">
            <v/>
          </cell>
        </row>
        <row r="104">
          <cell r="F104" t="str">
            <v/>
          </cell>
          <cell r="L104" t="str">
            <v/>
          </cell>
        </row>
        <row r="105">
          <cell r="F105" t="str">
            <v/>
          </cell>
          <cell r="L105" t="str">
            <v/>
          </cell>
        </row>
        <row r="106">
          <cell r="F106" t="str">
            <v/>
          </cell>
          <cell r="L106" t="str">
            <v/>
          </cell>
        </row>
        <row r="107">
          <cell r="F107" t="str">
            <v/>
          </cell>
          <cell r="L107" t="str">
            <v/>
          </cell>
        </row>
        <row r="108">
          <cell r="F108" t="str">
            <v/>
          </cell>
          <cell r="L108" t="str">
            <v/>
          </cell>
        </row>
        <row r="109">
          <cell r="F109" t="str">
            <v/>
          </cell>
          <cell r="L109" t="str">
            <v/>
          </cell>
        </row>
        <row r="110">
          <cell r="F110" t="str">
            <v/>
          </cell>
          <cell r="L110" t="str">
            <v/>
          </cell>
        </row>
        <row r="111">
          <cell r="F111" t="str">
            <v/>
          </cell>
          <cell r="L111" t="str">
            <v/>
          </cell>
        </row>
        <row r="112">
          <cell r="F112" t="str">
            <v/>
          </cell>
          <cell r="L112" t="str">
            <v/>
          </cell>
        </row>
        <row r="113">
          <cell r="F113" t="str">
            <v/>
          </cell>
          <cell r="L113" t="str">
            <v/>
          </cell>
        </row>
        <row r="114">
          <cell r="F114" t="str">
            <v/>
          </cell>
          <cell r="L114" t="str">
            <v/>
          </cell>
        </row>
        <row r="115">
          <cell r="F115" t="str">
            <v/>
          </cell>
          <cell r="L115" t="str">
            <v/>
          </cell>
        </row>
        <row r="116">
          <cell r="F116" t="str">
            <v/>
          </cell>
          <cell r="L116" t="str">
            <v/>
          </cell>
        </row>
        <row r="117">
          <cell r="F117" t="str">
            <v/>
          </cell>
          <cell r="L117" t="str">
            <v/>
          </cell>
        </row>
        <row r="118">
          <cell r="F118" t="str">
            <v/>
          </cell>
          <cell r="L118" t="str">
            <v/>
          </cell>
        </row>
        <row r="119">
          <cell r="F119" t="str">
            <v/>
          </cell>
          <cell r="L119" t="str">
            <v/>
          </cell>
        </row>
        <row r="120">
          <cell r="F120" t="str">
            <v/>
          </cell>
          <cell r="L120" t="str">
            <v/>
          </cell>
        </row>
        <row r="121">
          <cell r="F121" t="str">
            <v/>
          </cell>
          <cell r="L121" t="str">
            <v/>
          </cell>
        </row>
        <row r="122">
          <cell r="F122" t="str">
            <v/>
          </cell>
          <cell r="L122" t="str">
            <v/>
          </cell>
        </row>
        <row r="123">
          <cell r="F123" t="str">
            <v/>
          </cell>
          <cell r="L123" t="str">
            <v/>
          </cell>
        </row>
        <row r="124">
          <cell r="F124" t="str">
            <v/>
          </cell>
          <cell r="L124" t="str">
            <v/>
          </cell>
        </row>
        <row r="125">
          <cell r="F125" t="str">
            <v/>
          </cell>
          <cell r="L125" t="str">
            <v/>
          </cell>
        </row>
        <row r="126">
          <cell r="F126" t="str">
            <v/>
          </cell>
          <cell r="L126" t="str">
            <v/>
          </cell>
        </row>
        <row r="127">
          <cell r="F127" t="str">
            <v/>
          </cell>
          <cell r="L127" t="str">
            <v/>
          </cell>
        </row>
        <row r="128">
          <cell r="F128" t="str">
            <v/>
          </cell>
          <cell r="L128" t="str">
            <v/>
          </cell>
        </row>
        <row r="129">
          <cell r="F129" t="str">
            <v/>
          </cell>
          <cell r="L129" t="str">
            <v/>
          </cell>
        </row>
        <row r="130">
          <cell r="F130" t="str">
            <v/>
          </cell>
          <cell r="L130" t="str">
            <v/>
          </cell>
        </row>
        <row r="131">
          <cell r="F131" t="str">
            <v/>
          </cell>
          <cell r="L131" t="str">
            <v/>
          </cell>
        </row>
        <row r="132">
          <cell r="F132" t="str">
            <v/>
          </cell>
          <cell r="L132" t="str">
            <v/>
          </cell>
        </row>
        <row r="133">
          <cell r="F133" t="str">
            <v/>
          </cell>
          <cell r="L133" t="str">
            <v/>
          </cell>
        </row>
        <row r="134">
          <cell r="F134" t="str">
            <v/>
          </cell>
          <cell r="L134" t="str">
            <v/>
          </cell>
        </row>
        <row r="135">
          <cell r="F135" t="str">
            <v/>
          </cell>
          <cell r="L135" t="str">
            <v/>
          </cell>
        </row>
        <row r="136">
          <cell r="F136" t="str">
            <v/>
          </cell>
          <cell r="L136" t="str">
            <v/>
          </cell>
        </row>
        <row r="137">
          <cell r="F137" t="str">
            <v/>
          </cell>
          <cell r="L137" t="str">
            <v/>
          </cell>
        </row>
        <row r="138">
          <cell r="F138" t="str">
            <v/>
          </cell>
          <cell r="L138" t="str">
            <v/>
          </cell>
        </row>
        <row r="139">
          <cell r="F139" t="str">
            <v/>
          </cell>
          <cell r="L139" t="str">
            <v/>
          </cell>
        </row>
        <row r="140">
          <cell r="F140" t="str">
            <v/>
          </cell>
          <cell r="L140" t="str">
            <v/>
          </cell>
        </row>
        <row r="141">
          <cell r="F141" t="str">
            <v/>
          </cell>
          <cell r="L141" t="str">
            <v/>
          </cell>
        </row>
        <row r="142">
          <cell r="F142" t="str">
            <v/>
          </cell>
          <cell r="L142" t="str">
            <v/>
          </cell>
        </row>
        <row r="143">
          <cell r="F143" t="str">
            <v/>
          </cell>
          <cell r="L143" t="str">
            <v/>
          </cell>
        </row>
        <row r="144">
          <cell r="F144" t="str">
            <v/>
          </cell>
          <cell r="L144" t="str">
            <v/>
          </cell>
        </row>
        <row r="145">
          <cell r="F145" t="str">
            <v/>
          </cell>
          <cell r="L145" t="str">
            <v/>
          </cell>
        </row>
        <row r="146">
          <cell r="F146" t="str">
            <v/>
          </cell>
          <cell r="L146" t="str">
            <v/>
          </cell>
        </row>
        <row r="147">
          <cell r="F147" t="str">
            <v/>
          </cell>
          <cell r="L147" t="str">
            <v/>
          </cell>
        </row>
        <row r="148">
          <cell r="F148" t="str">
            <v/>
          </cell>
          <cell r="L148" t="str">
            <v/>
          </cell>
        </row>
        <row r="149">
          <cell r="F149" t="str">
            <v/>
          </cell>
          <cell r="L149" t="str">
            <v/>
          </cell>
        </row>
        <row r="150">
          <cell r="F150" t="str">
            <v/>
          </cell>
          <cell r="L150" t="str">
            <v/>
          </cell>
        </row>
        <row r="151">
          <cell r="F151" t="str">
            <v/>
          </cell>
          <cell r="L151" t="str">
            <v/>
          </cell>
        </row>
        <row r="152">
          <cell r="F152" t="str">
            <v/>
          </cell>
          <cell r="L152" t="str">
            <v/>
          </cell>
        </row>
        <row r="153">
          <cell r="F153" t="str">
            <v/>
          </cell>
          <cell r="L153" t="str">
            <v/>
          </cell>
        </row>
        <row r="154">
          <cell r="F154" t="str">
            <v/>
          </cell>
          <cell r="L154" t="str">
            <v/>
          </cell>
        </row>
        <row r="155">
          <cell r="F155" t="str">
            <v/>
          </cell>
          <cell r="L155" t="str">
            <v/>
          </cell>
        </row>
        <row r="156">
          <cell r="F156" t="str">
            <v/>
          </cell>
          <cell r="L156" t="str">
            <v/>
          </cell>
        </row>
        <row r="157">
          <cell r="F157" t="str">
            <v/>
          </cell>
          <cell r="L157" t="str">
            <v/>
          </cell>
        </row>
        <row r="158">
          <cell r="F158" t="str">
            <v/>
          </cell>
          <cell r="L158" t="str">
            <v/>
          </cell>
        </row>
        <row r="159">
          <cell r="F159" t="str">
            <v/>
          </cell>
          <cell r="L159" t="str">
            <v/>
          </cell>
        </row>
        <row r="160">
          <cell r="F160" t="str">
            <v/>
          </cell>
          <cell r="L160" t="str">
            <v/>
          </cell>
        </row>
        <row r="161">
          <cell r="F161" t="str">
            <v/>
          </cell>
          <cell r="L161" t="str">
            <v/>
          </cell>
        </row>
        <row r="162">
          <cell r="F162" t="str">
            <v/>
          </cell>
          <cell r="L162" t="str">
            <v/>
          </cell>
        </row>
        <row r="163">
          <cell r="F163" t="str">
            <v/>
          </cell>
          <cell r="L163" t="str">
            <v/>
          </cell>
        </row>
        <row r="164">
          <cell r="F164" t="str">
            <v/>
          </cell>
          <cell r="L164" t="str">
            <v/>
          </cell>
        </row>
        <row r="165">
          <cell r="F165" t="str">
            <v/>
          </cell>
          <cell r="L165" t="str">
            <v/>
          </cell>
        </row>
        <row r="166">
          <cell r="F166" t="str">
            <v/>
          </cell>
          <cell r="L166" t="str">
            <v/>
          </cell>
        </row>
        <row r="167">
          <cell r="F167" t="str">
            <v/>
          </cell>
          <cell r="L167" t="str">
            <v/>
          </cell>
        </row>
        <row r="168">
          <cell r="F168" t="str">
            <v/>
          </cell>
          <cell r="L168" t="str">
            <v/>
          </cell>
        </row>
        <row r="169">
          <cell r="F169" t="str">
            <v/>
          </cell>
          <cell r="L169" t="str">
            <v/>
          </cell>
        </row>
        <row r="170">
          <cell r="F170" t="str">
            <v/>
          </cell>
          <cell r="L170" t="str">
            <v/>
          </cell>
        </row>
        <row r="171">
          <cell r="F171" t="str">
            <v/>
          </cell>
          <cell r="L171" t="str">
            <v/>
          </cell>
        </row>
        <row r="172">
          <cell r="F172" t="str">
            <v/>
          </cell>
          <cell r="L172" t="str">
            <v/>
          </cell>
        </row>
        <row r="173">
          <cell r="F173" t="str">
            <v/>
          </cell>
          <cell r="L173" t="str">
            <v/>
          </cell>
        </row>
        <row r="174">
          <cell r="F174" t="str">
            <v/>
          </cell>
          <cell r="L174" t="str">
            <v/>
          </cell>
        </row>
        <row r="175">
          <cell r="F175" t="str">
            <v/>
          </cell>
          <cell r="L175" t="str">
            <v/>
          </cell>
        </row>
        <row r="176">
          <cell r="F176" t="str">
            <v/>
          </cell>
          <cell r="L176" t="str">
            <v/>
          </cell>
        </row>
        <row r="177">
          <cell r="F177" t="str">
            <v/>
          </cell>
          <cell r="L177" t="str">
            <v/>
          </cell>
        </row>
        <row r="178">
          <cell r="F178" t="str">
            <v/>
          </cell>
          <cell r="L178" t="str">
            <v/>
          </cell>
        </row>
        <row r="179">
          <cell r="F179" t="str">
            <v/>
          </cell>
          <cell r="L179" t="str">
            <v/>
          </cell>
        </row>
        <row r="180">
          <cell r="F180" t="str">
            <v/>
          </cell>
          <cell r="L180" t="str">
            <v/>
          </cell>
        </row>
        <row r="181">
          <cell r="F181" t="str">
            <v/>
          </cell>
          <cell r="L181" t="str">
            <v/>
          </cell>
        </row>
        <row r="182">
          <cell r="F182" t="str">
            <v/>
          </cell>
          <cell r="L182" t="str">
            <v/>
          </cell>
        </row>
        <row r="183">
          <cell r="F183" t="str">
            <v/>
          </cell>
          <cell r="L183" t="str">
            <v/>
          </cell>
        </row>
        <row r="184">
          <cell r="F184" t="str">
            <v/>
          </cell>
          <cell r="L184" t="str">
            <v/>
          </cell>
        </row>
        <row r="185">
          <cell r="F185" t="str">
            <v/>
          </cell>
          <cell r="L185" t="str">
            <v/>
          </cell>
        </row>
        <row r="186">
          <cell r="F186" t="str">
            <v/>
          </cell>
          <cell r="L186" t="str">
            <v/>
          </cell>
        </row>
        <row r="187">
          <cell r="F187" t="str">
            <v/>
          </cell>
          <cell r="L187" t="str">
            <v/>
          </cell>
        </row>
        <row r="188">
          <cell r="F188" t="str">
            <v/>
          </cell>
          <cell r="L188" t="str">
            <v/>
          </cell>
        </row>
        <row r="189">
          <cell r="F189" t="str">
            <v/>
          </cell>
          <cell r="L189" t="str">
            <v/>
          </cell>
        </row>
        <row r="190">
          <cell r="F190" t="str">
            <v/>
          </cell>
          <cell r="L190" t="str">
            <v/>
          </cell>
        </row>
        <row r="191">
          <cell r="F191" t="str">
            <v/>
          </cell>
          <cell r="L191" t="str">
            <v/>
          </cell>
        </row>
        <row r="192">
          <cell r="F192" t="str">
            <v/>
          </cell>
          <cell r="L192" t="str">
            <v/>
          </cell>
        </row>
        <row r="193">
          <cell r="F193" t="str">
            <v/>
          </cell>
          <cell r="L193" t="str">
            <v/>
          </cell>
        </row>
        <row r="194">
          <cell r="F194" t="str">
            <v/>
          </cell>
          <cell r="L194" t="str">
            <v/>
          </cell>
        </row>
        <row r="195">
          <cell r="F195" t="str">
            <v/>
          </cell>
          <cell r="L195" t="str">
            <v/>
          </cell>
        </row>
        <row r="196">
          <cell r="F196" t="str">
            <v/>
          </cell>
          <cell r="L196" t="str">
            <v/>
          </cell>
        </row>
        <row r="197">
          <cell r="F197" t="str">
            <v/>
          </cell>
          <cell r="L197" t="str">
            <v/>
          </cell>
        </row>
        <row r="198">
          <cell r="F198" t="str">
            <v/>
          </cell>
          <cell r="L198" t="str">
            <v/>
          </cell>
        </row>
        <row r="199">
          <cell r="F199" t="str">
            <v/>
          </cell>
          <cell r="L199" t="str">
            <v/>
          </cell>
        </row>
        <row r="200">
          <cell r="F200" t="str">
            <v/>
          </cell>
          <cell r="L200" t="str">
            <v/>
          </cell>
        </row>
        <row r="201">
          <cell r="F201" t="str">
            <v/>
          </cell>
          <cell r="L201" t="str">
            <v/>
          </cell>
        </row>
        <row r="202">
          <cell r="F202" t="str">
            <v/>
          </cell>
          <cell r="L202" t="str">
            <v/>
          </cell>
        </row>
        <row r="203">
          <cell r="F203" t="str">
            <v/>
          </cell>
          <cell r="L203" t="str">
            <v/>
          </cell>
        </row>
        <row r="204">
          <cell r="F204" t="str">
            <v/>
          </cell>
          <cell r="L204" t="str">
            <v/>
          </cell>
        </row>
        <row r="205">
          <cell r="F205" t="str">
            <v/>
          </cell>
          <cell r="L205" t="str">
            <v/>
          </cell>
        </row>
        <row r="206">
          <cell r="F206" t="str">
            <v/>
          </cell>
          <cell r="L206" t="str">
            <v/>
          </cell>
        </row>
        <row r="207">
          <cell r="F207" t="str">
            <v/>
          </cell>
          <cell r="L207" t="str">
            <v/>
          </cell>
        </row>
        <row r="208">
          <cell r="F208" t="str">
            <v/>
          </cell>
          <cell r="L208" t="str">
            <v/>
          </cell>
        </row>
        <row r="209">
          <cell r="F209" t="str">
            <v/>
          </cell>
          <cell r="L209" t="str">
            <v/>
          </cell>
        </row>
        <row r="210">
          <cell r="F210" t="str">
            <v/>
          </cell>
          <cell r="L210" t="str">
            <v/>
          </cell>
        </row>
        <row r="211">
          <cell r="F211" t="str">
            <v/>
          </cell>
          <cell r="L211" t="str">
            <v/>
          </cell>
        </row>
        <row r="212">
          <cell r="F212" t="str">
            <v/>
          </cell>
          <cell r="L212" t="str">
            <v/>
          </cell>
        </row>
        <row r="213">
          <cell r="F213" t="str">
            <v/>
          </cell>
          <cell r="L213" t="str">
            <v/>
          </cell>
        </row>
        <row r="214">
          <cell r="F214" t="str">
            <v/>
          </cell>
          <cell r="L214" t="str">
            <v/>
          </cell>
        </row>
        <row r="215">
          <cell r="F215" t="str">
            <v/>
          </cell>
          <cell r="L215" t="str">
            <v/>
          </cell>
        </row>
        <row r="216">
          <cell r="F216" t="str">
            <v/>
          </cell>
          <cell r="L216" t="str">
            <v/>
          </cell>
        </row>
        <row r="217">
          <cell r="F217" t="str">
            <v/>
          </cell>
          <cell r="L217" t="str">
            <v/>
          </cell>
        </row>
        <row r="218">
          <cell r="F218" t="str">
            <v/>
          </cell>
          <cell r="L218" t="str">
            <v/>
          </cell>
        </row>
        <row r="219">
          <cell r="F219" t="str">
            <v/>
          </cell>
          <cell r="L219" t="str">
            <v/>
          </cell>
        </row>
        <row r="220">
          <cell r="F220" t="str">
            <v/>
          </cell>
          <cell r="L220" t="str">
            <v/>
          </cell>
        </row>
        <row r="221">
          <cell r="F221" t="str">
            <v/>
          </cell>
          <cell r="L221" t="str">
            <v/>
          </cell>
        </row>
        <row r="222">
          <cell r="F222" t="str">
            <v/>
          </cell>
          <cell r="L222" t="str">
            <v/>
          </cell>
        </row>
        <row r="223">
          <cell r="F223" t="str">
            <v/>
          </cell>
          <cell r="L223" t="str">
            <v/>
          </cell>
        </row>
        <row r="224">
          <cell r="F224" t="str">
            <v/>
          </cell>
          <cell r="L224" t="str">
            <v/>
          </cell>
        </row>
        <row r="225">
          <cell r="F225" t="str">
            <v/>
          </cell>
          <cell r="L225" t="str">
            <v/>
          </cell>
        </row>
        <row r="226">
          <cell r="F226" t="str">
            <v/>
          </cell>
          <cell r="L226" t="str">
            <v/>
          </cell>
        </row>
        <row r="227">
          <cell r="F227" t="str">
            <v/>
          </cell>
          <cell r="L227" t="str">
            <v/>
          </cell>
        </row>
        <row r="228">
          <cell r="F228" t="str">
            <v/>
          </cell>
          <cell r="L228" t="str">
            <v/>
          </cell>
        </row>
        <row r="229">
          <cell r="F229" t="str">
            <v/>
          </cell>
          <cell r="L229" t="str">
            <v/>
          </cell>
        </row>
        <row r="230">
          <cell r="F230" t="str">
            <v/>
          </cell>
          <cell r="L230" t="str">
            <v/>
          </cell>
        </row>
        <row r="231">
          <cell r="F231" t="str">
            <v/>
          </cell>
          <cell r="L231" t="str">
            <v/>
          </cell>
        </row>
        <row r="232">
          <cell r="F232" t="str">
            <v/>
          </cell>
          <cell r="L232" t="str">
            <v/>
          </cell>
        </row>
        <row r="233">
          <cell r="F233" t="str">
            <v/>
          </cell>
          <cell r="L233" t="str">
            <v/>
          </cell>
        </row>
        <row r="234">
          <cell r="F234" t="str">
            <v/>
          </cell>
          <cell r="L234" t="str">
            <v/>
          </cell>
        </row>
        <row r="235">
          <cell r="F235" t="str">
            <v/>
          </cell>
          <cell r="L235" t="str">
            <v/>
          </cell>
        </row>
        <row r="236">
          <cell r="F236" t="str">
            <v/>
          </cell>
          <cell r="L236" t="str">
            <v/>
          </cell>
        </row>
        <row r="237">
          <cell r="F237" t="str">
            <v/>
          </cell>
          <cell r="L237" t="str">
            <v/>
          </cell>
        </row>
        <row r="238">
          <cell r="F238" t="str">
            <v/>
          </cell>
          <cell r="L238" t="str">
            <v/>
          </cell>
        </row>
        <row r="239">
          <cell r="F239" t="str">
            <v/>
          </cell>
          <cell r="L239" t="str">
            <v/>
          </cell>
        </row>
        <row r="240">
          <cell r="F240" t="str">
            <v/>
          </cell>
          <cell r="L240" t="str">
            <v/>
          </cell>
        </row>
        <row r="241">
          <cell r="F241" t="str">
            <v/>
          </cell>
          <cell r="L241" t="str">
            <v/>
          </cell>
        </row>
        <row r="242">
          <cell r="F242" t="str">
            <v/>
          </cell>
          <cell r="L242" t="str">
            <v/>
          </cell>
        </row>
        <row r="243">
          <cell r="F243" t="str">
            <v/>
          </cell>
          <cell r="L243" t="str">
            <v/>
          </cell>
        </row>
        <row r="244">
          <cell r="F244" t="str">
            <v/>
          </cell>
          <cell r="L244" t="str">
            <v/>
          </cell>
        </row>
        <row r="245">
          <cell r="F245" t="str">
            <v/>
          </cell>
          <cell r="L245" t="str">
            <v/>
          </cell>
        </row>
        <row r="246">
          <cell r="F246" t="str">
            <v/>
          </cell>
          <cell r="L246" t="str">
            <v/>
          </cell>
        </row>
        <row r="247">
          <cell r="F247" t="str">
            <v/>
          </cell>
          <cell r="L247" t="str">
            <v/>
          </cell>
        </row>
        <row r="248">
          <cell r="F248" t="str">
            <v/>
          </cell>
          <cell r="L248" t="str">
            <v/>
          </cell>
        </row>
        <row r="249">
          <cell r="F249" t="str">
            <v/>
          </cell>
          <cell r="L249" t="str">
            <v/>
          </cell>
        </row>
        <row r="250">
          <cell r="F250" t="str">
            <v/>
          </cell>
          <cell r="L250" t="str">
            <v/>
          </cell>
        </row>
        <row r="251">
          <cell r="F251" t="str">
            <v/>
          </cell>
          <cell r="L251" t="str">
            <v/>
          </cell>
        </row>
        <row r="252">
          <cell r="F252" t="str">
            <v/>
          </cell>
          <cell r="L252" t="str">
            <v/>
          </cell>
        </row>
        <row r="253">
          <cell r="F253" t="str">
            <v/>
          </cell>
          <cell r="L253" t="str">
            <v/>
          </cell>
        </row>
        <row r="254">
          <cell r="F254" t="str">
            <v/>
          </cell>
          <cell r="L254" t="str">
            <v/>
          </cell>
        </row>
        <row r="255">
          <cell r="F255" t="str">
            <v/>
          </cell>
          <cell r="L255" t="str">
            <v/>
          </cell>
        </row>
        <row r="256">
          <cell r="F256" t="str">
            <v/>
          </cell>
          <cell r="L256" t="str">
            <v/>
          </cell>
        </row>
        <row r="257">
          <cell r="F257" t="str">
            <v/>
          </cell>
          <cell r="L257" t="str">
            <v/>
          </cell>
        </row>
        <row r="258">
          <cell r="F258" t="str">
            <v/>
          </cell>
          <cell r="L258" t="str">
            <v/>
          </cell>
        </row>
        <row r="259">
          <cell r="F259" t="str">
            <v/>
          </cell>
          <cell r="L259" t="str">
            <v/>
          </cell>
        </row>
        <row r="260">
          <cell r="F260" t="str">
            <v/>
          </cell>
          <cell r="L260" t="str">
            <v/>
          </cell>
        </row>
        <row r="261">
          <cell r="F261" t="str">
            <v/>
          </cell>
          <cell r="L261" t="str">
            <v/>
          </cell>
        </row>
        <row r="262">
          <cell r="F262" t="str">
            <v/>
          </cell>
          <cell r="L262" t="str">
            <v/>
          </cell>
        </row>
        <row r="263">
          <cell r="F263" t="str">
            <v/>
          </cell>
          <cell r="L263" t="str">
            <v/>
          </cell>
        </row>
        <row r="264">
          <cell r="F264" t="str">
            <v/>
          </cell>
          <cell r="L264" t="str">
            <v/>
          </cell>
        </row>
        <row r="265">
          <cell r="F265" t="str">
            <v/>
          </cell>
          <cell r="L265" t="str">
            <v/>
          </cell>
        </row>
        <row r="266">
          <cell r="F266" t="str">
            <v/>
          </cell>
          <cell r="L266" t="str">
            <v/>
          </cell>
        </row>
        <row r="267">
          <cell r="F267" t="str">
            <v/>
          </cell>
          <cell r="L267" t="str">
            <v/>
          </cell>
        </row>
        <row r="268">
          <cell r="F268" t="str">
            <v/>
          </cell>
          <cell r="L268" t="str">
            <v/>
          </cell>
        </row>
        <row r="269">
          <cell r="F269" t="str">
            <v/>
          </cell>
          <cell r="L269" t="str">
            <v/>
          </cell>
        </row>
        <row r="270">
          <cell r="F270" t="str">
            <v/>
          </cell>
          <cell r="L270" t="str">
            <v/>
          </cell>
        </row>
        <row r="271">
          <cell r="F271" t="str">
            <v/>
          </cell>
          <cell r="L271" t="str">
            <v/>
          </cell>
        </row>
        <row r="272">
          <cell r="F272" t="str">
            <v/>
          </cell>
          <cell r="L272" t="str">
            <v/>
          </cell>
        </row>
        <row r="273">
          <cell r="F273" t="str">
            <v/>
          </cell>
          <cell r="L273" t="str">
            <v/>
          </cell>
        </row>
        <row r="274">
          <cell r="F274" t="str">
            <v/>
          </cell>
          <cell r="L274" t="str">
            <v/>
          </cell>
        </row>
        <row r="275">
          <cell r="F275" t="str">
            <v/>
          </cell>
          <cell r="L275" t="str">
            <v/>
          </cell>
        </row>
        <row r="276">
          <cell r="F276" t="str">
            <v/>
          </cell>
          <cell r="L276" t="str">
            <v/>
          </cell>
        </row>
        <row r="277">
          <cell r="F277" t="str">
            <v/>
          </cell>
          <cell r="L277" t="str">
            <v/>
          </cell>
        </row>
        <row r="278">
          <cell r="F278" t="str">
            <v/>
          </cell>
          <cell r="L278" t="str">
            <v/>
          </cell>
        </row>
        <row r="279">
          <cell r="F279" t="str">
            <v/>
          </cell>
          <cell r="L279" t="str">
            <v/>
          </cell>
        </row>
        <row r="280">
          <cell r="F280" t="str">
            <v/>
          </cell>
          <cell r="L280" t="str">
            <v/>
          </cell>
        </row>
        <row r="281">
          <cell r="F281" t="str">
            <v/>
          </cell>
          <cell r="L281" t="str">
            <v/>
          </cell>
        </row>
        <row r="282">
          <cell r="F282" t="str">
            <v/>
          </cell>
          <cell r="L282" t="str">
            <v/>
          </cell>
        </row>
        <row r="283">
          <cell r="F283" t="str">
            <v/>
          </cell>
          <cell r="L283" t="str">
            <v/>
          </cell>
        </row>
        <row r="284">
          <cell r="F284" t="str">
            <v/>
          </cell>
          <cell r="L284" t="str">
            <v/>
          </cell>
        </row>
        <row r="285">
          <cell r="F285" t="str">
            <v/>
          </cell>
          <cell r="L285" t="str">
            <v/>
          </cell>
        </row>
        <row r="286">
          <cell r="F286" t="str">
            <v/>
          </cell>
          <cell r="L286" t="str">
            <v/>
          </cell>
        </row>
        <row r="287">
          <cell r="F287" t="str">
            <v/>
          </cell>
          <cell r="L287" t="str">
            <v/>
          </cell>
        </row>
        <row r="288">
          <cell r="F288" t="str">
            <v/>
          </cell>
          <cell r="L288" t="str">
            <v/>
          </cell>
        </row>
        <row r="289">
          <cell r="F289" t="str">
            <v/>
          </cell>
          <cell r="L289" t="str">
            <v/>
          </cell>
        </row>
        <row r="290">
          <cell r="F290" t="str">
            <v/>
          </cell>
          <cell r="L290" t="str">
            <v/>
          </cell>
        </row>
        <row r="291">
          <cell r="F291" t="str">
            <v/>
          </cell>
          <cell r="L291" t="str">
            <v/>
          </cell>
        </row>
        <row r="292">
          <cell r="F292" t="str">
            <v/>
          </cell>
          <cell r="L292" t="str">
            <v/>
          </cell>
        </row>
        <row r="293">
          <cell r="F293" t="str">
            <v/>
          </cell>
          <cell r="L293" t="str">
            <v/>
          </cell>
        </row>
        <row r="294">
          <cell r="F294" t="str">
            <v/>
          </cell>
          <cell r="L294" t="str">
            <v/>
          </cell>
        </row>
        <row r="295">
          <cell r="F295" t="str">
            <v/>
          </cell>
          <cell r="L295" t="str">
            <v/>
          </cell>
        </row>
        <row r="296">
          <cell r="F296" t="str">
            <v/>
          </cell>
          <cell r="L296" t="str">
            <v/>
          </cell>
        </row>
        <row r="297">
          <cell r="F297" t="str">
            <v/>
          </cell>
          <cell r="L297" t="str">
            <v/>
          </cell>
        </row>
        <row r="298">
          <cell r="F298" t="str">
            <v/>
          </cell>
          <cell r="L298" t="str">
            <v/>
          </cell>
        </row>
        <row r="299">
          <cell r="F299" t="str">
            <v/>
          </cell>
          <cell r="L299" t="str">
            <v/>
          </cell>
        </row>
        <row r="300">
          <cell r="F300" t="str">
            <v/>
          </cell>
          <cell r="L300" t="str">
            <v/>
          </cell>
        </row>
        <row r="301">
          <cell r="F301" t="str">
            <v/>
          </cell>
          <cell r="L301" t="str">
            <v/>
          </cell>
        </row>
        <row r="302">
          <cell r="F302" t="str">
            <v/>
          </cell>
          <cell r="L302" t="str">
            <v/>
          </cell>
        </row>
        <row r="303">
          <cell r="F303" t="str">
            <v/>
          </cell>
          <cell r="L303" t="str">
            <v/>
          </cell>
        </row>
        <row r="304">
          <cell r="F304" t="str">
            <v/>
          </cell>
          <cell r="L304" t="str">
            <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4.bin"/><Relationship Id="rId4"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7:C15"/>
  <sheetViews>
    <sheetView workbookViewId="0">
      <selection activeCell="J16" sqref="J16"/>
    </sheetView>
  </sheetViews>
  <sheetFormatPr defaultRowHeight="16.5"/>
  <sheetData>
    <row r="7" spans="2:3" ht="26.25">
      <c r="C7" s="417" t="s">
        <v>759</v>
      </c>
    </row>
    <row r="8" spans="2:3" ht="26.25">
      <c r="C8" s="417" t="s">
        <v>764</v>
      </c>
    </row>
    <row r="9" spans="2:3" s="436" customFormat="1" ht="26.25">
      <c r="B9" s="436" t="s">
        <v>784</v>
      </c>
      <c r="C9" s="418" t="s">
        <v>782</v>
      </c>
    </row>
    <row r="10" spans="2:3" ht="26.25">
      <c r="C10" s="417" t="s">
        <v>763</v>
      </c>
    </row>
    <row r="11" spans="2:3" ht="26.25">
      <c r="C11" s="417" t="s">
        <v>760</v>
      </c>
    </row>
    <row r="12" spans="2:3" ht="26.25">
      <c r="C12" s="417" t="s">
        <v>783</v>
      </c>
    </row>
    <row r="13" spans="2:3" ht="26.25">
      <c r="C13" s="418" t="s">
        <v>761</v>
      </c>
    </row>
    <row r="14" spans="2:3" ht="26.25">
      <c r="C14" s="417" t="s">
        <v>762</v>
      </c>
    </row>
    <row r="15" spans="2:3" ht="26.25">
      <c r="C15" s="418"/>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CCFF"/>
  </sheetPr>
  <dimension ref="B1:Y30"/>
  <sheetViews>
    <sheetView showGridLines="0" zoomScale="83" zoomScaleNormal="83" workbookViewId="0">
      <selection activeCell="G7" sqref="G7"/>
    </sheetView>
  </sheetViews>
  <sheetFormatPr defaultColWidth="9" defaultRowHeight="16.5"/>
  <cols>
    <col min="1" max="1" width="2.25" style="32" customWidth="1"/>
    <col min="2" max="2" width="11.625" style="32" customWidth="1"/>
    <col min="3" max="3" width="14.625" style="32" bestFit="1" customWidth="1"/>
    <col min="4" max="4" width="12.75" style="32" bestFit="1" customWidth="1"/>
    <col min="5" max="5" width="13.875" style="32" bestFit="1" customWidth="1"/>
    <col min="6" max="6" width="7.625" style="32" bestFit="1" customWidth="1"/>
    <col min="7" max="7" width="26.25" style="32" bestFit="1" customWidth="1"/>
    <col min="8" max="8" width="9" style="32"/>
    <col min="9" max="9" width="11" style="32" bestFit="1" customWidth="1"/>
    <col min="10" max="17" width="9" style="32"/>
    <col min="18" max="18" width="5.25" style="32" customWidth="1"/>
    <col min="19" max="19" width="2" style="32" customWidth="1"/>
    <col min="20" max="20" width="1.25" customWidth="1"/>
    <col min="21" max="21" width="16.125" style="171" customWidth="1"/>
    <col min="22" max="22" width="7.625" style="171" customWidth="1"/>
    <col min="23" max="24" width="14.875" style="171" customWidth="1"/>
    <col min="25" max="25" width="1.5" customWidth="1"/>
    <col min="26" max="16384" width="9" style="32"/>
  </cols>
  <sheetData>
    <row r="1" spans="2:24" ht="16.5" customHeight="1">
      <c r="B1" s="500" t="s">
        <v>786</v>
      </c>
      <c r="C1" s="500"/>
      <c r="D1" s="500"/>
      <c r="E1" s="500"/>
    </row>
    <row r="2" spans="2:24" ht="24.95" customHeight="1">
      <c r="B2" s="63" t="s">
        <v>58</v>
      </c>
      <c r="C2" s="63" t="s">
        <v>45</v>
      </c>
      <c r="D2" s="63" t="s">
        <v>46</v>
      </c>
      <c r="E2" s="63" t="s">
        <v>47</v>
      </c>
      <c r="F2" s="33"/>
      <c r="G2" s="33" t="s">
        <v>71</v>
      </c>
    </row>
    <row r="3" spans="2:24" ht="24.95" customHeight="1">
      <c r="B3" s="64" t="s">
        <v>9</v>
      </c>
      <c r="C3" s="127">
        <v>6</v>
      </c>
      <c r="D3" s="127">
        <v>45</v>
      </c>
      <c r="E3" s="172">
        <v>150000</v>
      </c>
      <c r="F3" s="229"/>
      <c r="G3" s="57" t="s">
        <v>60</v>
      </c>
      <c r="H3" s="32" t="s">
        <v>48</v>
      </c>
      <c r="I3" s="32" t="s">
        <v>60</v>
      </c>
    </row>
    <row r="4" spans="2:24" ht="24.95" customHeight="1">
      <c r="B4" s="227" t="s">
        <v>14</v>
      </c>
      <c r="C4" s="429">
        <v>3.5950000000000002</v>
      </c>
      <c r="D4" s="494" t="s">
        <v>790</v>
      </c>
      <c r="E4" s="495"/>
      <c r="F4" s="229"/>
      <c r="G4" s="57" t="s">
        <v>61</v>
      </c>
      <c r="H4" s="32" t="s">
        <v>49</v>
      </c>
      <c r="I4" s="32" t="s">
        <v>61</v>
      </c>
    </row>
    <row r="5" spans="2:24" ht="24.95" customHeight="1">
      <c r="B5" s="228" t="s">
        <v>20</v>
      </c>
      <c r="C5" s="432">
        <v>13.14</v>
      </c>
      <c r="D5" s="496" t="s">
        <v>790</v>
      </c>
      <c r="E5" s="497"/>
      <c r="F5" s="466">
        <v>0.13139999999999999</v>
      </c>
      <c r="G5" s="258" t="s">
        <v>1248</v>
      </c>
    </row>
    <row r="6" spans="2:24" ht="24.95" customHeight="1">
      <c r="B6" s="491" t="s">
        <v>787</v>
      </c>
      <c r="C6" s="128">
        <v>4.75</v>
      </c>
      <c r="D6" s="129">
        <v>8</v>
      </c>
      <c r="E6" s="465">
        <v>2200000</v>
      </c>
      <c r="F6" s="435"/>
      <c r="G6" s="259" t="s">
        <v>1249</v>
      </c>
      <c r="H6" s="33" t="s">
        <v>57</v>
      </c>
    </row>
    <row r="7" spans="2:24" ht="24.95" customHeight="1">
      <c r="B7" s="492"/>
      <c r="C7" s="430">
        <v>312640</v>
      </c>
      <c r="D7" s="434">
        <f>C7*C6%</f>
        <v>14850.4</v>
      </c>
      <c r="E7" s="130" t="s">
        <v>54</v>
      </c>
      <c r="F7" s="229"/>
      <c r="G7" s="34" t="s">
        <v>50</v>
      </c>
      <c r="H7" s="29" t="s">
        <v>76</v>
      </c>
    </row>
    <row r="8" spans="2:24" ht="24.95" customHeight="1">
      <c r="B8" s="493"/>
      <c r="C8" s="431">
        <v>4964220</v>
      </c>
      <c r="D8" s="434">
        <f>C8*C6%</f>
        <v>235800.45</v>
      </c>
      <c r="E8" s="131" t="s">
        <v>55</v>
      </c>
      <c r="F8" s="229"/>
      <c r="G8" s="34" t="s">
        <v>62</v>
      </c>
      <c r="H8" s="29" t="s">
        <v>74</v>
      </c>
    </row>
    <row r="9" spans="2:24" ht="24.95" customHeight="1">
      <c r="B9" s="64" t="s">
        <v>21</v>
      </c>
      <c r="C9" s="55">
        <v>0.9</v>
      </c>
      <c r="D9" s="498" t="s">
        <v>788</v>
      </c>
      <c r="E9" s="499"/>
      <c r="F9" s="229"/>
      <c r="G9" s="34" t="s">
        <v>73</v>
      </c>
      <c r="H9" s="29" t="s">
        <v>74</v>
      </c>
    </row>
    <row r="10" spans="2:24" ht="16.5" customHeight="1">
      <c r="U10" s="504"/>
      <c r="V10" s="505"/>
      <c r="W10" s="508"/>
      <c r="X10" s="510"/>
    </row>
    <row r="11" spans="2:24" ht="17.25" thickBot="1">
      <c r="B11" s="500" t="s">
        <v>789</v>
      </c>
      <c r="C11" s="500"/>
      <c r="D11" s="500"/>
      <c r="E11" s="500"/>
      <c r="U11" s="506"/>
      <c r="V11" s="507"/>
      <c r="W11" s="509"/>
      <c r="X11" s="511"/>
    </row>
    <row r="12" spans="2:24" ht="24.95" customHeight="1">
      <c r="B12" s="59" t="s">
        <v>58</v>
      </c>
      <c r="C12" s="59" t="s">
        <v>45</v>
      </c>
      <c r="D12" s="59" t="s">
        <v>46</v>
      </c>
      <c r="E12" s="59" t="s">
        <v>47</v>
      </c>
      <c r="F12" s="33"/>
      <c r="U12" s="512"/>
      <c r="V12" s="173"/>
      <c r="W12" s="174"/>
      <c r="X12" s="175"/>
    </row>
    <row r="13" spans="2:24" ht="24.95" customHeight="1">
      <c r="B13" s="62" t="s">
        <v>9</v>
      </c>
      <c r="C13" s="55">
        <v>6</v>
      </c>
      <c r="D13" s="55">
        <v>45</v>
      </c>
      <c r="E13" s="56">
        <v>150000</v>
      </c>
      <c r="F13" s="229"/>
      <c r="U13" s="513"/>
      <c r="V13" s="176"/>
      <c r="W13" s="177"/>
      <c r="X13" s="178"/>
    </row>
    <row r="14" spans="2:24" ht="24.95" customHeight="1">
      <c r="B14" s="225" t="s">
        <v>14</v>
      </c>
      <c r="C14" s="429">
        <v>3.5950000000000002</v>
      </c>
      <c r="D14" s="494" t="s">
        <v>790</v>
      </c>
      <c r="E14" s="495"/>
      <c r="F14" s="229"/>
      <c r="U14" s="514"/>
      <c r="V14" s="173"/>
      <c r="W14" s="174"/>
      <c r="X14" s="175"/>
    </row>
    <row r="15" spans="2:24" ht="24.95" customHeight="1">
      <c r="B15" s="226" t="s">
        <v>20</v>
      </c>
      <c r="C15" s="432">
        <v>13.14</v>
      </c>
      <c r="D15" s="496" t="s">
        <v>790</v>
      </c>
      <c r="E15" s="497"/>
      <c r="F15" s="466">
        <v>0.13139999999999999</v>
      </c>
      <c r="U15" s="515"/>
      <c r="V15" s="179"/>
      <c r="W15" s="180"/>
      <c r="X15" s="181"/>
    </row>
    <row r="16" spans="2:24" ht="24.95" customHeight="1">
      <c r="B16" s="501" t="s">
        <v>780</v>
      </c>
      <c r="C16" s="128">
        <v>4.5</v>
      </c>
      <c r="D16" s="129">
        <v>8</v>
      </c>
      <c r="E16" s="465">
        <v>2200000</v>
      </c>
      <c r="F16" s="229"/>
    </row>
    <row r="17" spans="2:6" ht="24.95" customHeight="1">
      <c r="B17" s="502"/>
      <c r="C17" s="430">
        <v>312640</v>
      </c>
      <c r="D17" s="434">
        <v>14850</v>
      </c>
      <c r="E17" s="130" t="s">
        <v>54</v>
      </c>
      <c r="F17" s="229"/>
    </row>
    <row r="18" spans="2:6" ht="24.95" customHeight="1">
      <c r="B18" s="503"/>
      <c r="C18" s="431">
        <v>4964220</v>
      </c>
      <c r="D18" s="434">
        <v>235800</v>
      </c>
      <c r="E18" s="131" t="s">
        <v>55</v>
      </c>
      <c r="F18" s="229"/>
    </row>
    <row r="19" spans="2:6" ht="24.95" customHeight="1">
      <c r="B19" s="62" t="s">
        <v>21</v>
      </c>
      <c r="C19" s="55">
        <v>0.9</v>
      </c>
      <c r="D19" s="498" t="s">
        <v>791</v>
      </c>
      <c r="E19" s="499"/>
      <c r="F19" s="229"/>
    </row>
    <row r="21" spans="2:6">
      <c r="B21" s="500" t="s">
        <v>792</v>
      </c>
      <c r="C21" s="500"/>
      <c r="D21" s="500"/>
      <c r="E21" s="500"/>
    </row>
    <row r="22" spans="2:6" ht="24.95" customHeight="1">
      <c r="B22" s="60" t="s">
        <v>58</v>
      </c>
      <c r="C22" s="60" t="s">
        <v>45</v>
      </c>
      <c r="D22" s="60" t="s">
        <v>46</v>
      </c>
      <c r="E22" s="60" t="s">
        <v>47</v>
      </c>
      <c r="F22" s="33"/>
    </row>
    <row r="23" spans="2:6" ht="24.95" customHeight="1">
      <c r="B23" s="61" t="s">
        <v>9</v>
      </c>
      <c r="C23" s="55">
        <v>6</v>
      </c>
      <c r="D23" s="55">
        <v>45</v>
      </c>
      <c r="E23" s="58">
        <v>150000</v>
      </c>
      <c r="F23" s="229"/>
    </row>
    <row r="24" spans="2:6" ht="24.95" customHeight="1">
      <c r="B24" s="223" t="s">
        <v>14</v>
      </c>
      <c r="C24" s="429">
        <v>3.5950000000000002</v>
      </c>
      <c r="D24" s="494" t="s">
        <v>790</v>
      </c>
      <c r="E24" s="495"/>
      <c r="F24" s="229"/>
    </row>
    <row r="25" spans="2:6" ht="24.95" customHeight="1">
      <c r="B25" s="224" t="s">
        <v>20</v>
      </c>
      <c r="C25" s="432">
        <v>13.14</v>
      </c>
      <c r="D25" s="496" t="s">
        <v>790</v>
      </c>
      <c r="E25" s="497"/>
      <c r="F25" s="466">
        <v>0.13139999999999999</v>
      </c>
    </row>
    <row r="26" spans="2:6" ht="24.95" customHeight="1">
      <c r="B26" s="488" t="s">
        <v>781</v>
      </c>
      <c r="C26" s="128">
        <v>4.75</v>
      </c>
      <c r="D26" s="129">
        <v>8</v>
      </c>
      <c r="E26" s="465">
        <v>2200000</v>
      </c>
      <c r="F26" s="229"/>
    </row>
    <row r="27" spans="2:6" ht="24.95" customHeight="1">
      <c r="B27" s="489"/>
      <c r="C27" s="430">
        <v>312640</v>
      </c>
      <c r="D27" s="433">
        <f>C27*C26%</f>
        <v>14850.4</v>
      </c>
      <c r="E27" s="130" t="s">
        <v>54</v>
      </c>
      <c r="F27" s="229"/>
    </row>
    <row r="28" spans="2:6" ht="24.95" customHeight="1">
      <c r="B28" s="490"/>
      <c r="C28" s="431">
        <v>4964220</v>
      </c>
      <c r="D28" s="433">
        <f>C28*C26%</f>
        <v>235800.45</v>
      </c>
      <c r="E28" s="131" t="s">
        <v>55</v>
      </c>
      <c r="F28" s="229"/>
    </row>
    <row r="29" spans="2:6" ht="24.95" customHeight="1">
      <c r="B29" s="61" t="s">
        <v>21</v>
      </c>
      <c r="C29" s="55">
        <v>0.9</v>
      </c>
      <c r="D29" s="498" t="s">
        <v>791</v>
      </c>
      <c r="E29" s="499"/>
      <c r="F29" s="229"/>
    </row>
    <row r="30" spans="2:6">
      <c r="C30" s="141"/>
      <c r="D30" s="141"/>
      <c r="E30" s="142"/>
    </row>
  </sheetData>
  <mergeCells count="20">
    <mergeCell ref="U10:V11"/>
    <mergeCell ref="W10:W11"/>
    <mergeCell ref="X10:X11"/>
    <mergeCell ref="U12:U13"/>
    <mergeCell ref="U14:U15"/>
    <mergeCell ref="B1:E1"/>
    <mergeCell ref="B11:E11"/>
    <mergeCell ref="B16:B18"/>
    <mergeCell ref="B21:E21"/>
    <mergeCell ref="D4:E4"/>
    <mergeCell ref="D5:E5"/>
    <mergeCell ref="D14:E14"/>
    <mergeCell ref="D15:E15"/>
    <mergeCell ref="D9:E9"/>
    <mergeCell ref="D19:E19"/>
    <mergeCell ref="B26:B28"/>
    <mergeCell ref="B6:B8"/>
    <mergeCell ref="D24:E24"/>
    <mergeCell ref="D25:E25"/>
    <mergeCell ref="D29:E29"/>
  </mergeCells>
  <phoneticPr fontId="4" type="noConversion"/>
  <dataValidations disablePrompts="1" count="1">
    <dataValidation type="list" allowBlank="1" showInputMessage="1" showErrorMessage="1" sqref="H7:H9" xr:uid="{E5BA969E-1141-4B41-8378-E81F1EFD29E6}">
      <formula1>"○,X"</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5" tint="0.59999389629810485"/>
  </sheetPr>
  <dimension ref="A1:V162"/>
  <sheetViews>
    <sheetView view="pageBreakPreview" zoomScaleNormal="100" zoomScaleSheetLayoutView="100" workbookViewId="0">
      <selection sqref="A1:C1"/>
    </sheetView>
  </sheetViews>
  <sheetFormatPr defaultColWidth="8.625" defaultRowHeight="16.5" outlineLevelRow="1"/>
  <cols>
    <col min="1" max="1" width="2.75" style="264" customWidth="1"/>
    <col min="2" max="2" width="2.25" style="264" customWidth="1"/>
    <col min="3" max="3" width="8.5" style="264" customWidth="1"/>
    <col min="4" max="4" width="4.125" style="264" customWidth="1"/>
    <col min="5" max="5" width="8.625" style="264" customWidth="1"/>
    <col min="6" max="6" width="3.125" style="325" customWidth="1"/>
    <col min="7" max="7" width="5.25" style="264" customWidth="1"/>
    <col min="8" max="8" width="10.5" style="264" customWidth="1"/>
    <col min="9" max="9" width="21.5" style="264" customWidth="1"/>
    <col min="10" max="10" width="7.375" style="264" customWidth="1"/>
    <col min="11" max="11" width="2.75" style="264" customWidth="1"/>
    <col min="12" max="12" width="16" style="263" customWidth="1"/>
    <col min="13" max="13" width="3.125" style="264" customWidth="1"/>
    <col min="14" max="14" width="3.625" style="264" customWidth="1"/>
    <col min="15" max="15" width="19.875" style="264" customWidth="1"/>
    <col min="16" max="17" width="14.375" style="265" customWidth="1"/>
    <col min="18" max="18" width="16.875" style="265" customWidth="1"/>
    <col min="19" max="19" width="14.625" style="265" customWidth="1"/>
    <col min="20" max="20" width="12.875" style="265" customWidth="1"/>
    <col min="21" max="256" width="8.625" style="264"/>
    <col min="257" max="257" width="2.75" style="264" customWidth="1"/>
    <col min="258" max="258" width="2.25" style="264" customWidth="1"/>
    <col min="259" max="259" width="8.5" style="264" customWidth="1"/>
    <col min="260" max="260" width="4.125" style="264" customWidth="1"/>
    <col min="261" max="261" width="8.625" style="264" customWidth="1"/>
    <col min="262" max="262" width="4.125" style="264" customWidth="1"/>
    <col min="263" max="263" width="5.25" style="264" customWidth="1"/>
    <col min="264" max="264" width="13.75" style="264" customWidth="1"/>
    <col min="265" max="265" width="19.625" style="264" customWidth="1"/>
    <col min="266" max="266" width="7.375" style="264" customWidth="1"/>
    <col min="267" max="267" width="2.75" style="264" customWidth="1"/>
    <col min="268" max="268" width="16" style="264" customWidth="1"/>
    <col min="269" max="269" width="3.125" style="264" customWidth="1"/>
    <col min="270" max="270" width="8.625" style="264"/>
    <col min="271" max="271" width="19.875" style="264" customWidth="1"/>
    <col min="272" max="273" width="14.375" style="264" customWidth="1"/>
    <col min="274" max="274" width="16.875" style="264" customWidth="1"/>
    <col min="275" max="275" width="14.625" style="264" customWidth="1"/>
    <col min="276" max="276" width="12.875" style="264" customWidth="1"/>
    <col min="277" max="512" width="8.625" style="264"/>
    <col min="513" max="513" width="2.75" style="264" customWidth="1"/>
    <col min="514" max="514" width="2.25" style="264" customWidth="1"/>
    <col min="515" max="515" width="8.5" style="264" customWidth="1"/>
    <col min="516" max="516" width="4.125" style="264" customWidth="1"/>
    <col min="517" max="517" width="8.625" style="264" customWidth="1"/>
    <col min="518" max="518" width="4.125" style="264" customWidth="1"/>
    <col min="519" max="519" width="5.25" style="264" customWidth="1"/>
    <col min="520" max="520" width="13.75" style="264" customWidth="1"/>
    <col min="521" max="521" width="19.625" style="264" customWidth="1"/>
    <col min="522" max="522" width="7.375" style="264" customWidth="1"/>
    <col min="523" max="523" width="2.75" style="264" customWidth="1"/>
    <col min="524" max="524" width="16" style="264" customWidth="1"/>
    <col min="525" max="525" width="3.125" style="264" customWidth="1"/>
    <col min="526" max="526" width="8.625" style="264"/>
    <col min="527" max="527" width="19.875" style="264" customWidth="1"/>
    <col min="528" max="529" width="14.375" style="264" customWidth="1"/>
    <col min="530" max="530" width="16.875" style="264" customWidth="1"/>
    <col min="531" max="531" width="14.625" style="264" customWidth="1"/>
    <col min="532" max="532" width="12.875" style="264" customWidth="1"/>
    <col min="533" max="768" width="8.625" style="264"/>
    <col min="769" max="769" width="2.75" style="264" customWidth="1"/>
    <col min="770" max="770" width="2.25" style="264" customWidth="1"/>
    <col min="771" max="771" width="8.5" style="264" customWidth="1"/>
    <col min="772" max="772" width="4.125" style="264" customWidth="1"/>
    <col min="773" max="773" width="8.625" style="264" customWidth="1"/>
    <col min="774" max="774" width="4.125" style="264" customWidth="1"/>
    <col min="775" max="775" width="5.25" style="264" customWidth="1"/>
    <col min="776" max="776" width="13.75" style="264" customWidth="1"/>
    <col min="777" max="777" width="19.625" style="264" customWidth="1"/>
    <col min="778" max="778" width="7.375" style="264" customWidth="1"/>
    <col min="779" max="779" width="2.75" style="264" customWidth="1"/>
    <col min="780" max="780" width="16" style="264" customWidth="1"/>
    <col min="781" max="781" width="3.125" style="264" customWidth="1"/>
    <col min="782" max="782" width="8.625" style="264"/>
    <col min="783" max="783" width="19.875" style="264" customWidth="1"/>
    <col min="784" max="785" width="14.375" style="264" customWidth="1"/>
    <col min="786" max="786" width="16.875" style="264" customWidth="1"/>
    <col min="787" max="787" width="14.625" style="264" customWidth="1"/>
    <col min="788" max="788" width="12.875" style="264" customWidth="1"/>
    <col min="789" max="1024" width="8.625" style="264"/>
    <col min="1025" max="1025" width="2.75" style="264" customWidth="1"/>
    <col min="1026" max="1026" width="2.25" style="264" customWidth="1"/>
    <col min="1027" max="1027" width="8.5" style="264" customWidth="1"/>
    <col min="1028" max="1028" width="4.125" style="264" customWidth="1"/>
    <col min="1029" max="1029" width="8.625" style="264" customWidth="1"/>
    <col min="1030" max="1030" width="4.125" style="264" customWidth="1"/>
    <col min="1031" max="1031" width="5.25" style="264" customWidth="1"/>
    <col min="1032" max="1032" width="13.75" style="264" customWidth="1"/>
    <col min="1033" max="1033" width="19.625" style="264" customWidth="1"/>
    <col min="1034" max="1034" width="7.375" style="264" customWidth="1"/>
    <col min="1035" max="1035" width="2.75" style="264" customWidth="1"/>
    <col min="1036" max="1036" width="16" style="264" customWidth="1"/>
    <col min="1037" max="1037" width="3.125" style="264" customWidth="1"/>
    <col min="1038" max="1038" width="8.625" style="264"/>
    <col min="1039" max="1039" width="19.875" style="264" customWidth="1"/>
    <col min="1040" max="1041" width="14.375" style="264" customWidth="1"/>
    <col min="1042" max="1042" width="16.875" style="264" customWidth="1"/>
    <col min="1043" max="1043" width="14.625" style="264" customWidth="1"/>
    <col min="1044" max="1044" width="12.875" style="264" customWidth="1"/>
    <col min="1045" max="1280" width="8.625" style="264"/>
    <col min="1281" max="1281" width="2.75" style="264" customWidth="1"/>
    <col min="1282" max="1282" width="2.25" style="264" customWidth="1"/>
    <col min="1283" max="1283" width="8.5" style="264" customWidth="1"/>
    <col min="1284" max="1284" width="4.125" style="264" customWidth="1"/>
    <col min="1285" max="1285" width="8.625" style="264" customWidth="1"/>
    <col min="1286" max="1286" width="4.125" style="264" customWidth="1"/>
    <col min="1287" max="1287" width="5.25" style="264" customWidth="1"/>
    <col min="1288" max="1288" width="13.75" style="264" customWidth="1"/>
    <col min="1289" max="1289" width="19.625" style="264" customWidth="1"/>
    <col min="1290" max="1290" width="7.375" style="264" customWidth="1"/>
    <col min="1291" max="1291" width="2.75" style="264" customWidth="1"/>
    <col min="1292" max="1292" width="16" style="264" customWidth="1"/>
    <col min="1293" max="1293" width="3.125" style="264" customWidth="1"/>
    <col min="1294" max="1294" width="8.625" style="264"/>
    <col min="1295" max="1295" width="19.875" style="264" customWidth="1"/>
    <col min="1296" max="1297" width="14.375" style="264" customWidth="1"/>
    <col min="1298" max="1298" width="16.875" style="264" customWidth="1"/>
    <col min="1299" max="1299" width="14.625" style="264" customWidth="1"/>
    <col min="1300" max="1300" width="12.875" style="264" customWidth="1"/>
    <col min="1301" max="1536" width="8.625" style="264"/>
    <col min="1537" max="1537" width="2.75" style="264" customWidth="1"/>
    <col min="1538" max="1538" width="2.25" style="264" customWidth="1"/>
    <col min="1539" max="1539" width="8.5" style="264" customWidth="1"/>
    <col min="1540" max="1540" width="4.125" style="264" customWidth="1"/>
    <col min="1541" max="1541" width="8.625" style="264" customWidth="1"/>
    <col min="1542" max="1542" width="4.125" style="264" customWidth="1"/>
    <col min="1543" max="1543" width="5.25" style="264" customWidth="1"/>
    <col min="1544" max="1544" width="13.75" style="264" customWidth="1"/>
    <col min="1545" max="1545" width="19.625" style="264" customWidth="1"/>
    <col min="1546" max="1546" width="7.375" style="264" customWidth="1"/>
    <col min="1547" max="1547" width="2.75" style="264" customWidth="1"/>
    <col min="1548" max="1548" width="16" style="264" customWidth="1"/>
    <col min="1549" max="1549" width="3.125" style="264" customWidth="1"/>
    <col min="1550" max="1550" width="8.625" style="264"/>
    <col min="1551" max="1551" width="19.875" style="264" customWidth="1"/>
    <col min="1552" max="1553" width="14.375" style="264" customWidth="1"/>
    <col min="1554" max="1554" width="16.875" style="264" customWidth="1"/>
    <col min="1555" max="1555" width="14.625" style="264" customWidth="1"/>
    <col min="1556" max="1556" width="12.875" style="264" customWidth="1"/>
    <col min="1557" max="1792" width="8.625" style="264"/>
    <col min="1793" max="1793" width="2.75" style="264" customWidth="1"/>
    <col min="1794" max="1794" width="2.25" style="264" customWidth="1"/>
    <col min="1795" max="1795" width="8.5" style="264" customWidth="1"/>
    <col min="1796" max="1796" width="4.125" style="264" customWidth="1"/>
    <col min="1797" max="1797" width="8.625" style="264" customWidth="1"/>
    <col min="1798" max="1798" width="4.125" style="264" customWidth="1"/>
    <col min="1799" max="1799" width="5.25" style="264" customWidth="1"/>
    <col min="1800" max="1800" width="13.75" style="264" customWidth="1"/>
    <col min="1801" max="1801" width="19.625" style="264" customWidth="1"/>
    <col min="1802" max="1802" width="7.375" style="264" customWidth="1"/>
    <col min="1803" max="1803" width="2.75" style="264" customWidth="1"/>
    <col min="1804" max="1804" width="16" style="264" customWidth="1"/>
    <col min="1805" max="1805" width="3.125" style="264" customWidth="1"/>
    <col min="1806" max="1806" width="8.625" style="264"/>
    <col min="1807" max="1807" width="19.875" style="264" customWidth="1"/>
    <col min="1808" max="1809" width="14.375" style="264" customWidth="1"/>
    <col min="1810" max="1810" width="16.875" style="264" customWidth="1"/>
    <col min="1811" max="1811" width="14.625" style="264" customWidth="1"/>
    <col min="1812" max="1812" width="12.875" style="264" customWidth="1"/>
    <col min="1813" max="2048" width="8.625" style="264"/>
    <col min="2049" max="2049" width="2.75" style="264" customWidth="1"/>
    <col min="2050" max="2050" width="2.25" style="264" customWidth="1"/>
    <col min="2051" max="2051" width="8.5" style="264" customWidth="1"/>
    <col min="2052" max="2052" width="4.125" style="264" customWidth="1"/>
    <col min="2053" max="2053" width="8.625" style="264" customWidth="1"/>
    <col min="2054" max="2054" width="4.125" style="264" customWidth="1"/>
    <col min="2055" max="2055" width="5.25" style="264" customWidth="1"/>
    <col min="2056" max="2056" width="13.75" style="264" customWidth="1"/>
    <col min="2057" max="2057" width="19.625" style="264" customWidth="1"/>
    <col min="2058" max="2058" width="7.375" style="264" customWidth="1"/>
    <col min="2059" max="2059" width="2.75" style="264" customWidth="1"/>
    <col min="2060" max="2060" width="16" style="264" customWidth="1"/>
    <col min="2061" max="2061" width="3.125" style="264" customWidth="1"/>
    <col min="2062" max="2062" width="8.625" style="264"/>
    <col min="2063" max="2063" width="19.875" style="264" customWidth="1"/>
    <col min="2064" max="2065" width="14.375" style="264" customWidth="1"/>
    <col min="2066" max="2066" width="16.875" style="264" customWidth="1"/>
    <col min="2067" max="2067" width="14.625" style="264" customWidth="1"/>
    <col min="2068" max="2068" width="12.875" style="264" customWidth="1"/>
    <col min="2069" max="2304" width="8.625" style="264"/>
    <col min="2305" max="2305" width="2.75" style="264" customWidth="1"/>
    <col min="2306" max="2306" width="2.25" style="264" customWidth="1"/>
    <col min="2307" max="2307" width="8.5" style="264" customWidth="1"/>
    <col min="2308" max="2308" width="4.125" style="264" customWidth="1"/>
    <col min="2309" max="2309" width="8.625" style="264" customWidth="1"/>
    <col min="2310" max="2310" width="4.125" style="264" customWidth="1"/>
    <col min="2311" max="2311" width="5.25" style="264" customWidth="1"/>
    <col min="2312" max="2312" width="13.75" style="264" customWidth="1"/>
    <col min="2313" max="2313" width="19.625" style="264" customWidth="1"/>
    <col min="2314" max="2314" width="7.375" style="264" customWidth="1"/>
    <col min="2315" max="2315" width="2.75" style="264" customWidth="1"/>
    <col min="2316" max="2316" width="16" style="264" customWidth="1"/>
    <col min="2317" max="2317" width="3.125" style="264" customWidth="1"/>
    <col min="2318" max="2318" width="8.625" style="264"/>
    <col min="2319" max="2319" width="19.875" style="264" customWidth="1"/>
    <col min="2320" max="2321" width="14.375" style="264" customWidth="1"/>
    <col min="2322" max="2322" width="16.875" style="264" customWidth="1"/>
    <col min="2323" max="2323" width="14.625" style="264" customWidth="1"/>
    <col min="2324" max="2324" width="12.875" style="264" customWidth="1"/>
    <col min="2325" max="2560" width="8.625" style="264"/>
    <col min="2561" max="2561" width="2.75" style="264" customWidth="1"/>
    <col min="2562" max="2562" width="2.25" style="264" customWidth="1"/>
    <col min="2563" max="2563" width="8.5" style="264" customWidth="1"/>
    <col min="2564" max="2564" width="4.125" style="264" customWidth="1"/>
    <col min="2565" max="2565" width="8.625" style="264" customWidth="1"/>
    <col min="2566" max="2566" width="4.125" style="264" customWidth="1"/>
    <col min="2567" max="2567" width="5.25" style="264" customWidth="1"/>
    <col min="2568" max="2568" width="13.75" style="264" customWidth="1"/>
    <col min="2569" max="2569" width="19.625" style="264" customWidth="1"/>
    <col min="2570" max="2570" width="7.375" style="264" customWidth="1"/>
    <col min="2571" max="2571" width="2.75" style="264" customWidth="1"/>
    <col min="2572" max="2572" width="16" style="264" customWidth="1"/>
    <col min="2573" max="2573" width="3.125" style="264" customWidth="1"/>
    <col min="2574" max="2574" width="8.625" style="264"/>
    <col min="2575" max="2575" width="19.875" style="264" customWidth="1"/>
    <col min="2576" max="2577" width="14.375" style="264" customWidth="1"/>
    <col min="2578" max="2578" width="16.875" style="264" customWidth="1"/>
    <col min="2579" max="2579" width="14.625" style="264" customWidth="1"/>
    <col min="2580" max="2580" width="12.875" style="264" customWidth="1"/>
    <col min="2581" max="2816" width="8.625" style="264"/>
    <col min="2817" max="2817" width="2.75" style="264" customWidth="1"/>
    <col min="2818" max="2818" width="2.25" style="264" customWidth="1"/>
    <col min="2819" max="2819" width="8.5" style="264" customWidth="1"/>
    <col min="2820" max="2820" width="4.125" style="264" customWidth="1"/>
    <col min="2821" max="2821" width="8.625" style="264" customWidth="1"/>
    <col min="2822" max="2822" width="4.125" style="264" customWidth="1"/>
    <col min="2823" max="2823" width="5.25" style="264" customWidth="1"/>
    <col min="2824" max="2824" width="13.75" style="264" customWidth="1"/>
    <col min="2825" max="2825" width="19.625" style="264" customWidth="1"/>
    <col min="2826" max="2826" width="7.375" style="264" customWidth="1"/>
    <col min="2827" max="2827" width="2.75" style="264" customWidth="1"/>
    <col min="2828" max="2828" width="16" style="264" customWidth="1"/>
    <col min="2829" max="2829" width="3.125" style="264" customWidth="1"/>
    <col min="2830" max="2830" width="8.625" style="264"/>
    <col min="2831" max="2831" width="19.875" style="264" customWidth="1"/>
    <col min="2832" max="2833" width="14.375" style="264" customWidth="1"/>
    <col min="2834" max="2834" width="16.875" style="264" customWidth="1"/>
    <col min="2835" max="2835" width="14.625" style="264" customWidth="1"/>
    <col min="2836" max="2836" width="12.875" style="264" customWidth="1"/>
    <col min="2837" max="3072" width="8.625" style="264"/>
    <col min="3073" max="3073" width="2.75" style="264" customWidth="1"/>
    <col min="3074" max="3074" width="2.25" style="264" customWidth="1"/>
    <col min="3075" max="3075" width="8.5" style="264" customWidth="1"/>
    <col min="3076" max="3076" width="4.125" style="264" customWidth="1"/>
    <col min="3077" max="3077" width="8.625" style="264" customWidth="1"/>
    <col min="3078" max="3078" width="4.125" style="264" customWidth="1"/>
    <col min="3079" max="3079" width="5.25" style="264" customWidth="1"/>
    <col min="3080" max="3080" width="13.75" style="264" customWidth="1"/>
    <col min="3081" max="3081" width="19.625" style="264" customWidth="1"/>
    <col min="3082" max="3082" width="7.375" style="264" customWidth="1"/>
    <col min="3083" max="3083" width="2.75" style="264" customWidth="1"/>
    <col min="3084" max="3084" width="16" style="264" customWidth="1"/>
    <col min="3085" max="3085" width="3.125" style="264" customWidth="1"/>
    <col min="3086" max="3086" width="8.625" style="264"/>
    <col min="3087" max="3087" width="19.875" style="264" customWidth="1"/>
    <col min="3088" max="3089" width="14.375" style="264" customWidth="1"/>
    <col min="3090" max="3090" width="16.875" style="264" customWidth="1"/>
    <col min="3091" max="3091" width="14.625" style="264" customWidth="1"/>
    <col min="3092" max="3092" width="12.875" style="264" customWidth="1"/>
    <col min="3093" max="3328" width="8.625" style="264"/>
    <col min="3329" max="3329" width="2.75" style="264" customWidth="1"/>
    <col min="3330" max="3330" width="2.25" style="264" customWidth="1"/>
    <col min="3331" max="3331" width="8.5" style="264" customWidth="1"/>
    <col min="3332" max="3332" width="4.125" style="264" customWidth="1"/>
    <col min="3333" max="3333" width="8.625" style="264" customWidth="1"/>
    <col min="3334" max="3334" width="4.125" style="264" customWidth="1"/>
    <col min="3335" max="3335" width="5.25" style="264" customWidth="1"/>
    <col min="3336" max="3336" width="13.75" style="264" customWidth="1"/>
    <col min="3337" max="3337" width="19.625" style="264" customWidth="1"/>
    <col min="3338" max="3338" width="7.375" style="264" customWidth="1"/>
    <col min="3339" max="3339" width="2.75" style="264" customWidth="1"/>
    <col min="3340" max="3340" width="16" style="264" customWidth="1"/>
    <col min="3341" max="3341" width="3.125" style="264" customWidth="1"/>
    <col min="3342" max="3342" width="8.625" style="264"/>
    <col min="3343" max="3343" width="19.875" style="264" customWidth="1"/>
    <col min="3344" max="3345" width="14.375" style="264" customWidth="1"/>
    <col min="3346" max="3346" width="16.875" style="264" customWidth="1"/>
    <col min="3347" max="3347" width="14.625" style="264" customWidth="1"/>
    <col min="3348" max="3348" width="12.875" style="264" customWidth="1"/>
    <col min="3349" max="3584" width="8.625" style="264"/>
    <col min="3585" max="3585" width="2.75" style="264" customWidth="1"/>
    <col min="3586" max="3586" width="2.25" style="264" customWidth="1"/>
    <col min="3587" max="3587" width="8.5" style="264" customWidth="1"/>
    <col min="3588" max="3588" width="4.125" style="264" customWidth="1"/>
    <col min="3589" max="3589" width="8.625" style="264" customWidth="1"/>
    <col min="3590" max="3590" width="4.125" style="264" customWidth="1"/>
    <col min="3591" max="3591" width="5.25" style="264" customWidth="1"/>
    <col min="3592" max="3592" width="13.75" style="264" customWidth="1"/>
    <col min="3593" max="3593" width="19.625" style="264" customWidth="1"/>
    <col min="3594" max="3594" width="7.375" style="264" customWidth="1"/>
    <col min="3595" max="3595" width="2.75" style="264" customWidth="1"/>
    <col min="3596" max="3596" width="16" style="264" customWidth="1"/>
    <col min="3597" max="3597" width="3.125" style="264" customWidth="1"/>
    <col min="3598" max="3598" width="8.625" style="264"/>
    <col min="3599" max="3599" width="19.875" style="264" customWidth="1"/>
    <col min="3600" max="3601" width="14.375" style="264" customWidth="1"/>
    <col min="3602" max="3602" width="16.875" style="264" customWidth="1"/>
    <col min="3603" max="3603" width="14.625" style="264" customWidth="1"/>
    <col min="3604" max="3604" width="12.875" style="264" customWidth="1"/>
    <col min="3605" max="3840" width="8.625" style="264"/>
    <col min="3841" max="3841" width="2.75" style="264" customWidth="1"/>
    <col min="3842" max="3842" width="2.25" style="264" customWidth="1"/>
    <col min="3843" max="3843" width="8.5" style="264" customWidth="1"/>
    <col min="3844" max="3844" width="4.125" style="264" customWidth="1"/>
    <col min="3845" max="3845" width="8.625" style="264" customWidth="1"/>
    <col min="3846" max="3846" width="4.125" style="264" customWidth="1"/>
    <col min="3847" max="3847" width="5.25" style="264" customWidth="1"/>
    <col min="3848" max="3848" width="13.75" style="264" customWidth="1"/>
    <col min="3849" max="3849" width="19.625" style="264" customWidth="1"/>
    <col min="3850" max="3850" width="7.375" style="264" customWidth="1"/>
    <col min="3851" max="3851" width="2.75" style="264" customWidth="1"/>
    <col min="3852" max="3852" width="16" style="264" customWidth="1"/>
    <col min="3853" max="3853" width="3.125" style="264" customWidth="1"/>
    <col min="3854" max="3854" width="8.625" style="264"/>
    <col min="3855" max="3855" width="19.875" style="264" customWidth="1"/>
    <col min="3856" max="3857" width="14.375" style="264" customWidth="1"/>
    <col min="3858" max="3858" width="16.875" style="264" customWidth="1"/>
    <col min="3859" max="3859" width="14.625" style="264" customWidth="1"/>
    <col min="3860" max="3860" width="12.875" style="264" customWidth="1"/>
    <col min="3861" max="4096" width="8.625" style="264"/>
    <col min="4097" max="4097" width="2.75" style="264" customWidth="1"/>
    <col min="4098" max="4098" width="2.25" style="264" customWidth="1"/>
    <col min="4099" max="4099" width="8.5" style="264" customWidth="1"/>
    <col min="4100" max="4100" width="4.125" style="264" customWidth="1"/>
    <col min="4101" max="4101" width="8.625" style="264" customWidth="1"/>
    <col min="4102" max="4102" width="4.125" style="264" customWidth="1"/>
    <col min="4103" max="4103" width="5.25" style="264" customWidth="1"/>
    <col min="4104" max="4104" width="13.75" style="264" customWidth="1"/>
    <col min="4105" max="4105" width="19.625" style="264" customWidth="1"/>
    <col min="4106" max="4106" width="7.375" style="264" customWidth="1"/>
    <col min="4107" max="4107" width="2.75" style="264" customWidth="1"/>
    <col min="4108" max="4108" width="16" style="264" customWidth="1"/>
    <col min="4109" max="4109" width="3.125" style="264" customWidth="1"/>
    <col min="4110" max="4110" width="8.625" style="264"/>
    <col min="4111" max="4111" width="19.875" style="264" customWidth="1"/>
    <col min="4112" max="4113" width="14.375" style="264" customWidth="1"/>
    <col min="4114" max="4114" width="16.875" style="264" customWidth="1"/>
    <col min="4115" max="4115" width="14.625" style="264" customWidth="1"/>
    <col min="4116" max="4116" width="12.875" style="264" customWidth="1"/>
    <col min="4117" max="4352" width="8.625" style="264"/>
    <col min="4353" max="4353" width="2.75" style="264" customWidth="1"/>
    <col min="4354" max="4354" width="2.25" style="264" customWidth="1"/>
    <col min="4355" max="4355" width="8.5" style="264" customWidth="1"/>
    <col min="4356" max="4356" width="4.125" style="264" customWidth="1"/>
    <col min="4357" max="4357" width="8.625" style="264" customWidth="1"/>
    <col min="4358" max="4358" width="4.125" style="264" customWidth="1"/>
    <col min="4359" max="4359" width="5.25" style="264" customWidth="1"/>
    <col min="4360" max="4360" width="13.75" style="264" customWidth="1"/>
    <col min="4361" max="4361" width="19.625" style="264" customWidth="1"/>
    <col min="4362" max="4362" width="7.375" style="264" customWidth="1"/>
    <col min="4363" max="4363" width="2.75" style="264" customWidth="1"/>
    <col min="4364" max="4364" width="16" style="264" customWidth="1"/>
    <col min="4365" max="4365" width="3.125" style="264" customWidth="1"/>
    <col min="4366" max="4366" width="8.625" style="264"/>
    <col min="4367" max="4367" width="19.875" style="264" customWidth="1"/>
    <col min="4368" max="4369" width="14.375" style="264" customWidth="1"/>
    <col min="4370" max="4370" width="16.875" style="264" customWidth="1"/>
    <col min="4371" max="4371" width="14.625" style="264" customWidth="1"/>
    <col min="4372" max="4372" width="12.875" style="264" customWidth="1"/>
    <col min="4373" max="4608" width="8.625" style="264"/>
    <col min="4609" max="4609" width="2.75" style="264" customWidth="1"/>
    <col min="4610" max="4610" width="2.25" style="264" customWidth="1"/>
    <col min="4611" max="4611" width="8.5" style="264" customWidth="1"/>
    <col min="4612" max="4612" width="4.125" style="264" customWidth="1"/>
    <col min="4613" max="4613" width="8.625" style="264" customWidth="1"/>
    <col min="4614" max="4614" width="4.125" style="264" customWidth="1"/>
    <col min="4615" max="4615" width="5.25" style="264" customWidth="1"/>
    <col min="4616" max="4616" width="13.75" style="264" customWidth="1"/>
    <col min="4617" max="4617" width="19.625" style="264" customWidth="1"/>
    <col min="4618" max="4618" width="7.375" style="264" customWidth="1"/>
    <col min="4619" max="4619" width="2.75" style="264" customWidth="1"/>
    <col min="4620" max="4620" width="16" style="264" customWidth="1"/>
    <col min="4621" max="4621" width="3.125" style="264" customWidth="1"/>
    <col min="4622" max="4622" width="8.625" style="264"/>
    <col min="4623" max="4623" width="19.875" style="264" customWidth="1"/>
    <col min="4624" max="4625" width="14.375" style="264" customWidth="1"/>
    <col min="4626" max="4626" width="16.875" style="264" customWidth="1"/>
    <col min="4627" max="4627" width="14.625" style="264" customWidth="1"/>
    <col min="4628" max="4628" width="12.875" style="264" customWidth="1"/>
    <col min="4629" max="4864" width="8.625" style="264"/>
    <col min="4865" max="4865" width="2.75" style="264" customWidth="1"/>
    <col min="4866" max="4866" width="2.25" style="264" customWidth="1"/>
    <col min="4867" max="4867" width="8.5" style="264" customWidth="1"/>
    <col min="4868" max="4868" width="4.125" style="264" customWidth="1"/>
    <col min="4869" max="4869" width="8.625" style="264" customWidth="1"/>
    <col min="4870" max="4870" width="4.125" style="264" customWidth="1"/>
    <col min="4871" max="4871" width="5.25" style="264" customWidth="1"/>
    <col min="4872" max="4872" width="13.75" style="264" customWidth="1"/>
    <col min="4873" max="4873" width="19.625" style="264" customWidth="1"/>
    <col min="4874" max="4874" width="7.375" style="264" customWidth="1"/>
    <col min="4875" max="4875" width="2.75" style="264" customWidth="1"/>
    <col min="4876" max="4876" width="16" style="264" customWidth="1"/>
    <col min="4877" max="4877" width="3.125" style="264" customWidth="1"/>
    <col min="4878" max="4878" width="8.625" style="264"/>
    <col min="4879" max="4879" width="19.875" style="264" customWidth="1"/>
    <col min="4880" max="4881" width="14.375" style="264" customWidth="1"/>
    <col min="4882" max="4882" width="16.875" style="264" customWidth="1"/>
    <col min="4883" max="4883" width="14.625" style="264" customWidth="1"/>
    <col min="4884" max="4884" width="12.875" style="264" customWidth="1"/>
    <col min="4885" max="5120" width="8.625" style="264"/>
    <col min="5121" max="5121" width="2.75" style="264" customWidth="1"/>
    <col min="5122" max="5122" width="2.25" style="264" customWidth="1"/>
    <col min="5123" max="5123" width="8.5" style="264" customWidth="1"/>
    <col min="5124" max="5124" width="4.125" style="264" customWidth="1"/>
    <col min="5125" max="5125" width="8.625" style="264" customWidth="1"/>
    <col min="5126" max="5126" width="4.125" style="264" customWidth="1"/>
    <col min="5127" max="5127" width="5.25" style="264" customWidth="1"/>
    <col min="5128" max="5128" width="13.75" style="264" customWidth="1"/>
    <col min="5129" max="5129" width="19.625" style="264" customWidth="1"/>
    <col min="5130" max="5130" width="7.375" style="264" customWidth="1"/>
    <col min="5131" max="5131" width="2.75" style="264" customWidth="1"/>
    <col min="5132" max="5132" width="16" style="264" customWidth="1"/>
    <col min="5133" max="5133" width="3.125" style="264" customWidth="1"/>
    <col min="5134" max="5134" width="8.625" style="264"/>
    <col min="5135" max="5135" width="19.875" style="264" customWidth="1"/>
    <col min="5136" max="5137" width="14.375" style="264" customWidth="1"/>
    <col min="5138" max="5138" width="16.875" style="264" customWidth="1"/>
    <col min="5139" max="5139" width="14.625" style="264" customWidth="1"/>
    <col min="5140" max="5140" width="12.875" style="264" customWidth="1"/>
    <col min="5141" max="5376" width="8.625" style="264"/>
    <col min="5377" max="5377" width="2.75" style="264" customWidth="1"/>
    <col min="5378" max="5378" width="2.25" style="264" customWidth="1"/>
    <col min="5379" max="5379" width="8.5" style="264" customWidth="1"/>
    <col min="5380" max="5380" width="4.125" style="264" customWidth="1"/>
    <col min="5381" max="5381" width="8.625" style="264" customWidth="1"/>
    <col min="5382" max="5382" width="4.125" style="264" customWidth="1"/>
    <col min="5383" max="5383" width="5.25" style="264" customWidth="1"/>
    <col min="5384" max="5384" width="13.75" style="264" customWidth="1"/>
    <col min="5385" max="5385" width="19.625" style="264" customWidth="1"/>
    <col min="5386" max="5386" width="7.375" style="264" customWidth="1"/>
    <col min="5387" max="5387" width="2.75" style="264" customWidth="1"/>
    <col min="5388" max="5388" width="16" style="264" customWidth="1"/>
    <col min="5389" max="5389" width="3.125" style="264" customWidth="1"/>
    <col min="5390" max="5390" width="8.625" style="264"/>
    <col min="5391" max="5391" width="19.875" style="264" customWidth="1"/>
    <col min="5392" max="5393" width="14.375" style="264" customWidth="1"/>
    <col min="5394" max="5394" width="16.875" style="264" customWidth="1"/>
    <col min="5395" max="5395" width="14.625" style="264" customWidth="1"/>
    <col min="5396" max="5396" width="12.875" style="264" customWidth="1"/>
    <col min="5397" max="5632" width="8.625" style="264"/>
    <col min="5633" max="5633" width="2.75" style="264" customWidth="1"/>
    <col min="5634" max="5634" width="2.25" style="264" customWidth="1"/>
    <col min="5635" max="5635" width="8.5" style="264" customWidth="1"/>
    <col min="5636" max="5636" width="4.125" style="264" customWidth="1"/>
    <col min="5637" max="5637" width="8.625" style="264" customWidth="1"/>
    <col min="5638" max="5638" width="4.125" style="264" customWidth="1"/>
    <col min="5639" max="5639" width="5.25" style="264" customWidth="1"/>
    <col min="5640" max="5640" width="13.75" style="264" customWidth="1"/>
    <col min="5641" max="5641" width="19.625" style="264" customWidth="1"/>
    <col min="5642" max="5642" width="7.375" style="264" customWidth="1"/>
    <col min="5643" max="5643" width="2.75" style="264" customWidth="1"/>
    <col min="5644" max="5644" width="16" style="264" customWidth="1"/>
    <col min="5645" max="5645" width="3.125" style="264" customWidth="1"/>
    <col min="5646" max="5646" width="8.625" style="264"/>
    <col min="5647" max="5647" width="19.875" style="264" customWidth="1"/>
    <col min="5648" max="5649" width="14.375" style="264" customWidth="1"/>
    <col min="5650" max="5650" width="16.875" style="264" customWidth="1"/>
    <col min="5651" max="5651" width="14.625" style="264" customWidth="1"/>
    <col min="5652" max="5652" width="12.875" style="264" customWidth="1"/>
    <col min="5653" max="5888" width="8.625" style="264"/>
    <col min="5889" max="5889" width="2.75" style="264" customWidth="1"/>
    <col min="5890" max="5890" width="2.25" style="264" customWidth="1"/>
    <col min="5891" max="5891" width="8.5" style="264" customWidth="1"/>
    <col min="5892" max="5892" width="4.125" style="264" customWidth="1"/>
    <col min="5893" max="5893" width="8.625" style="264" customWidth="1"/>
    <col min="5894" max="5894" width="4.125" style="264" customWidth="1"/>
    <col min="5895" max="5895" width="5.25" style="264" customWidth="1"/>
    <col min="5896" max="5896" width="13.75" style="264" customWidth="1"/>
    <col min="5897" max="5897" width="19.625" style="264" customWidth="1"/>
    <col min="5898" max="5898" width="7.375" style="264" customWidth="1"/>
    <col min="5899" max="5899" width="2.75" style="264" customWidth="1"/>
    <col min="5900" max="5900" width="16" style="264" customWidth="1"/>
    <col min="5901" max="5901" width="3.125" style="264" customWidth="1"/>
    <col min="5902" max="5902" width="8.625" style="264"/>
    <col min="5903" max="5903" width="19.875" style="264" customWidth="1"/>
    <col min="5904" max="5905" width="14.375" style="264" customWidth="1"/>
    <col min="5906" max="5906" width="16.875" style="264" customWidth="1"/>
    <col min="5907" max="5907" width="14.625" style="264" customWidth="1"/>
    <col min="5908" max="5908" width="12.875" style="264" customWidth="1"/>
    <col min="5909" max="6144" width="8.625" style="264"/>
    <col min="6145" max="6145" width="2.75" style="264" customWidth="1"/>
    <col min="6146" max="6146" width="2.25" style="264" customWidth="1"/>
    <col min="6147" max="6147" width="8.5" style="264" customWidth="1"/>
    <col min="6148" max="6148" width="4.125" style="264" customWidth="1"/>
    <col min="6149" max="6149" width="8.625" style="264" customWidth="1"/>
    <col min="6150" max="6150" width="4.125" style="264" customWidth="1"/>
    <col min="6151" max="6151" width="5.25" style="264" customWidth="1"/>
    <col min="6152" max="6152" width="13.75" style="264" customWidth="1"/>
    <col min="6153" max="6153" width="19.625" style="264" customWidth="1"/>
    <col min="6154" max="6154" width="7.375" style="264" customWidth="1"/>
    <col min="6155" max="6155" width="2.75" style="264" customWidth="1"/>
    <col min="6156" max="6156" width="16" style="264" customWidth="1"/>
    <col min="6157" max="6157" width="3.125" style="264" customWidth="1"/>
    <col min="6158" max="6158" width="8.625" style="264"/>
    <col min="6159" max="6159" width="19.875" style="264" customWidth="1"/>
    <col min="6160" max="6161" width="14.375" style="264" customWidth="1"/>
    <col min="6162" max="6162" width="16.875" style="264" customWidth="1"/>
    <col min="6163" max="6163" width="14.625" style="264" customWidth="1"/>
    <col min="6164" max="6164" width="12.875" style="264" customWidth="1"/>
    <col min="6165" max="6400" width="8.625" style="264"/>
    <col min="6401" max="6401" width="2.75" style="264" customWidth="1"/>
    <col min="6402" max="6402" width="2.25" style="264" customWidth="1"/>
    <col min="6403" max="6403" width="8.5" style="264" customWidth="1"/>
    <col min="6404" max="6404" width="4.125" style="264" customWidth="1"/>
    <col min="6405" max="6405" width="8.625" style="264" customWidth="1"/>
    <col min="6406" max="6406" width="4.125" style="264" customWidth="1"/>
    <col min="6407" max="6407" width="5.25" style="264" customWidth="1"/>
    <col min="6408" max="6408" width="13.75" style="264" customWidth="1"/>
    <col min="6409" max="6409" width="19.625" style="264" customWidth="1"/>
    <col min="6410" max="6410" width="7.375" style="264" customWidth="1"/>
    <col min="6411" max="6411" width="2.75" style="264" customWidth="1"/>
    <col min="6412" max="6412" width="16" style="264" customWidth="1"/>
    <col min="6413" max="6413" width="3.125" style="264" customWidth="1"/>
    <col min="6414" max="6414" width="8.625" style="264"/>
    <col min="6415" max="6415" width="19.875" style="264" customWidth="1"/>
    <col min="6416" max="6417" width="14.375" style="264" customWidth="1"/>
    <col min="6418" max="6418" width="16.875" style="264" customWidth="1"/>
    <col min="6419" max="6419" width="14.625" style="264" customWidth="1"/>
    <col min="6420" max="6420" width="12.875" style="264" customWidth="1"/>
    <col min="6421" max="6656" width="8.625" style="264"/>
    <col min="6657" max="6657" width="2.75" style="264" customWidth="1"/>
    <col min="6658" max="6658" width="2.25" style="264" customWidth="1"/>
    <col min="6659" max="6659" width="8.5" style="264" customWidth="1"/>
    <col min="6660" max="6660" width="4.125" style="264" customWidth="1"/>
    <col min="6661" max="6661" width="8.625" style="264" customWidth="1"/>
    <col min="6662" max="6662" width="4.125" style="264" customWidth="1"/>
    <col min="6663" max="6663" width="5.25" style="264" customWidth="1"/>
    <col min="6664" max="6664" width="13.75" style="264" customWidth="1"/>
    <col min="6665" max="6665" width="19.625" style="264" customWidth="1"/>
    <col min="6666" max="6666" width="7.375" style="264" customWidth="1"/>
    <col min="6667" max="6667" width="2.75" style="264" customWidth="1"/>
    <col min="6668" max="6668" width="16" style="264" customWidth="1"/>
    <col min="6669" max="6669" width="3.125" style="264" customWidth="1"/>
    <col min="6670" max="6670" width="8.625" style="264"/>
    <col min="6671" max="6671" width="19.875" style="264" customWidth="1"/>
    <col min="6672" max="6673" width="14.375" style="264" customWidth="1"/>
    <col min="6674" max="6674" width="16.875" style="264" customWidth="1"/>
    <col min="6675" max="6675" width="14.625" style="264" customWidth="1"/>
    <col min="6676" max="6676" width="12.875" style="264" customWidth="1"/>
    <col min="6677" max="6912" width="8.625" style="264"/>
    <col min="6913" max="6913" width="2.75" style="264" customWidth="1"/>
    <col min="6914" max="6914" width="2.25" style="264" customWidth="1"/>
    <col min="6915" max="6915" width="8.5" style="264" customWidth="1"/>
    <col min="6916" max="6916" width="4.125" style="264" customWidth="1"/>
    <col min="6917" max="6917" width="8.625" style="264" customWidth="1"/>
    <col min="6918" max="6918" width="4.125" style="264" customWidth="1"/>
    <col min="6919" max="6919" width="5.25" style="264" customWidth="1"/>
    <col min="6920" max="6920" width="13.75" style="264" customWidth="1"/>
    <col min="6921" max="6921" width="19.625" style="264" customWidth="1"/>
    <col min="6922" max="6922" width="7.375" style="264" customWidth="1"/>
    <col min="6923" max="6923" width="2.75" style="264" customWidth="1"/>
    <col min="6924" max="6924" width="16" style="264" customWidth="1"/>
    <col min="6925" max="6925" width="3.125" style="264" customWidth="1"/>
    <col min="6926" max="6926" width="8.625" style="264"/>
    <col min="6927" max="6927" width="19.875" style="264" customWidth="1"/>
    <col min="6928" max="6929" width="14.375" style="264" customWidth="1"/>
    <col min="6930" max="6930" width="16.875" style="264" customWidth="1"/>
    <col min="6931" max="6931" width="14.625" style="264" customWidth="1"/>
    <col min="6932" max="6932" width="12.875" style="264" customWidth="1"/>
    <col min="6933" max="7168" width="8.625" style="264"/>
    <col min="7169" max="7169" width="2.75" style="264" customWidth="1"/>
    <col min="7170" max="7170" width="2.25" style="264" customWidth="1"/>
    <col min="7171" max="7171" width="8.5" style="264" customWidth="1"/>
    <col min="7172" max="7172" width="4.125" style="264" customWidth="1"/>
    <col min="7173" max="7173" width="8.625" style="264" customWidth="1"/>
    <col min="7174" max="7174" width="4.125" style="264" customWidth="1"/>
    <col min="7175" max="7175" width="5.25" style="264" customWidth="1"/>
    <col min="7176" max="7176" width="13.75" style="264" customWidth="1"/>
    <col min="7177" max="7177" width="19.625" style="264" customWidth="1"/>
    <col min="7178" max="7178" width="7.375" style="264" customWidth="1"/>
    <col min="7179" max="7179" width="2.75" style="264" customWidth="1"/>
    <col min="7180" max="7180" width="16" style="264" customWidth="1"/>
    <col min="7181" max="7181" width="3.125" style="264" customWidth="1"/>
    <col min="7182" max="7182" width="8.625" style="264"/>
    <col min="7183" max="7183" width="19.875" style="264" customWidth="1"/>
    <col min="7184" max="7185" width="14.375" style="264" customWidth="1"/>
    <col min="7186" max="7186" width="16.875" style="264" customWidth="1"/>
    <col min="7187" max="7187" width="14.625" style="264" customWidth="1"/>
    <col min="7188" max="7188" width="12.875" style="264" customWidth="1"/>
    <col min="7189" max="7424" width="8.625" style="264"/>
    <col min="7425" max="7425" width="2.75" style="264" customWidth="1"/>
    <col min="7426" max="7426" width="2.25" style="264" customWidth="1"/>
    <col min="7427" max="7427" width="8.5" style="264" customWidth="1"/>
    <col min="7428" max="7428" width="4.125" style="264" customWidth="1"/>
    <col min="7429" max="7429" width="8.625" style="264" customWidth="1"/>
    <col min="7430" max="7430" width="4.125" style="264" customWidth="1"/>
    <col min="7431" max="7431" width="5.25" style="264" customWidth="1"/>
    <col min="7432" max="7432" width="13.75" style="264" customWidth="1"/>
    <col min="7433" max="7433" width="19.625" style="264" customWidth="1"/>
    <col min="7434" max="7434" width="7.375" style="264" customWidth="1"/>
    <col min="7435" max="7435" width="2.75" style="264" customWidth="1"/>
    <col min="7436" max="7436" width="16" style="264" customWidth="1"/>
    <col min="7437" max="7437" width="3.125" style="264" customWidth="1"/>
    <col min="7438" max="7438" width="8.625" style="264"/>
    <col min="7439" max="7439" width="19.875" style="264" customWidth="1"/>
    <col min="7440" max="7441" width="14.375" style="264" customWidth="1"/>
    <col min="7442" max="7442" width="16.875" style="264" customWidth="1"/>
    <col min="7443" max="7443" width="14.625" style="264" customWidth="1"/>
    <col min="7444" max="7444" width="12.875" style="264" customWidth="1"/>
    <col min="7445" max="7680" width="8.625" style="264"/>
    <col min="7681" max="7681" width="2.75" style="264" customWidth="1"/>
    <col min="7682" max="7682" width="2.25" style="264" customWidth="1"/>
    <col min="7683" max="7683" width="8.5" style="264" customWidth="1"/>
    <col min="7684" max="7684" width="4.125" style="264" customWidth="1"/>
    <col min="7685" max="7685" width="8.625" style="264" customWidth="1"/>
    <col min="7686" max="7686" width="4.125" style="264" customWidth="1"/>
    <col min="7687" max="7687" width="5.25" style="264" customWidth="1"/>
    <col min="7688" max="7688" width="13.75" style="264" customWidth="1"/>
    <col min="7689" max="7689" width="19.625" style="264" customWidth="1"/>
    <col min="7690" max="7690" width="7.375" style="264" customWidth="1"/>
    <col min="7691" max="7691" width="2.75" style="264" customWidth="1"/>
    <col min="7692" max="7692" width="16" style="264" customWidth="1"/>
    <col min="7693" max="7693" width="3.125" style="264" customWidth="1"/>
    <col min="7694" max="7694" width="8.625" style="264"/>
    <col min="7695" max="7695" width="19.875" style="264" customWidth="1"/>
    <col min="7696" max="7697" width="14.375" style="264" customWidth="1"/>
    <col min="7698" max="7698" width="16.875" style="264" customWidth="1"/>
    <col min="7699" max="7699" width="14.625" style="264" customWidth="1"/>
    <col min="7700" max="7700" width="12.875" style="264" customWidth="1"/>
    <col min="7701" max="7936" width="8.625" style="264"/>
    <col min="7937" max="7937" width="2.75" style="264" customWidth="1"/>
    <col min="7938" max="7938" width="2.25" style="264" customWidth="1"/>
    <col min="7939" max="7939" width="8.5" style="264" customWidth="1"/>
    <col min="7940" max="7940" width="4.125" style="264" customWidth="1"/>
    <col min="7941" max="7941" width="8.625" style="264" customWidth="1"/>
    <col min="7942" max="7942" width="4.125" style="264" customWidth="1"/>
    <col min="7943" max="7943" width="5.25" style="264" customWidth="1"/>
    <col min="7944" max="7944" width="13.75" style="264" customWidth="1"/>
    <col min="7945" max="7945" width="19.625" style="264" customWidth="1"/>
    <col min="7946" max="7946" width="7.375" style="264" customWidth="1"/>
    <col min="7947" max="7947" width="2.75" style="264" customWidth="1"/>
    <col min="7948" max="7948" width="16" style="264" customWidth="1"/>
    <col min="7949" max="7949" width="3.125" style="264" customWidth="1"/>
    <col min="7950" max="7950" width="8.625" style="264"/>
    <col min="7951" max="7951" width="19.875" style="264" customWidth="1"/>
    <col min="7952" max="7953" width="14.375" style="264" customWidth="1"/>
    <col min="7954" max="7954" width="16.875" style="264" customWidth="1"/>
    <col min="7955" max="7955" width="14.625" style="264" customWidth="1"/>
    <col min="7956" max="7956" width="12.875" style="264" customWidth="1"/>
    <col min="7957" max="8192" width="8.625" style="264"/>
    <col min="8193" max="8193" width="2.75" style="264" customWidth="1"/>
    <col min="8194" max="8194" width="2.25" style="264" customWidth="1"/>
    <col min="8195" max="8195" width="8.5" style="264" customWidth="1"/>
    <col min="8196" max="8196" width="4.125" style="264" customWidth="1"/>
    <col min="8197" max="8197" width="8.625" style="264" customWidth="1"/>
    <col min="8198" max="8198" width="4.125" style="264" customWidth="1"/>
    <col min="8199" max="8199" width="5.25" style="264" customWidth="1"/>
    <col min="8200" max="8200" width="13.75" style="264" customWidth="1"/>
    <col min="8201" max="8201" width="19.625" style="264" customWidth="1"/>
    <col min="8202" max="8202" width="7.375" style="264" customWidth="1"/>
    <col min="8203" max="8203" width="2.75" style="264" customWidth="1"/>
    <col min="8204" max="8204" width="16" style="264" customWidth="1"/>
    <col min="8205" max="8205" width="3.125" style="264" customWidth="1"/>
    <col min="8206" max="8206" width="8.625" style="264"/>
    <col min="8207" max="8207" width="19.875" style="264" customWidth="1"/>
    <col min="8208" max="8209" width="14.375" style="264" customWidth="1"/>
    <col min="8210" max="8210" width="16.875" style="264" customWidth="1"/>
    <col min="8211" max="8211" width="14.625" style="264" customWidth="1"/>
    <col min="8212" max="8212" width="12.875" style="264" customWidth="1"/>
    <col min="8213" max="8448" width="8.625" style="264"/>
    <col min="8449" max="8449" width="2.75" style="264" customWidth="1"/>
    <col min="8450" max="8450" width="2.25" style="264" customWidth="1"/>
    <col min="8451" max="8451" width="8.5" style="264" customWidth="1"/>
    <col min="8452" max="8452" width="4.125" style="264" customWidth="1"/>
    <col min="8453" max="8453" width="8.625" style="264" customWidth="1"/>
    <col min="8454" max="8454" width="4.125" style="264" customWidth="1"/>
    <col min="8455" max="8455" width="5.25" style="264" customWidth="1"/>
    <col min="8456" max="8456" width="13.75" style="264" customWidth="1"/>
    <col min="8457" max="8457" width="19.625" style="264" customWidth="1"/>
    <col min="8458" max="8458" width="7.375" style="264" customWidth="1"/>
    <col min="8459" max="8459" width="2.75" style="264" customWidth="1"/>
    <col min="8460" max="8460" width="16" style="264" customWidth="1"/>
    <col min="8461" max="8461" width="3.125" style="264" customWidth="1"/>
    <col min="8462" max="8462" width="8.625" style="264"/>
    <col min="8463" max="8463" width="19.875" style="264" customWidth="1"/>
    <col min="8464" max="8465" width="14.375" style="264" customWidth="1"/>
    <col min="8466" max="8466" width="16.875" style="264" customWidth="1"/>
    <col min="8467" max="8467" width="14.625" style="264" customWidth="1"/>
    <col min="8468" max="8468" width="12.875" style="264" customWidth="1"/>
    <col min="8469" max="8704" width="8.625" style="264"/>
    <col min="8705" max="8705" width="2.75" style="264" customWidth="1"/>
    <col min="8706" max="8706" width="2.25" style="264" customWidth="1"/>
    <col min="8707" max="8707" width="8.5" style="264" customWidth="1"/>
    <col min="8708" max="8708" width="4.125" style="264" customWidth="1"/>
    <col min="8709" max="8709" width="8.625" style="264" customWidth="1"/>
    <col min="8710" max="8710" width="4.125" style="264" customWidth="1"/>
    <col min="8711" max="8711" width="5.25" style="264" customWidth="1"/>
    <col min="8712" max="8712" width="13.75" style="264" customWidth="1"/>
    <col min="8713" max="8713" width="19.625" style="264" customWidth="1"/>
    <col min="8714" max="8714" width="7.375" style="264" customWidth="1"/>
    <col min="8715" max="8715" width="2.75" style="264" customWidth="1"/>
    <col min="8716" max="8716" width="16" style="264" customWidth="1"/>
    <col min="8717" max="8717" width="3.125" style="264" customWidth="1"/>
    <col min="8718" max="8718" width="8.625" style="264"/>
    <col min="8719" max="8719" width="19.875" style="264" customWidth="1"/>
    <col min="8720" max="8721" width="14.375" style="264" customWidth="1"/>
    <col min="8722" max="8722" width="16.875" style="264" customWidth="1"/>
    <col min="8723" max="8723" width="14.625" style="264" customWidth="1"/>
    <col min="8724" max="8724" width="12.875" style="264" customWidth="1"/>
    <col min="8725" max="8960" width="8.625" style="264"/>
    <col min="8961" max="8961" width="2.75" style="264" customWidth="1"/>
    <col min="8962" max="8962" width="2.25" style="264" customWidth="1"/>
    <col min="8963" max="8963" width="8.5" style="264" customWidth="1"/>
    <col min="8964" max="8964" width="4.125" style="264" customWidth="1"/>
    <col min="8965" max="8965" width="8.625" style="264" customWidth="1"/>
    <col min="8966" max="8966" width="4.125" style="264" customWidth="1"/>
    <col min="8967" max="8967" width="5.25" style="264" customWidth="1"/>
    <col min="8968" max="8968" width="13.75" style="264" customWidth="1"/>
    <col min="8969" max="8969" width="19.625" style="264" customWidth="1"/>
    <col min="8970" max="8970" width="7.375" style="264" customWidth="1"/>
    <col min="8971" max="8971" width="2.75" style="264" customWidth="1"/>
    <col min="8972" max="8972" width="16" style="264" customWidth="1"/>
    <col min="8973" max="8973" width="3.125" style="264" customWidth="1"/>
    <col min="8974" max="8974" width="8.625" style="264"/>
    <col min="8975" max="8975" width="19.875" style="264" customWidth="1"/>
    <col min="8976" max="8977" width="14.375" style="264" customWidth="1"/>
    <col min="8978" max="8978" width="16.875" style="264" customWidth="1"/>
    <col min="8979" max="8979" width="14.625" style="264" customWidth="1"/>
    <col min="8980" max="8980" width="12.875" style="264" customWidth="1"/>
    <col min="8981" max="9216" width="8.625" style="264"/>
    <col min="9217" max="9217" width="2.75" style="264" customWidth="1"/>
    <col min="9218" max="9218" width="2.25" style="264" customWidth="1"/>
    <col min="9219" max="9219" width="8.5" style="264" customWidth="1"/>
    <col min="9220" max="9220" width="4.125" style="264" customWidth="1"/>
    <col min="9221" max="9221" width="8.625" style="264" customWidth="1"/>
    <col min="9222" max="9222" width="4.125" style="264" customWidth="1"/>
    <col min="9223" max="9223" width="5.25" style="264" customWidth="1"/>
    <col min="9224" max="9224" width="13.75" style="264" customWidth="1"/>
    <col min="9225" max="9225" width="19.625" style="264" customWidth="1"/>
    <col min="9226" max="9226" width="7.375" style="264" customWidth="1"/>
    <col min="9227" max="9227" width="2.75" style="264" customWidth="1"/>
    <col min="9228" max="9228" width="16" style="264" customWidth="1"/>
    <col min="9229" max="9229" width="3.125" style="264" customWidth="1"/>
    <col min="9230" max="9230" width="8.625" style="264"/>
    <col min="9231" max="9231" width="19.875" style="264" customWidth="1"/>
    <col min="9232" max="9233" width="14.375" style="264" customWidth="1"/>
    <col min="9234" max="9234" width="16.875" style="264" customWidth="1"/>
    <col min="9235" max="9235" width="14.625" style="264" customWidth="1"/>
    <col min="9236" max="9236" width="12.875" style="264" customWidth="1"/>
    <col min="9237" max="9472" width="8.625" style="264"/>
    <col min="9473" max="9473" width="2.75" style="264" customWidth="1"/>
    <col min="9474" max="9474" width="2.25" style="264" customWidth="1"/>
    <col min="9475" max="9475" width="8.5" style="264" customWidth="1"/>
    <col min="9476" max="9476" width="4.125" style="264" customWidth="1"/>
    <col min="9477" max="9477" width="8.625" style="264" customWidth="1"/>
    <col min="9478" max="9478" width="4.125" style="264" customWidth="1"/>
    <col min="9479" max="9479" width="5.25" style="264" customWidth="1"/>
    <col min="9480" max="9480" width="13.75" style="264" customWidth="1"/>
    <col min="9481" max="9481" width="19.625" style="264" customWidth="1"/>
    <col min="9482" max="9482" width="7.375" style="264" customWidth="1"/>
    <col min="9483" max="9483" width="2.75" style="264" customWidth="1"/>
    <col min="9484" max="9484" width="16" style="264" customWidth="1"/>
    <col min="9485" max="9485" width="3.125" style="264" customWidth="1"/>
    <col min="9486" max="9486" width="8.625" style="264"/>
    <col min="9487" max="9487" width="19.875" style="264" customWidth="1"/>
    <col min="9488" max="9489" width="14.375" style="264" customWidth="1"/>
    <col min="9490" max="9490" width="16.875" style="264" customWidth="1"/>
    <col min="9491" max="9491" width="14.625" style="264" customWidth="1"/>
    <col min="9492" max="9492" width="12.875" style="264" customWidth="1"/>
    <col min="9493" max="9728" width="8.625" style="264"/>
    <col min="9729" max="9729" width="2.75" style="264" customWidth="1"/>
    <col min="9730" max="9730" width="2.25" style="264" customWidth="1"/>
    <col min="9731" max="9731" width="8.5" style="264" customWidth="1"/>
    <col min="9732" max="9732" width="4.125" style="264" customWidth="1"/>
    <col min="9733" max="9733" width="8.625" style="264" customWidth="1"/>
    <col min="9734" max="9734" width="4.125" style="264" customWidth="1"/>
    <col min="9735" max="9735" width="5.25" style="264" customWidth="1"/>
    <col min="9736" max="9736" width="13.75" style="264" customWidth="1"/>
    <col min="9737" max="9737" width="19.625" style="264" customWidth="1"/>
    <col min="9738" max="9738" width="7.375" style="264" customWidth="1"/>
    <col min="9739" max="9739" width="2.75" style="264" customWidth="1"/>
    <col min="9740" max="9740" width="16" style="264" customWidth="1"/>
    <col min="9741" max="9741" width="3.125" style="264" customWidth="1"/>
    <col min="9742" max="9742" width="8.625" style="264"/>
    <col min="9743" max="9743" width="19.875" style="264" customWidth="1"/>
    <col min="9744" max="9745" width="14.375" style="264" customWidth="1"/>
    <col min="9746" max="9746" width="16.875" style="264" customWidth="1"/>
    <col min="9747" max="9747" width="14.625" style="264" customWidth="1"/>
    <col min="9748" max="9748" width="12.875" style="264" customWidth="1"/>
    <col min="9749" max="9984" width="8.625" style="264"/>
    <col min="9985" max="9985" width="2.75" style="264" customWidth="1"/>
    <col min="9986" max="9986" width="2.25" style="264" customWidth="1"/>
    <col min="9987" max="9987" width="8.5" style="264" customWidth="1"/>
    <col min="9988" max="9988" width="4.125" style="264" customWidth="1"/>
    <col min="9989" max="9989" width="8.625" style="264" customWidth="1"/>
    <col min="9990" max="9990" width="4.125" style="264" customWidth="1"/>
    <col min="9991" max="9991" width="5.25" style="264" customWidth="1"/>
    <col min="9992" max="9992" width="13.75" style="264" customWidth="1"/>
    <col min="9993" max="9993" width="19.625" style="264" customWidth="1"/>
    <col min="9994" max="9994" width="7.375" style="264" customWidth="1"/>
    <col min="9995" max="9995" width="2.75" style="264" customWidth="1"/>
    <col min="9996" max="9996" width="16" style="264" customWidth="1"/>
    <col min="9997" max="9997" width="3.125" style="264" customWidth="1"/>
    <col min="9998" max="9998" width="8.625" style="264"/>
    <col min="9999" max="9999" width="19.875" style="264" customWidth="1"/>
    <col min="10000" max="10001" width="14.375" style="264" customWidth="1"/>
    <col min="10002" max="10002" width="16.875" style="264" customWidth="1"/>
    <col min="10003" max="10003" width="14.625" style="264" customWidth="1"/>
    <col min="10004" max="10004" width="12.875" style="264" customWidth="1"/>
    <col min="10005" max="10240" width="8.625" style="264"/>
    <col min="10241" max="10241" width="2.75" style="264" customWidth="1"/>
    <col min="10242" max="10242" width="2.25" style="264" customWidth="1"/>
    <col min="10243" max="10243" width="8.5" style="264" customWidth="1"/>
    <col min="10244" max="10244" width="4.125" style="264" customWidth="1"/>
    <col min="10245" max="10245" width="8.625" style="264" customWidth="1"/>
    <col min="10246" max="10246" width="4.125" style="264" customWidth="1"/>
    <col min="10247" max="10247" width="5.25" style="264" customWidth="1"/>
    <col min="10248" max="10248" width="13.75" style="264" customWidth="1"/>
    <col min="10249" max="10249" width="19.625" style="264" customWidth="1"/>
    <col min="10250" max="10250" width="7.375" style="264" customWidth="1"/>
    <col min="10251" max="10251" width="2.75" style="264" customWidth="1"/>
    <col min="10252" max="10252" width="16" style="264" customWidth="1"/>
    <col min="10253" max="10253" width="3.125" style="264" customWidth="1"/>
    <col min="10254" max="10254" width="8.625" style="264"/>
    <col min="10255" max="10255" width="19.875" style="264" customWidth="1"/>
    <col min="10256" max="10257" width="14.375" style="264" customWidth="1"/>
    <col min="10258" max="10258" width="16.875" style="264" customWidth="1"/>
    <col min="10259" max="10259" width="14.625" style="264" customWidth="1"/>
    <col min="10260" max="10260" width="12.875" style="264" customWidth="1"/>
    <col min="10261" max="10496" width="8.625" style="264"/>
    <col min="10497" max="10497" width="2.75" style="264" customWidth="1"/>
    <col min="10498" max="10498" width="2.25" style="264" customWidth="1"/>
    <col min="10499" max="10499" width="8.5" style="264" customWidth="1"/>
    <col min="10500" max="10500" width="4.125" style="264" customWidth="1"/>
    <col min="10501" max="10501" width="8.625" style="264" customWidth="1"/>
    <col min="10502" max="10502" width="4.125" style="264" customWidth="1"/>
    <col min="10503" max="10503" width="5.25" style="264" customWidth="1"/>
    <col min="10504" max="10504" width="13.75" style="264" customWidth="1"/>
    <col min="10505" max="10505" width="19.625" style="264" customWidth="1"/>
    <col min="10506" max="10506" width="7.375" style="264" customWidth="1"/>
    <col min="10507" max="10507" width="2.75" style="264" customWidth="1"/>
    <col min="10508" max="10508" width="16" style="264" customWidth="1"/>
    <col min="10509" max="10509" width="3.125" style="264" customWidth="1"/>
    <col min="10510" max="10510" width="8.625" style="264"/>
    <col min="10511" max="10511" width="19.875" style="264" customWidth="1"/>
    <col min="10512" max="10513" width="14.375" style="264" customWidth="1"/>
    <col min="10514" max="10514" width="16.875" style="264" customWidth="1"/>
    <col min="10515" max="10515" width="14.625" style="264" customWidth="1"/>
    <col min="10516" max="10516" width="12.875" style="264" customWidth="1"/>
    <col min="10517" max="10752" width="8.625" style="264"/>
    <col min="10753" max="10753" width="2.75" style="264" customWidth="1"/>
    <col min="10754" max="10754" width="2.25" style="264" customWidth="1"/>
    <col min="10755" max="10755" width="8.5" style="264" customWidth="1"/>
    <col min="10756" max="10756" width="4.125" style="264" customWidth="1"/>
    <col min="10757" max="10757" width="8.625" style="264" customWidth="1"/>
    <col min="10758" max="10758" width="4.125" style="264" customWidth="1"/>
    <col min="10759" max="10759" width="5.25" style="264" customWidth="1"/>
    <col min="10760" max="10760" width="13.75" style="264" customWidth="1"/>
    <col min="10761" max="10761" width="19.625" style="264" customWidth="1"/>
    <col min="10762" max="10762" width="7.375" style="264" customWidth="1"/>
    <col min="10763" max="10763" width="2.75" style="264" customWidth="1"/>
    <col min="10764" max="10764" width="16" style="264" customWidth="1"/>
    <col min="10765" max="10765" width="3.125" style="264" customWidth="1"/>
    <col min="10766" max="10766" width="8.625" style="264"/>
    <col min="10767" max="10767" width="19.875" style="264" customWidth="1"/>
    <col min="10768" max="10769" width="14.375" style="264" customWidth="1"/>
    <col min="10770" max="10770" width="16.875" style="264" customWidth="1"/>
    <col min="10771" max="10771" width="14.625" style="264" customWidth="1"/>
    <col min="10772" max="10772" width="12.875" style="264" customWidth="1"/>
    <col min="10773" max="11008" width="8.625" style="264"/>
    <col min="11009" max="11009" width="2.75" style="264" customWidth="1"/>
    <col min="11010" max="11010" width="2.25" style="264" customWidth="1"/>
    <col min="11011" max="11011" width="8.5" style="264" customWidth="1"/>
    <col min="11012" max="11012" width="4.125" style="264" customWidth="1"/>
    <col min="11013" max="11013" width="8.625" style="264" customWidth="1"/>
    <col min="11014" max="11014" width="4.125" style="264" customWidth="1"/>
    <col min="11015" max="11015" width="5.25" style="264" customWidth="1"/>
    <col min="11016" max="11016" width="13.75" style="264" customWidth="1"/>
    <col min="11017" max="11017" width="19.625" style="264" customWidth="1"/>
    <col min="11018" max="11018" width="7.375" style="264" customWidth="1"/>
    <col min="11019" max="11019" width="2.75" style="264" customWidth="1"/>
    <col min="11020" max="11020" width="16" style="264" customWidth="1"/>
    <col min="11021" max="11021" width="3.125" style="264" customWidth="1"/>
    <col min="11022" max="11022" width="8.625" style="264"/>
    <col min="11023" max="11023" width="19.875" style="264" customWidth="1"/>
    <col min="11024" max="11025" width="14.375" style="264" customWidth="1"/>
    <col min="11026" max="11026" width="16.875" style="264" customWidth="1"/>
    <col min="11027" max="11027" width="14.625" style="264" customWidth="1"/>
    <col min="11028" max="11028" width="12.875" style="264" customWidth="1"/>
    <col min="11029" max="11264" width="8.625" style="264"/>
    <col min="11265" max="11265" width="2.75" style="264" customWidth="1"/>
    <col min="11266" max="11266" width="2.25" style="264" customWidth="1"/>
    <col min="11267" max="11267" width="8.5" style="264" customWidth="1"/>
    <col min="11268" max="11268" width="4.125" style="264" customWidth="1"/>
    <col min="11269" max="11269" width="8.625" style="264" customWidth="1"/>
    <col min="11270" max="11270" width="4.125" style="264" customWidth="1"/>
    <col min="11271" max="11271" width="5.25" style="264" customWidth="1"/>
    <col min="11272" max="11272" width="13.75" style="264" customWidth="1"/>
    <col min="11273" max="11273" width="19.625" style="264" customWidth="1"/>
    <col min="11274" max="11274" width="7.375" style="264" customWidth="1"/>
    <col min="11275" max="11275" width="2.75" style="264" customWidth="1"/>
    <col min="11276" max="11276" width="16" style="264" customWidth="1"/>
    <col min="11277" max="11277" width="3.125" style="264" customWidth="1"/>
    <col min="11278" max="11278" width="8.625" style="264"/>
    <col min="11279" max="11279" width="19.875" style="264" customWidth="1"/>
    <col min="11280" max="11281" width="14.375" style="264" customWidth="1"/>
    <col min="11282" max="11282" width="16.875" style="264" customWidth="1"/>
    <col min="11283" max="11283" width="14.625" style="264" customWidth="1"/>
    <col min="11284" max="11284" width="12.875" style="264" customWidth="1"/>
    <col min="11285" max="11520" width="8.625" style="264"/>
    <col min="11521" max="11521" width="2.75" style="264" customWidth="1"/>
    <col min="11522" max="11522" width="2.25" style="264" customWidth="1"/>
    <col min="11523" max="11523" width="8.5" style="264" customWidth="1"/>
    <col min="11524" max="11524" width="4.125" style="264" customWidth="1"/>
    <col min="11525" max="11525" width="8.625" style="264" customWidth="1"/>
    <col min="11526" max="11526" width="4.125" style="264" customWidth="1"/>
    <col min="11527" max="11527" width="5.25" style="264" customWidth="1"/>
    <col min="11528" max="11528" width="13.75" style="264" customWidth="1"/>
    <col min="11529" max="11529" width="19.625" style="264" customWidth="1"/>
    <col min="11530" max="11530" width="7.375" style="264" customWidth="1"/>
    <col min="11531" max="11531" width="2.75" style="264" customWidth="1"/>
    <col min="11532" max="11532" width="16" style="264" customWidth="1"/>
    <col min="11533" max="11533" width="3.125" style="264" customWidth="1"/>
    <col min="11534" max="11534" width="8.625" style="264"/>
    <col min="11535" max="11535" width="19.875" style="264" customWidth="1"/>
    <col min="11536" max="11537" width="14.375" style="264" customWidth="1"/>
    <col min="11538" max="11538" width="16.875" style="264" customWidth="1"/>
    <col min="11539" max="11539" width="14.625" style="264" customWidth="1"/>
    <col min="11540" max="11540" width="12.875" style="264" customWidth="1"/>
    <col min="11541" max="11776" width="8.625" style="264"/>
    <col min="11777" max="11777" width="2.75" style="264" customWidth="1"/>
    <col min="11778" max="11778" width="2.25" style="264" customWidth="1"/>
    <col min="11779" max="11779" width="8.5" style="264" customWidth="1"/>
    <col min="11780" max="11780" width="4.125" style="264" customWidth="1"/>
    <col min="11781" max="11781" width="8.625" style="264" customWidth="1"/>
    <col min="11782" max="11782" width="4.125" style="264" customWidth="1"/>
    <col min="11783" max="11783" width="5.25" style="264" customWidth="1"/>
    <col min="11784" max="11784" width="13.75" style="264" customWidth="1"/>
    <col min="11785" max="11785" width="19.625" style="264" customWidth="1"/>
    <col min="11786" max="11786" width="7.375" style="264" customWidth="1"/>
    <col min="11787" max="11787" width="2.75" style="264" customWidth="1"/>
    <col min="11788" max="11788" width="16" style="264" customWidth="1"/>
    <col min="11789" max="11789" width="3.125" style="264" customWidth="1"/>
    <col min="11790" max="11790" width="8.625" style="264"/>
    <col min="11791" max="11791" width="19.875" style="264" customWidth="1"/>
    <col min="11792" max="11793" width="14.375" style="264" customWidth="1"/>
    <col min="11794" max="11794" width="16.875" style="264" customWidth="1"/>
    <col min="11795" max="11795" width="14.625" style="264" customWidth="1"/>
    <col min="11796" max="11796" width="12.875" style="264" customWidth="1"/>
    <col min="11797" max="12032" width="8.625" style="264"/>
    <col min="12033" max="12033" width="2.75" style="264" customWidth="1"/>
    <col min="12034" max="12034" width="2.25" style="264" customWidth="1"/>
    <col min="12035" max="12035" width="8.5" style="264" customWidth="1"/>
    <col min="12036" max="12036" width="4.125" style="264" customWidth="1"/>
    <col min="12037" max="12037" width="8.625" style="264" customWidth="1"/>
    <col min="12038" max="12038" width="4.125" style="264" customWidth="1"/>
    <col min="12039" max="12039" width="5.25" style="264" customWidth="1"/>
    <col min="12040" max="12040" width="13.75" style="264" customWidth="1"/>
    <col min="12041" max="12041" width="19.625" style="264" customWidth="1"/>
    <col min="12042" max="12042" width="7.375" style="264" customWidth="1"/>
    <col min="12043" max="12043" width="2.75" style="264" customWidth="1"/>
    <col min="12044" max="12044" width="16" style="264" customWidth="1"/>
    <col min="12045" max="12045" width="3.125" style="264" customWidth="1"/>
    <col min="12046" max="12046" width="8.625" style="264"/>
    <col min="12047" max="12047" width="19.875" style="264" customWidth="1"/>
    <col min="12048" max="12049" width="14.375" style="264" customWidth="1"/>
    <col min="12050" max="12050" width="16.875" style="264" customWidth="1"/>
    <col min="12051" max="12051" width="14.625" style="264" customWidth="1"/>
    <col min="12052" max="12052" width="12.875" style="264" customWidth="1"/>
    <col min="12053" max="12288" width="8.625" style="264"/>
    <col min="12289" max="12289" width="2.75" style="264" customWidth="1"/>
    <col min="12290" max="12290" width="2.25" style="264" customWidth="1"/>
    <col min="12291" max="12291" width="8.5" style="264" customWidth="1"/>
    <col min="12292" max="12292" width="4.125" style="264" customWidth="1"/>
    <col min="12293" max="12293" width="8.625" style="264" customWidth="1"/>
    <col min="12294" max="12294" width="4.125" style="264" customWidth="1"/>
    <col min="12295" max="12295" width="5.25" style="264" customWidth="1"/>
    <col min="12296" max="12296" width="13.75" style="264" customWidth="1"/>
    <col min="12297" max="12297" width="19.625" style="264" customWidth="1"/>
    <col min="12298" max="12298" width="7.375" style="264" customWidth="1"/>
    <col min="12299" max="12299" width="2.75" style="264" customWidth="1"/>
    <col min="12300" max="12300" width="16" style="264" customWidth="1"/>
    <col min="12301" max="12301" width="3.125" style="264" customWidth="1"/>
    <col min="12302" max="12302" width="8.625" style="264"/>
    <col min="12303" max="12303" width="19.875" style="264" customWidth="1"/>
    <col min="12304" max="12305" width="14.375" style="264" customWidth="1"/>
    <col min="12306" max="12306" width="16.875" style="264" customWidth="1"/>
    <col min="12307" max="12307" width="14.625" style="264" customWidth="1"/>
    <col min="12308" max="12308" width="12.875" style="264" customWidth="1"/>
    <col min="12309" max="12544" width="8.625" style="264"/>
    <col min="12545" max="12545" width="2.75" style="264" customWidth="1"/>
    <col min="12546" max="12546" width="2.25" style="264" customWidth="1"/>
    <col min="12547" max="12547" width="8.5" style="264" customWidth="1"/>
    <col min="12548" max="12548" width="4.125" style="264" customWidth="1"/>
    <col min="12549" max="12549" width="8.625" style="264" customWidth="1"/>
    <col min="12550" max="12550" width="4.125" style="264" customWidth="1"/>
    <col min="12551" max="12551" width="5.25" style="264" customWidth="1"/>
    <col min="12552" max="12552" width="13.75" style="264" customWidth="1"/>
    <col min="12553" max="12553" width="19.625" style="264" customWidth="1"/>
    <col min="12554" max="12554" width="7.375" style="264" customWidth="1"/>
    <col min="12555" max="12555" width="2.75" style="264" customWidth="1"/>
    <col min="12556" max="12556" width="16" style="264" customWidth="1"/>
    <col min="12557" max="12557" width="3.125" style="264" customWidth="1"/>
    <col min="12558" max="12558" width="8.625" style="264"/>
    <col min="12559" max="12559" width="19.875" style="264" customWidth="1"/>
    <col min="12560" max="12561" width="14.375" style="264" customWidth="1"/>
    <col min="12562" max="12562" width="16.875" style="264" customWidth="1"/>
    <col min="12563" max="12563" width="14.625" style="264" customWidth="1"/>
    <col min="12564" max="12564" width="12.875" style="264" customWidth="1"/>
    <col min="12565" max="12800" width="8.625" style="264"/>
    <col min="12801" max="12801" width="2.75" style="264" customWidth="1"/>
    <col min="12802" max="12802" width="2.25" style="264" customWidth="1"/>
    <col min="12803" max="12803" width="8.5" style="264" customWidth="1"/>
    <col min="12804" max="12804" width="4.125" style="264" customWidth="1"/>
    <col min="12805" max="12805" width="8.625" style="264" customWidth="1"/>
    <col min="12806" max="12806" width="4.125" style="264" customWidth="1"/>
    <col min="12807" max="12807" width="5.25" style="264" customWidth="1"/>
    <col min="12808" max="12808" width="13.75" style="264" customWidth="1"/>
    <col min="12809" max="12809" width="19.625" style="264" customWidth="1"/>
    <col min="12810" max="12810" width="7.375" style="264" customWidth="1"/>
    <col min="12811" max="12811" width="2.75" style="264" customWidth="1"/>
    <col min="12812" max="12812" width="16" style="264" customWidth="1"/>
    <col min="12813" max="12813" width="3.125" style="264" customWidth="1"/>
    <col min="12814" max="12814" width="8.625" style="264"/>
    <col min="12815" max="12815" width="19.875" style="264" customWidth="1"/>
    <col min="12816" max="12817" width="14.375" style="264" customWidth="1"/>
    <col min="12818" max="12818" width="16.875" style="264" customWidth="1"/>
    <col min="12819" max="12819" width="14.625" style="264" customWidth="1"/>
    <col min="12820" max="12820" width="12.875" style="264" customWidth="1"/>
    <col min="12821" max="13056" width="8.625" style="264"/>
    <col min="13057" max="13057" width="2.75" style="264" customWidth="1"/>
    <col min="13058" max="13058" width="2.25" style="264" customWidth="1"/>
    <col min="13059" max="13059" width="8.5" style="264" customWidth="1"/>
    <col min="13060" max="13060" width="4.125" style="264" customWidth="1"/>
    <col min="13061" max="13061" width="8.625" style="264" customWidth="1"/>
    <col min="13062" max="13062" width="4.125" style="264" customWidth="1"/>
    <col min="13063" max="13063" width="5.25" style="264" customWidth="1"/>
    <col min="13064" max="13064" width="13.75" style="264" customWidth="1"/>
    <col min="13065" max="13065" width="19.625" style="264" customWidth="1"/>
    <col min="13066" max="13066" width="7.375" style="264" customWidth="1"/>
    <col min="13067" max="13067" width="2.75" style="264" customWidth="1"/>
    <col min="13068" max="13068" width="16" style="264" customWidth="1"/>
    <col min="13069" max="13069" width="3.125" style="264" customWidth="1"/>
    <col min="13070" max="13070" width="8.625" style="264"/>
    <col min="13071" max="13071" width="19.875" style="264" customWidth="1"/>
    <col min="13072" max="13073" width="14.375" style="264" customWidth="1"/>
    <col min="13074" max="13074" width="16.875" style="264" customWidth="1"/>
    <col min="13075" max="13075" width="14.625" style="264" customWidth="1"/>
    <col min="13076" max="13076" width="12.875" style="264" customWidth="1"/>
    <col min="13077" max="13312" width="8.625" style="264"/>
    <col min="13313" max="13313" width="2.75" style="264" customWidth="1"/>
    <col min="13314" max="13314" width="2.25" style="264" customWidth="1"/>
    <col min="13315" max="13315" width="8.5" style="264" customWidth="1"/>
    <col min="13316" max="13316" width="4.125" style="264" customWidth="1"/>
    <col min="13317" max="13317" width="8.625" style="264" customWidth="1"/>
    <col min="13318" max="13318" width="4.125" style="264" customWidth="1"/>
    <col min="13319" max="13319" width="5.25" style="264" customWidth="1"/>
    <col min="13320" max="13320" width="13.75" style="264" customWidth="1"/>
    <col min="13321" max="13321" width="19.625" style="264" customWidth="1"/>
    <col min="13322" max="13322" width="7.375" style="264" customWidth="1"/>
    <col min="13323" max="13323" width="2.75" style="264" customWidth="1"/>
    <col min="13324" max="13324" width="16" style="264" customWidth="1"/>
    <col min="13325" max="13325" width="3.125" style="264" customWidth="1"/>
    <col min="13326" max="13326" width="8.625" style="264"/>
    <col min="13327" max="13327" width="19.875" style="264" customWidth="1"/>
    <col min="13328" max="13329" width="14.375" style="264" customWidth="1"/>
    <col min="13330" max="13330" width="16.875" style="264" customWidth="1"/>
    <col min="13331" max="13331" width="14.625" style="264" customWidth="1"/>
    <col min="13332" max="13332" width="12.875" style="264" customWidth="1"/>
    <col min="13333" max="13568" width="8.625" style="264"/>
    <col min="13569" max="13569" width="2.75" style="264" customWidth="1"/>
    <col min="13570" max="13570" width="2.25" style="264" customWidth="1"/>
    <col min="13571" max="13571" width="8.5" style="264" customWidth="1"/>
    <col min="13572" max="13572" width="4.125" style="264" customWidth="1"/>
    <col min="13573" max="13573" width="8.625" style="264" customWidth="1"/>
    <col min="13574" max="13574" width="4.125" style="264" customWidth="1"/>
    <col min="13575" max="13575" width="5.25" style="264" customWidth="1"/>
    <col min="13576" max="13576" width="13.75" style="264" customWidth="1"/>
    <col min="13577" max="13577" width="19.625" style="264" customWidth="1"/>
    <col min="13578" max="13578" width="7.375" style="264" customWidth="1"/>
    <col min="13579" max="13579" width="2.75" style="264" customWidth="1"/>
    <col min="13580" max="13580" width="16" style="264" customWidth="1"/>
    <col min="13581" max="13581" width="3.125" style="264" customWidth="1"/>
    <col min="13582" max="13582" width="8.625" style="264"/>
    <col min="13583" max="13583" width="19.875" style="264" customWidth="1"/>
    <col min="13584" max="13585" width="14.375" style="264" customWidth="1"/>
    <col min="13586" max="13586" width="16.875" style="264" customWidth="1"/>
    <col min="13587" max="13587" width="14.625" style="264" customWidth="1"/>
    <col min="13588" max="13588" width="12.875" style="264" customWidth="1"/>
    <col min="13589" max="13824" width="8.625" style="264"/>
    <col min="13825" max="13825" width="2.75" style="264" customWidth="1"/>
    <col min="13826" max="13826" width="2.25" style="264" customWidth="1"/>
    <col min="13827" max="13827" width="8.5" style="264" customWidth="1"/>
    <col min="13828" max="13828" width="4.125" style="264" customWidth="1"/>
    <col min="13829" max="13829" width="8.625" style="264" customWidth="1"/>
    <col min="13830" max="13830" width="4.125" style="264" customWidth="1"/>
    <col min="13831" max="13831" width="5.25" style="264" customWidth="1"/>
    <col min="13832" max="13832" width="13.75" style="264" customWidth="1"/>
    <col min="13833" max="13833" width="19.625" style="264" customWidth="1"/>
    <col min="13834" max="13834" width="7.375" style="264" customWidth="1"/>
    <col min="13835" max="13835" width="2.75" style="264" customWidth="1"/>
    <col min="13836" max="13836" width="16" style="264" customWidth="1"/>
    <col min="13837" max="13837" width="3.125" style="264" customWidth="1"/>
    <col min="13838" max="13838" width="8.625" style="264"/>
    <col min="13839" max="13839" width="19.875" style="264" customWidth="1"/>
    <col min="13840" max="13841" width="14.375" style="264" customWidth="1"/>
    <col min="13842" max="13842" width="16.875" style="264" customWidth="1"/>
    <col min="13843" max="13843" width="14.625" style="264" customWidth="1"/>
    <col min="13844" max="13844" width="12.875" style="264" customWidth="1"/>
    <col min="13845" max="14080" width="8.625" style="264"/>
    <col min="14081" max="14081" width="2.75" style="264" customWidth="1"/>
    <col min="14082" max="14082" width="2.25" style="264" customWidth="1"/>
    <col min="14083" max="14083" width="8.5" style="264" customWidth="1"/>
    <col min="14084" max="14084" width="4.125" style="264" customWidth="1"/>
    <col min="14085" max="14085" width="8.625" style="264" customWidth="1"/>
    <col min="14086" max="14086" width="4.125" style="264" customWidth="1"/>
    <col min="14087" max="14087" width="5.25" style="264" customWidth="1"/>
    <col min="14088" max="14088" width="13.75" style="264" customWidth="1"/>
    <col min="14089" max="14089" width="19.625" style="264" customWidth="1"/>
    <col min="14090" max="14090" width="7.375" style="264" customWidth="1"/>
    <col min="14091" max="14091" width="2.75" style="264" customWidth="1"/>
    <col min="14092" max="14092" width="16" style="264" customWidth="1"/>
    <col min="14093" max="14093" width="3.125" style="264" customWidth="1"/>
    <col min="14094" max="14094" width="8.625" style="264"/>
    <col min="14095" max="14095" width="19.875" style="264" customWidth="1"/>
    <col min="14096" max="14097" width="14.375" style="264" customWidth="1"/>
    <col min="14098" max="14098" width="16.875" style="264" customWidth="1"/>
    <col min="14099" max="14099" width="14.625" style="264" customWidth="1"/>
    <col min="14100" max="14100" width="12.875" style="264" customWidth="1"/>
    <col min="14101" max="14336" width="8.625" style="264"/>
    <col min="14337" max="14337" width="2.75" style="264" customWidth="1"/>
    <col min="14338" max="14338" width="2.25" style="264" customWidth="1"/>
    <col min="14339" max="14339" width="8.5" style="264" customWidth="1"/>
    <col min="14340" max="14340" width="4.125" style="264" customWidth="1"/>
    <col min="14341" max="14341" width="8.625" style="264" customWidth="1"/>
    <col min="14342" max="14342" width="4.125" style="264" customWidth="1"/>
    <col min="14343" max="14343" width="5.25" style="264" customWidth="1"/>
    <col min="14344" max="14344" width="13.75" style="264" customWidth="1"/>
    <col min="14345" max="14345" width="19.625" style="264" customWidth="1"/>
    <col min="14346" max="14346" width="7.375" style="264" customWidth="1"/>
    <col min="14347" max="14347" width="2.75" style="264" customWidth="1"/>
    <col min="14348" max="14348" width="16" style="264" customWidth="1"/>
    <col min="14349" max="14349" width="3.125" style="264" customWidth="1"/>
    <col min="14350" max="14350" width="8.625" style="264"/>
    <col min="14351" max="14351" width="19.875" style="264" customWidth="1"/>
    <col min="14352" max="14353" width="14.375" style="264" customWidth="1"/>
    <col min="14354" max="14354" width="16.875" style="264" customWidth="1"/>
    <col min="14355" max="14355" width="14.625" style="264" customWidth="1"/>
    <col min="14356" max="14356" width="12.875" style="264" customWidth="1"/>
    <col min="14357" max="14592" width="8.625" style="264"/>
    <col min="14593" max="14593" width="2.75" style="264" customWidth="1"/>
    <col min="14594" max="14594" width="2.25" style="264" customWidth="1"/>
    <col min="14595" max="14595" width="8.5" style="264" customWidth="1"/>
    <col min="14596" max="14596" width="4.125" style="264" customWidth="1"/>
    <col min="14597" max="14597" width="8.625" style="264" customWidth="1"/>
    <col min="14598" max="14598" width="4.125" style="264" customWidth="1"/>
    <col min="14599" max="14599" width="5.25" style="264" customWidth="1"/>
    <col min="14600" max="14600" width="13.75" style="264" customWidth="1"/>
    <col min="14601" max="14601" width="19.625" style="264" customWidth="1"/>
    <col min="14602" max="14602" width="7.375" style="264" customWidth="1"/>
    <col min="14603" max="14603" width="2.75" style="264" customWidth="1"/>
    <col min="14604" max="14604" width="16" style="264" customWidth="1"/>
    <col min="14605" max="14605" width="3.125" style="264" customWidth="1"/>
    <col min="14606" max="14606" width="8.625" style="264"/>
    <col min="14607" max="14607" width="19.875" style="264" customWidth="1"/>
    <col min="14608" max="14609" width="14.375" style="264" customWidth="1"/>
    <col min="14610" max="14610" width="16.875" style="264" customWidth="1"/>
    <col min="14611" max="14611" width="14.625" style="264" customWidth="1"/>
    <col min="14612" max="14612" width="12.875" style="264" customWidth="1"/>
    <col min="14613" max="14848" width="8.625" style="264"/>
    <col min="14849" max="14849" width="2.75" style="264" customWidth="1"/>
    <col min="14850" max="14850" width="2.25" style="264" customWidth="1"/>
    <col min="14851" max="14851" width="8.5" style="264" customWidth="1"/>
    <col min="14852" max="14852" width="4.125" style="264" customWidth="1"/>
    <col min="14853" max="14853" width="8.625" style="264" customWidth="1"/>
    <col min="14854" max="14854" width="4.125" style="264" customWidth="1"/>
    <col min="14855" max="14855" width="5.25" style="264" customWidth="1"/>
    <col min="14856" max="14856" width="13.75" style="264" customWidth="1"/>
    <col min="14857" max="14857" width="19.625" style="264" customWidth="1"/>
    <col min="14858" max="14858" width="7.375" style="264" customWidth="1"/>
    <col min="14859" max="14859" width="2.75" style="264" customWidth="1"/>
    <col min="14860" max="14860" width="16" style="264" customWidth="1"/>
    <col min="14861" max="14861" width="3.125" style="264" customWidth="1"/>
    <col min="14862" max="14862" width="8.625" style="264"/>
    <col min="14863" max="14863" width="19.875" style="264" customWidth="1"/>
    <col min="14864" max="14865" width="14.375" style="264" customWidth="1"/>
    <col min="14866" max="14866" width="16.875" style="264" customWidth="1"/>
    <col min="14867" max="14867" width="14.625" style="264" customWidth="1"/>
    <col min="14868" max="14868" width="12.875" style="264" customWidth="1"/>
    <col min="14869" max="15104" width="8.625" style="264"/>
    <col min="15105" max="15105" width="2.75" style="264" customWidth="1"/>
    <col min="15106" max="15106" width="2.25" style="264" customWidth="1"/>
    <col min="15107" max="15107" width="8.5" style="264" customWidth="1"/>
    <col min="15108" max="15108" width="4.125" style="264" customWidth="1"/>
    <col min="15109" max="15109" width="8.625" style="264" customWidth="1"/>
    <col min="15110" max="15110" width="4.125" style="264" customWidth="1"/>
    <col min="15111" max="15111" width="5.25" style="264" customWidth="1"/>
    <col min="15112" max="15112" width="13.75" style="264" customWidth="1"/>
    <col min="15113" max="15113" width="19.625" style="264" customWidth="1"/>
    <col min="15114" max="15114" width="7.375" style="264" customWidth="1"/>
    <col min="15115" max="15115" width="2.75" style="264" customWidth="1"/>
    <col min="15116" max="15116" width="16" style="264" customWidth="1"/>
    <col min="15117" max="15117" width="3.125" style="264" customWidth="1"/>
    <col min="15118" max="15118" width="8.625" style="264"/>
    <col min="15119" max="15119" width="19.875" style="264" customWidth="1"/>
    <col min="15120" max="15121" width="14.375" style="264" customWidth="1"/>
    <col min="15122" max="15122" width="16.875" style="264" customWidth="1"/>
    <col min="15123" max="15123" width="14.625" style="264" customWidth="1"/>
    <col min="15124" max="15124" width="12.875" style="264" customWidth="1"/>
    <col min="15125" max="15360" width="8.625" style="264"/>
    <col min="15361" max="15361" width="2.75" style="264" customWidth="1"/>
    <col min="15362" max="15362" width="2.25" style="264" customWidth="1"/>
    <col min="15363" max="15363" width="8.5" style="264" customWidth="1"/>
    <col min="15364" max="15364" width="4.125" style="264" customWidth="1"/>
    <col min="15365" max="15365" width="8.625" style="264" customWidth="1"/>
    <col min="15366" max="15366" width="4.125" style="264" customWidth="1"/>
    <col min="15367" max="15367" width="5.25" style="264" customWidth="1"/>
    <col min="15368" max="15368" width="13.75" style="264" customWidth="1"/>
    <col min="15369" max="15369" width="19.625" style="264" customWidth="1"/>
    <col min="15370" max="15370" width="7.375" style="264" customWidth="1"/>
    <col min="15371" max="15371" width="2.75" style="264" customWidth="1"/>
    <col min="15372" max="15372" width="16" style="264" customWidth="1"/>
    <col min="15373" max="15373" width="3.125" style="264" customWidth="1"/>
    <col min="15374" max="15374" width="8.625" style="264"/>
    <col min="15375" max="15375" width="19.875" style="264" customWidth="1"/>
    <col min="15376" max="15377" width="14.375" style="264" customWidth="1"/>
    <col min="15378" max="15378" width="16.875" style="264" customWidth="1"/>
    <col min="15379" max="15379" width="14.625" style="264" customWidth="1"/>
    <col min="15380" max="15380" width="12.875" style="264" customWidth="1"/>
    <col min="15381" max="15616" width="8.625" style="264"/>
    <col min="15617" max="15617" width="2.75" style="264" customWidth="1"/>
    <col min="15618" max="15618" width="2.25" style="264" customWidth="1"/>
    <col min="15619" max="15619" width="8.5" style="264" customWidth="1"/>
    <col min="15620" max="15620" width="4.125" style="264" customWidth="1"/>
    <col min="15621" max="15621" width="8.625" style="264" customWidth="1"/>
    <col min="15622" max="15622" width="4.125" style="264" customWidth="1"/>
    <col min="15623" max="15623" width="5.25" style="264" customWidth="1"/>
    <col min="15624" max="15624" width="13.75" style="264" customWidth="1"/>
    <col min="15625" max="15625" width="19.625" style="264" customWidth="1"/>
    <col min="15626" max="15626" width="7.375" style="264" customWidth="1"/>
    <col min="15627" max="15627" width="2.75" style="264" customWidth="1"/>
    <col min="15628" max="15628" width="16" style="264" customWidth="1"/>
    <col min="15629" max="15629" width="3.125" style="264" customWidth="1"/>
    <col min="15630" max="15630" width="8.625" style="264"/>
    <col min="15631" max="15631" width="19.875" style="264" customWidth="1"/>
    <col min="15632" max="15633" width="14.375" style="264" customWidth="1"/>
    <col min="15634" max="15634" width="16.875" style="264" customWidth="1"/>
    <col min="15635" max="15635" width="14.625" style="264" customWidth="1"/>
    <col min="15636" max="15636" width="12.875" style="264" customWidth="1"/>
    <col min="15637" max="15872" width="8.625" style="264"/>
    <col min="15873" max="15873" width="2.75" style="264" customWidth="1"/>
    <col min="15874" max="15874" width="2.25" style="264" customWidth="1"/>
    <col min="15875" max="15875" width="8.5" style="264" customWidth="1"/>
    <col min="15876" max="15876" width="4.125" style="264" customWidth="1"/>
    <col min="15877" max="15877" width="8.625" style="264" customWidth="1"/>
    <col min="15878" max="15878" width="4.125" style="264" customWidth="1"/>
    <col min="15879" max="15879" width="5.25" style="264" customWidth="1"/>
    <col min="15880" max="15880" width="13.75" style="264" customWidth="1"/>
    <col min="15881" max="15881" width="19.625" style="264" customWidth="1"/>
    <col min="15882" max="15882" width="7.375" style="264" customWidth="1"/>
    <col min="15883" max="15883" width="2.75" style="264" customWidth="1"/>
    <col min="15884" max="15884" width="16" style="264" customWidth="1"/>
    <col min="15885" max="15885" width="3.125" style="264" customWidth="1"/>
    <col min="15886" max="15886" width="8.625" style="264"/>
    <col min="15887" max="15887" width="19.875" style="264" customWidth="1"/>
    <col min="15888" max="15889" width="14.375" style="264" customWidth="1"/>
    <col min="15890" max="15890" width="16.875" style="264" customWidth="1"/>
    <col min="15891" max="15891" width="14.625" style="264" customWidth="1"/>
    <col min="15892" max="15892" width="12.875" style="264" customWidth="1"/>
    <col min="15893" max="16128" width="8.625" style="264"/>
    <col min="16129" max="16129" width="2.75" style="264" customWidth="1"/>
    <col min="16130" max="16130" width="2.25" style="264" customWidth="1"/>
    <col min="16131" max="16131" width="8.5" style="264" customWidth="1"/>
    <col min="16132" max="16132" width="4.125" style="264" customWidth="1"/>
    <col min="16133" max="16133" width="8.625" style="264" customWidth="1"/>
    <col min="16134" max="16134" width="4.125" style="264" customWidth="1"/>
    <col min="16135" max="16135" width="5.25" style="264" customWidth="1"/>
    <col min="16136" max="16136" width="13.75" style="264" customWidth="1"/>
    <col min="16137" max="16137" width="19.625" style="264" customWidth="1"/>
    <col min="16138" max="16138" width="7.375" style="264" customWidth="1"/>
    <col min="16139" max="16139" width="2.75" style="264" customWidth="1"/>
    <col min="16140" max="16140" width="16" style="264" customWidth="1"/>
    <col min="16141" max="16141" width="3.125" style="264" customWidth="1"/>
    <col min="16142" max="16142" width="8.625" style="264"/>
    <col min="16143" max="16143" width="19.875" style="264" customWidth="1"/>
    <col min="16144" max="16145" width="14.375" style="264" customWidth="1"/>
    <col min="16146" max="16146" width="16.875" style="264" customWidth="1"/>
    <col min="16147" max="16147" width="14.625" style="264" customWidth="1"/>
    <col min="16148" max="16148" width="12.875" style="264" customWidth="1"/>
    <col min="16149" max="16384" width="8.625" style="264"/>
  </cols>
  <sheetData>
    <row r="1" spans="1:22" ht="9.75" customHeight="1">
      <c r="A1" s="587"/>
      <c r="B1" s="587"/>
      <c r="C1" s="587"/>
      <c r="D1" s="262"/>
      <c r="E1" s="262"/>
      <c r="F1" s="263"/>
      <c r="G1" s="262"/>
      <c r="H1" s="262"/>
      <c r="I1" s="262"/>
      <c r="J1" s="262"/>
      <c r="K1" s="262"/>
      <c r="M1" s="262"/>
    </row>
    <row r="2" spans="1:22" ht="46.5" customHeight="1">
      <c r="A2" s="588" t="s">
        <v>742</v>
      </c>
      <c r="B2" s="589"/>
      <c r="C2" s="589"/>
      <c r="D2" s="589"/>
      <c r="E2" s="589"/>
      <c r="F2" s="589"/>
      <c r="G2" s="589"/>
      <c r="H2" s="589"/>
      <c r="I2" s="589"/>
      <c r="J2" s="589"/>
      <c r="K2" s="589"/>
      <c r="L2" s="589"/>
      <c r="M2" s="590"/>
    </row>
    <row r="3" spans="1:22" s="262" customFormat="1" ht="24" customHeight="1">
      <c r="A3" s="574" t="s">
        <v>640</v>
      </c>
      <c r="B3" s="575"/>
      <c r="C3" s="576" t="s">
        <v>641</v>
      </c>
      <c r="D3" s="576"/>
      <c r="E3" s="576"/>
      <c r="F3" s="267" t="s">
        <v>642</v>
      </c>
      <c r="G3" s="591" t="str">
        <f>요율!G6</f>
        <v>고색2지구 공원 및 공공공지 조성공사</v>
      </c>
      <c r="H3" s="591"/>
      <c r="I3" s="591"/>
      <c r="J3" s="591"/>
      <c r="K3" s="591"/>
      <c r="L3" s="591"/>
      <c r="M3" s="592"/>
      <c r="P3" s="268"/>
      <c r="Q3" s="268"/>
      <c r="R3" s="268"/>
      <c r="S3" s="268"/>
      <c r="T3" s="268"/>
    </row>
    <row r="4" spans="1:22" s="262" customFormat="1" ht="24" customHeight="1">
      <c r="A4" s="574" t="s">
        <v>643</v>
      </c>
      <c r="B4" s="575"/>
      <c r="C4" s="576" t="s">
        <v>644</v>
      </c>
      <c r="D4" s="576"/>
      <c r="E4" s="576"/>
      <c r="F4" s="267" t="s">
        <v>642</v>
      </c>
      <c r="G4" s="577" t="str">
        <f>"일금" &amp; TEXT(L4, "[dbnum4] g/표준") &amp; "원정"</f>
        <v>일금 일십팔억칠천육백칠십팔만칠천원정</v>
      </c>
      <c r="H4" s="577"/>
      <c r="I4" s="577"/>
      <c r="J4" s="577"/>
      <c r="K4" s="266" t="s">
        <v>645</v>
      </c>
      <c r="L4" s="269">
        <v>1876787000</v>
      </c>
      <c r="M4" s="270" t="s">
        <v>646</v>
      </c>
      <c r="O4" s="271"/>
      <c r="P4" s="268"/>
      <c r="Q4" s="268"/>
      <c r="R4" s="268"/>
      <c r="S4" s="268"/>
      <c r="T4" s="268"/>
    </row>
    <row r="5" spans="1:22" s="262" customFormat="1" ht="24" customHeight="1">
      <c r="A5" s="574" t="s">
        <v>647</v>
      </c>
      <c r="B5" s="575"/>
      <c r="C5" s="576" t="s">
        <v>648</v>
      </c>
      <c r="D5" s="576"/>
      <c r="E5" s="576"/>
      <c r="F5" s="267" t="s">
        <v>642</v>
      </c>
      <c r="G5" s="586">
        <v>44197</v>
      </c>
      <c r="H5" s="586"/>
      <c r="I5" s="586"/>
      <c r="J5" s="272"/>
      <c r="K5" s="266"/>
      <c r="L5" s="269"/>
      <c r="M5" s="270"/>
      <c r="P5" s="268"/>
      <c r="Q5" s="268"/>
      <c r="R5" s="268"/>
      <c r="S5" s="268"/>
      <c r="T5" s="268"/>
    </row>
    <row r="6" spans="1:22" s="262" customFormat="1" ht="24" customHeight="1">
      <c r="A6" s="574" t="s">
        <v>649</v>
      </c>
      <c r="B6" s="575"/>
      <c r="C6" s="576" t="s">
        <v>650</v>
      </c>
      <c r="D6" s="576"/>
      <c r="E6" s="576"/>
      <c r="F6" s="267" t="s">
        <v>642</v>
      </c>
      <c r="G6" s="586">
        <v>44198</v>
      </c>
      <c r="H6" s="586"/>
      <c r="I6" s="586"/>
      <c r="J6" s="273"/>
      <c r="K6" s="266"/>
      <c r="L6" s="269"/>
      <c r="M6" s="270"/>
      <c r="P6" s="268"/>
      <c r="Q6" s="268">
        <v>661526622</v>
      </c>
      <c r="R6" s="268">
        <f>Q6*0.1</f>
        <v>66152662.200000003</v>
      </c>
      <c r="S6" s="268">
        <f>Q6+R6</f>
        <v>727679284.20000005</v>
      </c>
      <c r="T6" s="268"/>
    </row>
    <row r="7" spans="1:22" s="262" customFormat="1" ht="24" customHeight="1">
      <c r="A7" s="574" t="s">
        <v>651</v>
      </c>
      <c r="B7" s="575"/>
      <c r="C7" s="576" t="s">
        <v>652</v>
      </c>
      <c r="D7" s="576"/>
      <c r="E7" s="576"/>
      <c r="F7" s="267" t="s">
        <v>642</v>
      </c>
      <c r="G7" s="586">
        <v>44199</v>
      </c>
      <c r="H7" s="586"/>
      <c r="I7" s="586"/>
      <c r="J7" s="273"/>
      <c r="K7" s="266"/>
      <c r="L7" s="269"/>
      <c r="M7" s="270"/>
      <c r="P7" s="268"/>
      <c r="Q7" s="268">
        <f>P7/1.1</f>
        <v>0</v>
      </c>
      <c r="R7" s="268">
        <f>Q7*0.1</f>
        <v>0</v>
      </c>
      <c r="S7" s="268">
        <f>SUM(Q7:R7)</f>
        <v>0</v>
      </c>
      <c r="T7" s="268"/>
    </row>
    <row r="8" spans="1:22" s="262" customFormat="1" ht="24" customHeight="1">
      <c r="A8" s="578" t="s">
        <v>653</v>
      </c>
      <c r="B8" s="579"/>
      <c r="C8" s="584" t="s">
        <v>654</v>
      </c>
      <c r="D8" s="584"/>
      <c r="E8" s="584"/>
      <c r="F8" s="275" t="s">
        <v>642</v>
      </c>
      <c r="G8" s="565" t="str">
        <f xml:space="preserve"> "일금 " &amp; NUMBERSTRING(L8, 1) &amp; "원정"</f>
        <v>일금 칠억이천칠백육십칠만구천이백팔십사원정</v>
      </c>
      <c r="H8" s="565"/>
      <c r="I8" s="565"/>
      <c r="J8" s="565"/>
      <c r="K8" s="274" t="s">
        <v>645</v>
      </c>
      <c r="L8" s="276">
        <f>S6</f>
        <v>727679284.20000005</v>
      </c>
      <c r="M8" s="277" t="s">
        <v>646</v>
      </c>
      <c r="O8" s="278"/>
      <c r="P8" s="279"/>
      <c r="Q8" s="268"/>
      <c r="R8" s="268"/>
      <c r="S8" s="268"/>
      <c r="T8" s="268"/>
    </row>
    <row r="9" spans="1:22" s="262" customFormat="1" ht="24" customHeight="1">
      <c r="A9" s="574" t="s">
        <v>655</v>
      </c>
      <c r="B9" s="575"/>
      <c r="C9" s="576" t="s">
        <v>656</v>
      </c>
      <c r="D9" s="576"/>
      <c r="E9" s="576"/>
      <c r="F9" s="267" t="s">
        <v>642</v>
      </c>
      <c r="G9" s="577" t="str">
        <f xml:space="preserve"> "일금 " &amp; NUMBERSTRING(L9, 1) &amp; "원정"</f>
        <v>일금 영원정</v>
      </c>
      <c r="H9" s="577"/>
      <c r="I9" s="577"/>
      <c r="J9" s="577"/>
      <c r="K9" s="266" t="s">
        <v>645</v>
      </c>
      <c r="L9" s="269">
        <f>집계표!G18</f>
        <v>0</v>
      </c>
      <c r="M9" s="270" t="s">
        <v>646</v>
      </c>
      <c r="O9" s="262" t="s">
        <v>657</v>
      </c>
      <c r="P9" s="280" t="s">
        <v>658</v>
      </c>
      <c r="Q9" s="280" t="s">
        <v>659</v>
      </c>
      <c r="R9" s="280" t="s">
        <v>660</v>
      </c>
      <c r="S9" s="280" t="s">
        <v>658</v>
      </c>
      <c r="T9" s="268"/>
    </row>
    <row r="10" spans="1:22" s="262" customFormat="1" ht="24" customHeight="1">
      <c r="A10" s="578" t="s">
        <v>661</v>
      </c>
      <c r="B10" s="579"/>
      <c r="C10" s="584" t="s">
        <v>662</v>
      </c>
      <c r="D10" s="584"/>
      <c r="E10" s="584"/>
      <c r="F10" s="275" t="s">
        <v>642</v>
      </c>
      <c r="G10" s="565" t="str">
        <f xml:space="preserve"> "일금 " &amp; NUMBERSTRING(L10, 1) &amp; "원정"</f>
        <v>일금 영원정</v>
      </c>
      <c r="H10" s="565"/>
      <c r="I10" s="565"/>
      <c r="J10" s="565"/>
      <c r="K10" s="274" t="s">
        <v>645</v>
      </c>
      <c r="L10" s="276">
        <f>L11+L13+L15+L17+L19</f>
        <v>0</v>
      </c>
      <c r="M10" s="281" t="s">
        <v>646</v>
      </c>
      <c r="O10" s="278"/>
      <c r="P10" s="282">
        <f>L10</f>
        <v>0</v>
      </c>
      <c r="Q10" s="268">
        <f>TRUNC(P10/1.1)</f>
        <v>0</v>
      </c>
      <c r="R10" s="268">
        <f>P10-Q10</f>
        <v>0</v>
      </c>
      <c r="S10" s="268">
        <f>Q10+R10</f>
        <v>0</v>
      </c>
      <c r="T10" s="268"/>
      <c r="V10" s="283"/>
    </row>
    <row r="11" spans="1:22" s="262" customFormat="1" ht="15" hidden="1" customHeight="1" outlineLevel="1">
      <c r="A11" s="580"/>
      <c r="B11" s="581"/>
      <c r="C11" s="558" t="s">
        <v>663</v>
      </c>
      <c r="D11" s="558"/>
      <c r="E11" s="558"/>
      <c r="F11" s="559" t="s">
        <v>642</v>
      </c>
      <c r="G11" s="561" t="str">
        <f xml:space="preserve"> "일금 " &amp; NUMBERSTRING(L11, 1) &amp; "원정"</f>
        <v>일금 영원정</v>
      </c>
      <c r="H11" s="561"/>
      <c r="I11" s="561"/>
      <c r="J11" s="561"/>
      <c r="K11" s="554" t="s">
        <v>645</v>
      </c>
      <c r="L11" s="555">
        <f>집계표!H7</f>
        <v>0</v>
      </c>
      <c r="M11" s="563" t="s">
        <v>646</v>
      </c>
      <c r="O11" s="278" t="s">
        <v>664</v>
      </c>
      <c r="P11" s="282">
        <f>L11</f>
        <v>0</v>
      </c>
      <c r="Q11" s="268">
        <f>TRUNC(P11/1.1)</f>
        <v>0</v>
      </c>
      <c r="R11" s="268">
        <f>P11-Q11</f>
        <v>0</v>
      </c>
      <c r="S11" s="268">
        <f>Q11+R11</f>
        <v>0</v>
      </c>
      <c r="T11" s="268"/>
    </row>
    <row r="12" spans="1:22" s="262" customFormat="1" ht="15" hidden="1" customHeight="1" outlineLevel="1">
      <c r="A12" s="580"/>
      <c r="B12" s="581"/>
      <c r="C12" s="564" t="s">
        <v>665</v>
      </c>
      <c r="D12" s="564"/>
      <c r="E12" s="564"/>
      <c r="F12" s="560"/>
      <c r="G12" s="562"/>
      <c r="H12" s="562"/>
      <c r="I12" s="562"/>
      <c r="J12" s="562"/>
      <c r="K12" s="554"/>
      <c r="L12" s="555"/>
      <c r="M12" s="563"/>
      <c r="O12" s="278"/>
      <c r="P12" s="282"/>
      <c r="Q12" s="268"/>
      <c r="R12" s="268"/>
      <c r="S12" s="268"/>
      <c r="T12" s="268"/>
    </row>
    <row r="13" spans="1:22" s="262" customFormat="1" ht="15" hidden="1" customHeight="1" outlineLevel="1">
      <c r="A13" s="580"/>
      <c r="B13" s="581"/>
      <c r="C13" s="573" t="s">
        <v>666</v>
      </c>
      <c r="D13" s="573"/>
      <c r="E13" s="573"/>
      <c r="F13" s="545" t="s">
        <v>642</v>
      </c>
      <c r="G13" s="561" t="str">
        <f xml:space="preserve"> "일금 " &amp; NUMBERSTRING(L13, 1) &amp; "원정"</f>
        <v>일금 영원정</v>
      </c>
      <c r="H13" s="561"/>
      <c r="I13" s="561"/>
      <c r="J13" s="561"/>
      <c r="K13" s="554" t="s">
        <v>645</v>
      </c>
      <c r="L13" s="555">
        <f>집계표!H14</f>
        <v>0</v>
      </c>
      <c r="M13" s="563" t="s">
        <v>646</v>
      </c>
      <c r="O13" s="262" t="str">
        <f>C14</f>
        <v>00건설㈜</v>
      </c>
      <c r="P13" s="282">
        <f>L13</f>
        <v>0</v>
      </c>
      <c r="Q13" s="268">
        <f>TRUNC(P13/1.1)</f>
        <v>0</v>
      </c>
      <c r="R13" s="268">
        <f>P13-Q13</f>
        <v>0</v>
      </c>
      <c r="S13" s="268">
        <f>Q13+R13</f>
        <v>0</v>
      </c>
      <c r="T13" s="268"/>
    </row>
    <row r="14" spans="1:22" s="262" customFormat="1" ht="15" hidden="1" customHeight="1" outlineLevel="1">
      <c r="A14" s="580"/>
      <c r="B14" s="581"/>
      <c r="C14" s="520" t="s">
        <v>747</v>
      </c>
      <c r="D14" s="520"/>
      <c r="E14" s="520"/>
      <c r="F14" s="545"/>
      <c r="G14" s="562"/>
      <c r="H14" s="562"/>
      <c r="I14" s="562"/>
      <c r="J14" s="562"/>
      <c r="K14" s="554"/>
      <c r="L14" s="555"/>
      <c r="M14" s="563"/>
      <c r="P14" s="286"/>
      <c r="Q14" s="268"/>
      <c r="R14" s="268"/>
      <c r="S14" s="268"/>
      <c r="T14" s="268"/>
    </row>
    <row r="15" spans="1:22" s="262" customFormat="1" ht="15" hidden="1" customHeight="1" outlineLevel="1">
      <c r="A15" s="580"/>
      <c r="B15" s="581"/>
      <c r="C15" s="558" t="s">
        <v>666</v>
      </c>
      <c r="D15" s="558"/>
      <c r="E15" s="558"/>
      <c r="F15" s="559" t="s">
        <v>642</v>
      </c>
      <c r="G15" s="561" t="str">
        <f xml:space="preserve"> "일금 " &amp; NUMBERSTRING(L15, 1) &amp; "원정"</f>
        <v>일금 영원정</v>
      </c>
      <c r="H15" s="561"/>
      <c r="I15" s="561"/>
      <c r="J15" s="561"/>
      <c r="K15" s="554" t="s">
        <v>645</v>
      </c>
      <c r="L15" s="555">
        <f>집계표!H13</f>
        <v>0</v>
      </c>
      <c r="M15" s="563" t="s">
        <v>646</v>
      </c>
      <c r="O15" s="262" t="str">
        <f>C16</f>
        <v>㈜00기업</v>
      </c>
      <c r="P15" s="286">
        <f>L15</f>
        <v>0</v>
      </c>
      <c r="Q15" s="268">
        <f>TRUNC(P15/1.1)</f>
        <v>0</v>
      </c>
      <c r="R15" s="268">
        <f>P15-Q15</f>
        <v>0</v>
      </c>
      <c r="S15" s="268">
        <f>Q15+R15</f>
        <v>0</v>
      </c>
      <c r="T15" s="268"/>
    </row>
    <row r="16" spans="1:22" s="262" customFormat="1" ht="15" hidden="1" customHeight="1" outlineLevel="1">
      <c r="A16" s="580"/>
      <c r="B16" s="581"/>
      <c r="C16" s="564" t="s">
        <v>748</v>
      </c>
      <c r="D16" s="564"/>
      <c r="E16" s="564"/>
      <c r="F16" s="560"/>
      <c r="G16" s="562"/>
      <c r="H16" s="562"/>
      <c r="I16" s="562"/>
      <c r="J16" s="562"/>
      <c r="K16" s="554"/>
      <c r="L16" s="555"/>
      <c r="M16" s="563"/>
      <c r="P16" s="286"/>
      <c r="Q16" s="268"/>
      <c r="R16" s="268"/>
      <c r="S16" s="268"/>
      <c r="T16" s="268"/>
    </row>
    <row r="17" spans="1:20" s="262" customFormat="1" ht="15" hidden="1" customHeight="1" outlineLevel="1">
      <c r="A17" s="580"/>
      <c r="B17" s="581"/>
      <c r="C17" s="558" t="s">
        <v>666</v>
      </c>
      <c r="D17" s="558"/>
      <c r="E17" s="558"/>
      <c r="F17" s="559" t="s">
        <v>642</v>
      </c>
      <c r="G17" s="561" t="str">
        <f xml:space="preserve"> "일금 " &amp; NUMBERSTRING(L17, 1) &amp; "원정"</f>
        <v>일금 영원정</v>
      </c>
      <c r="H17" s="561"/>
      <c r="I17" s="561"/>
      <c r="J17" s="561"/>
      <c r="K17" s="554" t="s">
        <v>645</v>
      </c>
      <c r="L17" s="555">
        <f>집계표!H14</f>
        <v>0</v>
      </c>
      <c r="M17" s="563" t="s">
        <v>646</v>
      </c>
      <c r="O17" s="262" t="str">
        <f>C18</f>
        <v>㈜000개발</v>
      </c>
      <c r="P17" s="286">
        <f>L17</f>
        <v>0</v>
      </c>
      <c r="Q17" s="268">
        <f>TRUNC(P17/1.1)</f>
        <v>0</v>
      </c>
      <c r="R17" s="268">
        <f>P17-Q17</f>
        <v>0</v>
      </c>
      <c r="S17" s="268">
        <f>Q17+R17</f>
        <v>0</v>
      </c>
      <c r="T17" s="268"/>
    </row>
    <row r="18" spans="1:20" s="262" customFormat="1" ht="15" hidden="1" customHeight="1" outlineLevel="1">
      <c r="A18" s="580"/>
      <c r="B18" s="581"/>
      <c r="C18" s="564" t="s">
        <v>749</v>
      </c>
      <c r="D18" s="564"/>
      <c r="E18" s="564"/>
      <c r="F18" s="560"/>
      <c r="G18" s="562"/>
      <c r="H18" s="562"/>
      <c r="I18" s="562"/>
      <c r="J18" s="562"/>
      <c r="K18" s="554"/>
      <c r="L18" s="555"/>
      <c r="M18" s="563"/>
      <c r="P18" s="286"/>
      <c r="Q18" s="268"/>
      <c r="R18" s="268"/>
      <c r="S18" s="268"/>
      <c r="T18" s="268"/>
    </row>
    <row r="19" spans="1:20" s="262" customFormat="1" ht="15" hidden="1" customHeight="1" outlineLevel="1">
      <c r="A19" s="580"/>
      <c r="B19" s="581"/>
      <c r="C19" s="573" t="s">
        <v>666</v>
      </c>
      <c r="D19" s="573"/>
      <c r="E19" s="573"/>
      <c r="F19" s="545" t="s">
        <v>642</v>
      </c>
      <c r="G19" s="565" t="str">
        <f xml:space="preserve"> "일금 " &amp; NUMBERSTRING(L19, 1) &amp; "원정"</f>
        <v>일금 영원정</v>
      </c>
      <c r="H19" s="565"/>
      <c r="I19" s="565"/>
      <c r="J19" s="565"/>
      <c r="K19" s="545" t="s">
        <v>645</v>
      </c>
      <c r="L19" s="567">
        <f>집계표!H16</f>
        <v>0</v>
      </c>
      <c r="M19" s="546" t="s">
        <v>646</v>
      </c>
      <c r="O19" s="262" t="str">
        <f>C20</f>
        <v>주식회사 00</v>
      </c>
      <c r="P19" s="286">
        <f>L19</f>
        <v>0</v>
      </c>
      <c r="Q19" s="268">
        <f>TRUNC(P19/1.1)</f>
        <v>0</v>
      </c>
      <c r="R19" s="268">
        <f>P19-Q19</f>
        <v>0</v>
      </c>
      <c r="S19" s="268">
        <f>Q19+R19</f>
        <v>0</v>
      </c>
      <c r="T19" s="268"/>
    </row>
    <row r="20" spans="1:20" s="262" customFormat="1" ht="15" hidden="1" customHeight="1" outlineLevel="1">
      <c r="A20" s="582"/>
      <c r="B20" s="583"/>
      <c r="C20" s="557" t="s">
        <v>750</v>
      </c>
      <c r="D20" s="557"/>
      <c r="E20" s="557"/>
      <c r="F20" s="585"/>
      <c r="G20" s="566"/>
      <c r="H20" s="566"/>
      <c r="I20" s="566"/>
      <c r="J20" s="566"/>
      <c r="K20" s="560"/>
      <c r="L20" s="568"/>
      <c r="M20" s="556"/>
      <c r="P20" s="286"/>
      <c r="Q20" s="268"/>
      <c r="R20" s="268"/>
      <c r="S20" s="268"/>
      <c r="T20" s="268"/>
    </row>
    <row r="21" spans="1:20" s="262" customFormat="1" ht="24" customHeight="1" collapsed="1">
      <c r="A21" s="569" t="s">
        <v>667</v>
      </c>
      <c r="B21" s="570"/>
      <c r="C21" s="571" t="s">
        <v>668</v>
      </c>
      <c r="D21" s="571"/>
      <c r="E21" s="571"/>
      <c r="F21" s="289" t="s">
        <v>642</v>
      </c>
      <c r="G21" s="572" t="str">
        <f xml:space="preserve"> "일금 " &amp; NUMBERSTRING(L21, 1) &amp; "원정"</f>
        <v>일금 칠억이천칠백육십칠만구천이백팔십사원정</v>
      </c>
      <c r="H21" s="572"/>
      <c r="I21" s="572"/>
      <c r="J21" s="572"/>
      <c r="K21" s="288" t="s">
        <v>645</v>
      </c>
      <c r="L21" s="290">
        <f>L8-L10-L9</f>
        <v>727679284.20000005</v>
      </c>
      <c r="M21" s="291" t="s">
        <v>646</v>
      </c>
      <c r="O21" s="292" t="s">
        <v>669</v>
      </c>
      <c r="P21" s="280" t="s">
        <v>658</v>
      </c>
      <c r="Q21" s="280" t="s">
        <v>659</v>
      </c>
      <c r="R21" s="280" t="s">
        <v>660</v>
      </c>
      <c r="S21" s="280" t="s">
        <v>658</v>
      </c>
      <c r="T21" s="268"/>
    </row>
    <row r="22" spans="1:20" s="293" customFormat="1" ht="39.950000000000003" customHeight="1" thickBot="1">
      <c r="A22" s="551" t="s">
        <v>746</v>
      </c>
      <c r="B22" s="552"/>
      <c r="C22" s="552"/>
      <c r="D22" s="552"/>
      <c r="E22" s="552"/>
      <c r="F22" s="552"/>
      <c r="G22" s="552"/>
      <c r="H22" s="552"/>
      <c r="I22" s="552"/>
      <c r="J22" s="552"/>
      <c r="K22" s="552"/>
      <c r="L22" s="552"/>
      <c r="M22" s="553"/>
      <c r="P22" s="294"/>
      <c r="Q22" s="294"/>
      <c r="R22" s="294"/>
      <c r="S22" s="294"/>
      <c r="T22" s="295"/>
    </row>
    <row r="23" spans="1:20" s="262" customFormat="1" ht="20.100000000000001" customHeight="1">
      <c r="A23" s="296"/>
      <c r="B23" s="547" t="s">
        <v>670</v>
      </c>
      <c r="C23" s="548"/>
      <c r="D23" s="548" t="s">
        <v>671</v>
      </c>
      <c r="E23" s="548"/>
      <c r="F23" s="548"/>
      <c r="G23" s="548"/>
      <c r="H23" s="297" t="s">
        <v>507</v>
      </c>
      <c r="I23" s="297" t="s">
        <v>672</v>
      </c>
      <c r="J23" s="548" t="s">
        <v>673</v>
      </c>
      <c r="K23" s="548"/>
      <c r="L23" s="549"/>
      <c r="M23" s="298"/>
      <c r="P23" s="299"/>
      <c r="Q23" s="299"/>
      <c r="R23" s="299"/>
      <c r="S23" s="299"/>
      <c r="T23" s="278"/>
    </row>
    <row r="24" spans="1:20" s="262" customFormat="1" ht="29.25" customHeight="1" thickBot="1">
      <c r="A24" s="296"/>
      <c r="B24" s="532" t="s">
        <v>674</v>
      </c>
      <c r="C24" s="533"/>
      <c r="D24" s="534" t="str">
        <f>C12</f>
        <v>부강종합건설㈜</v>
      </c>
      <c r="E24" s="534"/>
      <c r="F24" s="534"/>
      <c r="G24" s="534"/>
      <c r="H24" s="300" t="s">
        <v>675</v>
      </c>
      <c r="I24" s="300" t="s">
        <v>676</v>
      </c>
      <c r="J24" s="535">
        <f>L11</f>
        <v>0</v>
      </c>
      <c r="K24" s="535"/>
      <c r="L24" s="550"/>
      <c r="M24" s="298"/>
      <c r="P24" s="299"/>
      <c r="Q24" s="299"/>
      <c r="R24" s="299"/>
      <c r="S24" s="299"/>
      <c r="T24" s="278"/>
    </row>
    <row r="25" spans="1:20" s="262" customFormat="1" ht="28.5" hidden="1" customHeight="1" outlineLevel="1">
      <c r="A25" s="296"/>
      <c r="B25" s="522" t="s">
        <v>677</v>
      </c>
      <c r="C25" s="523"/>
      <c r="D25" s="524" t="str">
        <f>C14</f>
        <v>00건설㈜</v>
      </c>
      <c r="E25" s="524"/>
      <c r="F25" s="524"/>
      <c r="G25" s="524"/>
      <c r="H25" s="301"/>
      <c r="I25" s="302"/>
      <c r="J25" s="525"/>
      <c r="K25" s="525"/>
      <c r="L25" s="526"/>
      <c r="M25" s="298"/>
      <c r="P25" s="299"/>
      <c r="Q25" s="299"/>
      <c r="R25" s="299"/>
      <c r="S25" s="299"/>
      <c r="T25" s="278"/>
    </row>
    <row r="26" spans="1:20" s="262" customFormat="1" ht="28.5" hidden="1" customHeight="1" outlineLevel="1">
      <c r="A26" s="296"/>
      <c r="B26" s="527" t="s">
        <v>677</v>
      </c>
      <c r="C26" s="528"/>
      <c r="D26" s="529" t="str">
        <f>C16</f>
        <v>㈜00기업</v>
      </c>
      <c r="E26" s="529"/>
      <c r="F26" s="529"/>
      <c r="G26" s="529"/>
      <c r="H26" s="303"/>
      <c r="I26" s="304"/>
      <c r="J26" s="530"/>
      <c r="K26" s="530"/>
      <c r="L26" s="531"/>
      <c r="M26" s="298"/>
      <c r="P26" s="299"/>
      <c r="Q26" s="299"/>
      <c r="R26" s="299"/>
      <c r="S26" s="299"/>
      <c r="T26" s="278"/>
    </row>
    <row r="27" spans="1:20" s="262" customFormat="1" ht="28.5" hidden="1" customHeight="1" outlineLevel="1" thickBot="1">
      <c r="A27" s="296"/>
      <c r="B27" s="532" t="s">
        <v>677</v>
      </c>
      <c r="C27" s="533"/>
      <c r="D27" s="534" t="str">
        <f>C18</f>
        <v>㈜000개발</v>
      </c>
      <c r="E27" s="534"/>
      <c r="F27" s="534"/>
      <c r="G27" s="534"/>
      <c r="H27" s="300"/>
      <c r="I27" s="300"/>
      <c r="J27" s="535"/>
      <c r="K27" s="536"/>
      <c r="L27" s="537"/>
      <c r="M27" s="298"/>
      <c r="P27" s="280"/>
      <c r="Q27" s="280"/>
      <c r="R27" s="280"/>
      <c r="S27" s="280"/>
      <c r="T27" s="305"/>
    </row>
    <row r="28" spans="1:20" s="262" customFormat="1" ht="20.100000000000001" customHeight="1" collapsed="1">
      <c r="A28" s="538"/>
      <c r="B28" s="539"/>
      <c r="C28" s="539"/>
      <c r="D28" s="539"/>
      <c r="E28" s="539"/>
      <c r="F28" s="539"/>
      <c r="G28" s="539"/>
      <c r="H28" s="539"/>
      <c r="I28" s="539"/>
      <c r="J28" s="539"/>
      <c r="K28" s="539"/>
      <c r="L28" s="539"/>
      <c r="M28" s="540"/>
      <c r="P28" s="299"/>
      <c r="Q28" s="299"/>
      <c r="R28" s="299"/>
      <c r="S28" s="307"/>
      <c r="T28" s="305"/>
    </row>
    <row r="29" spans="1:20" s="262" customFormat="1" ht="20.100000000000001" customHeight="1">
      <c r="A29" s="541" t="s">
        <v>678</v>
      </c>
      <c r="B29" s="542"/>
      <c r="C29" s="542"/>
      <c r="D29" s="542"/>
      <c r="E29" s="542"/>
      <c r="F29" s="542"/>
      <c r="G29" s="542"/>
      <c r="H29" s="542"/>
      <c r="I29" s="542"/>
      <c r="J29" s="542"/>
      <c r="K29" s="542"/>
      <c r="L29" s="542"/>
      <c r="M29" s="543"/>
      <c r="P29" s="299"/>
      <c r="Q29" s="299"/>
      <c r="R29" s="299"/>
      <c r="S29" s="299"/>
      <c r="T29" s="305"/>
    </row>
    <row r="30" spans="1:20" s="262" customFormat="1" ht="20.100000000000001" customHeight="1">
      <c r="A30" s="308"/>
      <c r="B30" s="309"/>
      <c r="C30" s="309"/>
      <c r="D30" s="309"/>
      <c r="E30" s="309"/>
      <c r="F30" s="309"/>
      <c r="G30" s="309"/>
      <c r="H30" s="309"/>
      <c r="I30" s="309"/>
      <c r="J30" s="309"/>
      <c r="K30" s="309"/>
      <c r="L30" s="309"/>
      <c r="M30" s="310"/>
      <c r="P30" s="299"/>
      <c r="Q30" s="299"/>
      <c r="R30" s="299"/>
      <c r="S30" s="299"/>
      <c r="T30" s="305"/>
    </row>
    <row r="31" spans="1:20" s="262" customFormat="1" ht="70.5" customHeight="1">
      <c r="A31" s="541"/>
      <c r="B31" s="542"/>
      <c r="C31" s="542"/>
      <c r="D31" s="542"/>
      <c r="E31" s="542"/>
      <c r="F31" s="542"/>
      <c r="G31" s="542"/>
      <c r="H31" s="542"/>
      <c r="I31" s="542"/>
      <c r="J31" s="542"/>
      <c r="K31" s="542"/>
      <c r="L31" s="542"/>
      <c r="M31" s="543"/>
      <c r="P31" s="299"/>
      <c r="Q31" s="299"/>
      <c r="R31" s="299"/>
      <c r="S31" s="299"/>
      <c r="T31" s="305"/>
    </row>
    <row r="32" spans="1:20" s="262" customFormat="1" ht="20.100000000000001" customHeight="1">
      <c r="A32" s="544" t="s">
        <v>745</v>
      </c>
      <c r="B32" s="545"/>
      <c r="C32" s="545"/>
      <c r="D32" s="545"/>
      <c r="E32" s="545"/>
      <c r="F32" s="545"/>
      <c r="G32" s="545"/>
      <c r="H32" s="545"/>
      <c r="I32" s="545"/>
      <c r="J32" s="545"/>
      <c r="K32" s="545"/>
      <c r="L32" s="545"/>
      <c r="M32" s="546"/>
      <c r="P32" s="299"/>
      <c r="Q32" s="299"/>
      <c r="R32" s="299"/>
      <c r="S32" s="299"/>
      <c r="T32" s="268"/>
    </row>
    <row r="33" spans="1:20" s="262" customFormat="1" ht="20.100000000000001" customHeight="1">
      <c r="A33" s="311"/>
      <c r="B33" s="284"/>
      <c r="C33" s="284"/>
      <c r="D33" s="284"/>
      <c r="E33" s="284"/>
      <c r="F33" s="284"/>
      <c r="G33" s="284"/>
      <c r="H33" s="284"/>
      <c r="I33" s="284"/>
      <c r="J33" s="284"/>
      <c r="K33" s="284"/>
      <c r="L33" s="284"/>
      <c r="M33" s="287"/>
      <c r="P33" s="299"/>
      <c r="Q33" s="299"/>
      <c r="R33" s="299"/>
      <c r="S33" s="299"/>
      <c r="T33" s="268"/>
    </row>
    <row r="34" spans="1:20" s="262" customFormat="1" ht="80.099999999999994" customHeight="1">
      <c r="A34" s="538"/>
      <c r="B34" s="539"/>
      <c r="C34" s="539"/>
      <c r="D34" s="539"/>
      <c r="E34" s="539"/>
      <c r="F34" s="539"/>
      <c r="G34" s="539"/>
      <c r="H34" s="539"/>
      <c r="I34" s="539"/>
      <c r="J34" s="539"/>
      <c r="K34" s="539"/>
      <c r="L34" s="539"/>
      <c r="M34" s="540"/>
      <c r="P34" s="299"/>
      <c r="Q34" s="299"/>
      <c r="R34" s="299"/>
      <c r="S34" s="299"/>
      <c r="T34" s="305"/>
    </row>
    <row r="35" spans="1:20" s="262" customFormat="1" ht="20.100000000000001" customHeight="1">
      <c r="A35" s="296"/>
      <c r="B35" s="306"/>
      <c r="C35" s="312"/>
      <c r="D35" s="312"/>
      <c r="E35" s="521" t="s">
        <v>679</v>
      </c>
      <c r="F35" s="521"/>
      <c r="G35" s="521"/>
      <c r="H35" s="314" t="s">
        <v>680</v>
      </c>
      <c r="I35" s="313" t="str">
        <f>O35</f>
        <v>부강종합건설㈜</v>
      </c>
      <c r="J35" s="313"/>
      <c r="K35" s="313"/>
      <c r="L35" s="313"/>
      <c r="M35" s="298"/>
      <c r="O35" s="315" t="str">
        <f>D24</f>
        <v>부강종합건설㈜</v>
      </c>
      <c r="P35" s="305"/>
      <c r="Q35" s="305"/>
      <c r="R35" s="305"/>
      <c r="S35" s="305"/>
      <c r="T35" s="305"/>
    </row>
    <row r="36" spans="1:20" s="262" customFormat="1" ht="20.100000000000001" customHeight="1">
      <c r="A36" s="296"/>
      <c r="B36" s="306"/>
      <c r="C36" s="306"/>
      <c r="D36" s="316"/>
      <c r="E36" s="316"/>
      <c r="F36" s="316"/>
      <c r="G36" s="316"/>
      <c r="H36" s="317" t="s">
        <v>681</v>
      </c>
      <c r="I36" s="519" t="str">
        <f>O36</f>
        <v xml:space="preserve">경남 합천군 </v>
      </c>
      <c r="J36" s="519"/>
      <c r="K36" s="519"/>
      <c r="L36" s="519"/>
      <c r="M36" s="318"/>
      <c r="O36" s="315" t="s">
        <v>757</v>
      </c>
      <c r="P36" s="305"/>
      <c r="Q36" s="305"/>
      <c r="R36" s="305"/>
      <c r="S36" s="305"/>
      <c r="T36" s="305"/>
    </row>
    <row r="37" spans="1:20" s="262" customFormat="1" ht="20.100000000000001" customHeight="1">
      <c r="A37" s="296"/>
      <c r="B37" s="306"/>
      <c r="C37" s="306"/>
      <c r="D37" s="293"/>
      <c r="E37" s="306"/>
      <c r="F37" s="293"/>
      <c r="G37" s="306"/>
      <c r="H37" s="314" t="s">
        <v>682</v>
      </c>
      <c r="I37" s="520" t="str">
        <f>O37&amp; "                       (인)"</f>
        <v>김 0 0                       (인)</v>
      </c>
      <c r="J37" s="520"/>
      <c r="K37" s="520"/>
      <c r="L37" s="285"/>
      <c r="M37" s="319"/>
      <c r="O37" s="315" t="s">
        <v>752</v>
      </c>
      <c r="P37" s="305"/>
      <c r="Q37" s="305"/>
      <c r="R37" s="305"/>
      <c r="S37" s="305"/>
      <c r="T37" s="305"/>
    </row>
    <row r="38" spans="1:20" s="262" customFormat="1" ht="20.100000000000001" hidden="1" customHeight="1" outlineLevel="1">
      <c r="A38" s="296"/>
      <c r="B38" s="306"/>
      <c r="C38" s="312"/>
      <c r="D38" s="312"/>
      <c r="E38" s="521" t="s">
        <v>683</v>
      </c>
      <c r="F38" s="521"/>
      <c r="G38" s="521"/>
      <c r="H38" s="314" t="s">
        <v>680</v>
      </c>
      <c r="I38" s="313" t="str">
        <f>O38</f>
        <v>00건설㈜</v>
      </c>
      <c r="J38" s="313"/>
      <c r="K38" s="313"/>
      <c r="L38" s="313"/>
      <c r="M38" s="298"/>
      <c r="O38" s="315" t="str">
        <f>C14</f>
        <v>00건설㈜</v>
      </c>
      <c r="P38" s="305"/>
      <c r="Q38" s="305"/>
      <c r="R38" s="305"/>
      <c r="S38" s="305"/>
      <c r="T38" s="305"/>
    </row>
    <row r="39" spans="1:20" s="262" customFormat="1" ht="20.100000000000001" hidden="1" customHeight="1" outlineLevel="1">
      <c r="A39" s="296"/>
      <c r="B39" s="306"/>
      <c r="C39" s="306"/>
      <c r="D39" s="316"/>
      <c r="E39" s="316"/>
      <c r="F39" s="316"/>
      <c r="G39" s="316"/>
      <c r="H39" s="317" t="s">
        <v>681</v>
      </c>
      <c r="I39" s="519" t="str">
        <f>O39</f>
        <v xml:space="preserve">경남 남해군 </v>
      </c>
      <c r="J39" s="519"/>
      <c r="K39" s="519"/>
      <c r="L39" s="519"/>
      <c r="M39" s="318"/>
      <c r="O39" s="315" t="s">
        <v>756</v>
      </c>
      <c r="P39" s="305"/>
      <c r="Q39" s="305"/>
      <c r="R39" s="305"/>
      <c r="S39" s="305"/>
      <c r="T39" s="305"/>
    </row>
    <row r="40" spans="1:20" s="262" customFormat="1" ht="20.100000000000001" hidden="1" customHeight="1" outlineLevel="1">
      <c r="A40" s="296"/>
      <c r="B40" s="306"/>
      <c r="C40" s="306"/>
      <c r="D40" s="293"/>
      <c r="E40" s="306"/>
      <c r="F40" s="293"/>
      <c r="G40" s="306"/>
      <c r="H40" s="314" t="s">
        <v>682</v>
      </c>
      <c r="I40" s="520" t="str">
        <f>O40&amp; "                         (인)"</f>
        <v>강 0 0                         (인)</v>
      </c>
      <c r="J40" s="520"/>
      <c r="K40" s="520"/>
      <c r="L40" s="285"/>
      <c r="M40" s="319"/>
      <c r="O40" s="315" t="s">
        <v>751</v>
      </c>
      <c r="P40" s="305"/>
      <c r="Q40" s="305"/>
      <c r="R40" s="305"/>
      <c r="S40" s="305"/>
      <c r="T40" s="305"/>
    </row>
    <row r="41" spans="1:20" s="262" customFormat="1" ht="20.100000000000001" hidden="1" customHeight="1" outlineLevel="1">
      <c r="A41" s="296"/>
      <c r="B41" s="306"/>
      <c r="C41" s="306"/>
      <c r="D41" s="293"/>
      <c r="E41" s="521" t="s">
        <v>683</v>
      </c>
      <c r="F41" s="521"/>
      <c r="G41" s="521"/>
      <c r="H41" s="314" t="s">
        <v>680</v>
      </c>
      <c r="I41" s="313" t="str">
        <f>O41</f>
        <v>㈜00기업</v>
      </c>
      <c r="J41" s="313"/>
      <c r="K41" s="313"/>
      <c r="L41" s="313"/>
      <c r="M41" s="298"/>
      <c r="O41" s="315" t="str">
        <f>C16</f>
        <v>㈜00기업</v>
      </c>
      <c r="P41" s="305"/>
      <c r="Q41" s="305"/>
      <c r="R41" s="305"/>
      <c r="S41" s="305"/>
      <c r="T41" s="305"/>
    </row>
    <row r="42" spans="1:20" s="262" customFormat="1" ht="20.100000000000001" hidden="1" customHeight="1" outlineLevel="1">
      <c r="A42" s="296"/>
      <c r="B42" s="306"/>
      <c r="C42" s="306"/>
      <c r="D42" s="293"/>
      <c r="E42" s="316"/>
      <c r="F42" s="316"/>
      <c r="G42" s="316"/>
      <c r="H42" s="317" t="s">
        <v>681</v>
      </c>
      <c r="I42" s="519" t="str">
        <f>O42</f>
        <v>대구광역시 수성구</v>
      </c>
      <c r="J42" s="519"/>
      <c r="K42" s="519"/>
      <c r="L42" s="519"/>
      <c r="M42" s="318"/>
      <c r="O42" s="315" t="s">
        <v>755</v>
      </c>
      <c r="P42" s="305"/>
      <c r="Q42" s="305"/>
      <c r="R42" s="305"/>
      <c r="S42" s="305"/>
      <c r="T42" s="305"/>
    </row>
    <row r="43" spans="1:20" s="262" customFormat="1" ht="20.100000000000001" hidden="1" customHeight="1" outlineLevel="1">
      <c r="A43" s="296"/>
      <c r="B43" s="306"/>
      <c r="C43" s="306"/>
      <c r="D43" s="293"/>
      <c r="E43" s="306"/>
      <c r="F43" s="293"/>
      <c r="G43" s="306"/>
      <c r="H43" s="314" t="s">
        <v>682</v>
      </c>
      <c r="I43" s="520" t="str">
        <f>O43&amp; "                       (인)"</f>
        <v>김 0 0                       (인)</v>
      </c>
      <c r="J43" s="520"/>
      <c r="K43" s="520"/>
      <c r="L43" s="285"/>
      <c r="M43" s="319"/>
      <c r="O43" s="315" t="s">
        <v>752</v>
      </c>
      <c r="P43" s="305"/>
      <c r="Q43" s="305"/>
      <c r="R43" s="305"/>
      <c r="S43" s="305"/>
      <c r="T43" s="305"/>
    </row>
    <row r="44" spans="1:20" s="262" customFormat="1" ht="20.100000000000001" hidden="1" customHeight="1" outlineLevel="1">
      <c r="A44" s="296"/>
      <c r="B44" s="306"/>
      <c r="C44" s="306"/>
      <c r="D44" s="293"/>
      <c r="E44" s="521" t="s">
        <v>683</v>
      </c>
      <c r="F44" s="521"/>
      <c r="G44" s="521"/>
      <c r="H44" s="314" t="s">
        <v>680</v>
      </c>
      <c r="I44" s="313" t="str">
        <f>O44</f>
        <v>㈜000개발</v>
      </c>
      <c r="J44" s="313"/>
      <c r="K44" s="313"/>
      <c r="L44" s="313"/>
      <c r="M44" s="298"/>
      <c r="O44" s="315" t="str">
        <f>C18</f>
        <v>㈜000개발</v>
      </c>
      <c r="P44" s="305"/>
      <c r="Q44" s="305"/>
      <c r="R44" s="305"/>
      <c r="S44" s="305"/>
      <c r="T44" s="305"/>
    </row>
    <row r="45" spans="1:20" s="262" customFormat="1" ht="20.100000000000001" hidden="1" customHeight="1" outlineLevel="1">
      <c r="A45" s="296"/>
      <c r="B45" s="306"/>
      <c r="C45" s="306"/>
      <c r="D45" s="293"/>
      <c r="E45" s="316"/>
      <c r="F45" s="316"/>
      <c r="G45" s="316"/>
      <c r="H45" s="317" t="s">
        <v>681</v>
      </c>
      <c r="I45" s="519" t="str">
        <f>O45</f>
        <v xml:space="preserve">경남 김해시 </v>
      </c>
      <c r="J45" s="519"/>
      <c r="K45" s="519"/>
      <c r="L45" s="519"/>
      <c r="M45" s="318"/>
      <c r="O45" s="315" t="s">
        <v>754</v>
      </c>
      <c r="P45" s="305"/>
      <c r="Q45" s="305"/>
      <c r="R45" s="305"/>
      <c r="S45" s="305"/>
      <c r="T45" s="305"/>
    </row>
    <row r="46" spans="1:20" s="262" customFormat="1" ht="20.100000000000001" hidden="1" customHeight="1" outlineLevel="1">
      <c r="A46" s="296"/>
      <c r="B46" s="306"/>
      <c r="C46" s="306"/>
      <c r="D46" s="293"/>
      <c r="E46" s="306"/>
      <c r="F46" s="293"/>
      <c r="G46" s="306"/>
      <c r="H46" s="314" t="s">
        <v>682</v>
      </c>
      <c r="I46" s="520" t="str">
        <f>O46&amp; "                       (인)"</f>
        <v>박 0 0                       (인)</v>
      </c>
      <c r="J46" s="520"/>
      <c r="K46" s="520"/>
      <c r="L46" s="285"/>
      <c r="M46" s="319"/>
      <c r="O46" s="315" t="s">
        <v>753</v>
      </c>
      <c r="P46" s="305"/>
      <c r="Q46" s="305"/>
      <c r="R46" s="305"/>
      <c r="S46" s="305"/>
      <c r="T46" s="305"/>
    </row>
    <row r="47" spans="1:20" s="262" customFormat="1" ht="20.100000000000001" customHeight="1" collapsed="1">
      <c r="A47" s="296"/>
      <c r="B47" s="306"/>
      <c r="C47" s="306"/>
      <c r="D47" s="293"/>
      <c r="E47" s="306"/>
      <c r="F47" s="293"/>
      <c r="G47" s="306"/>
      <c r="H47" s="293"/>
      <c r="I47" s="306"/>
      <c r="J47" s="306"/>
      <c r="K47" s="306"/>
      <c r="L47" s="306"/>
      <c r="M47" s="319"/>
      <c r="P47" s="305"/>
      <c r="Q47" s="305"/>
      <c r="R47" s="305"/>
      <c r="S47" s="305"/>
      <c r="T47" s="305"/>
    </row>
    <row r="48" spans="1:20" s="262" customFormat="1" ht="20.100000000000001" customHeight="1">
      <c r="A48" s="296"/>
      <c r="B48" s="306"/>
      <c r="C48" s="306"/>
      <c r="D48" s="293"/>
      <c r="E48" s="306"/>
      <c r="F48" s="293"/>
      <c r="G48" s="306"/>
      <c r="H48" s="293"/>
      <c r="I48" s="306"/>
      <c r="J48" s="320"/>
      <c r="K48" s="320"/>
      <c r="L48" s="320"/>
      <c r="M48" s="319"/>
      <c r="P48" s="268"/>
      <c r="Q48" s="268"/>
      <c r="R48" s="268"/>
      <c r="S48" s="268"/>
      <c r="T48" s="268"/>
    </row>
    <row r="49" spans="1:20" s="262" customFormat="1" ht="39.950000000000003" customHeight="1">
      <c r="A49" s="516" t="str">
        <f>O49&amp;"귀하"</f>
        <v>경상남도교육지원청귀하</v>
      </c>
      <c r="B49" s="517"/>
      <c r="C49" s="517"/>
      <c r="D49" s="517"/>
      <c r="E49" s="517"/>
      <c r="F49" s="517"/>
      <c r="G49" s="517"/>
      <c r="H49" s="517"/>
      <c r="I49" s="517"/>
      <c r="J49" s="517"/>
      <c r="K49" s="517"/>
      <c r="L49" s="517"/>
      <c r="M49" s="518"/>
      <c r="O49" s="321" t="s">
        <v>684</v>
      </c>
      <c r="P49" s="268"/>
      <c r="Q49" s="268"/>
      <c r="R49" s="268"/>
      <c r="S49" s="268"/>
      <c r="T49" s="268"/>
    </row>
    <row r="50" spans="1:20" s="262" customFormat="1" ht="18.95" customHeight="1">
      <c r="A50" s="322"/>
      <c r="F50" s="263"/>
      <c r="L50" s="263"/>
      <c r="P50" s="268"/>
      <c r="Q50" s="268"/>
      <c r="R50" s="268"/>
      <c r="S50" s="268"/>
      <c r="T50" s="268"/>
    </row>
    <row r="51" spans="1:20" s="262" customFormat="1" ht="12" customHeight="1">
      <c r="F51" s="263"/>
      <c r="L51" s="263"/>
      <c r="P51" s="268"/>
      <c r="Q51" s="268"/>
      <c r="R51" s="268"/>
      <c r="S51" s="268"/>
      <c r="T51" s="268"/>
    </row>
    <row r="52" spans="1:20" s="323" customFormat="1" ht="21" customHeight="1">
      <c r="A52" s="262"/>
      <c r="B52" s="262"/>
      <c r="C52" s="262"/>
      <c r="D52" s="262"/>
      <c r="E52" s="262"/>
      <c r="F52" s="263"/>
      <c r="G52" s="262"/>
      <c r="H52" s="262"/>
      <c r="I52" s="262"/>
      <c r="J52" s="262"/>
      <c r="K52" s="262"/>
      <c r="L52" s="263"/>
      <c r="M52" s="262"/>
      <c r="P52" s="324"/>
      <c r="Q52" s="324"/>
      <c r="R52" s="324"/>
      <c r="S52" s="324"/>
      <c r="T52" s="324"/>
    </row>
    <row r="53" spans="1:20" s="262" customFormat="1" ht="21" customHeight="1">
      <c r="F53" s="263"/>
      <c r="L53" s="263"/>
      <c r="P53" s="268"/>
      <c r="Q53" s="268"/>
      <c r="R53" s="268"/>
      <c r="S53" s="268"/>
      <c r="T53" s="268"/>
    </row>
    <row r="54" spans="1:20" s="262" customFormat="1" ht="21" customHeight="1">
      <c r="F54" s="263"/>
      <c r="L54" s="263"/>
      <c r="P54" s="268"/>
      <c r="Q54" s="268"/>
      <c r="R54" s="268"/>
      <c r="S54" s="268"/>
      <c r="T54" s="268"/>
    </row>
    <row r="55" spans="1:20" s="262" customFormat="1" ht="21" customHeight="1">
      <c r="F55" s="263"/>
      <c r="L55" s="263"/>
      <c r="P55" s="268"/>
      <c r="Q55" s="268"/>
      <c r="R55" s="268"/>
      <c r="S55" s="268"/>
      <c r="T55" s="268"/>
    </row>
    <row r="56" spans="1:20" s="262" customFormat="1" ht="21" customHeight="1">
      <c r="F56" s="263"/>
      <c r="L56" s="263"/>
      <c r="P56" s="268"/>
      <c r="Q56" s="268"/>
      <c r="R56" s="268"/>
      <c r="S56" s="268"/>
      <c r="T56" s="268"/>
    </row>
    <row r="57" spans="1:20" s="262" customFormat="1" ht="21" customHeight="1">
      <c r="F57" s="263"/>
      <c r="L57" s="263"/>
      <c r="P57" s="268"/>
      <c r="Q57" s="268"/>
      <c r="R57" s="268"/>
      <c r="S57" s="268"/>
      <c r="T57" s="268"/>
    </row>
    <row r="58" spans="1:20" s="262" customFormat="1" ht="21" customHeight="1">
      <c r="F58" s="263"/>
      <c r="L58" s="263"/>
      <c r="P58" s="268"/>
      <c r="Q58" s="268"/>
      <c r="R58" s="268"/>
      <c r="S58" s="268"/>
      <c r="T58" s="268"/>
    </row>
    <row r="59" spans="1:20" s="262" customFormat="1" ht="21" customHeight="1">
      <c r="F59" s="263"/>
      <c r="L59" s="263"/>
      <c r="P59" s="268"/>
      <c r="Q59" s="268"/>
      <c r="R59" s="268"/>
      <c r="S59" s="268"/>
      <c r="T59" s="268"/>
    </row>
    <row r="60" spans="1:20" s="262" customFormat="1" ht="21" customHeight="1">
      <c r="F60" s="263"/>
      <c r="L60" s="263"/>
      <c r="P60" s="268"/>
      <c r="Q60" s="268"/>
      <c r="R60" s="268"/>
      <c r="S60" s="268"/>
      <c r="T60" s="268"/>
    </row>
    <row r="61" spans="1:20" s="262" customFormat="1" ht="21" customHeight="1">
      <c r="F61" s="263"/>
      <c r="L61" s="263"/>
      <c r="P61" s="268"/>
      <c r="Q61" s="268"/>
      <c r="R61" s="268"/>
      <c r="S61" s="268"/>
      <c r="T61" s="268"/>
    </row>
    <row r="62" spans="1:20" s="262" customFormat="1" ht="21" customHeight="1">
      <c r="F62" s="263"/>
      <c r="L62" s="263"/>
      <c r="P62" s="268"/>
      <c r="Q62" s="268"/>
      <c r="R62" s="268"/>
      <c r="S62" s="268"/>
      <c r="T62" s="268"/>
    </row>
    <row r="63" spans="1:20" s="262" customFormat="1" ht="21" customHeight="1">
      <c r="F63" s="263"/>
      <c r="L63" s="263"/>
      <c r="P63" s="268"/>
      <c r="Q63" s="268"/>
      <c r="R63" s="268"/>
      <c r="S63" s="268"/>
      <c r="T63" s="268"/>
    </row>
    <row r="64" spans="1:20" s="262" customFormat="1" ht="21" customHeight="1">
      <c r="F64" s="263"/>
      <c r="L64" s="263"/>
      <c r="P64" s="268"/>
      <c r="Q64" s="268"/>
      <c r="R64" s="268"/>
      <c r="S64" s="268"/>
      <c r="T64" s="268"/>
    </row>
    <row r="65" spans="1:20" s="262" customFormat="1" ht="21" customHeight="1">
      <c r="F65" s="263"/>
      <c r="L65" s="263"/>
      <c r="P65" s="268"/>
      <c r="Q65" s="268"/>
      <c r="R65" s="268"/>
      <c r="S65" s="268"/>
      <c r="T65" s="268"/>
    </row>
    <row r="66" spans="1:20" s="262" customFormat="1" ht="21" customHeight="1">
      <c r="F66" s="263"/>
      <c r="L66" s="263"/>
      <c r="P66" s="268"/>
      <c r="Q66" s="268"/>
      <c r="R66" s="268"/>
      <c r="S66" s="268"/>
      <c r="T66" s="268"/>
    </row>
    <row r="67" spans="1:20" s="262" customFormat="1" ht="21" customHeight="1">
      <c r="F67" s="263"/>
      <c r="L67" s="263"/>
      <c r="P67" s="268"/>
      <c r="Q67" s="268"/>
      <c r="R67" s="268"/>
      <c r="S67" s="268"/>
      <c r="T67" s="268"/>
    </row>
    <row r="68" spans="1:20" s="262" customFormat="1" ht="21" customHeight="1">
      <c r="F68" s="263"/>
      <c r="L68" s="263"/>
      <c r="P68" s="268"/>
      <c r="Q68" s="268"/>
      <c r="R68" s="268"/>
      <c r="S68" s="268"/>
      <c r="T68" s="268"/>
    </row>
    <row r="69" spans="1:20" s="262" customFormat="1" ht="21" customHeight="1">
      <c r="F69" s="263"/>
      <c r="L69" s="263"/>
      <c r="P69" s="268"/>
      <c r="Q69" s="268"/>
      <c r="R69" s="268"/>
      <c r="S69" s="268"/>
      <c r="T69" s="268"/>
    </row>
    <row r="70" spans="1:20" s="262" customFormat="1" ht="21" customHeight="1">
      <c r="F70" s="263"/>
      <c r="L70" s="263"/>
      <c r="P70" s="268"/>
      <c r="Q70" s="268"/>
      <c r="R70" s="268"/>
      <c r="S70" s="268"/>
      <c r="T70" s="268"/>
    </row>
    <row r="71" spans="1:20" s="262" customFormat="1" ht="21" customHeight="1">
      <c r="F71" s="263"/>
      <c r="L71" s="263"/>
      <c r="P71" s="268"/>
      <c r="Q71" s="268"/>
      <c r="R71" s="268"/>
      <c r="S71" s="268"/>
      <c r="T71" s="268"/>
    </row>
    <row r="72" spans="1:20" s="262" customFormat="1" ht="21.95" customHeight="1">
      <c r="F72" s="263"/>
      <c r="L72" s="263"/>
      <c r="P72" s="268"/>
      <c r="Q72" s="268"/>
      <c r="R72" s="268"/>
      <c r="S72" s="268"/>
      <c r="T72" s="268"/>
    </row>
    <row r="73" spans="1:20" s="262" customFormat="1" ht="21.95" customHeight="1">
      <c r="F73" s="263"/>
      <c r="L73" s="263"/>
      <c r="P73" s="268"/>
      <c r="Q73" s="268"/>
      <c r="R73" s="268"/>
      <c r="S73" s="268"/>
      <c r="T73" s="268"/>
    </row>
    <row r="74" spans="1:20" s="262" customFormat="1" ht="21.95" customHeight="1">
      <c r="F74" s="263"/>
      <c r="L74" s="263"/>
      <c r="P74" s="268"/>
      <c r="Q74" s="268"/>
      <c r="R74" s="268"/>
      <c r="S74" s="268"/>
      <c r="T74" s="268"/>
    </row>
    <row r="75" spans="1:20" s="262" customFormat="1" ht="21.95" customHeight="1">
      <c r="F75" s="263"/>
      <c r="L75" s="263"/>
      <c r="P75" s="268"/>
      <c r="Q75" s="268"/>
      <c r="R75" s="268"/>
      <c r="S75" s="268"/>
      <c r="T75" s="268"/>
    </row>
    <row r="76" spans="1:20" s="262" customFormat="1" ht="21.95" customHeight="1">
      <c r="F76" s="263"/>
      <c r="L76" s="263"/>
      <c r="P76" s="268"/>
      <c r="Q76" s="268"/>
      <c r="R76" s="268"/>
      <c r="S76" s="268"/>
      <c r="T76" s="268"/>
    </row>
    <row r="77" spans="1:20" s="262" customFormat="1" ht="21.95" customHeight="1">
      <c r="F77" s="263"/>
      <c r="L77" s="263"/>
      <c r="P77" s="268"/>
      <c r="Q77" s="268"/>
      <c r="R77" s="268"/>
      <c r="S77" s="268"/>
      <c r="T77" s="268"/>
    </row>
    <row r="78" spans="1:20" s="262" customFormat="1" ht="24" customHeight="1">
      <c r="A78" s="264"/>
      <c r="B78" s="264"/>
      <c r="C78" s="264"/>
      <c r="D78" s="264"/>
      <c r="E78" s="264"/>
      <c r="F78" s="325"/>
      <c r="G78" s="264"/>
      <c r="H78" s="264"/>
      <c r="I78" s="264"/>
      <c r="J78" s="264"/>
      <c r="K78" s="264"/>
      <c r="L78" s="263"/>
      <c r="M78" s="264"/>
      <c r="P78" s="268"/>
      <c r="Q78" s="268"/>
      <c r="R78" s="268"/>
      <c r="S78" s="268"/>
      <c r="T78" s="268"/>
    </row>
    <row r="79" spans="1:20" s="262" customFormat="1" ht="24" customHeight="1">
      <c r="A79" s="264"/>
      <c r="B79" s="264"/>
      <c r="C79" s="264"/>
      <c r="D79" s="264"/>
      <c r="E79" s="264"/>
      <c r="F79" s="325"/>
      <c r="G79" s="264"/>
      <c r="H79" s="264"/>
      <c r="I79" s="264"/>
      <c r="J79" s="264"/>
      <c r="K79" s="264"/>
      <c r="L79" s="263"/>
      <c r="M79" s="264"/>
      <c r="P79" s="268"/>
      <c r="Q79" s="268"/>
      <c r="R79" s="268"/>
      <c r="S79" s="268"/>
      <c r="T79" s="268"/>
    </row>
    <row r="80" spans="1:20" s="262" customFormat="1" ht="24" customHeight="1">
      <c r="A80" s="264"/>
      <c r="B80" s="264"/>
      <c r="C80" s="264"/>
      <c r="D80" s="264"/>
      <c r="E80" s="264"/>
      <c r="F80" s="325"/>
      <c r="G80" s="264"/>
      <c r="H80" s="264"/>
      <c r="I80" s="264"/>
      <c r="J80" s="264"/>
      <c r="K80" s="264"/>
      <c r="L80" s="263"/>
      <c r="M80" s="264"/>
      <c r="P80" s="268"/>
      <c r="Q80" s="268"/>
      <c r="R80" s="268"/>
      <c r="S80" s="268"/>
      <c r="T80" s="268"/>
    </row>
    <row r="81" ht="24" customHeight="1"/>
    <row r="82" ht="24" customHeight="1"/>
    <row r="83" ht="24" customHeight="1"/>
    <row r="84" ht="24" customHeight="1"/>
    <row r="85" ht="24" customHeight="1"/>
    <row r="86" ht="24" customHeight="1"/>
    <row r="87" ht="24" customHeight="1"/>
    <row r="88" ht="24" customHeight="1"/>
    <row r="89" ht="24" customHeight="1"/>
    <row r="90" ht="24" customHeight="1"/>
    <row r="91" ht="24" customHeight="1"/>
    <row r="92" ht="24" customHeight="1"/>
    <row r="93" ht="24" customHeight="1"/>
    <row r="94" ht="24" customHeight="1"/>
    <row r="95" ht="24" customHeight="1"/>
    <row r="96"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row r="126" ht="24"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24" customHeight="1"/>
    <row r="153" ht="24" customHeight="1"/>
    <row r="154" ht="24" customHeight="1"/>
    <row r="155" ht="24" customHeight="1"/>
    <row r="156" ht="24" customHeight="1"/>
    <row r="157" ht="24" customHeight="1"/>
    <row r="158" ht="24" customHeight="1"/>
    <row r="159" ht="24" customHeight="1"/>
    <row r="160" ht="24" customHeight="1"/>
    <row r="161" ht="24" customHeight="1"/>
    <row r="162" ht="24" customHeight="1"/>
  </sheetData>
  <mergeCells count="98">
    <mergeCell ref="A4:B4"/>
    <mergeCell ref="C4:E4"/>
    <mergeCell ref="G4:J4"/>
    <mergeCell ref="A1:C1"/>
    <mergeCell ref="A2:M2"/>
    <mergeCell ref="A3:B3"/>
    <mergeCell ref="C3:E3"/>
    <mergeCell ref="G3:M3"/>
    <mergeCell ref="A5:B5"/>
    <mergeCell ref="C5:E5"/>
    <mergeCell ref="G5:I5"/>
    <mergeCell ref="A6:B6"/>
    <mergeCell ref="C6:E6"/>
    <mergeCell ref="G6:I6"/>
    <mergeCell ref="A7:B7"/>
    <mergeCell ref="C7:E7"/>
    <mergeCell ref="G7:I7"/>
    <mergeCell ref="A8:B8"/>
    <mergeCell ref="C8:E8"/>
    <mergeCell ref="G8:J8"/>
    <mergeCell ref="A9:B9"/>
    <mergeCell ref="C9:E9"/>
    <mergeCell ref="G9:J9"/>
    <mergeCell ref="A10:B20"/>
    <mergeCell ref="C10:E10"/>
    <mergeCell ref="G10:J10"/>
    <mergeCell ref="C11:E11"/>
    <mergeCell ref="F11:F12"/>
    <mergeCell ref="G11:J12"/>
    <mergeCell ref="C14:E14"/>
    <mergeCell ref="C16:E16"/>
    <mergeCell ref="C15:E15"/>
    <mergeCell ref="F15:F16"/>
    <mergeCell ref="G15:J16"/>
    <mergeCell ref="C19:E19"/>
    <mergeCell ref="F19:F20"/>
    <mergeCell ref="M11:M12"/>
    <mergeCell ref="C12:E12"/>
    <mergeCell ref="C13:E13"/>
    <mergeCell ref="F13:F14"/>
    <mergeCell ref="G13:J14"/>
    <mergeCell ref="K13:K14"/>
    <mergeCell ref="L13:L14"/>
    <mergeCell ref="M13:M14"/>
    <mergeCell ref="A21:B21"/>
    <mergeCell ref="C21:E21"/>
    <mergeCell ref="G21:J21"/>
    <mergeCell ref="K11:K12"/>
    <mergeCell ref="L11:L12"/>
    <mergeCell ref="A22:M22"/>
    <mergeCell ref="K15:K16"/>
    <mergeCell ref="L15:L16"/>
    <mergeCell ref="M19:M20"/>
    <mergeCell ref="C20:E20"/>
    <mergeCell ref="C17:E17"/>
    <mergeCell ref="F17:F18"/>
    <mergeCell ref="G17:J18"/>
    <mergeCell ref="K17:K18"/>
    <mergeCell ref="L17:L18"/>
    <mergeCell ref="M17:M18"/>
    <mergeCell ref="C18:E18"/>
    <mergeCell ref="G19:J20"/>
    <mergeCell ref="K19:K20"/>
    <mergeCell ref="L19:L20"/>
    <mergeCell ref="M15:M16"/>
    <mergeCell ref="B23:C23"/>
    <mergeCell ref="D23:G23"/>
    <mergeCell ref="J23:L23"/>
    <mergeCell ref="B24:C24"/>
    <mergeCell ref="D24:G24"/>
    <mergeCell ref="J24:L24"/>
    <mergeCell ref="B25:C25"/>
    <mergeCell ref="D25:G25"/>
    <mergeCell ref="J25:L25"/>
    <mergeCell ref="E35:G35"/>
    <mergeCell ref="B26:C26"/>
    <mergeCell ref="D26:G26"/>
    <mergeCell ref="J26:L26"/>
    <mergeCell ref="B27:C27"/>
    <mergeCell ref="D27:G27"/>
    <mergeCell ref="J27:L27"/>
    <mergeCell ref="A28:M28"/>
    <mergeCell ref="A29:M29"/>
    <mergeCell ref="A31:M31"/>
    <mergeCell ref="A32:M32"/>
    <mergeCell ref="A34:M34"/>
    <mergeCell ref="A49:M49"/>
    <mergeCell ref="I36:L36"/>
    <mergeCell ref="I37:K37"/>
    <mergeCell ref="E38:G38"/>
    <mergeCell ref="I39:L39"/>
    <mergeCell ref="I40:K40"/>
    <mergeCell ref="E41:G41"/>
    <mergeCell ref="I42:L42"/>
    <mergeCell ref="I43:K43"/>
    <mergeCell ref="E44:G44"/>
    <mergeCell ref="I45:L45"/>
    <mergeCell ref="I46:K46"/>
  </mergeCells>
  <phoneticPr fontId="4" type="noConversion"/>
  <printOptions horizontalCentered="1"/>
  <pageMargins left="0" right="0" top="0.78740157480314965" bottom="0" header="0.19685039370078741" footer="0.11811023622047245"/>
  <pageSetup paperSize="9" scale="9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5" tint="0.59999389629810485"/>
  </sheetPr>
  <dimension ref="A1:AE105"/>
  <sheetViews>
    <sheetView showZeros="0" view="pageBreakPreview" zoomScale="85" zoomScaleNormal="100" zoomScaleSheetLayoutView="85" workbookViewId="0">
      <selection activeCell="H7" sqref="H7:I7"/>
    </sheetView>
  </sheetViews>
  <sheetFormatPr defaultRowHeight="16.5"/>
  <cols>
    <col min="1" max="1" width="7.75" style="264" customWidth="1"/>
    <col min="2" max="2" width="8.25" style="264" customWidth="1"/>
    <col min="3" max="3" width="2.875" style="264" customWidth="1"/>
    <col min="4" max="4" width="10" style="264" customWidth="1"/>
    <col min="5" max="5" width="14.375" style="264" customWidth="1"/>
    <col min="6" max="6" width="14.875" style="264" customWidth="1"/>
    <col min="7" max="7" width="13.25" style="325" customWidth="1"/>
    <col min="8" max="8" width="4.75" style="264" customWidth="1"/>
    <col min="9" max="9" width="6.875" style="264" customWidth="1"/>
    <col min="10" max="10" width="7.75" style="264" customWidth="1"/>
    <col min="11" max="11" width="5.625" style="264" customWidth="1"/>
    <col min="12" max="12" width="18.5" style="343" customWidth="1"/>
    <col min="13" max="13" width="5.125" style="264" customWidth="1"/>
    <col min="14" max="14" width="13.625" style="328" customWidth="1"/>
    <col min="15" max="15" width="13.625" style="329" customWidth="1"/>
    <col min="16" max="31" width="6.625" style="329" customWidth="1"/>
    <col min="32" max="34" width="6.625" style="264" customWidth="1"/>
    <col min="35" max="252" width="9" style="264"/>
    <col min="253" max="253" width="7.75" style="264" customWidth="1"/>
    <col min="254" max="254" width="8.25" style="264" customWidth="1"/>
    <col min="255" max="255" width="2.875" style="264" customWidth="1"/>
    <col min="256" max="256" width="10" style="264" customWidth="1"/>
    <col min="257" max="257" width="14.375" style="264" customWidth="1"/>
    <col min="258" max="258" width="14.875" style="264" customWidth="1"/>
    <col min="259" max="259" width="13.25" style="264" customWidth="1"/>
    <col min="260" max="260" width="4.75" style="264" customWidth="1"/>
    <col min="261" max="261" width="6.875" style="264" customWidth="1"/>
    <col min="262" max="262" width="7.75" style="264" customWidth="1"/>
    <col min="263" max="263" width="5.625" style="264" customWidth="1"/>
    <col min="264" max="264" width="18.5" style="264" customWidth="1"/>
    <col min="265" max="265" width="5.125" style="264" customWidth="1"/>
    <col min="266" max="266" width="14.375" style="264" customWidth="1"/>
    <col min="267" max="271" width="13.625" style="264" customWidth="1"/>
    <col min="272" max="290" width="6.625" style="264" customWidth="1"/>
    <col min="291" max="508" width="9" style="264"/>
    <col min="509" max="509" width="7.75" style="264" customWidth="1"/>
    <col min="510" max="510" width="8.25" style="264" customWidth="1"/>
    <col min="511" max="511" width="2.875" style="264" customWidth="1"/>
    <col min="512" max="512" width="10" style="264" customWidth="1"/>
    <col min="513" max="513" width="14.375" style="264" customWidth="1"/>
    <col min="514" max="514" width="14.875" style="264" customWidth="1"/>
    <col min="515" max="515" width="13.25" style="264" customWidth="1"/>
    <col min="516" max="516" width="4.75" style="264" customWidth="1"/>
    <col min="517" max="517" width="6.875" style="264" customWidth="1"/>
    <col min="518" max="518" width="7.75" style="264" customWidth="1"/>
    <col min="519" max="519" width="5.625" style="264" customWidth="1"/>
    <col min="520" max="520" width="18.5" style="264" customWidth="1"/>
    <col min="521" max="521" width="5.125" style="264" customWidth="1"/>
    <col min="522" max="522" width="14.375" style="264" customWidth="1"/>
    <col min="523" max="527" width="13.625" style="264" customWidth="1"/>
    <col min="528" max="546" width="6.625" style="264" customWidth="1"/>
    <col min="547" max="764" width="9" style="264"/>
    <col min="765" max="765" width="7.75" style="264" customWidth="1"/>
    <col min="766" max="766" width="8.25" style="264" customWidth="1"/>
    <col min="767" max="767" width="2.875" style="264" customWidth="1"/>
    <col min="768" max="768" width="10" style="264" customWidth="1"/>
    <col min="769" max="769" width="14.375" style="264" customWidth="1"/>
    <col min="770" max="770" width="14.875" style="264" customWidth="1"/>
    <col min="771" max="771" width="13.25" style="264" customWidth="1"/>
    <col min="772" max="772" width="4.75" style="264" customWidth="1"/>
    <col min="773" max="773" width="6.875" style="264" customWidth="1"/>
    <col min="774" max="774" width="7.75" style="264" customWidth="1"/>
    <col min="775" max="775" width="5.625" style="264" customWidth="1"/>
    <col min="776" max="776" width="18.5" style="264" customWidth="1"/>
    <col min="777" max="777" width="5.125" style="264" customWidth="1"/>
    <col min="778" max="778" width="14.375" style="264" customWidth="1"/>
    <col min="779" max="783" width="13.625" style="264" customWidth="1"/>
    <col min="784" max="802" width="6.625" style="264" customWidth="1"/>
    <col min="803" max="1020" width="9" style="264"/>
    <col min="1021" max="1021" width="7.75" style="264" customWidth="1"/>
    <col min="1022" max="1022" width="8.25" style="264" customWidth="1"/>
    <col min="1023" max="1023" width="2.875" style="264" customWidth="1"/>
    <col min="1024" max="1024" width="10" style="264" customWidth="1"/>
    <col min="1025" max="1025" width="14.375" style="264" customWidth="1"/>
    <col min="1026" max="1026" width="14.875" style="264" customWidth="1"/>
    <col min="1027" max="1027" width="13.25" style="264" customWidth="1"/>
    <col min="1028" max="1028" width="4.75" style="264" customWidth="1"/>
    <col min="1029" max="1029" width="6.875" style="264" customWidth="1"/>
    <col min="1030" max="1030" width="7.75" style="264" customWidth="1"/>
    <col min="1031" max="1031" width="5.625" style="264" customWidth="1"/>
    <col min="1032" max="1032" width="18.5" style="264" customWidth="1"/>
    <col min="1033" max="1033" width="5.125" style="264" customWidth="1"/>
    <col min="1034" max="1034" width="14.375" style="264" customWidth="1"/>
    <col min="1035" max="1039" width="13.625" style="264" customWidth="1"/>
    <col min="1040" max="1058" width="6.625" style="264" customWidth="1"/>
    <col min="1059" max="1276" width="9" style="264"/>
    <col min="1277" max="1277" width="7.75" style="264" customWidth="1"/>
    <col min="1278" max="1278" width="8.25" style="264" customWidth="1"/>
    <col min="1279" max="1279" width="2.875" style="264" customWidth="1"/>
    <col min="1280" max="1280" width="10" style="264" customWidth="1"/>
    <col min="1281" max="1281" width="14.375" style="264" customWidth="1"/>
    <col min="1282" max="1282" width="14.875" style="264" customWidth="1"/>
    <col min="1283" max="1283" width="13.25" style="264" customWidth="1"/>
    <col min="1284" max="1284" width="4.75" style="264" customWidth="1"/>
    <col min="1285" max="1285" width="6.875" style="264" customWidth="1"/>
    <col min="1286" max="1286" width="7.75" style="264" customWidth="1"/>
    <col min="1287" max="1287" width="5.625" style="264" customWidth="1"/>
    <col min="1288" max="1288" width="18.5" style="264" customWidth="1"/>
    <col min="1289" max="1289" width="5.125" style="264" customWidth="1"/>
    <col min="1290" max="1290" width="14.375" style="264" customWidth="1"/>
    <col min="1291" max="1295" width="13.625" style="264" customWidth="1"/>
    <col min="1296" max="1314" width="6.625" style="264" customWidth="1"/>
    <col min="1315" max="1532" width="9" style="264"/>
    <col min="1533" max="1533" width="7.75" style="264" customWidth="1"/>
    <col min="1534" max="1534" width="8.25" style="264" customWidth="1"/>
    <col min="1535" max="1535" width="2.875" style="264" customWidth="1"/>
    <col min="1536" max="1536" width="10" style="264" customWidth="1"/>
    <col min="1537" max="1537" width="14.375" style="264" customWidth="1"/>
    <col min="1538" max="1538" width="14.875" style="264" customWidth="1"/>
    <col min="1539" max="1539" width="13.25" style="264" customWidth="1"/>
    <col min="1540" max="1540" width="4.75" style="264" customWidth="1"/>
    <col min="1541" max="1541" width="6.875" style="264" customWidth="1"/>
    <col min="1542" max="1542" width="7.75" style="264" customWidth="1"/>
    <col min="1543" max="1543" width="5.625" style="264" customWidth="1"/>
    <col min="1544" max="1544" width="18.5" style="264" customWidth="1"/>
    <col min="1545" max="1545" width="5.125" style="264" customWidth="1"/>
    <col min="1546" max="1546" width="14.375" style="264" customWidth="1"/>
    <col min="1547" max="1551" width="13.625" style="264" customWidth="1"/>
    <col min="1552" max="1570" width="6.625" style="264" customWidth="1"/>
    <col min="1571" max="1788" width="9" style="264"/>
    <col min="1789" max="1789" width="7.75" style="264" customWidth="1"/>
    <col min="1790" max="1790" width="8.25" style="264" customWidth="1"/>
    <col min="1791" max="1791" width="2.875" style="264" customWidth="1"/>
    <col min="1792" max="1792" width="10" style="264" customWidth="1"/>
    <col min="1793" max="1793" width="14.375" style="264" customWidth="1"/>
    <col min="1794" max="1794" width="14.875" style="264" customWidth="1"/>
    <col min="1795" max="1795" width="13.25" style="264" customWidth="1"/>
    <col min="1796" max="1796" width="4.75" style="264" customWidth="1"/>
    <col min="1797" max="1797" width="6.875" style="264" customWidth="1"/>
    <col min="1798" max="1798" width="7.75" style="264" customWidth="1"/>
    <col min="1799" max="1799" width="5.625" style="264" customWidth="1"/>
    <col min="1800" max="1800" width="18.5" style="264" customWidth="1"/>
    <col min="1801" max="1801" width="5.125" style="264" customWidth="1"/>
    <col min="1802" max="1802" width="14.375" style="264" customWidth="1"/>
    <col min="1803" max="1807" width="13.625" style="264" customWidth="1"/>
    <col min="1808" max="1826" width="6.625" style="264" customWidth="1"/>
    <col min="1827" max="2044" width="9" style="264"/>
    <col min="2045" max="2045" width="7.75" style="264" customWidth="1"/>
    <col min="2046" max="2046" width="8.25" style="264" customWidth="1"/>
    <col min="2047" max="2047" width="2.875" style="264" customWidth="1"/>
    <col min="2048" max="2048" width="10" style="264" customWidth="1"/>
    <col min="2049" max="2049" width="14.375" style="264" customWidth="1"/>
    <col min="2050" max="2050" width="14.875" style="264" customWidth="1"/>
    <col min="2051" max="2051" width="13.25" style="264" customWidth="1"/>
    <col min="2052" max="2052" width="4.75" style="264" customWidth="1"/>
    <col min="2053" max="2053" width="6.875" style="264" customWidth="1"/>
    <col min="2054" max="2054" width="7.75" style="264" customWidth="1"/>
    <col min="2055" max="2055" width="5.625" style="264" customWidth="1"/>
    <col min="2056" max="2056" width="18.5" style="264" customWidth="1"/>
    <col min="2057" max="2057" width="5.125" style="264" customWidth="1"/>
    <col min="2058" max="2058" width="14.375" style="264" customWidth="1"/>
    <col min="2059" max="2063" width="13.625" style="264" customWidth="1"/>
    <col min="2064" max="2082" width="6.625" style="264" customWidth="1"/>
    <col min="2083" max="2300" width="9" style="264"/>
    <col min="2301" max="2301" width="7.75" style="264" customWidth="1"/>
    <col min="2302" max="2302" width="8.25" style="264" customWidth="1"/>
    <col min="2303" max="2303" width="2.875" style="264" customWidth="1"/>
    <col min="2304" max="2304" width="10" style="264" customWidth="1"/>
    <col min="2305" max="2305" width="14.375" style="264" customWidth="1"/>
    <col min="2306" max="2306" width="14.875" style="264" customWidth="1"/>
    <col min="2307" max="2307" width="13.25" style="264" customWidth="1"/>
    <col min="2308" max="2308" width="4.75" style="264" customWidth="1"/>
    <col min="2309" max="2309" width="6.875" style="264" customWidth="1"/>
    <col min="2310" max="2310" width="7.75" style="264" customWidth="1"/>
    <col min="2311" max="2311" width="5.625" style="264" customWidth="1"/>
    <col min="2312" max="2312" width="18.5" style="264" customWidth="1"/>
    <col min="2313" max="2313" width="5.125" style="264" customWidth="1"/>
    <col min="2314" max="2314" width="14.375" style="264" customWidth="1"/>
    <col min="2315" max="2319" width="13.625" style="264" customWidth="1"/>
    <col min="2320" max="2338" width="6.625" style="264" customWidth="1"/>
    <col min="2339" max="2556" width="9" style="264"/>
    <col min="2557" max="2557" width="7.75" style="264" customWidth="1"/>
    <col min="2558" max="2558" width="8.25" style="264" customWidth="1"/>
    <col min="2559" max="2559" width="2.875" style="264" customWidth="1"/>
    <col min="2560" max="2560" width="10" style="264" customWidth="1"/>
    <col min="2561" max="2561" width="14.375" style="264" customWidth="1"/>
    <col min="2562" max="2562" width="14.875" style="264" customWidth="1"/>
    <col min="2563" max="2563" width="13.25" style="264" customWidth="1"/>
    <col min="2564" max="2564" width="4.75" style="264" customWidth="1"/>
    <col min="2565" max="2565" width="6.875" style="264" customWidth="1"/>
    <col min="2566" max="2566" width="7.75" style="264" customWidth="1"/>
    <col min="2567" max="2567" width="5.625" style="264" customWidth="1"/>
    <col min="2568" max="2568" width="18.5" style="264" customWidth="1"/>
    <col min="2569" max="2569" width="5.125" style="264" customWidth="1"/>
    <col min="2570" max="2570" width="14.375" style="264" customWidth="1"/>
    <col min="2571" max="2575" width="13.625" style="264" customWidth="1"/>
    <col min="2576" max="2594" width="6.625" style="264" customWidth="1"/>
    <col min="2595" max="2812" width="9" style="264"/>
    <col min="2813" max="2813" width="7.75" style="264" customWidth="1"/>
    <col min="2814" max="2814" width="8.25" style="264" customWidth="1"/>
    <col min="2815" max="2815" width="2.875" style="264" customWidth="1"/>
    <col min="2816" max="2816" width="10" style="264" customWidth="1"/>
    <col min="2817" max="2817" width="14.375" style="264" customWidth="1"/>
    <col min="2818" max="2818" width="14.875" style="264" customWidth="1"/>
    <col min="2819" max="2819" width="13.25" style="264" customWidth="1"/>
    <col min="2820" max="2820" width="4.75" style="264" customWidth="1"/>
    <col min="2821" max="2821" width="6.875" style="264" customWidth="1"/>
    <col min="2822" max="2822" width="7.75" style="264" customWidth="1"/>
    <col min="2823" max="2823" width="5.625" style="264" customWidth="1"/>
    <col min="2824" max="2824" width="18.5" style="264" customWidth="1"/>
    <col min="2825" max="2825" width="5.125" style="264" customWidth="1"/>
    <col min="2826" max="2826" width="14.375" style="264" customWidth="1"/>
    <col min="2827" max="2831" width="13.625" style="264" customWidth="1"/>
    <col min="2832" max="2850" width="6.625" style="264" customWidth="1"/>
    <col min="2851" max="3068" width="9" style="264"/>
    <col min="3069" max="3069" width="7.75" style="264" customWidth="1"/>
    <col min="3070" max="3070" width="8.25" style="264" customWidth="1"/>
    <col min="3071" max="3071" width="2.875" style="264" customWidth="1"/>
    <col min="3072" max="3072" width="10" style="264" customWidth="1"/>
    <col min="3073" max="3073" width="14.375" style="264" customWidth="1"/>
    <col min="3074" max="3074" width="14.875" style="264" customWidth="1"/>
    <col min="3075" max="3075" width="13.25" style="264" customWidth="1"/>
    <col min="3076" max="3076" width="4.75" style="264" customWidth="1"/>
    <col min="3077" max="3077" width="6.875" style="264" customWidth="1"/>
    <col min="3078" max="3078" width="7.75" style="264" customWidth="1"/>
    <col min="3079" max="3079" width="5.625" style="264" customWidth="1"/>
    <col min="3080" max="3080" width="18.5" style="264" customWidth="1"/>
    <col min="3081" max="3081" width="5.125" style="264" customWidth="1"/>
    <col min="3082" max="3082" width="14.375" style="264" customWidth="1"/>
    <col min="3083" max="3087" width="13.625" style="264" customWidth="1"/>
    <col min="3088" max="3106" width="6.625" style="264" customWidth="1"/>
    <col min="3107" max="3324" width="9" style="264"/>
    <col min="3325" max="3325" width="7.75" style="264" customWidth="1"/>
    <col min="3326" max="3326" width="8.25" style="264" customWidth="1"/>
    <col min="3327" max="3327" width="2.875" style="264" customWidth="1"/>
    <col min="3328" max="3328" width="10" style="264" customWidth="1"/>
    <col min="3329" max="3329" width="14.375" style="264" customWidth="1"/>
    <col min="3330" max="3330" width="14.875" style="264" customWidth="1"/>
    <col min="3331" max="3331" width="13.25" style="264" customWidth="1"/>
    <col min="3332" max="3332" width="4.75" style="264" customWidth="1"/>
    <col min="3333" max="3333" width="6.875" style="264" customWidth="1"/>
    <col min="3334" max="3334" width="7.75" style="264" customWidth="1"/>
    <col min="3335" max="3335" width="5.625" style="264" customWidth="1"/>
    <col min="3336" max="3336" width="18.5" style="264" customWidth="1"/>
    <col min="3337" max="3337" width="5.125" style="264" customWidth="1"/>
    <col min="3338" max="3338" width="14.375" style="264" customWidth="1"/>
    <col min="3339" max="3343" width="13.625" style="264" customWidth="1"/>
    <col min="3344" max="3362" width="6.625" style="264" customWidth="1"/>
    <col min="3363" max="3580" width="9" style="264"/>
    <col min="3581" max="3581" width="7.75" style="264" customWidth="1"/>
    <col min="3582" max="3582" width="8.25" style="264" customWidth="1"/>
    <col min="3583" max="3583" width="2.875" style="264" customWidth="1"/>
    <col min="3584" max="3584" width="10" style="264" customWidth="1"/>
    <col min="3585" max="3585" width="14.375" style="264" customWidth="1"/>
    <col min="3586" max="3586" width="14.875" style="264" customWidth="1"/>
    <col min="3587" max="3587" width="13.25" style="264" customWidth="1"/>
    <col min="3588" max="3588" width="4.75" style="264" customWidth="1"/>
    <col min="3589" max="3589" width="6.875" style="264" customWidth="1"/>
    <col min="3590" max="3590" width="7.75" style="264" customWidth="1"/>
    <col min="3591" max="3591" width="5.625" style="264" customWidth="1"/>
    <col min="3592" max="3592" width="18.5" style="264" customWidth="1"/>
    <col min="3593" max="3593" width="5.125" style="264" customWidth="1"/>
    <col min="3594" max="3594" width="14.375" style="264" customWidth="1"/>
    <col min="3595" max="3599" width="13.625" style="264" customWidth="1"/>
    <col min="3600" max="3618" width="6.625" style="264" customWidth="1"/>
    <col min="3619" max="3836" width="9" style="264"/>
    <col min="3837" max="3837" width="7.75" style="264" customWidth="1"/>
    <col min="3838" max="3838" width="8.25" style="264" customWidth="1"/>
    <col min="3839" max="3839" width="2.875" style="264" customWidth="1"/>
    <col min="3840" max="3840" width="10" style="264" customWidth="1"/>
    <col min="3841" max="3841" width="14.375" style="264" customWidth="1"/>
    <col min="3842" max="3842" width="14.875" style="264" customWidth="1"/>
    <col min="3843" max="3843" width="13.25" style="264" customWidth="1"/>
    <col min="3844" max="3844" width="4.75" style="264" customWidth="1"/>
    <col min="3845" max="3845" width="6.875" style="264" customWidth="1"/>
    <col min="3846" max="3846" width="7.75" style="264" customWidth="1"/>
    <col min="3847" max="3847" width="5.625" style="264" customWidth="1"/>
    <col min="3848" max="3848" width="18.5" style="264" customWidth="1"/>
    <col min="3849" max="3849" width="5.125" style="264" customWidth="1"/>
    <col min="3850" max="3850" width="14.375" style="264" customWidth="1"/>
    <col min="3851" max="3855" width="13.625" style="264" customWidth="1"/>
    <col min="3856" max="3874" width="6.625" style="264" customWidth="1"/>
    <col min="3875" max="4092" width="9" style="264"/>
    <col min="4093" max="4093" width="7.75" style="264" customWidth="1"/>
    <col min="4094" max="4094" width="8.25" style="264" customWidth="1"/>
    <col min="4095" max="4095" width="2.875" style="264" customWidth="1"/>
    <col min="4096" max="4096" width="10" style="264" customWidth="1"/>
    <col min="4097" max="4097" width="14.375" style="264" customWidth="1"/>
    <col min="4098" max="4098" width="14.875" style="264" customWidth="1"/>
    <col min="4099" max="4099" width="13.25" style="264" customWidth="1"/>
    <col min="4100" max="4100" width="4.75" style="264" customWidth="1"/>
    <col min="4101" max="4101" width="6.875" style="264" customWidth="1"/>
    <col min="4102" max="4102" width="7.75" style="264" customWidth="1"/>
    <col min="4103" max="4103" width="5.625" style="264" customWidth="1"/>
    <col min="4104" max="4104" width="18.5" style="264" customWidth="1"/>
    <col min="4105" max="4105" width="5.125" style="264" customWidth="1"/>
    <col min="4106" max="4106" width="14.375" style="264" customWidth="1"/>
    <col min="4107" max="4111" width="13.625" style="264" customWidth="1"/>
    <col min="4112" max="4130" width="6.625" style="264" customWidth="1"/>
    <col min="4131" max="4348" width="9" style="264"/>
    <col min="4349" max="4349" width="7.75" style="264" customWidth="1"/>
    <col min="4350" max="4350" width="8.25" style="264" customWidth="1"/>
    <col min="4351" max="4351" width="2.875" style="264" customWidth="1"/>
    <col min="4352" max="4352" width="10" style="264" customWidth="1"/>
    <col min="4353" max="4353" width="14.375" style="264" customWidth="1"/>
    <col min="4354" max="4354" width="14.875" style="264" customWidth="1"/>
    <col min="4355" max="4355" width="13.25" style="264" customWidth="1"/>
    <col min="4356" max="4356" width="4.75" style="264" customWidth="1"/>
    <col min="4357" max="4357" width="6.875" style="264" customWidth="1"/>
    <col min="4358" max="4358" width="7.75" style="264" customWidth="1"/>
    <col min="4359" max="4359" width="5.625" style="264" customWidth="1"/>
    <col min="4360" max="4360" width="18.5" style="264" customWidth="1"/>
    <col min="4361" max="4361" width="5.125" style="264" customWidth="1"/>
    <col min="4362" max="4362" width="14.375" style="264" customWidth="1"/>
    <col min="4363" max="4367" width="13.625" style="264" customWidth="1"/>
    <col min="4368" max="4386" width="6.625" style="264" customWidth="1"/>
    <col min="4387" max="4604" width="9" style="264"/>
    <col min="4605" max="4605" width="7.75" style="264" customWidth="1"/>
    <col min="4606" max="4606" width="8.25" style="264" customWidth="1"/>
    <col min="4607" max="4607" width="2.875" style="264" customWidth="1"/>
    <col min="4608" max="4608" width="10" style="264" customWidth="1"/>
    <col min="4609" max="4609" width="14.375" style="264" customWidth="1"/>
    <col min="4610" max="4610" width="14.875" style="264" customWidth="1"/>
    <col min="4611" max="4611" width="13.25" style="264" customWidth="1"/>
    <col min="4612" max="4612" width="4.75" style="264" customWidth="1"/>
    <col min="4613" max="4613" width="6.875" style="264" customWidth="1"/>
    <col min="4614" max="4614" width="7.75" style="264" customWidth="1"/>
    <col min="4615" max="4615" width="5.625" style="264" customWidth="1"/>
    <col min="4616" max="4616" width="18.5" style="264" customWidth="1"/>
    <col min="4617" max="4617" width="5.125" style="264" customWidth="1"/>
    <col min="4618" max="4618" width="14.375" style="264" customWidth="1"/>
    <col min="4619" max="4623" width="13.625" style="264" customWidth="1"/>
    <col min="4624" max="4642" width="6.625" style="264" customWidth="1"/>
    <col min="4643" max="4860" width="9" style="264"/>
    <col min="4861" max="4861" width="7.75" style="264" customWidth="1"/>
    <col min="4862" max="4862" width="8.25" style="264" customWidth="1"/>
    <col min="4863" max="4863" width="2.875" style="264" customWidth="1"/>
    <col min="4864" max="4864" width="10" style="264" customWidth="1"/>
    <col min="4865" max="4865" width="14.375" style="264" customWidth="1"/>
    <col min="4866" max="4866" width="14.875" style="264" customWidth="1"/>
    <col min="4867" max="4867" width="13.25" style="264" customWidth="1"/>
    <col min="4868" max="4868" width="4.75" style="264" customWidth="1"/>
    <col min="4869" max="4869" width="6.875" style="264" customWidth="1"/>
    <col min="4870" max="4870" width="7.75" style="264" customWidth="1"/>
    <col min="4871" max="4871" width="5.625" style="264" customWidth="1"/>
    <col min="4872" max="4872" width="18.5" style="264" customWidth="1"/>
    <col min="4873" max="4873" width="5.125" style="264" customWidth="1"/>
    <col min="4874" max="4874" width="14.375" style="264" customWidth="1"/>
    <col min="4875" max="4879" width="13.625" style="264" customWidth="1"/>
    <col min="4880" max="4898" width="6.625" style="264" customWidth="1"/>
    <col min="4899" max="5116" width="9" style="264"/>
    <col min="5117" max="5117" width="7.75" style="264" customWidth="1"/>
    <col min="5118" max="5118" width="8.25" style="264" customWidth="1"/>
    <col min="5119" max="5119" width="2.875" style="264" customWidth="1"/>
    <col min="5120" max="5120" width="10" style="264" customWidth="1"/>
    <col min="5121" max="5121" width="14.375" style="264" customWidth="1"/>
    <col min="5122" max="5122" width="14.875" style="264" customWidth="1"/>
    <col min="5123" max="5123" width="13.25" style="264" customWidth="1"/>
    <col min="5124" max="5124" width="4.75" style="264" customWidth="1"/>
    <col min="5125" max="5125" width="6.875" style="264" customWidth="1"/>
    <col min="5126" max="5126" width="7.75" style="264" customWidth="1"/>
    <col min="5127" max="5127" width="5.625" style="264" customWidth="1"/>
    <col min="5128" max="5128" width="18.5" style="264" customWidth="1"/>
    <col min="5129" max="5129" width="5.125" style="264" customWidth="1"/>
    <col min="5130" max="5130" width="14.375" style="264" customWidth="1"/>
    <col min="5131" max="5135" width="13.625" style="264" customWidth="1"/>
    <col min="5136" max="5154" width="6.625" style="264" customWidth="1"/>
    <col min="5155" max="5372" width="9" style="264"/>
    <col min="5373" max="5373" width="7.75" style="264" customWidth="1"/>
    <col min="5374" max="5374" width="8.25" style="264" customWidth="1"/>
    <col min="5375" max="5375" width="2.875" style="264" customWidth="1"/>
    <col min="5376" max="5376" width="10" style="264" customWidth="1"/>
    <col min="5377" max="5377" width="14.375" style="264" customWidth="1"/>
    <col min="5378" max="5378" width="14.875" style="264" customWidth="1"/>
    <col min="5379" max="5379" width="13.25" style="264" customWidth="1"/>
    <col min="5380" max="5380" width="4.75" style="264" customWidth="1"/>
    <col min="5381" max="5381" width="6.875" style="264" customWidth="1"/>
    <col min="5382" max="5382" width="7.75" style="264" customWidth="1"/>
    <col min="5383" max="5383" width="5.625" style="264" customWidth="1"/>
    <col min="5384" max="5384" width="18.5" style="264" customWidth="1"/>
    <col min="5385" max="5385" width="5.125" style="264" customWidth="1"/>
    <col min="5386" max="5386" width="14.375" style="264" customWidth="1"/>
    <col min="5387" max="5391" width="13.625" style="264" customWidth="1"/>
    <col min="5392" max="5410" width="6.625" style="264" customWidth="1"/>
    <col min="5411" max="5628" width="9" style="264"/>
    <col min="5629" max="5629" width="7.75" style="264" customWidth="1"/>
    <col min="5630" max="5630" width="8.25" style="264" customWidth="1"/>
    <col min="5631" max="5631" width="2.875" style="264" customWidth="1"/>
    <col min="5632" max="5632" width="10" style="264" customWidth="1"/>
    <col min="5633" max="5633" width="14.375" style="264" customWidth="1"/>
    <col min="5634" max="5634" width="14.875" style="264" customWidth="1"/>
    <col min="5635" max="5635" width="13.25" style="264" customWidth="1"/>
    <col min="5636" max="5636" width="4.75" style="264" customWidth="1"/>
    <col min="5637" max="5637" width="6.875" style="264" customWidth="1"/>
    <col min="5638" max="5638" width="7.75" style="264" customWidth="1"/>
    <col min="5639" max="5639" width="5.625" style="264" customWidth="1"/>
    <col min="5640" max="5640" width="18.5" style="264" customWidth="1"/>
    <col min="5641" max="5641" width="5.125" style="264" customWidth="1"/>
    <col min="5642" max="5642" width="14.375" style="264" customWidth="1"/>
    <col min="5643" max="5647" width="13.625" style="264" customWidth="1"/>
    <col min="5648" max="5666" width="6.625" style="264" customWidth="1"/>
    <col min="5667" max="5884" width="9" style="264"/>
    <col min="5885" max="5885" width="7.75" style="264" customWidth="1"/>
    <col min="5886" max="5886" width="8.25" style="264" customWidth="1"/>
    <col min="5887" max="5887" width="2.875" style="264" customWidth="1"/>
    <col min="5888" max="5888" width="10" style="264" customWidth="1"/>
    <col min="5889" max="5889" width="14.375" style="264" customWidth="1"/>
    <col min="5890" max="5890" width="14.875" style="264" customWidth="1"/>
    <col min="5891" max="5891" width="13.25" style="264" customWidth="1"/>
    <col min="5892" max="5892" width="4.75" style="264" customWidth="1"/>
    <col min="5893" max="5893" width="6.875" style="264" customWidth="1"/>
    <col min="5894" max="5894" width="7.75" style="264" customWidth="1"/>
    <col min="5895" max="5895" width="5.625" style="264" customWidth="1"/>
    <col min="5896" max="5896" width="18.5" style="264" customWidth="1"/>
    <col min="5897" max="5897" width="5.125" style="264" customWidth="1"/>
    <col min="5898" max="5898" width="14.375" style="264" customWidth="1"/>
    <col min="5899" max="5903" width="13.625" style="264" customWidth="1"/>
    <col min="5904" max="5922" width="6.625" style="264" customWidth="1"/>
    <col min="5923" max="6140" width="9" style="264"/>
    <col min="6141" max="6141" width="7.75" style="264" customWidth="1"/>
    <col min="6142" max="6142" width="8.25" style="264" customWidth="1"/>
    <col min="6143" max="6143" width="2.875" style="264" customWidth="1"/>
    <col min="6144" max="6144" width="10" style="264" customWidth="1"/>
    <col min="6145" max="6145" width="14.375" style="264" customWidth="1"/>
    <col min="6146" max="6146" width="14.875" style="264" customWidth="1"/>
    <col min="6147" max="6147" width="13.25" style="264" customWidth="1"/>
    <col min="6148" max="6148" width="4.75" style="264" customWidth="1"/>
    <col min="6149" max="6149" width="6.875" style="264" customWidth="1"/>
    <col min="6150" max="6150" width="7.75" style="264" customWidth="1"/>
    <col min="6151" max="6151" width="5.625" style="264" customWidth="1"/>
    <col min="6152" max="6152" width="18.5" style="264" customWidth="1"/>
    <col min="6153" max="6153" width="5.125" style="264" customWidth="1"/>
    <col min="6154" max="6154" width="14.375" style="264" customWidth="1"/>
    <col min="6155" max="6159" width="13.625" style="264" customWidth="1"/>
    <col min="6160" max="6178" width="6.625" style="264" customWidth="1"/>
    <col min="6179" max="6396" width="9" style="264"/>
    <col min="6397" max="6397" width="7.75" style="264" customWidth="1"/>
    <col min="6398" max="6398" width="8.25" style="264" customWidth="1"/>
    <col min="6399" max="6399" width="2.875" style="264" customWidth="1"/>
    <col min="6400" max="6400" width="10" style="264" customWidth="1"/>
    <col min="6401" max="6401" width="14.375" style="264" customWidth="1"/>
    <col min="6402" max="6402" width="14.875" style="264" customWidth="1"/>
    <col min="6403" max="6403" width="13.25" style="264" customWidth="1"/>
    <col min="6404" max="6404" width="4.75" style="264" customWidth="1"/>
    <col min="6405" max="6405" width="6.875" style="264" customWidth="1"/>
    <col min="6406" max="6406" width="7.75" style="264" customWidth="1"/>
    <col min="6407" max="6407" width="5.625" style="264" customWidth="1"/>
    <col min="6408" max="6408" width="18.5" style="264" customWidth="1"/>
    <col min="6409" max="6409" width="5.125" style="264" customWidth="1"/>
    <col min="6410" max="6410" width="14.375" style="264" customWidth="1"/>
    <col min="6411" max="6415" width="13.625" style="264" customWidth="1"/>
    <col min="6416" max="6434" width="6.625" style="264" customWidth="1"/>
    <col min="6435" max="6652" width="9" style="264"/>
    <col min="6653" max="6653" width="7.75" style="264" customWidth="1"/>
    <col min="6654" max="6654" width="8.25" style="264" customWidth="1"/>
    <col min="6655" max="6655" width="2.875" style="264" customWidth="1"/>
    <col min="6656" max="6656" width="10" style="264" customWidth="1"/>
    <col min="6657" max="6657" width="14.375" style="264" customWidth="1"/>
    <col min="6658" max="6658" width="14.875" style="264" customWidth="1"/>
    <col min="6659" max="6659" width="13.25" style="264" customWidth="1"/>
    <col min="6660" max="6660" width="4.75" style="264" customWidth="1"/>
    <col min="6661" max="6661" width="6.875" style="264" customWidth="1"/>
    <col min="6662" max="6662" width="7.75" style="264" customWidth="1"/>
    <col min="6663" max="6663" width="5.625" style="264" customWidth="1"/>
    <col min="6664" max="6664" width="18.5" style="264" customWidth="1"/>
    <col min="6665" max="6665" width="5.125" style="264" customWidth="1"/>
    <col min="6666" max="6666" width="14.375" style="264" customWidth="1"/>
    <col min="6667" max="6671" width="13.625" style="264" customWidth="1"/>
    <col min="6672" max="6690" width="6.625" style="264" customWidth="1"/>
    <col min="6691" max="6908" width="9" style="264"/>
    <col min="6909" max="6909" width="7.75" style="264" customWidth="1"/>
    <col min="6910" max="6910" width="8.25" style="264" customWidth="1"/>
    <col min="6911" max="6911" width="2.875" style="264" customWidth="1"/>
    <col min="6912" max="6912" width="10" style="264" customWidth="1"/>
    <col min="6913" max="6913" width="14.375" style="264" customWidth="1"/>
    <col min="6914" max="6914" width="14.875" style="264" customWidth="1"/>
    <col min="6915" max="6915" width="13.25" style="264" customWidth="1"/>
    <col min="6916" max="6916" width="4.75" style="264" customWidth="1"/>
    <col min="6917" max="6917" width="6.875" style="264" customWidth="1"/>
    <col min="6918" max="6918" width="7.75" style="264" customWidth="1"/>
    <col min="6919" max="6919" width="5.625" style="264" customWidth="1"/>
    <col min="6920" max="6920" width="18.5" style="264" customWidth="1"/>
    <col min="6921" max="6921" width="5.125" style="264" customWidth="1"/>
    <col min="6922" max="6922" width="14.375" style="264" customWidth="1"/>
    <col min="6923" max="6927" width="13.625" style="264" customWidth="1"/>
    <col min="6928" max="6946" width="6.625" style="264" customWidth="1"/>
    <col min="6947" max="7164" width="9" style="264"/>
    <col min="7165" max="7165" width="7.75" style="264" customWidth="1"/>
    <col min="7166" max="7166" width="8.25" style="264" customWidth="1"/>
    <col min="7167" max="7167" width="2.875" style="264" customWidth="1"/>
    <col min="7168" max="7168" width="10" style="264" customWidth="1"/>
    <col min="7169" max="7169" width="14.375" style="264" customWidth="1"/>
    <col min="7170" max="7170" width="14.875" style="264" customWidth="1"/>
    <col min="7171" max="7171" width="13.25" style="264" customWidth="1"/>
    <col min="7172" max="7172" width="4.75" style="264" customWidth="1"/>
    <col min="7173" max="7173" width="6.875" style="264" customWidth="1"/>
    <col min="7174" max="7174" width="7.75" style="264" customWidth="1"/>
    <col min="7175" max="7175" width="5.625" style="264" customWidth="1"/>
    <col min="7176" max="7176" width="18.5" style="264" customWidth="1"/>
    <col min="7177" max="7177" width="5.125" style="264" customWidth="1"/>
    <col min="7178" max="7178" width="14.375" style="264" customWidth="1"/>
    <col min="7179" max="7183" width="13.625" style="264" customWidth="1"/>
    <col min="7184" max="7202" width="6.625" style="264" customWidth="1"/>
    <col min="7203" max="7420" width="9" style="264"/>
    <col min="7421" max="7421" width="7.75" style="264" customWidth="1"/>
    <col min="7422" max="7422" width="8.25" style="264" customWidth="1"/>
    <col min="7423" max="7423" width="2.875" style="264" customWidth="1"/>
    <col min="7424" max="7424" width="10" style="264" customWidth="1"/>
    <col min="7425" max="7425" width="14.375" style="264" customWidth="1"/>
    <col min="7426" max="7426" width="14.875" style="264" customWidth="1"/>
    <col min="7427" max="7427" width="13.25" style="264" customWidth="1"/>
    <col min="7428" max="7428" width="4.75" style="264" customWidth="1"/>
    <col min="7429" max="7429" width="6.875" style="264" customWidth="1"/>
    <col min="7430" max="7430" width="7.75" style="264" customWidth="1"/>
    <col min="7431" max="7431" width="5.625" style="264" customWidth="1"/>
    <col min="7432" max="7432" width="18.5" style="264" customWidth="1"/>
    <col min="7433" max="7433" width="5.125" style="264" customWidth="1"/>
    <col min="7434" max="7434" width="14.375" style="264" customWidth="1"/>
    <col min="7435" max="7439" width="13.625" style="264" customWidth="1"/>
    <col min="7440" max="7458" width="6.625" style="264" customWidth="1"/>
    <col min="7459" max="7676" width="9" style="264"/>
    <col min="7677" max="7677" width="7.75" style="264" customWidth="1"/>
    <col min="7678" max="7678" width="8.25" style="264" customWidth="1"/>
    <col min="7679" max="7679" width="2.875" style="264" customWidth="1"/>
    <col min="7680" max="7680" width="10" style="264" customWidth="1"/>
    <col min="7681" max="7681" width="14.375" style="264" customWidth="1"/>
    <col min="7682" max="7682" width="14.875" style="264" customWidth="1"/>
    <col min="7683" max="7683" width="13.25" style="264" customWidth="1"/>
    <col min="7684" max="7684" width="4.75" style="264" customWidth="1"/>
    <col min="7685" max="7685" width="6.875" style="264" customWidth="1"/>
    <col min="7686" max="7686" width="7.75" style="264" customWidth="1"/>
    <col min="7687" max="7687" width="5.625" style="264" customWidth="1"/>
    <col min="7688" max="7688" width="18.5" style="264" customWidth="1"/>
    <col min="7689" max="7689" width="5.125" style="264" customWidth="1"/>
    <col min="7690" max="7690" width="14.375" style="264" customWidth="1"/>
    <col min="7691" max="7695" width="13.625" style="264" customWidth="1"/>
    <col min="7696" max="7714" width="6.625" style="264" customWidth="1"/>
    <col min="7715" max="7932" width="9" style="264"/>
    <col min="7933" max="7933" width="7.75" style="264" customWidth="1"/>
    <col min="7934" max="7934" width="8.25" style="264" customWidth="1"/>
    <col min="7935" max="7935" width="2.875" style="264" customWidth="1"/>
    <col min="7936" max="7936" width="10" style="264" customWidth="1"/>
    <col min="7937" max="7937" width="14.375" style="264" customWidth="1"/>
    <col min="7938" max="7938" width="14.875" style="264" customWidth="1"/>
    <col min="7939" max="7939" width="13.25" style="264" customWidth="1"/>
    <col min="7940" max="7940" width="4.75" style="264" customWidth="1"/>
    <col min="7941" max="7941" width="6.875" style="264" customWidth="1"/>
    <col min="7942" max="7942" width="7.75" style="264" customWidth="1"/>
    <col min="7943" max="7943" width="5.625" style="264" customWidth="1"/>
    <col min="7944" max="7944" width="18.5" style="264" customWidth="1"/>
    <col min="7945" max="7945" width="5.125" style="264" customWidth="1"/>
    <col min="7946" max="7946" width="14.375" style="264" customWidth="1"/>
    <col min="7947" max="7951" width="13.625" style="264" customWidth="1"/>
    <col min="7952" max="7970" width="6.625" style="264" customWidth="1"/>
    <col min="7971" max="8188" width="9" style="264"/>
    <col min="8189" max="8189" width="7.75" style="264" customWidth="1"/>
    <col min="8190" max="8190" width="8.25" style="264" customWidth="1"/>
    <col min="8191" max="8191" width="2.875" style="264" customWidth="1"/>
    <col min="8192" max="8192" width="10" style="264" customWidth="1"/>
    <col min="8193" max="8193" width="14.375" style="264" customWidth="1"/>
    <col min="8194" max="8194" width="14.875" style="264" customWidth="1"/>
    <col min="8195" max="8195" width="13.25" style="264" customWidth="1"/>
    <col min="8196" max="8196" width="4.75" style="264" customWidth="1"/>
    <col min="8197" max="8197" width="6.875" style="264" customWidth="1"/>
    <col min="8198" max="8198" width="7.75" style="264" customWidth="1"/>
    <col min="8199" max="8199" width="5.625" style="264" customWidth="1"/>
    <col min="8200" max="8200" width="18.5" style="264" customWidth="1"/>
    <col min="8201" max="8201" width="5.125" style="264" customWidth="1"/>
    <col min="8202" max="8202" width="14.375" style="264" customWidth="1"/>
    <col min="8203" max="8207" width="13.625" style="264" customWidth="1"/>
    <col min="8208" max="8226" width="6.625" style="264" customWidth="1"/>
    <col min="8227" max="8444" width="9" style="264"/>
    <col min="8445" max="8445" width="7.75" style="264" customWidth="1"/>
    <col min="8446" max="8446" width="8.25" style="264" customWidth="1"/>
    <col min="8447" max="8447" width="2.875" style="264" customWidth="1"/>
    <col min="8448" max="8448" width="10" style="264" customWidth="1"/>
    <col min="8449" max="8449" width="14.375" style="264" customWidth="1"/>
    <col min="8450" max="8450" width="14.875" style="264" customWidth="1"/>
    <col min="8451" max="8451" width="13.25" style="264" customWidth="1"/>
    <col min="8452" max="8452" width="4.75" style="264" customWidth="1"/>
    <col min="8453" max="8453" width="6.875" style="264" customWidth="1"/>
    <col min="8454" max="8454" width="7.75" style="264" customWidth="1"/>
    <col min="8455" max="8455" width="5.625" style="264" customWidth="1"/>
    <col min="8456" max="8456" width="18.5" style="264" customWidth="1"/>
    <col min="8457" max="8457" width="5.125" style="264" customWidth="1"/>
    <col min="8458" max="8458" width="14.375" style="264" customWidth="1"/>
    <col min="8459" max="8463" width="13.625" style="264" customWidth="1"/>
    <col min="8464" max="8482" width="6.625" style="264" customWidth="1"/>
    <col min="8483" max="8700" width="9" style="264"/>
    <col min="8701" max="8701" width="7.75" style="264" customWidth="1"/>
    <col min="8702" max="8702" width="8.25" style="264" customWidth="1"/>
    <col min="8703" max="8703" width="2.875" style="264" customWidth="1"/>
    <col min="8704" max="8704" width="10" style="264" customWidth="1"/>
    <col min="8705" max="8705" width="14.375" style="264" customWidth="1"/>
    <col min="8706" max="8706" width="14.875" style="264" customWidth="1"/>
    <col min="8707" max="8707" width="13.25" style="264" customWidth="1"/>
    <col min="8708" max="8708" width="4.75" style="264" customWidth="1"/>
    <col min="8709" max="8709" width="6.875" style="264" customWidth="1"/>
    <col min="8710" max="8710" width="7.75" style="264" customWidth="1"/>
    <col min="8711" max="8711" width="5.625" style="264" customWidth="1"/>
    <col min="8712" max="8712" width="18.5" style="264" customWidth="1"/>
    <col min="8713" max="8713" width="5.125" style="264" customWidth="1"/>
    <col min="8714" max="8714" width="14.375" style="264" customWidth="1"/>
    <col min="8715" max="8719" width="13.625" style="264" customWidth="1"/>
    <col min="8720" max="8738" width="6.625" style="264" customWidth="1"/>
    <col min="8739" max="8956" width="9" style="264"/>
    <col min="8957" max="8957" width="7.75" style="264" customWidth="1"/>
    <col min="8958" max="8958" width="8.25" style="264" customWidth="1"/>
    <col min="8959" max="8959" width="2.875" style="264" customWidth="1"/>
    <col min="8960" max="8960" width="10" style="264" customWidth="1"/>
    <col min="8961" max="8961" width="14.375" style="264" customWidth="1"/>
    <col min="8962" max="8962" width="14.875" style="264" customWidth="1"/>
    <col min="8963" max="8963" width="13.25" style="264" customWidth="1"/>
    <col min="8964" max="8964" width="4.75" style="264" customWidth="1"/>
    <col min="8965" max="8965" width="6.875" style="264" customWidth="1"/>
    <col min="8966" max="8966" width="7.75" style="264" customWidth="1"/>
    <col min="8967" max="8967" width="5.625" style="264" customWidth="1"/>
    <col min="8968" max="8968" width="18.5" style="264" customWidth="1"/>
    <col min="8969" max="8969" width="5.125" style="264" customWidth="1"/>
    <col min="8970" max="8970" width="14.375" style="264" customWidth="1"/>
    <col min="8971" max="8975" width="13.625" style="264" customWidth="1"/>
    <col min="8976" max="8994" width="6.625" style="264" customWidth="1"/>
    <col min="8995" max="9212" width="9" style="264"/>
    <col min="9213" max="9213" width="7.75" style="264" customWidth="1"/>
    <col min="9214" max="9214" width="8.25" style="264" customWidth="1"/>
    <col min="9215" max="9215" width="2.875" style="264" customWidth="1"/>
    <col min="9216" max="9216" width="10" style="264" customWidth="1"/>
    <col min="9217" max="9217" width="14.375" style="264" customWidth="1"/>
    <col min="9218" max="9218" width="14.875" style="264" customWidth="1"/>
    <col min="9219" max="9219" width="13.25" style="264" customWidth="1"/>
    <col min="9220" max="9220" width="4.75" style="264" customWidth="1"/>
    <col min="9221" max="9221" width="6.875" style="264" customWidth="1"/>
    <col min="9222" max="9222" width="7.75" style="264" customWidth="1"/>
    <col min="9223" max="9223" width="5.625" style="264" customWidth="1"/>
    <col min="9224" max="9224" width="18.5" style="264" customWidth="1"/>
    <col min="9225" max="9225" width="5.125" style="264" customWidth="1"/>
    <col min="9226" max="9226" width="14.375" style="264" customWidth="1"/>
    <col min="9227" max="9231" width="13.625" style="264" customWidth="1"/>
    <col min="9232" max="9250" width="6.625" style="264" customWidth="1"/>
    <col min="9251" max="9468" width="9" style="264"/>
    <col min="9469" max="9469" width="7.75" style="264" customWidth="1"/>
    <col min="9470" max="9470" width="8.25" style="264" customWidth="1"/>
    <col min="9471" max="9471" width="2.875" style="264" customWidth="1"/>
    <col min="9472" max="9472" width="10" style="264" customWidth="1"/>
    <col min="9473" max="9473" width="14.375" style="264" customWidth="1"/>
    <col min="9474" max="9474" width="14.875" style="264" customWidth="1"/>
    <col min="9475" max="9475" width="13.25" style="264" customWidth="1"/>
    <col min="9476" max="9476" width="4.75" style="264" customWidth="1"/>
    <col min="9477" max="9477" width="6.875" style="264" customWidth="1"/>
    <col min="9478" max="9478" width="7.75" style="264" customWidth="1"/>
    <col min="9479" max="9479" width="5.625" style="264" customWidth="1"/>
    <col min="9480" max="9480" width="18.5" style="264" customWidth="1"/>
    <col min="9481" max="9481" width="5.125" style="264" customWidth="1"/>
    <col min="9482" max="9482" width="14.375" style="264" customWidth="1"/>
    <col min="9483" max="9487" width="13.625" style="264" customWidth="1"/>
    <col min="9488" max="9506" width="6.625" style="264" customWidth="1"/>
    <col min="9507" max="9724" width="9" style="264"/>
    <col min="9725" max="9725" width="7.75" style="264" customWidth="1"/>
    <col min="9726" max="9726" width="8.25" style="264" customWidth="1"/>
    <col min="9727" max="9727" width="2.875" style="264" customWidth="1"/>
    <col min="9728" max="9728" width="10" style="264" customWidth="1"/>
    <col min="9729" max="9729" width="14.375" style="264" customWidth="1"/>
    <col min="9730" max="9730" width="14.875" style="264" customWidth="1"/>
    <col min="9731" max="9731" width="13.25" style="264" customWidth="1"/>
    <col min="9732" max="9732" width="4.75" style="264" customWidth="1"/>
    <col min="9733" max="9733" width="6.875" style="264" customWidth="1"/>
    <col min="9734" max="9734" width="7.75" style="264" customWidth="1"/>
    <col min="9735" max="9735" width="5.625" style="264" customWidth="1"/>
    <col min="9736" max="9736" width="18.5" style="264" customWidth="1"/>
    <col min="9737" max="9737" width="5.125" style="264" customWidth="1"/>
    <col min="9738" max="9738" width="14.375" style="264" customWidth="1"/>
    <col min="9739" max="9743" width="13.625" style="264" customWidth="1"/>
    <col min="9744" max="9762" width="6.625" style="264" customWidth="1"/>
    <col min="9763" max="9980" width="9" style="264"/>
    <col min="9981" max="9981" width="7.75" style="264" customWidth="1"/>
    <col min="9982" max="9982" width="8.25" style="264" customWidth="1"/>
    <col min="9983" max="9983" width="2.875" style="264" customWidth="1"/>
    <col min="9984" max="9984" width="10" style="264" customWidth="1"/>
    <col min="9985" max="9985" width="14.375" style="264" customWidth="1"/>
    <col min="9986" max="9986" width="14.875" style="264" customWidth="1"/>
    <col min="9987" max="9987" width="13.25" style="264" customWidth="1"/>
    <col min="9988" max="9988" width="4.75" style="264" customWidth="1"/>
    <col min="9989" max="9989" width="6.875" style="264" customWidth="1"/>
    <col min="9990" max="9990" width="7.75" style="264" customWidth="1"/>
    <col min="9991" max="9991" width="5.625" style="264" customWidth="1"/>
    <col min="9992" max="9992" width="18.5" style="264" customWidth="1"/>
    <col min="9993" max="9993" width="5.125" style="264" customWidth="1"/>
    <col min="9994" max="9994" width="14.375" style="264" customWidth="1"/>
    <col min="9995" max="9999" width="13.625" style="264" customWidth="1"/>
    <col min="10000" max="10018" width="6.625" style="264" customWidth="1"/>
    <col min="10019" max="10236" width="9" style="264"/>
    <col min="10237" max="10237" width="7.75" style="264" customWidth="1"/>
    <col min="10238" max="10238" width="8.25" style="264" customWidth="1"/>
    <col min="10239" max="10239" width="2.875" style="264" customWidth="1"/>
    <col min="10240" max="10240" width="10" style="264" customWidth="1"/>
    <col min="10241" max="10241" width="14.375" style="264" customWidth="1"/>
    <col min="10242" max="10242" width="14.875" style="264" customWidth="1"/>
    <col min="10243" max="10243" width="13.25" style="264" customWidth="1"/>
    <col min="10244" max="10244" width="4.75" style="264" customWidth="1"/>
    <col min="10245" max="10245" width="6.875" style="264" customWidth="1"/>
    <col min="10246" max="10246" width="7.75" style="264" customWidth="1"/>
    <col min="10247" max="10247" width="5.625" style="264" customWidth="1"/>
    <col min="10248" max="10248" width="18.5" style="264" customWidth="1"/>
    <col min="10249" max="10249" width="5.125" style="264" customWidth="1"/>
    <col min="10250" max="10250" width="14.375" style="264" customWidth="1"/>
    <col min="10251" max="10255" width="13.625" style="264" customWidth="1"/>
    <col min="10256" max="10274" width="6.625" style="264" customWidth="1"/>
    <col min="10275" max="10492" width="9" style="264"/>
    <col min="10493" max="10493" width="7.75" style="264" customWidth="1"/>
    <col min="10494" max="10494" width="8.25" style="264" customWidth="1"/>
    <col min="10495" max="10495" width="2.875" style="264" customWidth="1"/>
    <col min="10496" max="10496" width="10" style="264" customWidth="1"/>
    <col min="10497" max="10497" width="14.375" style="264" customWidth="1"/>
    <col min="10498" max="10498" width="14.875" style="264" customWidth="1"/>
    <col min="10499" max="10499" width="13.25" style="264" customWidth="1"/>
    <col min="10500" max="10500" width="4.75" style="264" customWidth="1"/>
    <col min="10501" max="10501" width="6.875" style="264" customWidth="1"/>
    <col min="10502" max="10502" width="7.75" style="264" customWidth="1"/>
    <col min="10503" max="10503" width="5.625" style="264" customWidth="1"/>
    <col min="10504" max="10504" width="18.5" style="264" customWidth="1"/>
    <col min="10505" max="10505" width="5.125" style="264" customWidth="1"/>
    <col min="10506" max="10506" width="14.375" style="264" customWidth="1"/>
    <col min="10507" max="10511" width="13.625" style="264" customWidth="1"/>
    <col min="10512" max="10530" width="6.625" style="264" customWidth="1"/>
    <col min="10531" max="10748" width="9" style="264"/>
    <col min="10749" max="10749" width="7.75" style="264" customWidth="1"/>
    <col min="10750" max="10750" width="8.25" style="264" customWidth="1"/>
    <col min="10751" max="10751" width="2.875" style="264" customWidth="1"/>
    <col min="10752" max="10752" width="10" style="264" customWidth="1"/>
    <col min="10753" max="10753" width="14.375" style="264" customWidth="1"/>
    <col min="10754" max="10754" width="14.875" style="264" customWidth="1"/>
    <col min="10755" max="10755" width="13.25" style="264" customWidth="1"/>
    <col min="10756" max="10756" width="4.75" style="264" customWidth="1"/>
    <col min="10757" max="10757" width="6.875" style="264" customWidth="1"/>
    <col min="10758" max="10758" width="7.75" style="264" customWidth="1"/>
    <col min="10759" max="10759" width="5.625" style="264" customWidth="1"/>
    <col min="10760" max="10760" width="18.5" style="264" customWidth="1"/>
    <col min="10761" max="10761" width="5.125" style="264" customWidth="1"/>
    <col min="10762" max="10762" width="14.375" style="264" customWidth="1"/>
    <col min="10763" max="10767" width="13.625" style="264" customWidth="1"/>
    <col min="10768" max="10786" width="6.625" style="264" customWidth="1"/>
    <col min="10787" max="11004" width="9" style="264"/>
    <col min="11005" max="11005" width="7.75" style="264" customWidth="1"/>
    <col min="11006" max="11006" width="8.25" style="264" customWidth="1"/>
    <col min="11007" max="11007" width="2.875" style="264" customWidth="1"/>
    <col min="11008" max="11008" width="10" style="264" customWidth="1"/>
    <col min="11009" max="11009" width="14.375" style="264" customWidth="1"/>
    <col min="11010" max="11010" width="14.875" style="264" customWidth="1"/>
    <col min="11011" max="11011" width="13.25" style="264" customWidth="1"/>
    <col min="11012" max="11012" width="4.75" style="264" customWidth="1"/>
    <col min="11013" max="11013" width="6.875" style="264" customWidth="1"/>
    <col min="11014" max="11014" width="7.75" style="264" customWidth="1"/>
    <col min="11015" max="11015" width="5.625" style="264" customWidth="1"/>
    <col min="11016" max="11016" width="18.5" style="264" customWidth="1"/>
    <col min="11017" max="11017" width="5.125" style="264" customWidth="1"/>
    <col min="11018" max="11018" width="14.375" style="264" customWidth="1"/>
    <col min="11019" max="11023" width="13.625" style="264" customWidth="1"/>
    <col min="11024" max="11042" width="6.625" style="264" customWidth="1"/>
    <col min="11043" max="11260" width="9" style="264"/>
    <col min="11261" max="11261" width="7.75" style="264" customWidth="1"/>
    <col min="11262" max="11262" width="8.25" style="264" customWidth="1"/>
    <col min="11263" max="11263" width="2.875" style="264" customWidth="1"/>
    <col min="11264" max="11264" width="10" style="264" customWidth="1"/>
    <col min="11265" max="11265" width="14.375" style="264" customWidth="1"/>
    <col min="11266" max="11266" width="14.875" style="264" customWidth="1"/>
    <col min="11267" max="11267" width="13.25" style="264" customWidth="1"/>
    <col min="11268" max="11268" width="4.75" style="264" customWidth="1"/>
    <col min="11269" max="11269" width="6.875" style="264" customWidth="1"/>
    <col min="11270" max="11270" width="7.75" style="264" customWidth="1"/>
    <col min="11271" max="11271" width="5.625" style="264" customWidth="1"/>
    <col min="11272" max="11272" width="18.5" style="264" customWidth="1"/>
    <col min="11273" max="11273" width="5.125" style="264" customWidth="1"/>
    <col min="11274" max="11274" width="14.375" style="264" customWidth="1"/>
    <col min="11275" max="11279" width="13.625" style="264" customWidth="1"/>
    <col min="11280" max="11298" width="6.625" style="264" customWidth="1"/>
    <col min="11299" max="11516" width="9" style="264"/>
    <col min="11517" max="11517" width="7.75" style="264" customWidth="1"/>
    <col min="11518" max="11518" width="8.25" style="264" customWidth="1"/>
    <col min="11519" max="11519" width="2.875" style="264" customWidth="1"/>
    <col min="11520" max="11520" width="10" style="264" customWidth="1"/>
    <col min="11521" max="11521" width="14.375" style="264" customWidth="1"/>
    <col min="11522" max="11522" width="14.875" style="264" customWidth="1"/>
    <col min="11523" max="11523" width="13.25" style="264" customWidth="1"/>
    <col min="11524" max="11524" width="4.75" style="264" customWidth="1"/>
    <col min="11525" max="11525" width="6.875" style="264" customWidth="1"/>
    <col min="11526" max="11526" width="7.75" style="264" customWidth="1"/>
    <col min="11527" max="11527" width="5.625" style="264" customWidth="1"/>
    <col min="11528" max="11528" width="18.5" style="264" customWidth="1"/>
    <col min="11529" max="11529" width="5.125" style="264" customWidth="1"/>
    <col min="11530" max="11530" width="14.375" style="264" customWidth="1"/>
    <col min="11531" max="11535" width="13.625" style="264" customWidth="1"/>
    <col min="11536" max="11554" width="6.625" style="264" customWidth="1"/>
    <col min="11555" max="11772" width="9" style="264"/>
    <col min="11773" max="11773" width="7.75" style="264" customWidth="1"/>
    <col min="11774" max="11774" width="8.25" style="264" customWidth="1"/>
    <col min="11775" max="11775" width="2.875" style="264" customWidth="1"/>
    <col min="11776" max="11776" width="10" style="264" customWidth="1"/>
    <col min="11777" max="11777" width="14.375" style="264" customWidth="1"/>
    <col min="11778" max="11778" width="14.875" style="264" customWidth="1"/>
    <col min="11779" max="11779" width="13.25" style="264" customWidth="1"/>
    <col min="11780" max="11780" width="4.75" style="264" customWidth="1"/>
    <col min="11781" max="11781" width="6.875" style="264" customWidth="1"/>
    <col min="11782" max="11782" width="7.75" style="264" customWidth="1"/>
    <col min="11783" max="11783" width="5.625" style="264" customWidth="1"/>
    <col min="11784" max="11784" width="18.5" style="264" customWidth="1"/>
    <col min="11785" max="11785" width="5.125" style="264" customWidth="1"/>
    <col min="11786" max="11786" width="14.375" style="264" customWidth="1"/>
    <col min="11787" max="11791" width="13.625" style="264" customWidth="1"/>
    <col min="11792" max="11810" width="6.625" style="264" customWidth="1"/>
    <col min="11811" max="12028" width="9" style="264"/>
    <col min="12029" max="12029" width="7.75" style="264" customWidth="1"/>
    <col min="12030" max="12030" width="8.25" style="264" customWidth="1"/>
    <col min="12031" max="12031" width="2.875" style="264" customWidth="1"/>
    <col min="12032" max="12032" width="10" style="264" customWidth="1"/>
    <col min="12033" max="12033" width="14.375" style="264" customWidth="1"/>
    <col min="12034" max="12034" width="14.875" style="264" customWidth="1"/>
    <col min="12035" max="12035" width="13.25" style="264" customWidth="1"/>
    <col min="12036" max="12036" width="4.75" style="264" customWidth="1"/>
    <col min="12037" max="12037" width="6.875" style="264" customWidth="1"/>
    <col min="12038" max="12038" width="7.75" style="264" customWidth="1"/>
    <col min="12039" max="12039" width="5.625" style="264" customWidth="1"/>
    <col min="12040" max="12040" width="18.5" style="264" customWidth="1"/>
    <col min="12041" max="12041" width="5.125" style="264" customWidth="1"/>
    <col min="12042" max="12042" width="14.375" style="264" customWidth="1"/>
    <col min="12043" max="12047" width="13.625" style="264" customWidth="1"/>
    <col min="12048" max="12066" width="6.625" style="264" customWidth="1"/>
    <col min="12067" max="12284" width="9" style="264"/>
    <col min="12285" max="12285" width="7.75" style="264" customWidth="1"/>
    <col min="12286" max="12286" width="8.25" style="264" customWidth="1"/>
    <col min="12287" max="12287" width="2.875" style="264" customWidth="1"/>
    <col min="12288" max="12288" width="10" style="264" customWidth="1"/>
    <col min="12289" max="12289" width="14.375" style="264" customWidth="1"/>
    <col min="12290" max="12290" width="14.875" style="264" customWidth="1"/>
    <col min="12291" max="12291" width="13.25" style="264" customWidth="1"/>
    <col min="12292" max="12292" width="4.75" style="264" customWidth="1"/>
    <col min="12293" max="12293" width="6.875" style="264" customWidth="1"/>
    <col min="12294" max="12294" width="7.75" style="264" customWidth="1"/>
    <col min="12295" max="12295" width="5.625" style="264" customWidth="1"/>
    <col min="12296" max="12296" width="18.5" style="264" customWidth="1"/>
    <col min="12297" max="12297" width="5.125" style="264" customWidth="1"/>
    <col min="12298" max="12298" width="14.375" style="264" customWidth="1"/>
    <col min="12299" max="12303" width="13.625" style="264" customWidth="1"/>
    <col min="12304" max="12322" width="6.625" style="264" customWidth="1"/>
    <col min="12323" max="12540" width="9" style="264"/>
    <col min="12541" max="12541" width="7.75" style="264" customWidth="1"/>
    <col min="12542" max="12542" width="8.25" style="264" customWidth="1"/>
    <col min="12543" max="12543" width="2.875" style="264" customWidth="1"/>
    <col min="12544" max="12544" width="10" style="264" customWidth="1"/>
    <col min="12545" max="12545" width="14.375" style="264" customWidth="1"/>
    <col min="12546" max="12546" width="14.875" style="264" customWidth="1"/>
    <col min="12547" max="12547" width="13.25" style="264" customWidth="1"/>
    <col min="12548" max="12548" width="4.75" style="264" customWidth="1"/>
    <col min="12549" max="12549" width="6.875" style="264" customWidth="1"/>
    <col min="12550" max="12550" width="7.75" style="264" customWidth="1"/>
    <col min="12551" max="12551" width="5.625" style="264" customWidth="1"/>
    <col min="12552" max="12552" width="18.5" style="264" customWidth="1"/>
    <col min="12553" max="12553" width="5.125" style="264" customWidth="1"/>
    <col min="12554" max="12554" width="14.375" style="264" customWidth="1"/>
    <col min="12555" max="12559" width="13.625" style="264" customWidth="1"/>
    <col min="12560" max="12578" width="6.625" style="264" customWidth="1"/>
    <col min="12579" max="12796" width="9" style="264"/>
    <col min="12797" max="12797" width="7.75" style="264" customWidth="1"/>
    <col min="12798" max="12798" width="8.25" style="264" customWidth="1"/>
    <col min="12799" max="12799" width="2.875" style="264" customWidth="1"/>
    <col min="12800" max="12800" width="10" style="264" customWidth="1"/>
    <col min="12801" max="12801" width="14.375" style="264" customWidth="1"/>
    <col min="12802" max="12802" width="14.875" style="264" customWidth="1"/>
    <col min="12803" max="12803" width="13.25" style="264" customWidth="1"/>
    <col min="12804" max="12804" width="4.75" style="264" customWidth="1"/>
    <col min="12805" max="12805" width="6.875" style="264" customWidth="1"/>
    <col min="12806" max="12806" width="7.75" style="264" customWidth="1"/>
    <col min="12807" max="12807" width="5.625" style="264" customWidth="1"/>
    <col min="12808" max="12808" width="18.5" style="264" customWidth="1"/>
    <col min="12809" max="12809" width="5.125" style="264" customWidth="1"/>
    <col min="12810" max="12810" width="14.375" style="264" customWidth="1"/>
    <col min="12811" max="12815" width="13.625" style="264" customWidth="1"/>
    <col min="12816" max="12834" width="6.625" style="264" customWidth="1"/>
    <col min="12835" max="13052" width="9" style="264"/>
    <col min="13053" max="13053" width="7.75" style="264" customWidth="1"/>
    <col min="13054" max="13054" width="8.25" style="264" customWidth="1"/>
    <col min="13055" max="13055" width="2.875" style="264" customWidth="1"/>
    <col min="13056" max="13056" width="10" style="264" customWidth="1"/>
    <col min="13057" max="13057" width="14.375" style="264" customWidth="1"/>
    <col min="13058" max="13058" width="14.875" style="264" customWidth="1"/>
    <col min="13059" max="13059" width="13.25" style="264" customWidth="1"/>
    <col min="13060" max="13060" width="4.75" style="264" customWidth="1"/>
    <col min="13061" max="13061" width="6.875" style="264" customWidth="1"/>
    <col min="13062" max="13062" width="7.75" style="264" customWidth="1"/>
    <col min="13063" max="13063" width="5.625" style="264" customWidth="1"/>
    <col min="13064" max="13064" width="18.5" style="264" customWidth="1"/>
    <col min="13065" max="13065" width="5.125" style="264" customWidth="1"/>
    <col min="13066" max="13066" width="14.375" style="264" customWidth="1"/>
    <col min="13067" max="13071" width="13.625" style="264" customWidth="1"/>
    <col min="13072" max="13090" width="6.625" style="264" customWidth="1"/>
    <col min="13091" max="13308" width="9" style="264"/>
    <col min="13309" max="13309" width="7.75" style="264" customWidth="1"/>
    <col min="13310" max="13310" width="8.25" style="264" customWidth="1"/>
    <col min="13311" max="13311" width="2.875" style="264" customWidth="1"/>
    <col min="13312" max="13312" width="10" style="264" customWidth="1"/>
    <col min="13313" max="13313" width="14.375" style="264" customWidth="1"/>
    <col min="13314" max="13314" width="14.875" style="264" customWidth="1"/>
    <col min="13315" max="13315" width="13.25" style="264" customWidth="1"/>
    <col min="13316" max="13316" width="4.75" style="264" customWidth="1"/>
    <col min="13317" max="13317" width="6.875" style="264" customWidth="1"/>
    <col min="13318" max="13318" width="7.75" style="264" customWidth="1"/>
    <col min="13319" max="13319" width="5.625" style="264" customWidth="1"/>
    <col min="13320" max="13320" width="18.5" style="264" customWidth="1"/>
    <col min="13321" max="13321" width="5.125" style="264" customWidth="1"/>
    <col min="13322" max="13322" width="14.375" style="264" customWidth="1"/>
    <col min="13323" max="13327" width="13.625" style="264" customWidth="1"/>
    <col min="13328" max="13346" width="6.625" style="264" customWidth="1"/>
    <col min="13347" max="13564" width="9" style="264"/>
    <col min="13565" max="13565" width="7.75" style="264" customWidth="1"/>
    <col min="13566" max="13566" width="8.25" style="264" customWidth="1"/>
    <col min="13567" max="13567" width="2.875" style="264" customWidth="1"/>
    <col min="13568" max="13568" width="10" style="264" customWidth="1"/>
    <col min="13569" max="13569" width="14.375" style="264" customWidth="1"/>
    <col min="13570" max="13570" width="14.875" style="264" customWidth="1"/>
    <col min="13571" max="13571" width="13.25" style="264" customWidth="1"/>
    <col min="13572" max="13572" width="4.75" style="264" customWidth="1"/>
    <col min="13573" max="13573" width="6.875" style="264" customWidth="1"/>
    <col min="13574" max="13574" width="7.75" style="264" customWidth="1"/>
    <col min="13575" max="13575" width="5.625" style="264" customWidth="1"/>
    <col min="13576" max="13576" width="18.5" style="264" customWidth="1"/>
    <col min="13577" max="13577" width="5.125" style="264" customWidth="1"/>
    <col min="13578" max="13578" width="14.375" style="264" customWidth="1"/>
    <col min="13579" max="13583" width="13.625" style="264" customWidth="1"/>
    <col min="13584" max="13602" width="6.625" style="264" customWidth="1"/>
    <col min="13603" max="13820" width="9" style="264"/>
    <col min="13821" max="13821" width="7.75" style="264" customWidth="1"/>
    <col min="13822" max="13822" width="8.25" style="264" customWidth="1"/>
    <col min="13823" max="13823" width="2.875" style="264" customWidth="1"/>
    <col min="13824" max="13824" width="10" style="264" customWidth="1"/>
    <col min="13825" max="13825" width="14.375" style="264" customWidth="1"/>
    <col min="13826" max="13826" width="14.875" style="264" customWidth="1"/>
    <col min="13827" max="13827" width="13.25" style="264" customWidth="1"/>
    <col min="13828" max="13828" width="4.75" style="264" customWidth="1"/>
    <col min="13829" max="13829" width="6.875" style="264" customWidth="1"/>
    <col min="13830" max="13830" width="7.75" style="264" customWidth="1"/>
    <col min="13831" max="13831" width="5.625" style="264" customWidth="1"/>
    <col min="13832" max="13832" width="18.5" style="264" customWidth="1"/>
    <col min="13833" max="13833" width="5.125" style="264" customWidth="1"/>
    <col min="13834" max="13834" width="14.375" style="264" customWidth="1"/>
    <col min="13835" max="13839" width="13.625" style="264" customWidth="1"/>
    <col min="13840" max="13858" width="6.625" style="264" customWidth="1"/>
    <col min="13859" max="14076" width="9" style="264"/>
    <col min="14077" max="14077" width="7.75" style="264" customWidth="1"/>
    <col min="14078" max="14078" width="8.25" style="264" customWidth="1"/>
    <col min="14079" max="14079" width="2.875" style="264" customWidth="1"/>
    <col min="14080" max="14080" width="10" style="264" customWidth="1"/>
    <col min="14081" max="14081" width="14.375" style="264" customWidth="1"/>
    <col min="14082" max="14082" width="14.875" style="264" customWidth="1"/>
    <col min="14083" max="14083" width="13.25" style="264" customWidth="1"/>
    <col min="14084" max="14084" width="4.75" style="264" customWidth="1"/>
    <col min="14085" max="14085" width="6.875" style="264" customWidth="1"/>
    <col min="14086" max="14086" width="7.75" style="264" customWidth="1"/>
    <col min="14087" max="14087" width="5.625" style="264" customWidth="1"/>
    <col min="14088" max="14088" width="18.5" style="264" customWidth="1"/>
    <col min="14089" max="14089" width="5.125" style="264" customWidth="1"/>
    <col min="14090" max="14090" width="14.375" style="264" customWidth="1"/>
    <col min="14091" max="14095" width="13.625" style="264" customWidth="1"/>
    <col min="14096" max="14114" width="6.625" style="264" customWidth="1"/>
    <col min="14115" max="14332" width="9" style="264"/>
    <col min="14333" max="14333" width="7.75" style="264" customWidth="1"/>
    <col min="14334" max="14334" width="8.25" style="264" customWidth="1"/>
    <col min="14335" max="14335" width="2.875" style="264" customWidth="1"/>
    <col min="14336" max="14336" width="10" style="264" customWidth="1"/>
    <col min="14337" max="14337" width="14.375" style="264" customWidth="1"/>
    <col min="14338" max="14338" width="14.875" style="264" customWidth="1"/>
    <col min="14339" max="14339" width="13.25" style="264" customWidth="1"/>
    <col min="14340" max="14340" width="4.75" style="264" customWidth="1"/>
    <col min="14341" max="14341" width="6.875" style="264" customWidth="1"/>
    <col min="14342" max="14342" width="7.75" style="264" customWidth="1"/>
    <col min="14343" max="14343" width="5.625" style="264" customWidth="1"/>
    <col min="14344" max="14344" width="18.5" style="264" customWidth="1"/>
    <col min="14345" max="14345" width="5.125" style="264" customWidth="1"/>
    <col min="14346" max="14346" width="14.375" style="264" customWidth="1"/>
    <col min="14347" max="14351" width="13.625" style="264" customWidth="1"/>
    <col min="14352" max="14370" width="6.625" style="264" customWidth="1"/>
    <col min="14371" max="14588" width="9" style="264"/>
    <col min="14589" max="14589" width="7.75" style="264" customWidth="1"/>
    <col min="14590" max="14590" width="8.25" style="264" customWidth="1"/>
    <col min="14591" max="14591" width="2.875" style="264" customWidth="1"/>
    <col min="14592" max="14592" width="10" style="264" customWidth="1"/>
    <col min="14593" max="14593" width="14.375" style="264" customWidth="1"/>
    <col min="14594" max="14594" width="14.875" style="264" customWidth="1"/>
    <col min="14595" max="14595" width="13.25" style="264" customWidth="1"/>
    <col min="14596" max="14596" width="4.75" style="264" customWidth="1"/>
    <col min="14597" max="14597" width="6.875" style="264" customWidth="1"/>
    <col min="14598" max="14598" width="7.75" style="264" customWidth="1"/>
    <col min="14599" max="14599" width="5.625" style="264" customWidth="1"/>
    <col min="14600" max="14600" width="18.5" style="264" customWidth="1"/>
    <col min="14601" max="14601" width="5.125" style="264" customWidth="1"/>
    <col min="14602" max="14602" width="14.375" style="264" customWidth="1"/>
    <col min="14603" max="14607" width="13.625" style="264" customWidth="1"/>
    <col min="14608" max="14626" width="6.625" style="264" customWidth="1"/>
    <col min="14627" max="14844" width="9" style="264"/>
    <col min="14845" max="14845" width="7.75" style="264" customWidth="1"/>
    <col min="14846" max="14846" width="8.25" style="264" customWidth="1"/>
    <col min="14847" max="14847" width="2.875" style="264" customWidth="1"/>
    <col min="14848" max="14848" width="10" style="264" customWidth="1"/>
    <col min="14849" max="14849" width="14.375" style="264" customWidth="1"/>
    <col min="14850" max="14850" width="14.875" style="264" customWidth="1"/>
    <col min="14851" max="14851" width="13.25" style="264" customWidth="1"/>
    <col min="14852" max="14852" width="4.75" style="264" customWidth="1"/>
    <col min="14853" max="14853" width="6.875" style="264" customWidth="1"/>
    <col min="14854" max="14854" width="7.75" style="264" customWidth="1"/>
    <col min="14855" max="14855" width="5.625" style="264" customWidth="1"/>
    <col min="14856" max="14856" width="18.5" style="264" customWidth="1"/>
    <col min="14857" max="14857" width="5.125" style="264" customWidth="1"/>
    <col min="14858" max="14858" width="14.375" style="264" customWidth="1"/>
    <col min="14859" max="14863" width="13.625" style="264" customWidth="1"/>
    <col min="14864" max="14882" width="6.625" style="264" customWidth="1"/>
    <col min="14883" max="15100" width="9" style="264"/>
    <col min="15101" max="15101" width="7.75" style="264" customWidth="1"/>
    <col min="15102" max="15102" width="8.25" style="264" customWidth="1"/>
    <col min="15103" max="15103" width="2.875" style="264" customWidth="1"/>
    <col min="15104" max="15104" width="10" style="264" customWidth="1"/>
    <col min="15105" max="15105" width="14.375" style="264" customWidth="1"/>
    <col min="15106" max="15106" width="14.875" style="264" customWidth="1"/>
    <col min="15107" max="15107" width="13.25" style="264" customWidth="1"/>
    <col min="15108" max="15108" width="4.75" style="264" customWidth="1"/>
    <col min="15109" max="15109" width="6.875" style="264" customWidth="1"/>
    <col min="15110" max="15110" width="7.75" style="264" customWidth="1"/>
    <col min="15111" max="15111" width="5.625" style="264" customWidth="1"/>
    <col min="15112" max="15112" width="18.5" style="264" customWidth="1"/>
    <col min="15113" max="15113" width="5.125" style="264" customWidth="1"/>
    <col min="15114" max="15114" width="14.375" style="264" customWidth="1"/>
    <col min="15115" max="15119" width="13.625" style="264" customWidth="1"/>
    <col min="15120" max="15138" width="6.625" style="264" customWidth="1"/>
    <col min="15139" max="15356" width="9" style="264"/>
    <col min="15357" max="15357" width="7.75" style="264" customWidth="1"/>
    <col min="15358" max="15358" width="8.25" style="264" customWidth="1"/>
    <col min="15359" max="15359" width="2.875" style="264" customWidth="1"/>
    <col min="15360" max="15360" width="10" style="264" customWidth="1"/>
    <col min="15361" max="15361" width="14.375" style="264" customWidth="1"/>
    <col min="15362" max="15362" width="14.875" style="264" customWidth="1"/>
    <col min="15363" max="15363" width="13.25" style="264" customWidth="1"/>
    <col min="15364" max="15364" width="4.75" style="264" customWidth="1"/>
    <col min="15365" max="15365" width="6.875" style="264" customWidth="1"/>
    <col min="15366" max="15366" width="7.75" style="264" customWidth="1"/>
    <col min="15367" max="15367" width="5.625" style="264" customWidth="1"/>
    <col min="15368" max="15368" width="18.5" style="264" customWidth="1"/>
    <col min="15369" max="15369" width="5.125" style="264" customWidth="1"/>
    <col min="15370" max="15370" width="14.375" style="264" customWidth="1"/>
    <col min="15371" max="15375" width="13.625" style="264" customWidth="1"/>
    <col min="15376" max="15394" width="6.625" style="264" customWidth="1"/>
    <col min="15395" max="15612" width="9" style="264"/>
    <col min="15613" max="15613" width="7.75" style="264" customWidth="1"/>
    <col min="15614" max="15614" width="8.25" style="264" customWidth="1"/>
    <col min="15615" max="15615" width="2.875" style="264" customWidth="1"/>
    <col min="15616" max="15616" width="10" style="264" customWidth="1"/>
    <col min="15617" max="15617" width="14.375" style="264" customWidth="1"/>
    <col min="15618" max="15618" width="14.875" style="264" customWidth="1"/>
    <col min="15619" max="15619" width="13.25" style="264" customWidth="1"/>
    <col min="15620" max="15620" width="4.75" style="264" customWidth="1"/>
    <col min="15621" max="15621" width="6.875" style="264" customWidth="1"/>
    <col min="15622" max="15622" width="7.75" style="264" customWidth="1"/>
    <col min="15623" max="15623" width="5.625" style="264" customWidth="1"/>
    <col min="15624" max="15624" width="18.5" style="264" customWidth="1"/>
    <col min="15625" max="15625" width="5.125" style="264" customWidth="1"/>
    <col min="15626" max="15626" width="14.375" style="264" customWidth="1"/>
    <col min="15627" max="15631" width="13.625" style="264" customWidth="1"/>
    <col min="15632" max="15650" width="6.625" style="264" customWidth="1"/>
    <col min="15651" max="15868" width="9" style="264"/>
    <col min="15869" max="15869" width="7.75" style="264" customWidth="1"/>
    <col min="15870" max="15870" width="8.25" style="264" customWidth="1"/>
    <col min="15871" max="15871" width="2.875" style="264" customWidth="1"/>
    <col min="15872" max="15872" width="10" style="264" customWidth="1"/>
    <col min="15873" max="15873" width="14.375" style="264" customWidth="1"/>
    <col min="15874" max="15874" width="14.875" style="264" customWidth="1"/>
    <col min="15875" max="15875" width="13.25" style="264" customWidth="1"/>
    <col min="15876" max="15876" width="4.75" style="264" customWidth="1"/>
    <col min="15877" max="15877" width="6.875" style="264" customWidth="1"/>
    <col min="15878" max="15878" width="7.75" style="264" customWidth="1"/>
    <col min="15879" max="15879" width="5.625" style="264" customWidth="1"/>
    <col min="15880" max="15880" width="18.5" style="264" customWidth="1"/>
    <col min="15881" max="15881" width="5.125" style="264" customWidth="1"/>
    <col min="15882" max="15882" width="14.375" style="264" customWidth="1"/>
    <col min="15883" max="15887" width="13.625" style="264" customWidth="1"/>
    <col min="15888" max="15906" width="6.625" style="264" customWidth="1"/>
    <col min="15907" max="16124" width="9" style="264"/>
    <col min="16125" max="16125" width="7.75" style="264" customWidth="1"/>
    <col min="16126" max="16126" width="8.25" style="264" customWidth="1"/>
    <col min="16127" max="16127" width="2.875" style="264" customWidth="1"/>
    <col min="16128" max="16128" width="10" style="264" customWidth="1"/>
    <col min="16129" max="16129" width="14.375" style="264" customWidth="1"/>
    <col min="16130" max="16130" width="14.875" style="264" customWidth="1"/>
    <col min="16131" max="16131" width="13.25" style="264" customWidth="1"/>
    <col min="16132" max="16132" width="4.75" style="264" customWidth="1"/>
    <col min="16133" max="16133" width="6.875" style="264" customWidth="1"/>
    <col min="16134" max="16134" width="7.75" style="264" customWidth="1"/>
    <col min="16135" max="16135" width="5.625" style="264" customWidth="1"/>
    <col min="16136" max="16136" width="18.5" style="264" customWidth="1"/>
    <col min="16137" max="16137" width="5.125" style="264" customWidth="1"/>
    <col min="16138" max="16138" width="14.375" style="264" customWidth="1"/>
    <col min="16139" max="16143" width="13.625" style="264" customWidth="1"/>
    <col min="16144" max="16162" width="6.625" style="264" customWidth="1"/>
    <col min="16163" max="16380" width="9" style="264"/>
    <col min="16381" max="16384" width="8.625" style="264" customWidth="1"/>
  </cols>
  <sheetData>
    <row r="1" spans="1:31" s="262" customFormat="1" ht="21.95" customHeight="1">
      <c r="A1" s="616"/>
      <c r="B1" s="616"/>
      <c r="C1" s="326"/>
      <c r="L1" s="327"/>
      <c r="N1" s="328"/>
      <c r="O1" s="329"/>
      <c r="P1" s="329"/>
      <c r="Q1" s="329"/>
      <c r="R1" s="329"/>
      <c r="S1" s="329"/>
      <c r="T1" s="329"/>
      <c r="U1" s="329"/>
      <c r="V1" s="329"/>
      <c r="W1" s="329"/>
      <c r="X1" s="329"/>
      <c r="Y1" s="329"/>
      <c r="Z1" s="329"/>
      <c r="AA1" s="329"/>
      <c r="AB1" s="329"/>
      <c r="AC1" s="329"/>
      <c r="AD1" s="329"/>
      <c r="AE1" s="329"/>
    </row>
    <row r="2" spans="1:31" s="262" customFormat="1" ht="27.95" customHeight="1">
      <c r="A2" s="617" t="s">
        <v>744</v>
      </c>
      <c r="B2" s="617"/>
      <c r="C2" s="617"/>
      <c r="D2" s="617"/>
      <c r="E2" s="617"/>
      <c r="F2" s="617"/>
      <c r="G2" s="617"/>
      <c r="H2" s="617"/>
      <c r="I2" s="617"/>
      <c r="J2" s="617"/>
      <c r="K2" s="617"/>
      <c r="L2" s="327"/>
      <c r="N2" s="328"/>
      <c r="O2" s="329"/>
      <c r="P2" s="329"/>
      <c r="Q2" s="329"/>
      <c r="R2" s="329"/>
      <c r="S2" s="329"/>
      <c r="T2" s="329"/>
      <c r="U2" s="329"/>
      <c r="V2" s="329"/>
      <c r="W2" s="329"/>
      <c r="X2" s="329"/>
      <c r="Y2" s="329"/>
      <c r="Z2" s="329"/>
      <c r="AA2" s="329"/>
      <c r="AB2" s="329"/>
      <c r="AC2" s="329"/>
      <c r="AD2" s="329"/>
      <c r="AE2" s="329"/>
    </row>
    <row r="3" spans="1:31" s="262" customFormat="1" ht="24.95" customHeight="1">
      <c r="A3" s="618" t="str">
        <f>내역서!A3:D3</f>
        <v>○ 공  사  명 :</v>
      </c>
      <c r="B3" s="618"/>
      <c r="C3" s="619" t="str">
        <f>청구서!G3</f>
        <v>고색2지구 공원 및 공공공지 조성공사</v>
      </c>
      <c r="D3" s="619"/>
      <c r="E3" s="619"/>
      <c r="F3" s="619"/>
      <c r="G3" s="619"/>
      <c r="H3" s="619"/>
      <c r="I3" s="619"/>
      <c r="J3" s="619"/>
      <c r="L3" s="327"/>
      <c r="N3" s="328"/>
      <c r="O3" s="329"/>
      <c r="P3" s="329"/>
      <c r="Q3" s="329"/>
      <c r="R3" s="329"/>
      <c r="S3" s="329"/>
      <c r="T3" s="329"/>
      <c r="U3" s="329"/>
      <c r="V3" s="329"/>
      <c r="W3" s="329"/>
      <c r="X3" s="329"/>
      <c r="Y3" s="329"/>
      <c r="Z3" s="329"/>
      <c r="AA3" s="329"/>
      <c r="AB3" s="329"/>
      <c r="AC3" s="329"/>
      <c r="AD3" s="329"/>
      <c r="AE3" s="329"/>
    </row>
    <row r="4" spans="1:31" s="262" customFormat="1" ht="24.95" customHeight="1">
      <c r="A4" s="618" t="s">
        <v>685</v>
      </c>
      <c r="B4" s="618"/>
      <c r="C4" s="619" t="str">
        <f xml:space="preserve"> "일금 " &amp; NUMBERSTRING(I4, 1) &amp; "원정"</f>
        <v>일금 칠억이천칠백육십칠만구천이백팔십사원정</v>
      </c>
      <c r="D4" s="619"/>
      <c r="E4" s="619"/>
      <c r="F4" s="619"/>
      <c r="G4" s="619"/>
      <c r="H4" s="312" t="s">
        <v>645</v>
      </c>
      <c r="I4" s="620">
        <f>청구서!L8</f>
        <v>727679284.20000005</v>
      </c>
      <c r="J4" s="620"/>
      <c r="K4" s="293" t="s">
        <v>646</v>
      </c>
      <c r="L4" s="327"/>
      <c r="M4" s="327"/>
      <c r="N4" s="328"/>
      <c r="O4" s="329"/>
      <c r="P4" s="329"/>
      <c r="Q4" s="329"/>
      <c r="R4" s="329"/>
      <c r="S4" s="329"/>
      <c r="T4" s="329"/>
      <c r="U4" s="329"/>
      <c r="V4" s="329"/>
      <c r="W4" s="329"/>
      <c r="X4" s="329"/>
      <c r="Y4" s="329"/>
      <c r="Z4" s="329"/>
      <c r="AA4" s="329"/>
      <c r="AB4" s="329"/>
      <c r="AC4" s="329"/>
      <c r="AD4" s="329"/>
      <c r="AE4" s="329"/>
    </row>
    <row r="5" spans="1:31" s="262" customFormat="1" ht="24.95" customHeight="1">
      <c r="A5" s="612" t="s">
        <v>686</v>
      </c>
      <c r="B5" s="612"/>
      <c r="C5" s="613" t="str">
        <f xml:space="preserve"> "일금 " &amp; NUMBERSTRING(I5, 1) &amp; "원정"</f>
        <v>일금 영원정</v>
      </c>
      <c r="D5" s="613"/>
      <c r="E5" s="613"/>
      <c r="F5" s="613"/>
      <c r="G5" s="613"/>
      <c r="H5" s="312" t="s">
        <v>645</v>
      </c>
      <c r="I5" s="614">
        <f>H18</f>
        <v>0</v>
      </c>
      <c r="J5" s="614"/>
      <c r="K5" s="293" t="s">
        <v>646</v>
      </c>
      <c r="L5" s="327"/>
      <c r="M5" s="327"/>
      <c r="N5" s="328"/>
      <c r="O5" s="329"/>
      <c r="P5" s="329"/>
      <c r="Q5" s="329"/>
      <c r="R5" s="329"/>
      <c r="S5" s="329"/>
      <c r="T5" s="329"/>
      <c r="U5" s="329"/>
      <c r="V5" s="329"/>
      <c r="W5" s="329"/>
      <c r="X5" s="329"/>
      <c r="Y5" s="329"/>
      <c r="Z5" s="329"/>
      <c r="AA5" s="329"/>
      <c r="AB5" s="329"/>
      <c r="AC5" s="329"/>
      <c r="AD5" s="329"/>
      <c r="AE5" s="329"/>
    </row>
    <row r="6" spans="1:31" s="262" customFormat="1" ht="38.25" customHeight="1">
      <c r="A6" s="330" t="s">
        <v>687</v>
      </c>
      <c r="B6" s="598" t="s">
        <v>688</v>
      </c>
      <c r="C6" s="599"/>
      <c r="D6" s="330" t="s">
        <v>689</v>
      </c>
      <c r="E6" s="330" t="s">
        <v>690</v>
      </c>
      <c r="F6" s="330" t="s">
        <v>691</v>
      </c>
      <c r="G6" s="330" t="s">
        <v>692</v>
      </c>
      <c r="H6" s="598" t="s">
        <v>693</v>
      </c>
      <c r="I6" s="599"/>
      <c r="J6" s="598" t="s">
        <v>694</v>
      </c>
      <c r="K6" s="615"/>
      <c r="L6" s="327"/>
      <c r="M6" s="327"/>
      <c r="N6" s="328"/>
      <c r="O6" s="329"/>
      <c r="P6" s="331"/>
      <c r="Q6" s="329"/>
      <c r="R6" s="329"/>
      <c r="S6" s="329"/>
      <c r="T6" s="329"/>
      <c r="U6" s="329"/>
      <c r="V6" s="329"/>
      <c r="W6" s="329"/>
      <c r="X6" s="329"/>
      <c r="Y6" s="329"/>
      <c r="Z6" s="329"/>
      <c r="AA6" s="329"/>
      <c r="AB6" s="329"/>
      <c r="AC6" s="329"/>
      <c r="AD6" s="329"/>
      <c r="AE6" s="329"/>
    </row>
    <row r="7" spans="1:31" s="262" customFormat="1" ht="54.95" customHeight="1">
      <c r="A7" s="332" t="s">
        <v>695</v>
      </c>
      <c r="B7" s="598" t="s">
        <v>696</v>
      </c>
      <c r="C7" s="599"/>
      <c r="D7" s="332" t="str">
        <f>청구서!D24</f>
        <v>부강종합건설㈜</v>
      </c>
      <c r="E7" s="333" t="s">
        <v>697</v>
      </c>
      <c r="F7" s="334">
        <f>L7-L11</f>
        <v>727679284.20000005</v>
      </c>
      <c r="G7" s="335"/>
      <c r="H7" s="600">
        <f>내역서!D30</f>
        <v>0</v>
      </c>
      <c r="I7" s="601"/>
      <c r="J7" s="602">
        <f t="shared" ref="J7:J18" si="0">G7+H7</f>
        <v>0</v>
      </c>
      <c r="K7" s="603"/>
      <c r="L7" s="327">
        <f>청구서!L8</f>
        <v>727679284.20000005</v>
      </c>
      <c r="M7" s="327"/>
      <c r="N7" s="328"/>
      <c r="O7" s="329"/>
      <c r="P7" s="329"/>
      <c r="Q7" s="329"/>
      <c r="R7" s="329"/>
      <c r="S7" s="329"/>
      <c r="T7" s="329"/>
      <c r="U7" s="329"/>
      <c r="V7" s="329"/>
      <c r="W7" s="329"/>
      <c r="X7" s="329"/>
      <c r="Y7" s="329"/>
      <c r="Z7" s="329"/>
      <c r="AA7" s="329"/>
      <c r="AB7" s="329"/>
      <c r="AC7" s="329"/>
      <c r="AD7" s="329"/>
      <c r="AE7" s="329"/>
    </row>
    <row r="8" spans="1:31" s="262" customFormat="1" ht="54.95" customHeight="1">
      <c r="A8" s="332"/>
      <c r="B8" s="598"/>
      <c r="C8" s="599"/>
      <c r="D8" s="332"/>
      <c r="E8" s="332"/>
      <c r="F8" s="335"/>
      <c r="G8" s="335"/>
      <c r="H8" s="600"/>
      <c r="I8" s="601"/>
      <c r="J8" s="602">
        <f t="shared" si="0"/>
        <v>0</v>
      </c>
      <c r="K8" s="603"/>
      <c r="L8" s="327">
        <v>0</v>
      </c>
      <c r="M8" s="327"/>
      <c r="N8" s="328"/>
      <c r="O8" s="329"/>
      <c r="P8" s="329"/>
      <c r="Q8" s="329"/>
      <c r="R8" s="329"/>
      <c r="S8" s="329"/>
      <c r="T8" s="329"/>
      <c r="U8" s="329"/>
      <c r="V8" s="329"/>
      <c r="W8" s="329"/>
      <c r="X8" s="329"/>
      <c r="Y8" s="329"/>
      <c r="Z8" s="329"/>
      <c r="AA8" s="329"/>
      <c r="AB8" s="329"/>
      <c r="AC8" s="329"/>
      <c r="AD8" s="329"/>
      <c r="AE8" s="329"/>
    </row>
    <row r="9" spans="1:31" s="262" customFormat="1" ht="54.95" customHeight="1">
      <c r="A9" s="332"/>
      <c r="B9" s="598"/>
      <c r="C9" s="599"/>
      <c r="D9" s="332"/>
      <c r="E9" s="332"/>
      <c r="F9" s="335"/>
      <c r="G9" s="335"/>
      <c r="H9" s="600"/>
      <c r="I9" s="601"/>
      <c r="J9" s="602">
        <f t="shared" si="0"/>
        <v>0</v>
      </c>
      <c r="K9" s="603"/>
      <c r="L9" s="327">
        <v>0</v>
      </c>
      <c r="M9" s="327"/>
      <c r="N9" s="328"/>
      <c r="O9" s="329"/>
      <c r="P9" s="329"/>
      <c r="Q9" s="329"/>
      <c r="R9" s="329"/>
      <c r="S9" s="329"/>
      <c r="T9" s="329"/>
      <c r="U9" s="329"/>
      <c r="V9" s="329"/>
      <c r="W9" s="329"/>
      <c r="X9" s="329"/>
      <c r="Y9" s="329"/>
      <c r="Z9" s="329"/>
      <c r="AA9" s="329"/>
      <c r="AB9" s="329"/>
      <c r="AC9" s="329"/>
      <c r="AD9" s="329"/>
      <c r="AE9" s="329"/>
    </row>
    <row r="10" spans="1:31" s="262" customFormat="1" ht="30" customHeight="1">
      <c r="A10" s="598" t="s">
        <v>698</v>
      </c>
      <c r="B10" s="604"/>
      <c r="C10" s="604"/>
      <c r="D10" s="604"/>
      <c r="E10" s="599"/>
      <c r="F10" s="336">
        <f>SUM(F7:F9)</f>
        <v>727679284.20000005</v>
      </c>
      <c r="G10" s="336">
        <f>SUM(G7:G9)</f>
        <v>0</v>
      </c>
      <c r="H10" s="600">
        <f>SUM(H7:I9)</f>
        <v>0</v>
      </c>
      <c r="I10" s="601"/>
      <c r="J10" s="602">
        <f t="shared" si="0"/>
        <v>0</v>
      </c>
      <c r="K10" s="603"/>
      <c r="L10" s="327"/>
      <c r="M10" s="327"/>
      <c r="N10" s="328"/>
      <c r="O10" s="329"/>
      <c r="P10" s="329"/>
      <c r="Q10" s="329"/>
      <c r="R10" s="329"/>
      <c r="S10" s="329"/>
      <c r="T10" s="329"/>
      <c r="U10" s="329"/>
      <c r="V10" s="329"/>
      <c r="W10" s="329"/>
      <c r="X10" s="329"/>
      <c r="Y10" s="329"/>
      <c r="Z10" s="329"/>
      <c r="AA10" s="329"/>
      <c r="AB10" s="329"/>
      <c r="AC10" s="329"/>
      <c r="AD10" s="329"/>
      <c r="AE10" s="329"/>
    </row>
    <row r="11" spans="1:31" s="262" customFormat="1" ht="54.95" customHeight="1">
      <c r="A11" s="605" t="s">
        <v>699</v>
      </c>
      <c r="B11" s="608"/>
      <c r="C11" s="609"/>
      <c r="D11" s="337"/>
      <c r="E11" s="338"/>
      <c r="F11" s="339"/>
      <c r="G11" s="336"/>
      <c r="H11" s="600"/>
      <c r="I11" s="601"/>
      <c r="J11" s="602">
        <f t="shared" si="0"/>
        <v>0</v>
      </c>
      <c r="K11" s="603"/>
      <c r="L11" s="327"/>
      <c r="M11" s="327"/>
      <c r="N11" s="328"/>
      <c r="O11" s="329"/>
      <c r="P11" s="329"/>
      <c r="Q11" s="329"/>
      <c r="R11" s="329"/>
      <c r="S11" s="329"/>
      <c r="T11" s="329"/>
      <c r="U11" s="329"/>
      <c r="V11" s="329"/>
      <c r="W11" s="329"/>
      <c r="X11" s="329"/>
      <c r="Y11" s="329"/>
      <c r="Z11" s="329"/>
      <c r="AA11" s="329"/>
      <c r="AB11" s="329"/>
      <c r="AC11" s="329"/>
      <c r="AD11" s="329"/>
      <c r="AE11" s="329"/>
    </row>
    <row r="12" spans="1:31" s="262" customFormat="1" ht="54.95" customHeight="1">
      <c r="A12" s="606"/>
      <c r="B12" s="598"/>
      <c r="C12" s="599"/>
      <c r="D12" s="337"/>
      <c r="E12" s="337"/>
      <c r="F12" s="339"/>
      <c r="G12" s="336"/>
      <c r="H12" s="600"/>
      <c r="I12" s="601"/>
      <c r="J12" s="602">
        <f t="shared" si="0"/>
        <v>0</v>
      </c>
      <c r="K12" s="603"/>
      <c r="L12" s="327">
        <v>0</v>
      </c>
      <c r="N12" s="328"/>
      <c r="O12" s="329"/>
      <c r="P12" s="329"/>
      <c r="Q12" s="329"/>
      <c r="R12" s="329"/>
      <c r="S12" s="329"/>
      <c r="T12" s="329"/>
      <c r="U12" s="329"/>
      <c r="V12" s="329"/>
      <c r="W12" s="329"/>
      <c r="X12" s="329"/>
      <c r="Y12" s="329"/>
      <c r="Z12" s="329"/>
      <c r="AA12" s="329"/>
      <c r="AB12" s="329"/>
      <c r="AC12" s="329"/>
      <c r="AD12" s="329"/>
      <c r="AE12" s="329"/>
    </row>
    <row r="13" spans="1:31" s="262" customFormat="1" ht="54.95" customHeight="1">
      <c r="A13" s="606"/>
      <c r="B13" s="610"/>
      <c r="C13" s="611"/>
      <c r="D13" s="337"/>
      <c r="E13" s="337"/>
      <c r="F13" s="336"/>
      <c r="G13" s="336"/>
      <c r="H13" s="600"/>
      <c r="I13" s="601"/>
      <c r="J13" s="602">
        <f t="shared" si="0"/>
        <v>0</v>
      </c>
      <c r="K13" s="603"/>
      <c r="L13" s="327">
        <v>0</v>
      </c>
      <c r="N13" s="328"/>
      <c r="O13" s="329"/>
      <c r="P13" s="329"/>
      <c r="Q13" s="329"/>
      <c r="R13" s="329"/>
      <c r="S13" s="329"/>
      <c r="T13" s="329"/>
      <c r="U13" s="329"/>
      <c r="V13" s="329"/>
      <c r="W13" s="329"/>
      <c r="X13" s="329"/>
      <c r="Y13" s="329"/>
      <c r="Z13" s="329"/>
      <c r="AA13" s="329"/>
      <c r="AB13" s="329"/>
      <c r="AC13" s="329"/>
      <c r="AD13" s="329"/>
      <c r="AE13" s="329"/>
    </row>
    <row r="14" spans="1:31" s="262" customFormat="1" ht="54.95" customHeight="1">
      <c r="A14" s="606"/>
      <c r="B14" s="598"/>
      <c r="C14" s="599"/>
      <c r="D14" s="337"/>
      <c r="E14" s="333"/>
      <c r="F14" s="336"/>
      <c r="G14" s="336"/>
      <c r="H14" s="600"/>
      <c r="I14" s="601"/>
      <c r="J14" s="602">
        <f t="shared" si="0"/>
        <v>0</v>
      </c>
      <c r="K14" s="603"/>
      <c r="L14" s="327">
        <f>F14-G14</f>
        <v>0</v>
      </c>
      <c r="N14" s="328"/>
      <c r="O14" s="329"/>
      <c r="P14" s="329"/>
      <c r="Q14" s="329"/>
      <c r="R14" s="329"/>
      <c r="S14" s="329"/>
      <c r="T14" s="329"/>
      <c r="U14" s="329"/>
      <c r="V14" s="329"/>
      <c r="W14" s="329"/>
      <c r="X14" s="329"/>
      <c r="Y14" s="329"/>
      <c r="Z14" s="329"/>
      <c r="AA14" s="329"/>
      <c r="AB14" s="329"/>
      <c r="AC14" s="329"/>
      <c r="AD14" s="329"/>
      <c r="AE14" s="329"/>
    </row>
    <row r="15" spans="1:31" s="262" customFormat="1" ht="54.95" customHeight="1">
      <c r="A15" s="606"/>
      <c r="B15" s="598"/>
      <c r="C15" s="599"/>
      <c r="D15" s="337"/>
      <c r="E15" s="337"/>
      <c r="F15" s="336"/>
      <c r="G15" s="336"/>
      <c r="H15" s="600"/>
      <c r="I15" s="601"/>
      <c r="J15" s="602">
        <f t="shared" si="0"/>
        <v>0</v>
      </c>
      <c r="K15" s="603"/>
      <c r="L15" s="327">
        <v>0</v>
      </c>
      <c r="N15" s="328"/>
      <c r="O15" s="329"/>
      <c r="P15" s="329"/>
      <c r="Q15" s="329"/>
      <c r="R15" s="329"/>
      <c r="S15" s="329"/>
      <c r="T15" s="329"/>
      <c r="U15" s="329"/>
      <c r="V15" s="329"/>
      <c r="W15" s="329"/>
      <c r="X15" s="329"/>
      <c r="Y15" s="329"/>
      <c r="Z15" s="329"/>
      <c r="AA15" s="329"/>
      <c r="AB15" s="329"/>
      <c r="AC15" s="329"/>
      <c r="AD15" s="329"/>
      <c r="AE15" s="329"/>
    </row>
    <row r="16" spans="1:31" s="262" customFormat="1" ht="54.95" customHeight="1">
      <c r="A16" s="607"/>
      <c r="B16" s="598"/>
      <c r="C16" s="599"/>
      <c r="D16" s="337"/>
      <c r="E16" s="337"/>
      <c r="F16" s="336"/>
      <c r="G16" s="336">
        <v>0</v>
      </c>
      <c r="H16" s="600"/>
      <c r="I16" s="601"/>
      <c r="J16" s="602">
        <f t="shared" si="0"/>
        <v>0</v>
      </c>
      <c r="K16" s="603"/>
      <c r="L16" s="327">
        <v>0</v>
      </c>
      <c r="N16" s="328"/>
      <c r="O16" s="329"/>
      <c r="P16" s="329"/>
      <c r="Q16" s="329"/>
      <c r="R16" s="329"/>
      <c r="S16" s="329"/>
      <c r="T16" s="329"/>
      <c r="U16" s="329"/>
      <c r="V16" s="329"/>
      <c r="W16" s="329"/>
      <c r="X16" s="329"/>
      <c r="Y16" s="329"/>
      <c r="Z16" s="329"/>
      <c r="AA16" s="329"/>
      <c r="AB16" s="329"/>
      <c r="AC16" s="329"/>
      <c r="AD16" s="329"/>
      <c r="AE16" s="329"/>
    </row>
    <row r="17" spans="1:31" s="262" customFormat="1" ht="30" customHeight="1">
      <c r="A17" s="598" t="s">
        <v>700</v>
      </c>
      <c r="B17" s="604"/>
      <c r="C17" s="604"/>
      <c r="D17" s="604"/>
      <c r="E17" s="599"/>
      <c r="F17" s="336">
        <f>SUM(F11:F16)</f>
        <v>0</v>
      </c>
      <c r="G17" s="336">
        <f>SUM(G14:G16)</f>
        <v>0</v>
      </c>
      <c r="H17" s="600">
        <f>SUM(H11:I16)</f>
        <v>0</v>
      </c>
      <c r="I17" s="601"/>
      <c r="J17" s="602">
        <f t="shared" si="0"/>
        <v>0</v>
      </c>
      <c r="K17" s="603"/>
      <c r="L17" s="327">
        <v>0</v>
      </c>
      <c r="N17" s="328"/>
      <c r="O17" s="329"/>
      <c r="P17" s="329"/>
      <c r="Q17" s="329"/>
      <c r="R17" s="329"/>
      <c r="S17" s="329"/>
      <c r="T17" s="329"/>
      <c r="U17" s="329"/>
      <c r="V17" s="329"/>
      <c r="W17" s="329"/>
      <c r="X17" s="329"/>
      <c r="Y17" s="329"/>
      <c r="Z17" s="329"/>
      <c r="AA17" s="329"/>
      <c r="AB17" s="329"/>
      <c r="AC17" s="329"/>
      <c r="AD17" s="329"/>
      <c r="AE17" s="329"/>
    </row>
    <row r="18" spans="1:31" s="262" customFormat="1" ht="30" customHeight="1">
      <c r="A18" s="593" t="s">
        <v>701</v>
      </c>
      <c r="B18" s="594"/>
      <c r="C18" s="594"/>
      <c r="D18" s="594"/>
      <c r="E18" s="595"/>
      <c r="F18" s="340">
        <f>F10+F17</f>
        <v>727679284.20000005</v>
      </c>
      <c r="G18" s="340">
        <f>G10+G17</f>
        <v>0</v>
      </c>
      <c r="H18" s="596">
        <f>H10+H17</f>
        <v>0</v>
      </c>
      <c r="I18" s="597"/>
      <c r="J18" s="596">
        <f t="shared" si="0"/>
        <v>0</v>
      </c>
      <c r="K18" s="597"/>
      <c r="L18" s="327">
        <v>20570000</v>
      </c>
      <c r="N18" s="328"/>
      <c r="O18" s="329"/>
      <c r="P18" s="329"/>
      <c r="Q18" s="329"/>
      <c r="R18" s="329"/>
      <c r="S18" s="329"/>
      <c r="T18" s="329"/>
      <c r="U18" s="329"/>
      <c r="V18" s="329"/>
      <c r="W18" s="329"/>
      <c r="X18" s="329"/>
      <c r="Y18" s="329"/>
      <c r="Z18" s="329"/>
      <c r="AA18" s="329"/>
      <c r="AB18" s="329"/>
      <c r="AC18" s="329"/>
      <c r="AD18" s="329"/>
      <c r="AE18" s="329"/>
    </row>
    <row r="19" spans="1:31" s="262" customFormat="1" ht="39.950000000000003" customHeight="1">
      <c r="F19" s="341"/>
      <c r="G19" s="263"/>
      <c r="L19" s="327"/>
      <c r="N19" s="328"/>
      <c r="O19" s="329"/>
      <c r="P19" s="329"/>
      <c r="Q19" s="329"/>
      <c r="R19" s="329"/>
      <c r="S19" s="329"/>
      <c r="T19" s="329"/>
      <c r="U19" s="329"/>
      <c r="V19" s="329"/>
      <c r="W19" s="329"/>
      <c r="X19" s="329"/>
      <c r="Y19" s="329"/>
      <c r="Z19" s="329"/>
      <c r="AA19" s="329"/>
      <c r="AB19" s="329"/>
      <c r="AC19" s="329"/>
      <c r="AD19" s="329"/>
      <c r="AE19" s="329"/>
    </row>
    <row r="20" spans="1:31" s="262" customFormat="1" ht="39.950000000000003" customHeight="1">
      <c r="G20" s="342"/>
      <c r="L20" s="327"/>
      <c r="N20" s="328"/>
      <c r="O20" s="329"/>
      <c r="P20" s="329"/>
      <c r="Q20" s="329"/>
      <c r="R20" s="329"/>
      <c r="S20" s="329"/>
      <c r="T20" s="329"/>
      <c r="U20" s="329"/>
      <c r="V20" s="329"/>
      <c r="W20" s="329"/>
      <c r="X20" s="329"/>
      <c r="Y20" s="329"/>
      <c r="Z20" s="329"/>
      <c r="AA20" s="329"/>
      <c r="AB20" s="329"/>
      <c r="AC20" s="329"/>
      <c r="AD20" s="329"/>
      <c r="AE20" s="329"/>
    </row>
    <row r="21" spans="1:31" s="262" customFormat="1" ht="39.950000000000003" customHeight="1">
      <c r="G21" s="263"/>
      <c r="L21" s="327"/>
      <c r="N21" s="328"/>
      <c r="O21" s="329"/>
      <c r="P21" s="329"/>
      <c r="Q21" s="329"/>
      <c r="R21" s="329"/>
      <c r="S21" s="329"/>
      <c r="T21" s="329"/>
      <c r="U21" s="329"/>
      <c r="V21" s="329"/>
      <c r="W21" s="329"/>
      <c r="X21" s="329"/>
      <c r="Y21" s="329"/>
      <c r="Z21" s="329"/>
      <c r="AA21" s="329"/>
      <c r="AB21" s="329"/>
      <c r="AC21" s="329"/>
      <c r="AD21" s="329"/>
      <c r="AE21" s="329"/>
    </row>
    <row r="22" spans="1:31" s="262" customFormat="1" ht="39.950000000000003" customHeight="1">
      <c r="G22" s="342"/>
      <c r="L22" s="327"/>
      <c r="N22" s="328"/>
      <c r="O22" s="329"/>
      <c r="P22" s="329"/>
      <c r="Q22" s="329"/>
      <c r="R22" s="329"/>
      <c r="S22" s="329"/>
      <c r="T22" s="329"/>
      <c r="U22" s="329"/>
      <c r="V22" s="329"/>
      <c r="W22" s="329"/>
      <c r="X22" s="329"/>
      <c r="Y22" s="329"/>
      <c r="Z22" s="329"/>
      <c r="AA22" s="329"/>
      <c r="AB22" s="329"/>
      <c r="AC22" s="329"/>
      <c r="AD22" s="329"/>
      <c r="AE22" s="329"/>
    </row>
    <row r="23" spans="1:31" s="262" customFormat="1" ht="30" customHeight="1">
      <c r="G23" s="263"/>
      <c r="L23" s="327"/>
      <c r="N23" s="328"/>
      <c r="O23" s="329"/>
      <c r="P23" s="329"/>
      <c r="Q23" s="329"/>
      <c r="R23" s="329"/>
      <c r="S23" s="329"/>
      <c r="T23" s="329"/>
      <c r="U23" s="329"/>
      <c r="V23" s="329"/>
      <c r="W23" s="329"/>
      <c r="X23" s="329"/>
      <c r="Y23" s="329"/>
      <c r="Z23" s="329"/>
      <c r="AA23" s="329"/>
      <c r="AB23" s="329"/>
      <c r="AC23" s="329"/>
      <c r="AD23" s="329"/>
      <c r="AE23" s="329"/>
    </row>
    <row r="24" spans="1:31" s="262" customFormat="1" ht="30" customHeight="1">
      <c r="G24" s="263"/>
      <c r="L24" s="327"/>
      <c r="N24" s="328"/>
      <c r="O24" s="329"/>
      <c r="P24" s="329"/>
      <c r="Q24" s="329"/>
      <c r="R24" s="329"/>
      <c r="S24" s="329"/>
      <c r="T24" s="329"/>
      <c r="U24" s="329"/>
      <c r="V24" s="329"/>
      <c r="W24" s="329"/>
      <c r="X24" s="329"/>
      <c r="Y24" s="329"/>
      <c r="Z24" s="329"/>
      <c r="AA24" s="329"/>
      <c r="AB24" s="329"/>
      <c r="AC24" s="329"/>
      <c r="AD24" s="329"/>
      <c r="AE24" s="329"/>
    </row>
    <row r="25" spans="1:31" s="262" customFormat="1" ht="30" customHeight="1">
      <c r="G25" s="263"/>
      <c r="L25" s="327"/>
      <c r="N25" s="328"/>
      <c r="O25" s="329"/>
      <c r="P25" s="329"/>
      <c r="Q25" s="329"/>
      <c r="R25" s="329"/>
      <c r="S25" s="329"/>
      <c r="T25" s="329"/>
      <c r="U25" s="329"/>
      <c r="V25" s="329"/>
      <c r="W25" s="329"/>
      <c r="X25" s="329"/>
      <c r="Y25" s="329"/>
      <c r="Z25" s="329"/>
      <c r="AA25" s="329"/>
      <c r="AB25" s="329"/>
      <c r="AC25" s="329"/>
      <c r="AD25" s="329"/>
      <c r="AE25" s="329"/>
    </row>
    <row r="26" spans="1:31" s="262" customFormat="1" ht="30" customHeight="1">
      <c r="G26" s="263"/>
      <c r="L26" s="327"/>
      <c r="N26" s="328"/>
      <c r="O26" s="329"/>
      <c r="P26" s="329"/>
      <c r="Q26" s="329"/>
      <c r="R26" s="329"/>
      <c r="S26" s="329"/>
      <c r="T26" s="329"/>
      <c r="U26" s="329"/>
      <c r="V26" s="329"/>
      <c r="W26" s="329"/>
      <c r="X26" s="329"/>
      <c r="Y26" s="329"/>
      <c r="Z26" s="329"/>
      <c r="AA26" s="329"/>
      <c r="AB26" s="329"/>
      <c r="AC26" s="329"/>
      <c r="AD26" s="329"/>
      <c r="AE26" s="329"/>
    </row>
    <row r="27" spans="1:31" s="262" customFormat="1" ht="30" customHeight="1">
      <c r="G27" s="263"/>
      <c r="L27" s="327"/>
      <c r="N27" s="328"/>
      <c r="O27" s="329"/>
      <c r="P27" s="329"/>
      <c r="Q27" s="329"/>
      <c r="R27" s="329"/>
      <c r="S27" s="329"/>
      <c r="T27" s="329"/>
      <c r="U27" s="329"/>
      <c r="V27" s="329"/>
      <c r="W27" s="329"/>
      <c r="X27" s="329"/>
      <c r="Y27" s="329"/>
      <c r="Z27" s="329"/>
      <c r="AA27" s="329"/>
      <c r="AB27" s="329"/>
      <c r="AC27" s="329"/>
      <c r="AD27" s="329"/>
      <c r="AE27" s="329"/>
    </row>
    <row r="28" spans="1:31" s="262" customFormat="1" ht="30" customHeight="1">
      <c r="G28" s="263"/>
      <c r="L28" s="327"/>
      <c r="N28" s="328"/>
      <c r="O28" s="329"/>
      <c r="P28" s="329"/>
      <c r="Q28" s="329"/>
      <c r="R28" s="329"/>
      <c r="S28" s="329"/>
      <c r="T28" s="329"/>
      <c r="U28" s="329"/>
      <c r="V28" s="329"/>
      <c r="W28" s="329"/>
      <c r="X28" s="329"/>
      <c r="Y28" s="329"/>
      <c r="Z28" s="329"/>
      <c r="AA28" s="329"/>
      <c r="AB28" s="329"/>
      <c r="AC28" s="329"/>
      <c r="AD28" s="329"/>
      <c r="AE28" s="329"/>
    </row>
    <row r="29" spans="1:31" s="262" customFormat="1" ht="30" customHeight="1">
      <c r="G29" s="263"/>
      <c r="L29" s="327"/>
      <c r="N29" s="328"/>
      <c r="O29" s="329"/>
      <c r="P29" s="329"/>
      <c r="Q29" s="329"/>
      <c r="R29" s="329"/>
      <c r="S29" s="329"/>
      <c r="T29" s="329"/>
      <c r="U29" s="329"/>
      <c r="V29" s="329"/>
      <c r="W29" s="329"/>
      <c r="X29" s="329"/>
      <c r="Y29" s="329"/>
      <c r="Z29" s="329"/>
      <c r="AA29" s="329"/>
      <c r="AB29" s="329"/>
      <c r="AC29" s="329"/>
      <c r="AD29" s="329"/>
      <c r="AE29" s="329"/>
    </row>
    <row r="30" spans="1:31" s="262" customFormat="1" ht="30" customHeight="1">
      <c r="G30" s="263"/>
      <c r="L30" s="327"/>
      <c r="N30" s="328"/>
      <c r="O30" s="329"/>
      <c r="P30" s="329"/>
      <c r="Q30" s="329"/>
      <c r="R30" s="329"/>
      <c r="S30" s="329"/>
      <c r="T30" s="329"/>
      <c r="U30" s="329"/>
      <c r="V30" s="329"/>
      <c r="W30" s="329"/>
      <c r="X30" s="329"/>
      <c r="Y30" s="329"/>
      <c r="Z30" s="329"/>
      <c r="AA30" s="329"/>
      <c r="AB30" s="329"/>
      <c r="AC30" s="329"/>
      <c r="AD30" s="329"/>
      <c r="AE30" s="329"/>
    </row>
    <row r="31" spans="1:31" s="262" customFormat="1" ht="30" customHeight="1">
      <c r="G31" s="263"/>
      <c r="L31" s="327"/>
      <c r="N31" s="328"/>
      <c r="O31" s="329"/>
      <c r="P31" s="329"/>
      <c r="Q31" s="329"/>
      <c r="R31" s="329"/>
      <c r="S31" s="329"/>
      <c r="T31" s="329"/>
      <c r="U31" s="329"/>
      <c r="V31" s="329"/>
      <c r="W31" s="329"/>
      <c r="X31" s="329"/>
      <c r="Y31" s="329"/>
      <c r="Z31" s="329"/>
      <c r="AA31" s="329"/>
      <c r="AB31" s="329"/>
      <c r="AC31" s="329"/>
      <c r="AD31" s="329"/>
      <c r="AE31" s="329"/>
    </row>
    <row r="32" spans="1:31" s="262" customFormat="1" ht="30" customHeight="1">
      <c r="G32" s="263"/>
      <c r="L32" s="327"/>
      <c r="N32" s="328"/>
      <c r="O32" s="329"/>
      <c r="P32" s="329"/>
      <c r="Q32" s="329"/>
      <c r="R32" s="329"/>
      <c r="S32" s="329"/>
      <c r="T32" s="329"/>
      <c r="U32" s="329"/>
      <c r="V32" s="329"/>
      <c r="W32" s="329"/>
      <c r="X32" s="329"/>
      <c r="Y32" s="329"/>
      <c r="Z32" s="329"/>
      <c r="AA32" s="329"/>
      <c r="AB32" s="329"/>
      <c r="AC32" s="329"/>
      <c r="AD32" s="329"/>
      <c r="AE32" s="329"/>
    </row>
    <row r="33" spans="7:31" s="262" customFormat="1" ht="30" customHeight="1">
      <c r="G33" s="263"/>
      <c r="L33" s="327"/>
      <c r="N33" s="328"/>
      <c r="O33" s="329"/>
      <c r="P33" s="329"/>
      <c r="Q33" s="329"/>
      <c r="R33" s="329"/>
      <c r="S33" s="329"/>
      <c r="T33" s="329"/>
      <c r="U33" s="329"/>
      <c r="V33" s="329"/>
      <c r="W33" s="329"/>
      <c r="X33" s="329"/>
      <c r="Y33" s="329"/>
      <c r="Z33" s="329"/>
      <c r="AA33" s="329"/>
      <c r="AB33" s="329"/>
      <c r="AC33" s="329"/>
      <c r="AD33" s="329"/>
      <c r="AE33" s="329"/>
    </row>
    <row r="34" spans="7:31" s="262" customFormat="1" ht="30" customHeight="1">
      <c r="G34" s="263"/>
      <c r="L34" s="327"/>
      <c r="N34" s="328"/>
      <c r="O34" s="329"/>
      <c r="P34" s="329"/>
      <c r="Q34" s="329"/>
      <c r="R34" s="329"/>
      <c r="S34" s="329"/>
      <c r="T34" s="329"/>
      <c r="U34" s="329"/>
      <c r="V34" s="329"/>
      <c r="W34" s="329"/>
      <c r="X34" s="329"/>
      <c r="Y34" s="329"/>
      <c r="Z34" s="329"/>
      <c r="AA34" s="329"/>
      <c r="AB34" s="329"/>
      <c r="AC34" s="329"/>
      <c r="AD34" s="329"/>
      <c r="AE34" s="329"/>
    </row>
    <row r="35" spans="7:31" s="262" customFormat="1" ht="30" customHeight="1">
      <c r="G35" s="263"/>
      <c r="L35" s="327"/>
      <c r="N35" s="328"/>
      <c r="O35" s="329"/>
      <c r="P35" s="329"/>
      <c r="Q35" s="329"/>
      <c r="R35" s="329"/>
      <c r="S35" s="329"/>
      <c r="T35" s="329"/>
      <c r="U35" s="329"/>
      <c r="V35" s="329"/>
      <c r="W35" s="329"/>
      <c r="X35" s="329"/>
      <c r="Y35" s="329"/>
      <c r="Z35" s="329"/>
      <c r="AA35" s="329"/>
      <c r="AB35" s="329"/>
      <c r="AC35" s="329"/>
      <c r="AD35" s="329"/>
      <c r="AE35" s="329"/>
    </row>
    <row r="36" spans="7:31" s="262" customFormat="1" ht="30" customHeight="1">
      <c r="G36" s="263"/>
      <c r="L36" s="327"/>
      <c r="N36" s="328"/>
      <c r="O36" s="329"/>
      <c r="P36" s="329"/>
      <c r="Q36" s="329"/>
      <c r="R36" s="329"/>
      <c r="S36" s="329"/>
      <c r="T36" s="329"/>
      <c r="U36" s="329"/>
      <c r="V36" s="329"/>
      <c r="W36" s="329"/>
      <c r="X36" s="329"/>
      <c r="Y36" s="329"/>
      <c r="Z36" s="329"/>
      <c r="AA36" s="329"/>
      <c r="AB36" s="329"/>
      <c r="AC36" s="329"/>
      <c r="AD36" s="329"/>
      <c r="AE36" s="329"/>
    </row>
    <row r="37" spans="7:31" s="262" customFormat="1" ht="30" customHeight="1">
      <c r="G37" s="263"/>
      <c r="L37" s="327"/>
      <c r="N37" s="328"/>
      <c r="O37" s="329"/>
      <c r="P37" s="329"/>
      <c r="Q37" s="329"/>
      <c r="R37" s="329"/>
      <c r="S37" s="329"/>
      <c r="T37" s="329"/>
      <c r="U37" s="329"/>
      <c r="V37" s="329"/>
      <c r="W37" s="329"/>
      <c r="X37" s="329"/>
      <c r="Y37" s="329"/>
      <c r="Z37" s="329"/>
      <c r="AA37" s="329"/>
      <c r="AB37" s="329"/>
      <c r="AC37" s="329"/>
      <c r="AD37" s="329"/>
      <c r="AE37" s="329"/>
    </row>
    <row r="38" spans="7:31" s="262" customFormat="1" ht="30" customHeight="1">
      <c r="G38" s="263"/>
      <c r="L38" s="327"/>
      <c r="N38" s="328"/>
      <c r="O38" s="329"/>
      <c r="P38" s="329"/>
      <c r="Q38" s="329"/>
      <c r="R38" s="329"/>
      <c r="S38" s="329"/>
      <c r="T38" s="329"/>
      <c r="U38" s="329"/>
      <c r="V38" s="329"/>
      <c r="W38" s="329"/>
      <c r="X38" s="329"/>
      <c r="Y38" s="329"/>
      <c r="Z38" s="329"/>
      <c r="AA38" s="329"/>
      <c r="AB38" s="329"/>
      <c r="AC38" s="329"/>
      <c r="AD38" s="329"/>
      <c r="AE38" s="329"/>
    </row>
    <row r="39" spans="7:31" s="262" customFormat="1" ht="30" customHeight="1">
      <c r="G39" s="263"/>
      <c r="L39" s="327"/>
      <c r="N39" s="328"/>
      <c r="O39" s="329"/>
      <c r="P39" s="329"/>
      <c r="Q39" s="329"/>
      <c r="R39" s="329"/>
      <c r="S39" s="329"/>
      <c r="T39" s="329"/>
      <c r="U39" s="329"/>
      <c r="V39" s="329"/>
      <c r="W39" s="329"/>
      <c r="X39" s="329"/>
      <c r="Y39" s="329"/>
      <c r="Z39" s="329"/>
      <c r="AA39" s="329"/>
      <c r="AB39" s="329"/>
      <c r="AC39" s="329"/>
      <c r="AD39" s="329"/>
      <c r="AE39" s="329"/>
    </row>
    <row r="40" spans="7:31" s="262" customFormat="1" ht="30" customHeight="1">
      <c r="G40" s="263"/>
      <c r="L40" s="327"/>
      <c r="N40" s="328"/>
      <c r="O40" s="329"/>
      <c r="P40" s="329"/>
      <c r="Q40" s="329"/>
      <c r="R40" s="329"/>
      <c r="S40" s="329"/>
      <c r="T40" s="329"/>
      <c r="U40" s="329"/>
      <c r="V40" s="329"/>
      <c r="W40" s="329"/>
      <c r="X40" s="329"/>
      <c r="Y40" s="329"/>
      <c r="Z40" s="329"/>
      <c r="AA40" s="329"/>
      <c r="AB40" s="329"/>
      <c r="AC40" s="329"/>
      <c r="AD40" s="329"/>
      <c r="AE40" s="329"/>
    </row>
    <row r="41" spans="7:31" s="262" customFormat="1" ht="30" customHeight="1">
      <c r="G41" s="263"/>
      <c r="L41" s="327"/>
      <c r="N41" s="328"/>
      <c r="O41" s="329"/>
      <c r="P41" s="329"/>
      <c r="Q41" s="329"/>
      <c r="R41" s="329"/>
      <c r="S41" s="329"/>
      <c r="T41" s="329"/>
      <c r="U41" s="329"/>
      <c r="V41" s="329"/>
      <c r="W41" s="329"/>
      <c r="X41" s="329"/>
      <c r="Y41" s="329"/>
      <c r="Z41" s="329"/>
      <c r="AA41" s="329"/>
      <c r="AB41" s="329"/>
      <c r="AC41" s="329"/>
      <c r="AD41" s="329"/>
      <c r="AE41" s="329"/>
    </row>
    <row r="42" spans="7:31" s="262" customFormat="1" ht="30" customHeight="1">
      <c r="G42" s="263"/>
      <c r="L42" s="327"/>
      <c r="N42" s="328"/>
      <c r="O42" s="329"/>
      <c r="P42" s="329"/>
      <c r="Q42" s="329"/>
      <c r="R42" s="329"/>
      <c r="S42" s="329"/>
      <c r="T42" s="329"/>
      <c r="U42" s="329"/>
      <c r="V42" s="329"/>
      <c r="W42" s="329"/>
      <c r="X42" s="329"/>
      <c r="Y42" s="329"/>
      <c r="Z42" s="329"/>
      <c r="AA42" s="329"/>
      <c r="AB42" s="329"/>
      <c r="AC42" s="329"/>
      <c r="AD42" s="329"/>
      <c r="AE42" s="329"/>
    </row>
    <row r="43" spans="7:31" s="262" customFormat="1" ht="30" customHeight="1">
      <c r="G43" s="263"/>
      <c r="L43" s="327"/>
      <c r="N43" s="328"/>
      <c r="O43" s="329"/>
      <c r="P43" s="329"/>
      <c r="Q43" s="329"/>
      <c r="R43" s="329"/>
      <c r="S43" s="329"/>
      <c r="T43" s="329"/>
      <c r="U43" s="329"/>
      <c r="V43" s="329"/>
      <c r="W43" s="329"/>
      <c r="X43" s="329"/>
      <c r="Y43" s="329"/>
      <c r="Z43" s="329"/>
      <c r="AA43" s="329"/>
      <c r="AB43" s="329"/>
      <c r="AC43" s="329"/>
      <c r="AD43" s="329"/>
      <c r="AE43" s="329"/>
    </row>
    <row r="44" spans="7:31" s="262" customFormat="1" ht="30" customHeight="1">
      <c r="G44" s="263"/>
      <c r="L44" s="327"/>
      <c r="N44" s="328"/>
      <c r="O44" s="329"/>
      <c r="P44" s="329"/>
      <c r="Q44" s="329"/>
      <c r="R44" s="329"/>
      <c r="S44" s="329"/>
      <c r="T44" s="329"/>
      <c r="U44" s="329"/>
      <c r="V44" s="329"/>
      <c r="W44" s="329"/>
      <c r="X44" s="329"/>
      <c r="Y44" s="329"/>
      <c r="Z44" s="329"/>
      <c r="AA44" s="329"/>
      <c r="AB44" s="329"/>
      <c r="AC44" s="329"/>
      <c r="AD44" s="329"/>
      <c r="AE44" s="329"/>
    </row>
    <row r="45" spans="7:31" s="262" customFormat="1" ht="30" customHeight="1">
      <c r="G45" s="263"/>
      <c r="L45" s="327"/>
      <c r="N45" s="328"/>
      <c r="O45" s="329"/>
      <c r="P45" s="329"/>
      <c r="Q45" s="329"/>
      <c r="R45" s="329"/>
      <c r="S45" s="329"/>
      <c r="T45" s="329"/>
      <c r="U45" s="329"/>
      <c r="V45" s="329"/>
      <c r="W45" s="329"/>
      <c r="X45" s="329"/>
      <c r="Y45" s="329"/>
      <c r="Z45" s="329"/>
      <c r="AA45" s="329"/>
      <c r="AB45" s="329"/>
      <c r="AC45" s="329"/>
      <c r="AD45" s="329"/>
      <c r="AE45" s="329"/>
    </row>
    <row r="46" spans="7:31" s="262" customFormat="1" ht="30" customHeight="1">
      <c r="G46" s="263"/>
      <c r="L46" s="327"/>
      <c r="N46" s="328"/>
      <c r="O46" s="329"/>
      <c r="P46" s="329"/>
      <c r="Q46" s="329"/>
      <c r="R46" s="329"/>
      <c r="S46" s="329"/>
      <c r="T46" s="329"/>
      <c r="U46" s="329"/>
      <c r="V46" s="329"/>
      <c r="W46" s="329"/>
      <c r="X46" s="329"/>
      <c r="Y46" s="329"/>
      <c r="Z46" s="329"/>
      <c r="AA46" s="329"/>
      <c r="AB46" s="329"/>
      <c r="AC46" s="329"/>
      <c r="AD46" s="329"/>
      <c r="AE46" s="329"/>
    </row>
    <row r="47" spans="7:31" s="262" customFormat="1" ht="30" customHeight="1">
      <c r="G47" s="263"/>
      <c r="L47" s="327"/>
      <c r="N47" s="328"/>
      <c r="O47" s="329"/>
      <c r="P47" s="329"/>
      <c r="Q47" s="329"/>
      <c r="R47" s="329"/>
      <c r="S47" s="329"/>
      <c r="T47" s="329"/>
      <c r="U47" s="329"/>
      <c r="V47" s="329"/>
      <c r="W47" s="329"/>
      <c r="X47" s="329"/>
      <c r="Y47" s="329"/>
      <c r="Z47" s="329"/>
      <c r="AA47" s="329"/>
      <c r="AB47" s="329"/>
      <c r="AC47" s="329"/>
      <c r="AD47" s="329"/>
      <c r="AE47" s="329"/>
    </row>
    <row r="48" spans="7:31" s="262" customFormat="1" ht="30" customHeight="1">
      <c r="G48" s="263"/>
      <c r="L48" s="327"/>
      <c r="N48" s="328"/>
      <c r="O48" s="329"/>
      <c r="P48" s="329"/>
      <c r="Q48" s="329"/>
      <c r="R48" s="329"/>
      <c r="S48" s="329"/>
      <c r="T48" s="329"/>
      <c r="U48" s="329"/>
      <c r="V48" s="329"/>
      <c r="W48" s="329"/>
      <c r="X48" s="329"/>
      <c r="Y48" s="329"/>
      <c r="Z48" s="329"/>
      <c r="AA48" s="329"/>
      <c r="AB48" s="329"/>
      <c r="AC48" s="329"/>
      <c r="AD48" s="329"/>
      <c r="AE48" s="329"/>
    </row>
    <row r="49" spans="1:31" s="262" customFormat="1" ht="30" customHeight="1">
      <c r="G49" s="263"/>
      <c r="L49" s="327"/>
      <c r="N49" s="328"/>
      <c r="O49" s="329"/>
      <c r="P49" s="329"/>
      <c r="Q49" s="329"/>
      <c r="R49" s="329"/>
      <c r="S49" s="329"/>
      <c r="T49" s="329"/>
      <c r="U49" s="329"/>
      <c r="V49" s="329"/>
      <c r="W49" s="329"/>
      <c r="X49" s="329"/>
      <c r="Y49" s="329"/>
      <c r="Z49" s="329"/>
      <c r="AA49" s="329"/>
      <c r="AB49" s="329"/>
      <c r="AC49" s="329"/>
      <c r="AD49" s="329"/>
      <c r="AE49" s="329"/>
    </row>
    <row r="50" spans="1:31" s="262" customFormat="1" ht="30" customHeight="1">
      <c r="G50" s="263"/>
      <c r="L50" s="327"/>
      <c r="N50" s="328"/>
      <c r="O50" s="329"/>
      <c r="P50" s="329"/>
      <c r="Q50" s="329"/>
      <c r="R50" s="329"/>
      <c r="S50" s="329"/>
      <c r="T50" s="329"/>
      <c r="U50" s="329"/>
      <c r="V50" s="329"/>
      <c r="W50" s="329"/>
      <c r="X50" s="329"/>
      <c r="Y50" s="329"/>
      <c r="Z50" s="329"/>
      <c r="AA50" s="329"/>
      <c r="AB50" s="329"/>
      <c r="AC50" s="329"/>
      <c r="AD50" s="329"/>
      <c r="AE50" s="329"/>
    </row>
    <row r="51" spans="1:31" s="262" customFormat="1" ht="30" customHeight="1">
      <c r="A51" s="264"/>
      <c r="B51" s="264"/>
      <c r="C51" s="264"/>
      <c r="D51" s="264"/>
      <c r="E51" s="264"/>
      <c r="F51" s="264"/>
      <c r="G51" s="325"/>
      <c r="H51" s="264"/>
      <c r="I51" s="264"/>
      <c r="J51" s="264"/>
      <c r="K51" s="264"/>
      <c r="L51" s="327"/>
      <c r="N51" s="328"/>
      <c r="O51" s="329"/>
      <c r="P51" s="329"/>
      <c r="Q51" s="329"/>
      <c r="R51" s="329"/>
      <c r="S51" s="329"/>
      <c r="T51" s="329"/>
      <c r="U51" s="329"/>
      <c r="V51" s="329"/>
      <c r="W51" s="329"/>
      <c r="X51" s="329"/>
      <c r="Y51" s="329"/>
      <c r="Z51" s="329"/>
      <c r="AA51" s="329"/>
      <c r="AB51" s="329"/>
      <c r="AC51" s="329"/>
      <c r="AD51" s="329"/>
      <c r="AE51" s="329"/>
    </row>
    <row r="52" spans="1:31" s="262" customFormat="1" ht="30" customHeight="1">
      <c r="A52" s="264"/>
      <c r="B52" s="264"/>
      <c r="C52" s="264"/>
      <c r="D52" s="264"/>
      <c r="E52" s="264"/>
      <c r="F52" s="264"/>
      <c r="G52" s="325"/>
      <c r="H52" s="264"/>
      <c r="I52" s="264"/>
      <c r="J52" s="264"/>
      <c r="K52" s="264"/>
      <c r="L52" s="327"/>
      <c r="N52" s="328"/>
      <c r="O52" s="329"/>
      <c r="P52" s="329"/>
      <c r="Q52" s="329"/>
      <c r="R52" s="329"/>
      <c r="S52" s="329"/>
      <c r="T52" s="329"/>
      <c r="U52" s="329"/>
      <c r="V52" s="329"/>
      <c r="W52" s="329"/>
      <c r="X52" s="329"/>
      <c r="Y52" s="329"/>
      <c r="Z52" s="329"/>
      <c r="AA52" s="329"/>
      <c r="AB52" s="329"/>
      <c r="AC52" s="329"/>
      <c r="AD52" s="329"/>
      <c r="AE52" s="329"/>
    </row>
    <row r="53" spans="1:31" s="262" customFormat="1" ht="27.95" customHeight="1">
      <c r="A53" s="264"/>
      <c r="B53" s="264"/>
      <c r="C53" s="264"/>
      <c r="D53" s="264"/>
      <c r="E53" s="264"/>
      <c r="F53" s="264"/>
      <c r="G53" s="325"/>
      <c r="H53" s="264"/>
      <c r="I53" s="264"/>
      <c r="J53" s="264"/>
      <c r="K53" s="264"/>
      <c r="L53" s="327"/>
      <c r="N53" s="328"/>
      <c r="O53" s="329"/>
      <c r="P53" s="329"/>
      <c r="Q53" s="329"/>
      <c r="R53" s="329"/>
      <c r="S53" s="329"/>
      <c r="T53" s="329"/>
      <c r="U53" s="329"/>
      <c r="V53" s="329"/>
      <c r="W53" s="329"/>
      <c r="X53" s="329"/>
      <c r="Y53" s="329"/>
      <c r="Z53" s="329"/>
      <c r="AA53" s="329"/>
      <c r="AB53" s="329"/>
      <c r="AC53" s="329"/>
      <c r="AD53" s="329"/>
      <c r="AE53" s="329"/>
    </row>
    <row r="54" spans="1:31" s="262" customFormat="1" ht="27.95" customHeight="1">
      <c r="A54" s="264"/>
      <c r="B54" s="264"/>
      <c r="C54" s="264"/>
      <c r="D54" s="264"/>
      <c r="E54" s="264"/>
      <c r="F54" s="264"/>
      <c r="G54" s="325"/>
      <c r="H54" s="264"/>
      <c r="I54" s="264"/>
      <c r="J54" s="264"/>
      <c r="K54" s="264"/>
      <c r="L54" s="327"/>
      <c r="N54" s="328"/>
      <c r="O54" s="329"/>
      <c r="P54" s="329"/>
      <c r="Q54" s="329"/>
      <c r="R54" s="329"/>
      <c r="S54" s="329"/>
      <c r="T54" s="329"/>
      <c r="U54" s="329"/>
      <c r="V54" s="329"/>
      <c r="W54" s="329"/>
      <c r="X54" s="329"/>
      <c r="Y54" s="329"/>
      <c r="Z54" s="329"/>
      <c r="AA54" s="329"/>
      <c r="AB54" s="329"/>
      <c r="AC54" s="329"/>
      <c r="AD54" s="329"/>
      <c r="AE54" s="329"/>
    </row>
    <row r="55" spans="1:31" s="262" customFormat="1" ht="27.95" customHeight="1">
      <c r="A55" s="264"/>
      <c r="B55" s="264"/>
      <c r="C55" s="264"/>
      <c r="D55" s="264"/>
      <c r="E55" s="264"/>
      <c r="F55" s="264"/>
      <c r="G55" s="325"/>
      <c r="H55" s="264"/>
      <c r="I55" s="264"/>
      <c r="J55" s="264"/>
      <c r="K55" s="264"/>
      <c r="L55" s="327"/>
      <c r="N55" s="328"/>
      <c r="O55" s="329"/>
      <c r="P55" s="329"/>
      <c r="Q55" s="329"/>
      <c r="R55" s="329"/>
      <c r="S55" s="329"/>
      <c r="T55" s="329"/>
      <c r="U55" s="329"/>
      <c r="V55" s="329"/>
      <c r="W55" s="329"/>
      <c r="X55" s="329"/>
      <c r="Y55" s="329"/>
      <c r="Z55" s="329"/>
      <c r="AA55" s="329"/>
      <c r="AB55" s="329"/>
      <c r="AC55" s="329"/>
      <c r="AD55" s="329"/>
      <c r="AE55" s="329"/>
    </row>
    <row r="56" spans="1:31" s="262" customFormat="1" ht="27.95" customHeight="1">
      <c r="A56" s="264"/>
      <c r="B56" s="264"/>
      <c r="C56" s="264"/>
      <c r="D56" s="264"/>
      <c r="E56" s="264"/>
      <c r="F56" s="264"/>
      <c r="G56" s="325"/>
      <c r="H56" s="264"/>
      <c r="I56" s="264"/>
      <c r="J56" s="264"/>
      <c r="K56" s="264"/>
      <c r="L56" s="327"/>
      <c r="N56" s="328"/>
      <c r="O56" s="329"/>
      <c r="P56" s="329"/>
      <c r="Q56" s="329"/>
      <c r="R56" s="329"/>
      <c r="S56" s="329"/>
      <c r="T56" s="329"/>
      <c r="U56" s="329"/>
      <c r="V56" s="329"/>
      <c r="W56" s="329"/>
      <c r="X56" s="329"/>
      <c r="Y56" s="329"/>
      <c r="Z56" s="329"/>
      <c r="AA56" s="329"/>
      <c r="AB56" s="329"/>
      <c r="AC56" s="329"/>
      <c r="AD56" s="329"/>
      <c r="AE56" s="329"/>
    </row>
    <row r="57" spans="1:31" ht="27.95" customHeight="1"/>
    <row r="58" spans="1:31" ht="27.95" customHeight="1"/>
    <row r="59" spans="1:31" ht="27.95" customHeight="1"/>
    <row r="60" spans="1:31" ht="27.95" customHeight="1"/>
    <row r="61" spans="1:31" ht="27.95" customHeight="1"/>
    <row r="62" spans="1:31" ht="27.95" customHeight="1"/>
    <row r="63" spans="1:31" ht="27.95" customHeight="1"/>
    <row r="64" spans="1:31" ht="27.95" customHeight="1"/>
    <row r="65" ht="27.95" customHeight="1"/>
    <row r="66" ht="27.95" customHeight="1"/>
    <row r="67" ht="27.95" customHeight="1"/>
    <row r="68" ht="27.95" customHeight="1"/>
    <row r="69" ht="27.95" customHeight="1"/>
    <row r="70" ht="27.95" customHeight="1"/>
    <row r="71" ht="27.95" customHeight="1"/>
    <row r="72" ht="27.95" customHeight="1"/>
    <row r="73" ht="27.95" customHeight="1"/>
    <row r="74" ht="27.95" customHeight="1"/>
    <row r="75" ht="27.95" customHeight="1"/>
    <row r="76" ht="27.95" customHeight="1"/>
    <row r="77" ht="27.95" customHeight="1"/>
    <row r="78" ht="24" customHeight="1"/>
    <row r="79" ht="24" customHeight="1"/>
    <row r="80" ht="24" customHeight="1"/>
    <row r="81" ht="24" customHeight="1"/>
    <row r="82" ht="24" customHeight="1"/>
    <row r="83" ht="24" customHeight="1"/>
    <row r="84" ht="24" customHeight="1"/>
    <row r="85" ht="24" customHeight="1"/>
    <row r="86" ht="24" customHeight="1"/>
    <row r="87" ht="24" customHeight="1"/>
    <row r="88" ht="24" customHeight="1"/>
    <row r="89" ht="24" customHeight="1"/>
    <row r="90" ht="24" customHeight="1"/>
    <row r="91" ht="24" customHeight="1"/>
    <row r="92" ht="24" customHeight="1"/>
    <row r="93" ht="24" customHeight="1"/>
    <row r="94" ht="24" customHeight="1"/>
    <row r="95" ht="24" customHeight="1"/>
    <row r="96" ht="24" customHeight="1"/>
    <row r="97" ht="24" customHeight="1"/>
    <row r="98" ht="24" customHeight="1"/>
    <row r="99" ht="24" customHeight="1"/>
    <row r="100" ht="24" customHeight="1"/>
    <row r="101" ht="24" customHeight="1"/>
    <row r="102" ht="24" customHeight="1"/>
    <row r="103" ht="24" customHeight="1"/>
    <row r="104" ht="24" customHeight="1"/>
    <row r="105" ht="24" customHeight="1"/>
  </sheetData>
  <mergeCells count="50">
    <mergeCell ref="A1:B1"/>
    <mergeCell ref="A2:K2"/>
    <mergeCell ref="A3:B3"/>
    <mergeCell ref="C3:J3"/>
    <mergeCell ref="A4:B4"/>
    <mergeCell ref="C4:G4"/>
    <mergeCell ref="I4:J4"/>
    <mergeCell ref="A5:B5"/>
    <mergeCell ref="C5:G5"/>
    <mergeCell ref="I5:J5"/>
    <mergeCell ref="B6:C6"/>
    <mergeCell ref="H6:I6"/>
    <mergeCell ref="J6:K6"/>
    <mergeCell ref="B7:C7"/>
    <mergeCell ref="H7:I7"/>
    <mergeCell ref="J7:K7"/>
    <mergeCell ref="B8:C8"/>
    <mergeCell ref="H8:I8"/>
    <mergeCell ref="J8:K8"/>
    <mergeCell ref="B13:C13"/>
    <mergeCell ref="H13:I13"/>
    <mergeCell ref="J13:K13"/>
    <mergeCell ref="B9:C9"/>
    <mergeCell ref="H9:I9"/>
    <mergeCell ref="J9:K9"/>
    <mergeCell ref="A10:E10"/>
    <mergeCell ref="H10:I10"/>
    <mergeCell ref="J10:K10"/>
    <mergeCell ref="B14:C14"/>
    <mergeCell ref="H14:I14"/>
    <mergeCell ref="J14:K14"/>
    <mergeCell ref="B15:C15"/>
    <mergeCell ref="H15:I15"/>
    <mergeCell ref="J15:K15"/>
    <mergeCell ref="A18:E18"/>
    <mergeCell ref="H18:I18"/>
    <mergeCell ref="J18:K18"/>
    <mergeCell ref="B16:C16"/>
    <mergeCell ref="H16:I16"/>
    <mergeCell ref="J16:K16"/>
    <mergeCell ref="A17:E17"/>
    <mergeCell ref="H17:I17"/>
    <mergeCell ref="J17:K17"/>
    <mergeCell ref="A11:A16"/>
    <mergeCell ref="B11:C11"/>
    <mergeCell ref="H11:I11"/>
    <mergeCell ref="J11:K11"/>
    <mergeCell ref="B12:C12"/>
    <mergeCell ref="H12:I12"/>
    <mergeCell ref="J12:K12"/>
  </mergeCells>
  <phoneticPr fontId="4" type="noConversion"/>
  <printOptions horizontalCentered="1"/>
  <pageMargins left="0.31" right="0.24" top="0.74803149606299213" bottom="0.51181102362204722" header="0.19685039370078741" footer="0.15748031496062992"/>
  <pageSetup paperSize="9" scale="9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5" tint="0.59999389629810485"/>
  </sheetPr>
  <dimension ref="A1:Q201"/>
  <sheetViews>
    <sheetView showZeros="0" view="pageBreakPreview" zoomScale="85" zoomScaleNormal="100" zoomScaleSheetLayoutView="85" workbookViewId="0">
      <selection activeCell="H11" sqref="H11"/>
    </sheetView>
  </sheetViews>
  <sheetFormatPr defaultColWidth="9" defaultRowHeight="16.5"/>
  <cols>
    <col min="1" max="1" width="15.875" style="344" customWidth="1"/>
    <col min="2" max="2" width="8.25" style="344" bestFit="1" customWidth="1"/>
    <col min="3" max="3" width="9.125" style="344" customWidth="1"/>
    <col min="4" max="4" width="15" style="344" bestFit="1" customWidth="1"/>
    <col min="5" max="5" width="13.25" style="344" customWidth="1"/>
    <col min="6" max="6" width="19.625" style="344" customWidth="1"/>
    <col min="7" max="7" width="16.75" style="316" customWidth="1"/>
    <col min="8" max="8" width="15.25" style="344" customWidth="1"/>
    <col min="9" max="26" width="6.625" style="344" customWidth="1"/>
    <col min="27" max="254" width="9" style="344"/>
    <col min="255" max="255" width="15.875" style="344" customWidth="1"/>
    <col min="256" max="256" width="14.625" style="344" customWidth="1"/>
    <col min="257" max="257" width="13.75" style="344" customWidth="1"/>
    <col min="258" max="258" width="13.25" style="344" customWidth="1"/>
    <col min="259" max="259" width="19.625" style="344" customWidth="1"/>
    <col min="260" max="260" width="16.75" style="344" customWidth="1"/>
    <col min="261" max="261" width="6.625" style="344" customWidth="1"/>
    <col min="262" max="262" width="36.125" style="344" customWidth="1"/>
    <col min="263" max="282" width="6.625" style="344" customWidth="1"/>
    <col min="283" max="510" width="9" style="344"/>
    <col min="511" max="511" width="15.875" style="344" customWidth="1"/>
    <col min="512" max="512" width="14.625" style="344" customWidth="1"/>
    <col min="513" max="513" width="13.75" style="344" customWidth="1"/>
    <col min="514" max="514" width="13.25" style="344" customWidth="1"/>
    <col min="515" max="515" width="19.625" style="344" customWidth="1"/>
    <col min="516" max="516" width="16.75" style="344" customWidth="1"/>
    <col min="517" max="517" width="6.625" style="344" customWidth="1"/>
    <col min="518" max="518" width="36.125" style="344" customWidth="1"/>
    <col min="519" max="538" width="6.625" style="344" customWidth="1"/>
    <col min="539" max="766" width="9" style="344"/>
    <col min="767" max="767" width="15.875" style="344" customWidth="1"/>
    <col min="768" max="768" width="14.625" style="344" customWidth="1"/>
    <col min="769" max="769" width="13.75" style="344" customWidth="1"/>
    <col min="770" max="770" width="13.25" style="344" customWidth="1"/>
    <col min="771" max="771" width="19.625" style="344" customWidth="1"/>
    <col min="772" max="772" width="16.75" style="344" customWidth="1"/>
    <col min="773" max="773" width="6.625" style="344" customWidth="1"/>
    <col min="774" max="774" width="36.125" style="344" customWidth="1"/>
    <col min="775" max="794" width="6.625" style="344" customWidth="1"/>
    <col min="795" max="1022" width="9" style="344"/>
    <col min="1023" max="1023" width="15.875" style="344" customWidth="1"/>
    <col min="1024" max="1024" width="14.625" style="344" customWidth="1"/>
    <col min="1025" max="1025" width="13.75" style="344" customWidth="1"/>
    <col min="1026" max="1026" width="13.25" style="344" customWidth="1"/>
    <col min="1027" max="1027" width="19.625" style="344" customWidth="1"/>
    <col min="1028" max="1028" width="16.75" style="344" customWidth="1"/>
    <col min="1029" max="1029" width="6.625" style="344" customWidth="1"/>
    <col min="1030" max="1030" width="36.125" style="344" customWidth="1"/>
    <col min="1031" max="1050" width="6.625" style="344" customWidth="1"/>
    <col min="1051" max="1278" width="9" style="344"/>
    <col min="1279" max="1279" width="15.875" style="344" customWidth="1"/>
    <col min="1280" max="1280" width="14.625" style="344" customWidth="1"/>
    <col min="1281" max="1281" width="13.75" style="344" customWidth="1"/>
    <col min="1282" max="1282" width="13.25" style="344" customWidth="1"/>
    <col min="1283" max="1283" width="19.625" style="344" customWidth="1"/>
    <col min="1284" max="1284" width="16.75" style="344" customWidth="1"/>
    <col min="1285" max="1285" width="6.625" style="344" customWidth="1"/>
    <col min="1286" max="1286" width="36.125" style="344" customWidth="1"/>
    <col min="1287" max="1306" width="6.625" style="344" customWidth="1"/>
    <col min="1307" max="1534" width="9" style="344"/>
    <col min="1535" max="1535" width="15.875" style="344" customWidth="1"/>
    <col min="1536" max="1536" width="14.625" style="344" customWidth="1"/>
    <col min="1537" max="1537" width="13.75" style="344" customWidth="1"/>
    <col min="1538" max="1538" width="13.25" style="344" customWidth="1"/>
    <col min="1539" max="1539" width="19.625" style="344" customWidth="1"/>
    <col min="1540" max="1540" width="16.75" style="344" customWidth="1"/>
    <col min="1541" max="1541" width="6.625" style="344" customWidth="1"/>
    <col min="1542" max="1542" width="36.125" style="344" customWidth="1"/>
    <col min="1543" max="1562" width="6.625" style="344" customWidth="1"/>
    <col min="1563" max="1790" width="9" style="344"/>
    <col min="1791" max="1791" width="15.875" style="344" customWidth="1"/>
    <col min="1792" max="1792" width="14.625" style="344" customWidth="1"/>
    <col min="1793" max="1793" width="13.75" style="344" customWidth="1"/>
    <col min="1794" max="1794" width="13.25" style="344" customWidth="1"/>
    <col min="1795" max="1795" width="19.625" style="344" customWidth="1"/>
    <col min="1796" max="1796" width="16.75" style="344" customWidth="1"/>
    <col min="1797" max="1797" width="6.625" style="344" customWidth="1"/>
    <col min="1798" max="1798" width="36.125" style="344" customWidth="1"/>
    <col min="1799" max="1818" width="6.625" style="344" customWidth="1"/>
    <col min="1819" max="2046" width="9" style="344"/>
    <col min="2047" max="2047" width="15.875" style="344" customWidth="1"/>
    <col min="2048" max="2048" width="14.625" style="344" customWidth="1"/>
    <col min="2049" max="2049" width="13.75" style="344" customWidth="1"/>
    <col min="2050" max="2050" width="13.25" style="344" customWidth="1"/>
    <col min="2051" max="2051" width="19.625" style="344" customWidth="1"/>
    <col min="2052" max="2052" width="16.75" style="344" customWidth="1"/>
    <col min="2053" max="2053" width="6.625" style="344" customWidth="1"/>
    <col min="2054" max="2054" width="36.125" style="344" customWidth="1"/>
    <col min="2055" max="2074" width="6.625" style="344" customWidth="1"/>
    <col min="2075" max="2302" width="9" style="344"/>
    <col min="2303" max="2303" width="15.875" style="344" customWidth="1"/>
    <col min="2304" max="2304" width="14.625" style="344" customWidth="1"/>
    <col min="2305" max="2305" width="13.75" style="344" customWidth="1"/>
    <col min="2306" max="2306" width="13.25" style="344" customWidth="1"/>
    <col min="2307" max="2307" width="19.625" style="344" customWidth="1"/>
    <col min="2308" max="2308" width="16.75" style="344" customWidth="1"/>
    <col min="2309" max="2309" width="6.625" style="344" customWidth="1"/>
    <col min="2310" max="2310" width="36.125" style="344" customWidth="1"/>
    <col min="2311" max="2330" width="6.625" style="344" customWidth="1"/>
    <col min="2331" max="2558" width="9" style="344"/>
    <col min="2559" max="2559" width="15.875" style="344" customWidth="1"/>
    <col min="2560" max="2560" width="14.625" style="344" customWidth="1"/>
    <col min="2561" max="2561" width="13.75" style="344" customWidth="1"/>
    <col min="2562" max="2562" width="13.25" style="344" customWidth="1"/>
    <col min="2563" max="2563" width="19.625" style="344" customWidth="1"/>
    <col min="2564" max="2564" width="16.75" style="344" customWidth="1"/>
    <col min="2565" max="2565" width="6.625" style="344" customWidth="1"/>
    <col min="2566" max="2566" width="36.125" style="344" customWidth="1"/>
    <col min="2567" max="2586" width="6.625" style="344" customWidth="1"/>
    <col min="2587" max="2814" width="9" style="344"/>
    <col min="2815" max="2815" width="15.875" style="344" customWidth="1"/>
    <col min="2816" max="2816" width="14.625" style="344" customWidth="1"/>
    <col min="2817" max="2817" width="13.75" style="344" customWidth="1"/>
    <col min="2818" max="2818" width="13.25" style="344" customWidth="1"/>
    <col min="2819" max="2819" width="19.625" style="344" customWidth="1"/>
    <col min="2820" max="2820" width="16.75" style="344" customWidth="1"/>
    <col min="2821" max="2821" width="6.625" style="344" customWidth="1"/>
    <col min="2822" max="2822" width="36.125" style="344" customWidth="1"/>
    <col min="2823" max="2842" width="6.625" style="344" customWidth="1"/>
    <col min="2843" max="3070" width="9" style="344"/>
    <col min="3071" max="3071" width="15.875" style="344" customWidth="1"/>
    <col min="3072" max="3072" width="14.625" style="344" customWidth="1"/>
    <col min="3073" max="3073" width="13.75" style="344" customWidth="1"/>
    <col min="3074" max="3074" width="13.25" style="344" customWidth="1"/>
    <col min="3075" max="3075" width="19.625" style="344" customWidth="1"/>
    <col min="3076" max="3076" width="16.75" style="344" customWidth="1"/>
    <col min="3077" max="3077" width="6.625" style="344" customWidth="1"/>
    <col min="3078" max="3078" width="36.125" style="344" customWidth="1"/>
    <col min="3079" max="3098" width="6.625" style="344" customWidth="1"/>
    <col min="3099" max="3326" width="9" style="344"/>
    <col min="3327" max="3327" width="15.875" style="344" customWidth="1"/>
    <col min="3328" max="3328" width="14.625" style="344" customWidth="1"/>
    <col min="3329" max="3329" width="13.75" style="344" customWidth="1"/>
    <col min="3330" max="3330" width="13.25" style="344" customWidth="1"/>
    <col min="3331" max="3331" width="19.625" style="344" customWidth="1"/>
    <col min="3332" max="3332" width="16.75" style="344" customWidth="1"/>
    <col min="3333" max="3333" width="6.625" style="344" customWidth="1"/>
    <col min="3334" max="3334" width="36.125" style="344" customWidth="1"/>
    <col min="3335" max="3354" width="6.625" style="344" customWidth="1"/>
    <col min="3355" max="3582" width="9" style="344"/>
    <col min="3583" max="3583" width="15.875" style="344" customWidth="1"/>
    <col min="3584" max="3584" width="14.625" style="344" customWidth="1"/>
    <col min="3585" max="3585" width="13.75" style="344" customWidth="1"/>
    <col min="3586" max="3586" width="13.25" style="344" customWidth="1"/>
    <col min="3587" max="3587" width="19.625" style="344" customWidth="1"/>
    <col min="3588" max="3588" width="16.75" style="344" customWidth="1"/>
    <col min="3589" max="3589" width="6.625" style="344" customWidth="1"/>
    <col min="3590" max="3590" width="36.125" style="344" customWidth="1"/>
    <col min="3591" max="3610" width="6.625" style="344" customWidth="1"/>
    <col min="3611" max="3838" width="9" style="344"/>
    <col min="3839" max="3839" width="15.875" style="344" customWidth="1"/>
    <col min="3840" max="3840" width="14.625" style="344" customWidth="1"/>
    <col min="3841" max="3841" width="13.75" style="344" customWidth="1"/>
    <col min="3842" max="3842" width="13.25" style="344" customWidth="1"/>
    <col min="3843" max="3843" width="19.625" style="344" customWidth="1"/>
    <col min="3844" max="3844" width="16.75" style="344" customWidth="1"/>
    <col min="3845" max="3845" width="6.625" style="344" customWidth="1"/>
    <col min="3846" max="3846" width="36.125" style="344" customWidth="1"/>
    <col min="3847" max="3866" width="6.625" style="344" customWidth="1"/>
    <col min="3867" max="4094" width="9" style="344"/>
    <col min="4095" max="4095" width="15.875" style="344" customWidth="1"/>
    <col min="4096" max="4096" width="14.625" style="344" customWidth="1"/>
    <col min="4097" max="4097" width="13.75" style="344" customWidth="1"/>
    <col min="4098" max="4098" width="13.25" style="344" customWidth="1"/>
    <col min="4099" max="4099" width="19.625" style="344" customWidth="1"/>
    <col min="4100" max="4100" width="16.75" style="344" customWidth="1"/>
    <col min="4101" max="4101" width="6.625" style="344" customWidth="1"/>
    <col min="4102" max="4102" width="36.125" style="344" customWidth="1"/>
    <col min="4103" max="4122" width="6.625" style="344" customWidth="1"/>
    <col min="4123" max="4350" width="9" style="344"/>
    <col min="4351" max="4351" width="15.875" style="344" customWidth="1"/>
    <col min="4352" max="4352" width="14.625" style="344" customWidth="1"/>
    <col min="4353" max="4353" width="13.75" style="344" customWidth="1"/>
    <col min="4354" max="4354" width="13.25" style="344" customWidth="1"/>
    <col min="4355" max="4355" width="19.625" style="344" customWidth="1"/>
    <col min="4356" max="4356" width="16.75" style="344" customWidth="1"/>
    <col min="4357" max="4357" width="6.625" style="344" customWidth="1"/>
    <col min="4358" max="4358" width="36.125" style="344" customWidth="1"/>
    <col min="4359" max="4378" width="6.625" style="344" customWidth="1"/>
    <col min="4379" max="4606" width="9" style="344"/>
    <col min="4607" max="4607" width="15.875" style="344" customWidth="1"/>
    <col min="4608" max="4608" width="14.625" style="344" customWidth="1"/>
    <col min="4609" max="4609" width="13.75" style="344" customWidth="1"/>
    <col min="4610" max="4610" width="13.25" style="344" customWidth="1"/>
    <col min="4611" max="4611" width="19.625" style="344" customWidth="1"/>
    <col min="4612" max="4612" width="16.75" style="344" customWidth="1"/>
    <col min="4613" max="4613" width="6.625" style="344" customWidth="1"/>
    <col min="4614" max="4614" width="36.125" style="344" customWidth="1"/>
    <col min="4615" max="4634" width="6.625" style="344" customWidth="1"/>
    <col min="4635" max="4862" width="9" style="344"/>
    <col min="4863" max="4863" width="15.875" style="344" customWidth="1"/>
    <col min="4864" max="4864" width="14.625" style="344" customWidth="1"/>
    <col min="4865" max="4865" width="13.75" style="344" customWidth="1"/>
    <col min="4866" max="4866" width="13.25" style="344" customWidth="1"/>
    <col min="4867" max="4867" width="19.625" style="344" customWidth="1"/>
    <col min="4868" max="4868" width="16.75" style="344" customWidth="1"/>
    <col min="4869" max="4869" width="6.625" style="344" customWidth="1"/>
    <col min="4870" max="4870" width="36.125" style="344" customWidth="1"/>
    <col min="4871" max="4890" width="6.625" style="344" customWidth="1"/>
    <col min="4891" max="5118" width="9" style="344"/>
    <col min="5119" max="5119" width="15.875" style="344" customWidth="1"/>
    <col min="5120" max="5120" width="14.625" style="344" customWidth="1"/>
    <col min="5121" max="5121" width="13.75" style="344" customWidth="1"/>
    <col min="5122" max="5122" width="13.25" style="344" customWidth="1"/>
    <col min="5123" max="5123" width="19.625" style="344" customWidth="1"/>
    <col min="5124" max="5124" width="16.75" style="344" customWidth="1"/>
    <col min="5125" max="5125" width="6.625" style="344" customWidth="1"/>
    <col min="5126" max="5126" width="36.125" style="344" customWidth="1"/>
    <col min="5127" max="5146" width="6.625" style="344" customWidth="1"/>
    <col min="5147" max="5374" width="9" style="344"/>
    <col min="5375" max="5375" width="15.875" style="344" customWidth="1"/>
    <col min="5376" max="5376" width="14.625" style="344" customWidth="1"/>
    <col min="5377" max="5377" width="13.75" style="344" customWidth="1"/>
    <col min="5378" max="5378" width="13.25" style="344" customWidth="1"/>
    <col min="5379" max="5379" width="19.625" style="344" customWidth="1"/>
    <col min="5380" max="5380" width="16.75" style="344" customWidth="1"/>
    <col min="5381" max="5381" width="6.625" style="344" customWidth="1"/>
    <col min="5382" max="5382" width="36.125" style="344" customWidth="1"/>
    <col min="5383" max="5402" width="6.625" style="344" customWidth="1"/>
    <col min="5403" max="5630" width="9" style="344"/>
    <col min="5631" max="5631" width="15.875" style="344" customWidth="1"/>
    <col min="5632" max="5632" width="14.625" style="344" customWidth="1"/>
    <col min="5633" max="5633" width="13.75" style="344" customWidth="1"/>
    <col min="5634" max="5634" width="13.25" style="344" customWidth="1"/>
    <col min="5635" max="5635" width="19.625" style="344" customWidth="1"/>
    <col min="5636" max="5636" width="16.75" style="344" customWidth="1"/>
    <col min="5637" max="5637" width="6.625" style="344" customWidth="1"/>
    <col min="5638" max="5638" width="36.125" style="344" customWidth="1"/>
    <col min="5639" max="5658" width="6.625" style="344" customWidth="1"/>
    <col min="5659" max="5886" width="9" style="344"/>
    <col min="5887" max="5887" width="15.875" style="344" customWidth="1"/>
    <col min="5888" max="5888" width="14.625" style="344" customWidth="1"/>
    <col min="5889" max="5889" width="13.75" style="344" customWidth="1"/>
    <col min="5890" max="5890" width="13.25" style="344" customWidth="1"/>
    <col min="5891" max="5891" width="19.625" style="344" customWidth="1"/>
    <col min="5892" max="5892" width="16.75" style="344" customWidth="1"/>
    <col min="5893" max="5893" width="6.625" style="344" customWidth="1"/>
    <col min="5894" max="5894" width="36.125" style="344" customWidth="1"/>
    <col min="5895" max="5914" width="6.625" style="344" customWidth="1"/>
    <col min="5915" max="6142" width="9" style="344"/>
    <col min="6143" max="6143" width="15.875" style="344" customWidth="1"/>
    <col min="6144" max="6144" width="14.625" style="344" customWidth="1"/>
    <col min="6145" max="6145" width="13.75" style="344" customWidth="1"/>
    <col min="6146" max="6146" width="13.25" style="344" customWidth="1"/>
    <col min="6147" max="6147" width="19.625" style="344" customWidth="1"/>
    <col min="6148" max="6148" width="16.75" style="344" customWidth="1"/>
    <col min="6149" max="6149" width="6.625" style="344" customWidth="1"/>
    <col min="6150" max="6150" width="36.125" style="344" customWidth="1"/>
    <col min="6151" max="6170" width="6.625" style="344" customWidth="1"/>
    <col min="6171" max="6398" width="9" style="344"/>
    <col min="6399" max="6399" width="15.875" style="344" customWidth="1"/>
    <col min="6400" max="6400" width="14.625" style="344" customWidth="1"/>
    <col min="6401" max="6401" width="13.75" style="344" customWidth="1"/>
    <col min="6402" max="6402" width="13.25" style="344" customWidth="1"/>
    <col min="6403" max="6403" width="19.625" style="344" customWidth="1"/>
    <col min="6404" max="6404" width="16.75" style="344" customWidth="1"/>
    <col min="6405" max="6405" width="6.625" style="344" customWidth="1"/>
    <col min="6406" max="6406" width="36.125" style="344" customWidth="1"/>
    <col min="6407" max="6426" width="6.625" style="344" customWidth="1"/>
    <col min="6427" max="6654" width="9" style="344"/>
    <col min="6655" max="6655" width="15.875" style="344" customWidth="1"/>
    <col min="6656" max="6656" width="14.625" style="344" customWidth="1"/>
    <col min="6657" max="6657" width="13.75" style="344" customWidth="1"/>
    <col min="6658" max="6658" width="13.25" style="344" customWidth="1"/>
    <col min="6659" max="6659" width="19.625" style="344" customWidth="1"/>
    <col min="6660" max="6660" width="16.75" style="344" customWidth="1"/>
    <col min="6661" max="6661" width="6.625" style="344" customWidth="1"/>
    <col min="6662" max="6662" width="36.125" style="344" customWidth="1"/>
    <col min="6663" max="6682" width="6.625" style="344" customWidth="1"/>
    <col min="6683" max="6910" width="9" style="344"/>
    <col min="6911" max="6911" width="15.875" style="344" customWidth="1"/>
    <col min="6912" max="6912" width="14.625" style="344" customWidth="1"/>
    <col min="6913" max="6913" width="13.75" style="344" customWidth="1"/>
    <col min="6914" max="6914" width="13.25" style="344" customWidth="1"/>
    <col min="6915" max="6915" width="19.625" style="344" customWidth="1"/>
    <col min="6916" max="6916" width="16.75" style="344" customWidth="1"/>
    <col min="6917" max="6917" width="6.625" style="344" customWidth="1"/>
    <col min="6918" max="6918" width="36.125" style="344" customWidth="1"/>
    <col min="6919" max="6938" width="6.625" style="344" customWidth="1"/>
    <col min="6939" max="7166" width="9" style="344"/>
    <col min="7167" max="7167" width="15.875" style="344" customWidth="1"/>
    <col min="7168" max="7168" width="14.625" style="344" customWidth="1"/>
    <col min="7169" max="7169" width="13.75" style="344" customWidth="1"/>
    <col min="7170" max="7170" width="13.25" style="344" customWidth="1"/>
    <col min="7171" max="7171" width="19.625" style="344" customWidth="1"/>
    <col min="7172" max="7172" width="16.75" style="344" customWidth="1"/>
    <col min="7173" max="7173" width="6.625" style="344" customWidth="1"/>
    <col min="7174" max="7174" width="36.125" style="344" customWidth="1"/>
    <col min="7175" max="7194" width="6.625" style="344" customWidth="1"/>
    <col min="7195" max="7422" width="9" style="344"/>
    <col min="7423" max="7423" width="15.875" style="344" customWidth="1"/>
    <col min="7424" max="7424" width="14.625" style="344" customWidth="1"/>
    <col min="7425" max="7425" width="13.75" style="344" customWidth="1"/>
    <col min="7426" max="7426" width="13.25" style="344" customWidth="1"/>
    <col min="7427" max="7427" width="19.625" style="344" customWidth="1"/>
    <col min="7428" max="7428" width="16.75" style="344" customWidth="1"/>
    <col min="7429" max="7429" width="6.625" style="344" customWidth="1"/>
    <col min="7430" max="7430" width="36.125" style="344" customWidth="1"/>
    <col min="7431" max="7450" width="6.625" style="344" customWidth="1"/>
    <col min="7451" max="7678" width="9" style="344"/>
    <col min="7679" max="7679" width="15.875" style="344" customWidth="1"/>
    <col min="7680" max="7680" width="14.625" style="344" customWidth="1"/>
    <col min="7681" max="7681" width="13.75" style="344" customWidth="1"/>
    <col min="7682" max="7682" width="13.25" style="344" customWidth="1"/>
    <col min="7683" max="7683" width="19.625" style="344" customWidth="1"/>
    <col min="7684" max="7684" width="16.75" style="344" customWidth="1"/>
    <col min="7685" max="7685" width="6.625" style="344" customWidth="1"/>
    <col min="7686" max="7686" width="36.125" style="344" customWidth="1"/>
    <col min="7687" max="7706" width="6.625" style="344" customWidth="1"/>
    <col min="7707" max="7934" width="9" style="344"/>
    <col min="7935" max="7935" width="15.875" style="344" customWidth="1"/>
    <col min="7936" max="7936" width="14.625" style="344" customWidth="1"/>
    <col min="7937" max="7937" width="13.75" style="344" customWidth="1"/>
    <col min="7938" max="7938" width="13.25" style="344" customWidth="1"/>
    <col min="7939" max="7939" width="19.625" style="344" customWidth="1"/>
    <col min="7940" max="7940" width="16.75" style="344" customWidth="1"/>
    <col min="7941" max="7941" width="6.625" style="344" customWidth="1"/>
    <col min="7942" max="7942" width="36.125" style="344" customWidth="1"/>
    <col min="7943" max="7962" width="6.625" style="344" customWidth="1"/>
    <col min="7963" max="8190" width="9" style="344"/>
    <col min="8191" max="8191" width="15.875" style="344" customWidth="1"/>
    <col min="8192" max="8192" width="14.625" style="344" customWidth="1"/>
    <col min="8193" max="8193" width="13.75" style="344" customWidth="1"/>
    <col min="8194" max="8194" width="13.25" style="344" customWidth="1"/>
    <col min="8195" max="8195" width="19.625" style="344" customWidth="1"/>
    <col min="8196" max="8196" width="16.75" style="344" customWidth="1"/>
    <col min="8197" max="8197" width="6.625" style="344" customWidth="1"/>
    <col min="8198" max="8198" width="36.125" style="344" customWidth="1"/>
    <col min="8199" max="8218" width="6.625" style="344" customWidth="1"/>
    <col min="8219" max="8446" width="9" style="344"/>
    <col min="8447" max="8447" width="15.875" style="344" customWidth="1"/>
    <col min="8448" max="8448" width="14.625" style="344" customWidth="1"/>
    <col min="8449" max="8449" width="13.75" style="344" customWidth="1"/>
    <col min="8450" max="8450" width="13.25" style="344" customWidth="1"/>
    <col min="8451" max="8451" width="19.625" style="344" customWidth="1"/>
    <col min="8452" max="8452" width="16.75" style="344" customWidth="1"/>
    <col min="8453" max="8453" width="6.625" style="344" customWidth="1"/>
    <col min="8454" max="8454" width="36.125" style="344" customWidth="1"/>
    <col min="8455" max="8474" width="6.625" style="344" customWidth="1"/>
    <col min="8475" max="8702" width="9" style="344"/>
    <col min="8703" max="8703" width="15.875" style="344" customWidth="1"/>
    <col min="8704" max="8704" width="14.625" style="344" customWidth="1"/>
    <col min="8705" max="8705" width="13.75" style="344" customWidth="1"/>
    <col min="8706" max="8706" width="13.25" style="344" customWidth="1"/>
    <col min="8707" max="8707" width="19.625" style="344" customWidth="1"/>
    <col min="8708" max="8708" width="16.75" style="344" customWidth="1"/>
    <col min="8709" max="8709" width="6.625" style="344" customWidth="1"/>
    <col min="8710" max="8710" width="36.125" style="344" customWidth="1"/>
    <col min="8711" max="8730" width="6.625" style="344" customWidth="1"/>
    <col min="8731" max="8958" width="9" style="344"/>
    <col min="8959" max="8959" width="15.875" style="344" customWidth="1"/>
    <col min="8960" max="8960" width="14.625" style="344" customWidth="1"/>
    <col min="8961" max="8961" width="13.75" style="344" customWidth="1"/>
    <col min="8962" max="8962" width="13.25" style="344" customWidth="1"/>
    <col min="8963" max="8963" width="19.625" style="344" customWidth="1"/>
    <col min="8964" max="8964" width="16.75" style="344" customWidth="1"/>
    <col min="8965" max="8965" width="6.625" style="344" customWidth="1"/>
    <col min="8966" max="8966" width="36.125" style="344" customWidth="1"/>
    <col min="8967" max="8986" width="6.625" style="344" customWidth="1"/>
    <col min="8987" max="9214" width="9" style="344"/>
    <col min="9215" max="9215" width="15.875" style="344" customWidth="1"/>
    <col min="9216" max="9216" width="14.625" style="344" customWidth="1"/>
    <col min="9217" max="9217" width="13.75" style="344" customWidth="1"/>
    <col min="9218" max="9218" width="13.25" style="344" customWidth="1"/>
    <col min="9219" max="9219" width="19.625" style="344" customWidth="1"/>
    <col min="9220" max="9220" width="16.75" style="344" customWidth="1"/>
    <col min="9221" max="9221" width="6.625" style="344" customWidth="1"/>
    <col min="9222" max="9222" width="36.125" style="344" customWidth="1"/>
    <col min="9223" max="9242" width="6.625" style="344" customWidth="1"/>
    <col min="9243" max="9470" width="9" style="344"/>
    <col min="9471" max="9471" width="15.875" style="344" customWidth="1"/>
    <col min="9472" max="9472" width="14.625" style="344" customWidth="1"/>
    <col min="9473" max="9473" width="13.75" style="344" customWidth="1"/>
    <col min="9474" max="9474" width="13.25" style="344" customWidth="1"/>
    <col min="9475" max="9475" width="19.625" style="344" customWidth="1"/>
    <col min="9476" max="9476" width="16.75" style="344" customWidth="1"/>
    <col min="9477" max="9477" width="6.625" style="344" customWidth="1"/>
    <col min="9478" max="9478" width="36.125" style="344" customWidth="1"/>
    <col min="9479" max="9498" width="6.625" style="344" customWidth="1"/>
    <col min="9499" max="9726" width="9" style="344"/>
    <col min="9727" max="9727" width="15.875" style="344" customWidth="1"/>
    <col min="9728" max="9728" width="14.625" style="344" customWidth="1"/>
    <col min="9729" max="9729" width="13.75" style="344" customWidth="1"/>
    <col min="9730" max="9730" width="13.25" style="344" customWidth="1"/>
    <col min="9731" max="9731" width="19.625" style="344" customWidth="1"/>
    <col min="9732" max="9732" width="16.75" style="344" customWidth="1"/>
    <col min="9733" max="9733" width="6.625" style="344" customWidth="1"/>
    <col min="9734" max="9734" width="36.125" style="344" customWidth="1"/>
    <col min="9735" max="9754" width="6.625" style="344" customWidth="1"/>
    <col min="9755" max="9982" width="9" style="344"/>
    <col min="9983" max="9983" width="15.875" style="344" customWidth="1"/>
    <col min="9984" max="9984" width="14.625" style="344" customWidth="1"/>
    <col min="9985" max="9985" width="13.75" style="344" customWidth="1"/>
    <col min="9986" max="9986" width="13.25" style="344" customWidth="1"/>
    <col min="9987" max="9987" width="19.625" style="344" customWidth="1"/>
    <col min="9988" max="9988" width="16.75" style="344" customWidth="1"/>
    <col min="9989" max="9989" width="6.625" style="344" customWidth="1"/>
    <col min="9990" max="9990" width="36.125" style="344" customWidth="1"/>
    <col min="9991" max="10010" width="6.625" style="344" customWidth="1"/>
    <col min="10011" max="10238" width="9" style="344"/>
    <col min="10239" max="10239" width="15.875" style="344" customWidth="1"/>
    <col min="10240" max="10240" width="14.625" style="344" customWidth="1"/>
    <col min="10241" max="10241" width="13.75" style="344" customWidth="1"/>
    <col min="10242" max="10242" width="13.25" style="344" customWidth="1"/>
    <col min="10243" max="10243" width="19.625" style="344" customWidth="1"/>
    <col min="10244" max="10244" width="16.75" style="344" customWidth="1"/>
    <col min="10245" max="10245" width="6.625" style="344" customWidth="1"/>
    <col min="10246" max="10246" width="36.125" style="344" customWidth="1"/>
    <col min="10247" max="10266" width="6.625" style="344" customWidth="1"/>
    <col min="10267" max="10494" width="9" style="344"/>
    <col min="10495" max="10495" width="15.875" style="344" customWidth="1"/>
    <col min="10496" max="10496" width="14.625" style="344" customWidth="1"/>
    <col min="10497" max="10497" width="13.75" style="344" customWidth="1"/>
    <col min="10498" max="10498" width="13.25" style="344" customWidth="1"/>
    <col min="10499" max="10499" width="19.625" style="344" customWidth="1"/>
    <col min="10500" max="10500" width="16.75" style="344" customWidth="1"/>
    <col min="10501" max="10501" width="6.625" style="344" customWidth="1"/>
    <col min="10502" max="10502" width="36.125" style="344" customWidth="1"/>
    <col min="10503" max="10522" width="6.625" style="344" customWidth="1"/>
    <col min="10523" max="10750" width="9" style="344"/>
    <col min="10751" max="10751" width="15.875" style="344" customWidth="1"/>
    <col min="10752" max="10752" width="14.625" style="344" customWidth="1"/>
    <col min="10753" max="10753" width="13.75" style="344" customWidth="1"/>
    <col min="10754" max="10754" width="13.25" style="344" customWidth="1"/>
    <col min="10755" max="10755" width="19.625" style="344" customWidth="1"/>
    <col min="10756" max="10756" width="16.75" style="344" customWidth="1"/>
    <col min="10757" max="10757" width="6.625" style="344" customWidth="1"/>
    <col min="10758" max="10758" width="36.125" style="344" customWidth="1"/>
    <col min="10759" max="10778" width="6.625" style="344" customWidth="1"/>
    <col min="10779" max="11006" width="9" style="344"/>
    <col min="11007" max="11007" width="15.875" style="344" customWidth="1"/>
    <col min="11008" max="11008" width="14.625" style="344" customWidth="1"/>
    <col min="11009" max="11009" width="13.75" style="344" customWidth="1"/>
    <col min="11010" max="11010" width="13.25" style="344" customWidth="1"/>
    <col min="11011" max="11011" width="19.625" style="344" customWidth="1"/>
    <col min="11012" max="11012" width="16.75" style="344" customWidth="1"/>
    <col min="11013" max="11013" width="6.625" style="344" customWidth="1"/>
    <col min="11014" max="11014" width="36.125" style="344" customWidth="1"/>
    <col min="11015" max="11034" width="6.625" style="344" customWidth="1"/>
    <col min="11035" max="11262" width="9" style="344"/>
    <col min="11263" max="11263" width="15.875" style="344" customWidth="1"/>
    <col min="11264" max="11264" width="14.625" style="344" customWidth="1"/>
    <col min="11265" max="11265" width="13.75" style="344" customWidth="1"/>
    <col min="11266" max="11266" width="13.25" style="344" customWidth="1"/>
    <col min="11267" max="11267" width="19.625" style="344" customWidth="1"/>
    <col min="11268" max="11268" width="16.75" style="344" customWidth="1"/>
    <col min="11269" max="11269" width="6.625" style="344" customWidth="1"/>
    <col min="11270" max="11270" width="36.125" style="344" customWidth="1"/>
    <col min="11271" max="11290" width="6.625" style="344" customWidth="1"/>
    <col min="11291" max="11518" width="9" style="344"/>
    <col min="11519" max="11519" width="15.875" style="344" customWidth="1"/>
    <col min="11520" max="11520" width="14.625" style="344" customWidth="1"/>
    <col min="11521" max="11521" width="13.75" style="344" customWidth="1"/>
    <col min="11522" max="11522" width="13.25" style="344" customWidth="1"/>
    <col min="11523" max="11523" width="19.625" style="344" customWidth="1"/>
    <col min="11524" max="11524" width="16.75" style="344" customWidth="1"/>
    <col min="11525" max="11525" width="6.625" style="344" customWidth="1"/>
    <col min="11526" max="11526" width="36.125" style="344" customWidth="1"/>
    <col min="11527" max="11546" width="6.625" style="344" customWidth="1"/>
    <col min="11547" max="11774" width="9" style="344"/>
    <col min="11775" max="11775" width="15.875" style="344" customWidth="1"/>
    <col min="11776" max="11776" width="14.625" style="344" customWidth="1"/>
    <col min="11777" max="11777" width="13.75" style="344" customWidth="1"/>
    <col min="11778" max="11778" width="13.25" style="344" customWidth="1"/>
    <col min="11779" max="11779" width="19.625" style="344" customWidth="1"/>
    <col min="11780" max="11780" width="16.75" style="344" customWidth="1"/>
    <col min="11781" max="11781" width="6.625" style="344" customWidth="1"/>
    <col min="11782" max="11782" width="36.125" style="344" customWidth="1"/>
    <col min="11783" max="11802" width="6.625" style="344" customWidth="1"/>
    <col min="11803" max="12030" width="9" style="344"/>
    <col min="12031" max="12031" width="15.875" style="344" customWidth="1"/>
    <col min="12032" max="12032" width="14.625" style="344" customWidth="1"/>
    <col min="12033" max="12033" width="13.75" style="344" customWidth="1"/>
    <col min="12034" max="12034" width="13.25" style="344" customWidth="1"/>
    <col min="12035" max="12035" width="19.625" style="344" customWidth="1"/>
    <col min="12036" max="12036" width="16.75" style="344" customWidth="1"/>
    <col min="12037" max="12037" width="6.625" style="344" customWidth="1"/>
    <col min="12038" max="12038" width="36.125" style="344" customWidth="1"/>
    <col min="12039" max="12058" width="6.625" style="344" customWidth="1"/>
    <col min="12059" max="12286" width="9" style="344"/>
    <col min="12287" max="12287" width="15.875" style="344" customWidth="1"/>
    <col min="12288" max="12288" width="14.625" style="344" customWidth="1"/>
    <col min="12289" max="12289" width="13.75" style="344" customWidth="1"/>
    <col min="12290" max="12290" width="13.25" style="344" customWidth="1"/>
    <col min="12291" max="12291" width="19.625" style="344" customWidth="1"/>
    <col min="12292" max="12292" width="16.75" style="344" customWidth="1"/>
    <col min="12293" max="12293" width="6.625" style="344" customWidth="1"/>
    <col min="12294" max="12294" width="36.125" style="344" customWidth="1"/>
    <col min="12295" max="12314" width="6.625" style="344" customWidth="1"/>
    <col min="12315" max="12542" width="9" style="344"/>
    <col min="12543" max="12543" width="15.875" style="344" customWidth="1"/>
    <col min="12544" max="12544" width="14.625" style="344" customWidth="1"/>
    <col min="12545" max="12545" width="13.75" style="344" customWidth="1"/>
    <col min="12546" max="12546" width="13.25" style="344" customWidth="1"/>
    <col min="12547" max="12547" width="19.625" style="344" customWidth="1"/>
    <col min="12548" max="12548" width="16.75" style="344" customWidth="1"/>
    <col min="12549" max="12549" width="6.625" style="344" customWidth="1"/>
    <col min="12550" max="12550" width="36.125" style="344" customWidth="1"/>
    <col min="12551" max="12570" width="6.625" style="344" customWidth="1"/>
    <col min="12571" max="12798" width="9" style="344"/>
    <col min="12799" max="12799" width="15.875" style="344" customWidth="1"/>
    <col min="12800" max="12800" width="14.625" style="344" customWidth="1"/>
    <col min="12801" max="12801" width="13.75" style="344" customWidth="1"/>
    <col min="12802" max="12802" width="13.25" style="344" customWidth="1"/>
    <col min="12803" max="12803" width="19.625" style="344" customWidth="1"/>
    <col min="12804" max="12804" width="16.75" style="344" customWidth="1"/>
    <col min="12805" max="12805" width="6.625" style="344" customWidth="1"/>
    <col min="12806" max="12806" width="36.125" style="344" customWidth="1"/>
    <col min="12807" max="12826" width="6.625" style="344" customWidth="1"/>
    <col min="12827" max="13054" width="9" style="344"/>
    <col min="13055" max="13055" width="15.875" style="344" customWidth="1"/>
    <col min="13056" max="13056" width="14.625" style="344" customWidth="1"/>
    <col min="13057" max="13057" width="13.75" style="344" customWidth="1"/>
    <col min="13058" max="13058" width="13.25" style="344" customWidth="1"/>
    <col min="13059" max="13059" width="19.625" style="344" customWidth="1"/>
    <col min="13060" max="13060" width="16.75" style="344" customWidth="1"/>
    <col min="13061" max="13061" width="6.625" style="344" customWidth="1"/>
    <col min="13062" max="13062" width="36.125" style="344" customWidth="1"/>
    <col min="13063" max="13082" width="6.625" style="344" customWidth="1"/>
    <col min="13083" max="13310" width="9" style="344"/>
    <col min="13311" max="13311" width="15.875" style="344" customWidth="1"/>
    <col min="13312" max="13312" width="14.625" style="344" customWidth="1"/>
    <col min="13313" max="13313" width="13.75" style="344" customWidth="1"/>
    <col min="13314" max="13314" width="13.25" style="344" customWidth="1"/>
    <col min="13315" max="13315" width="19.625" style="344" customWidth="1"/>
    <col min="13316" max="13316" width="16.75" style="344" customWidth="1"/>
    <col min="13317" max="13317" width="6.625" style="344" customWidth="1"/>
    <col min="13318" max="13318" width="36.125" style="344" customWidth="1"/>
    <col min="13319" max="13338" width="6.625" style="344" customWidth="1"/>
    <col min="13339" max="13566" width="9" style="344"/>
    <col min="13567" max="13567" width="15.875" style="344" customWidth="1"/>
    <col min="13568" max="13568" width="14.625" style="344" customWidth="1"/>
    <col min="13569" max="13569" width="13.75" style="344" customWidth="1"/>
    <col min="13570" max="13570" width="13.25" style="344" customWidth="1"/>
    <col min="13571" max="13571" width="19.625" style="344" customWidth="1"/>
    <col min="13572" max="13572" width="16.75" style="344" customWidth="1"/>
    <col min="13573" max="13573" width="6.625" style="344" customWidth="1"/>
    <col min="13574" max="13574" width="36.125" style="344" customWidth="1"/>
    <col min="13575" max="13594" width="6.625" style="344" customWidth="1"/>
    <col min="13595" max="13822" width="9" style="344"/>
    <col min="13823" max="13823" width="15.875" style="344" customWidth="1"/>
    <col min="13824" max="13824" width="14.625" style="344" customWidth="1"/>
    <col min="13825" max="13825" width="13.75" style="344" customWidth="1"/>
    <col min="13826" max="13826" width="13.25" style="344" customWidth="1"/>
    <col min="13827" max="13827" width="19.625" style="344" customWidth="1"/>
    <col min="13828" max="13828" width="16.75" style="344" customWidth="1"/>
    <col min="13829" max="13829" width="6.625" style="344" customWidth="1"/>
    <col min="13830" max="13830" width="36.125" style="344" customWidth="1"/>
    <col min="13831" max="13850" width="6.625" style="344" customWidth="1"/>
    <col min="13851" max="14078" width="9" style="344"/>
    <col min="14079" max="14079" width="15.875" style="344" customWidth="1"/>
    <col min="14080" max="14080" width="14.625" style="344" customWidth="1"/>
    <col min="14081" max="14081" width="13.75" style="344" customWidth="1"/>
    <col min="14082" max="14082" width="13.25" style="344" customWidth="1"/>
    <col min="14083" max="14083" width="19.625" style="344" customWidth="1"/>
    <col min="14084" max="14084" width="16.75" style="344" customWidth="1"/>
    <col min="14085" max="14085" width="6.625" style="344" customWidth="1"/>
    <col min="14086" max="14086" width="36.125" style="344" customWidth="1"/>
    <col min="14087" max="14106" width="6.625" style="344" customWidth="1"/>
    <col min="14107" max="14334" width="9" style="344"/>
    <col min="14335" max="14335" width="15.875" style="344" customWidth="1"/>
    <col min="14336" max="14336" width="14.625" style="344" customWidth="1"/>
    <col min="14337" max="14337" width="13.75" style="344" customWidth="1"/>
    <col min="14338" max="14338" width="13.25" style="344" customWidth="1"/>
    <col min="14339" max="14339" width="19.625" style="344" customWidth="1"/>
    <col min="14340" max="14340" width="16.75" style="344" customWidth="1"/>
    <col min="14341" max="14341" width="6.625" style="344" customWidth="1"/>
    <col min="14342" max="14342" width="36.125" style="344" customWidth="1"/>
    <col min="14343" max="14362" width="6.625" style="344" customWidth="1"/>
    <col min="14363" max="14590" width="9" style="344"/>
    <col min="14591" max="14591" width="15.875" style="344" customWidth="1"/>
    <col min="14592" max="14592" width="14.625" style="344" customWidth="1"/>
    <col min="14593" max="14593" width="13.75" style="344" customWidth="1"/>
    <col min="14594" max="14594" width="13.25" style="344" customWidth="1"/>
    <col min="14595" max="14595" width="19.625" style="344" customWidth="1"/>
    <col min="14596" max="14596" width="16.75" style="344" customWidth="1"/>
    <col min="14597" max="14597" width="6.625" style="344" customWidth="1"/>
    <col min="14598" max="14598" width="36.125" style="344" customWidth="1"/>
    <col min="14599" max="14618" width="6.625" style="344" customWidth="1"/>
    <col min="14619" max="14846" width="9" style="344"/>
    <col min="14847" max="14847" width="15.875" style="344" customWidth="1"/>
    <col min="14848" max="14848" width="14.625" style="344" customWidth="1"/>
    <col min="14849" max="14849" width="13.75" style="344" customWidth="1"/>
    <col min="14850" max="14850" width="13.25" style="344" customWidth="1"/>
    <col min="14851" max="14851" width="19.625" style="344" customWidth="1"/>
    <col min="14852" max="14852" width="16.75" style="344" customWidth="1"/>
    <col min="14853" max="14853" width="6.625" style="344" customWidth="1"/>
    <col min="14854" max="14854" width="36.125" style="344" customWidth="1"/>
    <col min="14855" max="14874" width="6.625" style="344" customWidth="1"/>
    <col min="14875" max="15102" width="9" style="344"/>
    <col min="15103" max="15103" width="15.875" style="344" customWidth="1"/>
    <col min="15104" max="15104" width="14.625" style="344" customWidth="1"/>
    <col min="15105" max="15105" width="13.75" style="344" customWidth="1"/>
    <col min="15106" max="15106" width="13.25" style="344" customWidth="1"/>
    <col min="15107" max="15107" width="19.625" style="344" customWidth="1"/>
    <col min="15108" max="15108" width="16.75" style="344" customWidth="1"/>
    <col min="15109" max="15109" width="6.625" style="344" customWidth="1"/>
    <col min="15110" max="15110" width="36.125" style="344" customWidth="1"/>
    <col min="15111" max="15130" width="6.625" style="344" customWidth="1"/>
    <col min="15131" max="15358" width="9" style="344"/>
    <col min="15359" max="15359" width="15.875" style="344" customWidth="1"/>
    <col min="15360" max="15360" width="14.625" style="344" customWidth="1"/>
    <col min="15361" max="15361" width="13.75" style="344" customWidth="1"/>
    <col min="15362" max="15362" width="13.25" style="344" customWidth="1"/>
    <col min="15363" max="15363" width="19.625" style="344" customWidth="1"/>
    <col min="15364" max="15364" width="16.75" style="344" customWidth="1"/>
    <col min="15365" max="15365" width="6.625" style="344" customWidth="1"/>
    <col min="15366" max="15366" width="36.125" style="344" customWidth="1"/>
    <col min="15367" max="15386" width="6.625" style="344" customWidth="1"/>
    <col min="15387" max="15614" width="9" style="344"/>
    <col min="15615" max="15615" width="15.875" style="344" customWidth="1"/>
    <col min="15616" max="15616" width="14.625" style="344" customWidth="1"/>
    <col min="15617" max="15617" width="13.75" style="344" customWidth="1"/>
    <col min="15618" max="15618" width="13.25" style="344" customWidth="1"/>
    <col min="15619" max="15619" width="19.625" style="344" customWidth="1"/>
    <col min="15620" max="15620" width="16.75" style="344" customWidth="1"/>
    <col min="15621" max="15621" width="6.625" style="344" customWidth="1"/>
    <col min="15622" max="15622" width="36.125" style="344" customWidth="1"/>
    <col min="15623" max="15642" width="6.625" style="344" customWidth="1"/>
    <col min="15643" max="15870" width="9" style="344"/>
    <col min="15871" max="15871" width="15.875" style="344" customWidth="1"/>
    <col min="15872" max="15872" width="14.625" style="344" customWidth="1"/>
    <col min="15873" max="15873" width="13.75" style="344" customWidth="1"/>
    <col min="15874" max="15874" width="13.25" style="344" customWidth="1"/>
    <col min="15875" max="15875" width="19.625" style="344" customWidth="1"/>
    <col min="15876" max="15876" width="16.75" style="344" customWidth="1"/>
    <col min="15877" max="15877" width="6.625" style="344" customWidth="1"/>
    <col min="15878" max="15878" width="36.125" style="344" customWidth="1"/>
    <col min="15879" max="15898" width="6.625" style="344" customWidth="1"/>
    <col min="15899" max="16126" width="9" style="344"/>
    <col min="16127" max="16127" width="15.875" style="344" customWidth="1"/>
    <col min="16128" max="16128" width="14.625" style="344" customWidth="1"/>
    <col min="16129" max="16129" width="13.75" style="344" customWidth="1"/>
    <col min="16130" max="16130" width="13.25" style="344" customWidth="1"/>
    <col min="16131" max="16131" width="19.625" style="344" customWidth="1"/>
    <col min="16132" max="16132" width="16.75" style="344" customWidth="1"/>
    <col min="16133" max="16133" width="6.625" style="344" customWidth="1"/>
    <col min="16134" max="16134" width="36.125" style="344" customWidth="1"/>
    <col min="16135" max="16154" width="6.625" style="344" customWidth="1"/>
    <col min="16155" max="16384" width="9" style="344"/>
  </cols>
  <sheetData>
    <row r="1" spans="1:17" ht="20.100000000000001" customHeight="1">
      <c r="A1" s="625" t="s">
        <v>743</v>
      </c>
      <c r="B1" s="625"/>
      <c r="C1" s="625"/>
      <c r="D1" s="625"/>
      <c r="E1" s="625"/>
      <c r="F1" s="625"/>
      <c r="G1" s="625"/>
    </row>
    <row r="2" spans="1:17" ht="20.100000000000001" customHeight="1">
      <c r="A2" s="625"/>
      <c r="B2" s="625"/>
      <c r="C2" s="625"/>
      <c r="D2" s="625"/>
      <c r="E2" s="625"/>
      <c r="F2" s="625"/>
      <c r="G2" s="625"/>
    </row>
    <row r="3" spans="1:17" ht="30" customHeight="1">
      <c r="A3" s="345" t="s">
        <v>702</v>
      </c>
      <c r="B3" s="626" t="str">
        <f>청구서!G3</f>
        <v>고색2지구 공원 및 공공공지 조성공사</v>
      </c>
      <c r="C3" s="626"/>
      <c r="D3" s="626"/>
      <c r="E3" s="626"/>
      <c r="F3" s="626"/>
      <c r="G3" s="626"/>
    </row>
    <row r="4" spans="1:17" s="347" customFormat="1" ht="20.100000000000001" customHeight="1">
      <c r="A4" s="346" t="s">
        <v>703</v>
      </c>
      <c r="B4" s="346" t="s">
        <v>704</v>
      </c>
      <c r="C4" s="346" t="s">
        <v>705</v>
      </c>
      <c r="D4" s="346" t="s">
        <v>706</v>
      </c>
      <c r="E4" s="346" t="s">
        <v>507</v>
      </c>
      <c r="F4" s="346" t="s">
        <v>7</v>
      </c>
      <c r="G4" s="346" t="s">
        <v>707</v>
      </c>
    </row>
    <row r="5" spans="1:17" ht="20.100000000000001" customHeight="1">
      <c r="A5" s="348" t="str">
        <f>청구서!O35</f>
        <v>부강종합건설㈜</v>
      </c>
      <c r="B5" s="349" t="str">
        <f>IFERROR(VLOOKUP(C5,주소록!$A$4:$L$305,2,0)," ")</f>
        <v>작업반장</v>
      </c>
      <c r="C5" s="350" t="str">
        <f>주소록!A4</f>
        <v>오부택</v>
      </c>
      <c r="D5" s="349" t="str">
        <f>IFERROR(VLOOKUP(C5,급여!$A$3:$M$127,6,0)," ")</f>
        <v xml:space="preserve"> </v>
      </c>
      <c r="E5" s="349" t="str">
        <f>IFERROR(VLOOKUP(C5,주소록!$A$4:$L$305,7,0)," ")</f>
        <v>농협중앙회</v>
      </c>
      <c r="F5" s="349" t="str">
        <f>IFERROR(VLOOKUP(C5,주소록!$A$4:$L$305,8,0)," ")</f>
        <v>204030-56-159309</v>
      </c>
      <c r="G5" s="349" t="str">
        <f>IFERROR(VLOOKUP(C5,주소록!$A$4:$L$305,5,0)," ")</f>
        <v>010-8783-1657</v>
      </c>
      <c r="H5" s="627" t="s">
        <v>758</v>
      </c>
      <c r="I5" s="628"/>
      <c r="J5" s="628"/>
      <c r="K5" s="628"/>
      <c r="L5" s="628"/>
      <c r="M5" s="628"/>
      <c r="N5" s="628"/>
      <c r="O5" s="628"/>
      <c r="P5" s="628"/>
      <c r="Q5" s="628"/>
    </row>
    <row r="6" spans="1:17" ht="20.100000000000001" customHeight="1">
      <c r="A6" s="348"/>
      <c r="B6" s="349" t="str">
        <f>IFERROR(VLOOKUP(C6,주소록!$A$4:$L$305,2,0)," ")</f>
        <v>조경공</v>
      </c>
      <c r="C6" s="350" t="str">
        <f>주소록!A5</f>
        <v>하해군</v>
      </c>
      <c r="D6" s="349" t="str">
        <f>IFERROR(VLOOKUP(C6,급여!$A$3:$M$127,6,0)," ")</f>
        <v xml:space="preserve"> </v>
      </c>
      <c r="E6" s="349" t="str">
        <f>IFERROR(VLOOKUP(C6,주소록!$A$4:$L$305,7,0)," ")</f>
        <v>농협중앙회</v>
      </c>
      <c r="F6" s="349" t="str">
        <f>IFERROR(VLOOKUP(C6,주소록!$A$4:$L$305,8,0)," ")</f>
        <v>352-0964-6051-63</v>
      </c>
      <c r="G6" s="349" t="str">
        <f>IFERROR(VLOOKUP(C6,주소록!$A$4:$L$305,5,0)," ")</f>
        <v>010-4993-9423</v>
      </c>
      <c r="H6" s="627"/>
      <c r="I6" s="628"/>
      <c r="J6" s="628"/>
      <c r="K6" s="628"/>
      <c r="L6" s="628"/>
      <c r="M6" s="628"/>
      <c r="N6" s="628"/>
      <c r="O6" s="628"/>
      <c r="P6" s="628"/>
      <c r="Q6" s="628"/>
    </row>
    <row r="7" spans="1:17" ht="20.100000000000001" customHeight="1">
      <c r="A7" s="348"/>
      <c r="B7" s="349" t="str">
        <f>IFERROR(VLOOKUP(C7,주소록!$A$4:$L$305,2,0)," ")</f>
        <v>조경공</v>
      </c>
      <c r="C7" s="350" t="str">
        <f>주소록!A6</f>
        <v>유수진</v>
      </c>
      <c r="D7" s="349" t="str">
        <f>IFERROR(VLOOKUP(C7,급여!$A$3:$M$127,6,0)," ")</f>
        <v xml:space="preserve"> </v>
      </c>
      <c r="E7" s="349" t="str">
        <f>IFERROR(VLOOKUP(C7,주소록!$A$4:$L$305,7,0)," ")</f>
        <v>국민은행</v>
      </c>
      <c r="F7" s="349" t="str">
        <f>IFERROR(VLOOKUP(C7,주소록!$A$4:$L$305,8,0)," ")</f>
        <v>352601-01-213053</v>
      </c>
      <c r="G7" s="349" t="str">
        <f>IFERROR(VLOOKUP(C7,주소록!$A$4:$L$305,5,0)," ")</f>
        <v>010-3124-2716</v>
      </c>
      <c r="H7" s="627"/>
      <c r="I7" s="628"/>
      <c r="J7" s="628"/>
      <c r="K7" s="628"/>
      <c r="L7" s="628"/>
      <c r="M7" s="628"/>
      <c r="N7" s="628"/>
      <c r="O7" s="628"/>
      <c r="P7" s="628"/>
      <c r="Q7" s="628"/>
    </row>
    <row r="8" spans="1:17" ht="20.100000000000001" customHeight="1">
      <c r="A8" s="348"/>
      <c r="B8" s="349" t="str">
        <f>IFERROR(VLOOKUP(C8,주소록!$A$4:$L$305,2,0)," ")</f>
        <v xml:space="preserve"> </v>
      </c>
      <c r="C8" s="350" t="s">
        <v>639</v>
      </c>
      <c r="D8" s="349" t="str">
        <f>IFERROR(VLOOKUP(C8,급여!$A$3:$M$127,6,0)," ")</f>
        <v xml:space="preserve"> </v>
      </c>
      <c r="E8" s="349" t="str">
        <f>IFERROR(VLOOKUP(C8,주소록!$A$4:$L$305,7,0)," ")</f>
        <v xml:space="preserve"> </v>
      </c>
      <c r="F8" s="349" t="str">
        <f>IFERROR(VLOOKUP(C8,주소록!$A$4:$L$305,8,0)," ")</f>
        <v xml:space="preserve"> </v>
      </c>
      <c r="G8" s="349" t="str">
        <f>IFERROR(VLOOKUP(C8,주소록!$A$4:$L$305,5,0)," ")</f>
        <v xml:space="preserve"> </v>
      </c>
      <c r="H8" s="627"/>
      <c r="I8" s="628"/>
      <c r="J8" s="628"/>
      <c r="K8" s="628"/>
      <c r="L8" s="628"/>
      <c r="M8" s="628"/>
      <c r="N8" s="628"/>
      <c r="O8" s="628"/>
      <c r="P8" s="628"/>
      <c r="Q8" s="628"/>
    </row>
    <row r="9" spans="1:17" ht="20.100000000000001" customHeight="1">
      <c r="A9" s="348"/>
      <c r="B9" s="349" t="str">
        <f>IFERROR(VLOOKUP(C9,주소록!$A$4:$L$305,2,0)," ")</f>
        <v>조경공</v>
      </c>
      <c r="C9" s="350" t="str">
        <f>주소록!A8</f>
        <v>유광열</v>
      </c>
      <c r="D9" s="349" t="str">
        <f>IFERROR(VLOOKUP(C9,급여!$A$3:$M$127,6,0)," ")</f>
        <v xml:space="preserve"> </v>
      </c>
      <c r="E9" s="349" t="str">
        <f>IFERROR(VLOOKUP(C9,주소록!$A$4:$L$305,7,0)," ")</f>
        <v>국민은행</v>
      </c>
      <c r="F9" s="349" t="str">
        <f>IFERROR(VLOOKUP(C9,주소록!$A$4:$L$305,8,0)," ")</f>
        <v>420802-01-297649</v>
      </c>
      <c r="G9" s="349" t="str">
        <f>IFERROR(VLOOKUP(C9,주소록!$A$4:$L$305,5,0)," ")</f>
        <v>010-8750-3852</v>
      </c>
      <c r="H9" s="627"/>
      <c r="I9" s="628"/>
      <c r="J9" s="628"/>
      <c r="K9" s="628"/>
      <c r="L9" s="628"/>
      <c r="M9" s="628"/>
      <c r="N9" s="628"/>
      <c r="O9" s="628"/>
      <c r="P9" s="628"/>
      <c r="Q9" s="628"/>
    </row>
    <row r="10" spans="1:17" ht="20.100000000000001" customHeight="1">
      <c r="A10" s="348"/>
      <c r="B10" s="349" t="str">
        <f>IFERROR(VLOOKUP(C10,주소록!$A$4:$L$305,2,0)," ")</f>
        <v>조경공</v>
      </c>
      <c r="C10" s="350" t="str">
        <f>주소록!A9</f>
        <v>현영석</v>
      </c>
      <c r="D10" s="349" t="str">
        <f>IFERROR(VLOOKUP(C10,급여!$A$3:$M$127,6,0)," ")</f>
        <v xml:space="preserve"> </v>
      </c>
      <c r="E10" s="349" t="str">
        <f>IFERROR(VLOOKUP(C10,주소록!$A$4:$L$305,7,0)," ")</f>
        <v>우리은행</v>
      </c>
      <c r="F10" s="349" t="str">
        <f>IFERROR(VLOOKUP(C10,주소록!$A$4:$L$305,8,0)," ")</f>
        <v>1002-209-949780</v>
      </c>
      <c r="G10" s="349" t="str">
        <f>IFERROR(VLOOKUP(C10,주소록!$A$4:$L$305,5,0)," ")</f>
        <v>010-5335-3740</v>
      </c>
      <c r="H10" s="627"/>
      <c r="I10" s="628"/>
      <c r="J10" s="628"/>
      <c r="K10" s="628"/>
      <c r="L10" s="628"/>
      <c r="M10" s="628"/>
      <c r="N10" s="628"/>
      <c r="O10" s="628"/>
      <c r="P10" s="628"/>
      <c r="Q10" s="628"/>
    </row>
    <row r="11" spans="1:17" ht="20.100000000000001" customHeight="1">
      <c r="A11" s="348"/>
      <c r="B11" s="349" t="str">
        <f>IFERROR(VLOOKUP(C11,주소록!$A$4:$L$305,2,0)," ")</f>
        <v>조경공</v>
      </c>
      <c r="C11" s="350" t="str">
        <f>주소록!A10</f>
        <v>김성배</v>
      </c>
      <c r="D11" s="349" t="str">
        <f>IFERROR(VLOOKUP(C11,급여!$A$3:$M$127,6,0)," ")</f>
        <v xml:space="preserve"> </v>
      </c>
      <c r="E11" s="349" t="str">
        <f>IFERROR(VLOOKUP(C11,주소록!$A$4:$L$305,7,0)," ")</f>
        <v>기업은행</v>
      </c>
      <c r="F11" s="349" t="str">
        <f>IFERROR(VLOOKUP(C11,주소록!$A$4:$L$305,8,0)," ")</f>
        <v>139-018946-02-039</v>
      </c>
      <c r="G11" s="349" t="str">
        <f>IFERROR(VLOOKUP(C11,주소록!$A$4:$L$305,5,0)," ")</f>
        <v>010-2084-1165</v>
      </c>
    </row>
    <row r="12" spans="1:17" ht="20.100000000000001" customHeight="1">
      <c r="A12" s="348"/>
      <c r="B12" s="349" t="str">
        <f>IFERROR(VLOOKUP(C12,주소록!$A$4:$L$305,2,0)," ")</f>
        <v>조경공</v>
      </c>
      <c r="C12" s="350" t="str">
        <f>주소록!A11</f>
        <v>민경식</v>
      </c>
      <c r="D12" s="349" t="str">
        <f>IFERROR(VLOOKUP(C12,급여!$A$3:$M$127,6,0)," ")</f>
        <v xml:space="preserve"> </v>
      </c>
      <c r="E12" s="349" t="str">
        <f>IFERROR(VLOOKUP(C12,주소록!$A$4:$L$305,7,0)," ")</f>
        <v>신한은행</v>
      </c>
      <c r="F12" s="349" t="str">
        <f>IFERROR(VLOOKUP(C12,주소록!$A$4:$L$305,8,0)," ")</f>
        <v>110-065-529493</v>
      </c>
      <c r="G12" s="349" t="str">
        <f>IFERROR(VLOOKUP(C12,주소록!$A$4:$L$305,5,0)," ")</f>
        <v>010-4253-6883</v>
      </c>
    </row>
    <row r="13" spans="1:17" ht="20.100000000000001" customHeight="1">
      <c r="A13" s="348"/>
      <c r="B13" s="349" t="str">
        <f>IFERROR(VLOOKUP(C13,주소록!$A$4:$L$305,2,0)," ")</f>
        <v>보통인부</v>
      </c>
      <c r="C13" s="350" t="str">
        <f>주소록!A12</f>
        <v>문순철</v>
      </c>
      <c r="D13" s="349" t="str">
        <f>IFERROR(VLOOKUP(C13,급여!$A$3:$M$127,6,0)," ")</f>
        <v xml:space="preserve"> </v>
      </c>
      <c r="E13" s="349" t="str">
        <f>IFERROR(VLOOKUP(C13,주소록!$A$4:$L$305,7,0)," ")</f>
        <v>농협중앙회</v>
      </c>
      <c r="F13" s="349" t="str">
        <f>IFERROR(VLOOKUP(C13,주소록!$A$4:$L$305,8,0)," ")</f>
        <v>302-1775-7802-51</v>
      </c>
      <c r="G13" s="349" t="str">
        <f>IFERROR(VLOOKUP(C13,주소록!$A$4:$L$305,5,0)," ")</f>
        <v>010-7963-6888</v>
      </c>
    </row>
    <row r="14" spans="1:17" ht="20.100000000000001" customHeight="1">
      <c r="A14" s="348"/>
      <c r="B14" s="349" t="str">
        <f>IFERROR(VLOOKUP(C14,주소록!$A$4:$L$305,2,0)," ")</f>
        <v>조경공</v>
      </c>
      <c r="C14" s="350" t="str">
        <f>주소록!A13</f>
        <v>김기윤</v>
      </c>
      <c r="D14" s="349" t="str">
        <f>IFERROR(VLOOKUP(C14,급여!$A$3:$M$127,6,0)," ")</f>
        <v xml:space="preserve"> </v>
      </c>
      <c r="E14" s="349" t="str">
        <f>IFERROR(VLOOKUP(C14,주소록!$A$4:$L$305,7,0)," ")</f>
        <v>국민은행</v>
      </c>
      <c r="F14" s="349" t="str">
        <f>IFERROR(VLOOKUP(C14,주소록!$A$4:$L$305,8,0)," ")</f>
        <v>833-21-0509-800</v>
      </c>
      <c r="G14" s="349" t="str">
        <f>IFERROR(VLOOKUP(C14,주소록!$A$4:$L$305,5,0)," ")</f>
        <v>010-5358-5893</v>
      </c>
    </row>
    <row r="15" spans="1:17" ht="20.100000000000001" customHeight="1">
      <c r="A15" s="348"/>
      <c r="B15" s="349" t="str">
        <f>IFERROR(VLOOKUP(C15,주소록!$A$4:$L$305,2,0)," ")</f>
        <v>조경공</v>
      </c>
      <c r="C15" s="350" t="str">
        <f>주소록!A14</f>
        <v>김수석</v>
      </c>
      <c r="D15" s="349" t="str">
        <f>IFERROR(VLOOKUP(C15,급여!$A$3:$M$127,6,0)," ")</f>
        <v xml:space="preserve"> </v>
      </c>
      <c r="E15" s="349" t="str">
        <f>IFERROR(VLOOKUP(C15,주소록!$A$4:$L$305,7,0)," ")</f>
        <v>농협중앙회</v>
      </c>
      <c r="F15" s="349" t="str">
        <f>IFERROR(VLOOKUP(C15,주소록!$A$4:$L$305,8,0)," ")</f>
        <v>204040-56-201577</v>
      </c>
      <c r="G15" s="349" t="str">
        <f>IFERROR(VLOOKUP(C15,주소록!$A$4:$L$305,5,0)," ")</f>
        <v>010-9185-0935</v>
      </c>
    </row>
    <row r="16" spans="1:17" ht="20.100000000000001" customHeight="1">
      <c r="A16" s="348"/>
      <c r="B16" s="349" t="str">
        <f>IFERROR(VLOOKUP(C16,주소록!$A$4:$L$305,2,0)," ")</f>
        <v>조경공</v>
      </c>
      <c r="C16" s="350" t="str">
        <f>주소록!A15</f>
        <v>권오훈</v>
      </c>
      <c r="D16" s="349" t="str">
        <f>IFERROR(VLOOKUP(C16,급여!$A$3:$M$127,6,0)," ")</f>
        <v xml:space="preserve"> </v>
      </c>
      <c r="E16" s="349" t="str">
        <f>IFERROR(VLOOKUP(C16,주소록!$A$4:$L$305,7,0)," ")</f>
        <v>농협중앙회</v>
      </c>
      <c r="F16" s="349" t="str">
        <f>IFERROR(VLOOKUP(C16,주소록!$A$4:$L$305,8,0)," ")</f>
        <v>172080-52-090513</v>
      </c>
      <c r="G16" s="349" t="str">
        <f>IFERROR(VLOOKUP(C16,주소록!$A$4:$L$305,5,0)," ")</f>
        <v>010-3433-9377</v>
      </c>
    </row>
    <row r="17" spans="1:8" ht="20.100000000000001" customHeight="1">
      <c r="A17" s="348"/>
      <c r="B17" s="349" t="str">
        <f>IFERROR(VLOOKUP(C17,주소록!$A$4:$L$305,2,0)," ")</f>
        <v>조경공</v>
      </c>
      <c r="C17" s="350" t="str">
        <f>주소록!A16</f>
        <v>윤종현</v>
      </c>
      <c r="D17" s="349" t="str">
        <f>IFERROR(VLOOKUP(C17,급여!$A$3:$M$127,6,0)," ")</f>
        <v xml:space="preserve"> </v>
      </c>
      <c r="E17" s="349" t="str">
        <f>IFERROR(VLOOKUP(C17,주소록!$A$4:$L$305,7,0)," ")</f>
        <v>국민은행</v>
      </c>
      <c r="F17" s="349" t="str">
        <f>IFERROR(VLOOKUP(C17,주소록!$A$4:$L$305,8,0)," ")</f>
        <v>035802-04-481610</v>
      </c>
      <c r="G17" s="349" t="str">
        <f>IFERROR(VLOOKUP(C17,주소록!$A$4:$L$305,5,0)," ")</f>
        <v>010-8716-9947</v>
      </c>
    </row>
    <row r="18" spans="1:8" ht="20.100000000000001" customHeight="1">
      <c r="A18" s="348"/>
      <c r="B18" s="349" t="str">
        <f>IFERROR(VLOOKUP(C18,주소록!$A$4:$L$305,2,0)," ")</f>
        <v>보통인부</v>
      </c>
      <c r="C18" s="350" t="str">
        <f>주소록!A17</f>
        <v>김원태</v>
      </c>
      <c r="D18" s="349" t="str">
        <f>IFERROR(VLOOKUP(C18,급여!$A$3:$M$127,6,0)," ")</f>
        <v xml:space="preserve"> </v>
      </c>
      <c r="E18" s="349" t="str">
        <f>IFERROR(VLOOKUP(C18,주소록!$A$4:$L$305,7,0)," ")</f>
        <v>KEB하나은행</v>
      </c>
      <c r="F18" s="349" t="str">
        <f>IFERROR(VLOOKUP(C18,주소록!$A$4:$L$305,8,0)," ")</f>
        <v>580-910278-79407</v>
      </c>
      <c r="G18" s="349" t="str">
        <f>IFERROR(VLOOKUP(C18,주소록!$A$4:$L$305,5,0)," ")</f>
        <v>010-5540-5904</v>
      </c>
    </row>
    <row r="19" spans="1:8" ht="20.100000000000001" customHeight="1">
      <c r="A19" s="348"/>
      <c r="B19" s="349" t="str">
        <f>IFERROR(VLOOKUP(C19,주소록!$A$4:$L$305,2,0)," ")</f>
        <v>조경공</v>
      </c>
      <c r="C19" s="350" t="str">
        <f>주소록!A18</f>
        <v>정재우</v>
      </c>
      <c r="D19" s="349" t="str">
        <f>IFERROR(VLOOKUP(C19,급여!$A$3:$M$127,6,0)," ")</f>
        <v xml:space="preserve"> </v>
      </c>
      <c r="E19" s="349" t="str">
        <f>IFERROR(VLOOKUP(C19,주소록!$A$4:$L$305,7,0)," ")</f>
        <v>우체국</v>
      </c>
      <c r="F19" s="349" t="str">
        <f>IFERROR(VLOOKUP(C19,주소록!$A$4:$L$305,8,0)," ")</f>
        <v>102822-02-132334</v>
      </c>
      <c r="G19" s="349" t="str">
        <f>IFERROR(VLOOKUP(C19,주소록!$A$4:$L$305,5,0)," ")</f>
        <v>010-7767-5506</v>
      </c>
    </row>
    <row r="20" spans="1:8" ht="20.100000000000001" customHeight="1">
      <c r="A20" s="348"/>
      <c r="B20" s="349" t="str">
        <f>IFERROR(VLOOKUP(C20,주소록!$A$4:$L$305,2,0)," ")</f>
        <v>조경공</v>
      </c>
      <c r="C20" s="350" t="str">
        <f>주소록!A19</f>
        <v>김웅탄</v>
      </c>
      <c r="D20" s="349" t="str">
        <f>IFERROR(VLOOKUP(C20,급여!$A$3:$M$127,6,0)," ")</f>
        <v xml:space="preserve"> </v>
      </c>
      <c r="E20" s="349" t="str">
        <f>IFERROR(VLOOKUP(C20,주소록!$A$4:$L$305,7,0)," ")</f>
        <v>신한은행</v>
      </c>
      <c r="F20" s="349" t="str">
        <f>IFERROR(VLOOKUP(C20,주소록!$A$4:$L$305,8,0)," ")</f>
        <v>110-414-437990</v>
      </c>
      <c r="G20" s="349" t="str">
        <f>IFERROR(VLOOKUP(C20,주소록!$A$4:$L$305,5,0)," ")</f>
        <v>010-4890-8284</v>
      </c>
    </row>
    <row r="21" spans="1:8" ht="20.100000000000001" customHeight="1">
      <c r="A21" s="348"/>
      <c r="B21" s="349" t="str">
        <f>IFERROR(VLOOKUP(C21,주소록!$A$4:$L$305,2,0)," ")</f>
        <v>조경공</v>
      </c>
      <c r="C21" s="350" t="str">
        <f>주소록!A20</f>
        <v>김종국</v>
      </c>
      <c r="D21" s="349" t="str">
        <f>IFERROR(VLOOKUP(C21,급여!$A$3:$M$127,6,0)," ")</f>
        <v xml:space="preserve"> </v>
      </c>
      <c r="E21" s="349" t="str">
        <f>IFERROR(VLOOKUP(C21,주소록!$A$4:$L$305,7,0)," ")</f>
        <v>우리은행</v>
      </c>
      <c r="F21" s="349" t="str">
        <f>IFERROR(VLOOKUP(C21,주소록!$A$4:$L$305,8,0)," ")</f>
        <v>304-05-042055</v>
      </c>
      <c r="G21" s="349" t="str">
        <f>IFERROR(VLOOKUP(C21,주소록!$A$4:$L$305,5,0)," ")</f>
        <v>010-4758-7433</v>
      </c>
    </row>
    <row r="22" spans="1:8" ht="20.100000000000001" customHeight="1">
      <c r="A22" s="348"/>
      <c r="B22" s="349" t="str">
        <f>IFERROR(VLOOKUP(C22,주소록!$A$4:$L$305,2,0)," ")</f>
        <v>조경공</v>
      </c>
      <c r="C22" s="350" t="str">
        <f>주소록!A21</f>
        <v>박원산</v>
      </c>
      <c r="D22" s="349" t="str">
        <f>IFERROR(VLOOKUP(C22,급여!$A$3:$M$127,6,0)," ")</f>
        <v xml:space="preserve"> </v>
      </c>
      <c r="E22" s="349" t="str">
        <f>IFERROR(VLOOKUP(C22,주소록!$A$4:$L$305,7,0)," ")</f>
        <v>농협중앙회</v>
      </c>
      <c r="F22" s="349" t="str">
        <f>IFERROR(VLOOKUP(C22,주소록!$A$4:$L$305,8,0)," ")</f>
        <v>352-1743-2793-83</v>
      </c>
      <c r="G22" s="349" t="str">
        <f>IFERROR(VLOOKUP(C22,주소록!$A$4:$L$305,5,0)," ")</f>
        <v>010-2284-9212</v>
      </c>
    </row>
    <row r="23" spans="1:8" ht="20.100000000000001" customHeight="1">
      <c r="A23" s="348"/>
      <c r="B23" s="349" t="str">
        <f>IFERROR(VLOOKUP(C23,주소록!$A$4:$L$305,2,0)," ")</f>
        <v>조경공</v>
      </c>
      <c r="C23" s="350" t="str">
        <f>주소록!A22</f>
        <v>백동수</v>
      </c>
      <c r="D23" s="349" t="str">
        <f>IFERROR(VLOOKUP(C23,급여!$A$3:$M$127,6,0)," ")</f>
        <v xml:space="preserve"> </v>
      </c>
      <c r="E23" s="349" t="str">
        <f>IFERROR(VLOOKUP(C23,주소록!$A$4:$L$305,7,0)," ")</f>
        <v>KEB하나은행</v>
      </c>
      <c r="F23" s="349" t="str">
        <f>IFERROR(VLOOKUP(C23,주소록!$A$4:$L$305,8,0)," ")</f>
        <v>121-890110-24607</v>
      </c>
      <c r="G23" s="349" t="str">
        <f>IFERROR(VLOOKUP(C23,주소록!$A$4:$L$305,5,0)," ")</f>
        <v>010-2683-6831</v>
      </c>
    </row>
    <row r="24" spans="1:8" ht="20.100000000000001" customHeight="1">
      <c r="A24" s="348"/>
      <c r="B24" s="349" t="str">
        <f>IFERROR(VLOOKUP(C24,주소록!$A$4:$L$305,2,0)," ")</f>
        <v>조경공</v>
      </c>
      <c r="C24" s="350" t="str">
        <f>주소록!A23</f>
        <v>송병훈</v>
      </c>
      <c r="D24" s="349" t="str">
        <f>IFERROR(VLOOKUP(C24,급여!$A$3:$M$127,6,0)," ")</f>
        <v xml:space="preserve"> </v>
      </c>
      <c r="E24" s="349" t="str">
        <f>IFERROR(VLOOKUP(C24,주소록!$A$4:$L$305,7,0)," ")</f>
        <v>농협중앙회</v>
      </c>
      <c r="F24" s="349" t="str">
        <f>IFERROR(VLOOKUP(C24,주소록!$A$4:$L$305,8,0)," ")</f>
        <v>351-0761-0692-63</v>
      </c>
      <c r="G24" s="349" t="str">
        <f>IFERROR(VLOOKUP(C24,주소록!$A$4:$L$305,5,0)," ")</f>
        <v>010-3277-4506</v>
      </c>
    </row>
    <row r="25" spans="1:8" ht="20.100000000000001" customHeight="1">
      <c r="A25" s="348"/>
      <c r="B25" s="349" t="str">
        <f>IFERROR(VLOOKUP(C25,주소록!$A$4:$L$305,2,0)," ")</f>
        <v>조경공</v>
      </c>
      <c r="C25" s="350" t="str">
        <f>주소록!A24</f>
        <v>오복만</v>
      </c>
      <c r="D25" s="349" t="str">
        <f>IFERROR(VLOOKUP(C25,급여!$A$3:$M$127,6,0)," ")</f>
        <v xml:space="preserve"> </v>
      </c>
      <c r="E25" s="349" t="str">
        <f>IFERROR(VLOOKUP(C25,주소록!$A$4:$L$305,7,0)," ")</f>
        <v>농협중앙회</v>
      </c>
      <c r="F25" s="349" t="str">
        <f>IFERROR(VLOOKUP(C25,주소록!$A$4:$L$305,8,0)," ")</f>
        <v>352-1034-5515-03</v>
      </c>
      <c r="G25" s="349" t="str">
        <f>IFERROR(VLOOKUP(C25,주소록!$A$4:$L$305,5,0)," ")</f>
        <v>010-5709-4518</v>
      </c>
    </row>
    <row r="26" spans="1:8" ht="20.100000000000001" customHeight="1">
      <c r="A26" s="348"/>
      <c r="B26" s="349" t="str">
        <f>IFERROR(VLOOKUP(C26,주소록!$A$4:$L$305,2,0)," ")</f>
        <v>조경공</v>
      </c>
      <c r="C26" s="350" t="str">
        <f>주소록!A25</f>
        <v>유순희</v>
      </c>
      <c r="D26" s="349" t="str">
        <f>IFERROR(VLOOKUP(C26,급여!$A$3:$M$127,6,0)," ")</f>
        <v xml:space="preserve"> </v>
      </c>
      <c r="E26" s="349" t="str">
        <f>IFERROR(VLOOKUP(C26,주소록!$A$4:$L$305,7,0)," ")</f>
        <v>새마을금고</v>
      </c>
      <c r="F26" s="349" t="str">
        <f>IFERROR(VLOOKUP(C26,주소록!$A$4:$L$305,8,0)," ")</f>
        <v>2234-09-008673-9</v>
      </c>
      <c r="G26" s="349" t="str">
        <f>IFERROR(VLOOKUP(C26,주소록!$A$4:$L$305,5,0)," ")</f>
        <v>010-3644-0353</v>
      </c>
    </row>
    <row r="27" spans="1:8" ht="20.100000000000001" customHeight="1">
      <c r="A27" s="348"/>
      <c r="B27" s="349" t="str">
        <f>IFERROR(VLOOKUP(C27,주소록!$A$4:$L$305,2,0)," ")</f>
        <v>조경공</v>
      </c>
      <c r="C27" s="350" t="str">
        <f>주소록!A26</f>
        <v>이병대</v>
      </c>
      <c r="D27" s="349" t="str">
        <f>IFERROR(VLOOKUP(C27,급여!$A$3:$M$127,6,0)," ")</f>
        <v xml:space="preserve"> </v>
      </c>
      <c r="E27" s="349" t="str">
        <f>IFERROR(VLOOKUP(C27,주소록!$A$4:$L$305,7,0)," ")</f>
        <v>신한은행</v>
      </c>
      <c r="F27" s="349" t="str">
        <f>IFERROR(VLOOKUP(C27,주소록!$A$4:$L$305,8,0)," ")</f>
        <v>110-412-527148</v>
      </c>
      <c r="G27" s="349" t="str">
        <f>IFERROR(VLOOKUP(C27,주소록!$A$4:$L$305,5,0)," ")</f>
        <v>010-8736-9866</v>
      </c>
    </row>
    <row r="28" spans="1:8" s="355" customFormat="1" ht="18" customHeight="1">
      <c r="A28" s="351" t="s">
        <v>708</v>
      </c>
      <c r="B28" s="351"/>
      <c r="C28" s="351"/>
      <c r="D28" s="352">
        <f>SUM(D5:D27)</f>
        <v>0</v>
      </c>
      <c r="E28" s="352"/>
      <c r="F28" s="353"/>
      <c r="G28" s="353"/>
      <c r="H28" s="354"/>
    </row>
    <row r="29" spans="1:8" s="355" customFormat="1" ht="18" customHeight="1">
      <c r="A29" s="356" t="s">
        <v>709</v>
      </c>
      <c r="B29" s="356"/>
      <c r="C29" s="356"/>
      <c r="D29" s="357">
        <f>D28*0.1</f>
        <v>0</v>
      </c>
      <c r="E29" s="357"/>
      <c r="F29" s="358"/>
      <c r="G29" s="358"/>
      <c r="H29" s="354"/>
    </row>
    <row r="30" spans="1:8" s="355" customFormat="1" ht="18" customHeight="1">
      <c r="A30" s="356" t="s">
        <v>710</v>
      </c>
      <c r="B30" s="356"/>
      <c r="C30" s="356"/>
      <c r="D30" s="357">
        <f>D28+D29</f>
        <v>0</v>
      </c>
      <c r="E30" s="357"/>
      <c r="F30" s="358"/>
      <c r="G30" s="358"/>
      <c r="H30" s="354"/>
    </row>
    <row r="31" spans="1:8" s="347" customFormat="1" ht="18" customHeight="1">
      <c r="A31" s="346" t="s">
        <v>711</v>
      </c>
      <c r="B31" s="346" t="s">
        <v>704</v>
      </c>
      <c r="C31" s="346" t="s">
        <v>705</v>
      </c>
      <c r="D31" s="359" t="s">
        <v>673</v>
      </c>
      <c r="E31" s="346" t="s">
        <v>507</v>
      </c>
      <c r="F31" s="346" t="s">
        <v>7</v>
      </c>
      <c r="G31" s="346" t="s">
        <v>707</v>
      </c>
    </row>
    <row r="32" spans="1:8" ht="18" customHeight="1">
      <c r="A32" s="348"/>
      <c r="B32" s="349" t="str">
        <f>IFERROR(VLOOKUP(C32,주소록!$A$4:$L$305,2,0)," ")</f>
        <v>조경공</v>
      </c>
      <c r="C32" s="350" t="str">
        <f>주소록!A31</f>
        <v>조태휘</v>
      </c>
      <c r="D32" s="349" t="str">
        <f>IFERROR(VLOOKUP(C32,급여!$A$3:$M$127,6,0)," ")</f>
        <v xml:space="preserve"> </v>
      </c>
      <c r="E32" s="349" t="str">
        <f>IFERROR(VLOOKUP(C32,주소록!$A$4:$L$305,7,0)," ")</f>
        <v>신한은행</v>
      </c>
      <c r="F32" s="349" t="str">
        <f>IFERROR(VLOOKUP(C32,주소록!$A$4:$L$305,8,0)," ")</f>
        <v>110-479-254923</v>
      </c>
      <c r="G32" s="349" t="s">
        <v>779</v>
      </c>
    </row>
    <row r="33" spans="1:8" ht="18" customHeight="1">
      <c r="A33" s="348"/>
      <c r="B33" s="349" t="str">
        <f>IFERROR(VLOOKUP(C33,주소록!$A$4:$L$305,2,0)," ")</f>
        <v>조경공</v>
      </c>
      <c r="C33" s="350" t="str">
        <f>주소록!A32</f>
        <v>차용수</v>
      </c>
      <c r="D33" s="349" t="str">
        <f>IFERROR(VLOOKUP(C33,급여!$A$3:$M$127,6,0)," ")</f>
        <v xml:space="preserve"> </v>
      </c>
      <c r="E33" s="349" t="str">
        <f>IFERROR(VLOOKUP(C33,주소록!$A$4:$L$305,7,0)," ")</f>
        <v>농협중앙회</v>
      </c>
      <c r="F33" s="349" t="str">
        <f>IFERROR(VLOOKUP(C33,주소록!$A$4:$L$305,8,0)," ")</f>
        <v>216011-52-042985</v>
      </c>
      <c r="G33" s="349" t="s">
        <v>779</v>
      </c>
    </row>
    <row r="34" spans="1:8" ht="18" customHeight="1">
      <c r="A34" s="348"/>
      <c r="B34" s="349" t="str">
        <f>IFERROR(VLOOKUP(C34,주소록!$A$4:$L$305,2,0)," ")</f>
        <v>조경공</v>
      </c>
      <c r="C34" s="350" t="str">
        <f>주소록!A33</f>
        <v>한정수</v>
      </c>
      <c r="D34" s="349" t="str">
        <f>IFERROR(VLOOKUP(C34,급여!$A$3:$M$127,6,0)," ")</f>
        <v xml:space="preserve"> </v>
      </c>
      <c r="E34" s="349" t="str">
        <f>IFERROR(VLOOKUP(C34,주소록!$A$4:$L$305,7,0)," ")</f>
        <v>신협중앙회</v>
      </c>
      <c r="F34" s="349" t="str">
        <f>IFERROR(VLOOKUP(C34,주소록!$A$4:$L$305,8,0)," ")</f>
        <v>132-069-090029</v>
      </c>
      <c r="G34" s="349" t="s">
        <v>779</v>
      </c>
    </row>
    <row r="35" spans="1:8" ht="18" customHeight="1">
      <c r="A35" s="348"/>
      <c r="B35" s="349" t="str">
        <f>IFERROR(VLOOKUP(C35,주소록!$A$4:$L$305,2,0)," ")</f>
        <v>조경공</v>
      </c>
      <c r="C35" s="350" t="str">
        <f>주소록!A34</f>
        <v>김윤자</v>
      </c>
      <c r="D35" s="349" t="str">
        <f>IFERROR(VLOOKUP(C35,급여!$A$3:$M$127,6,0)," ")</f>
        <v xml:space="preserve"> </v>
      </c>
      <c r="E35" s="349" t="str">
        <f>IFERROR(VLOOKUP(C35,주소록!$A$4:$L$305,7,0)," ")</f>
        <v>신한은행</v>
      </c>
      <c r="F35" s="349" t="str">
        <f>IFERROR(VLOOKUP(C35,주소록!$A$4:$L$305,8,0)," ")</f>
        <v>110-118-001184</v>
      </c>
      <c r="G35" s="349" t="s">
        <v>779</v>
      </c>
    </row>
    <row r="36" spans="1:8" ht="18" customHeight="1">
      <c r="A36" s="348"/>
      <c r="B36" s="349" t="str">
        <f>IFERROR(VLOOKUP(C36,주소록!$A$4:$L$305,2,0)," ")</f>
        <v>조경공</v>
      </c>
      <c r="C36" s="350" t="str">
        <f>주소록!A35</f>
        <v>이명분</v>
      </c>
      <c r="D36" s="349" t="str">
        <f>IFERROR(VLOOKUP(C36,급여!$A$3:$M$127,6,0)," ")</f>
        <v xml:space="preserve"> </v>
      </c>
      <c r="E36" s="349" t="str">
        <f>IFERROR(VLOOKUP(C36,주소록!$A$4:$L$305,7,0)," ")</f>
        <v>농협중앙회</v>
      </c>
      <c r="F36" s="349" t="str">
        <f>IFERROR(VLOOKUP(C36,주소록!$A$4:$L$305,8,0)," ")</f>
        <v>301-0021-1505-41</v>
      </c>
      <c r="G36" s="349" t="s">
        <v>779</v>
      </c>
    </row>
    <row r="37" spans="1:8" ht="18" customHeight="1">
      <c r="A37" s="348"/>
      <c r="B37" s="349" t="str">
        <f>IFERROR(VLOOKUP(C37,주소록!$A$4:$L$305,2,0)," ")</f>
        <v>조경공</v>
      </c>
      <c r="C37" s="350" t="str">
        <f>주소록!A36</f>
        <v>이인애</v>
      </c>
      <c r="D37" s="349" t="str">
        <f>IFERROR(VLOOKUP(C37,급여!$A$3:$M$127,6,0)," ")</f>
        <v xml:space="preserve"> </v>
      </c>
      <c r="E37" s="349" t="str">
        <f>IFERROR(VLOOKUP(C37,주소록!$A$4:$L$305,7,0)," ")</f>
        <v>새마을금고</v>
      </c>
      <c r="F37" s="349" t="str">
        <f>IFERROR(VLOOKUP(C37,주소록!$A$4:$L$305,8,0)," ")</f>
        <v>9002-1804-7397-0</v>
      </c>
      <c r="G37" s="349" t="s">
        <v>779</v>
      </c>
    </row>
    <row r="38" spans="1:8" ht="18" customHeight="1">
      <c r="A38" s="348"/>
      <c r="B38" s="349" t="str">
        <f>IFERROR(VLOOKUP(C38,주소록!$A$4:$L$305,2,0)," ")</f>
        <v>조경공</v>
      </c>
      <c r="C38" s="350" t="str">
        <f>주소록!A37</f>
        <v>이정주</v>
      </c>
      <c r="D38" s="349" t="str">
        <f>IFERROR(VLOOKUP(C38,급여!$A$3:$M$127,6,0)," ")</f>
        <v xml:space="preserve"> </v>
      </c>
      <c r="E38" s="349" t="str">
        <f>IFERROR(VLOOKUP(C38,주소록!$A$4:$L$305,7,0)," ")</f>
        <v>농협중앙회</v>
      </c>
      <c r="F38" s="349" t="str">
        <f>IFERROR(VLOOKUP(C38,주소록!$A$4:$L$305,8,0)," ")</f>
        <v>170671-52-086183</v>
      </c>
      <c r="G38" s="349" t="s">
        <v>779</v>
      </c>
    </row>
    <row r="39" spans="1:8" ht="18" customHeight="1">
      <c r="A39" s="348"/>
      <c r="B39" s="349" t="str">
        <f>IFERROR(VLOOKUP(C39,주소록!$A$4:$L$305,2,0)," ")</f>
        <v>조경공</v>
      </c>
      <c r="C39" s="350" t="str">
        <f>주소록!A38</f>
        <v>이현자</v>
      </c>
      <c r="D39" s="349" t="str">
        <f>IFERROR(VLOOKUP(C39,급여!$A$3:$M$127,6,0)," ")</f>
        <v xml:space="preserve"> </v>
      </c>
      <c r="E39" s="349" t="str">
        <f>IFERROR(VLOOKUP(C39,주소록!$A$4:$L$305,7,0)," ")</f>
        <v>국민은행</v>
      </c>
      <c r="F39" s="349" t="str">
        <f>IFERROR(VLOOKUP(C39,주소록!$A$4:$L$305,8,0)," ")</f>
        <v>224601-04-129755</v>
      </c>
      <c r="G39" s="349" t="s">
        <v>779</v>
      </c>
    </row>
    <row r="40" spans="1:8" ht="18" customHeight="1">
      <c r="A40" s="348"/>
      <c r="B40" s="349" t="str">
        <f>IFERROR(VLOOKUP(C40,주소록!$A$4:$L$305,2,0)," ")</f>
        <v>조경공</v>
      </c>
      <c r="C40" s="350" t="str">
        <f>주소록!A39</f>
        <v>유군희</v>
      </c>
      <c r="D40" s="349" t="str">
        <f>IFERROR(VLOOKUP(C40,급여!$A$3:$M$127,6,0)," ")</f>
        <v xml:space="preserve"> </v>
      </c>
      <c r="E40" s="349" t="str">
        <f>IFERROR(VLOOKUP(C40,주소록!$A$4:$L$305,7,0)," ")</f>
        <v>우리은행</v>
      </c>
      <c r="F40" s="349" t="str">
        <f>IFERROR(VLOOKUP(C40,주소록!$A$4:$L$305,8,0)," ")</f>
        <v>1002-539-484383</v>
      </c>
      <c r="G40" s="349" t="s">
        <v>779</v>
      </c>
    </row>
    <row r="41" spans="1:8" ht="18" customHeight="1">
      <c r="A41" s="348"/>
      <c r="B41" s="349" t="str">
        <f>IFERROR(VLOOKUP(C41,주소록!$A$4:$L$305,2,0)," ")</f>
        <v>조경공</v>
      </c>
      <c r="C41" s="350" t="str">
        <f>주소록!A40</f>
        <v>류시현</v>
      </c>
      <c r="D41" s="349" t="str">
        <f>IFERROR(VLOOKUP(C41,급여!$A$3:$M$127,6,0)," ")</f>
        <v xml:space="preserve"> </v>
      </c>
      <c r="E41" s="349" t="str">
        <f>IFERROR(VLOOKUP(C41,주소록!$A$4:$L$305,7,0)," ")</f>
        <v>제일은행</v>
      </c>
      <c r="F41" s="349" t="str">
        <f>IFERROR(VLOOKUP(C41,주소록!$A$4:$L$305,8,0)," ")</f>
        <v>580-20-374487</v>
      </c>
      <c r="G41" s="349" t="s">
        <v>779</v>
      </c>
    </row>
    <row r="42" spans="1:8" ht="18" hidden="1" customHeight="1">
      <c r="A42" s="360"/>
      <c r="B42" s="360"/>
      <c r="C42" s="360"/>
      <c r="D42" s="361"/>
      <c r="E42" s="360"/>
      <c r="F42" s="360"/>
      <c r="G42" s="360"/>
    </row>
    <row r="43" spans="1:8" ht="18" hidden="1" customHeight="1">
      <c r="A43" s="360"/>
      <c r="B43" s="360"/>
      <c r="C43" s="360"/>
      <c r="D43" s="361"/>
      <c r="E43" s="360"/>
      <c r="F43" s="360"/>
      <c r="G43" s="360"/>
    </row>
    <row r="44" spans="1:8" ht="18" hidden="1" customHeight="1">
      <c r="A44" s="360"/>
      <c r="B44" s="360"/>
      <c r="C44" s="360"/>
      <c r="D44" s="361"/>
      <c r="E44" s="360"/>
      <c r="F44" s="360"/>
      <c r="G44" s="360"/>
    </row>
    <row r="45" spans="1:8" s="355" customFormat="1" ht="18" customHeight="1">
      <c r="A45" s="351" t="s">
        <v>712</v>
      </c>
      <c r="B45" s="351"/>
      <c r="C45" s="351"/>
      <c r="D45" s="352">
        <f>SUM(D32:D44)</f>
        <v>0</v>
      </c>
      <c r="E45" s="352"/>
      <c r="F45" s="353"/>
      <c r="G45" s="353"/>
      <c r="H45" s="354"/>
    </row>
    <row r="46" spans="1:8" s="355" customFormat="1" ht="18" customHeight="1">
      <c r="A46" s="356" t="s">
        <v>709</v>
      </c>
      <c r="B46" s="356"/>
      <c r="C46" s="356"/>
      <c r="D46" s="357">
        <f>D45*0.1</f>
        <v>0</v>
      </c>
      <c r="E46" s="357"/>
      <c r="F46" s="358"/>
      <c r="G46" s="358"/>
      <c r="H46" s="354"/>
    </row>
    <row r="47" spans="1:8" s="355" customFormat="1" ht="18" customHeight="1">
      <c r="A47" s="356" t="s">
        <v>710</v>
      </c>
      <c r="B47" s="356"/>
      <c r="C47" s="356"/>
      <c r="D47" s="357">
        <f>D45+D46</f>
        <v>0</v>
      </c>
      <c r="E47" s="357"/>
      <c r="F47" s="358"/>
      <c r="G47" s="358"/>
      <c r="H47" s="354"/>
    </row>
    <row r="48" spans="1:8" s="366" customFormat="1" ht="18" customHeight="1">
      <c r="A48" s="362" t="s">
        <v>713</v>
      </c>
      <c r="B48" s="362"/>
      <c r="C48" s="362"/>
      <c r="D48" s="363">
        <f>D28+D45</f>
        <v>0</v>
      </c>
      <c r="E48" s="363"/>
      <c r="F48" s="364"/>
      <c r="G48" s="364"/>
      <c r="H48" s="365"/>
    </row>
    <row r="49" spans="1:8" s="366" customFormat="1" ht="18" customHeight="1">
      <c r="A49" s="367" t="s">
        <v>709</v>
      </c>
      <c r="B49" s="367"/>
      <c r="C49" s="367"/>
      <c r="D49" s="368">
        <f>D48*0.1</f>
        <v>0</v>
      </c>
      <c r="E49" s="368"/>
      <c r="F49" s="369"/>
      <c r="G49" s="369"/>
      <c r="H49" s="365"/>
    </row>
    <row r="50" spans="1:8" s="366" customFormat="1" ht="18" customHeight="1">
      <c r="A50" s="367" t="s">
        <v>710</v>
      </c>
      <c r="B50" s="367"/>
      <c r="C50" s="367"/>
      <c r="D50" s="368">
        <f>D48+D49</f>
        <v>0</v>
      </c>
      <c r="E50" s="368"/>
      <c r="F50" s="369"/>
      <c r="G50" s="369"/>
      <c r="H50" s="365"/>
    </row>
    <row r="51" spans="1:8" ht="18" customHeight="1">
      <c r="A51" s="629" t="s">
        <v>714</v>
      </c>
      <c r="B51" s="630"/>
      <c r="C51" s="631"/>
      <c r="D51" s="370">
        <f>D50</f>
        <v>0</v>
      </c>
      <c r="E51" s="370"/>
      <c r="F51" s="371"/>
      <c r="G51" s="371"/>
    </row>
    <row r="52" spans="1:8" ht="18" customHeight="1">
      <c r="A52" s="632" t="s">
        <v>715</v>
      </c>
      <c r="B52" s="632"/>
      <c r="C52" s="632"/>
      <c r="D52" s="632"/>
      <c r="E52" s="632"/>
      <c r="F52" s="632"/>
      <c r="G52" s="632"/>
    </row>
    <row r="53" spans="1:8" ht="18" customHeight="1">
      <c r="A53" s="624" t="s">
        <v>716</v>
      </c>
      <c r="B53" s="624"/>
      <c r="C53" s="624"/>
      <c r="D53" s="624"/>
      <c r="E53" s="624"/>
      <c r="F53" s="624"/>
      <c r="G53" s="624"/>
    </row>
    <row r="54" spans="1:8" ht="39.950000000000003" customHeight="1">
      <c r="B54" s="372"/>
      <c r="C54" s="372"/>
      <c r="D54" s="372"/>
      <c r="E54" s="621" t="str">
        <f>"- 작성자 : 현장대리인    "&amp;H54&amp;"                    (인)"</f>
        <v>- 작성자 : 현장대리인    정명덕                    (인)</v>
      </c>
      <c r="F54" s="621"/>
      <c r="G54" s="621"/>
      <c r="H54" s="373" t="s">
        <v>717</v>
      </c>
    </row>
    <row r="55" spans="1:8" ht="39.950000000000003" customHeight="1">
      <c r="B55" s="372"/>
      <c r="C55" s="372"/>
      <c r="D55" s="372"/>
      <c r="E55" s="621" t="str">
        <f>"- 확인자 : 감리자          "&amp;H55&amp;"                    (인)"</f>
        <v>- 확인자 : 감리자          정명덕                    (인)</v>
      </c>
      <c r="F55" s="621"/>
      <c r="G55" s="621"/>
      <c r="H55" s="373" t="s">
        <v>717</v>
      </c>
    </row>
    <row r="56" spans="1:8" ht="39.950000000000003" customHeight="1">
      <c r="B56" s="372"/>
      <c r="C56" s="372"/>
      <c r="D56" s="372"/>
      <c r="E56" s="621" t="str">
        <f>"               감독관         "&amp;H56&amp;"                    (인)"</f>
        <v xml:space="preserve">               감독관         정명덕                    (인)</v>
      </c>
      <c r="F56" s="621"/>
      <c r="G56" s="621"/>
      <c r="H56" s="373" t="s">
        <v>717</v>
      </c>
    </row>
    <row r="57" spans="1:8" s="374" customFormat="1" ht="18" customHeight="1">
      <c r="A57" s="622"/>
      <c r="B57" s="622"/>
      <c r="C57" s="622"/>
      <c r="D57" s="622"/>
      <c r="E57" s="622"/>
      <c r="F57" s="622"/>
      <c r="G57" s="622"/>
    </row>
    <row r="58" spans="1:8" s="374" customFormat="1" ht="18" customHeight="1">
      <c r="A58" s="623"/>
      <c r="B58" s="623"/>
      <c r="C58" s="623"/>
      <c r="D58" s="623"/>
      <c r="E58" s="623"/>
      <c r="F58" s="623"/>
      <c r="G58" s="623"/>
    </row>
    <row r="59" spans="1:8" ht="18" customHeight="1"/>
    <row r="60" spans="1:8" ht="18" customHeight="1"/>
    <row r="61" spans="1:8" ht="18" customHeight="1"/>
    <row r="62" spans="1:8" ht="18" customHeight="1"/>
    <row r="63" spans="1:8" ht="18" customHeight="1"/>
    <row r="64" spans="1:8"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row r="102" ht="20.100000000000001" customHeight="1"/>
    <row r="103" ht="20.100000000000001" customHeight="1"/>
    <row r="104" ht="20.100000000000001" customHeight="1"/>
    <row r="105" ht="20.100000000000001" customHeight="1"/>
    <row r="106" ht="20.100000000000001" customHeight="1"/>
    <row r="107" ht="20.100000000000001" customHeight="1"/>
    <row r="108" ht="20.100000000000001" customHeight="1"/>
    <row r="109" ht="20.100000000000001" customHeight="1"/>
    <row r="110" ht="20.100000000000001" customHeight="1"/>
    <row r="111" ht="20.100000000000001" customHeight="1"/>
    <row r="112"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row r="119" ht="20.100000000000001" customHeight="1"/>
    <row r="120" ht="20.100000000000001" customHeight="1"/>
    <row r="121" ht="20.100000000000001" customHeight="1"/>
    <row r="122" ht="20.100000000000001" customHeight="1"/>
    <row r="123" ht="20.100000000000001" customHeight="1"/>
    <row r="124" ht="20.100000000000001" customHeight="1"/>
    <row r="125" ht="20.100000000000001" customHeight="1"/>
    <row r="126" ht="20.100000000000001" customHeight="1"/>
    <row r="127" ht="20.100000000000001" customHeight="1"/>
    <row r="128" ht="20.100000000000001" customHeight="1"/>
    <row r="129" ht="20.100000000000001" customHeight="1"/>
    <row r="130" ht="20.100000000000001" customHeight="1"/>
    <row r="131" ht="20.100000000000001" customHeight="1"/>
    <row r="132" ht="20.100000000000001" customHeight="1"/>
    <row r="133" ht="20.100000000000001" customHeight="1"/>
    <row r="134" ht="20.100000000000001" customHeight="1"/>
    <row r="135" ht="20.100000000000001" customHeight="1"/>
    <row r="136" ht="20.100000000000001" customHeight="1"/>
    <row r="137" ht="20.100000000000001" customHeight="1"/>
    <row r="138" ht="20.100000000000001" customHeight="1"/>
    <row r="139" ht="20.100000000000001" customHeight="1"/>
    <row r="140" ht="20.100000000000001" customHeight="1"/>
    <row r="141" ht="20.100000000000001" customHeight="1"/>
    <row r="142" ht="20.100000000000001" customHeight="1"/>
    <row r="143" ht="20.100000000000001" customHeight="1"/>
    <row r="144"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20.100000000000001" customHeight="1"/>
    <row r="197" ht="20.100000000000001" customHeight="1"/>
    <row r="198" ht="20.100000000000001" customHeight="1"/>
    <row r="199" ht="20.100000000000001" customHeight="1"/>
    <row r="200" ht="20.100000000000001" customHeight="1"/>
    <row r="201" ht="20.100000000000001" customHeight="1"/>
  </sheetData>
  <mergeCells count="11">
    <mergeCell ref="A53:G53"/>
    <mergeCell ref="A1:G2"/>
    <mergeCell ref="B3:G3"/>
    <mergeCell ref="H5:Q10"/>
    <mergeCell ref="A51:C51"/>
    <mergeCell ref="A52:G52"/>
    <mergeCell ref="E54:G54"/>
    <mergeCell ref="E55:G55"/>
    <mergeCell ref="E56:G56"/>
    <mergeCell ref="A57:G57"/>
    <mergeCell ref="A58:G58"/>
  </mergeCells>
  <phoneticPr fontId="4" type="noConversion"/>
  <printOptions horizontalCentered="1"/>
  <pageMargins left="0.19685039370078741" right="0.19685039370078741" top="0.98425196850393704" bottom="0.31496062992125984" header="0.19685039370078741" footer="0.15748031496062992"/>
  <pageSetup paperSize="9" scale="83" orientation="portrait" r:id="rId1"/>
  <headerFooter alignWithMargins="0"/>
  <rowBreaks count="1" manualBreakCount="1">
    <brk id="57"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tabColor rgb="FFFFCCFF"/>
    <pageSetUpPr fitToPage="1"/>
  </sheetPr>
  <dimension ref="A1:S703"/>
  <sheetViews>
    <sheetView showGridLines="0" zoomScale="85" zoomScaleNormal="85" workbookViewId="0">
      <pane xSplit="1" ySplit="3" topLeftCell="B76" activePane="bottomRight" state="frozen"/>
      <selection activeCell="C15" sqref="C15"/>
      <selection pane="topRight" activeCell="C15" sqref="C15"/>
      <selection pane="bottomLeft" activeCell="C15" sqref="C15"/>
      <selection pane="bottomRight" activeCell="D100" sqref="D100"/>
    </sheetView>
  </sheetViews>
  <sheetFormatPr defaultRowHeight="16.5"/>
  <cols>
    <col min="1" max="1" width="13.625" style="149" customWidth="1"/>
    <col min="2" max="2" width="11.875" customWidth="1"/>
    <col min="3" max="3" width="20.625" customWidth="1"/>
    <col min="4" max="4" width="69.75" bestFit="1" customWidth="1"/>
    <col min="5" max="5" width="14.625" customWidth="1"/>
    <col min="6" max="6" width="11" customWidth="1"/>
    <col min="7" max="7" width="13.625" style="36" customWidth="1"/>
    <col min="8" max="8" width="20.625" customWidth="1"/>
    <col min="9" max="9" width="20.625" bestFit="1" customWidth="1"/>
    <col min="10" max="11" width="11.625" customWidth="1"/>
    <col min="12" max="12" width="10" customWidth="1"/>
    <col min="13" max="13" width="2.625" customWidth="1"/>
    <col min="14" max="14" width="9" style="33"/>
    <col min="15" max="15" width="6.875" customWidth="1"/>
    <col min="16" max="16" width="18.625" style="36" bestFit="1" customWidth="1"/>
    <col min="17" max="17" width="9" style="36"/>
    <col min="19" max="19" width="31.25" bestFit="1" customWidth="1"/>
  </cols>
  <sheetData>
    <row r="1" spans="1:19" ht="15.75" customHeight="1">
      <c r="A1" s="147"/>
      <c r="B1" s="35"/>
      <c r="C1" s="4"/>
      <c r="D1" s="4"/>
      <c r="E1" s="4"/>
      <c r="F1" s="4"/>
      <c r="G1" s="35"/>
      <c r="H1" s="4"/>
      <c r="I1" s="4"/>
      <c r="J1" s="4"/>
      <c r="K1" s="4"/>
      <c r="P1"/>
      <c r="Q1"/>
    </row>
    <row r="2" spans="1:19" ht="17.25" thickBot="1">
      <c r="A2" s="248">
        <v>1</v>
      </c>
      <c r="B2" s="35">
        <f>A2+1</f>
        <v>2</v>
      </c>
      <c r="C2" s="35">
        <f t="shared" ref="C2:K2" si="0">B2+1</f>
        <v>3</v>
      </c>
      <c r="D2" s="35">
        <f t="shared" si="0"/>
        <v>4</v>
      </c>
      <c r="E2" s="35">
        <f t="shared" si="0"/>
        <v>5</v>
      </c>
      <c r="F2" s="35">
        <f t="shared" si="0"/>
        <v>6</v>
      </c>
      <c r="G2" s="35">
        <f t="shared" si="0"/>
        <v>7</v>
      </c>
      <c r="H2" s="35">
        <f t="shared" si="0"/>
        <v>8</v>
      </c>
      <c r="I2" s="35">
        <f t="shared" si="0"/>
        <v>9</v>
      </c>
      <c r="J2" s="35">
        <f t="shared" si="0"/>
        <v>10</v>
      </c>
      <c r="K2" s="35">
        <f t="shared" si="0"/>
        <v>11</v>
      </c>
      <c r="L2" s="35" t="s">
        <v>72</v>
      </c>
      <c r="M2" s="76" t="s">
        <v>463</v>
      </c>
      <c r="N2" s="459" t="str">
        <f>"오류 : "&amp;COUNTIF($P$4:$P$480,"X")</f>
        <v>오류 : 0</v>
      </c>
      <c r="O2" s="76"/>
      <c r="P2"/>
      <c r="Q2"/>
    </row>
    <row r="3" spans="1:19" ht="30" customHeight="1" thickBot="1">
      <c r="A3" s="148" t="s">
        <v>0</v>
      </c>
      <c r="B3" s="66" t="s">
        <v>1</v>
      </c>
      <c r="C3" s="66" t="s">
        <v>2</v>
      </c>
      <c r="D3" s="66" t="s">
        <v>3</v>
      </c>
      <c r="E3" s="66" t="s">
        <v>4</v>
      </c>
      <c r="F3" s="66" t="s">
        <v>5</v>
      </c>
      <c r="G3" s="66" t="s">
        <v>6</v>
      </c>
      <c r="H3" s="66" t="s">
        <v>7</v>
      </c>
      <c r="I3" s="66" t="s">
        <v>8</v>
      </c>
      <c r="J3" s="249" t="s">
        <v>461</v>
      </c>
      <c r="K3" s="249" t="s">
        <v>462</v>
      </c>
      <c r="L3" s="67" t="s">
        <v>528</v>
      </c>
      <c r="N3" s="460" t="s">
        <v>785</v>
      </c>
      <c r="P3" t="s">
        <v>158</v>
      </c>
      <c r="S3" t="s">
        <v>161</v>
      </c>
    </row>
    <row r="4" spans="1:19" ht="20.100000000000001" customHeight="1">
      <c r="A4" s="437" t="s">
        <v>766</v>
      </c>
      <c r="B4" s="438" t="s">
        <v>355</v>
      </c>
      <c r="C4" s="464" t="s">
        <v>793</v>
      </c>
      <c r="D4" s="439" t="s">
        <v>769</v>
      </c>
      <c r="E4" s="438" t="s">
        <v>772</v>
      </c>
      <c r="F4" s="440" t="s">
        <v>171</v>
      </c>
      <c r="G4" s="438" t="s">
        <v>92</v>
      </c>
      <c r="H4" s="438" t="s">
        <v>973</v>
      </c>
      <c r="I4" s="438" t="s">
        <v>766</v>
      </c>
      <c r="J4" s="441"/>
      <c r="K4" s="441"/>
      <c r="L4" s="442">
        <f t="shared" ref="L4:L19" ca="1" si="1">IFERROR(IF(OR(MID(C4,8,1)&lt;"3",AND(MID(C4,8,1)&gt;="5",MID(C4,8,1)&lt;="6")),INT(TEXT(TODAY(),"yyyy.mmdd")-TEXT(TEXT(LEFT(C4,6),"1900-00-00"),"yyyy.mmdd")),INT(TEXT(TODAY(),"yyyy.mmdd")-TEXT(TEXT(LEFT(C4,6),"2000-00-00"),"yyyy.mmdd"))),"")</f>
        <v>60</v>
      </c>
      <c r="N4" s="461" t="str">
        <f>IFERROR(IF(MID(C4,8,1)&gt;="5",IF(RIGHT(C4,1)=(RIGHT(13-MOD(MID(C4,1,1)*2+MID(C4,2,1)*3+MID(C4,3,1)*4+MID(C4,4,1)*5+MID(C4,5,1)*6+MID(C4,6,1)*7+MID(C4,8,1)*8+MID(C4,9,1)*9+MID(C4,10,1)*2+MID(C4,11,1)*3+MID(C4,12,1)*4+MID(C4,13,1)*5,11),1)),"O","X"),IF(RIGHT(C4,1)=(RIGHT(11-MOD(MID(C4,1,1)*2+MID(C4,2,1)*3+MID(C4,3,1)*4+MID(C4,4,1)*5+MID(C4,5,1)*6+MID(C4,6,1)*7+MID(C4,8,1)*8+MID(C4,9,1)*9+MID(C4,10,1)*2+MID(C4,11,1)*3+MID(C4,12,1)*4+MID(C4,13,1)*5,11),1)),"O","X")),"")</f>
        <v>O</v>
      </c>
      <c r="P4" t="s">
        <v>91</v>
      </c>
      <c r="Q4" s="36" t="s">
        <v>160</v>
      </c>
      <c r="S4" t="s">
        <v>164</v>
      </c>
    </row>
    <row r="5" spans="1:19" ht="20.100000000000001" customHeight="1">
      <c r="A5" s="443" t="s">
        <v>767</v>
      </c>
      <c r="B5" s="444" t="s">
        <v>377</v>
      </c>
      <c r="C5" s="444" t="s">
        <v>794</v>
      </c>
      <c r="D5" s="445" t="s">
        <v>770</v>
      </c>
      <c r="E5" s="444" t="s">
        <v>773</v>
      </c>
      <c r="F5" s="428" t="s">
        <v>171</v>
      </c>
      <c r="G5" s="444" t="s">
        <v>92</v>
      </c>
      <c r="H5" s="444" t="s">
        <v>974</v>
      </c>
      <c r="I5" s="444" t="s">
        <v>975</v>
      </c>
      <c r="J5" s="446"/>
      <c r="K5" s="446"/>
      <c r="L5" s="447">
        <f t="shared" ca="1" si="1"/>
        <v>62</v>
      </c>
      <c r="N5" s="462" t="str">
        <f t="shared" ref="N5:N68" si="2">IFERROR(IF(MID(C5,8,1)&gt;="5",IF(RIGHT(C5,1)=(RIGHT(13-MOD(MID(C5,1,1)*2+MID(C5,2,1)*3+MID(C5,3,1)*4+MID(C5,4,1)*5+MID(C5,5,1)*6+MID(C5,6,1)*7+MID(C5,8,1)*8+MID(C5,9,1)*9+MID(C5,10,1)*2+MID(C5,11,1)*3+MID(C5,12,1)*4+MID(C5,13,1)*5,11),1)),"O","X"),IF(RIGHT(C5,1)=(RIGHT(11-MOD(MID(C5,1,1)*2+MID(C5,2,1)*3+MID(C5,3,1)*4+MID(C5,4,1)*5+MID(C5,5,1)*6+MID(C5,6,1)*7+MID(C5,8,1)*8+MID(C5,9,1)*9+MID(C5,10,1)*2+MID(C5,11,1)*3+MID(C5,12,1)*4+MID(C5,13,1)*5,11),1)),"O","X")),"")</f>
        <v>O</v>
      </c>
      <c r="P5" t="s">
        <v>162</v>
      </c>
      <c r="Q5" s="36" t="s">
        <v>163</v>
      </c>
      <c r="S5" t="s">
        <v>167</v>
      </c>
    </row>
    <row r="6" spans="1:19" ht="20.100000000000001" customHeight="1">
      <c r="A6" s="443" t="s">
        <v>768</v>
      </c>
      <c r="B6" s="444" t="s">
        <v>377</v>
      </c>
      <c r="C6" s="444" t="s">
        <v>795</v>
      </c>
      <c r="D6" s="445" t="s">
        <v>771</v>
      </c>
      <c r="E6" s="444" t="s">
        <v>774</v>
      </c>
      <c r="F6" s="428" t="s">
        <v>168</v>
      </c>
      <c r="G6" s="444" t="s">
        <v>85</v>
      </c>
      <c r="H6" s="444" t="s">
        <v>976</v>
      </c>
      <c r="I6" s="444" t="s">
        <v>768</v>
      </c>
      <c r="J6" s="446"/>
      <c r="K6" s="446"/>
      <c r="L6" s="447">
        <f t="shared" ca="1" si="1"/>
        <v>55</v>
      </c>
      <c r="N6" s="462" t="str">
        <f t="shared" si="2"/>
        <v>O</v>
      </c>
      <c r="P6" t="s">
        <v>165</v>
      </c>
      <c r="Q6" s="36" t="s">
        <v>166</v>
      </c>
      <c r="S6" t="s">
        <v>167</v>
      </c>
    </row>
    <row r="7" spans="1:19" ht="20.100000000000001" customHeight="1">
      <c r="A7" s="448" t="s">
        <v>775</v>
      </c>
      <c r="B7" s="444" t="s">
        <v>377</v>
      </c>
      <c r="C7" s="444" t="s">
        <v>977</v>
      </c>
      <c r="D7" s="445" t="s">
        <v>776</v>
      </c>
      <c r="E7" s="444" t="s">
        <v>777</v>
      </c>
      <c r="F7" s="428" t="s">
        <v>171</v>
      </c>
      <c r="G7" s="444" t="s">
        <v>92</v>
      </c>
      <c r="H7" s="444" t="s">
        <v>778</v>
      </c>
      <c r="I7" s="444" t="s">
        <v>775</v>
      </c>
      <c r="J7" s="449"/>
      <c r="K7" s="449"/>
      <c r="L7" s="450">
        <f t="shared" ca="1" si="1"/>
        <v>60</v>
      </c>
      <c r="N7" s="462" t="str">
        <f t="shared" si="2"/>
        <v>O</v>
      </c>
      <c r="P7" t="s">
        <v>85</v>
      </c>
      <c r="Q7" s="36" t="s">
        <v>168</v>
      </c>
      <c r="S7" t="s">
        <v>169</v>
      </c>
    </row>
    <row r="8" spans="1:19" ht="20.100000000000001" customHeight="1">
      <c r="A8" s="79" t="s">
        <v>978</v>
      </c>
      <c r="B8" s="1" t="s">
        <v>377</v>
      </c>
      <c r="C8" s="444" t="s">
        <v>979</v>
      </c>
      <c r="D8" s="2" t="s">
        <v>980</v>
      </c>
      <c r="E8" s="1" t="s">
        <v>981</v>
      </c>
      <c r="F8" s="3" t="s">
        <v>168</v>
      </c>
      <c r="G8" s="1" t="s">
        <v>85</v>
      </c>
      <c r="H8" s="1" t="s">
        <v>982</v>
      </c>
      <c r="I8" s="1" t="s">
        <v>978</v>
      </c>
      <c r="J8" s="78"/>
      <c r="K8" s="78"/>
      <c r="L8" s="65">
        <f t="shared" ca="1" si="1"/>
        <v>65</v>
      </c>
      <c r="N8" s="462" t="str">
        <f t="shared" si="2"/>
        <v>O</v>
      </c>
      <c r="P8" t="s">
        <v>152</v>
      </c>
      <c r="Q8" s="36" t="s">
        <v>170</v>
      </c>
      <c r="S8" t="s">
        <v>155</v>
      </c>
    </row>
    <row r="9" spans="1:19" ht="20.100000000000001" customHeight="1">
      <c r="A9" s="443" t="s">
        <v>983</v>
      </c>
      <c r="B9" s="444" t="s">
        <v>377</v>
      </c>
      <c r="C9" s="444" t="s">
        <v>984</v>
      </c>
      <c r="D9" s="445" t="s">
        <v>985</v>
      </c>
      <c r="E9" s="444" t="s">
        <v>986</v>
      </c>
      <c r="F9" s="428" t="s">
        <v>193</v>
      </c>
      <c r="G9" s="444" t="s">
        <v>77</v>
      </c>
      <c r="H9" s="444" t="s">
        <v>987</v>
      </c>
      <c r="I9" s="444" t="s">
        <v>983</v>
      </c>
      <c r="J9" s="446"/>
      <c r="K9" s="446"/>
      <c r="L9" s="447">
        <f t="shared" ca="1" si="1"/>
        <v>66</v>
      </c>
      <c r="N9" s="462" t="str">
        <f t="shared" si="2"/>
        <v>O</v>
      </c>
      <c r="P9" t="s">
        <v>92</v>
      </c>
      <c r="Q9" s="36" t="s">
        <v>171</v>
      </c>
      <c r="S9" t="s">
        <v>172</v>
      </c>
    </row>
    <row r="10" spans="1:19" ht="20.100000000000001" customHeight="1">
      <c r="A10" s="457" t="s">
        <v>988</v>
      </c>
      <c r="B10" s="444" t="s">
        <v>377</v>
      </c>
      <c r="C10" s="444" t="s">
        <v>989</v>
      </c>
      <c r="D10" s="445" t="s">
        <v>990</v>
      </c>
      <c r="E10" s="444" t="s">
        <v>991</v>
      </c>
      <c r="F10" s="428" t="s">
        <v>170</v>
      </c>
      <c r="G10" s="458" t="s">
        <v>152</v>
      </c>
      <c r="H10" s="444" t="s">
        <v>992</v>
      </c>
      <c r="I10" s="451" t="s">
        <v>988</v>
      </c>
      <c r="J10" s="446"/>
      <c r="K10" s="446"/>
      <c r="L10" s="447">
        <f t="shared" ca="1" si="1"/>
        <v>71</v>
      </c>
      <c r="N10" s="462" t="str">
        <f t="shared" si="2"/>
        <v>O</v>
      </c>
      <c r="P10" t="s">
        <v>93</v>
      </c>
      <c r="Q10" s="36" t="s">
        <v>173</v>
      </c>
      <c r="S10" t="s">
        <v>172</v>
      </c>
    </row>
    <row r="11" spans="1:19" ht="20.100000000000001" customHeight="1">
      <c r="A11" s="443" t="s">
        <v>993</v>
      </c>
      <c r="B11" s="444" t="s">
        <v>377</v>
      </c>
      <c r="C11" s="444" t="s">
        <v>994</v>
      </c>
      <c r="D11" s="445" t="s">
        <v>995</v>
      </c>
      <c r="E11" s="444" t="s">
        <v>996</v>
      </c>
      <c r="F11" s="428" t="s">
        <v>189</v>
      </c>
      <c r="G11" s="444" t="s">
        <v>78</v>
      </c>
      <c r="H11" s="444" t="s">
        <v>997</v>
      </c>
      <c r="I11" s="444" t="s">
        <v>993</v>
      </c>
      <c r="J11" s="446"/>
      <c r="K11" s="446"/>
      <c r="L11" s="447">
        <f t="shared" ca="1" si="1"/>
        <v>54</v>
      </c>
      <c r="N11" s="462" t="str">
        <f t="shared" si="2"/>
        <v>O</v>
      </c>
      <c r="P11" t="s">
        <v>81</v>
      </c>
      <c r="Q11" s="36" t="s">
        <v>175</v>
      </c>
      <c r="S11" t="s">
        <v>174</v>
      </c>
    </row>
    <row r="12" spans="1:19" ht="20.100000000000001" customHeight="1">
      <c r="A12" s="457" t="s">
        <v>998</v>
      </c>
      <c r="B12" s="444" t="s">
        <v>156</v>
      </c>
      <c r="C12" s="444" t="s">
        <v>999</v>
      </c>
      <c r="D12" s="445" t="s">
        <v>1000</v>
      </c>
      <c r="E12" s="444" t="s">
        <v>1001</v>
      </c>
      <c r="F12" s="428" t="s">
        <v>171</v>
      </c>
      <c r="G12" s="458" t="s">
        <v>92</v>
      </c>
      <c r="H12" s="444" t="s">
        <v>1002</v>
      </c>
      <c r="I12" s="451" t="s">
        <v>1003</v>
      </c>
      <c r="J12" s="446"/>
      <c r="K12" s="446"/>
      <c r="L12" s="447">
        <f t="shared" ca="1" si="1"/>
        <v>67</v>
      </c>
      <c r="N12" s="462" t="str">
        <f t="shared" si="2"/>
        <v>O</v>
      </c>
      <c r="P12" t="s">
        <v>177</v>
      </c>
      <c r="Q12" s="36" t="s">
        <v>178</v>
      </c>
      <c r="S12" t="s">
        <v>176</v>
      </c>
    </row>
    <row r="13" spans="1:19" ht="20.100000000000001" customHeight="1">
      <c r="A13" s="443" t="s">
        <v>1004</v>
      </c>
      <c r="B13" s="444" t="s">
        <v>377</v>
      </c>
      <c r="C13" s="444" t="s">
        <v>1005</v>
      </c>
      <c r="D13" s="445" t="s">
        <v>1006</v>
      </c>
      <c r="E13" s="444" t="s">
        <v>1007</v>
      </c>
      <c r="F13" s="428" t="s">
        <v>168</v>
      </c>
      <c r="G13" s="444" t="s">
        <v>85</v>
      </c>
      <c r="H13" s="444" t="s">
        <v>1008</v>
      </c>
      <c r="I13" s="444" t="s">
        <v>1004</v>
      </c>
      <c r="J13" s="446"/>
      <c r="K13" s="446"/>
      <c r="L13" s="447">
        <f t="shared" ca="1" si="1"/>
        <v>63</v>
      </c>
      <c r="N13" s="462" t="str">
        <f t="shared" si="2"/>
        <v>O</v>
      </c>
      <c r="P13" t="s">
        <v>87</v>
      </c>
      <c r="Q13" s="36" t="s">
        <v>180</v>
      </c>
      <c r="S13" t="s">
        <v>176</v>
      </c>
    </row>
    <row r="14" spans="1:19" ht="20.100000000000001" customHeight="1">
      <c r="A14" s="443" t="s">
        <v>1009</v>
      </c>
      <c r="B14" s="444" t="s">
        <v>377</v>
      </c>
      <c r="C14" s="444" t="s">
        <v>1010</v>
      </c>
      <c r="D14" s="445" t="s">
        <v>1011</v>
      </c>
      <c r="E14" s="444" t="s">
        <v>1012</v>
      </c>
      <c r="F14" s="428" t="s">
        <v>171</v>
      </c>
      <c r="G14" s="444" t="s">
        <v>92</v>
      </c>
      <c r="H14" s="444" t="s">
        <v>1013</v>
      </c>
      <c r="I14" s="444" t="s">
        <v>1009</v>
      </c>
      <c r="J14" s="446"/>
      <c r="K14" s="446"/>
      <c r="L14" s="447">
        <f t="shared" ca="1" si="1"/>
        <v>61</v>
      </c>
      <c r="N14" s="462" t="str">
        <f t="shared" si="2"/>
        <v>O</v>
      </c>
      <c r="P14" t="s">
        <v>182</v>
      </c>
      <c r="Q14" s="36" t="s">
        <v>183</v>
      </c>
      <c r="S14" t="s">
        <v>179</v>
      </c>
    </row>
    <row r="15" spans="1:19" ht="20.100000000000001" customHeight="1">
      <c r="A15" s="443" t="s">
        <v>1014</v>
      </c>
      <c r="B15" s="444" t="s">
        <v>377</v>
      </c>
      <c r="C15" s="444" t="s">
        <v>1015</v>
      </c>
      <c r="D15" s="445" t="s">
        <v>1016</v>
      </c>
      <c r="E15" s="444" t="s">
        <v>1017</v>
      </c>
      <c r="F15" s="428" t="s">
        <v>171</v>
      </c>
      <c r="G15" s="444" t="s">
        <v>92</v>
      </c>
      <c r="H15" s="444" t="s">
        <v>1018</v>
      </c>
      <c r="I15" s="444" t="s">
        <v>1014</v>
      </c>
      <c r="J15" s="446"/>
      <c r="K15" s="446"/>
      <c r="L15" s="447">
        <f t="shared" ca="1" si="1"/>
        <v>61</v>
      </c>
      <c r="N15" s="462" t="str">
        <f t="shared" si="2"/>
        <v>O</v>
      </c>
      <c r="P15" t="s">
        <v>88</v>
      </c>
      <c r="Q15" s="36" t="s">
        <v>184</v>
      </c>
      <c r="S15" t="s">
        <v>181</v>
      </c>
    </row>
    <row r="16" spans="1:19" ht="20.100000000000001" customHeight="1">
      <c r="A16" s="443" t="s">
        <v>1019</v>
      </c>
      <c r="B16" s="444" t="s">
        <v>377</v>
      </c>
      <c r="C16" s="444" t="s">
        <v>1020</v>
      </c>
      <c r="D16" s="445" t="s">
        <v>1021</v>
      </c>
      <c r="E16" s="444" t="s">
        <v>1022</v>
      </c>
      <c r="F16" s="428" t="s">
        <v>168</v>
      </c>
      <c r="G16" s="444" t="s">
        <v>85</v>
      </c>
      <c r="H16" s="444" t="s">
        <v>1023</v>
      </c>
      <c r="I16" s="444" t="s">
        <v>1019</v>
      </c>
      <c r="J16" s="446"/>
      <c r="K16" s="446"/>
      <c r="L16" s="447">
        <f t="shared" ca="1" si="1"/>
        <v>78</v>
      </c>
      <c r="N16" s="462" t="str">
        <f t="shared" si="2"/>
        <v>O</v>
      </c>
      <c r="P16" t="s">
        <v>186</v>
      </c>
      <c r="Q16" s="36" t="s">
        <v>187</v>
      </c>
      <c r="S16" t="s">
        <v>153</v>
      </c>
    </row>
    <row r="17" spans="1:19" ht="20.100000000000001" customHeight="1">
      <c r="A17" s="451" t="s">
        <v>1024</v>
      </c>
      <c r="B17" s="444" t="s">
        <v>156</v>
      </c>
      <c r="C17" s="444" t="s">
        <v>1025</v>
      </c>
      <c r="D17" s="445" t="s">
        <v>1026</v>
      </c>
      <c r="E17" s="444" t="s">
        <v>1027</v>
      </c>
      <c r="F17" s="428" t="s">
        <v>160</v>
      </c>
      <c r="G17" s="444" t="s">
        <v>91</v>
      </c>
      <c r="H17" s="444" t="s">
        <v>1028</v>
      </c>
      <c r="I17" s="451" t="s">
        <v>1029</v>
      </c>
      <c r="J17" s="446"/>
      <c r="K17" s="446"/>
      <c r="L17" s="447">
        <f t="shared" ca="1" si="1"/>
        <v>67</v>
      </c>
      <c r="N17" s="462" t="str">
        <f t="shared" si="2"/>
        <v>O</v>
      </c>
      <c r="P17" t="s">
        <v>78</v>
      </c>
      <c r="Q17" s="36" t="s">
        <v>189</v>
      </c>
      <c r="S17" t="s">
        <v>185</v>
      </c>
    </row>
    <row r="18" spans="1:19" ht="20.100000000000001" customHeight="1">
      <c r="A18" s="448" t="s">
        <v>1030</v>
      </c>
      <c r="B18" s="444" t="s">
        <v>377</v>
      </c>
      <c r="C18" s="444" t="s">
        <v>1031</v>
      </c>
      <c r="D18" s="445" t="s">
        <v>1032</v>
      </c>
      <c r="E18" s="444" t="s">
        <v>1033</v>
      </c>
      <c r="F18" s="428" t="s">
        <v>195</v>
      </c>
      <c r="G18" s="444" t="s">
        <v>79</v>
      </c>
      <c r="H18" s="444" t="s">
        <v>1034</v>
      </c>
      <c r="I18" s="444" t="s">
        <v>1030</v>
      </c>
      <c r="J18" s="449"/>
      <c r="K18" s="449"/>
      <c r="L18" s="450">
        <f t="shared" ca="1" si="1"/>
        <v>26</v>
      </c>
      <c r="N18" s="462" t="str">
        <f t="shared" si="2"/>
        <v>O</v>
      </c>
      <c r="P18" t="s">
        <v>89</v>
      </c>
      <c r="Q18" s="36" t="s">
        <v>191</v>
      </c>
      <c r="S18" t="s">
        <v>188</v>
      </c>
    </row>
    <row r="19" spans="1:19" ht="20.100000000000001" customHeight="1">
      <c r="A19" s="448" t="s">
        <v>796</v>
      </c>
      <c r="B19" s="444" t="s">
        <v>377</v>
      </c>
      <c r="C19" s="444" t="s">
        <v>797</v>
      </c>
      <c r="D19" s="445" t="s">
        <v>798</v>
      </c>
      <c r="E19" s="444" t="s">
        <v>799</v>
      </c>
      <c r="F19" s="428" t="s">
        <v>189</v>
      </c>
      <c r="G19" s="444" t="s">
        <v>78</v>
      </c>
      <c r="H19" s="444" t="s">
        <v>1035</v>
      </c>
      <c r="I19" s="444" t="s">
        <v>796</v>
      </c>
      <c r="J19" s="449"/>
      <c r="K19" s="449"/>
      <c r="L19" s="450">
        <f t="shared" ca="1" si="1"/>
        <v>84</v>
      </c>
      <c r="N19" s="462" t="str">
        <f t="shared" si="2"/>
        <v>O</v>
      </c>
      <c r="P19" t="s">
        <v>77</v>
      </c>
      <c r="Q19" s="36" t="s">
        <v>193</v>
      </c>
      <c r="S19" t="s">
        <v>190</v>
      </c>
    </row>
    <row r="20" spans="1:19" ht="20.100000000000001" customHeight="1">
      <c r="A20" s="448" t="s">
        <v>800</v>
      </c>
      <c r="B20" s="444" t="s">
        <v>377</v>
      </c>
      <c r="C20" s="444" t="s">
        <v>801</v>
      </c>
      <c r="D20" s="445" t="s">
        <v>802</v>
      </c>
      <c r="E20" s="444" t="s">
        <v>803</v>
      </c>
      <c r="F20" s="428" t="s">
        <v>193</v>
      </c>
      <c r="G20" s="444" t="s">
        <v>77</v>
      </c>
      <c r="H20" s="444" t="s">
        <v>1036</v>
      </c>
      <c r="I20" s="444" t="s">
        <v>800</v>
      </c>
      <c r="J20" s="449"/>
      <c r="K20" s="449"/>
      <c r="L20" s="450">
        <f t="shared" ref="L20:L72" ca="1" si="3">IFERROR(IF(OR(MID(C20,8,1)&lt;"3",AND(MID(C20,8,1)&gt;="5",MID(C20,8,1)&lt;="6")),INT(TEXT(TODAY(),"yyyy.mmdd")-TEXT(TEXT(LEFT(C20,6),"1900-00-00"),"yyyy.mmdd")),INT(TEXT(TODAY(),"yyyy.mmdd")-TEXT(TEXT(LEFT(C20,6),"2000-00-00"),"yyyy.mmdd"))),"")</f>
        <v>75</v>
      </c>
      <c r="N20" s="462" t="str">
        <f t="shared" si="2"/>
        <v>O</v>
      </c>
      <c r="P20" t="s">
        <v>79</v>
      </c>
      <c r="Q20" s="36" t="s">
        <v>195</v>
      </c>
      <c r="S20" t="s">
        <v>190</v>
      </c>
    </row>
    <row r="21" spans="1:19" ht="20.100000000000001" customHeight="1">
      <c r="A21" s="448" t="s">
        <v>804</v>
      </c>
      <c r="B21" s="444" t="s">
        <v>377</v>
      </c>
      <c r="C21" s="444" t="s">
        <v>805</v>
      </c>
      <c r="D21" s="445" t="s">
        <v>806</v>
      </c>
      <c r="E21" s="444" t="s">
        <v>807</v>
      </c>
      <c r="F21" s="428" t="s">
        <v>171</v>
      </c>
      <c r="G21" s="444" t="s">
        <v>92</v>
      </c>
      <c r="H21" s="444" t="s">
        <v>1037</v>
      </c>
      <c r="I21" s="444" t="s">
        <v>804</v>
      </c>
      <c r="J21" s="449"/>
      <c r="K21" s="449"/>
      <c r="L21" s="450">
        <f t="shared" ca="1" si="3"/>
        <v>67</v>
      </c>
      <c r="N21" s="462" t="str">
        <f t="shared" si="2"/>
        <v>O</v>
      </c>
      <c r="P21" t="s">
        <v>197</v>
      </c>
      <c r="Q21" s="36" t="s">
        <v>198</v>
      </c>
      <c r="S21" t="s">
        <v>192</v>
      </c>
    </row>
    <row r="22" spans="1:19" ht="20.100000000000001" customHeight="1">
      <c r="A22" s="448" t="s">
        <v>808</v>
      </c>
      <c r="B22" s="444" t="s">
        <v>377</v>
      </c>
      <c r="C22" s="444" t="s">
        <v>809</v>
      </c>
      <c r="D22" s="445" t="s">
        <v>810</v>
      </c>
      <c r="E22" s="444" t="s">
        <v>811</v>
      </c>
      <c r="F22" s="428" t="s">
        <v>160</v>
      </c>
      <c r="G22" s="444" t="s">
        <v>91</v>
      </c>
      <c r="H22" s="444" t="s">
        <v>1038</v>
      </c>
      <c r="I22" s="444" t="s">
        <v>808</v>
      </c>
      <c r="J22" s="449"/>
      <c r="K22" s="449"/>
      <c r="L22" s="450">
        <f t="shared" ca="1" si="3"/>
        <v>80</v>
      </c>
      <c r="N22" s="462" t="str">
        <f t="shared" si="2"/>
        <v>O</v>
      </c>
      <c r="P22" t="s">
        <v>200</v>
      </c>
      <c r="Q22" s="36" t="s">
        <v>201</v>
      </c>
      <c r="S22" t="s">
        <v>194</v>
      </c>
    </row>
    <row r="23" spans="1:19" ht="20.100000000000001" customHeight="1">
      <c r="A23" s="448" t="s">
        <v>812</v>
      </c>
      <c r="B23" s="444" t="s">
        <v>377</v>
      </c>
      <c r="C23" s="444" t="s">
        <v>813</v>
      </c>
      <c r="D23" s="445" t="s">
        <v>814</v>
      </c>
      <c r="E23" s="444" t="s">
        <v>815</v>
      </c>
      <c r="F23" s="428" t="s">
        <v>171</v>
      </c>
      <c r="G23" s="444" t="s">
        <v>92</v>
      </c>
      <c r="H23" s="444" t="s">
        <v>1039</v>
      </c>
      <c r="I23" s="444" t="s">
        <v>812</v>
      </c>
      <c r="J23" s="449"/>
      <c r="K23" s="449"/>
      <c r="L23" s="450">
        <f t="shared" ca="1" si="3"/>
        <v>81</v>
      </c>
      <c r="N23" s="462" t="str">
        <f t="shared" si="2"/>
        <v>O</v>
      </c>
      <c r="P23" t="s">
        <v>203</v>
      </c>
      <c r="Q23" s="36" t="s">
        <v>204</v>
      </c>
      <c r="S23" t="s">
        <v>196</v>
      </c>
    </row>
    <row r="24" spans="1:19" ht="20.100000000000001" customHeight="1">
      <c r="A24" s="448" t="s">
        <v>816</v>
      </c>
      <c r="B24" s="444" t="s">
        <v>377</v>
      </c>
      <c r="C24" s="444" t="s">
        <v>817</v>
      </c>
      <c r="D24" s="445" t="s">
        <v>818</v>
      </c>
      <c r="E24" s="444" t="s">
        <v>819</v>
      </c>
      <c r="F24" s="428" t="s">
        <v>171</v>
      </c>
      <c r="G24" s="444" t="s">
        <v>92</v>
      </c>
      <c r="H24" s="444" t="s">
        <v>1040</v>
      </c>
      <c r="I24" s="444" t="s">
        <v>816</v>
      </c>
      <c r="J24" s="449"/>
      <c r="K24" s="449"/>
      <c r="L24" s="450">
        <f t="shared" ca="1" si="3"/>
        <v>70</v>
      </c>
      <c r="N24" s="462" t="str">
        <f t="shared" si="2"/>
        <v>O</v>
      </c>
      <c r="P24" t="s">
        <v>90</v>
      </c>
      <c r="Q24" s="36" t="s">
        <v>206</v>
      </c>
      <c r="S24" t="s">
        <v>199</v>
      </c>
    </row>
    <row r="25" spans="1:19" ht="20.100000000000001" customHeight="1">
      <c r="A25" s="448" t="s">
        <v>820</v>
      </c>
      <c r="B25" s="444" t="s">
        <v>377</v>
      </c>
      <c r="C25" s="444" t="s">
        <v>821</v>
      </c>
      <c r="D25" s="445" t="s">
        <v>822</v>
      </c>
      <c r="E25" s="444" t="s">
        <v>823</v>
      </c>
      <c r="F25" s="428" t="s">
        <v>184</v>
      </c>
      <c r="G25" s="444" t="s">
        <v>88</v>
      </c>
      <c r="H25" s="444" t="s">
        <v>1041</v>
      </c>
      <c r="I25" s="444" t="s">
        <v>820</v>
      </c>
      <c r="J25" s="449"/>
      <c r="K25" s="449"/>
      <c r="L25" s="450">
        <f t="shared" ca="1" si="3"/>
        <v>82</v>
      </c>
      <c r="N25" s="462" t="str">
        <f t="shared" si="2"/>
        <v>O</v>
      </c>
      <c r="P25" t="s">
        <v>208</v>
      </c>
      <c r="Q25" s="36" t="s">
        <v>209</v>
      </c>
      <c r="S25" t="s">
        <v>202</v>
      </c>
    </row>
    <row r="26" spans="1:19" ht="20.100000000000001" customHeight="1">
      <c r="A26" s="448" t="s">
        <v>824</v>
      </c>
      <c r="B26" s="444" t="s">
        <v>377</v>
      </c>
      <c r="C26" s="444" t="s">
        <v>825</v>
      </c>
      <c r="D26" s="445" t="s">
        <v>826</v>
      </c>
      <c r="E26" s="444" t="s">
        <v>827</v>
      </c>
      <c r="F26" s="428" t="s">
        <v>189</v>
      </c>
      <c r="G26" s="444" t="s">
        <v>78</v>
      </c>
      <c r="H26" s="444" t="s">
        <v>1042</v>
      </c>
      <c r="I26" s="444" t="s">
        <v>824</v>
      </c>
      <c r="J26" s="449"/>
      <c r="K26" s="449"/>
      <c r="L26" s="450">
        <f t="shared" ca="1" si="3"/>
        <v>65</v>
      </c>
      <c r="N26" s="462" t="str">
        <f t="shared" si="2"/>
        <v>O</v>
      </c>
      <c r="P26" t="s">
        <v>211</v>
      </c>
      <c r="Q26" s="36" t="s">
        <v>212</v>
      </c>
      <c r="S26" t="s">
        <v>202</v>
      </c>
    </row>
    <row r="27" spans="1:19" ht="20.100000000000001" customHeight="1">
      <c r="A27" s="448" t="s">
        <v>828</v>
      </c>
      <c r="B27" s="444" t="s">
        <v>377</v>
      </c>
      <c r="C27" s="444" t="s">
        <v>829</v>
      </c>
      <c r="D27" s="445" t="s">
        <v>830</v>
      </c>
      <c r="E27" s="444" t="s">
        <v>831</v>
      </c>
      <c r="F27" s="428" t="s">
        <v>171</v>
      </c>
      <c r="G27" s="444" t="s">
        <v>92</v>
      </c>
      <c r="H27" s="444" t="s">
        <v>1043</v>
      </c>
      <c r="I27" s="444" t="s">
        <v>828</v>
      </c>
      <c r="J27" s="449"/>
      <c r="K27" s="449"/>
      <c r="L27" s="450">
        <f t="shared" ca="1" si="3"/>
        <v>75</v>
      </c>
      <c r="N27" s="462" t="str">
        <f t="shared" si="2"/>
        <v>O</v>
      </c>
      <c r="P27"/>
      <c r="S27" t="s">
        <v>205</v>
      </c>
    </row>
    <row r="28" spans="1:19" ht="20.100000000000001" customHeight="1">
      <c r="A28" s="448" t="s">
        <v>832</v>
      </c>
      <c r="B28" s="444" t="s">
        <v>377</v>
      </c>
      <c r="C28" s="444" t="s">
        <v>833</v>
      </c>
      <c r="D28" s="445" t="s">
        <v>834</v>
      </c>
      <c r="E28" s="444" t="s">
        <v>835</v>
      </c>
      <c r="F28" s="428" t="s">
        <v>171</v>
      </c>
      <c r="G28" s="444" t="s">
        <v>92</v>
      </c>
      <c r="H28" s="444" t="s">
        <v>1044</v>
      </c>
      <c r="I28" s="444" t="s">
        <v>832</v>
      </c>
      <c r="J28" s="449"/>
      <c r="K28" s="449"/>
      <c r="L28" s="450">
        <f t="shared" ca="1" si="3"/>
        <v>70</v>
      </c>
      <c r="N28" s="462" t="str">
        <f t="shared" si="2"/>
        <v>O</v>
      </c>
      <c r="P28"/>
      <c r="S28" t="s">
        <v>207</v>
      </c>
    </row>
    <row r="29" spans="1:19" ht="20.100000000000001" customHeight="1">
      <c r="A29" s="448" t="s">
        <v>836</v>
      </c>
      <c r="B29" s="444" t="s">
        <v>377</v>
      </c>
      <c r="C29" s="444" t="s">
        <v>837</v>
      </c>
      <c r="D29" s="445" t="s">
        <v>838</v>
      </c>
      <c r="E29" s="444" t="s">
        <v>839</v>
      </c>
      <c r="F29" s="428" t="s">
        <v>189</v>
      </c>
      <c r="G29" s="444" t="s">
        <v>78</v>
      </c>
      <c r="H29" s="444" t="s">
        <v>1045</v>
      </c>
      <c r="I29" s="444" t="s">
        <v>836</v>
      </c>
      <c r="J29" s="449"/>
      <c r="K29" s="449"/>
      <c r="L29" s="450">
        <f t="shared" ca="1" si="3"/>
        <v>76</v>
      </c>
      <c r="N29" s="462" t="str">
        <f t="shared" si="2"/>
        <v>O</v>
      </c>
      <c r="P29"/>
      <c r="S29" t="s">
        <v>210</v>
      </c>
    </row>
    <row r="30" spans="1:19" ht="20.100000000000001" customHeight="1">
      <c r="A30" s="448" t="s">
        <v>840</v>
      </c>
      <c r="B30" s="444" t="s">
        <v>377</v>
      </c>
      <c r="C30" s="444" t="s">
        <v>841</v>
      </c>
      <c r="D30" s="445" t="s">
        <v>842</v>
      </c>
      <c r="E30" s="444" t="s">
        <v>843</v>
      </c>
      <c r="F30" s="428" t="s">
        <v>191</v>
      </c>
      <c r="G30" s="444" t="s">
        <v>89</v>
      </c>
      <c r="H30" s="444" t="s">
        <v>1046</v>
      </c>
      <c r="I30" s="444" t="s">
        <v>840</v>
      </c>
      <c r="J30" s="449"/>
      <c r="K30" s="449"/>
      <c r="L30" s="450">
        <f t="shared" ca="1" si="3"/>
        <v>82</v>
      </c>
      <c r="N30" s="462" t="str">
        <f t="shared" si="2"/>
        <v>O</v>
      </c>
      <c r="P30"/>
      <c r="S30" t="s">
        <v>210</v>
      </c>
    </row>
    <row r="31" spans="1:19" ht="20.100000000000001" customHeight="1">
      <c r="A31" s="448" t="s">
        <v>844</v>
      </c>
      <c r="B31" s="444" t="s">
        <v>377</v>
      </c>
      <c r="C31" s="444" t="s">
        <v>845</v>
      </c>
      <c r="D31" s="445" t="s">
        <v>846</v>
      </c>
      <c r="E31" s="444" t="s">
        <v>847</v>
      </c>
      <c r="F31" s="428" t="s">
        <v>189</v>
      </c>
      <c r="G31" s="444" t="s">
        <v>78</v>
      </c>
      <c r="H31" s="444" t="s">
        <v>1047</v>
      </c>
      <c r="I31" s="444" t="s">
        <v>844</v>
      </c>
      <c r="J31" s="449"/>
      <c r="K31" s="449"/>
      <c r="L31" s="450">
        <f t="shared" ca="1" si="3"/>
        <v>79</v>
      </c>
      <c r="N31" s="462" t="str">
        <f t="shared" si="2"/>
        <v>O</v>
      </c>
      <c r="P31"/>
      <c r="S31" t="s">
        <v>213</v>
      </c>
    </row>
    <row r="32" spans="1:19" ht="20.100000000000001" customHeight="1">
      <c r="A32" s="448" t="s">
        <v>848</v>
      </c>
      <c r="B32" s="444" t="s">
        <v>377</v>
      </c>
      <c r="C32" s="444" t="s">
        <v>849</v>
      </c>
      <c r="D32" s="445" t="s">
        <v>850</v>
      </c>
      <c r="E32" s="444" t="s">
        <v>851</v>
      </c>
      <c r="F32" s="428" t="s">
        <v>171</v>
      </c>
      <c r="G32" s="444" t="s">
        <v>92</v>
      </c>
      <c r="H32" s="444" t="s">
        <v>1048</v>
      </c>
      <c r="I32" s="444" t="s">
        <v>848</v>
      </c>
      <c r="J32" s="449"/>
      <c r="K32" s="449"/>
      <c r="L32" s="450">
        <f t="shared" ca="1" si="3"/>
        <v>83</v>
      </c>
      <c r="N32" s="462" t="str">
        <f t="shared" si="2"/>
        <v>O</v>
      </c>
      <c r="P32"/>
      <c r="S32" t="s">
        <v>214</v>
      </c>
    </row>
    <row r="33" spans="1:19" ht="20.100000000000001" customHeight="1">
      <c r="A33" s="448" t="s">
        <v>852</v>
      </c>
      <c r="B33" s="444" t="s">
        <v>377</v>
      </c>
      <c r="C33" s="444" t="s">
        <v>853</v>
      </c>
      <c r="D33" s="445" t="s">
        <v>854</v>
      </c>
      <c r="E33" s="444" t="s">
        <v>855</v>
      </c>
      <c r="F33" s="428" t="s">
        <v>191</v>
      </c>
      <c r="G33" s="444" t="s">
        <v>89</v>
      </c>
      <c r="H33" s="444" t="s">
        <v>1049</v>
      </c>
      <c r="I33" s="444" t="s">
        <v>852</v>
      </c>
      <c r="J33" s="449"/>
      <c r="K33" s="449"/>
      <c r="L33" s="450">
        <f t="shared" ca="1" si="3"/>
        <v>69</v>
      </c>
      <c r="N33" s="462" t="str">
        <f t="shared" si="2"/>
        <v>O</v>
      </c>
      <c r="P33"/>
      <c r="S33" t="s">
        <v>215</v>
      </c>
    </row>
    <row r="34" spans="1:19" ht="20.100000000000001" customHeight="1">
      <c r="A34" s="448" t="s">
        <v>856</v>
      </c>
      <c r="B34" s="444" t="s">
        <v>377</v>
      </c>
      <c r="C34" s="444" t="s">
        <v>857</v>
      </c>
      <c r="D34" s="445" t="s">
        <v>858</v>
      </c>
      <c r="E34" s="444" t="s">
        <v>859</v>
      </c>
      <c r="F34" s="428" t="s">
        <v>189</v>
      </c>
      <c r="G34" s="444" t="s">
        <v>78</v>
      </c>
      <c r="H34" s="444" t="s">
        <v>1050</v>
      </c>
      <c r="I34" s="444" t="s">
        <v>856</v>
      </c>
      <c r="J34" s="449"/>
      <c r="K34" s="449"/>
      <c r="L34" s="450">
        <f t="shared" ca="1" si="3"/>
        <v>79</v>
      </c>
      <c r="N34" s="462" t="str">
        <f t="shared" si="2"/>
        <v>O</v>
      </c>
      <c r="P34"/>
      <c r="S34" t="s">
        <v>216</v>
      </c>
    </row>
    <row r="35" spans="1:19" ht="20.100000000000001" customHeight="1">
      <c r="A35" s="448" t="s">
        <v>860</v>
      </c>
      <c r="B35" s="444" t="s">
        <v>377</v>
      </c>
      <c r="C35" s="444" t="s">
        <v>861</v>
      </c>
      <c r="D35" s="445" t="s">
        <v>862</v>
      </c>
      <c r="E35" s="444" t="s">
        <v>863</v>
      </c>
      <c r="F35" s="428" t="s">
        <v>171</v>
      </c>
      <c r="G35" s="444" t="s">
        <v>92</v>
      </c>
      <c r="H35" s="444" t="s">
        <v>1051</v>
      </c>
      <c r="I35" s="444" t="s">
        <v>860</v>
      </c>
      <c r="J35" s="449"/>
      <c r="K35" s="449"/>
      <c r="L35" s="450">
        <f t="shared" ca="1" si="3"/>
        <v>76</v>
      </c>
      <c r="N35" s="462" t="str">
        <f t="shared" si="2"/>
        <v>O</v>
      </c>
      <c r="P35"/>
      <c r="S35" t="s">
        <v>217</v>
      </c>
    </row>
    <row r="36" spans="1:19" ht="20.100000000000001" customHeight="1">
      <c r="A36" s="448" t="s">
        <v>864</v>
      </c>
      <c r="B36" s="444" t="s">
        <v>377</v>
      </c>
      <c r="C36" s="444" t="s">
        <v>865</v>
      </c>
      <c r="D36" s="445" t="s">
        <v>866</v>
      </c>
      <c r="E36" s="444" t="s">
        <v>867</v>
      </c>
      <c r="F36" s="428" t="s">
        <v>184</v>
      </c>
      <c r="G36" s="444" t="s">
        <v>88</v>
      </c>
      <c r="H36" s="444" t="s">
        <v>1052</v>
      </c>
      <c r="I36" s="444" t="s">
        <v>864</v>
      </c>
      <c r="J36" s="449"/>
      <c r="K36" s="449"/>
      <c r="L36" s="450">
        <f t="shared" ca="1" si="3"/>
        <v>76</v>
      </c>
      <c r="N36" s="462" t="str">
        <f t="shared" si="2"/>
        <v>O</v>
      </c>
      <c r="P36"/>
      <c r="S36" t="s">
        <v>217</v>
      </c>
    </row>
    <row r="37" spans="1:19" ht="20.100000000000001" customHeight="1">
      <c r="A37" s="448" t="s">
        <v>868</v>
      </c>
      <c r="B37" s="444" t="s">
        <v>377</v>
      </c>
      <c r="C37" s="444" t="s">
        <v>869</v>
      </c>
      <c r="D37" s="445" t="s">
        <v>870</v>
      </c>
      <c r="E37" s="444" t="s">
        <v>871</v>
      </c>
      <c r="F37" s="428" t="s">
        <v>171</v>
      </c>
      <c r="G37" s="444" t="s">
        <v>92</v>
      </c>
      <c r="H37" s="444" t="s">
        <v>1053</v>
      </c>
      <c r="I37" s="444" t="s">
        <v>868</v>
      </c>
      <c r="J37" s="449"/>
      <c r="K37" s="449"/>
      <c r="L37" s="450">
        <f t="shared" ca="1" si="3"/>
        <v>79</v>
      </c>
      <c r="N37" s="462" t="str">
        <f t="shared" si="2"/>
        <v>O</v>
      </c>
      <c r="P37"/>
      <c r="S37" t="s">
        <v>218</v>
      </c>
    </row>
    <row r="38" spans="1:19" ht="20.100000000000001" customHeight="1">
      <c r="A38" s="448" t="s">
        <v>872</v>
      </c>
      <c r="B38" s="444" t="s">
        <v>377</v>
      </c>
      <c r="C38" s="444" t="s">
        <v>873</v>
      </c>
      <c r="D38" s="445" t="s">
        <v>874</v>
      </c>
      <c r="E38" s="444" t="s">
        <v>875</v>
      </c>
      <c r="F38" s="428" t="s">
        <v>168</v>
      </c>
      <c r="G38" s="444" t="s">
        <v>85</v>
      </c>
      <c r="H38" s="444" t="s">
        <v>1054</v>
      </c>
      <c r="I38" s="444" t="s">
        <v>1055</v>
      </c>
      <c r="J38" s="449"/>
      <c r="K38" s="449"/>
      <c r="L38" s="450">
        <f t="shared" ca="1" si="3"/>
        <v>71</v>
      </c>
      <c r="N38" s="462" t="str">
        <f t="shared" si="2"/>
        <v>O</v>
      </c>
      <c r="P38"/>
      <c r="S38" t="s">
        <v>219</v>
      </c>
    </row>
    <row r="39" spans="1:19" ht="20.100000000000001" customHeight="1">
      <c r="A39" s="448" t="s">
        <v>876</v>
      </c>
      <c r="B39" s="444" t="s">
        <v>377</v>
      </c>
      <c r="C39" s="444" t="s">
        <v>877</v>
      </c>
      <c r="D39" s="445" t="s">
        <v>878</v>
      </c>
      <c r="E39" s="444" t="s">
        <v>879</v>
      </c>
      <c r="F39" s="428" t="s">
        <v>193</v>
      </c>
      <c r="G39" s="444" t="s">
        <v>77</v>
      </c>
      <c r="H39" s="444" t="s">
        <v>880</v>
      </c>
      <c r="I39" s="444" t="s">
        <v>881</v>
      </c>
      <c r="J39" s="449"/>
      <c r="K39" s="449"/>
      <c r="L39" s="450">
        <f t="shared" ca="1" si="3"/>
        <v>60</v>
      </c>
      <c r="N39" s="462" t="str">
        <f t="shared" si="2"/>
        <v>O</v>
      </c>
      <c r="P39"/>
      <c r="S39" t="s">
        <v>220</v>
      </c>
    </row>
    <row r="40" spans="1:19" ht="20.100000000000001" customHeight="1">
      <c r="A40" s="448" t="s">
        <v>882</v>
      </c>
      <c r="B40" s="444" t="s">
        <v>377</v>
      </c>
      <c r="C40" s="444" t="s">
        <v>883</v>
      </c>
      <c r="D40" s="445" t="s">
        <v>884</v>
      </c>
      <c r="E40" s="444" t="s">
        <v>885</v>
      </c>
      <c r="F40" s="428" t="s">
        <v>201</v>
      </c>
      <c r="G40" s="444" t="s">
        <v>200</v>
      </c>
      <c r="H40" s="444" t="s">
        <v>1056</v>
      </c>
      <c r="I40" s="444" t="s">
        <v>882</v>
      </c>
      <c r="J40" s="449"/>
      <c r="K40" s="449"/>
      <c r="L40" s="450">
        <f t="shared" ca="1" si="3"/>
        <v>64</v>
      </c>
      <c r="N40" s="462" t="str">
        <f t="shared" si="2"/>
        <v>O</v>
      </c>
      <c r="P40"/>
      <c r="S40" t="s">
        <v>220</v>
      </c>
    </row>
    <row r="41" spans="1:19" ht="20.100000000000001" customHeight="1">
      <c r="A41" s="448" t="s">
        <v>886</v>
      </c>
      <c r="B41" s="444" t="s">
        <v>377</v>
      </c>
      <c r="C41" s="444" t="s">
        <v>887</v>
      </c>
      <c r="D41" s="445" t="s">
        <v>888</v>
      </c>
      <c r="E41" s="444" t="s">
        <v>889</v>
      </c>
      <c r="F41" s="428" t="s">
        <v>171</v>
      </c>
      <c r="G41" s="444" t="s">
        <v>92</v>
      </c>
      <c r="H41" s="444" t="s">
        <v>890</v>
      </c>
      <c r="I41" s="444" t="s">
        <v>891</v>
      </c>
      <c r="J41" s="449"/>
      <c r="K41" s="449"/>
      <c r="L41" s="450">
        <f t="shared" ca="1" si="3"/>
        <v>55</v>
      </c>
      <c r="N41" s="462" t="str">
        <f t="shared" si="2"/>
        <v>O</v>
      </c>
      <c r="P41"/>
      <c r="S41" t="s">
        <v>221</v>
      </c>
    </row>
    <row r="42" spans="1:19" ht="20.100000000000001" customHeight="1">
      <c r="A42" s="448" t="s">
        <v>892</v>
      </c>
      <c r="B42" s="444" t="s">
        <v>377</v>
      </c>
      <c r="C42" s="444" t="s">
        <v>893</v>
      </c>
      <c r="D42" s="445" t="s">
        <v>894</v>
      </c>
      <c r="E42" s="444" t="s">
        <v>895</v>
      </c>
      <c r="F42" s="428" t="s">
        <v>168</v>
      </c>
      <c r="G42" s="444" t="s">
        <v>85</v>
      </c>
      <c r="H42" s="444" t="s">
        <v>896</v>
      </c>
      <c r="I42" s="444" t="s">
        <v>892</v>
      </c>
      <c r="J42" s="449"/>
      <c r="K42" s="449"/>
      <c r="L42" s="450">
        <f t="shared" ca="1" si="3"/>
        <v>70</v>
      </c>
      <c r="N42" s="462" t="str">
        <f t="shared" si="2"/>
        <v>O</v>
      </c>
      <c r="P42"/>
      <c r="S42" t="s">
        <v>222</v>
      </c>
    </row>
    <row r="43" spans="1:19" ht="20.100000000000001" customHeight="1">
      <c r="A43" s="448" t="s">
        <v>897</v>
      </c>
      <c r="B43" s="444" t="s">
        <v>377</v>
      </c>
      <c r="C43" s="444" t="s">
        <v>898</v>
      </c>
      <c r="D43" s="445" t="s">
        <v>899</v>
      </c>
      <c r="E43" s="444" t="s">
        <v>900</v>
      </c>
      <c r="F43" s="428" t="s">
        <v>193</v>
      </c>
      <c r="G43" s="444" t="s">
        <v>77</v>
      </c>
      <c r="H43" s="444" t="s">
        <v>901</v>
      </c>
      <c r="I43" s="444" t="s">
        <v>897</v>
      </c>
      <c r="J43" s="449"/>
      <c r="K43" s="449"/>
      <c r="L43" s="450">
        <f t="shared" ca="1" si="3"/>
        <v>62</v>
      </c>
      <c r="N43" s="462" t="str">
        <f t="shared" si="2"/>
        <v>O</v>
      </c>
      <c r="P43"/>
      <c r="S43" t="s">
        <v>223</v>
      </c>
    </row>
    <row r="44" spans="1:19" ht="20.100000000000001" customHeight="1">
      <c r="A44" s="448" t="s">
        <v>902</v>
      </c>
      <c r="B44" s="444" t="s">
        <v>377</v>
      </c>
      <c r="C44" s="444" t="s">
        <v>903</v>
      </c>
      <c r="D44" s="445" t="s">
        <v>904</v>
      </c>
      <c r="E44" s="444" t="s">
        <v>905</v>
      </c>
      <c r="F44" s="428" t="s">
        <v>191</v>
      </c>
      <c r="G44" s="444" t="s">
        <v>89</v>
      </c>
      <c r="H44" s="444" t="s">
        <v>906</v>
      </c>
      <c r="I44" s="444" t="s">
        <v>902</v>
      </c>
      <c r="J44" s="449"/>
      <c r="K44" s="449"/>
      <c r="L44" s="450">
        <f t="shared" ca="1" si="3"/>
        <v>58</v>
      </c>
      <c r="N44" s="462" t="str">
        <f t="shared" si="2"/>
        <v>O</v>
      </c>
      <c r="P44"/>
      <c r="S44" t="s">
        <v>224</v>
      </c>
    </row>
    <row r="45" spans="1:19" ht="20.100000000000001" customHeight="1">
      <c r="A45" s="448" t="s">
        <v>907</v>
      </c>
      <c r="B45" s="444" t="s">
        <v>156</v>
      </c>
      <c r="C45" s="444" t="s">
        <v>908</v>
      </c>
      <c r="D45" s="445" t="s">
        <v>909</v>
      </c>
      <c r="E45" s="444" t="s">
        <v>910</v>
      </c>
      <c r="F45" s="428" t="s">
        <v>171</v>
      </c>
      <c r="G45" s="444" t="s">
        <v>92</v>
      </c>
      <c r="H45" s="444" t="s">
        <v>911</v>
      </c>
      <c r="I45" s="444" t="s">
        <v>907</v>
      </c>
      <c r="J45" s="449"/>
      <c r="K45" s="449"/>
      <c r="L45" s="450">
        <f t="shared" ca="1" si="3"/>
        <v>45</v>
      </c>
      <c r="N45" s="462" t="str">
        <f t="shared" si="2"/>
        <v>O</v>
      </c>
      <c r="P45"/>
      <c r="S45" t="s">
        <v>225</v>
      </c>
    </row>
    <row r="46" spans="1:19" ht="20.100000000000001" customHeight="1">
      <c r="A46" s="448" t="s">
        <v>912</v>
      </c>
      <c r="B46" s="444" t="s">
        <v>377</v>
      </c>
      <c r="C46" s="444" t="s">
        <v>913</v>
      </c>
      <c r="D46" s="445" t="s">
        <v>914</v>
      </c>
      <c r="E46" s="444" t="s">
        <v>915</v>
      </c>
      <c r="F46" s="428" t="s">
        <v>170</v>
      </c>
      <c r="G46" s="444" t="s">
        <v>152</v>
      </c>
      <c r="H46" s="444" t="s">
        <v>916</v>
      </c>
      <c r="I46" s="444" t="s">
        <v>912</v>
      </c>
      <c r="J46" s="449"/>
      <c r="K46" s="449"/>
      <c r="L46" s="450">
        <f t="shared" ca="1" si="3"/>
        <v>67</v>
      </c>
      <c r="N46" s="462" t="str">
        <f t="shared" si="2"/>
        <v>O</v>
      </c>
      <c r="P46"/>
      <c r="S46" t="s">
        <v>226</v>
      </c>
    </row>
    <row r="47" spans="1:19" ht="20.100000000000001" customHeight="1">
      <c r="A47" s="448" t="s">
        <v>917</v>
      </c>
      <c r="B47" s="444" t="s">
        <v>377</v>
      </c>
      <c r="C47" s="444" t="s">
        <v>918</v>
      </c>
      <c r="D47" s="445" t="s">
        <v>919</v>
      </c>
      <c r="E47" s="444" t="s">
        <v>920</v>
      </c>
      <c r="F47" s="428" t="s">
        <v>184</v>
      </c>
      <c r="G47" s="444" t="s">
        <v>88</v>
      </c>
      <c r="H47" s="444" t="s">
        <v>921</v>
      </c>
      <c r="I47" s="444" t="s">
        <v>917</v>
      </c>
      <c r="J47" s="449"/>
      <c r="K47" s="449"/>
      <c r="L47" s="450">
        <f t="shared" ca="1" si="3"/>
        <v>74</v>
      </c>
      <c r="N47" s="462" t="str">
        <f t="shared" si="2"/>
        <v>O</v>
      </c>
      <c r="P47"/>
      <c r="S47" t="s">
        <v>227</v>
      </c>
    </row>
    <row r="48" spans="1:19" ht="20.100000000000001" customHeight="1">
      <c r="A48" s="448" t="s">
        <v>922</v>
      </c>
      <c r="B48" s="444" t="s">
        <v>156</v>
      </c>
      <c r="C48" s="444" t="s">
        <v>923</v>
      </c>
      <c r="D48" s="445" t="s">
        <v>924</v>
      </c>
      <c r="E48" s="444" t="s">
        <v>925</v>
      </c>
      <c r="F48" s="428" t="s">
        <v>193</v>
      </c>
      <c r="G48" s="444" t="s">
        <v>77</v>
      </c>
      <c r="H48" s="444" t="s">
        <v>926</v>
      </c>
      <c r="I48" s="444" t="s">
        <v>922</v>
      </c>
      <c r="J48" s="449"/>
      <c r="K48" s="449"/>
      <c r="L48" s="450">
        <f t="shared" ca="1" si="3"/>
        <v>73</v>
      </c>
      <c r="N48" s="462" t="str">
        <f t="shared" si="2"/>
        <v>O</v>
      </c>
      <c r="P48"/>
      <c r="S48" t="s">
        <v>228</v>
      </c>
    </row>
    <row r="49" spans="1:19" ht="20.100000000000001" customHeight="1">
      <c r="A49" s="448" t="s">
        <v>927</v>
      </c>
      <c r="B49" s="444" t="s">
        <v>156</v>
      </c>
      <c r="C49" s="444" t="s">
        <v>928</v>
      </c>
      <c r="D49" s="445" t="s">
        <v>929</v>
      </c>
      <c r="E49" s="444" t="s">
        <v>930</v>
      </c>
      <c r="F49" s="428" t="s">
        <v>168</v>
      </c>
      <c r="G49" s="444" t="s">
        <v>85</v>
      </c>
      <c r="H49" s="444" t="s">
        <v>931</v>
      </c>
      <c r="I49" s="444" t="s">
        <v>927</v>
      </c>
      <c r="J49" s="449"/>
      <c r="K49" s="449"/>
      <c r="L49" s="450">
        <f t="shared" ca="1" si="3"/>
        <v>75</v>
      </c>
      <c r="N49" s="462" t="str">
        <f t="shared" si="2"/>
        <v>O</v>
      </c>
      <c r="P49"/>
      <c r="S49" t="s">
        <v>229</v>
      </c>
    </row>
    <row r="50" spans="1:19" ht="20.100000000000001" customHeight="1">
      <c r="A50" s="448" t="s">
        <v>932</v>
      </c>
      <c r="B50" s="444" t="s">
        <v>156</v>
      </c>
      <c r="C50" s="444" t="s">
        <v>933</v>
      </c>
      <c r="D50" s="445" t="s">
        <v>934</v>
      </c>
      <c r="E50" s="444" t="s">
        <v>935</v>
      </c>
      <c r="F50" s="428" t="s">
        <v>171</v>
      </c>
      <c r="G50" s="444" t="s">
        <v>92</v>
      </c>
      <c r="H50" s="444" t="s">
        <v>936</v>
      </c>
      <c r="I50" s="444" t="s">
        <v>932</v>
      </c>
      <c r="J50" s="449"/>
      <c r="K50" s="449"/>
      <c r="L50" s="450">
        <f t="shared" ca="1" si="3"/>
        <v>71</v>
      </c>
      <c r="N50" s="462" t="str">
        <f t="shared" si="2"/>
        <v>O</v>
      </c>
      <c r="P50"/>
      <c r="S50" t="s">
        <v>230</v>
      </c>
    </row>
    <row r="51" spans="1:19" ht="20.100000000000001" customHeight="1">
      <c r="A51" s="448" t="s">
        <v>937</v>
      </c>
      <c r="B51" s="444" t="s">
        <v>156</v>
      </c>
      <c r="C51" s="444" t="s">
        <v>938</v>
      </c>
      <c r="D51" s="445" t="s">
        <v>939</v>
      </c>
      <c r="E51" s="444" t="s">
        <v>940</v>
      </c>
      <c r="F51" s="428" t="s">
        <v>189</v>
      </c>
      <c r="G51" s="444" t="s">
        <v>78</v>
      </c>
      <c r="H51" s="444" t="s">
        <v>941</v>
      </c>
      <c r="I51" s="444" t="s">
        <v>937</v>
      </c>
      <c r="J51" s="449"/>
      <c r="K51" s="449"/>
      <c r="L51" s="450">
        <f t="shared" ca="1" si="3"/>
        <v>73</v>
      </c>
      <c r="N51" s="462" t="str">
        <f t="shared" si="2"/>
        <v>O</v>
      </c>
      <c r="P51"/>
      <c r="S51" t="s">
        <v>231</v>
      </c>
    </row>
    <row r="52" spans="1:19" ht="20.100000000000001" customHeight="1">
      <c r="A52" s="448" t="s">
        <v>942</v>
      </c>
      <c r="B52" s="444" t="s">
        <v>156</v>
      </c>
      <c r="C52" s="444" t="s">
        <v>943</v>
      </c>
      <c r="D52" s="445" t="s">
        <v>944</v>
      </c>
      <c r="E52" s="444" t="s">
        <v>945</v>
      </c>
      <c r="F52" s="428" t="s">
        <v>212</v>
      </c>
      <c r="G52" s="444" t="s">
        <v>211</v>
      </c>
      <c r="H52" s="444" t="s">
        <v>946</v>
      </c>
      <c r="I52" s="444" t="s">
        <v>942</v>
      </c>
      <c r="J52" s="449"/>
      <c r="K52" s="449"/>
      <c r="L52" s="450">
        <f t="shared" ca="1" si="3"/>
        <v>71</v>
      </c>
      <c r="N52" s="462" t="str">
        <f t="shared" si="2"/>
        <v>O</v>
      </c>
      <c r="P52"/>
      <c r="S52" t="s">
        <v>232</v>
      </c>
    </row>
    <row r="53" spans="1:19" ht="20.100000000000001" customHeight="1">
      <c r="A53" s="448" t="s">
        <v>947</v>
      </c>
      <c r="B53" s="444" t="s">
        <v>156</v>
      </c>
      <c r="C53" s="444" t="s">
        <v>948</v>
      </c>
      <c r="D53" s="445" t="s">
        <v>949</v>
      </c>
      <c r="E53" s="444" t="s">
        <v>950</v>
      </c>
      <c r="F53" s="428" t="s">
        <v>171</v>
      </c>
      <c r="G53" s="444" t="s">
        <v>92</v>
      </c>
      <c r="H53" s="444" t="s">
        <v>951</v>
      </c>
      <c r="I53" s="444" t="s">
        <v>947</v>
      </c>
      <c r="J53" s="449"/>
      <c r="K53" s="449"/>
      <c r="L53" s="450">
        <f t="shared" ca="1" si="3"/>
        <v>72</v>
      </c>
      <c r="N53" s="462" t="str">
        <f t="shared" si="2"/>
        <v>O</v>
      </c>
      <c r="P53"/>
      <c r="S53" t="s">
        <v>233</v>
      </c>
    </row>
    <row r="54" spans="1:19" ht="20.100000000000001" customHeight="1">
      <c r="A54" s="448" t="s">
        <v>952</v>
      </c>
      <c r="B54" s="444" t="s">
        <v>156</v>
      </c>
      <c r="C54" s="444" t="s">
        <v>953</v>
      </c>
      <c r="D54" s="445" t="s">
        <v>954</v>
      </c>
      <c r="E54" s="444" t="s">
        <v>955</v>
      </c>
      <c r="F54" s="428" t="s">
        <v>171</v>
      </c>
      <c r="G54" s="444" t="s">
        <v>92</v>
      </c>
      <c r="H54" s="444" t="s">
        <v>956</v>
      </c>
      <c r="I54" s="444" t="s">
        <v>952</v>
      </c>
      <c r="J54" s="449"/>
      <c r="K54" s="449"/>
      <c r="L54" s="450">
        <f t="shared" ca="1" si="3"/>
        <v>72</v>
      </c>
      <c r="N54" s="462" t="str">
        <f t="shared" si="2"/>
        <v>O</v>
      </c>
      <c r="P54"/>
      <c r="S54" t="s">
        <v>234</v>
      </c>
    </row>
    <row r="55" spans="1:19" ht="20.100000000000001" customHeight="1">
      <c r="A55" s="448" t="s">
        <v>957</v>
      </c>
      <c r="B55" s="444" t="s">
        <v>377</v>
      </c>
      <c r="C55" s="444" t="s">
        <v>958</v>
      </c>
      <c r="D55" s="445" t="s">
        <v>959</v>
      </c>
      <c r="E55" s="444" t="s">
        <v>960</v>
      </c>
      <c r="F55" s="428" t="s">
        <v>171</v>
      </c>
      <c r="G55" s="444" t="s">
        <v>92</v>
      </c>
      <c r="H55" s="444" t="s">
        <v>961</v>
      </c>
      <c r="I55" s="444" t="s">
        <v>957</v>
      </c>
      <c r="J55" s="449"/>
      <c r="K55" s="449"/>
      <c r="L55" s="450">
        <f t="shared" ca="1" si="3"/>
        <v>71</v>
      </c>
      <c r="N55" s="462" t="str">
        <f t="shared" si="2"/>
        <v>O</v>
      </c>
      <c r="P55"/>
      <c r="S55" t="s">
        <v>235</v>
      </c>
    </row>
    <row r="56" spans="1:19" ht="20.100000000000001" customHeight="1">
      <c r="A56" s="448"/>
      <c r="B56" s="444"/>
      <c r="C56" s="444"/>
      <c r="D56" s="445"/>
      <c r="E56" s="444"/>
      <c r="F56" s="428" t="s">
        <v>24</v>
      </c>
      <c r="G56" s="444"/>
      <c r="H56" s="444"/>
      <c r="I56" s="444"/>
      <c r="J56" s="449"/>
      <c r="K56" s="449"/>
      <c r="L56" s="450" t="str">
        <f t="shared" ca="1" si="3"/>
        <v/>
      </c>
      <c r="N56" s="462" t="str">
        <f t="shared" si="2"/>
        <v/>
      </c>
      <c r="P56"/>
      <c r="S56" t="s">
        <v>236</v>
      </c>
    </row>
    <row r="57" spans="1:19" ht="20.100000000000001" customHeight="1">
      <c r="A57" s="448" t="s">
        <v>1057</v>
      </c>
      <c r="B57" s="444" t="s">
        <v>377</v>
      </c>
      <c r="C57" s="444" t="s">
        <v>1058</v>
      </c>
      <c r="D57" s="445" t="s">
        <v>1059</v>
      </c>
      <c r="E57" s="444" t="s">
        <v>1060</v>
      </c>
      <c r="F57" s="428" t="s">
        <v>171</v>
      </c>
      <c r="G57" s="444" t="s">
        <v>92</v>
      </c>
      <c r="H57" s="444" t="s">
        <v>1061</v>
      </c>
      <c r="I57" s="444" t="s">
        <v>1057</v>
      </c>
      <c r="J57" s="449"/>
      <c r="K57" s="449"/>
      <c r="L57" s="450">
        <f t="shared" ca="1" si="3"/>
        <v>66</v>
      </c>
      <c r="N57" s="462" t="str">
        <f t="shared" si="2"/>
        <v>O</v>
      </c>
      <c r="P57"/>
      <c r="S57" t="s">
        <v>237</v>
      </c>
    </row>
    <row r="58" spans="1:19" ht="20.100000000000001" customHeight="1">
      <c r="A58" s="448" t="s">
        <v>1062</v>
      </c>
      <c r="B58" s="444" t="s">
        <v>377</v>
      </c>
      <c r="C58" s="444" t="s">
        <v>1063</v>
      </c>
      <c r="D58" s="445" t="s">
        <v>1064</v>
      </c>
      <c r="E58" s="444" t="s">
        <v>1065</v>
      </c>
      <c r="F58" s="428" t="s">
        <v>171</v>
      </c>
      <c r="G58" s="444" t="s">
        <v>92</v>
      </c>
      <c r="H58" s="444" t="s">
        <v>1066</v>
      </c>
      <c r="I58" s="444" t="s">
        <v>1062</v>
      </c>
      <c r="J58" s="449"/>
      <c r="K58" s="449"/>
      <c r="L58" s="450">
        <f t="shared" ca="1" si="3"/>
        <v>63</v>
      </c>
      <c r="N58" s="462" t="str">
        <f t="shared" si="2"/>
        <v>O</v>
      </c>
      <c r="P58"/>
      <c r="S58" t="s">
        <v>238</v>
      </c>
    </row>
    <row r="59" spans="1:19" ht="20.100000000000001" customHeight="1">
      <c r="A59" s="448" t="s">
        <v>1067</v>
      </c>
      <c r="B59" s="444" t="s">
        <v>377</v>
      </c>
      <c r="C59" s="444" t="s">
        <v>1068</v>
      </c>
      <c r="D59" s="445" t="s">
        <v>1069</v>
      </c>
      <c r="E59" s="444" t="s">
        <v>1070</v>
      </c>
      <c r="F59" s="428" t="s">
        <v>171</v>
      </c>
      <c r="G59" s="444" t="s">
        <v>92</v>
      </c>
      <c r="H59" s="444" t="s">
        <v>1071</v>
      </c>
      <c r="I59" s="444" t="s">
        <v>1067</v>
      </c>
      <c r="J59" s="449"/>
      <c r="K59" s="449"/>
      <c r="L59" s="450">
        <f t="shared" ca="1" si="3"/>
        <v>65</v>
      </c>
      <c r="N59" s="462" t="str">
        <f t="shared" si="2"/>
        <v>O</v>
      </c>
      <c r="P59"/>
      <c r="S59" t="s">
        <v>239</v>
      </c>
    </row>
    <row r="60" spans="1:19" ht="20.100000000000001" customHeight="1">
      <c r="A60" s="448" t="s">
        <v>962</v>
      </c>
      <c r="B60" s="444" t="s">
        <v>377</v>
      </c>
      <c r="C60" s="444" t="s">
        <v>1072</v>
      </c>
      <c r="D60" s="445" t="s">
        <v>1073</v>
      </c>
      <c r="E60" s="444" t="s">
        <v>1074</v>
      </c>
      <c r="F60" s="428" t="s">
        <v>171</v>
      </c>
      <c r="G60" s="444" t="s">
        <v>92</v>
      </c>
      <c r="H60" s="444" t="s">
        <v>1075</v>
      </c>
      <c r="I60" s="444" t="s">
        <v>962</v>
      </c>
      <c r="J60" s="449"/>
      <c r="K60" s="449"/>
      <c r="L60" s="450">
        <f t="shared" ca="1" si="3"/>
        <v>63</v>
      </c>
      <c r="N60" s="462" t="str">
        <f t="shared" si="2"/>
        <v>O</v>
      </c>
      <c r="P60"/>
      <c r="S60" t="s">
        <v>240</v>
      </c>
    </row>
    <row r="61" spans="1:19" ht="20.100000000000001" customHeight="1">
      <c r="A61" s="448" t="s">
        <v>963</v>
      </c>
      <c r="B61" s="444" t="s">
        <v>377</v>
      </c>
      <c r="C61" s="444" t="s">
        <v>1076</v>
      </c>
      <c r="D61" s="445" t="s">
        <v>1077</v>
      </c>
      <c r="E61" s="444" t="s">
        <v>1078</v>
      </c>
      <c r="F61" s="428" t="s">
        <v>171</v>
      </c>
      <c r="G61" s="444" t="s">
        <v>92</v>
      </c>
      <c r="H61" s="444" t="s">
        <v>1079</v>
      </c>
      <c r="I61" s="444" t="s">
        <v>963</v>
      </c>
      <c r="J61" s="449"/>
      <c r="K61" s="449"/>
      <c r="L61" s="450">
        <f t="shared" ca="1" si="3"/>
        <v>51</v>
      </c>
      <c r="N61" s="462" t="str">
        <f t="shared" si="2"/>
        <v>O</v>
      </c>
      <c r="P61"/>
      <c r="S61" t="s">
        <v>241</v>
      </c>
    </row>
    <row r="62" spans="1:19" ht="20.100000000000001" customHeight="1">
      <c r="A62" s="448" t="s">
        <v>964</v>
      </c>
      <c r="B62" s="444" t="s">
        <v>377</v>
      </c>
      <c r="C62" s="444" t="s">
        <v>1080</v>
      </c>
      <c r="D62" s="445" t="s">
        <v>1081</v>
      </c>
      <c r="E62" s="444" t="s">
        <v>1082</v>
      </c>
      <c r="F62" s="428" t="s">
        <v>184</v>
      </c>
      <c r="G62" s="444" t="s">
        <v>88</v>
      </c>
      <c r="H62" s="444" t="s">
        <v>1083</v>
      </c>
      <c r="I62" s="444" t="s">
        <v>964</v>
      </c>
      <c r="J62" s="449"/>
      <c r="K62" s="449"/>
      <c r="L62" s="450">
        <f t="shared" ca="1" si="3"/>
        <v>71</v>
      </c>
      <c r="N62" s="462" t="str">
        <f t="shared" si="2"/>
        <v>O</v>
      </c>
      <c r="P62"/>
      <c r="S62" t="s">
        <v>242</v>
      </c>
    </row>
    <row r="63" spans="1:19" ht="20.100000000000001" customHeight="1">
      <c r="A63" s="448" t="s">
        <v>965</v>
      </c>
      <c r="B63" s="444" t="s">
        <v>377</v>
      </c>
      <c r="C63" s="444" t="s">
        <v>1084</v>
      </c>
      <c r="D63" s="445" t="s">
        <v>1085</v>
      </c>
      <c r="E63" s="444" t="s">
        <v>1086</v>
      </c>
      <c r="F63" s="428" t="s">
        <v>160</v>
      </c>
      <c r="G63" s="444" t="s">
        <v>91</v>
      </c>
      <c r="H63" s="444" t="s">
        <v>1087</v>
      </c>
      <c r="I63" s="444" t="s">
        <v>965</v>
      </c>
      <c r="J63" s="449"/>
      <c r="K63" s="449"/>
      <c r="L63" s="450">
        <f t="shared" ca="1" si="3"/>
        <v>53</v>
      </c>
      <c r="N63" s="462" t="str">
        <f t="shared" si="2"/>
        <v>O</v>
      </c>
      <c r="P63"/>
      <c r="S63" t="s">
        <v>243</v>
      </c>
    </row>
    <row r="64" spans="1:19" ht="20.100000000000001" customHeight="1">
      <c r="A64" s="448" t="s">
        <v>966</v>
      </c>
      <c r="B64" s="444" t="s">
        <v>377</v>
      </c>
      <c r="C64" s="444" t="s">
        <v>1088</v>
      </c>
      <c r="D64" s="445" t="s">
        <v>1089</v>
      </c>
      <c r="E64" s="444" t="s">
        <v>1090</v>
      </c>
      <c r="F64" s="428" t="s">
        <v>184</v>
      </c>
      <c r="G64" s="444" t="s">
        <v>88</v>
      </c>
      <c r="H64" s="444" t="s">
        <v>1091</v>
      </c>
      <c r="I64" s="444" t="s">
        <v>966</v>
      </c>
      <c r="J64" s="449"/>
      <c r="K64" s="449"/>
      <c r="L64" s="450">
        <f t="shared" ca="1" si="3"/>
        <v>70</v>
      </c>
      <c r="N64" s="462" t="str">
        <f t="shared" si="2"/>
        <v>O</v>
      </c>
      <c r="P64"/>
      <c r="S64" t="s">
        <v>243</v>
      </c>
    </row>
    <row r="65" spans="1:19" ht="20.100000000000001" customHeight="1">
      <c r="A65" s="448" t="s">
        <v>967</v>
      </c>
      <c r="B65" s="444" t="s">
        <v>377</v>
      </c>
      <c r="C65" s="444" t="s">
        <v>1092</v>
      </c>
      <c r="D65" s="445" t="s">
        <v>1093</v>
      </c>
      <c r="E65" s="444" t="s">
        <v>1094</v>
      </c>
      <c r="F65" s="428" t="s">
        <v>171</v>
      </c>
      <c r="G65" s="444" t="s">
        <v>92</v>
      </c>
      <c r="H65" s="444" t="s">
        <v>1095</v>
      </c>
      <c r="I65" s="444" t="s">
        <v>967</v>
      </c>
      <c r="J65" s="449"/>
      <c r="K65" s="449"/>
      <c r="L65" s="450">
        <f t="shared" ca="1" si="3"/>
        <v>79</v>
      </c>
      <c r="N65" s="462" t="str">
        <f t="shared" si="2"/>
        <v>O</v>
      </c>
      <c r="P65"/>
      <c r="S65" t="s">
        <v>244</v>
      </c>
    </row>
    <row r="66" spans="1:19" ht="20.100000000000001" customHeight="1">
      <c r="A66" s="448" t="s">
        <v>1096</v>
      </c>
      <c r="B66" s="444" t="s">
        <v>321</v>
      </c>
      <c r="C66" s="444" t="s">
        <v>968</v>
      </c>
      <c r="D66" s="445" t="s">
        <v>1097</v>
      </c>
      <c r="E66" s="444" t="s">
        <v>1098</v>
      </c>
      <c r="F66" s="428" t="s">
        <v>189</v>
      </c>
      <c r="G66" s="444" t="s">
        <v>78</v>
      </c>
      <c r="H66" s="444" t="s">
        <v>1099</v>
      </c>
      <c r="I66" s="444" t="s">
        <v>1096</v>
      </c>
      <c r="J66" s="449"/>
      <c r="K66" s="449"/>
      <c r="L66" s="450">
        <f t="shared" ca="1" si="3"/>
        <v>56</v>
      </c>
      <c r="N66" s="462" t="str">
        <f t="shared" si="2"/>
        <v>O</v>
      </c>
      <c r="P66"/>
      <c r="S66" t="s">
        <v>245</v>
      </c>
    </row>
    <row r="67" spans="1:19" ht="20.100000000000001" customHeight="1">
      <c r="A67" s="448" t="s">
        <v>1100</v>
      </c>
      <c r="B67" s="444" t="s">
        <v>377</v>
      </c>
      <c r="C67" s="444" t="s">
        <v>1101</v>
      </c>
      <c r="D67" s="445" t="s">
        <v>1102</v>
      </c>
      <c r="E67" s="444" t="s">
        <v>1103</v>
      </c>
      <c r="F67" s="428" t="s">
        <v>189</v>
      </c>
      <c r="G67" s="444" t="s">
        <v>78</v>
      </c>
      <c r="H67" s="444" t="s">
        <v>1104</v>
      </c>
      <c r="I67" s="444" t="s">
        <v>1100</v>
      </c>
      <c r="J67" s="449"/>
      <c r="K67" s="449"/>
      <c r="L67" s="450">
        <f t="shared" ca="1" si="3"/>
        <v>69</v>
      </c>
      <c r="N67" s="462" t="str">
        <f t="shared" si="2"/>
        <v>O</v>
      </c>
      <c r="P67"/>
      <c r="S67" t="s">
        <v>246</v>
      </c>
    </row>
    <row r="68" spans="1:19" ht="20.100000000000001" customHeight="1">
      <c r="A68" s="448"/>
      <c r="B68" s="444"/>
      <c r="C68" s="444"/>
      <c r="D68" s="445"/>
      <c r="E68" s="444"/>
      <c r="F68" s="428" t="s">
        <v>24</v>
      </c>
      <c r="G68" s="444"/>
      <c r="H68" s="444"/>
      <c r="I68" s="444"/>
      <c r="J68" s="449"/>
      <c r="K68" s="449"/>
      <c r="L68" s="450" t="str">
        <f t="shared" ca="1" si="3"/>
        <v/>
      </c>
      <c r="N68" s="462" t="str">
        <f t="shared" si="2"/>
        <v/>
      </c>
      <c r="P68"/>
      <c r="S68" t="s">
        <v>247</v>
      </c>
    </row>
    <row r="69" spans="1:19" ht="20.100000000000001" customHeight="1">
      <c r="A69" s="448" t="s">
        <v>1105</v>
      </c>
      <c r="B69" s="444" t="s">
        <v>1106</v>
      </c>
      <c r="C69" s="444" t="s">
        <v>1107</v>
      </c>
      <c r="D69" s="445" t="s">
        <v>1108</v>
      </c>
      <c r="E69" s="444" t="s">
        <v>1109</v>
      </c>
      <c r="F69" s="428" t="s">
        <v>171</v>
      </c>
      <c r="G69" s="444" t="s">
        <v>92</v>
      </c>
      <c r="H69" s="444" t="s">
        <v>1110</v>
      </c>
      <c r="I69" s="444" t="s">
        <v>1105</v>
      </c>
      <c r="J69" s="449"/>
      <c r="K69" s="449"/>
      <c r="L69" s="450">
        <f t="shared" ca="1" si="3"/>
        <v>68</v>
      </c>
      <c r="N69" s="462" t="str">
        <f t="shared" ref="N69:N132" si="4">IFERROR(IF(MID(C69,8,1)&gt;="5",IF(RIGHT(C69,1)=(RIGHT(13-MOD(MID(C69,1,1)*2+MID(C69,2,1)*3+MID(C69,3,1)*4+MID(C69,4,1)*5+MID(C69,5,1)*6+MID(C69,6,1)*7+MID(C69,8,1)*8+MID(C69,9,1)*9+MID(C69,10,1)*2+MID(C69,11,1)*3+MID(C69,12,1)*4+MID(C69,13,1)*5,11),1)),"O","X"),IF(RIGHT(C69,1)=(RIGHT(11-MOD(MID(C69,1,1)*2+MID(C69,2,1)*3+MID(C69,3,1)*4+MID(C69,4,1)*5+MID(C69,5,1)*6+MID(C69,6,1)*7+MID(C69,8,1)*8+MID(C69,9,1)*9+MID(C69,10,1)*2+MID(C69,11,1)*3+MID(C69,12,1)*4+MID(C69,13,1)*5,11),1)),"O","X")),"")</f>
        <v>O</v>
      </c>
      <c r="P69"/>
      <c r="S69" t="s">
        <v>248</v>
      </c>
    </row>
    <row r="70" spans="1:19" ht="20.100000000000001" customHeight="1">
      <c r="A70" s="448" t="s">
        <v>1111</v>
      </c>
      <c r="B70" s="444" t="s">
        <v>1106</v>
      </c>
      <c r="C70" s="444" t="s">
        <v>1112</v>
      </c>
      <c r="D70" s="445" t="s">
        <v>1113</v>
      </c>
      <c r="E70" s="444" t="s">
        <v>1114</v>
      </c>
      <c r="F70" s="428" t="s">
        <v>171</v>
      </c>
      <c r="G70" s="444" t="s">
        <v>92</v>
      </c>
      <c r="H70" s="444" t="s">
        <v>1115</v>
      </c>
      <c r="I70" s="444" t="s">
        <v>1111</v>
      </c>
      <c r="J70" s="449"/>
      <c r="K70" s="449"/>
      <c r="L70" s="450">
        <f t="shared" ca="1" si="3"/>
        <v>65</v>
      </c>
      <c r="N70" s="462" t="str">
        <f t="shared" si="4"/>
        <v>O</v>
      </c>
      <c r="P70"/>
      <c r="S70" t="s">
        <v>249</v>
      </c>
    </row>
    <row r="71" spans="1:19" ht="20.100000000000001" customHeight="1">
      <c r="A71" s="448" t="s">
        <v>1116</v>
      </c>
      <c r="B71" s="444" t="s">
        <v>1106</v>
      </c>
      <c r="C71" s="444" t="s">
        <v>1117</v>
      </c>
      <c r="D71" s="445" t="s">
        <v>1118</v>
      </c>
      <c r="E71" s="444" t="s">
        <v>1119</v>
      </c>
      <c r="F71" s="428" t="s">
        <v>171</v>
      </c>
      <c r="G71" s="444" t="s">
        <v>92</v>
      </c>
      <c r="H71" s="444" t="s">
        <v>1120</v>
      </c>
      <c r="I71" s="444" t="s">
        <v>1116</v>
      </c>
      <c r="J71" s="449"/>
      <c r="K71" s="449"/>
      <c r="L71" s="450">
        <f t="shared" ca="1" si="3"/>
        <v>65</v>
      </c>
      <c r="N71" s="462" t="str">
        <f t="shared" si="4"/>
        <v>O</v>
      </c>
      <c r="P71"/>
      <c r="S71" t="s">
        <v>250</v>
      </c>
    </row>
    <row r="72" spans="1:19" ht="20.100000000000001" customHeight="1">
      <c r="A72" s="448"/>
      <c r="B72" s="444"/>
      <c r="C72" s="444"/>
      <c r="D72" s="445"/>
      <c r="E72" s="444"/>
      <c r="F72" s="428" t="s">
        <v>24</v>
      </c>
      <c r="G72" s="444"/>
      <c r="H72" s="444"/>
      <c r="I72" s="444"/>
      <c r="J72" s="449"/>
      <c r="K72" s="449"/>
      <c r="L72" s="450" t="str">
        <f t="shared" ca="1" si="3"/>
        <v/>
      </c>
      <c r="N72" s="462" t="str">
        <f t="shared" si="4"/>
        <v/>
      </c>
      <c r="P72"/>
      <c r="S72" t="s">
        <v>251</v>
      </c>
    </row>
    <row r="73" spans="1:19" ht="20.100000000000001" customHeight="1">
      <c r="A73" s="448" t="s">
        <v>1121</v>
      </c>
      <c r="B73" s="444" t="s">
        <v>1213</v>
      </c>
      <c r="C73" s="444" t="s">
        <v>1122</v>
      </c>
      <c r="D73" s="445" t="s">
        <v>1123</v>
      </c>
      <c r="E73" s="444" t="s">
        <v>1124</v>
      </c>
      <c r="F73" s="428" t="s">
        <v>171</v>
      </c>
      <c r="G73" s="444" t="s">
        <v>92</v>
      </c>
      <c r="H73" s="444" t="s">
        <v>1125</v>
      </c>
      <c r="I73" s="444" t="s">
        <v>1121</v>
      </c>
      <c r="J73" s="449"/>
      <c r="K73" s="449"/>
      <c r="L73" s="450">
        <f t="shared" ref="L73:L101" ca="1" si="5">IFERROR(IF(OR(MID(C73,8,1)&lt;"3",AND(MID(C73,8,1)&gt;="5",MID(C73,8,1)&lt;="6")),INT(TEXT(TODAY(),"yyyy.mmdd")-TEXT(TEXT(LEFT(C73,6),"1900-00-00"),"yyyy.mmdd")),INT(TEXT(TODAY(),"yyyy.mmdd")-TEXT(TEXT(LEFT(C73,6),"2000-00-00"),"yyyy.mmdd"))),"")</f>
        <v>67</v>
      </c>
      <c r="N73" s="462" t="str">
        <f t="shared" si="4"/>
        <v>O</v>
      </c>
      <c r="P73"/>
      <c r="S73" t="s">
        <v>252</v>
      </c>
    </row>
    <row r="74" spans="1:19" ht="20.100000000000001" customHeight="1">
      <c r="A74" s="448" t="s">
        <v>1126</v>
      </c>
      <c r="B74" s="444" t="s">
        <v>156</v>
      </c>
      <c r="C74" s="444" t="s">
        <v>1127</v>
      </c>
      <c r="D74" s="445" t="s">
        <v>1128</v>
      </c>
      <c r="E74" s="444" t="s">
        <v>1129</v>
      </c>
      <c r="F74" s="428" t="s">
        <v>195</v>
      </c>
      <c r="G74" s="444" t="s">
        <v>79</v>
      </c>
      <c r="H74" s="444" t="s">
        <v>1130</v>
      </c>
      <c r="I74" s="444" t="s">
        <v>1126</v>
      </c>
      <c r="J74" s="449"/>
      <c r="K74" s="449"/>
      <c r="L74" s="450">
        <f t="shared" ca="1" si="5"/>
        <v>66</v>
      </c>
      <c r="N74" s="462" t="str">
        <f t="shared" si="4"/>
        <v>O</v>
      </c>
      <c r="P74"/>
      <c r="S74" t="s">
        <v>253</v>
      </c>
    </row>
    <row r="75" spans="1:19" ht="20.100000000000001" customHeight="1">
      <c r="A75" s="448" t="s">
        <v>1131</v>
      </c>
      <c r="B75" s="444" t="s">
        <v>156</v>
      </c>
      <c r="C75" s="444" t="s">
        <v>1132</v>
      </c>
      <c r="D75" s="445" t="s">
        <v>1133</v>
      </c>
      <c r="E75" s="444" t="s">
        <v>1134</v>
      </c>
      <c r="F75" s="428" t="s">
        <v>195</v>
      </c>
      <c r="G75" s="444" t="s">
        <v>79</v>
      </c>
      <c r="H75" s="444" t="s">
        <v>1135</v>
      </c>
      <c r="I75" s="444" t="s">
        <v>1131</v>
      </c>
      <c r="J75" s="449"/>
      <c r="K75" s="449"/>
      <c r="L75" s="450">
        <f t="shared" ca="1" si="5"/>
        <v>59</v>
      </c>
      <c r="N75" s="462" t="str">
        <f t="shared" si="4"/>
        <v>O</v>
      </c>
      <c r="P75"/>
      <c r="S75" t="s">
        <v>254</v>
      </c>
    </row>
    <row r="76" spans="1:19" ht="20.100000000000001" customHeight="1">
      <c r="A76" s="448" t="s">
        <v>969</v>
      </c>
      <c r="B76" s="444" t="s">
        <v>156</v>
      </c>
      <c r="C76" s="444" t="s">
        <v>1136</v>
      </c>
      <c r="D76" s="445" t="s">
        <v>970</v>
      </c>
      <c r="E76" s="444" t="s">
        <v>1137</v>
      </c>
      <c r="F76" s="428" t="s">
        <v>168</v>
      </c>
      <c r="G76" s="444" t="s">
        <v>85</v>
      </c>
      <c r="H76" s="444" t="s">
        <v>1138</v>
      </c>
      <c r="I76" s="444" t="s">
        <v>969</v>
      </c>
      <c r="J76" s="449"/>
      <c r="K76" s="449"/>
      <c r="L76" s="450">
        <f t="shared" ca="1" si="5"/>
        <v>61</v>
      </c>
      <c r="N76" s="462" t="str">
        <f t="shared" si="4"/>
        <v>O</v>
      </c>
      <c r="P76"/>
      <c r="S76" t="s">
        <v>254</v>
      </c>
    </row>
    <row r="77" spans="1:19" ht="20.100000000000001" customHeight="1">
      <c r="A77" s="448" t="s">
        <v>971</v>
      </c>
      <c r="B77" s="444" t="s">
        <v>156</v>
      </c>
      <c r="C77" s="444" t="s">
        <v>1139</v>
      </c>
      <c r="D77" s="445" t="s">
        <v>970</v>
      </c>
      <c r="E77" s="444" t="s">
        <v>1140</v>
      </c>
      <c r="F77" s="428" t="s">
        <v>189</v>
      </c>
      <c r="G77" s="444" t="s">
        <v>78</v>
      </c>
      <c r="H77" s="444" t="s">
        <v>1141</v>
      </c>
      <c r="I77" s="444" t="s">
        <v>971</v>
      </c>
      <c r="J77" s="449"/>
      <c r="K77" s="449"/>
      <c r="L77" s="450">
        <f t="shared" ca="1" si="5"/>
        <v>23</v>
      </c>
      <c r="N77" s="462" t="str">
        <f t="shared" si="4"/>
        <v>O</v>
      </c>
      <c r="P77"/>
      <c r="S77" t="s">
        <v>255</v>
      </c>
    </row>
    <row r="78" spans="1:19" ht="20.100000000000001" customHeight="1">
      <c r="A78" s="448" t="s">
        <v>972</v>
      </c>
      <c r="B78" s="444" t="s">
        <v>1213</v>
      </c>
      <c r="C78" s="444" t="s">
        <v>1142</v>
      </c>
      <c r="D78" s="445" t="s">
        <v>1143</v>
      </c>
      <c r="E78" s="444" t="s">
        <v>1144</v>
      </c>
      <c r="F78" s="428" t="s">
        <v>171</v>
      </c>
      <c r="G78" s="444" t="s">
        <v>92</v>
      </c>
      <c r="H78" s="444" t="s">
        <v>1145</v>
      </c>
      <c r="I78" s="444" t="s">
        <v>972</v>
      </c>
      <c r="J78" s="449"/>
      <c r="K78" s="449"/>
      <c r="L78" s="450">
        <f t="shared" ca="1" si="5"/>
        <v>69</v>
      </c>
      <c r="N78" s="462" t="str">
        <f t="shared" si="4"/>
        <v>O</v>
      </c>
      <c r="P78"/>
      <c r="S78" t="s">
        <v>256</v>
      </c>
    </row>
    <row r="79" spans="1:19" ht="20.100000000000001" customHeight="1">
      <c r="A79" s="448" t="s">
        <v>1146</v>
      </c>
      <c r="B79" s="444" t="s">
        <v>1213</v>
      </c>
      <c r="C79" s="444" t="s">
        <v>1147</v>
      </c>
      <c r="D79" s="445" t="s">
        <v>1148</v>
      </c>
      <c r="E79" s="444" t="s">
        <v>1149</v>
      </c>
      <c r="F79" s="428" t="s">
        <v>171</v>
      </c>
      <c r="G79" s="444" t="s">
        <v>92</v>
      </c>
      <c r="H79" s="444" t="s">
        <v>1150</v>
      </c>
      <c r="I79" s="444" t="s">
        <v>1146</v>
      </c>
      <c r="J79" s="449"/>
      <c r="K79" s="449"/>
      <c r="L79" s="450">
        <f t="shared" ca="1" si="5"/>
        <v>69</v>
      </c>
      <c r="N79" s="462" t="str">
        <f t="shared" si="4"/>
        <v>O</v>
      </c>
      <c r="P79"/>
      <c r="S79" t="s">
        <v>257</v>
      </c>
    </row>
    <row r="80" spans="1:19" ht="20.100000000000001" customHeight="1">
      <c r="A80" s="448" t="s">
        <v>1151</v>
      </c>
      <c r="B80" s="444" t="s">
        <v>1213</v>
      </c>
      <c r="C80" s="444" t="s">
        <v>1152</v>
      </c>
      <c r="D80" s="445" t="s">
        <v>1153</v>
      </c>
      <c r="E80" s="444" t="s">
        <v>1154</v>
      </c>
      <c r="F80" s="428" t="s">
        <v>193</v>
      </c>
      <c r="G80" s="444" t="s">
        <v>77</v>
      </c>
      <c r="H80" s="444" t="s">
        <v>1155</v>
      </c>
      <c r="I80" s="444" t="s">
        <v>1151</v>
      </c>
      <c r="J80" s="449"/>
      <c r="K80" s="449"/>
      <c r="L80" s="450">
        <f t="shared" ca="1" si="5"/>
        <v>67</v>
      </c>
      <c r="N80" s="462" t="str">
        <f t="shared" si="4"/>
        <v>O</v>
      </c>
      <c r="P80"/>
      <c r="S80" t="s">
        <v>258</v>
      </c>
    </row>
    <row r="81" spans="1:19" ht="20.100000000000001" customHeight="1">
      <c r="A81" s="448"/>
      <c r="B81" s="444"/>
      <c r="C81" s="444"/>
      <c r="D81" s="445"/>
      <c r="E81" s="444"/>
      <c r="F81" s="428" t="s">
        <v>24</v>
      </c>
      <c r="G81" s="444"/>
      <c r="H81" s="444"/>
      <c r="I81" s="444"/>
      <c r="J81" s="449"/>
      <c r="K81" s="449"/>
      <c r="L81" s="450" t="str">
        <f t="shared" ca="1" si="5"/>
        <v/>
      </c>
      <c r="N81" s="462" t="str">
        <f t="shared" si="4"/>
        <v/>
      </c>
      <c r="P81"/>
      <c r="S81" t="s">
        <v>259</v>
      </c>
    </row>
    <row r="82" spans="1:19" ht="20.100000000000001" customHeight="1">
      <c r="A82" s="448" t="s">
        <v>1156</v>
      </c>
      <c r="B82" s="444" t="s">
        <v>377</v>
      </c>
      <c r="C82" s="444" t="s">
        <v>1157</v>
      </c>
      <c r="D82" s="445" t="s">
        <v>1158</v>
      </c>
      <c r="E82" s="444" t="s">
        <v>1159</v>
      </c>
      <c r="F82" s="428" t="s">
        <v>171</v>
      </c>
      <c r="G82" s="444" t="s">
        <v>92</v>
      </c>
      <c r="H82" s="444" t="s">
        <v>1160</v>
      </c>
      <c r="I82" s="444" t="s">
        <v>1156</v>
      </c>
      <c r="J82" s="449"/>
      <c r="K82" s="449"/>
      <c r="L82" s="450">
        <f t="shared" ca="1" si="5"/>
        <v>59</v>
      </c>
      <c r="N82" s="462" t="str">
        <f t="shared" si="4"/>
        <v>O</v>
      </c>
      <c r="P82"/>
      <c r="S82" t="s">
        <v>260</v>
      </c>
    </row>
    <row r="83" spans="1:19" ht="20.100000000000001" customHeight="1">
      <c r="A83" s="448" t="s">
        <v>1161</v>
      </c>
      <c r="B83" s="444" t="s">
        <v>377</v>
      </c>
      <c r="C83" s="444" t="s">
        <v>1162</v>
      </c>
      <c r="D83" s="445" t="s">
        <v>1163</v>
      </c>
      <c r="E83" s="444" t="s">
        <v>1164</v>
      </c>
      <c r="F83" s="428" t="s">
        <v>171</v>
      </c>
      <c r="G83" s="444" t="s">
        <v>92</v>
      </c>
      <c r="H83" s="444" t="s">
        <v>1165</v>
      </c>
      <c r="I83" s="444" t="s">
        <v>1161</v>
      </c>
      <c r="J83" s="449"/>
      <c r="K83" s="449"/>
      <c r="L83" s="450">
        <f t="shared" ca="1" si="5"/>
        <v>74</v>
      </c>
      <c r="N83" s="462" t="str">
        <f t="shared" si="4"/>
        <v>O</v>
      </c>
      <c r="P83"/>
      <c r="S83" t="s">
        <v>261</v>
      </c>
    </row>
    <row r="84" spans="1:19" ht="20.100000000000001" customHeight="1">
      <c r="A84" s="448" t="s">
        <v>1166</v>
      </c>
      <c r="B84" s="444" t="s">
        <v>377</v>
      </c>
      <c r="C84" s="444" t="s">
        <v>1167</v>
      </c>
      <c r="D84" s="445" t="s">
        <v>1168</v>
      </c>
      <c r="E84" s="444" t="s">
        <v>1169</v>
      </c>
      <c r="F84" s="428" t="s">
        <v>171</v>
      </c>
      <c r="G84" s="444" t="s">
        <v>92</v>
      </c>
      <c r="H84" s="444" t="s">
        <v>1170</v>
      </c>
      <c r="I84" s="444" t="s">
        <v>1166</v>
      </c>
      <c r="J84" s="449"/>
      <c r="K84" s="449"/>
      <c r="L84" s="450">
        <f t="shared" ca="1" si="5"/>
        <v>65</v>
      </c>
      <c r="N84" s="462" t="str">
        <f t="shared" si="4"/>
        <v>O</v>
      </c>
      <c r="P84"/>
      <c r="S84" t="s">
        <v>261</v>
      </c>
    </row>
    <row r="85" spans="1:19" ht="20.100000000000001" customHeight="1">
      <c r="A85" s="448" t="s">
        <v>1171</v>
      </c>
      <c r="B85" s="444" t="s">
        <v>377</v>
      </c>
      <c r="C85" s="444" t="s">
        <v>1172</v>
      </c>
      <c r="D85" s="445" t="s">
        <v>1173</v>
      </c>
      <c r="E85" s="444" t="s">
        <v>1174</v>
      </c>
      <c r="F85" s="428" t="s">
        <v>195</v>
      </c>
      <c r="G85" s="444" t="s">
        <v>79</v>
      </c>
      <c r="H85" s="444" t="s">
        <v>1175</v>
      </c>
      <c r="I85" s="444" t="s">
        <v>1171</v>
      </c>
      <c r="J85" s="449"/>
      <c r="K85" s="449"/>
      <c r="L85" s="450">
        <f t="shared" ca="1" si="5"/>
        <v>73</v>
      </c>
      <c r="N85" s="462" t="str">
        <f t="shared" si="4"/>
        <v>O</v>
      </c>
      <c r="P85"/>
      <c r="S85" t="s">
        <v>262</v>
      </c>
    </row>
    <row r="86" spans="1:19" ht="20.100000000000001" customHeight="1">
      <c r="A86" s="448" t="s">
        <v>1176</v>
      </c>
      <c r="B86" s="444" t="s">
        <v>377</v>
      </c>
      <c r="C86" s="444" t="s">
        <v>1177</v>
      </c>
      <c r="D86" s="445" t="s">
        <v>1178</v>
      </c>
      <c r="E86" s="444" t="s">
        <v>1179</v>
      </c>
      <c r="F86" s="428" t="s">
        <v>171</v>
      </c>
      <c r="G86" s="444" t="s">
        <v>92</v>
      </c>
      <c r="H86" s="444" t="s">
        <v>1180</v>
      </c>
      <c r="I86" s="444" t="s">
        <v>1176</v>
      </c>
      <c r="J86" s="449"/>
      <c r="K86" s="449"/>
      <c r="L86" s="450">
        <f t="shared" ca="1" si="5"/>
        <v>63</v>
      </c>
      <c r="N86" s="462" t="str">
        <f t="shared" si="4"/>
        <v>O</v>
      </c>
      <c r="P86"/>
      <c r="S86" t="s">
        <v>263</v>
      </c>
    </row>
    <row r="87" spans="1:19" ht="20.100000000000001" customHeight="1">
      <c r="A87" s="448" t="s">
        <v>1181</v>
      </c>
      <c r="B87" s="444" t="s">
        <v>377</v>
      </c>
      <c r="C87" s="444" t="s">
        <v>1182</v>
      </c>
      <c r="D87" s="445" t="s">
        <v>1183</v>
      </c>
      <c r="E87" s="444" t="s">
        <v>1184</v>
      </c>
      <c r="F87" s="428" t="s">
        <v>171</v>
      </c>
      <c r="G87" s="444" t="s">
        <v>92</v>
      </c>
      <c r="H87" s="444" t="s">
        <v>1185</v>
      </c>
      <c r="I87" s="444" t="s">
        <v>1181</v>
      </c>
      <c r="J87" s="449"/>
      <c r="K87" s="449"/>
      <c r="L87" s="450">
        <f t="shared" ca="1" si="5"/>
        <v>71</v>
      </c>
      <c r="N87" s="462" t="str">
        <f t="shared" si="4"/>
        <v>O</v>
      </c>
      <c r="P87"/>
      <c r="S87" t="s">
        <v>263</v>
      </c>
    </row>
    <row r="88" spans="1:19" ht="20.100000000000001" customHeight="1">
      <c r="A88" s="448" t="s">
        <v>1186</v>
      </c>
      <c r="B88" s="444" t="s">
        <v>377</v>
      </c>
      <c r="C88" s="444" t="s">
        <v>1187</v>
      </c>
      <c r="D88" s="445" t="s">
        <v>1188</v>
      </c>
      <c r="E88" s="444" t="s">
        <v>1189</v>
      </c>
      <c r="F88" s="428" t="s">
        <v>171</v>
      </c>
      <c r="G88" s="444" t="s">
        <v>92</v>
      </c>
      <c r="H88" s="444" t="s">
        <v>1190</v>
      </c>
      <c r="I88" s="444" t="s">
        <v>1186</v>
      </c>
      <c r="J88" s="449"/>
      <c r="K88" s="449"/>
      <c r="L88" s="450">
        <f t="shared" ca="1" si="5"/>
        <v>71</v>
      </c>
      <c r="N88" s="462" t="str">
        <f t="shared" si="4"/>
        <v>O</v>
      </c>
      <c r="P88"/>
      <c r="S88" t="s">
        <v>264</v>
      </c>
    </row>
    <row r="89" spans="1:19" ht="20.100000000000001" customHeight="1">
      <c r="A89" s="448" t="s">
        <v>1191</v>
      </c>
      <c r="B89" s="444" t="s">
        <v>377</v>
      </c>
      <c r="C89" s="444" t="s">
        <v>1192</v>
      </c>
      <c r="D89" s="445" t="s">
        <v>1193</v>
      </c>
      <c r="E89" s="444" t="s">
        <v>1194</v>
      </c>
      <c r="F89" s="428" t="s">
        <v>171</v>
      </c>
      <c r="G89" s="444" t="s">
        <v>92</v>
      </c>
      <c r="H89" s="444" t="s">
        <v>1195</v>
      </c>
      <c r="I89" s="444" t="s">
        <v>1191</v>
      </c>
      <c r="J89" s="449"/>
      <c r="K89" s="449"/>
      <c r="L89" s="450">
        <f t="shared" ca="1" si="5"/>
        <v>69</v>
      </c>
      <c r="N89" s="462" t="str">
        <f t="shared" si="4"/>
        <v>O</v>
      </c>
      <c r="P89"/>
      <c r="S89" t="s">
        <v>264</v>
      </c>
    </row>
    <row r="90" spans="1:19" ht="20.100000000000001" customHeight="1">
      <c r="A90" s="448" t="s">
        <v>891</v>
      </c>
      <c r="B90" s="444" t="s">
        <v>377</v>
      </c>
      <c r="C90" s="444" t="s">
        <v>887</v>
      </c>
      <c r="D90" s="445" t="s">
        <v>888</v>
      </c>
      <c r="E90" s="444" t="s">
        <v>889</v>
      </c>
      <c r="F90" s="428" t="s">
        <v>171</v>
      </c>
      <c r="G90" s="444" t="s">
        <v>92</v>
      </c>
      <c r="H90" s="444" t="s">
        <v>890</v>
      </c>
      <c r="I90" s="444" t="s">
        <v>891</v>
      </c>
      <c r="J90" s="449"/>
      <c r="K90" s="449"/>
      <c r="L90" s="450">
        <f t="shared" ca="1" si="5"/>
        <v>55</v>
      </c>
      <c r="N90" s="462" t="str">
        <f t="shared" si="4"/>
        <v>O</v>
      </c>
      <c r="P90"/>
      <c r="S90" t="s">
        <v>265</v>
      </c>
    </row>
    <row r="91" spans="1:19" ht="20.100000000000001" customHeight="1">
      <c r="A91" s="448" t="s">
        <v>1196</v>
      </c>
      <c r="B91" s="444" t="s">
        <v>302</v>
      </c>
      <c r="C91" s="444" t="s">
        <v>1197</v>
      </c>
      <c r="D91" s="445" t="s">
        <v>1198</v>
      </c>
      <c r="E91" s="444" t="s">
        <v>1199</v>
      </c>
      <c r="F91" s="428" t="s">
        <v>171</v>
      </c>
      <c r="G91" s="444" t="s">
        <v>92</v>
      </c>
      <c r="H91" s="444" t="s">
        <v>1200</v>
      </c>
      <c r="I91" s="444" t="s">
        <v>1196</v>
      </c>
      <c r="J91" s="449"/>
      <c r="K91" s="449"/>
      <c r="L91" s="450">
        <f t="shared" ca="1" si="5"/>
        <v>67</v>
      </c>
      <c r="N91" s="462" t="str">
        <f t="shared" si="4"/>
        <v>O</v>
      </c>
      <c r="P91"/>
      <c r="S91" t="s">
        <v>266</v>
      </c>
    </row>
    <row r="92" spans="1:19" ht="20.100000000000001" customHeight="1">
      <c r="A92" s="448"/>
      <c r="B92" s="444"/>
      <c r="C92" s="444"/>
      <c r="D92" s="445"/>
      <c r="E92" s="444"/>
      <c r="F92" s="428" t="str">
        <f>IFERROR(VLOOKUP(G92,$P$4:$Q$26,2,FALSE),"")</f>
        <v/>
      </c>
      <c r="G92" s="444"/>
      <c r="H92" s="444"/>
      <c r="I92" s="444"/>
      <c r="J92" s="449"/>
      <c r="K92" s="449"/>
      <c r="L92" s="450" t="str">
        <f t="shared" ca="1" si="5"/>
        <v/>
      </c>
      <c r="N92" s="462" t="str">
        <f t="shared" si="4"/>
        <v/>
      </c>
      <c r="P92"/>
      <c r="S92" t="s">
        <v>266</v>
      </c>
    </row>
    <row r="93" spans="1:19" ht="20.100000000000001" customHeight="1">
      <c r="A93" s="448" t="s">
        <v>1212</v>
      </c>
      <c r="B93" s="444" t="s">
        <v>1213</v>
      </c>
      <c r="C93" s="444" t="s">
        <v>1214</v>
      </c>
      <c r="D93" s="445" t="s">
        <v>1216</v>
      </c>
      <c r="E93" s="444" t="s">
        <v>1218</v>
      </c>
      <c r="F93" s="428" t="s">
        <v>171</v>
      </c>
      <c r="G93" s="444" t="s">
        <v>92</v>
      </c>
      <c r="H93" s="444" t="s">
        <v>1220</v>
      </c>
      <c r="I93" s="444" t="s">
        <v>1212</v>
      </c>
      <c r="J93" s="449"/>
      <c r="K93" s="449"/>
      <c r="L93" s="450">
        <f t="shared" ca="1" si="5"/>
        <v>67</v>
      </c>
      <c r="N93" s="462" t="str">
        <f t="shared" si="4"/>
        <v>O</v>
      </c>
      <c r="P93"/>
      <c r="S93" t="s">
        <v>267</v>
      </c>
    </row>
    <row r="94" spans="1:19" ht="20.100000000000001" customHeight="1">
      <c r="A94" s="448" t="s">
        <v>1211</v>
      </c>
      <c r="B94" s="444" t="s">
        <v>1213</v>
      </c>
      <c r="C94" s="444" t="s">
        <v>1215</v>
      </c>
      <c r="D94" s="445" t="s">
        <v>1217</v>
      </c>
      <c r="E94" s="444" t="s">
        <v>1219</v>
      </c>
      <c r="F94" s="428" t="s">
        <v>171</v>
      </c>
      <c r="G94" s="444" t="s">
        <v>92</v>
      </c>
      <c r="H94" s="444" t="s">
        <v>1221</v>
      </c>
      <c r="I94" s="444" t="s">
        <v>1211</v>
      </c>
      <c r="J94" s="449"/>
      <c r="K94" s="449"/>
      <c r="L94" s="450">
        <f t="shared" ca="1" si="5"/>
        <v>60</v>
      </c>
      <c r="N94" s="462" t="str">
        <f t="shared" si="4"/>
        <v>O</v>
      </c>
      <c r="P94"/>
      <c r="S94" t="s">
        <v>268</v>
      </c>
    </row>
    <row r="95" spans="1:19" ht="20.100000000000001" customHeight="1">
      <c r="A95" s="448"/>
      <c r="B95" s="444"/>
      <c r="C95" s="444"/>
      <c r="D95" s="445"/>
      <c r="E95" s="444"/>
      <c r="F95" s="428" t="str">
        <f>IFERROR(VLOOKUP(G95,$P$4:$Q$26,2,FALSE),"")</f>
        <v/>
      </c>
      <c r="G95" s="444"/>
      <c r="H95" s="444"/>
      <c r="I95" s="444"/>
      <c r="J95" s="449"/>
      <c r="K95" s="449"/>
      <c r="L95" s="450" t="str">
        <f t="shared" ca="1" si="5"/>
        <v/>
      </c>
      <c r="N95" s="462" t="str">
        <f t="shared" si="4"/>
        <v/>
      </c>
      <c r="P95"/>
      <c r="S95" t="s">
        <v>269</v>
      </c>
    </row>
    <row r="96" spans="1:19" ht="20.100000000000001" customHeight="1">
      <c r="A96" s="448" t="s">
        <v>1210</v>
      </c>
      <c r="B96" s="444" t="s">
        <v>1213</v>
      </c>
      <c r="C96" s="444" t="s">
        <v>1222</v>
      </c>
      <c r="D96" s="445" t="s">
        <v>1223</v>
      </c>
      <c r="E96" s="444" t="s">
        <v>1238</v>
      </c>
      <c r="F96" s="428" t="s">
        <v>160</v>
      </c>
      <c r="G96" s="444" t="s">
        <v>91</v>
      </c>
      <c r="H96" s="444" t="s">
        <v>1241</v>
      </c>
      <c r="I96" s="444" t="str">
        <f>A96</f>
        <v>김학춘</v>
      </c>
      <c r="J96" s="449"/>
      <c r="K96" s="449"/>
      <c r="L96" s="450">
        <f t="shared" ca="1" si="5"/>
        <v>56</v>
      </c>
      <c r="N96" s="462" t="str">
        <f t="shared" si="4"/>
        <v>O</v>
      </c>
      <c r="P96"/>
      <c r="S96" t="s">
        <v>270</v>
      </c>
    </row>
    <row r="97" spans="1:19" ht="20.100000000000001" customHeight="1">
      <c r="A97" s="448" t="s">
        <v>1209</v>
      </c>
      <c r="B97" s="444" t="s">
        <v>1213</v>
      </c>
      <c r="C97" s="444" t="s">
        <v>1224</v>
      </c>
      <c r="D97" s="445" t="s">
        <v>1225</v>
      </c>
      <c r="E97" s="444" t="s">
        <v>1243</v>
      </c>
      <c r="F97" s="428" t="s">
        <v>160</v>
      </c>
      <c r="G97" s="444" t="s">
        <v>91</v>
      </c>
      <c r="H97" s="444" t="s">
        <v>1244</v>
      </c>
      <c r="I97" s="444" t="str">
        <f>A97</f>
        <v>정연복</v>
      </c>
      <c r="J97" s="449"/>
      <c r="K97" s="449"/>
      <c r="L97" s="450">
        <f t="shared" ca="1" si="5"/>
        <v>61</v>
      </c>
      <c r="N97" s="462" t="str">
        <f t="shared" si="4"/>
        <v>O</v>
      </c>
      <c r="P97"/>
      <c r="S97" t="s">
        <v>270</v>
      </c>
    </row>
    <row r="98" spans="1:19" ht="20.100000000000001" customHeight="1">
      <c r="A98" s="448" t="s">
        <v>1226</v>
      </c>
      <c r="B98" s="444" t="s">
        <v>1213</v>
      </c>
      <c r="C98" s="444" t="s">
        <v>1227</v>
      </c>
      <c r="D98" s="445" t="s">
        <v>1228</v>
      </c>
      <c r="E98" s="444" t="s">
        <v>1234</v>
      </c>
      <c r="F98" s="428" t="s">
        <v>168</v>
      </c>
      <c r="G98" s="444" t="s">
        <v>85</v>
      </c>
      <c r="H98" s="444" t="s">
        <v>1242</v>
      </c>
      <c r="I98" s="444" t="str">
        <f>A98</f>
        <v>LI ZHEXUN(이철훈)</v>
      </c>
      <c r="J98" s="449"/>
      <c r="K98" s="449"/>
      <c r="L98" s="450">
        <f t="shared" ca="1" si="5"/>
        <v>63</v>
      </c>
      <c r="N98" s="462" t="str">
        <f t="shared" si="4"/>
        <v>O</v>
      </c>
      <c r="P98"/>
      <c r="S98" t="s">
        <v>271</v>
      </c>
    </row>
    <row r="99" spans="1:19" ht="20.100000000000001" customHeight="1">
      <c r="A99" s="448" t="s">
        <v>1229</v>
      </c>
      <c r="B99" s="444" t="s">
        <v>1213</v>
      </c>
      <c r="C99" s="444" t="s">
        <v>1230</v>
      </c>
      <c r="D99" s="445" t="s">
        <v>1237</v>
      </c>
      <c r="E99" s="444" t="s">
        <v>1235</v>
      </c>
      <c r="F99" s="428" t="s">
        <v>160</v>
      </c>
      <c r="G99" s="444" t="s">
        <v>91</v>
      </c>
      <c r="H99" s="444" t="s">
        <v>1240</v>
      </c>
      <c r="I99" s="444" t="str">
        <f>A99</f>
        <v>CUI CHENGMIN(최성민)</v>
      </c>
      <c r="J99" s="449"/>
      <c r="K99" s="449"/>
      <c r="L99" s="450">
        <f t="shared" ca="1" si="5"/>
        <v>55</v>
      </c>
      <c r="N99" s="462" t="str">
        <f t="shared" si="4"/>
        <v>O</v>
      </c>
      <c r="P99"/>
      <c r="S99" t="s">
        <v>272</v>
      </c>
    </row>
    <row r="100" spans="1:19" ht="20.100000000000001" customHeight="1">
      <c r="A100" s="448" t="s">
        <v>1231</v>
      </c>
      <c r="B100" s="444" t="s">
        <v>1213</v>
      </c>
      <c r="C100" s="444" t="s">
        <v>1232</v>
      </c>
      <c r="D100" s="445" t="s">
        <v>1233</v>
      </c>
      <c r="E100" s="444" t="s">
        <v>1236</v>
      </c>
      <c r="F100" s="428" t="s">
        <v>160</v>
      </c>
      <c r="G100" s="444" t="s">
        <v>91</v>
      </c>
      <c r="H100" s="444" t="s">
        <v>1239</v>
      </c>
      <c r="I100" s="444" t="str">
        <f>A100</f>
        <v>JIN YUANTAI(김원태)</v>
      </c>
      <c r="J100" s="449"/>
      <c r="K100" s="449"/>
      <c r="L100" s="450">
        <f t="shared" ca="1" si="5"/>
        <v>67</v>
      </c>
      <c r="N100" s="462" t="str">
        <f t="shared" si="4"/>
        <v>O</v>
      </c>
      <c r="P100"/>
      <c r="S100" t="s">
        <v>272</v>
      </c>
    </row>
    <row r="101" spans="1:19" ht="20.100000000000001" customHeight="1">
      <c r="A101" s="448"/>
      <c r="B101" s="444"/>
      <c r="C101" s="444"/>
      <c r="D101" s="445"/>
      <c r="E101" s="444"/>
      <c r="F101" s="428" t="str">
        <f>IFERROR(VLOOKUP(G101,$P$4:$Q$26,2,FALSE),"")</f>
        <v/>
      </c>
      <c r="G101" s="444"/>
      <c r="H101" s="444"/>
      <c r="I101" s="444"/>
      <c r="J101" s="449"/>
      <c r="K101" s="449"/>
      <c r="L101" s="450" t="str">
        <f t="shared" ca="1" si="5"/>
        <v/>
      </c>
      <c r="N101" s="462" t="str">
        <f t="shared" si="4"/>
        <v/>
      </c>
      <c r="P101"/>
      <c r="S101" t="s">
        <v>80</v>
      </c>
    </row>
    <row r="102" spans="1:19" ht="20.100000000000001" customHeight="1">
      <c r="A102" s="448"/>
      <c r="B102" s="444"/>
      <c r="C102" s="444"/>
      <c r="D102" s="445"/>
      <c r="E102" s="444"/>
      <c r="F102" s="428" t="str">
        <f t="shared" ref="F102:F129" si="6">IFERROR(VLOOKUP(G102,$P$4:$Q$26,2,FALSE),"")</f>
        <v/>
      </c>
      <c r="G102" s="444"/>
      <c r="H102" s="444"/>
      <c r="I102" s="444"/>
      <c r="J102" s="449"/>
      <c r="K102" s="449"/>
      <c r="L102" s="450" t="str">
        <f t="shared" ref="L102:L129" ca="1" si="7">IFERROR(IF(OR(MID(C102,8,1)&lt;"3",AND(MID(C102,8,1)&gt;="5",MID(C102,8,1)&lt;="6")),INT(TEXT(TODAY(),"yyyy.mmdd")-TEXT(TEXT(LEFT(C102,6),"1900-00-00"),"yyyy.mmdd")),INT(TEXT(TODAY(),"yyyy.mmdd")-TEXT(TEXT(LEFT(C102,6),"2000-00-00"),"yyyy.mmdd"))),"")</f>
        <v/>
      </c>
      <c r="N102" s="462" t="str">
        <f t="shared" si="4"/>
        <v/>
      </c>
      <c r="P102"/>
      <c r="S102" t="s">
        <v>273</v>
      </c>
    </row>
    <row r="103" spans="1:19" ht="20.100000000000001" customHeight="1">
      <c r="A103" s="448"/>
      <c r="B103" s="444"/>
      <c r="C103" s="444"/>
      <c r="D103" s="445"/>
      <c r="E103" s="444"/>
      <c r="F103" s="428" t="str">
        <f t="shared" si="6"/>
        <v/>
      </c>
      <c r="G103" s="444"/>
      <c r="H103" s="444"/>
      <c r="I103" s="444"/>
      <c r="J103" s="449"/>
      <c r="K103" s="449"/>
      <c r="L103" s="450" t="str">
        <f t="shared" ca="1" si="7"/>
        <v/>
      </c>
      <c r="N103" s="462" t="str">
        <f t="shared" si="4"/>
        <v/>
      </c>
      <c r="P103"/>
      <c r="S103" t="s">
        <v>273</v>
      </c>
    </row>
    <row r="104" spans="1:19" ht="20.100000000000001" customHeight="1">
      <c r="A104" s="448"/>
      <c r="B104" s="444"/>
      <c r="C104" s="444"/>
      <c r="D104" s="445"/>
      <c r="E104" s="444"/>
      <c r="F104" s="428" t="str">
        <f t="shared" si="6"/>
        <v/>
      </c>
      <c r="G104" s="444"/>
      <c r="H104" s="444"/>
      <c r="I104" s="444"/>
      <c r="J104" s="449"/>
      <c r="K104" s="449"/>
      <c r="L104" s="450" t="str">
        <f t="shared" ca="1" si="7"/>
        <v/>
      </c>
      <c r="N104" s="462" t="str">
        <f t="shared" si="4"/>
        <v/>
      </c>
      <c r="P104"/>
      <c r="S104" t="s">
        <v>274</v>
      </c>
    </row>
    <row r="105" spans="1:19" ht="20.100000000000001" customHeight="1">
      <c r="A105" s="448"/>
      <c r="B105" s="444"/>
      <c r="C105" s="444"/>
      <c r="D105" s="445"/>
      <c r="E105" s="444"/>
      <c r="F105" s="428" t="str">
        <f t="shared" si="6"/>
        <v/>
      </c>
      <c r="G105" s="444"/>
      <c r="H105" s="444"/>
      <c r="I105" s="444"/>
      <c r="J105" s="449"/>
      <c r="K105" s="449"/>
      <c r="L105" s="450" t="str">
        <f t="shared" ca="1" si="7"/>
        <v/>
      </c>
      <c r="N105" s="462" t="str">
        <f t="shared" si="4"/>
        <v/>
      </c>
      <c r="P105"/>
      <c r="S105" t="s">
        <v>275</v>
      </c>
    </row>
    <row r="106" spans="1:19" ht="20.100000000000001" customHeight="1">
      <c r="A106" s="448"/>
      <c r="B106" s="444"/>
      <c r="C106" s="444"/>
      <c r="D106" s="445"/>
      <c r="E106" s="444"/>
      <c r="F106" s="428" t="str">
        <f t="shared" si="6"/>
        <v/>
      </c>
      <c r="G106" s="444"/>
      <c r="H106" s="444"/>
      <c r="I106" s="444"/>
      <c r="J106" s="449"/>
      <c r="K106" s="449"/>
      <c r="L106" s="450" t="str">
        <f t="shared" ca="1" si="7"/>
        <v/>
      </c>
      <c r="N106" s="462" t="str">
        <f t="shared" si="4"/>
        <v/>
      </c>
      <c r="P106"/>
      <c r="S106" t="s">
        <v>276</v>
      </c>
    </row>
    <row r="107" spans="1:19" ht="20.100000000000001" customHeight="1">
      <c r="A107" s="448"/>
      <c r="B107" s="444"/>
      <c r="C107" s="444"/>
      <c r="D107" s="445"/>
      <c r="E107" s="444"/>
      <c r="F107" s="428" t="str">
        <f t="shared" si="6"/>
        <v/>
      </c>
      <c r="G107" s="444"/>
      <c r="H107" s="444"/>
      <c r="I107" s="444"/>
      <c r="J107" s="449"/>
      <c r="K107" s="449"/>
      <c r="L107" s="450" t="str">
        <f t="shared" ca="1" si="7"/>
        <v/>
      </c>
      <c r="N107" s="462" t="str">
        <f t="shared" si="4"/>
        <v/>
      </c>
      <c r="P107"/>
      <c r="S107" t="s">
        <v>277</v>
      </c>
    </row>
    <row r="108" spans="1:19" ht="20.100000000000001" customHeight="1">
      <c r="A108" s="448"/>
      <c r="B108" s="444"/>
      <c r="C108" s="444"/>
      <c r="D108" s="445"/>
      <c r="E108" s="444"/>
      <c r="F108" s="428" t="str">
        <f t="shared" si="6"/>
        <v/>
      </c>
      <c r="G108" s="444"/>
      <c r="H108" s="444"/>
      <c r="I108" s="444"/>
      <c r="J108" s="449"/>
      <c r="K108" s="449"/>
      <c r="L108" s="450" t="str">
        <f t="shared" ca="1" si="7"/>
        <v/>
      </c>
      <c r="N108" s="462" t="str">
        <f t="shared" si="4"/>
        <v/>
      </c>
      <c r="P108"/>
      <c r="S108" t="s">
        <v>278</v>
      </c>
    </row>
    <row r="109" spans="1:19" ht="20.100000000000001" customHeight="1">
      <c r="A109" s="448"/>
      <c r="B109" s="444"/>
      <c r="C109" s="444"/>
      <c r="D109" s="445"/>
      <c r="E109" s="444"/>
      <c r="F109" s="428" t="str">
        <f t="shared" si="6"/>
        <v/>
      </c>
      <c r="G109" s="444"/>
      <c r="H109" s="444"/>
      <c r="I109" s="444"/>
      <c r="J109" s="449"/>
      <c r="K109" s="449"/>
      <c r="L109" s="450" t="str">
        <f t="shared" ca="1" si="7"/>
        <v/>
      </c>
      <c r="N109" s="462" t="str">
        <f t="shared" si="4"/>
        <v/>
      </c>
      <c r="P109"/>
      <c r="S109" t="s">
        <v>279</v>
      </c>
    </row>
    <row r="110" spans="1:19" ht="20.100000000000001" customHeight="1">
      <c r="A110" s="448"/>
      <c r="B110" s="444"/>
      <c r="C110" s="444"/>
      <c r="D110" s="445"/>
      <c r="E110" s="444"/>
      <c r="F110" s="428" t="str">
        <f t="shared" si="6"/>
        <v/>
      </c>
      <c r="G110" s="444"/>
      <c r="H110" s="444"/>
      <c r="I110" s="444"/>
      <c r="J110" s="449"/>
      <c r="K110" s="449"/>
      <c r="L110" s="450" t="str">
        <f t="shared" ca="1" si="7"/>
        <v/>
      </c>
      <c r="N110" s="462" t="str">
        <f t="shared" si="4"/>
        <v/>
      </c>
      <c r="P110"/>
      <c r="S110" t="s">
        <v>280</v>
      </c>
    </row>
    <row r="111" spans="1:19" ht="20.100000000000001" customHeight="1">
      <c r="A111" s="448"/>
      <c r="B111" s="444"/>
      <c r="C111" s="444"/>
      <c r="D111" s="445"/>
      <c r="E111" s="444"/>
      <c r="F111" s="428" t="str">
        <f t="shared" si="6"/>
        <v/>
      </c>
      <c r="G111" s="444"/>
      <c r="H111" s="444"/>
      <c r="I111" s="444"/>
      <c r="J111" s="449"/>
      <c r="K111" s="449"/>
      <c r="L111" s="450" t="str">
        <f t="shared" ca="1" si="7"/>
        <v/>
      </c>
      <c r="N111" s="462" t="str">
        <f t="shared" si="4"/>
        <v/>
      </c>
      <c r="P111"/>
      <c r="S111" t="s">
        <v>281</v>
      </c>
    </row>
    <row r="112" spans="1:19" ht="20.100000000000001" customHeight="1">
      <c r="A112" s="448"/>
      <c r="B112" s="444"/>
      <c r="C112" s="444"/>
      <c r="D112" s="445"/>
      <c r="E112" s="444"/>
      <c r="F112" s="428" t="str">
        <f t="shared" si="6"/>
        <v/>
      </c>
      <c r="G112" s="444"/>
      <c r="H112" s="444"/>
      <c r="I112" s="444"/>
      <c r="J112" s="449"/>
      <c r="K112" s="449"/>
      <c r="L112" s="450" t="str">
        <f t="shared" ca="1" si="7"/>
        <v/>
      </c>
      <c r="N112" s="462" t="str">
        <f t="shared" si="4"/>
        <v/>
      </c>
      <c r="P112"/>
      <c r="S112" t="s">
        <v>84</v>
      </c>
    </row>
    <row r="113" spans="1:19" ht="20.100000000000001" customHeight="1">
      <c r="A113" s="448"/>
      <c r="B113" s="444"/>
      <c r="C113" s="444"/>
      <c r="D113" s="445"/>
      <c r="E113" s="444"/>
      <c r="F113" s="428" t="str">
        <f t="shared" si="6"/>
        <v/>
      </c>
      <c r="G113" s="444"/>
      <c r="H113" s="444"/>
      <c r="I113" s="444"/>
      <c r="J113" s="449"/>
      <c r="K113" s="449"/>
      <c r="L113" s="450" t="str">
        <f t="shared" ca="1" si="7"/>
        <v/>
      </c>
      <c r="N113" s="462" t="str">
        <f t="shared" si="4"/>
        <v/>
      </c>
      <c r="P113"/>
      <c r="S113" t="s">
        <v>282</v>
      </c>
    </row>
    <row r="114" spans="1:19" ht="20.100000000000001" customHeight="1">
      <c r="A114" s="448"/>
      <c r="B114" s="444"/>
      <c r="C114" s="444"/>
      <c r="D114" s="445"/>
      <c r="E114" s="444"/>
      <c r="F114" s="428" t="str">
        <f t="shared" si="6"/>
        <v/>
      </c>
      <c r="G114" s="444"/>
      <c r="H114" s="444"/>
      <c r="I114" s="444"/>
      <c r="J114" s="449"/>
      <c r="K114" s="449"/>
      <c r="L114" s="450" t="str">
        <f t="shared" ca="1" si="7"/>
        <v/>
      </c>
      <c r="N114" s="462" t="str">
        <f t="shared" si="4"/>
        <v/>
      </c>
      <c r="P114"/>
      <c r="S114" t="s">
        <v>283</v>
      </c>
    </row>
    <row r="115" spans="1:19" ht="20.100000000000001" customHeight="1">
      <c r="A115" s="448"/>
      <c r="B115" s="444"/>
      <c r="C115" s="444"/>
      <c r="D115" s="445"/>
      <c r="E115" s="444"/>
      <c r="F115" s="428" t="str">
        <f t="shared" si="6"/>
        <v/>
      </c>
      <c r="G115" s="444"/>
      <c r="H115" s="444"/>
      <c r="I115" s="444"/>
      <c r="J115" s="449"/>
      <c r="K115" s="449"/>
      <c r="L115" s="450" t="str">
        <f t="shared" ca="1" si="7"/>
        <v/>
      </c>
      <c r="N115" s="462" t="str">
        <f t="shared" si="4"/>
        <v/>
      </c>
      <c r="P115"/>
      <c r="S115" t="s">
        <v>284</v>
      </c>
    </row>
    <row r="116" spans="1:19" ht="20.100000000000001" customHeight="1">
      <c r="A116" s="448"/>
      <c r="B116" s="444"/>
      <c r="C116" s="444"/>
      <c r="D116" s="445"/>
      <c r="E116" s="444"/>
      <c r="F116" s="428" t="str">
        <f t="shared" si="6"/>
        <v/>
      </c>
      <c r="G116" s="444"/>
      <c r="H116" s="444"/>
      <c r="I116" s="444"/>
      <c r="J116" s="449"/>
      <c r="K116" s="449"/>
      <c r="L116" s="450" t="str">
        <f t="shared" ca="1" si="7"/>
        <v/>
      </c>
      <c r="N116" s="462" t="str">
        <f t="shared" si="4"/>
        <v/>
      </c>
      <c r="P116"/>
      <c r="S116" t="s">
        <v>285</v>
      </c>
    </row>
    <row r="117" spans="1:19" ht="20.100000000000001" customHeight="1">
      <c r="A117" s="448"/>
      <c r="B117" s="444"/>
      <c r="C117" s="444"/>
      <c r="D117" s="445"/>
      <c r="E117" s="444"/>
      <c r="F117" s="428" t="str">
        <f t="shared" si="6"/>
        <v/>
      </c>
      <c r="G117" s="444"/>
      <c r="H117" s="444"/>
      <c r="I117" s="444"/>
      <c r="J117" s="449"/>
      <c r="K117" s="449"/>
      <c r="L117" s="450" t="str">
        <f t="shared" ca="1" si="7"/>
        <v/>
      </c>
      <c r="N117" s="462" t="str">
        <f t="shared" si="4"/>
        <v/>
      </c>
      <c r="P117"/>
      <c r="S117" t="s">
        <v>286</v>
      </c>
    </row>
    <row r="118" spans="1:19" ht="20.100000000000001" customHeight="1">
      <c r="A118" s="448"/>
      <c r="B118" s="444"/>
      <c r="C118" s="444"/>
      <c r="D118" s="445"/>
      <c r="E118" s="444"/>
      <c r="F118" s="428" t="str">
        <f t="shared" si="6"/>
        <v/>
      </c>
      <c r="G118" s="444"/>
      <c r="H118" s="444"/>
      <c r="I118" s="444"/>
      <c r="J118" s="449"/>
      <c r="K118" s="449"/>
      <c r="L118" s="450" t="str">
        <f t="shared" ca="1" si="7"/>
        <v/>
      </c>
      <c r="N118" s="462" t="str">
        <f t="shared" si="4"/>
        <v/>
      </c>
      <c r="P118"/>
      <c r="S118" t="s">
        <v>287</v>
      </c>
    </row>
    <row r="119" spans="1:19" ht="20.100000000000001" customHeight="1">
      <c r="A119" s="448"/>
      <c r="B119" s="444"/>
      <c r="C119" s="444"/>
      <c r="D119" s="445"/>
      <c r="E119" s="444"/>
      <c r="F119" s="428" t="str">
        <f t="shared" si="6"/>
        <v/>
      </c>
      <c r="G119" s="444"/>
      <c r="H119" s="444"/>
      <c r="I119" s="444"/>
      <c r="J119" s="449"/>
      <c r="K119" s="449"/>
      <c r="L119" s="450" t="str">
        <f t="shared" ca="1" si="7"/>
        <v/>
      </c>
      <c r="N119" s="462" t="str">
        <f t="shared" si="4"/>
        <v/>
      </c>
      <c r="P119"/>
      <c r="S119" t="s">
        <v>288</v>
      </c>
    </row>
    <row r="120" spans="1:19" ht="20.100000000000001" customHeight="1">
      <c r="A120" s="448"/>
      <c r="B120" s="444"/>
      <c r="C120" s="444"/>
      <c r="D120" s="445"/>
      <c r="E120" s="444"/>
      <c r="F120" s="428" t="str">
        <f t="shared" si="6"/>
        <v/>
      </c>
      <c r="G120" s="444"/>
      <c r="H120" s="444"/>
      <c r="I120" s="444"/>
      <c r="J120" s="449"/>
      <c r="K120" s="449"/>
      <c r="L120" s="450" t="str">
        <f t="shared" ca="1" si="7"/>
        <v/>
      </c>
      <c r="N120" s="462" t="str">
        <f t="shared" si="4"/>
        <v/>
      </c>
      <c r="P120"/>
      <c r="S120" t="s">
        <v>83</v>
      </c>
    </row>
    <row r="121" spans="1:19" ht="20.100000000000001" customHeight="1">
      <c r="A121" s="448"/>
      <c r="B121" s="444"/>
      <c r="C121" s="444"/>
      <c r="D121" s="445"/>
      <c r="E121" s="444"/>
      <c r="F121" s="428" t="str">
        <f t="shared" si="6"/>
        <v/>
      </c>
      <c r="G121" s="444"/>
      <c r="H121" s="444"/>
      <c r="I121" s="444"/>
      <c r="J121" s="449"/>
      <c r="K121" s="449"/>
      <c r="L121" s="450" t="str">
        <f t="shared" ca="1" si="7"/>
        <v/>
      </c>
      <c r="N121" s="462" t="str">
        <f t="shared" si="4"/>
        <v/>
      </c>
      <c r="P121"/>
      <c r="S121" t="s">
        <v>289</v>
      </c>
    </row>
    <row r="122" spans="1:19" ht="20.100000000000001" customHeight="1">
      <c r="A122" s="448"/>
      <c r="B122" s="444"/>
      <c r="C122" s="444"/>
      <c r="D122" s="445"/>
      <c r="E122" s="444"/>
      <c r="F122" s="428" t="str">
        <f t="shared" si="6"/>
        <v/>
      </c>
      <c r="G122" s="444"/>
      <c r="H122" s="444"/>
      <c r="I122" s="444"/>
      <c r="J122" s="449"/>
      <c r="K122" s="449"/>
      <c r="L122" s="450" t="str">
        <f t="shared" ca="1" si="7"/>
        <v/>
      </c>
      <c r="N122" s="462" t="str">
        <f t="shared" si="4"/>
        <v/>
      </c>
      <c r="P122"/>
      <c r="S122" t="s">
        <v>290</v>
      </c>
    </row>
    <row r="123" spans="1:19" ht="20.100000000000001" customHeight="1">
      <c r="A123" s="448"/>
      <c r="B123" s="444"/>
      <c r="C123" s="444"/>
      <c r="D123" s="445"/>
      <c r="E123" s="444"/>
      <c r="F123" s="428" t="str">
        <f t="shared" si="6"/>
        <v/>
      </c>
      <c r="G123" s="444"/>
      <c r="H123" s="444"/>
      <c r="I123" s="444"/>
      <c r="J123" s="449"/>
      <c r="K123" s="449"/>
      <c r="L123" s="450" t="str">
        <f t="shared" ca="1" si="7"/>
        <v/>
      </c>
      <c r="N123" s="462" t="str">
        <f t="shared" si="4"/>
        <v/>
      </c>
      <c r="P123"/>
      <c r="S123" t="s">
        <v>291</v>
      </c>
    </row>
    <row r="124" spans="1:19" ht="20.100000000000001" customHeight="1">
      <c r="A124" s="448"/>
      <c r="B124" s="444"/>
      <c r="C124" s="444"/>
      <c r="D124" s="445"/>
      <c r="E124" s="444"/>
      <c r="F124" s="428" t="str">
        <f t="shared" si="6"/>
        <v/>
      </c>
      <c r="G124" s="444"/>
      <c r="H124" s="444"/>
      <c r="I124" s="444"/>
      <c r="J124" s="449"/>
      <c r="K124" s="449"/>
      <c r="L124" s="450" t="str">
        <f t="shared" ca="1" si="7"/>
        <v/>
      </c>
      <c r="N124" s="462" t="str">
        <f t="shared" si="4"/>
        <v/>
      </c>
      <c r="P124"/>
      <c r="S124" t="s">
        <v>292</v>
      </c>
    </row>
    <row r="125" spans="1:19" ht="20.100000000000001" customHeight="1">
      <c r="A125" s="448"/>
      <c r="B125" s="444"/>
      <c r="C125" s="444"/>
      <c r="D125" s="445"/>
      <c r="E125" s="444"/>
      <c r="F125" s="428" t="str">
        <f t="shared" si="6"/>
        <v/>
      </c>
      <c r="G125" s="444"/>
      <c r="H125" s="444"/>
      <c r="I125" s="444"/>
      <c r="J125" s="449"/>
      <c r="K125" s="449"/>
      <c r="L125" s="450" t="str">
        <f t="shared" ca="1" si="7"/>
        <v/>
      </c>
      <c r="N125" s="462" t="str">
        <f t="shared" si="4"/>
        <v/>
      </c>
      <c r="P125"/>
      <c r="S125" t="s">
        <v>293</v>
      </c>
    </row>
    <row r="126" spans="1:19" ht="20.100000000000001" customHeight="1">
      <c r="A126" s="448"/>
      <c r="B126" s="444"/>
      <c r="C126" s="444"/>
      <c r="D126" s="445"/>
      <c r="E126" s="444"/>
      <c r="F126" s="428" t="str">
        <f t="shared" si="6"/>
        <v/>
      </c>
      <c r="G126" s="444"/>
      <c r="H126" s="444"/>
      <c r="I126" s="444"/>
      <c r="J126" s="449"/>
      <c r="K126" s="449"/>
      <c r="L126" s="450" t="str">
        <f t="shared" ca="1" si="7"/>
        <v/>
      </c>
      <c r="N126" s="462" t="str">
        <f t="shared" si="4"/>
        <v/>
      </c>
      <c r="P126"/>
      <c r="S126" t="s">
        <v>294</v>
      </c>
    </row>
    <row r="127" spans="1:19" ht="20.100000000000001" customHeight="1">
      <c r="A127" s="448"/>
      <c r="B127" s="444"/>
      <c r="C127" s="444"/>
      <c r="D127" s="445"/>
      <c r="E127" s="444"/>
      <c r="F127" s="428" t="str">
        <f t="shared" si="6"/>
        <v/>
      </c>
      <c r="G127" s="444"/>
      <c r="H127" s="444"/>
      <c r="I127" s="444"/>
      <c r="J127" s="449"/>
      <c r="K127" s="449"/>
      <c r="L127" s="450" t="str">
        <f t="shared" ca="1" si="7"/>
        <v/>
      </c>
      <c r="N127" s="462" t="str">
        <f t="shared" si="4"/>
        <v/>
      </c>
      <c r="P127"/>
      <c r="S127" t="s">
        <v>295</v>
      </c>
    </row>
    <row r="128" spans="1:19" ht="20.100000000000001" customHeight="1">
      <c r="A128" s="448"/>
      <c r="B128" s="444"/>
      <c r="C128" s="444"/>
      <c r="D128" s="445"/>
      <c r="E128" s="444"/>
      <c r="F128" s="428" t="str">
        <f t="shared" si="6"/>
        <v/>
      </c>
      <c r="G128" s="444"/>
      <c r="H128" s="444"/>
      <c r="I128" s="444"/>
      <c r="J128" s="449"/>
      <c r="K128" s="449"/>
      <c r="L128" s="450" t="str">
        <f t="shared" ca="1" si="7"/>
        <v/>
      </c>
      <c r="N128" s="462" t="str">
        <f t="shared" si="4"/>
        <v/>
      </c>
      <c r="P128"/>
      <c r="S128" t="s">
        <v>296</v>
      </c>
    </row>
    <row r="129" spans="1:19" ht="20.100000000000001" customHeight="1">
      <c r="A129" s="448"/>
      <c r="B129" s="444"/>
      <c r="C129" s="444"/>
      <c r="D129" s="445"/>
      <c r="E129" s="444"/>
      <c r="F129" s="428" t="str">
        <f t="shared" si="6"/>
        <v/>
      </c>
      <c r="G129" s="444"/>
      <c r="H129" s="444"/>
      <c r="I129" s="444"/>
      <c r="J129" s="449"/>
      <c r="K129" s="449"/>
      <c r="L129" s="450" t="str">
        <f t="shared" ca="1" si="7"/>
        <v/>
      </c>
      <c r="N129" s="462" t="str">
        <f t="shared" si="4"/>
        <v/>
      </c>
      <c r="P129"/>
      <c r="S129" t="s">
        <v>156</v>
      </c>
    </row>
    <row r="130" spans="1:19" ht="20.100000000000001" customHeight="1">
      <c r="A130" s="448"/>
      <c r="B130" s="444"/>
      <c r="C130" s="444"/>
      <c r="D130" s="445"/>
      <c r="E130" s="444"/>
      <c r="F130" s="428" t="str">
        <f t="shared" ref="F130:F157" si="8">IFERROR(VLOOKUP(G130,$P$4:$Q$26,2,FALSE),"")</f>
        <v/>
      </c>
      <c r="G130" s="444"/>
      <c r="H130" s="444"/>
      <c r="I130" s="444"/>
      <c r="J130" s="449"/>
      <c r="K130" s="449"/>
      <c r="L130" s="450" t="str">
        <f t="shared" ref="L130:L157" ca="1" si="9">IFERROR(IF(OR(MID(C130,8,1)&lt;"3",AND(MID(C130,8,1)&gt;="5",MID(C130,8,1)&lt;="6")),INT(TEXT(TODAY(),"yyyy.mmdd")-TEXT(TEXT(LEFT(C130,6),"1900-00-00"),"yyyy.mmdd")),INT(TEXT(TODAY(),"yyyy.mmdd")-TEXT(TEXT(LEFT(C130,6),"2000-00-00"),"yyyy.mmdd"))),"")</f>
        <v/>
      </c>
      <c r="N130" s="462" t="str">
        <f t="shared" si="4"/>
        <v/>
      </c>
      <c r="P130"/>
      <c r="S130" t="s">
        <v>297</v>
      </c>
    </row>
    <row r="131" spans="1:19" ht="20.100000000000001" customHeight="1">
      <c r="A131" s="448"/>
      <c r="B131" s="444"/>
      <c r="C131" s="444"/>
      <c r="D131" s="445"/>
      <c r="E131" s="444"/>
      <c r="F131" s="428" t="str">
        <f t="shared" si="8"/>
        <v/>
      </c>
      <c r="G131" s="444"/>
      <c r="H131" s="444"/>
      <c r="I131" s="444"/>
      <c r="J131" s="449"/>
      <c r="K131" s="449"/>
      <c r="L131" s="450" t="str">
        <f t="shared" ca="1" si="9"/>
        <v/>
      </c>
      <c r="N131" s="462" t="str">
        <f t="shared" si="4"/>
        <v/>
      </c>
      <c r="P131"/>
      <c r="S131" t="s">
        <v>82</v>
      </c>
    </row>
    <row r="132" spans="1:19" ht="20.100000000000001" customHeight="1">
      <c r="A132" s="448"/>
      <c r="B132" s="444"/>
      <c r="C132" s="444"/>
      <c r="D132" s="445"/>
      <c r="E132" s="444"/>
      <c r="F132" s="428" t="str">
        <f t="shared" si="8"/>
        <v/>
      </c>
      <c r="G132" s="444"/>
      <c r="H132" s="444"/>
      <c r="I132" s="444"/>
      <c r="J132" s="449"/>
      <c r="K132" s="449"/>
      <c r="L132" s="450" t="str">
        <f t="shared" ca="1" si="9"/>
        <v/>
      </c>
      <c r="N132" s="462" t="str">
        <f t="shared" si="4"/>
        <v/>
      </c>
      <c r="P132"/>
      <c r="S132" t="s">
        <v>298</v>
      </c>
    </row>
    <row r="133" spans="1:19" ht="20.100000000000001" customHeight="1">
      <c r="A133" s="448"/>
      <c r="B133" s="444"/>
      <c r="C133" s="444"/>
      <c r="D133" s="445"/>
      <c r="E133" s="444"/>
      <c r="F133" s="428" t="str">
        <f t="shared" si="8"/>
        <v/>
      </c>
      <c r="G133" s="444"/>
      <c r="H133" s="444"/>
      <c r="I133" s="444"/>
      <c r="J133" s="449"/>
      <c r="K133" s="449"/>
      <c r="L133" s="450" t="str">
        <f t="shared" ca="1" si="9"/>
        <v/>
      </c>
      <c r="N133" s="462" t="str">
        <f t="shared" ref="N133:N196" si="10">IFERROR(IF(MID(C133,8,1)&gt;="5",IF(RIGHT(C133,1)=(RIGHT(13-MOD(MID(C133,1,1)*2+MID(C133,2,1)*3+MID(C133,3,1)*4+MID(C133,4,1)*5+MID(C133,5,1)*6+MID(C133,6,1)*7+MID(C133,8,1)*8+MID(C133,9,1)*9+MID(C133,10,1)*2+MID(C133,11,1)*3+MID(C133,12,1)*4+MID(C133,13,1)*5,11),1)),"O","X"),IF(RIGHT(C133,1)=(RIGHT(11-MOD(MID(C133,1,1)*2+MID(C133,2,1)*3+MID(C133,3,1)*4+MID(C133,4,1)*5+MID(C133,5,1)*6+MID(C133,6,1)*7+MID(C133,8,1)*8+MID(C133,9,1)*9+MID(C133,10,1)*2+MID(C133,11,1)*3+MID(C133,12,1)*4+MID(C133,13,1)*5,11),1)),"O","X")),"")</f>
        <v/>
      </c>
      <c r="P133"/>
      <c r="S133" t="s">
        <v>299</v>
      </c>
    </row>
    <row r="134" spans="1:19" ht="20.100000000000001" customHeight="1">
      <c r="A134" s="448"/>
      <c r="B134" s="444"/>
      <c r="C134" s="444"/>
      <c r="D134" s="445"/>
      <c r="E134" s="444"/>
      <c r="F134" s="428" t="str">
        <f t="shared" si="8"/>
        <v/>
      </c>
      <c r="G134" s="444"/>
      <c r="H134" s="444"/>
      <c r="I134" s="444"/>
      <c r="J134" s="449"/>
      <c r="K134" s="449"/>
      <c r="L134" s="450" t="str">
        <f t="shared" ca="1" si="9"/>
        <v/>
      </c>
      <c r="N134" s="462" t="str">
        <f t="shared" si="10"/>
        <v/>
      </c>
      <c r="P134"/>
      <c r="S134" t="s">
        <v>300</v>
      </c>
    </row>
    <row r="135" spans="1:19" ht="20.100000000000001" customHeight="1">
      <c r="A135" s="448"/>
      <c r="B135" s="444"/>
      <c r="C135" s="444"/>
      <c r="D135" s="445"/>
      <c r="E135" s="444"/>
      <c r="F135" s="428" t="str">
        <f t="shared" si="8"/>
        <v/>
      </c>
      <c r="G135" s="444"/>
      <c r="H135" s="444"/>
      <c r="I135" s="444"/>
      <c r="J135" s="449"/>
      <c r="K135" s="449"/>
      <c r="L135" s="450" t="str">
        <f t="shared" ca="1" si="9"/>
        <v/>
      </c>
      <c r="N135" s="462" t="str">
        <f t="shared" si="10"/>
        <v/>
      </c>
      <c r="P135"/>
      <c r="S135" t="s">
        <v>301</v>
      </c>
    </row>
    <row r="136" spans="1:19" ht="20.100000000000001" customHeight="1">
      <c r="A136" s="448"/>
      <c r="B136" s="444"/>
      <c r="C136" s="444"/>
      <c r="D136" s="445"/>
      <c r="E136" s="444"/>
      <c r="F136" s="428" t="str">
        <f t="shared" si="8"/>
        <v/>
      </c>
      <c r="G136" s="444"/>
      <c r="H136" s="444"/>
      <c r="I136" s="444"/>
      <c r="J136" s="449"/>
      <c r="K136" s="449"/>
      <c r="L136" s="450" t="str">
        <f t="shared" ca="1" si="9"/>
        <v/>
      </c>
      <c r="N136" s="462" t="str">
        <f t="shared" si="10"/>
        <v/>
      </c>
      <c r="P136"/>
      <c r="S136" t="s">
        <v>302</v>
      </c>
    </row>
    <row r="137" spans="1:19" ht="20.100000000000001" customHeight="1">
      <c r="A137" s="448"/>
      <c r="B137" s="444"/>
      <c r="C137" s="444"/>
      <c r="D137" s="445"/>
      <c r="E137" s="444"/>
      <c r="F137" s="428" t="str">
        <f t="shared" si="8"/>
        <v/>
      </c>
      <c r="G137" s="444"/>
      <c r="H137" s="444"/>
      <c r="I137" s="444"/>
      <c r="J137" s="449"/>
      <c r="K137" s="449"/>
      <c r="L137" s="450" t="str">
        <f t="shared" ca="1" si="9"/>
        <v/>
      </c>
      <c r="N137" s="462" t="str">
        <f t="shared" si="10"/>
        <v/>
      </c>
      <c r="P137"/>
      <c r="S137" t="s">
        <v>303</v>
      </c>
    </row>
    <row r="138" spans="1:19" ht="20.100000000000001" customHeight="1">
      <c r="A138" s="448"/>
      <c r="B138" s="444"/>
      <c r="C138" s="444"/>
      <c r="D138" s="445"/>
      <c r="E138" s="444"/>
      <c r="F138" s="428" t="str">
        <f t="shared" si="8"/>
        <v/>
      </c>
      <c r="G138" s="444"/>
      <c r="H138" s="444"/>
      <c r="I138" s="444"/>
      <c r="J138" s="449"/>
      <c r="K138" s="449"/>
      <c r="L138" s="450" t="str">
        <f t="shared" ca="1" si="9"/>
        <v/>
      </c>
      <c r="N138" s="462" t="str">
        <f t="shared" si="10"/>
        <v/>
      </c>
      <c r="P138"/>
      <c r="S138" t="s">
        <v>304</v>
      </c>
    </row>
    <row r="139" spans="1:19" ht="20.100000000000001" customHeight="1">
      <c r="A139" s="448"/>
      <c r="B139" s="444"/>
      <c r="C139" s="444"/>
      <c r="D139" s="445"/>
      <c r="E139" s="444"/>
      <c r="F139" s="428" t="str">
        <f t="shared" si="8"/>
        <v/>
      </c>
      <c r="G139" s="444"/>
      <c r="H139" s="444"/>
      <c r="I139" s="444"/>
      <c r="J139" s="449"/>
      <c r="K139" s="449"/>
      <c r="L139" s="450" t="str">
        <f t="shared" ca="1" si="9"/>
        <v/>
      </c>
      <c r="N139" s="462" t="str">
        <f t="shared" si="10"/>
        <v/>
      </c>
      <c r="P139"/>
      <c r="S139" t="s">
        <v>305</v>
      </c>
    </row>
    <row r="140" spans="1:19" ht="20.100000000000001" customHeight="1">
      <c r="A140" s="448"/>
      <c r="B140" s="444"/>
      <c r="C140" s="444"/>
      <c r="D140" s="445"/>
      <c r="E140" s="444"/>
      <c r="F140" s="428" t="str">
        <f t="shared" si="8"/>
        <v/>
      </c>
      <c r="G140" s="444"/>
      <c r="H140" s="444"/>
      <c r="I140" s="444"/>
      <c r="J140" s="449"/>
      <c r="K140" s="449"/>
      <c r="L140" s="450" t="str">
        <f t="shared" ca="1" si="9"/>
        <v/>
      </c>
      <c r="N140" s="462" t="str">
        <f t="shared" si="10"/>
        <v/>
      </c>
      <c r="P140"/>
      <c r="S140" t="s">
        <v>306</v>
      </c>
    </row>
    <row r="141" spans="1:19" ht="20.100000000000001" customHeight="1">
      <c r="A141" s="448"/>
      <c r="B141" s="444"/>
      <c r="C141" s="444"/>
      <c r="D141" s="445"/>
      <c r="E141" s="444"/>
      <c r="F141" s="428" t="str">
        <f t="shared" si="8"/>
        <v/>
      </c>
      <c r="G141" s="444"/>
      <c r="H141" s="444"/>
      <c r="I141" s="444"/>
      <c r="J141" s="449"/>
      <c r="K141" s="449"/>
      <c r="L141" s="450" t="str">
        <f t="shared" ca="1" si="9"/>
        <v/>
      </c>
      <c r="N141" s="462" t="str">
        <f t="shared" si="10"/>
        <v/>
      </c>
      <c r="P141"/>
      <c r="S141" t="s">
        <v>307</v>
      </c>
    </row>
    <row r="142" spans="1:19" ht="20.100000000000001" customHeight="1">
      <c r="A142" s="448"/>
      <c r="B142" s="444"/>
      <c r="C142" s="444"/>
      <c r="D142" s="445"/>
      <c r="E142" s="444"/>
      <c r="F142" s="428" t="str">
        <f t="shared" si="8"/>
        <v/>
      </c>
      <c r="G142" s="444"/>
      <c r="H142" s="444"/>
      <c r="I142" s="444"/>
      <c r="J142" s="449"/>
      <c r="K142" s="449"/>
      <c r="L142" s="450" t="str">
        <f t="shared" ca="1" si="9"/>
        <v/>
      </c>
      <c r="N142" s="462" t="str">
        <f t="shared" si="10"/>
        <v/>
      </c>
      <c r="P142"/>
      <c r="S142" t="s">
        <v>308</v>
      </c>
    </row>
    <row r="143" spans="1:19" ht="20.100000000000001" customHeight="1">
      <c r="A143" s="448"/>
      <c r="B143" s="444"/>
      <c r="C143" s="444"/>
      <c r="D143" s="445"/>
      <c r="E143" s="444"/>
      <c r="F143" s="428" t="str">
        <f t="shared" si="8"/>
        <v/>
      </c>
      <c r="G143" s="444"/>
      <c r="H143" s="444"/>
      <c r="I143" s="444"/>
      <c r="J143" s="449"/>
      <c r="K143" s="449"/>
      <c r="L143" s="450" t="str">
        <f t="shared" ca="1" si="9"/>
        <v/>
      </c>
      <c r="N143" s="462" t="str">
        <f t="shared" si="10"/>
        <v/>
      </c>
      <c r="P143"/>
      <c r="S143" t="s">
        <v>309</v>
      </c>
    </row>
    <row r="144" spans="1:19" ht="20.100000000000001" customHeight="1">
      <c r="A144" s="448"/>
      <c r="B144" s="444"/>
      <c r="C144" s="444"/>
      <c r="D144" s="445"/>
      <c r="E144" s="444"/>
      <c r="F144" s="428" t="str">
        <f t="shared" si="8"/>
        <v/>
      </c>
      <c r="G144" s="444"/>
      <c r="H144" s="444"/>
      <c r="I144" s="444"/>
      <c r="J144" s="449"/>
      <c r="K144" s="449"/>
      <c r="L144" s="450" t="str">
        <f t="shared" ca="1" si="9"/>
        <v/>
      </c>
      <c r="N144" s="462" t="str">
        <f t="shared" si="10"/>
        <v/>
      </c>
      <c r="P144"/>
      <c r="S144" t="s">
        <v>310</v>
      </c>
    </row>
    <row r="145" spans="1:19" ht="20.100000000000001" customHeight="1">
      <c r="A145" s="448"/>
      <c r="B145" s="444"/>
      <c r="C145" s="444"/>
      <c r="D145" s="445"/>
      <c r="E145" s="444"/>
      <c r="F145" s="428" t="str">
        <f t="shared" si="8"/>
        <v/>
      </c>
      <c r="G145" s="444"/>
      <c r="H145" s="444"/>
      <c r="I145" s="444"/>
      <c r="J145" s="449"/>
      <c r="K145" s="449"/>
      <c r="L145" s="450" t="str">
        <f t="shared" ca="1" si="9"/>
        <v/>
      </c>
      <c r="N145" s="462" t="str">
        <f t="shared" si="10"/>
        <v/>
      </c>
      <c r="P145"/>
      <c r="S145" t="s">
        <v>311</v>
      </c>
    </row>
    <row r="146" spans="1:19" ht="20.100000000000001" customHeight="1">
      <c r="A146" s="448"/>
      <c r="B146" s="444"/>
      <c r="C146" s="444"/>
      <c r="D146" s="445"/>
      <c r="E146" s="444"/>
      <c r="F146" s="428" t="str">
        <f t="shared" si="8"/>
        <v/>
      </c>
      <c r="G146" s="444"/>
      <c r="H146" s="444"/>
      <c r="I146" s="444"/>
      <c r="J146" s="449"/>
      <c r="K146" s="449"/>
      <c r="L146" s="450" t="str">
        <f t="shared" ca="1" si="9"/>
        <v/>
      </c>
      <c r="N146" s="462" t="str">
        <f t="shared" si="10"/>
        <v/>
      </c>
      <c r="P146"/>
      <c r="S146" t="s">
        <v>312</v>
      </c>
    </row>
    <row r="147" spans="1:19" ht="20.100000000000001" customHeight="1">
      <c r="A147" s="448"/>
      <c r="B147" s="444"/>
      <c r="C147" s="444"/>
      <c r="D147" s="445"/>
      <c r="E147" s="444"/>
      <c r="F147" s="428" t="str">
        <f t="shared" si="8"/>
        <v/>
      </c>
      <c r="G147" s="444"/>
      <c r="H147" s="444"/>
      <c r="I147" s="444"/>
      <c r="J147" s="449"/>
      <c r="K147" s="449"/>
      <c r="L147" s="450" t="str">
        <f t="shared" ca="1" si="9"/>
        <v/>
      </c>
      <c r="N147" s="462" t="str">
        <f t="shared" si="10"/>
        <v/>
      </c>
      <c r="P147"/>
      <c r="S147" t="s">
        <v>313</v>
      </c>
    </row>
    <row r="148" spans="1:19" ht="20.100000000000001" customHeight="1">
      <c r="A148" s="448"/>
      <c r="B148" s="444"/>
      <c r="C148" s="444"/>
      <c r="D148" s="445"/>
      <c r="E148" s="444"/>
      <c r="F148" s="428" t="str">
        <f t="shared" si="8"/>
        <v/>
      </c>
      <c r="G148" s="444"/>
      <c r="H148" s="444"/>
      <c r="I148" s="444"/>
      <c r="J148" s="449"/>
      <c r="K148" s="449"/>
      <c r="L148" s="450" t="str">
        <f t="shared" ca="1" si="9"/>
        <v/>
      </c>
      <c r="N148" s="462" t="str">
        <f t="shared" si="10"/>
        <v/>
      </c>
      <c r="P148"/>
      <c r="S148" t="s">
        <v>314</v>
      </c>
    </row>
    <row r="149" spans="1:19" ht="20.100000000000001" customHeight="1">
      <c r="A149" s="448"/>
      <c r="B149" s="444"/>
      <c r="C149" s="444"/>
      <c r="D149" s="445"/>
      <c r="E149" s="444"/>
      <c r="F149" s="428" t="str">
        <f t="shared" si="8"/>
        <v/>
      </c>
      <c r="G149" s="444"/>
      <c r="H149" s="444"/>
      <c r="I149" s="444"/>
      <c r="J149" s="449"/>
      <c r="K149" s="449"/>
      <c r="L149" s="450" t="str">
        <f t="shared" ca="1" si="9"/>
        <v/>
      </c>
      <c r="N149" s="462" t="str">
        <f t="shared" si="10"/>
        <v/>
      </c>
      <c r="P149"/>
      <c r="S149" t="s">
        <v>315</v>
      </c>
    </row>
    <row r="150" spans="1:19" ht="20.100000000000001" customHeight="1">
      <c r="A150" s="448"/>
      <c r="B150" s="444"/>
      <c r="C150" s="444"/>
      <c r="D150" s="445"/>
      <c r="E150" s="444"/>
      <c r="F150" s="428" t="str">
        <f t="shared" si="8"/>
        <v/>
      </c>
      <c r="G150" s="444"/>
      <c r="H150" s="444"/>
      <c r="I150" s="444"/>
      <c r="J150" s="449"/>
      <c r="K150" s="449"/>
      <c r="L150" s="450" t="str">
        <f t="shared" ca="1" si="9"/>
        <v/>
      </c>
      <c r="N150" s="462" t="str">
        <f t="shared" si="10"/>
        <v/>
      </c>
      <c r="P150"/>
      <c r="S150" t="s">
        <v>316</v>
      </c>
    </row>
    <row r="151" spans="1:19" ht="20.100000000000001" customHeight="1">
      <c r="A151" s="448"/>
      <c r="B151" s="444"/>
      <c r="C151" s="444"/>
      <c r="D151" s="445"/>
      <c r="E151" s="444"/>
      <c r="F151" s="428" t="str">
        <f t="shared" si="8"/>
        <v/>
      </c>
      <c r="G151" s="444"/>
      <c r="H151" s="444"/>
      <c r="I151" s="444"/>
      <c r="J151" s="449"/>
      <c r="K151" s="449"/>
      <c r="L151" s="450" t="str">
        <f t="shared" ca="1" si="9"/>
        <v/>
      </c>
      <c r="N151" s="462" t="str">
        <f t="shared" si="10"/>
        <v/>
      </c>
      <c r="P151"/>
      <c r="S151" t="s">
        <v>317</v>
      </c>
    </row>
    <row r="152" spans="1:19" ht="20.100000000000001" customHeight="1">
      <c r="A152" s="448"/>
      <c r="B152" s="444"/>
      <c r="C152" s="444"/>
      <c r="D152" s="445"/>
      <c r="E152" s="444"/>
      <c r="F152" s="428" t="str">
        <f t="shared" si="8"/>
        <v/>
      </c>
      <c r="G152" s="444"/>
      <c r="H152" s="444"/>
      <c r="I152" s="444"/>
      <c r="J152" s="449"/>
      <c r="K152" s="449"/>
      <c r="L152" s="450" t="str">
        <f t="shared" ca="1" si="9"/>
        <v/>
      </c>
      <c r="N152" s="462" t="str">
        <f t="shared" si="10"/>
        <v/>
      </c>
      <c r="P152"/>
      <c r="S152" t="s">
        <v>318</v>
      </c>
    </row>
    <row r="153" spans="1:19" ht="20.100000000000001" customHeight="1">
      <c r="A153" s="448"/>
      <c r="B153" s="444"/>
      <c r="C153" s="444"/>
      <c r="D153" s="445"/>
      <c r="E153" s="444"/>
      <c r="F153" s="428" t="str">
        <f t="shared" si="8"/>
        <v/>
      </c>
      <c r="G153" s="444"/>
      <c r="H153" s="444"/>
      <c r="I153" s="444"/>
      <c r="J153" s="449"/>
      <c r="K153" s="449"/>
      <c r="L153" s="450" t="str">
        <f t="shared" ca="1" si="9"/>
        <v/>
      </c>
      <c r="N153" s="462" t="str">
        <f t="shared" si="10"/>
        <v/>
      </c>
      <c r="P153"/>
      <c r="S153" t="s">
        <v>319</v>
      </c>
    </row>
    <row r="154" spans="1:19" ht="20.100000000000001" customHeight="1">
      <c r="A154" s="448"/>
      <c r="B154" s="444"/>
      <c r="C154" s="444"/>
      <c r="D154" s="445"/>
      <c r="E154" s="444"/>
      <c r="F154" s="428" t="str">
        <f t="shared" si="8"/>
        <v/>
      </c>
      <c r="G154" s="444"/>
      <c r="H154" s="444"/>
      <c r="I154" s="444"/>
      <c r="J154" s="449"/>
      <c r="K154" s="449"/>
      <c r="L154" s="450" t="str">
        <f t="shared" ca="1" si="9"/>
        <v/>
      </c>
      <c r="N154" s="462" t="str">
        <f t="shared" si="10"/>
        <v/>
      </c>
      <c r="P154"/>
      <c r="S154" t="s">
        <v>320</v>
      </c>
    </row>
    <row r="155" spans="1:19" ht="20.100000000000001" customHeight="1">
      <c r="A155" s="448"/>
      <c r="B155" s="444"/>
      <c r="C155" s="444"/>
      <c r="D155" s="445"/>
      <c r="E155" s="444"/>
      <c r="F155" s="428" t="str">
        <f t="shared" si="8"/>
        <v/>
      </c>
      <c r="G155" s="444"/>
      <c r="H155" s="444"/>
      <c r="I155" s="444"/>
      <c r="J155" s="449"/>
      <c r="K155" s="449"/>
      <c r="L155" s="450" t="str">
        <f t="shared" ca="1" si="9"/>
        <v/>
      </c>
      <c r="N155" s="462" t="str">
        <f t="shared" si="10"/>
        <v/>
      </c>
      <c r="P155"/>
      <c r="S155" t="s">
        <v>321</v>
      </c>
    </row>
    <row r="156" spans="1:19" ht="20.100000000000001" customHeight="1">
      <c r="A156" s="448"/>
      <c r="B156" s="444"/>
      <c r="C156" s="444"/>
      <c r="D156" s="445"/>
      <c r="E156" s="444"/>
      <c r="F156" s="428" t="str">
        <f t="shared" si="8"/>
        <v/>
      </c>
      <c r="G156" s="444"/>
      <c r="H156" s="444"/>
      <c r="I156" s="444"/>
      <c r="J156" s="449"/>
      <c r="K156" s="449"/>
      <c r="L156" s="450" t="str">
        <f t="shared" ca="1" si="9"/>
        <v/>
      </c>
      <c r="N156" s="462" t="str">
        <f t="shared" si="10"/>
        <v/>
      </c>
      <c r="P156"/>
      <c r="S156" t="s">
        <v>322</v>
      </c>
    </row>
    <row r="157" spans="1:19" ht="20.100000000000001" customHeight="1">
      <c r="A157" s="448"/>
      <c r="B157" s="444"/>
      <c r="C157" s="444"/>
      <c r="D157" s="445"/>
      <c r="E157" s="444"/>
      <c r="F157" s="428" t="str">
        <f t="shared" si="8"/>
        <v/>
      </c>
      <c r="G157" s="444"/>
      <c r="H157" s="444"/>
      <c r="I157" s="444"/>
      <c r="J157" s="449"/>
      <c r="K157" s="449"/>
      <c r="L157" s="450" t="str">
        <f t="shared" ca="1" si="9"/>
        <v/>
      </c>
      <c r="N157" s="462" t="str">
        <f t="shared" si="10"/>
        <v/>
      </c>
      <c r="P157"/>
      <c r="S157" t="s">
        <v>323</v>
      </c>
    </row>
    <row r="158" spans="1:19" ht="20.100000000000001" customHeight="1">
      <c r="A158" s="448"/>
      <c r="B158" s="444"/>
      <c r="C158" s="444"/>
      <c r="D158" s="445"/>
      <c r="E158" s="444"/>
      <c r="F158" s="428" t="str">
        <f t="shared" ref="F158:F185" si="11">IFERROR(VLOOKUP(G158,$P$4:$Q$26,2,FALSE),"")</f>
        <v/>
      </c>
      <c r="G158" s="444"/>
      <c r="H158" s="444"/>
      <c r="I158" s="444"/>
      <c r="J158" s="449"/>
      <c r="K158" s="449"/>
      <c r="L158" s="450" t="str">
        <f t="shared" ref="L158:L185" ca="1" si="12">IFERROR(IF(OR(MID(C158,8,1)&lt;"3",AND(MID(C158,8,1)&gt;="5",MID(C158,8,1)&lt;="6")),INT(TEXT(TODAY(),"yyyy.mmdd")-TEXT(TEXT(LEFT(C158,6),"1900-00-00"),"yyyy.mmdd")),INT(TEXT(TODAY(),"yyyy.mmdd")-TEXT(TEXT(LEFT(C158,6),"2000-00-00"),"yyyy.mmdd"))),"")</f>
        <v/>
      </c>
      <c r="N158" s="462" t="str">
        <f t="shared" si="10"/>
        <v/>
      </c>
      <c r="P158"/>
      <c r="S158" t="s">
        <v>324</v>
      </c>
    </row>
    <row r="159" spans="1:19" ht="20.100000000000001" customHeight="1">
      <c r="A159" s="448"/>
      <c r="B159" s="444"/>
      <c r="C159" s="444"/>
      <c r="D159" s="445"/>
      <c r="E159" s="444"/>
      <c r="F159" s="428" t="str">
        <f t="shared" si="11"/>
        <v/>
      </c>
      <c r="G159" s="444"/>
      <c r="H159" s="444"/>
      <c r="I159" s="444"/>
      <c r="J159" s="449"/>
      <c r="K159" s="449"/>
      <c r="L159" s="450" t="str">
        <f t="shared" ca="1" si="12"/>
        <v/>
      </c>
      <c r="N159" s="462" t="str">
        <f t="shared" si="10"/>
        <v/>
      </c>
      <c r="P159"/>
      <c r="S159" t="s">
        <v>325</v>
      </c>
    </row>
    <row r="160" spans="1:19" ht="20.100000000000001" customHeight="1">
      <c r="A160" s="448"/>
      <c r="B160" s="444"/>
      <c r="C160" s="444"/>
      <c r="D160" s="445"/>
      <c r="E160" s="444"/>
      <c r="F160" s="428" t="str">
        <f t="shared" si="11"/>
        <v/>
      </c>
      <c r="G160" s="444"/>
      <c r="H160" s="444"/>
      <c r="I160" s="444"/>
      <c r="J160" s="449"/>
      <c r="K160" s="449"/>
      <c r="L160" s="450" t="str">
        <f t="shared" ca="1" si="12"/>
        <v/>
      </c>
      <c r="N160" s="462" t="str">
        <f t="shared" si="10"/>
        <v/>
      </c>
      <c r="P160"/>
      <c r="S160" t="s">
        <v>326</v>
      </c>
    </row>
    <row r="161" spans="1:19" ht="20.100000000000001" customHeight="1">
      <c r="A161" s="448"/>
      <c r="B161" s="444"/>
      <c r="C161" s="444"/>
      <c r="D161" s="445"/>
      <c r="E161" s="444"/>
      <c r="F161" s="428" t="str">
        <f t="shared" si="11"/>
        <v/>
      </c>
      <c r="G161" s="444"/>
      <c r="H161" s="444"/>
      <c r="I161" s="444"/>
      <c r="J161" s="449"/>
      <c r="K161" s="449"/>
      <c r="L161" s="450" t="str">
        <f t="shared" ca="1" si="12"/>
        <v/>
      </c>
      <c r="N161" s="462" t="str">
        <f t="shared" si="10"/>
        <v/>
      </c>
      <c r="P161"/>
      <c r="S161" t="s">
        <v>327</v>
      </c>
    </row>
    <row r="162" spans="1:19" ht="20.100000000000001" customHeight="1">
      <c r="A162" s="448"/>
      <c r="B162" s="444"/>
      <c r="C162" s="444"/>
      <c r="D162" s="445"/>
      <c r="E162" s="444"/>
      <c r="F162" s="428" t="str">
        <f t="shared" si="11"/>
        <v/>
      </c>
      <c r="G162" s="444"/>
      <c r="H162" s="444"/>
      <c r="I162" s="444"/>
      <c r="J162" s="449"/>
      <c r="K162" s="449"/>
      <c r="L162" s="450" t="str">
        <f t="shared" ca="1" si="12"/>
        <v/>
      </c>
      <c r="N162" s="462" t="str">
        <f t="shared" si="10"/>
        <v/>
      </c>
      <c r="P162"/>
      <c r="S162" t="s">
        <v>328</v>
      </c>
    </row>
    <row r="163" spans="1:19" ht="20.100000000000001" customHeight="1">
      <c r="A163" s="448"/>
      <c r="B163" s="444"/>
      <c r="C163" s="444"/>
      <c r="D163" s="445"/>
      <c r="E163" s="444"/>
      <c r="F163" s="428" t="str">
        <f t="shared" si="11"/>
        <v/>
      </c>
      <c r="G163" s="444"/>
      <c r="H163" s="444"/>
      <c r="I163" s="444"/>
      <c r="J163" s="449"/>
      <c r="K163" s="449"/>
      <c r="L163" s="450" t="str">
        <f t="shared" ca="1" si="12"/>
        <v/>
      </c>
      <c r="N163" s="462" t="str">
        <f t="shared" si="10"/>
        <v/>
      </c>
      <c r="P163"/>
      <c r="S163" t="s">
        <v>329</v>
      </c>
    </row>
    <row r="164" spans="1:19" ht="20.100000000000001" customHeight="1">
      <c r="A164" s="448"/>
      <c r="B164" s="444"/>
      <c r="C164" s="444"/>
      <c r="D164" s="445"/>
      <c r="E164" s="444"/>
      <c r="F164" s="428" t="str">
        <f t="shared" si="11"/>
        <v/>
      </c>
      <c r="G164" s="444"/>
      <c r="H164" s="444"/>
      <c r="I164" s="444"/>
      <c r="J164" s="449"/>
      <c r="K164" s="449"/>
      <c r="L164" s="450" t="str">
        <f t="shared" ca="1" si="12"/>
        <v/>
      </c>
      <c r="N164" s="462" t="str">
        <f t="shared" si="10"/>
        <v/>
      </c>
      <c r="P164"/>
      <c r="S164" t="s">
        <v>330</v>
      </c>
    </row>
    <row r="165" spans="1:19" ht="20.100000000000001" customHeight="1">
      <c r="A165" s="448"/>
      <c r="B165" s="444"/>
      <c r="C165" s="444"/>
      <c r="D165" s="445"/>
      <c r="E165" s="444"/>
      <c r="F165" s="428" t="str">
        <f t="shared" si="11"/>
        <v/>
      </c>
      <c r="G165" s="444"/>
      <c r="H165" s="444"/>
      <c r="I165" s="444"/>
      <c r="J165" s="449"/>
      <c r="K165" s="449"/>
      <c r="L165" s="450" t="str">
        <f t="shared" ca="1" si="12"/>
        <v/>
      </c>
      <c r="N165" s="462" t="str">
        <f t="shared" si="10"/>
        <v/>
      </c>
      <c r="P165"/>
      <c r="S165" t="s">
        <v>331</v>
      </c>
    </row>
    <row r="166" spans="1:19" ht="20.100000000000001" customHeight="1">
      <c r="A166" s="448"/>
      <c r="B166" s="444"/>
      <c r="C166" s="444"/>
      <c r="D166" s="445"/>
      <c r="E166" s="444"/>
      <c r="F166" s="428" t="str">
        <f t="shared" si="11"/>
        <v/>
      </c>
      <c r="G166" s="444"/>
      <c r="H166" s="444"/>
      <c r="I166" s="444"/>
      <c r="J166" s="449"/>
      <c r="K166" s="449"/>
      <c r="L166" s="450" t="str">
        <f t="shared" ca="1" si="12"/>
        <v/>
      </c>
      <c r="N166" s="462" t="str">
        <f t="shared" si="10"/>
        <v/>
      </c>
      <c r="P166"/>
      <c r="S166" t="s">
        <v>332</v>
      </c>
    </row>
    <row r="167" spans="1:19" ht="20.100000000000001" customHeight="1">
      <c r="A167" s="448"/>
      <c r="B167" s="444"/>
      <c r="C167" s="444"/>
      <c r="D167" s="445"/>
      <c r="E167" s="444"/>
      <c r="F167" s="428" t="str">
        <f t="shared" si="11"/>
        <v/>
      </c>
      <c r="G167" s="444"/>
      <c r="H167" s="444"/>
      <c r="I167" s="444"/>
      <c r="J167" s="449"/>
      <c r="K167" s="449"/>
      <c r="L167" s="450" t="str">
        <f t="shared" ca="1" si="12"/>
        <v/>
      </c>
      <c r="N167" s="462" t="str">
        <f t="shared" si="10"/>
        <v/>
      </c>
      <c r="P167"/>
      <c r="S167" t="s">
        <v>333</v>
      </c>
    </row>
    <row r="168" spans="1:19" ht="20.100000000000001" customHeight="1">
      <c r="A168" s="448"/>
      <c r="B168" s="444"/>
      <c r="C168" s="444"/>
      <c r="D168" s="445"/>
      <c r="E168" s="444"/>
      <c r="F168" s="428" t="str">
        <f t="shared" si="11"/>
        <v/>
      </c>
      <c r="G168" s="444"/>
      <c r="H168" s="444"/>
      <c r="I168" s="444"/>
      <c r="J168" s="449"/>
      <c r="K168" s="449"/>
      <c r="L168" s="450" t="str">
        <f t="shared" ca="1" si="12"/>
        <v/>
      </c>
      <c r="N168" s="462" t="str">
        <f t="shared" si="10"/>
        <v/>
      </c>
      <c r="P168"/>
      <c r="S168" t="s">
        <v>334</v>
      </c>
    </row>
    <row r="169" spans="1:19" ht="20.100000000000001" customHeight="1">
      <c r="A169" s="448"/>
      <c r="B169" s="444"/>
      <c r="C169" s="444"/>
      <c r="D169" s="445"/>
      <c r="E169" s="444"/>
      <c r="F169" s="428" t="str">
        <f t="shared" si="11"/>
        <v/>
      </c>
      <c r="G169" s="444"/>
      <c r="H169" s="444"/>
      <c r="I169" s="444"/>
      <c r="J169" s="449"/>
      <c r="K169" s="449"/>
      <c r="L169" s="450" t="str">
        <f t="shared" ca="1" si="12"/>
        <v/>
      </c>
      <c r="N169" s="462" t="str">
        <f t="shared" si="10"/>
        <v/>
      </c>
      <c r="P169"/>
      <c r="S169" t="s">
        <v>335</v>
      </c>
    </row>
    <row r="170" spans="1:19" ht="20.100000000000001" customHeight="1">
      <c r="A170" s="448"/>
      <c r="B170" s="444"/>
      <c r="C170" s="444"/>
      <c r="D170" s="445"/>
      <c r="E170" s="444"/>
      <c r="F170" s="428" t="str">
        <f t="shared" si="11"/>
        <v/>
      </c>
      <c r="G170" s="444"/>
      <c r="H170" s="444"/>
      <c r="I170" s="444"/>
      <c r="J170" s="449"/>
      <c r="K170" s="449"/>
      <c r="L170" s="450" t="str">
        <f t="shared" ca="1" si="12"/>
        <v/>
      </c>
      <c r="N170" s="462" t="str">
        <f t="shared" si="10"/>
        <v/>
      </c>
      <c r="P170"/>
      <c r="S170" t="s">
        <v>336</v>
      </c>
    </row>
    <row r="171" spans="1:19" ht="20.100000000000001" customHeight="1">
      <c r="A171" s="448"/>
      <c r="B171" s="444"/>
      <c r="C171" s="444"/>
      <c r="D171" s="445"/>
      <c r="E171" s="444"/>
      <c r="F171" s="428" t="str">
        <f t="shared" si="11"/>
        <v/>
      </c>
      <c r="G171" s="444"/>
      <c r="H171" s="444"/>
      <c r="I171" s="444"/>
      <c r="J171" s="449"/>
      <c r="K171" s="449"/>
      <c r="L171" s="450" t="str">
        <f t="shared" ca="1" si="12"/>
        <v/>
      </c>
      <c r="N171" s="462" t="str">
        <f t="shared" si="10"/>
        <v/>
      </c>
      <c r="P171"/>
      <c r="S171" t="s">
        <v>337</v>
      </c>
    </row>
    <row r="172" spans="1:19" ht="20.100000000000001" customHeight="1">
      <c r="A172" s="448"/>
      <c r="B172" s="444"/>
      <c r="C172" s="444"/>
      <c r="D172" s="445"/>
      <c r="E172" s="444"/>
      <c r="F172" s="428" t="str">
        <f t="shared" si="11"/>
        <v/>
      </c>
      <c r="G172" s="444"/>
      <c r="H172" s="444"/>
      <c r="I172" s="444"/>
      <c r="J172" s="449"/>
      <c r="K172" s="449"/>
      <c r="L172" s="450" t="str">
        <f t="shared" ca="1" si="12"/>
        <v/>
      </c>
      <c r="N172" s="462" t="str">
        <f t="shared" si="10"/>
        <v/>
      </c>
      <c r="P172"/>
      <c r="S172" t="s">
        <v>338</v>
      </c>
    </row>
    <row r="173" spans="1:19" ht="20.100000000000001" customHeight="1">
      <c r="A173" s="448"/>
      <c r="B173" s="444"/>
      <c r="C173" s="444"/>
      <c r="D173" s="445"/>
      <c r="E173" s="444"/>
      <c r="F173" s="428" t="str">
        <f t="shared" si="11"/>
        <v/>
      </c>
      <c r="G173" s="444"/>
      <c r="H173" s="444"/>
      <c r="I173" s="444"/>
      <c r="J173" s="449"/>
      <c r="K173" s="449"/>
      <c r="L173" s="450" t="str">
        <f t="shared" ca="1" si="12"/>
        <v/>
      </c>
      <c r="N173" s="462" t="str">
        <f t="shared" si="10"/>
        <v/>
      </c>
      <c r="P173"/>
      <c r="S173" t="s">
        <v>339</v>
      </c>
    </row>
    <row r="174" spans="1:19" ht="20.100000000000001" customHeight="1">
      <c r="A174" s="448"/>
      <c r="B174" s="444"/>
      <c r="C174" s="444"/>
      <c r="D174" s="445"/>
      <c r="E174" s="444"/>
      <c r="F174" s="428" t="str">
        <f t="shared" si="11"/>
        <v/>
      </c>
      <c r="G174" s="444"/>
      <c r="H174" s="444"/>
      <c r="I174" s="444"/>
      <c r="J174" s="449"/>
      <c r="K174" s="449"/>
      <c r="L174" s="450" t="str">
        <f t="shared" ca="1" si="12"/>
        <v/>
      </c>
      <c r="N174" s="462" t="str">
        <f t="shared" si="10"/>
        <v/>
      </c>
      <c r="P174"/>
      <c r="S174" t="s">
        <v>340</v>
      </c>
    </row>
    <row r="175" spans="1:19" ht="20.100000000000001" customHeight="1">
      <c r="A175" s="448"/>
      <c r="B175" s="444"/>
      <c r="C175" s="444"/>
      <c r="D175" s="445"/>
      <c r="E175" s="444"/>
      <c r="F175" s="428" t="str">
        <f t="shared" si="11"/>
        <v/>
      </c>
      <c r="G175" s="444"/>
      <c r="H175" s="444"/>
      <c r="I175" s="444"/>
      <c r="J175" s="449"/>
      <c r="K175" s="449"/>
      <c r="L175" s="450" t="str">
        <f t="shared" ca="1" si="12"/>
        <v/>
      </c>
      <c r="N175" s="462" t="str">
        <f t="shared" si="10"/>
        <v/>
      </c>
      <c r="P175"/>
      <c r="S175" t="s">
        <v>341</v>
      </c>
    </row>
    <row r="176" spans="1:19" ht="20.100000000000001" customHeight="1">
      <c r="A176" s="448"/>
      <c r="B176" s="444"/>
      <c r="C176" s="444"/>
      <c r="D176" s="445"/>
      <c r="E176" s="444"/>
      <c r="F176" s="428" t="str">
        <f t="shared" si="11"/>
        <v/>
      </c>
      <c r="G176" s="444"/>
      <c r="H176" s="444"/>
      <c r="I176" s="444"/>
      <c r="J176" s="449"/>
      <c r="K176" s="449"/>
      <c r="L176" s="450" t="str">
        <f t="shared" ca="1" si="12"/>
        <v/>
      </c>
      <c r="N176" s="462" t="str">
        <f t="shared" si="10"/>
        <v/>
      </c>
      <c r="P176"/>
      <c r="S176" t="s">
        <v>342</v>
      </c>
    </row>
    <row r="177" spans="1:19" ht="20.100000000000001" customHeight="1">
      <c r="A177" s="448"/>
      <c r="B177" s="444"/>
      <c r="C177" s="444"/>
      <c r="D177" s="445"/>
      <c r="E177" s="444"/>
      <c r="F177" s="428" t="str">
        <f t="shared" si="11"/>
        <v/>
      </c>
      <c r="G177" s="444"/>
      <c r="H177" s="444"/>
      <c r="I177" s="444"/>
      <c r="J177" s="449"/>
      <c r="K177" s="449"/>
      <c r="L177" s="450" t="str">
        <f t="shared" ca="1" si="12"/>
        <v/>
      </c>
      <c r="N177" s="462" t="str">
        <f t="shared" si="10"/>
        <v/>
      </c>
      <c r="P177"/>
      <c r="S177" t="s">
        <v>343</v>
      </c>
    </row>
    <row r="178" spans="1:19" ht="20.100000000000001" customHeight="1">
      <c r="A178" s="448"/>
      <c r="B178" s="444"/>
      <c r="C178" s="444"/>
      <c r="D178" s="445"/>
      <c r="E178" s="444"/>
      <c r="F178" s="428" t="str">
        <f t="shared" si="11"/>
        <v/>
      </c>
      <c r="G178" s="444"/>
      <c r="H178" s="444"/>
      <c r="I178" s="444"/>
      <c r="J178" s="449"/>
      <c r="K178" s="449"/>
      <c r="L178" s="450" t="str">
        <f t="shared" ca="1" si="12"/>
        <v/>
      </c>
      <c r="N178" s="462" t="str">
        <f t="shared" si="10"/>
        <v/>
      </c>
      <c r="P178"/>
      <c r="S178" t="s">
        <v>344</v>
      </c>
    </row>
    <row r="179" spans="1:19" ht="20.100000000000001" customHeight="1">
      <c r="A179" s="448"/>
      <c r="B179" s="444"/>
      <c r="C179" s="444"/>
      <c r="D179" s="445"/>
      <c r="E179" s="444"/>
      <c r="F179" s="428" t="str">
        <f t="shared" si="11"/>
        <v/>
      </c>
      <c r="G179" s="444"/>
      <c r="H179" s="444"/>
      <c r="I179" s="444"/>
      <c r="J179" s="449"/>
      <c r="K179" s="449"/>
      <c r="L179" s="450" t="str">
        <f t="shared" ca="1" si="12"/>
        <v/>
      </c>
      <c r="N179" s="462" t="str">
        <f t="shared" si="10"/>
        <v/>
      </c>
      <c r="P179"/>
      <c r="S179" t="s">
        <v>345</v>
      </c>
    </row>
    <row r="180" spans="1:19" ht="20.100000000000001" customHeight="1">
      <c r="A180" s="448"/>
      <c r="B180" s="444"/>
      <c r="C180" s="444"/>
      <c r="D180" s="445"/>
      <c r="E180" s="444"/>
      <c r="F180" s="428" t="str">
        <f t="shared" si="11"/>
        <v/>
      </c>
      <c r="G180" s="444"/>
      <c r="H180" s="444"/>
      <c r="I180" s="444"/>
      <c r="J180" s="449"/>
      <c r="K180" s="449"/>
      <c r="L180" s="450" t="str">
        <f t="shared" ca="1" si="12"/>
        <v/>
      </c>
      <c r="N180" s="462" t="str">
        <f t="shared" si="10"/>
        <v/>
      </c>
      <c r="P180"/>
      <c r="S180" t="s">
        <v>346</v>
      </c>
    </row>
    <row r="181" spans="1:19" ht="20.100000000000001" customHeight="1">
      <c r="A181" s="448"/>
      <c r="B181" s="444"/>
      <c r="C181" s="444"/>
      <c r="D181" s="445"/>
      <c r="E181" s="444"/>
      <c r="F181" s="428" t="str">
        <f t="shared" si="11"/>
        <v/>
      </c>
      <c r="G181" s="444"/>
      <c r="H181" s="444"/>
      <c r="I181" s="444"/>
      <c r="J181" s="449"/>
      <c r="K181" s="449"/>
      <c r="L181" s="450" t="str">
        <f t="shared" ca="1" si="12"/>
        <v/>
      </c>
      <c r="N181" s="462" t="str">
        <f t="shared" si="10"/>
        <v/>
      </c>
      <c r="P181"/>
      <c r="S181" t="s">
        <v>347</v>
      </c>
    </row>
    <row r="182" spans="1:19" ht="20.100000000000001" customHeight="1">
      <c r="A182" s="448"/>
      <c r="B182" s="444"/>
      <c r="C182" s="444"/>
      <c r="D182" s="445"/>
      <c r="E182" s="444"/>
      <c r="F182" s="428" t="str">
        <f t="shared" si="11"/>
        <v/>
      </c>
      <c r="G182" s="444"/>
      <c r="H182" s="444"/>
      <c r="I182" s="444"/>
      <c r="J182" s="449"/>
      <c r="K182" s="449"/>
      <c r="L182" s="450" t="str">
        <f t="shared" ca="1" si="12"/>
        <v/>
      </c>
      <c r="N182" s="462" t="str">
        <f t="shared" si="10"/>
        <v/>
      </c>
      <c r="P182"/>
      <c r="S182" t="s">
        <v>348</v>
      </c>
    </row>
    <row r="183" spans="1:19" ht="20.100000000000001" customHeight="1">
      <c r="A183" s="448"/>
      <c r="B183" s="444"/>
      <c r="C183" s="444"/>
      <c r="D183" s="445"/>
      <c r="E183" s="444"/>
      <c r="F183" s="428" t="str">
        <f t="shared" si="11"/>
        <v/>
      </c>
      <c r="G183" s="444"/>
      <c r="H183" s="444"/>
      <c r="I183" s="444"/>
      <c r="J183" s="449"/>
      <c r="K183" s="449"/>
      <c r="L183" s="450" t="str">
        <f t="shared" ca="1" si="12"/>
        <v/>
      </c>
      <c r="N183" s="462" t="str">
        <f t="shared" si="10"/>
        <v/>
      </c>
      <c r="P183"/>
      <c r="S183" t="s">
        <v>349</v>
      </c>
    </row>
    <row r="184" spans="1:19" ht="20.100000000000001" customHeight="1">
      <c r="A184" s="448"/>
      <c r="B184" s="444"/>
      <c r="C184" s="444"/>
      <c r="D184" s="445"/>
      <c r="E184" s="444"/>
      <c r="F184" s="428" t="str">
        <f t="shared" si="11"/>
        <v/>
      </c>
      <c r="G184" s="444"/>
      <c r="H184" s="444"/>
      <c r="I184" s="444"/>
      <c r="J184" s="449"/>
      <c r="K184" s="449"/>
      <c r="L184" s="450" t="str">
        <f t="shared" ca="1" si="12"/>
        <v/>
      </c>
      <c r="N184" s="462" t="str">
        <f t="shared" si="10"/>
        <v/>
      </c>
      <c r="P184"/>
      <c r="S184" t="s">
        <v>350</v>
      </c>
    </row>
    <row r="185" spans="1:19" ht="20.100000000000001" customHeight="1">
      <c r="A185" s="448"/>
      <c r="B185" s="444"/>
      <c r="C185" s="444"/>
      <c r="D185" s="445"/>
      <c r="E185" s="444"/>
      <c r="F185" s="428" t="str">
        <f t="shared" si="11"/>
        <v/>
      </c>
      <c r="G185" s="444"/>
      <c r="H185" s="444"/>
      <c r="I185" s="444"/>
      <c r="J185" s="449"/>
      <c r="K185" s="449"/>
      <c r="L185" s="450" t="str">
        <f t="shared" ca="1" si="12"/>
        <v/>
      </c>
      <c r="N185" s="462" t="str">
        <f t="shared" si="10"/>
        <v/>
      </c>
      <c r="P185"/>
      <c r="S185" t="s">
        <v>351</v>
      </c>
    </row>
    <row r="186" spans="1:19" ht="20.100000000000001" customHeight="1">
      <c r="A186" s="448"/>
      <c r="B186" s="444"/>
      <c r="C186" s="444"/>
      <c r="D186" s="445"/>
      <c r="E186" s="444"/>
      <c r="F186" s="428" t="str">
        <f t="shared" ref="F186:F213" si="13">IFERROR(VLOOKUP(G186,$P$4:$Q$26,2,FALSE),"")</f>
        <v/>
      </c>
      <c r="G186" s="444"/>
      <c r="H186" s="444"/>
      <c r="I186" s="444"/>
      <c r="J186" s="449"/>
      <c r="K186" s="449"/>
      <c r="L186" s="450" t="str">
        <f t="shared" ref="L186:L213" ca="1" si="14">IFERROR(IF(OR(MID(C186,8,1)&lt;"3",AND(MID(C186,8,1)&gt;="5",MID(C186,8,1)&lt;="6")),INT(TEXT(TODAY(),"yyyy.mmdd")-TEXT(TEXT(LEFT(C186,6),"1900-00-00"),"yyyy.mmdd")),INT(TEXT(TODAY(),"yyyy.mmdd")-TEXT(TEXT(LEFT(C186,6),"2000-00-00"),"yyyy.mmdd"))),"")</f>
        <v/>
      </c>
      <c r="N186" s="462" t="str">
        <f t="shared" si="10"/>
        <v/>
      </c>
      <c r="P186"/>
      <c r="S186" t="s">
        <v>352</v>
      </c>
    </row>
    <row r="187" spans="1:19" ht="20.100000000000001" customHeight="1">
      <c r="A187" s="448"/>
      <c r="B187" s="444"/>
      <c r="C187" s="444"/>
      <c r="D187" s="445"/>
      <c r="E187" s="444"/>
      <c r="F187" s="428" t="str">
        <f t="shared" si="13"/>
        <v/>
      </c>
      <c r="G187" s="444"/>
      <c r="H187" s="444"/>
      <c r="I187" s="444"/>
      <c r="J187" s="449"/>
      <c r="K187" s="449"/>
      <c r="L187" s="450" t="str">
        <f t="shared" ca="1" si="14"/>
        <v/>
      </c>
      <c r="N187" s="462" t="str">
        <f t="shared" si="10"/>
        <v/>
      </c>
      <c r="P187"/>
      <c r="S187" t="s">
        <v>353</v>
      </c>
    </row>
    <row r="188" spans="1:19" ht="20.100000000000001" customHeight="1">
      <c r="A188" s="448"/>
      <c r="B188" s="444"/>
      <c r="C188" s="444"/>
      <c r="D188" s="445"/>
      <c r="E188" s="444"/>
      <c r="F188" s="428" t="str">
        <f t="shared" si="13"/>
        <v/>
      </c>
      <c r="G188" s="444"/>
      <c r="H188" s="444"/>
      <c r="I188" s="444"/>
      <c r="J188" s="449"/>
      <c r="K188" s="449"/>
      <c r="L188" s="450" t="str">
        <f t="shared" ca="1" si="14"/>
        <v/>
      </c>
      <c r="N188" s="462" t="str">
        <f t="shared" si="10"/>
        <v/>
      </c>
      <c r="P188"/>
      <c r="S188" t="s">
        <v>354</v>
      </c>
    </row>
    <row r="189" spans="1:19" ht="20.100000000000001" customHeight="1">
      <c r="A189" s="448"/>
      <c r="B189" s="444"/>
      <c r="C189" s="444"/>
      <c r="D189" s="445"/>
      <c r="E189" s="444"/>
      <c r="F189" s="428" t="str">
        <f t="shared" si="13"/>
        <v/>
      </c>
      <c r="G189" s="444"/>
      <c r="H189" s="444"/>
      <c r="I189" s="444"/>
      <c r="J189" s="449"/>
      <c r="K189" s="449"/>
      <c r="L189" s="450" t="str">
        <f t="shared" ca="1" si="14"/>
        <v/>
      </c>
      <c r="N189" s="462" t="str">
        <f t="shared" si="10"/>
        <v/>
      </c>
      <c r="P189"/>
      <c r="S189" t="s">
        <v>355</v>
      </c>
    </row>
    <row r="190" spans="1:19" ht="20.100000000000001" customHeight="1">
      <c r="A190" s="448"/>
      <c r="B190" s="444"/>
      <c r="C190" s="444"/>
      <c r="D190" s="445"/>
      <c r="E190" s="444"/>
      <c r="F190" s="428" t="str">
        <f t="shared" si="13"/>
        <v/>
      </c>
      <c r="G190" s="444"/>
      <c r="H190" s="444"/>
      <c r="I190" s="444"/>
      <c r="J190" s="449"/>
      <c r="K190" s="449"/>
      <c r="L190" s="450" t="str">
        <f t="shared" ca="1" si="14"/>
        <v/>
      </c>
      <c r="N190" s="462" t="str">
        <f t="shared" si="10"/>
        <v/>
      </c>
      <c r="P190"/>
      <c r="S190" t="s">
        <v>356</v>
      </c>
    </row>
    <row r="191" spans="1:19" ht="20.100000000000001" customHeight="1">
      <c r="A191" s="448"/>
      <c r="B191" s="444"/>
      <c r="C191" s="444"/>
      <c r="D191" s="445"/>
      <c r="E191" s="444"/>
      <c r="F191" s="428" t="str">
        <f t="shared" si="13"/>
        <v/>
      </c>
      <c r="G191" s="444"/>
      <c r="H191" s="444"/>
      <c r="I191" s="444"/>
      <c r="J191" s="449"/>
      <c r="K191" s="449"/>
      <c r="L191" s="450" t="str">
        <f t="shared" ca="1" si="14"/>
        <v/>
      </c>
      <c r="N191" s="462" t="str">
        <f t="shared" si="10"/>
        <v/>
      </c>
      <c r="P191"/>
      <c r="S191" t="s">
        <v>357</v>
      </c>
    </row>
    <row r="192" spans="1:19" ht="20.100000000000001" customHeight="1">
      <c r="A192" s="448"/>
      <c r="B192" s="444"/>
      <c r="C192" s="444"/>
      <c r="D192" s="445"/>
      <c r="E192" s="444"/>
      <c r="F192" s="428" t="str">
        <f t="shared" si="13"/>
        <v/>
      </c>
      <c r="G192" s="444"/>
      <c r="H192" s="444"/>
      <c r="I192" s="444"/>
      <c r="J192" s="449"/>
      <c r="K192" s="449"/>
      <c r="L192" s="450" t="str">
        <f t="shared" ca="1" si="14"/>
        <v/>
      </c>
      <c r="N192" s="462" t="str">
        <f t="shared" si="10"/>
        <v/>
      </c>
      <c r="P192"/>
      <c r="S192" t="s">
        <v>358</v>
      </c>
    </row>
    <row r="193" spans="1:19" ht="20.100000000000001" customHeight="1">
      <c r="A193" s="448"/>
      <c r="B193" s="444"/>
      <c r="C193" s="444"/>
      <c r="D193" s="445"/>
      <c r="E193" s="444"/>
      <c r="F193" s="428" t="str">
        <f t="shared" si="13"/>
        <v/>
      </c>
      <c r="G193" s="444"/>
      <c r="H193" s="444"/>
      <c r="I193" s="444"/>
      <c r="J193" s="449"/>
      <c r="K193" s="449"/>
      <c r="L193" s="450" t="str">
        <f t="shared" ca="1" si="14"/>
        <v/>
      </c>
      <c r="N193" s="462" t="str">
        <f t="shared" si="10"/>
        <v/>
      </c>
      <c r="P193"/>
      <c r="S193" t="s">
        <v>359</v>
      </c>
    </row>
    <row r="194" spans="1:19" ht="20.100000000000001" customHeight="1">
      <c r="A194" s="448"/>
      <c r="B194" s="444"/>
      <c r="C194" s="444"/>
      <c r="D194" s="445"/>
      <c r="E194" s="444"/>
      <c r="F194" s="428" t="str">
        <f t="shared" si="13"/>
        <v/>
      </c>
      <c r="G194" s="444"/>
      <c r="H194" s="444"/>
      <c r="I194" s="444"/>
      <c r="J194" s="449"/>
      <c r="K194" s="449"/>
      <c r="L194" s="450" t="str">
        <f t="shared" ca="1" si="14"/>
        <v/>
      </c>
      <c r="N194" s="462" t="str">
        <f t="shared" si="10"/>
        <v/>
      </c>
      <c r="P194"/>
      <c r="S194" t="s">
        <v>360</v>
      </c>
    </row>
    <row r="195" spans="1:19" ht="20.100000000000001" customHeight="1">
      <c r="A195" s="448"/>
      <c r="B195" s="444"/>
      <c r="C195" s="444"/>
      <c r="D195" s="445"/>
      <c r="E195" s="444"/>
      <c r="F195" s="428" t="str">
        <f t="shared" si="13"/>
        <v/>
      </c>
      <c r="G195" s="444"/>
      <c r="H195" s="444"/>
      <c r="I195" s="444"/>
      <c r="J195" s="449"/>
      <c r="K195" s="449"/>
      <c r="L195" s="450" t="str">
        <f t="shared" ca="1" si="14"/>
        <v/>
      </c>
      <c r="N195" s="462" t="str">
        <f t="shared" si="10"/>
        <v/>
      </c>
      <c r="P195"/>
      <c r="S195" t="s">
        <v>361</v>
      </c>
    </row>
    <row r="196" spans="1:19" ht="20.100000000000001" customHeight="1">
      <c r="A196" s="448"/>
      <c r="B196" s="444"/>
      <c r="C196" s="444"/>
      <c r="D196" s="445"/>
      <c r="E196" s="444"/>
      <c r="F196" s="428" t="str">
        <f t="shared" si="13"/>
        <v/>
      </c>
      <c r="G196" s="444"/>
      <c r="H196" s="444"/>
      <c r="I196" s="444"/>
      <c r="J196" s="449"/>
      <c r="K196" s="449"/>
      <c r="L196" s="450" t="str">
        <f t="shared" ca="1" si="14"/>
        <v/>
      </c>
      <c r="N196" s="462" t="str">
        <f t="shared" si="10"/>
        <v/>
      </c>
      <c r="P196"/>
      <c r="S196" t="s">
        <v>362</v>
      </c>
    </row>
    <row r="197" spans="1:19" ht="20.100000000000001" customHeight="1">
      <c r="A197" s="448"/>
      <c r="B197" s="444"/>
      <c r="C197" s="444"/>
      <c r="D197" s="445"/>
      <c r="E197" s="444"/>
      <c r="F197" s="428" t="str">
        <f t="shared" si="13"/>
        <v/>
      </c>
      <c r="G197" s="444"/>
      <c r="H197" s="444"/>
      <c r="I197" s="444"/>
      <c r="J197" s="449"/>
      <c r="K197" s="449"/>
      <c r="L197" s="450" t="str">
        <f t="shared" ca="1" si="14"/>
        <v/>
      </c>
      <c r="N197" s="462" t="str">
        <f t="shared" ref="N197:N260" si="15">IFERROR(IF(MID(C197,8,1)&gt;="5",IF(RIGHT(C197,1)=(RIGHT(13-MOD(MID(C197,1,1)*2+MID(C197,2,1)*3+MID(C197,3,1)*4+MID(C197,4,1)*5+MID(C197,5,1)*6+MID(C197,6,1)*7+MID(C197,8,1)*8+MID(C197,9,1)*9+MID(C197,10,1)*2+MID(C197,11,1)*3+MID(C197,12,1)*4+MID(C197,13,1)*5,11),1)),"O","X"),IF(RIGHT(C197,1)=(RIGHT(11-MOD(MID(C197,1,1)*2+MID(C197,2,1)*3+MID(C197,3,1)*4+MID(C197,4,1)*5+MID(C197,5,1)*6+MID(C197,6,1)*7+MID(C197,8,1)*8+MID(C197,9,1)*9+MID(C197,10,1)*2+MID(C197,11,1)*3+MID(C197,12,1)*4+MID(C197,13,1)*5,11),1)),"O","X")),"")</f>
        <v/>
      </c>
      <c r="P197"/>
      <c r="S197" t="s">
        <v>363</v>
      </c>
    </row>
    <row r="198" spans="1:19" ht="20.100000000000001" customHeight="1">
      <c r="A198" s="448"/>
      <c r="B198" s="444"/>
      <c r="C198" s="444"/>
      <c r="D198" s="445"/>
      <c r="E198" s="444"/>
      <c r="F198" s="428" t="str">
        <f t="shared" si="13"/>
        <v/>
      </c>
      <c r="G198" s="444"/>
      <c r="H198" s="444"/>
      <c r="I198" s="444"/>
      <c r="J198" s="449"/>
      <c r="K198" s="449"/>
      <c r="L198" s="450" t="str">
        <f t="shared" ca="1" si="14"/>
        <v/>
      </c>
      <c r="N198" s="462" t="str">
        <f t="shared" si="15"/>
        <v/>
      </c>
      <c r="P198"/>
      <c r="S198" t="s">
        <v>364</v>
      </c>
    </row>
    <row r="199" spans="1:19" ht="20.100000000000001" customHeight="1">
      <c r="A199" s="448"/>
      <c r="B199" s="444"/>
      <c r="C199" s="444"/>
      <c r="D199" s="445"/>
      <c r="E199" s="444"/>
      <c r="F199" s="428" t="str">
        <f t="shared" si="13"/>
        <v/>
      </c>
      <c r="G199" s="444"/>
      <c r="H199" s="444"/>
      <c r="I199" s="444"/>
      <c r="J199" s="449"/>
      <c r="K199" s="449"/>
      <c r="L199" s="450" t="str">
        <f t="shared" ca="1" si="14"/>
        <v/>
      </c>
      <c r="N199" s="462" t="str">
        <f t="shared" si="15"/>
        <v/>
      </c>
      <c r="P199"/>
      <c r="S199" t="s">
        <v>365</v>
      </c>
    </row>
    <row r="200" spans="1:19" ht="20.100000000000001" customHeight="1">
      <c r="A200" s="448"/>
      <c r="B200" s="444"/>
      <c r="C200" s="444"/>
      <c r="D200" s="445"/>
      <c r="E200" s="444"/>
      <c r="F200" s="428" t="str">
        <f t="shared" si="13"/>
        <v/>
      </c>
      <c r="G200" s="444"/>
      <c r="H200" s="444"/>
      <c r="I200" s="444"/>
      <c r="J200" s="449"/>
      <c r="K200" s="449"/>
      <c r="L200" s="450" t="str">
        <f t="shared" ca="1" si="14"/>
        <v/>
      </c>
      <c r="N200" s="462" t="str">
        <f t="shared" si="15"/>
        <v/>
      </c>
      <c r="P200"/>
      <c r="S200" t="s">
        <v>366</v>
      </c>
    </row>
    <row r="201" spans="1:19" ht="20.100000000000001" customHeight="1">
      <c r="A201" s="448"/>
      <c r="B201" s="444"/>
      <c r="C201" s="444"/>
      <c r="D201" s="445"/>
      <c r="E201" s="444"/>
      <c r="F201" s="428" t="str">
        <f t="shared" si="13"/>
        <v/>
      </c>
      <c r="G201" s="444"/>
      <c r="H201" s="444"/>
      <c r="I201" s="444"/>
      <c r="J201" s="449"/>
      <c r="K201" s="449"/>
      <c r="L201" s="450" t="str">
        <f t="shared" ca="1" si="14"/>
        <v/>
      </c>
      <c r="N201" s="462" t="str">
        <f t="shared" si="15"/>
        <v/>
      </c>
      <c r="P201"/>
      <c r="S201" t="s">
        <v>367</v>
      </c>
    </row>
    <row r="202" spans="1:19" ht="20.100000000000001" customHeight="1">
      <c r="A202" s="448"/>
      <c r="B202" s="444"/>
      <c r="C202" s="444"/>
      <c r="D202" s="445"/>
      <c r="E202" s="444"/>
      <c r="F202" s="428" t="str">
        <f t="shared" si="13"/>
        <v/>
      </c>
      <c r="G202" s="444"/>
      <c r="H202" s="444"/>
      <c r="I202" s="444"/>
      <c r="J202" s="449"/>
      <c r="K202" s="449"/>
      <c r="L202" s="450" t="str">
        <f t="shared" ca="1" si="14"/>
        <v/>
      </c>
      <c r="N202" s="462" t="str">
        <f t="shared" si="15"/>
        <v/>
      </c>
      <c r="P202"/>
      <c r="S202" t="s">
        <v>368</v>
      </c>
    </row>
    <row r="203" spans="1:19" ht="20.100000000000001" customHeight="1">
      <c r="A203" s="448"/>
      <c r="B203" s="444"/>
      <c r="C203" s="444"/>
      <c r="D203" s="445"/>
      <c r="E203" s="444"/>
      <c r="F203" s="428" t="str">
        <f t="shared" si="13"/>
        <v/>
      </c>
      <c r="G203" s="444"/>
      <c r="H203" s="444"/>
      <c r="I203" s="444"/>
      <c r="J203" s="449"/>
      <c r="K203" s="449"/>
      <c r="L203" s="450" t="str">
        <f t="shared" ca="1" si="14"/>
        <v/>
      </c>
      <c r="N203" s="462" t="str">
        <f t="shared" si="15"/>
        <v/>
      </c>
      <c r="P203"/>
      <c r="S203" t="s">
        <v>369</v>
      </c>
    </row>
    <row r="204" spans="1:19" ht="20.100000000000001" customHeight="1">
      <c r="A204" s="448"/>
      <c r="B204" s="444"/>
      <c r="C204" s="444"/>
      <c r="D204" s="445"/>
      <c r="E204" s="444"/>
      <c r="F204" s="428" t="str">
        <f t="shared" si="13"/>
        <v/>
      </c>
      <c r="G204" s="444"/>
      <c r="H204" s="444"/>
      <c r="I204" s="444"/>
      <c r="J204" s="449"/>
      <c r="K204" s="449"/>
      <c r="L204" s="450" t="str">
        <f t="shared" ca="1" si="14"/>
        <v/>
      </c>
      <c r="N204" s="462" t="str">
        <f t="shared" si="15"/>
        <v/>
      </c>
      <c r="P204"/>
      <c r="S204" t="s">
        <v>370</v>
      </c>
    </row>
    <row r="205" spans="1:19" ht="20.100000000000001" customHeight="1">
      <c r="A205" s="448"/>
      <c r="B205" s="444"/>
      <c r="C205" s="444"/>
      <c r="D205" s="445"/>
      <c r="E205" s="444"/>
      <c r="F205" s="428" t="str">
        <f t="shared" si="13"/>
        <v/>
      </c>
      <c r="G205" s="444"/>
      <c r="H205" s="444"/>
      <c r="I205" s="444"/>
      <c r="J205" s="449"/>
      <c r="K205" s="449"/>
      <c r="L205" s="450" t="str">
        <f t="shared" ca="1" si="14"/>
        <v/>
      </c>
      <c r="N205" s="462" t="str">
        <f t="shared" si="15"/>
        <v/>
      </c>
      <c r="P205"/>
      <c r="S205" t="s">
        <v>371</v>
      </c>
    </row>
    <row r="206" spans="1:19" ht="20.100000000000001" customHeight="1">
      <c r="A206" s="448"/>
      <c r="B206" s="444"/>
      <c r="C206" s="444"/>
      <c r="D206" s="445"/>
      <c r="E206" s="444"/>
      <c r="F206" s="428" t="str">
        <f t="shared" si="13"/>
        <v/>
      </c>
      <c r="G206" s="444"/>
      <c r="H206" s="444"/>
      <c r="I206" s="444"/>
      <c r="J206" s="449"/>
      <c r="K206" s="449"/>
      <c r="L206" s="450" t="str">
        <f t="shared" ca="1" si="14"/>
        <v/>
      </c>
      <c r="N206" s="462" t="str">
        <f t="shared" si="15"/>
        <v/>
      </c>
      <c r="P206"/>
      <c r="S206" t="s">
        <v>372</v>
      </c>
    </row>
    <row r="207" spans="1:19" ht="20.100000000000001" customHeight="1">
      <c r="A207" s="448"/>
      <c r="B207" s="444"/>
      <c r="C207" s="444"/>
      <c r="D207" s="445"/>
      <c r="E207" s="444"/>
      <c r="F207" s="428" t="str">
        <f t="shared" si="13"/>
        <v/>
      </c>
      <c r="G207" s="444"/>
      <c r="H207" s="444"/>
      <c r="I207" s="444"/>
      <c r="J207" s="449"/>
      <c r="K207" s="449"/>
      <c r="L207" s="450" t="str">
        <f t="shared" ca="1" si="14"/>
        <v/>
      </c>
      <c r="N207" s="462" t="str">
        <f t="shared" si="15"/>
        <v/>
      </c>
      <c r="P207"/>
      <c r="S207" t="s">
        <v>373</v>
      </c>
    </row>
    <row r="208" spans="1:19" ht="20.100000000000001" customHeight="1">
      <c r="A208" s="448"/>
      <c r="B208" s="444"/>
      <c r="C208" s="444"/>
      <c r="D208" s="445"/>
      <c r="E208" s="444"/>
      <c r="F208" s="428" t="str">
        <f t="shared" si="13"/>
        <v/>
      </c>
      <c r="G208" s="444"/>
      <c r="H208" s="444"/>
      <c r="I208" s="444"/>
      <c r="J208" s="449"/>
      <c r="K208" s="449"/>
      <c r="L208" s="450" t="str">
        <f t="shared" ca="1" si="14"/>
        <v/>
      </c>
      <c r="N208" s="462" t="str">
        <f t="shared" si="15"/>
        <v/>
      </c>
      <c r="P208"/>
      <c r="S208" t="s">
        <v>374</v>
      </c>
    </row>
    <row r="209" spans="1:19" ht="20.100000000000001" customHeight="1">
      <c r="A209" s="448"/>
      <c r="B209" s="444"/>
      <c r="C209" s="444"/>
      <c r="D209" s="445"/>
      <c r="E209" s="444"/>
      <c r="F209" s="428" t="str">
        <f t="shared" si="13"/>
        <v/>
      </c>
      <c r="G209" s="444"/>
      <c r="H209" s="444"/>
      <c r="I209" s="444"/>
      <c r="J209" s="449"/>
      <c r="K209" s="449"/>
      <c r="L209" s="450" t="str">
        <f t="shared" ca="1" si="14"/>
        <v/>
      </c>
      <c r="N209" s="462" t="str">
        <f t="shared" si="15"/>
        <v/>
      </c>
      <c r="P209"/>
      <c r="S209" t="s">
        <v>375</v>
      </c>
    </row>
    <row r="210" spans="1:19" ht="20.100000000000001" customHeight="1">
      <c r="A210" s="448"/>
      <c r="B210" s="444"/>
      <c r="C210" s="444"/>
      <c r="D210" s="445"/>
      <c r="E210" s="444"/>
      <c r="F210" s="428" t="str">
        <f t="shared" si="13"/>
        <v/>
      </c>
      <c r="G210" s="444"/>
      <c r="H210" s="444"/>
      <c r="I210" s="444"/>
      <c r="J210" s="449"/>
      <c r="K210" s="449"/>
      <c r="L210" s="450" t="str">
        <f t="shared" ca="1" si="14"/>
        <v/>
      </c>
      <c r="N210" s="462" t="str">
        <f t="shared" si="15"/>
        <v/>
      </c>
      <c r="P210"/>
      <c r="S210" t="s">
        <v>376</v>
      </c>
    </row>
    <row r="211" spans="1:19" ht="20.100000000000001" customHeight="1">
      <c r="A211" s="448"/>
      <c r="B211" s="444"/>
      <c r="C211" s="444"/>
      <c r="D211" s="445"/>
      <c r="E211" s="444"/>
      <c r="F211" s="428" t="str">
        <f t="shared" si="13"/>
        <v/>
      </c>
      <c r="G211" s="444"/>
      <c r="H211" s="444"/>
      <c r="I211" s="444"/>
      <c r="J211" s="449"/>
      <c r="K211" s="449"/>
      <c r="L211" s="450" t="str">
        <f t="shared" ca="1" si="14"/>
        <v/>
      </c>
      <c r="N211" s="462" t="str">
        <f t="shared" si="15"/>
        <v/>
      </c>
      <c r="P211"/>
      <c r="S211" t="s">
        <v>377</v>
      </c>
    </row>
    <row r="212" spans="1:19" ht="20.100000000000001" customHeight="1">
      <c r="A212" s="448"/>
      <c r="B212" s="444"/>
      <c r="C212" s="444"/>
      <c r="D212" s="445"/>
      <c r="E212" s="444"/>
      <c r="F212" s="428" t="str">
        <f t="shared" si="13"/>
        <v/>
      </c>
      <c r="G212" s="444"/>
      <c r="H212" s="444"/>
      <c r="I212" s="444"/>
      <c r="J212" s="449"/>
      <c r="K212" s="449"/>
      <c r="L212" s="450" t="str">
        <f t="shared" ca="1" si="14"/>
        <v/>
      </c>
      <c r="N212" s="462" t="str">
        <f t="shared" si="15"/>
        <v/>
      </c>
      <c r="P212"/>
      <c r="S212" t="s">
        <v>378</v>
      </c>
    </row>
    <row r="213" spans="1:19" ht="20.100000000000001" customHeight="1">
      <c r="A213" s="448"/>
      <c r="B213" s="444"/>
      <c r="C213" s="444"/>
      <c r="D213" s="445"/>
      <c r="E213" s="444"/>
      <c r="F213" s="428" t="str">
        <f t="shared" si="13"/>
        <v/>
      </c>
      <c r="G213" s="444"/>
      <c r="H213" s="444"/>
      <c r="I213" s="444"/>
      <c r="J213" s="449"/>
      <c r="K213" s="449"/>
      <c r="L213" s="450" t="str">
        <f t="shared" ca="1" si="14"/>
        <v/>
      </c>
      <c r="N213" s="462" t="str">
        <f t="shared" si="15"/>
        <v/>
      </c>
      <c r="P213"/>
      <c r="S213" t="s">
        <v>379</v>
      </c>
    </row>
    <row r="214" spans="1:19" ht="20.100000000000001" customHeight="1">
      <c r="A214" s="448"/>
      <c r="B214" s="444"/>
      <c r="C214" s="444"/>
      <c r="D214" s="445"/>
      <c r="E214" s="444"/>
      <c r="F214" s="428" t="str">
        <f t="shared" ref="F214:F241" si="16">IFERROR(VLOOKUP(G214,$P$4:$Q$26,2,FALSE),"")</f>
        <v/>
      </c>
      <c r="G214" s="444"/>
      <c r="H214" s="444"/>
      <c r="I214" s="444"/>
      <c r="J214" s="449"/>
      <c r="K214" s="449"/>
      <c r="L214" s="450" t="str">
        <f t="shared" ref="L214:L241" ca="1" si="17">IFERROR(IF(OR(MID(C214,8,1)&lt;"3",AND(MID(C214,8,1)&gt;="5",MID(C214,8,1)&lt;="6")),INT(TEXT(TODAY(),"yyyy.mmdd")-TEXT(TEXT(LEFT(C214,6),"1900-00-00"),"yyyy.mmdd")),INT(TEXT(TODAY(),"yyyy.mmdd")-TEXT(TEXT(LEFT(C214,6),"2000-00-00"),"yyyy.mmdd"))),"")</f>
        <v/>
      </c>
      <c r="N214" s="462" t="str">
        <f t="shared" si="15"/>
        <v/>
      </c>
      <c r="P214"/>
      <c r="S214" t="s">
        <v>380</v>
      </c>
    </row>
    <row r="215" spans="1:19" ht="20.100000000000001" customHeight="1">
      <c r="A215" s="448"/>
      <c r="B215" s="444"/>
      <c r="C215" s="444"/>
      <c r="D215" s="445"/>
      <c r="E215" s="444"/>
      <c r="F215" s="428" t="str">
        <f t="shared" si="16"/>
        <v/>
      </c>
      <c r="G215" s="444"/>
      <c r="H215" s="444"/>
      <c r="I215" s="444"/>
      <c r="J215" s="449"/>
      <c r="K215" s="449"/>
      <c r="L215" s="450" t="str">
        <f t="shared" ca="1" si="17"/>
        <v/>
      </c>
      <c r="N215" s="462" t="str">
        <f t="shared" si="15"/>
        <v/>
      </c>
      <c r="P215"/>
      <c r="S215" t="s">
        <v>381</v>
      </c>
    </row>
    <row r="216" spans="1:19" ht="20.100000000000001" customHeight="1">
      <c r="A216" s="448"/>
      <c r="B216" s="444"/>
      <c r="C216" s="444"/>
      <c r="D216" s="445"/>
      <c r="E216" s="444"/>
      <c r="F216" s="428" t="str">
        <f t="shared" si="16"/>
        <v/>
      </c>
      <c r="G216" s="444"/>
      <c r="H216" s="444"/>
      <c r="I216" s="444"/>
      <c r="J216" s="449"/>
      <c r="K216" s="449"/>
      <c r="L216" s="450" t="str">
        <f t="shared" ca="1" si="17"/>
        <v/>
      </c>
      <c r="N216" s="462" t="str">
        <f t="shared" si="15"/>
        <v/>
      </c>
      <c r="P216"/>
      <c r="S216" t="s">
        <v>382</v>
      </c>
    </row>
    <row r="217" spans="1:19" ht="20.100000000000001" customHeight="1">
      <c r="A217" s="448"/>
      <c r="B217" s="444"/>
      <c r="C217" s="444"/>
      <c r="D217" s="445"/>
      <c r="E217" s="444"/>
      <c r="F217" s="428" t="str">
        <f t="shared" si="16"/>
        <v/>
      </c>
      <c r="G217" s="444"/>
      <c r="H217" s="444"/>
      <c r="I217" s="444"/>
      <c r="J217" s="449"/>
      <c r="K217" s="449"/>
      <c r="L217" s="450" t="str">
        <f t="shared" ca="1" si="17"/>
        <v/>
      </c>
      <c r="N217" s="462" t="str">
        <f t="shared" si="15"/>
        <v/>
      </c>
      <c r="P217"/>
      <c r="S217" t="s">
        <v>383</v>
      </c>
    </row>
    <row r="218" spans="1:19" ht="20.100000000000001" customHeight="1">
      <c r="A218" s="448"/>
      <c r="B218" s="444"/>
      <c r="C218" s="444"/>
      <c r="D218" s="445"/>
      <c r="E218" s="444"/>
      <c r="F218" s="428" t="str">
        <f t="shared" si="16"/>
        <v/>
      </c>
      <c r="G218" s="444"/>
      <c r="H218" s="444"/>
      <c r="I218" s="444"/>
      <c r="J218" s="449"/>
      <c r="K218" s="449"/>
      <c r="L218" s="450" t="str">
        <f t="shared" ca="1" si="17"/>
        <v/>
      </c>
      <c r="N218" s="462" t="str">
        <f t="shared" si="15"/>
        <v/>
      </c>
      <c r="P218"/>
      <c r="S218" t="s">
        <v>384</v>
      </c>
    </row>
    <row r="219" spans="1:19" ht="20.100000000000001" customHeight="1">
      <c r="A219" s="448"/>
      <c r="B219" s="444"/>
      <c r="C219" s="444"/>
      <c r="D219" s="445"/>
      <c r="E219" s="444"/>
      <c r="F219" s="428" t="str">
        <f t="shared" si="16"/>
        <v/>
      </c>
      <c r="G219" s="444"/>
      <c r="H219" s="444"/>
      <c r="I219" s="444"/>
      <c r="J219" s="449"/>
      <c r="K219" s="449"/>
      <c r="L219" s="450" t="str">
        <f t="shared" ca="1" si="17"/>
        <v/>
      </c>
      <c r="N219" s="462" t="str">
        <f t="shared" si="15"/>
        <v/>
      </c>
      <c r="P219"/>
      <c r="S219" t="s">
        <v>385</v>
      </c>
    </row>
    <row r="220" spans="1:19" ht="20.100000000000001" customHeight="1">
      <c r="A220" s="448"/>
      <c r="B220" s="444"/>
      <c r="C220" s="444"/>
      <c r="D220" s="445"/>
      <c r="E220" s="444"/>
      <c r="F220" s="428" t="str">
        <f t="shared" si="16"/>
        <v/>
      </c>
      <c r="G220" s="444"/>
      <c r="H220" s="444"/>
      <c r="I220" s="444"/>
      <c r="J220" s="449"/>
      <c r="K220" s="449"/>
      <c r="L220" s="450" t="str">
        <f t="shared" ca="1" si="17"/>
        <v/>
      </c>
      <c r="N220" s="462" t="str">
        <f t="shared" si="15"/>
        <v/>
      </c>
      <c r="P220"/>
      <c r="S220" t="s">
        <v>386</v>
      </c>
    </row>
    <row r="221" spans="1:19" ht="20.100000000000001" customHeight="1">
      <c r="A221" s="448"/>
      <c r="B221" s="444"/>
      <c r="C221" s="444"/>
      <c r="D221" s="445"/>
      <c r="E221" s="444"/>
      <c r="F221" s="428" t="str">
        <f t="shared" si="16"/>
        <v/>
      </c>
      <c r="G221" s="444"/>
      <c r="H221" s="444"/>
      <c r="I221" s="444"/>
      <c r="J221" s="449"/>
      <c r="K221" s="449"/>
      <c r="L221" s="450" t="str">
        <f t="shared" ca="1" si="17"/>
        <v/>
      </c>
      <c r="N221" s="462" t="str">
        <f t="shared" si="15"/>
        <v/>
      </c>
      <c r="P221"/>
      <c r="S221" t="s">
        <v>387</v>
      </c>
    </row>
    <row r="222" spans="1:19" ht="20.100000000000001" customHeight="1">
      <c r="A222" s="448"/>
      <c r="B222" s="444"/>
      <c r="C222" s="444"/>
      <c r="D222" s="445"/>
      <c r="E222" s="444"/>
      <c r="F222" s="428" t="str">
        <f t="shared" si="16"/>
        <v/>
      </c>
      <c r="G222" s="444"/>
      <c r="H222" s="444"/>
      <c r="I222" s="444"/>
      <c r="J222" s="449"/>
      <c r="K222" s="449"/>
      <c r="L222" s="450" t="str">
        <f t="shared" ca="1" si="17"/>
        <v/>
      </c>
      <c r="N222" s="462" t="str">
        <f t="shared" si="15"/>
        <v/>
      </c>
      <c r="P222"/>
      <c r="S222" t="s">
        <v>388</v>
      </c>
    </row>
    <row r="223" spans="1:19" ht="20.100000000000001" customHeight="1">
      <c r="A223" s="448"/>
      <c r="B223" s="444"/>
      <c r="C223" s="444"/>
      <c r="D223" s="445"/>
      <c r="E223" s="444"/>
      <c r="F223" s="428" t="str">
        <f t="shared" si="16"/>
        <v/>
      </c>
      <c r="G223" s="444"/>
      <c r="H223" s="444"/>
      <c r="I223" s="444"/>
      <c r="J223" s="449"/>
      <c r="K223" s="449"/>
      <c r="L223" s="450" t="str">
        <f t="shared" ca="1" si="17"/>
        <v/>
      </c>
      <c r="N223" s="462" t="str">
        <f t="shared" si="15"/>
        <v/>
      </c>
      <c r="P223"/>
      <c r="S223" t="s">
        <v>389</v>
      </c>
    </row>
    <row r="224" spans="1:19" ht="20.100000000000001" customHeight="1">
      <c r="A224" s="448"/>
      <c r="B224" s="444"/>
      <c r="C224" s="444"/>
      <c r="D224" s="445"/>
      <c r="E224" s="444"/>
      <c r="F224" s="428" t="str">
        <f t="shared" si="16"/>
        <v/>
      </c>
      <c r="G224" s="444"/>
      <c r="H224" s="444"/>
      <c r="I224" s="444"/>
      <c r="J224" s="449"/>
      <c r="K224" s="449"/>
      <c r="L224" s="450" t="str">
        <f t="shared" ca="1" si="17"/>
        <v/>
      </c>
      <c r="N224" s="462" t="str">
        <f t="shared" si="15"/>
        <v/>
      </c>
      <c r="P224"/>
      <c r="S224" t="s">
        <v>390</v>
      </c>
    </row>
    <row r="225" spans="1:19" ht="20.100000000000001" customHeight="1">
      <c r="A225" s="448"/>
      <c r="B225" s="444"/>
      <c r="C225" s="444"/>
      <c r="D225" s="445"/>
      <c r="E225" s="444"/>
      <c r="F225" s="428" t="str">
        <f t="shared" si="16"/>
        <v/>
      </c>
      <c r="G225" s="444"/>
      <c r="H225" s="444"/>
      <c r="I225" s="444"/>
      <c r="J225" s="449"/>
      <c r="K225" s="449"/>
      <c r="L225" s="450" t="str">
        <f t="shared" ca="1" si="17"/>
        <v/>
      </c>
      <c r="N225" s="462" t="str">
        <f t="shared" si="15"/>
        <v/>
      </c>
      <c r="P225"/>
      <c r="S225" t="s">
        <v>391</v>
      </c>
    </row>
    <row r="226" spans="1:19" ht="20.100000000000001" customHeight="1">
      <c r="A226" s="448"/>
      <c r="B226" s="444"/>
      <c r="C226" s="444"/>
      <c r="D226" s="445"/>
      <c r="E226" s="444"/>
      <c r="F226" s="428" t="str">
        <f t="shared" si="16"/>
        <v/>
      </c>
      <c r="G226" s="444"/>
      <c r="H226" s="444"/>
      <c r="I226" s="444"/>
      <c r="J226" s="449"/>
      <c r="K226" s="449"/>
      <c r="L226" s="450" t="str">
        <f t="shared" ca="1" si="17"/>
        <v/>
      </c>
      <c r="N226" s="462" t="str">
        <f t="shared" si="15"/>
        <v/>
      </c>
      <c r="P226"/>
      <c r="S226" t="s">
        <v>159</v>
      </c>
    </row>
    <row r="227" spans="1:19" ht="20.100000000000001" customHeight="1">
      <c r="A227" s="448"/>
      <c r="B227" s="444"/>
      <c r="C227" s="444"/>
      <c r="D227" s="445"/>
      <c r="E227" s="444"/>
      <c r="F227" s="428" t="str">
        <f t="shared" si="16"/>
        <v/>
      </c>
      <c r="G227" s="444"/>
      <c r="H227" s="444"/>
      <c r="I227" s="444"/>
      <c r="J227" s="449"/>
      <c r="K227" s="449"/>
      <c r="L227" s="450" t="str">
        <f t="shared" ca="1" si="17"/>
        <v/>
      </c>
      <c r="N227" s="462" t="str">
        <f t="shared" si="15"/>
        <v/>
      </c>
      <c r="P227"/>
      <c r="S227" t="s">
        <v>392</v>
      </c>
    </row>
    <row r="228" spans="1:19" ht="20.100000000000001" customHeight="1">
      <c r="A228" s="448"/>
      <c r="B228" s="444"/>
      <c r="C228" s="444"/>
      <c r="D228" s="445"/>
      <c r="E228" s="444"/>
      <c r="F228" s="428" t="str">
        <f t="shared" si="16"/>
        <v/>
      </c>
      <c r="G228" s="444"/>
      <c r="H228" s="444"/>
      <c r="I228" s="444"/>
      <c r="J228" s="449"/>
      <c r="K228" s="449"/>
      <c r="L228" s="450" t="str">
        <f t="shared" ca="1" si="17"/>
        <v/>
      </c>
      <c r="N228" s="462" t="str">
        <f t="shared" si="15"/>
        <v/>
      </c>
      <c r="P228"/>
      <c r="S228" t="s">
        <v>392</v>
      </c>
    </row>
    <row r="229" spans="1:19" ht="20.100000000000001" customHeight="1">
      <c r="A229" s="448"/>
      <c r="B229" s="444"/>
      <c r="C229" s="444"/>
      <c r="D229" s="445"/>
      <c r="E229" s="444"/>
      <c r="F229" s="428" t="str">
        <f t="shared" si="16"/>
        <v/>
      </c>
      <c r="G229" s="444"/>
      <c r="H229" s="444"/>
      <c r="I229" s="444"/>
      <c r="J229" s="449"/>
      <c r="K229" s="449"/>
      <c r="L229" s="450" t="str">
        <f t="shared" ca="1" si="17"/>
        <v/>
      </c>
      <c r="N229" s="462" t="str">
        <f t="shared" si="15"/>
        <v/>
      </c>
      <c r="P229"/>
      <c r="S229" t="s">
        <v>393</v>
      </c>
    </row>
    <row r="230" spans="1:19" ht="20.100000000000001" customHeight="1">
      <c r="A230" s="448"/>
      <c r="B230" s="444"/>
      <c r="C230" s="444"/>
      <c r="D230" s="445"/>
      <c r="E230" s="444"/>
      <c r="F230" s="428" t="str">
        <f t="shared" si="16"/>
        <v/>
      </c>
      <c r="G230" s="444"/>
      <c r="H230" s="444"/>
      <c r="I230" s="444"/>
      <c r="J230" s="449"/>
      <c r="K230" s="449"/>
      <c r="L230" s="450" t="str">
        <f t="shared" ca="1" si="17"/>
        <v/>
      </c>
      <c r="N230" s="462" t="str">
        <f t="shared" si="15"/>
        <v/>
      </c>
      <c r="P230"/>
      <c r="S230" t="s">
        <v>393</v>
      </c>
    </row>
    <row r="231" spans="1:19" ht="20.100000000000001" customHeight="1">
      <c r="A231" s="448"/>
      <c r="B231" s="444"/>
      <c r="C231" s="444"/>
      <c r="D231" s="445"/>
      <c r="E231" s="444"/>
      <c r="F231" s="428" t="str">
        <f t="shared" si="16"/>
        <v/>
      </c>
      <c r="G231" s="444"/>
      <c r="H231" s="444"/>
      <c r="I231" s="444"/>
      <c r="J231" s="449"/>
      <c r="K231" s="449"/>
      <c r="L231" s="450" t="str">
        <f t="shared" ca="1" si="17"/>
        <v/>
      </c>
      <c r="N231" s="462" t="str">
        <f t="shared" si="15"/>
        <v/>
      </c>
      <c r="P231"/>
      <c r="S231" t="s">
        <v>394</v>
      </c>
    </row>
    <row r="232" spans="1:19" ht="20.100000000000001" customHeight="1">
      <c r="A232" s="448"/>
      <c r="B232" s="444"/>
      <c r="C232" s="444"/>
      <c r="D232" s="445"/>
      <c r="E232" s="444"/>
      <c r="F232" s="428" t="str">
        <f t="shared" si="16"/>
        <v/>
      </c>
      <c r="G232" s="444"/>
      <c r="H232" s="444"/>
      <c r="I232" s="444"/>
      <c r="J232" s="449"/>
      <c r="K232" s="449"/>
      <c r="L232" s="450" t="str">
        <f t="shared" ca="1" si="17"/>
        <v/>
      </c>
      <c r="N232" s="462" t="str">
        <f t="shared" si="15"/>
        <v/>
      </c>
      <c r="P232"/>
      <c r="S232" t="s">
        <v>394</v>
      </c>
    </row>
    <row r="233" spans="1:19" ht="20.100000000000001" customHeight="1">
      <c r="A233" s="448"/>
      <c r="B233" s="444"/>
      <c r="C233" s="444"/>
      <c r="D233" s="445"/>
      <c r="E233" s="444"/>
      <c r="F233" s="428" t="str">
        <f t="shared" si="16"/>
        <v/>
      </c>
      <c r="G233" s="444"/>
      <c r="H233" s="444"/>
      <c r="I233" s="444"/>
      <c r="J233" s="449"/>
      <c r="K233" s="449"/>
      <c r="L233" s="450" t="str">
        <f t="shared" ca="1" si="17"/>
        <v/>
      </c>
      <c r="N233" s="462" t="str">
        <f t="shared" si="15"/>
        <v/>
      </c>
      <c r="P233"/>
      <c r="S233" t="s">
        <v>395</v>
      </c>
    </row>
    <row r="234" spans="1:19" ht="20.100000000000001" customHeight="1">
      <c r="A234" s="448"/>
      <c r="B234" s="444"/>
      <c r="C234" s="444"/>
      <c r="D234" s="445"/>
      <c r="E234" s="444"/>
      <c r="F234" s="428" t="str">
        <f t="shared" si="16"/>
        <v/>
      </c>
      <c r="G234" s="444"/>
      <c r="H234" s="444"/>
      <c r="I234" s="444"/>
      <c r="J234" s="449"/>
      <c r="K234" s="449"/>
      <c r="L234" s="450" t="str">
        <f t="shared" ca="1" si="17"/>
        <v/>
      </c>
      <c r="N234" s="462" t="str">
        <f t="shared" si="15"/>
        <v/>
      </c>
      <c r="P234"/>
      <c r="S234" t="s">
        <v>396</v>
      </c>
    </row>
    <row r="235" spans="1:19" ht="20.100000000000001" customHeight="1">
      <c r="A235" s="448"/>
      <c r="B235" s="444"/>
      <c r="C235" s="444"/>
      <c r="D235" s="445"/>
      <c r="E235" s="444"/>
      <c r="F235" s="428" t="str">
        <f t="shared" si="16"/>
        <v/>
      </c>
      <c r="G235" s="444"/>
      <c r="H235" s="444"/>
      <c r="I235" s="444"/>
      <c r="J235" s="449"/>
      <c r="K235" s="449"/>
      <c r="L235" s="450" t="str">
        <f t="shared" ca="1" si="17"/>
        <v/>
      </c>
      <c r="N235" s="462" t="str">
        <f t="shared" si="15"/>
        <v/>
      </c>
      <c r="P235"/>
      <c r="S235" t="s">
        <v>397</v>
      </c>
    </row>
    <row r="236" spans="1:19" ht="20.100000000000001" customHeight="1">
      <c r="A236" s="448"/>
      <c r="B236" s="444"/>
      <c r="C236" s="444"/>
      <c r="D236" s="445"/>
      <c r="E236" s="444"/>
      <c r="F236" s="428" t="str">
        <f t="shared" si="16"/>
        <v/>
      </c>
      <c r="G236" s="444"/>
      <c r="H236" s="444"/>
      <c r="I236" s="444"/>
      <c r="J236" s="449"/>
      <c r="K236" s="449"/>
      <c r="L236" s="450" t="str">
        <f t="shared" ca="1" si="17"/>
        <v/>
      </c>
      <c r="N236" s="462" t="str">
        <f t="shared" si="15"/>
        <v/>
      </c>
      <c r="P236"/>
      <c r="S236" t="s">
        <v>398</v>
      </c>
    </row>
    <row r="237" spans="1:19" ht="20.100000000000001" customHeight="1">
      <c r="A237" s="448"/>
      <c r="B237" s="444"/>
      <c r="C237" s="444"/>
      <c r="D237" s="445"/>
      <c r="E237" s="444"/>
      <c r="F237" s="428" t="str">
        <f t="shared" si="16"/>
        <v/>
      </c>
      <c r="G237" s="444"/>
      <c r="H237" s="444"/>
      <c r="I237" s="444"/>
      <c r="J237" s="449"/>
      <c r="K237" s="449"/>
      <c r="L237" s="450" t="str">
        <f t="shared" ca="1" si="17"/>
        <v/>
      </c>
      <c r="N237" s="462" t="str">
        <f t="shared" si="15"/>
        <v/>
      </c>
      <c r="P237"/>
      <c r="S237" t="s">
        <v>157</v>
      </c>
    </row>
    <row r="238" spans="1:19" ht="20.100000000000001" customHeight="1">
      <c r="A238" s="448"/>
      <c r="B238" s="444"/>
      <c r="C238" s="444"/>
      <c r="D238" s="445"/>
      <c r="E238" s="444"/>
      <c r="F238" s="428" t="str">
        <f t="shared" si="16"/>
        <v/>
      </c>
      <c r="G238" s="444"/>
      <c r="H238" s="444"/>
      <c r="I238" s="444"/>
      <c r="J238" s="449"/>
      <c r="K238" s="449"/>
      <c r="L238" s="450" t="str">
        <f t="shared" ca="1" si="17"/>
        <v/>
      </c>
      <c r="N238" s="462" t="str">
        <f t="shared" si="15"/>
        <v/>
      </c>
      <c r="P238"/>
      <c r="S238" t="s">
        <v>399</v>
      </c>
    </row>
    <row r="239" spans="1:19" ht="20.100000000000001" customHeight="1">
      <c r="A239" s="448"/>
      <c r="B239" s="444"/>
      <c r="C239" s="444"/>
      <c r="D239" s="445"/>
      <c r="E239" s="444"/>
      <c r="F239" s="428" t="str">
        <f t="shared" si="16"/>
        <v/>
      </c>
      <c r="G239" s="444"/>
      <c r="H239" s="444"/>
      <c r="I239" s="444"/>
      <c r="J239" s="449"/>
      <c r="K239" s="449"/>
      <c r="L239" s="450" t="str">
        <f t="shared" ca="1" si="17"/>
        <v/>
      </c>
      <c r="N239" s="462" t="str">
        <f t="shared" si="15"/>
        <v/>
      </c>
      <c r="P239"/>
      <c r="S239" t="s">
        <v>400</v>
      </c>
    </row>
    <row r="240" spans="1:19" ht="20.100000000000001" customHeight="1">
      <c r="A240" s="448"/>
      <c r="B240" s="444"/>
      <c r="C240" s="444"/>
      <c r="D240" s="445"/>
      <c r="E240" s="444"/>
      <c r="F240" s="428" t="str">
        <f t="shared" si="16"/>
        <v/>
      </c>
      <c r="G240" s="444"/>
      <c r="H240" s="444"/>
      <c r="I240" s="444"/>
      <c r="J240" s="449"/>
      <c r="K240" s="449"/>
      <c r="L240" s="450" t="str">
        <f t="shared" ca="1" si="17"/>
        <v/>
      </c>
      <c r="N240" s="462" t="str">
        <f t="shared" si="15"/>
        <v/>
      </c>
      <c r="P240"/>
      <c r="S240" t="s">
        <v>401</v>
      </c>
    </row>
    <row r="241" spans="1:19" ht="20.100000000000001" customHeight="1">
      <c r="A241" s="448"/>
      <c r="B241" s="444"/>
      <c r="C241" s="444"/>
      <c r="D241" s="445"/>
      <c r="E241" s="444"/>
      <c r="F241" s="428" t="str">
        <f t="shared" si="16"/>
        <v/>
      </c>
      <c r="G241" s="444"/>
      <c r="H241" s="444"/>
      <c r="I241" s="444"/>
      <c r="J241" s="449"/>
      <c r="K241" s="449"/>
      <c r="L241" s="450" t="str">
        <f t="shared" ca="1" si="17"/>
        <v/>
      </c>
      <c r="N241" s="462" t="str">
        <f t="shared" si="15"/>
        <v/>
      </c>
      <c r="P241"/>
      <c r="S241" t="s">
        <v>402</v>
      </c>
    </row>
    <row r="242" spans="1:19" ht="20.100000000000001" customHeight="1">
      <c r="A242" s="448"/>
      <c r="B242" s="444"/>
      <c r="C242" s="444"/>
      <c r="D242" s="445"/>
      <c r="E242" s="444"/>
      <c r="F242" s="428" t="str">
        <f t="shared" ref="F242:F255" si="18">IFERROR(VLOOKUP(G242,$P$4:$Q$26,2,FALSE),"")</f>
        <v/>
      </c>
      <c r="G242" s="444"/>
      <c r="H242" s="444"/>
      <c r="I242" s="444"/>
      <c r="J242" s="449"/>
      <c r="K242" s="449"/>
      <c r="L242" s="450" t="str">
        <f t="shared" ref="L242:L255" ca="1" si="19">IFERROR(IF(OR(MID(C242,8,1)&lt;"3",AND(MID(C242,8,1)&gt;="5",MID(C242,8,1)&lt;="6")),INT(TEXT(TODAY(),"yyyy.mmdd")-TEXT(TEXT(LEFT(C242,6),"1900-00-00"),"yyyy.mmdd")),INT(TEXT(TODAY(),"yyyy.mmdd")-TEXT(TEXT(LEFT(C242,6),"2000-00-00"),"yyyy.mmdd"))),"")</f>
        <v/>
      </c>
      <c r="N242" s="462" t="str">
        <f t="shared" si="15"/>
        <v/>
      </c>
      <c r="P242"/>
      <c r="S242" t="s">
        <v>403</v>
      </c>
    </row>
    <row r="243" spans="1:19" ht="20.100000000000001" customHeight="1">
      <c r="A243" s="448"/>
      <c r="B243" s="444"/>
      <c r="C243" s="444"/>
      <c r="D243" s="445"/>
      <c r="E243" s="444"/>
      <c r="F243" s="428" t="str">
        <f t="shared" si="18"/>
        <v/>
      </c>
      <c r="G243" s="444"/>
      <c r="H243" s="444"/>
      <c r="I243" s="444"/>
      <c r="J243" s="449"/>
      <c r="K243" s="449"/>
      <c r="L243" s="450" t="str">
        <f t="shared" ca="1" si="19"/>
        <v/>
      </c>
      <c r="N243" s="462" t="str">
        <f t="shared" si="15"/>
        <v/>
      </c>
      <c r="P243"/>
      <c r="S243" t="s">
        <v>404</v>
      </c>
    </row>
    <row r="244" spans="1:19" ht="20.100000000000001" customHeight="1">
      <c r="A244" s="448"/>
      <c r="B244" s="444"/>
      <c r="C244" s="444"/>
      <c r="D244" s="445"/>
      <c r="E244" s="444"/>
      <c r="F244" s="428" t="str">
        <f t="shared" si="18"/>
        <v/>
      </c>
      <c r="G244" s="444"/>
      <c r="H244" s="444"/>
      <c r="I244" s="444"/>
      <c r="J244" s="449"/>
      <c r="K244" s="449"/>
      <c r="L244" s="450" t="str">
        <f t="shared" ca="1" si="19"/>
        <v/>
      </c>
      <c r="N244" s="462" t="str">
        <f t="shared" si="15"/>
        <v/>
      </c>
      <c r="P244"/>
      <c r="S244" t="s">
        <v>405</v>
      </c>
    </row>
    <row r="245" spans="1:19" ht="20.100000000000001" customHeight="1">
      <c r="A245" s="448"/>
      <c r="B245" s="444"/>
      <c r="C245" s="444"/>
      <c r="D245" s="445"/>
      <c r="E245" s="444"/>
      <c r="F245" s="428" t="str">
        <f t="shared" si="18"/>
        <v/>
      </c>
      <c r="G245" s="444"/>
      <c r="H245" s="444"/>
      <c r="I245" s="444"/>
      <c r="J245" s="449"/>
      <c r="K245" s="449"/>
      <c r="L245" s="450" t="str">
        <f t="shared" ca="1" si="19"/>
        <v/>
      </c>
      <c r="N245" s="462" t="str">
        <f t="shared" si="15"/>
        <v/>
      </c>
      <c r="P245"/>
      <c r="S245" t="s">
        <v>406</v>
      </c>
    </row>
    <row r="246" spans="1:19" ht="20.100000000000001" customHeight="1">
      <c r="A246" s="448"/>
      <c r="B246" s="444"/>
      <c r="C246" s="444"/>
      <c r="D246" s="445"/>
      <c r="E246" s="444"/>
      <c r="F246" s="428" t="str">
        <f t="shared" si="18"/>
        <v/>
      </c>
      <c r="G246" s="444"/>
      <c r="H246" s="444"/>
      <c r="I246" s="444"/>
      <c r="J246" s="449"/>
      <c r="K246" s="449"/>
      <c r="L246" s="450" t="str">
        <f t="shared" ca="1" si="19"/>
        <v/>
      </c>
      <c r="N246" s="462" t="str">
        <f t="shared" si="15"/>
        <v/>
      </c>
      <c r="P246"/>
      <c r="S246" t="s">
        <v>407</v>
      </c>
    </row>
    <row r="247" spans="1:19" ht="20.100000000000001" customHeight="1">
      <c r="A247" s="448"/>
      <c r="B247" s="444"/>
      <c r="C247" s="444"/>
      <c r="D247" s="445"/>
      <c r="E247" s="444"/>
      <c r="F247" s="428" t="str">
        <f t="shared" si="18"/>
        <v/>
      </c>
      <c r="G247" s="444"/>
      <c r="H247" s="444"/>
      <c r="I247" s="444"/>
      <c r="J247" s="449"/>
      <c r="K247" s="449"/>
      <c r="L247" s="450" t="str">
        <f t="shared" ca="1" si="19"/>
        <v/>
      </c>
      <c r="N247" s="462" t="str">
        <f t="shared" si="15"/>
        <v/>
      </c>
      <c r="P247"/>
      <c r="S247" t="s">
        <v>408</v>
      </c>
    </row>
    <row r="248" spans="1:19" ht="20.100000000000001" customHeight="1">
      <c r="A248" s="448"/>
      <c r="B248" s="444"/>
      <c r="C248" s="444"/>
      <c r="D248" s="445"/>
      <c r="E248" s="444"/>
      <c r="F248" s="428" t="str">
        <f t="shared" si="18"/>
        <v/>
      </c>
      <c r="G248" s="444"/>
      <c r="H248" s="444"/>
      <c r="I248" s="444"/>
      <c r="J248" s="449"/>
      <c r="K248" s="449"/>
      <c r="L248" s="450" t="str">
        <f t="shared" ca="1" si="19"/>
        <v/>
      </c>
      <c r="N248" s="462" t="str">
        <f t="shared" si="15"/>
        <v/>
      </c>
      <c r="P248"/>
      <c r="S248" t="s">
        <v>409</v>
      </c>
    </row>
    <row r="249" spans="1:19" ht="20.100000000000001" customHeight="1">
      <c r="A249" s="448"/>
      <c r="B249" s="444"/>
      <c r="C249" s="444"/>
      <c r="D249" s="445"/>
      <c r="E249" s="444"/>
      <c r="F249" s="428" t="str">
        <f t="shared" si="18"/>
        <v/>
      </c>
      <c r="G249" s="444"/>
      <c r="H249" s="444"/>
      <c r="I249" s="444"/>
      <c r="J249" s="449"/>
      <c r="K249" s="449"/>
      <c r="L249" s="450" t="str">
        <f t="shared" ca="1" si="19"/>
        <v/>
      </c>
      <c r="N249" s="462" t="str">
        <f t="shared" si="15"/>
        <v/>
      </c>
      <c r="P249"/>
      <c r="S249" t="s">
        <v>410</v>
      </c>
    </row>
    <row r="250" spans="1:19" ht="20.100000000000001" customHeight="1">
      <c r="A250" s="448"/>
      <c r="B250" s="444"/>
      <c r="C250" s="444"/>
      <c r="D250" s="445"/>
      <c r="E250" s="444"/>
      <c r="F250" s="428" t="str">
        <f t="shared" si="18"/>
        <v/>
      </c>
      <c r="G250" s="444"/>
      <c r="H250" s="444"/>
      <c r="I250" s="444"/>
      <c r="J250" s="449"/>
      <c r="K250" s="449"/>
      <c r="L250" s="450" t="str">
        <f t="shared" ca="1" si="19"/>
        <v/>
      </c>
      <c r="N250" s="462" t="str">
        <f t="shared" si="15"/>
        <v/>
      </c>
      <c r="P250"/>
      <c r="S250" t="s">
        <v>411</v>
      </c>
    </row>
    <row r="251" spans="1:19" ht="20.100000000000001" customHeight="1">
      <c r="A251" s="448"/>
      <c r="B251" s="444"/>
      <c r="C251" s="444"/>
      <c r="D251" s="445"/>
      <c r="E251" s="444"/>
      <c r="F251" s="428" t="str">
        <f t="shared" si="18"/>
        <v/>
      </c>
      <c r="G251" s="444"/>
      <c r="H251" s="444"/>
      <c r="I251" s="444"/>
      <c r="J251" s="449"/>
      <c r="K251" s="449"/>
      <c r="L251" s="450" t="str">
        <f t="shared" ca="1" si="19"/>
        <v/>
      </c>
      <c r="N251" s="462" t="str">
        <f t="shared" si="15"/>
        <v/>
      </c>
      <c r="P251"/>
      <c r="S251" t="s">
        <v>412</v>
      </c>
    </row>
    <row r="252" spans="1:19" ht="20.100000000000001" customHeight="1">
      <c r="A252" s="448"/>
      <c r="B252" s="444"/>
      <c r="C252" s="444"/>
      <c r="D252" s="445"/>
      <c r="E252" s="444"/>
      <c r="F252" s="428" t="str">
        <f t="shared" si="18"/>
        <v/>
      </c>
      <c r="G252" s="444"/>
      <c r="H252" s="444"/>
      <c r="I252" s="444"/>
      <c r="J252" s="449"/>
      <c r="K252" s="449"/>
      <c r="L252" s="450" t="str">
        <f t="shared" ca="1" si="19"/>
        <v/>
      </c>
      <c r="N252" s="462" t="str">
        <f t="shared" si="15"/>
        <v/>
      </c>
      <c r="P252"/>
      <c r="S252" t="s">
        <v>413</v>
      </c>
    </row>
    <row r="253" spans="1:19" ht="20.100000000000001" customHeight="1">
      <c r="A253" s="448"/>
      <c r="B253" s="444"/>
      <c r="C253" s="444"/>
      <c r="D253" s="445"/>
      <c r="E253" s="444"/>
      <c r="F253" s="428" t="str">
        <f t="shared" si="18"/>
        <v/>
      </c>
      <c r="G253" s="444"/>
      <c r="H253" s="444"/>
      <c r="I253" s="444"/>
      <c r="J253" s="449"/>
      <c r="K253" s="449"/>
      <c r="L253" s="450" t="str">
        <f t="shared" ca="1" si="19"/>
        <v/>
      </c>
      <c r="N253" s="462" t="str">
        <f t="shared" si="15"/>
        <v/>
      </c>
      <c r="P253"/>
      <c r="S253" t="s">
        <v>414</v>
      </c>
    </row>
    <row r="254" spans="1:19" ht="20.100000000000001" customHeight="1">
      <c r="A254" s="448"/>
      <c r="B254" s="444"/>
      <c r="C254" s="444"/>
      <c r="D254" s="445"/>
      <c r="E254" s="444"/>
      <c r="F254" s="428" t="str">
        <f t="shared" si="18"/>
        <v/>
      </c>
      <c r="G254" s="444"/>
      <c r="H254" s="444"/>
      <c r="I254" s="444"/>
      <c r="J254" s="449"/>
      <c r="K254" s="449"/>
      <c r="L254" s="450" t="str">
        <f t="shared" ca="1" si="19"/>
        <v/>
      </c>
      <c r="N254" s="462" t="str">
        <f t="shared" si="15"/>
        <v/>
      </c>
      <c r="P254"/>
      <c r="S254" t="s">
        <v>415</v>
      </c>
    </row>
    <row r="255" spans="1:19" ht="20.100000000000001" customHeight="1">
      <c r="A255" s="448"/>
      <c r="B255" s="444"/>
      <c r="C255" s="444"/>
      <c r="D255" s="445"/>
      <c r="E255" s="444"/>
      <c r="F255" s="428" t="str">
        <f t="shared" si="18"/>
        <v/>
      </c>
      <c r="G255" s="444"/>
      <c r="H255" s="444"/>
      <c r="I255" s="444"/>
      <c r="J255" s="449"/>
      <c r="K255" s="449"/>
      <c r="L255" s="450" t="str">
        <f t="shared" ca="1" si="19"/>
        <v/>
      </c>
      <c r="N255" s="462" t="str">
        <f t="shared" si="15"/>
        <v/>
      </c>
      <c r="P255"/>
      <c r="S255" t="s">
        <v>416</v>
      </c>
    </row>
    <row r="256" spans="1:19" ht="20.100000000000001" customHeight="1">
      <c r="A256" s="448"/>
      <c r="B256" s="444"/>
      <c r="C256" s="444"/>
      <c r="D256" s="445"/>
      <c r="E256" s="444"/>
      <c r="F256" s="428" t="str">
        <f t="shared" ref="F256:F269" si="20">IFERROR(VLOOKUP(G256,$P$4:$Q$26,2,FALSE),"")</f>
        <v/>
      </c>
      <c r="G256" s="444"/>
      <c r="H256" s="444"/>
      <c r="I256" s="444"/>
      <c r="J256" s="449"/>
      <c r="K256" s="449"/>
      <c r="L256" s="450" t="str">
        <f t="shared" ref="L256:L269" ca="1" si="21">IFERROR(IF(OR(MID(C256,8,1)&lt;"3",AND(MID(C256,8,1)&gt;="5",MID(C256,8,1)&lt;="6")),INT(TEXT(TODAY(),"yyyy.mmdd")-TEXT(TEXT(LEFT(C256,6),"1900-00-00"),"yyyy.mmdd")),INT(TEXT(TODAY(),"yyyy.mmdd")-TEXT(TEXT(LEFT(C256,6),"2000-00-00"),"yyyy.mmdd"))),"")</f>
        <v/>
      </c>
      <c r="N256" s="462" t="str">
        <f t="shared" si="15"/>
        <v/>
      </c>
      <c r="P256"/>
      <c r="S256" t="s">
        <v>417</v>
      </c>
    </row>
    <row r="257" spans="1:19" ht="20.100000000000001" customHeight="1">
      <c r="A257" s="448"/>
      <c r="B257" s="444"/>
      <c r="C257" s="444"/>
      <c r="D257" s="445"/>
      <c r="E257" s="444"/>
      <c r="F257" s="428" t="str">
        <f t="shared" si="20"/>
        <v/>
      </c>
      <c r="G257" s="444"/>
      <c r="H257" s="444"/>
      <c r="I257" s="444"/>
      <c r="J257" s="449"/>
      <c r="K257" s="449"/>
      <c r="L257" s="450" t="str">
        <f t="shared" ca="1" si="21"/>
        <v/>
      </c>
      <c r="N257" s="462" t="str">
        <f t="shared" si="15"/>
        <v/>
      </c>
      <c r="P257"/>
      <c r="S257" t="s">
        <v>418</v>
      </c>
    </row>
    <row r="258" spans="1:19" ht="20.100000000000001" customHeight="1">
      <c r="A258" s="448"/>
      <c r="B258" s="444"/>
      <c r="C258" s="444"/>
      <c r="D258" s="445"/>
      <c r="E258" s="444"/>
      <c r="F258" s="428" t="str">
        <f t="shared" si="20"/>
        <v/>
      </c>
      <c r="G258" s="444"/>
      <c r="H258" s="444"/>
      <c r="I258" s="444"/>
      <c r="J258" s="449"/>
      <c r="K258" s="449"/>
      <c r="L258" s="450" t="str">
        <f t="shared" ca="1" si="21"/>
        <v/>
      </c>
      <c r="N258" s="462" t="str">
        <f t="shared" si="15"/>
        <v/>
      </c>
      <c r="P258"/>
      <c r="S258" t="s">
        <v>419</v>
      </c>
    </row>
    <row r="259" spans="1:19" ht="20.100000000000001" customHeight="1">
      <c r="A259" s="448"/>
      <c r="B259" s="444"/>
      <c r="C259" s="444"/>
      <c r="D259" s="445"/>
      <c r="E259" s="444"/>
      <c r="F259" s="428" t="str">
        <f t="shared" si="20"/>
        <v/>
      </c>
      <c r="G259" s="444"/>
      <c r="H259" s="444"/>
      <c r="I259" s="444"/>
      <c r="J259" s="449"/>
      <c r="K259" s="449"/>
      <c r="L259" s="450" t="str">
        <f t="shared" ca="1" si="21"/>
        <v/>
      </c>
      <c r="N259" s="462" t="str">
        <f t="shared" si="15"/>
        <v/>
      </c>
      <c r="P259"/>
      <c r="S259" t="s">
        <v>420</v>
      </c>
    </row>
    <row r="260" spans="1:19" ht="20.100000000000001" customHeight="1">
      <c r="A260" s="448"/>
      <c r="B260" s="444"/>
      <c r="C260" s="444"/>
      <c r="D260" s="445"/>
      <c r="E260" s="444"/>
      <c r="F260" s="428" t="str">
        <f t="shared" si="20"/>
        <v/>
      </c>
      <c r="G260" s="444"/>
      <c r="H260" s="444"/>
      <c r="I260" s="444"/>
      <c r="J260" s="449"/>
      <c r="K260" s="449"/>
      <c r="L260" s="450" t="str">
        <f t="shared" ca="1" si="21"/>
        <v/>
      </c>
      <c r="N260" s="462" t="str">
        <f t="shared" si="15"/>
        <v/>
      </c>
      <c r="P260"/>
      <c r="S260" t="s">
        <v>421</v>
      </c>
    </row>
    <row r="261" spans="1:19" ht="20.100000000000001" customHeight="1">
      <c r="A261" s="448"/>
      <c r="B261" s="444"/>
      <c r="C261" s="444"/>
      <c r="D261" s="445"/>
      <c r="E261" s="444"/>
      <c r="F261" s="428" t="str">
        <f t="shared" si="20"/>
        <v/>
      </c>
      <c r="G261" s="444"/>
      <c r="H261" s="444"/>
      <c r="I261" s="444"/>
      <c r="J261" s="449"/>
      <c r="K261" s="449"/>
      <c r="L261" s="450" t="str">
        <f t="shared" ca="1" si="21"/>
        <v/>
      </c>
      <c r="N261" s="462" t="str">
        <f t="shared" ref="N261:N324" si="22">IFERROR(IF(MID(C261,8,1)&gt;="5",IF(RIGHT(C261,1)=(RIGHT(13-MOD(MID(C261,1,1)*2+MID(C261,2,1)*3+MID(C261,3,1)*4+MID(C261,4,1)*5+MID(C261,5,1)*6+MID(C261,6,1)*7+MID(C261,8,1)*8+MID(C261,9,1)*9+MID(C261,10,1)*2+MID(C261,11,1)*3+MID(C261,12,1)*4+MID(C261,13,1)*5,11),1)),"O","X"),IF(RIGHT(C261,1)=(RIGHT(11-MOD(MID(C261,1,1)*2+MID(C261,2,1)*3+MID(C261,3,1)*4+MID(C261,4,1)*5+MID(C261,5,1)*6+MID(C261,6,1)*7+MID(C261,8,1)*8+MID(C261,9,1)*9+MID(C261,10,1)*2+MID(C261,11,1)*3+MID(C261,12,1)*4+MID(C261,13,1)*5,11),1)),"O","X")),"")</f>
        <v/>
      </c>
      <c r="P261"/>
      <c r="S261" t="s">
        <v>422</v>
      </c>
    </row>
    <row r="262" spans="1:19" ht="20.100000000000001" customHeight="1">
      <c r="A262" s="448"/>
      <c r="B262" s="444"/>
      <c r="C262" s="444"/>
      <c r="D262" s="445"/>
      <c r="E262" s="444"/>
      <c r="F262" s="428" t="str">
        <f t="shared" si="20"/>
        <v/>
      </c>
      <c r="G262" s="444"/>
      <c r="H262" s="444"/>
      <c r="I262" s="444"/>
      <c r="J262" s="449"/>
      <c r="K262" s="449"/>
      <c r="L262" s="450" t="str">
        <f t="shared" ca="1" si="21"/>
        <v/>
      </c>
      <c r="N262" s="462" t="str">
        <f t="shared" si="22"/>
        <v/>
      </c>
      <c r="P262"/>
      <c r="S262" t="s">
        <v>423</v>
      </c>
    </row>
    <row r="263" spans="1:19" ht="20.100000000000001" customHeight="1">
      <c r="A263" s="448"/>
      <c r="B263" s="444"/>
      <c r="C263" s="444"/>
      <c r="D263" s="445"/>
      <c r="E263" s="444"/>
      <c r="F263" s="428" t="str">
        <f t="shared" si="20"/>
        <v/>
      </c>
      <c r="G263" s="444"/>
      <c r="H263" s="444"/>
      <c r="I263" s="444"/>
      <c r="J263" s="449"/>
      <c r="K263" s="449"/>
      <c r="L263" s="450" t="str">
        <f t="shared" ca="1" si="21"/>
        <v/>
      </c>
      <c r="N263" s="462" t="str">
        <f t="shared" si="22"/>
        <v/>
      </c>
      <c r="P263"/>
      <c r="S263" t="s">
        <v>424</v>
      </c>
    </row>
    <row r="264" spans="1:19" ht="20.100000000000001" customHeight="1">
      <c r="A264" s="448"/>
      <c r="B264" s="444"/>
      <c r="C264" s="444"/>
      <c r="D264" s="445"/>
      <c r="E264" s="444"/>
      <c r="F264" s="428" t="str">
        <f t="shared" si="20"/>
        <v/>
      </c>
      <c r="G264" s="444"/>
      <c r="H264" s="444"/>
      <c r="I264" s="444"/>
      <c r="J264" s="449"/>
      <c r="K264" s="449"/>
      <c r="L264" s="450" t="str">
        <f t="shared" ca="1" si="21"/>
        <v/>
      </c>
      <c r="N264" s="462" t="str">
        <f t="shared" si="22"/>
        <v/>
      </c>
      <c r="P264"/>
      <c r="S264" t="s">
        <v>425</v>
      </c>
    </row>
    <row r="265" spans="1:19" ht="20.100000000000001" customHeight="1">
      <c r="A265" s="448"/>
      <c r="B265" s="444"/>
      <c r="C265" s="444"/>
      <c r="D265" s="445"/>
      <c r="E265" s="444"/>
      <c r="F265" s="428" t="str">
        <f t="shared" si="20"/>
        <v/>
      </c>
      <c r="G265" s="444"/>
      <c r="H265" s="444"/>
      <c r="I265" s="444"/>
      <c r="J265" s="449"/>
      <c r="K265" s="449"/>
      <c r="L265" s="450" t="str">
        <f t="shared" ca="1" si="21"/>
        <v/>
      </c>
      <c r="N265" s="462" t="str">
        <f t="shared" si="22"/>
        <v/>
      </c>
      <c r="P265"/>
      <c r="S265" t="s">
        <v>426</v>
      </c>
    </row>
    <row r="266" spans="1:19" ht="20.100000000000001" customHeight="1">
      <c r="A266" s="448"/>
      <c r="B266" s="444"/>
      <c r="C266" s="444"/>
      <c r="D266" s="445"/>
      <c r="E266" s="444"/>
      <c r="F266" s="428" t="str">
        <f t="shared" si="20"/>
        <v/>
      </c>
      <c r="G266" s="444"/>
      <c r="H266" s="444"/>
      <c r="I266" s="444"/>
      <c r="J266" s="449"/>
      <c r="K266" s="449"/>
      <c r="L266" s="450" t="str">
        <f t="shared" ca="1" si="21"/>
        <v/>
      </c>
      <c r="N266" s="462" t="str">
        <f t="shared" si="22"/>
        <v/>
      </c>
      <c r="P266"/>
      <c r="S266" t="s">
        <v>427</v>
      </c>
    </row>
    <row r="267" spans="1:19" ht="20.100000000000001" customHeight="1">
      <c r="A267" s="448"/>
      <c r="B267" s="444"/>
      <c r="C267" s="444"/>
      <c r="D267" s="445"/>
      <c r="E267" s="444"/>
      <c r="F267" s="428" t="str">
        <f t="shared" si="20"/>
        <v/>
      </c>
      <c r="G267" s="444"/>
      <c r="H267" s="444"/>
      <c r="I267" s="444"/>
      <c r="J267" s="449"/>
      <c r="K267" s="449"/>
      <c r="L267" s="450" t="str">
        <f t="shared" ca="1" si="21"/>
        <v/>
      </c>
      <c r="N267" s="462" t="str">
        <f t="shared" si="22"/>
        <v/>
      </c>
      <c r="P267"/>
      <c r="S267" t="s">
        <v>428</v>
      </c>
    </row>
    <row r="268" spans="1:19" ht="20.100000000000001" customHeight="1">
      <c r="A268" s="448"/>
      <c r="B268" s="444"/>
      <c r="C268" s="444"/>
      <c r="D268" s="445"/>
      <c r="E268" s="444"/>
      <c r="F268" s="428" t="str">
        <f t="shared" si="20"/>
        <v/>
      </c>
      <c r="G268" s="444"/>
      <c r="H268" s="444"/>
      <c r="I268" s="444"/>
      <c r="J268" s="449"/>
      <c r="K268" s="449"/>
      <c r="L268" s="450" t="str">
        <f t="shared" ca="1" si="21"/>
        <v/>
      </c>
      <c r="N268" s="462" t="str">
        <f t="shared" si="22"/>
        <v/>
      </c>
      <c r="P268"/>
      <c r="S268" t="s">
        <v>429</v>
      </c>
    </row>
    <row r="269" spans="1:19" ht="20.100000000000001" customHeight="1">
      <c r="A269" s="448"/>
      <c r="B269" s="444"/>
      <c r="C269" s="444"/>
      <c r="D269" s="445"/>
      <c r="E269" s="444"/>
      <c r="F269" s="428" t="str">
        <f t="shared" si="20"/>
        <v/>
      </c>
      <c r="G269" s="444"/>
      <c r="H269" s="444"/>
      <c r="I269" s="444"/>
      <c r="J269" s="449"/>
      <c r="K269" s="449"/>
      <c r="L269" s="450" t="str">
        <f t="shared" ca="1" si="21"/>
        <v/>
      </c>
      <c r="N269" s="462" t="str">
        <f t="shared" si="22"/>
        <v/>
      </c>
      <c r="P269"/>
      <c r="S269" t="s">
        <v>430</v>
      </c>
    </row>
    <row r="270" spans="1:19" ht="20.100000000000001" customHeight="1">
      <c r="A270" s="448"/>
      <c r="B270" s="444"/>
      <c r="C270" s="444"/>
      <c r="D270" s="445"/>
      <c r="E270" s="444"/>
      <c r="F270" s="428" t="str">
        <f t="shared" ref="F270:F283" si="23">IFERROR(VLOOKUP(G270,$P$4:$Q$26,2,FALSE),"")</f>
        <v/>
      </c>
      <c r="G270" s="444"/>
      <c r="H270" s="444"/>
      <c r="I270" s="444"/>
      <c r="J270" s="449"/>
      <c r="K270" s="449"/>
      <c r="L270" s="450" t="str">
        <f t="shared" ref="L270:L283" ca="1" si="24">IFERROR(IF(OR(MID(C270,8,1)&lt;"3",AND(MID(C270,8,1)&gt;="5",MID(C270,8,1)&lt;="6")),INT(TEXT(TODAY(),"yyyy.mmdd")-TEXT(TEXT(LEFT(C270,6),"1900-00-00"),"yyyy.mmdd")),INT(TEXT(TODAY(),"yyyy.mmdd")-TEXT(TEXT(LEFT(C270,6),"2000-00-00"),"yyyy.mmdd"))),"")</f>
        <v/>
      </c>
      <c r="N270" s="462" t="str">
        <f t="shared" si="22"/>
        <v/>
      </c>
      <c r="P270"/>
      <c r="S270" t="s">
        <v>431</v>
      </c>
    </row>
    <row r="271" spans="1:19" ht="20.100000000000001" customHeight="1">
      <c r="A271" s="448"/>
      <c r="B271" s="444"/>
      <c r="C271" s="444"/>
      <c r="D271" s="445"/>
      <c r="E271" s="444"/>
      <c r="F271" s="428" t="str">
        <f t="shared" si="23"/>
        <v/>
      </c>
      <c r="G271" s="444"/>
      <c r="H271" s="444"/>
      <c r="I271" s="444"/>
      <c r="J271" s="449"/>
      <c r="K271" s="449"/>
      <c r="L271" s="450" t="str">
        <f t="shared" ca="1" si="24"/>
        <v/>
      </c>
      <c r="N271" s="462" t="str">
        <f t="shared" si="22"/>
        <v/>
      </c>
      <c r="P271"/>
      <c r="S271" t="s">
        <v>432</v>
      </c>
    </row>
    <row r="272" spans="1:19" ht="20.100000000000001" customHeight="1">
      <c r="A272" s="448"/>
      <c r="B272" s="444"/>
      <c r="C272" s="444"/>
      <c r="D272" s="445"/>
      <c r="E272" s="444"/>
      <c r="F272" s="428" t="str">
        <f t="shared" si="23"/>
        <v/>
      </c>
      <c r="G272" s="444"/>
      <c r="H272" s="444"/>
      <c r="I272" s="444"/>
      <c r="J272" s="449"/>
      <c r="K272" s="449"/>
      <c r="L272" s="450" t="str">
        <f t="shared" ca="1" si="24"/>
        <v/>
      </c>
      <c r="N272" s="462" t="str">
        <f t="shared" si="22"/>
        <v/>
      </c>
      <c r="P272"/>
      <c r="S272" t="s">
        <v>433</v>
      </c>
    </row>
    <row r="273" spans="1:19" ht="20.100000000000001" customHeight="1">
      <c r="A273" s="448"/>
      <c r="B273" s="444"/>
      <c r="C273" s="444"/>
      <c r="D273" s="445"/>
      <c r="E273" s="444"/>
      <c r="F273" s="428" t="str">
        <f t="shared" si="23"/>
        <v/>
      </c>
      <c r="G273" s="444"/>
      <c r="H273" s="444"/>
      <c r="I273" s="444"/>
      <c r="J273" s="449"/>
      <c r="K273" s="449"/>
      <c r="L273" s="450" t="str">
        <f t="shared" ca="1" si="24"/>
        <v/>
      </c>
      <c r="N273" s="462" t="str">
        <f t="shared" si="22"/>
        <v/>
      </c>
      <c r="P273"/>
      <c r="S273" t="s">
        <v>434</v>
      </c>
    </row>
    <row r="274" spans="1:19" ht="20.100000000000001" customHeight="1">
      <c r="A274" s="448"/>
      <c r="B274" s="444"/>
      <c r="C274" s="444"/>
      <c r="D274" s="445"/>
      <c r="E274" s="444"/>
      <c r="F274" s="428" t="str">
        <f t="shared" si="23"/>
        <v/>
      </c>
      <c r="G274" s="444"/>
      <c r="H274" s="444"/>
      <c r="I274" s="444"/>
      <c r="J274" s="449"/>
      <c r="K274" s="449"/>
      <c r="L274" s="450" t="str">
        <f t="shared" ca="1" si="24"/>
        <v/>
      </c>
      <c r="N274" s="462" t="str">
        <f t="shared" si="22"/>
        <v/>
      </c>
      <c r="P274"/>
      <c r="S274" t="s">
        <v>435</v>
      </c>
    </row>
    <row r="275" spans="1:19" ht="20.100000000000001" customHeight="1">
      <c r="A275" s="448"/>
      <c r="B275" s="444"/>
      <c r="C275" s="444"/>
      <c r="D275" s="445"/>
      <c r="E275" s="444"/>
      <c r="F275" s="428" t="str">
        <f t="shared" si="23"/>
        <v/>
      </c>
      <c r="G275" s="444"/>
      <c r="H275" s="444"/>
      <c r="I275" s="444"/>
      <c r="J275" s="449"/>
      <c r="K275" s="449"/>
      <c r="L275" s="450" t="str">
        <f t="shared" ca="1" si="24"/>
        <v/>
      </c>
      <c r="N275" s="462" t="str">
        <f t="shared" si="22"/>
        <v/>
      </c>
      <c r="P275"/>
      <c r="S275" t="s">
        <v>436</v>
      </c>
    </row>
    <row r="276" spans="1:19" ht="20.100000000000001" customHeight="1">
      <c r="A276" s="448"/>
      <c r="B276" s="444"/>
      <c r="C276" s="444"/>
      <c r="D276" s="445"/>
      <c r="E276" s="444"/>
      <c r="F276" s="428" t="str">
        <f t="shared" si="23"/>
        <v/>
      </c>
      <c r="G276" s="444"/>
      <c r="H276" s="444"/>
      <c r="I276" s="444"/>
      <c r="J276" s="449"/>
      <c r="K276" s="449"/>
      <c r="L276" s="450" t="str">
        <f t="shared" ca="1" si="24"/>
        <v/>
      </c>
      <c r="N276" s="462" t="str">
        <f t="shared" si="22"/>
        <v/>
      </c>
      <c r="P276"/>
      <c r="S276" t="s">
        <v>437</v>
      </c>
    </row>
    <row r="277" spans="1:19" ht="20.100000000000001" customHeight="1">
      <c r="A277" s="448"/>
      <c r="B277" s="444"/>
      <c r="C277" s="444"/>
      <c r="D277" s="445"/>
      <c r="E277" s="444"/>
      <c r="F277" s="428" t="str">
        <f t="shared" si="23"/>
        <v/>
      </c>
      <c r="G277" s="444"/>
      <c r="H277" s="444"/>
      <c r="I277" s="444"/>
      <c r="J277" s="449"/>
      <c r="K277" s="449"/>
      <c r="L277" s="450" t="str">
        <f t="shared" ca="1" si="24"/>
        <v/>
      </c>
      <c r="N277" s="462" t="str">
        <f t="shared" si="22"/>
        <v/>
      </c>
      <c r="P277"/>
      <c r="S277" t="s">
        <v>438</v>
      </c>
    </row>
    <row r="278" spans="1:19" ht="20.100000000000001" customHeight="1">
      <c r="A278" s="448"/>
      <c r="B278" s="444"/>
      <c r="C278" s="444"/>
      <c r="D278" s="445"/>
      <c r="E278" s="444"/>
      <c r="F278" s="428" t="str">
        <f t="shared" si="23"/>
        <v/>
      </c>
      <c r="G278" s="444"/>
      <c r="H278" s="444"/>
      <c r="I278" s="444"/>
      <c r="J278" s="449"/>
      <c r="K278" s="449"/>
      <c r="L278" s="450" t="str">
        <f t="shared" ca="1" si="24"/>
        <v/>
      </c>
      <c r="N278" s="462" t="str">
        <f t="shared" si="22"/>
        <v/>
      </c>
      <c r="P278"/>
      <c r="S278" t="s">
        <v>439</v>
      </c>
    </row>
    <row r="279" spans="1:19" ht="20.100000000000001" customHeight="1">
      <c r="A279" s="448"/>
      <c r="B279" s="444"/>
      <c r="C279" s="444"/>
      <c r="D279" s="445"/>
      <c r="E279" s="444"/>
      <c r="F279" s="428" t="str">
        <f t="shared" si="23"/>
        <v/>
      </c>
      <c r="G279" s="444"/>
      <c r="H279" s="444"/>
      <c r="I279" s="444"/>
      <c r="J279" s="449"/>
      <c r="K279" s="449"/>
      <c r="L279" s="450" t="str">
        <f t="shared" ca="1" si="24"/>
        <v/>
      </c>
      <c r="N279" s="462" t="str">
        <f t="shared" si="22"/>
        <v/>
      </c>
      <c r="P279"/>
      <c r="S279" t="s">
        <v>440</v>
      </c>
    </row>
    <row r="280" spans="1:19" ht="20.100000000000001" customHeight="1">
      <c r="A280" s="448"/>
      <c r="B280" s="444"/>
      <c r="C280" s="444"/>
      <c r="D280" s="445"/>
      <c r="E280" s="444"/>
      <c r="F280" s="428" t="str">
        <f t="shared" si="23"/>
        <v/>
      </c>
      <c r="G280" s="444"/>
      <c r="H280" s="444"/>
      <c r="I280" s="444"/>
      <c r="J280" s="449"/>
      <c r="K280" s="449"/>
      <c r="L280" s="450" t="str">
        <f t="shared" ca="1" si="24"/>
        <v/>
      </c>
      <c r="N280" s="462" t="str">
        <f t="shared" si="22"/>
        <v/>
      </c>
      <c r="P280"/>
      <c r="S280" t="s">
        <v>441</v>
      </c>
    </row>
    <row r="281" spans="1:19" ht="20.100000000000001" customHeight="1">
      <c r="A281" s="448"/>
      <c r="B281" s="444"/>
      <c r="C281" s="444"/>
      <c r="D281" s="445"/>
      <c r="E281" s="444"/>
      <c r="F281" s="428" t="str">
        <f t="shared" si="23"/>
        <v/>
      </c>
      <c r="G281" s="444"/>
      <c r="H281" s="444"/>
      <c r="I281" s="444"/>
      <c r="J281" s="449"/>
      <c r="K281" s="449"/>
      <c r="L281" s="450" t="str">
        <f t="shared" ca="1" si="24"/>
        <v/>
      </c>
      <c r="N281" s="462" t="str">
        <f t="shared" si="22"/>
        <v/>
      </c>
      <c r="P281"/>
      <c r="S281" t="s">
        <v>442</v>
      </c>
    </row>
    <row r="282" spans="1:19" ht="20.100000000000001" customHeight="1">
      <c r="A282" s="448"/>
      <c r="B282" s="444"/>
      <c r="C282" s="444"/>
      <c r="D282" s="445"/>
      <c r="E282" s="444"/>
      <c r="F282" s="428" t="str">
        <f t="shared" si="23"/>
        <v/>
      </c>
      <c r="G282" s="444"/>
      <c r="H282" s="444"/>
      <c r="I282" s="444"/>
      <c r="J282" s="449"/>
      <c r="K282" s="449"/>
      <c r="L282" s="450" t="str">
        <f t="shared" ca="1" si="24"/>
        <v/>
      </c>
      <c r="N282" s="462" t="str">
        <f t="shared" si="22"/>
        <v/>
      </c>
      <c r="P282"/>
      <c r="S282" t="s">
        <v>443</v>
      </c>
    </row>
    <row r="283" spans="1:19" ht="20.100000000000001" customHeight="1">
      <c r="A283" s="448"/>
      <c r="B283" s="444"/>
      <c r="C283" s="444"/>
      <c r="D283" s="445"/>
      <c r="E283" s="444"/>
      <c r="F283" s="428" t="str">
        <f t="shared" si="23"/>
        <v/>
      </c>
      <c r="G283" s="444"/>
      <c r="H283" s="444"/>
      <c r="I283" s="444"/>
      <c r="J283" s="449"/>
      <c r="K283" s="449"/>
      <c r="L283" s="450" t="str">
        <f t="shared" ca="1" si="24"/>
        <v/>
      </c>
      <c r="N283" s="462" t="str">
        <f t="shared" si="22"/>
        <v/>
      </c>
      <c r="P283"/>
      <c r="S283" t="s">
        <v>444</v>
      </c>
    </row>
    <row r="284" spans="1:19" ht="20.100000000000001" customHeight="1">
      <c r="A284" s="448"/>
      <c r="B284" s="444"/>
      <c r="C284" s="444"/>
      <c r="D284" s="445"/>
      <c r="E284" s="444"/>
      <c r="F284" s="428" t="str">
        <f t="shared" ref="F284:F290" si="25">IFERROR(VLOOKUP(G284,$P$4:$Q$26,2,FALSE),"")</f>
        <v/>
      </c>
      <c r="G284" s="444"/>
      <c r="H284" s="444"/>
      <c r="I284" s="444"/>
      <c r="J284" s="449"/>
      <c r="K284" s="449"/>
      <c r="L284" s="450" t="str">
        <f t="shared" ref="L284:L290" ca="1" si="26">IFERROR(IF(OR(MID(C284,8,1)&lt;"3",AND(MID(C284,8,1)&gt;="5",MID(C284,8,1)&lt;="6")),INT(TEXT(TODAY(),"yyyy.mmdd")-TEXT(TEXT(LEFT(C284,6),"1900-00-00"),"yyyy.mmdd")),INT(TEXT(TODAY(),"yyyy.mmdd")-TEXT(TEXT(LEFT(C284,6),"2000-00-00"),"yyyy.mmdd"))),"")</f>
        <v/>
      </c>
      <c r="N284" s="462" t="str">
        <f t="shared" si="22"/>
        <v/>
      </c>
      <c r="P284"/>
      <c r="S284" t="s">
        <v>445</v>
      </c>
    </row>
    <row r="285" spans="1:19" ht="20.100000000000001" customHeight="1">
      <c r="A285" s="448"/>
      <c r="B285" s="444"/>
      <c r="C285" s="444"/>
      <c r="D285" s="445"/>
      <c r="E285" s="444"/>
      <c r="F285" s="428" t="str">
        <f t="shared" si="25"/>
        <v/>
      </c>
      <c r="G285" s="444"/>
      <c r="H285" s="444"/>
      <c r="I285" s="444"/>
      <c r="J285" s="449"/>
      <c r="K285" s="449"/>
      <c r="L285" s="450" t="str">
        <f t="shared" ca="1" si="26"/>
        <v/>
      </c>
      <c r="N285" s="462" t="str">
        <f t="shared" si="22"/>
        <v/>
      </c>
      <c r="P285"/>
      <c r="S285" t="s">
        <v>446</v>
      </c>
    </row>
    <row r="286" spans="1:19" ht="20.100000000000001" customHeight="1">
      <c r="A286" s="448"/>
      <c r="B286" s="444"/>
      <c r="C286" s="444"/>
      <c r="D286" s="445"/>
      <c r="E286" s="444"/>
      <c r="F286" s="428" t="str">
        <f t="shared" si="25"/>
        <v/>
      </c>
      <c r="G286" s="444"/>
      <c r="H286" s="444"/>
      <c r="I286" s="444"/>
      <c r="J286" s="449"/>
      <c r="K286" s="449"/>
      <c r="L286" s="450" t="str">
        <f t="shared" ca="1" si="26"/>
        <v/>
      </c>
      <c r="N286" s="462" t="str">
        <f t="shared" si="22"/>
        <v/>
      </c>
      <c r="P286"/>
      <c r="S286" t="s">
        <v>447</v>
      </c>
    </row>
    <row r="287" spans="1:19" ht="20.100000000000001" customHeight="1">
      <c r="A287" s="448"/>
      <c r="B287" s="444"/>
      <c r="C287" s="444"/>
      <c r="D287" s="445"/>
      <c r="E287" s="444"/>
      <c r="F287" s="428" t="str">
        <f t="shared" si="25"/>
        <v/>
      </c>
      <c r="G287" s="444"/>
      <c r="H287" s="444"/>
      <c r="I287" s="444"/>
      <c r="J287" s="449"/>
      <c r="K287" s="449"/>
      <c r="L287" s="450" t="str">
        <f t="shared" ca="1" si="26"/>
        <v/>
      </c>
      <c r="N287" s="462" t="str">
        <f t="shared" si="22"/>
        <v/>
      </c>
      <c r="P287"/>
      <c r="S287" t="s">
        <v>448</v>
      </c>
    </row>
    <row r="288" spans="1:19" ht="20.100000000000001" customHeight="1">
      <c r="A288" s="448"/>
      <c r="B288" s="444"/>
      <c r="C288" s="444"/>
      <c r="D288" s="445"/>
      <c r="E288" s="444"/>
      <c r="F288" s="428" t="str">
        <f t="shared" si="25"/>
        <v/>
      </c>
      <c r="G288" s="444"/>
      <c r="H288" s="444"/>
      <c r="I288" s="444"/>
      <c r="J288" s="449"/>
      <c r="K288" s="449"/>
      <c r="L288" s="450" t="str">
        <f t="shared" ca="1" si="26"/>
        <v/>
      </c>
      <c r="N288" s="462" t="str">
        <f t="shared" si="22"/>
        <v/>
      </c>
      <c r="P288"/>
      <c r="S288" t="s">
        <v>449</v>
      </c>
    </row>
    <row r="289" spans="1:19" ht="20.100000000000001" customHeight="1">
      <c r="A289" s="448"/>
      <c r="B289" s="444"/>
      <c r="C289" s="444"/>
      <c r="D289" s="445"/>
      <c r="E289" s="444"/>
      <c r="F289" s="428" t="str">
        <f t="shared" si="25"/>
        <v/>
      </c>
      <c r="G289" s="444"/>
      <c r="H289" s="444"/>
      <c r="I289" s="444"/>
      <c r="J289" s="449"/>
      <c r="K289" s="449"/>
      <c r="L289" s="450" t="str">
        <f t="shared" ca="1" si="26"/>
        <v/>
      </c>
      <c r="N289" s="462" t="str">
        <f t="shared" si="22"/>
        <v/>
      </c>
      <c r="P289"/>
      <c r="S289" t="s">
        <v>450</v>
      </c>
    </row>
    <row r="290" spans="1:19" ht="20.100000000000001" customHeight="1">
      <c r="A290" s="448"/>
      <c r="B290" s="444"/>
      <c r="C290" s="444"/>
      <c r="D290" s="445"/>
      <c r="E290" s="444"/>
      <c r="F290" s="428" t="str">
        <f t="shared" si="25"/>
        <v/>
      </c>
      <c r="G290" s="444"/>
      <c r="H290" s="444"/>
      <c r="I290" s="444"/>
      <c r="J290" s="449"/>
      <c r="K290" s="449"/>
      <c r="L290" s="450" t="str">
        <f t="shared" ca="1" si="26"/>
        <v/>
      </c>
      <c r="N290" s="462" t="str">
        <f t="shared" si="22"/>
        <v/>
      </c>
      <c r="P290"/>
      <c r="S290" t="s">
        <v>451</v>
      </c>
    </row>
    <row r="291" spans="1:19" ht="20.100000000000001" customHeight="1">
      <c r="A291" s="448"/>
      <c r="B291" s="444"/>
      <c r="C291" s="444"/>
      <c r="D291" s="445"/>
      <c r="E291" s="444"/>
      <c r="F291" s="428" t="str">
        <f t="shared" ref="F291:F297" si="27">IFERROR(VLOOKUP(G291,$P$4:$Q$26,2,FALSE),"")</f>
        <v/>
      </c>
      <c r="G291" s="444"/>
      <c r="H291" s="444"/>
      <c r="I291" s="444"/>
      <c r="J291" s="449"/>
      <c r="K291" s="449"/>
      <c r="L291" s="450" t="str">
        <f t="shared" ref="L291:L297" ca="1" si="28">IFERROR(IF(OR(MID(C291,8,1)&lt;"3",AND(MID(C291,8,1)&gt;="5",MID(C291,8,1)&lt;="6")),INT(TEXT(TODAY(),"yyyy.mmdd")-TEXT(TEXT(LEFT(C291,6),"1900-00-00"),"yyyy.mmdd")),INT(TEXT(TODAY(),"yyyy.mmdd")-TEXT(TEXT(LEFT(C291,6),"2000-00-00"),"yyyy.mmdd"))),"")</f>
        <v/>
      </c>
      <c r="N291" s="462" t="str">
        <f t="shared" si="22"/>
        <v/>
      </c>
      <c r="P291"/>
      <c r="S291" t="s">
        <v>452</v>
      </c>
    </row>
    <row r="292" spans="1:19" ht="20.100000000000001" customHeight="1">
      <c r="A292" s="448"/>
      <c r="B292" s="444"/>
      <c r="C292" s="444"/>
      <c r="D292" s="445"/>
      <c r="E292" s="444"/>
      <c r="F292" s="428" t="str">
        <f t="shared" si="27"/>
        <v/>
      </c>
      <c r="G292" s="444"/>
      <c r="H292" s="444"/>
      <c r="I292" s="444"/>
      <c r="J292" s="449"/>
      <c r="K292" s="449"/>
      <c r="L292" s="450" t="str">
        <f t="shared" ca="1" si="28"/>
        <v/>
      </c>
      <c r="N292" s="462" t="str">
        <f t="shared" si="22"/>
        <v/>
      </c>
      <c r="P292"/>
      <c r="S292" t="s">
        <v>453</v>
      </c>
    </row>
    <row r="293" spans="1:19" ht="20.100000000000001" customHeight="1">
      <c r="A293" s="448"/>
      <c r="B293" s="444"/>
      <c r="C293" s="444"/>
      <c r="D293" s="445"/>
      <c r="E293" s="444"/>
      <c r="F293" s="428" t="str">
        <f t="shared" si="27"/>
        <v/>
      </c>
      <c r="G293" s="444"/>
      <c r="H293" s="444"/>
      <c r="I293" s="444"/>
      <c r="J293" s="449"/>
      <c r="K293" s="449"/>
      <c r="L293" s="450" t="str">
        <f t="shared" ca="1" si="28"/>
        <v/>
      </c>
      <c r="N293" s="462" t="str">
        <f t="shared" si="22"/>
        <v/>
      </c>
      <c r="P293"/>
      <c r="S293" t="s">
        <v>454</v>
      </c>
    </row>
    <row r="294" spans="1:19" ht="20.100000000000001" customHeight="1">
      <c r="A294" s="448"/>
      <c r="B294" s="444"/>
      <c r="C294" s="444"/>
      <c r="D294" s="445"/>
      <c r="E294" s="444"/>
      <c r="F294" s="428" t="str">
        <f t="shared" si="27"/>
        <v/>
      </c>
      <c r="G294" s="444"/>
      <c r="H294" s="444"/>
      <c r="I294" s="444"/>
      <c r="J294" s="449"/>
      <c r="K294" s="449"/>
      <c r="L294" s="450" t="str">
        <f t="shared" ca="1" si="28"/>
        <v/>
      </c>
      <c r="N294" s="462" t="str">
        <f t="shared" si="22"/>
        <v/>
      </c>
      <c r="P294"/>
      <c r="S294" t="s">
        <v>455</v>
      </c>
    </row>
    <row r="295" spans="1:19" ht="20.100000000000001" customHeight="1">
      <c r="A295" s="448"/>
      <c r="B295" s="444"/>
      <c r="C295" s="444"/>
      <c r="D295" s="445"/>
      <c r="E295" s="444"/>
      <c r="F295" s="428" t="str">
        <f t="shared" si="27"/>
        <v/>
      </c>
      <c r="G295" s="444"/>
      <c r="H295" s="444"/>
      <c r="I295" s="444"/>
      <c r="J295" s="449"/>
      <c r="K295" s="449"/>
      <c r="L295" s="450" t="str">
        <f t="shared" ca="1" si="28"/>
        <v/>
      </c>
      <c r="N295" s="462" t="str">
        <f t="shared" si="22"/>
        <v/>
      </c>
      <c r="P295"/>
      <c r="S295" t="s">
        <v>456</v>
      </c>
    </row>
    <row r="296" spans="1:19" ht="20.100000000000001" customHeight="1">
      <c r="A296" s="448"/>
      <c r="B296" s="444"/>
      <c r="C296" s="444"/>
      <c r="D296" s="445"/>
      <c r="E296" s="444"/>
      <c r="F296" s="428" t="str">
        <f t="shared" si="27"/>
        <v/>
      </c>
      <c r="G296" s="444"/>
      <c r="H296" s="444"/>
      <c r="I296" s="444"/>
      <c r="J296" s="449"/>
      <c r="K296" s="449"/>
      <c r="L296" s="450" t="str">
        <f t="shared" ca="1" si="28"/>
        <v/>
      </c>
      <c r="N296" s="462" t="str">
        <f t="shared" si="22"/>
        <v/>
      </c>
      <c r="P296"/>
      <c r="S296" t="s">
        <v>457</v>
      </c>
    </row>
    <row r="297" spans="1:19" ht="20.100000000000001" customHeight="1">
      <c r="A297" s="448"/>
      <c r="B297" s="444"/>
      <c r="C297" s="444"/>
      <c r="D297" s="445"/>
      <c r="E297" s="444"/>
      <c r="F297" s="428" t="str">
        <f t="shared" si="27"/>
        <v/>
      </c>
      <c r="G297" s="444"/>
      <c r="H297" s="444"/>
      <c r="I297" s="444"/>
      <c r="J297" s="449"/>
      <c r="K297" s="449"/>
      <c r="L297" s="450" t="str">
        <f t="shared" ca="1" si="28"/>
        <v/>
      </c>
      <c r="N297" s="462" t="str">
        <f t="shared" si="22"/>
        <v/>
      </c>
      <c r="P297"/>
      <c r="S297" t="s">
        <v>458</v>
      </c>
    </row>
    <row r="298" spans="1:19" ht="20.100000000000001" customHeight="1">
      <c r="A298" s="448"/>
      <c r="B298" s="444"/>
      <c r="C298" s="444"/>
      <c r="D298" s="445"/>
      <c r="E298" s="444"/>
      <c r="F298" s="428" t="str">
        <f t="shared" ref="F298:F304" si="29">IFERROR(VLOOKUP(G298,$P$4:$Q$26,2,FALSE),"")</f>
        <v/>
      </c>
      <c r="G298" s="444"/>
      <c r="H298" s="444"/>
      <c r="I298" s="444"/>
      <c r="J298" s="449"/>
      <c r="K298" s="449"/>
      <c r="L298" s="450" t="str">
        <f t="shared" ref="L298:L304" ca="1" si="30">IFERROR(IF(OR(MID(C298,8,1)&lt;"3",AND(MID(C298,8,1)&gt;="5",MID(C298,8,1)&lt;="6")),INT(TEXT(TODAY(),"yyyy.mmdd")-TEXT(TEXT(LEFT(C298,6),"1900-00-00"),"yyyy.mmdd")),INT(TEXT(TODAY(),"yyyy.mmdd")-TEXT(TEXT(LEFT(C298,6),"2000-00-00"),"yyyy.mmdd"))),"")</f>
        <v/>
      </c>
      <c r="N298" s="462" t="str">
        <f t="shared" si="22"/>
        <v/>
      </c>
      <c r="P298"/>
      <c r="S298" t="s">
        <v>459</v>
      </c>
    </row>
    <row r="299" spans="1:19" ht="20.100000000000001" customHeight="1">
      <c r="A299" s="448"/>
      <c r="B299" s="444"/>
      <c r="C299" s="444"/>
      <c r="D299" s="445"/>
      <c r="E299" s="444"/>
      <c r="F299" s="428" t="str">
        <f t="shared" si="29"/>
        <v/>
      </c>
      <c r="G299" s="444"/>
      <c r="H299" s="444"/>
      <c r="I299" s="444"/>
      <c r="J299" s="449"/>
      <c r="K299" s="449"/>
      <c r="L299" s="450" t="str">
        <f t="shared" ca="1" si="30"/>
        <v/>
      </c>
      <c r="N299" s="462" t="str">
        <f t="shared" si="22"/>
        <v/>
      </c>
      <c r="P299"/>
      <c r="S299" t="s">
        <v>460</v>
      </c>
    </row>
    <row r="300" spans="1:19" ht="20.100000000000001" customHeight="1">
      <c r="A300" s="448"/>
      <c r="B300" s="444"/>
      <c r="C300" s="444"/>
      <c r="D300" s="445"/>
      <c r="E300" s="444"/>
      <c r="F300" s="428" t="str">
        <f t="shared" si="29"/>
        <v/>
      </c>
      <c r="G300" s="444"/>
      <c r="H300" s="444"/>
      <c r="I300" s="444"/>
      <c r="J300" s="449"/>
      <c r="K300" s="449"/>
      <c r="L300" s="450" t="str">
        <f t="shared" ca="1" si="30"/>
        <v/>
      </c>
      <c r="N300" s="462" t="str">
        <f t="shared" si="22"/>
        <v/>
      </c>
      <c r="P300"/>
    </row>
    <row r="301" spans="1:19" ht="20.100000000000001" customHeight="1">
      <c r="A301" s="448"/>
      <c r="B301" s="444"/>
      <c r="C301" s="444"/>
      <c r="D301" s="445"/>
      <c r="E301" s="444"/>
      <c r="F301" s="428" t="str">
        <f t="shared" si="29"/>
        <v/>
      </c>
      <c r="G301" s="444"/>
      <c r="H301" s="444"/>
      <c r="I301" s="444"/>
      <c r="J301" s="449"/>
      <c r="K301" s="449"/>
      <c r="L301" s="450" t="str">
        <f t="shared" ca="1" si="30"/>
        <v/>
      </c>
      <c r="N301" s="462" t="str">
        <f t="shared" si="22"/>
        <v/>
      </c>
      <c r="P301"/>
    </row>
    <row r="302" spans="1:19" ht="20.100000000000001" customHeight="1">
      <c r="A302" s="448"/>
      <c r="B302" s="444"/>
      <c r="C302" s="444"/>
      <c r="D302" s="445"/>
      <c r="E302" s="444"/>
      <c r="F302" s="428" t="str">
        <f t="shared" si="29"/>
        <v/>
      </c>
      <c r="G302" s="444"/>
      <c r="H302" s="444"/>
      <c r="I302" s="444"/>
      <c r="J302" s="449"/>
      <c r="K302" s="449"/>
      <c r="L302" s="450" t="str">
        <f t="shared" ca="1" si="30"/>
        <v/>
      </c>
      <c r="N302" s="462" t="str">
        <f t="shared" si="22"/>
        <v/>
      </c>
      <c r="P302"/>
    </row>
    <row r="303" spans="1:19" ht="20.100000000000001" customHeight="1">
      <c r="A303" s="448"/>
      <c r="B303" s="444"/>
      <c r="C303" s="444"/>
      <c r="D303" s="445"/>
      <c r="E303" s="444"/>
      <c r="F303" s="428" t="str">
        <f t="shared" si="29"/>
        <v/>
      </c>
      <c r="G303" s="444"/>
      <c r="H303" s="444"/>
      <c r="I303" s="444"/>
      <c r="J303" s="449"/>
      <c r="K303" s="449"/>
      <c r="L303" s="450" t="str">
        <f t="shared" ca="1" si="30"/>
        <v/>
      </c>
      <c r="N303" s="462" t="str">
        <f t="shared" si="22"/>
        <v/>
      </c>
      <c r="P303"/>
    </row>
    <row r="304" spans="1:19" ht="20.100000000000001" customHeight="1">
      <c r="A304" s="448"/>
      <c r="B304" s="444"/>
      <c r="C304" s="444"/>
      <c r="D304" s="445"/>
      <c r="E304" s="444"/>
      <c r="F304" s="428" t="str">
        <f t="shared" si="29"/>
        <v/>
      </c>
      <c r="G304" s="444"/>
      <c r="H304" s="444"/>
      <c r="I304" s="444"/>
      <c r="J304" s="449"/>
      <c r="K304" s="449"/>
      <c r="L304" s="450" t="str">
        <f t="shared" ca="1" si="30"/>
        <v/>
      </c>
      <c r="N304" s="462" t="str">
        <f t="shared" si="22"/>
        <v/>
      </c>
      <c r="P304"/>
    </row>
    <row r="305" spans="1:16" ht="20.100000000000001" customHeight="1" thickBot="1">
      <c r="A305" s="452"/>
      <c r="B305" s="453"/>
      <c r="C305" s="444"/>
      <c r="D305" s="454"/>
      <c r="E305" s="453"/>
      <c r="F305" s="453"/>
      <c r="G305" s="455"/>
      <c r="H305" s="453"/>
      <c r="I305" s="453"/>
      <c r="J305" s="453"/>
      <c r="K305" s="453"/>
      <c r="L305" s="456"/>
      <c r="N305" s="462" t="str">
        <f t="shared" si="22"/>
        <v/>
      </c>
      <c r="P305"/>
    </row>
    <row r="306" spans="1:16" ht="20.100000000000001" customHeight="1">
      <c r="C306" s="444"/>
      <c r="N306" s="462" t="str">
        <f t="shared" si="22"/>
        <v/>
      </c>
      <c r="P306"/>
    </row>
    <row r="307" spans="1:16" ht="20.100000000000001" customHeight="1">
      <c r="C307" s="444"/>
      <c r="N307" s="462" t="str">
        <f t="shared" si="22"/>
        <v/>
      </c>
      <c r="P307"/>
    </row>
    <row r="308" spans="1:16" ht="20.100000000000001" customHeight="1">
      <c r="C308" s="444"/>
      <c r="N308" s="462" t="str">
        <f t="shared" si="22"/>
        <v/>
      </c>
      <c r="P308"/>
    </row>
    <row r="309" spans="1:16" ht="20.100000000000001" customHeight="1">
      <c r="C309" s="444"/>
      <c r="N309" s="462" t="str">
        <f t="shared" si="22"/>
        <v/>
      </c>
      <c r="P309"/>
    </row>
    <row r="310" spans="1:16" ht="20.100000000000001" customHeight="1">
      <c r="C310" s="444"/>
      <c r="N310" s="462" t="str">
        <f t="shared" si="22"/>
        <v/>
      </c>
      <c r="P310"/>
    </row>
    <row r="311" spans="1:16" ht="20.100000000000001" customHeight="1">
      <c r="C311" s="444"/>
      <c r="N311" s="462" t="str">
        <f t="shared" si="22"/>
        <v/>
      </c>
      <c r="P311"/>
    </row>
    <row r="312" spans="1:16" ht="20.100000000000001" customHeight="1">
      <c r="C312" s="444"/>
      <c r="N312" s="462" t="str">
        <f t="shared" si="22"/>
        <v/>
      </c>
      <c r="P312"/>
    </row>
    <row r="313" spans="1:16" ht="20.100000000000001" customHeight="1">
      <c r="C313" s="444"/>
      <c r="N313" s="462" t="str">
        <f t="shared" si="22"/>
        <v/>
      </c>
      <c r="P313"/>
    </row>
    <row r="314" spans="1:16" ht="20.100000000000001" customHeight="1">
      <c r="C314" s="444"/>
      <c r="N314" s="462" t="str">
        <f t="shared" si="22"/>
        <v/>
      </c>
      <c r="P314"/>
    </row>
    <row r="315" spans="1:16" ht="20.100000000000001" customHeight="1">
      <c r="C315" s="444"/>
      <c r="N315" s="462" t="str">
        <f t="shared" si="22"/>
        <v/>
      </c>
      <c r="P315"/>
    </row>
    <row r="316" spans="1:16" ht="20.100000000000001" customHeight="1">
      <c r="C316" s="444"/>
      <c r="N316" s="462" t="str">
        <f t="shared" si="22"/>
        <v/>
      </c>
      <c r="P316"/>
    </row>
    <row r="317" spans="1:16" ht="20.100000000000001" customHeight="1">
      <c r="C317" s="444"/>
      <c r="N317" s="462" t="str">
        <f t="shared" si="22"/>
        <v/>
      </c>
      <c r="P317"/>
    </row>
    <row r="318" spans="1:16" ht="20.100000000000001" customHeight="1">
      <c r="C318" s="444"/>
      <c r="N318" s="462" t="str">
        <f t="shared" si="22"/>
        <v/>
      </c>
      <c r="P318"/>
    </row>
    <row r="319" spans="1:16" ht="20.100000000000001" customHeight="1">
      <c r="C319" s="444"/>
      <c r="N319" s="462" t="str">
        <f t="shared" si="22"/>
        <v/>
      </c>
      <c r="P319"/>
    </row>
    <row r="320" spans="1:16" ht="20.100000000000001" customHeight="1">
      <c r="C320" s="444"/>
      <c r="N320" s="462" t="str">
        <f t="shared" si="22"/>
        <v/>
      </c>
      <c r="P320"/>
    </row>
    <row r="321" spans="3:16" ht="20.100000000000001" customHeight="1">
      <c r="C321" s="444"/>
      <c r="N321" s="462" t="str">
        <f t="shared" si="22"/>
        <v/>
      </c>
      <c r="P321"/>
    </row>
    <row r="322" spans="3:16" ht="20.100000000000001" customHeight="1">
      <c r="C322" s="444"/>
      <c r="N322" s="462" t="str">
        <f t="shared" si="22"/>
        <v/>
      </c>
      <c r="P322"/>
    </row>
    <row r="323" spans="3:16" ht="20.100000000000001" customHeight="1">
      <c r="C323" s="444"/>
      <c r="N323" s="462" t="str">
        <f t="shared" si="22"/>
        <v/>
      </c>
      <c r="P323"/>
    </row>
    <row r="324" spans="3:16" ht="20.100000000000001" customHeight="1">
      <c r="C324" s="444"/>
      <c r="N324" s="462" t="str">
        <f t="shared" si="22"/>
        <v/>
      </c>
      <c r="P324"/>
    </row>
    <row r="325" spans="3:16" ht="20.100000000000001" customHeight="1">
      <c r="C325" s="444"/>
      <c r="N325" s="462" t="str">
        <f t="shared" ref="N325:N388" si="31">IFERROR(IF(MID(C325,8,1)&gt;="5",IF(RIGHT(C325,1)=(RIGHT(13-MOD(MID(C325,1,1)*2+MID(C325,2,1)*3+MID(C325,3,1)*4+MID(C325,4,1)*5+MID(C325,5,1)*6+MID(C325,6,1)*7+MID(C325,8,1)*8+MID(C325,9,1)*9+MID(C325,10,1)*2+MID(C325,11,1)*3+MID(C325,12,1)*4+MID(C325,13,1)*5,11),1)),"O","X"),IF(RIGHT(C325,1)=(RIGHT(11-MOD(MID(C325,1,1)*2+MID(C325,2,1)*3+MID(C325,3,1)*4+MID(C325,4,1)*5+MID(C325,5,1)*6+MID(C325,6,1)*7+MID(C325,8,1)*8+MID(C325,9,1)*9+MID(C325,10,1)*2+MID(C325,11,1)*3+MID(C325,12,1)*4+MID(C325,13,1)*5,11),1)),"O","X")),"")</f>
        <v/>
      </c>
      <c r="P325"/>
    </row>
    <row r="326" spans="3:16" ht="20.100000000000001" customHeight="1">
      <c r="C326" s="444"/>
      <c r="N326" s="462" t="str">
        <f t="shared" si="31"/>
        <v/>
      </c>
      <c r="P326"/>
    </row>
    <row r="327" spans="3:16" ht="20.100000000000001" customHeight="1">
      <c r="C327" s="444"/>
      <c r="N327" s="462" t="str">
        <f t="shared" si="31"/>
        <v/>
      </c>
      <c r="P327"/>
    </row>
    <row r="328" spans="3:16" ht="20.100000000000001" customHeight="1">
      <c r="C328" s="444"/>
      <c r="N328" s="462" t="str">
        <f t="shared" si="31"/>
        <v/>
      </c>
      <c r="P328"/>
    </row>
    <row r="329" spans="3:16" ht="20.100000000000001" customHeight="1">
      <c r="C329" s="444"/>
      <c r="N329" s="462" t="str">
        <f t="shared" si="31"/>
        <v/>
      </c>
      <c r="P329"/>
    </row>
    <row r="330" spans="3:16" ht="20.100000000000001" customHeight="1">
      <c r="C330" s="444"/>
      <c r="N330" s="462" t="str">
        <f t="shared" si="31"/>
        <v/>
      </c>
      <c r="P330"/>
    </row>
    <row r="331" spans="3:16" ht="20.100000000000001" customHeight="1">
      <c r="C331" s="444"/>
      <c r="N331" s="462" t="str">
        <f t="shared" si="31"/>
        <v/>
      </c>
      <c r="P331"/>
    </row>
    <row r="332" spans="3:16" ht="20.100000000000001" customHeight="1">
      <c r="C332" s="444"/>
      <c r="N332" s="462" t="str">
        <f t="shared" si="31"/>
        <v/>
      </c>
      <c r="P332"/>
    </row>
    <row r="333" spans="3:16" ht="20.100000000000001" customHeight="1">
      <c r="C333" s="444"/>
      <c r="N333" s="462" t="str">
        <f t="shared" si="31"/>
        <v/>
      </c>
      <c r="P333"/>
    </row>
    <row r="334" spans="3:16" ht="20.100000000000001" customHeight="1">
      <c r="C334" s="444"/>
      <c r="N334" s="462" t="str">
        <f t="shared" si="31"/>
        <v/>
      </c>
      <c r="P334"/>
    </row>
    <row r="335" spans="3:16" ht="20.100000000000001" customHeight="1">
      <c r="C335" s="444"/>
      <c r="N335" s="462" t="str">
        <f t="shared" si="31"/>
        <v/>
      </c>
      <c r="P335"/>
    </row>
    <row r="336" spans="3:16" ht="20.100000000000001" customHeight="1">
      <c r="C336" s="444"/>
      <c r="N336" s="462" t="str">
        <f t="shared" si="31"/>
        <v/>
      </c>
      <c r="P336"/>
    </row>
    <row r="337" spans="3:16" ht="20.100000000000001" customHeight="1">
      <c r="C337" s="444"/>
      <c r="N337" s="462" t="str">
        <f t="shared" si="31"/>
        <v/>
      </c>
      <c r="P337"/>
    </row>
    <row r="338" spans="3:16" ht="20.100000000000001" customHeight="1">
      <c r="C338" s="444"/>
      <c r="N338" s="462" t="str">
        <f t="shared" si="31"/>
        <v/>
      </c>
      <c r="P338"/>
    </row>
    <row r="339" spans="3:16" ht="20.100000000000001" customHeight="1">
      <c r="C339" s="444"/>
      <c r="N339" s="462" t="str">
        <f t="shared" si="31"/>
        <v/>
      </c>
      <c r="P339"/>
    </row>
    <row r="340" spans="3:16" ht="20.100000000000001" customHeight="1">
      <c r="C340" s="444"/>
      <c r="N340" s="462" t="str">
        <f t="shared" si="31"/>
        <v/>
      </c>
      <c r="P340"/>
    </row>
    <row r="341" spans="3:16" ht="20.100000000000001" customHeight="1">
      <c r="C341" s="444"/>
      <c r="N341" s="462" t="str">
        <f t="shared" si="31"/>
        <v/>
      </c>
      <c r="P341"/>
    </row>
    <row r="342" spans="3:16" ht="20.100000000000001" customHeight="1">
      <c r="C342" s="444"/>
      <c r="N342" s="462" t="str">
        <f t="shared" si="31"/>
        <v/>
      </c>
      <c r="P342"/>
    </row>
    <row r="343" spans="3:16" ht="20.100000000000001" customHeight="1">
      <c r="C343" s="444"/>
      <c r="N343" s="462" t="str">
        <f t="shared" si="31"/>
        <v/>
      </c>
      <c r="P343"/>
    </row>
    <row r="344" spans="3:16" ht="20.100000000000001" customHeight="1">
      <c r="C344" s="444"/>
      <c r="N344" s="462" t="str">
        <f t="shared" si="31"/>
        <v/>
      </c>
      <c r="P344"/>
    </row>
    <row r="345" spans="3:16" ht="20.100000000000001" customHeight="1">
      <c r="C345" s="444"/>
      <c r="N345" s="462" t="str">
        <f t="shared" si="31"/>
        <v/>
      </c>
      <c r="P345"/>
    </row>
    <row r="346" spans="3:16" ht="20.100000000000001" customHeight="1">
      <c r="C346" s="444"/>
      <c r="N346" s="462" t="str">
        <f t="shared" si="31"/>
        <v/>
      </c>
      <c r="P346"/>
    </row>
    <row r="347" spans="3:16" ht="20.100000000000001" customHeight="1">
      <c r="C347" s="444"/>
      <c r="N347" s="462" t="str">
        <f t="shared" si="31"/>
        <v/>
      </c>
      <c r="P347"/>
    </row>
    <row r="348" spans="3:16" ht="20.100000000000001" customHeight="1">
      <c r="C348" s="444"/>
      <c r="N348" s="462" t="str">
        <f t="shared" si="31"/>
        <v/>
      </c>
      <c r="P348"/>
    </row>
    <row r="349" spans="3:16" ht="20.100000000000001" customHeight="1">
      <c r="C349" s="444"/>
      <c r="N349" s="462" t="str">
        <f t="shared" si="31"/>
        <v/>
      </c>
      <c r="P349"/>
    </row>
    <row r="350" spans="3:16" ht="20.100000000000001" customHeight="1">
      <c r="C350" s="444"/>
      <c r="N350" s="462" t="str">
        <f t="shared" si="31"/>
        <v/>
      </c>
      <c r="P350"/>
    </row>
    <row r="351" spans="3:16" ht="20.100000000000001" customHeight="1">
      <c r="C351" s="444"/>
      <c r="N351" s="462" t="str">
        <f t="shared" si="31"/>
        <v/>
      </c>
      <c r="P351"/>
    </row>
    <row r="352" spans="3:16" ht="20.100000000000001" customHeight="1">
      <c r="C352" s="444"/>
      <c r="N352" s="462" t="str">
        <f t="shared" si="31"/>
        <v/>
      </c>
      <c r="P352"/>
    </row>
    <row r="353" spans="3:16" ht="20.100000000000001" customHeight="1">
      <c r="C353" s="444"/>
      <c r="N353" s="462" t="str">
        <f t="shared" si="31"/>
        <v/>
      </c>
      <c r="P353"/>
    </row>
    <row r="354" spans="3:16" ht="20.100000000000001" customHeight="1">
      <c r="C354" s="444"/>
      <c r="N354" s="462" t="str">
        <f t="shared" si="31"/>
        <v/>
      </c>
      <c r="P354"/>
    </row>
    <row r="355" spans="3:16" ht="20.100000000000001" customHeight="1">
      <c r="C355" s="444"/>
      <c r="N355" s="462" t="str">
        <f t="shared" si="31"/>
        <v/>
      </c>
      <c r="P355"/>
    </row>
    <row r="356" spans="3:16" ht="20.100000000000001" customHeight="1">
      <c r="C356" s="444"/>
      <c r="N356" s="462" t="str">
        <f t="shared" si="31"/>
        <v/>
      </c>
      <c r="P356"/>
    </row>
    <row r="357" spans="3:16" ht="20.100000000000001" customHeight="1">
      <c r="C357" s="444"/>
      <c r="N357" s="462" t="str">
        <f t="shared" si="31"/>
        <v/>
      </c>
      <c r="P357"/>
    </row>
    <row r="358" spans="3:16" ht="20.100000000000001" customHeight="1">
      <c r="C358" s="444"/>
      <c r="N358" s="462" t="str">
        <f t="shared" si="31"/>
        <v/>
      </c>
      <c r="P358"/>
    </row>
    <row r="359" spans="3:16" ht="20.100000000000001" customHeight="1">
      <c r="C359" s="444"/>
      <c r="N359" s="462" t="str">
        <f t="shared" si="31"/>
        <v/>
      </c>
      <c r="P359"/>
    </row>
    <row r="360" spans="3:16" ht="20.100000000000001" customHeight="1">
      <c r="C360" s="444"/>
      <c r="N360" s="462" t="str">
        <f t="shared" si="31"/>
        <v/>
      </c>
      <c r="P360"/>
    </row>
    <row r="361" spans="3:16" ht="20.100000000000001" customHeight="1">
      <c r="C361" s="444"/>
      <c r="N361" s="462" t="str">
        <f t="shared" si="31"/>
        <v/>
      </c>
      <c r="P361"/>
    </row>
    <row r="362" spans="3:16" ht="20.100000000000001" customHeight="1">
      <c r="C362" s="444"/>
      <c r="N362" s="462" t="str">
        <f t="shared" si="31"/>
        <v/>
      </c>
      <c r="P362"/>
    </row>
    <row r="363" spans="3:16" ht="20.100000000000001" customHeight="1">
      <c r="C363" s="444"/>
      <c r="N363" s="462" t="str">
        <f t="shared" si="31"/>
        <v/>
      </c>
      <c r="P363"/>
    </row>
    <row r="364" spans="3:16" ht="20.100000000000001" customHeight="1">
      <c r="C364" s="444"/>
      <c r="N364" s="462" t="str">
        <f t="shared" si="31"/>
        <v/>
      </c>
      <c r="P364"/>
    </row>
    <row r="365" spans="3:16" ht="20.100000000000001" customHeight="1">
      <c r="C365" s="444"/>
      <c r="N365" s="462" t="str">
        <f t="shared" si="31"/>
        <v/>
      </c>
      <c r="P365"/>
    </row>
    <row r="366" spans="3:16" ht="20.100000000000001" customHeight="1">
      <c r="C366" s="444"/>
      <c r="N366" s="462" t="str">
        <f t="shared" si="31"/>
        <v/>
      </c>
      <c r="P366"/>
    </row>
    <row r="367" spans="3:16" ht="20.100000000000001" customHeight="1">
      <c r="C367" s="444"/>
      <c r="N367" s="462" t="str">
        <f t="shared" si="31"/>
        <v/>
      </c>
      <c r="P367"/>
    </row>
    <row r="368" spans="3:16" ht="20.100000000000001" customHeight="1">
      <c r="C368" s="444"/>
      <c r="N368" s="462" t="str">
        <f t="shared" si="31"/>
        <v/>
      </c>
      <c r="P368"/>
    </row>
    <row r="369" spans="3:16" ht="20.100000000000001" customHeight="1">
      <c r="C369" s="444"/>
      <c r="N369" s="462" t="str">
        <f t="shared" si="31"/>
        <v/>
      </c>
      <c r="P369"/>
    </row>
    <row r="370" spans="3:16" ht="20.100000000000001" customHeight="1">
      <c r="C370" s="444"/>
      <c r="N370" s="462" t="str">
        <f t="shared" si="31"/>
        <v/>
      </c>
      <c r="P370"/>
    </row>
    <row r="371" spans="3:16" ht="20.100000000000001" customHeight="1">
      <c r="C371" s="444"/>
      <c r="N371" s="462" t="str">
        <f t="shared" si="31"/>
        <v/>
      </c>
      <c r="P371"/>
    </row>
    <row r="372" spans="3:16" ht="20.100000000000001" customHeight="1">
      <c r="C372" s="444"/>
      <c r="N372" s="462" t="str">
        <f t="shared" si="31"/>
        <v/>
      </c>
      <c r="P372"/>
    </row>
    <row r="373" spans="3:16" ht="20.100000000000001" customHeight="1">
      <c r="C373" s="444"/>
      <c r="N373" s="462" t="str">
        <f t="shared" si="31"/>
        <v/>
      </c>
      <c r="P373"/>
    </row>
    <row r="374" spans="3:16" ht="20.100000000000001" customHeight="1">
      <c r="C374" s="444"/>
      <c r="N374" s="462" t="str">
        <f t="shared" si="31"/>
        <v/>
      </c>
      <c r="P374"/>
    </row>
    <row r="375" spans="3:16" ht="20.100000000000001" customHeight="1">
      <c r="C375" s="444"/>
      <c r="N375" s="462" t="str">
        <f t="shared" si="31"/>
        <v/>
      </c>
      <c r="P375"/>
    </row>
    <row r="376" spans="3:16" ht="20.100000000000001" customHeight="1">
      <c r="C376" s="444"/>
      <c r="N376" s="462" t="str">
        <f t="shared" si="31"/>
        <v/>
      </c>
      <c r="P376"/>
    </row>
    <row r="377" spans="3:16" ht="20.100000000000001" customHeight="1">
      <c r="C377" s="444"/>
      <c r="N377" s="462" t="str">
        <f t="shared" si="31"/>
        <v/>
      </c>
      <c r="P377"/>
    </row>
    <row r="378" spans="3:16" ht="20.100000000000001" customHeight="1">
      <c r="C378" s="444"/>
      <c r="N378" s="462" t="str">
        <f t="shared" si="31"/>
        <v/>
      </c>
      <c r="P378"/>
    </row>
    <row r="379" spans="3:16" ht="20.100000000000001" customHeight="1">
      <c r="C379" s="444"/>
      <c r="N379" s="462" t="str">
        <f t="shared" si="31"/>
        <v/>
      </c>
      <c r="P379"/>
    </row>
    <row r="380" spans="3:16" ht="20.100000000000001" customHeight="1">
      <c r="C380" s="444"/>
      <c r="N380" s="462" t="str">
        <f t="shared" si="31"/>
        <v/>
      </c>
      <c r="P380"/>
    </row>
    <row r="381" spans="3:16" ht="20.100000000000001" customHeight="1">
      <c r="C381" s="444"/>
      <c r="N381" s="462" t="str">
        <f t="shared" si="31"/>
        <v/>
      </c>
      <c r="P381"/>
    </row>
    <row r="382" spans="3:16" ht="20.100000000000001" customHeight="1">
      <c r="C382" s="444"/>
      <c r="N382" s="462" t="str">
        <f t="shared" si="31"/>
        <v/>
      </c>
      <c r="P382"/>
    </row>
    <row r="383" spans="3:16" ht="20.100000000000001" customHeight="1">
      <c r="C383" s="444"/>
      <c r="N383" s="462" t="str">
        <f t="shared" si="31"/>
        <v/>
      </c>
      <c r="P383"/>
    </row>
    <row r="384" spans="3:16" ht="20.100000000000001" customHeight="1">
      <c r="C384" s="444"/>
      <c r="N384" s="462" t="str">
        <f t="shared" si="31"/>
        <v/>
      </c>
      <c r="P384"/>
    </row>
    <row r="385" spans="3:16" ht="20.100000000000001" customHeight="1">
      <c r="C385" s="444"/>
      <c r="N385" s="462" t="str">
        <f t="shared" si="31"/>
        <v/>
      </c>
      <c r="P385"/>
    </row>
    <row r="386" spans="3:16" ht="20.100000000000001" customHeight="1">
      <c r="C386" s="444"/>
      <c r="N386" s="462" t="str">
        <f t="shared" si="31"/>
        <v/>
      </c>
      <c r="P386"/>
    </row>
    <row r="387" spans="3:16" ht="20.100000000000001" customHeight="1">
      <c r="C387" s="444"/>
      <c r="N387" s="462" t="str">
        <f t="shared" si="31"/>
        <v/>
      </c>
      <c r="P387"/>
    </row>
    <row r="388" spans="3:16" ht="20.100000000000001" customHeight="1">
      <c r="C388" s="444"/>
      <c r="N388" s="462" t="str">
        <f t="shared" si="31"/>
        <v/>
      </c>
      <c r="P388"/>
    </row>
    <row r="389" spans="3:16" ht="20.100000000000001" customHeight="1">
      <c r="C389" s="444"/>
      <c r="N389" s="462" t="str">
        <f t="shared" ref="N389:N452" si="32">IFERROR(IF(MID(C389,8,1)&gt;="5",IF(RIGHT(C389,1)=(RIGHT(13-MOD(MID(C389,1,1)*2+MID(C389,2,1)*3+MID(C389,3,1)*4+MID(C389,4,1)*5+MID(C389,5,1)*6+MID(C389,6,1)*7+MID(C389,8,1)*8+MID(C389,9,1)*9+MID(C389,10,1)*2+MID(C389,11,1)*3+MID(C389,12,1)*4+MID(C389,13,1)*5,11),1)),"O","X"),IF(RIGHT(C389,1)=(RIGHT(11-MOD(MID(C389,1,1)*2+MID(C389,2,1)*3+MID(C389,3,1)*4+MID(C389,4,1)*5+MID(C389,5,1)*6+MID(C389,6,1)*7+MID(C389,8,1)*8+MID(C389,9,1)*9+MID(C389,10,1)*2+MID(C389,11,1)*3+MID(C389,12,1)*4+MID(C389,13,1)*5,11),1)),"O","X")),"")</f>
        <v/>
      </c>
      <c r="P389"/>
    </row>
    <row r="390" spans="3:16" ht="20.100000000000001" customHeight="1">
      <c r="C390" s="444"/>
      <c r="N390" s="462" t="str">
        <f t="shared" si="32"/>
        <v/>
      </c>
      <c r="P390"/>
    </row>
    <row r="391" spans="3:16" ht="20.100000000000001" customHeight="1">
      <c r="C391" s="444"/>
      <c r="N391" s="462" t="str">
        <f t="shared" si="32"/>
        <v/>
      </c>
      <c r="P391"/>
    </row>
    <row r="392" spans="3:16" ht="20.100000000000001" customHeight="1">
      <c r="C392" s="444"/>
      <c r="N392" s="462" t="str">
        <f t="shared" si="32"/>
        <v/>
      </c>
      <c r="P392"/>
    </row>
    <row r="393" spans="3:16" ht="20.100000000000001" customHeight="1">
      <c r="C393" s="444"/>
      <c r="N393" s="462" t="str">
        <f t="shared" si="32"/>
        <v/>
      </c>
      <c r="P393"/>
    </row>
    <row r="394" spans="3:16" ht="20.100000000000001" customHeight="1">
      <c r="C394" s="444"/>
      <c r="N394" s="462" t="str">
        <f t="shared" si="32"/>
        <v/>
      </c>
      <c r="P394"/>
    </row>
    <row r="395" spans="3:16" ht="20.100000000000001" customHeight="1">
      <c r="C395" s="444"/>
      <c r="N395" s="462" t="str">
        <f t="shared" si="32"/>
        <v/>
      </c>
      <c r="P395"/>
    </row>
    <row r="396" spans="3:16" ht="20.100000000000001" customHeight="1">
      <c r="C396" s="444"/>
      <c r="N396" s="462" t="str">
        <f t="shared" si="32"/>
        <v/>
      </c>
      <c r="P396"/>
    </row>
    <row r="397" spans="3:16" ht="20.100000000000001" customHeight="1">
      <c r="C397" s="444"/>
      <c r="N397" s="462" t="str">
        <f t="shared" si="32"/>
        <v/>
      </c>
      <c r="P397"/>
    </row>
    <row r="398" spans="3:16" ht="20.100000000000001" customHeight="1">
      <c r="C398" s="444"/>
      <c r="N398" s="462" t="str">
        <f t="shared" si="32"/>
        <v/>
      </c>
      <c r="P398"/>
    </row>
    <row r="399" spans="3:16" ht="20.100000000000001" customHeight="1">
      <c r="C399" s="444"/>
      <c r="N399" s="462" t="str">
        <f t="shared" si="32"/>
        <v/>
      </c>
      <c r="P399"/>
    </row>
    <row r="400" spans="3:16" ht="20.100000000000001" customHeight="1">
      <c r="C400" s="444"/>
      <c r="N400" s="462" t="str">
        <f t="shared" si="32"/>
        <v/>
      </c>
      <c r="P400"/>
    </row>
    <row r="401" spans="3:16" ht="20.100000000000001" customHeight="1">
      <c r="C401" s="444"/>
      <c r="N401" s="462" t="str">
        <f t="shared" si="32"/>
        <v/>
      </c>
      <c r="P401"/>
    </row>
    <row r="402" spans="3:16" ht="20.100000000000001" customHeight="1">
      <c r="C402" s="444"/>
      <c r="N402" s="462" t="str">
        <f t="shared" si="32"/>
        <v/>
      </c>
      <c r="P402"/>
    </row>
    <row r="403" spans="3:16" ht="20.100000000000001" customHeight="1">
      <c r="C403" s="444"/>
      <c r="N403" s="462" t="str">
        <f t="shared" si="32"/>
        <v/>
      </c>
      <c r="P403"/>
    </row>
    <row r="404" spans="3:16" ht="20.100000000000001" customHeight="1">
      <c r="C404" s="444"/>
      <c r="N404" s="462" t="str">
        <f t="shared" si="32"/>
        <v/>
      </c>
      <c r="P404"/>
    </row>
    <row r="405" spans="3:16" ht="20.100000000000001" customHeight="1">
      <c r="C405" s="444"/>
      <c r="N405" s="462" t="str">
        <f t="shared" si="32"/>
        <v/>
      </c>
      <c r="P405"/>
    </row>
    <row r="406" spans="3:16" ht="20.100000000000001" customHeight="1">
      <c r="C406" s="444"/>
      <c r="N406" s="462" t="str">
        <f t="shared" si="32"/>
        <v/>
      </c>
      <c r="P406"/>
    </row>
    <row r="407" spans="3:16" ht="20.100000000000001" customHeight="1">
      <c r="C407" s="444"/>
      <c r="N407" s="462" t="str">
        <f t="shared" si="32"/>
        <v/>
      </c>
      <c r="P407"/>
    </row>
    <row r="408" spans="3:16" ht="20.100000000000001" customHeight="1">
      <c r="C408" s="444"/>
      <c r="N408" s="462" t="str">
        <f t="shared" si="32"/>
        <v/>
      </c>
      <c r="P408"/>
    </row>
    <row r="409" spans="3:16" ht="20.100000000000001" customHeight="1">
      <c r="C409" s="444"/>
      <c r="N409" s="462" t="str">
        <f t="shared" si="32"/>
        <v/>
      </c>
      <c r="P409"/>
    </row>
    <row r="410" spans="3:16" ht="20.100000000000001" customHeight="1">
      <c r="C410" s="444"/>
      <c r="N410" s="462" t="str">
        <f t="shared" si="32"/>
        <v/>
      </c>
      <c r="P410"/>
    </row>
    <row r="411" spans="3:16" ht="20.100000000000001" customHeight="1">
      <c r="C411" s="444"/>
      <c r="N411" s="462" t="str">
        <f t="shared" si="32"/>
        <v/>
      </c>
      <c r="P411"/>
    </row>
    <row r="412" spans="3:16" ht="20.100000000000001" customHeight="1">
      <c r="C412" s="444"/>
      <c r="N412" s="462" t="str">
        <f t="shared" si="32"/>
        <v/>
      </c>
      <c r="P412"/>
    </row>
    <row r="413" spans="3:16" ht="20.100000000000001" customHeight="1">
      <c r="C413" s="444"/>
      <c r="N413" s="462" t="str">
        <f t="shared" si="32"/>
        <v/>
      </c>
      <c r="P413"/>
    </row>
    <row r="414" spans="3:16" ht="20.100000000000001" customHeight="1">
      <c r="C414" s="444"/>
      <c r="N414" s="462" t="str">
        <f t="shared" si="32"/>
        <v/>
      </c>
      <c r="P414"/>
    </row>
    <row r="415" spans="3:16" ht="20.100000000000001" customHeight="1">
      <c r="C415" s="444"/>
      <c r="N415" s="462" t="str">
        <f t="shared" si="32"/>
        <v/>
      </c>
      <c r="P415"/>
    </row>
    <row r="416" spans="3:16" ht="20.100000000000001" customHeight="1">
      <c r="C416" s="444"/>
      <c r="N416" s="462" t="str">
        <f t="shared" si="32"/>
        <v/>
      </c>
      <c r="P416"/>
    </row>
    <row r="417" spans="3:16" ht="20.100000000000001" customHeight="1">
      <c r="C417" s="444"/>
      <c r="N417" s="462" t="str">
        <f t="shared" si="32"/>
        <v/>
      </c>
      <c r="P417"/>
    </row>
    <row r="418" spans="3:16" ht="20.100000000000001" customHeight="1">
      <c r="C418" s="444"/>
      <c r="N418" s="462" t="str">
        <f t="shared" si="32"/>
        <v/>
      </c>
      <c r="P418"/>
    </row>
    <row r="419" spans="3:16" ht="20.100000000000001" customHeight="1">
      <c r="C419" s="444"/>
      <c r="N419" s="462" t="str">
        <f t="shared" si="32"/>
        <v/>
      </c>
      <c r="P419"/>
    </row>
    <row r="420" spans="3:16" ht="20.100000000000001" customHeight="1">
      <c r="C420" s="444"/>
      <c r="N420" s="462" t="str">
        <f t="shared" si="32"/>
        <v/>
      </c>
      <c r="P420"/>
    </row>
    <row r="421" spans="3:16" ht="20.100000000000001" customHeight="1">
      <c r="C421" s="444"/>
      <c r="N421" s="462" t="str">
        <f t="shared" si="32"/>
        <v/>
      </c>
      <c r="P421"/>
    </row>
    <row r="422" spans="3:16" ht="20.100000000000001" customHeight="1">
      <c r="C422" s="444"/>
      <c r="N422" s="462" t="str">
        <f t="shared" si="32"/>
        <v/>
      </c>
      <c r="P422"/>
    </row>
    <row r="423" spans="3:16" ht="20.100000000000001" customHeight="1">
      <c r="C423" s="444"/>
      <c r="N423" s="462" t="str">
        <f t="shared" si="32"/>
        <v/>
      </c>
      <c r="P423"/>
    </row>
    <row r="424" spans="3:16" ht="20.100000000000001" customHeight="1">
      <c r="C424" s="444"/>
      <c r="N424" s="462" t="str">
        <f t="shared" si="32"/>
        <v/>
      </c>
      <c r="P424"/>
    </row>
    <row r="425" spans="3:16" ht="20.100000000000001" customHeight="1">
      <c r="C425" s="444"/>
      <c r="N425" s="462" t="str">
        <f t="shared" si="32"/>
        <v/>
      </c>
      <c r="P425"/>
    </row>
    <row r="426" spans="3:16" ht="20.100000000000001" customHeight="1">
      <c r="C426" s="444"/>
      <c r="N426" s="462" t="str">
        <f t="shared" si="32"/>
        <v/>
      </c>
      <c r="P426"/>
    </row>
    <row r="427" spans="3:16" ht="20.100000000000001" customHeight="1">
      <c r="C427" s="444"/>
      <c r="N427" s="462" t="str">
        <f t="shared" si="32"/>
        <v/>
      </c>
      <c r="P427"/>
    </row>
    <row r="428" spans="3:16" ht="20.100000000000001" customHeight="1">
      <c r="C428" s="444"/>
      <c r="N428" s="462" t="str">
        <f t="shared" si="32"/>
        <v/>
      </c>
      <c r="P428"/>
    </row>
    <row r="429" spans="3:16" ht="20.100000000000001" customHeight="1">
      <c r="C429" s="444"/>
      <c r="N429" s="462" t="str">
        <f t="shared" si="32"/>
        <v/>
      </c>
      <c r="P429"/>
    </row>
    <row r="430" spans="3:16" ht="20.100000000000001" customHeight="1">
      <c r="C430" s="444"/>
      <c r="N430" s="462" t="str">
        <f t="shared" si="32"/>
        <v/>
      </c>
      <c r="P430"/>
    </row>
    <row r="431" spans="3:16" ht="20.100000000000001" customHeight="1">
      <c r="C431" s="444"/>
      <c r="N431" s="462" t="str">
        <f t="shared" si="32"/>
        <v/>
      </c>
      <c r="P431"/>
    </row>
    <row r="432" spans="3:16" ht="20.100000000000001" customHeight="1">
      <c r="C432" s="444"/>
      <c r="N432" s="462" t="str">
        <f t="shared" si="32"/>
        <v/>
      </c>
      <c r="P432"/>
    </row>
    <row r="433" spans="3:16" ht="20.100000000000001" customHeight="1">
      <c r="C433" s="444"/>
      <c r="N433" s="462" t="str">
        <f t="shared" si="32"/>
        <v/>
      </c>
      <c r="P433"/>
    </row>
    <row r="434" spans="3:16" ht="20.100000000000001" customHeight="1">
      <c r="C434" s="444"/>
      <c r="N434" s="462" t="str">
        <f t="shared" si="32"/>
        <v/>
      </c>
      <c r="P434"/>
    </row>
    <row r="435" spans="3:16" ht="20.100000000000001" customHeight="1">
      <c r="C435" s="444"/>
      <c r="N435" s="462" t="str">
        <f t="shared" si="32"/>
        <v/>
      </c>
      <c r="P435"/>
    </row>
    <row r="436" spans="3:16" ht="20.100000000000001" customHeight="1">
      <c r="C436" s="444"/>
      <c r="N436" s="462" t="str">
        <f t="shared" si="32"/>
        <v/>
      </c>
      <c r="P436"/>
    </row>
    <row r="437" spans="3:16" ht="20.100000000000001" customHeight="1">
      <c r="C437" s="444"/>
      <c r="N437" s="462" t="str">
        <f t="shared" si="32"/>
        <v/>
      </c>
      <c r="P437"/>
    </row>
    <row r="438" spans="3:16" ht="20.100000000000001" customHeight="1">
      <c r="C438" s="444"/>
      <c r="N438" s="462" t="str">
        <f t="shared" si="32"/>
        <v/>
      </c>
      <c r="P438"/>
    </row>
    <row r="439" spans="3:16" ht="20.100000000000001" customHeight="1">
      <c r="C439" s="444"/>
      <c r="N439" s="462" t="str">
        <f t="shared" si="32"/>
        <v/>
      </c>
      <c r="P439"/>
    </row>
    <row r="440" spans="3:16" ht="20.100000000000001" customHeight="1">
      <c r="C440" s="444"/>
      <c r="N440" s="462" t="str">
        <f t="shared" si="32"/>
        <v/>
      </c>
      <c r="P440"/>
    </row>
    <row r="441" spans="3:16" ht="20.100000000000001" customHeight="1">
      <c r="C441" s="444"/>
      <c r="N441" s="462" t="str">
        <f t="shared" si="32"/>
        <v/>
      </c>
      <c r="P441"/>
    </row>
    <row r="442" spans="3:16" ht="20.100000000000001" customHeight="1">
      <c r="C442" s="444"/>
      <c r="N442" s="462" t="str">
        <f t="shared" si="32"/>
        <v/>
      </c>
      <c r="P442"/>
    </row>
    <row r="443" spans="3:16" ht="20.100000000000001" customHeight="1">
      <c r="C443" s="444"/>
      <c r="N443" s="462" t="str">
        <f t="shared" si="32"/>
        <v/>
      </c>
      <c r="P443"/>
    </row>
    <row r="444" spans="3:16" ht="20.100000000000001" customHeight="1">
      <c r="C444" s="444"/>
      <c r="N444" s="462" t="str">
        <f t="shared" si="32"/>
        <v/>
      </c>
      <c r="P444"/>
    </row>
    <row r="445" spans="3:16" ht="20.100000000000001" customHeight="1">
      <c r="C445" s="444"/>
      <c r="N445" s="462" t="str">
        <f t="shared" si="32"/>
        <v/>
      </c>
      <c r="P445"/>
    </row>
    <row r="446" spans="3:16" ht="20.100000000000001" customHeight="1">
      <c r="C446" s="444"/>
      <c r="N446" s="462" t="str">
        <f t="shared" si="32"/>
        <v/>
      </c>
      <c r="P446"/>
    </row>
    <row r="447" spans="3:16" ht="20.100000000000001" customHeight="1">
      <c r="C447" s="444"/>
      <c r="N447" s="462" t="str">
        <f t="shared" si="32"/>
        <v/>
      </c>
      <c r="P447"/>
    </row>
    <row r="448" spans="3:16" ht="20.100000000000001" customHeight="1">
      <c r="C448" s="444"/>
      <c r="N448" s="462" t="str">
        <f t="shared" si="32"/>
        <v/>
      </c>
      <c r="P448"/>
    </row>
    <row r="449" spans="3:16" ht="20.100000000000001" customHeight="1">
      <c r="C449" s="444"/>
      <c r="N449" s="462" t="str">
        <f t="shared" si="32"/>
        <v/>
      </c>
      <c r="P449"/>
    </row>
    <row r="450" spans="3:16" ht="20.100000000000001" customHeight="1">
      <c r="C450" s="444"/>
      <c r="N450" s="462" t="str">
        <f t="shared" si="32"/>
        <v/>
      </c>
      <c r="P450"/>
    </row>
    <row r="451" spans="3:16" ht="20.100000000000001" customHeight="1">
      <c r="C451" s="444"/>
      <c r="N451" s="462" t="str">
        <f t="shared" si="32"/>
        <v/>
      </c>
      <c r="P451"/>
    </row>
    <row r="452" spans="3:16" ht="20.100000000000001" customHeight="1">
      <c r="C452" s="444"/>
      <c r="N452" s="462" t="str">
        <f t="shared" si="32"/>
        <v/>
      </c>
      <c r="P452"/>
    </row>
    <row r="453" spans="3:16" ht="20.100000000000001" customHeight="1">
      <c r="C453" s="444"/>
      <c r="N453" s="462" t="str">
        <f t="shared" ref="N453:N480" si="33">IFERROR(IF(MID(C453,8,1)&gt;="5",IF(RIGHT(C453,1)=(RIGHT(13-MOD(MID(C453,1,1)*2+MID(C453,2,1)*3+MID(C453,3,1)*4+MID(C453,4,1)*5+MID(C453,5,1)*6+MID(C453,6,1)*7+MID(C453,8,1)*8+MID(C453,9,1)*9+MID(C453,10,1)*2+MID(C453,11,1)*3+MID(C453,12,1)*4+MID(C453,13,1)*5,11),1)),"O","X"),IF(RIGHT(C453,1)=(RIGHT(11-MOD(MID(C453,1,1)*2+MID(C453,2,1)*3+MID(C453,3,1)*4+MID(C453,4,1)*5+MID(C453,5,1)*6+MID(C453,6,1)*7+MID(C453,8,1)*8+MID(C453,9,1)*9+MID(C453,10,1)*2+MID(C453,11,1)*3+MID(C453,12,1)*4+MID(C453,13,1)*5,11),1)),"O","X")),"")</f>
        <v/>
      </c>
      <c r="P453"/>
    </row>
    <row r="454" spans="3:16" ht="20.100000000000001" customHeight="1">
      <c r="C454" s="444"/>
      <c r="N454" s="462" t="str">
        <f t="shared" si="33"/>
        <v/>
      </c>
      <c r="P454"/>
    </row>
    <row r="455" spans="3:16" ht="20.100000000000001" customHeight="1">
      <c r="C455" s="444"/>
      <c r="N455" s="462" t="str">
        <f t="shared" si="33"/>
        <v/>
      </c>
      <c r="P455"/>
    </row>
    <row r="456" spans="3:16" ht="20.100000000000001" customHeight="1">
      <c r="C456" s="444"/>
      <c r="N456" s="462" t="str">
        <f t="shared" si="33"/>
        <v/>
      </c>
      <c r="P456"/>
    </row>
    <row r="457" spans="3:16" ht="20.100000000000001" customHeight="1">
      <c r="C457" s="444"/>
      <c r="N457" s="462" t="str">
        <f t="shared" si="33"/>
        <v/>
      </c>
      <c r="P457"/>
    </row>
    <row r="458" spans="3:16" ht="20.100000000000001" customHeight="1">
      <c r="C458" s="444"/>
      <c r="N458" s="462" t="str">
        <f t="shared" si="33"/>
        <v/>
      </c>
      <c r="P458"/>
    </row>
    <row r="459" spans="3:16" ht="20.100000000000001" customHeight="1">
      <c r="C459" s="444"/>
      <c r="N459" s="462" t="str">
        <f t="shared" si="33"/>
        <v/>
      </c>
      <c r="P459"/>
    </row>
    <row r="460" spans="3:16" ht="20.100000000000001" customHeight="1">
      <c r="C460" s="444"/>
      <c r="N460" s="462" t="str">
        <f t="shared" si="33"/>
        <v/>
      </c>
      <c r="P460"/>
    </row>
    <row r="461" spans="3:16" ht="20.100000000000001" customHeight="1">
      <c r="C461" s="444"/>
      <c r="N461" s="462" t="str">
        <f t="shared" si="33"/>
        <v/>
      </c>
      <c r="P461"/>
    </row>
    <row r="462" spans="3:16" ht="20.100000000000001" customHeight="1">
      <c r="C462" s="444"/>
      <c r="N462" s="462" t="str">
        <f t="shared" si="33"/>
        <v/>
      </c>
      <c r="P462"/>
    </row>
    <row r="463" spans="3:16" ht="20.100000000000001" customHeight="1">
      <c r="C463" s="444"/>
      <c r="N463" s="462" t="str">
        <f t="shared" si="33"/>
        <v/>
      </c>
      <c r="P463"/>
    </row>
    <row r="464" spans="3:16" ht="20.100000000000001" customHeight="1">
      <c r="C464" s="444"/>
      <c r="N464" s="462" t="str">
        <f t="shared" si="33"/>
        <v/>
      </c>
      <c r="P464"/>
    </row>
    <row r="465" spans="3:16" ht="20.100000000000001" customHeight="1">
      <c r="C465" s="444"/>
      <c r="N465" s="462" t="str">
        <f t="shared" si="33"/>
        <v/>
      </c>
      <c r="P465"/>
    </row>
    <row r="466" spans="3:16" ht="20.100000000000001" customHeight="1">
      <c r="C466" s="444"/>
      <c r="N466" s="462" t="str">
        <f t="shared" si="33"/>
        <v/>
      </c>
      <c r="P466"/>
    </row>
    <row r="467" spans="3:16" ht="20.100000000000001" customHeight="1">
      <c r="C467" s="444"/>
      <c r="N467" s="462" t="str">
        <f t="shared" si="33"/>
        <v/>
      </c>
      <c r="P467"/>
    </row>
    <row r="468" spans="3:16" ht="20.100000000000001" customHeight="1">
      <c r="C468" s="444"/>
      <c r="N468" s="462" t="str">
        <f t="shared" si="33"/>
        <v/>
      </c>
      <c r="P468"/>
    </row>
    <row r="469" spans="3:16" ht="20.100000000000001" customHeight="1">
      <c r="C469" s="444"/>
      <c r="N469" s="462" t="str">
        <f t="shared" si="33"/>
        <v/>
      </c>
      <c r="P469"/>
    </row>
    <row r="470" spans="3:16" ht="20.100000000000001" customHeight="1">
      <c r="C470" s="444"/>
      <c r="N470" s="462" t="str">
        <f t="shared" si="33"/>
        <v/>
      </c>
      <c r="P470"/>
    </row>
    <row r="471" spans="3:16" ht="20.100000000000001" customHeight="1">
      <c r="C471" s="444"/>
      <c r="N471" s="462" t="str">
        <f t="shared" si="33"/>
        <v/>
      </c>
      <c r="P471"/>
    </row>
    <row r="472" spans="3:16" ht="20.100000000000001" customHeight="1">
      <c r="C472" s="444"/>
      <c r="N472" s="462" t="str">
        <f t="shared" si="33"/>
        <v/>
      </c>
      <c r="P472"/>
    </row>
    <row r="473" spans="3:16" ht="20.100000000000001" customHeight="1">
      <c r="C473" s="444"/>
      <c r="N473" s="462" t="str">
        <f t="shared" si="33"/>
        <v/>
      </c>
      <c r="P473"/>
    </row>
    <row r="474" spans="3:16" ht="20.100000000000001" customHeight="1">
      <c r="C474" s="444"/>
      <c r="N474" s="462" t="str">
        <f t="shared" si="33"/>
        <v/>
      </c>
      <c r="P474"/>
    </row>
    <row r="475" spans="3:16" ht="20.100000000000001" customHeight="1">
      <c r="N475" s="462" t="str">
        <f t="shared" si="33"/>
        <v/>
      </c>
      <c r="P475"/>
    </row>
    <row r="476" spans="3:16" ht="20.100000000000001" customHeight="1">
      <c r="N476" s="462" t="str">
        <f t="shared" si="33"/>
        <v/>
      </c>
      <c r="P476"/>
    </row>
    <row r="477" spans="3:16" ht="20.100000000000001" customHeight="1">
      <c r="N477" s="462" t="str">
        <f t="shared" si="33"/>
        <v/>
      </c>
      <c r="P477"/>
    </row>
    <row r="478" spans="3:16" ht="20.100000000000001" customHeight="1">
      <c r="N478" s="462" t="str">
        <f t="shared" si="33"/>
        <v/>
      </c>
      <c r="P478"/>
    </row>
    <row r="479" spans="3:16" ht="20.100000000000001" customHeight="1">
      <c r="N479" s="462" t="str">
        <f t="shared" si="33"/>
        <v/>
      </c>
      <c r="P479"/>
    </row>
    <row r="480" spans="3:16" ht="20.100000000000001" customHeight="1">
      <c r="N480" s="463" t="str">
        <f t="shared" si="33"/>
        <v/>
      </c>
      <c r="P480"/>
    </row>
    <row r="481" spans="16:16" ht="20.100000000000001" customHeight="1">
      <c r="P481"/>
    </row>
    <row r="482" spans="16:16" ht="20.100000000000001" customHeight="1">
      <c r="P482"/>
    </row>
    <row r="483" spans="16:16" ht="20.100000000000001" customHeight="1">
      <c r="P483"/>
    </row>
    <row r="484" spans="16:16" ht="20.100000000000001" customHeight="1">
      <c r="P484"/>
    </row>
    <row r="485" spans="16:16" ht="20.100000000000001" customHeight="1">
      <c r="P485"/>
    </row>
    <row r="486" spans="16:16" ht="20.100000000000001" customHeight="1">
      <c r="P486"/>
    </row>
    <row r="487" spans="16:16" ht="20.100000000000001" customHeight="1">
      <c r="P487"/>
    </row>
    <row r="488" spans="16:16" ht="20.100000000000001" customHeight="1">
      <c r="P488"/>
    </row>
    <row r="489" spans="16:16" ht="20.100000000000001" customHeight="1">
      <c r="P489"/>
    </row>
    <row r="490" spans="16:16" ht="20.100000000000001" customHeight="1">
      <c r="P490"/>
    </row>
    <row r="491" spans="16:16" ht="20.100000000000001" customHeight="1">
      <c r="P491"/>
    </row>
    <row r="492" spans="16:16" ht="20.100000000000001" customHeight="1">
      <c r="P492"/>
    </row>
    <row r="493" spans="16:16" ht="20.100000000000001" customHeight="1">
      <c r="P493"/>
    </row>
    <row r="494" spans="16:16" ht="20.100000000000001" customHeight="1">
      <c r="P494"/>
    </row>
    <row r="495" spans="16:16" ht="20.100000000000001" customHeight="1">
      <c r="P495"/>
    </row>
    <row r="496" spans="16:16" ht="20.100000000000001" customHeight="1">
      <c r="P496"/>
    </row>
    <row r="497" spans="16:16" ht="20.100000000000001" customHeight="1">
      <c r="P497"/>
    </row>
    <row r="498" spans="16:16" ht="20.100000000000001" customHeight="1">
      <c r="P498"/>
    </row>
    <row r="499" spans="16:16" ht="20.100000000000001" customHeight="1">
      <c r="P499"/>
    </row>
    <row r="500" spans="16:16" ht="20.100000000000001" customHeight="1">
      <c r="P500"/>
    </row>
    <row r="501" spans="16:16" ht="20.100000000000001" customHeight="1">
      <c r="P501"/>
    </row>
    <row r="502" spans="16:16" ht="20.100000000000001" customHeight="1">
      <c r="P502"/>
    </row>
    <row r="503" spans="16:16" ht="20.100000000000001" customHeight="1">
      <c r="P503"/>
    </row>
    <row r="504" spans="16:16" ht="20.100000000000001" customHeight="1">
      <c r="P504"/>
    </row>
    <row r="505" spans="16:16" ht="20.100000000000001" customHeight="1">
      <c r="P505"/>
    </row>
    <row r="506" spans="16:16" ht="20.100000000000001" customHeight="1">
      <c r="P506"/>
    </row>
    <row r="507" spans="16:16" ht="20.100000000000001" customHeight="1">
      <c r="P507"/>
    </row>
    <row r="508" spans="16:16" ht="20.100000000000001" customHeight="1">
      <c r="P508"/>
    </row>
    <row r="509" spans="16:16" ht="20.100000000000001" customHeight="1">
      <c r="P509"/>
    </row>
    <row r="510" spans="16:16" ht="20.100000000000001" customHeight="1">
      <c r="P510"/>
    </row>
    <row r="511" spans="16:16" ht="20.100000000000001" customHeight="1">
      <c r="P511"/>
    </row>
    <row r="512" spans="16:16" ht="20.100000000000001" customHeight="1">
      <c r="P512"/>
    </row>
    <row r="513" spans="16:16" ht="20.100000000000001" customHeight="1">
      <c r="P513"/>
    </row>
    <row r="514" spans="16:16" ht="20.100000000000001" customHeight="1">
      <c r="P514"/>
    </row>
    <row r="515" spans="16:16" ht="20.100000000000001" customHeight="1">
      <c r="P515"/>
    </row>
    <row r="516" spans="16:16" ht="20.100000000000001" customHeight="1">
      <c r="P516"/>
    </row>
    <row r="517" spans="16:16" ht="20.100000000000001" customHeight="1">
      <c r="P517"/>
    </row>
    <row r="518" spans="16:16" ht="20.100000000000001" customHeight="1">
      <c r="P518"/>
    </row>
    <row r="519" spans="16:16" ht="20.100000000000001" customHeight="1">
      <c r="P519"/>
    </row>
    <row r="520" spans="16:16" ht="20.100000000000001" customHeight="1">
      <c r="P520"/>
    </row>
    <row r="521" spans="16:16" ht="20.100000000000001" customHeight="1">
      <c r="P521"/>
    </row>
    <row r="522" spans="16:16" ht="20.100000000000001" customHeight="1">
      <c r="P522"/>
    </row>
    <row r="523" spans="16:16" ht="20.100000000000001" customHeight="1">
      <c r="P523"/>
    </row>
    <row r="524" spans="16:16" ht="20.100000000000001" customHeight="1">
      <c r="P524"/>
    </row>
    <row r="525" spans="16:16" ht="20.100000000000001" customHeight="1">
      <c r="P525"/>
    </row>
    <row r="526" spans="16:16" ht="20.100000000000001" customHeight="1">
      <c r="P526"/>
    </row>
    <row r="527" spans="16:16" ht="20.100000000000001" customHeight="1">
      <c r="P527"/>
    </row>
    <row r="528" spans="16:16" ht="20.100000000000001" customHeight="1">
      <c r="P528"/>
    </row>
    <row r="529" spans="16:16" ht="20.100000000000001" customHeight="1">
      <c r="P529"/>
    </row>
    <row r="530" spans="16:16" ht="20.100000000000001" customHeight="1">
      <c r="P530"/>
    </row>
    <row r="531" spans="16:16" ht="20.100000000000001" customHeight="1">
      <c r="P531"/>
    </row>
    <row r="532" spans="16:16" ht="20.100000000000001" customHeight="1">
      <c r="P532"/>
    </row>
    <row r="533" spans="16:16" ht="20.100000000000001" customHeight="1">
      <c r="P533"/>
    </row>
    <row r="534" spans="16:16" ht="20.100000000000001" customHeight="1">
      <c r="P534"/>
    </row>
    <row r="535" spans="16:16" ht="20.100000000000001" customHeight="1">
      <c r="P535"/>
    </row>
    <row r="536" spans="16:16" ht="20.100000000000001" customHeight="1">
      <c r="P536"/>
    </row>
    <row r="537" spans="16:16" ht="20.100000000000001" customHeight="1">
      <c r="P537"/>
    </row>
    <row r="538" spans="16:16" ht="20.100000000000001" customHeight="1">
      <c r="P538"/>
    </row>
    <row r="539" spans="16:16" ht="20.100000000000001" customHeight="1">
      <c r="P539"/>
    </row>
    <row r="540" spans="16:16" ht="20.100000000000001" customHeight="1">
      <c r="P540"/>
    </row>
    <row r="541" spans="16:16" ht="20.100000000000001" customHeight="1">
      <c r="P541"/>
    </row>
    <row r="542" spans="16:16" ht="20.100000000000001" customHeight="1">
      <c r="P542"/>
    </row>
    <row r="543" spans="16:16" ht="20.100000000000001" customHeight="1">
      <c r="P543"/>
    </row>
    <row r="544" spans="16:16" ht="20.100000000000001" customHeight="1">
      <c r="P544"/>
    </row>
    <row r="545" spans="16:17" ht="20.100000000000001" customHeight="1">
      <c r="P545"/>
    </row>
    <row r="546" spans="16:17" ht="20.100000000000001" customHeight="1">
      <c r="P546"/>
    </row>
    <row r="547" spans="16:17" ht="20.100000000000001" customHeight="1">
      <c r="P547"/>
    </row>
    <row r="548" spans="16:17" ht="20.100000000000001" customHeight="1">
      <c r="P548"/>
    </row>
    <row r="549" spans="16:17" ht="20.100000000000001" customHeight="1">
      <c r="P549"/>
    </row>
    <row r="550" spans="16:17" ht="20.100000000000001" customHeight="1">
      <c r="P550"/>
    </row>
    <row r="551" spans="16:17" ht="20.100000000000001" customHeight="1">
      <c r="P551"/>
    </row>
    <row r="552" spans="16:17" ht="20.100000000000001" customHeight="1">
      <c r="P552"/>
    </row>
    <row r="553" spans="16:17" ht="20.100000000000001" customHeight="1">
      <c r="P553"/>
    </row>
    <row r="554" spans="16:17" ht="20.100000000000001" customHeight="1">
      <c r="P554"/>
      <c r="Q554"/>
    </row>
    <row r="555" spans="16:17" ht="20.100000000000001" customHeight="1">
      <c r="P555"/>
      <c r="Q555"/>
    </row>
    <row r="556" spans="16:17" ht="20.100000000000001" customHeight="1">
      <c r="P556"/>
      <c r="Q556"/>
    </row>
    <row r="557" spans="16:17" ht="20.100000000000001" customHeight="1">
      <c r="P557"/>
      <c r="Q557"/>
    </row>
    <row r="558" spans="16:17" ht="20.100000000000001" customHeight="1">
      <c r="P558"/>
      <c r="Q558"/>
    </row>
    <row r="559" spans="16:17" ht="20.100000000000001" customHeight="1">
      <c r="P559"/>
      <c r="Q559"/>
    </row>
    <row r="560" spans="16:17" ht="20.100000000000001" customHeight="1">
      <c r="P560"/>
      <c r="Q560"/>
    </row>
    <row r="561" spans="16:17" ht="20.100000000000001" customHeight="1">
      <c r="P561"/>
      <c r="Q561"/>
    </row>
    <row r="562" spans="16:17" ht="20.100000000000001" customHeight="1">
      <c r="P562"/>
      <c r="Q562"/>
    </row>
    <row r="563" spans="16:17" ht="20.100000000000001" customHeight="1">
      <c r="P563"/>
      <c r="Q563"/>
    </row>
    <row r="564" spans="16:17" ht="20.100000000000001" customHeight="1">
      <c r="P564"/>
      <c r="Q564"/>
    </row>
    <row r="565" spans="16:17" ht="20.100000000000001" customHeight="1">
      <c r="P565"/>
      <c r="Q565"/>
    </row>
    <row r="566" spans="16:17" ht="20.100000000000001" customHeight="1">
      <c r="P566"/>
      <c r="Q566"/>
    </row>
    <row r="567" spans="16:17" ht="20.100000000000001" customHeight="1">
      <c r="P567"/>
      <c r="Q567"/>
    </row>
    <row r="568" spans="16:17" ht="20.100000000000001" customHeight="1">
      <c r="P568"/>
      <c r="Q568"/>
    </row>
    <row r="569" spans="16:17" ht="20.100000000000001" customHeight="1">
      <c r="P569"/>
      <c r="Q569"/>
    </row>
    <row r="570" spans="16:17" ht="20.100000000000001" customHeight="1">
      <c r="P570"/>
      <c r="Q570"/>
    </row>
    <row r="571" spans="16:17" ht="20.100000000000001" customHeight="1">
      <c r="P571"/>
      <c r="Q571"/>
    </row>
    <row r="572" spans="16:17" ht="20.100000000000001" customHeight="1">
      <c r="P572"/>
      <c r="Q572"/>
    </row>
    <row r="573" spans="16:17" ht="20.100000000000001" customHeight="1">
      <c r="P573"/>
      <c r="Q573"/>
    </row>
    <row r="574" spans="16:17" ht="20.100000000000001" customHeight="1">
      <c r="P574"/>
      <c r="Q574"/>
    </row>
    <row r="575" spans="16:17" ht="20.100000000000001" customHeight="1">
      <c r="P575"/>
      <c r="Q575"/>
    </row>
    <row r="576" spans="16:17" ht="20.100000000000001" customHeight="1">
      <c r="P576"/>
      <c r="Q576"/>
    </row>
    <row r="577" spans="16:17" ht="20.100000000000001" customHeight="1">
      <c r="P577"/>
      <c r="Q577"/>
    </row>
    <row r="578" spans="16:17" ht="20.100000000000001" customHeight="1">
      <c r="P578"/>
      <c r="Q578"/>
    </row>
    <row r="579" spans="16:17" ht="20.100000000000001" customHeight="1">
      <c r="P579"/>
      <c r="Q579"/>
    </row>
    <row r="580" spans="16:17" ht="20.100000000000001" customHeight="1">
      <c r="P580"/>
      <c r="Q580"/>
    </row>
    <row r="581" spans="16:17" ht="20.100000000000001" customHeight="1">
      <c r="P581"/>
      <c r="Q581"/>
    </row>
    <row r="582" spans="16:17" ht="20.100000000000001" customHeight="1">
      <c r="P582"/>
      <c r="Q582"/>
    </row>
    <row r="583" spans="16:17" ht="20.100000000000001" customHeight="1">
      <c r="P583"/>
      <c r="Q583"/>
    </row>
    <row r="584" spans="16:17" ht="20.100000000000001" customHeight="1">
      <c r="P584"/>
      <c r="Q584"/>
    </row>
    <row r="585" spans="16:17" ht="20.100000000000001" customHeight="1">
      <c r="P585"/>
      <c r="Q585"/>
    </row>
    <row r="586" spans="16:17" ht="20.100000000000001" customHeight="1">
      <c r="P586"/>
      <c r="Q586"/>
    </row>
    <row r="587" spans="16:17" ht="20.100000000000001" customHeight="1">
      <c r="P587"/>
      <c r="Q587"/>
    </row>
    <row r="588" spans="16:17" ht="20.100000000000001" customHeight="1">
      <c r="P588"/>
      <c r="Q588"/>
    </row>
    <row r="589" spans="16:17" ht="20.100000000000001" customHeight="1">
      <c r="P589"/>
      <c r="Q589"/>
    </row>
    <row r="590" spans="16:17" ht="20.100000000000001" customHeight="1">
      <c r="P590"/>
      <c r="Q590"/>
    </row>
    <row r="591" spans="16:17" ht="20.100000000000001" customHeight="1">
      <c r="P591"/>
      <c r="Q591"/>
    </row>
    <row r="592" spans="16:17" ht="20.100000000000001" customHeight="1">
      <c r="P592"/>
      <c r="Q592"/>
    </row>
    <row r="593" spans="16:17" ht="20.100000000000001" customHeight="1">
      <c r="P593"/>
      <c r="Q593"/>
    </row>
    <row r="594" spans="16:17" ht="20.100000000000001" customHeight="1">
      <c r="P594"/>
      <c r="Q594"/>
    </row>
    <row r="595" spans="16:17" ht="20.100000000000001" customHeight="1">
      <c r="P595"/>
      <c r="Q595"/>
    </row>
    <row r="596" spans="16:17" ht="20.100000000000001" customHeight="1">
      <c r="P596"/>
      <c r="Q596"/>
    </row>
    <row r="597" spans="16:17" ht="20.100000000000001" customHeight="1">
      <c r="P597"/>
      <c r="Q597"/>
    </row>
    <row r="598" spans="16:17" ht="20.100000000000001" customHeight="1">
      <c r="P598"/>
      <c r="Q598"/>
    </row>
    <row r="599" spans="16:17" ht="20.100000000000001" customHeight="1">
      <c r="P599"/>
      <c r="Q599"/>
    </row>
    <row r="600" spans="16:17" ht="20.100000000000001" customHeight="1">
      <c r="P600"/>
      <c r="Q600"/>
    </row>
    <row r="601" spans="16:17" ht="20.100000000000001" customHeight="1">
      <c r="P601"/>
      <c r="Q601"/>
    </row>
    <row r="602" spans="16:17" ht="20.100000000000001" customHeight="1">
      <c r="P602"/>
      <c r="Q602"/>
    </row>
    <row r="603" spans="16:17" ht="20.100000000000001" customHeight="1">
      <c r="P603"/>
      <c r="Q603"/>
    </row>
    <row r="604" spans="16:17" ht="20.100000000000001" customHeight="1">
      <c r="P604"/>
      <c r="Q604"/>
    </row>
    <row r="605" spans="16:17" ht="20.100000000000001" customHeight="1">
      <c r="P605"/>
      <c r="Q605"/>
    </row>
    <row r="606" spans="16:17" ht="20.100000000000001" customHeight="1">
      <c r="P606"/>
      <c r="Q606"/>
    </row>
    <row r="607" spans="16:17" ht="20.100000000000001" customHeight="1">
      <c r="P607"/>
      <c r="Q607"/>
    </row>
    <row r="608" spans="16:17" ht="20.100000000000001" customHeight="1">
      <c r="P608"/>
      <c r="Q608"/>
    </row>
    <row r="609" spans="16:17" ht="20.100000000000001" customHeight="1">
      <c r="P609"/>
      <c r="Q609"/>
    </row>
    <row r="610" spans="16:17" ht="20.100000000000001" customHeight="1">
      <c r="P610"/>
      <c r="Q610"/>
    </row>
    <row r="611" spans="16:17" ht="20.100000000000001" customHeight="1">
      <c r="P611"/>
      <c r="Q611"/>
    </row>
    <row r="612" spans="16:17" ht="20.100000000000001" customHeight="1">
      <c r="P612"/>
      <c r="Q612"/>
    </row>
    <row r="613" spans="16:17" ht="20.100000000000001" customHeight="1">
      <c r="P613"/>
      <c r="Q613"/>
    </row>
    <row r="614" spans="16:17" ht="20.100000000000001" customHeight="1">
      <c r="P614"/>
      <c r="Q614"/>
    </row>
    <row r="615" spans="16:17" ht="20.100000000000001" customHeight="1">
      <c r="P615"/>
      <c r="Q615"/>
    </row>
    <row r="616" spans="16:17" ht="20.100000000000001" customHeight="1">
      <c r="P616"/>
      <c r="Q616"/>
    </row>
    <row r="617" spans="16:17" ht="20.100000000000001" customHeight="1">
      <c r="P617"/>
      <c r="Q617"/>
    </row>
    <row r="618" spans="16:17" ht="20.100000000000001" customHeight="1">
      <c r="P618"/>
      <c r="Q618"/>
    </row>
    <row r="619" spans="16:17" ht="20.100000000000001" customHeight="1">
      <c r="P619"/>
      <c r="Q619"/>
    </row>
    <row r="620" spans="16:17" ht="20.100000000000001" customHeight="1">
      <c r="P620"/>
      <c r="Q620"/>
    </row>
    <row r="621" spans="16:17" ht="20.100000000000001" customHeight="1">
      <c r="P621"/>
      <c r="Q621"/>
    </row>
    <row r="622" spans="16:17" ht="20.100000000000001" customHeight="1">
      <c r="P622"/>
      <c r="Q622"/>
    </row>
    <row r="623" spans="16:17" ht="20.100000000000001" customHeight="1">
      <c r="P623"/>
      <c r="Q623"/>
    </row>
    <row r="624" spans="16:17" ht="20.100000000000001" customHeight="1">
      <c r="P624"/>
      <c r="Q624"/>
    </row>
    <row r="625" spans="16:17" ht="20.100000000000001" customHeight="1">
      <c r="P625"/>
      <c r="Q625"/>
    </row>
    <row r="626" spans="16:17" ht="20.100000000000001" customHeight="1">
      <c r="P626"/>
      <c r="Q626"/>
    </row>
    <row r="627" spans="16:17" ht="20.100000000000001" customHeight="1">
      <c r="P627"/>
      <c r="Q627"/>
    </row>
    <row r="628" spans="16:17" ht="20.100000000000001" customHeight="1">
      <c r="P628"/>
      <c r="Q628"/>
    </row>
    <row r="629" spans="16:17" ht="20.100000000000001" customHeight="1">
      <c r="P629"/>
      <c r="Q629"/>
    </row>
    <row r="630" spans="16:17" ht="20.100000000000001" customHeight="1">
      <c r="P630"/>
      <c r="Q630"/>
    </row>
    <row r="631" spans="16:17" ht="20.100000000000001" customHeight="1">
      <c r="P631"/>
      <c r="Q631"/>
    </row>
    <row r="632" spans="16:17" ht="20.100000000000001" customHeight="1">
      <c r="P632"/>
      <c r="Q632"/>
    </row>
    <row r="633" spans="16:17" ht="20.100000000000001" customHeight="1">
      <c r="P633"/>
      <c r="Q633"/>
    </row>
    <row r="634" spans="16:17" ht="20.100000000000001" customHeight="1">
      <c r="P634"/>
      <c r="Q634"/>
    </row>
    <row r="635" spans="16:17" ht="20.100000000000001" customHeight="1">
      <c r="P635"/>
      <c r="Q635"/>
    </row>
    <row r="636" spans="16:17" ht="20.100000000000001" customHeight="1">
      <c r="P636"/>
      <c r="Q636"/>
    </row>
    <row r="637" spans="16:17" ht="20.100000000000001" customHeight="1">
      <c r="P637"/>
      <c r="Q637"/>
    </row>
    <row r="638" spans="16:17" ht="20.100000000000001" customHeight="1">
      <c r="P638"/>
      <c r="Q638"/>
    </row>
    <row r="639" spans="16:17" ht="20.100000000000001" customHeight="1">
      <c r="P639"/>
      <c r="Q639"/>
    </row>
    <row r="640" spans="16:17" ht="20.100000000000001" customHeight="1">
      <c r="P640"/>
      <c r="Q640"/>
    </row>
    <row r="641" spans="16:17" ht="20.100000000000001" customHeight="1">
      <c r="P641"/>
      <c r="Q641"/>
    </row>
    <row r="642" spans="16:17" ht="20.100000000000001" customHeight="1">
      <c r="P642"/>
      <c r="Q642"/>
    </row>
    <row r="643" spans="16:17" ht="20.100000000000001" customHeight="1">
      <c r="P643"/>
      <c r="Q643"/>
    </row>
    <row r="644" spans="16:17" ht="20.100000000000001" customHeight="1">
      <c r="P644"/>
      <c r="Q644"/>
    </row>
    <row r="645" spans="16:17" ht="20.100000000000001" customHeight="1">
      <c r="P645"/>
      <c r="Q645"/>
    </row>
    <row r="646" spans="16:17" ht="20.100000000000001" customHeight="1">
      <c r="P646"/>
      <c r="Q646"/>
    </row>
    <row r="647" spans="16:17" ht="20.100000000000001" customHeight="1">
      <c r="P647"/>
      <c r="Q647"/>
    </row>
    <row r="648" spans="16:17" ht="20.100000000000001" customHeight="1">
      <c r="P648"/>
      <c r="Q648"/>
    </row>
    <row r="649" spans="16:17" ht="20.100000000000001" customHeight="1">
      <c r="P649"/>
      <c r="Q649"/>
    </row>
    <row r="650" spans="16:17" ht="20.100000000000001" customHeight="1">
      <c r="P650"/>
      <c r="Q650"/>
    </row>
    <row r="651" spans="16:17" ht="20.100000000000001" customHeight="1">
      <c r="P651"/>
      <c r="Q651"/>
    </row>
    <row r="652" spans="16:17" ht="20.100000000000001" customHeight="1">
      <c r="P652"/>
      <c r="Q652"/>
    </row>
    <row r="653" spans="16:17" ht="20.100000000000001" customHeight="1">
      <c r="P653"/>
      <c r="Q653"/>
    </row>
    <row r="654" spans="16:17" ht="20.100000000000001" customHeight="1">
      <c r="P654"/>
      <c r="Q654"/>
    </row>
    <row r="655" spans="16:17" ht="20.100000000000001" customHeight="1">
      <c r="P655"/>
      <c r="Q655"/>
    </row>
    <row r="656" spans="16:17" ht="20.100000000000001" customHeight="1">
      <c r="P656"/>
      <c r="Q656"/>
    </row>
    <row r="657" spans="16:17" ht="20.100000000000001" customHeight="1">
      <c r="P657"/>
      <c r="Q657"/>
    </row>
    <row r="658" spans="16:17" ht="20.100000000000001" customHeight="1">
      <c r="P658"/>
      <c r="Q658"/>
    </row>
    <row r="659" spans="16:17" ht="20.100000000000001" customHeight="1">
      <c r="P659"/>
      <c r="Q659"/>
    </row>
    <row r="660" spans="16:17" ht="20.100000000000001" customHeight="1">
      <c r="P660"/>
      <c r="Q660"/>
    </row>
    <row r="661" spans="16:17" ht="20.100000000000001" customHeight="1">
      <c r="P661"/>
      <c r="Q661"/>
    </row>
    <row r="662" spans="16:17" ht="20.100000000000001" customHeight="1">
      <c r="P662"/>
      <c r="Q662"/>
    </row>
    <row r="663" spans="16:17" ht="20.100000000000001" customHeight="1">
      <c r="P663"/>
      <c r="Q663"/>
    </row>
    <row r="664" spans="16:17" ht="20.100000000000001" customHeight="1">
      <c r="P664"/>
      <c r="Q664"/>
    </row>
    <row r="665" spans="16:17" ht="20.100000000000001" customHeight="1">
      <c r="P665"/>
      <c r="Q665"/>
    </row>
    <row r="666" spans="16:17" ht="20.100000000000001" customHeight="1">
      <c r="P666"/>
      <c r="Q666"/>
    </row>
    <row r="667" spans="16:17" ht="20.100000000000001" customHeight="1">
      <c r="P667"/>
      <c r="Q667"/>
    </row>
    <row r="668" spans="16:17" ht="20.100000000000001" customHeight="1">
      <c r="P668"/>
      <c r="Q668"/>
    </row>
    <row r="669" spans="16:17" ht="20.100000000000001" customHeight="1">
      <c r="P669"/>
      <c r="Q669"/>
    </row>
    <row r="670" spans="16:17" ht="20.100000000000001" customHeight="1">
      <c r="P670"/>
      <c r="Q670"/>
    </row>
    <row r="671" spans="16:17" ht="20.100000000000001" customHeight="1">
      <c r="P671"/>
      <c r="Q671"/>
    </row>
    <row r="672" spans="16:17" ht="20.100000000000001" customHeight="1">
      <c r="P672"/>
      <c r="Q672"/>
    </row>
    <row r="673" spans="16:17" ht="20.100000000000001" customHeight="1">
      <c r="P673"/>
      <c r="Q673"/>
    </row>
    <row r="674" spans="16:17" ht="20.100000000000001" customHeight="1">
      <c r="P674"/>
      <c r="Q674"/>
    </row>
    <row r="675" spans="16:17" ht="20.100000000000001" customHeight="1">
      <c r="P675"/>
      <c r="Q675"/>
    </row>
    <row r="676" spans="16:17" ht="20.100000000000001" customHeight="1">
      <c r="P676"/>
      <c r="Q676"/>
    </row>
    <row r="677" spans="16:17" ht="20.100000000000001" customHeight="1">
      <c r="P677"/>
      <c r="Q677"/>
    </row>
    <row r="678" spans="16:17" ht="20.100000000000001" customHeight="1">
      <c r="P678"/>
      <c r="Q678"/>
    </row>
    <row r="679" spans="16:17" ht="20.100000000000001" customHeight="1">
      <c r="P679"/>
      <c r="Q679"/>
    </row>
    <row r="680" spans="16:17" ht="20.100000000000001" customHeight="1">
      <c r="P680"/>
      <c r="Q680"/>
    </row>
    <row r="681" spans="16:17" ht="20.100000000000001" customHeight="1">
      <c r="P681"/>
      <c r="Q681"/>
    </row>
    <row r="682" spans="16:17" ht="20.100000000000001" customHeight="1">
      <c r="P682"/>
      <c r="Q682"/>
    </row>
    <row r="683" spans="16:17" ht="20.100000000000001" customHeight="1">
      <c r="P683"/>
      <c r="Q683"/>
    </row>
    <row r="684" spans="16:17" ht="20.100000000000001" customHeight="1">
      <c r="P684"/>
      <c r="Q684"/>
    </row>
    <row r="685" spans="16:17" ht="20.100000000000001" customHeight="1">
      <c r="P685"/>
      <c r="Q685"/>
    </row>
    <row r="686" spans="16:17" ht="20.100000000000001" customHeight="1">
      <c r="P686"/>
      <c r="Q686"/>
    </row>
    <row r="687" spans="16:17" ht="20.100000000000001" customHeight="1">
      <c r="P687"/>
      <c r="Q687"/>
    </row>
    <row r="688" spans="16:17" ht="20.100000000000001" customHeight="1">
      <c r="P688"/>
      <c r="Q688"/>
    </row>
    <row r="689" spans="16:17" ht="20.100000000000001" customHeight="1">
      <c r="P689"/>
      <c r="Q689"/>
    </row>
    <row r="690" spans="16:17" ht="20.100000000000001" customHeight="1">
      <c r="P690"/>
      <c r="Q690"/>
    </row>
    <row r="691" spans="16:17" ht="20.100000000000001" customHeight="1">
      <c r="P691"/>
      <c r="Q691"/>
    </row>
    <row r="692" spans="16:17" ht="20.100000000000001" customHeight="1">
      <c r="P692"/>
      <c r="Q692"/>
    </row>
    <row r="693" spans="16:17" ht="20.100000000000001" customHeight="1">
      <c r="P693"/>
      <c r="Q693"/>
    </row>
    <row r="694" spans="16:17" ht="20.100000000000001" customHeight="1">
      <c r="P694"/>
      <c r="Q694"/>
    </row>
    <row r="695" spans="16:17" ht="20.100000000000001" customHeight="1">
      <c r="P695"/>
      <c r="Q695"/>
    </row>
    <row r="696" spans="16:17" ht="20.100000000000001" customHeight="1">
      <c r="P696"/>
      <c r="Q696"/>
    </row>
    <row r="697" spans="16:17" ht="20.100000000000001" customHeight="1">
      <c r="P697"/>
      <c r="Q697"/>
    </row>
    <row r="698" spans="16:17" ht="20.100000000000001" customHeight="1">
      <c r="P698"/>
      <c r="Q698"/>
    </row>
    <row r="699" spans="16:17" ht="20.100000000000001" customHeight="1">
      <c r="P699"/>
      <c r="Q699"/>
    </row>
    <row r="700" spans="16:17" ht="20.100000000000001" customHeight="1">
      <c r="P700"/>
      <c r="Q700"/>
    </row>
    <row r="701" spans="16:17" ht="20.100000000000001" customHeight="1">
      <c r="P701"/>
      <c r="Q701"/>
    </row>
    <row r="702" spans="16:17" ht="20.100000000000001" customHeight="1">
      <c r="P702"/>
      <c r="Q702"/>
    </row>
    <row r="703" spans="16:17">
      <c r="Q703"/>
    </row>
  </sheetData>
  <autoFilter ref="A3:L304" xr:uid="{00000000-0009-0000-0000-000005000000}"/>
  <sortState xmlns:xlrd2="http://schemas.microsoft.com/office/spreadsheetml/2017/richdata2" ref="A4:L16">
    <sortCondition ref="A3"/>
  </sortState>
  <phoneticPr fontId="4" type="noConversion"/>
  <conditionalFormatting sqref="A8 G8:I8">
    <cfRule type="cellIs" priority="5" operator="equal">
      <formula>A7</formula>
    </cfRule>
  </conditionalFormatting>
  <conditionalFormatting sqref="A8">
    <cfRule type="cellIs" dxfId="9" priority="7" operator="equal">
      <formula>A7</formula>
    </cfRule>
  </conditionalFormatting>
  <conditionalFormatting sqref="C4:C474">
    <cfRule type="expression" dxfId="8" priority="1">
      <formula>$N4="x"</formula>
    </cfRule>
  </conditionalFormatting>
  <conditionalFormatting sqref="D8:E8">
    <cfRule type="cellIs" priority="6" operator="equal">
      <formula>D7</formula>
    </cfRule>
  </conditionalFormatting>
  <conditionalFormatting sqref="N4:N480">
    <cfRule type="cellIs" dxfId="7" priority="3" operator="equal">
      <formula>"X"</formula>
    </cfRule>
  </conditionalFormatting>
  <dataValidations disablePrompts="1" count="2">
    <dataValidation type="list" allowBlank="1" showInputMessage="1" showErrorMessage="1" sqref="B4:B305" xr:uid="{00000000-0002-0000-0500-000000000000}">
      <formula1>직종표</formula1>
    </dataValidation>
    <dataValidation type="list" allowBlank="1" showInputMessage="1" showErrorMessage="1" sqref="G4:G305" xr:uid="{00000000-0002-0000-0500-000001000000}">
      <formula1>은행명</formula1>
    </dataValidation>
  </dataValidations>
  <pageMargins left="0.59055118110236227" right="0.39370078740157483" top="0.78740157480314965" bottom="0.39370078740157483" header="0.31496062992125984" footer="0.31496062992125984"/>
  <pageSetup paperSize="9" scale="28"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FFCCFF"/>
  </sheetPr>
  <dimension ref="A1:X39"/>
  <sheetViews>
    <sheetView showGridLines="0" showZeros="0" topLeftCell="A22" zoomScale="90" zoomScaleNormal="90" zoomScaleSheetLayoutView="100" workbookViewId="0">
      <selection activeCell="X19" sqref="X19"/>
    </sheetView>
  </sheetViews>
  <sheetFormatPr defaultColWidth="9" defaultRowHeight="16.5"/>
  <cols>
    <col min="1" max="6" width="4.625" style="37" customWidth="1"/>
    <col min="7" max="8" width="6.625" style="37" customWidth="1"/>
    <col min="9" max="10" width="5.625" style="37" customWidth="1"/>
    <col min="11" max="12" width="6.625" style="37" customWidth="1"/>
    <col min="13" max="20" width="4.625" style="37" customWidth="1"/>
    <col min="21" max="21" width="16" style="37" customWidth="1"/>
    <col min="22" max="22" width="10.625" style="37" customWidth="1"/>
    <col min="23" max="23" width="8.625" style="37" customWidth="1"/>
    <col min="24" max="24" width="30.125" style="37" bestFit="1" customWidth="1"/>
    <col min="25" max="25" width="4.125" style="37" bestFit="1" customWidth="1"/>
    <col min="26" max="26" width="9.125" style="37" bestFit="1" customWidth="1"/>
    <col min="27" max="27" width="4.625" style="37" customWidth="1"/>
    <col min="28" max="28" width="6.375" style="37" bestFit="1" customWidth="1"/>
    <col min="29" max="67" width="4.625" style="37" customWidth="1"/>
    <col min="68" max="16384" width="9" style="37"/>
  </cols>
  <sheetData>
    <row r="1" spans="1:24">
      <c r="A1" s="656" t="s">
        <v>25</v>
      </c>
      <c r="B1" s="656"/>
      <c r="C1" s="656"/>
      <c r="D1" s="656"/>
      <c r="E1" s="656"/>
      <c r="F1" s="656"/>
      <c r="G1" s="656"/>
      <c r="H1" s="656"/>
      <c r="I1" s="656"/>
      <c r="J1" s="656"/>
      <c r="K1" s="656"/>
      <c r="L1" s="656"/>
      <c r="M1" s="656"/>
      <c r="N1" s="656"/>
      <c r="O1" s="656"/>
      <c r="P1" s="656"/>
      <c r="Q1" s="656"/>
      <c r="R1" s="656"/>
    </row>
    <row r="2" spans="1:24">
      <c r="A2" s="657"/>
      <c r="B2" s="657"/>
      <c r="C2" s="657"/>
      <c r="D2" s="657"/>
      <c r="E2" s="657"/>
      <c r="F2" s="657"/>
      <c r="G2" s="657"/>
      <c r="H2" s="657"/>
      <c r="I2" s="657"/>
      <c r="J2" s="657"/>
      <c r="K2" s="657"/>
      <c r="L2" s="657"/>
      <c r="M2" s="657"/>
      <c r="N2" s="657"/>
      <c r="O2" s="657"/>
      <c r="P2" s="657"/>
      <c r="Q2" s="657"/>
      <c r="R2" s="657"/>
    </row>
    <row r="3" spans="1:24">
      <c r="A3" s="658" t="s">
        <v>26</v>
      </c>
      <c r="B3" s="659"/>
      <c r="C3" s="659"/>
      <c r="D3" s="659"/>
      <c r="E3" s="659"/>
      <c r="F3" s="659"/>
      <c r="G3" s="659"/>
      <c r="H3" s="659"/>
      <c r="I3" s="659"/>
      <c r="J3" s="659"/>
      <c r="K3" s="659"/>
      <c r="L3" s="659"/>
      <c r="M3" s="659"/>
      <c r="N3" s="659"/>
      <c r="O3" s="659"/>
      <c r="P3" s="659"/>
      <c r="Q3" s="659"/>
      <c r="R3" s="660"/>
    </row>
    <row r="4" spans="1:24" ht="21.95" customHeight="1">
      <c r="A4" s="661" t="s">
        <v>27</v>
      </c>
      <c r="B4" s="662"/>
      <c r="C4" s="662"/>
      <c r="D4" s="663"/>
      <c r="E4" s="663"/>
      <c r="F4" s="663"/>
      <c r="G4" s="663"/>
      <c r="H4" s="663"/>
      <c r="I4" s="662" t="s">
        <v>28</v>
      </c>
      <c r="J4" s="662"/>
      <c r="K4" s="662"/>
      <c r="L4" s="664" t="str">
        <f>IF(ISERROR(VLOOKUP(D4,주소록!$A$3:$K$523,5,0)),"",VLOOKUP(D4,주소록!$A$3:$K$523,5,0))</f>
        <v/>
      </c>
      <c r="M4" s="664"/>
      <c r="N4" s="664"/>
      <c r="O4" s="664"/>
      <c r="P4" s="664"/>
      <c r="Q4" s="664"/>
      <c r="R4" s="665"/>
    </row>
    <row r="5" spans="1:24" ht="21.95" customHeight="1">
      <c r="A5" s="674" t="s">
        <v>29</v>
      </c>
      <c r="B5" s="675"/>
      <c r="C5" s="675"/>
      <c r="D5" s="676" t="str">
        <f>IF(ISERROR(VLOOKUP(D4,주소록!$A$3:$K$523,6,0)),"",VLOOKUP(D4,주소록!$A$3:$K$523,6,0))</f>
        <v/>
      </c>
      <c r="E5" s="677"/>
      <c r="F5" s="677"/>
      <c r="G5" s="677"/>
      <c r="H5" s="677"/>
      <c r="I5" s="677"/>
      <c r="J5" s="677"/>
      <c r="K5" s="677"/>
      <c r="L5" s="677"/>
      <c r="M5" s="677"/>
      <c r="N5" s="677"/>
      <c r="O5" s="677"/>
      <c r="P5" s="677"/>
      <c r="Q5" s="677"/>
      <c r="R5" s="678"/>
    </row>
    <row r="6" spans="1:24" ht="21.95" customHeight="1">
      <c r="A6" s="679" t="s">
        <v>30</v>
      </c>
      <c r="B6" s="680"/>
      <c r="C6" s="680"/>
      <c r="D6" s="681" t="str">
        <f>IF(ISERROR(VLOOKUP(D4,주소록!$A$3:$K$523,7,0)),"",VLOOKUP(D4,주소록!$A$3:$K$523,7,0))</f>
        <v/>
      </c>
      <c r="E6" s="681"/>
      <c r="F6" s="681"/>
      <c r="G6" s="681"/>
      <c r="H6" s="681"/>
      <c r="I6" s="680" t="s">
        <v>31</v>
      </c>
      <c r="J6" s="680"/>
      <c r="K6" s="680"/>
      <c r="L6" s="682" t="str">
        <f>IF(ISERROR(VLOOKUP(D4,주소록!$A$3:$K$523,9,0)),"",VLOOKUP(D4,주소록!$A$3:$K$523,9,0))</f>
        <v/>
      </c>
      <c r="M6" s="682"/>
      <c r="N6" s="681" t="str">
        <f>IF(ISERROR(VLOOKUP(D4,주소록!$A$3:$K$523,10,0)),"",VLOOKUP(D4,주소록!$A$3:$K$523,10,0))</f>
        <v/>
      </c>
      <c r="O6" s="681"/>
      <c r="P6" s="681"/>
      <c r="Q6" s="681"/>
      <c r="R6" s="683"/>
    </row>
    <row r="7" spans="1:24" ht="9.9499999999999993" customHeight="1" thickBot="1">
      <c r="A7" s="38"/>
      <c r="B7" s="38"/>
      <c r="C7" s="38"/>
      <c r="D7" s="38"/>
      <c r="E7" s="38"/>
      <c r="F7" s="38"/>
      <c r="G7" s="38"/>
      <c r="H7" s="38"/>
      <c r="I7" s="38"/>
      <c r="J7" s="38"/>
      <c r="K7" s="38"/>
      <c r="L7" s="38"/>
      <c r="M7" s="38"/>
      <c r="N7" s="38"/>
      <c r="O7" s="38"/>
      <c r="P7" s="38"/>
      <c r="Q7" s="38"/>
      <c r="R7" s="38"/>
    </row>
    <row r="8" spans="1:24" ht="21.95" customHeight="1">
      <c r="A8" s="666" t="str">
        <f>"  상기인을 본인의 대리인으로 정하여 ["&amp;V8&amp;"] 「"&amp;V9&amp;"」 하수급인  「"&amp;V10&amp;"」의"</f>
        <v xml:space="preserve">  상기인을 본인의 대리인으로 정하여 [고색2지구 공원 및 공공공지 조성공사] 「부강종합건설㈜」 하수급인  「(주)하도급 회사」의</v>
      </c>
      <c r="B8" s="667"/>
      <c r="C8" s="667"/>
      <c r="D8" s="667"/>
      <c r="E8" s="667"/>
      <c r="F8" s="667"/>
      <c r="G8" s="667"/>
      <c r="H8" s="667"/>
      <c r="I8" s="667"/>
      <c r="J8" s="667"/>
      <c r="K8" s="667"/>
      <c r="L8" s="667"/>
      <c r="M8" s="667"/>
      <c r="N8" s="667"/>
      <c r="O8" s="667"/>
      <c r="P8" s="667"/>
      <c r="Q8" s="667"/>
      <c r="R8" s="668"/>
      <c r="U8" s="42" t="s">
        <v>63</v>
      </c>
      <c r="V8" s="672" t="str">
        <f>요율!G6</f>
        <v>고색2지구 공원 및 공공공지 조성공사</v>
      </c>
      <c r="W8" s="672"/>
      <c r="X8" s="672"/>
    </row>
    <row r="9" spans="1:24" ht="21.95" customHeight="1">
      <c r="A9" s="666" t="str">
        <f>" 근로자로서 「"&amp;V10&amp;"」이(가) 지급하여야할 ["&amp;V11&amp;" "&amp;W11&amp;"] 노무비를 원수급자인 「"&amp;V9&amp;"」와(과) 하수급인"</f>
        <v xml:space="preserve"> 근로자로서 「(주)하도급 회사」이(가) 지급하여야할 [2023년 1월] 노무비를 원수급자인 「부강종합건설㈜」와(과) 하수급인</v>
      </c>
      <c r="B9" s="667"/>
      <c r="C9" s="667"/>
      <c r="D9" s="667"/>
      <c r="E9" s="667"/>
      <c r="F9" s="667"/>
      <c r="G9" s="667"/>
      <c r="H9" s="667"/>
      <c r="I9" s="667"/>
      <c r="J9" s="667"/>
      <c r="K9" s="667"/>
      <c r="L9" s="667"/>
      <c r="M9" s="667"/>
      <c r="N9" s="667"/>
      <c r="O9" s="667"/>
      <c r="P9" s="667"/>
      <c r="Q9" s="667"/>
      <c r="R9" s="668"/>
      <c r="U9" s="45" t="s">
        <v>64</v>
      </c>
      <c r="V9" s="673" t="s">
        <v>665</v>
      </c>
      <c r="W9" s="673"/>
      <c r="X9" s="673"/>
    </row>
    <row r="10" spans="1:24" ht="21.95" customHeight="1">
      <c r="A10" s="669" t="str">
        <f>" 「"&amp;V10&amp;"」로부터 수령할 노무비와 기타 모든 사항을 수임인에게 일체의 권한을 위임하고 위임후에 따른"</f>
        <v xml:space="preserve"> 「(주)하도급 회사」로부터 수령할 노무비와 기타 모든 사항을 수임인에게 일체의 권한을 위임하고 위임후에 따른</v>
      </c>
      <c r="B10" s="670"/>
      <c r="C10" s="670"/>
      <c r="D10" s="670"/>
      <c r="E10" s="670"/>
      <c r="F10" s="670"/>
      <c r="G10" s="670"/>
      <c r="H10" s="670"/>
      <c r="I10" s="670"/>
      <c r="J10" s="670"/>
      <c r="K10" s="670"/>
      <c r="L10" s="670"/>
      <c r="M10" s="670"/>
      <c r="N10" s="670"/>
      <c r="O10" s="670"/>
      <c r="P10" s="670"/>
      <c r="Q10" s="670"/>
      <c r="R10" s="671"/>
      <c r="U10" s="45" t="s">
        <v>65</v>
      </c>
      <c r="V10" s="673" t="s">
        <v>69</v>
      </c>
      <c r="W10" s="673"/>
      <c r="X10" s="673"/>
    </row>
    <row r="11" spans="1:24" ht="21.95" customHeight="1">
      <c r="A11" s="647" t="s">
        <v>67</v>
      </c>
      <c r="B11" s="648"/>
      <c r="C11" s="648"/>
      <c r="D11" s="648"/>
      <c r="E11" s="648"/>
      <c r="F11" s="648"/>
      <c r="G11" s="648"/>
      <c r="H11" s="648"/>
      <c r="I11" s="648"/>
      <c r="J11" s="648"/>
      <c r="K11" s="648"/>
      <c r="L11" s="648"/>
      <c r="M11" s="648"/>
      <c r="N11" s="648"/>
      <c r="O11" s="648"/>
      <c r="P11" s="648"/>
      <c r="Q11" s="648"/>
      <c r="R11" s="649"/>
      <c r="U11" s="43" t="s">
        <v>66</v>
      </c>
      <c r="V11" s="46" t="s">
        <v>765</v>
      </c>
      <c r="W11" s="47" t="s">
        <v>490</v>
      </c>
      <c r="X11" s="44"/>
    </row>
    <row r="12" spans="1:24" ht="21.95" customHeight="1" thickBot="1">
      <c r="A12" s="647" t="s">
        <v>68</v>
      </c>
      <c r="B12" s="648"/>
      <c r="C12" s="648"/>
      <c r="D12" s="648"/>
      <c r="E12" s="648"/>
      <c r="F12" s="648"/>
      <c r="G12" s="648"/>
      <c r="H12" s="648"/>
      <c r="I12" s="648"/>
      <c r="J12" s="648"/>
      <c r="K12" s="648"/>
      <c r="L12" s="648"/>
      <c r="M12" s="648"/>
      <c r="N12" s="648"/>
      <c r="O12" s="648"/>
      <c r="P12" s="648"/>
      <c r="Q12" s="648"/>
      <c r="R12" s="649"/>
    </row>
    <row r="13" spans="1:24" ht="9.9499999999999993" customHeight="1">
      <c r="A13" s="39"/>
      <c r="B13" s="39"/>
      <c r="C13" s="39"/>
      <c r="D13" s="39"/>
      <c r="E13" s="39"/>
      <c r="F13" s="39"/>
      <c r="G13" s="39"/>
      <c r="H13" s="39"/>
      <c r="I13" s="39"/>
      <c r="J13" s="39"/>
      <c r="K13" s="39"/>
      <c r="L13" s="39"/>
      <c r="M13" s="39"/>
      <c r="N13" s="39"/>
      <c r="O13" s="39"/>
      <c r="P13" s="39"/>
      <c r="Q13" s="39"/>
      <c r="R13" s="39"/>
      <c r="V13" s="40"/>
    </row>
    <row r="14" spans="1:24" ht="27.95" customHeight="1">
      <c r="A14" s="650" t="s">
        <v>27</v>
      </c>
      <c r="B14" s="650"/>
      <c r="C14" s="650" t="s">
        <v>28</v>
      </c>
      <c r="D14" s="650"/>
      <c r="E14" s="650"/>
      <c r="F14" s="650"/>
      <c r="G14" s="651" t="s">
        <v>29</v>
      </c>
      <c r="H14" s="651"/>
      <c r="I14" s="651"/>
      <c r="J14" s="651"/>
      <c r="K14" s="651"/>
      <c r="L14" s="651"/>
      <c r="M14" s="650" t="s">
        <v>32</v>
      </c>
      <c r="N14" s="650"/>
      <c r="O14" s="650"/>
      <c r="P14" s="650" t="s">
        <v>33</v>
      </c>
      <c r="Q14" s="650"/>
      <c r="R14" s="650"/>
    </row>
    <row r="15" spans="1:24" ht="27.95" customHeight="1">
      <c r="A15" s="652"/>
      <c r="B15" s="652"/>
      <c r="C15" s="653"/>
      <c r="D15" s="653"/>
      <c r="E15" s="653"/>
      <c r="F15" s="653"/>
      <c r="G15" s="654"/>
      <c r="H15" s="654"/>
      <c r="I15" s="654"/>
      <c r="J15" s="654"/>
      <c r="K15" s="654"/>
      <c r="L15" s="654"/>
      <c r="M15" s="655" t="str">
        <f ca="1">IFERROR(VLOOKUP(A15,INDIRECT(#REF!&amp;"!$B$7:$BA$93"),33,FALSE),"")</f>
        <v/>
      </c>
      <c r="N15" s="655"/>
      <c r="O15" s="655"/>
      <c r="P15" s="652"/>
      <c r="Q15" s="652"/>
      <c r="R15" s="652"/>
      <c r="V15" s="40"/>
    </row>
    <row r="16" spans="1:24" ht="27.95" customHeight="1">
      <c r="A16" s="633"/>
      <c r="B16" s="633"/>
      <c r="C16" s="634"/>
      <c r="D16" s="634"/>
      <c r="E16" s="634"/>
      <c r="F16" s="634"/>
      <c r="G16" s="635"/>
      <c r="H16" s="636"/>
      <c r="I16" s="636"/>
      <c r="J16" s="636"/>
      <c r="K16" s="636"/>
      <c r="L16" s="637"/>
      <c r="M16" s="638" t="str">
        <f ca="1">IFERROR(VLOOKUP(A16,INDIRECT(#REF!&amp;"!$B$7:$BA$93"),33,FALSE),"")</f>
        <v/>
      </c>
      <c r="N16" s="638"/>
      <c r="O16" s="638"/>
      <c r="P16" s="633"/>
      <c r="Q16" s="633"/>
      <c r="R16" s="633"/>
    </row>
    <row r="17" spans="1:24" ht="27.95" customHeight="1">
      <c r="A17" s="633"/>
      <c r="B17" s="633"/>
      <c r="C17" s="634"/>
      <c r="D17" s="634"/>
      <c r="E17" s="634"/>
      <c r="F17" s="634"/>
      <c r="G17" s="635"/>
      <c r="H17" s="636"/>
      <c r="I17" s="636"/>
      <c r="J17" s="636"/>
      <c r="K17" s="636"/>
      <c r="L17" s="637"/>
      <c r="M17" s="638" t="str">
        <f ca="1">IFERROR(VLOOKUP(A17,INDIRECT(#REF!&amp;"!$B$7:$BA$93"),33,FALSE),"")</f>
        <v/>
      </c>
      <c r="N17" s="638"/>
      <c r="O17" s="638"/>
      <c r="P17" s="633"/>
      <c r="Q17" s="633"/>
      <c r="R17" s="633"/>
      <c r="X17" s="41"/>
    </row>
    <row r="18" spans="1:24" ht="27.95" customHeight="1">
      <c r="A18" s="645"/>
      <c r="B18" s="646"/>
      <c r="C18" s="634"/>
      <c r="D18" s="634"/>
      <c r="E18" s="634"/>
      <c r="F18" s="634"/>
      <c r="G18" s="635"/>
      <c r="H18" s="636"/>
      <c r="I18" s="636"/>
      <c r="J18" s="636"/>
      <c r="K18" s="636"/>
      <c r="L18" s="637"/>
      <c r="M18" s="638" t="str">
        <f ca="1">IFERROR(VLOOKUP(A18,INDIRECT(#REF!&amp;"!$B$7:$BA$93"),33,FALSE),"")</f>
        <v/>
      </c>
      <c r="N18" s="638"/>
      <c r="O18" s="638"/>
      <c r="P18" s="633"/>
      <c r="Q18" s="633"/>
      <c r="R18" s="633"/>
      <c r="X18" s="41"/>
    </row>
    <row r="19" spans="1:24" ht="27.95" customHeight="1">
      <c r="A19" s="633"/>
      <c r="B19" s="633"/>
      <c r="C19" s="634"/>
      <c r="D19" s="634"/>
      <c r="E19" s="634"/>
      <c r="F19" s="634"/>
      <c r="G19" s="635"/>
      <c r="H19" s="636"/>
      <c r="I19" s="636"/>
      <c r="J19" s="636"/>
      <c r="K19" s="636"/>
      <c r="L19" s="637"/>
      <c r="M19" s="638" t="str">
        <f ca="1">IFERROR(VLOOKUP(A19,INDIRECT(#REF!&amp;"!$B$7:$BA$93"),33,FALSE),"")</f>
        <v/>
      </c>
      <c r="N19" s="638"/>
      <c r="O19" s="638"/>
      <c r="P19" s="633"/>
      <c r="Q19" s="633"/>
      <c r="R19" s="633"/>
    </row>
    <row r="20" spans="1:24" ht="27.95" customHeight="1">
      <c r="A20" s="645"/>
      <c r="B20" s="646"/>
      <c r="C20" s="634" t="str">
        <f>IF(ISERROR(VLOOKUP(A20,주소록!$A$3:$K$523,5,0)),"",VLOOKUP(A20,주소록!$A$3:$K$523,5,0))</f>
        <v/>
      </c>
      <c r="D20" s="634"/>
      <c r="E20" s="634"/>
      <c r="F20" s="634"/>
      <c r="G20" s="635" t="str">
        <f>IF(ISERROR(VLOOKUP(A20,주소록!$A$3:$K$523,6,0)),"",VLOOKUP(A20,주소록!$A$3:$K$523,4,0))</f>
        <v/>
      </c>
      <c r="H20" s="636"/>
      <c r="I20" s="636"/>
      <c r="J20" s="636"/>
      <c r="K20" s="636"/>
      <c r="L20" s="637"/>
      <c r="M20" s="638" t="str">
        <f ca="1">IFERROR(VLOOKUP(A20,INDIRECT(#REF!&amp;"!$B$7:$BA$93"),33,FALSE),"")</f>
        <v/>
      </c>
      <c r="N20" s="638"/>
      <c r="O20" s="638"/>
      <c r="P20" s="633"/>
      <c r="Q20" s="633"/>
      <c r="R20" s="633"/>
    </row>
    <row r="21" spans="1:24" ht="27.95" customHeight="1">
      <c r="A21" s="633"/>
      <c r="B21" s="633"/>
      <c r="C21" s="634" t="str">
        <f>IF(ISERROR(VLOOKUP(A21,주소록!$A$3:$K$523,5,0)),"",VLOOKUP(A21,주소록!$A$3:$K$523,5,0))</f>
        <v/>
      </c>
      <c r="D21" s="634"/>
      <c r="E21" s="634"/>
      <c r="F21" s="634"/>
      <c r="G21" s="635" t="str">
        <f>IF(ISERROR(VLOOKUP(A21,주소록!$A$3:$K$523,6,0)),"",VLOOKUP(A21,주소록!$A$3:$K$523,4,0))</f>
        <v/>
      </c>
      <c r="H21" s="636"/>
      <c r="I21" s="636"/>
      <c r="J21" s="636"/>
      <c r="K21" s="636"/>
      <c r="L21" s="637"/>
      <c r="M21" s="638" t="str">
        <f ca="1">IFERROR(VLOOKUP(A21,INDIRECT(#REF!&amp;"!$B$7:$BA$93"),33,FALSE),"")</f>
        <v/>
      </c>
      <c r="N21" s="638"/>
      <c r="O21" s="638"/>
      <c r="P21" s="633"/>
      <c r="Q21" s="633"/>
      <c r="R21" s="633"/>
    </row>
    <row r="22" spans="1:24" ht="27.95" customHeight="1">
      <c r="A22" s="633"/>
      <c r="B22" s="633"/>
      <c r="C22" s="634" t="str">
        <f>IF(ISERROR(VLOOKUP(A22,주소록!$A$3:$K$523,5,0)),"",VLOOKUP(A22,주소록!$A$3:$K$523,5,0))</f>
        <v/>
      </c>
      <c r="D22" s="634"/>
      <c r="E22" s="634"/>
      <c r="F22" s="634"/>
      <c r="G22" s="635" t="str">
        <f>IF(ISERROR(VLOOKUP(A22,주소록!$A$3:$K$523,6,0)),"",VLOOKUP(A22,주소록!$A$3:$K$523,4,0))</f>
        <v/>
      </c>
      <c r="H22" s="636"/>
      <c r="I22" s="636"/>
      <c r="J22" s="636"/>
      <c r="K22" s="636"/>
      <c r="L22" s="637"/>
      <c r="M22" s="638" t="str">
        <f ca="1">IFERROR(VLOOKUP(A22,INDIRECT(#REF!&amp;"!$B$7:$BA$93"),33,FALSE),"")</f>
        <v/>
      </c>
      <c r="N22" s="638"/>
      <c r="O22" s="638"/>
      <c r="P22" s="633"/>
      <c r="Q22" s="633"/>
      <c r="R22" s="633"/>
    </row>
    <row r="23" spans="1:24" ht="27.95" customHeight="1">
      <c r="A23" s="633"/>
      <c r="B23" s="633"/>
      <c r="C23" s="634" t="str">
        <f>IF(ISERROR(VLOOKUP(A23,주소록!$A$3:$K$523,5,0)),"",VLOOKUP(A23,주소록!$A$3:$K$523,5,0))</f>
        <v/>
      </c>
      <c r="D23" s="634"/>
      <c r="E23" s="634"/>
      <c r="F23" s="634"/>
      <c r="G23" s="635" t="str">
        <f>IF(ISERROR(VLOOKUP(A23,주소록!$A$3:$K$523,6,0)),"",VLOOKUP(A23,주소록!$A$3:$K$523,4,0))</f>
        <v/>
      </c>
      <c r="H23" s="636"/>
      <c r="I23" s="636"/>
      <c r="J23" s="636"/>
      <c r="K23" s="636"/>
      <c r="L23" s="637"/>
      <c r="M23" s="638" t="str">
        <f ca="1">IFERROR(VLOOKUP(A23,INDIRECT(#REF!&amp;"!$B$7:$BA$93"),33,FALSE),"")</f>
        <v/>
      </c>
      <c r="N23" s="638"/>
      <c r="O23" s="638"/>
      <c r="P23" s="633"/>
      <c r="Q23" s="633"/>
      <c r="R23" s="633"/>
    </row>
    <row r="24" spans="1:24" ht="27.95" customHeight="1">
      <c r="A24" s="633"/>
      <c r="B24" s="633"/>
      <c r="C24" s="634" t="str">
        <f>IF(ISERROR(VLOOKUP(A24,주소록!$A$3:$K$523,5,0)),"",VLOOKUP(A24,주소록!$A$3:$K$523,5,0))</f>
        <v/>
      </c>
      <c r="D24" s="634"/>
      <c r="E24" s="634"/>
      <c r="F24" s="634"/>
      <c r="G24" s="635" t="str">
        <f>IF(ISERROR(VLOOKUP(A24,주소록!$A$3:$K$523,6,0)),"",VLOOKUP(A24,주소록!$A$3:$K$523,4,0))</f>
        <v/>
      </c>
      <c r="H24" s="636"/>
      <c r="I24" s="636"/>
      <c r="J24" s="636"/>
      <c r="K24" s="636"/>
      <c r="L24" s="637"/>
      <c r="M24" s="638" t="str">
        <f ca="1">IFERROR(VLOOKUP(A24,INDIRECT(#REF!&amp;"!$B$7:$BA$93"),33,FALSE),"")</f>
        <v/>
      </c>
      <c r="N24" s="638"/>
      <c r="O24" s="638"/>
      <c r="P24" s="633"/>
      <c r="Q24" s="633"/>
      <c r="R24" s="633"/>
    </row>
    <row r="25" spans="1:24" ht="27.95" customHeight="1">
      <c r="A25" s="633"/>
      <c r="B25" s="633"/>
      <c r="C25" s="634" t="str">
        <f>IF(ISERROR(VLOOKUP(A25,주소록!$A$3:$K$523,5,0)),"",VLOOKUP(A25,주소록!$A$3:$K$523,5,0))</f>
        <v/>
      </c>
      <c r="D25" s="634"/>
      <c r="E25" s="634"/>
      <c r="F25" s="634"/>
      <c r="G25" s="635" t="str">
        <f>IF(ISERROR(VLOOKUP(A25,주소록!$A$3:$K$523,6,0)),"",VLOOKUP(A25,주소록!$A$3:$K$523,4,0))</f>
        <v/>
      </c>
      <c r="H25" s="636"/>
      <c r="I25" s="636"/>
      <c r="J25" s="636"/>
      <c r="K25" s="636"/>
      <c r="L25" s="637"/>
      <c r="M25" s="638" t="str">
        <f ca="1">IFERROR(VLOOKUP(A25,INDIRECT(#REF!&amp;"!$B$7:$BA$93"),33,FALSE),"")</f>
        <v/>
      </c>
      <c r="N25" s="638"/>
      <c r="O25" s="638"/>
      <c r="P25" s="633"/>
      <c r="Q25" s="633"/>
      <c r="R25" s="633"/>
    </row>
    <row r="26" spans="1:24" ht="27.95" customHeight="1">
      <c r="A26" s="633"/>
      <c r="B26" s="633"/>
      <c r="C26" s="634" t="str">
        <f>IF(ISERROR(VLOOKUP(A26,주소록!$A$3:$K$523,5,0)),"",VLOOKUP(A26,주소록!$A$3:$K$523,5,0))</f>
        <v/>
      </c>
      <c r="D26" s="634"/>
      <c r="E26" s="634"/>
      <c r="F26" s="634"/>
      <c r="G26" s="635" t="str">
        <f>IF(ISERROR(VLOOKUP(A26,주소록!$A$3:$K$523,6,0)),"",VLOOKUP(A26,주소록!$A$3:$K$523,4,0))</f>
        <v/>
      </c>
      <c r="H26" s="636"/>
      <c r="I26" s="636"/>
      <c r="J26" s="636"/>
      <c r="K26" s="636"/>
      <c r="L26" s="637"/>
      <c r="M26" s="638" t="str">
        <f ca="1">IFERROR(VLOOKUP(A26,INDIRECT(#REF!&amp;"!$B$7:$BA$93"),33,FALSE),"")</f>
        <v/>
      </c>
      <c r="N26" s="638"/>
      <c r="O26" s="638"/>
      <c r="P26" s="633"/>
      <c r="Q26" s="633"/>
      <c r="R26" s="633"/>
    </row>
    <row r="27" spans="1:24" ht="27.95" customHeight="1">
      <c r="A27" s="633"/>
      <c r="B27" s="633"/>
      <c r="C27" s="634" t="str">
        <f>IF(ISERROR(VLOOKUP(A27,주소록!$A$3:$K$523,5,0)),"",VLOOKUP(A27,주소록!$A$3:$K$523,5,0))</f>
        <v/>
      </c>
      <c r="D27" s="634"/>
      <c r="E27" s="634"/>
      <c r="F27" s="634"/>
      <c r="G27" s="635" t="str">
        <f>IF(ISERROR(VLOOKUP(A27,주소록!$A$3:$K$523,6,0)),"",VLOOKUP(A27,주소록!$A$3:$K$523,4,0))</f>
        <v/>
      </c>
      <c r="H27" s="636"/>
      <c r="I27" s="636"/>
      <c r="J27" s="636"/>
      <c r="K27" s="636"/>
      <c r="L27" s="637"/>
      <c r="M27" s="638" t="str">
        <f ca="1">IFERROR(VLOOKUP(A27,INDIRECT(#REF!&amp;"!$B$7:$BA$93"),33,FALSE),"")</f>
        <v/>
      </c>
      <c r="N27" s="638"/>
      <c r="O27" s="638"/>
      <c r="P27" s="633"/>
      <c r="Q27" s="633"/>
      <c r="R27" s="633"/>
    </row>
    <row r="28" spans="1:24" ht="27.95" customHeight="1">
      <c r="A28" s="633"/>
      <c r="B28" s="633"/>
      <c r="C28" s="634" t="str">
        <f>IF(ISERROR(VLOOKUP(A28,주소록!$A$3:$K$523,5,0)),"",VLOOKUP(A28,주소록!$A$3:$K$523,5,0))</f>
        <v/>
      </c>
      <c r="D28" s="634"/>
      <c r="E28" s="634"/>
      <c r="F28" s="634"/>
      <c r="G28" s="635" t="str">
        <f>IF(ISERROR(VLOOKUP(A28,주소록!$A$3:$K$523,6,0)),"",VLOOKUP(A28,주소록!$A$3:$K$523,4,0))</f>
        <v/>
      </c>
      <c r="H28" s="636"/>
      <c r="I28" s="636"/>
      <c r="J28" s="636"/>
      <c r="K28" s="636"/>
      <c r="L28" s="637"/>
      <c r="M28" s="638" t="str">
        <f ca="1">IFERROR(VLOOKUP(A28,INDIRECT(#REF!&amp;"!$B$7:$BA$93"),33,FALSE),"")</f>
        <v/>
      </c>
      <c r="N28" s="638"/>
      <c r="O28" s="638"/>
      <c r="P28" s="633"/>
      <c r="Q28" s="633"/>
      <c r="R28" s="633"/>
    </row>
    <row r="29" spans="1:24" ht="27.95" customHeight="1">
      <c r="A29" s="633"/>
      <c r="B29" s="633"/>
      <c r="C29" s="634" t="str">
        <f>IF(ISERROR(VLOOKUP(A29,주소록!$A$3:$K$523,5,0)),"",VLOOKUP(A29,주소록!$A$3:$K$523,5,0))</f>
        <v/>
      </c>
      <c r="D29" s="634"/>
      <c r="E29" s="634"/>
      <c r="F29" s="634"/>
      <c r="G29" s="635" t="str">
        <f>IF(ISERROR(VLOOKUP(A29,주소록!$A$3:$K$523,6,0)),"",VLOOKUP(A29,주소록!$A$3:$K$523,4,0))</f>
        <v/>
      </c>
      <c r="H29" s="636"/>
      <c r="I29" s="636"/>
      <c r="J29" s="636"/>
      <c r="K29" s="636"/>
      <c r="L29" s="637"/>
      <c r="M29" s="638" t="str">
        <f ca="1">IFERROR(VLOOKUP(A29,INDIRECT(#REF!&amp;"!$B$7:$BA$93"),33,FALSE),"")</f>
        <v/>
      </c>
      <c r="N29" s="638"/>
      <c r="O29" s="638"/>
      <c r="P29" s="633"/>
      <c r="Q29" s="633"/>
      <c r="R29" s="633"/>
    </row>
    <row r="30" spans="1:24" ht="27.95" customHeight="1">
      <c r="A30" s="633"/>
      <c r="B30" s="633"/>
      <c r="C30" s="634" t="str">
        <f>IF(ISERROR(VLOOKUP(A30,주소록!$A$3:$K$523,5,0)),"",VLOOKUP(A30,주소록!$A$3:$K$523,5,0))</f>
        <v/>
      </c>
      <c r="D30" s="634"/>
      <c r="E30" s="634"/>
      <c r="F30" s="634"/>
      <c r="G30" s="635" t="str">
        <f>IF(ISERROR(VLOOKUP(A30,주소록!$A$3:$K$523,6,0)),"",VLOOKUP(A30,주소록!$A$3:$K$523,4,0))</f>
        <v/>
      </c>
      <c r="H30" s="636"/>
      <c r="I30" s="636"/>
      <c r="J30" s="636"/>
      <c r="K30" s="636"/>
      <c r="L30" s="637"/>
      <c r="M30" s="638" t="str">
        <f ca="1">IFERROR(VLOOKUP(A30,INDIRECT(#REF!&amp;"!$B$7:$BA$93"),33,FALSE),"")</f>
        <v/>
      </c>
      <c r="N30" s="638"/>
      <c r="O30" s="638"/>
      <c r="P30" s="633"/>
      <c r="Q30" s="633"/>
      <c r="R30" s="633"/>
    </row>
    <row r="31" spans="1:24" ht="27.95" customHeight="1">
      <c r="A31" s="633"/>
      <c r="B31" s="633"/>
      <c r="C31" s="634" t="str">
        <f>IF(ISERROR(VLOOKUP(A31,주소록!$A$3:$K$523,5,0)),"",VLOOKUP(A31,주소록!$A$3:$K$523,5,0))</f>
        <v/>
      </c>
      <c r="D31" s="634"/>
      <c r="E31" s="634"/>
      <c r="F31" s="634"/>
      <c r="G31" s="635" t="str">
        <f>IF(ISERROR(VLOOKUP(A31,주소록!$A$3:$K$523,6,0)),"",VLOOKUP(A31,주소록!$A$3:$K$523,4,0))</f>
        <v/>
      </c>
      <c r="H31" s="636"/>
      <c r="I31" s="636"/>
      <c r="J31" s="636"/>
      <c r="K31" s="636"/>
      <c r="L31" s="637"/>
      <c r="M31" s="638" t="str">
        <f ca="1">IFERROR(VLOOKUP(A31,INDIRECT(#REF!&amp;"!$B$7:$BA$93"),33,FALSE),"")</f>
        <v/>
      </c>
      <c r="N31" s="638"/>
      <c r="O31" s="638"/>
      <c r="P31" s="633"/>
      <c r="Q31" s="633"/>
      <c r="R31" s="633"/>
    </row>
    <row r="32" spans="1:24" ht="27.95" customHeight="1">
      <c r="A32" s="633"/>
      <c r="B32" s="633"/>
      <c r="C32" s="634" t="str">
        <f>IF(ISERROR(VLOOKUP(A32,주소록!$A$3:$K$523,5,0)),"",VLOOKUP(A32,주소록!$A$3:$K$523,5,0))</f>
        <v/>
      </c>
      <c r="D32" s="634"/>
      <c r="E32" s="634"/>
      <c r="F32" s="634"/>
      <c r="G32" s="635" t="str">
        <f>IF(ISERROR(VLOOKUP(A32,주소록!$A$3:$K$523,6,0)),"",VLOOKUP(A32,주소록!$A$3:$K$523,4,0))</f>
        <v/>
      </c>
      <c r="H32" s="636"/>
      <c r="I32" s="636"/>
      <c r="J32" s="636"/>
      <c r="K32" s="636"/>
      <c r="L32" s="637"/>
      <c r="M32" s="638" t="str">
        <f ca="1">IFERROR(VLOOKUP(A32,INDIRECT(#REF!&amp;"!$B$7:$BA$93"),33,FALSE),"")</f>
        <v/>
      </c>
      <c r="N32" s="638"/>
      <c r="O32" s="638"/>
      <c r="P32" s="633"/>
      <c r="Q32" s="633"/>
      <c r="R32" s="633"/>
    </row>
    <row r="33" spans="1:18" ht="27.95" customHeight="1">
      <c r="A33" s="633"/>
      <c r="B33" s="633"/>
      <c r="C33" s="634" t="str">
        <f>IF(ISERROR(VLOOKUP(A33,주소록!$A$3:$K$523,5,0)),"",VLOOKUP(A33,주소록!$A$3:$K$523,5,0))</f>
        <v/>
      </c>
      <c r="D33" s="634"/>
      <c r="E33" s="634"/>
      <c r="F33" s="634"/>
      <c r="G33" s="635" t="str">
        <f>IF(ISERROR(VLOOKUP(A33,주소록!$A$3:$K$523,6,0)),"",VLOOKUP(A33,주소록!$A$3:$K$523,4,0))</f>
        <v/>
      </c>
      <c r="H33" s="636"/>
      <c r="I33" s="636"/>
      <c r="J33" s="636"/>
      <c r="K33" s="636"/>
      <c r="L33" s="637"/>
      <c r="M33" s="638" t="str">
        <f ca="1">IFERROR(VLOOKUP(A33,INDIRECT(#REF!&amp;"!$B$7:$BA$93"),33,FALSE),"")</f>
        <v/>
      </c>
      <c r="N33" s="638"/>
      <c r="O33" s="638"/>
      <c r="P33" s="633"/>
      <c r="Q33" s="633"/>
      <c r="R33" s="633"/>
    </row>
    <row r="34" spans="1:18" ht="27.95" customHeight="1">
      <c r="A34" s="639"/>
      <c r="B34" s="639"/>
      <c r="C34" s="640" t="str">
        <f>IF(ISERROR(VLOOKUP(A34,주소록!$A$3:$K$523,5,0)),"",VLOOKUP(A34,주소록!$A$3:$K$523,5,0))</f>
        <v/>
      </c>
      <c r="D34" s="640"/>
      <c r="E34" s="640"/>
      <c r="F34" s="640"/>
      <c r="G34" s="641" t="str">
        <f>IF(ISERROR(VLOOKUP(A34,주소록!$A$3:$K$523,6,0)),"",VLOOKUP(A34,주소록!$A$3:$K$523,4,0))</f>
        <v/>
      </c>
      <c r="H34" s="642"/>
      <c r="I34" s="642"/>
      <c r="J34" s="642"/>
      <c r="K34" s="642"/>
      <c r="L34" s="643"/>
      <c r="M34" s="644" t="str">
        <f ca="1">IFERROR(VLOOKUP(A34,INDIRECT(#REF!&amp;"!$B$7:$BA$93"),33,FALSE),"")</f>
        <v/>
      </c>
      <c r="N34" s="644"/>
      <c r="O34" s="644"/>
      <c r="P34" s="639"/>
      <c r="Q34" s="639"/>
      <c r="R34" s="639"/>
    </row>
    <row r="35" spans="1:18" ht="24.95" customHeight="1"/>
    <row r="36" spans="1:18" ht="24.95" customHeight="1"/>
    <row r="37" spans="1:18" ht="24.95" customHeight="1"/>
    <row r="38" spans="1:18" ht="24.95" customHeight="1"/>
    <row r="39" spans="1:18" ht="24.95" customHeight="1"/>
  </sheetData>
  <mergeCells count="126">
    <mergeCell ref="V8:X8"/>
    <mergeCell ref="V9:X9"/>
    <mergeCell ref="V10:X10"/>
    <mergeCell ref="A5:C5"/>
    <mergeCell ref="D5:R5"/>
    <mergeCell ref="A6:C6"/>
    <mergeCell ref="D6:H6"/>
    <mergeCell ref="I6:K6"/>
    <mergeCell ref="L6:M6"/>
    <mergeCell ref="N6:R6"/>
    <mergeCell ref="A11:R11"/>
    <mergeCell ref="A1:R2"/>
    <mergeCell ref="A3:R3"/>
    <mergeCell ref="A4:C4"/>
    <mergeCell ref="D4:H4"/>
    <mergeCell ref="I4:K4"/>
    <mergeCell ref="L4:R4"/>
    <mergeCell ref="A8:R8"/>
    <mergeCell ref="A9:R9"/>
    <mergeCell ref="A10:R10"/>
    <mergeCell ref="A12:R12"/>
    <mergeCell ref="A14:B14"/>
    <mergeCell ref="C14:F14"/>
    <mergeCell ref="G14:L14"/>
    <mergeCell ref="M14:O14"/>
    <mergeCell ref="P14:R14"/>
    <mergeCell ref="A15:B15"/>
    <mergeCell ref="C15:F15"/>
    <mergeCell ref="G15:L15"/>
    <mergeCell ref="M15:O15"/>
    <mergeCell ref="P15:R15"/>
    <mergeCell ref="A16:B16"/>
    <mergeCell ref="C16:F16"/>
    <mergeCell ref="G16:L16"/>
    <mergeCell ref="M16:O16"/>
    <mergeCell ref="P16:R16"/>
    <mergeCell ref="A17:B17"/>
    <mergeCell ref="C17:F17"/>
    <mergeCell ref="G17:L17"/>
    <mergeCell ref="M17:O17"/>
    <mergeCell ref="P17:R17"/>
    <mergeCell ref="A18:B18"/>
    <mergeCell ref="C18:F18"/>
    <mergeCell ref="G18:L18"/>
    <mergeCell ref="M18:O18"/>
    <mergeCell ref="P18:R18"/>
    <mergeCell ref="A19:B19"/>
    <mergeCell ref="C19:F19"/>
    <mergeCell ref="G19:L19"/>
    <mergeCell ref="M19:O19"/>
    <mergeCell ref="P19:R19"/>
    <mergeCell ref="A20:B20"/>
    <mergeCell ref="C20:F20"/>
    <mergeCell ref="G20:L20"/>
    <mergeCell ref="M20:O20"/>
    <mergeCell ref="P20:R20"/>
    <mergeCell ref="A21:B21"/>
    <mergeCell ref="C21:F21"/>
    <mergeCell ref="G21:L21"/>
    <mergeCell ref="M21:O21"/>
    <mergeCell ref="P21:R21"/>
    <mergeCell ref="A22:B22"/>
    <mergeCell ref="C22:F22"/>
    <mergeCell ref="G22:L22"/>
    <mergeCell ref="M22:O22"/>
    <mergeCell ref="P22:R22"/>
    <mergeCell ref="A23:B23"/>
    <mergeCell ref="C23:F23"/>
    <mergeCell ref="G23:L23"/>
    <mergeCell ref="M23:O23"/>
    <mergeCell ref="P23:R23"/>
    <mergeCell ref="A24:B24"/>
    <mergeCell ref="C24:F24"/>
    <mergeCell ref="G24:L24"/>
    <mergeCell ref="M24:O24"/>
    <mergeCell ref="P24:R24"/>
    <mergeCell ref="A25:B25"/>
    <mergeCell ref="C25:F25"/>
    <mergeCell ref="G25:L25"/>
    <mergeCell ref="M25:O25"/>
    <mergeCell ref="P25:R25"/>
    <mergeCell ref="A26:B26"/>
    <mergeCell ref="C26:F26"/>
    <mergeCell ref="G26:L26"/>
    <mergeCell ref="M26:O26"/>
    <mergeCell ref="P26:R26"/>
    <mergeCell ref="A27:B27"/>
    <mergeCell ref="C27:F27"/>
    <mergeCell ref="G27:L27"/>
    <mergeCell ref="M27:O27"/>
    <mergeCell ref="P27:R27"/>
    <mergeCell ref="A28:B28"/>
    <mergeCell ref="C28:F28"/>
    <mergeCell ref="G28:L28"/>
    <mergeCell ref="M28:O28"/>
    <mergeCell ref="P28:R28"/>
    <mergeCell ref="A29:B29"/>
    <mergeCell ref="C29:F29"/>
    <mergeCell ref="G29:L29"/>
    <mergeCell ref="M29:O29"/>
    <mergeCell ref="P29:R29"/>
    <mergeCell ref="A30:B30"/>
    <mergeCell ref="C30:F30"/>
    <mergeCell ref="G30:L30"/>
    <mergeCell ref="M30:O30"/>
    <mergeCell ref="P30:R30"/>
    <mergeCell ref="A31:B31"/>
    <mergeCell ref="C31:F31"/>
    <mergeCell ref="G31:L31"/>
    <mergeCell ref="M31:O31"/>
    <mergeCell ref="P31:R31"/>
    <mergeCell ref="A32:B32"/>
    <mergeCell ref="C32:F32"/>
    <mergeCell ref="G32:L32"/>
    <mergeCell ref="M32:O32"/>
    <mergeCell ref="P32:R32"/>
    <mergeCell ref="A34:B34"/>
    <mergeCell ref="C34:F34"/>
    <mergeCell ref="G34:L34"/>
    <mergeCell ref="M34:O34"/>
    <mergeCell ref="P34:R34"/>
    <mergeCell ref="A33:B33"/>
    <mergeCell ref="C33:F33"/>
    <mergeCell ref="G33:L33"/>
    <mergeCell ref="M33:O33"/>
    <mergeCell ref="P33:R33"/>
  </mergeCells>
  <phoneticPr fontId="4" type="noConversion"/>
  <pageMargins left="0.78740157480314965" right="0.19685039370078741" top="0.59055118110236227" bottom="0.19685039370078741" header="0.31496062992125984" footer="0.31496062992125984"/>
  <pageSetup paperSize="9" scale="90"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4B4D4-CC03-429C-9691-0F481D05D47E}">
  <sheetPr codeName="Sheet11">
    <tabColor rgb="FFFF0000"/>
    <pageSetUpPr fitToPage="1"/>
  </sheetPr>
  <dimension ref="A1:CD155"/>
  <sheetViews>
    <sheetView showGridLines="0" showZeros="0" tabSelected="1" view="pageBreakPreview" zoomScale="80" zoomScaleNormal="80" zoomScaleSheetLayoutView="80" workbookViewId="0">
      <pane xSplit="2" ySplit="6" topLeftCell="C21" activePane="bottomRight" state="frozen"/>
      <selection activeCell="R23" sqref="R23"/>
      <selection pane="topRight" activeCell="R23" sqref="R23"/>
      <selection pane="bottomLeft" activeCell="R23" sqref="R23"/>
      <selection pane="bottomRight" activeCell="B35" sqref="B35"/>
    </sheetView>
  </sheetViews>
  <sheetFormatPr defaultColWidth="9" defaultRowHeight="16.5"/>
  <cols>
    <col min="1" max="1" width="4.625" style="5" customWidth="1"/>
    <col min="2" max="2" width="12.625" style="5" customWidth="1"/>
    <col min="3" max="6" width="4.625" style="5" customWidth="1"/>
    <col min="7" max="9" width="5.625" style="5" customWidth="1"/>
    <col min="10" max="30" width="4.125" style="5" customWidth="1"/>
    <col min="31" max="32" width="5.125" style="5" customWidth="1"/>
    <col min="33" max="33" width="9.625" style="5" customWidth="1"/>
    <col min="34" max="36" width="4.625" style="5" customWidth="1"/>
    <col min="37" max="48" width="4.375" style="5" customWidth="1"/>
    <col min="49" max="51" width="4.625" style="5" customWidth="1"/>
    <col min="52" max="53" width="12.625" style="5" customWidth="1"/>
    <col min="54" max="54" width="4.625" style="6" customWidth="1"/>
    <col min="55" max="55" width="4.625" style="5" customWidth="1"/>
    <col min="56" max="58" width="5.625" style="5" customWidth="1"/>
    <col min="59" max="61" width="4.625" style="5" customWidth="1"/>
    <col min="62" max="63" width="7.875" style="132" customWidth="1"/>
    <col min="64" max="64" width="7.875" style="138" customWidth="1"/>
    <col min="65" max="80" width="5.625" style="5" customWidth="1"/>
    <col min="81" max="81" width="4.625" style="5" customWidth="1"/>
    <col min="82" max="82" width="11.125" style="5" customWidth="1"/>
    <col min="83" max="169" width="4.625" style="5" customWidth="1"/>
    <col min="170" max="16384" width="9" style="5"/>
  </cols>
  <sheetData>
    <row r="1" spans="1:82" ht="39.950000000000003" customHeight="1">
      <c r="A1" s="832" t="s">
        <v>59</v>
      </c>
      <c r="B1" s="832"/>
      <c r="C1" s="832"/>
      <c r="D1" s="832"/>
      <c r="E1" s="832"/>
      <c r="F1" s="832"/>
      <c r="G1" s="832"/>
      <c r="H1" s="832"/>
      <c r="I1" s="832"/>
      <c r="J1" s="832"/>
      <c r="K1" s="832"/>
      <c r="L1" s="832"/>
      <c r="M1" s="832"/>
      <c r="N1" s="832"/>
      <c r="O1" s="832"/>
      <c r="P1" s="832"/>
      <c r="Q1" s="832"/>
      <c r="R1" s="832"/>
      <c r="S1" s="832"/>
      <c r="T1" s="832"/>
      <c r="U1" s="832"/>
      <c r="V1" s="832"/>
      <c r="W1" s="832"/>
      <c r="X1" s="832"/>
      <c r="Y1" s="832"/>
      <c r="Z1" s="832"/>
      <c r="AA1" s="832"/>
      <c r="AB1" s="832"/>
      <c r="AC1" s="832"/>
      <c r="AD1" s="832"/>
      <c r="AE1" s="832"/>
      <c r="AF1" s="832"/>
      <c r="AG1" s="832"/>
      <c r="AH1" s="832"/>
      <c r="AI1" s="832"/>
      <c r="AJ1" s="832"/>
      <c r="AK1" s="832"/>
      <c r="AL1" s="832"/>
      <c r="AM1" s="832"/>
      <c r="AN1" s="832"/>
      <c r="AO1" s="832"/>
      <c r="AP1" s="832"/>
      <c r="AQ1" s="832"/>
      <c r="AR1" s="832"/>
      <c r="AS1" s="832"/>
      <c r="AT1" s="832"/>
      <c r="AU1" s="832"/>
      <c r="AV1" s="832"/>
      <c r="AW1" s="832"/>
      <c r="AX1" s="832"/>
      <c r="AY1" s="832"/>
      <c r="AZ1" s="832"/>
      <c r="BA1" s="200" t="str">
        <f>Y2&amp;"03"</f>
        <v>202603</v>
      </c>
    </row>
    <row r="2" spans="1:82" ht="27.95" customHeight="1">
      <c r="A2" s="833" t="s">
        <v>637</v>
      </c>
      <c r="B2" s="834"/>
      <c r="C2" s="835" t="str">
        <f>요율!G6</f>
        <v>고색2지구 공원 및 공공공지 조성공사</v>
      </c>
      <c r="D2" s="835"/>
      <c r="E2" s="835"/>
      <c r="F2" s="835"/>
      <c r="G2" s="835"/>
      <c r="H2" s="835"/>
      <c r="I2" s="835"/>
      <c r="J2" s="835"/>
      <c r="K2" s="835"/>
      <c r="L2" s="835"/>
      <c r="M2" s="835"/>
      <c r="N2" s="836"/>
      <c r="O2" s="837" t="s">
        <v>43</v>
      </c>
      <c r="P2" s="838"/>
      <c r="Q2" s="838"/>
      <c r="R2" s="838"/>
      <c r="S2" s="838"/>
      <c r="T2" s="838"/>
      <c r="U2" s="839"/>
      <c r="V2" s="49"/>
      <c r="W2" s="50"/>
      <c r="X2" s="50"/>
      <c r="Y2" s="840">
        <v>2026</v>
      </c>
      <c r="Z2" s="840"/>
      <c r="AA2" s="840"/>
      <c r="AB2" s="840"/>
      <c r="AC2" s="842">
        <v>4</v>
      </c>
      <c r="AD2" s="842"/>
      <c r="AE2" s="842"/>
      <c r="AF2" s="844"/>
      <c r="AG2" s="51"/>
      <c r="AH2" s="811" t="s">
        <v>34</v>
      </c>
      <c r="AI2" s="812"/>
      <c r="AJ2" s="846"/>
      <c r="AK2" s="847" t="str">
        <f>AK5&amp;"                  "&amp;AK6</f>
        <v>소 득 세                  지방소득세</v>
      </c>
      <c r="AL2" s="848"/>
      <c r="AM2" s="848"/>
      <c r="AN2" s="849" t="s">
        <v>35</v>
      </c>
      <c r="AO2" s="850"/>
      <c r="AP2" s="851"/>
      <c r="AQ2" s="850" t="s">
        <v>36</v>
      </c>
      <c r="AR2" s="850"/>
      <c r="AS2" s="869"/>
      <c r="AT2" s="870" t="s">
        <v>51</v>
      </c>
      <c r="AU2" s="850"/>
      <c r="AV2" s="869"/>
      <c r="AW2" s="871" t="s">
        <v>37</v>
      </c>
      <c r="AX2" s="872"/>
      <c r="AY2" s="872"/>
      <c r="AZ2" s="873"/>
      <c r="BA2" s="200" t="str">
        <f>RIGHT(Y2,2)&amp;"-03"</f>
        <v>26-03</v>
      </c>
      <c r="BG2" s="824" t="s">
        <v>75</v>
      </c>
      <c r="BH2" s="824"/>
      <c r="BI2" s="824"/>
    </row>
    <row r="3" spans="1:82" ht="27.95" customHeight="1">
      <c r="A3" s="874" t="s">
        <v>636</v>
      </c>
      <c r="B3" s="875"/>
      <c r="C3" s="876" t="str">
        <f>요율!G5</f>
        <v>㈜아 산</v>
      </c>
      <c r="D3" s="876"/>
      <c r="E3" s="876"/>
      <c r="F3" s="876"/>
      <c r="G3" s="876"/>
      <c r="H3" s="876"/>
      <c r="I3" s="876"/>
      <c r="J3" s="876"/>
      <c r="K3" s="876"/>
      <c r="L3" s="876"/>
      <c r="M3" s="876"/>
      <c r="N3" s="877"/>
      <c r="O3" s="878">
        <f>DATE($Y$2,$AC$2,1)</f>
        <v>46113</v>
      </c>
      <c r="P3" s="879"/>
      <c r="Q3" s="879"/>
      <c r="R3" s="48" t="s">
        <v>70</v>
      </c>
      <c r="S3" s="878">
        <f>DATE($Y$2,$AC$2+1,0)</f>
        <v>46142</v>
      </c>
      <c r="T3" s="879"/>
      <c r="U3" s="880"/>
      <c r="V3" s="52"/>
      <c r="W3" s="53"/>
      <c r="X3" s="53"/>
      <c r="Y3" s="841"/>
      <c r="Z3" s="841"/>
      <c r="AA3" s="841"/>
      <c r="AB3" s="841"/>
      <c r="AC3" s="843"/>
      <c r="AD3" s="843"/>
      <c r="AE3" s="843"/>
      <c r="AF3" s="845"/>
      <c r="AG3" s="54"/>
      <c r="AH3" s="856">
        <f>AH153</f>
        <v>33425000</v>
      </c>
      <c r="AI3" s="853"/>
      <c r="AJ3" s="855"/>
      <c r="AK3" s="856">
        <f>SUM(AK7:AM152)</f>
        <v>262930</v>
      </c>
      <c r="AL3" s="853"/>
      <c r="AM3" s="853"/>
      <c r="AN3" s="852">
        <f>SUM(AN7:AP152)</f>
        <v>1198200</v>
      </c>
      <c r="AO3" s="853"/>
      <c r="AP3" s="854"/>
      <c r="AQ3" s="853">
        <f>SUM(AQ7:AS152)</f>
        <v>574560</v>
      </c>
      <c r="AR3" s="853"/>
      <c r="AS3" s="855"/>
      <c r="AT3" s="856">
        <f>SUM(AT7:AV152)</f>
        <v>2035690</v>
      </c>
      <c r="AU3" s="853"/>
      <c r="AV3" s="855"/>
      <c r="AW3" s="857">
        <f>SUM(AW7:AY152)</f>
        <v>31389310</v>
      </c>
      <c r="AX3" s="858"/>
      <c r="AY3" s="858"/>
      <c r="AZ3" s="859"/>
      <c r="BA3" s="200" t="str">
        <f>Y2&amp;"03"</f>
        <v>202603</v>
      </c>
      <c r="BG3" s="860">
        <f>O3</f>
        <v>46113</v>
      </c>
      <c r="BH3" s="860"/>
      <c r="BI3" s="860"/>
    </row>
    <row r="4" spans="1:82" ht="9.9499999999999993" customHeight="1">
      <c r="A4" s="110"/>
      <c r="B4" s="110"/>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23"/>
      <c r="BA4" s="6"/>
    </row>
    <row r="5" spans="1:82" ht="24.95" customHeight="1">
      <c r="A5" s="861" t="s">
        <v>10</v>
      </c>
      <c r="B5" s="862" t="s">
        <v>11</v>
      </c>
      <c r="C5" s="864" t="s">
        <v>23</v>
      </c>
      <c r="D5" s="865"/>
      <c r="E5" s="865"/>
      <c r="F5" s="866"/>
      <c r="G5" s="867" t="s">
        <v>38</v>
      </c>
      <c r="H5" s="867"/>
      <c r="I5" s="867"/>
      <c r="J5" s="867"/>
      <c r="K5" s="867"/>
      <c r="L5" s="867"/>
      <c r="M5" s="867"/>
      <c r="N5" s="868"/>
      <c r="O5" s="419">
        <f>O3</f>
        <v>46113</v>
      </c>
      <c r="P5" s="420">
        <f>O5+1</f>
        <v>46114</v>
      </c>
      <c r="Q5" s="420">
        <f t="shared" ref="Q5:AC6" si="0">P5+1</f>
        <v>46115</v>
      </c>
      <c r="R5" s="420">
        <f t="shared" si="0"/>
        <v>46116</v>
      </c>
      <c r="S5" s="421">
        <f t="shared" si="0"/>
        <v>46117</v>
      </c>
      <c r="T5" s="422">
        <f t="shared" si="0"/>
        <v>46118</v>
      </c>
      <c r="U5" s="420">
        <f t="shared" si="0"/>
        <v>46119</v>
      </c>
      <c r="V5" s="420">
        <f t="shared" si="0"/>
        <v>46120</v>
      </c>
      <c r="W5" s="420">
        <f t="shared" si="0"/>
        <v>46121</v>
      </c>
      <c r="X5" s="421">
        <f t="shared" si="0"/>
        <v>46122</v>
      </c>
      <c r="Y5" s="422">
        <f t="shared" si="0"/>
        <v>46123</v>
      </c>
      <c r="Z5" s="420">
        <f t="shared" si="0"/>
        <v>46124</v>
      </c>
      <c r="AA5" s="420">
        <f t="shared" si="0"/>
        <v>46125</v>
      </c>
      <c r="AB5" s="420">
        <f t="shared" si="0"/>
        <v>46126</v>
      </c>
      <c r="AC5" s="420">
        <f t="shared" si="0"/>
        <v>46127</v>
      </c>
      <c r="AD5" s="423"/>
      <c r="AE5" s="824" t="s">
        <v>12</v>
      </c>
      <c r="AF5" s="824"/>
      <c r="AG5" s="826" t="s">
        <v>44</v>
      </c>
      <c r="AH5" s="817" t="s">
        <v>13</v>
      </c>
      <c r="AI5" s="817"/>
      <c r="AJ5" s="817"/>
      <c r="AK5" s="828" t="str">
        <f>요율!$G$3</f>
        <v>소 득 세</v>
      </c>
      <c r="AL5" s="828"/>
      <c r="AM5" s="829"/>
      <c r="AN5" s="830" t="s">
        <v>14</v>
      </c>
      <c r="AO5" s="830"/>
      <c r="AP5" s="830"/>
      <c r="AQ5" s="830" t="s">
        <v>15</v>
      </c>
      <c r="AR5" s="830"/>
      <c r="AS5" s="831"/>
      <c r="AT5" s="824" t="s">
        <v>16</v>
      </c>
      <c r="AU5" s="824"/>
      <c r="AV5" s="824"/>
      <c r="AW5" s="817" t="s">
        <v>17</v>
      </c>
      <c r="AX5" s="817"/>
      <c r="AY5" s="817"/>
      <c r="AZ5" s="809" t="s">
        <v>52</v>
      </c>
      <c r="BA5" s="28" t="s">
        <v>42</v>
      </c>
      <c r="BC5" s="822" t="s">
        <v>10</v>
      </c>
      <c r="BD5" s="824" t="s">
        <v>53</v>
      </c>
      <c r="BE5" s="824"/>
      <c r="BF5" s="824"/>
      <c r="BG5" s="824" t="s">
        <v>56</v>
      </c>
      <c r="BH5" s="824"/>
      <c r="BI5" s="824"/>
      <c r="BJ5" s="825" t="s">
        <v>524</v>
      </c>
      <c r="BK5" s="825"/>
      <c r="BL5" s="825"/>
      <c r="BM5" s="7">
        <v>1</v>
      </c>
      <c r="BN5" s="8">
        <v>2</v>
      </c>
      <c r="BO5" s="8">
        <v>3</v>
      </c>
      <c r="BP5" s="8">
        <v>4</v>
      </c>
      <c r="BQ5" s="8">
        <v>5</v>
      </c>
      <c r="BR5" s="8">
        <v>6</v>
      </c>
      <c r="BS5" s="8">
        <v>7</v>
      </c>
      <c r="BT5" s="8">
        <v>8</v>
      </c>
      <c r="BU5" s="8">
        <v>9</v>
      </c>
      <c r="BV5" s="8">
        <v>10</v>
      </c>
      <c r="BW5" s="8">
        <v>11</v>
      </c>
      <c r="BX5" s="8">
        <v>12</v>
      </c>
      <c r="BY5" s="8">
        <v>13</v>
      </c>
      <c r="BZ5" s="8">
        <v>14</v>
      </c>
      <c r="CA5" s="8">
        <v>15</v>
      </c>
      <c r="CB5" s="30"/>
      <c r="CD5" s="809" t="s">
        <v>86</v>
      </c>
    </row>
    <row r="6" spans="1:82" ht="24.95" customHeight="1">
      <c r="A6" s="861"/>
      <c r="B6" s="863"/>
      <c r="C6" s="811" t="s">
        <v>41</v>
      </c>
      <c r="D6" s="812"/>
      <c r="E6" s="812"/>
      <c r="F6" s="813"/>
      <c r="G6" s="814" t="s">
        <v>39</v>
      </c>
      <c r="H6" s="814"/>
      <c r="I6" s="815"/>
      <c r="J6" s="814" t="s">
        <v>40</v>
      </c>
      <c r="K6" s="814"/>
      <c r="L6" s="814"/>
      <c r="M6" s="814"/>
      <c r="N6" s="816"/>
      <c r="O6" s="424">
        <f>O5+15</f>
        <v>46128</v>
      </c>
      <c r="P6" s="425">
        <f>O6+1</f>
        <v>46129</v>
      </c>
      <c r="Q6" s="425">
        <f t="shared" si="0"/>
        <v>46130</v>
      </c>
      <c r="R6" s="425">
        <f t="shared" si="0"/>
        <v>46131</v>
      </c>
      <c r="S6" s="426">
        <f t="shared" si="0"/>
        <v>46132</v>
      </c>
      <c r="T6" s="427">
        <f t="shared" si="0"/>
        <v>46133</v>
      </c>
      <c r="U6" s="425">
        <f t="shared" si="0"/>
        <v>46134</v>
      </c>
      <c r="V6" s="425">
        <f t="shared" si="0"/>
        <v>46135</v>
      </c>
      <c r="W6" s="425">
        <f t="shared" si="0"/>
        <v>46136</v>
      </c>
      <c r="X6" s="426">
        <f t="shared" si="0"/>
        <v>46137</v>
      </c>
      <c r="Y6" s="427">
        <f t="shared" si="0"/>
        <v>46138</v>
      </c>
      <c r="Z6" s="425">
        <f t="shared" si="0"/>
        <v>46139</v>
      </c>
      <c r="AA6" s="425">
        <f t="shared" si="0"/>
        <v>46140</v>
      </c>
      <c r="AB6" s="425">
        <f>IFERROR(IF(DAY(DATE($Y$2,$AC$2+1,0))&lt;COLUMNS($O$6:AB$6)+15,"",AA6+1),"")</f>
        <v>46141</v>
      </c>
      <c r="AC6" s="425">
        <f>IFERROR(IF(DAY(DATE($Y$2,$AC$2+1,0))&lt;COLUMNS($O$6:AC$6)+15,"",AB6+1),"")</f>
        <v>46142</v>
      </c>
      <c r="AD6" s="425" t="str">
        <f>IFERROR(IF(DAY(DATE($Y$2,$AC$2+1,0))&lt;COLUMNS($O$6:AD$6)+15,"",AC6+1),"")</f>
        <v/>
      </c>
      <c r="AE6" s="817" t="s">
        <v>19</v>
      </c>
      <c r="AF6" s="817"/>
      <c r="AG6" s="827"/>
      <c r="AH6" s="817"/>
      <c r="AI6" s="817"/>
      <c r="AJ6" s="817"/>
      <c r="AK6" s="818" t="str">
        <f>요율!$G$4</f>
        <v>지방소득세</v>
      </c>
      <c r="AL6" s="818"/>
      <c r="AM6" s="819"/>
      <c r="AN6" s="820" t="s">
        <v>20</v>
      </c>
      <c r="AO6" s="820"/>
      <c r="AP6" s="820"/>
      <c r="AQ6" s="820" t="s">
        <v>21</v>
      </c>
      <c r="AR6" s="820"/>
      <c r="AS6" s="821"/>
      <c r="AT6" s="817" t="s">
        <v>22</v>
      </c>
      <c r="AU6" s="817"/>
      <c r="AV6" s="817"/>
      <c r="AW6" s="817"/>
      <c r="AX6" s="817"/>
      <c r="AY6" s="817"/>
      <c r="AZ6" s="810"/>
      <c r="BA6" s="29" t="s">
        <v>18</v>
      </c>
      <c r="BC6" s="823"/>
      <c r="BD6" s="817" t="s">
        <v>11</v>
      </c>
      <c r="BE6" s="817"/>
      <c r="BF6" s="817"/>
      <c r="BG6" s="817" t="str">
        <f>AK5</f>
        <v>소 득 세</v>
      </c>
      <c r="BH6" s="817"/>
      <c r="BI6" s="817"/>
      <c r="BJ6" s="136" t="s">
        <v>525</v>
      </c>
      <c r="BK6" s="137" t="s">
        <v>526</v>
      </c>
      <c r="BL6" s="139" t="s">
        <v>527</v>
      </c>
      <c r="BM6" s="9">
        <v>16</v>
      </c>
      <c r="BN6" s="10">
        <v>17</v>
      </c>
      <c r="BO6" s="10">
        <v>18</v>
      </c>
      <c r="BP6" s="10">
        <v>19</v>
      </c>
      <c r="BQ6" s="10">
        <v>20</v>
      </c>
      <c r="BR6" s="10">
        <v>21</v>
      </c>
      <c r="BS6" s="10">
        <v>22</v>
      </c>
      <c r="BT6" s="10">
        <v>23</v>
      </c>
      <c r="BU6" s="10">
        <v>24</v>
      </c>
      <c r="BV6" s="10">
        <v>25</v>
      </c>
      <c r="BW6" s="10">
        <v>26</v>
      </c>
      <c r="BX6" s="10">
        <v>27</v>
      </c>
      <c r="BY6" s="10">
        <v>28</v>
      </c>
      <c r="BZ6" s="10">
        <v>29</v>
      </c>
      <c r="CA6" s="10">
        <v>30</v>
      </c>
      <c r="CB6" s="11">
        <v>31</v>
      </c>
      <c r="CD6" s="810"/>
    </row>
    <row r="7" spans="1:82" ht="20.100000000000001" customHeight="1">
      <c r="A7" s="760">
        <v>1</v>
      </c>
      <c r="B7" s="260" t="s">
        <v>1201</v>
      </c>
      <c r="C7" s="708" t="str">
        <f>IF(ISERROR(VLOOKUP(B7,주소록!$A$3:$K$523,5,0)),"",VLOOKUP(B7,주소록!$A$3:$K$523,3,0))</f>
        <v>651015-1333111</v>
      </c>
      <c r="D7" s="708"/>
      <c r="E7" s="708"/>
      <c r="F7" s="709"/>
      <c r="G7" s="710" t="str">
        <f>IF(ISERROR(VLOOKUP(B7,주소록!$A$3:$K$523,6,0)),"",VLOOKUP(B7,주소록!$A$3:$K$523,4,0))</f>
        <v>경기도 남양주시 도농동 291-34 19/4</v>
      </c>
      <c r="H7" s="711"/>
      <c r="I7" s="711"/>
      <c r="J7" s="711"/>
      <c r="K7" s="711"/>
      <c r="L7" s="711"/>
      <c r="M7" s="711"/>
      <c r="N7" s="712"/>
      <c r="O7" s="469"/>
      <c r="P7" s="470"/>
      <c r="Q7" s="470"/>
      <c r="R7" s="470"/>
      <c r="S7" s="478"/>
      <c r="T7" s="469">
        <v>1</v>
      </c>
      <c r="U7" s="470">
        <v>1</v>
      </c>
      <c r="V7" s="470">
        <v>1</v>
      </c>
      <c r="W7" s="470">
        <v>0.5</v>
      </c>
      <c r="X7" s="471">
        <v>1</v>
      </c>
      <c r="Y7" s="472">
        <v>1</v>
      </c>
      <c r="Z7" s="467">
        <v>1</v>
      </c>
      <c r="AA7" s="470">
        <v>1</v>
      </c>
      <c r="AB7" s="470">
        <v>1</v>
      </c>
      <c r="AC7" s="470">
        <v>1</v>
      </c>
      <c r="AD7" s="473"/>
      <c r="AE7" s="783">
        <f>COUNTIF(O7:AD8,"&gt;=0.5")</f>
        <v>22</v>
      </c>
      <c r="AF7" s="784"/>
      <c r="AG7" s="764">
        <v>250000</v>
      </c>
      <c r="AH7" s="797">
        <f>AE8*AG7</f>
        <v>5375000</v>
      </c>
      <c r="AI7" s="798"/>
      <c r="AJ7" s="799"/>
      <c r="AK7" s="757">
        <f>IF(BG8&lt;1000, 0, BG8)</f>
        <v>56700</v>
      </c>
      <c r="AL7" s="803"/>
      <c r="AM7" s="803"/>
      <c r="AN7" s="803">
        <f>IF(요율!$H$7="○",IF(AE7&gt;=요율!$D$6,ROUNDDOWN(AH7*요율!$C$4%,-1),0),0)</f>
        <v>193230</v>
      </c>
      <c r="AO7" s="803"/>
      <c r="AP7" s="803"/>
      <c r="AQ7" s="804" t="str">
        <f>BL7</f>
        <v>60세이상</v>
      </c>
      <c r="AR7" s="756"/>
      <c r="AS7" s="756"/>
      <c r="AT7" s="717">
        <f>SUM(AK7:AS8)</f>
        <v>329360</v>
      </c>
      <c r="AU7" s="718"/>
      <c r="AV7" s="719"/>
      <c r="AW7" s="775">
        <f>AH7-AT7-AT8</f>
        <v>5045640</v>
      </c>
      <c r="AX7" s="776"/>
      <c r="AY7" s="777"/>
      <c r="AZ7" s="766" t="str">
        <f>B7</f>
        <v>오부택</v>
      </c>
      <c r="BA7" s="21" t="str">
        <f>IF(ISERROR(VLOOKUP($B7,주소록!$A$3:$K$523,3,0)),"",VLOOKUP($B7,주소록!$A$3:$K$523,2,0))</f>
        <v>작업반장</v>
      </c>
      <c r="BB7" s="6">
        <v>1</v>
      </c>
      <c r="BC7" s="752">
        <f>A7</f>
        <v>1</v>
      </c>
      <c r="BD7" s="754" t="str">
        <f>IF(OR(MID(C7,8,1)&lt;"3",AND(MID(C7,8,1)&gt;="5",MID(C7,8,1)&lt;="6")),TEXT(TEXT(LEFT(C7,6),"1900-00-00"),"yyyy년 m월 d일"),TEXT(TEXT(LEFT(C7,6),"2000-00-00"),"yyyy년 m월 d일"))</f>
        <v>1965년 10월 15일</v>
      </c>
      <c r="BE7" s="754"/>
      <c r="BF7" s="754"/>
      <c r="BG7" s="768">
        <f>IFERROR(INT( ( TEXT($O$3,"yyyy.mmdd") - TEXT(BD7,"yyyy.mmdd") )  ),0)</f>
        <v>60</v>
      </c>
      <c r="BH7" s="769"/>
      <c r="BI7" s="770"/>
      <c r="BJ7" s="133" t="str">
        <f>IF(BG7&gt;59,"60세이상",IF(OR(AE7&lt;요율!$D$6,AH7=0),0,IF(AH7&lt;요율!$C$7,요율!$D$7,IF(AH7&gt;요율!$C$8,요율!$D$8,+TRUNC(AH7*요율!$C$6%,-1)))))</f>
        <v>60세이상</v>
      </c>
      <c r="BK7" s="143" t="str">
        <f>IF(BG7&gt;59,"60세이상",IF(OR(AH7&lt;2200000,AH7=0),0,IF(AH7&lt;요율!$C$7,요율!$D$7,IF(AH7&gt;요율!$C$8,요율!$D$8,+TRUNC(AH7*요율!$C$6%,-1)))))</f>
        <v>60세이상</v>
      </c>
      <c r="BL7" s="140" t="str">
        <f>IF(BK7&gt;0,BK7,BJ7)</f>
        <v>60세이상</v>
      </c>
      <c r="BM7" s="15">
        <f>ROUNDDOWN(IF($AG7*O7&gt;요율!$E$3,($AG7*O7-요율!$E$3)*요율!$C$3%*요율!$D$3%,0),-1)</f>
        <v>0</v>
      </c>
      <c r="BN7" s="16">
        <f>ROUNDDOWN(IF($AG7*P7&gt;요율!$E$3,($AG7*P7-요율!$E$3)*요율!$C$3%*요율!$D$3%,0),-1)</f>
        <v>0</v>
      </c>
      <c r="BO7" s="16">
        <f>ROUNDDOWN(IF($AG7*Q7&gt;요율!$E$3,($AG7*Q7-요율!$E$3)*요율!$C$3%*요율!$D$3%,0),-1)</f>
        <v>0</v>
      </c>
      <c r="BP7" s="16">
        <f>ROUNDDOWN(IF($AG7*R7&gt;요율!$E$3,($AG7*R7-요율!$E$3)*요율!$C$3%*요율!$D$3%,0),-1)</f>
        <v>0</v>
      </c>
      <c r="BQ7" s="16">
        <f>ROUNDDOWN(IF($AG7*S7&gt;요율!$E$3,($AG7*S7-요율!$E$3)*요율!$C$3%*요율!$D$3%,0),-1)</f>
        <v>0</v>
      </c>
      <c r="BR7" s="16">
        <f>ROUNDDOWN(IF($AG7*T7&gt;요율!$E$3,($AG7*T7-요율!$E$3)*요율!$C$3%*요율!$D$3%,0),-1)</f>
        <v>2700</v>
      </c>
      <c r="BS7" s="16">
        <f>ROUNDDOWN(IF($AG7*U7&gt;요율!$E$3,($AG7*U7-요율!$E$3)*요율!$C$3%*요율!$D$3%,0),-1)</f>
        <v>2700</v>
      </c>
      <c r="BT7" s="16">
        <f>ROUNDDOWN(IF($AG7*V7&gt;요율!$E$3,($AG7*V7-요율!$E$3)*요율!$C$3%*요율!$D$3%,0),-1)</f>
        <v>2700</v>
      </c>
      <c r="BU7" s="16">
        <f>ROUNDDOWN(IF($AG7*W7&gt;요율!$E$3,($AG7*W7-요율!$E$3)*요율!$C$3%*요율!$D$3%,0),-1)</f>
        <v>0</v>
      </c>
      <c r="BV7" s="16">
        <f>ROUNDDOWN(IF($AG7*X7&gt;요율!$E$3,($AG7*X7-요율!$E$3)*요율!$C$3%*요율!$D$3%,0),-1)</f>
        <v>2700</v>
      </c>
      <c r="BW7" s="16">
        <f>ROUNDDOWN(IF($AG7*Y7&gt;요율!$E$3,($AG7*Y7-요율!$E$3)*요율!$C$3%*요율!$D$3%,0),-1)</f>
        <v>2700</v>
      </c>
      <c r="BX7" s="16">
        <f>ROUNDDOWN(IF($AG7*Z7&gt;요율!$E$3,($AG7*Z7-요율!$E$3)*요율!$C$3%*요율!$D$3%,0),-1)</f>
        <v>2700</v>
      </c>
      <c r="BY7" s="16">
        <f>ROUNDDOWN(IF($AG7*AA7&gt;요율!$E$3,($AG7*AA7-요율!$E$3)*요율!$C$3%*요율!$D$3%,0),-1)</f>
        <v>2700</v>
      </c>
      <c r="BZ7" s="16">
        <f>ROUNDDOWN(IF($AG7*AB7&gt;요율!$E$3,($AG7*AB7-요율!$E$3)*요율!$C$3%*요율!$D$3%,0),-1)</f>
        <v>2700</v>
      </c>
      <c r="CA7" s="16">
        <f>ROUNDDOWN(IF($AG7*AC7&gt;요율!$E$3,($AG7*AC7-요율!$E$3)*요율!$C$3%*요율!$D$3%,0),-1)</f>
        <v>2700</v>
      </c>
      <c r="CB7" s="31">
        <f>ROUNDDOWN(IF($AG7*AD7&gt;요율!$E$3,($AG7*AD7-요율!$E$3)*요율!$C$3%*요율!$D$3%,0),-1)</f>
        <v>0</v>
      </c>
      <c r="CD7" s="5" t="str">
        <f>IFERROR(VLOOKUP(B7,주소록,9,FALSE),"")</f>
        <v>오부택</v>
      </c>
    </row>
    <row r="8" spans="1:82" ht="20.100000000000001" customHeight="1">
      <c r="A8" s="761"/>
      <c r="B8" s="261" t="str">
        <f>BA7</f>
        <v>작업반장</v>
      </c>
      <c r="C8" s="690" t="str">
        <f>IF(ISERROR(VLOOKUP(B7,주소록!$A$3:$K$523,7,0)),"",VLOOKUP(B7,주소록!$A$3:$K$523,5,0))</f>
        <v>010-8783-1657</v>
      </c>
      <c r="D8" s="690"/>
      <c r="E8" s="690"/>
      <c r="F8" s="691"/>
      <c r="G8" s="692" t="str">
        <f>IF(ISERROR(VLOOKUP(B7,주소록!$A$3:$K$523,9,0)),"",VLOOKUP(B7,주소록!$A$3:$K$523,7,0))</f>
        <v>농협중앙회</v>
      </c>
      <c r="H8" s="693"/>
      <c r="I8" s="694"/>
      <c r="J8" s="692" t="str">
        <f>IF(ISERROR(VLOOKUP(B7,주소록!$A$3:$K$523,10,0)),"",VLOOKUP(B7,주소록!$A$3:$K$523,8,0))</f>
        <v>204030-56-159309</v>
      </c>
      <c r="K8" s="693"/>
      <c r="L8" s="693"/>
      <c r="M8" s="693"/>
      <c r="N8" s="695"/>
      <c r="O8" s="474">
        <v>1</v>
      </c>
      <c r="P8" s="475">
        <v>1</v>
      </c>
      <c r="Q8" s="475">
        <v>1</v>
      </c>
      <c r="R8" s="468"/>
      <c r="S8" s="476">
        <v>1</v>
      </c>
      <c r="T8" s="474">
        <v>1</v>
      </c>
      <c r="U8" s="475">
        <v>1</v>
      </c>
      <c r="V8" s="475">
        <v>1</v>
      </c>
      <c r="W8" s="475">
        <v>1</v>
      </c>
      <c r="X8" s="477">
        <v>1</v>
      </c>
      <c r="Y8" s="479"/>
      <c r="Z8" s="475">
        <v>1</v>
      </c>
      <c r="AA8" s="475"/>
      <c r="AB8" s="475">
        <v>1</v>
      </c>
      <c r="AC8" s="475">
        <v>1</v>
      </c>
      <c r="AD8" s="477"/>
      <c r="AE8" s="807">
        <f>SUM(O7:AD8)</f>
        <v>21.5</v>
      </c>
      <c r="AF8" s="808"/>
      <c r="AG8" s="765"/>
      <c r="AH8" s="800"/>
      <c r="AI8" s="801"/>
      <c r="AJ8" s="802"/>
      <c r="AK8" s="700">
        <f>IF(C7=0,"",IF(MID(C7,7,1)="5","",IF(MID(C7,7,1)="6","",ROUNDDOWN((AK7*10%),-1))))</f>
        <v>5670</v>
      </c>
      <c r="AL8" s="701"/>
      <c r="AM8" s="701"/>
      <c r="AN8" s="701">
        <f>ROUNDDOWN(AN7*요율!$F$5,-1)</f>
        <v>25390</v>
      </c>
      <c r="AO8" s="701"/>
      <c r="AP8" s="701"/>
      <c r="AQ8" s="713">
        <f>IF(OR(AND(요율!$H$8="X",요율!$H$9="X",MID(C7,8,1)&gt;="5"),AND(요율!$H$8="○",요율!$H$9="X",MID(C7,8,1)&gt;="5")),"외국인",IF(요율!$H$8="X",IF(C7="",0,IF(OR(MID(C7,8,1)&lt;"3",AND(MID(C7,8,1)&gt;="5",MID(C7,8,1)&lt;="6")),IF(INT(TEXT($O$3,"yyyy.mmdd")-TEXT(TEXT(LEFT(C7,6),"1900-00-00"),"yyyy.mmdd"))&gt;=65,"65세이상",+TRUNC(AH7*요율!$C$9%,-1)),IF(INT(TEXT($O$3,"yyyy.mmdd")-TEXT(TEXT(LEFT(C7,6),"2000-00-00"),"yyyy.mmdd"))&gt;=65,"65세이상",+TRUNC(AH7*요율!$C$9%,-1)))),+TRUNC(AH7*요율!$C$9%,-1)))</f>
        <v>48370</v>
      </c>
      <c r="AR8" s="699"/>
      <c r="AS8" s="699"/>
      <c r="AT8" s="714"/>
      <c r="AU8" s="715"/>
      <c r="AV8" s="716"/>
      <c r="AW8" s="778"/>
      <c r="AX8" s="779"/>
      <c r="AY8" s="780"/>
      <c r="AZ8" s="767"/>
      <c r="BA8" s="22" t="str">
        <f>BA7</f>
        <v>작업반장</v>
      </c>
      <c r="BB8" s="6">
        <v>2</v>
      </c>
      <c r="BC8" s="753"/>
      <c r="BD8" s="733" t="str">
        <f>B7</f>
        <v>오부택</v>
      </c>
      <c r="BE8" s="733"/>
      <c r="BF8" s="733"/>
      <c r="BG8" s="734">
        <f>SUM(BM7:CB8)</f>
        <v>56700</v>
      </c>
      <c r="BH8" s="735"/>
      <c r="BI8" s="736"/>
      <c r="BJ8" s="144"/>
      <c r="BK8" s="145"/>
      <c r="BL8" s="146"/>
      <c r="BM8" s="17">
        <f>ROUNDDOWN(IF($AG7*O8&gt;요율!$E$3,($AG7*O8-요율!$E$3)*요율!$C$3%*요율!$D$3%,0),-1)</f>
        <v>2700</v>
      </c>
      <c r="BN8" s="18">
        <f>ROUNDDOWN(IF($AG7*P8&gt;요율!$E$3,($AG7*P8-요율!$E$3)*요율!$C$3%*요율!$D$3%,0),-1)</f>
        <v>2700</v>
      </c>
      <c r="BO8" s="18">
        <f>ROUNDDOWN(IF($AG7*Q8&gt;요율!$E$3,($AG7*Q8-요율!$E$3)*요율!$C$3%*요율!$D$3%,0),-1)</f>
        <v>2700</v>
      </c>
      <c r="BP8" s="18">
        <f>ROUNDDOWN(IF($AG7*R8&gt;요율!$E$3,($AG7*R8-요율!$E$3)*요율!$C$3%*요율!$D$3%,0),-1)</f>
        <v>0</v>
      </c>
      <c r="BQ8" s="18">
        <f>ROUNDDOWN(IF($AG7*S8&gt;요율!$E$3,($AG7*S8-요율!$E$3)*요율!$C$3%*요율!$D$3%,0),-1)</f>
        <v>2700</v>
      </c>
      <c r="BR8" s="18">
        <f>ROUNDDOWN(IF($AG7*T8&gt;요율!$E$3,($AG7*T8-요율!$E$3)*요율!$C$3%*요율!$D$3%,0),-1)</f>
        <v>2700</v>
      </c>
      <c r="BS8" s="18">
        <f>ROUNDDOWN(IF($AG7*U8&gt;요율!$E$3,($AG7*U8-요율!$E$3)*요율!$C$3%*요율!$D$3%,0),-1)</f>
        <v>2700</v>
      </c>
      <c r="BT8" s="18">
        <f>ROUNDDOWN(IF($AG7*V8&gt;요율!$E$3,($AG7*V8-요율!$E$3)*요율!$C$3%*요율!$D$3%,0),-1)</f>
        <v>2700</v>
      </c>
      <c r="BU8" s="18">
        <f>ROUNDDOWN(IF($AG7*W8&gt;요율!$E$3,($AG7*W8-요율!$E$3)*요율!$C$3%*요율!$D$3%,0),-1)</f>
        <v>2700</v>
      </c>
      <c r="BV8" s="18">
        <f>ROUNDDOWN(IF($AG7*X8&gt;요율!$E$3,($AG7*X8-요율!$E$3)*요율!$C$3%*요율!$D$3%,0),-1)</f>
        <v>2700</v>
      </c>
      <c r="BW8" s="18">
        <f>ROUNDDOWN(IF($AG7*Y8&gt;요율!$E$3,($AG7*Y8-요율!$E$3)*요율!$C$3%*요율!$D$3%,0),-1)</f>
        <v>0</v>
      </c>
      <c r="BX8" s="18">
        <f>ROUNDDOWN(IF($AG7*Z8&gt;요율!$E$3,($AG7*Z8-요율!$E$3)*요율!$C$3%*요율!$D$3%,0),-1)</f>
        <v>2700</v>
      </c>
      <c r="BY8" s="18">
        <f>ROUNDDOWN(IF($AG7*AA8&gt;요율!$E$3,($AG7*AA8-요율!$E$3)*요율!$C$3%*요율!$D$3%,0),-1)</f>
        <v>0</v>
      </c>
      <c r="BZ8" s="18">
        <f>ROUNDDOWN(IF($AG7*AB8&gt;요율!$E$3,($AG7*AB8-요율!$E$3)*요율!$C$3%*요율!$D$3%,0),-1)</f>
        <v>2700</v>
      </c>
      <c r="CA8" s="18">
        <f>ROUNDDOWN(IF($AG7*AC8&gt;요율!$E$3,($AG7*AC8-요율!$E$3)*요율!$C$3%*요율!$D$3%,0),-1)</f>
        <v>2700</v>
      </c>
      <c r="CB8" s="19">
        <f>ROUNDDOWN(IF($AG7*AD8&gt;요율!$E$3,($AG7*AD8-요율!$E$3)*요율!$C$3%*요율!$D$3%,0),-1)</f>
        <v>0</v>
      </c>
    </row>
    <row r="9" spans="1:82" ht="20.100000000000001" customHeight="1">
      <c r="A9" s="760">
        <f t="shared" ref="A9:A71" si="1">A7+1</f>
        <v>2</v>
      </c>
      <c r="B9" s="260" t="s">
        <v>1202</v>
      </c>
      <c r="C9" s="708" t="str">
        <f>IF(ISERROR(VLOOKUP(B9,주소록!$A$3:$K$523,5,0)),"",VLOOKUP(B9,주소록!$A$3:$K$523,3,0))</f>
        <v>630816-1221210</v>
      </c>
      <c r="D9" s="708"/>
      <c r="E9" s="708"/>
      <c r="F9" s="709"/>
      <c r="G9" s="710" t="str">
        <f>IF(ISERROR(VLOOKUP(B9,주소록!$A$3:$K$523,6,0)),"",VLOOKUP(B9,주소록!$A$3:$K$523,4,0))</f>
        <v>경기도 남양주시 진건읍 사릉로용정1길 11</v>
      </c>
      <c r="H9" s="711"/>
      <c r="I9" s="711"/>
      <c r="J9" s="711"/>
      <c r="K9" s="711"/>
      <c r="L9" s="711"/>
      <c r="M9" s="711"/>
      <c r="N9" s="712"/>
      <c r="O9" s="469"/>
      <c r="P9" s="470"/>
      <c r="Q9" s="470"/>
      <c r="R9" s="470"/>
      <c r="S9" s="478"/>
      <c r="T9" s="469">
        <v>1</v>
      </c>
      <c r="U9" s="470">
        <v>1</v>
      </c>
      <c r="V9" s="470">
        <v>1</v>
      </c>
      <c r="W9" s="470"/>
      <c r="X9" s="471"/>
      <c r="Y9" s="472">
        <v>1</v>
      </c>
      <c r="Z9" s="467">
        <v>1</v>
      </c>
      <c r="AA9" s="470">
        <v>1</v>
      </c>
      <c r="AB9" s="470">
        <v>1</v>
      </c>
      <c r="AC9" s="470">
        <v>1</v>
      </c>
      <c r="AD9" s="473"/>
      <c r="AE9" s="783">
        <f>COUNTIF(O9:AD10,"&gt;=0.5")</f>
        <v>18</v>
      </c>
      <c r="AF9" s="784"/>
      <c r="AG9" s="764">
        <v>200000</v>
      </c>
      <c r="AH9" s="797">
        <f>AE10*AG9</f>
        <v>3600000</v>
      </c>
      <c r="AI9" s="798"/>
      <c r="AJ9" s="799"/>
      <c r="AK9" s="757">
        <f>IF(BG10&lt;1000, 0, BG10)</f>
        <v>24300</v>
      </c>
      <c r="AL9" s="803"/>
      <c r="AM9" s="803"/>
      <c r="AN9" s="803">
        <f>IF(요율!$H$7="○",IF(AE9&gt;=요율!$D$6,ROUNDDOWN(AH9*요율!$C$4%,-1),0),0)</f>
        <v>129420</v>
      </c>
      <c r="AO9" s="803"/>
      <c r="AP9" s="803"/>
      <c r="AQ9" s="804" t="str">
        <f>BL9</f>
        <v>60세이상</v>
      </c>
      <c r="AR9" s="805"/>
      <c r="AS9" s="806"/>
      <c r="AT9" s="717">
        <f>SUM(AK9:AS10)</f>
        <v>205550</v>
      </c>
      <c r="AU9" s="718"/>
      <c r="AV9" s="719"/>
      <c r="AW9" s="775">
        <f>AH9-AT9-AT10</f>
        <v>3394450</v>
      </c>
      <c r="AX9" s="776"/>
      <c r="AY9" s="777"/>
      <c r="AZ9" s="766" t="s">
        <v>1208</v>
      </c>
      <c r="BA9" s="21" t="str">
        <f>IF(ISERROR(VLOOKUP($B9,주소록!$A$3:$K$523,3,0)),"",VLOOKUP($B9,주소록!$A$3:$K$523,2,0))</f>
        <v>조경공</v>
      </c>
      <c r="BB9" s="6">
        <v>1</v>
      </c>
      <c r="BC9" s="752">
        <f>A9</f>
        <v>2</v>
      </c>
      <c r="BD9" s="754" t="str">
        <f>IF(OR(MID(C9,8,1)&lt;"3",AND(MID(C9,8,1)&gt;="5",MID(C9,8,1)&lt;="6")),TEXT(TEXT(LEFT(C9,6),"1900-00-00"),"yyyy년 m월 d일"),TEXT(TEXT(LEFT(C9,6),"2000-00-00"),"yyyy년 m월 d일"))</f>
        <v>1963년 8월 16일</v>
      </c>
      <c r="BE9" s="754"/>
      <c r="BF9" s="754"/>
      <c r="BG9" s="768">
        <f>IFERROR(INT( ( TEXT($O$3,"yyyy.mmdd") - TEXT(BD9,"yyyy.mmdd") )  ),0)</f>
        <v>62</v>
      </c>
      <c r="BH9" s="769"/>
      <c r="BI9" s="770"/>
      <c r="BJ9" s="133" t="str">
        <f>IF(BG9&gt;59,"60세이상",IF(OR(AE9&lt;요율!$D$6,AH9=0),0,IF(AH9&lt;요율!$C$7,요율!$D$7,IF(AH9&gt;요율!$C$8,요율!$D$8,+TRUNC(AH9*요율!$C$6%,-1)))))</f>
        <v>60세이상</v>
      </c>
      <c r="BK9" s="143" t="str">
        <f>IF(BG9&gt;59,"60세이상",IF(OR(AH9&lt;2200000,AH9=0),0,IF(AH9&lt;요율!$C$7,요율!$D$7,IF(AH9&gt;요율!$C$8,요율!$D$8,+TRUNC(AH9*요율!$C$6%,-1)))))</f>
        <v>60세이상</v>
      </c>
      <c r="BL9" s="140" t="str">
        <f>IF(BK9&gt;0,BK9,BJ9)</f>
        <v>60세이상</v>
      </c>
      <c r="BM9" s="15">
        <f>ROUNDDOWN(IF($AG9*O9&gt;요율!$E$3,($AG9*O9-요율!$E$3)*요율!$C$3%*요율!$D$3%,0),-1)</f>
        <v>0</v>
      </c>
      <c r="BN9" s="16">
        <f>ROUNDDOWN(IF($AG9*P9&gt;요율!$E$3,($AG9*P9-요율!$E$3)*요율!$C$3%*요율!$D$3%,0),-1)</f>
        <v>0</v>
      </c>
      <c r="BO9" s="16">
        <f>ROUNDDOWN(IF($AG9*Q9&gt;요율!$E$3,($AG9*Q9-요율!$E$3)*요율!$C$3%*요율!$D$3%,0),-1)</f>
        <v>0</v>
      </c>
      <c r="BP9" s="16">
        <f>ROUNDDOWN(IF($AG9*R9&gt;요율!$E$3,($AG9*R9-요율!$E$3)*요율!$C$3%*요율!$D$3%,0),-1)</f>
        <v>0</v>
      </c>
      <c r="BQ9" s="16">
        <f>ROUNDDOWN(IF($AG9*S9&gt;요율!$E$3,($AG9*S9-요율!$E$3)*요율!$C$3%*요율!$D$3%,0),-1)</f>
        <v>0</v>
      </c>
      <c r="BR9" s="16">
        <f>ROUNDDOWN(IF($AG9*T9&gt;요율!$E$3,($AG9*T9-요율!$E$3)*요율!$C$3%*요율!$D$3%,0),-1)</f>
        <v>1350</v>
      </c>
      <c r="BS9" s="16">
        <f>ROUNDDOWN(IF($AG9*U9&gt;요율!$E$3,($AG9*U9-요율!$E$3)*요율!$C$3%*요율!$D$3%,0),-1)</f>
        <v>1350</v>
      </c>
      <c r="BT9" s="16">
        <f>ROUNDDOWN(IF($AG9*V9&gt;요율!$E$3,($AG9*V9-요율!$E$3)*요율!$C$3%*요율!$D$3%,0),-1)</f>
        <v>1350</v>
      </c>
      <c r="BU9" s="16">
        <f>ROUNDDOWN(IF($AG9*W9&gt;요율!$E$3,($AG9*W9-요율!$E$3)*요율!$C$3%*요율!$D$3%,0),-1)</f>
        <v>0</v>
      </c>
      <c r="BV9" s="16">
        <f>ROUNDDOWN(IF($AG9*X9&gt;요율!$E$3,($AG9*X9-요율!$E$3)*요율!$C$3%*요율!$D$3%,0),-1)</f>
        <v>0</v>
      </c>
      <c r="BW9" s="16">
        <f>ROUNDDOWN(IF($AG9*Y9&gt;요율!$E$3,($AG9*Y9-요율!$E$3)*요율!$C$3%*요율!$D$3%,0),-1)</f>
        <v>1350</v>
      </c>
      <c r="BX9" s="16">
        <f>ROUNDDOWN(IF($AG9*Z9&gt;요율!$E$3,($AG9*Z9-요율!$E$3)*요율!$C$3%*요율!$D$3%,0),-1)</f>
        <v>1350</v>
      </c>
      <c r="BY9" s="16">
        <f>ROUNDDOWN(IF($AG9*AA9&gt;요율!$E$3,($AG9*AA9-요율!$E$3)*요율!$C$3%*요율!$D$3%,0),-1)</f>
        <v>1350</v>
      </c>
      <c r="BZ9" s="16">
        <f>ROUNDDOWN(IF($AG9*AB9&gt;요율!$E$3,($AG9*AB9-요율!$E$3)*요율!$C$3%*요율!$D$3%,0),-1)</f>
        <v>1350</v>
      </c>
      <c r="CA9" s="16">
        <f>ROUNDDOWN(IF($AG9*AC9&gt;요율!$E$3,($AG9*AC9-요율!$E$3)*요율!$C$3%*요율!$D$3%,0),-1)</f>
        <v>1350</v>
      </c>
      <c r="CB9" s="31">
        <f>ROUNDDOWN(IF($AG9*AD9&gt;요율!$E$3,($AG9*AD9-요율!$E$3)*요율!$C$3%*요율!$D$3%,0),-1)</f>
        <v>0</v>
      </c>
      <c r="CD9" s="5" t="str">
        <f>IFERROR(VLOOKUP(B9,주소록,9,FALSE),"")</f>
        <v>하진욱</v>
      </c>
    </row>
    <row r="10" spans="1:82" ht="20.100000000000001" customHeight="1">
      <c r="A10" s="761"/>
      <c r="B10" s="261" t="str">
        <f>BA9</f>
        <v>조경공</v>
      </c>
      <c r="C10" s="690" t="str">
        <f>IF(ISERROR(VLOOKUP(B9,주소록!$A$3:$K$523,7,0)),"",VLOOKUP(B9,주소록!$A$3:$K$523,5,0))</f>
        <v>010-4993-9423</v>
      </c>
      <c r="D10" s="690"/>
      <c r="E10" s="690"/>
      <c r="F10" s="691"/>
      <c r="G10" s="692" t="str">
        <f>IF(ISERROR(VLOOKUP(B9,주소록!$A$3:$K$523,9,0)),"",VLOOKUP(B9,주소록!$A$3:$K$523,7,0))</f>
        <v>농협중앙회</v>
      </c>
      <c r="H10" s="693"/>
      <c r="I10" s="694"/>
      <c r="J10" s="692" t="str">
        <f>IF(ISERROR(VLOOKUP(B9,주소록!$A$3:$K$523,10,0)),"",VLOOKUP(B9,주소록!$A$3:$K$523,8,0))</f>
        <v>352-0964-6051-63</v>
      </c>
      <c r="K10" s="693"/>
      <c r="L10" s="693"/>
      <c r="M10" s="693"/>
      <c r="N10" s="695"/>
      <c r="O10" s="474">
        <v>1</v>
      </c>
      <c r="P10" s="475">
        <v>1</v>
      </c>
      <c r="Q10" s="475">
        <v>1</v>
      </c>
      <c r="R10" s="468"/>
      <c r="S10" s="476">
        <v>1</v>
      </c>
      <c r="T10" s="474">
        <v>1</v>
      </c>
      <c r="U10" s="475">
        <v>1</v>
      </c>
      <c r="V10" s="475">
        <v>1</v>
      </c>
      <c r="W10" s="475">
        <v>1</v>
      </c>
      <c r="X10" s="477">
        <v>1</v>
      </c>
      <c r="Y10" s="479"/>
      <c r="Z10" s="475"/>
      <c r="AA10" s="475"/>
      <c r="AB10" s="475"/>
      <c r="AC10" s="475">
        <v>1</v>
      </c>
      <c r="AD10" s="477"/>
      <c r="AE10" s="696">
        <f>SUM(O9:AD10)</f>
        <v>18</v>
      </c>
      <c r="AF10" s="697"/>
      <c r="AG10" s="765"/>
      <c r="AH10" s="800"/>
      <c r="AI10" s="801"/>
      <c r="AJ10" s="802"/>
      <c r="AK10" s="700">
        <f>IF(C9=0,"",IF(MID(C9,7,1)="5","",IF(MID(C9,7,1)="6","",ROUNDDOWN((AK9*10%),-1))))</f>
        <v>2430</v>
      </c>
      <c r="AL10" s="701"/>
      <c r="AM10" s="701"/>
      <c r="AN10" s="701">
        <f>ROUNDDOWN(AN9*요율!$F$5,-1)</f>
        <v>17000</v>
      </c>
      <c r="AO10" s="701"/>
      <c r="AP10" s="701"/>
      <c r="AQ10" s="713">
        <f>IF(OR(AND(요율!$H$8="X",요율!$H$9="X",MID(C9,8,1)&gt;="5"),AND(요율!$H$8="○",요율!$H$9="X",MID(C9,8,1)&gt;="5")),"외국인",IF(요율!$H$8="X",IF(C9="",0,IF(OR(MID(C9,8,1)&lt;"3",AND(MID(C9,8,1)&gt;="5",MID(C9,8,1)&lt;="6")),IF(INT(TEXT($O$3,"yyyy.mmdd")-TEXT(TEXT(LEFT(C9,6),"1900-00-00"),"yyyy.mmdd"))&gt;=65,"65세이상",+TRUNC(AH9*요율!$C$9%,-1)),IF(INT(TEXT($O$3,"yyyy.mmdd")-TEXT(TEXT(LEFT(C9,6),"2000-00-00"),"yyyy.mmdd"))&gt;=65,"65세이상",+TRUNC(AH9*요율!$C$9%,-1)))),+TRUNC(AH9*요율!$C$9%,-1)))</f>
        <v>32400</v>
      </c>
      <c r="AR10" s="699"/>
      <c r="AS10" s="699"/>
      <c r="AT10" s="714"/>
      <c r="AU10" s="715"/>
      <c r="AV10" s="716"/>
      <c r="AW10" s="778"/>
      <c r="AX10" s="779"/>
      <c r="AY10" s="780"/>
      <c r="AZ10" s="767"/>
      <c r="BA10" s="22" t="str">
        <f>BA9</f>
        <v>조경공</v>
      </c>
      <c r="BB10" s="6">
        <v>2</v>
      </c>
      <c r="BC10" s="753"/>
      <c r="BD10" s="733" t="str">
        <f>B9</f>
        <v>하해군</v>
      </c>
      <c r="BE10" s="733"/>
      <c r="BF10" s="733"/>
      <c r="BG10" s="734">
        <f>SUM(BM9:CB10)</f>
        <v>24300</v>
      </c>
      <c r="BH10" s="735"/>
      <c r="BI10" s="736"/>
      <c r="BJ10" s="144"/>
      <c r="BK10" s="145"/>
      <c r="BL10" s="146"/>
      <c r="BM10" s="17">
        <f>ROUNDDOWN(IF($AG9*O10&gt;요율!$E$3,($AG9*O10-요율!$E$3)*요율!$C$3%*요율!$D$3%,0),-1)</f>
        <v>1350</v>
      </c>
      <c r="BN10" s="18">
        <f>ROUNDDOWN(IF($AG9*P10&gt;요율!$E$3,($AG9*P10-요율!$E$3)*요율!$C$3%*요율!$D$3%,0),-1)</f>
        <v>1350</v>
      </c>
      <c r="BO10" s="18">
        <f>ROUNDDOWN(IF($AG9*Q10&gt;요율!$E$3,($AG9*Q10-요율!$E$3)*요율!$C$3%*요율!$D$3%,0),-1)</f>
        <v>1350</v>
      </c>
      <c r="BP10" s="18">
        <f>ROUNDDOWN(IF($AG9*R10&gt;요율!$E$3,($AG9*R10-요율!$E$3)*요율!$C$3%*요율!$D$3%,0),-1)</f>
        <v>0</v>
      </c>
      <c r="BQ10" s="18">
        <f>ROUNDDOWN(IF($AG9*S10&gt;요율!$E$3,($AG9*S10-요율!$E$3)*요율!$C$3%*요율!$D$3%,0),-1)</f>
        <v>1350</v>
      </c>
      <c r="BR10" s="18">
        <f>ROUNDDOWN(IF($AG9*T10&gt;요율!$E$3,($AG9*T10-요율!$E$3)*요율!$C$3%*요율!$D$3%,0),-1)</f>
        <v>1350</v>
      </c>
      <c r="BS10" s="18">
        <f>ROUNDDOWN(IF($AG9*U10&gt;요율!$E$3,($AG9*U10-요율!$E$3)*요율!$C$3%*요율!$D$3%,0),-1)</f>
        <v>1350</v>
      </c>
      <c r="BT10" s="18">
        <f>ROUNDDOWN(IF($AG9*V10&gt;요율!$E$3,($AG9*V10-요율!$E$3)*요율!$C$3%*요율!$D$3%,0),-1)</f>
        <v>1350</v>
      </c>
      <c r="BU10" s="18">
        <f>ROUNDDOWN(IF($AG9*W10&gt;요율!$E$3,($AG9*W10-요율!$E$3)*요율!$C$3%*요율!$D$3%,0),-1)</f>
        <v>1350</v>
      </c>
      <c r="BV10" s="18">
        <f>ROUNDDOWN(IF($AG9*X10&gt;요율!$E$3,($AG9*X10-요율!$E$3)*요율!$C$3%*요율!$D$3%,0),-1)</f>
        <v>1350</v>
      </c>
      <c r="BW10" s="18">
        <f>ROUNDDOWN(IF($AG9*Y10&gt;요율!$E$3,($AG9*Y10-요율!$E$3)*요율!$C$3%*요율!$D$3%,0),-1)</f>
        <v>0</v>
      </c>
      <c r="BX10" s="18">
        <f>ROUNDDOWN(IF($AG9*Z10&gt;요율!$E$3,($AG9*Z10-요율!$E$3)*요율!$C$3%*요율!$D$3%,0),-1)</f>
        <v>0</v>
      </c>
      <c r="BY10" s="18">
        <f>ROUNDDOWN(IF($AG9*AA10&gt;요율!$E$3,($AG9*AA10-요율!$E$3)*요율!$C$3%*요율!$D$3%,0),-1)</f>
        <v>0</v>
      </c>
      <c r="BZ10" s="18">
        <f>ROUNDDOWN(IF($AG9*AB10&gt;요율!$E$3,($AG9*AB10-요율!$E$3)*요율!$C$3%*요율!$D$3%,0),-1)</f>
        <v>0</v>
      </c>
      <c r="CA10" s="18">
        <f>ROUNDDOWN(IF($AG9*AC10&gt;요율!$E$3,($AG9*AC10-요율!$E$3)*요율!$C$3%*요율!$D$3%,0),-1)</f>
        <v>1350</v>
      </c>
      <c r="CB10" s="19">
        <f>ROUNDDOWN(IF($AG9*AD10&gt;요율!$E$3,($AG9*AD10-요율!$E$3)*요율!$C$3%*요율!$D$3%,0),-1)</f>
        <v>0</v>
      </c>
    </row>
    <row r="11" spans="1:82" ht="20.100000000000001" customHeight="1">
      <c r="A11" s="760">
        <f t="shared" si="1"/>
        <v>3</v>
      </c>
      <c r="B11" s="260" t="s">
        <v>1203</v>
      </c>
      <c r="C11" s="708" t="str">
        <f>IF(ISERROR(VLOOKUP(B11,주소록!$A$3:$K$523,5,0)),"",VLOOKUP(B11,주소록!$A$3:$K$523,3,0))</f>
        <v>701126-1241813</v>
      </c>
      <c r="D11" s="708"/>
      <c r="E11" s="708"/>
      <c r="F11" s="709"/>
      <c r="G11" s="710" t="str">
        <f>IF(ISERROR(VLOOKUP(B11,주소록!$A$3:$K$523,6,0)),"",VLOOKUP(B11,주소록!$A$3:$K$523,4,0))</f>
        <v>경기도  포천군 영북면 운천리 528</v>
      </c>
      <c r="H11" s="711"/>
      <c r="I11" s="711"/>
      <c r="J11" s="711"/>
      <c r="K11" s="711"/>
      <c r="L11" s="711"/>
      <c r="M11" s="711"/>
      <c r="N11" s="712"/>
      <c r="O11" s="469"/>
      <c r="P11" s="470"/>
      <c r="Q11" s="470"/>
      <c r="R11" s="470"/>
      <c r="S11" s="478"/>
      <c r="T11" s="469">
        <v>1</v>
      </c>
      <c r="U11" s="470">
        <v>1</v>
      </c>
      <c r="V11" s="470">
        <v>1</v>
      </c>
      <c r="W11" s="470">
        <v>0.5</v>
      </c>
      <c r="X11" s="471">
        <v>1</v>
      </c>
      <c r="Y11" s="472">
        <v>1</v>
      </c>
      <c r="Z11" s="467">
        <v>1</v>
      </c>
      <c r="AA11" s="470">
        <v>1</v>
      </c>
      <c r="AB11" s="470">
        <v>1</v>
      </c>
      <c r="AC11" s="470">
        <v>1</v>
      </c>
      <c r="AD11" s="473"/>
      <c r="AE11" s="783">
        <f>COUNTIF(O11:AD12,"&gt;=0.5")</f>
        <v>22</v>
      </c>
      <c r="AF11" s="784"/>
      <c r="AG11" s="764">
        <v>190000</v>
      </c>
      <c r="AH11" s="797">
        <f>AE12*AG11</f>
        <v>4085000</v>
      </c>
      <c r="AI11" s="798"/>
      <c r="AJ11" s="799"/>
      <c r="AK11" s="757">
        <f>IF(BG12&lt;1000, 0, BG12)</f>
        <v>22680</v>
      </c>
      <c r="AL11" s="803"/>
      <c r="AM11" s="803"/>
      <c r="AN11" s="803">
        <f>IF(요율!$H$7="○",IF(AE11&gt;=요율!$D$6,ROUNDDOWN(AH11*요율!$C$4%,-1),0),0)</f>
        <v>146850</v>
      </c>
      <c r="AO11" s="803"/>
      <c r="AP11" s="803"/>
      <c r="AQ11" s="758">
        <f>BL11</f>
        <v>194030</v>
      </c>
      <c r="AR11" s="756"/>
      <c r="AS11" s="759"/>
      <c r="AT11" s="717">
        <f>SUM(AK11:AS12)</f>
        <v>421870</v>
      </c>
      <c r="AU11" s="718"/>
      <c r="AV11" s="719"/>
      <c r="AW11" s="775">
        <f>AH11-AT11-AT12</f>
        <v>3663130</v>
      </c>
      <c r="AX11" s="776"/>
      <c r="AY11" s="777"/>
      <c r="AZ11" s="766" t="str">
        <f>B11</f>
        <v>유수진</v>
      </c>
      <c r="BA11" s="21" t="str">
        <f>IF(ISERROR(VLOOKUP($B11,주소록!$A$3:$K$523,3,0)),"",VLOOKUP($B11,주소록!$A$3:$K$523,2,0))</f>
        <v>조경공</v>
      </c>
      <c r="BB11" s="6">
        <v>1</v>
      </c>
      <c r="BC11" s="752">
        <f>A11</f>
        <v>3</v>
      </c>
      <c r="BD11" s="754" t="str">
        <f>IF(OR(MID(C11,8,1)&lt;"3",AND(MID(C11,8,1)&gt;="5",MID(C11,8,1)&lt;="6")),TEXT(TEXT(LEFT(C11,6),"1900-00-00"),"yyyy년 m월 d일"),TEXT(TEXT(LEFT(C11,6),"2000-00-00"),"yyyy년 m월 d일"))</f>
        <v>1970년 11월 26일</v>
      </c>
      <c r="BE11" s="754"/>
      <c r="BF11" s="754"/>
      <c r="BG11" s="768">
        <f>IFERROR(INT( ( TEXT($O$3,"yyyy.mmdd") - TEXT(BD11,"yyyy.mmdd") )  ),0)</f>
        <v>55</v>
      </c>
      <c r="BH11" s="769"/>
      <c r="BI11" s="770"/>
      <c r="BJ11" s="133">
        <f>IF(BG11&gt;59,"60세이상",IF(OR(AE11&lt;요율!$D$6,AH11=0),0,IF(AH11&lt;요율!$C$7,요율!$D$7,IF(AH11&gt;요율!$C$8,요율!$D$8,+TRUNC(AH11*요율!$C$6%,-1)))))</f>
        <v>194030</v>
      </c>
      <c r="BK11" s="143">
        <f>IF(BG11&gt;59,"60세이상",IF(OR(AH11&lt;2200000,AH11=0),0,IF(AH11&lt;요율!$C$7,요율!$D$7,IF(AH11&gt;요율!$C$8,요율!$D$8,+TRUNC(AH11*요율!$C$6%,-1)))))</f>
        <v>194030</v>
      </c>
      <c r="BL11" s="140">
        <f>IF(BK11&gt;0,BK11,BJ11)</f>
        <v>194030</v>
      </c>
      <c r="BM11" s="15">
        <f>ROUNDDOWN(IF($AG11*O11&gt;요율!$E$3,($AG11*O11-요율!$E$3)*요율!$C$3%*요율!$D$3%,0),-1)</f>
        <v>0</v>
      </c>
      <c r="BN11" s="16">
        <f>ROUNDDOWN(IF($AG11*P11&gt;요율!$E$3,($AG11*P11-요율!$E$3)*요율!$C$3%*요율!$D$3%,0),-1)</f>
        <v>0</v>
      </c>
      <c r="BO11" s="16">
        <f>ROUNDDOWN(IF($AG11*Q11&gt;요율!$E$3,($AG11*Q11-요율!$E$3)*요율!$C$3%*요율!$D$3%,0),-1)</f>
        <v>0</v>
      </c>
      <c r="BP11" s="16">
        <f>ROUNDDOWN(IF($AG11*R11&gt;요율!$E$3,($AG11*R11-요율!$E$3)*요율!$C$3%*요율!$D$3%,0),-1)</f>
        <v>0</v>
      </c>
      <c r="BQ11" s="16">
        <f>ROUNDDOWN(IF($AG11*S11&gt;요율!$E$3,($AG11*S11-요율!$E$3)*요율!$C$3%*요율!$D$3%,0),-1)</f>
        <v>0</v>
      </c>
      <c r="BR11" s="16">
        <f>ROUNDDOWN(IF($AG11*T11&gt;요율!$E$3,($AG11*T11-요율!$E$3)*요율!$C$3%*요율!$D$3%,0),-1)</f>
        <v>1080</v>
      </c>
      <c r="BS11" s="16">
        <f>ROUNDDOWN(IF($AG11*U11&gt;요율!$E$3,($AG11*U11-요율!$E$3)*요율!$C$3%*요율!$D$3%,0),-1)</f>
        <v>1080</v>
      </c>
      <c r="BT11" s="16">
        <f>ROUNDDOWN(IF($AG11*V11&gt;요율!$E$3,($AG11*V11-요율!$E$3)*요율!$C$3%*요율!$D$3%,0),-1)</f>
        <v>1080</v>
      </c>
      <c r="BU11" s="16">
        <f>ROUNDDOWN(IF($AG11*W11&gt;요율!$E$3,($AG11*W11-요율!$E$3)*요율!$C$3%*요율!$D$3%,0),-1)</f>
        <v>0</v>
      </c>
      <c r="BV11" s="16">
        <f>ROUNDDOWN(IF($AG11*X11&gt;요율!$E$3,($AG11*X11-요율!$E$3)*요율!$C$3%*요율!$D$3%,0),-1)</f>
        <v>1080</v>
      </c>
      <c r="BW11" s="16">
        <f>ROUNDDOWN(IF($AG11*Y11&gt;요율!$E$3,($AG11*Y11-요율!$E$3)*요율!$C$3%*요율!$D$3%,0),-1)</f>
        <v>1080</v>
      </c>
      <c r="BX11" s="16">
        <f>ROUNDDOWN(IF($AG11*Z11&gt;요율!$E$3,($AG11*Z11-요율!$E$3)*요율!$C$3%*요율!$D$3%,0),-1)</f>
        <v>1080</v>
      </c>
      <c r="BY11" s="16">
        <f>ROUNDDOWN(IF($AG11*AA11&gt;요율!$E$3,($AG11*AA11-요율!$E$3)*요율!$C$3%*요율!$D$3%,0),-1)</f>
        <v>1080</v>
      </c>
      <c r="BZ11" s="16">
        <f>ROUNDDOWN(IF($AG11*AB11&gt;요율!$E$3,($AG11*AB11-요율!$E$3)*요율!$C$3%*요율!$D$3%,0),-1)</f>
        <v>1080</v>
      </c>
      <c r="CA11" s="16">
        <f>ROUNDDOWN(IF($AG11*AC11&gt;요율!$E$3,($AG11*AC11-요율!$E$3)*요율!$C$3%*요율!$D$3%,0),-1)</f>
        <v>1080</v>
      </c>
      <c r="CB11" s="31">
        <f>ROUNDDOWN(IF($AG11*AD11&gt;요율!$E$3,($AG11*AD11-요율!$E$3)*요율!$C$3%*요율!$D$3%,0),-1)</f>
        <v>0</v>
      </c>
      <c r="CD11" s="5" t="str">
        <f>IFERROR(VLOOKUP(B11,주소록,9,FALSE),"")</f>
        <v>유수진</v>
      </c>
    </row>
    <row r="12" spans="1:82" ht="20.100000000000001" customHeight="1">
      <c r="A12" s="761"/>
      <c r="B12" s="261" t="str">
        <f>BA11</f>
        <v>조경공</v>
      </c>
      <c r="C12" s="690" t="str">
        <f>IF(ISERROR(VLOOKUP(B11,주소록!$A$3:$K$523,7,0)),"",VLOOKUP(B11,주소록!$A$3:$K$523,5,0))</f>
        <v>010-3124-2716</v>
      </c>
      <c r="D12" s="690"/>
      <c r="E12" s="690"/>
      <c r="F12" s="691"/>
      <c r="G12" s="692" t="str">
        <f>IF(ISERROR(VLOOKUP(B11,주소록!$A$3:$K$523,9,0)),"",VLOOKUP(B11,주소록!$A$3:$K$523,7,0))</f>
        <v>국민은행</v>
      </c>
      <c r="H12" s="693"/>
      <c r="I12" s="694"/>
      <c r="J12" s="692" t="str">
        <f>IF(ISERROR(VLOOKUP(B11,주소록!$A$3:$K$523,10,0)),"",VLOOKUP(B11,주소록!$A$3:$K$523,8,0))</f>
        <v>352601-01-213053</v>
      </c>
      <c r="K12" s="693"/>
      <c r="L12" s="693"/>
      <c r="M12" s="693"/>
      <c r="N12" s="695"/>
      <c r="O12" s="474">
        <v>1</v>
      </c>
      <c r="P12" s="475">
        <v>1</v>
      </c>
      <c r="Q12" s="475">
        <v>1</v>
      </c>
      <c r="R12" s="468"/>
      <c r="S12" s="476">
        <v>1</v>
      </c>
      <c r="T12" s="474">
        <v>1</v>
      </c>
      <c r="U12" s="475">
        <v>1</v>
      </c>
      <c r="V12" s="475">
        <v>1</v>
      </c>
      <c r="W12" s="475">
        <v>1</v>
      </c>
      <c r="X12" s="477">
        <v>1</v>
      </c>
      <c r="Y12" s="479"/>
      <c r="Z12" s="475">
        <v>1</v>
      </c>
      <c r="AA12" s="475"/>
      <c r="AB12" s="475">
        <v>1</v>
      </c>
      <c r="AC12" s="475">
        <v>1</v>
      </c>
      <c r="AD12" s="477"/>
      <c r="AE12" s="696">
        <f>SUM(O11:AD12)</f>
        <v>21.5</v>
      </c>
      <c r="AF12" s="697"/>
      <c r="AG12" s="765"/>
      <c r="AH12" s="800"/>
      <c r="AI12" s="801"/>
      <c r="AJ12" s="802"/>
      <c r="AK12" s="700">
        <f>IF(C11=0,"",IF(MID(C11,7,1)="5","",IF(MID(C11,7,1)="6","",ROUNDDOWN((AK11*10%),-1))))</f>
        <v>2260</v>
      </c>
      <c r="AL12" s="701"/>
      <c r="AM12" s="701"/>
      <c r="AN12" s="701">
        <f>ROUNDDOWN(AN11*요율!$F$5,-1)</f>
        <v>19290</v>
      </c>
      <c r="AO12" s="701"/>
      <c r="AP12" s="701"/>
      <c r="AQ12" s="713">
        <f>IF(OR(AND(요율!$H$8="X",요율!$H$9="X",MID(C11,8,1)&gt;="5"),AND(요율!$H$8="○",요율!$H$9="X",MID(C11,8,1)&gt;="5")),"외국인",IF(요율!$H$8="X",IF(C11="",0,IF(OR(MID(C11,8,1)&lt;"3",AND(MID(C11,8,1)&gt;="5",MID(C11,8,1)&lt;="6")),IF(INT(TEXT($O$3,"yyyy.mmdd")-TEXT(TEXT(LEFT(C11,6),"1900-00-00"),"yyyy.mmdd"))&gt;=65,"65세이상",+TRUNC(AH11*요율!$C$9%,-1)),IF(INT(TEXT($O$3,"yyyy.mmdd")-TEXT(TEXT(LEFT(C11,6),"2000-00-00"),"yyyy.mmdd"))&gt;=65,"65세이상",+TRUNC(AH11*요율!$C$9%,-1)))),+TRUNC(AH11*요율!$C$9%,-1)))</f>
        <v>36760</v>
      </c>
      <c r="AR12" s="699"/>
      <c r="AS12" s="699"/>
      <c r="AT12" s="714"/>
      <c r="AU12" s="715"/>
      <c r="AV12" s="716"/>
      <c r="AW12" s="778"/>
      <c r="AX12" s="779"/>
      <c r="AY12" s="780"/>
      <c r="AZ12" s="767"/>
      <c r="BA12" s="22" t="str">
        <f>BA11</f>
        <v>조경공</v>
      </c>
      <c r="BB12" s="6">
        <v>2</v>
      </c>
      <c r="BC12" s="753"/>
      <c r="BD12" s="733" t="str">
        <f>B11</f>
        <v>유수진</v>
      </c>
      <c r="BE12" s="733"/>
      <c r="BF12" s="733"/>
      <c r="BG12" s="734">
        <f>SUM(BM11:CB12)</f>
        <v>22680</v>
      </c>
      <c r="BH12" s="735"/>
      <c r="BI12" s="736"/>
      <c r="BJ12" s="144"/>
      <c r="BK12" s="145"/>
      <c r="BL12" s="146"/>
      <c r="BM12" s="17">
        <f>ROUNDDOWN(IF($AG11*O12&gt;요율!$E$3,($AG11*O12-요율!$E$3)*요율!$C$3%*요율!$D$3%,0),-1)</f>
        <v>1080</v>
      </c>
      <c r="BN12" s="18">
        <f>ROUNDDOWN(IF($AG11*P12&gt;요율!$E$3,($AG11*P12-요율!$E$3)*요율!$C$3%*요율!$D$3%,0),-1)</f>
        <v>1080</v>
      </c>
      <c r="BO12" s="18">
        <f>ROUNDDOWN(IF($AG11*Q12&gt;요율!$E$3,($AG11*Q12-요율!$E$3)*요율!$C$3%*요율!$D$3%,0),-1)</f>
        <v>1080</v>
      </c>
      <c r="BP12" s="18">
        <f>ROUNDDOWN(IF($AG11*R12&gt;요율!$E$3,($AG11*R12-요율!$E$3)*요율!$C$3%*요율!$D$3%,0),-1)</f>
        <v>0</v>
      </c>
      <c r="BQ12" s="18">
        <f>ROUNDDOWN(IF($AG11*S12&gt;요율!$E$3,($AG11*S12-요율!$E$3)*요율!$C$3%*요율!$D$3%,0),-1)</f>
        <v>1080</v>
      </c>
      <c r="BR12" s="18">
        <f>ROUNDDOWN(IF($AG11*T12&gt;요율!$E$3,($AG11*T12-요율!$E$3)*요율!$C$3%*요율!$D$3%,0),-1)</f>
        <v>1080</v>
      </c>
      <c r="BS12" s="18">
        <f>ROUNDDOWN(IF($AG11*U12&gt;요율!$E$3,($AG11*U12-요율!$E$3)*요율!$C$3%*요율!$D$3%,0),-1)</f>
        <v>1080</v>
      </c>
      <c r="BT12" s="18">
        <f>ROUNDDOWN(IF($AG11*V12&gt;요율!$E$3,($AG11*V12-요율!$E$3)*요율!$C$3%*요율!$D$3%,0),-1)</f>
        <v>1080</v>
      </c>
      <c r="BU12" s="18">
        <f>ROUNDDOWN(IF($AG11*W12&gt;요율!$E$3,($AG11*W12-요율!$E$3)*요율!$C$3%*요율!$D$3%,0),-1)</f>
        <v>1080</v>
      </c>
      <c r="BV12" s="18">
        <f>ROUNDDOWN(IF($AG11*X12&gt;요율!$E$3,($AG11*X12-요율!$E$3)*요율!$C$3%*요율!$D$3%,0),-1)</f>
        <v>1080</v>
      </c>
      <c r="BW12" s="18">
        <f>ROUNDDOWN(IF($AG11*Y12&gt;요율!$E$3,($AG11*Y12-요율!$E$3)*요율!$C$3%*요율!$D$3%,0),-1)</f>
        <v>0</v>
      </c>
      <c r="BX12" s="18">
        <f>ROUNDDOWN(IF($AG11*Z12&gt;요율!$E$3,($AG11*Z12-요율!$E$3)*요율!$C$3%*요율!$D$3%,0),-1)</f>
        <v>1080</v>
      </c>
      <c r="BY12" s="18">
        <f>ROUNDDOWN(IF($AG11*AA12&gt;요율!$E$3,($AG11*AA12-요율!$E$3)*요율!$C$3%*요율!$D$3%,0),-1)</f>
        <v>0</v>
      </c>
      <c r="BZ12" s="18">
        <f>ROUNDDOWN(IF($AG11*AB12&gt;요율!$E$3,($AG11*AB12-요율!$E$3)*요율!$C$3%*요율!$D$3%,0),-1)</f>
        <v>1080</v>
      </c>
      <c r="CA12" s="18">
        <f>ROUNDDOWN(IF($AG11*AC12&gt;요율!$E$3,($AG11*AC12-요율!$E$3)*요율!$C$3%*요율!$D$3%,0),-1)</f>
        <v>1080</v>
      </c>
      <c r="CB12" s="19">
        <f>ROUNDDOWN(IF($AG11*AD12&gt;요율!$E$3,($AG11*AD12-요율!$E$3)*요율!$C$3%*요율!$D$3%,0),-1)</f>
        <v>0</v>
      </c>
    </row>
    <row r="13" spans="1:82" ht="20.100000000000001" customHeight="1">
      <c r="A13" s="760">
        <f t="shared" si="1"/>
        <v>4</v>
      </c>
      <c r="B13" s="260" t="s">
        <v>1204</v>
      </c>
      <c r="C13" s="708" t="str">
        <f>IF(ISERROR(VLOOKUP(B13,주소록!$A$3:$K$523,5,0)),"",VLOOKUP(B13,주소록!$A$3:$K$523,3,0))</f>
        <v>650604-1622312</v>
      </c>
      <c r="D13" s="708"/>
      <c r="E13" s="708"/>
      <c r="F13" s="709"/>
      <c r="G13" s="710" t="str">
        <f>IF(ISERROR(VLOOKUP(B13,주소록!$A$3:$K$523,6,0)),"",VLOOKUP(B13,주소록!$A$3:$K$523,4,0))</f>
        <v>경기도 남양주시 경춘로859번길26, B동 204호(금곡동,동익빌라)</v>
      </c>
      <c r="H13" s="711"/>
      <c r="I13" s="711"/>
      <c r="J13" s="711"/>
      <c r="K13" s="711"/>
      <c r="L13" s="711"/>
      <c r="M13" s="711"/>
      <c r="N13" s="712"/>
      <c r="O13" s="469"/>
      <c r="P13" s="470"/>
      <c r="Q13" s="470"/>
      <c r="R13" s="470"/>
      <c r="S13" s="478"/>
      <c r="T13" s="469">
        <v>1</v>
      </c>
      <c r="U13" s="470">
        <v>1</v>
      </c>
      <c r="V13" s="470">
        <v>1</v>
      </c>
      <c r="W13" s="470">
        <v>0.5</v>
      </c>
      <c r="X13" s="471">
        <v>1</v>
      </c>
      <c r="Y13" s="472">
        <v>1</v>
      </c>
      <c r="Z13" s="467">
        <v>1</v>
      </c>
      <c r="AA13" s="470">
        <v>1</v>
      </c>
      <c r="AB13" s="470">
        <v>1</v>
      </c>
      <c r="AC13" s="470">
        <v>1</v>
      </c>
      <c r="AD13" s="473"/>
      <c r="AE13" s="783">
        <f>COUNTIF(O13:AD14,"&gt;=0.5")</f>
        <v>22</v>
      </c>
      <c r="AF13" s="784"/>
      <c r="AG13" s="764">
        <v>190000</v>
      </c>
      <c r="AH13" s="797">
        <f>AE14*AG13</f>
        <v>4085000</v>
      </c>
      <c r="AI13" s="798"/>
      <c r="AJ13" s="799"/>
      <c r="AK13" s="757">
        <f>IF(BG14&lt;1000, 0, BG14)</f>
        <v>22680</v>
      </c>
      <c r="AL13" s="803"/>
      <c r="AM13" s="803"/>
      <c r="AN13" s="803">
        <f>IF(요율!$H$7="○",IF(AE13&gt;=요율!$D$6,ROUNDDOWN(AH13*요율!$C$4%,-1),0),0)</f>
        <v>146850</v>
      </c>
      <c r="AO13" s="803"/>
      <c r="AP13" s="803"/>
      <c r="AQ13" s="758" t="str">
        <f>BL13</f>
        <v>60세이상</v>
      </c>
      <c r="AR13" s="756"/>
      <c r="AS13" s="759"/>
      <c r="AT13" s="717">
        <f>SUM(AK13:AS14)</f>
        <v>227840</v>
      </c>
      <c r="AU13" s="718"/>
      <c r="AV13" s="719"/>
      <c r="AW13" s="775">
        <f>AH13-AT13-AT14</f>
        <v>3857160</v>
      </c>
      <c r="AX13" s="776"/>
      <c r="AY13" s="777"/>
      <c r="AZ13" s="766" t="str">
        <f>B13</f>
        <v>김방수</v>
      </c>
      <c r="BA13" s="21" t="str">
        <f>IF(ISERROR(VLOOKUP($B13,주소록!$A$3:$K$523,3,0)),"",VLOOKUP($B13,주소록!$A$3:$K$523,2,0))</f>
        <v>조경공</v>
      </c>
      <c r="BB13" s="6">
        <v>1</v>
      </c>
      <c r="BC13" s="752">
        <f>A13</f>
        <v>4</v>
      </c>
      <c r="BD13" s="754" t="str">
        <f>IF(OR(MID(C13,8,1)&lt;"3",AND(MID(C13,8,1)&gt;="5",MID(C13,8,1)&lt;="6")),TEXT(TEXT(LEFT(C13,6),"1900-00-00"),"yyyy년 m월 d일"),TEXT(TEXT(LEFT(C13,6),"2000-00-00"),"yyyy년 m월 d일"))</f>
        <v>1965년 6월 4일</v>
      </c>
      <c r="BE13" s="754"/>
      <c r="BF13" s="754"/>
      <c r="BG13" s="768">
        <f>IFERROR(INT( ( TEXT($O$3,"yyyy.mmdd") - TEXT(BD13,"yyyy.mmdd") )  ),0)</f>
        <v>60</v>
      </c>
      <c r="BH13" s="769"/>
      <c r="BI13" s="770"/>
      <c r="BJ13" s="133" t="str">
        <f>IF(BG13&gt;59,"60세이상",IF(OR(AE13&lt;요율!$D$6,AH13=0),0,IF(AH13&lt;요율!$C$7,요율!$D$7,IF(AH13&gt;요율!$C$8,요율!$D$8,+TRUNC(AH13*요율!$C$6%,-1)))))</f>
        <v>60세이상</v>
      </c>
      <c r="BK13" s="143" t="str">
        <f>IF(BG13&gt;59,"60세이상",IF(OR(AH13&lt;2200000,AH13=0),0,IF(AH13&lt;요율!$C$7,요율!$D$7,IF(AH13&gt;요율!$C$8,요율!$D$8,+TRUNC(AH13*요율!$C$6%,-1)))))</f>
        <v>60세이상</v>
      </c>
      <c r="BL13" s="140" t="str">
        <f>IF(BK13&gt;0,BK13,BJ13)</f>
        <v>60세이상</v>
      </c>
      <c r="BM13" s="15">
        <f>ROUNDDOWN(IF($AG13*O13&gt;요율!$E$3,($AG13*O13-요율!$E$3)*요율!$C$3%*요율!$D$3%,0),-1)</f>
        <v>0</v>
      </c>
      <c r="BN13" s="16">
        <f>ROUNDDOWN(IF($AG13*P13&gt;요율!$E$3,($AG13*P13-요율!$E$3)*요율!$C$3%*요율!$D$3%,0),-1)</f>
        <v>0</v>
      </c>
      <c r="BO13" s="16">
        <f>ROUNDDOWN(IF($AG13*Q13&gt;요율!$E$3,($AG13*Q13-요율!$E$3)*요율!$C$3%*요율!$D$3%,0),-1)</f>
        <v>0</v>
      </c>
      <c r="BP13" s="16">
        <f>ROUNDDOWN(IF($AG13*R13&gt;요율!$E$3,($AG13*R13-요율!$E$3)*요율!$C$3%*요율!$D$3%,0),-1)</f>
        <v>0</v>
      </c>
      <c r="BQ13" s="16">
        <f>ROUNDDOWN(IF($AG13*S13&gt;요율!$E$3,($AG13*S13-요율!$E$3)*요율!$C$3%*요율!$D$3%,0),-1)</f>
        <v>0</v>
      </c>
      <c r="BR13" s="16">
        <f>ROUNDDOWN(IF($AG13*T13&gt;요율!$E$3,($AG13*T13-요율!$E$3)*요율!$C$3%*요율!$D$3%,0),-1)</f>
        <v>1080</v>
      </c>
      <c r="BS13" s="16">
        <f>ROUNDDOWN(IF($AG13*U13&gt;요율!$E$3,($AG13*U13-요율!$E$3)*요율!$C$3%*요율!$D$3%,0),-1)</f>
        <v>1080</v>
      </c>
      <c r="BT13" s="16">
        <f>ROUNDDOWN(IF($AG13*V13&gt;요율!$E$3,($AG13*V13-요율!$E$3)*요율!$C$3%*요율!$D$3%,0),-1)</f>
        <v>1080</v>
      </c>
      <c r="BU13" s="16">
        <f>ROUNDDOWN(IF($AG13*W13&gt;요율!$E$3,($AG13*W13-요율!$E$3)*요율!$C$3%*요율!$D$3%,0),-1)</f>
        <v>0</v>
      </c>
      <c r="BV13" s="16">
        <f>ROUNDDOWN(IF($AG13*X13&gt;요율!$E$3,($AG13*X13-요율!$E$3)*요율!$C$3%*요율!$D$3%,0),-1)</f>
        <v>1080</v>
      </c>
      <c r="BW13" s="16">
        <f>ROUNDDOWN(IF($AG13*Y13&gt;요율!$E$3,($AG13*Y13-요율!$E$3)*요율!$C$3%*요율!$D$3%,0),-1)</f>
        <v>1080</v>
      </c>
      <c r="BX13" s="16">
        <f>ROUNDDOWN(IF($AG13*Z13&gt;요율!$E$3,($AG13*Z13-요율!$E$3)*요율!$C$3%*요율!$D$3%,0),-1)</f>
        <v>1080</v>
      </c>
      <c r="BY13" s="16">
        <f>ROUNDDOWN(IF($AG13*AA13&gt;요율!$E$3,($AG13*AA13-요율!$E$3)*요율!$C$3%*요율!$D$3%,0),-1)</f>
        <v>1080</v>
      </c>
      <c r="BZ13" s="16">
        <f>ROUNDDOWN(IF($AG13*AB13&gt;요율!$E$3,($AG13*AB13-요율!$E$3)*요율!$C$3%*요율!$D$3%,0),-1)</f>
        <v>1080</v>
      </c>
      <c r="CA13" s="16">
        <f>ROUNDDOWN(IF($AG13*AC13&gt;요율!$E$3,($AG13*AC13-요율!$E$3)*요율!$C$3%*요율!$D$3%,0),-1)</f>
        <v>1080</v>
      </c>
      <c r="CB13" s="31">
        <f>ROUNDDOWN(IF($AG13*AD13&gt;요율!$E$3,($AG13*AD13-요율!$E$3)*요율!$C$3%*요율!$D$3%,0),-1)</f>
        <v>0</v>
      </c>
      <c r="CD13" s="5" t="str">
        <f>IFERROR(VLOOKUP(B13,주소록,9,FALSE),"")</f>
        <v>김방수</v>
      </c>
    </row>
    <row r="14" spans="1:82" ht="20.100000000000001" customHeight="1">
      <c r="A14" s="761"/>
      <c r="B14" s="261" t="str">
        <f>BA13</f>
        <v>조경공</v>
      </c>
      <c r="C14" s="690" t="str">
        <f>IF(ISERROR(VLOOKUP(B13,주소록!$A$3:$K$523,7,0)),"",VLOOKUP(B13,주소록!$A$3:$K$523,5,0))</f>
        <v>010-9342-8092</v>
      </c>
      <c r="D14" s="690"/>
      <c r="E14" s="690"/>
      <c r="F14" s="691"/>
      <c r="G14" s="692" t="str">
        <f>IF(ISERROR(VLOOKUP(B13,주소록!$A$3:$K$523,9,0)),"",VLOOKUP(B13,주소록!$A$3:$K$523,7,0))</f>
        <v>농협중앙회</v>
      </c>
      <c r="H14" s="693"/>
      <c r="I14" s="694"/>
      <c r="J14" s="692" t="str">
        <f>IF(ISERROR(VLOOKUP(B13,주소록!$A$3:$K$523,10,0)),"",VLOOKUP(B13,주소록!$A$3:$K$523,8,0))</f>
        <v>204074-51-050436</v>
      </c>
      <c r="K14" s="693"/>
      <c r="L14" s="693"/>
      <c r="M14" s="693"/>
      <c r="N14" s="695"/>
      <c r="O14" s="474">
        <v>1</v>
      </c>
      <c r="P14" s="475">
        <v>1</v>
      </c>
      <c r="Q14" s="475">
        <v>1</v>
      </c>
      <c r="R14" s="468"/>
      <c r="S14" s="476">
        <v>1</v>
      </c>
      <c r="T14" s="474">
        <v>1</v>
      </c>
      <c r="U14" s="475">
        <v>1</v>
      </c>
      <c r="V14" s="475">
        <v>1</v>
      </c>
      <c r="W14" s="475">
        <v>1</v>
      </c>
      <c r="X14" s="477">
        <v>1</v>
      </c>
      <c r="Y14" s="479"/>
      <c r="Z14" s="475">
        <v>1</v>
      </c>
      <c r="AA14" s="475"/>
      <c r="AB14" s="475">
        <v>1</v>
      </c>
      <c r="AC14" s="475">
        <v>1</v>
      </c>
      <c r="AD14" s="477"/>
      <c r="AE14" s="696">
        <f>SUM(O13:AD14)</f>
        <v>21.5</v>
      </c>
      <c r="AF14" s="697"/>
      <c r="AG14" s="765"/>
      <c r="AH14" s="800"/>
      <c r="AI14" s="801"/>
      <c r="AJ14" s="802"/>
      <c r="AK14" s="700">
        <f>IF(C13=0,"",IF(MID(C13,7,1)="5","",IF(MID(C13,7,1)="6","",ROUNDDOWN((AK13*10%),-1))))</f>
        <v>2260</v>
      </c>
      <c r="AL14" s="701"/>
      <c r="AM14" s="701"/>
      <c r="AN14" s="701">
        <f>ROUNDDOWN(AN13*요율!$F$5,-1)</f>
        <v>19290</v>
      </c>
      <c r="AO14" s="701"/>
      <c r="AP14" s="701"/>
      <c r="AQ14" s="713">
        <f>IF(OR(AND(요율!$H$8="X",요율!$H$9="X",MID(C13,8,1)&gt;="5"),AND(요율!$H$8="○",요율!$H$9="X",MID(C13,8,1)&gt;="5")),"외국인",IF(요율!$H$8="X",IF(C13="",0,IF(OR(MID(C13,8,1)&lt;"3",AND(MID(C13,8,1)&gt;="5",MID(C13,8,1)&lt;="6")),IF(INT(TEXT($O$3,"yyyy.mmdd")-TEXT(TEXT(LEFT(C13,6),"1900-00-00"),"yyyy.mmdd"))&gt;=65,"65세이상",+TRUNC(AH13*요율!$C$9%,-1)),IF(INT(TEXT($O$3,"yyyy.mmdd")-TEXT(TEXT(LEFT(C13,6),"2000-00-00"),"yyyy.mmdd"))&gt;=65,"65세이상",+TRUNC(AH13*요율!$C$9%,-1)))),+TRUNC(AH13*요율!$C$9%,-1)))</f>
        <v>36760</v>
      </c>
      <c r="AR14" s="699"/>
      <c r="AS14" s="699"/>
      <c r="AT14" s="714"/>
      <c r="AU14" s="715"/>
      <c r="AV14" s="716"/>
      <c r="AW14" s="778"/>
      <c r="AX14" s="779"/>
      <c r="AY14" s="780"/>
      <c r="AZ14" s="767"/>
      <c r="BA14" s="22" t="str">
        <f>BA13</f>
        <v>조경공</v>
      </c>
      <c r="BB14" s="6">
        <v>2</v>
      </c>
      <c r="BC14" s="753"/>
      <c r="BD14" s="733" t="str">
        <f>B13</f>
        <v>김방수</v>
      </c>
      <c r="BE14" s="733"/>
      <c r="BF14" s="733"/>
      <c r="BG14" s="734">
        <f>SUM(BM13:CB14)</f>
        <v>22680</v>
      </c>
      <c r="BH14" s="735"/>
      <c r="BI14" s="736"/>
      <c r="BJ14" s="144"/>
      <c r="BK14" s="145"/>
      <c r="BL14" s="146"/>
      <c r="BM14" s="17">
        <f>ROUNDDOWN(IF($AG13*O14&gt;요율!$E$3,($AG13*O14-요율!$E$3)*요율!$C$3%*요율!$D$3%,0),-1)</f>
        <v>1080</v>
      </c>
      <c r="BN14" s="18">
        <f>ROUNDDOWN(IF($AG13*P14&gt;요율!$E$3,($AG13*P14-요율!$E$3)*요율!$C$3%*요율!$D$3%,0),-1)</f>
        <v>1080</v>
      </c>
      <c r="BO14" s="18">
        <f>ROUNDDOWN(IF($AG13*Q14&gt;요율!$E$3,($AG13*Q14-요율!$E$3)*요율!$C$3%*요율!$D$3%,0),-1)</f>
        <v>1080</v>
      </c>
      <c r="BP14" s="18">
        <f>ROUNDDOWN(IF($AG13*R14&gt;요율!$E$3,($AG13*R14-요율!$E$3)*요율!$C$3%*요율!$D$3%,0),-1)</f>
        <v>0</v>
      </c>
      <c r="BQ14" s="18">
        <f>ROUNDDOWN(IF($AG13*S14&gt;요율!$E$3,($AG13*S14-요율!$E$3)*요율!$C$3%*요율!$D$3%,0),-1)</f>
        <v>1080</v>
      </c>
      <c r="BR14" s="18">
        <f>ROUNDDOWN(IF($AG13*T14&gt;요율!$E$3,($AG13*T14-요율!$E$3)*요율!$C$3%*요율!$D$3%,0),-1)</f>
        <v>1080</v>
      </c>
      <c r="BS14" s="18">
        <f>ROUNDDOWN(IF($AG13*U14&gt;요율!$E$3,($AG13*U14-요율!$E$3)*요율!$C$3%*요율!$D$3%,0),-1)</f>
        <v>1080</v>
      </c>
      <c r="BT14" s="18">
        <f>ROUNDDOWN(IF($AG13*V14&gt;요율!$E$3,($AG13*V14-요율!$E$3)*요율!$C$3%*요율!$D$3%,0),-1)</f>
        <v>1080</v>
      </c>
      <c r="BU14" s="18">
        <f>ROUNDDOWN(IF($AG13*W14&gt;요율!$E$3,($AG13*W14-요율!$E$3)*요율!$C$3%*요율!$D$3%,0),-1)</f>
        <v>1080</v>
      </c>
      <c r="BV14" s="18">
        <f>ROUNDDOWN(IF($AG13*X14&gt;요율!$E$3,($AG13*X14-요율!$E$3)*요율!$C$3%*요율!$D$3%,0),-1)</f>
        <v>1080</v>
      </c>
      <c r="BW14" s="18">
        <f>ROUNDDOWN(IF($AG13*Y14&gt;요율!$E$3,($AG13*Y14-요율!$E$3)*요율!$C$3%*요율!$D$3%,0),-1)</f>
        <v>0</v>
      </c>
      <c r="BX14" s="18">
        <f>ROUNDDOWN(IF($AG13*Z14&gt;요율!$E$3,($AG13*Z14-요율!$E$3)*요율!$C$3%*요율!$D$3%,0),-1)</f>
        <v>1080</v>
      </c>
      <c r="BY14" s="18">
        <f>ROUNDDOWN(IF($AG13*AA14&gt;요율!$E$3,($AG13*AA14-요율!$E$3)*요율!$C$3%*요율!$D$3%,0),-1)</f>
        <v>0</v>
      </c>
      <c r="BZ14" s="18">
        <f>ROUNDDOWN(IF($AG13*AB14&gt;요율!$E$3,($AG13*AB14-요율!$E$3)*요율!$C$3%*요율!$D$3%,0),-1)</f>
        <v>1080</v>
      </c>
      <c r="CA14" s="18">
        <f>ROUNDDOWN(IF($AG13*AC14&gt;요율!$E$3,($AG13*AC14-요율!$E$3)*요율!$C$3%*요율!$D$3%,0),-1)</f>
        <v>1080</v>
      </c>
      <c r="CB14" s="19">
        <f>ROUNDDOWN(IF($AG13*AD14&gt;요율!$E$3,($AG13*AD14-요율!$E$3)*요율!$C$3%*요율!$D$3%,0),-1)</f>
        <v>0</v>
      </c>
    </row>
    <row r="15" spans="1:82" ht="20.100000000000001" customHeight="1">
      <c r="A15" s="760">
        <f t="shared" si="1"/>
        <v>5</v>
      </c>
      <c r="B15" s="260" t="s">
        <v>1205</v>
      </c>
      <c r="C15" s="708" t="str">
        <f>IF(ISERROR(VLOOKUP(B15,주소록!$A$3:$K$523,5,0)),"",VLOOKUP(B15,주소록!$A$3:$K$523,3,0))</f>
        <v>610927-1784016</v>
      </c>
      <c r="D15" s="708"/>
      <c r="E15" s="708"/>
      <c r="F15" s="709"/>
      <c r="G15" s="710" t="str">
        <f>IF(ISERROR(VLOOKUP(B15,주소록!$A$3:$K$523,6,0)),"",VLOOKUP(B15,주소록!$A$3:$K$523,4,0))</f>
        <v>서울특별시 은평구 갈현로29길 53, 지층 B01호</v>
      </c>
      <c r="H15" s="711"/>
      <c r="I15" s="711"/>
      <c r="J15" s="711"/>
      <c r="K15" s="711"/>
      <c r="L15" s="711"/>
      <c r="M15" s="711"/>
      <c r="N15" s="712"/>
      <c r="O15" s="469"/>
      <c r="P15" s="470"/>
      <c r="Q15" s="470"/>
      <c r="R15" s="470"/>
      <c r="S15" s="478"/>
      <c r="T15" s="469">
        <v>1</v>
      </c>
      <c r="U15" s="470">
        <v>1</v>
      </c>
      <c r="V15" s="470">
        <v>1</v>
      </c>
      <c r="W15" s="470">
        <v>0.5</v>
      </c>
      <c r="X15" s="471">
        <v>1</v>
      </c>
      <c r="Y15" s="472">
        <v>1</v>
      </c>
      <c r="Z15" s="467">
        <v>1</v>
      </c>
      <c r="AA15" s="470">
        <v>1</v>
      </c>
      <c r="AB15" s="470">
        <v>1</v>
      </c>
      <c r="AC15" s="470">
        <v>1</v>
      </c>
      <c r="AD15" s="473"/>
      <c r="AE15" s="783">
        <f>COUNTIF(O15:AD16,"&gt;=0.5")</f>
        <v>22</v>
      </c>
      <c r="AF15" s="784"/>
      <c r="AG15" s="764">
        <v>210000</v>
      </c>
      <c r="AH15" s="797">
        <f>AE16*AG15</f>
        <v>4515000</v>
      </c>
      <c r="AI15" s="798"/>
      <c r="AJ15" s="799"/>
      <c r="AK15" s="757">
        <f>IF(BG16&lt;1000, 0, BG16)</f>
        <v>34020</v>
      </c>
      <c r="AL15" s="803"/>
      <c r="AM15" s="803"/>
      <c r="AN15" s="803">
        <f>IF(요율!$H$7="○",IF(AE15&gt;=요율!$D$6,ROUNDDOWN(AH15*요율!$C$4%,-1),0),0)</f>
        <v>162310</v>
      </c>
      <c r="AO15" s="803"/>
      <c r="AP15" s="803"/>
      <c r="AQ15" s="758" t="str">
        <f>BL15</f>
        <v>60세이상</v>
      </c>
      <c r="AR15" s="756"/>
      <c r="AS15" s="759"/>
      <c r="AT15" s="717">
        <f>SUM(AK15:AS16)</f>
        <v>261680</v>
      </c>
      <c r="AU15" s="718"/>
      <c r="AV15" s="719"/>
      <c r="AW15" s="775">
        <f>AH15-AT15-AT16</f>
        <v>4253320</v>
      </c>
      <c r="AX15" s="776"/>
      <c r="AY15" s="777"/>
      <c r="AZ15" s="766" t="str">
        <f>B15</f>
        <v>류시현</v>
      </c>
      <c r="BA15" s="21" t="str">
        <f>IF(ISERROR(VLOOKUP($B15,주소록!$A$3:$K$523,3,0)),"",VLOOKUP($B15,주소록!$A$3:$K$523,2,0))</f>
        <v>조경공</v>
      </c>
      <c r="BB15" s="6">
        <v>1</v>
      </c>
      <c r="BC15" s="752">
        <f>A15</f>
        <v>5</v>
      </c>
      <c r="BD15" s="754" t="str">
        <f>IF(OR(MID(C15,8,1)&lt;"3",AND(MID(C15,8,1)&gt;="5",MID(C15,8,1)&lt;="6")),TEXT(TEXT(LEFT(C15,6),"1900-00-00"),"yyyy년 m월 d일"),TEXT(TEXT(LEFT(C15,6),"2000-00-00"),"yyyy년 m월 d일"))</f>
        <v>1961년 9월 27일</v>
      </c>
      <c r="BE15" s="754"/>
      <c r="BF15" s="754"/>
      <c r="BG15" s="768">
        <f>IFERROR(INT( ( TEXT($O$3,"yyyy.mmdd") - TEXT(BD15,"yyyy.mmdd") )  ),0)</f>
        <v>64</v>
      </c>
      <c r="BH15" s="769"/>
      <c r="BI15" s="770"/>
      <c r="BJ15" s="133" t="str">
        <f>IF(BG15&gt;59,"60세이상",IF(OR(AE15&lt;요율!$D$6,AH15=0),0,IF(AH15&lt;요율!$C$7,요율!$D$7,IF(AH15&gt;요율!$C$8,요율!$D$8,+TRUNC(AH15*요율!$C$6%,-1)))))</f>
        <v>60세이상</v>
      </c>
      <c r="BK15" s="143" t="str">
        <f>IF(BG15&gt;59,"60세이상",IF(OR(AH15&lt;2200000,AH15=0),0,IF(AH15&lt;요율!$C$7,요율!$D$7,IF(AH15&gt;요율!$C$8,요율!$D$8,+TRUNC(AH15*요율!$C$6%,-1)))))</f>
        <v>60세이상</v>
      </c>
      <c r="BL15" s="140" t="str">
        <f>IF(BK15&gt;0,BK15,BJ15)</f>
        <v>60세이상</v>
      </c>
      <c r="BM15" s="15">
        <f>ROUNDDOWN(IF($AG15*O15&gt;요율!$E$3,($AG15*O15-요율!$E$3)*요율!$C$3%*요율!$D$3%,0),-1)</f>
        <v>0</v>
      </c>
      <c r="BN15" s="16">
        <f>ROUNDDOWN(IF($AG15*P15&gt;요율!$E$3,($AG15*P15-요율!$E$3)*요율!$C$3%*요율!$D$3%,0),-1)</f>
        <v>0</v>
      </c>
      <c r="BO15" s="16">
        <f>ROUNDDOWN(IF($AG15*Q15&gt;요율!$E$3,($AG15*Q15-요율!$E$3)*요율!$C$3%*요율!$D$3%,0),-1)</f>
        <v>0</v>
      </c>
      <c r="BP15" s="16">
        <f>ROUNDDOWN(IF($AG15*R15&gt;요율!$E$3,($AG15*R15-요율!$E$3)*요율!$C$3%*요율!$D$3%,0),-1)</f>
        <v>0</v>
      </c>
      <c r="BQ15" s="16">
        <f>ROUNDDOWN(IF($AG15*S15&gt;요율!$E$3,($AG15*S15-요율!$E$3)*요율!$C$3%*요율!$D$3%,0),-1)</f>
        <v>0</v>
      </c>
      <c r="BR15" s="16">
        <f>ROUNDDOWN(IF($AG15*T15&gt;요율!$E$3,($AG15*T15-요율!$E$3)*요율!$C$3%*요율!$D$3%,0),-1)</f>
        <v>1620</v>
      </c>
      <c r="BS15" s="16">
        <f>ROUNDDOWN(IF($AG15*U15&gt;요율!$E$3,($AG15*U15-요율!$E$3)*요율!$C$3%*요율!$D$3%,0),-1)</f>
        <v>1620</v>
      </c>
      <c r="BT15" s="16">
        <f>ROUNDDOWN(IF($AG15*V15&gt;요율!$E$3,($AG15*V15-요율!$E$3)*요율!$C$3%*요율!$D$3%,0),-1)</f>
        <v>1620</v>
      </c>
      <c r="BU15" s="16">
        <f>ROUNDDOWN(IF($AG15*W15&gt;요율!$E$3,($AG15*W15-요율!$E$3)*요율!$C$3%*요율!$D$3%,0),-1)</f>
        <v>0</v>
      </c>
      <c r="BV15" s="16">
        <f>ROUNDDOWN(IF($AG15*X15&gt;요율!$E$3,($AG15*X15-요율!$E$3)*요율!$C$3%*요율!$D$3%,0),-1)</f>
        <v>1620</v>
      </c>
      <c r="BW15" s="16">
        <f>ROUNDDOWN(IF($AG15*Y15&gt;요율!$E$3,($AG15*Y15-요율!$E$3)*요율!$C$3%*요율!$D$3%,0),-1)</f>
        <v>1620</v>
      </c>
      <c r="BX15" s="16">
        <f>ROUNDDOWN(IF($AG15*Z15&gt;요율!$E$3,($AG15*Z15-요율!$E$3)*요율!$C$3%*요율!$D$3%,0),-1)</f>
        <v>1620</v>
      </c>
      <c r="BY15" s="16">
        <f>ROUNDDOWN(IF($AG15*AA15&gt;요율!$E$3,($AG15*AA15-요율!$E$3)*요율!$C$3%*요율!$D$3%,0),-1)</f>
        <v>1620</v>
      </c>
      <c r="BZ15" s="16">
        <f>ROUNDDOWN(IF($AG15*AB15&gt;요율!$E$3,($AG15*AB15-요율!$E$3)*요율!$C$3%*요율!$D$3%,0),-1)</f>
        <v>1620</v>
      </c>
      <c r="CA15" s="16">
        <f>ROUNDDOWN(IF($AG15*AC15&gt;요율!$E$3,($AG15*AC15-요율!$E$3)*요율!$C$3%*요율!$D$3%,0),-1)</f>
        <v>1620</v>
      </c>
      <c r="CB15" s="31">
        <f>ROUNDDOWN(IF($AG15*AD15&gt;요율!$E$3,($AG15*AD15-요율!$E$3)*요율!$C$3%*요율!$D$3%,0),-1)</f>
        <v>0</v>
      </c>
      <c r="CD15" s="5" t="str">
        <f>IFERROR(VLOOKUP(B15,주소록,9,FALSE),"")</f>
        <v>류시현</v>
      </c>
    </row>
    <row r="16" spans="1:82" ht="20.100000000000001" customHeight="1">
      <c r="A16" s="761"/>
      <c r="B16" s="261" t="str">
        <f>BA15</f>
        <v>조경공</v>
      </c>
      <c r="C16" s="690" t="str">
        <f>IF(ISERROR(VLOOKUP(B15,주소록!$A$3:$K$523,7,0)),"",VLOOKUP(B15,주소록!$A$3:$K$523,5,0))</f>
        <v>010-7609-0150</v>
      </c>
      <c r="D16" s="690"/>
      <c r="E16" s="690"/>
      <c r="F16" s="691"/>
      <c r="G16" s="692" t="str">
        <f>IF(ISERROR(VLOOKUP(B15,주소록!$A$3:$K$523,9,0)),"",VLOOKUP(B15,주소록!$A$3:$K$523,7,0))</f>
        <v>제일은행</v>
      </c>
      <c r="H16" s="693"/>
      <c r="I16" s="694"/>
      <c r="J16" s="692" t="str">
        <f>IF(ISERROR(VLOOKUP(B15,주소록!$A$3:$K$523,10,0)),"",VLOOKUP(B15,주소록!$A$3:$K$523,8,0))</f>
        <v>580-20-374487</v>
      </c>
      <c r="K16" s="693"/>
      <c r="L16" s="693"/>
      <c r="M16" s="693"/>
      <c r="N16" s="695"/>
      <c r="O16" s="474">
        <v>1</v>
      </c>
      <c r="P16" s="475">
        <v>1</v>
      </c>
      <c r="Q16" s="475">
        <v>1</v>
      </c>
      <c r="R16" s="468"/>
      <c r="S16" s="476">
        <v>1</v>
      </c>
      <c r="T16" s="474">
        <v>1</v>
      </c>
      <c r="U16" s="475">
        <v>1</v>
      </c>
      <c r="V16" s="475">
        <v>1</v>
      </c>
      <c r="W16" s="475">
        <v>1</v>
      </c>
      <c r="X16" s="477">
        <v>1</v>
      </c>
      <c r="Y16" s="479"/>
      <c r="Z16" s="475">
        <v>1</v>
      </c>
      <c r="AA16" s="475"/>
      <c r="AB16" s="475">
        <v>1</v>
      </c>
      <c r="AC16" s="475">
        <v>1</v>
      </c>
      <c r="AD16" s="477"/>
      <c r="AE16" s="696">
        <f>SUM(O15:AD16)</f>
        <v>21.5</v>
      </c>
      <c r="AF16" s="697"/>
      <c r="AG16" s="765"/>
      <c r="AH16" s="800"/>
      <c r="AI16" s="801"/>
      <c r="AJ16" s="802"/>
      <c r="AK16" s="700">
        <f>IF(C15=0,"",IF(MID(C15,7,1)="5","",IF(MID(C15,7,1)="6","",ROUNDDOWN((AK15*10%),-1))))</f>
        <v>3400</v>
      </c>
      <c r="AL16" s="701"/>
      <c r="AM16" s="701"/>
      <c r="AN16" s="701">
        <f>ROUNDDOWN(AN15*요율!$F$5,-1)</f>
        <v>21320</v>
      </c>
      <c r="AO16" s="701"/>
      <c r="AP16" s="701"/>
      <c r="AQ16" s="713">
        <f>IF(OR(AND(요율!$H$8="X",요율!$H$9="X",MID(C15,8,1)&gt;="5"),AND(요율!$H$8="○",요율!$H$9="X",MID(C15,8,1)&gt;="5")),"외국인",IF(요율!$H$8="X",IF(C15="",0,IF(OR(MID(C15,8,1)&lt;"3",AND(MID(C15,8,1)&gt;="5",MID(C15,8,1)&lt;="6")),IF(INT(TEXT($O$3,"yyyy.mmdd")-TEXT(TEXT(LEFT(C15,6),"1900-00-00"),"yyyy.mmdd"))&gt;=65,"65세이상",+TRUNC(AH15*요율!$C$9%,-1)),IF(INT(TEXT($O$3,"yyyy.mmdd")-TEXT(TEXT(LEFT(C15,6),"2000-00-00"),"yyyy.mmdd"))&gt;=65,"65세이상",+TRUNC(AH15*요율!$C$9%,-1)))),+TRUNC(AH15*요율!$C$9%,-1)))</f>
        <v>40630</v>
      </c>
      <c r="AR16" s="699"/>
      <c r="AS16" s="699"/>
      <c r="AT16" s="714"/>
      <c r="AU16" s="715"/>
      <c r="AV16" s="716"/>
      <c r="AW16" s="778"/>
      <c r="AX16" s="779"/>
      <c r="AY16" s="780"/>
      <c r="AZ16" s="767"/>
      <c r="BA16" s="22" t="str">
        <f>BA15</f>
        <v>조경공</v>
      </c>
      <c r="BB16" s="6">
        <v>2</v>
      </c>
      <c r="BC16" s="753"/>
      <c r="BD16" s="733" t="str">
        <f>B15</f>
        <v>류시현</v>
      </c>
      <c r="BE16" s="733"/>
      <c r="BF16" s="733"/>
      <c r="BG16" s="734">
        <f>SUM(BM15:CB16)</f>
        <v>34020</v>
      </c>
      <c r="BH16" s="735"/>
      <c r="BI16" s="736"/>
      <c r="BJ16" s="144"/>
      <c r="BK16" s="145"/>
      <c r="BL16" s="146"/>
      <c r="BM16" s="17">
        <f>ROUNDDOWN(IF($AG15*O16&gt;요율!$E$3,($AG15*O16-요율!$E$3)*요율!$C$3%*요율!$D$3%,0),-1)</f>
        <v>1620</v>
      </c>
      <c r="BN16" s="18">
        <f>ROUNDDOWN(IF($AG15*P16&gt;요율!$E$3,($AG15*P16-요율!$E$3)*요율!$C$3%*요율!$D$3%,0),-1)</f>
        <v>1620</v>
      </c>
      <c r="BO16" s="18">
        <f>ROUNDDOWN(IF($AG15*Q16&gt;요율!$E$3,($AG15*Q16-요율!$E$3)*요율!$C$3%*요율!$D$3%,0),-1)</f>
        <v>1620</v>
      </c>
      <c r="BP16" s="18">
        <f>ROUNDDOWN(IF($AG15*R16&gt;요율!$E$3,($AG15*R16-요율!$E$3)*요율!$C$3%*요율!$D$3%,0),-1)</f>
        <v>0</v>
      </c>
      <c r="BQ16" s="18">
        <f>ROUNDDOWN(IF($AG15*S16&gt;요율!$E$3,($AG15*S16-요율!$E$3)*요율!$C$3%*요율!$D$3%,0),-1)</f>
        <v>1620</v>
      </c>
      <c r="BR16" s="18">
        <f>ROUNDDOWN(IF($AG15*T16&gt;요율!$E$3,($AG15*T16-요율!$E$3)*요율!$C$3%*요율!$D$3%,0),-1)</f>
        <v>1620</v>
      </c>
      <c r="BS16" s="18">
        <f>ROUNDDOWN(IF($AG15*U16&gt;요율!$E$3,($AG15*U16-요율!$E$3)*요율!$C$3%*요율!$D$3%,0),-1)</f>
        <v>1620</v>
      </c>
      <c r="BT16" s="18">
        <f>ROUNDDOWN(IF($AG15*V16&gt;요율!$E$3,($AG15*V16-요율!$E$3)*요율!$C$3%*요율!$D$3%,0),-1)</f>
        <v>1620</v>
      </c>
      <c r="BU16" s="18">
        <f>ROUNDDOWN(IF($AG15*W16&gt;요율!$E$3,($AG15*W16-요율!$E$3)*요율!$C$3%*요율!$D$3%,0),-1)</f>
        <v>1620</v>
      </c>
      <c r="BV16" s="18">
        <f>ROUNDDOWN(IF($AG15*X16&gt;요율!$E$3,($AG15*X16-요율!$E$3)*요율!$C$3%*요율!$D$3%,0),-1)</f>
        <v>1620</v>
      </c>
      <c r="BW16" s="18">
        <f>ROUNDDOWN(IF($AG15*Y16&gt;요율!$E$3,($AG15*Y16-요율!$E$3)*요율!$C$3%*요율!$D$3%,0),-1)</f>
        <v>0</v>
      </c>
      <c r="BX16" s="18">
        <f>ROUNDDOWN(IF($AG15*Z16&gt;요율!$E$3,($AG15*Z16-요율!$E$3)*요율!$C$3%*요율!$D$3%,0),-1)</f>
        <v>1620</v>
      </c>
      <c r="BY16" s="18">
        <f>ROUNDDOWN(IF($AG15*AA16&gt;요율!$E$3,($AG15*AA16-요율!$E$3)*요율!$C$3%*요율!$D$3%,0),-1)</f>
        <v>0</v>
      </c>
      <c r="BZ16" s="18">
        <f>ROUNDDOWN(IF($AG15*AB16&gt;요율!$E$3,($AG15*AB16-요율!$E$3)*요율!$C$3%*요율!$D$3%,0),-1)</f>
        <v>1620</v>
      </c>
      <c r="CA16" s="18">
        <f>ROUNDDOWN(IF($AG15*AC16&gt;요율!$E$3,($AG15*AC16-요율!$E$3)*요율!$C$3%*요율!$D$3%,0),-1)</f>
        <v>1620</v>
      </c>
      <c r="CB16" s="19">
        <f>ROUNDDOWN(IF($AG15*AD16&gt;요율!$E$3,($AG15*AD16-요율!$E$3)*요율!$C$3%*요율!$D$3%,0),-1)</f>
        <v>0</v>
      </c>
    </row>
    <row r="17" spans="1:82" ht="20.100000000000001" customHeight="1">
      <c r="A17" s="760">
        <f t="shared" si="1"/>
        <v>6</v>
      </c>
      <c r="B17" s="260" t="s">
        <v>1206</v>
      </c>
      <c r="C17" s="708" t="str">
        <f>IF(ISERROR(VLOOKUP(B17,주소록!$A$3:$K$523,5,0)),"",VLOOKUP(B17,주소록!$A$3:$K$523,3,0))</f>
        <v>570411-1640313</v>
      </c>
      <c r="D17" s="708"/>
      <c r="E17" s="708"/>
      <c r="F17" s="709"/>
      <c r="G17" s="710" t="str">
        <f>IF(ISERROR(VLOOKUP(B17,주소록!$A$3:$K$523,6,0)),"",VLOOKUP(B17,주소록!$A$3:$K$523,4,0))</f>
        <v>경기도 김포시 하성면 전류리 67-9</v>
      </c>
      <c r="H17" s="711"/>
      <c r="I17" s="711"/>
      <c r="J17" s="711"/>
      <c r="K17" s="711"/>
      <c r="L17" s="711"/>
      <c r="M17" s="711"/>
      <c r="N17" s="712"/>
      <c r="O17" s="469"/>
      <c r="P17" s="470"/>
      <c r="Q17" s="470"/>
      <c r="R17" s="470"/>
      <c r="S17" s="478"/>
      <c r="T17" s="469"/>
      <c r="U17" s="470"/>
      <c r="V17" s="470"/>
      <c r="W17" s="470"/>
      <c r="X17" s="471"/>
      <c r="Y17" s="472"/>
      <c r="Z17" s="467"/>
      <c r="AA17" s="470"/>
      <c r="AB17" s="470"/>
      <c r="AC17" s="470">
        <v>1</v>
      </c>
      <c r="AD17" s="473"/>
      <c r="AE17" s="783">
        <f>COUNTIF(O17:AD18,"&gt;=0.5")</f>
        <v>2</v>
      </c>
      <c r="AF17" s="784"/>
      <c r="AG17" s="764">
        <v>210000</v>
      </c>
      <c r="AH17" s="791">
        <f>AE18*AG17</f>
        <v>420000</v>
      </c>
      <c r="AI17" s="792"/>
      <c r="AJ17" s="793"/>
      <c r="AK17" s="755">
        <f>IF(BG18&lt;1000, 0, BG18)</f>
        <v>3240</v>
      </c>
      <c r="AL17" s="756"/>
      <c r="AM17" s="757"/>
      <c r="AN17" s="758">
        <f>IF(요율!$H$7="○",IF(AE17&gt;=요율!$D$6,ROUNDDOWN(AH17*요율!$C$4%,-1),0),0)</f>
        <v>0</v>
      </c>
      <c r="AO17" s="756"/>
      <c r="AP17" s="757"/>
      <c r="AQ17" s="758" t="str">
        <f>BL17</f>
        <v>60세이상</v>
      </c>
      <c r="AR17" s="756"/>
      <c r="AS17" s="759"/>
      <c r="AT17" s="717">
        <f>SUM(AK17:AS18)</f>
        <v>3560</v>
      </c>
      <c r="AU17" s="718"/>
      <c r="AV17" s="719"/>
      <c r="AW17" s="775">
        <f>AH17-AT17-AT18</f>
        <v>416440</v>
      </c>
      <c r="AX17" s="776"/>
      <c r="AY17" s="777"/>
      <c r="AZ17" s="766" t="str">
        <f>B17</f>
        <v>박찬구</v>
      </c>
      <c r="BA17" s="21" t="str">
        <f>IF(ISERROR(VLOOKUP($B17,주소록!$A$3:$K$523,3,0)),"",VLOOKUP($B17,주소록!$A$3:$K$523,2,0))</f>
        <v>조경공</v>
      </c>
      <c r="BB17" s="6">
        <v>1</v>
      </c>
      <c r="BC17" s="752">
        <f>A17</f>
        <v>6</v>
      </c>
      <c r="BD17" s="754" t="str">
        <f>IF(OR(MID(C17,8,1)&lt;"3",AND(MID(C17,8,1)&gt;="5",MID(C17,8,1)&lt;="6")),TEXT(TEXT(LEFT(C17,6),"1900-00-00"),"yyyy년 m월 d일"),TEXT(TEXT(LEFT(C17,6),"2000-00-00"),"yyyy년 m월 d일"))</f>
        <v>1957년 4월 11일</v>
      </c>
      <c r="BE17" s="754"/>
      <c r="BF17" s="754"/>
      <c r="BG17" s="768">
        <f>IFERROR(INT( ( TEXT($O$3,"yyyy.mmdd") - TEXT(BD17,"yyyy.mmdd") )  ),0)</f>
        <v>68</v>
      </c>
      <c r="BH17" s="769"/>
      <c r="BI17" s="770"/>
      <c r="BJ17" s="133" t="str">
        <f>IF(BG17&gt;59,"60세이상",IF(OR(AE17&lt;요율!$D$6,AH17=0),0,IF(AH17&lt;요율!$C$7,요율!$D$7,IF(AH17&gt;요율!$C$8,요율!$D$8,+TRUNC(AH17*요율!$C$6%,-1)))))</f>
        <v>60세이상</v>
      </c>
      <c r="BK17" s="143" t="str">
        <f>IF(BG17&gt;59,"60세이상",IF(OR(AH17&lt;2200000,AH17=0),0,IF(AH17&lt;요율!$C$7,요율!$D$7,IF(AH17&gt;요율!$C$8,요율!$D$8,+TRUNC(AH17*요율!$C$6%,-1)))))</f>
        <v>60세이상</v>
      </c>
      <c r="BL17" s="140" t="str">
        <f>IF(BK17&gt;0,BK17,BJ17)</f>
        <v>60세이상</v>
      </c>
      <c r="BM17" s="15">
        <f>ROUNDDOWN(IF($AG17*O17&gt;요율!$E$3,($AG17*O17-요율!$E$3)*요율!$C$3%*요율!$D$3%,0),-1)</f>
        <v>0</v>
      </c>
      <c r="BN17" s="16">
        <f>ROUNDDOWN(IF($AG17*P17&gt;요율!$E$3,($AG17*P17-요율!$E$3)*요율!$C$3%*요율!$D$3%,0),-1)</f>
        <v>0</v>
      </c>
      <c r="BO17" s="16">
        <f>ROUNDDOWN(IF($AG17*Q17&gt;요율!$E$3,($AG17*Q17-요율!$E$3)*요율!$C$3%*요율!$D$3%,0),-1)</f>
        <v>0</v>
      </c>
      <c r="BP17" s="16">
        <f>ROUNDDOWN(IF($AG17*R17&gt;요율!$E$3,($AG17*R17-요율!$E$3)*요율!$C$3%*요율!$D$3%,0),-1)</f>
        <v>0</v>
      </c>
      <c r="BQ17" s="16">
        <f>ROUNDDOWN(IF($AG17*S17&gt;요율!$E$3,($AG17*S17-요율!$E$3)*요율!$C$3%*요율!$D$3%,0),-1)</f>
        <v>0</v>
      </c>
      <c r="BR17" s="16">
        <f>ROUNDDOWN(IF($AG17*T17&gt;요율!$E$3,($AG17*T17-요율!$E$3)*요율!$C$3%*요율!$D$3%,0),-1)</f>
        <v>0</v>
      </c>
      <c r="BS17" s="16">
        <f>ROUNDDOWN(IF($AG17*U17&gt;요율!$E$3,($AG17*U17-요율!$E$3)*요율!$C$3%*요율!$D$3%,0),-1)</f>
        <v>0</v>
      </c>
      <c r="BT17" s="16">
        <f>ROUNDDOWN(IF($AG17*V17&gt;요율!$E$3,($AG17*V17-요율!$E$3)*요율!$C$3%*요율!$D$3%,0),-1)</f>
        <v>0</v>
      </c>
      <c r="BU17" s="16">
        <f>ROUNDDOWN(IF($AG17*W17&gt;요율!$E$3,($AG17*W17-요율!$E$3)*요율!$C$3%*요율!$D$3%,0),-1)</f>
        <v>0</v>
      </c>
      <c r="BV17" s="16">
        <f>ROUNDDOWN(IF($AG17*X17&gt;요율!$E$3,($AG17*X17-요율!$E$3)*요율!$C$3%*요율!$D$3%,0),-1)</f>
        <v>0</v>
      </c>
      <c r="BW17" s="16">
        <f>ROUNDDOWN(IF($AG17*Y17&gt;요율!$E$3,($AG17*Y17-요율!$E$3)*요율!$C$3%*요율!$D$3%,0),-1)</f>
        <v>0</v>
      </c>
      <c r="BX17" s="16">
        <f>ROUNDDOWN(IF($AG17*Z17&gt;요율!$E$3,($AG17*Z17-요율!$E$3)*요율!$C$3%*요율!$D$3%,0),-1)</f>
        <v>0</v>
      </c>
      <c r="BY17" s="16">
        <f>ROUNDDOWN(IF($AG17*AA17&gt;요율!$E$3,($AG17*AA17-요율!$E$3)*요율!$C$3%*요율!$D$3%,0),-1)</f>
        <v>0</v>
      </c>
      <c r="BZ17" s="16">
        <f>ROUNDDOWN(IF($AG17*AB17&gt;요율!$E$3,($AG17*AB17-요율!$E$3)*요율!$C$3%*요율!$D$3%,0),-1)</f>
        <v>0</v>
      </c>
      <c r="CA17" s="16">
        <f>ROUNDDOWN(IF($AG17*AC17&gt;요율!$E$3,($AG17*AC17-요율!$E$3)*요율!$C$3%*요율!$D$3%,0),-1)</f>
        <v>1620</v>
      </c>
      <c r="CB17" s="31">
        <f>ROUNDDOWN(IF($AG17*AD17&gt;요율!$E$3,($AG17*AD17-요율!$E$3)*요율!$C$3%*요율!$D$3%,0),-1)</f>
        <v>0</v>
      </c>
      <c r="CD17" s="5" t="str">
        <f>IFERROR(VLOOKUP(B17,주소록,9,FALSE),"")</f>
        <v>박찬구</v>
      </c>
    </row>
    <row r="18" spans="1:82" ht="20.100000000000001" customHeight="1">
      <c r="A18" s="761"/>
      <c r="B18" s="261" t="str">
        <f>BA17</f>
        <v>조경공</v>
      </c>
      <c r="C18" s="690" t="str">
        <f>IF(ISERROR(VLOOKUP(B17,주소록!$A$3:$K$523,7,0)),"",VLOOKUP(B17,주소록!$A$3:$K$523,5,0))</f>
        <v>010-9313-6807</v>
      </c>
      <c r="D18" s="690"/>
      <c r="E18" s="690"/>
      <c r="F18" s="691"/>
      <c r="G18" s="692" t="str">
        <f>IF(ISERROR(VLOOKUP(B17,주소록!$A$3:$K$523,9,0)),"",VLOOKUP(B17,주소록!$A$3:$K$523,7,0))</f>
        <v>농협중앙회</v>
      </c>
      <c r="H18" s="693"/>
      <c r="I18" s="694"/>
      <c r="J18" s="692" t="str">
        <f>IF(ISERROR(VLOOKUP(B17,주소록!$A$3:$K$523,10,0)),"",VLOOKUP(B17,주소록!$A$3:$K$523,8,0))</f>
        <v>351-0499-5374-13</v>
      </c>
      <c r="K18" s="693"/>
      <c r="L18" s="693"/>
      <c r="M18" s="693"/>
      <c r="N18" s="695"/>
      <c r="O18" s="474">
        <v>1</v>
      </c>
      <c r="P18" s="475"/>
      <c r="Q18" s="475"/>
      <c r="R18" s="468"/>
      <c r="S18" s="476"/>
      <c r="T18" s="474"/>
      <c r="U18" s="475"/>
      <c r="V18" s="475"/>
      <c r="W18" s="475"/>
      <c r="X18" s="477"/>
      <c r="Y18" s="479"/>
      <c r="Z18" s="475"/>
      <c r="AA18" s="475"/>
      <c r="AB18" s="475"/>
      <c r="AC18" s="475"/>
      <c r="AD18" s="477"/>
      <c r="AE18" s="696">
        <f>SUM(O17:AD18)</f>
        <v>2</v>
      </c>
      <c r="AF18" s="697"/>
      <c r="AG18" s="765"/>
      <c r="AH18" s="794"/>
      <c r="AI18" s="795"/>
      <c r="AJ18" s="796"/>
      <c r="AK18" s="698">
        <f>IF(C17=0,"",IF(MID(C17,7,1)="5","",IF(MID(C17,7,1)="6","",ROUNDDOWN((AK17*10%),-1))))</f>
        <v>320</v>
      </c>
      <c r="AL18" s="699"/>
      <c r="AM18" s="700"/>
      <c r="AN18" s="701">
        <f>ROUNDDOWN(AN17*요율!$F$5,-1)</f>
        <v>0</v>
      </c>
      <c r="AO18" s="701"/>
      <c r="AP18" s="701"/>
      <c r="AQ18" s="713" t="str">
        <f>IF(OR(AND(요율!$H$8="X",요율!$H$9="X",MID(C17,8,1)&gt;="5"),AND(요율!$H$8="○",요율!$H$9="X",MID(C17,8,1)&gt;="5")),"외국인",IF(요율!$H$8="X",IF(C17="",0,IF(OR(MID(C17,8,1)&lt;"3",AND(MID(C17,8,1)&gt;="5",MID(C17,8,1)&lt;="6")),IF(INT(TEXT($O$3,"yyyy.mmdd")-TEXT(TEXT(LEFT(C17,6),"1900-00-00"),"yyyy.mmdd"))&gt;=65,"65세이상",+TRUNC(AH17*요율!$C$9%,-1)),IF(INT(TEXT($O$3,"yyyy.mmdd")-TEXT(TEXT(LEFT(C17,6),"2000-00-00"),"yyyy.mmdd"))&gt;=65,"65세이상",+TRUNC(AH17*요율!$C$9%,-1)))),+TRUNC(AH17*요율!$C$9%,-1)))</f>
        <v>65세이상</v>
      </c>
      <c r="AR18" s="699"/>
      <c r="AS18" s="699"/>
      <c r="AT18" s="714"/>
      <c r="AU18" s="715"/>
      <c r="AV18" s="716"/>
      <c r="AW18" s="778"/>
      <c r="AX18" s="779"/>
      <c r="AY18" s="780"/>
      <c r="AZ18" s="767"/>
      <c r="BA18" s="22" t="str">
        <f>BA17</f>
        <v>조경공</v>
      </c>
      <c r="BB18" s="6">
        <v>2</v>
      </c>
      <c r="BC18" s="753"/>
      <c r="BD18" s="733" t="str">
        <f>B17</f>
        <v>박찬구</v>
      </c>
      <c r="BE18" s="733"/>
      <c r="BF18" s="733"/>
      <c r="BG18" s="734">
        <f>SUM(BM17:CB18)</f>
        <v>3240</v>
      </c>
      <c r="BH18" s="735"/>
      <c r="BI18" s="736"/>
      <c r="BJ18" s="144"/>
      <c r="BK18" s="145"/>
      <c r="BL18" s="146"/>
      <c r="BM18" s="17">
        <f>ROUNDDOWN(IF($AG17*O18&gt;요율!$E$3,($AG17*O18-요율!$E$3)*요율!$C$3%*요율!$D$3%,0),-1)</f>
        <v>1620</v>
      </c>
      <c r="BN18" s="18">
        <f>ROUNDDOWN(IF($AG17*P18&gt;요율!$E$3,($AG17*P18-요율!$E$3)*요율!$C$3%*요율!$D$3%,0),-1)</f>
        <v>0</v>
      </c>
      <c r="BO18" s="18">
        <f>ROUNDDOWN(IF($AG17*Q18&gt;요율!$E$3,($AG17*Q18-요율!$E$3)*요율!$C$3%*요율!$D$3%,0),-1)</f>
        <v>0</v>
      </c>
      <c r="BP18" s="18">
        <f>ROUNDDOWN(IF($AG17*R18&gt;요율!$E$3,($AG17*R18-요율!$E$3)*요율!$C$3%*요율!$D$3%,0),-1)</f>
        <v>0</v>
      </c>
      <c r="BQ18" s="18">
        <f>ROUNDDOWN(IF($AG17*S18&gt;요율!$E$3,($AG17*S18-요율!$E$3)*요율!$C$3%*요율!$D$3%,0),-1)</f>
        <v>0</v>
      </c>
      <c r="BR18" s="18">
        <f>ROUNDDOWN(IF($AG17*T18&gt;요율!$E$3,($AG17*T18-요율!$E$3)*요율!$C$3%*요율!$D$3%,0),-1)</f>
        <v>0</v>
      </c>
      <c r="BS18" s="18">
        <f>ROUNDDOWN(IF($AG17*U18&gt;요율!$E$3,($AG17*U18-요율!$E$3)*요율!$C$3%*요율!$D$3%,0),-1)</f>
        <v>0</v>
      </c>
      <c r="BT18" s="18">
        <f>ROUNDDOWN(IF($AG17*V18&gt;요율!$E$3,($AG17*V18-요율!$E$3)*요율!$C$3%*요율!$D$3%,0),-1)</f>
        <v>0</v>
      </c>
      <c r="BU18" s="18">
        <f>ROUNDDOWN(IF($AG17*W18&gt;요율!$E$3,($AG17*W18-요율!$E$3)*요율!$C$3%*요율!$D$3%,0),-1)</f>
        <v>0</v>
      </c>
      <c r="BV18" s="18">
        <f>ROUNDDOWN(IF($AG17*X18&gt;요율!$E$3,($AG17*X18-요율!$E$3)*요율!$C$3%*요율!$D$3%,0),-1)</f>
        <v>0</v>
      </c>
      <c r="BW18" s="18">
        <f>ROUNDDOWN(IF($AG17*Y18&gt;요율!$E$3,($AG17*Y18-요율!$E$3)*요율!$C$3%*요율!$D$3%,0),-1)</f>
        <v>0</v>
      </c>
      <c r="BX18" s="18">
        <f>ROUNDDOWN(IF($AG17*Z18&gt;요율!$E$3,($AG17*Z18-요율!$E$3)*요율!$C$3%*요율!$D$3%,0),-1)</f>
        <v>0</v>
      </c>
      <c r="BY18" s="18">
        <f>ROUNDDOWN(IF($AG17*AA18&gt;요율!$E$3,($AG17*AA18-요율!$E$3)*요율!$C$3%*요율!$D$3%,0),-1)</f>
        <v>0</v>
      </c>
      <c r="BZ18" s="18">
        <f>ROUNDDOWN(IF($AG17*AB18&gt;요율!$E$3,($AG17*AB18-요율!$E$3)*요율!$C$3%*요율!$D$3%,0),-1)</f>
        <v>0</v>
      </c>
      <c r="CA18" s="18">
        <f>ROUNDDOWN(IF($AG17*AC18&gt;요율!$E$3,($AG17*AC18-요율!$E$3)*요율!$C$3%*요율!$D$3%,0),-1)</f>
        <v>0</v>
      </c>
      <c r="CB18" s="19">
        <f>ROUNDDOWN(IF($AG17*AD18&gt;요율!$E$3,($AG17*AD18-요율!$E$3)*요율!$C$3%*요율!$D$3%,0),-1)</f>
        <v>0</v>
      </c>
    </row>
    <row r="19" spans="1:82" ht="20.100000000000001" customHeight="1">
      <c r="A19" s="760">
        <f t="shared" si="1"/>
        <v>7</v>
      </c>
      <c r="B19" s="260" t="s">
        <v>1207</v>
      </c>
      <c r="C19" s="708" t="str">
        <f>IF(ISERROR(VLOOKUP(B19,주소록!$A$3:$K$523,5,0)),"",VLOOKUP(B19,주소록!$A$3:$K$523,3,0))</f>
        <v>590407-1906717</v>
      </c>
      <c r="D19" s="708"/>
      <c r="E19" s="708"/>
      <c r="F19" s="709"/>
      <c r="G19" s="710" t="str">
        <f>IF(ISERROR(VLOOKUP(B19,주소록!$A$3:$K$523,6,0)),"",VLOOKUP(B19,주소록!$A$3:$K$523,4,0))</f>
        <v>부산광역시 동구 작전동 768-26</v>
      </c>
      <c r="H19" s="711"/>
      <c r="I19" s="711"/>
      <c r="J19" s="711"/>
      <c r="K19" s="711"/>
      <c r="L19" s="711"/>
      <c r="M19" s="711"/>
      <c r="N19" s="712"/>
      <c r="O19" s="469"/>
      <c r="P19" s="470"/>
      <c r="Q19" s="470"/>
      <c r="R19" s="470"/>
      <c r="S19" s="478"/>
      <c r="T19" s="469"/>
      <c r="U19" s="470"/>
      <c r="V19" s="470"/>
      <c r="W19" s="470"/>
      <c r="X19" s="471"/>
      <c r="Y19" s="472"/>
      <c r="Z19" s="467"/>
      <c r="AA19" s="470"/>
      <c r="AB19" s="470"/>
      <c r="AC19" s="470"/>
      <c r="AD19" s="473"/>
      <c r="AE19" s="783">
        <f>COUNTIF(O19:AD20,"&gt;=0.5")</f>
        <v>1</v>
      </c>
      <c r="AF19" s="784"/>
      <c r="AG19" s="764">
        <v>195000</v>
      </c>
      <c r="AH19" s="791">
        <f>AE20*AG19</f>
        <v>195000</v>
      </c>
      <c r="AI19" s="792"/>
      <c r="AJ19" s="793"/>
      <c r="AK19" s="755">
        <f>IF(BG20&lt;1000, 0, BG20)</f>
        <v>1210</v>
      </c>
      <c r="AL19" s="756"/>
      <c r="AM19" s="757"/>
      <c r="AN19" s="758">
        <f>IF(요율!$H$7="○",IF(AE19&gt;=요율!$D$6,ROUNDDOWN(AH19*요율!$C$4%,-1),0),0)</f>
        <v>0</v>
      </c>
      <c r="AO19" s="756"/>
      <c r="AP19" s="757"/>
      <c r="AQ19" s="758" t="str">
        <f>BL19</f>
        <v>60세이상</v>
      </c>
      <c r="AR19" s="756"/>
      <c r="AS19" s="759"/>
      <c r="AT19" s="717">
        <f>SUM(AK19:AS20)</f>
        <v>1330</v>
      </c>
      <c r="AU19" s="718"/>
      <c r="AV19" s="719"/>
      <c r="AW19" s="775">
        <f>AH19-AT19-AT20</f>
        <v>193670</v>
      </c>
      <c r="AX19" s="776"/>
      <c r="AY19" s="777"/>
      <c r="AZ19" s="766" t="str">
        <f>B19</f>
        <v>박찬식</v>
      </c>
      <c r="BA19" s="21" t="str">
        <f>IF(ISERROR(VLOOKUP($B19,주소록!$A$3:$K$523,3,0)),"",VLOOKUP($B19,주소록!$A$3:$K$523,2,0))</f>
        <v>조경공</v>
      </c>
      <c r="BB19" s="6">
        <v>1</v>
      </c>
      <c r="BC19" s="752">
        <f>A19</f>
        <v>7</v>
      </c>
      <c r="BD19" s="754" t="str">
        <f>IF(OR(MID(C19,8,1)&lt;"3",AND(MID(C19,8,1)&gt;="5",MID(C19,8,1)&lt;="6")),TEXT(TEXT(LEFT(C19,6),"1900-00-00"),"yyyy년 m월 d일"),TEXT(TEXT(LEFT(C19,6),"2000-00-00"),"yyyy년 m월 d일"))</f>
        <v>1959년 4월 7일</v>
      </c>
      <c r="BE19" s="754"/>
      <c r="BF19" s="754"/>
      <c r="BG19" s="768">
        <f>IFERROR(INT( ( TEXT($O$3,"yyyy.mmdd") - TEXT(BD19,"yyyy.mmdd") )  ),0)</f>
        <v>66</v>
      </c>
      <c r="BH19" s="769"/>
      <c r="BI19" s="770"/>
      <c r="BJ19" s="133" t="str">
        <f>IF(BG19&gt;59,"60세이상",IF(OR(AE19&lt;요율!$D$6,AH19=0),0,IF(AH19&lt;요율!$C$7,요율!$D$7,IF(AH19&gt;요율!$C$8,요율!$D$8,+TRUNC(AH19*요율!$C$6%,-1)))))</f>
        <v>60세이상</v>
      </c>
      <c r="BK19" s="143" t="str">
        <f>IF(BG19&gt;59,"60세이상",IF(OR(AH19&lt;2200000,AH19=0),0,IF(AH19&lt;요율!$C$7,요율!$D$7,IF(AH19&gt;요율!$C$8,요율!$D$8,+TRUNC(AH19*요율!$C$6%,-1)))))</f>
        <v>60세이상</v>
      </c>
      <c r="BL19" s="140" t="str">
        <f>IF(BK19&gt;0,BK19,BJ19)</f>
        <v>60세이상</v>
      </c>
      <c r="BM19" s="15">
        <f>ROUNDDOWN(IF($AG19*O19&gt;요율!$E$3,($AG19*O19-요율!$E$3)*요율!$C$3%*요율!$D$3%,0),-1)</f>
        <v>0</v>
      </c>
      <c r="BN19" s="16">
        <f>ROUNDDOWN(IF($AG19*P19&gt;요율!$E$3,($AG19*P19-요율!$E$3)*요율!$C$3%*요율!$D$3%,0),-1)</f>
        <v>0</v>
      </c>
      <c r="BO19" s="16">
        <f>ROUNDDOWN(IF($AG19*Q19&gt;요율!$E$3,($AG19*Q19-요율!$E$3)*요율!$C$3%*요율!$D$3%,0),-1)</f>
        <v>0</v>
      </c>
      <c r="BP19" s="16">
        <f>ROUNDDOWN(IF($AG19*R19&gt;요율!$E$3,($AG19*R19-요율!$E$3)*요율!$C$3%*요율!$D$3%,0),-1)</f>
        <v>0</v>
      </c>
      <c r="BQ19" s="16">
        <f>ROUNDDOWN(IF($AG19*S19&gt;요율!$E$3,($AG19*S19-요율!$E$3)*요율!$C$3%*요율!$D$3%,0),-1)</f>
        <v>0</v>
      </c>
      <c r="BR19" s="16">
        <f>ROUNDDOWN(IF($AG19*T19&gt;요율!$E$3,($AG19*T19-요율!$E$3)*요율!$C$3%*요율!$D$3%,0),-1)</f>
        <v>0</v>
      </c>
      <c r="BS19" s="16">
        <f>ROUNDDOWN(IF($AG19*U19&gt;요율!$E$3,($AG19*U19-요율!$E$3)*요율!$C$3%*요율!$D$3%,0),-1)</f>
        <v>0</v>
      </c>
      <c r="BT19" s="16">
        <f>ROUNDDOWN(IF($AG19*V19&gt;요율!$E$3,($AG19*V19-요율!$E$3)*요율!$C$3%*요율!$D$3%,0),-1)</f>
        <v>0</v>
      </c>
      <c r="BU19" s="16">
        <f>ROUNDDOWN(IF($AG19*W19&gt;요율!$E$3,($AG19*W19-요율!$E$3)*요율!$C$3%*요율!$D$3%,0),-1)</f>
        <v>0</v>
      </c>
      <c r="BV19" s="16">
        <f>ROUNDDOWN(IF($AG19*X19&gt;요율!$E$3,($AG19*X19-요율!$E$3)*요율!$C$3%*요율!$D$3%,0),-1)</f>
        <v>0</v>
      </c>
      <c r="BW19" s="16">
        <f>ROUNDDOWN(IF($AG19*Y19&gt;요율!$E$3,($AG19*Y19-요율!$E$3)*요율!$C$3%*요율!$D$3%,0),-1)</f>
        <v>0</v>
      </c>
      <c r="BX19" s="16">
        <f>ROUNDDOWN(IF($AG19*Z19&gt;요율!$E$3,($AG19*Z19-요율!$E$3)*요율!$C$3%*요율!$D$3%,0),-1)</f>
        <v>0</v>
      </c>
      <c r="BY19" s="16">
        <f>ROUNDDOWN(IF($AG19*AA19&gt;요율!$E$3,($AG19*AA19-요율!$E$3)*요율!$C$3%*요율!$D$3%,0),-1)</f>
        <v>0</v>
      </c>
      <c r="BZ19" s="16">
        <f>ROUNDDOWN(IF($AG19*AB19&gt;요율!$E$3,($AG19*AB19-요율!$E$3)*요율!$C$3%*요율!$D$3%,0),-1)</f>
        <v>0</v>
      </c>
      <c r="CA19" s="16">
        <f>ROUNDDOWN(IF($AG19*AC19&gt;요율!$E$3,($AG19*AC19-요율!$E$3)*요율!$C$3%*요율!$D$3%,0),-1)</f>
        <v>0</v>
      </c>
      <c r="CB19" s="31">
        <f>ROUNDDOWN(IF($AG19*AD19&gt;요율!$E$3,($AG19*AD19-요율!$E$3)*요율!$C$3%*요율!$D$3%,0),-1)</f>
        <v>0</v>
      </c>
      <c r="CD19" s="5" t="str">
        <f>IFERROR(VLOOKUP(B19,주소록,9,FALSE),"")</f>
        <v>박찬식</v>
      </c>
    </row>
    <row r="20" spans="1:82" ht="20.100000000000001" customHeight="1">
      <c r="A20" s="761"/>
      <c r="B20" s="261" t="str">
        <f>BA19</f>
        <v>조경공</v>
      </c>
      <c r="C20" s="690" t="str">
        <f>IF(ISERROR(VLOOKUP(B19,주소록!$A$3:$K$523,7,0)),"",VLOOKUP(B19,주소록!$A$3:$K$523,5,0))</f>
        <v>010-3837-5876</v>
      </c>
      <c r="D20" s="690"/>
      <c r="E20" s="690"/>
      <c r="F20" s="691"/>
      <c r="G20" s="692" t="str">
        <f>IF(ISERROR(VLOOKUP(B19,주소록!$A$3:$K$523,9,0)),"",VLOOKUP(B19,주소록!$A$3:$K$523,7,0))</f>
        <v>농협중앙회</v>
      </c>
      <c r="H20" s="693"/>
      <c r="I20" s="694"/>
      <c r="J20" s="692" t="str">
        <f>IF(ISERROR(VLOOKUP(B19,주소록!$A$3:$K$523,10,0)),"",VLOOKUP(B19,주소록!$A$3:$K$523,8,0))</f>
        <v>211041-56-176755</v>
      </c>
      <c r="K20" s="693"/>
      <c r="L20" s="693"/>
      <c r="M20" s="693"/>
      <c r="N20" s="695"/>
      <c r="O20" s="474">
        <v>1</v>
      </c>
      <c r="P20" s="475"/>
      <c r="Q20" s="475"/>
      <c r="R20" s="468"/>
      <c r="S20" s="476"/>
      <c r="T20" s="474"/>
      <c r="U20" s="475"/>
      <c r="V20" s="475"/>
      <c r="W20" s="475"/>
      <c r="X20" s="477"/>
      <c r="Y20" s="479"/>
      <c r="Z20" s="475"/>
      <c r="AA20" s="475"/>
      <c r="AB20" s="475"/>
      <c r="AC20" s="475"/>
      <c r="AD20" s="477"/>
      <c r="AE20" s="696">
        <f>SUM(O19:AD20)</f>
        <v>1</v>
      </c>
      <c r="AF20" s="697"/>
      <c r="AG20" s="765"/>
      <c r="AH20" s="794"/>
      <c r="AI20" s="795"/>
      <c r="AJ20" s="796"/>
      <c r="AK20" s="698">
        <f>IF(C19=0,"",IF(MID(C19,7,1)="5","",IF(MID(C19,7,1)="6","",ROUNDDOWN((AK19*10%),-1))))</f>
        <v>120</v>
      </c>
      <c r="AL20" s="699"/>
      <c r="AM20" s="700"/>
      <c r="AN20" s="701">
        <f>ROUNDDOWN(AN19*요율!$F$5,-1)</f>
        <v>0</v>
      </c>
      <c r="AO20" s="701"/>
      <c r="AP20" s="701"/>
      <c r="AQ20" s="713" t="str">
        <f>IF(OR(AND(요율!$H$8="X",요율!$H$9="X",MID(C19,8,1)&gt;="5"),AND(요율!$H$8="○",요율!$H$9="X",MID(C19,8,1)&gt;="5")),"외국인",IF(요율!$H$8="X",IF(C19="",0,IF(OR(MID(C19,8,1)&lt;"3",AND(MID(C19,8,1)&gt;="5",MID(C19,8,1)&lt;="6")),IF(INT(TEXT($O$3,"yyyy.mmdd")-TEXT(TEXT(LEFT(C19,6),"1900-00-00"),"yyyy.mmdd"))&gt;=65,"65세이상",+TRUNC(AH19*요율!$C$9%,-1)),IF(INT(TEXT($O$3,"yyyy.mmdd")-TEXT(TEXT(LEFT(C19,6),"2000-00-00"),"yyyy.mmdd"))&gt;=65,"65세이상",+TRUNC(AH19*요율!$C$9%,-1)))),+TRUNC(AH19*요율!$C$9%,-1)))</f>
        <v>65세이상</v>
      </c>
      <c r="AR20" s="699"/>
      <c r="AS20" s="699"/>
      <c r="AT20" s="714"/>
      <c r="AU20" s="715"/>
      <c r="AV20" s="716"/>
      <c r="AW20" s="778"/>
      <c r="AX20" s="779"/>
      <c r="AY20" s="780"/>
      <c r="AZ20" s="767"/>
      <c r="BA20" s="22" t="str">
        <f>BA19</f>
        <v>조경공</v>
      </c>
      <c r="BB20" s="6">
        <v>2</v>
      </c>
      <c r="BC20" s="753"/>
      <c r="BD20" s="733" t="str">
        <f>B19</f>
        <v>박찬식</v>
      </c>
      <c r="BE20" s="733"/>
      <c r="BF20" s="733"/>
      <c r="BG20" s="734">
        <f>SUM(BM19:CB20)</f>
        <v>1210</v>
      </c>
      <c r="BH20" s="735"/>
      <c r="BI20" s="736"/>
      <c r="BJ20" s="144"/>
      <c r="BK20" s="145"/>
      <c r="BL20" s="146"/>
      <c r="BM20" s="17">
        <f>ROUNDDOWN(IF($AG19*O20&gt;요율!$E$3,($AG19*O20-요율!$E$3)*요율!$C$3%*요율!$D$3%,0),-1)</f>
        <v>1210</v>
      </c>
      <c r="BN20" s="18">
        <f>ROUNDDOWN(IF($AG19*P20&gt;요율!$E$3,($AG19*P20-요율!$E$3)*요율!$C$3%*요율!$D$3%,0),-1)</f>
        <v>0</v>
      </c>
      <c r="BO20" s="18">
        <f>ROUNDDOWN(IF($AG19*Q20&gt;요율!$E$3,($AG19*Q20-요율!$E$3)*요율!$C$3%*요율!$D$3%,0),-1)</f>
        <v>0</v>
      </c>
      <c r="BP20" s="18">
        <f>ROUNDDOWN(IF($AG19*R20&gt;요율!$E$3,($AG19*R20-요율!$E$3)*요율!$C$3%*요율!$D$3%,0),-1)</f>
        <v>0</v>
      </c>
      <c r="BQ20" s="18">
        <f>ROUNDDOWN(IF($AG19*S20&gt;요율!$E$3,($AG19*S20-요율!$E$3)*요율!$C$3%*요율!$D$3%,0),-1)</f>
        <v>0</v>
      </c>
      <c r="BR20" s="18">
        <f>ROUNDDOWN(IF($AG19*T20&gt;요율!$E$3,($AG19*T20-요율!$E$3)*요율!$C$3%*요율!$D$3%,0),-1)</f>
        <v>0</v>
      </c>
      <c r="BS20" s="18">
        <f>ROUNDDOWN(IF($AG19*U20&gt;요율!$E$3,($AG19*U20-요율!$E$3)*요율!$C$3%*요율!$D$3%,0),-1)</f>
        <v>0</v>
      </c>
      <c r="BT20" s="18">
        <f>ROUNDDOWN(IF($AG19*V20&gt;요율!$E$3,($AG19*V20-요율!$E$3)*요율!$C$3%*요율!$D$3%,0),-1)</f>
        <v>0</v>
      </c>
      <c r="BU20" s="18">
        <f>ROUNDDOWN(IF($AG19*W20&gt;요율!$E$3,($AG19*W20-요율!$E$3)*요율!$C$3%*요율!$D$3%,0),-1)</f>
        <v>0</v>
      </c>
      <c r="BV20" s="18">
        <f>ROUNDDOWN(IF($AG19*X20&gt;요율!$E$3,($AG19*X20-요율!$E$3)*요율!$C$3%*요율!$D$3%,0),-1)</f>
        <v>0</v>
      </c>
      <c r="BW20" s="18">
        <f>ROUNDDOWN(IF($AG19*Y20&gt;요율!$E$3,($AG19*Y20-요율!$E$3)*요율!$C$3%*요율!$D$3%,0),-1)</f>
        <v>0</v>
      </c>
      <c r="BX20" s="18">
        <f>ROUNDDOWN(IF($AG19*Z20&gt;요율!$E$3,($AG19*Z20-요율!$E$3)*요율!$C$3%*요율!$D$3%,0),-1)</f>
        <v>0</v>
      </c>
      <c r="BY20" s="18">
        <f>ROUNDDOWN(IF($AG19*AA20&gt;요율!$E$3,($AG19*AA20-요율!$E$3)*요율!$C$3%*요율!$D$3%,0),-1)</f>
        <v>0</v>
      </c>
      <c r="BZ20" s="18">
        <f>ROUNDDOWN(IF($AG19*AB20&gt;요율!$E$3,($AG19*AB20-요율!$E$3)*요율!$C$3%*요율!$D$3%,0),-1)</f>
        <v>0</v>
      </c>
      <c r="CA20" s="18">
        <f>ROUNDDOWN(IF($AG19*AC20&gt;요율!$E$3,($AG19*AC20-요율!$E$3)*요율!$C$3%*요율!$D$3%,0),-1)</f>
        <v>0</v>
      </c>
      <c r="CB20" s="19">
        <f>ROUNDDOWN(IF($AG19*AD20&gt;요율!$E$3,($AG19*AD20-요율!$E$3)*요율!$C$3%*요율!$D$3%,0),-1)</f>
        <v>0</v>
      </c>
    </row>
    <row r="21" spans="1:82" ht="20.100000000000001" customHeight="1">
      <c r="A21" s="760">
        <f t="shared" si="1"/>
        <v>8</v>
      </c>
      <c r="B21" s="260" t="s">
        <v>1211</v>
      </c>
      <c r="C21" s="708" t="str">
        <f>IF(ISERROR(VLOOKUP(B21,주소록!$A$3:$K$523,5,0)),"",VLOOKUP(B21,주소록!$A$3:$K$523,3,0))</f>
        <v>651110-1232814</v>
      </c>
      <c r="D21" s="708"/>
      <c r="E21" s="708"/>
      <c r="F21" s="709"/>
      <c r="G21" s="710" t="str">
        <f>IF(ISERROR(VLOOKUP(B21,주소록!$A$3:$K$523,6,0)),"",VLOOKUP(B21,주소록!$A$3:$K$523,4,0))</f>
        <v>경기도 파주시 정담길 123 101동 602호</v>
      </c>
      <c r="H21" s="711"/>
      <c r="I21" s="711"/>
      <c r="J21" s="711"/>
      <c r="K21" s="711"/>
      <c r="L21" s="711"/>
      <c r="M21" s="711"/>
      <c r="N21" s="712"/>
      <c r="O21" s="469"/>
      <c r="P21" s="470"/>
      <c r="Q21" s="470"/>
      <c r="R21" s="470"/>
      <c r="S21" s="478"/>
      <c r="T21" s="469"/>
      <c r="U21" s="470"/>
      <c r="V21" s="470"/>
      <c r="W21" s="470"/>
      <c r="X21" s="471"/>
      <c r="Y21" s="472"/>
      <c r="Z21" s="467"/>
      <c r="AA21" s="470"/>
      <c r="AB21" s="470"/>
      <c r="AC21" s="470">
        <v>1</v>
      </c>
      <c r="AD21" s="473"/>
      <c r="AE21" s="783">
        <f>COUNTIF(O21:AD22,"&gt;=0.5")</f>
        <v>2</v>
      </c>
      <c r="AF21" s="784"/>
      <c r="AG21" s="764">
        <v>195000</v>
      </c>
      <c r="AH21" s="791">
        <f>AE22*AG21</f>
        <v>390000</v>
      </c>
      <c r="AI21" s="792"/>
      <c r="AJ21" s="793"/>
      <c r="AK21" s="755">
        <f>IF(BG22&lt;1000, 0, BG22)</f>
        <v>2420</v>
      </c>
      <c r="AL21" s="756"/>
      <c r="AM21" s="757"/>
      <c r="AN21" s="758">
        <f>IF(요율!$H$7="○",IF(AE21&gt;=요율!$D$6,ROUNDDOWN(AH21*요율!$C$4%,-1),0),0)</f>
        <v>0</v>
      </c>
      <c r="AO21" s="756"/>
      <c r="AP21" s="757"/>
      <c r="AQ21" s="758" t="str">
        <f>BL21</f>
        <v>60세이상</v>
      </c>
      <c r="AR21" s="756"/>
      <c r="AS21" s="759"/>
      <c r="AT21" s="717">
        <f>SUM(AK21:AS22)</f>
        <v>6170</v>
      </c>
      <c r="AU21" s="718"/>
      <c r="AV21" s="719"/>
      <c r="AW21" s="775">
        <f>AH21-AT21-AT22</f>
        <v>383830</v>
      </c>
      <c r="AX21" s="776"/>
      <c r="AY21" s="777"/>
      <c r="AZ21" s="766" t="str">
        <f>B21</f>
        <v>이찬석</v>
      </c>
      <c r="BA21" s="21" t="str">
        <f>IF(ISERROR(VLOOKUP($B21,주소록!$A$3:$K$523,3,0)),"",VLOOKUP($B21,주소록!$A$3:$K$523,2,0))</f>
        <v>조경공</v>
      </c>
      <c r="BB21" s="6">
        <v>1</v>
      </c>
      <c r="BC21" s="752">
        <f>A21</f>
        <v>8</v>
      </c>
      <c r="BD21" s="754" t="str">
        <f>IF(OR(MID(C21,8,1)&lt;"3",AND(MID(C21,8,1)&gt;="5",MID(C21,8,1)&lt;="6")),TEXT(TEXT(LEFT(C21,6),"1900-00-00"),"yyyy년 m월 d일"),TEXT(TEXT(LEFT(C21,6),"2000-00-00"),"yyyy년 m월 d일"))</f>
        <v>1965년 11월 10일</v>
      </c>
      <c r="BE21" s="754"/>
      <c r="BF21" s="754"/>
      <c r="BG21" s="768">
        <f>IFERROR(INT( ( TEXT($O$3,"yyyy.mmdd") - TEXT(BD21,"yyyy.mmdd") )  ),0)</f>
        <v>60</v>
      </c>
      <c r="BH21" s="769"/>
      <c r="BI21" s="770"/>
      <c r="BJ21" s="133" t="str">
        <f>IF(BG21&gt;59,"60세이상",IF(OR(AE21&lt;요율!$D$6,AH21=0),0,IF(AH21&lt;요율!$C$7,요율!$D$7,IF(AH21&gt;요율!$C$8,요율!$D$8,+TRUNC(AH21*요율!$C$6%,-1)))))</f>
        <v>60세이상</v>
      </c>
      <c r="BK21" s="143" t="str">
        <f>IF(BG21&gt;59,"60세이상",IF(OR(AH21&lt;2200000,AH21=0),0,IF(AH21&lt;요율!$C$7,요율!$D$7,IF(AH21&gt;요율!$C$8,요율!$D$8,+TRUNC(AH21*요율!$C$6%,-1)))))</f>
        <v>60세이상</v>
      </c>
      <c r="BL21" s="140" t="str">
        <f>IF(BK21&gt;0,BK21,BJ21)</f>
        <v>60세이상</v>
      </c>
      <c r="BM21" s="15">
        <f>ROUNDDOWN(IF($AG21*O21&gt;요율!$E$3,($AG21*O21-요율!$E$3)*요율!$C$3%*요율!$D$3%,0),-1)</f>
        <v>0</v>
      </c>
      <c r="BN21" s="16">
        <f>ROUNDDOWN(IF($AG21*P21&gt;요율!$E$3,($AG21*P21-요율!$E$3)*요율!$C$3%*요율!$D$3%,0),-1)</f>
        <v>0</v>
      </c>
      <c r="BO21" s="16">
        <f>ROUNDDOWN(IF($AG21*Q21&gt;요율!$E$3,($AG21*Q21-요율!$E$3)*요율!$C$3%*요율!$D$3%,0),-1)</f>
        <v>0</v>
      </c>
      <c r="BP21" s="16">
        <f>ROUNDDOWN(IF($AG21*R21&gt;요율!$E$3,($AG21*R21-요율!$E$3)*요율!$C$3%*요율!$D$3%,0),-1)</f>
        <v>0</v>
      </c>
      <c r="BQ21" s="16">
        <f>ROUNDDOWN(IF($AG21*S21&gt;요율!$E$3,($AG21*S21-요율!$E$3)*요율!$C$3%*요율!$D$3%,0),-1)</f>
        <v>0</v>
      </c>
      <c r="BR21" s="16">
        <f>ROUNDDOWN(IF($AG21*T21&gt;요율!$E$3,($AG21*T21-요율!$E$3)*요율!$C$3%*요율!$D$3%,0),-1)</f>
        <v>0</v>
      </c>
      <c r="BS21" s="16">
        <f>ROUNDDOWN(IF($AG21*U21&gt;요율!$E$3,($AG21*U21-요율!$E$3)*요율!$C$3%*요율!$D$3%,0),-1)</f>
        <v>0</v>
      </c>
      <c r="BT21" s="16">
        <f>ROUNDDOWN(IF($AG21*V21&gt;요율!$E$3,($AG21*V21-요율!$E$3)*요율!$C$3%*요율!$D$3%,0),-1)</f>
        <v>0</v>
      </c>
      <c r="BU21" s="16">
        <f>ROUNDDOWN(IF($AG21*W21&gt;요율!$E$3,($AG21*W21-요율!$E$3)*요율!$C$3%*요율!$D$3%,0),-1)</f>
        <v>0</v>
      </c>
      <c r="BV21" s="16">
        <f>ROUNDDOWN(IF($AG21*X21&gt;요율!$E$3,($AG21*X21-요율!$E$3)*요율!$C$3%*요율!$D$3%,0),-1)</f>
        <v>0</v>
      </c>
      <c r="BW21" s="16">
        <f>ROUNDDOWN(IF($AG21*Y21&gt;요율!$E$3,($AG21*Y21-요율!$E$3)*요율!$C$3%*요율!$D$3%,0),-1)</f>
        <v>0</v>
      </c>
      <c r="BX21" s="16">
        <f>ROUNDDOWN(IF($AG21*Z21&gt;요율!$E$3,($AG21*Z21-요율!$E$3)*요율!$C$3%*요율!$D$3%,0),-1)</f>
        <v>0</v>
      </c>
      <c r="BY21" s="16">
        <f>ROUNDDOWN(IF($AG21*AA21&gt;요율!$E$3,($AG21*AA21-요율!$E$3)*요율!$C$3%*요율!$D$3%,0),-1)</f>
        <v>0</v>
      </c>
      <c r="BZ21" s="16">
        <f>ROUNDDOWN(IF($AG21*AB21&gt;요율!$E$3,($AG21*AB21-요율!$E$3)*요율!$C$3%*요율!$D$3%,0),-1)</f>
        <v>0</v>
      </c>
      <c r="CA21" s="16">
        <f>ROUNDDOWN(IF($AG21*AC21&gt;요율!$E$3,($AG21*AC21-요율!$E$3)*요율!$C$3%*요율!$D$3%,0),-1)</f>
        <v>1210</v>
      </c>
      <c r="CB21" s="31">
        <f>ROUNDDOWN(IF($AG21*AD21&gt;요율!$E$3,($AG21*AD21-요율!$E$3)*요율!$C$3%*요율!$D$3%,0),-1)</f>
        <v>0</v>
      </c>
      <c r="CD21" s="5" t="str">
        <f>IFERROR(VLOOKUP(B21,주소록,9,FALSE),"")</f>
        <v/>
      </c>
    </row>
    <row r="22" spans="1:82" ht="20.100000000000001" customHeight="1">
      <c r="A22" s="761"/>
      <c r="B22" s="261" t="str">
        <f>BA21</f>
        <v>조경공</v>
      </c>
      <c r="C22" s="690" t="str">
        <f>IF(ISERROR(VLOOKUP(B21,주소록!$A$3:$K$523,7,0)),"",VLOOKUP(B21,주소록!$A$3:$K$523,5,0))</f>
        <v>010-7671-5881</v>
      </c>
      <c r="D22" s="690"/>
      <c r="E22" s="690"/>
      <c r="F22" s="691"/>
      <c r="G22" s="692" t="str">
        <f>IF(ISERROR(VLOOKUP(B21,주소록!$A$3:$K$523,9,0)),"",VLOOKUP(B21,주소록!$A$3:$K$523,7,0))</f>
        <v>농협중앙회</v>
      </c>
      <c r="H22" s="693"/>
      <c r="I22" s="694"/>
      <c r="J22" s="692" t="str">
        <f>IF(ISERROR(VLOOKUP(B21,주소록!$A$3:$K$523,10,0)),"",VLOOKUP(B21,주소록!$A$3:$K$523,8,0))</f>
        <v>352-1705-3514-03</v>
      </c>
      <c r="K22" s="693"/>
      <c r="L22" s="693"/>
      <c r="M22" s="693"/>
      <c r="N22" s="695"/>
      <c r="O22" s="474">
        <v>1</v>
      </c>
      <c r="P22" s="475"/>
      <c r="Q22" s="475"/>
      <c r="R22" s="468"/>
      <c r="S22" s="476"/>
      <c r="T22" s="474"/>
      <c r="U22" s="475"/>
      <c r="V22" s="475"/>
      <c r="W22" s="475"/>
      <c r="X22" s="477"/>
      <c r="Y22" s="479"/>
      <c r="Z22" s="475"/>
      <c r="AA22" s="475"/>
      <c r="AB22" s="475"/>
      <c r="AC22" s="475"/>
      <c r="AD22" s="477"/>
      <c r="AE22" s="696">
        <f>SUM(O21:AD22)</f>
        <v>2</v>
      </c>
      <c r="AF22" s="697"/>
      <c r="AG22" s="765"/>
      <c r="AH22" s="794"/>
      <c r="AI22" s="795"/>
      <c r="AJ22" s="796"/>
      <c r="AK22" s="698">
        <f>IF(C21=0,"",IF(MID(C21,7,1)="5","",IF(MID(C21,7,1)="6","",ROUNDDOWN((AK21*10%),-1))))</f>
        <v>240</v>
      </c>
      <c r="AL22" s="699"/>
      <c r="AM22" s="700"/>
      <c r="AN22" s="701">
        <f>ROUNDDOWN(AN21*요율!$F$5,-1)</f>
        <v>0</v>
      </c>
      <c r="AO22" s="701"/>
      <c r="AP22" s="701"/>
      <c r="AQ22" s="713">
        <f>IF(OR(AND(요율!$H$8="X",요율!$H$9="X",MID(C21,8,1)&gt;="5"),AND(요율!$H$8="○",요율!$H$9="X",MID(C21,8,1)&gt;="5")),"외국인",IF(요율!$H$8="X",IF(C21="",0,IF(OR(MID(C21,8,1)&lt;"3",AND(MID(C21,8,1)&gt;="5",MID(C21,8,1)&lt;="6")),IF(INT(TEXT($O$3,"yyyy.mmdd")-TEXT(TEXT(LEFT(C21,6),"1900-00-00"),"yyyy.mmdd"))&gt;=65,"65세이상",+TRUNC(AH21*요율!$C$9%,-1)),IF(INT(TEXT($O$3,"yyyy.mmdd")-TEXT(TEXT(LEFT(C21,6),"2000-00-00"),"yyyy.mmdd"))&gt;=65,"65세이상",+TRUNC(AH21*요율!$C$9%,-1)))),+TRUNC(AH21*요율!$C$9%,-1)))</f>
        <v>3510</v>
      </c>
      <c r="AR22" s="699"/>
      <c r="AS22" s="699"/>
      <c r="AT22" s="714"/>
      <c r="AU22" s="715"/>
      <c r="AV22" s="716"/>
      <c r="AW22" s="778"/>
      <c r="AX22" s="779"/>
      <c r="AY22" s="780"/>
      <c r="AZ22" s="767"/>
      <c r="BA22" s="22" t="str">
        <f>BA21</f>
        <v>조경공</v>
      </c>
      <c r="BB22" s="6">
        <v>2</v>
      </c>
      <c r="BC22" s="753"/>
      <c r="BD22" s="733" t="str">
        <f>B21</f>
        <v>이찬석</v>
      </c>
      <c r="BE22" s="733"/>
      <c r="BF22" s="733"/>
      <c r="BG22" s="734">
        <f>SUM(BM21:CB22)</f>
        <v>2420</v>
      </c>
      <c r="BH22" s="735"/>
      <c r="BI22" s="736"/>
      <c r="BJ22" s="144"/>
      <c r="BK22" s="145"/>
      <c r="BL22" s="146"/>
      <c r="BM22" s="17">
        <f>ROUNDDOWN(IF($AG21*O22&gt;요율!$E$3,($AG21*O22-요율!$E$3)*요율!$C$3%*요율!$D$3%,0),-1)</f>
        <v>1210</v>
      </c>
      <c r="BN22" s="18">
        <f>ROUNDDOWN(IF($AG21*P22&gt;요율!$E$3,($AG21*P22-요율!$E$3)*요율!$C$3%*요율!$D$3%,0),-1)</f>
        <v>0</v>
      </c>
      <c r="BO22" s="18">
        <f>ROUNDDOWN(IF($AG21*Q22&gt;요율!$E$3,($AG21*Q22-요율!$E$3)*요율!$C$3%*요율!$D$3%,0),-1)</f>
        <v>0</v>
      </c>
      <c r="BP22" s="18">
        <f>ROUNDDOWN(IF($AG21*R22&gt;요율!$E$3,($AG21*R22-요율!$E$3)*요율!$C$3%*요율!$D$3%,0),-1)</f>
        <v>0</v>
      </c>
      <c r="BQ22" s="18">
        <f>ROUNDDOWN(IF($AG21*S22&gt;요율!$E$3,($AG21*S22-요율!$E$3)*요율!$C$3%*요율!$D$3%,0),-1)</f>
        <v>0</v>
      </c>
      <c r="BR22" s="18">
        <f>ROUNDDOWN(IF($AG21*T22&gt;요율!$E$3,($AG21*T22-요율!$E$3)*요율!$C$3%*요율!$D$3%,0),-1)</f>
        <v>0</v>
      </c>
      <c r="BS22" s="18">
        <f>ROUNDDOWN(IF($AG21*U22&gt;요율!$E$3,($AG21*U22-요율!$E$3)*요율!$C$3%*요율!$D$3%,0),-1)</f>
        <v>0</v>
      </c>
      <c r="BT22" s="18">
        <f>ROUNDDOWN(IF($AG21*V22&gt;요율!$E$3,($AG21*V22-요율!$E$3)*요율!$C$3%*요율!$D$3%,0),-1)</f>
        <v>0</v>
      </c>
      <c r="BU22" s="18">
        <f>ROUNDDOWN(IF($AG21*W22&gt;요율!$E$3,($AG21*W22-요율!$E$3)*요율!$C$3%*요율!$D$3%,0),-1)</f>
        <v>0</v>
      </c>
      <c r="BV22" s="18">
        <f>ROUNDDOWN(IF($AG21*X22&gt;요율!$E$3,($AG21*X22-요율!$E$3)*요율!$C$3%*요율!$D$3%,0),-1)</f>
        <v>0</v>
      </c>
      <c r="BW22" s="18">
        <f>ROUNDDOWN(IF($AG21*Y22&gt;요율!$E$3,($AG21*Y22-요율!$E$3)*요율!$C$3%*요율!$D$3%,0),-1)</f>
        <v>0</v>
      </c>
      <c r="BX22" s="18">
        <f>ROUNDDOWN(IF($AG21*Z22&gt;요율!$E$3,($AG21*Z22-요율!$E$3)*요율!$C$3%*요율!$D$3%,0),-1)</f>
        <v>0</v>
      </c>
      <c r="BY22" s="18">
        <f>ROUNDDOWN(IF($AG21*AA22&gt;요율!$E$3,($AG21*AA22-요율!$E$3)*요율!$C$3%*요율!$D$3%,0),-1)</f>
        <v>0</v>
      </c>
      <c r="BZ22" s="18">
        <f>ROUNDDOWN(IF($AG21*AB22&gt;요율!$E$3,($AG21*AB22-요율!$E$3)*요율!$C$3%*요율!$D$3%,0),-1)</f>
        <v>0</v>
      </c>
      <c r="CA22" s="18">
        <f>ROUNDDOWN(IF($AG21*AC22&gt;요율!$E$3,($AG21*AC22-요율!$E$3)*요율!$C$3%*요율!$D$3%,0),-1)</f>
        <v>0</v>
      </c>
      <c r="CB22" s="19">
        <f>ROUNDDOWN(IF($AG21*AD22&gt;요율!$E$3,($AG21*AD22-요율!$E$3)*요율!$C$3%*요율!$D$3%,0),-1)</f>
        <v>0</v>
      </c>
    </row>
    <row r="23" spans="1:82" ht="20.100000000000001" customHeight="1">
      <c r="A23" s="760">
        <f t="shared" si="1"/>
        <v>9</v>
      </c>
      <c r="B23" s="260" t="s">
        <v>1212</v>
      </c>
      <c r="C23" s="708" t="str">
        <f>IF(ISERROR(VLOOKUP(B23,주소록!$A$3:$K$523,5,0)),"",VLOOKUP(B23,주소록!$A$3:$K$523,3,0))</f>
        <v>590120-1244816</v>
      </c>
      <c r="D23" s="708"/>
      <c r="E23" s="708"/>
      <c r="F23" s="709"/>
      <c r="G23" s="710" t="str">
        <f>IF(ISERROR(VLOOKUP(B23,주소록!$A$3:$K$523,6,0)),"",VLOOKUP(B23,주소록!$A$3:$K$523,4,0))</f>
        <v>경기도 파주시 하지석길 150-67</v>
      </c>
      <c r="H23" s="711"/>
      <c r="I23" s="711"/>
      <c r="J23" s="711"/>
      <c r="K23" s="711"/>
      <c r="L23" s="711"/>
      <c r="M23" s="711"/>
      <c r="N23" s="712"/>
      <c r="O23" s="469"/>
      <c r="P23" s="470"/>
      <c r="Q23" s="470"/>
      <c r="R23" s="470"/>
      <c r="S23" s="478"/>
      <c r="T23" s="469"/>
      <c r="U23" s="470"/>
      <c r="V23" s="470"/>
      <c r="W23" s="470"/>
      <c r="X23" s="471"/>
      <c r="Y23" s="472"/>
      <c r="Z23" s="467"/>
      <c r="AA23" s="470"/>
      <c r="AB23" s="470"/>
      <c r="AC23" s="470">
        <v>1</v>
      </c>
      <c r="AD23" s="473"/>
      <c r="AE23" s="783">
        <f>COUNTIF(O23:AD24,"&gt;=0.5")</f>
        <v>2</v>
      </c>
      <c r="AF23" s="784"/>
      <c r="AG23" s="764">
        <v>180000</v>
      </c>
      <c r="AH23" s="791">
        <f>AE24*AG23</f>
        <v>360000</v>
      </c>
      <c r="AI23" s="792"/>
      <c r="AJ23" s="793"/>
      <c r="AK23" s="755">
        <f>IF(BG24&lt;1000, 0, BG24)</f>
        <v>1620</v>
      </c>
      <c r="AL23" s="756"/>
      <c r="AM23" s="757"/>
      <c r="AN23" s="758">
        <f>IF(요율!$H$7="○",IF(AE23&gt;=요율!$D$6,ROUNDDOWN(AH23*요율!$C$4%,-1),0),0)</f>
        <v>0</v>
      </c>
      <c r="AO23" s="756"/>
      <c r="AP23" s="757"/>
      <c r="AQ23" s="758" t="str">
        <f>BL23</f>
        <v>60세이상</v>
      </c>
      <c r="AR23" s="756"/>
      <c r="AS23" s="759"/>
      <c r="AT23" s="717">
        <f>SUM(AK23:AS24)</f>
        <v>1780</v>
      </c>
      <c r="AU23" s="718"/>
      <c r="AV23" s="719"/>
      <c r="AW23" s="775">
        <f>AH23-AT23-AT24</f>
        <v>358220</v>
      </c>
      <c r="AX23" s="776"/>
      <c r="AY23" s="777"/>
      <c r="AZ23" s="766" t="str">
        <f>B23</f>
        <v>이기연</v>
      </c>
      <c r="BA23" s="21" t="str">
        <f>IF(ISERROR(VLOOKUP($B23,주소록!$A$3:$K$523,3,0)),"",VLOOKUP($B23,주소록!$A$3:$K$523,2,0))</f>
        <v>조경공</v>
      </c>
      <c r="BB23" s="6">
        <v>1</v>
      </c>
      <c r="BC23" s="752">
        <f>A23</f>
        <v>9</v>
      </c>
      <c r="BD23" s="754" t="str">
        <f>IF(OR(MID(C23,8,1)&lt;"3",AND(MID(C23,8,1)&gt;="5",MID(C23,8,1)&lt;="6")),TEXT(TEXT(LEFT(C23,6),"1900-00-00"),"yyyy년 m월 d일"),TEXT(TEXT(LEFT(C23,6),"2000-00-00"),"yyyy년 m월 d일"))</f>
        <v>1959년 1월 20일</v>
      </c>
      <c r="BE23" s="754"/>
      <c r="BF23" s="754"/>
      <c r="BG23" s="768">
        <f>IFERROR(INT( ( TEXT($O$3,"yyyy.mmdd") - TEXT(BD23,"yyyy.mmdd") )  ),0)</f>
        <v>67</v>
      </c>
      <c r="BH23" s="769"/>
      <c r="BI23" s="770"/>
      <c r="BJ23" s="133" t="str">
        <f>IF(BG23&gt;59,"60세이상",IF(OR(AE23&lt;요율!$D$6,AH23=0),0,IF(AH23&lt;요율!$C$7,요율!$D$7,IF(AH23&gt;요율!$C$8,요율!$D$8,+TRUNC(AH23*요율!$C$6%,-1)))))</f>
        <v>60세이상</v>
      </c>
      <c r="BK23" s="143" t="str">
        <f>IF(BG23&gt;59,"60세이상",IF(OR(AH23&lt;2200000,AH23=0),0,IF(AH23&lt;요율!$C$7,요율!$D$7,IF(AH23&gt;요율!$C$8,요율!$D$8,+TRUNC(AH23*요율!$C$6%,-1)))))</f>
        <v>60세이상</v>
      </c>
      <c r="BL23" s="140" t="str">
        <f>IF(BK23&gt;0,BK23,BJ23)</f>
        <v>60세이상</v>
      </c>
      <c r="BM23" s="15">
        <f>ROUNDDOWN(IF($AG23*O23&gt;요율!$E$3,($AG23*O23-요율!$E$3)*요율!$C$3%*요율!$D$3%,0),-1)</f>
        <v>0</v>
      </c>
      <c r="BN23" s="16">
        <f>ROUNDDOWN(IF($AG23*P23&gt;요율!$E$3,($AG23*P23-요율!$E$3)*요율!$C$3%*요율!$D$3%,0),-1)</f>
        <v>0</v>
      </c>
      <c r="BO23" s="16">
        <f>ROUNDDOWN(IF($AG23*Q23&gt;요율!$E$3,($AG23*Q23-요율!$E$3)*요율!$C$3%*요율!$D$3%,0),-1)</f>
        <v>0</v>
      </c>
      <c r="BP23" s="16">
        <f>ROUNDDOWN(IF($AG23*R23&gt;요율!$E$3,($AG23*R23-요율!$E$3)*요율!$C$3%*요율!$D$3%,0),-1)</f>
        <v>0</v>
      </c>
      <c r="BQ23" s="16">
        <f>ROUNDDOWN(IF($AG23*S23&gt;요율!$E$3,($AG23*S23-요율!$E$3)*요율!$C$3%*요율!$D$3%,0),-1)</f>
        <v>0</v>
      </c>
      <c r="BR23" s="16">
        <f>ROUNDDOWN(IF($AG23*T23&gt;요율!$E$3,($AG23*T23-요율!$E$3)*요율!$C$3%*요율!$D$3%,0),-1)</f>
        <v>0</v>
      </c>
      <c r="BS23" s="16">
        <f>ROUNDDOWN(IF($AG23*U23&gt;요율!$E$3,($AG23*U23-요율!$E$3)*요율!$C$3%*요율!$D$3%,0),-1)</f>
        <v>0</v>
      </c>
      <c r="BT23" s="16">
        <f>ROUNDDOWN(IF($AG23*V23&gt;요율!$E$3,($AG23*V23-요율!$E$3)*요율!$C$3%*요율!$D$3%,0),-1)</f>
        <v>0</v>
      </c>
      <c r="BU23" s="16">
        <f>ROUNDDOWN(IF($AG23*W23&gt;요율!$E$3,($AG23*W23-요율!$E$3)*요율!$C$3%*요율!$D$3%,0),-1)</f>
        <v>0</v>
      </c>
      <c r="BV23" s="16">
        <f>ROUNDDOWN(IF($AG23*X23&gt;요율!$E$3,($AG23*X23-요율!$E$3)*요율!$C$3%*요율!$D$3%,0),-1)</f>
        <v>0</v>
      </c>
      <c r="BW23" s="16">
        <f>ROUNDDOWN(IF($AG23*Y23&gt;요율!$E$3,($AG23*Y23-요율!$E$3)*요율!$C$3%*요율!$D$3%,0),-1)</f>
        <v>0</v>
      </c>
      <c r="BX23" s="16">
        <f>ROUNDDOWN(IF($AG23*Z23&gt;요율!$E$3,($AG23*Z23-요율!$E$3)*요율!$C$3%*요율!$D$3%,0),-1)</f>
        <v>0</v>
      </c>
      <c r="BY23" s="16">
        <f>ROUNDDOWN(IF($AG23*AA23&gt;요율!$E$3,($AG23*AA23-요율!$E$3)*요율!$C$3%*요율!$D$3%,0),-1)</f>
        <v>0</v>
      </c>
      <c r="BZ23" s="16">
        <f>ROUNDDOWN(IF($AG23*AB23&gt;요율!$E$3,($AG23*AB23-요율!$E$3)*요율!$C$3%*요율!$D$3%,0),-1)</f>
        <v>0</v>
      </c>
      <c r="CA23" s="16">
        <f>ROUNDDOWN(IF($AG23*AC23&gt;요율!$E$3,($AG23*AC23-요율!$E$3)*요율!$C$3%*요율!$D$3%,0),-1)</f>
        <v>810</v>
      </c>
      <c r="CB23" s="31">
        <f>ROUNDDOWN(IF($AG23*AD23&gt;요율!$E$3,($AG23*AD23-요율!$E$3)*요율!$C$3%*요율!$D$3%,0),-1)</f>
        <v>0</v>
      </c>
      <c r="CD23" s="5" t="str">
        <f>IFERROR(VLOOKUP(B23,주소록,9,FALSE),"")</f>
        <v/>
      </c>
    </row>
    <row r="24" spans="1:82" ht="20.100000000000001" customHeight="1">
      <c r="A24" s="761"/>
      <c r="B24" s="261" t="str">
        <f>BA23</f>
        <v>조경공</v>
      </c>
      <c r="C24" s="690" t="str">
        <f>IF(ISERROR(VLOOKUP(B23,주소록!$A$3:$K$523,7,0)),"",VLOOKUP(B23,주소록!$A$3:$K$523,5,0))</f>
        <v>010-9120-2168</v>
      </c>
      <c r="D24" s="690"/>
      <c r="E24" s="690"/>
      <c r="F24" s="691"/>
      <c r="G24" s="692" t="str">
        <f>IF(ISERROR(VLOOKUP(B23,주소록!$A$3:$K$523,9,0)),"",VLOOKUP(B23,주소록!$A$3:$K$523,7,0))</f>
        <v>농협중앙회</v>
      </c>
      <c r="H24" s="693"/>
      <c r="I24" s="694"/>
      <c r="J24" s="692" t="str">
        <f>IF(ISERROR(VLOOKUP(B23,주소록!$A$3:$K$523,10,0)),"",VLOOKUP(B23,주소록!$A$3:$K$523,8,0))</f>
        <v>215120-52-005803</v>
      </c>
      <c r="K24" s="693"/>
      <c r="L24" s="693"/>
      <c r="M24" s="693"/>
      <c r="N24" s="695"/>
      <c r="O24" s="474">
        <v>1</v>
      </c>
      <c r="P24" s="475"/>
      <c r="Q24" s="475"/>
      <c r="R24" s="468"/>
      <c r="S24" s="476"/>
      <c r="T24" s="474"/>
      <c r="U24" s="475"/>
      <c r="V24" s="475"/>
      <c r="W24" s="475"/>
      <c r="X24" s="477"/>
      <c r="Y24" s="479"/>
      <c r="Z24" s="475"/>
      <c r="AA24" s="475"/>
      <c r="AB24" s="475"/>
      <c r="AC24" s="475"/>
      <c r="AD24" s="477"/>
      <c r="AE24" s="696">
        <f>SUM(O23:AD24)</f>
        <v>2</v>
      </c>
      <c r="AF24" s="697"/>
      <c r="AG24" s="765"/>
      <c r="AH24" s="794"/>
      <c r="AI24" s="795"/>
      <c r="AJ24" s="796"/>
      <c r="AK24" s="698">
        <f>IF(C23=0,"",IF(MID(C23,7,1)="5","",IF(MID(C23,7,1)="6","",ROUNDDOWN((AK23*10%),-1))))</f>
        <v>160</v>
      </c>
      <c r="AL24" s="699"/>
      <c r="AM24" s="700"/>
      <c r="AN24" s="701">
        <f>ROUNDDOWN(AN23*요율!$F$5,-1)</f>
        <v>0</v>
      </c>
      <c r="AO24" s="701"/>
      <c r="AP24" s="701"/>
      <c r="AQ24" s="713" t="str">
        <f>IF(OR(AND(요율!$H$8="X",요율!$H$9="X",MID(C23,8,1)&gt;="5"),AND(요율!$H$8="○",요율!$H$9="X",MID(C23,8,1)&gt;="5")),"외국인",IF(요율!$H$8="X",IF(C23="",0,IF(OR(MID(C23,8,1)&lt;"3",AND(MID(C23,8,1)&gt;="5",MID(C23,8,1)&lt;="6")),IF(INT(TEXT($O$3,"yyyy.mmdd")-TEXT(TEXT(LEFT(C23,6),"1900-00-00"),"yyyy.mmdd"))&gt;=65,"65세이상",+TRUNC(AH23*요율!$C$9%,-1)),IF(INT(TEXT($O$3,"yyyy.mmdd")-TEXT(TEXT(LEFT(C23,6),"2000-00-00"),"yyyy.mmdd"))&gt;=65,"65세이상",+TRUNC(AH23*요율!$C$9%,-1)))),+TRUNC(AH23*요율!$C$9%,-1)))</f>
        <v>65세이상</v>
      </c>
      <c r="AR24" s="699"/>
      <c r="AS24" s="699"/>
      <c r="AT24" s="714"/>
      <c r="AU24" s="715"/>
      <c r="AV24" s="716"/>
      <c r="AW24" s="778"/>
      <c r="AX24" s="779"/>
      <c r="AY24" s="780"/>
      <c r="AZ24" s="767"/>
      <c r="BA24" s="22" t="str">
        <f>BA23</f>
        <v>조경공</v>
      </c>
      <c r="BB24" s="6">
        <v>2</v>
      </c>
      <c r="BC24" s="753"/>
      <c r="BD24" s="733" t="str">
        <f>B23</f>
        <v>이기연</v>
      </c>
      <c r="BE24" s="733"/>
      <c r="BF24" s="733"/>
      <c r="BG24" s="734">
        <f>SUM(BM23:CB24)</f>
        <v>1620</v>
      </c>
      <c r="BH24" s="735"/>
      <c r="BI24" s="736"/>
      <c r="BJ24" s="144"/>
      <c r="BK24" s="145"/>
      <c r="BL24" s="146"/>
      <c r="BM24" s="17">
        <f>ROUNDDOWN(IF($AG23*O24&gt;요율!$E$3,($AG23*O24-요율!$E$3)*요율!$C$3%*요율!$D$3%,0),-1)</f>
        <v>810</v>
      </c>
      <c r="BN24" s="18">
        <f>ROUNDDOWN(IF($AG23*P24&gt;요율!$E$3,($AG23*P24-요율!$E$3)*요율!$C$3%*요율!$D$3%,0),-1)</f>
        <v>0</v>
      </c>
      <c r="BO24" s="18">
        <f>ROUNDDOWN(IF($AG23*Q24&gt;요율!$E$3,($AG23*Q24-요율!$E$3)*요율!$C$3%*요율!$D$3%,0),-1)</f>
        <v>0</v>
      </c>
      <c r="BP24" s="18">
        <f>ROUNDDOWN(IF($AG23*R24&gt;요율!$E$3,($AG23*R24-요율!$E$3)*요율!$C$3%*요율!$D$3%,0),-1)</f>
        <v>0</v>
      </c>
      <c r="BQ24" s="18">
        <f>ROUNDDOWN(IF($AG23*S24&gt;요율!$E$3,($AG23*S24-요율!$E$3)*요율!$C$3%*요율!$D$3%,0),-1)</f>
        <v>0</v>
      </c>
      <c r="BR24" s="18">
        <f>ROUNDDOWN(IF($AG23*T24&gt;요율!$E$3,($AG23*T24-요율!$E$3)*요율!$C$3%*요율!$D$3%,0),-1)</f>
        <v>0</v>
      </c>
      <c r="BS24" s="18">
        <f>ROUNDDOWN(IF($AG23*U24&gt;요율!$E$3,($AG23*U24-요율!$E$3)*요율!$C$3%*요율!$D$3%,0),-1)</f>
        <v>0</v>
      </c>
      <c r="BT24" s="18">
        <f>ROUNDDOWN(IF($AG23*V24&gt;요율!$E$3,($AG23*V24-요율!$E$3)*요율!$C$3%*요율!$D$3%,0),-1)</f>
        <v>0</v>
      </c>
      <c r="BU24" s="18">
        <f>ROUNDDOWN(IF($AG23*W24&gt;요율!$E$3,($AG23*W24-요율!$E$3)*요율!$C$3%*요율!$D$3%,0),-1)</f>
        <v>0</v>
      </c>
      <c r="BV24" s="18">
        <f>ROUNDDOWN(IF($AG23*X24&gt;요율!$E$3,($AG23*X24-요율!$E$3)*요율!$C$3%*요율!$D$3%,0),-1)</f>
        <v>0</v>
      </c>
      <c r="BW24" s="18">
        <f>ROUNDDOWN(IF($AG23*Y24&gt;요율!$E$3,($AG23*Y24-요율!$E$3)*요율!$C$3%*요율!$D$3%,0),-1)</f>
        <v>0</v>
      </c>
      <c r="BX24" s="18">
        <f>ROUNDDOWN(IF($AG23*Z24&gt;요율!$E$3,($AG23*Z24-요율!$E$3)*요율!$C$3%*요율!$D$3%,0),-1)</f>
        <v>0</v>
      </c>
      <c r="BY24" s="18">
        <f>ROUNDDOWN(IF($AG23*AA24&gt;요율!$E$3,($AG23*AA24-요율!$E$3)*요율!$C$3%*요율!$D$3%,0),-1)</f>
        <v>0</v>
      </c>
      <c r="BZ24" s="18">
        <f>ROUNDDOWN(IF($AG23*AB24&gt;요율!$E$3,($AG23*AB24-요율!$E$3)*요율!$C$3%*요율!$D$3%,0),-1)</f>
        <v>0</v>
      </c>
      <c r="CA24" s="18">
        <f>ROUNDDOWN(IF($AG23*AC24&gt;요율!$E$3,($AG23*AC24-요율!$E$3)*요율!$C$3%*요율!$D$3%,0),-1)</f>
        <v>0</v>
      </c>
      <c r="CB24" s="19">
        <f>ROUNDDOWN(IF($AG23*AD24&gt;요율!$E$3,($AG23*AD24-요율!$E$3)*요율!$C$3%*요율!$D$3%,0),-1)</f>
        <v>0</v>
      </c>
    </row>
    <row r="25" spans="1:82" ht="20.100000000000001" customHeight="1">
      <c r="A25" s="760">
        <f t="shared" si="1"/>
        <v>10</v>
      </c>
      <c r="B25" s="260" t="s">
        <v>1209</v>
      </c>
      <c r="C25" s="708" t="str">
        <f>IF(ISERROR(VLOOKUP(B25,주소록!$A$3:$K$523,5,0)),"",VLOOKUP(B25,주소록!$A$3:$K$523,3,0))</f>
        <v>640909-1324212</v>
      </c>
      <c r="D25" s="708"/>
      <c r="E25" s="708"/>
      <c r="F25" s="709"/>
      <c r="G25" s="710" t="str">
        <f>IF(ISERROR(VLOOKUP(B25,주소록!$A$3:$K$523,6,0)),"",VLOOKUP(B25,주소록!$A$3:$K$523,4,0))</f>
        <v>인천광역시 미추홀구 미추홀대로 657번길 22-1</v>
      </c>
      <c r="H25" s="711"/>
      <c r="I25" s="711"/>
      <c r="J25" s="711"/>
      <c r="K25" s="711"/>
      <c r="L25" s="711"/>
      <c r="M25" s="711"/>
      <c r="N25" s="712"/>
      <c r="O25" s="469"/>
      <c r="P25" s="470"/>
      <c r="Q25" s="470"/>
      <c r="R25" s="470"/>
      <c r="S25" s="478"/>
      <c r="T25" s="469"/>
      <c r="U25" s="470"/>
      <c r="V25" s="470"/>
      <c r="W25" s="470"/>
      <c r="X25" s="471">
        <v>1</v>
      </c>
      <c r="Y25" s="472">
        <v>1</v>
      </c>
      <c r="Z25" s="467">
        <v>1</v>
      </c>
      <c r="AA25" s="470">
        <v>1</v>
      </c>
      <c r="AB25" s="470">
        <v>1</v>
      </c>
      <c r="AC25" s="470">
        <v>1</v>
      </c>
      <c r="AD25" s="473"/>
      <c r="AE25" s="783">
        <f>COUNTIF(O25:AD26,"&gt;=0.5")</f>
        <v>7</v>
      </c>
      <c r="AF25" s="784"/>
      <c r="AG25" s="764">
        <v>200000</v>
      </c>
      <c r="AH25" s="785">
        <f>AE26*AG25</f>
        <v>1400000</v>
      </c>
      <c r="AI25" s="786"/>
      <c r="AJ25" s="787"/>
      <c r="AK25" s="755">
        <f>IF(BG26&lt;1000, 0, BG26)</f>
        <v>9450</v>
      </c>
      <c r="AL25" s="756"/>
      <c r="AM25" s="757"/>
      <c r="AN25" s="758">
        <f>IF(요율!$H$7="○",IF(AE25&gt;=요율!$D$6,ROUNDDOWN(AH25*요율!$C$4%,-1),0),0)</f>
        <v>0</v>
      </c>
      <c r="AO25" s="756"/>
      <c r="AP25" s="757"/>
      <c r="AQ25" s="758" t="str">
        <f>BL25</f>
        <v>60세이상</v>
      </c>
      <c r="AR25" s="756"/>
      <c r="AS25" s="759"/>
      <c r="AT25" s="717">
        <f>SUM(AK25:AS26)</f>
        <v>22990</v>
      </c>
      <c r="AU25" s="718"/>
      <c r="AV25" s="719"/>
      <c r="AW25" s="775">
        <f>AH25-AT25-AT26</f>
        <v>1377010</v>
      </c>
      <c r="AX25" s="776"/>
      <c r="AY25" s="777"/>
      <c r="AZ25" s="766" t="str">
        <f>B25</f>
        <v>정연복</v>
      </c>
      <c r="BA25" s="21" t="str">
        <f>IF(ISERROR(VLOOKUP($B25,주소록!$A$3:$K$523,3,0)),"",VLOOKUP($B25,주소록!$A$3:$K$523,2,0))</f>
        <v>조경공</v>
      </c>
      <c r="BB25" s="6">
        <v>1</v>
      </c>
      <c r="BC25" s="752">
        <f>A25</f>
        <v>10</v>
      </c>
      <c r="BD25" s="754" t="str">
        <f>IF(OR(MID(C25,8,1)&lt;"3",AND(MID(C25,8,1)&gt;="5",MID(C25,8,1)&lt;="6")),TEXT(TEXT(LEFT(C25,6),"1900-00-00"),"yyyy년 m월 d일"),TEXT(TEXT(LEFT(C25,6),"2000-00-00"),"yyyy년 m월 d일"))</f>
        <v>1964년 9월 9일</v>
      </c>
      <c r="BE25" s="754"/>
      <c r="BF25" s="754"/>
      <c r="BG25" s="768">
        <f>IFERROR(INT( ( TEXT($O$3,"yyyy.mmdd") - TEXT(BD25,"yyyy.mmdd") )  ),0)</f>
        <v>61</v>
      </c>
      <c r="BH25" s="769"/>
      <c r="BI25" s="770"/>
      <c r="BJ25" s="133" t="str">
        <f>IF(BG25&gt;59,"60세이상",IF(OR(AE25&lt;요율!$D$6,AH25=0),0,IF(AH25&lt;요율!$C$7,요율!$D$7,IF(AH25&gt;요율!$C$8,요율!$D$8,+TRUNC(AH25*요율!$C$6%,-1)))))</f>
        <v>60세이상</v>
      </c>
      <c r="BK25" s="143" t="str">
        <f>IF(BG25&gt;59,"60세이상",IF(OR(AH25&lt;2200000,AH25=0),0,IF(AH25&lt;요율!$C$7,요율!$D$7,IF(AH25&gt;요율!$C$8,요율!$D$8,+TRUNC(AH25*요율!$C$6%,-1)))))</f>
        <v>60세이상</v>
      </c>
      <c r="BL25" s="140" t="str">
        <f>IF(BK25&gt;0,BK25,BJ25)</f>
        <v>60세이상</v>
      </c>
      <c r="BM25" s="15">
        <f>ROUNDDOWN(IF($AG25*O25&gt;요율!$E$3,($AG25*O25-요율!$E$3)*요율!$C$3%*요율!$D$3%,0),-1)</f>
        <v>0</v>
      </c>
      <c r="BN25" s="16">
        <f>ROUNDDOWN(IF($AG25*P25&gt;요율!$E$3,($AG25*P25-요율!$E$3)*요율!$C$3%*요율!$D$3%,0),-1)</f>
        <v>0</v>
      </c>
      <c r="BO25" s="16">
        <f>ROUNDDOWN(IF($AG25*Q25&gt;요율!$E$3,($AG25*Q25-요율!$E$3)*요율!$C$3%*요율!$D$3%,0),-1)</f>
        <v>0</v>
      </c>
      <c r="BP25" s="16">
        <f>ROUNDDOWN(IF($AG25*R25&gt;요율!$E$3,($AG25*R25-요율!$E$3)*요율!$C$3%*요율!$D$3%,0),-1)</f>
        <v>0</v>
      </c>
      <c r="BQ25" s="16">
        <f>ROUNDDOWN(IF($AG25*S25&gt;요율!$E$3,($AG25*S25-요율!$E$3)*요율!$C$3%*요율!$D$3%,0),-1)</f>
        <v>0</v>
      </c>
      <c r="BR25" s="16">
        <f>ROUNDDOWN(IF($AG25*T25&gt;요율!$E$3,($AG25*T25-요율!$E$3)*요율!$C$3%*요율!$D$3%,0),-1)</f>
        <v>0</v>
      </c>
      <c r="BS25" s="16">
        <f>ROUNDDOWN(IF($AG25*U25&gt;요율!$E$3,($AG25*U25-요율!$E$3)*요율!$C$3%*요율!$D$3%,0),-1)</f>
        <v>0</v>
      </c>
      <c r="BT25" s="16">
        <f>ROUNDDOWN(IF($AG25*V25&gt;요율!$E$3,($AG25*V25-요율!$E$3)*요율!$C$3%*요율!$D$3%,0),-1)</f>
        <v>0</v>
      </c>
      <c r="BU25" s="16">
        <f>ROUNDDOWN(IF($AG25*W25&gt;요율!$E$3,($AG25*W25-요율!$E$3)*요율!$C$3%*요율!$D$3%,0),-1)</f>
        <v>0</v>
      </c>
      <c r="BV25" s="16">
        <f>ROUNDDOWN(IF($AG25*X25&gt;요율!$E$3,($AG25*X25-요율!$E$3)*요율!$C$3%*요율!$D$3%,0),-1)</f>
        <v>1350</v>
      </c>
      <c r="BW25" s="16">
        <f>ROUNDDOWN(IF($AG25*Y25&gt;요율!$E$3,($AG25*Y25-요율!$E$3)*요율!$C$3%*요율!$D$3%,0),-1)</f>
        <v>1350</v>
      </c>
      <c r="BX25" s="16">
        <f>ROUNDDOWN(IF($AG25*Z25&gt;요율!$E$3,($AG25*Z25-요율!$E$3)*요율!$C$3%*요율!$D$3%,0),-1)</f>
        <v>1350</v>
      </c>
      <c r="BY25" s="16">
        <f>ROUNDDOWN(IF($AG25*AA25&gt;요율!$E$3,($AG25*AA25-요율!$E$3)*요율!$C$3%*요율!$D$3%,0),-1)</f>
        <v>1350</v>
      </c>
      <c r="BZ25" s="16">
        <f>ROUNDDOWN(IF($AG25*AB25&gt;요율!$E$3,($AG25*AB25-요율!$E$3)*요율!$C$3%*요율!$D$3%,0),-1)</f>
        <v>1350</v>
      </c>
      <c r="CA25" s="16">
        <f>ROUNDDOWN(IF($AG25*AC25&gt;요율!$E$3,($AG25*AC25-요율!$E$3)*요율!$C$3%*요율!$D$3%,0),-1)</f>
        <v>1350</v>
      </c>
      <c r="CB25" s="31">
        <f>ROUNDDOWN(IF($AG25*AD25&gt;요율!$E$3,($AG25*AD25-요율!$E$3)*요율!$C$3%*요율!$D$3%,0),-1)</f>
        <v>0</v>
      </c>
      <c r="CD25" s="5" t="str">
        <f>IFERROR(VLOOKUP(B25,주소록,9,FALSE),"")</f>
        <v/>
      </c>
    </row>
    <row r="26" spans="1:82" ht="20.100000000000001" customHeight="1">
      <c r="A26" s="761"/>
      <c r="B26" s="261" t="str">
        <f>BA25</f>
        <v>조경공</v>
      </c>
      <c r="C26" s="690" t="str">
        <f>IF(ISERROR(VLOOKUP(B25,주소록!$A$3:$K$523,7,0)),"",VLOOKUP(B25,주소록!$A$3:$K$523,5,0))</f>
        <v>010-2081-4474</v>
      </c>
      <c r="D26" s="690"/>
      <c r="E26" s="690"/>
      <c r="F26" s="691"/>
      <c r="G26" s="692" t="str">
        <f>IF(ISERROR(VLOOKUP(B25,주소록!$A$3:$K$523,9,0)),"",VLOOKUP(B25,주소록!$A$3:$K$523,7,0))</f>
        <v>KEB하나은행</v>
      </c>
      <c r="H26" s="693"/>
      <c r="I26" s="694"/>
      <c r="J26" s="692" t="str">
        <f>IF(ISERROR(VLOOKUP(B25,주소록!$A$3:$K$523,10,0)),"",VLOOKUP(B25,주소록!$A$3:$K$523,8,0))</f>
        <v>403-910413-64207</v>
      </c>
      <c r="K26" s="693"/>
      <c r="L26" s="693"/>
      <c r="M26" s="693"/>
      <c r="N26" s="695"/>
      <c r="O26" s="474"/>
      <c r="P26" s="475"/>
      <c r="Q26" s="475"/>
      <c r="R26" s="468"/>
      <c r="S26" s="476"/>
      <c r="T26" s="474">
        <v>1</v>
      </c>
      <c r="U26" s="475"/>
      <c r="V26" s="475"/>
      <c r="W26" s="475"/>
      <c r="X26" s="477"/>
      <c r="Y26" s="479"/>
      <c r="Z26" s="475"/>
      <c r="AA26" s="475"/>
      <c r="AB26" s="475"/>
      <c r="AC26" s="475"/>
      <c r="AD26" s="477"/>
      <c r="AE26" s="696">
        <f>SUM(O25:AD26)</f>
        <v>7</v>
      </c>
      <c r="AF26" s="697"/>
      <c r="AG26" s="765"/>
      <c r="AH26" s="788"/>
      <c r="AI26" s="789"/>
      <c r="AJ26" s="790"/>
      <c r="AK26" s="698">
        <f>IF(C25=0,"",IF(MID(C25,7,1)="5","",IF(MID(C25,7,1)="6","",ROUNDDOWN((AK25*10%),-1))))</f>
        <v>940</v>
      </c>
      <c r="AL26" s="699"/>
      <c r="AM26" s="700"/>
      <c r="AN26" s="701">
        <f>ROUNDDOWN(AN25*요율!$F$5,-1)</f>
        <v>0</v>
      </c>
      <c r="AO26" s="701"/>
      <c r="AP26" s="701"/>
      <c r="AQ26" s="713">
        <f>IF(OR(AND(요율!$H$8="X",요율!$H$9="X",MID(C25,8,1)&gt;="5"),AND(요율!$H$8="○",요율!$H$9="X",MID(C25,8,1)&gt;="5")),"외국인",IF(요율!$H$8="X",IF(C25="",0,IF(OR(MID(C25,8,1)&lt;"3",AND(MID(C25,8,1)&gt;="5",MID(C25,8,1)&lt;="6")),IF(INT(TEXT($O$3,"yyyy.mmdd")-TEXT(TEXT(LEFT(C25,6),"1900-00-00"),"yyyy.mmdd"))&gt;=65,"65세이상",+TRUNC(AH25*요율!$C$9%,-1)),IF(INT(TEXT($O$3,"yyyy.mmdd")-TEXT(TEXT(LEFT(C25,6),"2000-00-00"),"yyyy.mmdd"))&gt;=65,"65세이상",+TRUNC(AH25*요율!$C$9%,-1)))),+TRUNC(AH25*요율!$C$9%,-1)))</f>
        <v>12600</v>
      </c>
      <c r="AR26" s="699"/>
      <c r="AS26" s="699"/>
      <c r="AT26" s="714"/>
      <c r="AU26" s="715"/>
      <c r="AV26" s="716"/>
      <c r="AW26" s="778"/>
      <c r="AX26" s="779"/>
      <c r="AY26" s="780"/>
      <c r="AZ26" s="767"/>
      <c r="BA26" s="22" t="str">
        <f>BA25</f>
        <v>조경공</v>
      </c>
      <c r="BB26" s="6">
        <v>2</v>
      </c>
      <c r="BC26" s="753"/>
      <c r="BD26" s="733" t="str">
        <f>B25</f>
        <v>정연복</v>
      </c>
      <c r="BE26" s="733"/>
      <c r="BF26" s="733"/>
      <c r="BG26" s="734">
        <f>SUM(BM25:CB26)</f>
        <v>9450</v>
      </c>
      <c r="BH26" s="735"/>
      <c r="BI26" s="736"/>
      <c r="BJ26" s="144"/>
      <c r="BK26" s="145"/>
      <c r="BL26" s="146"/>
      <c r="BM26" s="17">
        <f>ROUNDDOWN(IF($AG25*O26&gt;요율!$E$3,($AG25*O26-요율!$E$3)*요율!$C$3%*요율!$D$3%,0),-1)</f>
        <v>0</v>
      </c>
      <c r="BN26" s="18">
        <f>ROUNDDOWN(IF($AG25*P26&gt;요율!$E$3,($AG25*P26-요율!$E$3)*요율!$C$3%*요율!$D$3%,0),-1)</f>
        <v>0</v>
      </c>
      <c r="BO26" s="18">
        <f>ROUNDDOWN(IF($AG25*Q26&gt;요율!$E$3,($AG25*Q26-요율!$E$3)*요율!$C$3%*요율!$D$3%,0),-1)</f>
        <v>0</v>
      </c>
      <c r="BP26" s="18">
        <f>ROUNDDOWN(IF($AG25*R26&gt;요율!$E$3,($AG25*R26-요율!$E$3)*요율!$C$3%*요율!$D$3%,0),-1)</f>
        <v>0</v>
      </c>
      <c r="BQ26" s="18">
        <f>ROUNDDOWN(IF($AG25*S26&gt;요율!$E$3,($AG25*S26-요율!$E$3)*요율!$C$3%*요율!$D$3%,0),-1)</f>
        <v>0</v>
      </c>
      <c r="BR26" s="18">
        <f>ROUNDDOWN(IF($AG25*T26&gt;요율!$E$3,($AG25*T26-요율!$E$3)*요율!$C$3%*요율!$D$3%,0),-1)</f>
        <v>1350</v>
      </c>
      <c r="BS26" s="18">
        <f>ROUNDDOWN(IF($AG25*U26&gt;요율!$E$3,($AG25*U26-요율!$E$3)*요율!$C$3%*요율!$D$3%,0),-1)</f>
        <v>0</v>
      </c>
      <c r="BT26" s="18">
        <f>ROUNDDOWN(IF($AG25*V26&gt;요율!$E$3,($AG25*V26-요율!$E$3)*요율!$C$3%*요율!$D$3%,0),-1)</f>
        <v>0</v>
      </c>
      <c r="BU26" s="18">
        <f>ROUNDDOWN(IF($AG25*W26&gt;요율!$E$3,($AG25*W26-요율!$E$3)*요율!$C$3%*요율!$D$3%,0),-1)</f>
        <v>0</v>
      </c>
      <c r="BV26" s="18">
        <f>ROUNDDOWN(IF($AG25*X26&gt;요율!$E$3,($AG25*X26-요율!$E$3)*요율!$C$3%*요율!$D$3%,0),-1)</f>
        <v>0</v>
      </c>
      <c r="BW26" s="18">
        <f>ROUNDDOWN(IF($AG25*Y26&gt;요율!$E$3,($AG25*Y26-요율!$E$3)*요율!$C$3%*요율!$D$3%,0),-1)</f>
        <v>0</v>
      </c>
      <c r="BX26" s="18">
        <f>ROUNDDOWN(IF($AG25*Z26&gt;요율!$E$3,($AG25*Z26-요율!$E$3)*요율!$C$3%*요율!$D$3%,0),-1)</f>
        <v>0</v>
      </c>
      <c r="BY26" s="18">
        <f>ROUNDDOWN(IF($AG25*AA26&gt;요율!$E$3,($AG25*AA26-요율!$E$3)*요율!$C$3%*요율!$D$3%,0),-1)</f>
        <v>0</v>
      </c>
      <c r="BZ26" s="18">
        <f>ROUNDDOWN(IF($AG25*AB26&gt;요율!$E$3,($AG25*AB26-요율!$E$3)*요율!$C$3%*요율!$D$3%,0),-1)</f>
        <v>0</v>
      </c>
      <c r="CA26" s="18">
        <f>ROUNDDOWN(IF($AG25*AC26&gt;요율!$E$3,($AG25*AC26-요율!$E$3)*요율!$C$3%*요율!$D$3%,0),-1)</f>
        <v>0</v>
      </c>
      <c r="CB26" s="19">
        <f>ROUNDDOWN(IF($AG25*AD26&gt;요율!$E$3,($AG25*AD26-요율!$E$3)*요율!$C$3%*요율!$D$3%,0),-1)</f>
        <v>0</v>
      </c>
    </row>
    <row r="27" spans="1:82" ht="20.100000000000001" customHeight="1">
      <c r="A27" s="760">
        <f t="shared" si="1"/>
        <v>11</v>
      </c>
      <c r="B27" s="260" t="s">
        <v>1210</v>
      </c>
      <c r="C27" s="708" t="str">
        <f>IF(ISERROR(VLOOKUP(B27,주소록!$A$3:$K$523,5,0)),"",VLOOKUP(B27,주소록!$A$3:$K$523,3,0))</f>
        <v>690525-1321017</v>
      </c>
      <c r="D27" s="708"/>
      <c r="E27" s="708"/>
      <c r="F27" s="709"/>
      <c r="G27" s="710" t="str">
        <f>IF(ISERROR(VLOOKUP(B27,주소록!$A$3:$K$523,6,0)),"",VLOOKUP(B27,주소록!$A$3:$K$523,4,0))</f>
        <v>인천광역시 미추홀구 길파로35번길 71-1, 102호</v>
      </c>
      <c r="H27" s="711"/>
      <c r="I27" s="711"/>
      <c r="J27" s="711"/>
      <c r="K27" s="711"/>
      <c r="L27" s="711"/>
      <c r="M27" s="711"/>
      <c r="N27" s="712"/>
      <c r="O27" s="469"/>
      <c r="P27" s="470"/>
      <c r="Q27" s="470"/>
      <c r="R27" s="470"/>
      <c r="S27" s="478"/>
      <c r="T27" s="469"/>
      <c r="U27" s="470"/>
      <c r="V27" s="470"/>
      <c r="W27" s="470"/>
      <c r="X27" s="471">
        <v>1</v>
      </c>
      <c r="Y27" s="472">
        <v>1</v>
      </c>
      <c r="Z27" s="467">
        <v>1</v>
      </c>
      <c r="AA27" s="470">
        <v>1</v>
      </c>
      <c r="AB27" s="470">
        <v>1</v>
      </c>
      <c r="AC27" s="470">
        <v>1</v>
      </c>
      <c r="AD27" s="473"/>
      <c r="AE27" s="783">
        <f>COUNTIF(O27:AD28,"&gt;=0.5")</f>
        <v>15</v>
      </c>
      <c r="AF27" s="784"/>
      <c r="AG27" s="764">
        <v>200000</v>
      </c>
      <c r="AH27" s="785">
        <f>AE28*AG27</f>
        <v>3000000</v>
      </c>
      <c r="AI27" s="786"/>
      <c r="AJ27" s="787"/>
      <c r="AK27" s="755">
        <f>IF(BG28&lt;1000, 0, BG28)</f>
        <v>20250</v>
      </c>
      <c r="AL27" s="756"/>
      <c r="AM27" s="757"/>
      <c r="AN27" s="758">
        <f>IF(요율!$H$7="○",IF(AE27&gt;=요율!$D$6,ROUNDDOWN(AH27*요율!$C$4%,-1),0),0)</f>
        <v>107850</v>
      </c>
      <c r="AO27" s="756"/>
      <c r="AP27" s="757"/>
      <c r="AQ27" s="758">
        <f>BL27</f>
        <v>142500</v>
      </c>
      <c r="AR27" s="756"/>
      <c r="AS27" s="759"/>
      <c r="AT27" s="717">
        <f>SUM(AK27:AS28)</f>
        <v>313790</v>
      </c>
      <c r="AU27" s="718"/>
      <c r="AV27" s="719"/>
      <c r="AW27" s="775">
        <f>AH27-AT27-AT28</f>
        <v>2686210</v>
      </c>
      <c r="AX27" s="776"/>
      <c r="AY27" s="777"/>
      <c r="AZ27" s="766" t="str">
        <f>B27</f>
        <v>김학춘</v>
      </c>
      <c r="BA27" s="21" t="str">
        <f>IF(ISERROR(VLOOKUP($B27,주소록!$A$3:$K$523,3,0)),"",VLOOKUP($B27,주소록!$A$3:$K$523,2,0))</f>
        <v>조경공</v>
      </c>
      <c r="BB27" s="6">
        <v>1</v>
      </c>
      <c r="BC27" s="752">
        <f>A27</f>
        <v>11</v>
      </c>
      <c r="BD27" s="754" t="str">
        <f>IF(OR(MID(C27,8,1)&lt;"3",AND(MID(C27,8,1)&gt;="5",MID(C27,8,1)&lt;="6")),TEXT(TEXT(LEFT(C27,6),"1900-00-00"),"yyyy년 m월 d일"),TEXT(TEXT(LEFT(C27,6),"2000-00-00"),"yyyy년 m월 d일"))</f>
        <v>1969년 5월 25일</v>
      </c>
      <c r="BE27" s="754"/>
      <c r="BF27" s="754"/>
      <c r="BG27" s="768">
        <f>IFERROR(INT( ( TEXT($O$3,"yyyy.mmdd") - TEXT(BD27,"yyyy.mmdd") )  ),0)</f>
        <v>56</v>
      </c>
      <c r="BH27" s="769"/>
      <c r="BI27" s="770"/>
      <c r="BJ27" s="133">
        <f>IF(BG27&gt;59,"60세이상",IF(OR(AE27&lt;요율!$D$6,AH27=0),0,IF(AH27&lt;요율!$C$7,요율!$D$7,IF(AH27&gt;요율!$C$8,요율!$D$8,+TRUNC(AH27*요율!$C$6%,-1)))))</f>
        <v>142500</v>
      </c>
      <c r="BK27" s="143">
        <f>IF(BG27&gt;59,"60세이상",IF(OR(AH27&lt;2200000,AH27=0),0,IF(AH27&lt;요율!$C$7,요율!$D$7,IF(AH27&gt;요율!$C$8,요율!$D$8,+TRUNC(AH27*요율!$C$6%,-1)))))</f>
        <v>142500</v>
      </c>
      <c r="BL27" s="140">
        <f>IF(BK27&gt;0,BK27,BJ27)</f>
        <v>142500</v>
      </c>
      <c r="BM27" s="15">
        <f>ROUNDDOWN(IF($AG27*O27&gt;요율!$E$3,($AG27*O27-요율!$E$3)*요율!$C$3%*요율!$D$3%,0),-1)</f>
        <v>0</v>
      </c>
      <c r="BN27" s="16">
        <f>ROUNDDOWN(IF($AG27*P27&gt;요율!$E$3,($AG27*P27-요율!$E$3)*요율!$C$3%*요율!$D$3%,0),-1)</f>
        <v>0</v>
      </c>
      <c r="BO27" s="16">
        <f>ROUNDDOWN(IF($AG27*Q27&gt;요율!$E$3,($AG27*Q27-요율!$E$3)*요율!$C$3%*요율!$D$3%,0),-1)</f>
        <v>0</v>
      </c>
      <c r="BP27" s="16">
        <f>ROUNDDOWN(IF($AG27*R27&gt;요율!$E$3,($AG27*R27-요율!$E$3)*요율!$C$3%*요율!$D$3%,0),-1)</f>
        <v>0</v>
      </c>
      <c r="BQ27" s="16">
        <f>ROUNDDOWN(IF($AG27*S27&gt;요율!$E$3,($AG27*S27-요율!$E$3)*요율!$C$3%*요율!$D$3%,0),-1)</f>
        <v>0</v>
      </c>
      <c r="BR27" s="16">
        <f>ROUNDDOWN(IF($AG27*T27&gt;요율!$E$3,($AG27*T27-요율!$E$3)*요율!$C$3%*요율!$D$3%,0),-1)</f>
        <v>0</v>
      </c>
      <c r="BS27" s="16">
        <f>ROUNDDOWN(IF($AG27*U27&gt;요율!$E$3,($AG27*U27-요율!$E$3)*요율!$C$3%*요율!$D$3%,0),-1)</f>
        <v>0</v>
      </c>
      <c r="BT27" s="16">
        <f>ROUNDDOWN(IF($AG27*V27&gt;요율!$E$3,($AG27*V27-요율!$E$3)*요율!$C$3%*요율!$D$3%,0),-1)</f>
        <v>0</v>
      </c>
      <c r="BU27" s="16">
        <f>ROUNDDOWN(IF($AG27*W27&gt;요율!$E$3,($AG27*W27-요율!$E$3)*요율!$C$3%*요율!$D$3%,0),-1)</f>
        <v>0</v>
      </c>
      <c r="BV27" s="16">
        <f>ROUNDDOWN(IF($AG27*X27&gt;요율!$E$3,($AG27*X27-요율!$E$3)*요율!$C$3%*요율!$D$3%,0),-1)</f>
        <v>1350</v>
      </c>
      <c r="BW27" s="16">
        <f>ROUNDDOWN(IF($AG27*Y27&gt;요율!$E$3,($AG27*Y27-요율!$E$3)*요율!$C$3%*요율!$D$3%,0),-1)</f>
        <v>1350</v>
      </c>
      <c r="BX27" s="16">
        <f>ROUNDDOWN(IF($AG27*Z27&gt;요율!$E$3,($AG27*Z27-요율!$E$3)*요율!$C$3%*요율!$D$3%,0),-1)</f>
        <v>1350</v>
      </c>
      <c r="BY27" s="16">
        <f>ROUNDDOWN(IF($AG27*AA27&gt;요율!$E$3,($AG27*AA27-요율!$E$3)*요율!$C$3%*요율!$D$3%,0),-1)</f>
        <v>1350</v>
      </c>
      <c r="BZ27" s="16">
        <f>ROUNDDOWN(IF($AG27*AB27&gt;요율!$E$3,($AG27*AB27-요율!$E$3)*요율!$C$3%*요율!$D$3%,0),-1)</f>
        <v>1350</v>
      </c>
      <c r="CA27" s="16">
        <f>ROUNDDOWN(IF($AG27*AC27&gt;요율!$E$3,($AG27*AC27-요율!$E$3)*요율!$C$3%*요율!$D$3%,0),-1)</f>
        <v>1350</v>
      </c>
      <c r="CB27" s="31">
        <f>ROUNDDOWN(IF($AG27*AD27&gt;요율!$E$3,($AG27*AD27-요율!$E$3)*요율!$C$3%*요율!$D$3%,0),-1)</f>
        <v>0</v>
      </c>
      <c r="CD27" s="5" t="str">
        <f>IFERROR(VLOOKUP(B27,주소록,9,FALSE),"")</f>
        <v/>
      </c>
    </row>
    <row r="28" spans="1:82" ht="20.100000000000001" customHeight="1">
      <c r="A28" s="761"/>
      <c r="B28" s="261" t="str">
        <f>BA27</f>
        <v>조경공</v>
      </c>
      <c r="C28" s="690" t="str">
        <f>IF(ISERROR(VLOOKUP(B27,주소록!$A$3:$K$523,7,0)),"",VLOOKUP(B27,주소록!$A$3:$K$523,5,0))</f>
        <v>010-5306-6707</v>
      </c>
      <c r="D28" s="690"/>
      <c r="E28" s="690"/>
      <c r="F28" s="691"/>
      <c r="G28" s="692" t="str">
        <f>IF(ISERROR(VLOOKUP(B27,주소록!$A$3:$K$523,9,0)),"",VLOOKUP(B27,주소록!$A$3:$K$523,7,0))</f>
        <v>KEB하나은행</v>
      </c>
      <c r="H28" s="693"/>
      <c r="I28" s="694"/>
      <c r="J28" s="692" t="str">
        <f>IF(ISERROR(VLOOKUP(B27,주소록!$A$3:$K$523,10,0)),"",VLOOKUP(B27,주소록!$A$3:$K$523,8,0))</f>
        <v>259201-04-132579</v>
      </c>
      <c r="K28" s="693"/>
      <c r="L28" s="693"/>
      <c r="M28" s="693"/>
      <c r="N28" s="695"/>
      <c r="O28" s="474">
        <v>1</v>
      </c>
      <c r="P28" s="475">
        <v>1</v>
      </c>
      <c r="Q28" s="475">
        <v>1</v>
      </c>
      <c r="R28" s="468"/>
      <c r="S28" s="476">
        <v>1</v>
      </c>
      <c r="T28" s="474">
        <v>1</v>
      </c>
      <c r="U28" s="475">
        <v>1</v>
      </c>
      <c r="V28" s="475">
        <v>1</v>
      </c>
      <c r="W28" s="475">
        <v>1</v>
      </c>
      <c r="X28" s="477">
        <v>1</v>
      </c>
      <c r="Y28" s="479"/>
      <c r="Z28" s="475"/>
      <c r="AA28" s="475"/>
      <c r="AB28" s="475"/>
      <c r="AC28" s="475"/>
      <c r="AD28" s="477"/>
      <c r="AE28" s="696">
        <f>SUM(O27:AD28)</f>
        <v>15</v>
      </c>
      <c r="AF28" s="697"/>
      <c r="AG28" s="765"/>
      <c r="AH28" s="788"/>
      <c r="AI28" s="789"/>
      <c r="AJ28" s="790"/>
      <c r="AK28" s="698">
        <f>IF(C27=0,"",IF(MID(C27,7,1)="5","",IF(MID(C27,7,1)="6","",ROUNDDOWN((AK27*10%),-1))))</f>
        <v>2020</v>
      </c>
      <c r="AL28" s="699"/>
      <c r="AM28" s="700"/>
      <c r="AN28" s="701">
        <f>ROUNDDOWN(AN27*요율!$F$5,-1)</f>
        <v>14170</v>
      </c>
      <c r="AO28" s="701"/>
      <c r="AP28" s="701"/>
      <c r="AQ28" s="713">
        <f>IF(OR(AND(요율!$H$8="X",요율!$H$9="X",MID(C27,8,1)&gt;="5"),AND(요율!$H$8="○",요율!$H$9="X",MID(C27,8,1)&gt;="5")),"외국인",IF(요율!$H$8="X",IF(C27="",0,IF(OR(MID(C27,8,1)&lt;"3",AND(MID(C27,8,1)&gt;="5",MID(C27,8,1)&lt;="6")),IF(INT(TEXT($O$3,"yyyy.mmdd")-TEXT(TEXT(LEFT(C27,6),"1900-00-00"),"yyyy.mmdd"))&gt;=65,"65세이상",+TRUNC(AH27*요율!$C$9%,-1)),IF(INT(TEXT($O$3,"yyyy.mmdd")-TEXT(TEXT(LEFT(C27,6),"2000-00-00"),"yyyy.mmdd"))&gt;=65,"65세이상",+TRUNC(AH27*요율!$C$9%,-1)))),+TRUNC(AH27*요율!$C$9%,-1)))</f>
        <v>27000</v>
      </c>
      <c r="AR28" s="699"/>
      <c r="AS28" s="699"/>
      <c r="AT28" s="714"/>
      <c r="AU28" s="715"/>
      <c r="AV28" s="716"/>
      <c r="AW28" s="778"/>
      <c r="AX28" s="779"/>
      <c r="AY28" s="780"/>
      <c r="AZ28" s="767"/>
      <c r="BA28" s="22" t="str">
        <f>BA27</f>
        <v>조경공</v>
      </c>
      <c r="BB28" s="6">
        <v>2</v>
      </c>
      <c r="BC28" s="753"/>
      <c r="BD28" s="733" t="str">
        <f>B27</f>
        <v>김학춘</v>
      </c>
      <c r="BE28" s="733"/>
      <c r="BF28" s="733"/>
      <c r="BG28" s="734">
        <f>SUM(BM27:CB28)</f>
        <v>20250</v>
      </c>
      <c r="BH28" s="735"/>
      <c r="BI28" s="736"/>
      <c r="BJ28" s="144"/>
      <c r="BK28" s="145"/>
      <c r="BL28" s="146"/>
      <c r="BM28" s="17">
        <f>ROUNDDOWN(IF($AG27*O28&gt;요율!$E$3,($AG27*O28-요율!$E$3)*요율!$C$3%*요율!$D$3%,0),-1)</f>
        <v>1350</v>
      </c>
      <c r="BN28" s="18">
        <f>ROUNDDOWN(IF($AG27*P28&gt;요율!$E$3,($AG27*P28-요율!$E$3)*요율!$C$3%*요율!$D$3%,0),-1)</f>
        <v>1350</v>
      </c>
      <c r="BO28" s="18">
        <f>ROUNDDOWN(IF($AG27*Q28&gt;요율!$E$3,($AG27*Q28-요율!$E$3)*요율!$C$3%*요율!$D$3%,0),-1)</f>
        <v>1350</v>
      </c>
      <c r="BP28" s="18">
        <f>ROUNDDOWN(IF($AG27*R28&gt;요율!$E$3,($AG27*R28-요율!$E$3)*요율!$C$3%*요율!$D$3%,0),-1)</f>
        <v>0</v>
      </c>
      <c r="BQ28" s="18">
        <f>ROUNDDOWN(IF($AG27*S28&gt;요율!$E$3,($AG27*S28-요율!$E$3)*요율!$C$3%*요율!$D$3%,0),-1)</f>
        <v>1350</v>
      </c>
      <c r="BR28" s="18">
        <f>ROUNDDOWN(IF($AG27*T28&gt;요율!$E$3,($AG27*T28-요율!$E$3)*요율!$C$3%*요율!$D$3%,0),-1)</f>
        <v>1350</v>
      </c>
      <c r="BS28" s="18">
        <f>ROUNDDOWN(IF($AG27*U28&gt;요율!$E$3,($AG27*U28-요율!$E$3)*요율!$C$3%*요율!$D$3%,0),-1)</f>
        <v>1350</v>
      </c>
      <c r="BT28" s="18">
        <f>ROUNDDOWN(IF($AG27*V28&gt;요율!$E$3,($AG27*V28-요율!$E$3)*요율!$C$3%*요율!$D$3%,0),-1)</f>
        <v>1350</v>
      </c>
      <c r="BU28" s="18">
        <f>ROUNDDOWN(IF($AG27*W28&gt;요율!$E$3,($AG27*W28-요율!$E$3)*요율!$C$3%*요율!$D$3%,0),-1)</f>
        <v>1350</v>
      </c>
      <c r="BV28" s="18">
        <f>ROUNDDOWN(IF($AG27*X28&gt;요율!$E$3,($AG27*X28-요율!$E$3)*요율!$C$3%*요율!$D$3%,0),-1)</f>
        <v>1350</v>
      </c>
      <c r="BW28" s="18">
        <f>ROUNDDOWN(IF($AG27*Y28&gt;요율!$E$3,($AG27*Y28-요율!$E$3)*요율!$C$3%*요율!$D$3%,0),-1)</f>
        <v>0</v>
      </c>
      <c r="BX28" s="18">
        <f>ROUNDDOWN(IF($AG27*Z28&gt;요율!$E$3,($AG27*Z28-요율!$E$3)*요율!$C$3%*요율!$D$3%,0),-1)</f>
        <v>0</v>
      </c>
      <c r="BY28" s="18">
        <f>ROUNDDOWN(IF($AG27*AA28&gt;요율!$E$3,($AG27*AA28-요율!$E$3)*요율!$C$3%*요율!$D$3%,0),-1)</f>
        <v>0</v>
      </c>
      <c r="BZ28" s="18">
        <f>ROUNDDOWN(IF($AG27*AB28&gt;요율!$E$3,($AG27*AB28-요율!$E$3)*요율!$C$3%*요율!$D$3%,0),-1)</f>
        <v>0</v>
      </c>
      <c r="CA28" s="18">
        <f>ROUNDDOWN(IF($AG27*AC28&gt;요율!$E$3,($AG27*AC28-요율!$E$3)*요율!$C$3%*요율!$D$3%,0),-1)</f>
        <v>0</v>
      </c>
      <c r="CB28" s="19">
        <f>ROUNDDOWN(IF($AG27*AD28&gt;요율!$E$3,($AG27*AD28-요율!$E$3)*요율!$C$3%*요율!$D$3%,0),-1)</f>
        <v>0</v>
      </c>
    </row>
    <row r="29" spans="1:82" ht="20.100000000000001" customHeight="1">
      <c r="A29" s="760">
        <f t="shared" si="1"/>
        <v>12</v>
      </c>
      <c r="B29" s="260" t="s">
        <v>1226</v>
      </c>
      <c r="C29" s="708" t="str">
        <f>IF(ISERROR(VLOOKUP(B29,주소록!$A$3:$K$523,5,0)),"",VLOOKUP(B29,주소록!$A$3:$K$523,3,0))</f>
        <v>621222-5100053</v>
      </c>
      <c r="D29" s="708"/>
      <c r="E29" s="708"/>
      <c r="F29" s="709"/>
      <c r="G29" s="710" t="str">
        <f>IF(ISERROR(VLOOKUP(B29,주소록!$A$3:$K$523,6,0)),"",VLOOKUP(B29,주소록!$A$3:$K$523,4,0))</f>
        <v>인천광역시 미추홀구 수봉남로17번길37 102호(용현동,럭키빌라)</v>
      </c>
      <c r="H29" s="711"/>
      <c r="I29" s="711"/>
      <c r="J29" s="711"/>
      <c r="K29" s="711"/>
      <c r="L29" s="711"/>
      <c r="M29" s="711"/>
      <c r="N29" s="712"/>
      <c r="O29" s="469"/>
      <c r="P29" s="470"/>
      <c r="Q29" s="470"/>
      <c r="R29" s="470"/>
      <c r="S29" s="478"/>
      <c r="T29" s="469"/>
      <c r="U29" s="470"/>
      <c r="V29" s="470"/>
      <c r="W29" s="470"/>
      <c r="X29" s="471">
        <v>1</v>
      </c>
      <c r="Y29" s="472">
        <v>1</v>
      </c>
      <c r="Z29" s="467">
        <v>1</v>
      </c>
      <c r="AA29" s="470">
        <v>1</v>
      </c>
      <c r="AB29" s="470">
        <v>1</v>
      </c>
      <c r="AC29" s="470">
        <v>1</v>
      </c>
      <c r="AD29" s="473"/>
      <c r="AE29" s="783">
        <f>COUNTIF(O29:AD30,"&gt;=0.5")</f>
        <v>15</v>
      </c>
      <c r="AF29" s="784"/>
      <c r="AG29" s="764">
        <v>200000</v>
      </c>
      <c r="AH29" s="785">
        <f>AE30*AG29</f>
        <v>3000000</v>
      </c>
      <c r="AI29" s="786"/>
      <c r="AJ29" s="787"/>
      <c r="AK29" s="755">
        <f>IF(BG30&lt;1000, 0, BG30)</f>
        <v>20250</v>
      </c>
      <c r="AL29" s="756"/>
      <c r="AM29" s="757"/>
      <c r="AN29" s="758">
        <f>IF(요율!$H$7="○",IF(AE29&gt;=요율!$D$6,ROUNDDOWN(AH29*요율!$C$4%,-1),0),0)</f>
        <v>107850</v>
      </c>
      <c r="AO29" s="756"/>
      <c r="AP29" s="757"/>
      <c r="AQ29" s="758" t="str">
        <f>BL29</f>
        <v>60세이상</v>
      </c>
      <c r="AR29" s="756"/>
      <c r="AS29" s="759"/>
      <c r="AT29" s="717">
        <f>SUM(AK29:AS30)</f>
        <v>144290</v>
      </c>
      <c r="AU29" s="718"/>
      <c r="AV29" s="719"/>
      <c r="AW29" s="775">
        <f>AH29-AT29-AT30</f>
        <v>2855710</v>
      </c>
      <c r="AX29" s="776"/>
      <c r="AY29" s="777"/>
      <c r="AZ29" s="781" t="s">
        <v>1245</v>
      </c>
      <c r="BA29" s="21" t="str">
        <f>IF(ISERROR(VLOOKUP($B29,주소록!$A$3:$K$523,3,0)),"",VLOOKUP($B29,주소록!$A$3:$K$523,2,0))</f>
        <v>조경공</v>
      </c>
      <c r="BB29" s="6">
        <v>1</v>
      </c>
      <c r="BC29" s="752">
        <f>A29</f>
        <v>12</v>
      </c>
      <c r="BD29" s="754" t="str">
        <f>IF(OR(MID(C29,8,1)&lt;"3",AND(MID(C29,8,1)&gt;="5",MID(C29,8,1)&lt;="6")),TEXT(TEXT(LEFT(C29,6),"1900-00-00"),"yyyy년 m월 d일"),TEXT(TEXT(LEFT(C29,6),"2000-00-00"),"yyyy년 m월 d일"))</f>
        <v>1962년 12월 22일</v>
      </c>
      <c r="BE29" s="754"/>
      <c r="BF29" s="754"/>
      <c r="BG29" s="768">
        <f>IFERROR(INT( ( TEXT($O$3,"yyyy.mmdd") - TEXT(BD29,"yyyy.mmdd") )  ),0)</f>
        <v>63</v>
      </c>
      <c r="BH29" s="769"/>
      <c r="BI29" s="770"/>
      <c r="BJ29" s="133" t="str">
        <f>IF(BG29&gt;59,"60세이상",IF(OR(AE29&lt;요율!$D$6,AH29=0),0,IF(AH29&lt;요율!$C$7,요율!$D$7,IF(AH29&gt;요율!$C$8,요율!$D$8,+TRUNC(AH29*요율!$C$6%,-1)))))</f>
        <v>60세이상</v>
      </c>
      <c r="BK29" s="143" t="str">
        <f>IF(BG29&gt;59,"60세이상",IF(OR(AH29&lt;2200000,AH29=0),0,IF(AH29&lt;요율!$C$7,요율!$D$7,IF(AH29&gt;요율!$C$8,요율!$D$8,+TRUNC(AH29*요율!$C$6%,-1)))))</f>
        <v>60세이상</v>
      </c>
      <c r="BL29" s="140" t="str">
        <f>IF(BK29&gt;0,BK29,BJ29)</f>
        <v>60세이상</v>
      </c>
      <c r="BM29" s="15">
        <f>ROUNDDOWN(IF($AG29*O29&gt;요율!$E$3,($AG29*O29-요율!$E$3)*요율!$C$3%*요율!$D$3%,0),-1)</f>
        <v>0</v>
      </c>
      <c r="BN29" s="16">
        <f>ROUNDDOWN(IF($AG29*P29&gt;요율!$E$3,($AG29*P29-요율!$E$3)*요율!$C$3%*요율!$D$3%,0),-1)</f>
        <v>0</v>
      </c>
      <c r="BO29" s="16">
        <f>ROUNDDOWN(IF($AG29*Q29&gt;요율!$E$3,($AG29*Q29-요율!$E$3)*요율!$C$3%*요율!$D$3%,0),-1)</f>
        <v>0</v>
      </c>
      <c r="BP29" s="16">
        <f>ROUNDDOWN(IF($AG29*R29&gt;요율!$E$3,($AG29*R29-요율!$E$3)*요율!$C$3%*요율!$D$3%,0),-1)</f>
        <v>0</v>
      </c>
      <c r="BQ29" s="16">
        <f>ROUNDDOWN(IF($AG29*S29&gt;요율!$E$3,($AG29*S29-요율!$E$3)*요율!$C$3%*요율!$D$3%,0),-1)</f>
        <v>0</v>
      </c>
      <c r="BR29" s="16">
        <f>ROUNDDOWN(IF($AG29*T29&gt;요율!$E$3,($AG29*T29-요율!$E$3)*요율!$C$3%*요율!$D$3%,0),-1)</f>
        <v>0</v>
      </c>
      <c r="BS29" s="16">
        <f>ROUNDDOWN(IF($AG29*U29&gt;요율!$E$3,($AG29*U29-요율!$E$3)*요율!$C$3%*요율!$D$3%,0),-1)</f>
        <v>0</v>
      </c>
      <c r="BT29" s="16">
        <f>ROUNDDOWN(IF($AG29*V29&gt;요율!$E$3,($AG29*V29-요율!$E$3)*요율!$C$3%*요율!$D$3%,0),-1)</f>
        <v>0</v>
      </c>
      <c r="BU29" s="16">
        <f>ROUNDDOWN(IF($AG29*W29&gt;요율!$E$3,($AG29*W29-요율!$E$3)*요율!$C$3%*요율!$D$3%,0),-1)</f>
        <v>0</v>
      </c>
      <c r="BV29" s="16">
        <f>ROUNDDOWN(IF($AG29*X29&gt;요율!$E$3,($AG29*X29-요율!$E$3)*요율!$C$3%*요율!$D$3%,0),-1)</f>
        <v>1350</v>
      </c>
      <c r="BW29" s="16">
        <f>ROUNDDOWN(IF($AG29*Y29&gt;요율!$E$3,($AG29*Y29-요율!$E$3)*요율!$C$3%*요율!$D$3%,0),-1)</f>
        <v>1350</v>
      </c>
      <c r="BX29" s="16">
        <f>ROUNDDOWN(IF($AG29*Z29&gt;요율!$E$3,($AG29*Z29-요율!$E$3)*요율!$C$3%*요율!$D$3%,0),-1)</f>
        <v>1350</v>
      </c>
      <c r="BY29" s="16">
        <f>ROUNDDOWN(IF($AG29*AA29&gt;요율!$E$3,($AG29*AA29-요율!$E$3)*요율!$C$3%*요율!$D$3%,0),-1)</f>
        <v>1350</v>
      </c>
      <c r="BZ29" s="16">
        <f>ROUNDDOWN(IF($AG29*AB29&gt;요율!$E$3,($AG29*AB29-요율!$E$3)*요율!$C$3%*요율!$D$3%,0),-1)</f>
        <v>1350</v>
      </c>
      <c r="CA29" s="16">
        <f>ROUNDDOWN(IF($AG29*AC29&gt;요율!$E$3,($AG29*AC29-요율!$E$3)*요율!$C$3%*요율!$D$3%,0),-1)</f>
        <v>1350</v>
      </c>
      <c r="CB29" s="31">
        <f>ROUNDDOWN(IF($AG29*AD29&gt;요율!$E$3,($AG29*AD29-요율!$E$3)*요율!$C$3%*요율!$D$3%,0),-1)</f>
        <v>0</v>
      </c>
      <c r="CD29" s="5" t="str">
        <f>IFERROR(VLOOKUP(B29,주소록,9,FALSE),"")</f>
        <v/>
      </c>
    </row>
    <row r="30" spans="1:82" ht="20.100000000000001" customHeight="1">
      <c r="A30" s="761"/>
      <c r="B30" s="261" t="str">
        <f>BA29</f>
        <v>조경공</v>
      </c>
      <c r="C30" s="690" t="str">
        <f>IF(ISERROR(VLOOKUP(B29,주소록!$A$3:$K$523,7,0)),"",VLOOKUP(B29,주소록!$A$3:$K$523,5,0))</f>
        <v>010-8227-3088</v>
      </c>
      <c r="D30" s="690"/>
      <c r="E30" s="690"/>
      <c r="F30" s="691"/>
      <c r="G30" s="692" t="str">
        <f>IF(ISERROR(VLOOKUP(B29,주소록!$A$3:$K$523,9,0)),"",VLOOKUP(B29,주소록!$A$3:$K$523,7,0))</f>
        <v>국민은행</v>
      </c>
      <c r="H30" s="693"/>
      <c r="I30" s="694"/>
      <c r="J30" s="692" t="str">
        <f>IF(ISERROR(VLOOKUP(B29,주소록!$A$3:$K$523,10,0)),"",VLOOKUP(B29,주소록!$A$3:$K$523,8,0))</f>
        <v>024801-04-446948</v>
      </c>
      <c r="K30" s="693"/>
      <c r="L30" s="693"/>
      <c r="M30" s="693"/>
      <c r="N30" s="695"/>
      <c r="O30" s="474">
        <v>1</v>
      </c>
      <c r="P30" s="475">
        <v>1</v>
      </c>
      <c r="Q30" s="475">
        <v>1</v>
      </c>
      <c r="R30" s="468"/>
      <c r="S30" s="476">
        <v>1</v>
      </c>
      <c r="T30" s="474">
        <v>1</v>
      </c>
      <c r="U30" s="475">
        <v>1</v>
      </c>
      <c r="V30" s="475">
        <v>1</v>
      </c>
      <c r="W30" s="475">
        <v>1</v>
      </c>
      <c r="X30" s="477">
        <v>1</v>
      </c>
      <c r="Y30" s="479"/>
      <c r="Z30" s="475"/>
      <c r="AA30" s="475"/>
      <c r="AB30" s="475"/>
      <c r="AC30" s="475"/>
      <c r="AD30" s="477"/>
      <c r="AE30" s="696">
        <f>SUM(O29:AD30)</f>
        <v>15</v>
      </c>
      <c r="AF30" s="697"/>
      <c r="AG30" s="765"/>
      <c r="AH30" s="788"/>
      <c r="AI30" s="789"/>
      <c r="AJ30" s="790"/>
      <c r="AK30" s="698">
        <f>IF(C29=0,"",IF(MID(C29,7,1)="5","",IF(MID(C29,7,1)="6","",ROUNDDOWN((AK29*10%),-1))))</f>
        <v>2020</v>
      </c>
      <c r="AL30" s="699"/>
      <c r="AM30" s="700"/>
      <c r="AN30" s="701">
        <f>ROUNDDOWN(AN29*요율!$F$5,-1)</f>
        <v>14170</v>
      </c>
      <c r="AO30" s="701"/>
      <c r="AP30" s="701"/>
      <c r="AQ30" s="713" t="str">
        <f>IF(OR(AND(요율!$H$8="X",요율!$H$9="X",MID(C29,8,1)&gt;="5"),AND(요율!$H$8="○",요율!$H$9="X",MID(C29,8,1)&gt;="5")),"외국인",IF(요율!$H$8="X",IF(C29="",0,IF(OR(MID(C29,8,1)&lt;"3",AND(MID(C29,8,1)&gt;="5",MID(C29,8,1)&lt;="6")),IF(INT(TEXT($O$3,"yyyy.mmdd")-TEXT(TEXT(LEFT(C29,6),"1900-00-00"),"yyyy.mmdd"))&gt;=65,"65세이상",+TRUNC(AH29*요율!$C$9%,-1)),IF(INT(TEXT($O$3,"yyyy.mmdd")-TEXT(TEXT(LEFT(C29,6),"2000-00-00"),"yyyy.mmdd"))&gt;=65,"65세이상",+TRUNC(AH29*요율!$C$9%,-1)))),+TRUNC(AH29*요율!$C$9%,-1)))</f>
        <v>외국인</v>
      </c>
      <c r="AR30" s="699"/>
      <c r="AS30" s="699"/>
      <c r="AT30" s="714"/>
      <c r="AU30" s="715"/>
      <c r="AV30" s="716"/>
      <c r="AW30" s="778"/>
      <c r="AX30" s="779"/>
      <c r="AY30" s="780"/>
      <c r="AZ30" s="782"/>
      <c r="BA30" s="22" t="str">
        <f>BA29</f>
        <v>조경공</v>
      </c>
      <c r="BB30" s="6">
        <v>2</v>
      </c>
      <c r="BC30" s="753"/>
      <c r="BD30" s="733" t="str">
        <f>B29</f>
        <v>LI ZHEXUN(이철훈)</v>
      </c>
      <c r="BE30" s="733"/>
      <c r="BF30" s="733"/>
      <c r="BG30" s="734">
        <f>SUM(BM29:CB30)</f>
        <v>20250</v>
      </c>
      <c r="BH30" s="735"/>
      <c r="BI30" s="736"/>
      <c r="BJ30" s="144"/>
      <c r="BK30" s="145"/>
      <c r="BL30" s="146"/>
      <c r="BM30" s="17">
        <f>ROUNDDOWN(IF($AG29*O30&gt;요율!$E$3,($AG29*O30-요율!$E$3)*요율!$C$3%*요율!$D$3%,0),-1)</f>
        <v>1350</v>
      </c>
      <c r="BN30" s="18">
        <f>ROUNDDOWN(IF($AG29*P30&gt;요율!$E$3,($AG29*P30-요율!$E$3)*요율!$C$3%*요율!$D$3%,0),-1)</f>
        <v>1350</v>
      </c>
      <c r="BO30" s="18">
        <f>ROUNDDOWN(IF($AG29*Q30&gt;요율!$E$3,($AG29*Q30-요율!$E$3)*요율!$C$3%*요율!$D$3%,0),-1)</f>
        <v>1350</v>
      </c>
      <c r="BP30" s="18">
        <f>ROUNDDOWN(IF($AG29*R30&gt;요율!$E$3,($AG29*R30-요율!$E$3)*요율!$C$3%*요율!$D$3%,0),-1)</f>
        <v>0</v>
      </c>
      <c r="BQ30" s="18">
        <f>ROUNDDOWN(IF($AG29*S30&gt;요율!$E$3,($AG29*S30-요율!$E$3)*요율!$C$3%*요율!$D$3%,0),-1)</f>
        <v>1350</v>
      </c>
      <c r="BR30" s="18">
        <f>ROUNDDOWN(IF($AG29*T30&gt;요율!$E$3,($AG29*T30-요율!$E$3)*요율!$C$3%*요율!$D$3%,0),-1)</f>
        <v>1350</v>
      </c>
      <c r="BS30" s="18">
        <f>ROUNDDOWN(IF($AG29*U30&gt;요율!$E$3,($AG29*U30-요율!$E$3)*요율!$C$3%*요율!$D$3%,0),-1)</f>
        <v>1350</v>
      </c>
      <c r="BT30" s="18">
        <f>ROUNDDOWN(IF($AG29*V30&gt;요율!$E$3,($AG29*V30-요율!$E$3)*요율!$C$3%*요율!$D$3%,0),-1)</f>
        <v>1350</v>
      </c>
      <c r="BU30" s="18">
        <f>ROUNDDOWN(IF($AG29*W30&gt;요율!$E$3,($AG29*W30-요율!$E$3)*요율!$C$3%*요율!$D$3%,0),-1)</f>
        <v>1350</v>
      </c>
      <c r="BV30" s="18">
        <f>ROUNDDOWN(IF($AG29*X30&gt;요율!$E$3,($AG29*X30-요율!$E$3)*요율!$C$3%*요율!$D$3%,0),-1)</f>
        <v>1350</v>
      </c>
      <c r="BW30" s="18">
        <f>ROUNDDOWN(IF($AG29*Y30&gt;요율!$E$3,($AG29*Y30-요율!$E$3)*요율!$C$3%*요율!$D$3%,0),-1)</f>
        <v>0</v>
      </c>
      <c r="BX30" s="18">
        <f>ROUNDDOWN(IF($AG29*Z30&gt;요율!$E$3,($AG29*Z30-요율!$E$3)*요율!$C$3%*요율!$D$3%,0),-1)</f>
        <v>0</v>
      </c>
      <c r="BY30" s="18">
        <f>ROUNDDOWN(IF($AG29*AA30&gt;요율!$E$3,($AG29*AA30-요율!$E$3)*요율!$C$3%*요율!$D$3%,0),-1)</f>
        <v>0</v>
      </c>
      <c r="BZ30" s="18">
        <f>ROUNDDOWN(IF($AG29*AB30&gt;요율!$E$3,($AG29*AB30-요율!$E$3)*요율!$C$3%*요율!$D$3%,0),-1)</f>
        <v>0</v>
      </c>
      <c r="CA30" s="18">
        <f>ROUNDDOWN(IF($AG29*AC30&gt;요율!$E$3,($AG29*AC30-요율!$E$3)*요율!$C$3%*요율!$D$3%,0),-1)</f>
        <v>0</v>
      </c>
      <c r="CB30" s="19">
        <f>ROUNDDOWN(IF($AG29*AD30&gt;요율!$E$3,($AG29*AD30-요율!$E$3)*요율!$C$3%*요율!$D$3%,0),-1)</f>
        <v>0</v>
      </c>
    </row>
    <row r="31" spans="1:82" ht="20.100000000000001" customHeight="1">
      <c r="A31" s="760">
        <f t="shared" si="1"/>
        <v>13</v>
      </c>
      <c r="B31" s="260" t="s">
        <v>1229</v>
      </c>
      <c r="C31" s="708" t="str">
        <f>IF(ISERROR(VLOOKUP(B31,주소록!$A$3:$K$523,5,0)),"",VLOOKUP(B31,주소록!$A$3:$K$523,3,0))</f>
        <v>710413-5100057</v>
      </c>
      <c r="D31" s="708"/>
      <c r="E31" s="708"/>
      <c r="F31" s="709"/>
      <c r="G31" s="710" t="str">
        <f>IF(ISERROR(VLOOKUP(B31,주소록!$A$3:$K$523,6,0)),"",VLOOKUP(B31,주소록!$A$3:$K$523,4,0))</f>
        <v>인천광역시 미추홀구 독정안길 71-20 삼영빌라</v>
      </c>
      <c r="H31" s="711"/>
      <c r="I31" s="711"/>
      <c r="J31" s="711"/>
      <c r="K31" s="711"/>
      <c r="L31" s="711"/>
      <c r="M31" s="711"/>
      <c r="N31" s="712"/>
      <c r="O31" s="469"/>
      <c r="P31" s="470"/>
      <c r="Q31" s="470"/>
      <c r="R31" s="470"/>
      <c r="S31" s="478"/>
      <c r="T31" s="469"/>
      <c r="U31" s="470"/>
      <c r="V31" s="470"/>
      <c r="W31" s="470"/>
      <c r="X31" s="471">
        <v>1</v>
      </c>
      <c r="Y31" s="472">
        <v>1</v>
      </c>
      <c r="Z31" s="467"/>
      <c r="AA31" s="470">
        <v>1</v>
      </c>
      <c r="AB31" s="470">
        <v>1</v>
      </c>
      <c r="AC31" s="470">
        <v>1</v>
      </c>
      <c r="AD31" s="473"/>
      <c r="AE31" s="783">
        <f>COUNTIF(O31:AD32,"&gt;=0.5")</f>
        <v>6</v>
      </c>
      <c r="AF31" s="784"/>
      <c r="AG31" s="764">
        <v>200000</v>
      </c>
      <c r="AH31" s="785">
        <f>AE32*AG31</f>
        <v>1200000</v>
      </c>
      <c r="AI31" s="786"/>
      <c r="AJ31" s="787"/>
      <c r="AK31" s="755">
        <f>IF(BG32&lt;1000, 0, BG32)</f>
        <v>8100</v>
      </c>
      <c r="AL31" s="756"/>
      <c r="AM31" s="757"/>
      <c r="AN31" s="758">
        <f>IF(요율!$H$7="○",IF(AE31&gt;=요율!$D$6,ROUNDDOWN(AH31*요율!$C$4%,-1),0),0)</f>
        <v>0</v>
      </c>
      <c r="AO31" s="756"/>
      <c r="AP31" s="757"/>
      <c r="AQ31" s="758">
        <f>BL31</f>
        <v>0</v>
      </c>
      <c r="AR31" s="756"/>
      <c r="AS31" s="759"/>
      <c r="AT31" s="717">
        <f>SUM(AK31:AS32)</f>
        <v>8910</v>
      </c>
      <c r="AU31" s="718"/>
      <c r="AV31" s="719"/>
      <c r="AW31" s="775">
        <f>AH31-AT31-AT32</f>
        <v>1191090</v>
      </c>
      <c r="AX31" s="776"/>
      <c r="AY31" s="777"/>
      <c r="AZ31" s="781" t="s">
        <v>1246</v>
      </c>
      <c r="BA31" s="21" t="str">
        <f>IF(ISERROR(VLOOKUP($B31,주소록!$A$3:$K$523,3,0)),"",VLOOKUP($B31,주소록!$A$3:$K$523,2,0))</f>
        <v>조경공</v>
      </c>
      <c r="BB31" s="6">
        <v>1</v>
      </c>
      <c r="BC31" s="752">
        <f>A31</f>
        <v>13</v>
      </c>
      <c r="BD31" s="754" t="str">
        <f>IF(OR(MID(C31,8,1)&lt;"3",AND(MID(C31,8,1)&gt;="5",MID(C31,8,1)&lt;="6")),TEXT(TEXT(LEFT(C31,6),"1900-00-00"),"yyyy년 m월 d일"),TEXT(TEXT(LEFT(C31,6),"2000-00-00"),"yyyy년 m월 d일"))</f>
        <v>1971년 4월 13일</v>
      </c>
      <c r="BE31" s="754"/>
      <c r="BF31" s="754"/>
      <c r="BG31" s="768">
        <f>IFERROR(INT( ( TEXT($O$3,"yyyy.mmdd") - TEXT(BD31,"yyyy.mmdd") )  ),0)</f>
        <v>54</v>
      </c>
      <c r="BH31" s="769"/>
      <c r="BI31" s="770"/>
      <c r="BJ31" s="133">
        <f>IF(BG31&gt;59,"60세이상",IF(OR(AE31&lt;요율!$D$6,AH31=0),0,IF(AH31&lt;요율!$C$7,요율!$D$7,IF(AH31&gt;요율!$C$8,요율!$D$8,+TRUNC(AH31*요율!$C$6%,-1)))))</f>
        <v>0</v>
      </c>
      <c r="BK31" s="143">
        <f>IF(BG31&gt;59,"60세이상",IF(OR(AH31&lt;2200000,AH31=0),0,IF(AH31&lt;요율!$C$7,요율!$D$7,IF(AH31&gt;요율!$C$8,요율!$D$8,+TRUNC(AH31*요율!$C$6%,-1)))))</f>
        <v>0</v>
      </c>
      <c r="BL31" s="140">
        <f>IF(BK31&gt;0,BK31,BJ31)</f>
        <v>0</v>
      </c>
      <c r="BM31" s="15">
        <f>ROUNDDOWN(IF($AG31*O31&gt;요율!$E$3,($AG31*O31-요율!$E$3)*요율!$C$3%*요율!$D$3%,0),-1)</f>
        <v>0</v>
      </c>
      <c r="BN31" s="16">
        <f>ROUNDDOWN(IF($AG31*P31&gt;요율!$E$3,($AG31*P31-요율!$E$3)*요율!$C$3%*요율!$D$3%,0),-1)</f>
        <v>0</v>
      </c>
      <c r="BO31" s="16">
        <f>ROUNDDOWN(IF($AG31*Q31&gt;요율!$E$3,($AG31*Q31-요율!$E$3)*요율!$C$3%*요율!$D$3%,0),-1)</f>
        <v>0</v>
      </c>
      <c r="BP31" s="16">
        <f>ROUNDDOWN(IF($AG31*R31&gt;요율!$E$3,($AG31*R31-요율!$E$3)*요율!$C$3%*요율!$D$3%,0),-1)</f>
        <v>0</v>
      </c>
      <c r="BQ31" s="16">
        <f>ROUNDDOWN(IF($AG31*S31&gt;요율!$E$3,($AG31*S31-요율!$E$3)*요율!$C$3%*요율!$D$3%,0),-1)</f>
        <v>0</v>
      </c>
      <c r="BR31" s="16">
        <f>ROUNDDOWN(IF($AG31*T31&gt;요율!$E$3,($AG31*T31-요율!$E$3)*요율!$C$3%*요율!$D$3%,0),-1)</f>
        <v>0</v>
      </c>
      <c r="BS31" s="16">
        <f>ROUNDDOWN(IF($AG31*U31&gt;요율!$E$3,($AG31*U31-요율!$E$3)*요율!$C$3%*요율!$D$3%,0),-1)</f>
        <v>0</v>
      </c>
      <c r="BT31" s="16">
        <f>ROUNDDOWN(IF($AG31*V31&gt;요율!$E$3,($AG31*V31-요율!$E$3)*요율!$C$3%*요율!$D$3%,0),-1)</f>
        <v>0</v>
      </c>
      <c r="BU31" s="16">
        <f>ROUNDDOWN(IF($AG31*W31&gt;요율!$E$3,($AG31*W31-요율!$E$3)*요율!$C$3%*요율!$D$3%,0),-1)</f>
        <v>0</v>
      </c>
      <c r="BV31" s="16">
        <f>ROUNDDOWN(IF($AG31*X31&gt;요율!$E$3,($AG31*X31-요율!$E$3)*요율!$C$3%*요율!$D$3%,0),-1)</f>
        <v>1350</v>
      </c>
      <c r="BW31" s="16">
        <f>ROUNDDOWN(IF($AG31*Y31&gt;요율!$E$3,($AG31*Y31-요율!$E$3)*요율!$C$3%*요율!$D$3%,0),-1)</f>
        <v>1350</v>
      </c>
      <c r="BX31" s="16">
        <f>ROUNDDOWN(IF($AG31*Z31&gt;요율!$E$3,($AG31*Z31-요율!$E$3)*요율!$C$3%*요율!$D$3%,0),-1)</f>
        <v>0</v>
      </c>
      <c r="BY31" s="16">
        <f>ROUNDDOWN(IF($AG31*AA31&gt;요율!$E$3,($AG31*AA31-요율!$E$3)*요율!$C$3%*요율!$D$3%,0),-1)</f>
        <v>1350</v>
      </c>
      <c r="BZ31" s="16">
        <f>ROUNDDOWN(IF($AG31*AB31&gt;요율!$E$3,($AG31*AB31-요율!$E$3)*요율!$C$3%*요율!$D$3%,0),-1)</f>
        <v>1350</v>
      </c>
      <c r="CA31" s="16">
        <f>ROUNDDOWN(IF($AG31*AC31&gt;요율!$E$3,($AG31*AC31-요율!$E$3)*요율!$C$3%*요율!$D$3%,0),-1)</f>
        <v>1350</v>
      </c>
      <c r="CB31" s="31">
        <f>ROUNDDOWN(IF($AG31*AD31&gt;요율!$E$3,($AG31*AD31-요율!$E$3)*요율!$C$3%*요율!$D$3%,0),-1)</f>
        <v>0</v>
      </c>
      <c r="CD31" s="5" t="str">
        <f>IFERROR(VLOOKUP(B31,주소록,9,FALSE),"")</f>
        <v/>
      </c>
    </row>
    <row r="32" spans="1:82" ht="20.100000000000001" customHeight="1">
      <c r="A32" s="761"/>
      <c r="B32" s="261" t="str">
        <f>BA31</f>
        <v>조경공</v>
      </c>
      <c r="C32" s="690" t="str">
        <f>IF(ISERROR(VLOOKUP(B31,주소록!$A$3:$K$523,7,0)),"",VLOOKUP(B31,주소록!$A$3:$K$523,5,0))</f>
        <v>010-5824-7954</v>
      </c>
      <c r="D32" s="690"/>
      <c r="E32" s="690"/>
      <c r="F32" s="691"/>
      <c r="G32" s="692" t="str">
        <f>IF(ISERROR(VLOOKUP(B31,주소록!$A$3:$K$523,9,0)),"",VLOOKUP(B31,주소록!$A$3:$K$523,7,0))</f>
        <v>KEB하나은행</v>
      </c>
      <c r="H32" s="693"/>
      <c r="I32" s="694"/>
      <c r="J32" s="692" t="str">
        <f>IF(ISERROR(VLOOKUP(B31,주소록!$A$3:$K$523,10,0)),"",VLOOKUP(B31,주소록!$A$3:$K$523,8,0))</f>
        <v>620-910226-10107</v>
      </c>
      <c r="K32" s="693"/>
      <c r="L32" s="693"/>
      <c r="M32" s="693"/>
      <c r="N32" s="695"/>
      <c r="O32" s="474">
        <v>1</v>
      </c>
      <c r="P32" s="475"/>
      <c r="Q32" s="475"/>
      <c r="R32" s="468"/>
      <c r="S32" s="476"/>
      <c r="T32" s="474"/>
      <c r="U32" s="475"/>
      <c r="V32" s="475"/>
      <c r="W32" s="475"/>
      <c r="X32" s="477"/>
      <c r="Y32" s="479"/>
      <c r="Z32" s="475"/>
      <c r="AA32" s="475"/>
      <c r="AB32" s="475"/>
      <c r="AC32" s="475"/>
      <c r="AD32" s="477"/>
      <c r="AE32" s="696">
        <f>SUM(O31:AD32)</f>
        <v>6</v>
      </c>
      <c r="AF32" s="697"/>
      <c r="AG32" s="765"/>
      <c r="AH32" s="788"/>
      <c r="AI32" s="789"/>
      <c r="AJ32" s="790"/>
      <c r="AK32" s="698">
        <f>IF(C31=0,"",IF(MID(C31,7,1)="5","",IF(MID(C31,7,1)="6","",ROUNDDOWN((AK31*10%),-1))))</f>
        <v>810</v>
      </c>
      <c r="AL32" s="699"/>
      <c r="AM32" s="700"/>
      <c r="AN32" s="701">
        <f>ROUNDDOWN(AN31*요율!$F$5,-1)</f>
        <v>0</v>
      </c>
      <c r="AO32" s="701"/>
      <c r="AP32" s="701"/>
      <c r="AQ32" s="713" t="str">
        <f>IF(OR(AND(요율!$H$8="X",요율!$H$9="X",MID(C31,8,1)&gt;="5"),AND(요율!$H$8="○",요율!$H$9="X",MID(C31,8,1)&gt;="5")),"외국인",IF(요율!$H$8="X",IF(C31="",0,IF(OR(MID(C31,8,1)&lt;"3",AND(MID(C31,8,1)&gt;="5",MID(C31,8,1)&lt;="6")),IF(INT(TEXT($O$3,"yyyy.mmdd")-TEXT(TEXT(LEFT(C31,6),"1900-00-00"),"yyyy.mmdd"))&gt;=65,"65세이상",+TRUNC(AH31*요율!$C$9%,-1)),IF(INT(TEXT($O$3,"yyyy.mmdd")-TEXT(TEXT(LEFT(C31,6),"2000-00-00"),"yyyy.mmdd"))&gt;=65,"65세이상",+TRUNC(AH31*요율!$C$9%,-1)))),+TRUNC(AH31*요율!$C$9%,-1)))</f>
        <v>외국인</v>
      </c>
      <c r="AR32" s="699"/>
      <c r="AS32" s="699"/>
      <c r="AT32" s="714"/>
      <c r="AU32" s="715"/>
      <c r="AV32" s="716"/>
      <c r="AW32" s="778"/>
      <c r="AX32" s="779"/>
      <c r="AY32" s="780"/>
      <c r="AZ32" s="782"/>
      <c r="BA32" s="22" t="str">
        <f>BA31</f>
        <v>조경공</v>
      </c>
      <c r="BB32" s="6">
        <v>2</v>
      </c>
      <c r="BC32" s="753"/>
      <c r="BD32" s="733" t="str">
        <f>B31</f>
        <v>CUI CHENGMIN(최성민)</v>
      </c>
      <c r="BE32" s="733"/>
      <c r="BF32" s="733"/>
      <c r="BG32" s="734">
        <f>SUM(BM31:CB32)</f>
        <v>8100</v>
      </c>
      <c r="BH32" s="735"/>
      <c r="BI32" s="736"/>
      <c r="BJ32" s="144"/>
      <c r="BK32" s="145"/>
      <c r="BL32" s="146"/>
      <c r="BM32" s="17">
        <f>ROUNDDOWN(IF($AG31*O32&gt;요율!$E$3,($AG31*O32-요율!$E$3)*요율!$C$3%*요율!$D$3%,0),-1)</f>
        <v>1350</v>
      </c>
      <c r="BN32" s="18">
        <f>ROUNDDOWN(IF($AG31*P32&gt;요율!$E$3,($AG31*P32-요율!$E$3)*요율!$C$3%*요율!$D$3%,0),-1)</f>
        <v>0</v>
      </c>
      <c r="BO32" s="18">
        <f>ROUNDDOWN(IF($AG31*Q32&gt;요율!$E$3,($AG31*Q32-요율!$E$3)*요율!$C$3%*요율!$D$3%,0),-1)</f>
        <v>0</v>
      </c>
      <c r="BP32" s="18">
        <f>ROUNDDOWN(IF($AG31*R32&gt;요율!$E$3,($AG31*R32-요율!$E$3)*요율!$C$3%*요율!$D$3%,0),-1)</f>
        <v>0</v>
      </c>
      <c r="BQ32" s="18">
        <f>ROUNDDOWN(IF($AG31*S32&gt;요율!$E$3,($AG31*S32-요율!$E$3)*요율!$C$3%*요율!$D$3%,0),-1)</f>
        <v>0</v>
      </c>
      <c r="BR32" s="18">
        <f>ROUNDDOWN(IF($AG31*T32&gt;요율!$E$3,($AG31*T32-요율!$E$3)*요율!$C$3%*요율!$D$3%,0),-1)</f>
        <v>0</v>
      </c>
      <c r="BS32" s="18">
        <f>ROUNDDOWN(IF($AG31*U32&gt;요율!$E$3,($AG31*U32-요율!$E$3)*요율!$C$3%*요율!$D$3%,0),-1)</f>
        <v>0</v>
      </c>
      <c r="BT32" s="18">
        <f>ROUNDDOWN(IF($AG31*V32&gt;요율!$E$3,($AG31*V32-요율!$E$3)*요율!$C$3%*요율!$D$3%,0),-1)</f>
        <v>0</v>
      </c>
      <c r="BU32" s="18">
        <f>ROUNDDOWN(IF($AG31*W32&gt;요율!$E$3,($AG31*W32-요율!$E$3)*요율!$C$3%*요율!$D$3%,0),-1)</f>
        <v>0</v>
      </c>
      <c r="BV32" s="18">
        <f>ROUNDDOWN(IF($AG31*X32&gt;요율!$E$3,($AG31*X32-요율!$E$3)*요율!$C$3%*요율!$D$3%,0),-1)</f>
        <v>0</v>
      </c>
      <c r="BW32" s="18">
        <f>ROUNDDOWN(IF($AG31*Y32&gt;요율!$E$3,($AG31*Y32-요율!$E$3)*요율!$C$3%*요율!$D$3%,0),-1)</f>
        <v>0</v>
      </c>
      <c r="BX32" s="18">
        <f>ROUNDDOWN(IF($AG31*Z32&gt;요율!$E$3,($AG31*Z32-요율!$E$3)*요율!$C$3%*요율!$D$3%,0),-1)</f>
        <v>0</v>
      </c>
      <c r="BY32" s="18">
        <f>ROUNDDOWN(IF($AG31*AA32&gt;요율!$E$3,($AG31*AA32-요율!$E$3)*요율!$C$3%*요율!$D$3%,0),-1)</f>
        <v>0</v>
      </c>
      <c r="BZ32" s="18">
        <f>ROUNDDOWN(IF($AG31*AB32&gt;요율!$E$3,($AG31*AB32-요율!$E$3)*요율!$C$3%*요율!$D$3%,0),-1)</f>
        <v>0</v>
      </c>
      <c r="CA32" s="18">
        <f>ROUNDDOWN(IF($AG31*AC32&gt;요율!$E$3,($AG31*AC32-요율!$E$3)*요율!$C$3%*요율!$D$3%,0),-1)</f>
        <v>0</v>
      </c>
      <c r="CB32" s="19">
        <f>ROUNDDOWN(IF($AG31*AD32&gt;요율!$E$3,($AG31*AD32-요율!$E$3)*요율!$C$3%*요율!$D$3%,0),-1)</f>
        <v>0</v>
      </c>
    </row>
    <row r="33" spans="1:82" ht="20.100000000000001" customHeight="1">
      <c r="A33" s="760">
        <f t="shared" si="1"/>
        <v>14</v>
      </c>
      <c r="B33" s="260" t="s">
        <v>1231</v>
      </c>
      <c r="C33" s="708" t="str">
        <f>IF(ISERROR(VLOOKUP(B33,주소록!$A$3:$K$523,5,0)),"",VLOOKUP(B33,주소록!$A$3:$K$523,3,0))</f>
        <v>590427-5101290</v>
      </c>
      <c r="D33" s="708"/>
      <c r="E33" s="708"/>
      <c r="F33" s="709"/>
      <c r="G33" s="710" t="str">
        <f>IF(ISERROR(VLOOKUP(B33,주소록!$A$3:$K$523,6,0)),"",VLOOKUP(B33,주소록!$A$3:$K$523,4,0))</f>
        <v>인천광역시 미추홀구 수봉로70번길 3 202동(숭의동)</v>
      </c>
      <c r="H33" s="711"/>
      <c r="I33" s="711"/>
      <c r="J33" s="711"/>
      <c r="K33" s="711"/>
      <c r="L33" s="711"/>
      <c r="M33" s="711"/>
      <c r="N33" s="712"/>
      <c r="O33" s="469"/>
      <c r="P33" s="470"/>
      <c r="Q33" s="470"/>
      <c r="R33" s="470"/>
      <c r="S33" s="478"/>
      <c r="T33" s="469"/>
      <c r="U33" s="470"/>
      <c r="V33" s="470"/>
      <c r="W33" s="470"/>
      <c r="X33" s="471"/>
      <c r="Y33" s="472"/>
      <c r="Z33" s="467"/>
      <c r="AA33" s="470"/>
      <c r="AB33" s="470"/>
      <c r="AC33" s="470"/>
      <c r="AD33" s="473"/>
      <c r="AE33" s="783">
        <f>COUNTIF(O33:AD34,"&gt;=0.5")</f>
        <v>9</v>
      </c>
      <c r="AF33" s="784"/>
      <c r="AG33" s="764">
        <v>200000</v>
      </c>
      <c r="AH33" s="785">
        <f>AE34*AG33</f>
        <v>1800000</v>
      </c>
      <c r="AI33" s="786"/>
      <c r="AJ33" s="787"/>
      <c r="AK33" s="755">
        <f>IF(BG34&lt;1000, 0, BG34)</f>
        <v>12150</v>
      </c>
      <c r="AL33" s="756"/>
      <c r="AM33" s="757"/>
      <c r="AN33" s="758">
        <f>IF(요율!$H$7="○",IF(AE33&gt;=요율!$D$6,ROUNDDOWN(AH33*요율!$C$4%,-1),0),0)</f>
        <v>64710</v>
      </c>
      <c r="AO33" s="756"/>
      <c r="AP33" s="757"/>
      <c r="AQ33" s="758" t="str">
        <f>BL33</f>
        <v>60세이상</v>
      </c>
      <c r="AR33" s="756"/>
      <c r="AS33" s="759"/>
      <c r="AT33" s="717">
        <f>SUM(AK33:AS34)</f>
        <v>86570</v>
      </c>
      <c r="AU33" s="718"/>
      <c r="AV33" s="719"/>
      <c r="AW33" s="775">
        <f>AH33-AT33-AT34</f>
        <v>1713430</v>
      </c>
      <c r="AX33" s="776"/>
      <c r="AY33" s="777"/>
      <c r="AZ33" s="781" t="s">
        <v>1247</v>
      </c>
      <c r="BA33" s="21" t="str">
        <f>IF(ISERROR(VLOOKUP($B33,주소록!$A$3:$K$523,3,0)),"",VLOOKUP($B33,주소록!$A$3:$K$523,2,0))</f>
        <v>조경공</v>
      </c>
      <c r="BB33" s="6">
        <v>1</v>
      </c>
      <c r="BC33" s="752">
        <f>A33</f>
        <v>14</v>
      </c>
      <c r="BD33" s="754" t="str">
        <f>IF(OR(MID(C33,8,1)&lt;"3",AND(MID(C33,8,1)&gt;="5",MID(C33,8,1)&lt;="6")),TEXT(TEXT(LEFT(C33,6),"1900-00-00"),"yyyy년 m월 d일"),TEXT(TEXT(LEFT(C33,6),"2000-00-00"),"yyyy년 m월 d일"))</f>
        <v>1959년 4월 27일</v>
      </c>
      <c r="BE33" s="754"/>
      <c r="BF33" s="754"/>
      <c r="BG33" s="768">
        <f>IFERROR(INT( ( TEXT($O$3,"yyyy.mmdd") - TEXT(BD33,"yyyy.mmdd") )  ),0)</f>
        <v>66</v>
      </c>
      <c r="BH33" s="769"/>
      <c r="BI33" s="770"/>
      <c r="BJ33" s="133" t="str">
        <f>IF(BG33&gt;59,"60세이상",IF(OR(AE33&lt;요율!$D$6,AH33=0),0,IF(AH33&lt;요율!$C$7,요율!$D$7,IF(AH33&gt;요율!$C$8,요율!$D$8,+TRUNC(AH33*요율!$C$6%,-1)))))</f>
        <v>60세이상</v>
      </c>
      <c r="BK33" s="143" t="str">
        <f>IF(BG33&gt;59,"60세이상",IF(OR(AH33&lt;2200000,AH33=0),0,IF(AH33&lt;요율!$C$7,요율!$D$7,IF(AH33&gt;요율!$C$8,요율!$D$8,+TRUNC(AH33*요율!$C$6%,-1)))))</f>
        <v>60세이상</v>
      </c>
      <c r="BL33" s="140" t="str">
        <f>IF(BK33&gt;0,BK33,BJ33)</f>
        <v>60세이상</v>
      </c>
      <c r="BM33" s="15">
        <f>ROUNDDOWN(IF($AG33*O33&gt;요율!$E$3,($AG33*O33-요율!$E$3)*요율!$C$3%*요율!$D$3%,0),-1)</f>
        <v>0</v>
      </c>
      <c r="BN33" s="16">
        <f>ROUNDDOWN(IF($AG33*P33&gt;요율!$E$3,($AG33*P33-요율!$E$3)*요율!$C$3%*요율!$D$3%,0),-1)</f>
        <v>0</v>
      </c>
      <c r="BO33" s="16">
        <f>ROUNDDOWN(IF($AG33*Q33&gt;요율!$E$3,($AG33*Q33-요율!$E$3)*요율!$C$3%*요율!$D$3%,0),-1)</f>
        <v>0</v>
      </c>
      <c r="BP33" s="16">
        <f>ROUNDDOWN(IF($AG33*R33&gt;요율!$E$3,($AG33*R33-요율!$E$3)*요율!$C$3%*요율!$D$3%,0),-1)</f>
        <v>0</v>
      </c>
      <c r="BQ33" s="16">
        <f>ROUNDDOWN(IF($AG33*S33&gt;요율!$E$3,($AG33*S33-요율!$E$3)*요율!$C$3%*요율!$D$3%,0),-1)</f>
        <v>0</v>
      </c>
      <c r="BR33" s="16">
        <f>ROUNDDOWN(IF($AG33*T33&gt;요율!$E$3,($AG33*T33-요율!$E$3)*요율!$C$3%*요율!$D$3%,0),-1)</f>
        <v>0</v>
      </c>
      <c r="BS33" s="16">
        <f>ROUNDDOWN(IF($AG33*U33&gt;요율!$E$3,($AG33*U33-요율!$E$3)*요율!$C$3%*요율!$D$3%,0),-1)</f>
        <v>0</v>
      </c>
      <c r="BT33" s="16">
        <f>ROUNDDOWN(IF($AG33*V33&gt;요율!$E$3,($AG33*V33-요율!$E$3)*요율!$C$3%*요율!$D$3%,0),-1)</f>
        <v>0</v>
      </c>
      <c r="BU33" s="16">
        <f>ROUNDDOWN(IF($AG33*W33&gt;요율!$E$3,($AG33*W33-요율!$E$3)*요율!$C$3%*요율!$D$3%,0),-1)</f>
        <v>0</v>
      </c>
      <c r="BV33" s="16">
        <f>ROUNDDOWN(IF($AG33*X33&gt;요율!$E$3,($AG33*X33-요율!$E$3)*요율!$C$3%*요율!$D$3%,0),-1)</f>
        <v>0</v>
      </c>
      <c r="BW33" s="16">
        <f>ROUNDDOWN(IF($AG33*Y33&gt;요율!$E$3,($AG33*Y33-요율!$E$3)*요율!$C$3%*요율!$D$3%,0),-1)</f>
        <v>0</v>
      </c>
      <c r="BX33" s="16">
        <f>ROUNDDOWN(IF($AG33*Z33&gt;요율!$E$3,($AG33*Z33-요율!$E$3)*요율!$C$3%*요율!$D$3%,0),-1)</f>
        <v>0</v>
      </c>
      <c r="BY33" s="16">
        <f>ROUNDDOWN(IF($AG33*AA33&gt;요율!$E$3,($AG33*AA33-요율!$E$3)*요율!$C$3%*요율!$D$3%,0),-1)</f>
        <v>0</v>
      </c>
      <c r="BZ33" s="16">
        <f>ROUNDDOWN(IF($AG33*AB33&gt;요율!$E$3,($AG33*AB33-요율!$E$3)*요율!$C$3%*요율!$D$3%,0),-1)</f>
        <v>0</v>
      </c>
      <c r="CA33" s="16">
        <f>ROUNDDOWN(IF($AG33*AC33&gt;요율!$E$3,($AG33*AC33-요율!$E$3)*요율!$C$3%*요율!$D$3%,0),-1)</f>
        <v>0</v>
      </c>
      <c r="CB33" s="31">
        <f>ROUNDDOWN(IF($AG33*AD33&gt;요율!$E$3,($AG33*AD33-요율!$E$3)*요율!$C$3%*요율!$D$3%,0),-1)</f>
        <v>0</v>
      </c>
      <c r="CD33" s="5" t="str">
        <f>IFERROR(VLOOKUP(B33,주소록,9,FALSE),"")</f>
        <v/>
      </c>
    </row>
    <row r="34" spans="1:82" ht="20.100000000000001" customHeight="1">
      <c r="A34" s="761"/>
      <c r="B34" s="261" t="str">
        <f>BA33</f>
        <v>조경공</v>
      </c>
      <c r="C34" s="690" t="str">
        <f>IF(ISERROR(VLOOKUP(B33,주소록!$A$3:$K$523,7,0)),"",VLOOKUP(B33,주소록!$A$3:$K$523,5,0))</f>
        <v>010-5540-5904</v>
      </c>
      <c r="D34" s="690"/>
      <c r="E34" s="690"/>
      <c r="F34" s="691"/>
      <c r="G34" s="692" t="str">
        <f>IF(ISERROR(VLOOKUP(B33,주소록!$A$3:$K$523,9,0)),"",VLOOKUP(B33,주소록!$A$3:$K$523,7,0))</f>
        <v>KEB하나은행</v>
      </c>
      <c r="H34" s="693"/>
      <c r="I34" s="694"/>
      <c r="J34" s="692" t="str">
        <f>IF(ISERROR(VLOOKUP(B33,주소록!$A$3:$K$523,10,0)),"",VLOOKUP(B33,주소록!$A$3:$K$523,8,0))</f>
        <v>580-910278-79407</v>
      </c>
      <c r="K34" s="693"/>
      <c r="L34" s="693"/>
      <c r="M34" s="693"/>
      <c r="N34" s="695"/>
      <c r="O34" s="474">
        <v>1</v>
      </c>
      <c r="P34" s="475">
        <v>1</v>
      </c>
      <c r="Q34" s="475">
        <v>1</v>
      </c>
      <c r="R34" s="468"/>
      <c r="S34" s="476">
        <v>1</v>
      </c>
      <c r="T34" s="474">
        <v>1</v>
      </c>
      <c r="U34" s="475">
        <v>1</v>
      </c>
      <c r="V34" s="475">
        <v>1</v>
      </c>
      <c r="W34" s="475">
        <v>1</v>
      </c>
      <c r="X34" s="477">
        <v>1</v>
      </c>
      <c r="Y34" s="479"/>
      <c r="Z34" s="475"/>
      <c r="AA34" s="475"/>
      <c r="AB34" s="475"/>
      <c r="AC34" s="475"/>
      <c r="AD34" s="477"/>
      <c r="AE34" s="696">
        <f>SUM(O33:AD34)</f>
        <v>9</v>
      </c>
      <c r="AF34" s="697"/>
      <c r="AG34" s="765"/>
      <c r="AH34" s="788"/>
      <c r="AI34" s="789"/>
      <c r="AJ34" s="790"/>
      <c r="AK34" s="698">
        <f>IF(C33=0,"",IF(MID(C33,7,1)="5","",IF(MID(C33,7,1)="6","",ROUNDDOWN((AK33*10%),-1))))</f>
        <v>1210</v>
      </c>
      <c r="AL34" s="699"/>
      <c r="AM34" s="700"/>
      <c r="AN34" s="701">
        <f>ROUNDDOWN(AN33*요율!$F$5,-1)</f>
        <v>8500</v>
      </c>
      <c r="AO34" s="701"/>
      <c r="AP34" s="701"/>
      <c r="AQ34" s="713" t="str">
        <f>IF(OR(AND(요율!$H$8="X",요율!$H$9="X",MID(C33,8,1)&gt;="5"),AND(요율!$H$8="○",요율!$H$9="X",MID(C33,8,1)&gt;="5")),"외국인",IF(요율!$H$8="X",IF(C33="",0,IF(OR(MID(C33,8,1)&lt;"3",AND(MID(C33,8,1)&gt;="5",MID(C33,8,1)&lt;="6")),IF(INT(TEXT($O$3,"yyyy.mmdd")-TEXT(TEXT(LEFT(C33,6),"1900-00-00"),"yyyy.mmdd"))&gt;=65,"65세이상",+TRUNC(AH33*요율!$C$9%,-1)),IF(INT(TEXT($O$3,"yyyy.mmdd")-TEXT(TEXT(LEFT(C33,6),"2000-00-00"),"yyyy.mmdd"))&gt;=65,"65세이상",+TRUNC(AH33*요율!$C$9%,-1)))),+TRUNC(AH33*요율!$C$9%,-1)))</f>
        <v>외국인</v>
      </c>
      <c r="AR34" s="699"/>
      <c r="AS34" s="699"/>
      <c r="AT34" s="714"/>
      <c r="AU34" s="715"/>
      <c r="AV34" s="716"/>
      <c r="AW34" s="778"/>
      <c r="AX34" s="779"/>
      <c r="AY34" s="780"/>
      <c r="AZ34" s="782"/>
      <c r="BA34" s="22" t="str">
        <f>BA33</f>
        <v>조경공</v>
      </c>
      <c r="BB34" s="6">
        <v>2</v>
      </c>
      <c r="BC34" s="753"/>
      <c r="BD34" s="733" t="str">
        <f>B33</f>
        <v>JIN YUANTAI(김원태)</v>
      </c>
      <c r="BE34" s="733"/>
      <c r="BF34" s="733"/>
      <c r="BG34" s="734">
        <f>SUM(BM33:CB34)</f>
        <v>12150</v>
      </c>
      <c r="BH34" s="735"/>
      <c r="BI34" s="736"/>
      <c r="BJ34" s="144"/>
      <c r="BK34" s="145"/>
      <c r="BL34" s="146"/>
      <c r="BM34" s="17">
        <f>ROUNDDOWN(IF($AG33*O34&gt;요율!$E$3,($AG33*O34-요율!$E$3)*요율!$C$3%*요율!$D$3%,0),-1)</f>
        <v>1350</v>
      </c>
      <c r="BN34" s="18">
        <f>ROUNDDOWN(IF($AG33*P34&gt;요율!$E$3,($AG33*P34-요율!$E$3)*요율!$C$3%*요율!$D$3%,0),-1)</f>
        <v>1350</v>
      </c>
      <c r="BO34" s="18">
        <f>ROUNDDOWN(IF($AG33*Q34&gt;요율!$E$3,($AG33*Q34-요율!$E$3)*요율!$C$3%*요율!$D$3%,0),-1)</f>
        <v>1350</v>
      </c>
      <c r="BP34" s="18">
        <f>ROUNDDOWN(IF($AG33*R34&gt;요율!$E$3,($AG33*R34-요율!$E$3)*요율!$C$3%*요율!$D$3%,0),-1)</f>
        <v>0</v>
      </c>
      <c r="BQ34" s="18">
        <f>ROUNDDOWN(IF($AG33*S34&gt;요율!$E$3,($AG33*S34-요율!$E$3)*요율!$C$3%*요율!$D$3%,0),-1)</f>
        <v>1350</v>
      </c>
      <c r="BR34" s="18">
        <f>ROUNDDOWN(IF($AG33*T34&gt;요율!$E$3,($AG33*T34-요율!$E$3)*요율!$C$3%*요율!$D$3%,0),-1)</f>
        <v>1350</v>
      </c>
      <c r="BS34" s="18">
        <f>ROUNDDOWN(IF($AG33*U34&gt;요율!$E$3,($AG33*U34-요율!$E$3)*요율!$C$3%*요율!$D$3%,0),-1)</f>
        <v>1350</v>
      </c>
      <c r="BT34" s="18">
        <f>ROUNDDOWN(IF($AG33*V34&gt;요율!$E$3,($AG33*V34-요율!$E$3)*요율!$C$3%*요율!$D$3%,0),-1)</f>
        <v>1350</v>
      </c>
      <c r="BU34" s="18">
        <f>ROUNDDOWN(IF($AG33*W34&gt;요율!$E$3,($AG33*W34-요율!$E$3)*요율!$C$3%*요율!$D$3%,0),-1)</f>
        <v>1350</v>
      </c>
      <c r="BV34" s="18">
        <f>ROUNDDOWN(IF($AG33*X34&gt;요율!$E$3,($AG33*X34-요율!$E$3)*요율!$C$3%*요율!$D$3%,0),-1)</f>
        <v>1350</v>
      </c>
      <c r="BW34" s="18">
        <f>ROUNDDOWN(IF($AG33*Y34&gt;요율!$E$3,($AG33*Y34-요율!$E$3)*요율!$C$3%*요율!$D$3%,0),-1)</f>
        <v>0</v>
      </c>
      <c r="BX34" s="18">
        <f>ROUNDDOWN(IF($AG33*Z34&gt;요율!$E$3,($AG33*Z34-요율!$E$3)*요율!$C$3%*요율!$D$3%,0),-1)</f>
        <v>0</v>
      </c>
      <c r="BY34" s="18">
        <f>ROUNDDOWN(IF($AG33*AA34&gt;요율!$E$3,($AG33*AA34-요율!$E$3)*요율!$C$3%*요율!$D$3%,0),-1)</f>
        <v>0</v>
      </c>
      <c r="BZ34" s="18">
        <f>ROUNDDOWN(IF($AG33*AB34&gt;요율!$E$3,($AG33*AB34-요율!$E$3)*요율!$C$3%*요율!$D$3%,0),-1)</f>
        <v>0</v>
      </c>
      <c r="CA34" s="18">
        <f>ROUNDDOWN(IF($AG33*AC34&gt;요율!$E$3,($AG33*AC34-요율!$E$3)*요율!$C$3%*요율!$D$3%,0),-1)</f>
        <v>0</v>
      </c>
      <c r="CB34" s="19">
        <f>ROUNDDOWN(IF($AG33*AD34&gt;요율!$E$3,($AG33*AD34-요율!$E$3)*요율!$C$3%*요율!$D$3%,0),-1)</f>
        <v>0</v>
      </c>
    </row>
    <row r="35" spans="1:82" ht="20.100000000000001" customHeight="1">
      <c r="A35" s="760">
        <f t="shared" si="1"/>
        <v>15</v>
      </c>
      <c r="B35" s="260"/>
      <c r="C35" s="708" t="str">
        <f>IF(ISERROR(VLOOKUP(B35,주소록!$A$3:$K$523,5,0)),"",VLOOKUP(B35,주소록!$A$3:$K$523,3,0))</f>
        <v/>
      </c>
      <c r="D35" s="708"/>
      <c r="E35" s="708"/>
      <c r="F35" s="709"/>
      <c r="G35" s="710" t="str">
        <f>IF(ISERROR(VLOOKUP(B35,주소록!$A$3:$K$523,6,0)),"",VLOOKUP(B35,주소록!$A$3:$K$523,4,0))</f>
        <v/>
      </c>
      <c r="H35" s="711"/>
      <c r="I35" s="711"/>
      <c r="J35" s="711"/>
      <c r="K35" s="711"/>
      <c r="L35" s="711"/>
      <c r="M35" s="711"/>
      <c r="N35" s="712"/>
      <c r="O35" s="469"/>
      <c r="P35" s="470"/>
      <c r="Q35" s="470"/>
      <c r="R35" s="470"/>
      <c r="S35" s="478"/>
      <c r="T35" s="469"/>
      <c r="U35" s="470"/>
      <c r="V35" s="470"/>
      <c r="W35" s="470"/>
      <c r="X35" s="471"/>
      <c r="Y35" s="472"/>
      <c r="Z35" s="467"/>
      <c r="AA35" s="470"/>
      <c r="AB35" s="470"/>
      <c r="AC35" s="470"/>
      <c r="AD35" s="473"/>
      <c r="AE35" s="762">
        <f>COUNTIF(O35:AD36,"&gt;=0.5")</f>
        <v>0</v>
      </c>
      <c r="AF35" s="763"/>
      <c r="AG35" s="764"/>
      <c r="AH35" s="684">
        <f>AE36*AG35</f>
        <v>0</v>
      </c>
      <c r="AI35" s="685"/>
      <c r="AJ35" s="686"/>
      <c r="AK35" s="755">
        <f>IF(BG36&lt;1000, 0, BG36)</f>
        <v>0</v>
      </c>
      <c r="AL35" s="756"/>
      <c r="AM35" s="757"/>
      <c r="AN35" s="758">
        <f>IF(요율!$H$7="○",IF(AE35&gt;=요율!$D$6,ROUNDDOWN(AH35*요율!$C$4%,-1),0),0)</f>
        <v>0</v>
      </c>
      <c r="AO35" s="756"/>
      <c r="AP35" s="757"/>
      <c r="AQ35" s="758">
        <f>BL35</f>
        <v>0</v>
      </c>
      <c r="AR35" s="756"/>
      <c r="AS35" s="759"/>
      <c r="AT35" s="717">
        <f>SUM(AK35:AS36)</f>
        <v>0</v>
      </c>
      <c r="AU35" s="718"/>
      <c r="AV35" s="719"/>
      <c r="AW35" s="720">
        <f>AH35-AT35-AT36</f>
        <v>0</v>
      </c>
      <c r="AX35" s="721"/>
      <c r="AY35" s="722"/>
      <c r="AZ35" s="766"/>
      <c r="BA35" s="21" t="str">
        <f>IF(ISERROR(VLOOKUP($B35,주소록!$A$3:$K$523,3,0)),"",VLOOKUP($B35,주소록!$A$3:$K$523,2,0))</f>
        <v/>
      </c>
      <c r="BB35" s="6">
        <v>1</v>
      </c>
      <c r="BC35" s="752">
        <f>A35</f>
        <v>15</v>
      </c>
      <c r="BD35" s="754" t="str">
        <f>IF(OR(MID(C35,8,1)&lt;"3",AND(MID(C35,8,1)&gt;="5",MID(C35,8,1)&lt;="6")),TEXT(TEXT(LEFT(C35,6),"1900-00-00"),"yyyy년 m월 d일"),TEXT(TEXT(LEFT(C35,6),"2000-00-00"),"yyyy년 m월 d일"))</f>
        <v/>
      </c>
      <c r="BE35" s="754"/>
      <c r="BF35" s="754"/>
      <c r="BG35" s="768">
        <f>IFERROR(INT( ( TEXT($O$3,"yyyy.mmdd") - TEXT(BD35,"yyyy.mmdd") )  ),0)</f>
        <v>0</v>
      </c>
      <c r="BH35" s="769"/>
      <c r="BI35" s="770"/>
      <c r="BJ35" s="133">
        <f>IF(BG35&gt;59,"60세이상",IF(OR(AE35&lt;요율!$D$6,AH35=0),0,IF(AH35&lt;요율!$C$7,요율!$D$7,IF(AH35&gt;요율!$C$8,요율!$D$8,+TRUNC(AH35*요율!$C$6%,-1)))))</f>
        <v>0</v>
      </c>
      <c r="BK35" s="143">
        <f>IF(BG35&gt;59,"60세이상",IF(OR(AH35&lt;2200000,AH35=0),0,IF(AH35&lt;요율!$C$7,요율!$D$7,IF(AH35&gt;요율!$C$8,요율!$D$8,+TRUNC(AH35*요율!$C$6%,-1)))))</f>
        <v>0</v>
      </c>
      <c r="BL35" s="140">
        <f>IF(BK35&gt;0,BK35,BJ35)</f>
        <v>0</v>
      </c>
      <c r="BM35" s="15">
        <f>ROUNDDOWN(IF($AG35*O35&gt;요율!$E$3,($AG35*O35-요율!$E$3)*요율!$C$3%*요율!$D$3%,0),-1)</f>
        <v>0</v>
      </c>
      <c r="BN35" s="16">
        <f>ROUNDDOWN(IF($AG35*P35&gt;요율!$E$3,($AG35*P35-요율!$E$3)*요율!$C$3%*요율!$D$3%,0),-1)</f>
        <v>0</v>
      </c>
      <c r="BO35" s="16">
        <f>ROUNDDOWN(IF($AG35*Q35&gt;요율!$E$3,($AG35*Q35-요율!$E$3)*요율!$C$3%*요율!$D$3%,0),-1)</f>
        <v>0</v>
      </c>
      <c r="BP35" s="16">
        <f>ROUNDDOWN(IF($AG35*R35&gt;요율!$E$3,($AG35*R35-요율!$E$3)*요율!$C$3%*요율!$D$3%,0),-1)</f>
        <v>0</v>
      </c>
      <c r="BQ35" s="16">
        <f>ROUNDDOWN(IF($AG35*S35&gt;요율!$E$3,($AG35*S35-요율!$E$3)*요율!$C$3%*요율!$D$3%,0),-1)</f>
        <v>0</v>
      </c>
      <c r="BR35" s="16">
        <f>ROUNDDOWN(IF($AG35*T35&gt;요율!$E$3,($AG35*T35-요율!$E$3)*요율!$C$3%*요율!$D$3%,0),-1)</f>
        <v>0</v>
      </c>
      <c r="BS35" s="16">
        <f>ROUNDDOWN(IF($AG35*U35&gt;요율!$E$3,($AG35*U35-요율!$E$3)*요율!$C$3%*요율!$D$3%,0),-1)</f>
        <v>0</v>
      </c>
      <c r="BT35" s="16">
        <f>ROUNDDOWN(IF($AG35*V35&gt;요율!$E$3,($AG35*V35-요율!$E$3)*요율!$C$3%*요율!$D$3%,0),-1)</f>
        <v>0</v>
      </c>
      <c r="BU35" s="16">
        <f>ROUNDDOWN(IF($AG35*W35&gt;요율!$E$3,($AG35*W35-요율!$E$3)*요율!$C$3%*요율!$D$3%,0),-1)</f>
        <v>0</v>
      </c>
      <c r="BV35" s="16">
        <f>ROUNDDOWN(IF($AG35*X35&gt;요율!$E$3,($AG35*X35-요율!$E$3)*요율!$C$3%*요율!$D$3%,0),-1)</f>
        <v>0</v>
      </c>
      <c r="BW35" s="16">
        <f>ROUNDDOWN(IF($AG35*Y35&gt;요율!$E$3,($AG35*Y35-요율!$E$3)*요율!$C$3%*요율!$D$3%,0),-1)</f>
        <v>0</v>
      </c>
      <c r="BX35" s="16">
        <f>ROUNDDOWN(IF($AG35*Z35&gt;요율!$E$3,($AG35*Z35-요율!$E$3)*요율!$C$3%*요율!$D$3%,0),-1)</f>
        <v>0</v>
      </c>
      <c r="BY35" s="16">
        <f>ROUNDDOWN(IF($AG35*AA35&gt;요율!$E$3,($AG35*AA35-요율!$E$3)*요율!$C$3%*요율!$D$3%,0),-1)</f>
        <v>0</v>
      </c>
      <c r="BZ35" s="16">
        <f>ROUNDDOWN(IF($AG35*AB35&gt;요율!$E$3,($AG35*AB35-요율!$E$3)*요율!$C$3%*요율!$D$3%,0),-1)</f>
        <v>0</v>
      </c>
      <c r="CA35" s="16">
        <f>ROUNDDOWN(IF($AG35*AC35&gt;요율!$E$3,($AG35*AC35-요율!$E$3)*요율!$C$3%*요율!$D$3%,0),-1)</f>
        <v>0</v>
      </c>
      <c r="CB35" s="31">
        <f>ROUNDDOWN(IF($AG35*AD35&gt;요율!$E$3,($AG35*AD35-요율!$E$3)*요율!$C$3%*요율!$D$3%,0),-1)</f>
        <v>0</v>
      </c>
      <c r="CD35" s="5" t="str">
        <f>IFERROR(VLOOKUP(B35,주소록,9,FALSE),"")</f>
        <v/>
      </c>
    </row>
    <row r="36" spans="1:82" ht="20.100000000000001" customHeight="1">
      <c r="A36" s="761"/>
      <c r="B36" s="261" t="str">
        <f>BA35</f>
        <v/>
      </c>
      <c r="C36" s="690" t="str">
        <f>IF(ISERROR(VLOOKUP(B35,주소록!$A$3:$K$523,7,0)),"",VLOOKUP(B35,주소록!$A$3:$K$523,5,0))</f>
        <v/>
      </c>
      <c r="D36" s="690"/>
      <c r="E36" s="690"/>
      <c r="F36" s="691"/>
      <c r="G36" s="692" t="str">
        <f>IF(ISERROR(VLOOKUP(B35,주소록!$A$3:$K$523,9,0)),"",VLOOKUP(B35,주소록!$A$3:$K$523,7,0))</f>
        <v/>
      </c>
      <c r="H36" s="693"/>
      <c r="I36" s="694"/>
      <c r="J36" s="692" t="str">
        <f>IF(ISERROR(VLOOKUP(B35,주소록!$A$3:$K$523,10,0)),"",VLOOKUP(B35,주소록!$A$3:$K$523,8,0))</f>
        <v/>
      </c>
      <c r="K36" s="693"/>
      <c r="L36" s="693"/>
      <c r="M36" s="693"/>
      <c r="N36" s="695"/>
      <c r="O36" s="474"/>
      <c r="P36" s="475"/>
      <c r="Q36" s="475"/>
      <c r="R36" s="468"/>
      <c r="S36" s="476"/>
      <c r="T36" s="474"/>
      <c r="U36" s="475"/>
      <c r="V36" s="475"/>
      <c r="W36" s="475"/>
      <c r="X36" s="477"/>
      <c r="Y36" s="479"/>
      <c r="Z36" s="475"/>
      <c r="AA36" s="475"/>
      <c r="AB36" s="475"/>
      <c r="AC36" s="475"/>
      <c r="AD36" s="477"/>
      <c r="AE36" s="696">
        <f>SUM(O35:AD36)</f>
        <v>0</v>
      </c>
      <c r="AF36" s="697"/>
      <c r="AG36" s="765"/>
      <c r="AH36" s="687"/>
      <c r="AI36" s="688"/>
      <c r="AJ36" s="689"/>
      <c r="AK36" s="698">
        <f>IF(C35=0,"",IF(MID(C35,7,1)="5","",IF(MID(C35,7,1)="6","",ROUNDDOWN((AK35*10%),-1))))</f>
        <v>0</v>
      </c>
      <c r="AL36" s="699"/>
      <c r="AM36" s="700"/>
      <c r="AN36" s="701">
        <f>ROUNDDOWN(AN35*요율!$F$5,-1)</f>
        <v>0</v>
      </c>
      <c r="AO36" s="701"/>
      <c r="AP36" s="701"/>
      <c r="AQ36" s="713">
        <f>IF(OR(AND(요율!$H$8="X",요율!$H$9="X",MID(C35,8,1)&gt;="5"),AND(요율!$H$8="○",요율!$H$9="X",MID(C35,8,1)&gt;="5")),"외국인",IF(요율!$H$8="X",IF(C35="",0,IF(OR(MID(C35,8,1)&lt;"3",AND(MID(C35,8,1)&gt;="5",MID(C35,8,1)&lt;="6")),IF(INT(TEXT($O$3,"yyyy.mmdd")-TEXT(TEXT(LEFT(C35,6),"1900-00-00"),"yyyy.mmdd"))&gt;=65,"65세이상",+TRUNC(AH35*요율!$C$9%,-1)),IF(INT(TEXT($O$3,"yyyy.mmdd")-TEXT(TEXT(LEFT(C35,6),"2000-00-00"),"yyyy.mmdd"))&gt;=65,"65세이상",+TRUNC(AH35*요율!$C$9%,-1)))),+TRUNC(AH35*요율!$C$9%,-1)))</f>
        <v>0</v>
      </c>
      <c r="AR36" s="699"/>
      <c r="AS36" s="699"/>
      <c r="AT36" s="714"/>
      <c r="AU36" s="715"/>
      <c r="AV36" s="716"/>
      <c r="AW36" s="723"/>
      <c r="AX36" s="724"/>
      <c r="AY36" s="725"/>
      <c r="AZ36" s="767"/>
      <c r="BA36" s="22" t="str">
        <f>BA35</f>
        <v/>
      </c>
      <c r="BB36" s="6">
        <v>2</v>
      </c>
      <c r="BC36" s="753"/>
      <c r="BD36" s="733">
        <f>B35</f>
        <v>0</v>
      </c>
      <c r="BE36" s="733"/>
      <c r="BF36" s="733"/>
      <c r="BG36" s="734">
        <f>SUM(BM35:CB36)</f>
        <v>0</v>
      </c>
      <c r="BH36" s="735"/>
      <c r="BI36" s="736"/>
      <c r="BJ36" s="144"/>
      <c r="BK36" s="145"/>
      <c r="BL36" s="146"/>
      <c r="BM36" s="17">
        <f>ROUNDDOWN(IF($AG35*O36&gt;요율!$E$3,($AG35*O36-요율!$E$3)*요율!$C$3%*요율!$D$3%,0),-1)</f>
        <v>0</v>
      </c>
      <c r="BN36" s="18">
        <f>ROUNDDOWN(IF($AG35*P36&gt;요율!$E$3,($AG35*P36-요율!$E$3)*요율!$C$3%*요율!$D$3%,0),-1)</f>
        <v>0</v>
      </c>
      <c r="BO36" s="18">
        <f>ROUNDDOWN(IF($AG35*Q36&gt;요율!$E$3,($AG35*Q36-요율!$E$3)*요율!$C$3%*요율!$D$3%,0),-1)</f>
        <v>0</v>
      </c>
      <c r="BP36" s="18">
        <f>ROUNDDOWN(IF($AG35*R36&gt;요율!$E$3,($AG35*R36-요율!$E$3)*요율!$C$3%*요율!$D$3%,0),-1)</f>
        <v>0</v>
      </c>
      <c r="BQ36" s="18">
        <f>ROUNDDOWN(IF($AG35*S36&gt;요율!$E$3,($AG35*S36-요율!$E$3)*요율!$C$3%*요율!$D$3%,0),-1)</f>
        <v>0</v>
      </c>
      <c r="BR36" s="18">
        <f>ROUNDDOWN(IF($AG35*T36&gt;요율!$E$3,($AG35*T36-요율!$E$3)*요율!$C$3%*요율!$D$3%,0),-1)</f>
        <v>0</v>
      </c>
      <c r="BS36" s="18">
        <f>ROUNDDOWN(IF($AG35*U36&gt;요율!$E$3,($AG35*U36-요율!$E$3)*요율!$C$3%*요율!$D$3%,0),-1)</f>
        <v>0</v>
      </c>
      <c r="BT36" s="18">
        <f>ROUNDDOWN(IF($AG35*V36&gt;요율!$E$3,($AG35*V36-요율!$E$3)*요율!$C$3%*요율!$D$3%,0),-1)</f>
        <v>0</v>
      </c>
      <c r="BU36" s="18">
        <f>ROUNDDOWN(IF($AG35*W36&gt;요율!$E$3,($AG35*W36-요율!$E$3)*요율!$C$3%*요율!$D$3%,0),-1)</f>
        <v>0</v>
      </c>
      <c r="BV36" s="18">
        <f>ROUNDDOWN(IF($AG35*X36&gt;요율!$E$3,($AG35*X36-요율!$E$3)*요율!$C$3%*요율!$D$3%,0),-1)</f>
        <v>0</v>
      </c>
      <c r="BW36" s="18">
        <f>ROUNDDOWN(IF($AG35*Y36&gt;요율!$E$3,($AG35*Y36-요율!$E$3)*요율!$C$3%*요율!$D$3%,0),-1)</f>
        <v>0</v>
      </c>
      <c r="BX36" s="18">
        <f>ROUNDDOWN(IF($AG35*Z36&gt;요율!$E$3,($AG35*Z36-요율!$E$3)*요율!$C$3%*요율!$D$3%,0),-1)</f>
        <v>0</v>
      </c>
      <c r="BY36" s="18">
        <f>ROUNDDOWN(IF($AG35*AA36&gt;요율!$E$3,($AG35*AA36-요율!$E$3)*요율!$C$3%*요율!$D$3%,0),-1)</f>
        <v>0</v>
      </c>
      <c r="BZ36" s="18">
        <f>ROUNDDOWN(IF($AG35*AB36&gt;요율!$E$3,($AG35*AB36-요율!$E$3)*요율!$C$3%*요율!$D$3%,0),-1)</f>
        <v>0</v>
      </c>
      <c r="CA36" s="18">
        <f>ROUNDDOWN(IF($AG35*AC36&gt;요율!$E$3,($AG35*AC36-요율!$E$3)*요율!$C$3%*요율!$D$3%,0),-1)</f>
        <v>0</v>
      </c>
      <c r="CB36" s="19">
        <f>ROUNDDOWN(IF($AG35*AD36&gt;요율!$E$3,($AG35*AD36-요율!$E$3)*요율!$C$3%*요율!$D$3%,0),-1)</f>
        <v>0</v>
      </c>
    </row>
    <row r="37" spans="1:82" ht="20.100000000000001" customHeight="1">
      <c r="A37" s="760">
        <f t="shared" si="1"/>
        <v>16</v>
      </c>
      <c r="B37" s="260"/>
      <c r="C37" s="708" t="str">
        <f>IF(ISERROR(VLOOKUP(B37,주소록!$A$3:$K$523,5,0)),"",VLOOKUP(B37,주소록!$A$3:$K$523,3,0))</f>
        <v/>
      </c>
      <c r="D37" s="708"/>
      <c r="E37" s="708"/>
      <c r="F37" s="709"/>
      <c r="G37" s="710" t="str">
        <f>IF(ISERROR(VLOOKUP(B37,주소록!$A$3:$K$523,6,0)),"",VLOOKUP(B37,주소록!$A$3:$K$523,4,0))</f>
        <v/>
      </c>
      <c r="H37" s="711"/>
      <c r="I37" s="711"/>
      <c r="J37" s="711"/>
      <c r="K37" s="711"/>
      <c r="L37" s="711"/>
      <c r="M37" s="711"/>
      <c r="N37" s="712"/>
      <c r="O37" s="469"/>
      <c r="P37" s="470"/>
      <c r="Q37" s="470"/>
      <c r="R37" s="470"/>
      <c r="S37" s="478"/>
      <c r="T37" s="469"/>
      <c r="U37" s="470"/>
      <c r="V37" s="470"/>
      <c r="W37" s="470"/>
      <c r="X37" s="471"/>
      <c r="Y37" s="472"/>
      <c r="Z37" s="467"/>
      <c r="AA37" s="470"/>
      <c r="AB37" s="470"/>
      <c r="AC37" s="470"/>
      <c r="AD37" s="473"/>
      <c r="AE37" s="762">
        <f>COUNTIF(O37:AD38,"&gt;=0.5")</f>
        <v>0</v>
      </c>
      <c r="AF37" s="763"/>
      <c r="AG37" s="764"/>
      <c r="AH37" s="684">
        <f>AE38*AG37</f>
        <v>0</v>
      </c>
      <c r="AI37" s="685"/>
      <c r="AJ37" s="686"/>
      <c r="AK37" s="755">
        <f>IF(BG38&lt;1000, 0, BG38)</f>
        <v>0</v>
      </c>
      <c r="AL37" s="756"/>
      <c r="AM37" s="757"/>
      <c r="AN37" s="758">
        <f>IF(요율!$H$7="○",IF(AE37&gt;=요율!$D$6,ROUNDDOWN(AH37*요율!$C$4%,-1),0),0)</f>
        <v>0</v>
      </c>
      <c r="AO37" s="756"/>
      <c r="AP37" s="757"/>
      <c r="AQ37" s="758">
        <f>BL37</f>
        <v>0</v>
      </c>
      <c r="AR37" s="756"/>
      <c r="AS37" s="759"/>
      <c r="AT37" s="717">
        <f>SUM(AK37:AS38)</f>
        <v>0</v>
      </c>
      <c r="AU37" s="718"/>
      <c r="AV37" s="719"/>
      <c r="AW37" s="720">
        <f>AH37-AT37-AT38</f>
        <v>0</v>
      </c>
      <c r="AX37" s="721"/>
      <c r="AY37" s="722"/>
      <c r="AZ37" s="766"/>
      <c r="BA37" s="21" t="str">
        <f>IF(ISERROR(VLOOKUP($B37,주소록!$A$3:$K$523,3,0)),"",VLOOKUP($B37,주소록!$A$3:$K$523,2,0))</f>
        <v/>
      </c>
      <c r="BB37" s="6">
        <v>1</v>
      </c>
      <c r="BC37" s="752">
        <f>A37</f>
        <v>16</v>
      </c>
      <c r="BD37" s="754" t="str">
        <f>IF(OR(MID(C37,8,1)&lt;"3",AND(MID(C37,8,1)&gt;="5",MID(C37,8,1)&lt;="6")),TEXT(TEXT(LEFT(C37,6),"1900-00-00"),"yyyy년 m월 d일"),TEXT(TEXT(LEFT(C37,6),"2000-00-00"),"yyyy년 m월 d일"))</f>
        <v/>
      </c>
      <c r="BE37" s="754"/>
      <c r="BF37" s="754"/>
      <c r="BG37" s="768">
        <f>IFERROR(INT( ( TEXT($O$3,"yyyy.mmdd") - TEXT(BD37,"yyyy.mmdd") )  ),0)</f>
        <v>0</v>
      </c>
      <c r="BH37" s="769"/>
      <c r="BI37" s="770"/>
      <c r="BJ37" s="133">
        <f>IF(BG37&gt;59,"60세이상",IF(OR(AE37&lt;요율!$D$6,AH37=0),0,IF(AH37&lt;요율!$C$7,요율!$D$7,IF(AH37&gt;요율!$C$8,요율!$D$8,+TRUNC(AH37*요율!$C$6%,-1)))))</f>
        <v>0</v>
      </c>
      <c r="BK37" s="143">
        <f>IF(BG37&gt;59,"60세이상",IF(OR(AH37&lt;2200000,AH37=0),0,IF(AH37&lt;요율!$C$7,요율!$D$7,IF(AH37&gt;요율!$C$8,요율!$D$8,+TRUNC(AH37*요율!$C$6%,-1)))))</f>
        <v>0</v>
      </c>
      <c r="BL37" s="140">
        <f>IF(BK37&gt;0,BK37,BJ37)</f>
        <v>0</v>
      </c>
      <c r="BM37" s="15">
        <f>ROUNDDOWN(IF($AG37*O37&gt;요율!$E$3,($AG37*O37-요율!$E$3)*요율!$C$3%*요율!$D$3%,0),-1)</f>
        <v>0</v>
      </c>
      <c r="BN37" s="16">
        <f>ROUNDDOWN(IF($AG37*P37&gt;요율!$E$3,($AG37*P37-요율!$E$3)*요율!$C$3%*요율!$D$3%,0),-1)</f>
        <v>0</v>
      </c>
      <c r="BO37" s="16">
        <f>ROUNDDOWN(IF($AG37*Q37&gt;요율!$E$3,($AG37*Q37-요율!$E$3)*요율!$C$3%*요율!$D$3%,0),-1)</f>
        <v>0</v>
      </c>
      <c r="BP37" s="16">
        <f>ROUNDDOWN(IF($AG37*R37&gt;요율!$E$3,($AG37*R37-요율!$E$3)*요율!$C$3%*요율!$D$3%,0),-1)</f>
        <v>0</v>
      </c>
      <c r="BQ37" s="16">
        <f>ROUNDDOWN(IF($AG37*S37&gt;요율!$E$3,($AG37*S37-요율!$E$3)*요율!$C$3%*요율!$D$3%,0),-1)</f>
        <v>0</v>
      </c>
      <c r="BR37" s="16">
        <f>ROUNDDOWN(IF($AG37*T37&gt;요율!$E$3,($AG37*T37-요율!$E$3)*요율!$C$3%*요율!$D$3%,0),-1)</f>
        <v>0</v>
      </c>
      <c r="BS37" s="16">
        <f>ROUNDDOWN(IF($AG37*U37&gt;요율!$E$3,($AG37*U37-요율!$E$3)*요율!$C$3%*요율!$D$3%,0),-1)</f>
        <v>0</v>
      </c>
      <c r="BT37" s="16">
        <f>ROUNDDOWN(IF($AG37*V37&gt;요율!$E$3,($AG37*V37-요율!$E$3)*요율!$C$3%*요율!$D$3%,0),-1)</f>
        <v>0</v>
      </c>
      <c r="BU37" s="16">
        <f>ROUNDDOWN(IF($AG37*W37&gt;요율!$E$3,($AG37*W37-요율!$E$3)*요율!$C$3%*요율!$D$3%,0),-1)</f>
        <v>0</v>
      </c>
      <c r="BV37" s="16">
        <f>ROUNDDOWN(IF($AG37*X37&gt;요율!$E$3,($AG37*X37-요율!$E$3)*요율!$C$3%*요율!$D$3%,0),-1)</f>
        <v>0</v>
      </c>
      <c r="BW37" s="16">
        <f>ROUNDDOWN(IF($AG37*Y37&gt;요율!$E$3,($AG37*Y37-요율!$E$3)*요율!$C$3%*요율!$D$3%,0),-1)</f>
        <v>0</v>
      </c>
      <c r="BX37" s="16">
        <f>ROUNDDOWN(IF($AG37*Z37&gt;요율!$E$3,($AG37*Z37-요율!$E$3)*요율!$C$3%*요율!$D$3%,0),-1)</f>
        <v>0</v>
      </c>
      <c r="BY37" s="16">
        <f>ROUNDDOWN(IF($AG37*AA37&gt;요율!$E$3,($AG37*AA37-요율!$E$3)*요율!$C$3%*요율!$D$3%,0),-1)</f>
        <v>0</v>
      </c>
      <c r="BZ37" s="16">
        <f>ROUNDDOWN(IF($AG37*AB37&gt;요율!$E$3,($AG37*AB37-요율!$E$3)*요율!$C$3%*요율!$D$3%,0),-1)</f>
        <v>0</v>
      </c>
      <c r="CA37" s="16">
        <f>ROUNDDOWN(IF($AG37*AC37&gt;요율!$E$3,($AG37*AC37-요율!$E$3)*요율!$C$3%*요율!$D$3%,0),-1)</f>
        <v>0</v>
      </c>
      <c r="CB37" s="31">
        <f>ROUNDDOWN(IF($AG37*AD37&gt;요율!$E$3,($AG37*AD37-요율!$E$3)*요율!$C$3%*요율!$D$3%,0),-1)</f>
        <v>0</v>
      </c>
      <c r="CD37" s="5" t="str">
        <f>IFERROR(VLOOKUP(B37,주소록,9,FALSE),"")</f>
        <v/>
      </c>
    </row>
    <row r="38" spans="1:82" ht="20.100000000000001" customHeight="1">
      <c r="A38" s="761"/>
      <c r="B38" s="261" t="str">
        <f>BA37</f>
        <v/>
      </c>
      <c r="C38" s="690" t="str">
        <f>IF(ISERROR(VLOOKUP(B37,주소록!$A$3:$K$523,7,0)),"",VLOOKUP(B37,주소록!$A$3:$K$523,5,0))</f>
        <v/>
      </c>
      <c r="D38" s="690"/>
      <c r="E38" s="690"/>
      <c r="F38" s="691"/>
      <c r="G38" s="692" t="str">
        <f>IF(ISERROR(VLOOKUP(B37,주소록!$A$3:$K$523,9,0)),"",VLOOKUP(B37,주소록!$A$3:$K$523,7,0))</f>
        <v/>
      </c>
      <c r="H38" s="693"/>
      <c r="I38" s="694"/>
      <c r="J38" s="692" t="str">
        <f>IF(ISERROR(VLOOKUP(B37,주소록!$A$3:$K$523,10,0)),"",VLOOKUP(B37,주소록!$A$3:$K$523,8,0))</f>
        <v/>
      </c>
      <c r="K38" s="693"/>
      <c r="L38" s="693"/>
      <c r="M38" s="693"/>
      <c r="N38" s="695"/>
      <c r="O38" s="474"/>
      <c r="P38" s="475"/>
      <c r="Q38" s="475"/>
      <c r="R38" s="468"/>
      <c r="S38" s="476"/>
      <c r="T38" s="474"/>
      <c r="U38" s="475"/>
      <c r="V38" s="475"/>
      <c r="W38" s="475"/>
      <c r="X38" s="477"/>
      <c r="Y38" s="479"/>
      <c r="Z38" s="475"/>
      <c r="AA38" s="475"/>
      <c r="AB38" s="475"/>
      <c r="AC38" s="475"/>
      <c r="AD38" s="477"/>
      <c r="AE38" s="696">
        <f>SUM(O37:AD38)</f>
        <v>0</v>
      </c>
      <c r="AF38" s="697"/>
      <c r="AG38" s="765"/>
      <c r="AH38" s="687"/>
      <c r="AI38" s="688"/>
      <c r="AJ38" s="689"/>
      <c r="AK38" s="698">
        <f>IF(C37=0,"",IF(MID(C37,7,1)="5","",IF(MID(C37,7,1)="6","",ROUNDDOWN((AK37*10%),-1))))</f>
        <v>0</v>
      </c>
      <c r="AL38" s="699"/>
      <c r="AM38" s="700"/>
      <c r="AN38" s="701">
        <f>ROUNDDOWN(AN37*요율!$F$5,-1)</f>
        <v>0</v>
      </c>
      <c r="AO38" s="701"/>
      <c r="AP38" s="701"/>
      <c r="AQ38" s="713">
        <f>IF(OR(AND(요율!$H$8="X",요율!$H$9="X",MID(C37,8,1)&gt;="5"),AND(요율!$H$8="○",요율!$H$9="X",MID(C37,8,1)&gt;="5")),"외국인",IF(요율!$H$8="X",IF(C37="",0,IF(OR(MID(C37,8,1)&lt;"3",AND(MID(C37,8,1)&gt;="5",MID(C37,8,1)&lt;="6")),IF(INT(TEXT($O$3,"yyyy.mmdd")-TEXT(TEXT(LEFT(C37,6),"1900-00-00"),"yyyy.mmdd"))&gt;=65,"65세이상",+TRUNC(AH37*요율!$C$9%,-1)),IF(INT(TEXT($O$3,"yyyy.mmdd")-TEXT(TEXT(LEFT(C37,6),"2000-00-00"),"yyyy.mmdd"))&gt;=65,"65세이상",+TRUNC(AH37*요율!$C$9%,-1)))),+TRUNC(AH37*요율!$C$9%,-1)))</f>
        <v>0</v>
      </c>
      <c r="AR38" s="699"/>
      <c r="AS38" s="699"/>
      <c r="AT38" s="714"/>
      <c r="AU38" s="715"/>
      <c r="AV38" s="716"/>
      <c r="AW38" s="723"/>
      <c r="AX38" s="724"/>
      <c r="AY38" s="725"/>
      <c r="AZ38" s="767"/>
      <c r="BA38" s="22" t="str">
        <f>BA37</f>
        <v/>
      </c>
      <c r="BB38" s="6">
        <v>2</v>
      </c>
      <c r="BC38" s="753"/>
      <c r="BD38" s="733">
        <f>B37</f>
        <v>0</v>
      </c>
      <c r="BE38" s="733"/>
      <c r="BF38" s="733"/>
      <c r="BG38" s="734">
        <f>SUM(BM37:CB38)</f>
        <v>0</v>
      </c>
      <c r="BH38" s="735"/>
      <c r="BI38" s="736"/>
      <c r="BJ38" s="144"/>
      <c r="BK38" s="145"/>
      <c r="BL38" s="146"/>
      <c r="BM38" s="17">
        <f>ROUNDDOWN(IF($AG37*O38&gt;요율!$E$3,($AG37*O38-요율!$E$3)*요율!$C$3%*요율!$D$3%,0),-1)</f>
        <v>0</v>
      </c>
      <c r="BN38" s="18">
        <f>ROUNDDOWN(IF($AG37*P38&gt;요율!$E$3,($AG37*P38-요율!$E$3)*요율!$C$3%*요율!$D$3%,0),-1)</f>
        <v>0</v>
      </c>
      <c r="BO38" s="18">
        <f>ROUNDDOWN(IF($AG37*Q38&gt;요율!$E$3,($AG37*Q38-요율!$E$3)*요율!$C$3%*요율!$D$3%,0),-1)</f>
        <v>0</v>
      </c>
      <c r="BP38" s="18">
        <f>ROUNDDOWN(IF($AG37*R38&gt;요율!$E$3,($AG37*R38-요율!$E$3)*요율!$C$3%*요율!$D$3%,0),-1)</f>
        <v>0</v>
      </c>
      <c r="BQ38" s="18">
        <f>ROUNDDOWN(IF($AG37*S38&gt;요율!$E$3,($AG37*S38-요율!$E$3)*요율!$C$3%*요율!$D$3%,0),-1)</f>
        <v>0</v>
      </c>
      <c r="BR38" s="18">
        <f>ROUNDDOWN(IF($AG37*T38&gt;요율!$E$3,($AG37*T38-요율!$E$3)*요율!$C$3%*요율!$D$3%,0),-1)</f>
        <v>0</v>
      </c>
      <c r="BS38" s="18">
        <f>ROUNDDOWN(IF($AG37*U38&gt;요율!$E$3,($AG37*U38-요율!$E$3)*요율!$C$3%*요율!$D$3%,0),-1)</f>
        <v>0</v>
      </c>
      <c r="BT38" s="18">
        <f>ROUNDDOWN(IF($AG37*V38&gt;요율!$E$3,($AG37*V38-요율!$E$3)*요율!$C$3%*요율!$D$3%,0),-1)</f>
        <v>0</v>
      </c>
      <c r="BU38" s="18">
        <f>ROUNDDOWN(IF($AG37*W38&gt;요율!$E$3,($AG37*W38-요율!$E$3)*요율!$C$3%*요율!$D$3%,0),-1)</f>
        <v>0</v>
      </c>
      <c r="BV38" s="18">
        <f>ROUNDDOWN(IF($AG37*X38&gt;요율!$E$3,($AG37*X38-요율!$E$3)*요율!$C$3%*요율!$D$3%,0),-1)</f>
        <v>0</v>
      </c>
      <c r="BW38" s="18">
        <f>ROUNDDOWN(IF($AG37*Y38&gt;요율!$E$3,($AG37*Y38-요율!$E$3)*요율!$C$3%*요율!$D$3%,0),-1)</f>
        <v>0</v>
      </c>
      <c r="BX38" s="18">
        <f>ROUNDDOWN(IF($AG37*Z38&gt;요율!$E$3,($AG37*Z38-요율!$E$3)*요율!$C$3%*요율!$D$3%,0),-1)</f>
        <v>0</v>
      </c>
      <c r="BY38" s="18">
        <f>ROUNDDOWN(IF($AG37*AA38&gt;요율!$E$3,($AG37*AA38-요율!$E$3)*요율!$C$3%*요율!$D$3%,0),-1)</f>
        <v>0</v>
      </c>
      <c r="BZ38" s="18">
        <f>ROUNDDOWN(IF($AG37*AB38&gt;요율!$E$3,($AG37*AB38-요율!$E$3)*요율!$C$3%*요율!$D$3%,0),-1)</f>
        <v>0</v>
      </c>
      <c r="CA38" s="18">
        <f>ROUNDDOWN(IF($AG37*AC38&gt;요율!$E$3,($AG37*AC38-요율!$E$3)*요율!$C$3%*요율!$D$3%,0),-1)</f>
        <v>0</v>
      </c>
      <c r="CB38" s="19">
        <f>ROUNDDOWN(IF($AG37*AD38&gt;요율!$E$3,($AG37*AD38-요율!$E$3)*요율!$C$3%*요율!$D$3%,0),-1)</f>
        <v>0</v>
      </c>
    </row>
    <row r="39" spans="1:82" ht="20.100000000000001" customHeight="1">
      <c r="A39" s="760">
        <f t="shared" si="1"/>
        <v>17</v>
      </c>
      <c r="B39" s="260"/>
      <c r="C39" s="708" t="str">
        <f>IF(ISERROR(VLOOKUP(B39,주소록!$A$3:$K$523,5,0)),"",VLOOKUP(B39,주소록!$A$3:$K$523,3,0))</f>
        <v/>
      </c>
      <c r="D39" s="708"/>
      <c r="E39" s="708"/>
      <c r="F39" s="709"/>
      <c r="G39" s="710" t="str">
        <f>IF(ISERROR(VLOOKUP(B39,주소록!$A$3:$K$523,6,0)),"",VLOOKUP(B39,주소록!$A$3:$K$523,4,0))</f>
        <v/>
      </c>
      <c r="H39" s="711"/>
      <c r="I39" s="711"/>
      <c r="J39" s="711"/>
      <c r="K39" s="711"/>
      <c r="L39" s="711"/>
      <c r="M39" s="711"/>
      <c r="N39" s="712"/>
      <c r="O39" s="469"/>
      <c r="P39" s="470"/>
      <c r="Q39" s="470"/>
      <c r="R39" s="470"/>
      <c r="S39" s="478"/>
      <c r="T39" s="469"/>
      <c r="U39" s="470"/>
      <c r="V39" s="470"/>
      <c r="W39" s="470"/>
      <c r="X39" s="471"/>
      <c r="Y39" s="472"/>
      <c r="Z39" s="467"/>
      <c r="AA39" s="470"/>
      <c r="AB39" s="470"/>
      <c r="AC39" s="470"/>
      <c r="AD39" s="473"/>
      <c r="AE39" s="762">
        <f>COUNTIF(O39:AD40,"&gt;=0.5")</f>
        <v>0</v>
      </c>
      <c r="AF39" s="763"/>
      <c r="AG39" s="764"/>
      <c r="AH39" s="684">
        <f>AE40*AG39</f>
        <v>0</v>
      </c>
      <c r="AI39" s="685"/>
      <c r="AJ39" s="686"/>
      <c r="AK39" s="755">
        <f>IF(BG40&lt;1000, 0, BG40)</f>
        <v>0</v>
      </c>
      <c r="AL39" s="756"/>
      <c r="AM39" s="757"/>
      <c r="AN39" s="758">
        <f>IF(요율!$H$7="○",IF(AE39&gt;=요율!$D$6,ROUNDDOWN(AH39*요율!$C$4%,-1),0),0)</f>
        <v>0</v>
      </c>
      <c r="AO39" s="756"/>
      <c r="AP39" s="757"/>
      <c r="AQ39" s="758">
        <f>BL39</f>
        <v>0</v>
      </c>
      <c r="AR39" s="756"/>
      <c r="AS39" s="759"/>
      <c r="AT39" s="717">
        <f>SUM(AK39:AS40)</f>
        <v>0</v>
      </c>
      <c r="AU39" s="718"/>
      <c r="AV39" s="719"/>
      <c r="AW39" s="720">
        <f>AH39-AT39-AT40</f>
        <v>0</v>
      </c>
      <c r="AX39" s="721"/>
      <c r="AY39" s="722"/>
      <c r="AZ39" s="766"/>
      <c r="BA39" s="21" t="str">
        <f>IF(ISERROR(VLOOKUP($B39,주소록!$A$3:$K$523,3,0)),"",VLOOKUP($B39,주소록!$A$3:$K$523,2,0))</f>
        <v/>
      </c>
      <c r="BB39" s="6">
        <v>1</v>
      </c>
      <c r="BC39" s="752">
        <f>A39</f>
        <v>17</v>
      </c>
      <c r="BD39" s="754" t="str">
        <f>IF(OR(MID(C39,8,1)&lt;"3",AND(MID(C39,8,1)&gt;="5",MID(C39,8,1)&lt;="6")),TEXT(TEXT(LEFT(C39,6),"1900-00-00"),"yyyy년 m월 d일"),TEXT(TEXT(LEFT(C39,6),"2000-00-00"),"yyyy년 m월 d일"))</f>
        <v/>
      </c>
      <c r="BE39" s="754"/>
      <c r="BF39" s="754"/>
      <c r="BG39" s="768">
        <f>IFERROR(INT( ( TEXT($O$3,"yyyy.mmdd") - TEXT(BD39,"yyyy.mmdd") )  ),0)</f>
        <v>0</v>
      </c>
      <c r="BH39" s="769"/>
      <c r="BI39" s="770"/>
      <c r="BJ39" s="133">
        <f>IF(BG39&gt;59,"60세이상",IF(OR(AE39&lt;요율!$D$6,AH39=0),0,IF(AH39&lt;요율!$C$7,요율!$D$7,IF(AH39&gt;요율!$C$8,요율!$D$8,+TRUNC(AH39*요율!$C$6%,-1)))))</f>
        <v>0</v>
      </c>
      <c r="BK39" s="143">
        <f>IF(BG39&gt;59,"60세이상",IF(OR(AH39&lt;2200000,AH39=0),0,IF(AH39&lt;요율!$C$7,요율!$D$7,IF(AH39&gt;요율!$C$8,요율!$D$8,+TRUNC(AH39*요율!$C$6%,-1)))))</f>
        <v>0</v>
      </c>
      <c r="BL39" s="140">
        <f>IF(BK39&gt;0,BK39,BJ39)</f>
        <v>0</v>
      </c>
      <c r="BM39" s="15">
        <f>ROUNDDOWN(IF($AG39*O39&gt;요율!$E$3,($AG39*O39-요율!$E$3)*요율!$C$3%*요율!$D$3%,0),-1)</f>
        <v>0</v>
      </c>
      <c r="BN39" s="16">
        <f>ROUNDDOWN(IF($AG39*P39&gt;요율!$E$3,($AG39*P39-요율!$E$3)*요율!$C$3%*요율!$D$3%,0),-1)</f>
        <v>0</v>
      </c>
      <c r="BO39" s="16">
        <f>ROUNDDOWN(IF($AG39*Q39&gt;요율!$E$3,($AG39*Q39-요율!$E$3)*요율!$C$3%*요율!$D$3%,0),-1)</f>
        <v>0</v>
      </c>
      <c r="BP39" s="16">
        <f>ROUNDDOWN(IF($AG39*R39&gt;요율!$E$3,($AG39*R39-요율!$E$3)*요율!$C$3%*요율!$D$3%,0),-1)</f>
        <v>0</v>
      </c>
      <c r="BQ39" s="16">
        <f>ROUNDDOWN(IF($AG39*S39&gt;요율!$E$3,($AG39*S39-요율!$E$3)*요율!$C$3%*요율!$D$3%,0),-1)</f>
        <v>0</v>
      </c>
      <c r="BR39" s="16">
        <f>ROUNDDOWN(IF($AG39*T39&gt;요율!$E$3,($AG39*T39-요율!$E$3)*요율!$C$3%*요율!$D$3%,0),-1)</f>
        <v>0</v>
      </c>
      <c r="BS39" s="16">
        <f>ROUNDDOWN(IF($AG39*U39&gt;요율!$E$3,($AG39*U39-요율!$E$3)*요율!$C$3%*요율!$D$3%,0),-1)</f>
        <v>0</v>
      </c>
      <c r="BT39" s="16">
        <f>ROUNDDOWN(IF($AG39*V39&gt;요율!$E$3,($AG39*V39-요율!$E$3)*요율!$C$3%*요율!$D$3%,0),-1)</f>
        <v>0</v>
      </c>
      <c r="BU39" s="16">
        <f>ROUNDDOWN(IF($AG39*W39&gt;요율!$E$3,($AG39*W39-요율!$E$3)*요율!$C$3%*요율!$D$3%,0),-1)</f>
        <v>0</v>
      </c>
      <c r="BV39" s="16">
        <f>ROUNDDOWN(IF($AG39*X39&gt;요율!$E$3,($AG39*X39-요율!$E$3)*요율!$C$3%*요율!$D$3%,0),-1)</f>
        <v>0</v>
      </c>
      <c r="BW39" s="16">
        <f>ROUNDDOWN(IF($AG39*Y39&gt;요율!$E$3,($AG39*Y39-요율!$E$3)*요율!$C$3%*요율!$D$3%,0),-1)</f>
        <v>0</v>
      </c>
      <c r="BX39" s="16">
        <f>ROUNDDOWN(IF($AG39*Z39&gt;요율!$E$3,($AG39*Z39-요율!$E$3)*요율!$C$3%*요율!$D$3%,0),-1)</f>
        <v>0</v>
      </c>
      <c r="BY39" s="16">
        <f>ROUNDDOWN(IF($AG39*AA39&gt;요율!$E$3,($AG39*AA39-요율!$E$3)*요율!$C$3%*요율!$D$3%,0),-1)</f>
        <v>0</v>
      </c>
      <c r="BZ39" s="16">
        <f>ROUNDDOWN(IF($AG39*AB39&gt;요율!$E$3,($AG39*AB39-요율!$E$3)*요율!$C$3%*요율!$D$3%,0),-1)</f>
        <v>0</v>
      </c>
      <c r="CA39" s="16">
        <f>ROUNDDOWN(IF($AG39*AC39&gt;요율!$E$3,($AG39*AC39-요율!$E$3)*요율!$C$3%*요율!$D$3%,0),-1)</f>
        <v>0</v>
      </c>
      <c r="CB39" s="31">
        <f>ROUNDDOWN(IF($AG39*AD39&gt;요율!$E$3,($AG39*AD39-요율!$E$3)*요율!$C$3%*요율!$D$3%,0),-1)</f>
        <v>0</v>
      </c>
      <c r="CD39" s="5" t="str">
        <f>IFERROR(VLOOKUP(B39,주소록,9,FALSE),"")</f>
        <v/>
      </c>
    </row>
    <row r="40" spans="1:82" ht="20.100000000000001" customHeight="1">
      <c r="A40" s="761"/>
      <c r="B40" s="261" t="str">
        <f>BA39</f>
        <v/>
      </c>
      <c r="C40" s="690" t="str">
        <f>IF(ISERROR(VLOOKUP(B39,주소록!$A$3:$K$523,7,0)),"",VLOOKUP(B39,주소록!$A$3:$K$523,5,0))</f>
        <v/>
      </c>
      <c r="D40" s="690"/>
      <c r="E40" s="690"/>
      <c r="F40" s="691"/>
      <c r="G40" s="692" t="str">
        <f>IF(ISERROR(VLOOKUP(B39,주소록!$A$3:$K$523,9,0)),"",VLOOKUP(B39,주소록!$A$3:$K$523,7,0))</f>
        <v/>
      </c>
      <c r="H40" s="693"/>
      <c r="I40" s="694"/>
      <c r="J40" s="692" t="str">
        <f>IF(ISERROR(VLOOKUP(B39,주소록!$A$3:$K$523,10,0)),"",VLOOKUP(B39,주소록!$A$3:$K$523,8,0))</f>
        <v/>
      </c>
      <c r="K40" s="693"/>
      <c r="L40" s="693"/>
      <c r="M40" s="693"/>
      <c r="N40" s="695"/>
      <c r="O40" s="474"/>
      <c r="P40" s="475"/>
      <c r="Q40" s="475"/>
      <c r="R40" s="468"/>
      <c r="S40" s="476"/>
      <c r="T40" s="474"/>
      <c r="U40" s="475"/>
      <c r="V40" s="475"/>
      <c r="W40" s="475"/>
      <c r="X40" s="477"/>
      <c r="Y40" s="479"/>
      <c r="Z40" s="475"/>
      <c r="AA40" s="475"/>
      <c r="AB40" s="475"/>
      <c r="AC40" s="475"/>
      <c r="AD40" s="477"/>
      <c r="AE40" s="696">
        <f>SUM(O39:AD40)</f>
        <v>0</v>
      </c>
      <c r="AF40" s="697"/>
      <c r="AG40" s="765"/>
      <c r="AH40" s="687"/>
      <c r="AI40" s="688"/>
      <c r="AJ40" s="689"/>
      <c r="AK40" s="698">
        <f>IF(C39=0,"",IF(MID(C39,7,1)="5","",IF(MID(C39,7,1)="6","",ROUNDDOWN((AK39*10%),-1))))</f>
        <v>0</v>
      </c>
      <c r="AL40" s="699"/>
      <c r="AM40" s="700"/>
      <c r="AN40" s="701">
        <f>ROUNDDOWN(AN39*요율!$F$5,-1)</f>
        <v>0</v>
      </c>
      <c r="AO40" s="701"/>
      <c r="AP40" s="701"/>
      <c r="AQ40" s="713">
        <f>IF(OR(AND(요율!$H$8="X",요율!$H$9="X",MID(C39,8,1)&gt;="5"),AND(요율!$H$8="○",요율!$H$9="X",MID(C39,8,1)&gt;="5")),"외국인",IF(요율!$H$8="X",IF(C39="",0,IF(OR(MID(C39,8,1)&lt;"3",AND(MID(C39,8,1)&gt;="5",MID(C39,8,1)&lt;="6")),IF(INT(TEXT($O$3,"yyyy.mmdd")-TEXT(TEXT(LEFT(C39,6),"1900-00-00"),"yyyy.mmdd"))&gt;=65,"65세이상",+TRUNC(AH39*요율!$C$9%,-1)),IF(INT(TEXT($O$3,"yyyy.mmdd")-TEXT(TEXT(LEFT(C39,6),"2000-00-00"),"yyyy.mmdd"))&gt;=65,"65세이상",+TRUNC(AH39*요율!$C$9%,-1)))),+TRUNC(AH39*요율!$C$9%,-1)))</f>
        <v>0</v>
      </c>
      <c r="AR40" s="699"/>
      <c r="AS40" s="699"/>
      <c r="AT40" s="714"/>
      <c r="AU40" s="715"/>
      <c r="AV40" s="716"/>
      <c r="AW40" s="723"/>
      <c r="AX40" s="724"/>
      <c r="AY40" s="725"/>
      <c r="AZ40" s="767"/>
      <c r="BA40" s="22" t="str">
        <f>BA39</f>
        <v/>
      </c>
      <c r="BB40" s="6">
        <v>2</v>
      </c>
      <c r="BC40" s="753"/>
      <c r="BD40" s="733">
        <f>B39</f>
        <v>0</v>
      </c>
      <c r="BE40" s="733"/>
      <c r="BF40" s="733"/>
      <c r="BG40" s="734">
        <f>SUM(BM39:CB40)</f>
        <v>0</v>
      </c>
      <c r="BH40" s="735"/>
      <c r="BI40" s="736"/>
      <c r="BJ40" s="144"/>
      <c r="BK40" s="145"/>
      <c r="BL40" s="146"/>
      <c r="BM40" s="17">
        <f>ROUNDDOWN(IF($AG39*O40&gt;요율!$E$3,($AG39*O40-요율!$E$3)*요율!$C$3%*요율!$D$3%,0),-1)</f>
        <v>0</v>
      </c>
      <c r="BN40" s="18">
        <f>ROUNDDOWN(IF($AG39*P40&gt;요율!$E$3,($AG39*P40-요율!$E$3)*요율!$C$3%*요율!$D$3%,0),-1)</f>
        <v>0</v>
      </c>
      <c r="BO40" s="18">
        <f>ROUNDDOWN(IF($AG39*Q40&gt;요율!$E$3,($AG39*Q40-요율!$E$3)*요율!$C$3%*요율!$D$3%,0),-1)</f>
        <v>0</v>
      </c>
      <c r="BP40" s="18">
        <f>ROUNDDOWN(IF($AG39*R40&gt;요율!$E$3,($AG39*R40-요율!$E$3)*요율!$C$3%*요율!$D$3%,0),-1)</f>
        <v>0</v>
      </c>
      <c r="BQ40" s="18">
        <f>ROUNDDOWN(IF($AG39*S40&gt;요율!$E$3,($AG39*S40-요율!$E$3)*요율!$C$3%*요율!$D$3%,0),-1)</f>
        <v>0</v>
      </c>
      <c r="BR40" s="18">
        <f>ROUNDDOWN(IF($AG39*T40&gt;요율!$E$3,($AG39*T40-요율!$E$3)*요율!$C$3%*요율!$D$3%,0),-1)</f>
        <v>0</v>
      </c>
      <c r="BS40" s="18">
        <f>ROUNDDOWN(IF($AG39*U40&gt;요율!$E$3,($AG39*U40-요율!$E$3)*요율!$C$3%*요율!$D$3%,0),-1)</f>
        <v>0</v>
      </c>
      <c r="BT40" s="18">
        <f>ROUNDDOWN(IF($AG39*V40&gt;요율!$E$3,($AG39*V40-요율!$E$3)*요율!$C$3%*요율!$D$3%,0),-1)</f>
        <v>0</v>
      </c>
      <c r="BU40" s="18">
        <f>ROUNDDOWN(IF($AG39*W40&gt;요율!$E$3,($AG39*W40-요율!$E$3)*요율!$C$3%*요율!$D$3%,0),-1)</f>
        <v>0</v>
      </c>
      <c r="BV40" s="18">
        <f>ROUNDDOWN(IF($AG39*X40&gt;요율!$E$3,($AG39*X40-요율!$E$3)*요율!$C$3%*요율!$D$3%,0),-1)</f>
        <v>0</v>
      </c>
      <c r="BW40" s="18">
        <f>ROUNDDOWN(IF($AG39*Y40&gt;요율!$E$3,($AG39*Y40-요율!$E$3)*요율!$C$3%*요율!$D$3%,0),-1)</f>
        <v>0</v>
      </c>
      <c r="BX40" s="18">
        <f>ROUNDDOWN(IF($AG39*Z40&gt;요율!$E$3,($AG39*Z40-요율!$E$3)*요율!$C$3%*요율!$D$3%,0),-1)</f>
        <v>0</v>
      </c>
      <c r="BY40" s="18">
        <f>ROUNDDOWN(IF($AG39*AA40&gt;요율!$E$3,($AG39*AA40-요율!$E$3)*요율!$C$3%*요율!$D$3%,0),-1)</f>
        <v>0</v>
      </c>
      <c r="BZ40" s="18">
        <f>ROUNDDOWN(IF($AG39*AB40&gt;요율!$E$3,($AG39*AB40-요율!$E$3)*요율!$C$3%*요율!$D$3%,0),-1)</f>
        <v>0</v>
      </c>
      <c r="CA40" s="18">
        <f>ROUNDDOWN(IF($AG39*AC40&gt;요율!$E$3,($AG39*AC40-요율!$E$3)*요율!$C$3%*요율!$D$3%,0),-1)</f>
        <v>0</v>
      </c>
      <c r="CB40" s="19">
        <f>ROUNDDOWN(IF($AG39*AD40&gt;요율!$E$3,($AG39*AD40-요율!$E$3)*요율!$C$3%*요율!$D$3%,0),-1)</f>
        <v>0</v>
      </c>
    </row>
    <row r="41" spans="1:82" ht="20.100000000000001" customHeight="1">
      <c r="A41" s="760">
        <f t="shared" si="1"/>
        <v>18</v>
      </c>
      <c r="B41" s="260"/>
      <c r="C41" s="708" t="str">
        <f>IF(ISERROR(VLOOKUP(B41,주소록!$A$3:$K$523,5,0)),"",VLOOKUP(B41,주소록!$A$3:$K$523,3,0))</f>
        <v/>
      </c>
      <c r="D41" s="708"/>
      <c r="E41" s="708"/>
      <c r="F41" s="709"/>
      <c r="G41" s="710" t="str">
        <f>IF(ISERROR(VLOOKUP(B41,주소록!$A$3:$K$523,6,0)),"",VLOOKUP(B41,주소록!$A$3:$K$523,4,0))</f>
        <v/>
      </c>
      <c r="H41" s="711"/>
      <c r="I41" s="711"/>
      <c r="J41" s="711"/>
      <c r="K41" s="711"/>
      <c r="L41" s="711"/>
      <c r="M41" s="711"/>
      <c r="N41" s="712"/>
      <c r="O41" s="469"/>
      <c r="P41" s="470"/>
      <c r="Q41" s="470"/>
      <c r="R41" s="470"/>
      <c r="S41" s="478"/>
      <c r="T41" s="469"/>
      <c r="U41" s="470"/>
      <c r="V41" s="470"/>
      <c r="W41" s="470"/>
      <c r="X41" s="471"/>
      <c r="Y41" s="472"/>
      <c r="Z41" s="467"/>
      <c r="AA41" s="470"/>
      <c r="AB41" s="470"/>
      <c r="AC41" s="470"/>
      <c r="AD41" s="473"/>
      <c r="AE41" s="762">
        <f>COUNTIF(O41:AD42,"&gt;=0.5")</f>
        <v>0</v>
      </c>
      <c r="AF41" s="763"/>
      <c r="AG41" s="764"/>
      <c r="AH41" s="684">
        <f>AE42*AG41</f>
        <v>0</v>
      </c>
      <c r="AI41" s="685"/>
      <c r="AJ41" s="686"/>
      <c r="AK41" s="755">
        <f>IF(BG42&lt;1000, 0, BG42)</f>
        <v>0</v>
      </c>
      <c r="AL41" s="756"/>
      <c r="AM41" s="757"/>
      <c r="AN41" s="758">
        <f>IF(요율!$H$7="○",IF(AE41&gt;=요율!$D$6,ROUNDDOWN(AH41*요율!$C$4%,-1),0),0)</f>
        <v>0</v>
      </c>
      <c r="AO41" s="756"/>
      <c r="AP41" s="757"/>
      <c r="AQ41" s="758">
        <f>BL41</f>
        <v>0</v>
      </c>
      <c r="AR41" s="756"/>
      <c r="AS41" s="759"/>
      <c r="AT41" s="717">
        <f>SUM(AK41:AS42)</f>
        <v>0</v>
      </c>
      <c r="AU41" s="718"/>
      <c r="AV41" s="719"/>
      <c r="AW41" s="720">
        <f>AH41-AT41-AT42</f>
        <v>0</v>
      </c>
      <c r="AX41" s="721"/>
      <c r="AY41" s="722"/>
      <c r="AZ41" s="766"/>
      <c r="BA41" s="21" t="str">
        <f>IF(ISERROR(VLOOKUP($B41,주소록!$A$3:$K$523,3,0)),"",VLOOKUP($B41,주소록!$A$3:$K$523,2,0))</f>
        <v/>
      </c>
      <c r="BB41" s="6">
        <v>1</v>
      </c>
      <c r="BC41" s="752">
        <f>A41</f>
        <v>18</v>
      </c>
      <c r="BD41" s="754" t="str">
        <f>IF(OR(MID(C41,8,1)&lt;"3",AND(MID(C41,8,1)&gt;="5",MID(C41,8,1)&lt;="6")),TEXT(TEXT(LEFT(C41,6),"1900-00-00"),"yyyy년 m월 d일"),TEXT(TEXT(LEFT(C41,6),"2000-00-00"),"yyyy년 m월 d일"))</f>
        <v/>
      </c>
      <c r="BE41" s="754"/>
      <c r="BF41" s="754"/>
      <c r="BG41" s="768">
        <f>IFERROR(INT( ( TEXT($O$3,"yyyy.mmdd") - TEXT(BD41,"yyyy.mmdd") )  ),0)</f>
        <v>0</v>
      </c>
      <c r="BH41" s="769"/>
      <c r="BI41" s="770"/>
      <c r="BJ41" s="133">
        <f>IF(BG41&gt;59,"60세이상",IF(OR(AE41&lt;요율!$D$6,AH41=0),0,IF(AH41&lt;요율!$C$7,요율!$D$7,IF(AH41&gt;요율!$C$8,요율!$D$8,+TRUNC(AH41*요율!$C$6%,-1)))))</f>
        <v>0</v>
      </c>
      <c r="BK41" s="143">
        <f>IF(BG41&gt;59,"60세이상",IF(OR(AH41&lt;2200000,AH41=0),0,IF(AH41&lt;요율!$C$7,요율!$D$7,IF(AH41&gt;요율!$C$8,요율!$D$8,+TRUNC(AH41*요율!$C$6%,-1)))))</f>
        <v>0</v>
      </c>
      <c r="BL41" s="140">
        <f>IF(BK41&gt;0,BK41,BJ41)</f>
        <v>0</v>
      </c>
      <c r="BM41" s="15">
        <f>ROUNDDOWN(IF($AG41*O41&gt;요율!$E$3,($AG41*O41-요율!$E$3)*요율!$C$3%*요율!$D$3%,0),-1)</f>
        <v>0</v>
      </c>
      <c r="BN41" s="16">
        <f>ROUNDDOWN(IF($AG41*P41&gt;요율!$E$3,($AG41*P41-요율!$E$3)*요율!$C$3%*요율!$D$3%,0),-1)</f>
        <v>0</v>
      </c>
      <c r="BO41" s="16">
        <f>ROUNDDOWN(IF($AG41*Q41&gt;요율!$E$3,($AG41*Q41-요율!$E$3)*요율!$C$3%*요율!$D$3%,0),-1)</f>
        <v>0</v>
      </c>
      <c r="BP41" s="16">
        <f>ROUNDDOWN(IF($AG41*R41&gt;요율!$E$3,($AG41*R41-요율!$E$3)*요율!$C$3%*요율!$D$3%,0),-1)</f>
        <v>0</v>
      </c>
      <c r="BQ41" s="16">
        <f>ROUNDDOWN(IF($AG41*S41&gt;요율!$E$3,($AG41*S41-요율!$E$3)*요율!$C$3%*요율!$D$3%,0),-1)</f>
        <v>0</v>
      </c>
      <c r="BR41" s="16">
        <f>ROUNDDOWN(IF($AG41*T41&gt;요율!$E$3,($AG41*T41-요율!$E$3)*요율!$C$3%*요율!$D$3%,0),-1)</f>
        <v>0</v>
      </c>
      <c r="BS41" s="16">
        <f>ROUNDDOWN(IF($AG41*U41&gt;요율!$E$3,($AG41*U41-요율!$E$3)*요율!$C$3%*요율!$D$3%,0),-1)</f>
        <v>0</v>
      </c>
      <c r="BT41" s="16">
        <f>ROUNDDOWN(IF($AG41*V41&gt;요율!$E$3,($AG41*V41-요율!$E$3)*요율!$C$3%*요율!$D$3%,0),-1)</f>
        <v>0</v>
      </c>
      <c r="BU41" s="16">
        <f>ROUNDDOWN(IF($AG41*W41&gt;요율!$E$3,($AG41*W41-요율!$E$3)*요율!$C$3%*요율!$D$3%,0),-1)</f>
        <v>0</v>
      </c>
      <c r="BV41" s="16">
        <f>ROUNDDOWN(IF($AG41*X41&gt;요율!$E$3,($AG41*X41-요율!$E$3)*요율!$C$3%*요율!$D$3%,0),-1)</f>
        <v>0</v>
      </c>
      <c r="BW41" s="16">
        <f>ROUNDDOWN(IF($AG41*Y41&gt;요율!$E$3,($AG41*Y41-요율!$E$3)*요율!$C$3%*요율!$D$3%,0),-1)</f>
        <v>0</v>
      </c>
      <c r="BX41" s="16">
        <f>ROUNDDOWN(IF($AG41*Z41&gt;요율!$E$3,($AG41*Z41-요율!$E$3)*요율!$C$3%*요율!$D$3%,0),-1)</f>
        <v>0</v>
      </c>
      <c r="BY41" s="16">
        <f>ROUNDDOWN(IF($AG41*AA41&gt;요율!$E$3,($AG41*AA41-요율!$E$3)*요율!$C$3%*요율!$D$3%,0),-1)</f>
        <v>0</v>
      </c>
      <c r="BZ41" s="16">
        <f>ROUNDDOWN(IF($AG41*AB41&gt;요율!$E$3,($AG41*AB41-요율!$E$3)*요율!$C$3%*요율!$D$3%,0),-1)</f>
        <v>0</v>
      </c>
      <c r="CA41" s="16">
        <f>ROUNDDOWN(IF($AG41*AC41&gt;요율!$E$3,($AG41*AC41-요율!$E$3)*요율!$C$3%*요율!$D$3%,0),-1)</f>
        <v>0</v>
      </c>
      <c r="CB41" s="31">
        <f>ROUNDDOWN(IF($AG41*AD41&gt;요율!$E$3,($AG41*AD41-요율!$E$3)*요율!$C$3%*요율!$D$3%,0),-1)</f>
        <v>0</v>
      </c>
      <c r="CD41" s="5" t="str">
        <f>IFERROR(VLOOKUP(B41,주소록,9,FALSE),"")</f>
        <v/>
      </c>
    </row>
    <row r="42" spans="1:82" ht="20.100000000000001" customHeight="1">
      <c r="A42" s="761"/>
      <c r="B42" s="261" t="str">
        <f>BA41</f>
        <v/>
      </c>
      <c r="C42" s="690" t="str">
        <f>IF(ISERROR(VLOOKUP(B41,주소록!$A$3:$K$523,7,0)),"",VLOOKUP(B41,주소록!$A$3:$K$523,5,0))</f>
        <v/>
      </c>
      <c r="D42" s="690"/>
      <c r="E42" s="690"/>
      <c r="F42" s="691"/>
      <c r="G42" s="692" t="str">
        <f>IF(ISERROR(VLOOKUP(B41,주소록!$A$3:$K$523,9,0)),"",VLOOKUP(B41,주소록!$A$3:$K$523,7,0))</f>
        <v/>
      </c>
      <c r="H42" s="693"/>
      <c r="I42" s="694"/>
      <c r="J42" s="692" t="str">
        <f>IF(ISERROR(VLOOKUP(B41,주소록!$A$3:$K$523,10,0)),"",VLOOKUP(B41,주소록!$A$3:$K$523,8,0))</f>
        <v/>
      </c>
      <c r="K42" s="693"/>
      <c r="L42" s="693"/>
      <c r="M42" s="693"/>
      <c r="N42" s="695"/>
      <c r="O42" s="474"/>
      <c r="P42" s="475"/>
      <c r="Q42" s="475"/>
      <c r="R42" s="468"/>
      <c r="S42" s="476"/>
      <c r="T42" s="474"/>
      <c r="U42" s="475"/>
      <c r="V42" s="475"/>
      <c r="W42" s="475"/>
      <c r="X42" s="477"/>
      <c r="Y42" s="479"/>
      <c r="Z42" s="475"/>
      <c r="AA42" s="475"/>
      <c r="AB42" s="475"/>
      <c r="AC42" s="475"/>
      <c r="AD42" s="477"/>
      <c r="AE42" s="696">
        <f>SUM(O41:AD42)</f>
        <v>0</v>
      </c>
      <c r="AF42" s="697"/>
      <c r="AG42" s="765"/>
      <c r="AH42" s="687"/>
      <c r="AI42" s="688"/>
      <c r="AJ42" s="689"/>
      <c r="AK42" s="698">
        <f>IF(C41=0,"",IF(MID(C41,7,1)="5","",IF(MID(C41,7,1)="6","",ROUNDDOWN((AK41*10%),-1))))</f>
        <v>0</v>
      </c>
      <c r="AL42" s="699"/>
      <c r="AM42" s="700"/>
      <c r="AN42" s="701">
        <f>ROUNDDOWN(AN41*요율!$F$5,-1)</f>
        <v>0</v>
      </c>
      <c r="AO42" s="701"/>
      <c r="AP42" s="701"/>
      <c r="AQ42" s="713">
        <f>IF(OR(AND(요율!$H$8="X",요율!$H$9="X",MID(C41,8,1)&gt;="5"),AND(요율!$H$8="○",요율!$H$9="X",MID(C41,8,1)&gt;="5")),"외국인",IF(요율!$H$8="X",IF(C41="",0,IF(OR(MID(C41,8,1)&lt;"3",AND(MID(C41,8,1)&gt;="5",MID(C41,8,1)&lt;="6")),IF(INT(TEXT($O$3,"yyyy.mmdd")-TEXT(TEXT(LEFT(C41,6),"1900-00-00"),"yyyy.mmdd"))&gt;=65,"65세이상",+TRUNC(AH41*요율!$C$9%,-1)),IF(INT(TEXT($O$3,"yyyy.mmdd")-TEXT(TEXT(LEFT(C41,6),"2000-00-00"),"yyyy.mmdd"))&gt;=65,"65세이상",+TRUNC(AH41*요율!$C$9%,-1)))),+TRUNC(AH41*요율!$C$9%,-1)))</f>
        <v>0</v>
      </c>
      <c r="AR42" s="699"/>
      <c r="AS42" s="699"/>
      <c r="AT42" s="714"/>
      <c r="AU42" s="715"/>
      <c r="AV42" s="716"/>
      <c r="AW42" s="723"/>
      <c r="AX42" s="724"/>
      <c r="AY42" s="725"/>
      <c r="AZ42" s="767"/>
      <c r="BA42" s="22" t="str">
        <f>BA41</f>
        <v/>
      </c>
      <c r="BB42" s="6">
        <v>2</v>
      </c>
      <c r="BC42" s="753"/>
      <c r="BD42" s="733">
        <f>B41</f>
        <v>0</v>
      </c>
      <c r="BE42" s="733"/>
      <c r="BF42" s="733"/>
      <c r="BG42" s="734">
        <f>SUM(BM41:CB42)</f>
        <v>0</v>
      </c>
      <c r="BH42" s="735"/>
      <c r="BI42" s="736"/>
      <c r="BJ42" s="144"/>
      <c r="BK42" s="145"/>
      <c r="BL42" s="146"/>
      <c r="BM42" s="17">
        <f>ROUNDDOWN(IF($AG41*O42&gt;요율!$E$3,($AG41*O42-요율!$E$3)*요율!$C$3%*요율!$D$3%,0),-1)</f>
        <v>0</v>
      </c>
      <c r="BN42" s="18">
        <f>ROUNDDOWN(IF($AG41*P42&gt;요율!$E$3,($AG41*P42-요율!$E$3)*요율!$C$3%*요율!$D$3%,0),-1)</f>
        <v>0</v>
      </c>
      <c r="BO42" s="18">
        <f>ROUNDDOWN(IF($AG41*Q42&gt;요율!$E$3,($AG41*Q42-요율!$E$3)*요율!$C$3%*요율!$D$3%,0),-1)</f>
        <v>0</v>
      </c>
      <c r="BP42" s="18">
        <f>ROUNDDOWN(IF($AG41*R42&gt;요율!$E$3,($AG41*R42-요율!$E$3)*요율!$C$3%*요율!$D$3%,0),-1)</f>
        <v>0</v>
      </c>
      <c r="BQ42" s="18">
        <f>ROUNDDOWN(IF($AG41*S42&gt;요율!$E$3,($AG41*S42-요율!$E$3)*요율!$C$3%*요율!$D$3%,0),-1)</f>
        <v>0</v>
      </c>
      <c r="BR42" s="18">
        <f>ROUNDDOWN(IF($AG41*T42&gt;요율!$E$3,($AG41*T42-요율!$E$3)*요율!$C$3%*요율!$D$3%,0),-1)</f>
        <v>0</v>
      </c>
      <c r="BS42" s="18">
        <f>ROUNDDOWN(IF($AG41*U42&gt;요율!$E$3,($AG41*U42-요율!$E$3)*요율!$C$3%*요율!$D$3%,0),-1)</f>
        <v>0</v>
      </c>
      <c r="BT42" s="18">
        <f>ROUNDDOWN(IF($AG41*V42&gt;요율!$E$3,($AG41*V42-요율!$E$3)*요율!$C$3%*요율!$D$3%,0),-1)</f>
        <v>0</v>
      </c>
      <c r="BU42" s="18">
        <f>ROUNDDOWN(IF($AG41*W42&gt;요율!$E$3,($AG41*W42-요율!$E$3)*요율!$C$3%*요율!$D$3%,0),-1)</f>
        <v>0</v>
      </c>
      <c r="BV42" s="18">
        <f>ROUNDDOWN(IF($AG41*X42&gt;요율!$E$3,($AG41*X42-요율!$E$3)*요율!$C$3%*요율!$D$3%,0),-1)</f>
        <v>0</v>
      </c>
      <c r="BW42" s="18">
        <f>ROUNDDOWN(IF($AG41*Y42&gt;요율!$E$3,($AG41*Y42-요율!$E$3)*요율!$C$3%*요율!$D$3%,0),-1)</f>
        <v>0</v>
      </c>
      <c r="BX42" s="18">
        <f>ROUNDDOWN(IF($AG41*Z42&gt;요율!$E$3,($AG41*Z42-요율!$E$3)*요율!$C$3%*요율!$D$3%,0),-1)</f>
        <v>0</v>
      </c>
      <c r="BY42" s="18">
        <f>ROUNDDOWN(IF($AG41*AA42&gt;요율!$E$3,($AG41*AA42-요율!$E$3)*요율!$C$3%*요율!$D$3%,0),-1)</f>
        <v>0</v>
      </c>
      <c r="BZ42" s="18">
        <f>ROUNDDOWN(IF($AG41*AB42&gt;요율!$E$3,($AG41*AB42-요율!$E$3)*요율!$C$3%*요율!$D$3%,0),-1)</f>
        <v>0</v>
      </c>
      <c r="CA42" s="18">
        <f>ROUNDDOWN(IF($AG41*AC42&gt;요율!$E$3,($AG41*AC42-요율!$E$3)*요율!$C$3%*요율!$D$3%,0),-1)</f>
        <v>0</v>
      </c>
      <c r="CB42" s="19">
        <f>ROUNDDOWN(IF($AG41*AD42&gt;요율!$E$3,($AG41*AD42-요율!$E$3)*요율!$C$3%*요율!$D$3%,0),-1)</f>
        <v>0</v>
      </c>
    </row>
    <row r="43" spans="1:82" ht="20.100000000000001" customHeight="1">
      <c r="A43" s="760">
        <f t="shared" si="1"/>
        <v>19</v>
      </c>
      <c r="B43" s="260"/>
      <c r="C43" s="708" t="str">
        <f>IF(ISERROR(VLOOKUP(B43,주소록!$A$3:$K$523,5,0)),"",VLOOKUP(B43,주소록!$A$3:$K$523,3,0))</f>
        <v/>
      </c>
      <c r="D43" s="708"/>
      <c r="E43" s="708"/>
      <c r="F43" s="709"/>
      <c r="G43" s="710" t="str">
        <f>IF(ISERROR(VLOOKUP(B43,주소록!$A$3:$K$523,6,0)),"",VLOOKUP(B43,주소록!$A$3:$K$523,4,0))</f>
        <v/>
      </c>
      <c r="H43" s="711"/>
      <c r="I43" s="711"/>
      <c r="J43" s="711"/>
      <c r="K43" s="711"/>
      <c r="L43" s="711"/>
      <c r="M43" s="711"/>
      <c r="N43" s="712"/>
      <c r="O43" s="469"/>
      <c r="P43" s="470"/>
      <c r="Q43" s="470"/>
      <c r="R43" s="470"/>
      <c r="S43" s="478"/>
      <c r="T43" s="469"/>
      <c r="U43" s="470"/>
      <c r="V43" s="470"/>
      <c r="W43" s="470"/>
      <c r="X43" s="471"/>
      <c r="Y43" s="472"/>
      <c r="Z43" s="467"/>
      <c r="AA43" s="470"/>
      <c r="AB43" s="470"/>
      <c r="AC43" s="470"/>
      <c r="AD43" s="473"/>
      <c r="AE43" s="762">
        <f>COUNTIF(O43:AD44,"&gt;=0.5")</f>
        <v>0</v>
      </c>
      <c r="AF43" s="763"/>
      <c r="AG43" s="764"/>
      <c r="AH43" s="684">
        <f>AE44*AG43</f>
        <v>0</v>
      </c>
      <c r="AI43" s="685"/>
      <c r="AJ43" s="686"/>
      <c r="AK43" s="755">
        <f>IF(BG44&lt;1000, 0, BG44)</f>
        <v>0</v>
      </c>
      <c r="AL43" s="756"/>
      <c r="AM43" s="757"/>
      <c r="AN43" s="758">
        <f>IF(요율!$H$7="○",IF(AE43&gt;=요율!$D$6,ROUNDDOWN(AH43*요율!$C$4%,-1),0),0)</f>
        <v>0</v>
      </c>
      <c r="AO43" s="756"/>
      <c r="AP43" s="757"/>
      <c r="AQ43" s="758">
        <f>BL43</f>
        <v>0</v>
      </c>
      <c r="AR43" s="756"/>
      <c r="AS43" s="759"/>
      <c r="AT43" s="717">
        <f>SUM(AK43:AS44)</f>
        <v>0</v>
      </c>
      <c r="AU43" s="718"/>
      <c r="AV43" s="719"/>
      <c r="AW43" s="720">
        <f>AH43-AT43-AT44</f>
        <v>0</v>
      </c>
      <c r="AX43" s="721"/>
      <c r="AY43" s="722"/>
      <c r="AZ43" s="766"/>
      <c r="BA43" s="21" t="str">
        <f>IF(ISERROR(VLOOKUP($B43,주소록!$A$3:$K$523,3,0)),"",VLOOKUP($B43,주소록!$A$3:$K$523,2,0))</f>
        <v/>
      </c>
      <c r="BB43" s="6">
        <v>1</v>
      </c>
      <c r="BC43" s="752">
        <f>A43</f>
        <v>19</v>
      </c>
      <c r="BD43" s="754" t="str">
        <f>IF(OR(MID(C43,8,1)&lt;"3",AND(MID(C43,8,1)&gt;="5",MID(C43,8,1)&lt;="6")),TEXT(TEXT(LEFT(C43,6),"1900-00-00"),"yyyy년 m월 d일"),TEXT(TEXT(LEFT(C43,6),"2000-00-00"),"yyyy년 m월 d일"))</f>
        <v/>
      </c>
      <c r="BE43" s="754"/>
      <c r="BF43" s="754"/>
      <c r="BG43" s="768">
        <f>IFERROR(INT( ( TEXT($O$3,"yyyy.mmdd") - TEXT(BD43,"yyyy.mmdd") )  ),0)</f>
        <v>0</v>
      </c>
      <c r="BH43" s="769"/>
      <c r="BI43" s="770"/>
      <c r="BJ43" s="133">
        <f>IF(BG43&gt;59,"60세이상",IF(OR(AE43&lt;요율!$D$6,AH43=0),0,IF(AH43&lt;요율!$C$7,요율!$D$7,IF(AH43&gt;요율!$C$8,요율!$D$8,+TRUNC(AH43*요율!$C$6%,-1)))))</f>
        <v>0</v>
      </c>
      <c r="BK43" s="143">
        <f>IF(BG43&gt;59,"60세이상",IF(OR(AH43&lt;2200000,AH43=0),0,IF(AH43&lt;요율!$C$7,요율!$D$7,IF(AH43&gt;요율!$C$8,요율!$D$8,+TRUNC(AH43*요율!$C$6%,-1)))))</f>
        <v>0</v>
      </c>
      <c r="BL43" s="140">
        <f>IF(BK43&gt;0,BK43,BJ43)</f>
        <v>0</v>
      </c>
      <c r="BM43" s="15">
        <f>ROUNDDOWN(IF($AG43*O43&gt;요율!$E$3,($AG43*O43-요율!$E$3)*요율!$C$3%*요율!$D$3%,0),-1)</f>
        <v>0</v>
      </c>
      <c r="BN43" s="16">
        <f>ROUNDDOWN(IF($AG43*P43&gt;요율!$E$3,($AG43*P43-요율!$E$3)*요율!$C$3%*요율!$D$3%,0),-1)</f>
        <v>0</v>
      </c>
      <c r="BO43" s="16">
        <f>ROUNDDOWN(IF($AG43*Q43&gt;요율!$E$3,($AG43*Q43-요율!$E$3)*요율!$C$3%*요율!$D$3%,0),-1)</f>
        <v>0</v>
      </c>
      <c r="BP43" s="16">
        <f>ROUNDDOWN(IF($AG43*R43&gt;요율!$E$3,($AG43*R43-요율!$E$3)*요율!$C$3%*요율!$D$3%,0),-1)</f>
        <v>0</v>
      </c>
      <c r="BQ43" s="16">
        <f>ROUNDDOWN(IF($AG43*S43&gt;요율!$E$3,($AG43*S43-요율!$E$3)*요율!$C$3%*요율!$D$3%,0),-1)</f>
        <v>0</v>
      </c>
      <c r="BR43" s="16">
        <f>ROUNDDOWN(IF($AG43*T43&gt;요율!$E$3,($AG43*T43-요율!$E$3)*요율!$C$3%*요율!$D$3%,0),-1)</f>
        <v>0</v>
      </c>
      <c r="BS43" s="16">
        <f>ROUNDDOWN(IF($AG43*U43&gt;요율!$E$3,($AG43*U43-요율!$E$3)*요율!$C$3%*요율!$D$3%,0),-1)</f>
        <v>0</v>
      </c>
      <c r="BT43" s="16">
        <f>ROUNDDOWN(IF($AG43*V43&gt;요율!$E$3,($AG43*V43-요율!$E$3)*요율!$C$3%*요율!$D$3%,0),-1)</f>
        <v>0</v>
      </c>
      <c r="BU43" s="16">
        <f>ROUNDDOWN(IF($AG43*W43&gt;요율!$E$3,($AG43*W43-요율!$E$3)*요율!$C$3%*요율!$D$3%,0),-1)</f>
        <v>0</v>
      </c>
      <c r="BV43" s="16">
        <f>ROUNDDOWN(IF($AG43*X43&gt;요율!$E$3,($AG43*X43-요율!$E$3)*요율!$C$3%*요율!$D$3%,0),-1)</f>
        <v>0</v>
      </c>
      <c r="BW43" s="16">
        <f>ROUNDDOWN(IF($AG43*Y43&gt;요율!$E$3,($AG43*Y43-요율!$E$3)*요율!$C$3%*요율!$D$3%,0),-1)</f>
        <v>0</v>
      </c>
      <c r="BX43" s="16">
        <f>ROUNDDOWN(IF($AG43*Z43&gt;요율!$E$3,($AG43*Z43-요율!$E$3)*요율!$C$3%*요율!$D$3%,0),-1)</f>
        <v>0</v>
      </c>
      <c r="BY43" s="16">
        <f>ROUNDDOWN(IF($AG43*AA43&gt;요율!$E$3,($AG43*AA43-요율!$E$3)*요율!$C$3%*요율!$D$3%,0),-1)</f>
        <v>0</v>
      </c>
      <c r="BZ43" s="16">
        <f>ROUNDDOWN(IF($AG43*AB43&gt;요율!$E$3,($AG43*AB43-요율!$E$3)*요율!$C$3%*요율!$D$3%,0),-1)</f>
        <v>0</v>
      </c>
      <c r="CA43" s="16">
        <f>ROUNDDOWN(IF($AG43*AC43&gt;요율!$E$3,($AG43*AC43-요율!$E$3)*요율!$C$3%*요율!$D$3%,0),-1)</f>
        <v>0</v>
      </c>
      <c r="CB43" s="31">
        <f>ROUNDDOWN(IF($AG43*AD43&gt;요율!$E$3,($AG43*AD43-요율!$E$3)*요율!$C$3%*요율!$D$3%,0),-1)</f>
        <v>0</v>
      </c>
      <c r="CD43" s="5" t="str">
        <f>IFERROR(VLOOKUP(B43,주소록,9,FALSE),"")</f>
        <v/>
      </c>
    </row>
    <row r="44" spans="1:82" ht="20.100000000000001" customHeight="1">
      <c r="A44" s="761"/>
      <c r="B44" s="261" t="str">
        <f>BA43</f>
        <v/>
      </c>
      <c r="C44" s="690" t="str">
        <f>IF(ISERROR(VLOOKUP(B43,주소록!$A$3:$K$523,7,0)),"",VLOOKUP(B43,주소록!$A$3:$K$523,5,0))</f>
        <v/>
      </c>
      <c r="D44" s="690"/>
      <c r="E44" s="690"/>
      <c r="F44" s="691"/>
      <c r="G44" s="692" t="str">
        <f>IF(ISERROR(VLOOKUP(B43,주소록!$A$3:$K$523,9,0)),"",VLOOKUP(B43,주소록!$A$3:$K$523,7,0))</f>
        <v/>
      </c>
      <c r="H44" s="693"/>
      <c r="I44" s="694"/>
      <c r="J44" s="692" t="str">
        <f>IF(ISERROR(VLOOKUP(B43,주소록!$A$3:$K$523,10,0)),"",VLOOKUP(B43,주소록!$A$3:$K$523,8,0))</f>
        <v/>
      </c>
      <c r="K44" s="693"/>
      <c r="L44" s="693"/>
      <c r="M44" s="693"/>
      <c r="N44" s="695"/>
      <c r="O44" s="474"/>
      <c r="P44" s="475"/>
      <c r="Q44" s="475"/>
      <c r="R44" s="468"/>
      <c r="S44" s="476"/>
      <c r="T44" s="474"/>
      <c r="U44" s="475"/>
      <c r="V44" s="475"/>
      <c r="W44" s="475"/>
      <c r="X44" s="477"/>
      <c r="Y44" s="479"/>
      <c r="Z44" s="475"/>
      <c r="AA44" s="475"/>
      <c r="AB44" s="475"/>
      <c r="AC44" s="475"/>
      <c r="AD44" s="477"/>
      <c r="AE44" s="696">
        <f>SUM(O43:AD44)</f>
        <v>0</v>
      </c>
      <c r="AF44" s="697"/>
      <c r="AG44" s="765"/>
      <c r="AH44" s="687"/>
      <c r="AI44" s="688"/>
      <c r="AJ44" s="689"/>
      <c r="AK44" s="698">
        <f>IF(C43=0,"",IF(MID(C43,7,1)="5","",IF(MID(C43,7,1)="6","",ROUNDDOWN((AK43*10%),-1))))</f>
        <v>0</v>
      </c>
      <c r="AL44" s="699"/>
      <c r="AM44" s="700"/>
      <c r="AN44" s="701">
        <f>ROUNDDOWN(AN43*요율!$F$5,-1)</f>
        <v>0</v>
      </c>
      <c r="AO44" s="701"/>
      <c r="AP44" s="701"/>
      <c r="AQ44" s="713">
        <f>IF(OR(AND(요율!$H$8="X",요율!$H$9="X",MID(C43,8,1)&gt;="5"),AND(요율!$H$8="○",요율!$H$9="X",MID(C43,8,1)&gt;="5")),"외국인",IF(요율!$H$8="X",IF(C43="",0,IF(OR(MID(C43,8,1)&lt;"3",AND(MID(C43,8,1)&gt;="5",MID(C43,8,1)&lt;="6")),IF(INT(TEXT($O$3,"yyyy.mmdd")-TEXT(TEXT(LEFT(C43,6),"1900-00-00"),"yyyy.mmdd"))&gt;=65,"65세이상",+TRUNC(AH43*요율!$C$9%,-1)),IF(INT(TEXT($O$3,"yyyy.mmdd")-TEXT(TEXT(LEFT(C43,6),"2000-00-00"),"yyyy.mmdd"))&gt;=65,"65세이상",+TRUNC(AH43*요율!$C$9%,-1)))),+TRUNC(AH43*요율!$C$9%,-1)))</f>
        <v>0</v>
      </c>
      <c r="AR44" s="699"/>
      <c r="AS44" s="699"/>
      <c r="AT44" s="714"/>
      <c r="AU44" s="715"/>
      <c r="AV44" s="716"/>
      <c r="AW44" s="723"/>
      <c r="AX44" s="724"/>
      <c r="AY44" s="725"/>
      <c r="AZ44" s="767"/>
      <c r="BA44" s="22" t="str">
        <f>BA43</f>
        <v/>
      </c>
      <c r="BB44" s="6">
        <v>2</v>
      </c>
      <c r="BC44" s="753"/>
      <c r="BD44" s="733">
        <f>B43</f>
        <v>0</v>
      </c>
      <c r="BE44" s="733"/>
      <c r="BF44" s="733"/>
      <c r="BG44" s="734">
        <f>SUM(BM43:CB44)</f>
        <v>0</v>
      </c>
      <c r="BH44" s="735"/>
      <c r="BI44" s="736"/>
      <c r="BJ44" s="144"/>
      <c r="BK44" s="145"/>
      <c r="BL44" s="146"/>
      <c r="BM44" s="17">
        <f>ROUNDDOWN(IF($AG43*O44&gt;요율!$E$3,($AG43*O44-요율!$E$3)*요율!$C$3%*요율!$D$3%,0),-1)</f>
        <v>0</v>
      </c>
      <c r="BN44" s="18">
        <f>ROUNDDOWN(IF($AG43*P44&gt;요율!$E$3,($AG43*P44-요율!$E$3)*요율!$C$3%*요율!$D$3%,0),-1)</f>
        <v>0</v>
      </c>
      <c r="BO44" s="18">
        <f>ROUNDDOWN(IF($AG43*Q44&gt;요율!$E$3,($AG43*Q44-요율!$E$3)*요율!$C$3%*요율!$D$3%,0),-1)</f>
        <v>0</v>
      </c>
      <c r="BP44" s="18">
        <f>ROUNDDOWN(IF($AG43*R44&gt;요율!$E$3,($AG43*R44-요율!$E$3)*요율!$C$3%*요율!$D$3%,0),-1)</f>
        <v>0</v>
      </c>
      <c r="BQ44" s="18">
        <f>ROUNDDOWN(IF($AG43*S44&gt;요율!$E$3,($AG43*S44-요율!$E$3)*요율!$C$3%*요율!$D$3%,0),-1)</f>
        <v>0</v>
      </c>
      <c r="BR44" s="18">
        <f>ROUNDDOWN(IF($AG43*T44&gt;요율!$E$3,($AG43*T44-요율!$E$3)*요율!$C$3%*요율!$D$3%,0),-1)</f>
        <v>0</v>
      </c>
      <c r="BS44" s="18">
        <f>ROUNDDOWN(IF($AG43*U44&gt;요율!$E$3,($AG43*U44-요율!$E$3)*요율!$C$3%*요율!$D$3%,0),-1)</f>
        <v>0</v>
      </c>
      <c r="BT44" s="18">
        <f>ROUNDDOWN(IF($AG43*V44&gt;요율!$E$3,($AG43*V44-요율!$E$3)*요율!$C$3%*요율!$D$3%,0),-1)</f>
        <v>0</v>
      </c>
      <c r="BU44" s="18">
        <f>ROUNDDOWN(IF($AG43*W44&gt;요율!$E$3,($AG43*W44-요율!$E$3)*요율!$C$3%*요율!$D$3%,0),-1)</f>
        <v>0</v>
      </c>
      <c r="BV44" s="18">
        <f>ROUNDDOWN(IF($AG43*X44&gt;요율!$E$3,($AG43*X44-요율!$E$3)*요율!$C$3%*요율!$D$3%,0),-1)</f>
        <v>0</v>
      </c>
      <c r="BW44" s="18">
        <f>ROUNDDOWN(IF($AG43*Y44&gt;요율!$E$3,($AG43*Y44-요율!$E$3)*요율!$C$3%*요율!$D$3%,0),-1)</f>
        <v>0</v>
      </c>
      <c r="BX44" s="18">
        <f>ROUNDDOWN(IF($AG43*Z44&gt;요율!$E$3,($AG43*Z44-요율!$E$3)*요율!$C$3%*요율!$D$3%,0),-1)</f>
        <v>0</v>
      </c>
      <c r="BY44" s="18">
        <f>ROUNDDOWN(IF($AG43*AA44&gt;요율!$E$3,($AG43*AA44-요율!$E$3)*요율!$C$3%*요율!$D$3%,0),-1)</f>
        <v>0</v>
      </c>
      <c r="BZ44" s="18">
        <f>ROUNDDOWN(IF($AG43*AB44&gt;요율!$E$3,($AG43*AB44-요율!$E$3)*요율!$C$3%*요율!$D$3%,0),-1)</f>
        <v>0</v>
      </c>
      <c r="CA44" s="18">
        <f>ROUNDDOWN(IF($AG43*AC44&gt;요율!$E$3,($AG43*AC44-요율!$E$3)*요율!$C$3%*요율!$D$3%,0),-1)</f>
        <v>0</v>
      </c>
      <c r="CB44" s="19">
        <f>ROUNDDOWN(IF($AG43*AD44&gt;요율!$E$3,($AG43*AD44-요율!$E$3)*요율!$C$3%*요율!$D$3%,0),-1)</f>
        <v>0</v>
      </c>
    </row>
    <row r="45" spans="1:82" ht="20.100000000000001" customHeight="1">
      <c r="A45" s="760">
        <f t="shared" si="1"/>
        <v>20</v>
      </c>
      <c r="B45" s="260"/>
      <c r="C45" s="708" t="str">
        <f>IF(ISERROR(VLOOKUP(B45,주소록!$A$3:$K$523,5,0)),"",VLOOKUP(B45,주소록!$A$3:$K$523,3,0))</f>
        <v/>
      </c>
      <c r="D45" s="708"/>
      <c r="E45" s="708"/>
      <c r="F45" s="709"/>
      <c r="G45" s="710" t="str">
        <f>IF(ISERROR(VLOOKUP(B45,주소록!$A$3:$K$523,6,0)),"",VLOOKUP(B45,주소록!$A$3:$K$523,4,0))</f>
        <v/>
      </c>
      <c r="H45" s="711"/>
      <c r="I45" s="711"/>
      <c r="J45" s="711"/>
      <c r="K45" s="711"/>
      <c r="L45" s="711"/>
      <c r="M45" s="711"/>
      <c r="N45" s="712"/>
      <c r="O45" s="469"/>
      <c r="P45" s="470"/>
      <c r="Q45" s="470"/>
      <c r="R45" s="470"/>
      <c r="S45" s="478"/>
      <c r="T45" s="469"/>
      <c r="U45" s="470"/>
      <c r="V45" s="470"/>
      <c r="W45" s="470"/>
      <c r="X45" s="471"/>
      <c r="Y45" s="472"/>
      <c r="Z45" s="467"/>
      <c r="AA45" s="470"/>
      <c r="AB45" s="470"/>
      <c r="AC45" s="470"/>
      <c r="AD45" s="473"/>
      <c r="AE45" s="762">
        <f>COUNTIF(O45:AD46,"&gt;=0.5")</f>
        <v>0</v>
      </c>
      <c r="AF45" s="763"/>
      <c r="AG45" s="764"/>
      <c r="AH45" s="684">
        <f>AE46*AG45</f>
        <v>0</v>
      </c>
      <c r="AI45" s="685"/>
      <c r="AJ45" s="686"/>
      <c r="AK45" s="755">
        <f>IF(BG46&lt;1000, 0, BG46)</f>
        <v>0</v>
      </c>
      <c r="AL45" s="756"/>
      <c r="AM45" s="757"/>
      <c r="AN45" s="758">
        <f>IF(요율!$H$7="○",IF(AE45&gt;=요율!$D$6,ROUNDDOWN(AH45*요율!$C$4%,-1),0),0)</f>
        <v>0</v>
      </c>
      <c r="AO45" s="756"/>
      <c r="AP45" s="757"/>
      <c r="AQ45" s="758">
        <f>BL45</f>
        <v>0</v>
      </c>
      <c r="AR45" s="756"/>
      <c r="AS45" s="759"/>
      <c r="AT45" s="717">
        <f>SUM(AK45:AS46)</f>
        <v>0</v>
      </c>
      <c r="AU45" s="718"/>
      <c r="AV45" s="719"/>
      <c r="AW45" s="720">
        <f>AH45-AT45-AT46</f>
        <v>0</v>
      </c>
      <c r="AX45" s="721"/>
      <c r="AY45" s="722"/>
      <c r="AZ45" s="766"/>
      <c r="BA45" s="21" t="str">
        <f>IF(ISERROR(VLOOKUP($B45,주소록!$A$3:$K$523,3,0)),"",VLOOKUP($B45,주소록!$A$3:$K$523,2,0))</f>
        <v/>
      </c>
      <c r="BB45" s="6">
        <v>1</v>
      </c>
      <c r="BC45" s="752">
        <f>A45</f>
        <v>20</v>
      </c>
      <c r="BD45" s="754" t="str">
        <f>IF(OR(MID(C45,8,1)&lt;"3",AND(MID(C45,8,1)&gt;="5",MID(C45,8,1)&lt;="6")),TEXT(TEXT(LEFT(C45,6),"1900-00-00"),"yyyy년 m월 d일"),TEXT(TEXT(LEFT(C45,6),"2000-00-00"),"yyyy년 m월 d일"))</f>
        <v/>
      </c>
      <c r="BE45" s="754"/>
      <c r="BF45" s="754"/>
      <c r="BG45" s="768">
        <f>IFERROR(INT( ( TEXT($O$3,"yyyy.mmdd") - TEXT(BD45,"yyyy.mmdd") )  ),0)</f>
        <v>0</v>
      </c>
      <c r="BH45" s="769"/>
      <c r="BI45" s="770"/>
      <c r="BJ45" s="133">
        <f>IF(BG45&gt;59,"60세이상",IF(OR(AE45&lt;요율!$D$6,AH45=0),0,IF(AH45&lt;요율!$C$7,요율!$D$7,IF(AH45&gt;요율!$C$8,요율!$D$8,+TRUNC(AH45*요율!$C$6%,-1)))))</f>
        <v>0</v>
      </c>
      <c r="BK45" s="143">
        <f>IF(BG45&gt;59,"60세이상",IF(OR(AH45&lt;2200000,AH45=0),0,IF(AH45&lt;요율!$C$7,요율!$D$7,IF(AH45&gt;요율!$C$8,요율!$D$8,+TRUNC(AH45*요율!$C$6%,-1)))))</f>
        <v>0</v>
      </c>
      <c r="BL45" s="140">
        <f>IF(BK45&gt;0,BK45,BJ45)</f>
        <v>0</v>
      </c>
      <c r="BM45" s="15">
        <f>ROUNDDOWN(IF($AG45*O45&gt;요율!$E$3,($AG45*O45-요율!$E$3)*요율!$C$3%*요율!$D$3%,0),-1)</f>
        <v>0</v>
      </c>
      <c r="BN45" s="16">
        <f>ROUNDDOWN(IF($AG45*P45&gt;요율!$E$3,($AG45*P45-요율!$E$3)*요율!$C$3%*요율!$D$3%,0),-1)</f>
        <v>0</v>
      </c>
      <c r="BO45" s="16">
        <f>ROUNDDOWN(IF($AG45*Q45&gt;요율!$E$3,($AG45*Q45-요율!$E$3)*요율!$C$3%*요율!$D$3%,0),-1)</f>
        <v>0</v>
      </c>
      <c r="BP45" s="16">
        <f>ROUNDDOWN(IF($AG45*R45&gt;요율!$E$3,($AG45*R45-요율!$E$3)*요율!$C$3%*요율!$D$3%,0),-1)</f>
        <v>0</v>
      </c>
      <c r="BQ45" s="16">
        <f>ROUNDDOWN(IF($AG45*S45&gt;요율!$E$3,($AG45*S45-요율!$E$3)*요율!$C$3%*요율!$D$3%,0),-1)</f>
        <v>0</v>
      </c>
      <c r="BR45" s="16">
        <f>ROUNDDOWN(IF($AG45*T45&gt;요율!$E$3,($AG45*T45-요율!$E$3)*요율!$C$3%*요율!$D$3%,0),-1)</f>
        <v>0</v>
      </c>
      <c r="BS45" s="16">
        <f>ROUNDDOWN(IF($AG45*U45&gt;요율!$E$3,($AG45*U45-요율!$E$3)*요율!$C$3%*요율!$D$3%,0),-1)</f>
        <v>0</v>
      </c>
      <c r="BT45" s="16">
        <f>ROUNDDOWN(IF($AG45*V45&gt;요율!$E$3,($AG45*V45-요율!$E$3)*요율!$C$3%*요율!$D$3%,0),-1)</f>
        <v>0</v>
      </c>
      <c r="BU45" s="16">
        <f>ROUNDDOWN(IF($AG45*W45&gt;요율!$E$3,($AG45*W45-요율!$E$3)*요율!$C$3%*요율!$D$3%,0),-1)</f>
        <v>0</v>
      </c>
      <c r="BV45" s="16">
        <f>ROUNDDOWN(IF($AG45*X45&gt;요율!$E$3,($AG45*X45-요율!$E$3)*요율!$C$3%*요율!$D$3%,0),-1)</f>
        <v>0</v>
      </c>
      <c r="BW45" s="16">
        <f>ROUNDDOWN(IF($AG45*Y45&gt;요율!$E$3,($AG45*Y45-요율!$E$3)*요율!$C$3%*요율!$D$3%,0),-1)</f>
        <v>0</v>
      </c>
      <c r="BX45" s="16">
        <f>ROUNDDOWN(IF($AG45*Z45&gt;요율!$E$3,($AG45*Z45-요율!$E$3)*요율!$C$3%*요율!$D$3%,0),-1)</f>
        <v>0</v>
      </c>
      <c r="BY45" s="16">
        <f>ROUNDDOWN(IF($AG45*AA45&gt;요율!$E$3,($AG45*AA45-요율!$E$3)*요율!$C$3%*요율!$D$3%,0),-1)</f>
        <v>0</v>
      </c>
      <c r="BZ45" s="16">
        <f>ROUNDDOWN(IF($AG45*AB45&gt;요율!$E$3,($AG45*AB45-요율!$E$3)*요율!$C$3%*요율!$D$3%,0),-1)</f>
        <v>0</v>
      </c>
      <c r="CA45" s="16">
        <f>ROUNDDOWN(IF($AG45*AC45&gt;요율!$E$3,($AG45*AC45-요율!$E$3)*요율!$C$3%*요율!$D$3%,0),-1)</f>
        <v>0</v>
      </c>
      <c r="CB45" s="31">
        <f>ROUNDDOWN(IF($AG45*AD45&gt;요율!$E$3,($AG45*AD45-요율!$E$3)*요율!$C$3%*요율!$D$3%,0),-1)</f>
        <v>0</v>
      </c>
      <c r="CD45" s="5" t="str">
        <f>IFERROR(VLOOKUP(B45,주소록,9,FALSE),"")</f>
        <v/>
      </c>
    </row>
    <row r="46" spans="1:82" ht="20.100000000000001" customHeight="1">
      <c r="A46" s="761"/>
      <c r="B46" s="261" t="str">
        <f>BA45</f>
        <v/>
      </c>
      <c r="C46" s="690" t="str">
        <f>IF(ISERROR(VLOOKUP(B45,주소록!$A$3:$K$523,7,0)),"",VLOOKUP(B45,주소록!$A$3:$K$523,5,0))</f>
        <v/>
      </c>
      <c r="D46" s="690"/>
      <c r="E46" s="690"/>
      <c r="F46" s="691"/>
      <c r="G46" s="692" t="str">
        <f>IF(ISERROR(VLOOKUP(B45,주소록!$A$3:$K$523,9,0)),"",VLOOKUP(B45,주소록!$A$3:$K$523,7,0))</f>
        <v/>
      </c>
      <c r="H46" s="693"/>
      <c r="I46" s="694"/>
      <c r="J46" s="692" t="str">
        <f>IF(ISERROR(VLOOKUP(B45,주소록!$A$3:$K$523,10,0)),"",VLOOKUP(B45,주소록!$A$3:$K$523,8,0))</f>
        <v/>
      </c>
      <c r="K46" s="693"/>
      <c r="L46" s="693"/>
      <c r="M46" s="693"/>
      <c r="N46" s="695"/>
      <c r="O46" s="474"/>
      <c r="P46" s="475"/>
      <c r="Q46" s="475"/>
      <c r="R46" s="468"/>
      <c r="S46" s="476"/>
      <c r="T46" s="474"/>
      <c r="U46" s="475"/>
      <c r="V46" s="475"/>
      <c r="W46" s="475"/>
      <c r="X46" s="477"/>
      <c r="Y46" s="479"/>
      <c r="Z46" s="475"/>
      <c r="AA46" s="475"/>
      <c r="AB46" s="475"/>
      <c r="AC46" s="475"/>
      <c r="AD46" s="477"/>
      <c r="AE46" s="696">
        <f>SUM(O45:AD46)</f>
        <v>0</v>
      </c>
      <c r="AF46" s="697"/>
      <c r="AG46" s="765"/>
      <c r="AH46" s="687"/>
      <c r="AI46" s="688"/>
      <c r="AJ46" s="689"/>
      <c r="AK46" s="698">
        <f>IF(C45=0,"",IF(MID(C45,7,1)="5","",IF(MID(C45,7,1)="6","",ROUNDDOWN((AK45*10%),-1))))</f>
        <v>0</v>
      </c>
      <c r="AL46" s="699"/>
      <c r="AM46" s="700"/>
      <c r="AN46" s="701">
        <f>ROUNDDOWN(AN45*요율!$F$5,-1)</f>
        <v>0</v>
      </c>
      <c r="AO46" s="701"/>
      <c r="AP46" s="701"/>
      <c r="AQ46" s="713">
        <f>IF(OR(AND(요율!$H$8="X",요율!$H$9="X",MID(C45,8,1)&gt;="5"),AND(요율!$H$8="○",요율!$H$9="X",MID(C45,8,1)&gt;="5")),"외국인",IF(요율!$H$8="X",IF(C45="",0,IF(OR(MID(C45,8,1)&lt;"3",AND(MID(C45,8,1)&gt;="5",MID(C45,8,1)&lt;="6")),IF(INT(TEXT($O$3,"yyyy.mmdd")-TEXT(TEXT(LEFT(C45,6),"1900-00-00"),"yyyy.mmdd"))&gt;=65,"65세이상",+TRUNC(AH45*요율!$C$9%,-1)),IF(INT(TEXT($O$3,"yyyy.mmdd")-TEXT(TEXT(LEFT(C45,6),"2000-00-00"),"yyyy.mmdd"))&gt;=65,"65세이상",+TRUNC(AH45*요율!$C$9%,-1)))),+TRUNC(AH45*요율!$C$9%,-1)))</f>
        <v>0</v>
      </c>
      <c r="AR46" s="699"/>
      <c r="AS46" s="699"/>
      <c r="AT46" s="714"/>
      <c r="AU46" s="715"/>
      <c r="AV46" s="716"/>
      <c r="AW46" s="723"/>
      <c r="AX46" s="724"/>
      <c r="AY46" s="725"/>
      <c r="AZ46" s="767"/>
      <c r="BA46" s="22" t="str">
        <f>BA45</f>
        <v/>
      </c>
      <c r="BB46" s="6">
        <v>2</v>
      </c>
      <c r="BC46" s="753"/>
      <c r="BD46" s="733">
        <f>B45</f>
        <v>0</v>
      </c>
      <c r="BE46" s="733"/>
      <c r="BF46" s="733"/>
      <c r="BG46" s="734">
        <f>SUM(BM45:CB46)</f>
        <v>0</v>
      </c>
      <c r="BH46" s="735"/>
      <c r="BI46" s="736"/>
      <c r="BJ46" s="144"/>
      <c r="BK46" s="145"/>
      <c r="BL46" s="146"/>
      <c r="BM46" s="17">
        <f>ROUNDDOWN(IF($AG45*O46&gt;요율!$E$3,($AG45*O46-요율!$E$3)*요율!$C$3%*요율!$D$3%,0),-1)</f>
        <v>0</v>
      </c>
      <c r="BN46" s="18">
        <f>ROUNDDOWN(IF($AG45*P46&gt;요율!$E$3,($AG45*P46-요율!$E$3)*요율!$C$3%*요율!$D$3%,0),-1)</f>
        <v>0</v>
      </c>
      <c r="BO46" s="18">
        <f>ROUNDDOWN(IF($AG45*Q46&gt;요율!$E$3,($AG45*Q46-요율!$E$3)*요율!$C$3%*요율!$D$3%,0),-1)</f>
        <v>0</v>
      </c>
      <c r="BP46" s="18">
        <f>ROUNDDOWN(IF($AG45*R46&gt;요율!$E$3,($AG45*R46-요율!$E$3)*요율!$C$3%*요율!$D$3%,0),-1)</f>
        <v>0</v>
      </c>
      <c r="BQ46" s="18">
        <f>ROUNDDOWN(IF($AG45*S46&gt;요율!$E$3,($AG45*S46-요율!$E$3)*요율!$C$3%*요율!$D$3%,0),-1)</f>
        <v>0</v>
      </c>
      <c r="BR46" s="18">
        <f>ROUNDDOWN(IF($AG45*T46&gt;요율!$E$3,($AG45*T46-요율!$E$3)*요율!$C$3%*요율!$D$3%,0),-1)</f>
        <v>0</v>
      </c>
      <c r="BS46" s="18">
        <f>ROUNDDOWN(IF($AG45*U46&gt;요율!$E$3,($AG45*U46-요율!$E$3)*요율!$C$3%*요율!$D$3%,0),-1)</f>
        <v>0</v>
      </c>
      <c r="BT46" s="18">
        <f>ROUNDDOWN(IF($AG45*V46&gt;요율!$E$3,($AG45*V46-요율!$E$3)*요율!$C$3%*요율!$D$3%,0),-1)</f>
        <v>0</v>
      </c>
      <c r="BU46" s="18">
        <f>ROUNDDOWN(IF($AG45*W46&gt;요율!$E$3,($AG45*W46-요율!$E$3)*요율!$C$3%*요율!$D$3%,0),-1)</f>
        <v>0</v>
      </c>
      <c r="BV46" s="18">
        <f>ROUNDDOWN(IF($AG45*X46&gt;요율!$E$3,($AG45*X46-요율!$E$3)*요율!$C$3%*요율!$D$3%,0),-1)</f>
        <v>0</v>
      </c>
      <c r="BW46" s="18">
        <f>ROUNDDOWN(IF($AG45*Y46&gt;요율!$E$3,($AG45*Y46-요율!$E$3)*요율!$C$3%*요율!$D$3%,0),-1)</f>
        <v>0</v>
      </c>
      <c r="BX46" s="18">
        <f>ROUNDDOWN(IF($AG45*Z46&gt;요율!$E$3,($AG45*Z46-요율!$E$3)*요율!$C$3%*요율!$D$3%,0),-1)</f>
        <v>0</v>
      </c>
      <c r="BY46" s="18">
        <f>ROUNDDOWN(IF($AG45*AA46&gt;요율!$E$3,($AG45*AA46-요율!$E$3)*요율!$C$3%*요율!$D$3%,0),-1)</f>
        <v>0</v>
      </c>
      <c r="BZ46" s="18">
        <f>ROUNDDOWN(IF($AG45*AB46&gt;요율!$E$3,($AG45*AB46-요율!$E$3)*요율!$C$3%*요율!$D$3%,0),-1)</f>
        <v>0</v>
      </c>
      <c r="CA46" s="18">
        <f>ROUNDDOWN(IF($AG45*AC46&gt;요율!$E$3,($AG45*AC46-요율!$E$3)*요율!$C$3%*요율!$D$3%,0),-1)</f>
        <v>0</v>
      </c>
      <c r="CB46" s="19">
        <f>ROUNDDOWN(IF($AG45*AD46&gt;요율!$E$3,($AG45*AD46-요율!$E$3)*요율!$C$3%*요율!$D$3%,0),-1)</f>
        <v>0</v>
      </c>
    </row>
    <row r="47" spans="1:82" ht="20.100000000000001" hidden="1" customHeight="1">
      <c r="A47" s="760">
        <f t="shared" si="1"/>
        <v>21</v>
      </c>
      <c r="B47" s="260"/>
      <c r="C47" s="708" t="str">
        <f>IF(ISERROR(VLOOKUP(B47,주소록!$A$3:$K$523,5,0)),"",VLOOKUP(B47,주소록!$A$3:$K$523,3,0))</f>
        <v/>
      </c>
      <c r="D47" s="708"/>
      <c r="E47" s="708"/>
      <c r="F47" s="709"/>
      <c r="G47" s="710" t="str">
        <f>IF(ISERROR(VLOOKUP(B47,주소록!$A$3:$K$523,6,0)),"",VLOOKUP(B47,주소록!$A$3:$K$523,4,0))</f>
        <v/>
      </c>
      <c r="H47" s="711"/>
      <c r="I47" s="711"/>
      <c r="J47" s="711"/>
      <c r="K47" s="711"/>
      <c r="L47" s="711"/>
      <c r="M47" s="711"/>
      <c r="N47" s="712"/>
      <c r="O47" s="469"/>
      <c r="P47" s="470"/>
      <c r="Q47" s="470"/>
      <c r="R47" s="470"/>
      <c r="S47" s="478"/>
      <c r="T47" s="469"/>
      <c r="U47" s="470"/>
      <c r="V47" s="470"/>
      <c r="W47" s="470"/>
      <c r="X47" s="471"/>
      <c r="Y47" s="472"/>
      <c r="Z47" s="467"/>
      <c r="AA47" s="470"/>
      <c r="AB47" s="470"/>
      <c r="AC47" s="470"/>
      <c r="AD47" s="473"/>
      <c r="AE47" s="762">
        <f>COUNTIF(O47:AD48,"&gt;=0.5")</f>
        <v>0</v>
      </c>
      <c r="AF47" s="763"/>
      <c r="AG47" s="764"/>
      <c r="AH47" s="684">
        <f>AE48*AG47</f>
        <v>0</v>
      </c>
      <c r="AI47" s="685"/>
      <c r="AJ47" s="686"/>
      <c r="AK47" s="755">
        <f>IF(BG48&lt;1000, 0, BG48)</f>
        <v>0</v>
      </c>
      <c r="AL47" s="756"/>
      <c r="AM47" s="757"/>
      <c r="AN47" s="758">
        <f>IF(요율!$H$7="○",IF(AE47&gt;=요율!$D$6,ROUNDDOWN(AH47*요율!$C$4%,-1),0),0)</f>
        <v>0</v>
      </c>
      <c r="AO47" s="756"/>
      <c r="AP47" s="757"/>
      <c r="AQ47" s="758">
        <f>BL47</f>
        <v>0</v>
      </c>
      <c r="AR47" s="756"/>
      <c r="AS47" s="759"/>
      <c r="AT47" s="717">
        <f>SUM(AK47:AS48)</f>
        <v>0</v>
      </c>
      <c r="AU47" s="718"/>
      <c r="AV47" s="719"/>
      <c r="AW47" s="720">
        <f>AH47-AT47-AT48</f>
        <v>0</v>
      </c>
      <c r="AX47" s="721"/>
      <c r="AY47" s="722"/>
      <c r="AZ47" s="766"/>
      <c r="BA47" s="21" t="str">
        <f>IF(ISERROR(VLOOKUP($B47,주소록!$A$3:$K$523,3,0)),"",VLOOKUP($B47,주소록!$A$3:$K$523,2,0))</f>
        <v/>
      </c>
      <c r="BB47" s="6">
        <v>1</v>
      </c>
      <c r="BC47" s="752">
        <f>A47</f>
        <v>21</v>
      </c>
      <c r="BD47" s="754" t="str">
        <f>IF(OR(MID(C47,8,1)&lt;"3",AND(MID(C47,8,1)&gt;="5",MID(C47,8,1)&lt;="6")),TEXT(TEXT(LEFT(C47,6),"1900-00-00"),"yyyy년 m월 d일"),TEXT(TEXT(LEFT(C47,6),"2000-00-00"),"yyyy년 m월 d일"))</f>
        <v/>
      </c>
      <c r="BE47" s="754"/>
      <c r="BF47" s="754"/>
      <c r="BG47" s="768">
        <f>IFERROR(INT( ( TEXT($O$3,"yyyy.mmdd") - TEXT(BD47,"yyyy.mmdd") )  ),0)</f>
        <v>0</v>
      </c>
      <c r="BH47" s="769"/>
      <c r="BI47" s="770"/>
      <c r="BJ47" s="133">
        <f>IF(BG47&gt;59,"60세이상",IF(OR(AE47&lt;요율!$D$6,AH47=0),0,IF(AH47&lt;요율!$C$7,요율!$D$7,IF(AH47&gt;요율!$C$8,요율!$D$8,+TRUNC(AH47*요율!$C$6%,-1)))))</f>
        <v>0</v>
      </c>
      <c r="BK47" s="143">
        <f>IF(BG47&gt;59,"60세이상",IF(OR(AH47&lt;2200000,AH47=0),0,IF(AH47&lt;요율!$C$7,요율!$D$7,IF(AH47&gt;요율!$C$8,요율!$D$8,+TRUNC(AH47*요율!$C$6%,-1)))))</f>
        <v>0</v>
      </c>
      <c r="BL47" s="140">
        <f>IF(BK47&gt;0,BK47,BJ47)</f>
        <v>0</v>
      </c>
      <c r="BM47" s="15">
        <f>ROUNDDOWN(IF($AG47*O47&gt;요율!$E$3,($AG47*O47-요율!$E$3)*요율!$C$3%*요율!$D$3%,0),-1)</f>
        <v>0</v>
      </c>
      <c r="BN47" s="16">
        <f>ROUNDDOWN(IF($AG47*P47&gt;요율!$E$3,($AG47*P47-요율!$E$3)*요율!$C$3%*요율!$D$3%,0),-1)</f>
        <v>0</v>
      </c>
      <c r="BO47" s="16">
        <f>ROUNDDOWN(IF($AG47*Q47&gt;요율!$E$3,($AG47*Q47-요율!$E$3)*요율!$C$3%*요율!$D$3%,0),-1)</f>
        <v>0</v>
      </c>
      <c r="BP47" s="16">
        <f>ROUNDDOWN(IF($AG47*R47&gt;요율!$E$3,($AG47*R47-요율!$E$3)*요율!$C$3%*요율!$D$3%,0),-1)</f>
        <v>0</v>
      </c>
      <c r="BQ47" s="16">
        <f>ROUNDDOWN(IF($AG47*S47&gt;요율!$E$3,($AG47*S47-요율!$E$3)*요율!$C$3%*요율!$D$3%,0),-1)</f>
        <v>0</v>
      </c>
      <c r="BR47" s="16">
        <f>ROUNDDOWN(IF($AG47*T47&gt;요율!$E$3,($AG47*T47-요율!$E$3)*요율!$C$3%*요율!$D$3%,0),-1)</f>
        <v>0</v>
      </c>
      <c r="BS47" s="16">
        <f>ROUNDDOWN(IF($AG47*U47&gt;요율!$E$3,($AG47*U47-요율!$E$3)*요율!$C$3%*요율!$D$3%,0),-1)</f>
        <v>0</v>
      </c>
      <c r="BT47" s="16">
        <f>ROUNDDOWN(IF($AG47*V47&gt;요율!$E$3,($AG47*V47-요율!$E$3)*요율!$C$3%*요율!$D$3%,0),-1)</f>
        <v>0</v>
      </c>
      <c r="BU47" s="16">
        <f>ROUNDDOWN(IF($AG47*W47&gt;요율!$E$3,($AG47*W47-요율!$E$3)*요율!$C$3%*요율!$D$3%,0),-1)</f>
        <v>0</v>
      </c>
      <c r="BV47" s="16">
        <f>ROUNDDOWN(IF($AG47*X47&gt;요율!$E$3,($AG47*X47-요율!$E$3)*요율!$C$3%*요율!$D$3%,0),-1)</f>
        <v>0</v>
      </c>
      <c r="BW47" s="16">
        <f>ROUNDDOWN(IF($AG47*Y47&gt;요율!$E$3,($AG47*Y47-요율!$E$3)*요율!$C$3%*요율!$D$3%,0),-1)</f>
        <v>0</v>
      </c>
      <c r="BX47" s="16">
        <f>ROUNDDOWN(IF($AG47*Z47&gt;요율!$E$3,($AG47*Z47-요율!$E$3)*요율!$C$3%*요율!$D$3%,0),-1)</f>
        <v>0</v>
      </c>
      <c r="BY47" s="16">
        <f>ROUNDDOWN(IF($AG47*AA47&gt;요율!$E$3,($AG47*AA47-요율!$E$3)*요율!$C$3%*요율!$D$3%,0),-1)</f>
        <v>0</v>
      </c>
      <c r="BZ47" s="16">
        <f>ROUNDDOWN(IF($AG47*AB47&gt;요율!$E$3,($AG47*AB47-요율!$E$3)*요율!$C$3%*요율!$D$3%,0),-1)</f>
        <v>0</v>
      </c>
      <c r="CA47" s="16">
        <f>ROUNDDOWN(IF($AG47*AC47&gt;요율!$E$3,($AG47*AC47-요율!$E$3)*요율!$C$3%*요율!$D$3%,0),-1)</f>
        <v>0</v>
      </c>
      <c r="CB47" s="31">
        <f>ROUNDDOWN(IF($AG47*AD47&gt;요율!$E$3,($AG47*AD47-요율!$E$3)*요율!$C$3%*요율!$D$3%,0),-1)</f>
        <v>0</v>
      </c>
      <c r="CD47" s="5" t="str">
        <f>IFERROR(VLOOKUP(B47,주소록,9,FALSE),"")</f>
        <v/>
      </c>
    </row>
    <row r="48" spans="1:82" ht="20.100000000000001" hidden="1" customHeight="1">
      <c r="A48" s="761"/>
      <c r="B48" s="261" t="str">
        <f>BA47</f>
        <v/>
      </c>
      <c r="C48" s="690" t="str">
        <f>IF(ISERROR(VLOOKUP(B47,주소록!$A$3:$K$523,7,0)),"",VLOOKUP(B47,주소록!$A$3:$K$523,5,0))</f>
        <v/>
      </c>
      <c r="D48" s="690"/>
      <c r="E48" s="690"/>
      <c r="F48" s="691"/>
      <c r="G48" s="692" t="str">
        <f>IF(ISERROR(VLOOKUP(B47,주소록!$A$3:$K$523,9,0)),"",VLOOKUP(B47,주소록!$A$3:$K$523,7,0))</f>
        <v/>
      </c>
      <c r="H48" s="693"/>
      <c r="I48" s="694"/>
      <c r="J48" s="692" t="str">
        <f>IF(ISERROR(VLOOKUP(B47,주소록!$A$3:$K$523,10,0)),"",VLOOKUP(B47,주소록!$A$3:$K$523,8,0))</f>
        <v/>
      </c>
      <c r="K48" s="693"/>
      <c r="L48" s="693"/>
      <c r="M48" s="693"/>
      <c r="N48" s="695"/>
      <c r="O48" s="474"/>
      <c r="P48" s="475"/>
      <c r="Q48" s="475"/>
      <c r="R48" s="468"/>
      <c r="S48" s="476"/>
      <c r="T48" s="474"/>
      <c r="U48" s="475"/>
      <c r="V48" s="475"/>
      <c r="W48" s="475"/>
      <c r="X48" s="477"/>
      <c r="Y48" s="479"/>
      <c r="Z48" s="475"/>
      <c r="AA48" s="475"/>
      <c r="AB48" s="475"/>
      <c r="AC48" s="475"/>
      <c r="AD48" s="477"/>
      <c r="AE48" s="696">
        <f>SUM(O47:AD48)</f>
        <v>0</v>
      </c>
      <c r="AF48" s="697"/>
      <c r="AG48" s="765"/>
      <c r="AH48" s="687"/>
      <c r="AI48" s="688"/>
      <c r="AJ48" s="689"/>
      <c r="AK48" s="698">
        <f>IF(C47=0,"",IF(MID(C47,7,1)="5","",IF(MID(C47,7,1)="6","",ROUNDDOWN((AK47*10%),-1))))</f>
        <v>0</v>
      </c>
      <c r="AL48" s="699"/>
      <c r="AM48" s="700"/>
      <c r="AN48" s="701">
        <f>ROUNDDOWN(AN47*요율!$F$5,-1)</f>
        <v>0</v>
      </c>
      <c r="AO48" s="701"/>
      <c r="AP48" s="701"/>
      <c r="AQ48" s="713">
        <f>IF(OR(AND(요율!$H$8="X",요율!$H$9="X",MID(C47,8,1)&gt;="5"),AND(요율!$H$8="○",요율!$H$9="X",MID(C47,8,1)&gt;="5")),"외국인",IF(요율!$H$8="X",IF(C47="",0,IF(OR(MID(C47,8,1)&lt;"3",AND(MID(C47,8,1)&gt;="5",MID(C47,8,1)&lt;="6")),IF(INT(TEXT($O$3,"yyyy.mmdd")-TEXT(TEXT(LEFT(C47,6),"1900-00-00"),"yyyy.mmdd"))&gt;=65,"65세이상",+TRUNC(AH47*요율!$C$9%,-1)),IF(INT(TEXT($O$3,"yyyy.mmdd")-TEXT(TEXT(LEFT(C47,6),"2000-00-00"),"yyyy.mmdd"))&gt;=65,"65세이상",+TRUNC(AH47*요율!$C$9%,-1)))),+TRUNC(AH47*요율!$C$9%,-1)))</f>
        <v>0</v>
      </c>
      <c r="AR48" s="699"/>
      <c r="AS48" s="699"/>
      <c r="AT48" s="714"/>
      <c r="AU48" s="715"/>
      <c r="AV48" s="716"/>
      <c r="AW48" s="723"/>
      <c r="AX48" s="724"/>
      <c r="AY48" s="725"/>
      <c r="AZ48" s="767"/>
      <c r="BA48" s="22" t="str">
        <f>BA47</f>
        <v/>
      </c>
      <c r="BB48" s="6">
        <v>2</v>
      </c>
      <c r="BC48" s="753"/>
      <c r="BD48" s="733">
        <f>B47</f>
        <v>0</v>
      </c>
      <c r="BE48" s="733"/>
      <c r="BF48" s="733"/>
      <c r="BG48" s="734">
        <f>SUM(BM47:CB48)</f>
        <v>0</v>
      </c>
      <c r="BH48" s="735"/>
      <c r="BI48" s="736"/>
      <c r="BJ48" s="144"/>
      <c r="BK48" s="145"/>
      <c r="BL48" s="146"/>
      <c r="BM48" s="17">
        <f>ROUNDDOWN(IF($AG47*O48&gt;요율!$E$3,($AG47*O48-요율!$E$3)*요율!$C$3%*요율!$D$3%,0),-1)</f>
        <v>0</v>
      </c>
      <c r="BN48" s="18">
        <f>ROUNDDOWN(IF($AG47*P48&gt;요율!$E$3,($AG47*P48-요율!$E$3)*요율!$C$3%*요율!$D$3%,0),-1)</f>
        <v>0</v>
      </c>
      <c r="BO48" s="18">
        <f>ROUNDDOWN(IF($AG47*Q48&gt;요율!$E$3,($AG47*Q48-요율!$E$3)*요율!$C$3%*요율!$D$3%,0),-1)</f>
        <v>0</v>
      </c>
      <c r="BP48" s="18">
        <f>ROUNDDOWN(IF($AG47*R48&gt;요율!$E$3,($AG47*R48-요율!$E$3)*요율!$C$3%*요율!$D$3%,0),-1)</f>
        <v>0</v>
      </c>
      <c r="BQ48" s="18">
        <f>ROUNDDOWN(IF($AG47*S48&gt;요율!$E$3,($AG47*S48-요율!$E$3)*요율!$C$3%*요율!$D$3%,0),-1)</f>
        <v>0</v>
      </c>
      <c r="BR48" s="18">
        <f>ROUNDDOWN(IF($AG47*T48&gt;요율!$E$3,($AG47*T48-요율!$E$3)*요율!$C$3%*요율!$D$3%,0),-1)</f>
        <v>0</v>
      </c>
      <c r="BS48" s="18">
        <f>ROUNDDOWN(IF($AG47*U48&gt;요율!$E$3,($AG47*U48-요율!$E$3)*요율!$C$3%*요율!$D$3%,0),-1)</f>
        <v>0</v>
      </c>
      <c r="BT48" s="18">
        <f>ROUNDDOWN(IF($AG47*V48&gt;요율!$E$3,($AG47*V48-요율!$E$3)*요율!$C$3%*요율!$D$3%,0),-1)</f>
        <v>0</v>
      </c>
      <c r="BU48" s="18">
        <f>ROUNDDOWN(IF($AG47*W48&gt;요율!$E$3,($AG47*W48-요율!$E$3)*요율!$C$3%*요율!$D$3%,0),-1)</f>
        <v>0</v>
      </c>
      <c r="BV48" s="18">
        <f>ROUNDDOWN(IF($AG47*X48&gt;요율!$E$3,($AG47*X48-요율!$E$3)*요율!$C$3%*요율!$D$3%,0),-1)</f>
        <v>0</v>
      </c>
      <c r="BW48" s="18">
        <f>ROUNDDOWN(IF($AG47*Y48&gt;요율!$E$3,($AG47*Y48-요율!$E$3)*요율!$C$3%*요율!$D$3%,0),-1)</f>
        <v>0</v>
      </c>
      <c r="BX48" s="18">
        <f>ROUNDDOWN(IF($AG47*Z48&gt;요율!$E$3,($AG47*Z48-요율!$E$3)*요율!$C$3%*요율!$D$3%,0),-1)</f>
        <v>0</v>
      </c>
      <c r="BY48" s="18">
        <f>ROUNDDOWN(IF($AG47*AA48&gt;요율!$E$3,($AG47*AA48-요율!$E$3)*요율!$C$3%*요율!$D$3%,0),-1)</f>
        <v>0</v>
      </c>
      <c r="BZ48" s="18">
        <f>ROUNDDOWN(IF($AG47*AB48&gt;요율!$E$3,($AG47*AB48-요율!$E$3)*요율!$C$3%*요율!$D$3%,0),-1)</f>
        <v>0</v>
      </c>
      <c r="CA48" s="18">
        <f>ROUNDDOWN(IF($AG47*AC48&gt;요율!$E$3,($AG47*AC48-요율!$E$3)*요율!$C$3%*요율!$D$3%,0),-1)</f>
        <v>0</v>
      </c>
      <c r="CB48" s="19">
        <f>ROUNDDOWN(IF($AG47*AD48&gt;요율!$E$3,($AG47*AD48-요율!$E$3)*요율!$C$3%*요율!$D$3%,0),-1)</f>
        <v>0</v>
      </c>
    </row>
    <row r="49" spans="1:82" ht="20.100000000000001" hidden="1" customHeight="1">
      <c r="A49" s="760">
        <f t="shared" si="1"/>
        <v>22</v>
      </c>
      <c r="B49" s="260"/>
      <c r="C49" s="708" t="str">
        <f>IF(ISERROR(VLOOKUP(B49,주소록!$A$3:$K$523,5,0)),"",VLOOKUP(B49,주소록!$A$3:$K$523,3,0))</f>
        <v/>
      </c>
      <c r="D49" s="708"/>
      <c r="E49" s="708"/>
      <c r="F49" s="709"/>
      <c r="G49" s="710" t="str">
        <f>IF(ISERROR(VLOOKUP(B49,주소록!$A$3:$K$523,6,0)),"",VLOOKUP(B49,주소록!$A$3:$K$523,4,0))</f>
        <v/>
      </c>
      <c r="H49" s="711"/>
      <c r="I49" s="711"/>
      <c r="J49" s="711"/>
      <c r="K49" s="711"/>
      <c r="L49" s="711"/>
      <c r="M49" s="711"/>
      <c r="N49" s="712"/>
      <c r="O49" s="469"/>
      <c r="P49" s="470"/>
      <c r="Q49" s="470"/>
      <c r="R49" s="470"/>
      <c r="S49" s="478"/>
      <c r="T49" s="469"/>
      <c r="U49" s="470"/>
      <c r="V49" s="470"/>
      <c r="W49" s="470"/>
      <c r="X49" s="471"/>
      <c r="Y49" s="472"/>
      <c r="Z49" s="467"/>
      <c r="AA49" s="470"/>
      <c r="AB49" s="470"/>
      <c r="AC49" s="470"/>
      <c r="AD49" s="473"/>
      <c r="AE49" s="762">
        <f>COUNTIF(O49:AD50,"&gt;=0.5")</f>
        <v>0</v>
      </c>
      <c r="AF49" s="763"/>
      <c r="AG49" s="764"/>
      <c r="AH49" s="684">
        <f>AE50*AG49</f>
        <v>0</v>
      </c>
      <c r="AI49" s="685"/>
      <c r="AJ49" s="686"/>
      <c r="AK49" s="755">
        <f>IF(BG50&lt;1000, 0, BG50)</f>
        <v>0</v>
      </c>
      <c r="AL49" s="756"/>
      <c r="AM49" s="757"/>
      <c r="AN49" s="758">
        <f>IF(요율!$H$7="○",IF(AE49&gt;=요율!$D$6,ROUNDDOWN(AH49*요율!$C$4%,-1),0),0)</f>
        <v>0</v>
      </c>
      <c r="AO49" s="756"/>
      <c r="AP49" s="757"/>
      <c r="AQ49" s="758">
        <f>BL49</f>
        <v>0</v>
      </c>
      <c r="AR49" s="756"/>
      <c r="AS49" s="759"/>
      <c r="AT49" s="717">
        <f>SUM(AK49:AS50)</f>
        <v>0</v>
      </c>
      <c r="AU49" s="718"/>
      <c r="AV49" s="719"/>
      <c r="AW49" s="720">
        <f>AH49-AT49-AT50</f>
        <v>0</v>
      </c>
      <c r="AX49" s="721"/>
      <c r="AY49" s="722"/>
      <c r="AZ49" s="766"/>
      <c r="BA49" s="21" t="str">
        <f>IF(ISERROR(VLOOKUP($B49,주소록!$A$3:$K$523,3,0)),"",VLOOKUP($B49,주소록!$A$3:$K$523,2,0))</f>
        <v/>
      </c>
      <c r="BB49" s="6">
        <v>1</v>
      </c>
      <c r="BC49" s="752">
        <f>A49</f>
        <v>22</v>
      </c>
      <c r="BD49" s="754" t="str">
        <f>IF(OR(MID(C49,8,1)&lt;"3",AND(MID(C49,8,1)&gt;="5",MID(C49,8,1)&lt;="6")),TEXT(TEXT(LEFT(C49,6),"1900-00-00"),"yyyy년 m월 d일"),TEXT(TEXT(LEFT(C49,6),"2000-00-00"),"yyyy년 m월 d일"))</f>
        <v/>
      </c>
      <c r="BE49" s="754"/>
      <c r="BF49" s="754"/>
      <c r="BG49" s="768">
        <f>IFERROR(INT( ( TEXT($O$3,"yyyy.mmdd") - TEXT(BD49,"yyyy.mmdd") )  ),0)</f>
        <v>0</v>
      </c>
      <c r="BH49" s="769"/>
      <c r="BI49" s="770"/>
      <c r="BJ49" s="133">
        <f>IF(BG49&gt;59,"60세이상",IF(OR(AE49&lt;요율!$D$6,AH49=0),0,IF(AH49&lt;요율!$C$7,요율!$D$7,IF(AH49&gt;요율!$C$8,요율!$D$8,+TRUNC(AH49*요율!$C$6%,-1)))))</f>
        <v>0</v>
      </c>
      <c r="BK49" s="143">
        <f>IF(BG49&gt;59,"60세이상",IF(OR(AH49&lt;2200000,AH49=0),0,IF(AH49&lt;요율!$C$7,요율!$D$7,IF(AH49&gt;요율!$C$8,요율!$D$8,+TRUNC(AH49*요율!$C$6%,-1)))))</f>
        <v>0</v>
      </c>
      <c r="BL49" s="140">
        <f>IF(BK49&gt;0,BK49,BJ49)</f>
        <v>0</v>
      </c>
      <c r="BM49" s="15">
        <f>ROUNDDOWN(IF($AG49*O49&gt;요율!$E$3,($AG49*O49-요율!$E$3)*요율!$C$3%*요율!$D$3%,0),-1)</f>
        <v>0</v>
      </c>
      <c r="BN49" s="16">
        <f>ROUNDDOWN(IF($AG49*P49&gt;요율!$E$3,($AG49*P49-요율!$E$3)*요율!$C$3%*요율!$D$3%,0),-1)</f>
        <v>0</v>
      </c>
      <c r="BO49" s="16">
        <f>ROUNDDOWN(IF($AG49*Q49&gt;요율!$E$3,($AG49*Q49-요율!$E$3)*요율!$C$3%*요율!$D$3%,0),-1)</f>
        <v>0</v>
      </c>
      <c r="BP49" s="16">
        <f>ROUNDDOWN(IF($AG49*R49&gt;요율!$E$3,($AG49*R49-요율!$E$3)*요율!$C$3%*요율!$D$3%,0),-1)</f>
        <v>0</v>
      </c>
      <c r="BQ49" s="16">
        <f>ROUNDDOWN(IF($AG49*S49&gt;요율!$E$3,($AG49*S49-요율!$E$3)*요율!$C$3%*요율!$D$3%,0),-1)</f>
        <v>0</v>
      </c>
      <c r="BR49" s="16">
        <f>ROUNDDOWN(IF($AG49*T49&gt;요율!$E$3,($AG49*T49-요율!$E$3)*요율!$C$3%*요율!$D$3%,0),-1)</f>
        <v>0</v>
      </c>
      <c r="BS49" s="16">
        <f>ROUNDDOWN(IF($AG49*U49&gt;요율!$E$3,($AG49*U49-요율!$E$3)*요율!$C$3%*요율!$D$3%,0),-1)</f>
        <v>0</v>
      </c>
      <c r="BT49" s="16">
        <f>ROUNDDOWN(IF($AG49*V49&gt;요율!$E$3,($AG49*V49-요율!$E$3)*요율!$C$3%*요율!$D$3%,0),-1)</f>
        <v>0</v>
      </c>
      <c r="BU49" s="16">
        <f>ROUNDDOWN(IF($AG49*W49&gt;요율!$E$3,($AG49*W49-요율!$E$3)*요율!$C$3%*요율!$D$3%,0),-1)</f>
        <v>0</v>
      </c>
      <c r="BV49" s="16">
        <f>ROUNDDOWN(IF($AG49*X49&gt;요율!$E$3,($AG49*X49-요율!$E$3)*요율!$C$3%*요율!$D$3%,0),-1)</f>
        <v>0</v>
      </c>
      <c r="BW49" s="16">
        <f>ROUNDDOWN(IF($AG49*Y49&gt;요율!$E$3,($AG49*Y49-요율!$E$3)*요율!$C$3%*요율!$D$3%,0),-1)</f>
        <v>0</v>
      </c>
      <c r="BX49" s="16">
        <f>ROUNDDOWN(IF($AG49*Z49&gt;요율!$E$3,($AG49*Z49-요율!$E$3)*요율!$C$3%*요율!$D$3%,0),-1)</f>
        <v>0</v>
      </c>
      <c r="BY49" s="16">
        <f>ROUNDDOWN(IF($AG49*AA49&gt;요율!$E$3,($AG49*AA49-요율!$E$3)*요율!$C$3%*요율!$D$3%,0),-1)</f>
        <v>0</v>
      </c>
      <c r="BZ49" s="16">
        <f>ROUNDDOWN(IF($AG49*AB49&gt;요율!$E$3,($AG49*AB49-요율!$E$3)*요율!$C$3%*요율!$D$3%,0),-1)</f>
        <v>0</v>
      </c>
      <c r="CA49" s="16">
        <f>ROUNDDOWN(IF($AG49*AC49&gt;요율!$E$3,($AG49*AC49-요율!$E$3)*요율!$C$3%*요율!$D$3%,0),-1)</f>
        <v>0</v>
      </c>
      <c r="CB49" s="31">
        <f>ROUNDDOWN(IF($AG49*AD49&gt;요율!$E$3,($AG49*AD49-요율!$E$3)*요율!$C$3%*요율!$D$3%,0),-1)</f>
        <v>0</v>
      </c>
      <c r="CD49" s="5" t="str">
        <f>IFERROR(VLOOKUP(B49,주소록,9,FALSE),"")</f>
        <v/>
      </c>
    </row>
    <row r="50" spans="1:82" ht="20.100000000000001" hidden="1" customHeight="1">
      <c r="A50" s="761"/>
      <c r="B50" s="261" t="str">
        <f>BA49</f>
        <v/>
      </c>
      <c r="C50" s="690" t="str">
        <f>IF(ISERROR(VLOOKUP(B49,주소록!$A$3:$K$523,7,0)),"",VLOOKUP(B49,주소록!$A$3:$K$523,5,0))</f>
        <v/>
      </c>
      <c r="D50" s="690"/>
      <c r="E50" s="690"/>
      <c r="F50" s="691"/>
      <c r="G50" s="692" t="str">
        <f>IF(ISERROR(VLOOKUP(B49,주소록!$A$3:$K$523,9,0)),"",VLOOKUP(B49,주소록!$A$3:$K$523,7,0))</f>
        <v/>
      </c>
      <c r="H50" s="693"/>
      <c r="I50" s="694"/>
      <c r="J50" s="692" t="str">
        <f>IF(ISERROR(VLOOKUP(B49,주소록!$A$3:$K$523,10,0)),"",VLOOKUP(B49,주소록!$A$3:$K$523,8,0))</f>
        <v/>
      </c>
      <c r="K50" s="693"/>
      <c r="L50" s="693"/>
      <c r="M50" s="693"/>
      <c r="N50" s="695"/>
      <c r="O50" s="474"/>
      <c r="P50" s="475"/>
      <c r="Q50" s="475"/>
      <c r="R50" s="468"/>
      <c r="S50" s="476"/>
      <c r="T50" s="474"/>
      <c r="U50" s="475"/>
      <c r="V50" s="475"/>
      <c r="W50" s="475"/>
      <c r="X50" s="477"/>
      <c r="Y50" s="479"/>
      <c r="Z50" s="475"/>
      <c r="AA50" s="475"/>
      <c r="AB50" s="475"/>
      <c r="AC50" s="475"/>
      <c r="AD50" s="477"/>
      <c r="AE50" s="696">
        <f>SUM(O49:AD50)</f>
        <v>0</v>
      </c>
      <c r="AF50" s="697"/>
      <c r="AG50" s="765"/>
      <c r="AH50" s="687"/>
      <c r="AI50" s="688"/>
      <c r="AJ50" s="689"/>
      <c r="AK50" s="698">
        <f>IF(C49=0,"",IF(MID(C49,7,1)="5","",IF(MID(C49,7,1)="6","",ROUNDDOWN((AK49*10%),-1))))</f>
        <v>0</v>
      </c>
      <c r="AL50" s="699"/>
      <c r="AM50" s="700"/>
      <c r="AN50" s="701">
        <f>ROUNDDOWN(AN49*요율!$F$5,-1)</f>
        <v>0</v>
      </c>
      <c r="AO50" s="701"/>
      <c r="AP50" s="701"/>
      <c r="AQ50" s="713">
        <f>IF(OR(AND(요율!$H$8="X",요율!$H$9="X",MID(C49,8,1)&gt;="5"),AND(요율!$H$8="○",요율!$H$9="X",MID(C49,8,1)&gt;="5")),"외국인",IF(요율!$H$8="X",IF(C49="",0,IF(OR(MID(C49,8,1)&lt;"3",AND(MID(C49,8,1)&gt;="5",MID(C49,8,1)&lt;="6")),IF(INT(TEXT($O$3,"yyyy.mmdd")-TEXT(TEXT(LEFT(C49,6),"1900-00-00"),"yyyy.mmdd"))&gt;=65,"65세이상",+TRUNC(AH49*요율!$C$9%,-1)),IF(INT(TEXT($O$3,"yyyy.mmdd")-TEXT(TEXT(LEFT(C49,6),"2000-00-00"),"yyyy.mmdd"))&gt;=65,"65세이상",+TRUNC(AH49*요율!$C$9%,-1)))),+TRUNC(AH49*요율!$C$9%,-1)))</f>
        <v>0</v>
      </c>
      <c r="AR50" s="699"/>
      <c r="AS50" s="699"/>
      <c r="AT50" s="714"/>
      <c r="AU50" s="715"/>
      <c r="AV50" s="716"/>
      <c r="AW50" s="723"/>
      <c r="AX50" s="724"/>
      <c r="AY50" s="725"/>
      <c r="AZ50" s="767"/>
      <c r="BA50" s="22" t="str">
        <f>BA49</f>
        <v/>
      </c>
      <c r="BB50" s="6">
        <v>2</v>
      </c>
      <c r="BC50" s="753"/>
      <c r="BD50" s="733">
        <f>B49</f>
        <v>0</v>
      </c>
      <c r="BE50" s="733"/>
      <c r="BF50" s="733"/>
      <c r="BG50" s="734">
        <f>SUM(BM49:CB50)</f>
        <v>0</v>
      </c>
      <c r="BH50" s="735"/>
      <c r="BI50" s="736"/>
      <c r="BJ50" s="144"/>
      <c r="BK50" s="145"/>
      <c r="BL50" s="146"/>
      <c r="BM50" s="17">
        <f>ROUNDDOWN(IF($AG49*O50&gt;요율!$E$3,($AG49*O50-요율!$E$3)*요율!$C$3%*요율!$D$3%,0),-1)</f>
        <v>0</v>
      </c>
      <c r="BN50" s="18">
        <f>ROUNDDOWN(IF($AG49*P50&gt;요율!$E$3,($AG49*P50-요율!$E$3)*요율!$C$3%*요율!$D$3%,0),-1)</f>
        <v>0</v>
      </c>
      <c r="BO50" s="18">
        <f>ROUNDDOWN(IF($AG49*Q50&gt;요율!$E$3,($AG49*Q50-요율!$E$3)*요율!$C$3%*요율!$D$3%,0),-1)</f>
        <v>0</v>
      </c>
      <c r="BP50" s="18">
        <f>ROUNDDOWN(IF($AG49*R50&gt;요율!$E$3,($AG49*R50-요율!$E$3)*요율!$C$3%*요율!$D$3%,0),-1)</f>
        <v>0</v>
      </c>
      <c r="BQ50" s="18">
        <f>ROUNDDOWN(IF($AG49*S50&gt;요율!$E$3,($AG49*S50-요율!$E$3)*요율!$C$3%*요율!$D$3%,0),-1)</f>
        <v>0</v>
      </c>
      <c r="BR50" s="18">
        <f>ROUNDDOWN(IF($AG49*T50&gt;요율!$E$3,($AG49*T50-요율!$E$3)*요율!$C$3%*요율!$D$3%,0),-1)</f>
        <v>0</v>
      </c>
      <c r="BS50" s="18">
        <f>ROUNDDOWN(IF($AG49*U50&gt;요율!$E$3,($AG49*U50-요율!$E$3)*요율!$C$3%*요율!$D$3%,0),-1)</f>
        <v>0</v>
      </c>
      <c r="BT50" s="18">
        <f>ROUNDDOWN(IF($AG49*V50&gt;요율!$E$3,($AG49*V50-요율!$E$3)*요율!$C$3%*요율!$D$3%,0),-1)</f>
        <v>0</v>
      </c>
      <c r="BU50" s="18">
        <f>ROUNDDOWN(IF($AG49*W50&gt;요율!$E$3,($AG49*W50-요율!$E$3)*요율!$C$3%*요율!$D$3%,0),-1)</f>
        <v>0</v>
      </c>
      <c r="BV50" s="18">
        <f>ROUNDDOWN(IF($AG49*X50&gt;요율!$E$3,($AG49*X50-요율!$E$3)*요율!$C$3%*요율!$D$3%,0),-1)</f>
        <v>0</v>
      </c>
      <c r="BW50" s="18">
        <f>ROUNDDOWN(IF($AG49*Y50&gt;요율!$E$3,($AG49*Y50-요율!$E$3)*요율!$C$3%*요율!$D$3%,0),-1)</f>
        <v>0</v>
      </c>
      <c r="BX50" s="18">
        <f>ROUNDDOWN(IF($AG49*Z50&gt;요율!$E$3,($AG49*Z50-요율!$E$3)*요율!$C$3%*요율!$D$3%,0),-1)</f>
        <v>0</v>
      </c>
      <c r="BY50" s="18">
        <f>ROUNDDOWN(IF($AG49*AA50&gt;요율!$E$3,($AG49*AA50-요율!$E$3)*요율!$C$3%*요율!$D$3%,0),-1)</f>
        <v>0</v>
      </c>
      <c r="BZ50" s="18">
        <f>ROUNDDOWN(IF($AG49*AB50&gt;요율!$E$3,($AG49*AB50-요율!$E$3)*요율!$C$3%*요율!$D$3%,0),-1)</f>
        <v>0</v>
      </c>
      <c r="CA50" s="18">
        <f>ROUNDDOWN(IF($AG49*AC50&gt;요율!$E$3,($AG49*AC50-요율!$E$3)*요율!$C$3%*요율!$D$3%,0),-1)</f>
        <v>0</v>
      </c>
      <c r="CB50" s="19">
        <f>ROUNDDOWN(IF($AG49*AD50&gt;요율!$E$3,($AG49*AD50-요율!$E$3)*요율!$C$3%*요율!$D$3%,0),-1)</f>
        <v>0</v>
      </c>
    </row>
    <row r="51" spans="1:82" ht="20.100000000000001" hidden="1" customHeight="1">
      <c r="A51" s="760">
        <f t="shared" si="1"/>
        <v>23</v>
      </c>
      <c r="B51" s="260"/>
      <c r="C51" s="708" t="str">
        <f>IF(ISERROR(VLOOKUP(B51,주소록!$A$3:$K$523,5,0)),"",VLOOKUP(B51,주소록!$A$3:$K$523,3,0))</f>
        <v/>
      </c>
      <c r="D51" s="708"/>
      <c r="E51" s="708"/>
      <c r="F51" s="709"/>
      <c r="G51" s="710" t="str">
        <f>IF(ISERROR(VLOOKUP(B51,주소록!$A$3:$K$523,6,0)),"",VLOOKUP(B51,주소록!$A$3:$K$523,4,0))</f>
        <v/>
      </c>
      <c r="H51" s="711"/>
      <c r="I51" s="711"/>
      <c r="J51" s="711"/>
      <c r="K51" s="711"/>
      <c r="L51" s="711"/>
      <c r="M51" s="711"/>
      <c r="N51" s="712"/>
      <c r="O51" s="469"/>
      <c r="P51" s="470"/>
      <c r="Q51" s="470"/>
      <c r="R51" s="470"/>
      <c r="S51" s="478"/>
      <c r="T51" s="469"/>
      <c r="U51" s="470"/>
      <c r="V51" s="470"/>
      <c r="W51" s="470"/>
      <c r="X51" s="471"/>
      <c r="Y51" s="472"/>
      <c r="Z51" s="467"/>
      <c r="AA51" s="470"/>
      <c r="AB51" s="470"/>
      <c r="AC51" s="470"/>
      <c r="AD51" s="473"/>
      <c r="AE51" s="762">
        <f>COUNTIF(O51:AD52,"&gt;=0.5")</f>
        <v>0</v>
      </c>
      <c r="AF51" s="763"/>
      <c r="AG51" s="764"/>
      <c r="AH51" s="684">
        <f>AE52*AG51</f>
        <v>0</v>
      </c>
      <c r="AI51" s="685"/>
      <c r="AJ51" s="686"/>
      <c r="AK51" s="755">
        <f>IF(BG52&lt;1000, 0, BG52)</f>
        <v>0</v>
      </c>
      <c r="AL51" s="756"/>
      <c r="AM51" s="757"/>
      <c r="AN51" s="758">
        <f>IF(요율!$H$7="○",IF(AE51&gt;=요율!$D$6,ROUNDDOWN(AH51*요율!$C$4%,-1),0),0)</f>
        <v>0</v>
      </c>
      <c r="AO51" s="756"/>
      <c r="AP51" s="757"/>
      <c r="AQ51" s="758">
        <f>BL51</f>
        <v>0</v>
      </c>
      <c r="AR51" s="756"/>
      <c r="AS51" s="759"/>
      <c r="AT51" s="717">
        <f>SUM(AK51:AS52)</f>
        <v>0</v>
      </c>
      <c r="AU51" s="718"/>
      <c r="AV51" s="719"/>
      <c r="AW51" s="720">
        <f>AH51-AT51-AT52</f>
        <v>0</v>
      </c>
      <c r="AX51" s="721"/>
      <c r="AY51" s="722"/>
      <c r="AZ51" s="766"/>
      <c r="BA51" s="21" t="str">
        <f>IF(ISERROR(VLOOKUP($B51,주소록!$A$3:$K$523,3,0)),"",VLOOKUP($B51,주소록!$A$3:$K$523,2,0))</f>
        <v/>
      </c>
      <c r="BB51" s="6">
        <v>1</v>
      </c>
      <c r="BC51" s="752">
        <f>A51</f>
        <v>23</v>
      </c>
      <c r="BD51" s="754" t="str">
        <f>IF(OR(MID(C51,8,1)&lt;"3",AND(MID(C51,8,1)&gt;="5",MID(C51,8,1)&lt;="6")),TEXT(TEXT(LEFT(C51,6),"1900-00-00"),"yyyy년 m월 d일"),TEXT(TEXT(LEFT(C51,6),"2000-00-00"),"yyyy년 m월 d일"))</f>
        <v/>
      </c>
      <c r="BE51" s="754"/>
      <c r="BF51" s="754"/>
      <c r="BG51" s="768">
        <f>IFERROR(INT( ( TEXT($O$3,"yyyy.mmdd") - TEXT(BD51,"yyyy.mmdd") )  ),0)</f>
        <v>0</v>
      </c>
      <c r="BH51" s="769"/>
      <c r="BI51" s="770"/>
      <c r="BJ51" s="133">
        <f>IF(BG51&gt;59,"60세이상",IF(OR(AE51&lt;요율!$D$6,AH51=0),0,IF(AH51&lt;요율!$C$7,요율!$D$7,IF(AH51&gt;요율!$C$8,요율!$D$8,+TRUNC(AH51*요율!$C$6%,-1)))))</f>
        <v>0</v>
      </c>
      <c r="BK51" s="143">
        <f>IF(BG51&gt;59,"60세이상",IF(OR(AH51&lt;2200000,AH51=0),0,IF(AH51&lt;요율!$C$7,요율!$D$7,IF(AH51&gt;요율!$C$8,요율!$D$8,+TRUNC(AH51*요율!$C$6%,-1)))))</f>
        <v>0</v>
      </c>
      <c r="BL51" s="140">
        <f>IF(BK51&gt;0,BK51,BJ51)</f>
        <v>0</v>
      </c>
      <c r="BM51" s="15">
        <f>ROUNDDOWN(IF($AG51*O51&gt;요율!$E$3,($AG51*O51-요율!$E$3)*요율!$C$3%*요율!$D$3%,0),-1)</f>
        <v>0</v>
      </c>
      <c r="BN51" s="16">
        <f>ROUNDDOWN(IF($AG51*P51&gt;요율!$E$3,($AG51*P51-요율!$E$3)*요율!$C$3%*요율!$D$3%,0),-1)</f>
        <v>0</v>
      </c>
      <c r="BO51" s="16">
        <f>ROUNDDOWN(IF($AG51*Q51&gt;요율!$E$3,($AG51*Q51-요율!$E$3)*요율!$C$3%*요율!$D$3%,0),-1)</f>
        <v>0</v>
      </c>
      <c r="BP51" s="16">
        <f>ROUNDDOWN(IF($AG51*R51&gt;요율!$E$3,($AG51*R51-요율!$E$3)*요율!$C$3%*요율!$D$3%,0),-1)</f>
        <v>0</v>
      </c>
      <c r="BQ51" s="16">
        <f>ROUNDDOWN(IF($AG51*S51&gt;요율!$E$3,($AG51*S51-요율!$E$3)*요율!$C$3%*요율!$D$3%,0),-1)</f>
        <v>0</v>
      </c>
      <c r="BR51" s="16">
        <f>ROUNDDOWN(IF($AG51*T51&gt;요율!$E$3,($AG51*T51-요율!$E$3)*요율!$C$3%*요율!$D$3%,0),-1)</f>
        <v>0</v>
      </c>
      <c r="BS51" s="16">
        <f>ROUNDDOWN(IF($AG51*U51&gt;요율!$E$3,($AG51*U51-요율!$E$3)*요율!$C$3%*요율!$D$3%,0),-1)</f>
        <v>0</v>
      </c>
      <c r="BT51" s="16">
        <f>ROUNDDOWN(IF($AG51*V51&gt;요율!$E$3,($AG51*V51-요율!$E$3)*요율!$C$3%*요율!$D$3%,0),-1)</f>
        <v>0</v>
      </c>
      <c r="BU51" s="16">
        <f>ROUNDDOWN(IF($AG51*W51&gt;요율!$E$3,($AG51*W51-요율!$E$3)*요율!$C$3%*요율!$D$3%,0),-1)</f>
        <v>0</v>
      </c>
      <c r="BV51" s="16">
        <f>ROUNDDOWN(IF($AG51*X51&gt;요율!$E$3,($AG51*X51-요율!$E$3)*요율!$C$3%*요율!$D$3%,0),-1)</f>
        <v>0</v>
      </c>
      <c r="BW51" s="16">
        <f>ROUNDDOWN(IF($AG51*Y51&gt;요율!$E$3,($AG51*Y51-요율!$E$3)*요율!$C$3%*요율!$D$3%,0),-1)</f>
        <v>0</v>
      </c>
      <c r="BX51" s="16">
        <f>ROUNDDOWN(IF($AG51*Z51&gt;요율!$E$3,($AG51*Z51-요율!$E$3)*요율!$C$3%*요율!$D$3%,0),-1)</f>
        <v>0</v>
      </c>
      <c r="BY51" s="16">
        <f>ROUNDDOWN(IF($AG51*AA51&gt;요율!$E$3,($AG51*AA51-요율!$E$3)*요율!$C$3%*요율!$D$3%,0),-1)</f>
        <v>0</v>
      </c>
      <c r="BZ51" s="16">
        <f>ROUNDDOWN(IF($AG51*AB51&gt;요율!$E$3,($AG51*AB51-요율!$E$3)*요율!$C$3%*요율!$D$3%,0),-1)</f>
        <v>0</v>
      </c>
      <c r="CA51" s="16">
        <f>ROUNDDOWN(IF($AG51*AC51&gt;요율!$E$3,($AG51*AC51-요율!$E$3)*요율!$C$3%*요율!$D$3%,0),-1)</f>
        <v>0</v>
      </c>
      <c r="CB51" s="31">
        <f>ROUNDDOWN(IF($AG51*AD51&gt;요율!$E$3,($AG51*AD51-요율!$E$3)*요율!$C$3%*요율!$D$3%,0),-1)</f>
        <v>0</v>
      </c>
      <c r="CD51" s="5" t="str">
        <f>IFERROR(VLOOKUP(B51,주소록,9,FALSE),"")</f>
        <v/>
      </c>
    </row>
    <row r="52" spans="1:82" ht="20.100000000000001" hidden="1" customHeight="1">
      <c r="A52" s="761"/>
      <c r="B52" s="261" t="str">
        <f>BA51</f>
        <v/>
      </c>
      <c r="C52" s="690" t="str">
        <f>IF(ISERROR(VLOOKUP(B51,주소록!$A$3:$K$523,7,0)),"",VLOOKUP(B51,주소록!$A$3:$K$523,5,0))</f>
        <v/>
      </c>
      <c r="D52" s="690"/>
      <c r="E52" s="690"/>
      <c r="F52" s="691"/>
      <c r="G52" s="692" t="str">
        <f>IF(ISERROR(VLOOKUP(B51,주소록!$A$3:$K$523,9,0)),"",VLOOKUP(B51,주소록!$A$3:$K$523,7,0))</f>
        <v/>
      </c>
      <c r="H52" s="693"/>
      <c r="I52" s="694"/>
      <c r="J52" s="692" t="str">
        <f>IF(ISERROR(VLOOKUP(B51,주소록!$A$3:$K$523,10,0)),"",VLOOKUP(B51,주소록!$A$3:$K$523,8,0))</f>
        <v/>
      </c>
      <c r="K52" s="693"/>
      <c r="L52" s="693"/>
      <c r="M52" s="693"/>
      <c r="N52" s="695"/>
      <c r="O52" s="474"/>
      <c r="P52" s="475"/>
      <c r="Q52" s="475"/>
      <c r="R52" s="468"/>
      <c r="S52" s="476"/>
      <c r="T52" s="474"/>
      <c r="U52" s="475"/>
      <c r="V52" s="475"/>
      <c r="W52" s="475"/>
      <c r="X52" s="477"/>
      <c r="Y52" s="479"/>
      <c r="Z52" s="475"/>
      <c r="AA52" s="475"/>
      <c r="AB52" s="475"/>
      <c r="AC52" s="475"/>
      <c r="AD52" s="477"/>
      <c r="AE52" s="696">
        <f>SUM(O51:AD52)</f>
        <v>0</v>
      </c>
      <c r="AF52" s="697"/>
      <c r="AG52" s="765"/>
      <c r="AH52" s="687"/>
      <c r="AI52" s="688"/>
      <c r="AJ52" s="689"/>
      <c r="AK52" s="698">
        <f>IF(C51=0,"",IF(MID(C51,7,1)="5","",IF(MID(C51,7,1)="6","",ROUNDDOWN((AK51*10%),-1))))</f>
        <v>0</v>
      </c>
      <c r="AL52" s="699"/>
      <c r="AM52" s="700"/>
      <c r="AN52" s="701">
        <f>ROUNDDOWN(AN51*요율!$F$5,-1)</f>
        <v>0</v>
      </c>
      <c r="AO52" s="701"/>
      <c r="AP52" s="701"/>
      <c r="AQ52" s="713">
        <f>IF(OR(AND(요율!$H$8="X",요율!$H$9="X",MID(C51,8,1)&gt;="5"),AND(요율!$H$8="○",요율!$H$9="X",MID(C51,8,1)&gt;="5")),"외국인",IF(요율!$H$8="X",IF(C51="",0,IF(OR(MID(C51,8,1)&lt;"3",AND(MID(C51,8,1)&gt;="5",MID(C51,8,1)&lt;="6")),IF(INT(TEXT($O$3,"yyyy.mmdd")-TEXT(TEXT(LEFT(C51,6),"1900-00-00"),"yyyy.mmdd"))&gt;=65,"65세이상",+TRUNC(AH51*요율!$C$9%,-1)),IF(INT(TEXT($O$3,"yyyy.mmdd")-TEXT(TEXT(LEFT(C51,6),"2000-00-00"),"yyyy.mmdd"))&gt;=65,"65세이상",+TRUNC(AH51*요율!$C$9%,-1)))),+TRUNC(AH51*요율!$C$9%,-1)))</f>
        <v>0</v>
      </c>
      <c r="AR52" s="699"/>
      <c r="AS52" s="699"/>
      <c r="AT52" s="714"/>
      <c r="AU52" s="715"/>
      <c r="AV52" s="716"/>
      <c r="AW52" s="723"/>
      <c r="AX52" s="724"/>
      <c r="AY52" s="725"/>
      <c r="AZ52" s="767"/>
      <c r="BA52" s="22" t="str">
        <f>BA51</f>
        <v/>
      </c>
      <c r="BB52" s="6">
        <v>2</v>
      </c>
      <c r="BC52" s="753"/>
      <c r="BD52" s="733">
        <f>B51</f>
        <v>0</v>
      </c>
      <c r="BE52" s="733"/>
      <c r="BF52" s="733"/>
      <c r="BG52" s="734">
        <f>SUM(BM51:CB52)</f>
        <v>0</v>
      </c>
      <c r="BH52" s="735"/>
      <c r="BI52" s="736"/>
      <c r="BJ52" s="144"/>
      <c r="BK52" s="145"/>
      <c r="BL52" s="146"/>
      <c r="BM52" s="17">
        <f>ROUNDDOWN(IF($AG51*O52&gt;요율!$E$3,($AG51*O52-요율!$E$3)*요율!$C$3%*요율!$D$3%,0),-1)</f>
        <v>0</v>
      </c>
      <c r="BN52" s="18">
        <f>ROUNDDOWN(IF($AG51*P52&gt;요율!$E$3,($AG51*P52-요율!$E$3)*요율!$C$3%*요율!$D$3%,0),-1)</f>
        <v>0</v>
      </c>
      <c r="BO52" s="18">
        <f>ROUNDDOWN(IF($AG51*Q52&gt;요율!$E$3,($AG51*Q52-요율!$E$3)*요율!$C$3%*요율!$D$3%,0),-1)</f>
        <v>0</v>
      </c>
      <c r="BP52" s="18">
        <f>ROUNDDOWN(IF($AG51*R52&gt;요율!$E$3,($AG51*R52-요율!$E$3)*요율!$C$3%*요율!$D$3%,0),-1)</f>
        <v>0</v>
      </c>
      <c r="BQ52" s="18">
        <f>ROUNDDOWN(IF($AG51*S52&gt;요율!$E$3,($AG51*S52-요율!$E$3)*요율!$C$3%*요율!$D$3%,0),-1)</f>
        <v>0</v>
      </c>
      <c r="BR52" s="18">
        <f>ROUNDDOWN(IF($AG51*T52&gt;요율!$E$3,($AG51*T52-요율!$E$3)*요율!$C$3%*요율!$D$3%,0),-1)</f>
        <v>0</v>
      </c>
      <c r="BS52" s="18">
        <f>ROUNDDOWN(IF($AG51*U52&gt;요율!$E$3,($AG51*U52-요율!$E$3)*요율!$C$3%*요율!$D$3%,0),-1)</f>
        <v>0</v>
      </c>
      <c r="BT52" s="18">
        <f>ROUNDDOWN(IF($AG51*V52&gt;요율!$E$3,($AG51*V52-요율!$E$3)*요율!$C$3%*요율!$D$3%,0),-1)</f>
        <v>0</v>
      </c>
      <c r="BU52" s="18">
        <f>ROUNDDOWN(IF($AG51*W52&gt;요율!$E$3,($AG51*W52-요율!$E$3)*요율!$C$3%*요율!$D$3%,0),-1)</f>
        <v>0</v>
      </c>
      <c r="BV52" s="18">
        <f>ROUNDDOWN(IF($AG51*X52&gt;요율!$E$3,($AG51*X52-요율!$E$3)*요율!$C$3%*요율!$D$3%,0),-1)</f>
        <v>0</v>
      </c>
      <c r="BW52" s="18">
        <f>ROUNDDOWN(IF($AG51*Y52&gt;요율!$E$3,($AG51*Y52-요율!$E$3)*요율!$C$3%*요율!$D$3%,0),-1)</f>
        <v>0</v>
      </c>
      <c r="BX52" s="18">
        <f>ROUNDDOWN(IF($AG51*Z52&gt;요율!$E$3,($AG51*Z52-요율!$E$3)*요율!$C$3%*요율!$D$3%,0),-1)</f>
        <v>0</v>
      </c>
      <c r="BY52" s="18">
        <f>ROUNDDOWN(IF($AG51*AA52&gt;요율!$E$3,($AG51*AA52-요율!$E$3)*요율!$C$3%*요율!$D$3%,0),-1)</f>
        <v>0</v>
      </c>
      <c r="BZ52" s="18">
        <f>ROUNDDOWN(IF($AG51*AB52&gt;요율!$E$3,($AG51*AB52-요율!$E$3)*요율!$C$3%*요율!$D$3%,0),-1)</f>
        <v>0</v>
      </c>
      <c r="CA52" s="18">
        <f>ROUNDDOWN(IF($AG51*AC52&gt;요율!$E$3,($AG51*AC52-요율!$E$3)*요율!$C$3%*요율!$D$3%,0),-1)</f>
        <v>0</v>
      </c>
      <c r="CB52" s="19">
        <f>ROUNDDOWN(IF($AG51*AD52&gt;요율!$E$3,($AG51*AD52-요율!$E$3)*요율!$C$3%*요율!$D$3%,0),-1)</f>
        <v>0</v>
      </c>
    </row>
    <row r="53" spans="1:82" ht="20.100000000000001" hidden="1" customHeight="1">
      <c r="A53" s="760">
        <f t="shared" si="1"/>
        <v>24</v>
      </c>
      <c r="B53" s="260"/>
      <c r="C53" s="708" t="str">
        <f>IF(ISERROR(VLOOKUP(B53,주소록!$A$3:$K$523,5,0)),"",VLOOKUP(B53,주소록!$A$3:$K$523,3,0))</f>
        <v/>
      </c>
      <c r="D53" s="708"/>
      <c r="E53" s="708"/>
      <c r="F53" s="709"/>
      <c r="G53" s="710" t="str">
        <f>IF(ISERROR(VLOOKUP(B53,주소록!$A$3:$K$523,6,0)),"",VLOOKUP(B53,주소록!$A$3:$K$523,4,0))</f>
        <v/>
      </c>
      <c r="H53" s="711"/>
      <c r="I53" s="711"/>
      <c r="J53" s="711"/>
      <c r="K53" s="711"/>
      <c r="L53" s="711"/>
      <c r="M53" s="711"/>
      <c r="N53" s="712"/>
      <c r="O53" s="469"/>
      <c r="P53" s="470"/>
      <c r="Q53" s="470"/>
      <c r="R53" s="470"/>
      <c r="S53" s="478"/>
      <c r="T53" s="469"/>
      <c r="U53" s="470"/>
      <c r="V53" s="470"/>
      <c r="W53" s="470"/>
      <c r="X53" s="471"/>
      <c r="Y53" s="472"/>
      <c r="Z53" s="467"/>
      <c r="AA53" s="470"/>
      <c r="AB53" s="470"/>
      <c r="AC53" s="470"/>
      <c r="AD53" s="473"/>
      <c r="AE53" s="762">
        <f>COUNTIF(O53:AD54,"&gt;=0.5")</f>
        <v>0</v>
      </c>
      <c r="AF53" s="763"/>
      <c r="AG53" s="764"/>
      <c r="AH53" s="684">
        <f>AE54*AG53</f>
        <v>0</v>
      </c>
      <c r="AI53" s="685"/>
      <c r="AJ53" s="686"/>
      <c r="AK53" s="755">
        <f>IF(BG54&lt;1000, 0, BG54)</f>
        <v>0</v>
      </c>
      <c r="AL53" s="756"/>
      <c r="AM53" s="757"/>
      <c r="AN53" s="758">
        <f>IF(요율!$H$7="○",IF(AE53&gt;=요율!$D$6,ROUNDDOWN(AH53*요율!$C$4%,-1),0),0)</f>
        <v>0</v>
      </c>
      <c r="AO53" s="756"/>
      <c r="AP53" s="757"/>
      <c r="AQ53" s="758">
        <f>BL53</f>
        <v>0</v>
      </c>
      <c r="AR53" s="756"/>
      <c r="AS53" s="759"/>
      <c r="AT53" s="717">
        <f>SUM(AK53:AS54)</f>
        <v>0</v>
      </c>
      <c r="AU53" s="718"/>
      <c r="AV53" s="719"/>
      <c r="AW53" s="720">
        <f>AH53-AT53-AT54</f>
        <v>0</v>
      </c>
      <c r="AX53" s="721"/>
      <c r="AY53" s="722"/>
      <c r="AZ53" s="766"/>
      <c r="BA53" s="21" t="str">
        <f>IF(ISERROR(VLOOKUP($B53,주소록!$A$3:$K$523,3,0)),"",VLOOKUP($B53,주소록!$A$3:$K$523,2,0))</f>
        <v/>
      </c>
      <c r="BB53" s="6">
        <v>1</v>
      </c>
      <c r="BC53" s="752">
        <f>A53</f>
        <v>24</v>
      </c>
      <c r="BD53" s="754" t="str">
        <f>IF(OR(MID(C53,8,1)&lt;"3",AND(MID(C53,8,1)&gt;="5",MID(C53,8,1)&lt;="6")),TEXT(TEXT(LEFT(C53,6),"1900-00-00"),"yyyy년 m월 d일"),TEXT(TEXT(LEFT(C53,6),"2000-00-00"),"yyyy년 m월 d일"))</f>
        <v/>
      </c>
      <c r="BE53" s="754"/>
      <c r="BF53" s="754"/>
      <c r="BG53" s="768">
        <f>IFERROR(INT( ( TEXT($O$3,"yyyy.mmdd") - TEXT(BD53,"yyyy.mmdd") )  ),0)</f>
        <v>0</v>
      </c>
      <c r="BH53" s="769"/>
      <c r="BI53" s="770"/>
      <c r="BJ53" s="133">
        <f>IF(BG53&gt;59,"60세이상",IF(OR(AE53&lt;요율!$D$6,AH53=0),0,IF(AH53&lt;요율!$C$7,요율!$D$7,IF(AH53&gt;요율!$C$8,요율!$D$8,+TRUNC(AH53*요율!$C$6%,-1)))))</f>
        <v>0</v>
      </c>
      <c r="BK53" s="143">
        <f>IF(BG53&gt;59,"60세이상",IF(OR(AH53&lt;2200000,AH53=0),0,IF(AH53&lt;요율!$C$7,요율!$D$7,IF(AH53&gt;요율!$C$8,요율!$D$8,+TRUNC(AH53*요율!$C$6%,-1)))))</f>
        <v>0</v>
      </c>
      <c r="BL53" s="140">
        <f>IF(BK53&gt;0,BK53,BJ53)</f>
        <v>0</v>
      </c>
      <c r="BM53" s="15">
        <f>ROUNDDOWN(IF($AG53*O53&gt;요율!$E$3,($AG53*O53-요율!$E$3)*요율!$C$3%*요율!$D$3%,0),-1)</f>
        <v>0</v>
      </c>
      <c r="BN53" s="16">
        <f>ROUNDDOWN(IF($AG53*P53&gt;요율!$E$3,($AG53*P53-요율!$E$3)*요율!$C$3%*요율!$D$3%,0),-1)</f>
        <v>0</v>
      </c>
      <c r="BO53" s="16">
        <f>ROUNDDOWN(IF($AG53*Q53&gt;요율!$E$3,($AG53*Q53-요율!$E$3)*요율!$C$3%*요율!$D$3%,0),-1)</f>
        <v>0</v>
      </c>
      <c r="BP53" s="16">
        <f>ROUNDDOWN(IF($AG53*R53&gt;요율!$E$3,($AG53*R53-요율!$E$3)*요율!$C$3%*요율!$D$3%,0),-1)</f>
        <v>0</v>
      </c>
      <c r="BQ53" s="16">
        <f>ROUNDDOWN(IF($AG53*S53&gt;요율!$E$3,($AG53*S53-요율!$E$3)*요율!$C$3%*요율!$D$3%,0),-1)</f>
        <v>0</v>
      </c>
      <c r="BR53" s="16">
        <f>ROUNDDOWN(IF($AG53*T53&gt;요율!$E$3,($AG53*T53-요율!$E$3)*요율!$C$3%*요율!$D$3%,0),-1)</f>
        <v>0</v>
      </c>
      <c r="BS53" s="16">
        <f>ROUNDDOWN(IF($AG53*U53&gt;요율!$E$3,($AG53*U53-요율!$E$3)*요율!$C$3%*요율!$D$3%,0),-1)</f>
        <v>0</v>
      </c>
      <c r="BT53" s="16">
        <f>ROUNDDOWN(IF($AG53*V53&gt;요율!$E$3,($AG53*V53-요율!$E$3)*요율!$C$3%*요율!$D$3%,0),-1)</f>
        <v>0</v>
      </c>
      <c r="BU53" s="16">
        <f>ROUNDDOWN(IF($AG53*W53&gt;요율!$E$3,($AG53*W53-요율!$E$3)*요율!$C$3%*요율!$D$3%,0),-1)</f>
        <v>0</v>
      </c>
      <c r="BV53" s="16">
        <f>ROUNDDOWN(IF($AG53*X53&gt;요율!$E$3,($AG53*X53-요율!$E$3)*요율!$C$3%*요율!$D$3%,0),-1)</f>
        <v>0</v>
      </c>
      <c r="BW53" s="16">
        <f>ROUNDDOWN(IF($AG53*Y53&gt;요율!$E$3,($AG53*Y53-요율!$E$3)*요율!$C$3%*요율!$D$3%,0),-1)</f>
        <v>0</v>
      </c>
      <c r="BX53" s="16">
        <f>ROUNDDOWN(IF($AG53*Z53&gt;요율!$E$3,($AG53*Z53-요율!$E$3)*요율!$C$3%*요율!$D$3%,0),-1)</f>
        <v>0</v>
      </c>
      <c r="BY53" s="16">
        <f>ROUNDDOWN(IF($AG53*AA53&gt;요율!$E$3,($AG53*AA53-요율!$E$3)*요율!$C$3%*요율!$D$3%,0),-1)</f>
        <v>0</v>
      </c>
      <c r="BZ53" s="16">
        <f>ROUNDDOWN(IF($AG53*AB53&gt;요율!$E$3,($AG53*AB53-요율!$E$3)*요율!$C$3%*요율!$D$3%,0),-1)</f>
        <v>0</v>
      </c>
      <c r="CA53" s="16">
        <f>ROUNDDOWN(IF($AG53*AC53&gt;요율!$E$3,($AG53*AC53-요율!$E$3)*요율!$C$3%*요율!$D$3%,0),-1)</f>
        <v>0</v>
      </c>
      <c r="CB53" s="31">
        <f>ROUNDDOWN(IF($AG53*AD53&gt;요율!$E$3,($AG53*AD53-요율!$E$3)*요율!$C$3%*요율!$D$3%,0),-1)</f>
        <v>0</v>
      </c>
      <c r="CD53" s="5" t="str">
        <f>IFERROR(VLOOKUP(B53,주소록,9,FALSE),"")</f>
        <v/>
      </c>
    </row>
    <row r="54" spans="1:82" ht="20.100000000000001" hidden="1" customHeight="1">
      <c r="A54" s="761"/>
      <c r="B54" s="261" t="str">
        <f>BA53</f>
        <v/>
      </c>
      <c r="C54" s="690" t="str">
        <f>IF(ISERROR(VLOOKUP(B53,주소록!$A$3:$K$523,7,0)),"",VLOOKUP(B53,주소록!$A$3:$K$523,5,0))</f>
        <v/>
      </c>
      <c r="D54" s="690"/>
      <c r="E54" s="690"/>
      <c r="F54" s="691"/>
      <c r="G54" s="692" t="str">
        <f>IF(ISERROR(VLOOKUP(B53,주소록!$A$3:$K$523,9,0)),"",VLOOKUP(B53,주소록!$A$3:$K$523,7,0))</f>
        <v/>
      </c>
      <c r="H54" s="693"/>
      <c r="I54" s="694"/>
      <c r="J54" s="692" t="str">
        <f>IF(ISERROR(VLOOKUP(B53,주소록!$A$3:$K$523,10,0)),"",VLOOKUP(B53,주소록!$A$3:$K$523,8,0))</f>
        <v/>
      </c>
      <c r="K54" s="693"/>
      <c r="L54" s="693"/>
      <c r="M54" s="693"/>
      <c r="N54" s="695"/>
      <c r="O54" s="474"/>
      <c r="P54" s="475"/>
      <c r="Q54" s="475"/>
      <c r="R54" s="468"/>
      <c r="S54" s="476"/>
      <c r="T54" s="474"/>
      <c r="U54" s="475"/>
      <c r="V54" s="475"/>
      <c r="W54" s="475"/>
      <c r="X54" s="477"/>
      <c r="Y54" s="479"/>
      <c r="Z54" s="475"/>
      <c r="AA54" s="475"/>
      <c r="AB54" s="475"/>
      <c r="AC54" s="475"/>
      <c r="AD54" s="477"/>
      <c r="AE54" s="696">
        <f>SUM(O53:AD54)</f>
        <v>0</v>
      </c>
      <c r="AF54" s="697"/>
      <c r="AG54" s="765"/>
      <c r="AH54" s="687"/>
      <c r="AI54" s="688"/>
      <c r="AJ54" s="689"/>
      <c r="AK54" s="698">
        <f>IF(C53=0,"",IF(MID(C53,7,1)="5","",IF(MID(C53,7,1)="6","",ROUNDDOWN((AK53*10%),-1))))</f>
        <v>0</v>
      </c>
      <c r="AL54" s="699"/>
      <c r="AM54" s="700"/>
      <c r="AN54" s="701">
        <f>ROUNDDOWN(AN53*요율!$F$5,-1)</f>
        <v>0</v>
      </c>
      <c r="AO54" s="701"/>
      <c r="AP54" s="701"/>
      <c r="AQ54" s="713">
        <f>IF(OR(AND(요율!$H$8="X",요율!$H$9="X",MID(C53,8,1)&gt;="5"),AND(요율!$H$8="○",요율!$H$9="X",MID(C53,8,1)&gt;="5")),"외국인",IF(요율!$H$8="X",IF(C53="",0,IF(OR(MID(C53,8,1)&lt;"3",AND(MID(C53,8,1)&gt;="5",MID(C53,8,1)&lt;="6")),IF(INT(TEXT($O$3,"yyyy.mmdd")-TEXT(TEXT(LEFT(C53,6),"1900-00-00"),"yyyy.mmdd"))&gt;=65,"65세이상",+TRUNC(AH53*요율!$C$9%,-1)),IF(INT(TEXT($O$3,"yyyy.mmdd")-TEXT(TEXT(LEFT(C53,6),"2000-00-00"),"yyyy.mmdd"))&gt;=65,"65세이상",+TRUNC(AH53*요율!$C$9%,-1)))),+TRUNC(AH53*요율!$C$9%,-1)))</f>
        <v>0</v>
      </c>
      <c r="AR54" s="699"/>
      <c r="AS54" s="699"/>
      <c r="AT54" s="714"/>
      <c r="AU54" s="715"/>
      <c r="AV54" s="716"/>
      <c r="AW54" s="723"/>
      <c r="AX54" s="724"/>
      <c r="AY54" s="725"/>
      <c r="AZ54" s="767"/>
      <c r="BA54" s="22" t="str">
        <f>BA53</f>
        <v/>
      </c>
      <c r="BB54" s="6">
        <v>2</v>
      </c>
      <c r="BC54" s="753"/>
      <c r="BD54" s="733">
        <f>B53</f>
        <v>0</v>
      </c>
      <c r="BE54" s="733"/>
      <c r="BF54" s="733"/>
      <c r="BG54" s="734">
        <f>SUM(BM53:CB54)</f>
        <v>0</v>
      </c>
      <c r="BH54" s="735"/>
      <c r="BI54" s="736"/>
      <c r="BJ54" s="144"/>
      <c r="BK54" s="145"/>
      <c r="BL54" s="146"/>
      <c r="BM54" s="17">
        <f>ROUNDDOWN(IF($AG53*O54&gt;요율!$E$3,($AG53*O54-요율!$E$3)*요율!$C$3%*요율!$D$3%,0),-1)</f>
        <v>0</v>
      </c>
      <c r="BN54" s="18">
        <f>ROUNDDOWN(IF($AG53*P54&gt;요율!$E$3,($AG53*P54-요율!$E$3)*요율!$C$3%*요율!$D$3%,0),-1)</f>
        <v>0</v>
      </c>
      <c r="BO54" s="18">
        <f>ROUNDDOWN(IF($AG53*Q54&gt;요율!$E$3,($AG53*Q54-요율!$E$3)*요율!$C$3%*요율!$D$3%,0),-1)</f>
        <v>0</v>
      </c>
      <c r="BP54" s="18">
        <f>ROUNDDOWN(IF($AG53*R54&gt;요율!$E$3,($AG53*R54-요율!$E$3)*요율!$C$3%*요율!$D$3%,0),-1)</f>
        <v>0</v>
      </c>
      <c r="BQ54" s="18">
        <f>ROUNDDOWN(IF($AG53*S54&gt;요율!$E$3,($AG53*S54-요율!$E$3)*요율!$C$3%*요율!$D$3%,0),-1)</f>
        <v>0</v>
      </c>
      <c r="BR54" s="18">
        <f>ROUNDDOWN(IF($AG53*T54&gt;요율!$E$3,($AG53*T54-요율!$E$3)*요율!$C$3%*요율!$D$3%,0),-1)</f>
        <v>0</v>
      </c>
      <c r="BS54" s="18">
        <f>ROUNDDOWN(IF($AG53*U54&gt;요율!$E$3,($AG53*U54-요율!$E$3)*요율!$C$3%*요율!$D$3%,0),-1)</f>
        <v>0</v>
      </c>
      <c r="BT54" s="18">
        <f>ROUNDDOWN(IF($AG53*V54&gt;요율!$E$3,($AG53*V54-요율!$E$3)*요율!$C$3%*요율!$D$3%,0),-1)</f>
        <v>0</v>
      </c>
      <c r="BU54" s="18">
        <f>ROUNDDOWN(IF($AG53*W54&gt;요율!$E$3,($AG53*W54-요율!$E$3)*요율!$C$3%*요율!$D$3%,0),-1)</f>
        <v>0</v>
      </c>
      <c r="BV54" s="18">
        <f>ROUNDDOWN(IF($AG53*X54&gt;요율!$E$3,($AG53*X54-요율!$E$3)*요율!$C$3%*요율!$D$3%,0),-1)</f>
        <v>0</v>
      </c>
      <c r="BW54" s="18">
        <f>ROUNDDOWN(IF($AG53*Y54&gt;요율!$E$3,($AG53*Y54-요율!$E$3)*요율!$C$3%*요율!$D$3%,0),-1)</f>
        <v>0</v>
      </c>
      <c r="BX54" s="18">
        <f>ROUNDDOWN(IF($AG53*Z54&gt;요율!$E$3,($AG53*Z54-요율!$E$3)*요율!$C$3%*요율!$D$3%,0),-1)</f>
        <v>0</v>
      </c>
      <c r="BY54" s="18">
        <f>ROUNDDOWN(IF($AG53*AA54&gt;요율!$E$3,($AG53*AA54-요율!$E$3)*요율!$C$3%*요율!$D$3%,0),-1)</f>
        <v>0</v>
      </c>
      <c r="BZ54" s="18">
        <f>ROUNDDOWN(IF($AG53*AB54&gt;요율!$E$3,($AG53*AB54-요율!$E$3)*요율!$C$3%*요율!$D$3%,0),-1)</f>
        <v>0</v>
      </c>
      <c r="CA54" s="18">
        <f>ROUNDDOWN(IF($AG53*AC54&gt;요율!$E$3,($AG53*AC54-요율!$E$3)*요율!$C$3%*요율!$D$3%,0),-1)</f>
        <v>0</v>
      </c>
      <c r="CB54" s="19">
        <f>ROUNDDOWN(IF($AG53*AD54&gt;요율!$E$3,($AG53*AD54-요율!$E$3)*요율!$C$3%*요율!$D$3%,0),-1)</f>
        <v>0</v>
      </c>
    </row>
    <row r="55" spans="1:82" ht="20.100000000000001" hidden="1" customHeight="1">
      <c r="A55" s="760">
        <f t="shared" si="1"/>
        <v>25</v>
      </c>
      <c r="B55" s="260"/>
      <c r="C55" s="708" t="str">
        <f>IF(ISERROR(VLOOKUP(B55,주소록!$A$3:$K$523,5,0)),"",VLOOKUP(B55,주소록!$A$3:$K$523,3,0))</f>
        <v/>
      </c>
      <c r="D55" s="708"/>
      <c r="E55" s="708"/>
      <c r="F55" s="709"/>
      <c r="G55" s="710" t="str">
        <f>IF(ISERROR(VLOOKUP(B55,주소록!$A$3:$K$523,6,0)),"",VLOOKUP(B55,주소록!$A$3:$K$523,4,0))</f>
        <v/>
      </c>
      <c r="H55" s="711"/>
      <c r="I55" s="711"/>
      <c r="J55" s="711"/>
      <c r="K55" s="711"/>
      <c r="L55" s="711"/>
      <c r="M55" s="711"/>
      <c r="N55" s="712"/>
      <c r="O55" s="469"/>
      <c r="P55" s="470"/>
      <c r="Q55" s="470"/>
      <c r="R55" s="470"/>
      <c r="S55" s="478"/>
      <c r="T55" s="469"/>
      <c r="U55" s="470"/>
      <c r="V55" s="470"/>
      <c r="W55" s="470"/>
      <c r="X55" s="471"/>
      <c r="Y55" s="472"/>
      <c r="Z55" s="467"/>
      <c r="AA55" s="470"/>
      <c r="AB55" s="470"/>
      <c r="AC55" s="470"/>
      <c r="AD55" s="473"/>
      <c r="AE55" s="762">
        <f>COUNTIF(O55:AD56,"&gt;=0.5")</f>
        <v>0</v>
      </c>
      <c r="AF55" s="763"/>
      <c r="AG55" s="764"/>
      <c r="AH55" s="684">
        <f>AE56*AG55</f>
        <v>0</v>
      </c>
      <c r="AI55" s="685"/>
      <c r="AJ55" s="686"/>
      <c r="AK55" s="755">
        <f>IF(BG56&lt;1000, 0, BG56)</f>
        <v>0</v>
      </c>
      <c r="AL55" s="756"/>
      <c r="AM55" s="757"/>
      <c r="AN55" s="758">
        <f>IF(요율!$H$7="○",IF(AE55&gt;=요율!$D$6,ROUNDDOWN(AH55*요율!$C$4%,-1),0),0)</f>
        <v>0</v>
      </c>
      <c r="AO55" s="756"/>
      <c r="AP55" s="757"/>
      <c r="AQ55" s="758">
        <f>BL55</f>
        <v>0</v>
      </c>
      <c r="AR55" s="756"/>
      <c r="AS55" s="759"/>
      <c r="AT55" s="717">
        <f>SUM(AK55:AS56)</f>
        <v>0</v>
      </c>
      <c r="AU55" s="718"/>
      <c r="AV55" s="719"/>
      <c r="AW55" s="720">
        <f>AH55-AT55-AT56</f>
        <v>0</v>
      </c>
      <c r="AX55" s="721"/>
      <c r="AY55" s="722"/>
      <c r="AZ55" s="766"/>
      <c r="BA55" s="21" t="str">
        <f>IF(ISERROR(VLOOKUP($B55,주소록!$A$3:$K$523,3,0)),"",VLOOKUP($B55,주소록!$A$3:$K$523,2,0))</f>
        <v/>
      </c>
      <c r="BB55" s="6">
        <v>1</v>
      </c>
      <c r="BC55" s="752">
        <f>A55</f>
        <v>25</v>
      </c>
      <c r="BD55" s="754" t="str">
        <f>IF(OR(MID(C55,8,1)&lt;"3",AND(MID(C55,8,1)&gt;="5",MID(C55,8,1)&lt;="6")),TEXT(TEXT(LEFT(C55,6),"1900-00-00"),"yyyy년 m월 d일"),TEXT(TEXT(LEFT(C55,6),"2000-00-00"),"yyyy년 m월 d일"))</f>
        <v/>
      </c>
      <c r="BE55" s="754"/>
      <c r="BF55" s="754"/>
      <c r="BG55" s="768">
        <f>IFERROR(INT( ( TEXT($O$3,"yyyy.mmdd") - TEXT(BD55,"yyyy.mmdd") )  ),0)</f>
        <v>0</v>
      </c>
      <c r="BH55" s="769"/>
      <c r="BI55" s="770"/>
      <c r="BJ55" s="133">
        <f>IF(BG55&gt;59,"60세이상",IF(OR(AE55&lt;요율!$D$6,AH55=0),0,IF(AH55&lt;요율!$C$7,요율!$D$7,IF(AH55&gt;요율!$C$8,요율!$D$8,+TRUNC(AH55*요율!$C$6%,-1)))))</f>
        <v>0</v>
      </c>
      <c r="BK55" s="143">
        <f>IF(BG55&gt;59,"60세이상",IF(OR(AH55&lt;2200000,AH55=0),0,IF(AH55&lt;요율!$C$7,요율!$D$7,IF(AH55&gt;요율!$C$8,요율!$D$8,+TRUNC(AH55*요율!$C$6%,-1)))))</f>
        <v>0</v>
      </c>
      <c r="BL55" s="140">
        <f>IF(BK55&gt;0,BK55,BJ55)</f>
        <v>0</v>
      </c>
      <c r="BM55" s="15">
        <f>ROUNDDOWN(IF($AG55*O55&gt;요율!$E$3,($AG55*O55-요율!$E$3)*요율!$C$3%*요율!$D$3%,0),-1)</f>
        <v>0</v>
      </c>
      <c r="BN55" s="16">
        <f>ROUNDDOWN(IF($AG55*P55&gt;요율!$E$3,($AG55*P55-요율!$E$3)*요율!$C$3%*요율!$D$3%,0),-1)</f>
        <v>0</v>
      </c>
      <c r="BO55" s="16">
        <f>ROUNDDOWN(IF($AG55*Q55&gt;요율!$E$3,($AG55*Q55-요율!$E$3)*요율!$C$3%*요율!$D$3%,0),-1)</f>
        <v>0</v>
      </c>
      <c r="BP55" s="16">
        <f>ROUNDDOWN(IF($AG55*R55&gt;요율!$E$3,($AG55*R55-요율!$E$3)*요율!$C$3%*요율!$D$3%,0),-1)</f>
        <v>0</v>
      </c>
      <c r="BQ55" s="16">
        <f>ROUNDDOWN(IF($AG55*S55&gt;요율!$E$3,($AG55*S55-요율!$E$3)*요율!$C$3%*요율!$D$3%,0),-1)</f>
        <v>0</v>
      </c>
      <c r="BR55" s="16">
        <f>ROUNDDOWN(IF($AG55*T55&gt;요율!$E$3,($AG55*T55-요율!$E$3)*요율!$C$3%*요율!$D$3%,0),-1)</f>
        <v>0</v>
      </c>
      <c r="BS55" s="16">
        <f>ROUNDDOWN(IF($AG55*U55&gt;요율!$E$3,($AG55*U55-요율!$E$3)*요율!$C$3%*요율!$D$3%,0),-1)</f>
        <v>0</v>
      </c>
      <c r="BT55" s="16">
        <f>ROUNDDOWN(IF($AG55*V55&gt;요율!$E$3,($AG55*V55-요율!$E$3)*요율!$C$3%*요율!$D$3%,0),-1)</f>
        <v>0</v>
      </c>
      <c r="BU55" s="16">
        <f>ROUNDDOWN(IF($AG55*W55&gt;요율!$E$3,($AG55*W55-요율!$E$3)*요율!$C$3%*요율!$D$3%,0),-1)</f>
        <v>0</v>
      </c>
      <c r="BV55" s="16">
        <f>ROUNDDOWN(IF($AG55*X55&gt;요율!$E$3,($AG55*X55-요율!$E$3)*요율!$C$3%*요율!$D$3%,0),-1)</f>
        <v>0</v>
      </c>
      <c r="BW55" s="16">
        <f>ROUNDDOWN(IF($AG55*Y55&gt;요율!$E$3,($AG55*Y55-요율!$E$3)*요율!$C$3%*요율!$D$3%,0),-1)</f>
        <v>0</v>
      </c>
      <c r="BX55" s="16">
        <f>ROUNDDOWN(IF($AG55*Z55&gt;요율!$E$3,($AG55*Z55-요율!$E$3)*요율!$C$3%*요율!$D$3%,0),-1)</f>
        <v>0</v>
      </c>
      <c r="BY55" s="16">
        <f>ROUNDDOWN(IF($AG55*AA55&gt;요율!$E$3,($AG55*AA55-요율!$E$3)*요율!$C$3%*요율!$D$3%,0),-1)</f>
        <v>0</v>
      </c>
      <c r="BZ55" s="16">
        <f>ROUNDDOWN(IF($AG55*AB55&gt;요율!$E$3,($AG55*AB55-요율!$E$3)*요율!$C$3%*요율!$D$3%,0),-1)</f>
        <v>0</v>
      </c>
      <c r="CA55" s="16">
        <f>ROUNDDOWN(IF($AG55*AC55&gt;요율!$E$3,($AG55*AC55-요율!$E$3)*요율!$C$3%*요율!$D$3%,0),-1)</f>
        <v>0</v>
      </c>
      <c r="CB55" s="31">
        <f>ROUNDDOWN(IF($AG55*AD55&gt;요율!$E$3,($AG55*AD55-요율!$E$3)*요율!$C$3%*요율!$D$3%,0),-1)</f>
        <v>0</v>
      </c>
      <c r="CD55" s="5" t="str">
        <f>IFERROR(VLOOKUP(B55,주소록,9,FALSE),"")</f>
        <v/>
      </c>
    </row>
    <row r="56" spans="1:82" ht="20.100000000000001" hidden="1" customHeight="1">
      <c r="A56" s="761"/>
      <c r="B56" s="261" t="str">
        <f>BA55</f>
        <v/>
      </c>
      <c r="C56" s="690" t="str">
        <f>IF(ISERROR(VLOOKUP(B55,주소록!$A$3:$K$523,7,0)),"",VLOOKUP(B55,주소록!$A$3:$K$523,5,0))</f>
        <v/>
      </c>
      <c r="D56" s="690"/>
      <c r="E56" s="690"/>
      <c r="F56" s="691"/>
      <c r="G56" s="692" t="str">
        <f>IF(ISERROR(VLOOKUP(B55,주소록!$A$3:$K$523,9,0)),"",VLOOKUP(B55,주소록!$A$3:$K$523,7,0))</f>
        <v/>
      </c>
      <c r="H56" s="693"/>
      <c r="I56" s="694"/>
      <c r="J56" s="692" t="str">
        <f>IF(ISERROR(VLOOKUP(B55,주소록!$A$3:$K$523,10,0)),"",VLOOKUP(B55,주소록!$A$3:$K$523,8,0))</f>
        <v/>
      </c>
      <c r="K56" s="693"/>
      <c r="L56" s="693"/>
      <c r="M56" s="693"/>
      <c r="N56" s="695"/>
      <c r="O56" s="474"/>
      <c r="P56" s="475"/>
      <c r="Q56" s="475"/>
      <c r="R56" s="468"/>
      <c r="S56" s="476"/>
      <c r="T56" s="474"/>
      <c r="U56" s="475"/>
      <c r="V56" s="475"/>
      <c r="W56" s="475"/>
      <c r="X56" s="477"/>
      <c r="Y56" s="479"/>
      <c r="Z56" s="475"/>
      <c r="AA56" s="475"/>
      <c r="AB56" s="475"/>
      <c r="AC56" s="475"/>
      <c r="AD56" s="477"/>
      <c r="AE56" s="696">
        <f>SUM(O55:AD56)</f>
        <v>0</v>
      </c>
      <c r="AF56" s="697"/>
      <c r="AG56" s="765"/>
      <c r="AH56" s="687"/>
      <c r="AI56" s="688"/>
      <c r="AJ56" s="689"/>
      <c r="AK56" s="698">
        <f>IF(C55=0,"",IF(MID(C55,7,1)="5","",IF(MID(C55,7,1)="6","",ROUNDDOWN((AK55*10%),-1))))</f>
        <v>0</v>
      </c>
      <c r="AL56" s="699"/>
      <c r="AM56" s="700"/>
      <c r="AN56" s="701">
        <f>ROUNDDOWN(AN55*요율!$F$5,-1)</f>
        <v>0</v>
      </c>
      <c r="AO56" s="701"/>
      <c r="AP56" s="701"/>
      <c r="AQ56" s="713">
        <f>IF(OR(AND(요율!$H$8="X",요율!$H$9="X",MID(C55,8,1)&gt;="5"),AND(요율!$H$8="○",요율!$H$9="X",MID(C55,8,1)&gt;="5")),"외국인",IF(요율!$H$8="X",IF(C55="",0,IF(OR(MID(C55,8,1)&lt;"3",AND(MID(C55,8,1)&gt;="5",MID(C55,8,1)&lt;="6")),IF(INT(TEXT($O$3,"yyyy.mmdd")-TEXT(TEXT(LEFT(C55,6),"1900-00-00"),"yyyy.mmdd"))&gt;=65,"65세이상",+TRUNC(AH55*요율!$C$9%,-1)),IF(INT(TEXT($O$3,"yyyy.mmdd")-TEXT(TEXT(LEFT(C55,6),"2000-00-00"),"yyyy.mmdd"))&gt;=65,"65세이상",+TRUNC(AH55*요율!$C$9%,-1)))),+TRUNC(AH55*요율!$C$9%,-1)))</f>
        <v>0</v>
      </c>
      <c r="AR56" s="699"/>
      <c r="AS56" s="699"/>
      <c r="AT56" s="714"/>
      <c r="AU56" s="715"/>
      <c r="AV56" s="716"/>
      <c r="AW56" s="723"/>
      <c r="AX56" s="724"/>
      <c r="AY56" s="725"/>
      <c r="AZ56" s="767"/>
      <c r="BA56" s="22" t="str">
        <f>BA55</f>
        <v/>
      </c>
      <c r="BB56" s="6">
        <v>2</v>
      </c>
      <c r="BC56" s="753"/>
      <c r="BD56" s="733">
        <f>B55</f>
        <v>0</v>
      </c>
      <c r="BE56" s="733"/>
      <c r="BF56" s="733"/>
      <c r="BG56" s="734">
        <f>SUM(BM55:CB56)</f>
        <v>0</v>
      </c>
      <c r="BH56" s="735"/>
      <c r="BI56" s="736"/>
      <c r="BJ56" s="144"/>
      <c r="BK56" s="145"/>
      <c r="BL56" s="146"/>
      <c r="BM56" s="17">
        <f>ROUNDDOWN(IF($AG55*O56&gt;요율!$E$3,($AG55*O56-요율!$E$3)*요율!$C$3%*요율!$D$3%,0),-1)</f>
        <v>0</v>
      </c>
      <c r="BN56" s="18">
        <f>ROUNDDOWN(IF($AG55*P56&gt;요율!$E$3,($AG55*P56-요율!$E$3)*요율!$C$3%*요율!$D$3%,0),-1)</f>
        <v>0</v>
      </c>
      <c r="BO56" s="18">
        <f>ROUNDDOWN(IF($AG55*Q56&gt;요율!$E$3,($AG55*Q56-요율!$E$3)*요율!$C$3%*요율!$D$3%,0),-1)</f>
        <v>0</v>
      </c>
      <c r="BP56" s="18">
        <f>ROUNDDOWN(IF($AG55*R56&gt;요율!$E$3,($AG55*R56-요율!$E$3)*요율!$C$3%*요율!$D$3%,0),-1)</f>
        <v>0</v>
      </c>
      <c r="BQ56" s="18">
        <f>ROUNDDOWN(IF($AG55*S56&gt;요율!$E$3,($AG55*S56-요율!$E$3)*요율!$C$3%*요율!$D$3%,0),-1)</f>
        <v>0</v>
      </c>
      <c r="BR56" s="18">
        <f>ROUNDDOWN(IF($AG55*T56&gt;요율!$E$3,($AG55*T56-요율!$E$3)*요율!$C$3%*요율!$D$3%,0),-1)</f>
        <v>0</v>
      </c>
      <c r="BS56" s="18">
        <f>ROUNDDOWN(IF($AG55*U56&gt;요율!$E$3,($AG55*U56-요율!$E$3)*요율!$C$3%*요율!$D$3%,0),-1)</f>
        <v>0</v>
      </c>
      <c r="BT56" s="18">
        <f>ROUNDDOWN(IF($AG55*V56&gt;요율!$E$3,($AG55*V56-요율!$E$3)*요율!$C$3%*요율!$D$3%,0),-1)</f>
        <v>0</v>
      </c>
      <c r="BU56" s="18">
        <f>ROUNDDOWN(IF($AG55*W56&gt;요율!$E$3,($AG55*W56-요율!$E$3)*요율!$C$3%*요율!$D$3%,0),-1)</f>
        <v>0</v>
      </c>
      <c r="BV56" s="18">
        <f>ROUNDDOWN(IF($AG55*X56&gt;요율!$E$3,($AG55*X56-요율!$E$3)*요율!$C$3%*요율!$D$3%,0),-1)</f>
        <v>0</v>
      </c>
      <c r="BW56" s="18">
        <f>ROUNDDOWN(IF($AG55*Y56&gt;요율!$E$3,($AG55*Y56-요율!$E$3)*요율!$C$3%*요율!$D$3%,0),-1)</f>
        <v>0</v>
      </c>
      <c r="BX56" s="18">
        <f>ROUNDDOWN(IF($AG55*Z56&gt;요율!$E$3,($AG55*Z56-요율!$E$3)*요율!$C$3%*요율!$D$3%,0),-1)</f>
        <v>0</v>
      </c>
      <c r="BY56" s="18">
        <f>ROUNDDOWN(IF($AG55*AA56&gt;요율!$E$3,($AG55*AA56-요율!$E$3)*요율!$C$3%*요율!$D$3%,0),-1)</f>
        <v>0</v>
      </c>
      <c r="BZ56" s="18">
        <f>ROUNDDOWN(IF($AG55*AB56&gt;요율!$E$3,($AG55*AB56-요율!$E$3)*요율!$C$3%*요율!$D$3%,0),-1)</f>
        <v>0</v>
      </c>
      <c r="CA56" s="18">
        <f>ROUNDDOWN(IF($AG55*AC56&gt;요율!$E$3,($AG55*AC56-요율!$E$3)*요율!$C$3%*요율!$D$3%,0),-1)</f>
        <v>0</v>
      </c>
      <c r="CB56" s="19">
        <f>ROUNDDOWN(IF($AG55*AD56&gt;요율!$E$3,($AG55*AD56-요율!$E$3)*요율!$C$3%*요율!$D$3%,0),-1)</f>
        <v>0</v>
      </c>
    </row>
    <row r="57" spans="1:82" ht="20.100000000000001" hidden="1" customHeight="1">
      <c r="A57" s="760">
        <f t="shared" si="1"/>
        <v>26</v>
      </c>
      <c r="B57" s="260"/>
      <c r="C57" s="708" t="str">
        <f>IF(ISERROR(VLOOKUP(B57,주소록!$A$3:$K$523,5,0)),"",VLOOKUP(B57,주소록!$A$3:$K$523,3,0))</f>
        <v/>
      </c>
      <c r="D57" s="708"/>
      <c r="E57" s="708"/>
      <c r="F57" s="709"/>
      <c r="G57" s="710" t="str">
        <f>IF(ISERROR(VLOOKUP(B57,주소록!$A$3:$K$523,6,0)),"",VLOOKUP(B57,주소록!$A$3:$K$523,4,0))</f>
        <v/>
      </c>
      <c r="H57" s="711"/>
      <c r="I57" s="711"/>
      <c r="J57" s="711"/>
      <c r="K57" s="711"/>
      <c r="L57" s="711"/>
      <c r="M57" s="711"/>
      <c r="N57" s="712"/>
      <c r="O57" s="469"/>
      <c r="P57" s="470"/>
      <c r="Q57" s="470"/>
      <c r="R57" s="470"/>
      <c r="S57" s="478"/>
      <c r="T57" s="469"/>
      <c r="U57" s="470"/>
      <c r="V57" s="470"/>
      <c r="W57" s="470"/>
      <c r="X57" s="471"/>
      <c r="Y57" s="472"/>
      <c r="Z57" s="467"/>
      <c r="AA57" s="470"/>
      <c r="AB57" s="470"/>
      <c r="AC57" s="470"/>
      <c r="AD57" s="473"/>
      <c r="AE57" s="762">
        <f>COUNTIF(O57:AD58,"&gt;=0.5")</f>
        <v>0</v>
      </c>
      <c r="AF57" s="763"/>
      <c r="AG57" s="764"/>
      <c r="AH57" s="684">
        <f>AE58*AG57</f>
        <v>0</v>
      </c>
      <c r="AI57" s="685"/>
      <c r="AJ57" s="686"/>
      <c r="AK57" s="755">
        <f>IF(BG58&lt;1000, 0, BG58)</f>
        <v>0</v>
      </c>
      <c r="AL57" s="756"/>
      <c r="AM57" s="757"/>
      <c r="AN57" s="758">
        <f>IF(요율!$H$7="○",IF(AE57&gt;=요율!$D$6,ROUNDDOWN(AH57*요율!$C$4%,-1),0),0)</f>
        <v>0</v>
      </c>
      <c r="AO57" s="756"/>
      <c r="AP57" s="757"/>
      <c r="AQ57" s="758">
        <f>BL57</f>
        <v>0</v>
      </c>
      <c r="AR57" s="756"/>
      <c r="AS57" s="759"/>
      <c r="AT57" s="717">
        <f>SUM(AK57:AS58)</f>
        <v>0</v>
      </c>
      <c r="AU57" s="718"/>
      <c r="AV57" s="719"/>
      <c r="AW57" s="720">
        <f>AH57-AT57-AT58</f>
        <v>0</v>
      </c>
      <c r="AX57" s="721"/>
      <c r="AY57" s="722"/>
      <c r="AZ57" s="766"/>
      <c r="BA57" s="21" t="str">
        <f>IF(ISERROR(VLOOKUP($B57,주소록!$A$3:$K$523,3,0)),"",VLOOKUP($B57,주소록!$A$3:$K$523,2,0))</f>
        <v/>
      </c>
      <c r="BB57" s="6">
        <v>1</v>
      </c>
      <c r="BC57" s="752">
        <f>A57</f>
        <v>26</v>
      </c>
      <c r="BD57" s="754" t="str">
        <f>IF(OR(MID(C57,8,1)&lt;"3",AND(MID(C57,8,1)&gt;="5",MID(C57,8,1)&lt;="6")),TEXT(TEXT(LEFT(C57,6),"1900-00-00"),"yyyy년 m월 d일"),TEXT(TEXT(LEFT(C57,6),"2000-00-00"),"yyyy년 m월 d일"))</f>
        <v/>
      </c>
      <c r="BE57" s="754"/>
      <c r="BF57" s="754"/>
      <c r="BG57" s="768">
        <f>IFERROR(INT( ( TEXT($O$3,"yyyy.mmdd") - TEXT(BD57,"yyyy.mmdd") )  ),0)</f>
        <v>0</v>
      </c>
      <c r="BH57" s="769"/>
      <c r="BI57" s="770"/>
      <c r="BJ57" s="133">
        <f>IF(BG57&gt;59,"60세이상",IF(OR(AE57&lt;요율!$D$6,AH57=0),0,IF(AH57&lt;요율!$C$7,요율!$D$7,IF(AH57&gt;요율!$C$8,요율!$D$8,+TRUNC(AH57*요율!$C$6%,-1)))))</f>
        <v>0</v>
      </c>
      <c r="BK57" s="143">
        <f>IF(BG57&gt;59,"60세이상",IF(OR(AH57&lt;2200000,AH57=0),0,IF(AH57&lt;요율!$C$7,요율!$D$7,IF(AH57&gt;요율!$C$8,요율!$D$8,+TRUNC(AH57*요율!$C$6%,-1)))))</f>
        <v>0</v>
      </c>
      <c r="BL57" s="140">
        <f>IF(BK57&gt;0,BK57,BJ57)</f>
        <v>0</v>
      </c>
      <c r="BM57" s="15">
        <f>ROUNDDOWN(IF($AG57*O57&gt;요율!$E$3,($AG57*O57-요율!$E$3)*요율!$C$3%*요율!$D$3%,0),-1)</f>
        <v>0</v>
      </c>
      <c r="BN57" s="16">
        <f>ROUNDDOWN(IF($AG57*P57&gt;요율!$E$3,($AG57*P57-요율!$E$3)*요율!$C$3%*요율!$D$3%,0),-1)</f>
        <v>0</v>
      </c>
      <c r="BO57" s="16">
        <f>ROUNDDOWN(IF($AG57*Q57&gt;요율!$E$3,($AG57*Q57-요율!$E$3)*요율!$C$3%*요율!$D$3%,0),-1)</f>
        <v>0</v>
      </c>
      <c r="BP57" s="16">
        <f>ROUNDDOWN(IF($AG57*R57&gt;요율!$E$3,($AG57*R57-요율!$E$3)*요율!$C$3%*요율!$D$3%,0),-1)</f>
        <v>0</v>
      </c>
      <c r="BQ57" s="16">
        <f>ROUNDDOWN(IF($AG57*S57&gt;요율!$E$3,($AG57*S57-요율!$E$3)*요율!$C$3%*요율!$D$3%,0),-1)</f>
        <v>0</v>
      </c>
      <c r="BR57" s="16">
        <f>ROUNDDOWN(IF($AG57*T57&gt;요율!$E$3,($AG57*T57-요율!$E$3)*요율!$C$3%*요율!$D$3%,0),-1)</f>
        <v>0</v>
      </c>
      <c r="BS57" s="16">
        <f>ROUNDDOWN(IF($AG57*U57&gt;요율!$E$3,($AG57*U57-요율!$E$3)*요율!$C$3%*요율!$D$3%,0),-1)</f>
        <v>0</v>
      </c>
      <c r="BT57" s="16">
        <f>ROUNDDOWN(IF($AG57*V57&gt;요율!$E$3,($AG57*V57-요율!$E$3)*요율!$C$3%*요율!$D$3%,0),-1)</f>
        <v>0</v>
      </c>
      <c r="BU57" s="16">
        <f>ROUNDDOWN(IF($AG57*W57&gt;요율!$E$3,($AG57*W57-요율!$E$3)*요율!$C$3%*요율!$D$3%,0),-1)</f>
        <v>0</v>
      </c>
      <c r="BV57" s="16">
        <f>ROUNDDOWN(IF($AG57*X57&gt;요율!$E$3,($AG57*X57-요율!$E$3)*요율!$C$3%*요율!$D$3%,0),-1)</f>
        <v>0</v>
      </c>
      <c r="BW57" s="16">
        <f>ROUNDDOWN(IF($AG57*Y57&gt;요율!$E$3,($AG57*Y57-요율!$E$3)*요율!$C$3%*요율!$D$3%,0),-1)</f>
        <v>0</v>
      </c>
      <c r="BX57" s="16">
        <f>ROUNDDOWN(IF($AG57*Z57&gt;요율!$E$3,($AG57*Z57-요율!$E$3)*요율!$C$3%*요율!$D$3%,0),-1)</f>
        <v>0</v>
      </c>
      <c r="BY57" s="16">
        <f>ROUNDDOWN(IF($AG57*AA57&gt;요율!$E$3,($AG57*AA57-요율!$E$3)*요율!$C$3%*요율!$D$3%,0),-1)</f>
        <v>0</v>
      </c>
      <c r="BZ57" s="16">
        <f>ROUNDDOWN(IF($AG57*AB57&gt;요율!$E$3,($AG57*AB57-요율!$E$3)*요율!$C$3%*요율!$D$3%,0),-1)</f>
        <v>0</v>
      </c>
      <c r="CA57" s="16">
        <f>ROUNDDOWN(IF($AG57*AC57&gt;요율!$E$3,($AG57*AC57-요율!$E$3)*요율!$C$3%*요율!$D$3%,0),-1)</f>
        <v>0</v>
      </c>
      <c r="CB57" s="31">
        <f>ROUNDDOWN(IF($AG57*AD57&gt;요율!$E$3,($AG57*AD57-요율!$E$3)*요율!$C$3%*요율!$D$3%,0),-1)</f>
        <v>0</v>
      </c>
      <c r="CD57" s="5" t="str">
        <f>IFERROR(VLOOKUP(B57,주소록,9,FALSE),"")</f>
        <v/>
      </c>
    </row>
    <row r="58" spans="1:82" ht="20.100000000000001" hidden="1" customHeight="1">
      <c r="A58" s="761"/>
      <c r="B58" s="261" t="str">
        <f>BA57</f>
        <v/>
      </c>
      <c r="C58" s="690" t="str">
        <f>IF(ISERROR(VLOOKUP(B57,주소록!$A$3:$K$523,7,0)),"",VLOOKUP(B57,주소록!$A$3:$K$523,5,0))</f>
        <v/>
      </c>
      <c r="D58" s="690"/>
      <c r="E58" s="690"/>
      <c r="F58" s="691"/>
      <c r="G58" s="692" t="str">
        <f>IF(ISERROR(VLOOKUP(B57,주소록!$A$3:$K$523,9,0)),"",VLOOKUP(B57,주소록!$A$3:$K$523,7,0))</f>
        <v/>
      </c>
      <c r="H58" s="693"/>
      <c r="I58" s="694"/>
      <c r="J58" s="692" t="str">
        <f>IF(ISERROR(VLOOKUP(B57,주소록!$A$3:$K$523,10,0)),"",VLOOKUP(B57,주소록!$A$3:$K$523,8,0))</f>
        <v/>
      </c>
      <c r="K58" s="693"/>
      <c r="L58" s="693"/>
      <c r="M58" s="693"/>
      <c r="N58" s="695"/>
      <c r="O58" s="474"/>
      <c r="P58" s="475"/>
      <c r="Q58" s="475"/>
      <c r="R58" s="468"/>
      <c r="S58" s="476"/>
      <c r="T58" s="474"/>
      <c r="U58" s="475"/>
      <c r="V58" s="475"/>
      <c r="W58" s="475"/>
      <c r="X58" s="477"/>
      <c r="Y58" s="479"/>
      <c r="Z58" s="475"/>
      <c r="AA58" s="475"/>
      <c r="AB58" s="475"/>
      <c r="AC58" s="475"/>
      <c r="AD58" s="477"/>
      <c r="AE58" s="696">
        <f>SUM(O57:AD58)</f>
        <v>0</v>
      </c>
      <c r="AF58" s="697"/>
      <c r="AG58" s="765"/>
      <c r="AH58" s="687"/>
      <c r="AI58" s="688"/>
      <c r="AJ58" s="689"/>
      <c r="AK58" s="698">
        <f>IF(C57=0,"",IF(MID(C57,7,1)="5","",IF(MID(C57,7,1)="6","",ROUNDDOWN((AK57*10%),-1))))</f>
        <v>0</v>
      </c>
      <c r="AL58" s="699"/>
      <c r="AM58" s="700"/>
      <c r="AN58" s="701">
        <f>ROUNDDOWN(AN57*요율!$F$5,-1)</f>
        <v>0</v>
      </c>
      <c r="AO58" s="701"/>
      <c r="AP58" s="701"/>
      <c r="AQ58" s="713">
        <f>IF(OR(AND(요율!$H$8="X",요율!$H$9="X",MID(C57,8,1)&gt;="5"),AND(요율!$H$8="○",요율!$H$9="X",MID(C57,8,1)&gt;="5")),"외국인",IF(요율!$H$8="X",IF(C57="",0,IF(OR(MID(C57,8,1)&lt;"3",AND(MID(C57,8,1)&gt;="5",MID(C57,8,1)&lt;="6")),IF(INT(TEXT($O$3,"yyyy.mmdd")-TEXT(TEXT(LEFT(C57,6),"1900-00-00"),"yyyy.mmdd"))&gt;=65,"65세이상",+TRUNC(AH57*요율!$C$9%,-1)),IF(INT(TEXT($O$3,"yyyy.mmdd")-TEXT(TEXT(LEFT(C57,6),"2000-00-00"),"yyyy.mmdd"))&gt;=65,"65세이상",+TRUNC(AH57*요율!$C$9%,-1)))),+TRUNC(AH57*요율!$C$9%,-1)))</f>
        <v>0</v>
      </c>
      <c r="AR58" s="699"/>
      <c r="AS58" s="699"/>
      <c r="AT58" s="714"/>
      <c r="AU58" s="715"/>
      <c r="AV58" s="716"/>
      <c r="AW58" s="723"/>
      <c r="AX58" s="724"/>
      <c r="AY58" s="725"/>
      <c r="AZ58" s="767"/>
      <c r="BA58" s="22" t="str">
        <f>BA57</f>
        <v/>
      </c>
      <c r="BB58" s="6">
        <v>2</v>
      </c>
      <c r="BC58" s="753"/>
      <c r="BD58" s="733">
        <f>B57</f>
        <v>0</v>
      </c>
      <c r="BE58" s="733"/>
      <c r="BF58" s="733"/>
      <c r="BG58" s="734">
        <f>SUM(BM57:CB58)</f>
        <v>0</v>
      </c>
      <c r="BH58" s="735"/>
      <c r="BI58" s="736"/>
      <c r="BJ58" s="144"/>
      <c r="BK58" s="145"/>
      <c r="BL58" s="146"/>
      <c r="BM58" s="17">
        <f>ROUNDDOWN(IF($AG57*O58&gt;요율!$E$3,($AG57*O58-요율!$E$3)*요율!$C$3%*요율!$D$3%,0),-1)</f>
        <v>0</v>
      </c>
      <c r="BN58" s="18">
        <f>ROUNDDOWN(IF($AG57*P58&gt;요율!$E$3,($AG57*P58-요율!$E$3)*요율!$C$3%*요율!$D$3%,0),-1)</f>
        <v>0</v>
      </c>
      <c r="BO58" s="18">
        <f>ROUNDDOWN(IF($AG57*Q58&gt;요율!$E$3,($AG57*Q58-요율!$E$3)*요율!$C$3%*요율!$D$3%,0),-1)</f>
        <v>0</v>
      </c>
      <c r="BP58" s="18">
        <f>ROUNDDOWN(IF($AG57*R58&gt;요율!$E$3,($AG57*R58-요율!$E$3)*요율!$C$3%*요율!$D$3%,0),-1)</f>
        <v>0</v>
      </c>
      <c r="BQ58" s="18">
        <f>ROUNDDOWN(IF($AG57*S58&gt;요율!$E$3,($AG57*S58-요율!$E$3)*요율!$C$3%*요율!$D$3%,0),-1)</f>
        <v>0</v>
      </c>
      <c r="BR58" s="18">
        <f>ROUNDDOWN(IF($AG57*T58&gt;요율!$E$3,($AG57*T58-요율!$E$3)*요율!$C$3%*요율!$D$3%,0),-1)</f>
        <v>0</v>
      </c>
      <c r="BS58" s="18">
        <f>ROUNDDOWN(IF($AG57*U58&gt;요율!$E$3,($AG57*U58-요율!$E$3)*요율!$C$3%*요율!$D$3%,0),-1)</f>
        <v>0</v>
      </c>
      <c r="BT58" s="18">
        <f>ROUNDDOWN(IF($AG57*V58&gt;요율!$E$3,($AG57*V58-요율!$E$3)*요율!$C$3%*요율!$D$3%,0),-1)</f>
        <v>0</v>
      </c>
      <c r="BU58" s="18">
        <f>ROUNDDOWN(IF($AG57*W58&gt;요율!$E$3,($AG57*W58-요율!$E$3)*요율!$C$3%*요율!$D$3%,0),-1)</f>
        <v>0</v>
      </c>
      <c r="BV58" s="18">
        <f>ROUNDDOWN(IF($AG57*X58&gt;요율!$E$3,($AG57*X58-요율!$E$3)*요율!$C$3%*요율!$D$3%,0),-1)</f>
        <v>0</v>
      </c>
      <c r="BW58" s="18">
        <f>ROUNDDOWN(IF($AG57*Y58&gt;요율!$E$3,($AG57*Y58-요율!$E$3)*요율!$C$3%*요율!$D$3%,0),-1)</f>
        <v>0</v>
      </c>
      <c r="BX58" s="18">
        <f>ROUNDDOWN(IF($AG57*Z58&gt;요율!$E$3,($AG57*Z58-요율!$E$3)*요율!$C$3%*요율!$D$3%,0),-1)</f>
        <v>0</v>
      </c>
      <c r="BY58" s="18">
        <f>ROUNDDOWN(IF($AG57*AA58&gt;요율!$E$3,($AG57*AA58-요율!$E$3)*요율!$C$3%*요율!$D$3%,0),-1)</f>
        <v>0</v>
      </c>
      <c r="BZ58" s="18">
        <f>ROUNDDOWN(IF($AG57*AB58&gt;요율!$E$3,($AG57*AB58-요율!$E$3)*요율!$C$3%*요율!$D$3%,0),-1)</f>
        <v>0</v>
      </c>
      <c r="CA58" s="18">
        <f>ROUNDDOWN(IF($AG57*AC58&gt;요율!$E$3,($AG57*AC58-요율!$E$3)*요율!$C$3%*요율!$D$3%,0),-1)</f>
        <v>0</v>
      </c>
      <c r="CB58" s="19">
        <f>ROUNDDOWN(IF($AG57*AD58&gt;요율!$E$3,($AG57*AD58-요율!$E$3)*요율!$C$3%*요율!$D$3%,0),-1)</f>
        <v>0</v>
      </c>
    </row>
    <row r="59" spans="1:82" ht="20.100000000000001" hidden="1" customHeight="1">
      <c r="A59" s="760">
        <f t="shared" si="1"/>
        <v>27</v>
      </c>
      <c r="B59" s="260"/>
      <c r="C59" s="708" t="str">
        <f>IF(ISERROR(VLOOKUP(B59,주소록!$A$3:$K$523,5,0)),"",VLOOKUP(B59,주소록!$A$3:$K$523,3,0))</f>
        <v/>
      </c>
      <c r="D59" s="708"/>
      <c r="E59" s="708"/>
      <c r="F59" s="709"/>
      <c r="G59" s="710" t="str">
        <f>IF(ISERROR(VLOOKUP(B59,주소록!$A$3:$K$523,6,0)),"",VLOOKUP(B59,주소록!$A$3:$K$523,4,0))</f>
        <v/>
      </c>
      <c r="H59" s="711"/>
      <c r="I59" s="711"/>
      <c r="J59" s="711"/>
      <c r="K59" s="711"/>
      <c r="L59" s="711"/>
      <c r="M59" s="711"/>
      <c r="N59" s="712"/>
      <c r="O59" s="469"/>
      <c r="P59" s="470"/>
      <c r="Q59" s="470"/>
      <c r="R59" s="470"/>
      <c r="S59" s="478"/>
      <c r="T59" s="469"/>
      <c r="U59" s="470"/>
      <c r="V59" s="470"/>
      <c r="W59" s="470"/>
      <c r="X59" s="471"/>
      <c r="Y59" s="472"/>
      <c r="Z59" s="467"/>
      <c r="AA59" s="470"/>
      <c r="AB59" s="470"/>
      <c r="AC59" s="470"/>
      <c r="AD59" s="473"/>
      <c r="AE59" s="762">
        <f>COUNTIF(O59:AD60,"&gt;=0.5")</f>
        <v>0</v>
      </c>
      <c r="AF59" s="763"/>
      <c r="AG59" s="764"/>
      <c r="AH59" s="684">
        <f>AE60*AG59</f>
        <v>0</v>
      </c>
      <c r="AI59" s="685"/>
      <c r="AJ59" s="686"/>
      <c r="AK59" s="755">
        <f>IF(BG60&lt;1000, 0, BG60)</f>
        <v>0</v>
      </c>
      <c r="AL59" s="756"/>
      <c r="AM59" s="757"/>
      <c r="AN59" s="758">
        <f>IF(요율!$H$7="○",IF(AE59&gt;=요율!$D$6,ROUNDDOWN(AH59*요율!$C$4%,-1),0),0)</f>
        <v>0</v>
      </c>
      <c r="AO59" s="756"/>
      <c r="AP59" s="757"/>
      <c r="AQ59" s="758">
        <f>BL59</f>
        <v>0</v>
      </c>
      <c r="AR59" s="756"/>
      <c r="AS59" s="759"/>
      <c r="AT59" s="717">
        <f>SUM(AK59:AS60)</f>
        <v>0</v>
      </c>
      <c r="AU59" s="718"/>
      <c r="AV59" s="719"/>
      <c r="AW59" s="720">
        <f>AH59-AT59-AT60</f>
        <v>0</v>
      </c>
      <c r="AX59" s="721"/>
      <c r="AY59" s="722"/>
      <c r="AZ59" s="766"/>
      <c r="BA59" s="21" t="str">
        <f>IF(ISERROR(VLOOKUP($B59,주소록!$A$3:$K$523,3,0)),"",VLOOKUP($B59,주소록!$A$3:$K$523,2,0))</f>
        <v/>
      </c>
      <c r="BB59" s="6">
        <v>1</v>
      </c>
      <c r="BC59" s="752">
        <f>A59</f>
        <v>27</v>
      </c>
      <c r="BD59" s="754" t="str">
        <f>IF(OR(MID(C59,8,1)&lt;"3",AND(MID(C59,8,1)&gt;="5",MID(C59,8,1)&lt;="6")),TEXT(TEXT(LEFT(C59,6),"1900-00-00"),"yyyy년 m월 d일"),TEXT(TEXT(LEFT(C59,6),"2000-00-00"),"yyyy년 m월 d일"))</f>
        <v/>
      </c>
      <c r="BE59" s="754"/>
      <c r="BF59" s="754"/>
      <c r="BG59" s="768">
        <f>IFERROR(INT( ( TEXT($O$3,"yyyy.mmdd") - TEXT(BD59,"yyyy.mmdd") )  ),0)</f>
        <v>0</v>
      </c>
      <c r="BH59" s="769"/>
      <c r="BI59" s="770"/>
      <c r="BJ59" s="133">
        <f>IF(BG59&gt;59,"60세이상",IF(OR(AE59&lt;요율!$D$6,AH59=0),0,IF(AH59&lt;요율!$C$7,요율!$D$7,IF(AH59&gt;요율!$C$8,요율!$D$8,+TRUNC(AH59*요율!$C$6%,-1)))))</f>
        <v>0</v>
      </c>
      <c r="BK59" s="143">
        <f>IF(BG59&gt;59,"60세이상",IF(OR(AH59&lt;2200000,AH59=0),0,IF(AH59&lt;요율!$C$7,요율!$D$7,IF(AH59&gt;요율!$C$8,요율!$D$8,+TRUNC(AH59*요율!$C$6%,-1)))))</f>
        <v>0</v>
      </c>
      <c r="BL59" s="140">
        <f>IF(BK59&gt;0,BK59,BJ59)</f>
        <v>0</v>
      </c>
      <c r="BM59" s="15">
        <f>ROUNDDOWN(IF($AG59*O59&gt;요율!$E$3,($AG59*O59-요율!$E$3)*요율!$C$3%*요율!$D$3%,0),-1)</f>
        <v>0</v>
      </c>
      <c r="BN59" s="16">
        <f>ROUNDDOWN(IF($AG59*P59&gt;요율!$E$3,($AG59*P59-요율!$E$3)*요율!$C$3%*요율!$D$3%,0),-1)</f>
        <v>0</v>
      </c>
      <c r="BO59" s="16">
        <f>ROUNDDOWN(IF($AG59*Q59&gt;요율!$E$3,($AG59*Q59-요율!$E$3)*요율!$C$3%*요율!$D$3%,0),-1)</f>
        <v>0</v>
      </c>
      <c r="BP59" s="16">
        <f>ROUNDDOWN(IF($AG59*R59&gt;요율!$E$3,($AG59*R59-요율!$E$3)*요율!$C$3%*요율!$D$3%,0),-1)</f>
        <v>0</v>
      </c>
      <c r="BQ59" s="16">
        <f>ROUNDDOWN(IF($AG59*S59&gt;요율!$E$3,($AG59*S59-요율!$E$3)*요율!$C$3%*요율!$D$3%,0),-1)</f>
        <v>0</v>
      </c>
      <c r="BR59" s="16">
        <f>ROUNDDOWN(IF($AG59*T59&gt;요율!$E$3,($AG59*T59-요율!$E$3)*요율!$C$3%*요율!$D$3%,0),-1)</f>
        <v>0</v>
      </c>
      <c r="BS59" s="16">
        <f>ROUNDDOWN(IF($AG59*U59&gt;요율!$E$3,($AG59*U59-요율!$E$3)*요율!$C$3%*요율!$D$3%,0),-1)</f>
        <v>0</v>
      </c>
      <c r="BT59" s="16">
        <f>ROUNDDOWN(IF($AG59*V59&gt;요율!$E$3,($AG59*V59-요율!$E$3)*요율!$C$3%*요율!$D$3%,0),-1)</f>
        <v>0</v>
      </c>
      <c r="BU59" s="16">
        <f>ROUNDDOWN(IF($AG59*W59&gt;요율!$E$3,($AG59*W59-요율!$E$3)*요율!$C$3%*요율!$D$3%,0),-1)</f>
        <v>0</v>
      </c>
      <c r="BV59" s="16">
        <f>ROUNDDOWN(IF($AG59*X59&gt;요율!$E$3,($AG59*X59-요율!$E$3)*요율!$C$3%*요율!$D$3%,0),-1)</f>
        <v>0</v>
      </c>
      <c r="BW59" s="16">
        <f>ROUNDDOWN(IF($AG59*Y59&gt;요율!$E$3,($AG59*Y59-요율!$E$3)*요율!$C$3%*요율!$D$3%,0),-1)</f>
        <v>0</v>
      </c>
      <c r="BX59" s="16">
        <f>ROUNDDOWN(IF($AG59*Z59&gt;요율!$E$3,($AG59*Z59-요율!$E$3)*요율!$C$3%*요율!$D$3%,0),-1)</f>
        <v>0</v>
      </c>
      <c r="BY59" s="16">
        <f>ROUNDDOWN(IF($AG59*AA59&gt;요율!$E$3,($AG59*AA59-요율!$E$3)*요율!$C$3%*요율!$D$3%,0),-1)</f>
        <v>0</v>
      </c>
      <c r="BZ59" s="16">
        <f>ROUNDDOWN(IF($AG59*AB59&gt;요율!$E$3,($AG59*AB59-요율!$E$3)*요율!$C$3%*요율!$D$3%,0),-1)</f>
        <v>0</v>
      </c>
      <c r="CA59" s="16">
        <f>ROUNDDOWN(IF($AG59*AC59&gt;요율!$E$3,($AG59*AC59-요율!$E$3)*요율!$C$3%*요율!$D$3%,0),-1)</f>
        <v>0</v>
      </c>
      <c r="CB59" s="31">
        <f>ROUNDDOWN(IF($AG59*AD59&gt;요율!$E$3,($AG59*AD59-요율!$E$3)*요율!$C$3%*요율!$D$3%,0),-1)</f>
        <v>0</v>
      </c>
      <c r="CD59" s="5" t="str">
        <f>IFERROR(VLOOKUP(B59,주소록,9,FALSE),"")</f>
        <v/>
      </c>
    </row>
    <row r="60" spans="1:82" ht="20.100000000000001" hidden="1" customHeight="1">
      <c r="A60" s="761"/>
      <c r="B60" s="261" t="str">
        <f>BA59</f>
        <v/>
      </c>
      <c r="C60" s="690" t="str">
        <f>IF(ISERROR(VLOOKUP(B59,주소록!$A$3:$K$523,7,0)),"",VLOOKUP(B59,주소록!$A$3:$K$523,5,0))</f>
        <v/>
      </c>
      <c r="D60" s="690"/>
      <c r="E60" s="690"/>
      <c r="F60" s="691"/>
      <c r="G60" s="692" t="str">
        <f>IF(ISERROR(VLOOKUP(B59,주소록!$A$3:$K$523,9,0)),"",VLOOKUP(B59,주소록!$A$3:$K$523,7,0))</f>
        <v/>
      </c>
      <c r="H60" s="693"/>
      <c r="I60" s="694"/>
      <c r="J60" s="692" t="str">
        <f>IF(ISERROR(VLOOKUP(B59,주소록!$A$3:$K$523,10,0)),"",VLOOKUP(B59,주소록!$A$3:$K$523,8,0))</f>
        <v/>
      </c>
      <c r="K60" s="693"/>
      <c r="L60" s="693"/>
      <c r="M60" s="693"/>
      <c r="N60" s="695"/>
      <c r="O60" s="474"/>
      <c r="P60" s="475"/>
      <c r="Q60" s="475"/>
      <c r="R60" s="468"/>
      <c r="S60" s="476"/>
      <c r="T60" s="474"/>
      <c r="U60" s="475"/>
      <c r="V60" s="475"/>
      <c r="W60" s="475"/>
      <c r="X60" s="477"/>
      <c r="Y60" s="479"/>
      <c r="Z60" s="475"/>
      <c r="AA60" s="475"/>
      <c r="AB60" s="475"/>
      <c r="AC60" s="475"/>
      <c r="AD60" s="477"/>
      <c r="AE60" s="696">
        <f>SUM(O59:AD60)</f>
        <v>0</v>
      </c>
      <c r="AF60" s="697"/>
      <c r="AG60" s="765"/>
      <c r="AH60" s="687"/>
      <c r="AI60" s="688"/>
      <c r="AJ60" s="689"/>
      <c r="AK60" s="698">
        <f>IF(C59=0,"",IF(MID(C59,7,1)="5","",IF(MID(C59,7,1)="6","",ROUNDDOWN((AK59*10%),-1))))</f>
        <v>0</v>
      </c>
      <c r="AL60" s="699"/>
      <c r="AM60" s="700"/>
      <c r="AN60" s="701">
        <f>ROUNDDOWN(AN59*요율!$F$5,-1)</f>
        <v>0</v>
      </c>
      <c r="AO60" s="701"/>
      <c r="AP60" s="701"/>
      <c r="AQ60" s="713">
        <f>IF(OR(AND(요율!$H$8="X",요율!$H$9="X",MID(C59,8,1)&gt;="5"),AND(요율!$H$8="○",요율!$H$9="X",MID(C59,8,1)&gt;="5")),"외국인",IF(요율!$H$8="X",IF(C59="",0,IF(OR(MID(C59,8,1)&lt;"3",AND(MID(C59,8,1)&gt;="5",MID(C59,8,1)&lt;="6")),IF(INT(TEXT($O$3,"yyyy.mmdd")-TEXT(TEXT(LEFT(C59,6),"1900-00-00"),"yyyy.mmdd"))&gt;=65,"65세이상",+TRUNC(AH59*요율!$C$9%,-1)),IF(INT(TEXT($O$3,"yyyy.mmdd")-TEXT(TEXT(LEFT(C59,6),"2000-00-00"),"yyyy.mmdd"))&gt;=65,"65세이상",+TRUNC(AH59*요율!$C$9%,-1)))),+TRUNC(AH59*요율!$C$9%,-1)))</f>
        <v>0</v>
      </c>
      <c r="AR60" s="699"/>
      <c r="AS60" s="699"/>
      <c r="AT60" s="714"/>
      <c r="AU60" s="715"/>
      <c r="AV60" s="716"/>
      <c r="AW60" s="723"/>
      <c r="AX60" s="724"/>
      <c r="AY60" s="725"/>
      <c r="AZ60" s="767"/>
      <c r="BA60" s="22" t="str">
        <f>BA59</f>
        <v/>
      </c>
      <c r="BB60" s="6">
        <v>2</v>
      </c>
      <c r="BC60" s="753"/>
      <c r="BD60" s="733">
        <f>B59</f>
        <v>0</v>
      </c>
      <c r="BE60" s="733"/>
      <c r="BF60" s="733"/>
      <c r="BG60" s="734">
        <f>SUM(BM59:CB60)</f>
        <v>0</v>
      </c>
      <c r="BH60" s="735"/>
      <c r="BI60" s="736"/>
      <c r="BJ60" s="144"/>
      <c r="BK60" s="145"/>
      <c r="BL60" s="146"/>
      <c r="BM60" s="17">
        <f>ROUNDDOWN(IF($AG59*O60&gt;요율!$E$3,($AG59*O60-요율!$E$3)*요율!$C$3%*요율!$D$3%,0),-1)</f>
        <v>0</v>
      </c>
      <c r="BN60" s="18">
        <f>ROUNDDOWN(IF($AG59*P60&gt;요율!$E$3,($AG59*P60-요율!$E$3)*요율!$C$3%*요율!$D$3%,0),-1)</f>
        <v>0</v>
      </c>
      <c r="BO60" s="18">
        <f>ROUNDDOWN(IF($AG59*Q60&gt;요율!$E$3,($AG59*Q60-요율!$E$3)*요율!$C$3%*요율!$D$3%,0),-1)</f>
        <v>0</v>
      </c>
      <c r="BP60" s="18">
        <f>ROUNDDOWN(IF($AG59*R60&gt;요율!$E$3,($AG59*R60-요율!$E$3)*요율!$C$3%*요율!$D$3%,0),-1)</f>
        <v>0</v>
      </c>
      <c r="BQ60" s="18">
        <f>ROUNDDOWN(IF($AG59*S60&gt;요율!$E$3,($AG59*S60-요율!$E$3)*요율!$C$3%*요율!$D$3%,0),-1)</f>
        <v>0</v>
      </c>
      <c r="BR60" s="18">
        <f>ROUNDDOWN(IF($AG59*T60&gt;요율!$E$3,($AG59*T60-요율!$E$3)*요율!$C$3%*요율!$D$3%,0),-1)</f>
        <v>0</v>
      </c>
      <c r="BS60" s="18">
        <f>ROUNDDOWN(IF($AG59*U60&gt;요율!$E$3,($AG59*U60-요율!$E$3)*요율!$C$3%*요율!$D$3%,0),-1)</f>
        <v>0</v>
      </c>
      <c r="BT60" s="18">
        <f>ROUNDDOWN(IF($AG59*V60&gt;요율!$E$3,($AG59*V60-요율!$E$3)*요율!$C$3%*요율!$D$3%,0),-1)</f>
        <v>0</v>
      </c>
      <c r="BU60" s="18">
        <f>ROUNDDOWN(IF($AG59*W60&gt;요율!$E$3,($AG59*W60-요율!$E$3)*요율!$C$3%*요율!$D$3%,0),-1)</f>
        <v>0</v>
      </c>
      <c r="BV60" s="18">
        <f>ROUNDDOWN(IF($AG59*X60&gt;요율!$E$3,($AG59*X60-요율!$E$3)*요율!$C$3%*요율!$D$3%,0),-1)</f>
        <v>0</v>
      </c>
      <c r="BW60" s="18">
        <f>ROUNDDOWN(IF($AG59*Y60&gt;요율!$E$3,($AG59*Y60-요율!$E$3)*요율!$C$3%*요율!$D$3%,0),-1)</f>
        <v>0</v>
      </c>
      <c r="BX60" s="18">
        <f>ROUNDDOWN(IF($AG59*Z60&gt;요율!$E$3,($AG59*Z60-요율!$E$3)*요율!$C$3%*요율!$D$3%,0),-1)</f>
        <v>0</v>
      </c>
      <c r="BY60" s="18">
        <f>ROUNDDOWN(IF($AG59*AA60&gt;요율!$E$3,($AG59*AA60-요율!$E$3)*요율!$C$3%*요율!$D$3%,0),-1)</f>
        <v>0</v>
      </c>
      <c r="BZ60" s="18">
        <f>ROUNDDOWN(IF($AG59*AB60&gt;요율!$E$3,($AG59*AB60-요율!$E$3)*요율!$C$3%*요율!$D$3%,0),-1)</f>
        <v>0</v>
      </c>
      <c r="CA60" s="18">
        <f>ROUNDDOWN(IF($AG59*AC60&gt;요율!$E$3,($AG59*AC60-요율!$E$3)*요율!$C$3%*요율!$D$3%,0),-1)</f>
        <v>0</v>
      </c>
      <c r="CB60" s="19">
        <f>ROUNDDOWN(IF($AG59*AD60&gt;요율!$E$3,($AG59*AD60-요율!$E$3)*요율!$C$3%*요율!$D$3%,0),-1)</f>
        <v>0</v>
      </c>
    </row>
    <row r="61" spans="1:82" ht="20.100000000000001" hidden="1" customHeight="1">
      <c r="A61" s="760">
        <f t="shared" si="1"/>
        <v>28</v>
      </c>
      <c r="B61" s="260"/>
      <c r="C61" s="708" t="str">
        <f>IF(ISERROR(VLOOKUP(B61,주소록!$A$3:$K$523,5,0)),"",VLOOKUP(B61,주소록!$A$3:$K$523,3,0))</f>
        <v/>
      </c>
      <c r="D61" s="708"/>
      <c r="E61" s="708"/>
      <c r="F61" s="709"/>
      <c r="G61" s="710" t="str">
        <f>IF(ISERROR(VLOOKUP(B61,주소록!$A$3:$K$523,6,0)),"",VLOOKUP(B61,주소록!$A$3:$K$523,4,0))</f>
        <v/>
      </c>
      <c r="H61" s="711"/>
      <c r="I61" s="711"/>
      <c r="J61" s="711"/>
      <c r="K61" s="711"/>
      <c r="L61" s="711"/>
      <c r="M61" s="711"/>
      <c r="N61" s="712"/>
      <c r="O61" s="469"/>
      <c r="P61" s="470"/>
      <c r="Q61" s="470"/>
      <c r="R61" s="470"/>
      <c r="S61" s="478"/>
      <c r="T61" s="469"/>
      <c r="U61" s="470"/>
      <c r="V61" s="470"/>
      <c r="W61" s="470"/>
      <c r="X61" s="471"/>
      <c r="Y61" s="472"/>
      <c r="Z61" s="467"/>
      <c r="AA61" s="470"/>
      <c r="AB61" s="470"/>
      <c r="AC61" s="470"/>
      <c r="AD61" s="473"/>
      <c r="AE61" s="762">
        <f>COUNTIF(O61:AD62,"&gt;=0.5")</f>
        <v>0</v>
      </c>
      <c r="AF61" s="763"/>
      <c r="AG61" s="764"/>
      <c r="AH61" s="684">
        <f>AE62*AG61</f>
        <v>0</v>
      </c>
      <c r="AI61" s="685"/>
      <c r="AJ61" s="686"/>
      <c r="AK61" s="755">
        <f>IF(BG62&lt;1000, 0, BG62)</f>
        <v>0</v>
      </c>
      <c r="AL61" s="756"/>
      <c r="AM61" s="757"/>
      <c r="AN61" s="758">
        <f>IF(요율!$H$7="○",IF(AE61&gt;=요율!$D$6,ROUNDDOWN(AH61*요율!$C$4%,-1),0),0)</f>
        <v>0</v>
      </c>
      <c r="AO61" s="756"/>
      <c r="AP61" s="757"/>
      <c r="AQ61" s="758">
        <f>BL61</f>
        <v>0</v>
      </c>
      <c r="AR61" s="756"/>
      <c r="AS61" s="759"/>
      <c r="AT61" s="717">
        <f>SUM(AK61:AS62)</f>
        <v>0</v>
      </c>
      <c r="AU61" s="718"/>
      <c r="AV61" s="719"/>
      <c r="AW61" s="720">
        <f>AH61-AT61-AT62</f>
        <v>0</v>
      </c>
      <c r="AX61" s="721"/>
      <c r="AY61" s="722"/>
      <c r="AZ61" s="766"/>
      <c r="BA61" s="21" t="str">
        <f>IF(ISERROR(VLOOKUP($B61,주소록!$A$3:$K$523,3,0)),"",VLOOKUP($B61,주소록!$A$3:$K$523,2,0))</f>
        <v/>
      </c>
      <c r="BB61" s="6">
        <v>1</v>
      </c>
      <c r="BC61" s="752">
        <f>A61</f>
        <v>28</v>
      </c>
      <c r="BD61" s="754" t="str">
        <f>IF(OR(MID(C61,8,1)&lt;"3",AND(MID(C61,8,1)&gt;="5",MID(C61,8,1)&lt;="6")),TEXT(TEXT(LEFT(C61,6),"1900-00-00"),"yyyy년 m월 d일"),TEXT(TEXT(LEFT(C61,6),"2000-00-00"),"yyyy년 m월 d일"))</f>
        <v/>
      </c>
      <c r="BE61" s="754"/>
      <c r="BF61" s="754"/>
      <c r="BG61" s="768">
        <f>IFERROR(INT( ( TEXT($O$3,"yyyy.mmdd") - TEXT(BD61,"yyyy.mmdd") )  ),0)</f>
        <v>0</v>
      </c>
      <c r="BH61" s="769"/>
      <c r="BI61" s="770"/>
      <c r="BJ61" s="133">
        <f>IF(BG61&gt;59,"60세이상",IF(OR(AE61&lt;요율!$D$6,AH61=0),0,IF(AH61&lt;요율!$C$7,요율!$D$7,IF(AH61&gt;요율!$C$8,요율!$D$8,+TRUNC(AH61*요율!$C$6%,-1)))))</f>
        <v>0</v>
      </c>
      <c r="BK61" s="143">
        <f>IF(BG61&gt;59,"60세이상",IF(OR(AH61&lt;2200000,AH61=0),0,IF(AH61&lt;요율!$C$7,요율!$D$7,IF(AH61&gt;요율!$C$8,요율!$D$8,+TRUNC(AH61*요율!$C$6%,-1)))))</f>
        <v>0</v>
      </c>
      <c r="BL61" s="140">
        <f>IF(BK61&gt;0,BK61,BJ61)</f>
        <v>0</v>
      </c>
      <c r="BM61" s="15">
        <f>ROUNDDOWN(IF($AG61*O61&gt;요율!$E$3,($AG61*O61-요율!$E$3)*요율!$C$3%*요율!$D$3%,0),-1)</f>
        <v>0</v>
      </c>
      <c r="BN61" s="16">
        <f>ROUNDDOWN(IF($AG61*P61&gt;요율!$E$3,($AG61*P61-요율!$E$3)*요율!$C$3%*요율!$D$3%,0),-1)</f>
        <v>0</v>
      </c>
      <c r="BO61" s="16">
        <f>ROUNDDOWN(IF($AG61*Q61&gt;요율!$E$3,($AG61*Q61-요율!$E$3)*요율!$C$3%*요율!$D$3%,0),-1)</f>
        <v>0</v>
      </c>
      <c r="BP61" s="16">
        <f>ROUNDDOWN(IF($AG61*R61&gt;요율!$E$3,($AG61*R61-요율!$E$3)*요율!$C$3%*요율!$D$3%,0),-1)</f>
        <v>0</v>
      </c>
      <c r="BQ61" s="16">
        <f>ROUNDDOWN(IF($AG61*S61&gt;요율!$E$3,($AG61*S61-요율!$E$3)*요율!$C$3%*요율!$D$3%,0),-1)</f>
        <v>0</v>
      </c>
      <c r="BR61" s="16">
        <f>ROUNDDOWN(IF($AG61*T61&gt;요율!$E$3,($AG61*T61-요율!$E$3)*요율!$C$3%*요율!$D$3%,0),-1)</f>
        <v>0</v>
      </c>
      <c r="BS61" s="16">
        <f>ROUNDDOWN(IF($AG61*U61&gt;요율!$E$3,($AG61*U61-요율!$E$3)*요율!$C$3%*요율!$D$3%,0),-1)</f>
        <v>0</v>
      </c>
      <c r="BT61" s="16">
        <f>ROUNDDOWN(IF($AG61*V61&gt;요율!$E$3,($AG61*V61-요율!$E$3)*요율!$C$3%*요율!$D$3%,0),-1)</f>
        <v>0</v>
      </c>
      <c r="BU61" s="16">
        <f>ROUNDDOWN(IF($AG61*W61&gt;요율!$E$3,($AG61*W61-요율!$E$3)*요율!$C$3%*요율!$D$3%,0),-1)</f>
        <v>0</v>
      </c>
      <c r="BV61" s="16">
        <f>ROUNDDOWN(IF($AG61*X61&gt;요율!$E$3,($AG61*X61-요율!$E$3)*요율!$C$3%*요율!$D$3%,0),-1)</f>
        <v>0</v>
      </c>
      <c r="BW61" s="16">
        <f>ROUNDDOWN(IF($AG61*Y61&gt;요율!$E$3,($AG61*Y61-요율!$E$3)*요율!$C$3%*요율!$D$3%,0),-1)</f>
        <v>0</v>
      </c>
      <c r="BX61" s="16">
        <f>ROUNDDOWN(IF($AG61*Z61&gt;요율!$E$3,($AG61*Z61-요율!$E$3)*요율!$C$3%*요율!$D$3%,0),-1)</f>
        <v>0</v>
      </c>
      <c r="BY61" s="16">
        <f>ROUNDDOWN(IF($AG61*AA61&gt;요율!$E$3,($AG61*AA61-요율!$E$3)*요율!$C$3%*요율!$D$3%,0),-1)</f>
        <v>0</v>
      </c>
      <c r="BZ61" s="16">
        <f>ROUNDDOWN(IF($AG61*AB61&gt;요율!$E$3,($AG61*AB61-요율!$E$3)*요율!$C$3%*요율!$D$3%,0),-1)</f>
        <v>0</v>
      </c>
      <c r="CA61" s="16">
        <f>ROUNDDOWN(IF($AG61*AC61&gt;요율!$E$3,($AG61*AC61-요율!$E$3)*요율!$C$3%*요율!$D$3%,0),-1)</f>
        <v>0</v>
      </c>
      <c r="CB61" s="31">
        <f>ROUNDDOWN(IF($AG61*AD61&gt;요율!$E$3,($AG61*AD61-요율!$E$3)*요율!$C$3%*요율!$D$3%,0),-1)</f>
        <v>0</v>
      </c>
      <c r="CD61" s="5" t="str">
        <f>IFERROR(VLOOKUP(B61,주소록,9,FALSE),"")</f>
        <v/>
      </c>
    </row>
    <row r="62" spans="1:82" ht="20.100000000000001" hidden="1" customHeight="1">
      <c r="A62" s="761"/>
      <c r="B62" s="261" t="str">
        <f>BA61</f>
        <v/>
      </c>
      <c r="C62" s="690" t="str">
        <f>IF(ISERROR(VLOOKUP(B61,주소록!$A$3:$K$523,7,0)),"",VLOOKUP(B61,주소록!$A$3:$K$523,5,0))</f>
        <v/>
      </c>
      <c r="D62" s="690"/>
      <c r="E62" s="690"/>
      <c r="F62" s="691"/>
      <c r="G62" s="692" t="str">
        <f>IF(ISERROR(VLOOKUP(B61,주소록!$A$3:$K$523,9,0)),"",VLOOKUP(B61,주소록!$A$3:$K$523,7,0))</f>
        <v/>
      </c>
      <c r="H62" s="693"/>
      <c r="I62" s="694"/>
      <c r="J62" s="692" t="str">
        <f>IF(ISERROR(VLOOKUP(B61,주소록!$A$3:$K$523,10,0)),"",VLOOKUP(B61,주소록!$A$3:$K$523,8,0))</f>
        <v/>
      </c>
      <c r="K62" s="693"/>
      <c r="L62" s="693"/>
      <c r="M62" s="693"/>
      <c r="N62" s="695"/>
      <c r="O62" s="474"/>
      <c r="P62" s="475"/>
      <c r="Q62" s="475"/>
      <c r="R62" s="468"/>
      <c r="S62" s="476"/>
      <c r="T62" s="474"/>
      <c r="U62" s="475"/>
      <c r="V62" s="475"/>
      <c r="W62" s="475"/>
      <c r="X62" s="477"/>
      <c r="Y62" s="479"/>
      <c r="Z62" s="475"/>
      <c r="AA62" s="475"/>
      <c r="AB62" s="475"/>
      <c r="AC62" s="475"/>
      <c r="AD62" s="477"/>
      <c r="AE62" s="696">
        <f>SUM(O61:AD62)</f>
        <v>0</v>
      </c>
      <c r="AF62" s="697"/>
      <c r="AG62" s="765"/>
      <c r="AH62" s="687"/>
      <c r="AI62" s="688"/>
      <c r="AJ62" s="689"/>
      <c r="AK62" s="698">
        <f>IF(C61=0,"",IF(MID(C61,7,1)="5","",IF(MID(C61,7,1)="6","",ROUNDDOWN((AK61*10%),-1))))</f>
        <v>0</v>
      </c>
      <c r="AL62" s="699"/>
      <c r="AM62" s="700"/>
      <c r="AN62" s="701">
        <f>ROUNDDOWN(AN61*요율!$F$5,-1)</f>
        <v>0</v>
      </c>
      <c r="AO62" s="701"/>
      <c r="AP62" s="701"/>
      <c r="AQ62" s="713">
        <f>IF(OR(AND(요율!$H$8="X",요율!$H$9="X",MID(C61,8,1)&gt;="5"),AND(요율!$H$8="○",요율!$H$9="X",MID(C61,8,1)&gt;="5")),"외국인",IF(요율!$H$8="X",IF(C61="",0,IF(OR(MID(C61,8,1)&lt;"3",AND(MID(C61,8,1)&gt;="5",MID(C61,8,1)&lt;="6")),IF(INT(TEXT($O$3,"yyyy.mmdd")-TEXT(TEXT(LEFT(C61,6),"1900-00-00"),"yyyy.mmdd"))&gt;=65,"65세이상",+TRUNC(AH61*요율!$C$9%,-1)),IF(INT(TEXT($O$3,"yyyy.mmdd")-TEXT(TEXT(LEFT(C61,6),"2000-00-00"),"yyyy.mmdd"))&gt;=65,"65세이상",+TRUNC(AH61*요율!$C$9%,-1)))),+TRUNC(AH61*요율!$C$9%,-1)))</f>
        <v>0</v>
      </c>
      <c r="AR62" s="699"/>
      <c r="AS62" s="699"/>
      <c r="AT62" s="714"/>
      <c r="AU62" s="715"/>
      <c r="AV62" s="716"/>
      <c r="AW62" s="723"/>
      <c r="AX62" s="724"/>
      <c r="AY62" s="725"/>
      <c r="AZ62" s="767"/>
      <c r="BA62" s="22" t="str">
        <f>BA61</f>
        <v/>
      </c>
      <c r="BB62" s="6">
        <v>2</v>
      </c>
      <c r="BC62" s="753"/>
      <c r="BD62" s="733">
        <f>B61</f>
        <v>0</v>
      </c>
      <c r="BE62" s="733"/>
      <c r="BF62" s="733"/>
      <c r="BG62" s="734">
        <f>SUM(BM61:CB62)</f>
        <v>0</v>
      </c>
      <c r="BH62" s="735"/>
      <c r="BI62" s="736"/>
      <c r="BJ62" s="144"/>
      <c r="BK62" s="145"/>
      <c r="BL62" s="146"/>
      <c r="BM62" s="17">
        <f>ROUNDDOWN(IF($AG61*O62&gt;요율!$E$3,($AG61*O62-요율!$E$3)*요율!$C$3%*요율!$D$3%,0),-1)</f>
        <v>0</v>
      </c>
      <c r="BN62" s="18">
        <f>ROUNDDOWN(IF($AG61*P62&gt;요율!$E$3,($AG61*P62-요율!$E$3)*요율!$C$3%*요율!$D$3%,0),-1)</f>
        <v>0</v>
      </c>
      <c r="BO62" s="18">
        <f>ROUNDDOWN(IF($AG61*Q62&gt;요율!$E$3,($AG61*Q62-요율!$E$3)*요율!$C$3%*요율!$D$3%,0),-1)</f>
        <v>0</v>
      </c>
      <c r="BP62" s="18">
        <f>ROUNDDOWN(IF($AG61*R62&gt;요율!$E$3,($AG61*R62-요율!$E$3)*요율!$C$3%*요율!$D$3%,0),-1)</f>
        <v>0</v>
      </c>
      <c r="BQ62" s="18">
        <f>ROUNDDOWN(IF($AG61*S62&gt;요율!$E$3,($AG61*S62-요율!$E$3)*요율!$C$3%*요율!$D$3%,0),-1)</f>
        <v>0</v>
      </c>
      <c r="BR62" s="18">
        <f>ROUNDDOWN(IF($AG61*T62&gt;요율!$E$3,($AG61*T62-요율!$E$3)*요율!$C$3%*요율!$D$3%,0),-1)</f>
        <v>0</v>
      </c>
      <c r="BS62" s="18">
        <f>ROUNDDOWN(IF($AG61*U62&gt;요율!$E$3,($AG61*U62-요율!$E$3)*요율!$C$3%*요율!$D$3%,0),-1)</f>
        <v>0</v>
      </c>
      <c r="BT62" s="18">
        <f>ROUNDDOWN(IF($AG61*V62&gt;요율!$E$3,($AG61*V62-요율!$E$3)*요율!$C$3%*요율!$D$3%,0),-1)</f>
        <v>0</v>
      </c>
      <c r="BU62" s="18">
        <f>ROUNDDOWN(IF($AG61*W62&gt;요율!$E$3,($AG61*W62-요율!$E$3)*요율!$C$3%*요율!$D$3%,0),-1)</f>
        <v>0</v>
      </c>
      <c r="BV62" s="18">
        <f>ROUNDDOWN(IF($AG61*X62&gt;요율!$E$3,($AG61*X62-요율!$E$3)*요율!$C$3%*요율!$D$3%,0),-1)</f>
        <v>0</v>
      </c>
      <c r="BW62" s="18">
        <f>ROUNDDOWN(IF($AG61*Y62&gt;요율!$E$3,($AG61*Y62-요율!$E$3)*요율!$C$3%*요율!$D$3%,0),-1)</f>
        <v>0</v>
      </c>
      <c r="BX62" s="18">
        <f>ROUNDDOWN(IF($AG61*Z62&gt;요율!$E$3,($AG61*Z62-요율!$E$3)*요율!$C$3%*요율!$D$3%,0),-1)</f>
        <v>0</v>
      </c>
      <c r="BY62" s="18">
        <f>ROUNDDOWN(IF($AG61*AA62&gt;요율!$E$3,($AG61*AA62-요율!$E$3)*요율!$C$3%*요율!$D$3%,0),-1)</f>
        <v>0</v>
      </c>
      <c r="BZ62" s="18">
        <f>ROUNDDOWN(IF($AG61*AB62&gt;요율!$E$3,($AG61*AB62-요율!$E$3)*요율!$C$3%*요율!$D$3%,0),-1)</f>
        <v>0</v>
      </c>
      <c r="CA62" s="18">
        <f>ROUNDDOWN(IF($AG61*AC62&gt;요율!$E$3,($AG61*AC62-요율!$E$3)*요율!$C$3%*요율!$D$3%,0),-1)</f>
        <v>0</v>
      </c>
      <c r="CB62" s="19">
        <f>ROUNDDOWN(IF($AG61*AD62&gt;요율!$E$3,($AG61*AD62-요율!$E$3)*요율!$C$3%*요율!$D$3%,0),-1)</f>
        <v>0</v>
      </c>
    </row>
    <row r="63" spans="1:82" ht="20.100000000000001" hidden="1" customHeight="1">
      <c r="A63" s="760">
        <f t="shared" si="1"/>
        <v>29</v>
      </c>
      <c r="B63" s="260"/>
      <c r="C63" s="708" t="str">
        <f>IF(ISERROR(VLOOKUP(B63,주소록!$A$3:$K$523,5,0)),"",VLOOKUP(B63,주소록!$A$3:$K$523,3,0))</f>
        <v/>
      </c>
      <c r="D63" s="708"/>
      <c r="E63" s="708"/>
      <c r="F63" s="709"/>
      <c r="G63" s="710" t="str">
        <f>IF(ISERROR(VLOOKUP(B63,주소록!$A$3:$K$523,6,0)),"",VLOOKUP(B63,주소록!$A$3:$K$523,4,0))</f>
        <v/>
      </c>
      <c r="H63" s="711"/>
      <c r="I63" s="711"/>
      <c r="J63" s="711"/>
      <c r="K63" s="711"/>
      <c r="L63" s="711"/>
      <c r="M63" s="711"/>
      <c r="N63" s="712"/>
      <c r="O63" s="469"/>
      <c r="P63" s="470"/>
      <c r="Q63" s="470"/>
      <c r="R63" s="470"/>
      <c r="S63" s="478"/>
      <c r="T63" s="469"/>
      <c r="U63" s="470"/>
      <c r="V63" s="470"/>
      <c r="W63" s="470"/>
      <c r="X63" s="471"/>
      <c r="Y63" s="472"/>
      <c r="Z63" s="467"/>
      <c r="AA63" s="470"/>
      <c r="AB63" s="470"/>
      <c r="AC63" s="470"/>
      <c r="AD63" s="473"/>
      <c r="AE63" s="762">
        <f>COUNTIF(O63:AD64,"&gt;=0.5")</f>
        <v>0</v>
      </c>
      <c r="AF63" s="763"/>
      <c r="AG63" s="764"/>
      <c r="AH63" s="684">
        <f>AE64*AG63</f>
        <v>0</v>
      </c>
      <c r="AI63" s="685"/>
      <c r="AJ63" s="686"/>
      <c r="AK63" s="755">
        <f>IF(BG64&lt;1000, 0, BG64)</f>
        <v>0</v>
      </c>
      <c r="AL63" s="756"/>
      <c r="AM63" s="757"/>
      <c r="AN63" s="758">
        <f>IF(요율!$H$7="○",IF(AE63&gt;=요율!$D$6,ROUNDDOWN(AH63*요율!$C$4%,-1),0),0)</f>
        <v>0</v>
      </c>
      <c r="AO63" s="756"/>
      <c r="AP63" s="757"/>
      <c r="AQ63" s="758">
        <f>BL63</f>
        <v>0</v>
      </c>
      <c r="AR63" s="756"/>
      <c r="AS63" s="759"/>
      <c r="AT63" s="717">
        <f>SUM(AK63:AS64)</f>
        <v>0</v>
      </c>
      <c r="AU63" s="718"/>
      <c r="AV63" s="719"/>
      <c r="AW63" s="720">
        <f>AH63-AT63-AT64</f>
        <v>0</v>
      </c>
      <c r="AX63" s="721"/>
      <c r="AY63" s="722"/>
      <c r="AZ63" s="766"/>
      <c r="BA63" s="21" t="str">
        <f>IF(ISERROR(VLOOKUP($B63,주소록!$A$3:$K$523,3,0)),"",VLOOKUP($B63,주소록!$A$3:$K$523,2,0))</f>
        <v/>
      </c>
      <c r="BB63" s="6">
        <v>1</v>
      </c>
      <c r="BC63" s="752">
        <f>A63</f>
        <v>29</v>
      </c>
      <c r="BD63" s="754" t="str">
        <f>IF(OR(MID(C63,8,1)&lt;"3",AND(MID(C63,8,1)&gt;="5",MID(C63,8,1)&lt;="6")),TEXT(TEXT(LEFT(C63,6),"1900-00-00"),"yyyy년 m월 d일"),TEXT(TEXT(LEFT(C63,6),"2000-00-00"),"yyyy년 m월 d일"))</f>
        <v/>
      </c>
      <c r="BE63" s="754"/>
      <c r="BF63" s="754"/>
      <c r="BG63" s="768">
        <f>IFERROR(INT( ( TEXT($O$3,"yyyy.mmdd") - TEXT(BD63,"yyyy.mmdd") )  ),0)</f>
        <v>0</v>
      </c>
      <c r="BH63" s="769"/>
      <c r="BI63" s="770"/>
      <c r="BJ63" s="133">
        <f>IF(BG63&gt;59,"60세이상",IF(OR(AE63&lt;요율!$D$6,AH63=0),0,IF(AH63&lt;요율!$C$7,요율!$D$7,IF(AH63&gt;요율!$C$8,요율!$D$8,+TRUNC(AH63*요율!$C$6%,-1)))))</f>
        <v>0</v>
      </c>
      <c r="BK63" s="143">
        <f>IF(BG63&gt;59,"60세이상",IF(OR(AH63&lt;2200000,AH63=0),0,IF(AH63&lt;요율!$C$7,요율!$D$7,IF(AH63&gt;요율!$C$8,요율!$D$8,+TRUNC(AH63*요율!$C$6%,-1)))))</f>
        <v>0</v>
      </c>
      <c r="BL63" s="140">
        <f>IF(BK63&gt;0,BK63,BJ63)</f>
        <v>0</v>
      </c>
      <c r="BM63" s="15">
        <f>ROUNDDOWN(IF($AG63*O63&gt;요율!$E$3,($AG63*O63-요율!$E$3)*요율!$C$3%*요율!$D$3%,0),-1)</f>
        <v>0</v>
      </c>
      <c r="BN63" s="16">
        <f>ROUNDDOWN(IF($AG63*P63&gt;요율!$E$3,($AG63*P63-요율!$E$3)*요율!$C$3%*요율!$D$3%,0),-1)</f>
        <v>0</v>
      </c>
      <c r="BO63" s="16">
        <f>ROUNDDOWN(IF($AG63*Q63&gt;요율!$E$3,($AG63*Q63-요율!$E$3)*요율!$C$3%*요율!$D$3%,0),-1)</f>
        <v>0</v>
      </c>
      <c r="BP63" s="16">
        <f>ROUNDDOWN(IF($AG63*R63&gt;요율!$E$3,($AG63*R63-요율!$E$3)*요율!$C$3%*요율!$D$3%,0),-1)</f>
        <v>0</v>
      </c>
      <c r="BQ63" s="16">
        <f>ROUNDDOWN(IF($AG63*S63&gt;요율!$E$3,($AG63*S63-요율!$E$3)*요율!$C$3%*요율!$D$3%,0),-1)</f>
        <v>0</v>
      </c>
      <c r="BR63" s="16">
        <f>ROUNDDOWN(IF($AG63*T63&gt;요율!$E$3,($AG63*T63-요율!$E$3)*요율!$C$3%*요율!$D$3%,0),-1)</f>
        <v>0</v>
      </c>
      <c r="BS63" s="16">
        <f>ROUNDDOWN(IF($AG63*U63&gt;요율!$E$3,($AG63*U63-요율!$E$3)*요율!$C$3%*요율!$D$3%,0),-1)</f>
        <v>0</v>
      </c>
      <c r="BT63" s="16">
        <f>ROUNDDOWN(IF($AG63*V63&gt;요율!$E$3,($AG63*V63-요율!$E$3)*요율!$C$3%*요율!$D$3%,0),-1)</f>
        <v>0</v>
      </c>
      <c r="BU63" s="16">
        <f>ROUNDDOWN(IF($AG63*W63&gt;요율!$E$3,($AG63*W63-요율!$E$3)*요율!$C$3%*요율!$D$3%,0),-1)</f>
        <v>0</v>
      </c>
      <c r="BV63" s="16">
        <f>ROUNDDOWN(IF($AG63*X63&gt;요율!$E$3,($AG63*X63-요율!$E$3)*요율!$C$3%*요율!$D$3%,0),-1)</f>
        <v>0</v>
      </c>
      <c r="BW63" s="16">
        <f>ROUNDDOWN(IF($AG63*Y63&gt;요율!$E$3,($AG63*Y63-요율!$E$3)*요율!$C$3%*요율!$D$3%,0),-1)</f>
        <v>0</v>
      </c>
      <c r="BX63" s="16">
        <f>ROUNDDOWN(IF($AG63*Z63&gt;요율!$E$3,($AG63*Z63-요율!$E$3)*요율!$C$3%*요율!$D$3%,0),-1)</f>
        <v>0</v>
      </c>
      <c r="BY63" s="16">
        <f>ROUNDDOWN(IF($AG63*AA63&gt;요율!$E$3,($AG63*AA63-요율!$E$3)*요율!$C$3%*요율!$D$3%,0),-1)</f>
        <v>0</v>
      </c>
      <c r="BZ63" s="16">
        <f>ROUNDDOWN(IF($AG63*AB63&gt;요율!$E$3,($AG63*AB63-요율!$E$3)*요율!$C$3%*요율!$D$3%,0),-1)</f>
        <v>0</v>
      </c>
      <c r="CA63" s="16">
        <f>ROUNDDOWN(IF($AG63*AC63&gt;요율!$E$3,($AG63*AC63-요율!$E$3)*요율!$C$3%*요율!$D$3%,0),-1)</f>
        <v>0</v>
      </c>
      <c r="CB63" s="31">
        <f>ROUNDDOWN(IF($AG63*AD63&gt;요율!$E$3,($AG63*AD63-요율!$E$3)*요율!$C$3%*요율!$D$3%,0),-1)</f>
        <v>0</v>
      </c>
      <c r="CD63" s="5" t="str">
        <f>IFERROR(VLOOKUP(B63,주소록,9,FALSE),"")</f>
        <v/>
      </c>
    </row>
    <row r="64" spans="1:82" ht="20.100000000000001" hidden="1" customHeight="1">
      <c r="A64" s="761"/>
      <c r="B64" s="261" t="str">
        <f>BA63</f>
        <v/>
      </c>
      <c r="C64" s="690" t="str">
        <f>IF(ISERROR(VLOOKUP(B63,주소록!$A$3:$K$523,7,0)),"",VLOOKUP(B63,주소록!$A$3:$K$523,5,0))</f>
        <v/>
      </c>
      <c r="D64" s="690"/>
      <c r="E64" s="690"/>
      <c r="F64" s="691"/>
      <c r="G64" s="692" t="str">
        <f>IF(ISERROR(VLOOKUP(B63,주소록!$A$3:$K$523,9,0)),"",VLOOKUP(B63,주소록!$A$3:$K$523,7,0))</f>
        <v/>
      </c>
      <c r="H64" s="693"/>
      <c r="I64" s="694"/>
      <c r="J64" s="692" t="str">
        <f>IF(ISERROR(VLOOKUP(B63,주소록!$A$3:$K$523,10,0)),"",VLOOKUP(B63,주소록!$A$3:$K$523,8,0))</f>
        <v/>
      </c>
      <c r="K64" s="693"/>
      <c r="L64" s="693"/>
      <c r="M64" s="693"/>
      <c r="N64" s="695"/>
      <c r="O64" s="474"/>
      <c r="P64" s="475"/>
      <c r="Q64" s="475"/>
      <c r="R64" s="468"/>
      <c r="S64" s="476"/>
      <c r="T64" s="474"/>
      <c r="U64" s="475"/>
      <c r="V64" s="475"/>
      <c r="W64" s="475"/>
      <c r="X64" s="477"/>
      <c r="Y64" s="479"/>
      <c r="Z64" s="475"/>
      <c r="AA64" s="475"/>
      <c r="AB64" s="475"/>
      <c r="AC64" s="475"/>
      <c r="AD64" s="477"/>
      <c r="AE64" s="696">
        <f>SUM(O63:AD64)</f>
        <v>0</v>
      </c>
      <c r="AF64" s="697"/>
      <c r="AG64" s="765"/>
      <c r="AH64" s="687"/>
      <c r="AI64" s="688"/>
      <c r="AJ64" s="689"/>
      <c r="AK64" s="698">
        <f>IF(C63=0,"",IF(MID(C63,7,1)="5","",IF(MID(C63,7,1)="6","",ROUNDDOWN((AK63*10%),-1))))</f>
        <v>0</v>
      </c>
      <c r="AL64" s="699"/>
      <c r="AM64" s="700"/>
      <c r="AN64" s="701">
        <f>ROUNDDOWN(AN63*요율!$F$5,-1)</f>
        <v>0</v>
      </c>
      <c r="AO64" s="701"/>
      <c r="AP64" s="701"/>
      <c r="AQ64" s="713">
        <f>IF(OR(AND(요율!$H$8="X",요율!$H$9="X",MID(C63,8,1)&gt;="5"),AND(요율!$H$8="○",요율!$H$9="X",MID(C63,8,1)&gt;="5")),"외국인",IF(요율!$H$8="X",IF(C63="",0,IF(OR(MID(C63,8,1)&lt;"3",AND(MID(C63,8,1)&gt;="5",MID(C63,8,1)&lt;="6")),IF(INT(TEXT($O$3,"yyyy.mmdd")-TEXT(TEXT(LEFT(C63,6),"1900-00-00"),"yyyy.mmdd"))&gt;=65,"65세이상",+TRUNC(AH63*요율!$C$9%,-1)),IF(INT(TEXT($O$3,"yyyy.mmdd")-TEXT(TEXT(LEFT(C63,6),"2000-00-00"),"yyyy.mmdd"))&gt;=65,"65세이상",+TRUNC(AH63*요율!$C$9%,-1)))),+TRUNC(AH63*요율!$C$9%,-1)))</f>
        <v>0</v>
      </c>
      <c r="AR64" s="699"/>
      <c r="AS64" s="699"/>
      <c r="AT64" s="714"/>
      <c r="AU64" s="715"/>
      <c r="AV64" s="716"/>
      <c r="AW64" s="723"/>
      <c r="AX64" s="724"/>
      <c r="AY64" s="725"/>
      <c r="AZ64" s="767"/>
      <c r="BA64" s="22" t="str">
        <f>BA63</f>
        <v/>
      </c>
      <c r="BB64" s="6">
        <v>2</v>
      </c>
      <c r="BC64" s="753"/>
      <c r="BD64" s="733">
        <f>B63</f>
        <v>0</v>
      </c>
      <c r="BE64" s="733"/>
      <c r="BF64" s="733"/>
      <c r="BG64" s="734">
        <f>SUM(BM63:CB64)</f>
        <v>0</v>
      </c>
      <c r="BH64" s="735"/>
      <c r="BI64" s="736"/>
      <c r="BJ64" s="144"/>
      <c r="BK64" s="145"/>
      <c r="BL64" s="146"/>
      <c r="BM64" s="17">
        <f>ROUNDDOWN(IF($AG63*O64&gt;요율!$E$3,($AG63*O64-요율!$E$3)*요율!$C$3%*요율!$D$3%,0),-1)</f>
        <v>0</v>
      </c>
      <c r="BN64" s="18">
        <f>ROUNDDOWN(IF($AG63*P64&gt;요율!$E$3,($AG63*P64-요율!$E$3)*요율!$C$3%*요율!$D$3%,0),-1)</f>
        <v>0</v>
      </c>
      <c r="BO64" s="18">
        <f>ROUNDDOWN(IF($AG63*Q64&gt;요율!$E$3,($AG63*Q64-요율!$E$3)*요율!$C$3%*요율!$D$3%,0),-1)</f>
        <v>0</v>
      </c>
      <c r="BP64" s="18">
        <f>ROUNDDOWN(IF($AG63*R64&gt;요율!$E$3,($AG63*R64-요율!$E$3)*요율!$C$3%*요율!$D$3%,0),-1)</f>
        <v>0</v>
      </c>
      <c r="BQ64" s="18">
        <f>ROUNDDOWN(IF($AG63*S64&gt;요율!$E$3,($AG63*S64-요율!$E$3)*요율!$C$3%*요율!$D$3%,0),-1)</f>
        <v>0</v>
      </c>
      <c r="BR64" s="18">
        <f>ROUNDDOWN(IF($AG63*T64&gt;요율!$E$3,($AG63*T64-요율!$E$3)*요율!$C$3%*요율!$D$3%,0),-1)</f>
        <v>0</v>
      </c>
      <c r="BS64" s="18">
        <f>ROUNDDOWN(IF($AG63*U64&gt;요율!$E$3,($AG63*U64-요율!$E$3)*요율!$C$3%*요율!$D$3%,0),-1)</f>
        <v>0</v>
      </c>
      <c r="BT64" s="18">
        <f>ROUNDDOWN(IF($AG63*V64&gt;요율!$E$3,($AG63*V64-요율!$E$3)*요율!$C$3%*요율!$D$3%,0),-1)</f>
        <v>0</v>
      </c>
      <c r="BU64" s="18">
        <f>ROUNDDOWN(IF($AG63*W64&gt;요율!$E$3,($AG63*W64-요율!$E$3)*요율!$C$3%*요율!$D$3%,0),-1)</f>
        <v>0</v>
      </c>
      <c r="BV64" s="18">
        <f>ROUNDDOWN(IF($AG63*X64&gt;요율!$E$3,($AG63*X64-요율!$E$3)*요율!$C$3%*요율!$D$3%,0),-1)</f>
        <v>0</v>
      </c>
      <c r="BW64" s="18">
        <f>ROUNDDOWN(IF($AG63*Y64&gt;요율!$E$3,($AG63*Y64-요율!$E$3)*요율!$C$3%*요율!$D$3%,0),-1)</f>
        <v>0</v>
      </c>
      <c r="BX64" s="18">
        <f>ROUNDDOWN(IF($AG63*Z64&gt;요율!$E$3,($AG63*Z64-요율!$E$3)*요율!$C$3%*요율!$D$3%,0),-1)</f>
        <v>0</v>
      </c>
      <c r="BY64" s="18">
        <f>ROUNDDOWN(IF($AG63*AA64&gt;요율!$E$3,($AG63*AA64-요율!$E$3)*요율!$C$3%*요율!$D$3%,0),-1)</f>
        <v>0</v>
      </c>
      <c r="BZ64" s="18">
        <f>ROUNDDOWN(IF($AG63*AB64&gt;요율!$E$3,($AG63*AB64-요율!$E$3)*요율!$C$3%*요율!$D$3%,0),-1)</f>
        <v>0</v>
      </c>
      <c r="CA64" s="18">
        <f>ROUNDDOWN(IF($AG63*AC64&gt;요율!$E$3,($AG63*AC64-요율!$E$3)*요율!$C$3%*요율!$D$3%,0),-1)</f>
        <v>0</v>
      </c>
      <c r="CB64" s="19">
        <f>ROUNDDOWN(IF($AG63*AD64&gt;요율!$E$3,($AG63*AD64-요율!$E$3)*요율!$C$3%*요율!$D$3%,0),-1)</f>
        <v>0</v>
      </c>
    </row>
    <row r="65" spans="1:82" ht="20.100000000000001" hidden="1" customHeight="1">
      <c r="A65" s="760">
        <f t="shared" si="1"/>
        <v>30</v>
      </c>
      <c r="B65" s="260"/>
      <c r="C65" s="708" t="str">
        <f>IF(ISERROR(VLOOKUP(B65,주소록!$A$3:$K$523,5,0)),"",VLOOKUP(B65,주소록!$A$3:$K$523,3,0))</f>
        <v/>
      </c>
      <c r="D65" s="708"/>
      <c r="E65" s="708"/>
      <c r="F65" s="709"/>
      <c r="G65" s="710" t="str">
        <f>IF(ISERROR(VLOOKUP(B65,주소록!$A$3:$K$523,6,0)),"",VLOOKUP(B65,주소록!$A$3:$K$523,4,0))</f>
        <v/>
      </c>
      <c r="H65" s="711"/>
      <c r="I65" s="711"/>
      <c r="J65" s="711"/>
      <c r="K65" s="711"/>
      <c r="L65" s="711"/>
      <c r="M65" s="711"/>
      <c r="N65" s="712"/>
      <c r="O65" s="469"/>
      <c r="P65" s="470"/>
      <c r="Q65" s="470"/>
      <c r="R65" s="470"/>
      <c r="S65" s="478"/>
      <c r="T65" s="469"/>
      <c r="U65" s="470"/>
      <c r="V65" s="470"/>
      <c r="W65" s="470"/>
      <c r="X65" s="471"/>
      <c r="Y65" s="472"/>
      <c r="Z65" s="467"/>
      <c r="AA65" s="470"/>
      <c r="AB65" s="470"/>
      <c r="AC65" s="470"/>
      <c r="AD65" s="473"/>
      <c r="AE65" s="762">
        <f>COUNTIF(O65:AD66,"&gt;=0.5")</f>
        <v>0</v>
      </c>
      <c r="AF65" s="763"/>
      <c r="AG65" s="764"/>
      <c r="AH65" s="684">
        <f>AE66*AG65</f>
        <v>0</v>
      </c>
      <c r="AI65" s="685"/>
      <c r="AJ65" s="686"/>
      <c r="AK65" s="755">
        <f>IF(BG66&lt;1000, 0, BG66)</f>
        <v>0</v>
      </c>
      <c r="AL65" s="756"/>
      <c r="AM65" s="757"/>
      <c r="AN65" s="758">
        <f>IF(요율!$H$7="○",IF(AE65&gt;=요율!$D$6,ROUNDDOWN(AH65*요율!$C$4%,-1),0),0)</f>
        <v>0</v>
      </c>
      <c r="AO65" s="756"/>
      <c r="AP65" s="757"/>
      <c r="AQ65" s="758">
        <f>BL65</f>
        <v>0</v>
      </c>
      <c r="AR65" s="756"/>
      <c r="AS65" s="759"/>
      <c r="AT65" s="717">
        <f>SUM(AK65:AS66)</f>
        <v>0</v>
      </c>
      <c r="AU65" s="718"/>
      <c r="AV65" s="719"/>
      <c r="AW65" s="720">
        <f>AH65-AT65-AT66</f>
        <v>0</v>
      </c>
      <c r="AX65" s="721"/>
      <c r="AY65" s="722"/>
      <c r="AZ65" s="766"/>
      <c r="BA65" s="21" t="str">
        <f>IF(ISERROR(VLOOKUP($B65,주소록!$A$3:$K$523,3,0)),"",VLOOKUP($B65,주소록!$A$3:$K$523,2,0))</f>
        <v/>
      </c>
      <c r="BB65" s="6">
        <v>1</v>
      </c>
      <c r="BC65" s="752">
        <f>A65</f>
        <v>30</v>
      </c>
      <c r="BD65" s="754" t="str">
        <f>IF(OR(MID(C65,8,1)&lt;"3",AND(MID(C65,8,1)&gt;="5",MID(C65,8,1)&lt;="6")),TEXT(TEXT(LEFT(C65,6),"1900-00-00"),"yyyy년 m월 d일"),TEXT(TEXT(LEFT(C65,6),"2000-00-00"),"yyyy년 m월 d일"))</f>
        <v/>
      </c>
      <c r="BE65" s="754"/>
      <c r="BF65" s="754"/>
      <c r="BG65" s="768">
        <f>IFERROR(INT( ( TEXT($O$3,"yyyy.mmdd") - TEXT(BD65,"yyyy.mmdd") )  ),0)</f>
        <v>0</v>
      </c>
      <c r="BH65" s="769"/>
      <c r="BI65" s="770"/>
      <c r="BJ65" s="133">
        <f>IF(BG65&gt;59,"60세이상",IF(OR(AE65&lt;요율!$D$6,AH65=0),0,IF(AH65&lt;요율!$C$7,요율!$D$7,IF(AH65&gt;요율!$C$8,요율!$D$8,+TRUNC(AH65*요율!$C$6%,-1)))))</f>
        <v>0</v>
      </c>
      <c r="BK65" s="143">
        <f>IF(BG65&gt;59,"60세이상",IF(OR(AH65&lt;2200000,AH65=0),0,IF(AH65&lt;요율!$C$7,요율!$D$7,IF(AH65&gt;요율!$C$8,요율!$D$8,+TRUNC(AH65*요율!$C$6%,-1)))))</f>
        <v>0</v>
      </c>
      <c r="BL65" s="140">
        <f>IF(BK65&gt;0,BK65,BJ65)</f>
        <v>0</v>
      </c>
      <c r="BM65" s="15">
        <f>ROUNDDOWN(IF($AG65*O65&gt;요율!$E$3,($AG65*O65-요율!$E$3)*요율!$C$3%*요율!$D$3%,0),-1)</f>
        <v>0</v>
      </c>
      <c r="BN65" s="16">
        <f>ROUNDDOWN(IF($AG65*P65&gt;요율!$E$3,($AG65*P65-요율!$E$3)*요율!$C$3%*요율!$D$3%,0),-1)</f>
        <v>0</v>
      </c>
      <c r="BO65" s="16">
        <f>ROUNDDOWN(IF($AG65*Q65&gt;요율!$E$3,($AG65*Q65-요율!$E$3)*요율!$C$3%*요율!$D$3%,0),-1)</f>
        <v>0</v>
      </c>
      <c r="BP65" s="16">
        <f>ROUNDDOWN(IF($AG65*R65&gt;요율!$E$3,($AG65*R65-요율!$E$3)*요율!$C$3%*요율!$D$3%,0),-1)</f>
        <v>0</v>
      </c>
      <c r="BQ65" s="16">
        <f>ROUNDDOWN(IF($AG65*S65&gt;요율!$E$3,($AG65*S65-요율!$E$3)*요율!$C$3%*요율!$D$3%,0),-1)</f>
        <v>0</v>
      </c>
      <c r="BR65" s="16">
        <f>ROUNDDOWN(IF($AG65*T65&gt;요율!$E$3,($AG65*T65-요율!$E$3)*요율!$C$3%*요율!$D$3%,0),-1)</f>
        <v>0</v>
      </c>
      <c r="BS65" s="16">
        <f>ROUNDDOWN(IF($AG65*U65&gt;요율!$E$3,($AG65*U65-요율!$E$3)*요율!$C$3%*요율!$D$3%,0),-1)</f>
        <v>0</v>
      </c>
      <c r="BT65" s="16">
        <f>ROUNDDOWN(IF($AG65*V65&gt;요율!$E$3,($AG65*V65-요율!$E$3)*요율!$C$3%*요율!$D$3%,0),-1)</f>
        <v>0</v>
      </c>
      <c r="BU65" s="16">
        <f>ROUNDDOWN(IF($AG65*W65&gt;요율!$E$3,($AG65*W65-요율!$E$3)*요율!$C$3%*요율!$D$3%,0),-1)</f>
        <v>0</v>
      </c>
      <c r="BV65" s="16">
        <f>ROUNDDOWN(IF($AG65*X65&gt;요율!$E$3,($AG65*X65-요율!$E$3)*요율!$C$3%*요율!$D$3%,0),-1)</f>
        <v>0</v>
      </c>
      <c r="BW65" s="16">
        <f>ROUNDDOWN(IF($AG65*Y65&gt;요율!$E$3,($AG65*Y65-요율!$E$3)*요율!$C$3%*요율!$D$3%,0),-1)</f>
        <v>0</v>
      </c>
      <c r="BX65" s="16">
        <f>ROUNDDOWN(IF($AG65*Z65&gt;요율!$E$3,($AG65*Z65-요율!$E$3)*요율!$C$3%*요율!$D$3%,0),-1)</f>
        <v>0</v>
      </c>
      <c r="BY65" s="16">
        <f>ROUNDDOWN(IF($AG65*AA65&gt;요율!$E$3,($AG65*AA65-요율!$E$3)*요율!$C$3%*요율!$D$3%,0),-1)</f>
        <v>0</v>
      </c>
      <c r="BZ65" s="16">
        <f>ROUNDDOWN(IF($AG65*AB65&gt;요율!$E$3,($AG65*AB65-요율!$E$3)*요율!$C$3%*요율!$D$3%,0),-1)</f>
        <v>0</v>
      </c>
      <c r="CA65" s="16">
        <f>ROUNDDOWN(IF($AG65*AC65&gt;요율!$E$3,($AG65*AC65-요율!$E$3)*요율!$C$3%*요율!$D$3%,0),-1)</f>
        <v>0</v>
      </c>
      <c r="CB65" s="31">
        <f>ROUNDDOWN(IF($AG65*AD65&gt;요율!$E$3,($AG65*AD65-요율!$E$3)*요율!$C$3%*요율!$D$3%,0),-1)</f>
        <v>0</v>
      </c>
      <c r="CD65" s="5" t="str">
        <f>IFERROR(VLOOKUP(B65,주소록,9,FALSE),"")</f>
        <v/>
      </c>
    </row>
    <row r="66" spans="1:82" ht="20.100000000000001" hidden="1" customHeight="1">
      <c r="A66" s="761"/>
      <c r="B66" s="261" t="str">
        <f>BA65</f>
        <v/>
      </c>
      <c r="C66" s="690" t="str">
        <f>IF(ISERROR(VLOOKUP(B65,주소록!$A$3:$K$523,7,0)),"",VLOOKUP(B65,주소록!$A$3:$K$523,5,0))</f>
        <v/>
      </c>
      <c r="D66" s="690"/>
      <c r="E66" s="690"/>
      <c r="F66" s="691"/>
      <c r="G66" s="692" t="str">
        <f>IF(ISERROR(VLOOKUP(B65,주소록!$A$3:$K$523,9,0)),"",VLOOKUP(B65,주소록!$A$3:$K$523,7,0))</f>
        <v/>
      </c>
      <c r="H66" s="693"/>
      <c r="I66" s="694"/>
      <c r="J66" s="692" t="str">
        <f>IF(ISERROR(VLOOKUP(B65,주소록!$A$3:$K$523,10,0)),"",VLOOKUP(B65,주소록!$A$3:$K$523,8,0))</f>
        <v/>
      </c>
      <c r="K66" s="693"/>
      <c r="L66" s="693"/>
      <c r="M66" s="693"/>
      <c r="N66" s="695"/>
      <c r="O66" s="474"/>
      <c r="P66" s="475"/>
      <c r="Q66" s="475"/>
      <c r="R66" s="468"/>
      <c r="S66" s="476"/>
      <c r="T66" s="474"/>
      <c r="U66" s="475"/>
      <c r="V66" s="475"/>
      <c r="W66" s="475"/>
      <c r="X66" s="477"/>
      <c r="Y66" s="479"/>
      <c r="Z66" s="475"/>
      <c r="AA66" s="475"/>
      <c r="AB66" s="475"/>
      <c r="AC66" s="475"/>
      <c r="AD66" s="477"/>
      <c r="AE66" s="696">
        <f>SUM(O65:AD66)</f>
        <v>0</v>
      </c>
      <c r="AF66" s="697"/>
      <c r="AG66" s="765"/>
      <c r="AH66" s="687"/>
      <c r="AI66" s="688"/>
      <c r="AJ66" s="689"/>
      <c r="AK66" s="698">
        <f>IF(C65=0,"",IF(MID(C65,7,1)="5","",IF(MID(C65,7,1)="6","",ROUNDDOWN((AK65*10%),-1))))</f>
        <v>0</v>
      </c>
      <c r="AL66" s="699"/>
      <c r="AM66" s="700"/>
      <c r="AN66" s="701">
        <f>ROUNDDOWN(AN65*요율!$F$5,-1)</f>
        <v>0</v>
      </c>
      <c r="AO66" s="701"/>
      <c r="AP66" s="701"/>
      <c r="AQ66" s="713">
        <f>IF(OR(AND(요율!$H$8="X",요율!$H$9="X",MID(C65,8,1)&gt;="5"),AND(요율!$H$8="○",요율!$H$9="X",MID(C65,8,1)&gt;="5")),"외국인",IF(요율!$H$8="X",IF(C65="",0,IF(OR(MID(C65,8,1)&lt;"3",AND(MID(C65,8,1)&gt;="5",MID(C65,8,1)&lt;="6")),IF(INT(TEXT($O$3,"yyyy.mmdd")-TEXT(TEXT(LEFT(C65,6),"1900-00-00"),"yyyy.mmdd"))&gt;=65,"65세이상",+TRUNC(AH65*요율!$C$9%,-1)),IF(INT(TEXT($O$3,"yyyy.mmdd")-TEXT(TEXT(LEFT(C65,6),"2000-00-00"),"yyyy.mmdd"))&gt;=65,"65세이상",+TRUNC(AH65*요율!$C$9%,-1)))),+TRUNC(AH65*요율!$C$9%,-1)))</f>
        <v>0</v>
      </c>
      <c r="AR66" s="699"/>
      <c r="AS66" s="699"/>
      <c r="AT66" s="714"/>
      <c r="AU66" s="715"/>
      <c r="AV66" s="716"/>
      <c r="AW66" s="723"/>
      <c r="AX66" s="724"/>
      <c r="AY66" s="725"/>
      <c r="AZ66" s="767"/>
      <c r="BA66" s="22" t="str">
        <f>BA65</f>
        <v/>
      </c>
      <c r="BB66" s="6">
        <v>2</v>
      </c>
      <c r="BC66" s="753"/>
      <c r="BD66" s="733">
        <f>B65</f>
        <v>0</v>
      </c>
      <c r="BE66" s="733"/>
      <c r="BF66" s="733"/>
      <c r="BG66" s="734">
        <f>SUM(BM65:CB66)</f>
        <v>0</v>
      </c>
      <c r="BH66" s="735"/>
      <c r="BI66" s="736"/>
      <c r="BJ66" s="144"/>
      <c r="BK66" s="145"/>
      <c r="BL66" s="146"/>
      <c r="BM66" s="17">
        <f>ROUNDDOWN(IF($AG65*O66&gt;요율!$E$3,($AG65*O66-요율!$E$3)*요율!$C$3%*요율!$D$3%,0),-1)</f>
        <v>0</v>
      </c>
      <c r="BN66" s="18">
        <f>ROUNDDOWN(IF($AG65*P66&gt;요율!$E$3,($AG65*P66-요율!$E$3)*요율!$C$3%*요율!$D$3%,0),-1)</f>
        <v>0</v>
      </c>
      <c r="BO66" s="18">
        <f>ROUNDDOWN(IF($AG65*Q66&gt;요율!$E$3,($AG65*Q66-요율!$E$3)*요율!$C$3%*요율!$D$3%,0),-1)</f>
        <v>0</v>
      </c>
      <c r="BP66" s="18">
        <f>ROUNDDOWN(IF($AG65*R66&gt;요율!$E$3,($AG65*R66-요율!$E$3)*요율!$C$3%*요율!$D$3%,0),-1)</f>
        <v>0</v>
      </c>
      <c r="BQ66" s="18">
        <f>ROUNDDOWN(IF($AG65*S66&gt;요율!$E$3,($AG65*S66-요율!$E$3)*요율!$C$3%*요율!$D$3%,0),-1)</f>
        <v>0</v>
      </c>
      <c r="BR66" s="18">
        <f>ROUNDDOWN(IF($AG65*T66&gt;요율!$E$3,($AG65*T66-요율!$E$3)*요율!$C$3%*요율!$D$3%,0),-1)</f>
        <v>0</v>
      </c>
      <c r="BS66" s="18">
        <f>ROUNDDOWN(IF($AG65*U66&gt;요율!$E$3,($AG65*U66-요율!$E$3)*요율!$C$3%*요율!$D$3%,0),-1)</f>
        <v>0</v>
      </c>
      <c r="BT66" s="18">
        <f>ROUNDDOWN(IF($AG65*V66&gt;요율!$E$3,($AG65*V66-요율!$E$3)*요율!$C$3%*요율!$D$3%,0),-1)</f>
        <v>0</v>
      </c>
      <c r="BU66" s="18">
        <f>ROUNDDOWN(IF($AG65*W66&gt;요율!$E$3,($AG65*W66-요율!$E$3)*요율!$C$3%*요율!$D$3%,0),-1)</f>
        <v>0</v>
      </c>
      <c r="BV66" s="18">
        <f>ROUNDDOWN(IF($AG65*X66&gt;요율!$E$3,($AG65*X66-요율!$E$3)*요율!$C$3%*요율!$D$3%,0),-1)</f>
        <v>0</v>
      </c>
      <c r="BW66" s="18">
        <f>ROUNDDOWN(IF($AG65*Y66&gt;요율!$E$3,($AG65*Y66-요율!$E$3)*요율!$C$3%*요율!$D$3%,0),-1)</f>
        <v>0</v>
      </c>
      <c r="BX66" s="18">
        <f>ROUNDDOWN(IF($AG65*Z66&gt;요율!$E$3,($AG65*Z66-요율!$E$3)*요율!$C$3%*요율!$D$3%,0),-1)</f>
        <v>0</v>
      </c>
      <c r="BY66" s="18">
        <f>ROUNDDOWN(IF($AG65*AA66&gt;요율!$E$3,($AG65*AA66-요율!$E$3)*요율!$C$3%*요율!$D$3%,0),-1)</f>
        <v>0</v>
      </c>
      <c r="BZ66" s="18">
        <f>ROUNDDOWN(IF($AG65*AB66&gt;요율!$E$3,($AG65*AB66-요율!$E$3)*요율!$C$3%*요율!$D$3%,0),-1)</f>
        <v>0</v>
      </c>
      <c r="CA66" s="18">
        <f>ROUNDDOWN(IF($AG65*AC66&gt;요율!$E$3,($AG65*AC66-요율!$E$3)*요율!$C$3%*요율!$D$3%,0),-1)</f>
        <v>0</v>
      </c>
      <c r="CB66" s="19">
        <f>ROUNDDOWN(IF($AG65*AD66&gt;요율!$E$3,($AG65*AD66-요율!$E$3)*요율!$C$3%*요율!$D$3%,0),-1)</f>
        <v>0</v>
      </c>
    </row>
    <row r="67" spans="1:82" ht="20.100000000000001" hidden="1" customHeight="1">
      <c r="A67" s="760">
        <f t="shared" si="1"/>
        <v>31</v>
      </c>
      <c r="B67" s="260"/>
      <c r="C67" s="708" t="str">
        <f>IF(ISERROR(VLOOKUP(B67,주소록!$A$3:$K$523,5,0)),"",VLOOKUP(B67,주소록!$A$3:$K$523,3,0))</f>
        <v/>
      </c>
      <c r="D67" s="708"/>
      <c r="E67" s="708"/>
      <c r="F67" s="709"/>
      <c r="G67" s="710" t="str">
        <f>IF(ISERROR(VLOOKUP(B67,주소록!$A$3:$K$523,6,0)),"",VLOOKUP(B67,주소록!$A$3:$K$523,4,0))</f>
        <v/>
      </c>
      <c r="H67" s="711"/>
      <c r="I67" s="711"/>
      <c r="J67" s="711"/>
      <c r="K67" s="711"/>
      <c r="L67" s="711"/>
      <c r="M67" s="711"/>
      <c r="N67" s="712"/>
      <c r="O67" s="469"/>
      <c r="P67" s="470"/>
      <c r="Q67" s="470"/>
      <c r="R67" s="470"/>
      <c r="S67" s="478"/>
      <c r="T67" s="469"/>
      <c r="U67" s="470"/>
      <c r="V67" s="470"/>
      <c r="W67" s="470"/>
      <c r="X67" s="471"/>
      <c r="Y67" s="472"/>
      <c r="Z67" s="467"/>
      <c r="AA67" s="470"/>
      <c r="AB67" s="470"/>
      <c r="AC67" s="470"/>
      <c r="AD67" s="473"/>
      <c r="AE67" s="762">
        <f>COUNTIF(O67:AD68,"&gt;=0.5")</f>
        <v>0</v>
      </c>
      <c r="AF67" s="763"/>
      <c r="AG67" s="764"/>
      <c r="AH67" s="684">
        <f>AE68*AG67</f>
        <v>0</v>
      </c>
      <c r="AI67" s="685"/>
      <c r="AJ67" s="686"/>
      <c r="AK67" s="755">
        <f>IF(BG68&lt;1000, 0, BG68)</f>
        <v>0</v>
      </c>
      <c r="AL67" s="756"/>
      <c r="AM67" s="757"/>
      <c r="AN67" s="758">
        <f>IF(요율!$H$7="○",IF(AE67&gt;=요율!$D$6,ROUNDDOWN(AH67*요율!$C$4%,-1),0),0)</f>
        <v>0</v>
      </c>
      <c r="AO67" s="756"/>
      <c r="AP67" s="757"/>
      <c r="AQ67" s="758">
        <f>BL67</f>
        <v>0</v>
      </c>
      <c r="AR67" s="756"/>
      <c r="AS67" s="759"/>
      <c r="AT67" s="717">
        <f>SUM(AK67:AS68)</f>
        <v>0</v>
      </c>
      <c r="AU67" s="718"/>
      <c r="AV67" s="719"/>
      <c r="AW67" s="720">
        <f>AH67-AT67-AT68</f>
        <v>0</v>
      </c>
      <c r="AX67" s="721"/>
      <c r="AY67" s="722"/>
      <c r="AZ67" s="766"/>
      <c r="BA67" s="21" t="str">
        <f>IF(ISERROR(VLOOKUP($B67,주소록!$A$3:$K$523,3,0)),"",VLOOKUP($B67,주소록!$A$3:$K$523,2,0))</f>
        <v/>
      </c>
      <c r="BB67" s="6">
        <v>1</v>
      </c>
      <c r="BC67" s="752">
        <f>A67</f>
        <v>31</v>
      </c>
      <c r="BD67" s="754" t="str">
        <f>IF(OR(MID(C67,8,1)&lt;"3",AND(MID(C67,8,1)&gt;="5",MID(C67,8,1)&lt;="6")),TEXT(TEXT(LEFT(C67,6),"1900-00-00"),"yyyy년 m월 d일"),TEXT(TEXT(LEFT(C67,6),"2000-00-00"),"yyyy년 m월 d일"))</f>
        <v/>
      </c>
      <c r="BE67" s="754"/>
      <c r="BF67" s="754"/>
      <c r="BG67" s="768">
        <f>IFERROR(INT( ( TEXT($O$3,"yyyy.mmdd") - TEXT(BD67,"yyyy.mmdd") )  ),0)</f>
        <v>0</v>
      </c>
      <c r="BH67" s="769"/>
      <c r="BI67" s="770"/>
      <c r="BJ67" s="133">
        <f>IF(BG67&gt;59,"60세이상",IF(OR(AE67&lt;요율!$D$6,AH67=0),0,IF(AH67&lt;요율!$C$7,요율!$D$7,IF(AH67&gt;요율!$C$8,요율!$D$8,+TRUNC(AH67*요율!$C$6%,-1)))))</f>
        <v>0</v>
      </c>
      <c r="BK67" s="143">
        <f>IF(BG67&gt;59,"60세이상",IF(OR(AH67&lt;2200000,AH67=0),0,IF(AH67&lt;요율!$C$7,요율!$D$7,IF(AH67&gt;요율!$C$8,요율!$D$8,+TRUNC(AH67*요율!$C$6%,-1)))))</f>
        <v>0</v>
      </c>
      <c r="BL67" s="140">
        <f>IF(BK67&gt;0,BK67,BJ67)</f>
        <v>0</v>
      </c>
      <c r="BM67" s="15">
        <f>ROUNDDOWN(IF($AG67*O67&gt;요율!$E$3,($AG67*O67-요율!$E$3)*요율!$C$3%*요율!$D$3%,0),-1)</f>
        <v>0</v>
      </c>
      <c r="BN67" s="16">
        <f>ROUNDDOWN(IF($AG67*P67&gt;요율!$E$3,($AG67*P67-요율!$E$3)*요율!$C$3%*요율!$D$3%,0),-1)</f>
        <v>0</v>
      </c>
      <c r="BO67" s="16">
        <f>ROUNDDOWN(IF($AG67*Q67&gt;요율!$E$3,($AG67*Q67-요율!$E$3)*요율!$C$3%*요율!$D$3%,0),-1)</f>
        <v>0</v>
      </c>
      <c r="BP67" s="16">
        <f>ROUNDDOWN(IF($AG67*R67&gt;요율!$E$3,($AG67*R67-요율!$E$3)*요율!$C$3%*요율!$D$3%,0),-1)</f>
        <v>0</v>
      </c>
      <c r="BQ67" s="16">
        <f>ROUNDDOWN(IF($AG67*S67&gt;요율!$E$3,($AG67*S67-요율!$E$3)*요율!$C$3%*요율!$D$3%,0),-1)</f>
        <v>0</v>
      </c>
      <c r="BR67" s="16">
        <f>ROUNDDOWN(IF($AG67*T67&gt;요율!$E$3,($AG67*T67-요율!$E$3)*요율!$C$3%*요율!$D$3%,0),-1)</f>
        <v>0</v>
      </c>
      <c r="BS67" s="16">
        <f>ROUNDDOWN(IF($AG67*U67&gt;요율!$E$3,($AG67*U67-요율!$E$3)*요율!$C$3%*요율!$D$3%,0),-1)</f>
        <v>0</v>
      </c>
      <c r="BT67" s="16">
        <f>ROUNDDOWN(IF($AG67*V67&gt;요율!$E$3,($AG67*V67-요율!$E$3)*요율!$C$3%*요율!$D$3%,0),-1)</f>
        <v>0</v>
      </c>
      <c r="BU67" s="16">
        <f>ROUNDDOWN(IF($AG67*W67&gt;요율!$E$3,($AG67*W67-요율!$E$3)*요율!$C$3%*요율!$D$3%,0),-1)</f>
        <v>0</v>
      </c>
      <c r="BV67" s="16">
        <f>ROUNDDOWN(IF($AG67*X67&gt;요율!$E$3,($AG67*X67-요율!$E$3)*요율!$C$3%*요율!$D$3%,0),-1)</f>
        <v>0</v>
      </c>
      <c r="BW67" s="16">
        <f>ROUNDDOWN(IF($AG67*Y67&gt;요율!$E$3,($AG67*Y67-요율!$E$3)*요율!$C$3%*요율!$D$3%,0),-1)</f>
        <v>0</v>
      </c>
      <c r="BX67" s="16">
        <f>ROUNDDOWN(IF($AG67*Z67&gt;요율!$E$3,($AG67*Z67-요율!$E$3)*요율!$C$3%*요율!$D$3%,0),-1)</f>
        <v>0</v>
      </c>
      <c r="BY67" s="16">
        <f>ROUNDDOWN(IF($AG67*AA67&gt;요율!$E$3,($AG67*AA67-요율!$E$3)*요율!$C$3%*요율!$D$3%,0),-1)</f>
        <v>0</v>
      </c>
      <c r="BZ67" s="16">
        <f>ROUNDDOWN(IF($AG67*AB67&gt;요율!$E$3,($AG67*AB67-요율!$E$3)*요율!$C$3%*요율!$D$3%,0),-1)</f>
        <v>0</v>
      </c>
      <c r="CA67" s="16">
        <f>ROUNDDOWN(IF($AG67*AC67&gt;요율!$E$3,($AG67*AC67-요율!$E$3)*요율!$C$3%*요율!$D$3%,0),-1)</f>
        <v>0</v>
      </c>
      <c r="CB67" s="31">
        <f>ROUNDDOWN(IF($AG67*AD67&gt;요율!$E$3,($AG67*AD67-요율!$E$3)*요율!$C$3%*요율!$D$3%,0),-1)</f>
        <v>0</v>
      </c>
      <c r="CD67" s="5" t="str">
        <f>IFERROR(VLOOKUP(B67,주소록,9,FALSE),"")</f>
        <v/>
      </c>
    </row>
    <row r="68" spans="1:82" ht="20.100000000000001" hidden="1" customHeight="1">
      <c r="A68" s="761"/>
      <c r="B68" s="261" t="str">
        <f>BA67</f>
        <v/>
      </c>
      <c r="C68" s="690" t="str">
        <f>IF(ISERROR(VLOOKUP(B67,주소록!$A$3:$K$523,7,0)),"",VLOOKUP(B67,주소록!$A$3:$K$523,5,0))</f>
        <v/>
      </c>
      <c r="D68" s="690"/>
      <c r="E68" s="690"/>
      <c r="F68" s="691"/>
      <c r="G68" s="692" t="str">
        <f>IF(ISERROR(VLOOKUP(B67,주소록!$A$3:$K$523,9,0)),"",VLOOKUP(B67,주소록!$A$3:$K$523,7,0))</f>
        <v/>
      </c>
      <c r="H68" s="693"/>
      <c r="I68" s="694"/>
      <c r="J68" s="692" t="str">
        <f>IF(ISERROR(VLOOKUP(B67,주소록!$A$3:$K$523,10,0)),"",VLOOKUP(B67,주소록!$A$3:$K$523,8,0))</f>
        <v/>
      </c>
      <c r="K68" s="693"/>
      <c r="L68" s="693"/>
      <c r="M68" s="693"/>
      <c r="N68" s="695"/>
      <c r="O68" s="474"/>
      <c r="P68" s="475"/>
      <c r="Q68" s="475"/>
      <c r="R68" s="468"/>
      <c r="S68" s="476"/>
      <c r="T68" s="474"/>
      <c r="U68" s="475"/>
      <c r="V68" s="475"/>
      <c r="W68" s="475"/>
      <c r="X68" s="477"/>
      <c r="Y68" s="479"/>
      <c r="Z68" s="475"/>
      <c r="AA68" s="475"/>
      <c r="AB68" s="475"/>
      <c r="AC68" s="475"/>
      <c r="AD68" s="477"/>
      <c r="AE68" s="696">
        <f>SUM(O67:AD68)</f>
        <v>0</v>
      </c>
      <c r="AF68" s="697"/>
      <c r="AG68" s="765"/>
      <c r="AH68" s="687"/>
      <c r="AI68" s="688"/>
      <c r="AJ68" s="689"/>
      <c r="AK68" s="698">
        <f>IF(C67=0,"",IF(MID(C67,7,1)="5","",IF(MID(C67,7,1)="6","",ROUNDDOWN((AK67*10%),-1))))</f>
        <v>0</v>
      </c>
      <c r="AL68" s="699"/>
      <c r="AM68" s="700"/>
      <c r="AN68" s="701">
        <f>ROUNDDOWN(AN67*요율!$F$5,-1)</f>
        <v>0</v>
      </c>
      <c r="AO68" s="701"/>
      <c r="AP68" s="701"/>
      <c r="AQ68" s="713">
        <f>IF(OR(AND(요율!$H$8="X",요율!$H$9="X",MID(C67,8,1)&gt;="5"),AND(요율!$H$8="○",요율!$H$9="X",MID(C67,8,1)&gt;="5")),"외국인",IF(요율!$H$8="X",IF(C67="",0,IF(OR(MID(C67,8,1)&lt;"3",AND(MID(C67,8,1)&gt;="5",MID(C67,8,1)&lt;="6")),IF(INT(TEXT($O$3,"yyyy.mmdd")-TEXT(TEXT(LEFT(C67,6),"1900-00-00"),"yyyy.mmdd"))&gt;=65,"65세이상",+TRUNC(AH67*요율!$C$9%,-1)),IF(INT(TEXT($O$3,"yyyy.mmdd")-TEXT(TEXT(LEFT(C67,6),"2000-00-00"),"yyyy.mmdd"))&gt;=65,"65세이상",+TRUNC(AH67*요율!$C$9%,-1)))),+TRUNC(AH67*요율!$C$9%,-1)))</f>
        <v>0</v>
      </c>
      <c r="AR68" s="699"/>
      <c r="AS68" s="699"/>
      <c r="AT68" s="714"/>
      <c r="AU68" s="715"/>
      <c r="AV68" s="716"/>
      <c r="AW68" s="723"/>
      <c r="AX68" s="724"/>
      <c r="AY68" s="725"/>
      <c r="AZ68" s="767"/>
      <c r="BA68" s="22" t="str">
        <f>BA67</f>
        <v/>
      </c>
      <c r="BB68" s="6">
        <v>2</v>
      </c>
      <c r="BC68" s="753"/>
      <c r="BD68" s="733">
        <f>B67</f>
        <v>0</v>
      </c>
      <c r="BE68" s="733"/>
      <c r="BF68" s="733"/>
      <c r="BG68" s="734">
        <f>SUM(BM67:CB68)</f>
        <v>0</v>
      </c>
      <c r="BH68" s="735"/>
      <c r="BI68" s="736"/>
      <c r="BJ68" s="144"/>
      <c r="BK68" s="145"/>
      <c r="BL68" s="146"/>
      <c r="BM68" s="17">
        <f>ROUNDDOWN(IF($AG67*O68&gt;요율!$E$3,($AG67*O68-요율!$E$3)*요율!$C$3%*요율!$D$3%,0),-1)</f>
        <v>0</v>
      </c>
      <c r="BN68" s="18">
        <f>ROUNDDOWN(IF($AG67*P68&gt;요율!$E$3,($AG67*P68-요율!$E$3)*요율!$C$3%*요율!$D$3%,0),-1)</f>
        <v>0</v>
      </c>
      <c r="BO68" s="18">
        <f>ROUNDDOWN(IF($AG67*Q68&gt;요율!$E$3,($AG67*Q68-요율!$E$3)*요율!$C$3%*요율!$D$3%,0),-1)</f>
        <v>0</v>
      </c>
      <c r="BP68" s="18">
        <f>ROUNDDOWN(IF($AG67*R68&gt;요율!$E$3,($AG67*R68-요율!$E$3)*요율!$C$3%*요율!$D$3%,0),-1)</f>
        <v>0</v>
      </c>
      <c r="BQ68" s="18">
        <f>ROUNDDOWN(IF($AG67*S68&gt;요율!$E$3,($AG67*S68-요율!$E$3)*요율!$C$3%*요율!$D$3%,0),-1)</f>
        <v>0</v>
      </c>
      <c r="BR68" s="18">
        <f>ROUNDDOWN(IF($AG67*T68&gt;요율!$E$3,($AG67*T68-요율!$E$3)*요율!$C$3%*요율!$D$3%,0),-1)</f>
        <v>0</v>
      </c>
      <c r="BS68" s="18">
        <f>ROUNDDOWN(IF($AG67*U68&gt;요율!$E$3,($AG67*U68-요율!$E$3)*요율!$C$3%*요율!$D$3%,0),-1)</f>
        <v>0</v>
      </c>
      <c r="BT68" s="18">
        <f>ROUNDDOWN(IF($AG67*V68&gt;요율!$E$3,($AG67*V68-요율!$E$3)*요율!$C$3%*요율!$D$3%,0),-1)</f>
        <v>0</v>
      </c>
      <c r="BU68" s="18">
        <f>ROUNDDOWN(IF($AG67*W68&gt;요율!$E$3,($AG67*W68-요율!$E$3)*요율!$C$3%*요율!$D$3%,0),-1)</f>
        <v>0</v>
      </c>
      <c r="BV68" s="18">
        <f>ROUNDDOWN(IF($AG67*X68&gt;요율!$E$3,($AG67*X68-요율!$E$3)*요율!$C$3%*요율!$D$3%,0),-1)</f>
        <v>0</v>
      </c>
      <c r="BW68" s="18">
        <f>ROUNDDOWN(IF($AG67*Y68&gt;요율!$E$3,($AG67*Y68-요율!$E$3)*요율!$C$3%*요율!$D$3%,0),-1)</f>
        <v>0</v>
      </c>
      <c r="BX68" s="18">
        <f>ROUNDDOWN(IF($AG67*Z68&gt;요율!$E$3,($AG67*Z68-요율!$E$3)*요율!$C$3%*요율!$D$3%,0),-1)</f>
        <v>0</v>
      </c>
      <c r="BY68" s="18">
        <f>ROUNDDOWN(IF($AG67*AA68&gt;요율!$E$3,($AG67*AA68-요율!$E$3)*요율!$C$3%*요율!$D$3%,0),-1)</f>
        <v>0</v>
      </c>
      <c r="BZ68" s="18">
        <f>ROUNDDOWN(IF($AG67*AB68&gt;요율!$E$3,($AG67*AB68-요율!$E$3)*요율!$C$3%*요율!$D$3%,0),-1)</f>
        <v>0</v>
      </c>
      <c r="CA68" s="18">
        <f>ROUNDDOWN(IF($AG67*AC68&gt;요율!$E$3,($AG67*AC68-요율!$E$3)*요율!$C$3%*요율!$D$3%,0),-1)</f>
        <v>0</v>
      </c>
      <c r="CB68" s="19">
        <f>ROUNDDOWN(IF($AG67*AD68&gt;요율!$E$3,($AG67*AD68-요율!$E$3)*요율!$C$3%*요율!$D$3%,0),-1)</f>
        <v>0</v>
      </c>
    </row>
    <row r="69" spans="1:82" ht="20.100000000000001" hidden="1" customHeight="1">
      <c r="A69" s="760">
        <f t="shared" si="1"/>
        <v>32</v>
      </c>
      <c r="B69" s="260"/>
      <c r="C69" s="708" t="str">
        <f>IF(ISERROR(VLOOKUP(B69,주소록!$A$3:$K$523,5,0)),"",VLOOKUP(B69,주소록!$A$3:$K$523,3,0))</f>
        <v/>
      </c>
      <c r="D69" s="708"/>
      <c r="E69" s="708"/>
      <c r="F69" s="709"/>
      <c r="G69" s="710" t="str">
        <f>IF(ISERROR(VLOOKUP(B69,주소록!$A$3:$K$523,6,0)),"",VLOOKUP(B69,주소록!$A$3:$K$523,4,0))</f>
        <v/>
      </c>
      <c r="H69" s="711"/>
      <c r="I69" s="711"/>
      <c r="J69" s="711"/>
      <c r="K69" s="711"/>
      <c r="L69" s="711"/>
      <c r="M69" s="711"/>
      <c r="N69" s="712"/>
      <c r="O69" s="469"/>
      <c r="P69" s="470"/>
      <c r="Q69" s="470"/>
      <c r="R69" s="470"/>
      <c r="S69" s="478"/>
      <c r="T69" s="469"/>
      <c r="U69" s="470"/>
      <c r="V69" s="470"/>
      <c r="W69" s="470"/>
      <c r="X69" s="471"/>
      <c r="Y69" s="472"/>
      <c r="Z69" s="467"/>
      <c r="AA69" s="470"/>
      <c r="AB69" s="470"/>
      <c r="AC69" s="470"/>
      <c r="AD69" s="473"/>
      <c r="AE69" s="762">
        <f>COUNTIF(O69:AD70,"&gt;=0.5")</f>
        <v>0</v>
      </c>
      <c r="AF69" s="763"/>
      <c r="AG69" s="764"/>
      <c r="AH69" s="684">
        <f>AE70*AG69</f>
        <v>0</v>
      </c>
      <c r="AI69" s="685"/>
      <c r="AJ69" s="686"/>
      <c r="AK69" s="755">
        <f>IF(BG70&lt;1000, 0, BG70)</f>
        <v>0</v>
      </c>
      <c r="AL69" s="756"/>
      <c r="AM69" s="757"/>
      <c r="AN69" s="758">
        <f>IF(요율!$H$7="○",IF(AE69&gt;=요율!$D$6,ROUNDDOWN(AH69*요율!$C$4%,-1),0),0)</f>
        <v>0</v>
      </c>
      <c r="AO69" s="756"/>
      <c r="AP69" s="757"/>
      <c r="AQ69" s="758">
        <f>BL69</f>
        <v>0</v>
      </c>
      <c r="AR69" s="756"/>
      <c r="AS69" s="759"/>
      <c r="AT69" s="717">
        <f>SUM(AK69:AS70)</f>
        <v>0</v>
      </c>
      <c r="AU69" s="718"/>
      <c r="AV69" s="719"/>
      <c r="AW69" s="720">
        <f>AH69-AT69-AT70</f>
        <v>0</v>
      </c>
      <c r="AX69" s="721"/>
      <c r="AY69" s="722"/>
      <c r="AZ69" s="766"/>
      <c r="BA69" s="21" t="str">
        <f>IF(ISERROR(VLOOKUP($B69,주소록!$A$3:$K$523,3,0)),"",VLOOKUP($B69,주소록!$A$3:$K$523,2,0))</f>
        <v/>
      </c>
      <c r="BB69" s="6">
        <v>1</v>
      </c>
      <c r="BC69" s="752">
        <f>A69</f>
        <v>32</v>
      </c>
      <c r="BD69" s="754" t="str">
        <f>IF(OR(MID(C69,8,1)&lt;"3",AND(MID(C69,8,1)&gt;="5",MID(C69,8,1)&lt;="6")),TEXT(TEXT(LEFT(C69,6),"1900-00-00"),"yyyy년 m월 d일"),TEXT(TEXT(LEFT(C69,6),"2000-00-00"),"yyyy년 m월 d일"))</f>
        <v/>
      </c>
      <c r="BE69" s="754"/>
      <c r="BF69" s="754"/>
      <c r="BG69" s="768">
        <f>IFERROR(INT( ( TEXT($O$3,"yyyy.mmdd") - TEXT(BD69,"yyyy.mmdd") )  ),0)</f>
        <v>0</v>
      </c>
      <c r="BH69" s="769"/>
      <c r="BI69" s="770"/>
      <c r="BJ69" s="133">
        <f>IF(BG69&gt;59,"60세이상",IF(OR(AE69&lt;요율!$D$6,AH69=0),0,IF(AH69&lt;요율!$C$7,요율!$D$7,IF(AH69&gt;요율!$C$8,요율!$D$8,+TRUNC(AH69*요율!$C$6%,-1)))))</f>
        <v>0</v>
      </c>
      <c r="BK69" s="143">
        <f>IF(BG69&gt;59,"60세이상",IF(OR(AH69&lt;2200000,AH69=0),0,IF(AH69&lt;요율!$C$7,요율!$D$7,IF(AH69&gt;요율!$C$8,요율!$D$8,+TRUNC(AH69*요율!$C$6%,-1)))))</f>
        <v>0</v>
      </c>
      <c r="BL69" s="140">
        <f>IF(BK69&gt;0,BK69,BJ69)</f>
        <v>0</v>
      </c>
      <c r="BM69" s="15">
        <f>ROUNDDOWN(IF($AG69*O69&gt;요율!$E$3,($AG69*O69-요율!$E$3)*요율!$C$3%*요율!$D$3%,0),-1)</f>
        <v>0</v>
      </c>
      <c r="BN69" s="16">
        <f>ROUNDDOWN(IF($AG69*P69&gt;요율!$E$3,($AG69*P69-요율!$E$3)*요율!$C$3%*요율!$D$3%,0),-1)</f>
        <v>0</v>
      </c>
      <c r="BO69" s="16">
        <f>ROUNDDOWN(IF($AG69*Q69&gt;요율!$E$3,($AG69*Q69-요율!$E$3)*요율!$C$3%*요율!$D$3%,0),-1)</f>
        <v>0</v>
      </c>
      <c r="BP69" s="16">
        <f>ROUNDDOWN(IF($AG69*R69&gt;요율!$E$3,($AG69*R69-요율!$E$3)*요율!$C$3%*요율!$D$3%,0),-1)</f>
        <v>0</v>
      </c>
      <c r="BQ69" s="16">
        <f>ROUNDDOWN(IF($AG69*S69&gt;요율!$E$3,($AG69*S69-요율!$E$3)*요율!$C$3%*요율!$D$3%,0),-1)</f>
        <v>0</v>
      </c>
      <c r="BR69" s="16">
        <f>ROUNDDOWN(IF($AG69*T69&gt;요율!$E$3,($AG69*T69-요율!$E$3)*요율!$C$3%*요율!$D$3%,0),-1)</f>
        <v>0</v>
      </c>
      <c r="BS69" s="16">
        <f>ROUNDDOWN(IF($AG69*U69&gt;요율!$E$3,($AG69*U69-요율!$E$3)*요율!$C$3%*요율!$D$3%,0),-1)</f>
        <v>0</v>
      </c>
      <c r="BT69" s="16">
        <f>ROUNDDOWN(IF($AG69*V69&gt;요율!$E$3,($AG69*V69-요율!$E$3)*요율!$C$3%*요율!$D$3%,0),-1)</f>
        <v>0</v>
      </c>
      <c r="BU69" s="16">
        <f>ROUNDDOWN(IF($AG69*W69&gt;요율!$E$3,($AG69*W69-요율!$E$3)*요율!$C$3%*요율!$D$3%,0),-1)</f>
        <v>0</v>
      </c>
      <c r="BV69" s="16">
        <f>ROUNDDOWN(IF($AG69*X69&gt;요율!$E$3,($AG69*X69-요율!$E$3)*요율!$C$3%*요율!$D$3%,0),-1)</f>
        <v>0</v>
      </c>
      <c r="BW69" s="16">
        <f>ROUNDDOWN(IF($AG69*Y69&gt;요율!$E$3,($AG69*Y69-요율!$E$3)*요율!$C$3%*요율!$D$3%,0),-1)</f>
        <v>0</v>
      </c>
      <c r="BX69" s="16">
        <f>ROUNDDOWN(IF($AG69*Z69&gt;요율!$E$3,($AG69*Z69-요율!$E$3)*요율!$C$3%*요율!$D$3%,0),-1)</f>
        <v>0</v>
      </c>
      <c r="BY69" s="16">
        <f>ROUNDDOWN(IF($AG69*AA69&gt;요율!$E$3,($AG69*AA69-요율!$E$3)*요율!$C$3%*요율!$D$3%,0),-1)</f>
        <v>0</v>
      </c>
      <c r="BZ69" s="16">
        <f>ROUNDDOWN(IF($AG69*AB69&gt;요율!$E$3,($AG69*AB69-요율!$E$3)*요율!$C$3%*요율!$D$3%,0),-1)</f>
        <v>0</v>
      </c>
      <c r="CA69" s="16">
        <f>ROUNDDOWN(IF($AG69*AC69&gt;요율!$E$3,($AG69*AC69-요율!$E$3)*요율!$C$3%*요율!$D$3%,0),-1)</f>
        <v>0</v>
      </c>
      <c r="CB69" s="31">
        <f>ROUNDDOWN(IF($AG69*AD69&gt;요율!$E$3,($AG69*AD69-요율!$E$3)*요율!$C$3%*요율!$D$3%,0),-1)</f>
        <v>0</v>
      </c>
      <c r="CD69" s="5" t="str">
        <f>IFERROR(VLOOKUP(B69,주소록,9,FALSE),"")</f>
        <v/>
      </c>
    </row>
    <row r="70" spans="1:82" ht="20.100000000000001" hidden="1" customHeight="1">
      <c r="A70" s="761"/>
      <c r="B70" s="261" t="str">
        <f>BA69</f>
        <v/>
      </c>
      <c r="C70" s="690" t="str">
        <f>IF(ISERROR(VLOOKUP(B69,주소록!$A$3:$K$523,7,0)),"",VLOOKUP(B69,주소록!$A$3:$K$523,5,0))</f>
        <v/>
      </c>
      <c r="D70" s="690"/>
      <c r="E70" s="690"/>
      <c r="F70" s="691"/>
      <c r="G70" s="692" t="str">
        <f>IF(ISERROR(VLOOKUP(B69,주소록!$A$3:$K$523,9,0)),"",VLOOKUP(B69,주소록!$A$3:$K$523,7,0))</f>
        <v/>
      </c>
      <c r="H70" s="693"/>
      <c r="I70" s="694"/>
      <c r="J70" s="692" t="str">
        <f>IF(ISERROR(VLOOKUP(B69,주소록!$A$3:$K$523,10,0)),"",VLOOKUP(B69,주소록!$A$3:$K$523,8,0))</f>
        <v/>
      </c>
      <c r="K70" s="693"/>
      <c r="L70" s="693"/>
      <c r="M70" s="693"/>
      <c r="N70" s="695"/>
      <c r="O70" s="474"/>
      <c r="P70" s="475"/>
      <c r="Q70" s="475"/>
      <c r="R70" s="468"/>
      <c r="S70" s="476"/>
      <c r="T70" s="474"/>
      <c r="U70" s="475"/>
      <c r="V70" s="475"/>
      <c r="W70" s="475"/>
      <c r="X70" s="477"/>
      <c r="Y70" s="479"/>
      <c r="Z70" s="475"/>
      <c r="AA70" s="475"/>
      <c r="AB70" s="475"/>
      <c r="AC70" s="475"/>
      <c r="AD70" s="477"/>
      <c r="AE70" s="696">
        <f>SUM(O69:AD70)</f>
        <v>0</v>
      </c>
      <c r="AF70" s="697"/>
      <c r="AG70" s="765"/>
      <c r="AH70" s="687"/>
      <c r="AI70" s="688"/>
      <c r="AJ70" s="689"/>
      <c r="AK70" s="698">
        <f>IF(C69=0,"",IF(MID(C69,7,1)="5","",IF(MID(C69,7,1)="6","",ROUNDDOWN((AK69*10%),-1))))</f>
        <v>0</v>
      </c>
      <c r="AL70" s="699"/>
      <c r="AM70" s="700"/>
      <c r="AN70" s="701">
        <f>ROUNDDOWN(AN69*요율!$F$5,-1)</f>
        <v>0</v>
      </c>
      <c r="AO70" s="701"/>
      <c r="AP70" s="701"/>
      <c r="AQ70" s="713">
        <f>IF(OR(AND(요율!$H$8="X",요율!$H$9="X",MID(C69,8,1)&gt;="5"),AND(요율!$H$8="○",요율!$H$9="X",MID(C69,8,1)&gt;="5")),"외국인",IF(요율!$H$8="X",IF(C69="",0,IF(OR(MID(C69,8,1)&lt;"3",AND(MID(C69,8,1)&gt;="5",MID(C69,8,1)&lt;="6")),IF(INT(TEXT($O$3,"yyyy.mmdd")-TEXT(TEXT(LEFT(C69,6),"1900-00-00"),"yyyy.mmdd"))&gt;=65,"65세이상",+TRUNC(AH69*요율!$C$9%,-1)),IF(INT(TEXT($O$3,"yyyy.mmdd")-TEXT(TEXT(LEFT(C69,6),"2000-00-00"),"yyyy.mmdd"))&gt;=65,"65세이상",+TRUNC(AH69*요율!$C$9%,-1)))),+TRUNC(AH69*요율!$C$9%,-1)))</f>
        <v>0</v>
      </c>
      <c r="AR70" s="699"/>
      <c r="AS70" s="699"/>
      <c r="AT70" s="714"/>
      <c r="AU70" s="715"/>
      <c r="AV70" s="716"/>
      <c r="AW70" s="723"/>
      <c r="AX70" s="724"/>
      <c r="AY70" s="725"/>
      <c r="AZ70" s="767"/>
      <c r="BA70" s="22" t="str">
        <f>BA69</f>
        <v/>
      </c>
      <c r="BB70" s="6">
        <v>2</v>
      </c>
      <c r="BC70" s="753"/>
      <c r="BD70" s="733">
        <f>B69</f>
        <v>0</v>
      </c>
      <c r="BE70" s="733"/>
      <c r="BF70" s="733"/>
      <c r="BG70" s="734">
        <f>SUM(BM69:CB70)</f>
        <v>0</v>
      </c>
      <c r="BH70" s="735"/>
      <c r="BI70" s="736"/>
      <c r="BJ70" s="144"/>
      <c r="BK70" s="145"/>
      <c r="BL70" s="146"/>
      <c r="BM70" s="17">
        <f>ROUNDDOWN(IF($AG69*O70&gt;요율!$E$3,($AG69*O70-요율!$E$3)*요율!$C$3%*요율!$D$3%,0),-1)</f>
        <v>0</v>
      </c>
      <c r="BN70" s="18">
        <f>ROUNDDOWN(IF($AG69*P70&gt;요율!$E$3,($AG69*P70-요율!$E$3)*요율!$C$3%*요율!$D$3%,0),-1)</f>
        <v>0</v>
      </c>
      <c r="BO70" s="18">
        <f>ROUNDDOWN(IF($AG69*Q70&gt;요율!$E$3,($AG69*Q70-요율!$E$3)*요율!$C$3%*요율!$D$3%,0),-1)</f>
        <v>0</v>
      </c>
      <c r="BP70" s="18">
        <f>ROUNDDOWN(IF($AG69*R70&gt;요율!$E$3,($AG69*R70-요율!$E$3)*요율!$C$3%*요율!$D$3%,0),-1)</f>
        <v>0</v>
      </c>
      <c r="BQ70" s="18">
        <f>ROUNDDOWN(IF($AG69*S70&gt;요율!$E$3,($AG69*S70-요율!$E$3)*요율!$C$3%*요율!$D$3%,0),-1)</f>
        <v>0</v>
      </c>
      <c r="BR70" s="18">
        <f>ROUNDDOWN(IF($AG69*T70&gt;요율!$E$3,($AG69*T70-요율!$E$3)*요율!$C$3%*요율!$D$3%,0),-1)</f>
        <v>0</v>
      </c>
      <c r="BS70" s="18">
        <f>ROUNDDOWN(IF($AG69*U70&gt;요율!$E$3,($AG69*U70-요율!$E$3)*요율!$C$3%*요율!$D$3%,0),-1)</f>
        <v>0</v>
      </c>
      <c r="BT70" s="18">
        <f>ROUNDDOWN(IF($AG69*V70&gt;요율!$E$3,($AG69*V70-요율!$E$3)*요율!$C$3%*요율!$D$3%,0),-1)</f>
        <v>0</v>
      </c>
      <c r="BU70" s="18">
        <f>ROUNDDOWN(IF($AG69*W70&gt;요율!$E$3,($AG69*W70-요율!$E$3)*요율!$C$3%*요율!$D$3%,0),-1)</f>
        <v>0</v>
      </c>
      <c r="BV70" s="18">
        <f>ROUNDDOWN(IF($AG69*X70&gt;요율!$E$3,($AG69*X70-요율!$E$3)*요율!$C$3%*요율!$D$3%,0),-1)</f>
        <v>0</v>
      </c>
      <c r="BW70" s="18">
        <f>ROUNDDOWN(IF($AG69*Y70&gt;요율!$E$3,($AG69*Y70-요율!$E$3)*요율!$C$3%*요율!$D$3%,0),-1)</f>
        <v>0</v>
      </c>
      <c r="BX70" s="18">
        <f>ROUNDDOWN(IF($AG69*Z70&gt;요율!$E$3,($AG69*Z70-요율!$E$3)*요율!$C$3%*요율!$D$3%,0),-1)</f>
        <v>0</v>
      </c>
      <c r="BY70" s="18">
        <f>ROUNDDOWN(IF($AG69*AA70&gt;요율!$E$3,($AG69*AA70-요율!$E$3)*요율!$C$3%*요율!$D$3%,0),-1)</f>
        <v>0</v>
      </c>
      <c r="BZ70" s="18">
        <f>ROUNDDOWN(IF($AG69*AB70&gt;요율!$E$3,($AG69*AB70-요율!$E$3)*요율!$C$3%*요율!$D$3%,0),-1)</f>
        <v>0</v>
      </c>
      <c r="CA70" s="18">
        <f>ROUNDDOWN(IF($AG69*AC70&gt;요율!$E$3,($AG69*AC70-요율!$E$3)*요율!$C$3%*요율!$D$3%,0),-1)</f>
        <v>0</v>
      </c>
      <c r="CB70" s="19">
        <f>ROUNDDOWN(IF($AG69*AD70&gt;요율!$E$3,($AG69*AD70-요율!$E$3)*요율!$C$3%*요율!$D$3%,0),-1)</f>
        <v>0</v>
      </c>
    </row>
    <row r="71" spans="1:82" ht="20.100000000000001" hidden="1" customHeight="1">
      <c r="A71" s="760">
        <f t="shared" si="1"/>
        <v>33</v>
      </c>
      <c r="B71" s="260"/>
      <c r="C71" s="708" t="str">
        <f>IF(ISERROR(VLOOKUP(B71,주소록!$A$3:$K$523,5,0)),"",VLOOKUP(B71,주소록!$A$3:$K$523,3,0))</f>
        <v/>
      </c>
      <c r="D71" s="708"/>
      <c r="E71" s="708"/>
      <c r="F71" s="709"/>
      <c r="G71" s="710" t="str">
        <f>IF(ISERROR(VLOOKUP(B71,주소록!$A$3:$K$523,6,0)),"",VLOOKUP(B71,주소록!$A$3:$K$523,4,0))</f>
        <v/>
      </c>
      <c r="H71" s="711"/>
      <c r="I71" s="711"/>
      <c r="J71" s="711"/>
      <c r="K71" s="711"/>
      <c r="L71" s="711"/>
      <c r="M71" s="711"/>
      <c r="N71" s="712"/>
      <c r="O71" s="469"/>
      <c r="P71" s="470"/>
      <c r="Q71" s="470"/>
      <c r="R71" s="470"/>
      <c r="S71" s="478"/>
      <c r="T71" s="469"/>
      <c r="U71" s="470"/>
      <c r="V71" s="470"/>
      <c r="W71" s="470"/>
      <c r="X71" s="471"/>
      <c r="Y71" s="472"/>
      <c r="Z71" s="467"/>
      <c r="AA71" s="470"/>
      <c r="AB71" s="470"/>
      <c r="AC71" s="470"/>
      <c r="AD71" s="473"/>
      <c r="AE71" s="762">
        <f>COUNTIF(O71:AD72,"&gt;=0.5")</f>
        <v>0</v>
      </c>
      <c r="AF71" s="763"/>
      <c r="AG71" s="764"/>
      <c r="AH71" s="684">
        <f>AE72*AG71</f>
        <v>0</v>
      </c>
      <c r="AI71" s="685"/>
      <c r="AJ71" s="686"/>
      <c r="AK71" s="755">
        <f>IF(BG72&lt;1000, 0, BG72)</f>
        <v>0</v>
      </c>
      <c r="AL71" s="756"/>
      <c r="AM71" s="757"/>
      <c r="AN71" s="758">
        <f>IF(요율!$H$7="○",IF(AE71&gt;=요율!$D$6,ROUNDDOWN(AH71*요율!$C$4%,-1),0),0)</f>
        <v>0</v>
      </c>
      <c r="AO71" s="756"/>
      <c r="AP71" s="757"/>
      <c r="AQ71" s="758">
        <f>BL71</f>
        <v>0</v>
      </c>
      <c r="AR71" s="756"/>
      <c r="AS71" s="759"/>
      <c r="AT71" s="717">
        <f>SUM(AK71:AS72)</f>
        <v>0</v>
      </c>
      <c r="AU71" s="718"/>
      <c r="AV71" s="719"/>
      <c r="AW71" s="720">
        <f>AH71-AT71-AT72</f>
        <v>0</v>
      </c>
      <c r="AX71" s="721"/>
      <c r="AY71" s="722"/>
      <c r="AZ71" s="766"/>
      <c r="BA71" s="21" t="str">
        <f>IF(ISERROR(VLOOKUP($B71,주소록!$A$3:$K$523,3,0)),"",VLOOKUP($B71,주소록!$A$3:$K$523,2,0))</f>
        <v/>
      </c>
      <c r="BB71" s="6">
        <v>1</v>
      </c>
      <c r="BC71" s="752">
        <f>A71</f>
        <v>33</v>
      </c>
      <c r="BD71" s="754" t="str">
        <f>IF(OR(MID(C71,8,1)&lt;"3",AND(MID(C71,8,1)&gt;="5",MID(C71,8,1)&lt;="6")),TEXT(TEXT(LEFT(C71,6),"1900-00-00"),"yyyy년 m월 d일"),TEXT(TEXT(LEFT(C71,6),"2000-00-00"),"yyyy년 m월 d일"))</f>
        <v/>
      </c>
      <c r="BE71" s="754"/>
      <c r="BF71" s="754"/>
      <c r="BG71" s="768">
        <f>IFERROR(INT( ( TEXT($O$3,"yyyy.mmdd") - TEXT(BD71,"yyyy.mmdd") )  ),0)</f>
        <v>0</v>
      </c>
      <c r="BH71" s="769"/>
      <c r="BI71" s="770"/>
      <c r="BJ71" s="133">
        <f>IF(BG71&gt;59,"60세이상",IF(OR(AE71&lt;요율!$D$6,AH71=0),0,IF(AH71&lt;요율!$C$7,요율!$D$7,IF(AH71&gt;요율!$C$8,요율!$D$8,+TRUNC(AH71*요율!$C$6%,-1)))))</f>
        <v>0</v>
      </c>
      <c r="BK71" s="143">
        <f>IF(BG71&gt;59,"60세이상",IF(OR(AH71&lt;2200000,AH71=0),0,IF(AH71&lt;요율!$C$7,요율!$D$7,IF(AH71&gt;요율!$C$8,요율!$D$8,+TRUNC(AH71*요율!$C$6%,-1)))))</f>
        <v>0</v>
      </c>
      <c r="BL71" s="140">
        <f>IF(BK71&gt;0,BK71,BJ71)</f>
        <v>0</v>
      </c>
      <c r="BM71" s="15">
        <f>ROUNDDOWN(IF($AG71*O71&gt;요율!$E$3,($AG71*O71-요율!$E$3)*요율!$C$3%*요율!$D$3%,0),-1)</f>
        <v>0</v>
      </c>
      <c r="BN71" s="16">
        <f>ROUNDDOWN(IF($AG71*P71&gt;요율!$E$3,($AG71*P71-요율!$E$3)*요율!$C$3%*요율!$D$3%,0),-1)</f>
        <v>0</v>
      </c>
      <c r="BO71" s="16">
        <f>ROUNDDOWN(IF($AG71*Q71&gt;요율!$E$3,($AG71*Q71-요율!$E$3)*요율!$C$3%*요율!$D$3%,0),-1)</f>
        <v>0</v>
      </c>
      <c r="BP71" s="16">
        <f>ROUNDDOWN(IF($AG71*R71&gt;요율!$E$3,($AG71*R71-요율!$E$3)*요율!$C$3%*요율!$D$3%,0),-1)</f>
        <v>0</v>
      </c>
      <c r="BQ71" s="16">
        <f>ROUNDDOWN(IF($AG71*S71&gt;요율!$E$3,($AG71*S71-요율!$E$3)*요율!$C$3%*요율!$D$3%,0),-1)</f>
        <v>0</v>
      </c>
      <c r="BR71" s="16">
        <f>ROUNDDOWN(IF($AG71*T71&gt;요율!$E$3,($AG71*T71-요율!$E$3)*요율!$C$3%*요율!$D$3%,0),-1)</f>
        <v>0</v>
      </c>
      <c r="BS71" s="16">
        <f>ROUNDDOWN(IF($AG71*U71&gt;요율!$E$3,($AG71*U71-요율!$E$3)*요율!$C$3%*요율!$D$3%,0),-1)</f>
        <v>0</v>
      </c>
      <c r="BT71" s="16">
        <f>ROUNDDOWN(IF($AG71*V71&gt;요율!$E$3,($AG71*V71-요율!$E$3)*요율!$C$3%*요율!$D$3%,0),-1)</f>
        <v>0</v>
      </c>
      <c r="BU71" s="16">
        <f>ROUNDDOWN(IF($AG71*W71&gt;요율!$E$3,($AG71*W71-요율!$E$3)*요율!$C$3%*요율!$D$3%,0),-1)</f>
        <v>0</v>
      </c>
      <c r="BV71" s="16">
        <f>ROUNDDOWN(IF($AG71*X71&gt;요율!$E$3,($AG71*X71-요율!$E$3)*요율!$C$3%*요율!$D$3%,0),-1)</f>
        <v>0</v>
      </c>
      <c r="BW71" s="16">
        <f>ROUNDDOWN(IF($AG71*Y71&gt;요율!$E$3,($AG71*Y71-요율!$E$3)*요율!$C$3%*요율!$D$3%,0),-1)</f>
        <v>0</v>
      </c>
      <c r="BX71" s="16">
        <f>ROUNDDOWN(IF($AG71*Z71&gt;요율!$E$3,($AG71*Z71-요율!$E$3)*요율!$C$3%*요율!$D$3%,0),-1)</f>
        <v>0</v>
      </c>
      <c r="BY71" s="16">
        <f>ROUNDDOWN(IF($AG71*AA71&gt;요율!$E$3,($AG71*AA71-요율!$E$3)*요율!$C$3%*요율!$D$3%,0),-1)</f>
        <v>0</v>
      </c>
      <c r="BZ71" s="16">
        <f>ROUNDDOWN(IF($AG71*AB71&gt;요율!$E$3,($AG71*AB71-요율!$E$3)*요율!$C$3%*요율!$D$3%,0),-1)</f>
        <v>0</v>
      </c>
      <c r="CA71" s="16">
        <f>ROUNDDOWN(IF($AG71*AC71&gt;요율!$E$3,($AG71*AC71-요율!$E$3)*요율!$C$3%*요율!$D$3%,0),-1)</f>
        <v>0</v>
      </c>
      <c r="CB71" s="31">
        <f>ROUNDDOWN(IF($AG71*AD71&gt;요율!$E$3,($AG71*AD71-요율!$E$3)*요율!$C$3%*요율!$D$3%,0),-1)</f>
        <v>0</v>
      </c>
      <c r="CD71" s="5" t="str">
        <f>IFERROR(VLOOKUP(B71,주소록,9,FALSE),"")</f>
        <v/>
      </c>
    </row>
    <row r="72" spans="1:82" ht="20.100000000000001" hidden="1" customHeight="1">
      <c r="A72" s="761"/>
      <c r="B72" s="261" t="str">
        <f>BA71</f>
        <v/>
      </c>
      <c r="C72" s="690" t="str">
        <f>IF(ISERROR(VLOOKUP(B71,주소록!$A$3:$K$523,7,0)),"",VLOOKUP(B71,주소록!$A$3:$K$523,5,0))</f>
        <v/>
      </c>
      <c r="D72" s="690"/>
      <c r="E72" s="690"/>
      <c r="F72" s="691"/>
      <c r="G72" s="692" t="str">
        <f>IF(ISERROR(VLOOKUP(B71,주소록!$A$3:$K$523,9,0)),"",VLOOKUP(B71,주소록!$A$3:$K$523,7,0))</f>
        <v/>
      </c>
      <c r="H72" s="693"/>
      <c r="I72" s="694"/>
      <c r="J72" s="692" t="str">
        <f>IF(ISERROR(VLOOKUP(B71,주소록!$A$3:$K$523,10,0)),"",VLOOKUP(B71,주소록!$A$3:$K$523,8,0))</f>
        <v/>
      </c>
      <c r="K72" s="693"/>
      <c r="L72" s="693"/>
      <c r="M72" s="693"/>
      <c r="N72" s="695"/>
      <c r="O72" s="474"/>
      <c r="P72" s="475"/>
      <c r="Q72" s="475"/>
      <c r="R72" s="468"/>
      <c r="S72" s="476"/>
      <c r="T72" s="474"/>
      <c r="U72" s="475"/>
      <c r="V72" s="475"/>
      <c r="W72" s="475"/>
      <c r="X72" s="477"/>
      <c r="Y72" s="479"/>
      <c r="Z72" s="475"/>
      <c r="AA72" s="475"/>
      <c r="AB72" s="475"/>
      <c r="AC72" s="475"/>
      <c r="AD72" s="477"/>
      <c r="AE72" s="696">
        <f>SUM(O71:AD72)</f>
        <v>0</v>
      </c>
      <c r="AF72" s="697"/>
      <c r="AG72" s="765"/>
      <c r="AH72" s="687"/>
      <c r="AI72" s="688"/>
      <c r="AJ72" s="689"/>
      <c r="AK72" s="698">
        <f>IF(C71=0,"",IF(MID(C71,7,1)="5","",IF(MID(C71,7,1)="6","",ROUNDDOWN((AK71*10%),-1))))</f>
        <v>0</v>
      </c>
      <c r="AL72" s="699"/>
      <c r="AM72" s="700"/>
      <c r="AN72" s="701">
        <f>ROUNDDOWN(AN71*요율!$F$5,-1)</f>
        <v>0</v>
      </c>
      <c r="AO72" s="701"/>
      <c r="AP72" s="701"/>
      <c r="AQ72" s="713">
        <f>IF(OR(AND(요율!$H$8="X",요율!$H$9="X",MID(C71,8,1)&gt;="5"),AND(요율!$H$8="○",요율!$H$9="X",MID(C71,8,1)&gt;="5")),"외국인",IF(요율!$H$8="X",IF(C71="",0,IF(OR(MID(C71,8,1)&lt;"3",AND(MID(C71,8,1)&gt;="5",MID(C71,8,1)&lt;="6")),IF(INT(TEXT($O$3,"yyyy.mmdd")-TEXT(TEXT(LEFT(C71,6),"1900-00-00"),"yyyy.mmdd"))&gt;=65,"65세이상",+TRUNC(AH71*요율!$C$9%,-1)),IF(INT(TEXT($O$3,"yyyy.mmdd")-TEXT(TEXT(LEFT(C71,6),"2000-00-00"),"yyyy.mmdd"))&gt;=65,"65세이상",+TRUNC(AH71*요율!$C$9%,-1)))),+TRUNC(AH71*요율!$C$9%,-1)))</f>
        <v>0</v>
      </c>
      <c r="AR72" s="699"/>
      <c r="AS72" s="699"/>
      <c r="AT72" s="714"/>
      <c r="AU72" s="715"/>
      <c r="AV72" s="716"/>
      <c r="AW72" s="723"/>
      <c r="AX72" s="724"/>
      <c r="AY72" s="725"/>
      <c r="AZ72" s="767"/>
      <c r="BA72" s="22" t="str">
        <f>BA71</f>
        <v/>
      </c>
      <c r="BB72" s="6">
        <v>2</v>
      </c>
      <c r="BC72" s="753"/>
      <c r="BD72" s="733">
        <f>B71</f>
        <v>0</v>
      </c>
      <c r="BE72" s="733"/>
      <c r="BF72" s="733"/>
      <c r="BG72" s="734">
        <f>SUM(BM71:CB72)</f>
        <v>0</v>
      </c>
      <c r="BH72" s="735"/>
      <c r="BI72" s="736"/>
      <c r="BJ72" s="144"/>
      <c r="BK72" s="145"/>
      <c r="BL72" s="146"/>
      <c r="BM72" s="17">
        <f>ROUNDDOWN(IF($AG71*O72&gt;요율!$E$3,($AG71*O72-요율!$E$3)*요율!$C$3%*요율!$D$3%,0),-1)</f>
        <v>0</v>
      </c>
      <c r="BN72" s="18">
        <f>ROUNDDOWN(IF($AG71*P72&gt;요율!$E$3,($AG71*P72-요율!$E$3)*요율!$C$3%*요율!$D$3%,0),-1)</f>
        <v>0</v>
      </c>
      <c r="BO72" s="18">
        <f>ROUNDDOWN(IF($AG71*Q72&gt;요율!$E$3,($AG71*Q72-요율!$E$3)*요율!$C$3%*요율!$D$3%,0),-1)</f>
        <v>0</v>
      </c>
      <c r="BP72" s="18">
        <f>ROUNDDOWN(IF($AG71*R72&gt;요율!$E$3,($AG71*R72-요율!$E$3)*요율!$C$3%*요율!$D$3%,0),-1)</f>
        <v>0</v>
      </c>
      <c r="BQ72" s="18">
        <f>ROUNDDOWN(IF($AG71*S72&gt;요율!$E$3,($AG71*S72-요율!$E$3)*요율!$C$3%*요율!$D$3%,0),-1)</f>
        <v>0</v>
      </c>
      <c r="BR72" s="18">
        <f>ROUNDDOWN(IF($AG71*T72&gt;요율!$E$3,($AG71*T72-요율!$E$3)*요율!$C$3%*요율!$D$3%,0),-1)</f>
        <v>0</v>
      </c>
      <c r="BS72" s="18">
        <f>ROUNDDOWN(IF($AG71*U72&gt;요율!$E$3,($AG71*U72-요율!$E$3)*요율!$C$3%*요율!$D$3%,0),-1)</f>
        <v>0</v>
      </c>
      <c r="BT72" s="18">
        <f>ROUNDDOWN(IF($AG71*V72&gt;요율!$E$3,($AG71*V72-요율!$E$3)*요율!$C$3%*요율!$D$3%,0),-1)</f>
        <v>0</v>
      </c>
      <c r="BU72" s="18">
        <f>ROUNDDOWN(IF($AG71*W72&gt;요율!$E$3,($AG71*W72-요율!$E$3)*요율!$C$3%*요율!$D$3%,0),-1)</f>
        <v>0</v>
      </c>
      <c r="BV72" s="18">
        <f>ROUNDDOWN(IF($AG71*X72&gt;요율!$E$3,($AG71*X72-요율!$E$3)*요율!$C$3%*요율!$D$3%,0),-1)</f>
        <v>0</v>
      </c>
      <c r="BW72" s="18">
        <f>ROUNDDOWN(IF($AG71*Y72&gt;요율!$E$3,($AG71*Y72-요율!$E$3)*요율!$C$3%*요율!$D$3%,0),-1)</f>
        <v>0</v>
      </c>
      <c r="BX72" s="18">
        <f>ROUNDDOWN(IF($AG71*Z72&gt;요율!$E$3,($AG71*Z72-요율!$E$3)*요율!$C$3%*요율!$D$3%,0),-1)</f>
        <v>0</v>
      </c>
      <c r="BY72" s="18">
        <f>ROUNDDOWN(IF($AG71*AA72&gt;요율!$E$3,($AG71*AA72-요율!$E$3)*요율!$C$3%*요율!$D$3%,0),-1)</f>
        <v>0</v>
      </c>
      <c r="BZ72" s="18">
        <f>ROUNDDOWN(IF($AG71*AB72&gt;요율!$E$3,($AG71*AB72-요율!$E$3)*요율!$C$3%*요율!$D$3%,0),-1)</f>
        <v>0</v>
      </c>
      <c r="CA72" s="18">
        <f>ROUNDDOWN(IF($AG71*AC72&gt;요율!$E$3,($AG71*AC72-요율!$E$3)*요율!$C$3%*요율!$D$3%,0),-1)</f>
        <v>0</v>
      </c>
      <c r="CB72" s="19">
        <f>ROUNDDOWN(IF($AG71*AD72&gt;요율!$E$3,($AG71*AD72-요율!$E$3)*요율!$C$3%*요율!$D$3%,0),-1)</f>
        <v>0</v>
      </c>
    </row>
    <row r="73" spans="1:82" ht="20.100000000000001" hidden="1" customHeight="1">
      <c r="A73" s="760">
        <f t="shared" ref="A73:A135" si="2">A71+1</f>
        <v>34</v>
      </c>
      <c r="B73" s="260"/>
      <c r="C73" s="708" t="str">
        <f>IF(ISERROR(VLOOKUP(B73,주소록!$A$3:$K$523,5,0)),"",VLOOKUP(B73,주소록!$A$3:$K$523,3,0))</f>
        <v/>
      </c>
      <c r="D73" s="708"/>
      <c r="E73" s="708"/>
      <c r="F73" s="709"/>
      <c r="G73" s="710" t="str">
        <f>IF(ISERROR(VLOOKUP(B73,주소록!$A$3:$K$523,6,0)),"",VLOOKUP(B73,주소록!$A$3:$K$523,4,0))</f>
        <v/>
      </c>
      <c r="H73" s="711"/>
      <c r="I73" s="711"/>
      <c r="J73" s="711"/>
      <c r="K73" s="711"/>
      <c r="L73" s="711"/>
      <c r="M73" s="711"/>
      <c r="N73" s="712"/>
      <c r="O73" s="469"/>
      <c r="P73" s="470"/>
      <c r="Q73" s="470"/>
      <c r="R73" s="470"/>
      <c r="S73" s="478"/>
      <c r="T73" s="469"/>
      <c r="U73" s="470"/>
      <c r="V73" s="470"/>
      <c r="W73" s="470"/>
      <c r="X73" s="471"/>
      <c r="Y73" s="472"/>
      <c r="Z73" s="467"/>
      <c r="AA73" s="470"/>
      <c r="AB73" s="470"/>
      <c r="AC73" s="470"/>
      <c r="AD73" s="473"/>
      <c r="AE73" s="762">
        <f>COUNTIF(O73:AD74,"&gt;=0.5")</f>
        <v>0</v>
      </c>
      <c r="AF73" s="763"/>
      <c r="AG73" s="764"/>
      <c r="AH73" s="684">
        <f>AE74*AG73</f>
        <v>0</v>
      </c>
      <c r="AI73" s="685"/>
      <c r="AJ73" s="686"/>
      <c r="AK73" s="755">
        <f>IF(BG74&lt;1000, 0, BG74)</f>
        <v>0</v>
      </c>
      <c r="AL73" s="756"/>
      <c r="AM73" s="757"/>
      <c r="AN73" s="758">
        <f>IF(요율!$H$7="○",IF(AE73&gt;=요율!$D$6,ROUNDDOWN(AH73*요율!$C$4%,-1),0),0)</f>
        <v>0</v>
      </c>
      <c r="AO73" s="756"/>
      <c r="AP73" s="757"/>
      <c r="AQ73" s="758">
        <f>BL73</f>
        <v>0</v>
      </c>
      <c r="AR73" s="756"/>
      <c r="AS73" s="759"/>
      <c r="AT73" s="717">
        <f>SUM(AK73:AS74)</f>
        <v>0</v>
      </c>
      <c r="AU73" s="718"/>
      <c r="AV73" s="719"/>
      <c r="AW73" s="720">
        <f>AH73-AT73-AT74</f>
        <v>0</v>
      </c>
      <c r="AX73" s="721"/>
      <c r="AY73" s="722"/>
      <c r="AZ73" s="766"/>
      <c r="BA73" s="21" t="str">
        <f>IF(ISERROR(VLOOKUP($B73,주소록!$A$3:$K$523,3,0)),"",VLOOKUP($B73,주소록!$A$3:$K$523,2,0))</f>
        <v/>
      </c>
      <c r="BB73" s="6">
        <v>1</v>
      </c>
      <c r="BC73" s="752">
        <f>A73</f>
        <v>34</v>
      </c>
      <c r="BD73" s="754" t="str">
        <f>IF(OR(MID(C73,8,1)&lt;"3",AND(MID(C73,8,1)&gt;="5",MID(C73,8,1)&lt;="6")),TEXT(TEXT(LEFT(C73,6),"1900-00-00"),"yyyy년 m월 d일"),TEXT(TEXT(LEFT(C73,6),"2000-00-00"),"yyyy년 m월 d일"))</f>
        <v/>
      </c>
      <c r="BE73" s="754"/>
      <c r="BF73" s="754"/>
      <c r="BG73" s="768">
        <f>IFERROR(INT( ( TEXT($O$3,"yyyy.mmdd") - TEXT(BD73,"yyyy.mmdd") )  ),0)</f>
        <v>0</v>
      </c>
      <c r="BH73" s="769"/>
      <c r="BI73" s="770"/>
      <c r="BJ73" s="133">
        <f>IF(BG73&gt;59,"60세이상",IF(OR(AE73&lt;요율!$D$6,AH73=0),0,IF(AH73&lt;요율!$C$7,요율!$D$7,IF(AH73&gt;요율!$C$8,요율!$D$8,+TRUNC(AH73*요율!$C$6%,-1)))))</f>
        <v>0</v>
      </c>
      <c r="BK73" s="143">
        <f>IF(BG73&gt;59,"60세이상",IF(OR(AH73&lt;2200000,AH73=0),0,IF(AH73&lt;요율!$C$7,요율!$D$7,IF(AH73&gt;요율!$C$8,요율!$D$8,+TRUNC(AH73*요율!$C$6%,-1)))))</f>
        <v>0</v>
      </c>
      <c r="BL73" s="140">
        <f>IF(BK73&gt;0,BK73,BJ73)</f>
        <v>0</v>
      </c>
      <c r="BM73" s="15">
        <f>ROUNDDOWN(IF($AG73*O73&gt;요율!$E$3,($AG73*O73-요율!$E$3)*요율!$C$3%*요율!$D$3%,0),-1)</f>
        <v>0</v>
      </c>
      <c r="BN73" s="16">
        <f>ROUNDDOWN(IF($AG73*P73&gt;요율!$E$3,($AG73*P73-요율!$E$3)*요율!$C$3%*요율!$D$3%,0),-1)</f>
        <v>0</v>
      </c>
      <c r="BO73" s="16">
        <f>ROUNDDOWN(IF($AG73*Q73&gt;요율!$E$3,($AG73*Q73-요율!$E$3)*요율!$C$3%*요율!$D$3%,0),-1)</f>
        <v>0</v>
      </c>
      <c r="BP73" s="16">
        <f>ROUNDDOWN(IF($AG73*R73&gt;요율!$E$3,($AG73*R73-요율!$E$3)*요율!$C$3%*요율!$D$3%,0),-1)</f>
        <v>0</v>
      </c>
      <c r="BQ73" s="16">
        <f>ROUNDDOWN(IF($AG73*S73&gt;요율!$E$3,($AG73*S73-요율!$E$3)*요율!$C$3%*요율!$D$3%,0),-1)</f>
        <v>0</v>
      </c>
      <c r="BR73" s="16">
        <f>ROUNDDOWN(IF($AG73*T73&gt;요율!$E$3,($AG73*T73-요율!$E$3)*요율!$C$3%*요율!$D$3%,0),-1)</f>
        <v>0</v>
      </c>
      <c r="BS73" s="16">
        <f>ROUNDDOWN(IF($AG73*U73&gt;요율!$E$3,($AG73*U73-요율!$E$3)*요율!$C$3%*요율!$D$3%,0),-1)</f>
        <v>0</v>
      </c>
      <c r="BT73" s="16">
        <f>ROUNDDOWN(IF($AG73*V73&gt;요율!$E$3,($AG73*V73-요율!$E$3)*요율!$C$3%*요율!$D$3%,0),-1)</f>
        <v>0</v>
      </c>
      <c r="BU73" s="16">
        <f>ROUNDDOWN(IF($AG73*W73&gt;요율!$E$3,($AG73*W73-요율!$E$3)*요율!$C$3%*요율!$D$3%,0),-1)</f>
        <v>0</v>
      </c>
      <c r="BV73" s="16">
        <f>ROUNDDOWN(IF($AG73*X73&gt;요율!$E$3,($AG73*X73-요율!$E$3)*요율!$C$3%*요율!$D$3%,0),-1)</f>
        <v>0</v>
      </c>
      <c r="BW73" s="16">
        <f>ROUNDDOWN(IF($AG73*Y73&gt;요율!$E$3,($AG73*Y73-요율!$E$3)*요율!$C$3%*요율!$D$3%,0),-1)</f>
        <v>0</v>
      </c>
      <c r="BX73" s="16">
        <f>ROUNDDOWN(IF($AG73*Z73&gt;요율!$E$3,($AG73*Z73-요율!$E$3)*요율!$C$3%*요율!$D$3%,0),-1)</f>
        <v>0</v>
      </c>
      <c r="BY73" s="16">
        <f>ROUNDDOWN(IF($AG73*AA73&gt;요율!$E$3,($AG73*AA73-요율!$E$3)*요율!$C$3%*요율!$D$3%,0),-1)</f>
        <v>0</v>
      </c>
      <c r="BZ73" s="16">
        <f>ROUNDDOWN(IF($AG73*AB73&gt;요율!$E$3,($AG73*AB73-요율!$E$3)*요율!$C$3%*요율!$D$3%,0),-1)</f>
        <v>0</v>
      </c>
      <c r="CA73" s="16">
        <f>ROUNDDOWN(IF($AG73*AC73&gt;요율!$E$3,($AG73*AC73-요율!$E$3)*요율!$C$3%*요율!$D$3%,0),-1)</f>
        <v>0</v>
      </c>
      <c r="CB73" s="31">
        <f>ROUNDDOWN(IF($AG73*AD73&gt;요율!$E$3,($AG73*AD73-요율!$E$3)*요율!$C$3%*요율!$D$3%,0),-1)</f>
        <v>0</v>
      </c>
      <c r="CD73" s="5" t="str">
        <f>IFERROR(VLOOKUP(B73,주소록,9,FALSE),"")</f>
        <v/>
      </c>
    </row>
    <row r="74" spans="1:82" ht="20.100000000000001" hidden="1" customHeight="1">
      <c r="A74" s="761"/>
      <c r="B74" s="261" t="str">
        <f>BA73</f>
        <v/>
      </c>
      <c r="C74" s="690" t="str">
        <f>IF(ISERROR(VLOOKUP(B73,주소록!$A$3:$K$523,7,0)),"",VLOOKUP(B73,주소록!$A$3:$K$523,5,0))</f>
        <v/>
      </c>
      <c r="D74" s="690"/>
      <c r="E74" s="690"/>
      <c r="F74" s="691"/>
      <c r="G74" s="692" t="str">
        <f>IF(ISERROR(VLOOKUP(B73,주소록!$A$3:$K$523,9,0)),"",VLOOKUP(B73,주소록!$A$3:$K$523,7,0))</f>
        <v/>
      </c>
      <c r="H74" s="693"/>
      <c r="I74" s="694"/>
      <c r="J74" s="692" t="str">
        <f>IF(ISERROR(VLOOKUP(B73,주소록!$A$3:$K$523,10,0)),"",VLOOKUP(B73,주소록!$A$3:$K$523,8,0))</f>
        <v/>
      </c>
      <c r="K74" s="693"/>
      <c r="L74" s="693"/>
      <c r="M74" s="693"/>
      <c r="N74" s="695"/>
      <c r="O74" s="474"/>
      <c r="P74" s="475"/>
      <c r="Q74" s="475"/>
      <c r="R74" s="468"/>
      <c r="S74" s="476"/>
      <c r="T74" s="474"/>
      <c r="U74" s="475"/>
      <c r="V74" s="475"/>
      <c r="W74" s="475"/>
      <c r="X74" s="477"/>
      <c r="Y74" s="479"/>
      <c r="Z74" s="475"/>
      <c r="AA74" s="475"/>
      <c r="AB74" s="475"/>
      <c r="AC74" s="475"/>
      <c r="AD74" s="477"/>
      <c r="AE74" s="696">
        <f>SUM(O73:AD74)</f>
        <v>0</v>
      </c>
      <c r="AF74" s="697"/>
      <c r="AG74" s="765"/>
      <c r="AH74" s="687"/>
      <c r="AI74" s="688"/>
      <c r="AJ74" s="689"/>
      <c r="AK74" s="698">
        <f>IF(C73=0,"",IF(MID(C73,7,1)="5","",IF(MID(C73,7,1)="6","",ROUNDDOWN((AK73*10%),-1))))</f>
        <v>0</v>
      </c>
      <c r="AL74" s="699"/>
      <c r="AM74" s="700"/>
      <c r="AN74" s="701">
        <f>ROUNDDOWN(AN73*요율!$F$5,-1)</f>
        <v>0</v>
      </c>
      <c r="AO74" s="701"/>
      <c r="AP74" s="701"/>
      <c r="AQ74" s="713">
        <f>IF(OR(AND(요율!$H$8="X",요율!$H$9="X",MID(C73,8,1)&gt;="5"),AND(요율!$H$8="○",요율!$H$9="X",MID(C73,8,1)&gt;="5")),"외국인",IF(요율!$H$8="X",IF(C73="",0,IF(OR(MID(C73,8,1)&lt;"3",AND(MID(C73,8,1)&gt;="5",MID(C73,8,1)&lt;="6")),IF(INT(TEXT($O$3,"yyyy.mmdd")-TEXT(TEXT(LEFT(C73,6),"1900-00-00"),"yyyy.mmdd"))&gt;=65,"65세이상",+TRUNC(AH73*요율!$C$9%,-1)),IF(INT(TEXT($O$3,"yyyy.mmdd")-TEXT(TEXT(LEFT(C73,6),"2000-00-00"),"yyyy.mmdd"))&gt;=65,"65세이상",+TRUNC(AH73*요율!$C$9%,-1)))),+TRUNC(AH73*요율!$C$9%,-1)))</f>
        <v>0</v>
      </c>
      <c r="AR74" s="699"/>
      <c r="AS74" s="699"/>
      <c r="AT74" s="714"/>
      <c r="AU74" s="715"/>
      <c r="AV74" s="716"/>
      <c r="AW74" s="723"/>
      <c r="AX74" s="724"/>
      <c r="AY74" s="725"/>
      <c r="AZ74" s="767"/>
      <c r="BA74" s="22" t="str">
        <f>BA73</f>
        <v/>
      </c>
      <c r="BB74" s="6">
        <v>2</v>
      </c>
      <c r="BC74" s="753"/>
      <c r="BD74" s="733">
        <f>B73</f>
        <v>0</v>
      </c>
      <c r="BE74" s="733"/>
      <c r="BF74" s="733"/>
      <c r="BG74" s="734">
        <f>SUM(BM73:CB74)</f>
        <v>0</v>
      </c>
      <c r="BH74" s="735"/>
      <c r="BI74" s="736"/>
      <c r="BJ74" s="144"/>
      <c r="BK74" s="145"/>
      <c r="BL74" s="146"/>
      <c r="BM74" s="17">
        <f>ROUNDDOWN(IF($AG73*O74&gt;요율!$E$3,($AG73*O74-요율!$E$3)*요율!$C$3%*요율!$D$3%,0),-1)</f>
        <v>0</v>
      </c>
      <c r="BN74" s="18">
        <f>ROUNDDOWN(IF($AG73*P74&gt;요율!$E$3,($AG73*P74-요율!$E$3)*요율!$C$3%*요율!$D$3%,0),-1)</f>
        <v>0</v>
      </c>
      <c r="BO74" s="18">
        <f>ROUNDDOWN(IF($AG73*Q74&gt;요율!$E$3,($AG73*Q74-요율!$E$3)*요율!$C$3%*요율!$D$3%,0),-1)</f>
        <v>0</v>
      </c>
      <c r="BP74" s="18">
        <f>ROUNDDOWN(IF($AG73*R74&gt;요율!$E$3,($AG73*R74-요율!$E$3)*요율!$C$3%*요율!$D$3%,0),-1)</f>
        <v>0</v>
      </c>
      <c r="BQ74" s="18">
        <f>ROUNDDOWN(IF($AG73*S74&gt;요율!$E$3,($AG73*S74-요율!$E$3)*요율!$C$3%*요율!$D$3%,0),-1)</f>
        <v>0</v>
      </c>
      <c r="BR74" s="18">
        <f>ROUNDDOWN(IF($AG73*T74&gt;요율!$E$3,($AG73*T74-요율!$E$3)*요율!$C$3%*요율!$D$3%,0),-1)</f>
        <v>0</v>
      </c>
      <c r="BS74" s="18">
        <f>ROUNDDOWN(IF($AG73*U74&gt;요율!$E$3,($AG73*U74-요율!$E$3)*요율!$C$3%*요율!$D$3%,0),-1)</f>
        <v>0</v>
      </c>
      <c r="BT74" s="18">
        <f>ROUNDDOWN(IF($AG73*V74&gt;요율!$E$3,($AG73*V74-요율!$E$3)*요율!$C$3%*요율!$D$3%,0),-1)</f>
        <v>0</v>
      </c>
      <c r="BU74" s="18">
        <f>ROUNDDOWN(IF($AG73*W74&gt;요율!$E$3,($AG73*W74-요율!$E$3)*요율!$C$3%*요율!$D$3%,0),-1)</f>
        <v>0</v>
      </c>
      <c r="BV74" s="18">
        <f>ROUNDDOWN(IF($AG73*X74&gt;요율!$E$3,($AG73*X74-요율!$E$3)*요율!$C$3%*요율!$D$3%,0),-1)</f>
        <v>0</v>
      </c>
      <c r="BW74" s="18">
        <f>ROUNDDOWN(IF($AG73*Y74&gt;요율!$E$3,($AG73*Y74-요율!$E$3)*요율!$C$3%*요율!$D$3%,0),-1)</f>
        <v>0</v>
      </c>
      <c r="BX74" s="18">
        <f>ROUNDDOWN(IF($AG73*Z74&gt;요율!$E$3,($AG73*Z74-요율!$E$3)*요율!$C$3%*요율!$D$3%,0),-1)</f>
        <v>0</v>
      </c>
      <c r="BY74" s="18">
        <f>ROUNDDOWN(IF($AG73*AA74&gt;요율!$E$3,($AG73*AA74-요율!$E$3)*요율!$C$3%*요율!$D$3%,0),-1)</f>
        <v>0</v>
      </c>
      <c r="BZ74" s="18">
        <f>ROUNDDOWN(IF($AG73*AB74&gt;요율!$E$3,($AG73*AB74-요율!$E$3)*요율!$C$3%*요율!$D$3%,0),-1)</f>
        <v>0</v>
      </c>
      <c r="CA74" s="18">
        <f>ROUNDDOWN(IF($AG73*AC74&gt;요율!$E$3,($AG73*AC74-요율!$E$3)*요율!$C$3%*요율!$D$3%,0),-1)</f>
        <v>0</v>
      </c>
      <c r="CB74" s="19">
        <f>ROUNDDOWN(IF($AG73*AD74&gt;요율!$E$3,($AG73*AD74-요율!$E$3)*요율!$C$3%*요율!$D$3%,0),-1)</f>
        <v>0</v>
      </c>
    </row>
    <row r="75" spans="1:82" ht="20.100000000000001" hidden="1" customHeight="1">
      <c r="A75" s="760">
        <f t="shared" si="2"/>
        <v>35</v>
      </c>
      <c r="B75" s="260"/>
      <c r="C75" s="708" t="str">
        <f>IF(ISERROR(VLOOKUP(B75,주소록!$A$3:$K$523,5,0)),"",VLOOKUP(B75,주소록!$A$3:$K$523,3,0))</f>
        <v/>
      </c>
      <c r="D75" s="708"/>
      <c r="E75" s="708"/>
      <c r="F75" s="709"/>
      <c r="G75" s="710" t="str">
        <f>IF(ISERROR(VLOOKUP(B75,주소록!$A$3:$K$523,6,0)),"",VLOOKUP(B75,주소록!$A$3:$K$523,4,0))</f>
        <v/>
      </c>
      <c r="H75" s="711"/>
      <c r="I75" s="711"/>
      <c r="J75" s="711"/>
      <c r="K75" s="711"/>
      <c r="L75" s="711"/>
      <c r="M75" s="711"/>
      <c r="N75" s="712"/>
      <c r="O75" s="469"/>
      <c r="P75" s="470"/>
      <c r="Q75" s="470"/>
      <c r="R75" s="470"/>
      <c r="S75" s="478"/>
      <c r="T75" s="469"/>
      <c r="U75" s="470"/>
      <c r="V75" s="470"/>
      <c r="W75" s="470"/>
      <c r="X75" s="471"/>
      <c r="Y75" s="472"/>
      <c r="Z75" s="467"/>
      <c r="AA75" s="470"/>
      <c r="AB75" s="470"/>
      <c r="AC75" s="470"/>
      <c r="AD75" s="473"/>
      <c r="AE75" s="762">
        <f>COUNTIF(O75:AD76,"&gt;=0.5")</f>
        <v>0</v>
      </c>
      <c r="AF75" s="763"/>
      <c r="AG75" s="764"/>
      <c r="AH75" s="684">
        <f>AE76*AG75</f>
        <v>0</v>
      </c>
      <c r="AI75" s="685"/>
      <c r="AJ75" s="686"/>
      <c r="AK75" s="755">
        <f>IF(BG76&lt;1000, 0, BG76)</f>
        <v>0</v>
      </c>
      <c r="AL75" s="756"/>
      <c r="AM75" s="757"/>
      <c r="AN75" s="758">
        <f>IF(요율!$H$7="○",IF(AE75&gt;=요율!$D$6,ROUNDDOWN(AH75*요율!$C$4%,-1),0),0)</f>
        <v>0</v>
      </c>
      <c r="AO75" s="756"/>
      <c r="AP75" s="757"/>
      <c r="AQ75" s="758">
        <f>BL75</f>
        <v>0</v>
      </c>
      <c r="AR75" s="756"/>
      <c r="AS75" s="759"/>
      <c r="AT75" s="717">
        <f>SUM(AK75:AS76)</f>
        <v>0</v>
      </c>
      <c r="AU75" s="718"/>
      <c r="AV75" s="719"/>
      <c r="AW75" s="720">
        <f>AH75-AT75-AT76</f>
        <v>0</v>
      </c>
      <c r="AX75" s="721"/>
      <c r="AY75" s="722"/>
      <c r="AZ75" s="766"/>
      <c r="BA75" s="21" t="str">
        <f>IF(ISERROR(VLOOKUP($B75,주소록!$A$3:$K$523,3,0)),"",VLOOKUP($B75,주소록!$A$3:$K$523,2,0))</f>
        <v/>
      </c>
      <c r="BB75" s="6">
        <v>1</v>
      </c>
      <c r="BC75" s="752">
        <f>A75</f>
        <v>35</v>
      </c>
      <c r="BD75" s="754" t="str">
        <f>IF(OR(MID(C75,8,1)&lt;"3",AND(MID(C75,8,1)&gt;="5",MID(C75,8,1)&lt;="6")),TEXT(TEXT(LEFT(C75,6),"1900-00-00"),"yyyy년 m월 d일"),TEXT(TEXT(LEFT(C75,6),"2000-00-00"),"yyyy년 m월 d일"))</f>
        <v/>
      </c>
      <c r="BE75" s="754"/>
      <c r="BF75" s="754"/>
      <c r="BG75" s="768">
        <f>IFERROR(INT( ( TEXT($O$3,"yyyy.mmdd") - TEXT(BD75,"yyyy.mmdd") )  ),0)</f>
        <v>0</v>
      </c>
      <c r="BH75" s="769"/>
      <c r="BI75" s="770"/>
      <c r="BJ75" s="133">
        <f>IF(BG75&gt;59,"60세이상",IF(OR(AE75&lt;요율!$D$6,AH75=0),0,IF(AH75&lt;요율!$C$7,요율!$D$7,IF(AH75&gt;요율!$C$8,요율!$D$8,+TRUNC(AH75*요율!$C$6%,-1)))))</f>
        <v>0</v>
      </c>
      <c r="BK75" s="143">
        <f>IF(BG75&gt;59,"60세이상",IF(OR(AH75&lt;2200000,AH75=0),0,IF(AH75&lt;요율!$C$7,요율!$D$7,IF(AH75&gt;요율!$C$8,요율!$D$8,+TRUNC(AH75*요율!$C$6%,-1)))))</f>
        <v>0</v>
      </c>
      <c r="BL75" s="140">
        <f>IF(BK75&gt;0,BK75,BJ75)</f>
        <v>0</v>
      </c>
      <c r="BM75" s="15">
        <f>ROUNDDOWN(IF($AG75*O75&gt;요율!$E$3,($AG75*O75-요율!$E$3)*요율!$C$3%*요율!$D$3%,0),-1)</f>
        <v>0</v>
      </c>
      <c r="BN75" s="16">
        <f>ROUNDDOWN(IF($AG75*P75&gt;요율!$E$3,($AG75*P75-요율!$E$3)*요율!$C$3%*요율!$D$3%,0),-1)</f>
        <v>0</v>
      </c>
      <c r="BO75" s="16">
        <f>ROUNDDOWN(IF($AG75*Q75&gt;요율!$E$3,($AG75*Q75-요율!$E$3)*요율!$C$3%*요율!$D$3%,0),-1)</f>
        <v>0</v>
      </c>
      <c r="BP75" s="16">
        <f>ROUNDDOWN(IF($AG75*R75&gt;요율!$E$3,($AG75*R75-요율!$E$3)*요율!$C$3%*요율!$D$3%,0),-1)</f>
        <v>0</v>
      </c>
      <c r="BQ75" s="16">
        <f>ROUNDDOWN(IF($AG75*S75&gt;요율!$E$3,($AG75*S75-요율!$E$3)*요율!$C$3%*요율!$D$3%,0),-1)</f>
        <v>0</v>
      </c>
      <c r="BR75" s="16">
        <f>ROUNDDOWN(IF($AG75*T75&gt;요율!$E$3,($AG75*T75-요율!$E$3)*요율!$C$3%*요율!$D$3%,0),-1)</f>
        <v>0</v>
      </c>
      <c r="BS75" s="16">
        <f>ROUNDDOWN(IF($AG75*U75&gt;요율!$E$3,($AG75*U75-요율!$E$3)*요율!$C$3%*요율!$D$3%,0),-1)</f>
        <v>0</v>
      </c>
      <c r="BT75" s="16">
        <f>ROUNDDOWN(IF($AG75*V75&gt;요율!$E$3,($AG75*V75-요율!$E$3)*요율!$C$3%*요율!$D$3%,0),-1)</f>
        <v>0</v>
      </c>
      <c r="BU75" s="16">
        <f>ROUNDDOWN(IF($AG75*W75&gt;요율!$E$3,($AG75*W75-요율!$E$3)*요율!$C$3%*요율!$D$3%,0),-1)</f>
        <v>0</v>
      </c>
      <c r="BV75" s="16">
        <f>ROUNDDOWN(IF($AG75*X75&gt;요율!$E$3,($AG75*X75-요율!$E$3)*요율!$C$3%*요율!$D$3%,0),-1)</f>
        <v>0</v>
      </c>
      <c r="BW75" s="16">
        <f>ROUNDDOWN(IF($AG75*Y75&gt;요율!$E$3,($AG75*Y75-요율!$E$3)*요율!$C$3%*요율!$D$3%,0),-1)</f>
        <v>0</v>
      </c>
      <c r="BX75" s="16">
        <f>ROUNDDOWN(IF($AG75*Z75&gt;요율!$E$3,($AG75*Z75-요율!$E$3)*요율!$C$3%*요율!$D$3%,0),-1)</f>
        <v>0</v>
      </c>
      <c r="BY75" s="16">
        <f>ROUNDDOWN(IF($AG75*AA75&gt;요율!$E$3,($AG75*AA75-요율!$E$3)*요율!$C$3%*요율!$D$3%,0),-1)</f>
        <v>0</v>
      </c>
      <c r="BZ75" s="16">
        <f>ROUNDDOWN(IF($AG75*AB75&gt;요율!$E$3,($AG75*AB75-요율!$E$3)*요율!$C$3%*요율!$D$3%,0),-1)</f>
        <v>0</v>
      </c>
      <c r="CA75" s="16">
        <f>ROUNDDOWN(IF($AG75*AC75&gt;요율!$E$3,($AG75*AC75-요율!$E$3)*요율!$C$3%*요율!$D$3%,0),-1)</f>
        <v>0</v>
      </c>
      <c r="CB75" s="31">
        <f>ROUNDDOWN(IF($AG75*AD75&gt;요율!$E$3,($AG75*AD75-요율!$E$3)*요율!$C$3%*요율!$D$3%,0),-1)</f>
        <v>0</v>
      </c>
      <c r="CD75" s="5" t="str">
        <f>IFERROR(VLOOKUP(B75,주소록,9,FALSE),"")</f>
        <v/>
      </c>
    </row>
    <row r="76" spans="1:82" ht="20.100000000000001" hidden="1" customHeight="1">
      <c r="A76" s="761"/>
      <c r="B76" s="261" t="str">
        <f>BA75</f>
        <v/>
      </c>
      <c r="C76" s="690" t="str">
        <f>IF(ISERROR(VLOOKUP(B75,주소록!$A$3:$K$523,7,0)),"",VLOOKUP(B75,주소록!$A$3:$K$523,5,0))</f>
        <v/>
      </c>
      <c r="D76" s="690"/>
      <c r="E76" s="690"/>
      <c r="F76" s="691"/>
      <c r="G76" s="692" t="str">
        <f>IF(ISERROR(VLOOKUP(B75,주소록!$A$3:$K$523,9,0)),"",VLOOKUP(B75,주소록!$A$3:$K$523,7,0))</f>
        <v/>
      </c>
      <c r="H76" s="693"/>
      <c r="I76" s="694"/>
      <c r="J76" s="692" t="str">
        <f>IF(ISERROR(VLOOKUP(B75,주소록!$A$3:$K$523,10,0)),"",VLOOKUP(B75,주소록!$A$3:$K$523,8,0))</f>
        <v/>
      </c>
      <c r="K76" s="693"/>
      <c r="L76" s="693"/>
      <c r="M76" s="693"/>
      <c r="N76" s="695"/>
      <c r="O76" s="474"/>
      <c r="P76" s="475"/>
      <c r="Q76" s="475"/>
      <c r="R76" s="468"/>
      <c r="S76" s="476"/>
      <c r="T76" s="474"/>
      <c r="U76" s="475"/>
      <c r="V76" s="475"/>
      <c r="W76" s="475"/>
      <c r="X76" s="477"/>
      <c r="Y76" s="479"/>
      <c r="Z76" s="475"/>
      <c r="AA76" s="475"/>
      <c r="AB76" s="475"/>
      <c r="AC76" s="475"/>
      <c r="AD76" s="477"/>
      <c r="AE76" s="696">
        <f>SUM(O75:AD76)</f>
        <v>0</v>
      </c>
      <c r="AF76" s="697"/>
      <c r="AG76" s="765"/>
      <c r="AH76" s="687"/>
      <c r="AI76" s="688"/>
      <c r="AJ76" s="689"/>
      <c r="AK76" s="698">
        <f>IF(C75=0,"",IF(MID(C75,7,1)="5","",IF(MID(C75,7,1)="6","",ROUNDDOWN((AK75*10%),-1))))</f>
        <v>0</v>
      </c>
      <c r="AL76" s="699"/>
      <c r="AM76" s="700"/>
      <c r="AN76" s="701">
        <f>ROUNDDOWN(AN75*요율!$F$5,-1)</f>
        <v>0</v>
      </c>
      <c r="AO76" s="701"/>
      <c r="AP76" s="701"/>
      <c r="AQ76" s="713">
        <f>IF(OR(AND(요율!$H$8="X",요율!$H$9="X",MID(C75,8,1)&gt;="5"),AND(요율!$H$8="○",요율!$H$9="X",MID(C75,8,1)&gt;="5")),"외국인",IF(요율!$H$8="X",IF(C75="",0,IF(OR(MID(C75,8,1)&lt;"3",AND(MID(C75,8,1)&gt;="5",MID(C75,8,1)&lt;="6")),IF(INT(TEXT($O$3,"yyyy.mmdd")-TEXT(TEXT(LEFT(C75,6),"1900-00-00"),"yyyy.mmdd"))&gt;=65,"65세이상",+TRUNC(AH75*요율!$C$9%,-1)),IF(INT(TEXT($O$3,"yyyy.mmdd")-TEXT(TEXT(LEFT(C75,6),"2000-00-00"),"yyyy.mmdd"))&gt;=65,"65세이상",+TRUNC(AH75*요율!$C$9%,-1)))),+TRUNC(AH75*요율!$C$9%,-1)))</f>
        <v>0</v>
      </c>
      <c r="AR76" s="699"/>
      <c r="AS76" s="699"/>
      <c r="AT76" s="714"/>
      <c r="AU76" s="715"/>
      <c r="AV76" s="716"/>
      <c r="AW76" s="723"/>
      <c r="AX76" s="724"/>
      <c r="AY76" s="725"/>
      <c r="AZ76" s="767"/>
      <c r="BA76" s="22" t="str">
        <f>BA75</f>
        <v/>
      </c>
      <c r="BB76" s="6">
        <v>2</v>
      </c>
      <c r="BC76" s="753"/>
      <c r="BD76" s="733">
        <f>B75</f>
        <v>0</v>
      </c>
      <c r="BE76" s="733"/>
      <c r="BF76" s="733"/>
      <c r="BG76" s="734">
        <f>SUM(BM75:CB76)</f>
        <v>0</v>
      </c>
      <c r="BH76" s="735"/>
      <c r="BI76" s="736"/>
      <c r="BJ76" s="144"/>
      <c r="BK76" s="145"/>
      <c r="BL76" s="146"/>
      <c r="BM76" s="17">
        <f>ROUNDDOWN(IF($AG75*O76&gt;요율!$E$3,($AG75*O76-요율!$E$3)*요율!$C$3%*요율!$D$3%,0),-1)</f>
        <v>0</v>
      </c>
      <c r="BN76" s="18">
        <f>ROUNDDOWN(IF($AG75*P76&gt;요율!$E$3,($AG75*P76-요율!$E$3)*요율!$C$3%*요율!$D$3%,0),-1)</f>
        <v>0</v>
      </c>
      <c r="BO76" s="18">
        <f>ROUNDDOWN(IF($AG75*Q76&gt;요율!$E$3,($AG75*Q76-요율!$E$3)*요율!$C$3%*요율!$D$3%,0),-1)</f>
        <v>0</v>
      </c>
      <c r="BP76" s="18">
        <f>ROUNDDOWN(IF($AG75*R76&gt;요율!$E$3,($AG75*R76-요율!$E$3)*요율!$C$3%*요율!$D$3%,0),-1)</f>
        <v>0</v>
      </c>
      <c r="BQ76" s="18">
        <f>ROUNDDOWN(IF($AG75*S76&gt;요율!$E$3,($AG75*S76-요율!$E$3)*요율!$C$3%*요율!$D$3%,0),-1)</f>
        <v>0</v>
      </c>
      <c r="BR76" s="18">
        <f>ROUNDDOWN(IF($AG75*T76&gt;요율!$E$3,($AG75*T76-요율!$E$3)*요율!$C$3%*요율!$D$3%,0),-1)</f>
        <v>0</v>
      </c>
      <c r="BS76" s="18">
        <f>ROUNDDOWN(IF($AG75*U76&gt;요율!$E$3,($AG75*U76-요율!$E$3)*요율!$C$3%*요율!$D$3%,0),-1)</f>
        <v>0</v>
      </c>
      <c r="BT76" s="18">
        <f>ROUNDDOWN(IF($AG75*V76&gt;요율!$E$3,($AG75*V76-요율!$E$3)*요율!$C$3%*요율!$D$3%,0),-1)</f>
        <v>0</v>
      </c>
      <c r="BU76" s="18">
        <f>ROUNDDOWN(IF($AG75*W76&gt;요율!$E$3,($AG75*W76-요율!$E$3)*요율!$C$3%*요율!$D$3%,0),-1)</f>
        <v>0</v>
      </c>
      <c r="BV76" s="18">
        <f>ROUNDDOWN(IF($AG75*X76&gt;요율!$E$3,($AG75*X76-요율!$E$3)*요율!$C$3%*요율!$D$3%,0),-1)</f>
        <v>0</v>
      </c>
      <c r="BW76" s="18">
        <f>ROUNDDOWN(IF($AG75*Y76&gt;요율!$E$3,($AG75*Y76-요율!$E$3)*요율!$C$3%*요율!$D$3%,0),-1)</f>
        <v>0</v>
      </c>
      <c r="BX76" s="18">
        <f>ROUNDDOWN(IF($AG75*Z76&gt;요율!$E$3,($AG75*Z76-요율!$E$3)*요율!$C$3%*요율!$D$3%,0),-1)</f>
        <v>0</v>
      </c>
      <c r="BY76" s="18">
        <f>ROUNDDOWN(IF($AG75*AA76&gt;요율!$E$3,($AG75*AA76-요율!$E$3)*요율!$C$3%*요율!$D$3%,0),-1)</f>
        <v>0</v>
      </c>
      <c r="BZ76" s="18">
        <f>ROUNDDOWN(IF($AG75*AB76&gt;요율!$E$3,($AG75*AB76-요율!$E$3)*요율!$C$3%*요율!$D$3%,0),-1)</f>
        <v>0</v>
      </c>
      <c r="CA76" s="18">
        <f>ROUNDDOWN(IF($AG75*AC76&gt;요율!$E$3,($AG75*AC76-요율!$E$3)*요율!$C$3%*요율!$D$3%,0),-1)</f>
        <v>0</v>
      </c>
      <c r="CB76" s="19">
        <f>ROUNDDOWN(IF($AG75*AD76&gt;요율!$E$3,($AG75*AD76-요율!$E$3)*요율!$C$3%*요율!$D$3%,0),-1)</f>
        <v>0</v>
      </c>
    </row>
    <row r="77" spans="1:82" ht="20.100000000000001" hidden="1" customHeight="1">
      <c r="A77" s="760">
        <f t="shared" si="2"/>
        <v>36</v>
      </c>
      <c r="B77" s="260"/>
      <c r="C77" s="708" t="str">
        <f>IF(ISERROR(VLOOKUP(B77,주소록!$A$3:$K$523,5,0)),"",VLOOKUP(B77,주소록!$A$3:$K$523,3,0))</f>
        <v/>
      </c>
      <c r="D77" s="708"/>
      <c r="E77" s="708"/>
      <c r="F77" s="709"/>
      <c r="G77" s="710" t="str">
        <f>IF(ISERROR(VLOOKUP(B77,주소록!$A$3:$K$523,6,0)),"",VLOOKUP(B77,주소록!$A$3:$K$523,4,0))</f>
        <v/>
      </c>
      <c r="H77" s="711"/>
      <c r="I77" s="711"/>
      <c r="J77" s="711"/>
      <c r="K77" s="711"/>
      <c r="L77" s="711"/>
      <c r="M77" s="711"/>
      <c r="N77" s="712"/>
      <c r="O77" s="469"/>
      <c r="P77" s="470"/>
      <c r="Q77" s="470"/>
      <c r="R77" s="470"/>
      <c r="S77" s="478"/>
      <c r="T77" s="469"/>
      <c r="U77" s="470"/>
      <c r="V77" s="470"/>
      <c r="W77" s="470"/>
      <c r="X77" s="471"/>
      <c r="Y77" s="472"/>
      <c r="Z77" s="467"/>
      <c r="AA77" s="470"/>
      <c r="AB77" s="470"/>
      <c r="AC77" s="470"/>
      <c r="AD77" s="473"/>
      <c r="AE77" s="762">
        <f>COUNTIF(O77:AD78,"&gt;=0.5")</f>
        <v>0</v>
      </c>
      <c r="AF77" s="763"/>
      <c r="AG77" s="764"/>
      <c r="AH77" s="684">
        <f>AE78*AG77</f>
        <v>0</v>
      </c>
      <c r="AI77" s="685"/>
      <c r="AJ77" s="686"/>
      <c r="AK77" s="755">
        <f>IF(BG78&lt;1000, 0, BG78)</f>
        <v>0</v>
      </c>
      <c r="AL77" s="756"/>
      <c r="AM77" s="757"/>
      <c r="AN77" s="758">
        <f>IF(요율!$H$7="○",IF(AE77&gt;=요율!$D$6,ROUNDDOWN(AH77*요율!$C$4%,-1),0),0)</f>
        <v>0</v>
      </c>
      <c r="AO77" s="756"/>
      <c r="AP77" s="757"/>
      <c r="AQ77" s="758">
        <f>BL77</f>
        <v>0</v>
      </c>
      <c r="AR77" s="756"/>
      <c r="AS77" s="759"/>
      <c r="AT77" s="717">
        <f>SUM(AK77:AS78)</f>
        <v>0</v>
      </c>
      <c r="AU77" s="718"/>
      <c r="AV77" s="719"/>
      <c r="AW77" s="720">
        <f>AH77-AT77-AT78</f>
        <v>0</v>
      </c>
      <c r="AX77" s="721"/>
      <c r="AY77" s="722"/>
      <c r="AZ77" s="766"/>
      <c r="BA77" s="21" t="str">
        <f>IF(ISERROR(VLOOKUP($B77,주소록!$A$3:$K$523,3,0)),"",VLOOKUP($B77,주소록!$A$3:$K$523,2,0))</f>
        <v/>
      </c>
      <c r="BB77" s="6">
        <v>1</v>
      </c>
      <c r="BC77" s="752">
        <f>A77</f>
        <v>36</v>
      </c>
      <c r="BD77" s="754" t="str">
        <f>IF(OR(MID(C77,8,1)&lt;"3",AND(MID(C77,8,1)&gt;="5",MID(C77,8,1)&lt;="6")),TEXT(TEXT(LEFT(C77,6),"1900-00-00"),"yyyy년 m월 d일"),TEXT(TEXT(LEFT(C77,6),"2000-00-00"),"yyyy년 m월 d일"))</f>
        <v/>
      </c>
      <c r="BE77" s="754"/>
      <c r="BF77" s="754"/>
      <c r="BG77" s="768">
        <f>IFERROR(INT( ( TEXT($O$3,"yyyy.mmdd") - TEXT(BD77,"yyyy.mmdd") )  ),0)</f>
        <v>0</v>
      </c>
      <c r="BH77" s="769"/>
      <c r="BI77" s="770"/>
      <c r="BJ77" s="133">
        <f>IF(BG77&gt;59,"60세이상",IF(OR(AE77&lt;요율!$D$6,AH77=0),0,IF(AH77&lt;요율!$C$7,요율!$D$7,IF(AH77&gt;요율!$C$8,요율!$D$8,+TRUNC(AH77*요율!$C$6%,-1)))))</f>
        <v>0</v>
      </c>
      <c r="BK77" s="143">
        <f>IF(BG77&gt;59,"60세이상",IF(OR(AH77&lt;2200000,AH77=0),0,IF(AH77&lt;요율!$C$7,요율!$D$7,IF(AH77&gt;요율!$C$8,요율!$D$8,+TRUNC(AH77*요율!$C$6%,-1)))))</f>
        <v>0</v>
      </c>
      <c r="BL77" s="140">
        <f>IF(BK77&gt;0,BK77,BJ77)</f>
        <v>0</v>
      </c>
      <c r="BM77" s="15">
        <f>ROUNDDOWN(IF($AG77*O77&gt;요율!$E$3,($AG77*O77-요율!$E$3)*요율!$C$3%*요율!$D$3%,0),-1)</f>
        <v>0</v>
      </c>
      <c r="BN77" s="16">
        <f>ROUNDDOWN(IF($AG77*P77&gt;요율!$E$3,($AG77*P77-요율!$E$3)*요율!$C$3%*요율!$D$3%,0),-1)</f>
        <v>0</v>
      </c>
      <c r="BO77" s="16">
        <f>ROUNDDOWN(IF($AG77*Q77&gt;요율!$E$3,($AG77*Q77-요율!$E$3)*요율!$C$3%*요율!$D$3%,0),-1)</f>
        <v>0</v>
      </c>
      <c r="BP77" s="16">
        <f>ROUNDDOWN(IF($AG77*R77&gt;요율!$E$3,($AG77*R77-요율!$E$3)*요율!$C$3%*요율!$D$3%,0),-1)</f>
        <v>0</v>
      </c>
      <c r="BQ77" s="16">
        <f>ROUNDDOWN(IF($AG77*S77&gt;요율!$E$3,($AG77*S77-요율!$E$3)*요율!$C$3%*요율!$D$3%,0),-1)</f>
        <v>0</v>
      </c>
      <c r="BR77" s="16">
        <f>ROUNDDOWN(IF($AG77*T77&gt;요율!$E$3,($AG77*T77-요율!$E$3)*요율!$C$3%*요율!$D$3%,0),-1)</f>
        <v>0</v>
      </c>
      <c r="BS77" s="16">
        <f>ROUNDDOWN(IF($AG77*U77&gt;요율!$E$3,($AG77*U77-요율!$E$3)*요율!$C$3%*요율!$D$3%,0),-1)</f>
        <v>0</v>
      </c>
      <c r="BT77" s="16">
        <f>ROUNDDOWN(IF($AG77*V77&gt;요율!$E$3,($AG77*V77-요율!$E$3)*요율!$C$3%*요율!$D$3%,0),-1)</f>
        <v>0</v>
      </c>
      <c r="BU77" s="16">
        <f>ROUNDDOWN(IF($AG77*W77&gt;요율!$E$3,($AG77*W77-요율!$E$3)*요율!$C$3%*요율!$D$3%,0),-1)</f>
        <v>0</v>
      </c>
      <c r="BV77" s="16">
        <f>ROUNDDOWN(IF($AG77*X77&gt;요율!$E$3,($AG77*X77-요율!$E$3)*요율!$C$3%*요율!$D$3%,0),-1)</f>
        <v>0</v>
      </c>
      <c r="BW77" s="16">
        <f>ROUNDDOWN(IF($AG77*Y77&gt;요율!$E$3,($AG77*Y77-요율!$E$3)*요율!$C$3%*요율!$D$3%,0),-1)</f>
        <v>0</v>
      </c>
      <c r="BX77" s="16">
        <f>ROUNDDOWN(IF($AG77*Z77&gt;요율!$E$3,($AG77*Z77-요율!$E$3)*요율!$C$3%*요율!$D$3%,0),-1)</f>
        <v>0</v>
      </c>
      <c r="BY77" s="16">
        <f>ROUNDDOWN(IF($AG77*AA77&gt;요율!$E$3,($AG77*AA77-요율!$E$3)*요율!$C$3%*요율!$D$3%,0),-1)</f>
        <v>0</v>
      </c>
      <c r="BZ77" s="16">
        <f>ROUNDDOWN(IF($AG77*AB77&gt;요율!$E$3,($AG77*AB77-요율!$E$3)*요율!$C$3%*요율!$D$3%,0),-1)</f>
        <v>0</v>
      </c>
      <c r="CA77" s="16">
        <f>ROUNDDOWN(IF($AG77*AC77&gt;요율!$E$3,($AG77*AC77-요율!$E$3)*요율!$C$3%*요율!$D$3%,0),-1)</f>
        <v>0</v>
      </c>
      <c r="CB77" s="31">
        <f>ROUNDDOWN(IF($AG77*AD77&gt;요율!$E$3,($AG77*AD77-요율!$E$3)*요율!$C$3%*요율!$D$3%,0),-1)</f>
        <v>0</v>
      </c>
      <c r="CD77" s="5" t="str">
        <f>IFERROR(VLOOKUP(B77,주소록,9,FALSE),"")</f>
        <v/>
      </c>
    </row>
    <row r="78" spans="1:82" ht="20.100000000000001" hidden="1" customHeight="1">
      <c r="A78" s="761"/>
      <c r="B78" s="261" t="str">
        <f>BA77</f>
        <v/>
      </c>
      <c r="C78" s="690" t="str">
        <f>IF(ISERROR(VLOOKUP(B77,주소록!$A$3:$K$523,7,0)),"",VLOOKUP(B77,주소록!$A$3:$K$523,5,0))</f>
        <v/>
      </c>
      <c r="D78" s="690"/>
      <c r="E78" s="690"/>
      <c r="F78" s="691"/>
      <c r="G78" s="692" t="str">
        <f>IF(ISERROR(VLOOKUP(B77,주소록!$A$3:$K$523,9,0)),"",VLOOKUP(B77,주소록!$A$3:$K$523,7,0))</f>
        <v/>
      </c>
      <c r="H78" s="693"/>
      <c r="I78" s="694"/>
      <c r="J78" s="692" t="str">
        <f>IF(ISERROR(VLOOKUP(B77,주소록!$A$3:$K$523,10,0)),"",VLOOKUP(B77,주소록!$A$3:$K$523,8,0))</f>
        <v/>
      </c>
      <c r="K78" s="693"/>
      <c r="L78" s="693"/>
      <c r="M78" s="693"/>
      <c r="N78" s="695"/>
      <c r="O78" s="474"/>
      <c r="P78" s="475"/>
      <c r="Q78" s="475"/>
      <c r="R78" s="468"/>
      <c r="S78" s="476"/>
      <c r="T78" s="474"/>
      <c r="U78" s="475"/>
      <c r="V78" s="475"/>
      <c r="W78" s="475"/>
      <c r="X78" s="477"/>
      <c r="Y78" s="479"/>
      <c r="Z78" s="475"/>
      <c r="AA78" s="475"/>
      <c r="AB78" s="475"/>
      <c r="AC78" s="475"/>
      <c r="AD78" s="477"/>
      <c r="AE78" s="696">
        <f>SUM(O77:AD78)</f>
        <v>0</v>
      </c>
      <c r="AF78" s="697"/>
      <c r="AG78" s="765"/>
      <c r="AH78" s="687"/>
      <c r="AI78" s="688"/>
      <c r="AJ78" s="689"/>
      <c r="AK78" s="698">
        <f>IF(C77=0,"",IF(MID(C77,7,1)="5","",IF(MID(C77,7,1)="6","",ROUNDDOWN((AK77*10%),-1))))</f>
        <v>0</v>
      </c>
      <c r="AL78" s="699"/>
      <c r="AM78" s="700"/>
      <c r="AN78" s="701">
        <f>ROUNDDOWN(AN77*요율!$F$5,-1)</f>
        <v>0</v>
      </c>
      <c r="AO78" s="701"/>
      <c r="AP78" s="701"/>
      <c r="AQ78" s="713">
        <f>IF(OR(AND(요율!$H$8="X",요율!$H$9="X",MID(C77,8,1)&gt;="5"),AND(요율!$H$8="○",요율!$H$9="X",MID(C77,8,1)&gt;="5")),"외국인",IF(요율!$H$8="X",IF(C77="",0,IF(OR(MID(C77,8,1)&lt;"3",AND(MID(C77,8,1)&gt;="5",MID(C77,8,1)&lt;="6")),IF(INT(TEXT($O$3,"yyyy.mmdd")-TEXT(TEXT(LEFT(C77,6),"1900-00-00"),"yyyy.mmdd"))&gt;=65,"65세이상",+TRUNC(AH77*요율!$C$9%,-1)),IF(INT(TEXT($O$3,"yyyy.mmdd")-TEXT(TEXT(LEFT(C77,6),"2000-00-00"),"yyyy.mmdd"))&gt;=65,"65세이상",+TRUNC(AH77*요율!$C$9%,-1)))),+TRUNC(AH77*요율!$C$9%,-1)))</f>
        <v>0</v>
      </c>
      <c r="AR78" s="699"/>
      <c r="AS78" s="699"/>
      <c r="AT78" s="714"/>
      <c r="AU78" s="715"/>
      <c r="AV78" s="716"/>
      <c r="AW78" s="723"/>
      <c r="AX78" s="724"/>
      <c r="AY78" s="725"/>
      <c r="AZ78" s="767"/>
      <c r="BA78" s="22" t="str">
        <f>BA77</f>
        <v/>
      </c>
      <c r="BB78" s="6">
        <v>2</v>
      </c>
      <c r="BC78" s="753"/>
      <c r="BD78" s="733">
        <f>B77</f>
        <v>0</v>
      </c>
      <c r="BE78" s="733"/>
      <c r="BF78" s="733"/>
      <c r="BG78" s="734">
        <f>SUM(BM77:CB78)</f>
        <v>0</v>
      </c>
      <c r="BH78" s="735"/>
      <c r="BI78" s="736"/>
      <c r="BJ78" s="144"/>
      <c r="BK78" s="145"/>
      <c r="BL78" s="146"/>
      <c r="BM78" s="17">
        <f>ROUNDDOWN(IF($AG77*O78&gt;요율!$E$3,($AG77*O78-요율!$E$3)*요율!$C$3%*요율!$D$3%,0),-1)</f>
        <v>0</v>
      </c>
      <c r="BN78" s="18">
        <f>ROUNDDOWN(IF($AG77*P78&gt;요율!$E$3,($AG77*P78-요율!$E$3)*요율!$C$3%*요율!$D$3%,0),-1)</f>
        <v>0</v>
      </c>
      <c r="BO78" s="18">
        <f>ROUNDDOWN(IF($AG77*Q78&gt;요율!$E$3,($AG77*Q78-요율!$E$3)*요율!$C$3%*요율!$D$3%,0),-1)</f>
        <v>0</v>
      </c>
      <c r="BP78" s="18">
        <f>ROUNDDOWN(IF($AG77*R78&gt;요율!$E$3,($AG77*R78-요율!$E$3)*요율!$C$3%*요율!$D$3%,0),-1)</f>
        <v>0</v>
      </c>
      <c r="BQ78" s="18">
        <f>ROUNDDOWN(IF($AG77*S78&gt;요율!$E$3,($AG77*S78-요율!$E$3)*요율!$C$3%*요율!$D$3%,0),-1)</f>
        <v>0</v>
      </c>
      <c r="BR78" s="18">
        <f>ROUNDDOWN(IF($AG77*T78&gt;요율!$E$3,($AG77*T78-요율!$E$3)*요율!$C$3%*요율!$D$3%,0),-1)</f>
        <v>0</v>
      </c>
      <c r="BS78" s="18">
        <f>ROUNDDOWN(IF($AG77*U78&gt;요율!$E$3,($AG77*U78-요율!$E$3)*요율!$C$3%*요율!$D$3%,0),-1)</f>
        <v>0</v>
      </c>
      <c r="BT78" s="18">
        <f>ROUNDDOWN(IF($AG77*V78&gt;요율!$E$3,($AG77*V78-요율!$E$3)*요율!$C$3%*요율!$D$3%,0),-1)</f>
        <v>0</v>
      </c>
      <c r="BU78" s="18">
        <f>ROUNDDOWN(IF($AG77*W78&gt;요율!$E$3,($AG77*W78-요율!$E$3)*요율!$C$3%*요율!$D$3%,0),-1)</f>
        <v>0</v>
      </c>
      <c r="BV78" s="18">
        <f>ROUNDDOWN(IF($AG77*X78&gt;요율!$E$3,($AG77*X78-요율!$E$3)*요율!$C$3%*요율!$D$3%,0),-1)</f>
        <v>0</v>
      </c>
      <c r="BW78" s="18">
        <f>ROUNDDOWN(IF($AG77*Y78&gt;요율!$E$3,($AG77*Y78-요율!$E$3)*요율!$C$3%*요율!$D$3%,0),-1)</f>
        <v>0</v>
      </c>
      <c r="BX78" s="18">
        <f>ROUNDDOWN(IF($AG77*Z78&gt;요율!$E$3,($AG77*Z78-요율!$E$3)*요율!$C$3%*요율!$D$3%,0),-1)</f>
        <v>0</v>
      </c>
      <c r="BY78" s="18">
        <f>ROUNDDOWN(IF($AG77*AA78&gt;요율!$E$3,($AG77*AA78-요율!$E$3)*요율!$C$3%*요율!$D$3%,0),-1)</f>
        <v>0</v>
      </c>
      <c r="BZ78" s="18">
        <f>ROUNDDOWN(IF($AG77*AB78&gt;요율!$E$3,($AG77*AB78-요율!$E$3)*요율!$C$3%*요율!$D$3%,0),-1)</f>
        <v>0</v>
      </c>
      <c r="CA78" s="18">
        <f>ROUNDDOWN(IF($AG77*AC78&gt;요율!$E$3,($AG77*AC78-요율!$E$3)*요율!$C$3%*요율!$D$3%,0),-1)</f>
        <v>0</v>
      </c>
      <c r="CB78" s="19">
        <f>ROUNDDOWN(IF($AG77*AD78&gt;요율!$E$3,($AG77*AD78-요율!$E$3)*요율!$C$3%*요율!$D$3%,0),-1)</f>
        <v>0</v>
      </c>
    </row>
    <row r="79" spans="1:82" ht="20.100000000000001" hidden="1" customHeight="1">
      <c r="A79" s="760">
        <f t="shared" si="2"/>
        <v>37</v>
      </c>
      <c r="B79" s="260"/>
      <c r="C79" s="708" t="str">
        <f>IF(ISERROR(VLOOKUP(B79,주소록!$A$3:$K$523,5,0)),"",VLOOKUP(B79,주소록!$A$3:$K$523,3,0))</f>
        <v/>
      </c>
      <c r="D79" s="708"/>
      <c r="E79" s="708"/>
      <c r="F79" s="709"/>
      <c r="G79" s="710" t="str">
        <f>IF(ISERROR(VLOOKUP(B79,주소록!$A$3:$K$523,6,0)),"",VLOOKUP(B79,주소록!$A$3:$K$523,4,0))</f>
        <v/>
      </c>
      <c r="H79" s="711"/>
      <c r="I79" s="711"/>
      <c r="J79" s="711"/>
      <c r="K79" s="711"/>
      <c r="L79" s="711"/>
      <c r="M79" s="711"/>
      <c r="N79" s="712"/>
      <c r="O79" s="469"/>
      <c r="P79" s="470"/>
      <c r="Q79" s="470"/>
      <c r="R79" s="470"/>
      <c r="S79" s="478"/>
      <c r="T79" s="469"/>
      <c r="U79" s="470"/>
      <c r="V79" s="470"/>
      <c r="W79" s="470"/>
      <c r="X79" s="471"/>
      <c r="Y79" s="472"/>
      <c r="Z79" s="467"/>
      <c r="AA79" s="470"/>
      <c r="AB79" s="470"/>
      <c r="AC79" s="470"/>
      <c r="AD79" s="473"/>
      <c r="AE79" s="762">
        <f>COUNTIF(O79:AD80,"&gt;=0.5")</f>
        <v>0</v>
      </c>
      <c r="AF79" s="763"/>
      <c r="AG79" s="764"/>
      <c r="AH79" s="684">
        <f>AE80*AG79</f>
        <v>0</v>
      </c>
      <c r="AI79" s="685"/>
      <c r="AJ79" s="686"/>
      <c r="AK79" s="755">
        <f>IF(BG80&lt;1000, 0, BG80)</f>
        <v>0</v>
      </c>
      <c r="AL79" s="756"/>
      <c r="AM79" s="757"/>
      <c r="AN79" s="758">
        <f>IF(요율!$H$7="○",IF(AE79&gt;=요율!$D$6,ROUNDDOWN(AH79*요율!$C$4%,-1),0),0)</f>
        <v>0</v>
      </c>
      <c r="AO79" s="756"/>
      <c r="AP79" s="757"/>
      <c r="AQ79" s="758">
        <f>BL79</f>
        <v>0</v>
      </c>
      <c r="AR79" s="756"/>
      <c r="AS79" s="759"/>
      <c r="AT79" s="717">
        <f>SUM(AK79:AS80)</f>
        <v>0</v>
      </c>
      <c r="AU79" s="718"/>
      <c r="AV79" s="719"/>
      <c r="AW79" s="720">
        <f>AH79-AT79-AT80</f>
        <v>0</v>
      </c>
      <c r="AX79" s="721"/>
      <c r="AY79" s="722"/>
      <c r="AZ79" s="766"/>
      <c r="BA79" s="21" t="str">
        <f>IF(ISERROR(VLOOKUP($B79,주소록!$A$3:$K$523,3,0)),"",VLOOKUP($B79,주소록!$A$3:$K$523,2,0))</f>
        <v/>
      </c>
      <c r="BB79" s="6">
        <v>1</v>
      </c>
      <c r="BC79" s="752">
        <f>A79</f>
        <v>37</v>
      </c>
      <c r="BD79" s="754" t="str">
        <f>IF(OR(MID(C79,8,1)&lt;"3",AND(MID(C79,8,1)&gt;="5",MID(C79,8,1)&lt;="6")),TEXT(TEXT(LEFT(C79,6),"1900-00-00"),"yyyy년 m월 d일"),TEXT(TEXT(LEFT(C79,6),"2000-00-00"),"yyyy년 m월 d일"))</f>
        <v/>
      </c>
      <c r="BE79" s="754"/>
      <c r="BF79" s="754"/>
      <c r="BG79" s="768">
        <f>IFERROR(INT( ( TEXT($O$3,"yyyy.mmdd") - TEXT(BD79,"yyyy.mmdd") )  ),0)</f>
        <v>0</v>
      </c>
      <c r="BH79" s="769"/>
      <c r="BI79" s="770"/>
      <c r="BJ79" s="133">
        <f>IF(BG79&gt;59,"60세이상",IF(OR(AE79&lt;요율!$D$6,AH79=0),0,IF(AH79&lt;요율!$C$7,요율!$D$7,IF(AH79&gt;요율!$C$8,요율!$D$8,+TRUNC(AH79*요율!$C$6%,-1)))))</f>
        <v>0</v>
      </c>
      <c r="BK79" s="143">
        <f>IF(BG79&gt;59,"60세이상",IF(OR(AH79&lt;2200000,AH79=0),0,IF(AH79&lt;요율!$C$7,요율!$D$7,IF(AH79&gt;요율!$C$8,요율!$D$8,+TRUNC(AH79*요율!$C$6%,-1)))))</f>
        <v>0</v>
      </c>
      <c r="BL79" s="140">
        <f>IF(BK79&gt;0,BK79,BJ79)</f>
        <v>0</v>
      </c>
      <c r="BM79" s="15">
        <f>ROUNDDOWN(IF($AG79*O79&gt;요율!$E$3,($AG79*O79-요율!$E$3)*요율!$C$3%*요율!$D$3%,0),-1)</f>
        <v>0</v>
      </c>
      <c r="BN79" s="16">
        <f>ROUNDDOWN(IF($AG79*P79&gt;요율!$E$3,($AG79*P79-요율!$E$3)*요율!$C$3%*요율!$D$3%,0),-1)</f>
        <v>0</v>
      </c>
      <c r="BO79" s="16">
        <f>ROUNDDOWN(IF($AG79*Q79&gt;요율!$E$3,($AG79*Q79-요율!$E$3)*요율!$C$3%*요율!$D$3%,0),-1)</f>
        <v>0</v>
      </c>
      <c r="BP79" s="16">
        <f>ROUNDDOWN(IF($AG79*R79&gt;요율!$E$3,($AG79*R79-요율!$E$3)*요율!$C$3%*요율!$D$3%,0),-1)</f>
        <v>0</v>
      </c>
      <c r="BQ79" s="16">
        <f>ROUNDDOWN(IF($AG79*S79&gt;요율!$E$3,($AG79*S79-요율!$E$3)*요율!$C$3%*요율!$D$3%,0),-1)</f>
        <v>0</v>
      </c>
      <c r="BR79" s="16">
        <f>ROUNDDOWN(IF($AG79*T79&gt;요율!$E$3,($AG79*T79-요율!$E$3)*요율!$C$3%*요율!$D$3%,0),-1)</f>
        <v>0</v>
      </c>
      <c r="BS79" s="16">
        <f>ROUNDDOWN(IF($AG79*U79&gt;요율!$E$3,($AG79*U79-요율!$E$3)*요율!$C$3%*요율!$D$3%,0),-1)</f>
        <v>0</v>
      </c>
      <c r="BT79" s="16">
        <f>ROUNDDOWN(IF($AG79*V79&gt;요율!$E$3,($AG79*V79-요율!$E$3)*요율!$C$3%*요율!$D$3%,0),-1)</f>
        <v>0</v>
      </c>
      <c r="BU79" s="16">
        <f>ROUNDDOWN(IF($AG79*W79&gt;요율!$E$3,($AG79*W79-요율!$E$3)*요율!$C$3%*요율!$D$3%,0),-1)</f>
        <v>0</v>
      </c>
      <c r="BV79" s="16">
        <f>ROUNDDOWN(IF($AG79*X79&gt;요율!$E$3,($AG79*X79-요율!$E$3)*요율!$C$3%*요율!$D$3%,0),-1)</f>
        <v>0</v>
      </c>
      <c r="BW79" s="16">
        <f>ROUNDDOWN(IF($AG79*Y79&gt;요율!$E$3,($AG79*Y79-요율!$E$3)*요율!$C$3%*요율!$D$3%,0),-1)</f>
        <v>0</v>
      </c>
      <c r="BX79" s="16">
        <f>ROUNDDOWN(IF($AG79*Z79&gt;요율!$E$3,($AG79*Z79-요율!$E$3)*요율!$C$3%*요율!$D$3%,0),-1)</f>
        <v>0</v>
      </c>
      <c r="BY79" s="16">
        <f>ROUNDDOWN(IF($AG79*AA79&gt;요율!$E$3,($AG79*AA79-요율!$E$3)*요율!$C$3%*요율!$D$3%,0),-1)</f>
        <v>0</v>
      </c>
      <c r="BZ79" s="16">
        <f>ROUNDDOWN(IF($AG79*AB79&gt;요율!$E$3,($AG79*AB79-요율!$E$3)*요율!$C$3%*요율!$D$3%,0),-1)</f>
        <v>0</v>
      </c>
      <c r="CA79" s="16">
        <f>ROUNDDOWN(IF($AG79*AC79&gt;요율!$E$3,($AG79*AC79-요율!$E$3)*요율!$C$3%*요율!$D$3%,0),-1)</f>
        <v>0</v>
      </c>
      <c r="CB79" s="31">
        <f>ROUNDDOWN(IF($AG79*AD79&gt;요율!$E$3,($AG79*AD79-요율!$E$3)*요율!$C$3%*요율!$D$3%,0),-1)</f>
        <v>0</v>
      </c>
      <c r="CD79" s="5" t="str">
        <f>IFERROR(VLOOKUP(B79,주소록,9,FALSE),"")</f>
        <v/>
      </c>
    </row>
    <row r="80" spans="1:82" ht="20.100000000000001" hidden="1" customHeight="1">
      <c r="A80" s="761"/>
      <c r="B80" s="261" t="str">
        <f>BA79</f>
        <v/>
      </c>
      <c r="C80" s="690" t="str">
        <f>IF(ISERROR(VLOOKUP(B79,주소록!$A$3:$K$523,7,0)),"",VLOOKUP(B79,주소록!$A$3:$K$523,5,0))</f>
        <v/>
      </c>
      <c r="D80" s="690"/>
      <c r="E80" s="690"/>
      <c r="F80" s="691"/>
      <c r="G80" s="692" t="str">
        <f>IF(ISERROR(VLOOKUP(B79,주소록!$A$3:$K$523,9,0)),"",VLOOKUP(B79,주소록!$A$3:$K$523,7,0))</f>
        <v/>
      </c>
      <c r="H80" s="693"/>
      <c r="I80" s="694"/>
      <c r="J80" s="692" t="str">
        <f>IF(ISERROR(VLOOKUP(B79,주소록!$A$3:$K$523,10,0)),"",VLOOKUP(B79,주소록!$A$3:$K$523,8,0))</f>
        <v/>
      </c>
      <c r="K80" s="693"/>
      <c r="L80" s="693"/>
      <c r="M80" s="693"/>
      <c r="N80" s="695"/>
      <c r="O80" s="474"/>
      <c r="P80" s="475"/>
      <c r="Q80" s="475"/>
      <c r="R80" s="468"/>
      <c r="S80" s="476"/>
      <c r="T80" s="474"/>
      <c r="U80" s="475"/>
      <c r="V80" s="475"/>
      <c r="W80" s="475"/>
      <c r="X80" s="477"/>
      <c r="Y80" s="479"/>
      <c r="Z80" s="475"/>
      <c r="AA80" s="475"/>
      <c r="AB80" s="475"/>
      <c r="AC80" s="475"/>
      <c r="AD80" s="477"/>
      <c r="AE80" s="696">
        <f>SUM(O79:AD80)</f>
        <v>0</v>
      </c>
      <c r="AF80" s="697"/>
      <c r="AG80" s="765"/>
      <c r="AH80" s="687"/>
      <c r="AI80" s="688"/>
      <c r="AJ80" s="689"/>
      <c r="AK80" s="698">
        <f>IF(C79=0,"",IF(MID(C79,7,1)="5","",IF(MID(C79,7,1)="6","",ROUNDDOWN((AK79*10%),-1))))</f>
        <v>0</v>
      </c>
      <c r="AL80" s="699"/>
      <c r="AM80" s="700"/>
      <c r="AN80" s="701">
        <f>ROUNDDOWN(AN79*요율!$F$5,-1)</f>
        <v>0</v>
      </c>
      <c r="AO80" s="701"/>
      <c r="AP80" s="701"/>
      <c r="AQ80" s="713">
        <f>IF(OR(AND(요율!$H$8="X",요율!$H$9="X",MID(C79,8,1)&gt;="5"),AND(요율!$H$8="○",요율!$H$9="X",MID(C79,8,1)&gt;="5")),"외국인",IF(요율!$H$8="X",IF(C79="",0,IF(OR(MID(C79,8,1)&lt;"3",AND(MID(C79,8,1)&gt;="5",MID(C79,8,1)&lt;="6")),IF(INT(TEXT($O$3,"yyyy.mmdd")-TEXT(TEXT(LEFT(C79,6),"1900-00-00"),"yyyy.mmdd"))&gt;=65,"65세이상",+TRUNC(AH79*요율!$C$9%,-1)),IF(INT(TEXT($O$3,"yyyy.mmdd")-TEXT(TEXT(LEFT(C79,6),"2000-00-00"),"yyyy.mmdd"))&gt;=65,"65세이상",+TRUNC(AH79*요율!$C$9%,-1)))),+TRUNC(AH79*요율!$C$9%,-1)))</f>
        <v>0</v>
      </c>
      <c r="AR80" s="699"/>
      <c r="AS80" s="699"/>
      <c r="AT80" s="714"/>
      <c r="AU80" s="715"/>
      <c r="AV80" s="716"/>
      <c r="AW80" s="723"/>
      <c r="AX80" s="724"/>
      <c r="AY80" s="725"/>
      <c r="AZ80" s="767"/>
      <c r="BA80" s="22" t="str">
        <f>BA79</f>
        <v/>
      </c>
      <c r="BB80" s="6">
        <v>2</v>
      </c>
      <c r="BC80" s="753"/>
      <c r="BD80" s="733">
        <f>B79</f>
        <v>0</v>
      </c>
      <c r="BE80" s="733"/>
      <c r="BF80" s="733"/>
      <c r="BG80" s="734">
        <f>SUM(BM79:CB80)</f>
        <v>0</v>
      </c>
      <c r="BH80" s="735"/>
      <c r="BI80" s="736"/>
      <c r="BJ80" s="144"/>
      <c r="BK80" s="145"/>
      <c r="BL80" s="146"/>
      <c r="BM80" s="17">
        <f>ROUNDDOWN(IF($AG79*O80&gt;요율!$E$3,($AG79*O80-요율!$E$3)*요율!$C$3%*요율!$D$3%,0),-1)</f>
        <v>0</v>
      </c>
      <c r="BN80" s="18">
        <f>ROUNDDOWN(IF($AG79*P80&gt;요율!$E$3,($AG79*P80-요율!$E$3)*요율!$C$3%*요율!$D$3%,0),-1)</f>
        <v>0</v>
      </c>
      <c r="BO80" s="18">
        <f>ROUNDDOWN(IF($AG79*Q80&gt;요율!$E$3,($AG79*Q80-요율!$E$3)*요율!$C$3%*요율!$D$3%,0),-1)</f>
        <v>0</v>
      </c>
      <c r="BP80" s="18">
        <f>ROUNDDOWN(IF($AG79*R80&gt;요율!$E$3,($AG79*R80-요율!$E$3)*요율!$C$3%*요율!$D$3%,0),-1)</f>
        <v>0</v>
      </c>
      <c r="BQ80" s="18">
        <f>ROUNDDOWN(IF($AG79*S80&gt;요율!$E$3,($AG79*S80-요율!$E$3)*요율!$C$3%*요율!$D$3%,0),-1)</f>
        <v>0</v>
      </c>
      <c r="BR80" s="18">
        <f>ROUNDDOWN(IF($AG79*T80&gt;요율!$E$3,($AG79*T80-요율!$E$3)*요율!$C$3%*요율!$D$3%,0),-1)</f>
        <v>0</v>
      </c>
      <c r="BS80" s="18">
        <f>ROUNDDOWN(IF($AG79*U80&gt;요율!$E$3,($AG79*U80-요율!$E$3)*요율!$C$3%*요율!$D$3%,0),-1)</f>
        <v>0</v>
      </c>
      <c r="BT80" s="18">
        <f>ROUNDDOWN(IF($AG79*V80&gt;요율!$E$3,($AG79*V80-요율!$E$3)*요율!$C$3%*요율!$D$3%,0),-1)</f>
        <v>0</v>
      </c>
      <c r="BU80" s="18">
        <f>ROUNDDOWN(IF($AG79*W80&gt;요율!$E$3,($AG79*W80-요율!$E$3)*요율!$C$3%*요율!$D$3%,0),-1)</f>
        <v>0</v>
      </c>
      <c r="BV80" s="18">
        <f>ROUNDDOWN(IF($AG79*X80&gt;요율!$E$3,($AG79*X80-요율!$E$3)*요율!$C$3%*요율!$D$3%,0),-1)</f>
        <v>0</v>
      </c>
      <c r="BW80" s="18">
        <f>ROUNDDOWN(IF($AG79*Y80&gt;요율!$E$3,($AG79*Y80-요율!$E$3)*요율!$C$3%*요율!$D$3%,0),-1)</f>
        <v>0</v>
      </c>
      <c r="BX80" s="18">
        <f>ROUNDDOWN(IF($AG79*Z80&gt;요율!$E$3,($AG79*Z80-요율!$E$3)*요율!$C$3%*요율!$D$3%,0),-1)</f>
        <v>0</v>
      </c>
      <c r="BY80" s="18">
        <f>ROUNDDOWN(IF($AG79*AA80&gt;요율!$E$3,($AG79*AA80-요율!$E$3)*요율!$C$3%*요율!$D$3%,0),-1)</f>
        <v>0</v>
      </c>
      <c r="BZ80" s="18">
        <f>ROUNDDOWN(IF($AG79*AB80&gt;요율!$E$3,($AG79*AB80-요율!$E$3)*요율!$C$3%*요율!$D$3%,0),-1)</f>
        <v>0</v>
      </c>
      <c r="CA80" s="18">
        <f>ROUNDDOWN(IF($AG79*AC80&gt;요율!$E$3,($AG79*AC80-요율!$E$3)*요율!$C$3%*요율!$D$3%,0),-1)</f>
        <v>0</v>
      </c>
      <c r="CB80" s="19">
        <f>ROUNDDOWN(IF($AG79*AD80&gt;요율!$E$3,($AG79*AD80-요율!$E$3)*요율!$C$3%*요율!$D$3%,0),-1)</f>
        <v>0</v>
      </c>
    </row>
    <row r="81" spans="1:82" ht="20.100000000000001" hidden="1" customHeight="1">
      <c r="A81" s="760">
        <f t="shared" si="2"/>
        <v>38</v>
      </c>
      <c r="B81" s="260"/>
      <c r="C81" s="708" t="str">
        <f>IF(ISERROR(VLOOKUP(B81,주소록!$A$3:$K$523,5,0)),"",VLOOKUP(B81,주소록!$A$3:$K$523,3,0))</f>
        <v/>
      </c>
      <c r="D81" s="708"/>
      <c r="E81" s="708"/>
      <c r="F81" s="709"/>
      <c r="G81" s="710" t="str">
        <f>IF(ISERROR(VLOOKUP(B81,주소록!$A$3:$K$523,6,0)),"",VLOOKUP(B81,주소록!$A$3:$K$523,4,0))</f>
        <v/>
      </c>
      <c r="H81" s="711"/>
      <c r="I81" s="711"/>
      <c r="J81" s="711"/>
      <c r="K81" s="711"/>
      <c r="L81" s="711"/>
      <c r="M81" s="711"/>
      <c r="N81" s="712"/>
      <c r="O81" s="469"/>
      <c r="P81" s="470"/>
      <c r="Q81" s="470"/>
      <c r="R81" s="470"/>
      <c r="S81" s="478"/>
      <c r="T81" s="469"/>
      <c r="U81" s="470"/>
      <c r="V81" s="470"/>
      <c r="W81" s="470"/>
      <c r="X81" s="471"/>
      <c r="Y81" s="472"/>
      <c r="Z81" s="467"/>
      <c r="AA81" s="470"/>
      <c r="AB81" s="470"/>
      <c r="AC81" s="470"/>
      <c r="AD81" s="473"/>
      <c r="AE81" s="762">
        <f>COUNTIF(O81:AD82,"&gt;=0.5")</f>
        <v>0</v>
      </c>
      <c r="AF81" s="763"/>
      <c r="AG81" s="764"/>
      <c r="AH81" s="684">
        <f>AE82*AG81</f>
        <v>0</v>
      </c>
      <c r="AI81" s="685"/>
      <c r="AJ81" s="686"/>
      <c r="AK81" s="755">
        <f>IF(BG82&lt;1000, 0, BG82)</f>
        <v>0</v>
      </c>
      <c r="AL81" s="756"/>
      <c r="AM81" s="757"/>
      <c r="AN81" s="758">
        <f>IF(요율!$H$7="○",IF(AE81&gt;=요율!$D$6,ROUNDDOWN(AH81*요율!$C$4%,-1),0),0)</f>
        <v>0</v>
      </c>
      <c r="AO81" s="756"/>
      <c r="AP81" s="757"/>
      <c r="AQ81" s="758">
        <f>BL81</f>
        <v>0</v>
      </c>
      <c r="AR81" s="756"/>
      <c r="AS81" s="759"/>
      <c r="AT81" s="717">
        <f>SUM(AK81:AS82)</f>
        <v>0</v>
      </c>
      <c r="AU81" s="718"/>
      <c r="AV81" s="719"/>
      <c r="AW81" s="720">
        <f>AH81-AT81-AT82</f>
        <v>0</v>
      </c>
      <c r="AX81" s="721"/>
      <c r="AY81" s="722"/>
      <c r="AZ81" s="766"/>
      <c r="BA81" s="21" t="str">
        <f>IF(ISERROR(VLOOKUP($B81,주소록!$A$3:$K$523,3,0)),"",VLOOKUP($B81,주소록!$A$3:$K$523,2,0))</f>
        <v/>
      </c>
      <c r="BB81" s="6">
        <v>1</v>
      </c>
      <c r="BC81" s="752">
        <f>A81</f>
        <v>38</v>
      </c>
      <c r="BD81" s="754" t="str">
        <f>IF(OR(MID(C81,8,1)&lt;"3",AND(MID(C81,8,1)&gt;="5",MID(C81,8,1)&lt;="6")),TEXT(TEXT(LEFT(C81,6),"1900-00-00"),"yyyy년 m월 d일"),TEXT(TEXT(LEFT(C81,6),"2000-00-00"),"yyyy년 m월 d일"))</f>
        <v/>
      </c>
      <c r="BE81" s="754"/>
      <c r="BF81" s="754"/>
      <c r="BG81" s="768">
        <f>IFERROR(INT( ( TEXT($O$3,"yyyy.mmdd") - TEXT(BD81,"yyyy.mmdd") )  ),0)</f>
        <v>0</v>
      </c>
      <c r="BH81" s="769"/>
      <c r="BI81" s="770"/>
      <c r="BJ81" s="133">
        <f>IF(BG81&gt;59,"60세이상",IF(OR(AE81&lt;요율!$D$6,AH81=0),0,IF(AH81&lt;요율!$C$7,요율!$D$7,IF(AH81&gt;요율!$C$8,요율!$D$8,+TRUNC(AH81*요율!$C$6%,-1)))))</f>
        <v>0</v>
      </c>
      <c r="BK81" s="143">
        <f>IF(BG81&gt;59,"60세이상",IF(OR(AH81&lt;2200000,AH81=0),0,IF(AH81&lt;요율!$C$7,요율!$D$7,IF(AH81&gt;요율!$C$8,요율!$D$8,+TRUNC(AH81*요율!$C$6%,-1)))))</f>
        <v>0</v>
      </c>
      <c r="BL81" s="140">
        <f>IF(BK81&gt;0,BK81,BJ81)</f>
        <v>0</v>
      </c>
      <c r="BM81" s="15">
        <f>ROUNDDOWN(IF($AG81*O81&gt;요율!$E$3,($AG81*O81-요율!$E$3)*요율!$C$3%*요율!$D$3%,0),-1)</f>
        <v>0</v>
      </c>
      <c r="BN81" s="16">
        <f>ROUNDDOWN(IF($AG81*P81&gt;요율!$E$3,($AG81*P81-요율!$E$3)*요율!$C$3%*요율!$D$3%,0),-1)</f>
        <v>0</v>
      </c>
      <c r="BO81" s="16">
        <f>ROUNDDOWN(IF($AG81*Q81&gt;요율!$E$3,($AG81*Q81-요율!$E$3)*요율!$C$3%*요율!$D$3%,0),-1)</f>
        <v>0</v>
      </c>
      <c r="BP81" s="16">
        <f>ROUNDDOWN(IF($AG81*R81&gt;요율!$E$3,($AG81*R81-요율!$E$3)*요율!$C$3%*요율!$D$3%,0),-1)</f>
        <v>0</v>
      </c>
      <c r="BQ81" s="16">
        <f>ROUNDDOWN(IF($AG81*S81&gt;요율!$E$3,($AG81*S81-요율!$E$3)*요율!$C$3%*요율!$D$3%,0),-1)</f>
        <v>0</v>
      </c>
      <c r="BR81" s="16">
        <f>ROUNDDOWN(IF($AG81*T81&gt;요율!$E$3,($AG81*T81-요율!$E$3)*요율!$C$3%*요율!$D$3%,0),-1)</f>
        <v>0</v>
      </c>
      <c r="BS81" s="16">
        <f>ROUNDDOWN(IF($AG81*U81&gt;요율!$E$3,($AG81*U81-요율!$E$3)*요율!$C$3%*요율!$D$3%,0),-1)</f>
        <v>0</v>
      </c>
      <c r="BT81" s="16">
        <f>ROUNDDOWN(IF($AG81*V81&gt;요율!$E$3,($AG81*V81-요율!$E$3)*요율!$C$3%*요율!$D$3%,0),-1)</f>
        <v>0</v>
      </c>
      <c r="BU81" s="16">
        <f>ROUNDDOWN(IF($AG81*W81&gt;요율!$E$3,($AG81*W81-요율!$E$3)*요율!$C$3%*요율!$D$3%,0),-1)</f>
        <v>0</v>
      </c>
      <c r="BV81" s="16">
        <f>ROUNDDOWN(IF($AG81*X81&gt;요율!$E$3,($AG81*X81-요율!$E$3)*요율!$C$3%*요율!$D$3%,0),-1)</f>
        <v>0</v>
      </c>
      <c r="BW81" s="16">
        <f>ROUNDDOWN(IF($AG81*Y81&gt;요율!$E$3,($AG81*Y81-요율!$E$3)*요율!$C$3%*요율!$D$3%,0),-1)</f>
        <v>0</v>
      </c>
      <c r="BX81" s="16">
        <f>ROUNDDOWN(IF($AG81*Z81&gt;요율!$E$3,($AG81*Z81-요율!$E$3)*요율!$C$3%*요율!$D$3%,0),-1)</f>
        <v>0</v>
      </c>
      <c r="BY81" s="16">
        <f>ROUNDDOWN(IF($AG81*AA81&gt;요율!$E$3,($AG81*AA81-요율!$E$3)*요율!$C$3%*요율!$D$3%,0),-1)</f>
        <v>0</v>
      </c>
      <c r="BZ81" s="16">
        <f>ROUNDDOWN(IF($AG81*AB81&gt;요율!$E$3,($AG81*AB81-요율!$E$3)*요율!$C$3%*요율!$D$3%,0),-1)</f>
        <v>0</v>
      </c>
      <c r="CA81" s="16">
        <f>ROUNDDOWN(IF($AG81*AC81&gt;요율!$E$3,($AG81*AC81-요율!$E$3)*요율!$C$3%*요율!$D$3%,0),-1)</f>
        <v>0</v>
      </c>
      <c r="CB81" s="31">
        <f>ROUNDDOWN(IF($AG81*AD81&gt;요율!$E$3,($AG81*AD81-요율!$E$3)*요율!$C$3%*요율!$D$3%,0),-1)</f>
        <v>0</v>
      </c>
      <c r="CD81" s="5" t="str">
        <f>IFERROR(VLOOKUP(B81,주소록,9,FALSE),"")</f>
        <v/>
      </c>
    </row>
    <row r="82" spans="1:82" ht="20.100000000000001" hidden="1" customHeight="1">
      <c r="A82" s="761"/>
      <c r="B82" s="261" t="str">
        <f>BA81</f>
        <v/>
      </c>
      <c r="C82" s="690" t="str">
        <f>IF(ISERROR(VLOOKUP(B81,주소록!$A$3:$K$523,7,0)),"",VLOOKUP(B81,주소록!$A$3:$K$523,5,0))</f>
        <v/>
      </c>
      <c r="D82" s="690"/>
      <c r="E82" s="690"/>
      <c r="F82" s="691"/>
      <c r="G82" s="692" t="str">
        <f>IF(ISERROR(VLOOKUP(B81,주소록!$A$3:$K$523,9,0)),"",VLOOKUP(B81,주소록!$A$3:$K$523,7,0))</f>
        <v/>
      </c>
      <c r="H82" s="693"/>
      <c r="I82" s="694"/>
      <c r="J82" s="692" t="str">
        <f>IF(ISERROR(VLOOKUP(B81,주소록!$A$3:$K$523,10,0)),"",VLOOKUP(B81,주소록!$A$3:$K$523,8,0))</f>
        <v/>
      </c>
      <c r="K82" s="693"/>
      <c r="L82" s="693"/>
      <c r="M82" s="693"/>
      <c r="N82" s="695"/>
      <c r="O82" s="474"/>
      <c r="P82" s="475"/>
      <c r="Q82" s="475"/>
      <c r="R82" s="468"/>
      <c r="S82" s="476"/>
      <c r="T82" s="474"/>
      <c r="U82" s="475"/>
      <c r="V82" s="475"/>
      <c r="W82" s="475"/>
      <c r="X82" s="477"/>
      <c r="Y82" s="479"/>
      <c r="Z82" s="475"/>
      <c r="AA82" s="475"/>
      <c r="AB82" s="475"/>
      <c r="AC82" s="475"/>
      <c r="AD82" s="477"/>
      <c r="AE82" s="696">
        <f>SUM(O81:AD82)</f>
        <v>0</v>
      </c>
      <c r="AF82" s="697"/>
      <c r="AG82" s="765"/>
      <c r="AH82" s="687"/>
      <c r="AI82" s="688"/>
      <c r="AJ82" s="689"/>
      <c r="AK82" s="698">
        <f>IF(C81=0,"",IF(MID(C81,7,1)="5","",IF(MID(C81,7,1)="6","",ROUNDDOWN((AK81*10%),-1))))</f>
        <v>0</v>
      </c>
      <c r="AL82" s="699"/>
      <c r="AM82" s="700"/>
      <c r="AN82" s="701">
        <f>ROUNDDOWN(AN81*요율!$F$5,-1)</f>
        <v>0</v>
      </c>
      <c r="AO82" s="701"/>
      <c r="AP82" s="701"/>
      <c r="AQ82" s="713">
        <f>IF(OR(AND(요율!$H$8="X",요율!$H$9="X",MID(C81,8,1)&gt;="5"),AND(요율!$H$8="○",요율!$H$9="X",MID(C81,8,1)&gt;="5")),"외국인",IF(요율!$H$8="X",IF(C81="",0,IF(OR(MID(C81,8,1)&lt;"3",AND(MID(C81,8,1)&gt;="5",MID(C81,8,1)&lt;="6")),IF(INT(TEXT($O$3,"yyyy.mmdd")-TEXT(TEXT(LEFT(C81,6),"1900-00-00"),"yyyy.mmdd"))&gt;=65,"65세이상",+TRUNC(AH81*요율!$C$9%,-1)),IF(INT(TEXT($O$3,"yyyy.mmdd")-TEXT(TEXT(LEFT(C81,6),"2000-00-00"),"yyyy.mmdd"))&gt;=65,"65세이상",+TRUNC(AH81*요율!$C$9%,-1)))),+TRUNC(AH81*요율!$C$9%,-1)))</f>
        <v>0</v>
      </c>
      <c r="AR82" s="699"/>
      <c r="AS82" s="699"/>
      <c r="AT82" s="714"/>
      <c r="AU82" s="715"/>
      <c r="AV82" s="716"/>
      <c r="AW82" s="723"/>
      <c r="AX82" s="724"/>
      <c r="AY82" s="725"/>
      <c r="AZ82" s="767"/>
      <c r="BA82" s="22" t="str">
        <f>BA81</f>
        <v/>
      </c>
      <c r="BB82" s="6">
        <v>2</v>
      </c>
      <c r="BC82" s="753"/>
      <c r="BD82" s="733">
        <f>B81</f>
        <v>0</v>
      </c>
      <c r="BE82" s="733"/>
      <c r="BF82" s="733"/>
      <c r="BG82" s="734">
        <f>SUM(BM81:CB82)</f>
        <v>0</v>
      </c>
      <c r="BH82" s="735"/>
      <c r="BI82" s="736"/>
      <c r="BJ82" s="144"/>
      <c r="BK82" s="145"/>
      <c r="BL82" s="146"/>
      <c r="BM82" s="17">
        <f>ROUNDDOWN(IF($AG81*O82&gt;요율!$E$3,($AG81*O82-요율!$E$3)*요율!$C$3%*요율!$D$3%,0),-1)</f>
        <v>0</v>
      </c>
      <c r="BN82" s="18">
        <f>ROUNDDOWN(IF($AG81*P82&gt;요율!$E$3,($AG81*P82-요율!$E$3)*요율!$C$3%*요율!$D$3%,0),-1)</f>
        <v>0</v>
      </c>
      <c r="BO82" s="18">
        <f>ROUNDDOWN(IF($AG81*Q82&gt;요율!$E$3,($AG81*Q82-요율!$E$3)*요율!$C$3%*요율!$D$3%,0),-1)</f>
        <v>0</v>
      </c>
      <c r="BP82" s="18">
        <f>ROUNDDOWN(IF($AG81*R82&gt;요율!$E$3,($AG81*R82-요율!$E$3)*요율!$C$3%*요율!$D$3%,0),-1)</f>
        <v>0</v>
      </c>
      <c r="BQ82" s="18">
        <f>ROUNDDOWN(IF($AG81*S82&gt;요율!$E$3,($AG81*S82-요율!$E$3)*요율!$C$3%*요율!$D$3%,0),-1)</f>
        <v>0</v>
      </c>
      <c r="BR82" s="18">
        <f>ROUNDDOWN(IF($AG81*T82&gt;요율!$E$3,($AG81*T82-요율!$E$3)*요율!$C$3%*요율!$D$3%,0),-1)</f>
        <v>0</v>
      </c>
      <c r="BS82" s="18">
        <f>ROUNDDOWN(IF($AG81*U82&gt;요율!$E$3,($AG81*U82-요율!$E$3)*요율!$C$3%*요율!$D$3%,0),-1)</f>
        <v>0</v>
      </c>
      <c r="BT82" s="18">
        <f>ROUNDDOWN(IF($AG81*V82&gt;요율!$E$3,($AG81*V82-요율!$E$3)*요율!$C$3%*요율!$D$3%,0),-1)</f>
        <v>0</v>
      </c>
      <c r="BU82" s="18">
        <f>ROUNDDOWN(IF($AG81*W82&gt;요율!$E$3,($AG81*W82-요율!$E$3)*요율!$C$3%*요율!$D$3%,0),-1)</f>
        <v>0</v>
      </c>
      <c r="BV82" s="18">
        <f>ROUNDDOWN(IF($AG81*X82&gt;요율!$E$3,($AG81*X82-요율!$E$3)*요율!$C$3%*요율!$D$3%,0),-1)</f>
        <v>0</v>
      </c>
      <c r="BW82" s="18">
        <f>ROUNDDOWN(IF($AG81*Y82&gt;요율!$E$3,($AG81*Y82-요율!$E$3)*요율!$C$3%*요율!$D$3%,0),-1)</f>
        <v>0</v>
      </c>
      <c r="BX82" s="18">
        <f>ROUNDDOWN(IF($AG81*Z82&gt;요율!$E$3,($AG81*Z82-요율!$E$3)*요율!$C$3%*요율!$D$3%,0),-1)</f>
        <v>0</v>
      </c>
      <c r="BY82" s="18">
        <f>ROUNDDOWN(IF($AG81*AA82&gt;요율!$E$3,($AG81*AA82-요율!$E$3)*요율!$C$3%*요율!$D$3%,0),-1)</f>
        <v>0</v>
      </c>
      <c r="BZ82" s="18">
        <f>ROUNDDOWN(IF($AG81*AB82&gt;요율!$E$3,($AG81*AB82-요율!$E$3)*요율!$C$3%*요율!$D$3%,0),-1)</f>
        <v>0</v>
      </c>
      <c r="CA82" s="18">
        <f>ROUNDDOWN(IF($AG81*AC82&gt;요율!$E$3,($AG81*AC82-요율!$E$3)*요율!$C$3%*요율!$D$3%,0),-1)</f>
        <v>0</v>
      </c>
      <c r="CB82" s="19">
        <f>ROUNDDOWN(IF($AG81*AD82&gt;요율!$E$3,($AG81*AD82-요율!$E$3)*요율!$C$3%*요율!$D$3%,0),-1)</f>
        <v>0</v>
      </c>
    </row>
    <row r="83" spans="1:82" ht="20.100000000000001" hidden="1" customHeight="1">
      <c r="A83" s="760">
        <f t="shared" si="2"/>
        <v>39</v>
      </c>
      <c r="B83" s="260"/>
      <c r="C83" s="708" t="str">
        <f>IF(ISERROR(VLOOKUP(B83,주소록!$A$3:$K$523,5,0)),"",VLOOKUP(B83,주소록!$A$3:$K$523,3,0))</f>
        <v/>
      </c>
      <c r="D83" s="708"/>
      <c r="E83" s="708"/>
      <c r="F83" s="709"/>
      <c r="G83" s="710" t="str">
        <f>IF(ISERROR(VLOOKUP(B83,주소록!$A$3:$K$523,6,0)),"",VLOOKUP(B83,주소록!$A$3:$K$523,4,0))</f>
        <v/>
      </c>
      <c r="H83" s="711"/>
      <c r="I83" s="711"/>
      <c r="J83" s="711"/>
      <c r="K83" s="711"/>
      <c r="L83" s="711"/>
      <c r="M83" s="711"/>
      <c r="N83" s="712"/>
      <c r="O83" s="469"/>
      <c r="P83" s="470"/>
      <c r="Q83" s="470"/>
      <c r="R83" s="470"/>
      <c r="S83" s="478"/>
      <c r="T83" s="469"/>
      <c r="U83" s="470"/>
      <c r="V83" s="470"/>
      <c r="W83" s="470"/>
      <c r="X83" s="471"/>
      <c r="Y83" s="472"/>
      <c r="Z83" s="467"/>
      <c r="AA83" s="470"/>
      <c r="AB83" s="470"/>
      <c r="AC83" s="470"/>
      <c r="AD83" s="473"/>
      <c r="AE83" s="762">
        <f>COUNTIF(O83:AD84,"&gt;=0.5")</f>
        <v>0</v>
      </c>
      <c r="AF83" s="763"/>
      <c r="AG83" s="764"/>
      <c r="AH83" s="684">
        <f>AE84*AG83</f>
        <v>0</v>
      </c>
      <c r="AI83" s="685"/>
      <c r="AJ83" s="686"/>
      <c r="AK83" s="755">
        <f>IF(BG84&lt;1000, 0, BG84)</f>
        <v>0</v>
      </c>
      <c r="AL83" s="756"/>
      <c r="AM83" s="757"/>
      <c r="AN83" s="758">
        <f>IF(요율!$H$7="○",IF(AE83&gt;=요율!$D$6,ROUNDDOWN(AH83*요율!$C$4%,-1),0),0)</f>
        <v>0</v>
      </c>
      <c r="AO83" s="756"/>
      <c r="AP83" s="757"/>
      <c r="AQ83" s="758">
        <f>BL83</f>
        <v>0</v>
      </c>
      <c r="AR83" s="756"/>
      <c r="AS83" s="759"/>
      <c r="AT83" s="717">
        <f>SUM(AK83:AS84)</f>
        <v>0</v>
      </c>
      <c r="AU83" s="718"/>
      <c r="AV83" s="719"/>
      <c r="AW83" s="720">
        <f>AH83-AT83-AT84</f>
        <v>0</v>
      </c>
      <c r="AX83" s="721"/>
      <c r="AY83" s="722"/>
      <c r="AZ83" s="766"/>
      <c r="BA83" s="21" t="str">
        <f>IF(ISERROR(VLOOKUP($B83,주소록!$A$3:$K$523,3,0)),"",VLOOKUP($B83,주소록!$A$3:$K$523,2,0))</f>
        <v/>
      </c>
      <c r="BB83" s="6">
        <v>1</v>
      </c>
      <c r="BC83" s="752">
        <f>A83</f>
        <v>39</v>
      </c>
      <c r="BD83" s="754" t="str">
        <f>IF(OR(MID(C83,8,1)&lt;"3",AND(MID(C83,8,1)&gt;="5",MID(C83,8,1)&lt;="6")),TEXT(TEXT(LEFT(C83,6),"1900-00-00"),"yyyy년 m월 d일"),TEXT(TEXT(LEFT(C83,6),"2000-00-00"),"yyyy년 m월 d일"))</f>
        <v/>
      </c>
      <c r="BE83" s="754"/>
      <c r="BF83" s="754"/>
      <c r="BG83" s="768">
        <f>IFERROR(INT( ( TEXT($O$3,"yyyy.mmdd") - TEXT(BD83,"yyyy.mmdd") )  ),0)</f>
        <v>0</v>
      </c>
      <c r="BH83" s="769"/>
      <c r="BI83" s="770"/>
      <c r="BJ83" s="133">
        <f>IF(BG83&gt;59,"60세이상",IF(OR(AE83&lt;요율!$D$6,AH83=0),0,IF(AH83&lt;요율!$C$7,요율!$D$7,IF(AH83&gt;요율!$C$8,요율!$D$8,+TRUNC(AH83*요율!$C$6%,-1)))))</f>
        <v>0</v>
      </c>
      <c r="BK83" s="143">
        <f>IF(BG83&gt;59,"60세이상",IF(OR(AH83&lt;2200000,AH83=0),0,IF(AH83&lt;요율!$C$7,요율!$D$7,IF(AH83&gt;요율!$C$8,요율!$D$8,+TRUNC(AH83*요율!$C$6%,-1)))))</f>
        <v>0</v>
      </c>
      <c r="BL83" s="140">
        <f>IF(BK83&gt;0,BK83,BJ83)</f>
        <v>0</v>
      </c>
      <c r="BM83" s="15">
        <f>ROUNDDOWN(IF($AG83*O83&gt;요율!$E$3,($AG83*O83-요율!$E$3)*요율!$C$3%*요율!$D$3%,0),-1)</f>
        <v>0</v>
      </c>
      <c r="BN83" s="16">
        <f>ROUNDDOWN(IF($AG83*P83&gt;요율!$E$3,($AG83*P83-요율!$E$3)*요율!$C$3%*요율!$D$3%,0),-1)</f>
        <v>0</v>
      </c>
      <c r="BO83" s="16">
        <f>ROUNDDOWN(IF($AG83*Q83&gt;요율!$E$3,($AG83*Q83-요율!$E$3)*요율!$C$3%*요율!$D$3%,0),-1)</f>
        <v>0</v>
      </c>
      <c r="BP83" s="16">
        <f>ROUNDDOWN(IF($AG83*R83&gt;요율!$E$3,($AG83*R83-요율!$E$3)*요율!$C$3%*요율!$D$3%,0),-1)</f>
        <v>0</v>
      </c>
      <c r="BQ83" s="16">
        <f>ROUNDDOWN(IF($AG83*S83&gt;요율!$E$3,($AG83*S83-요율!$E$3)*요율!$C$3%*요율!$D$3%,0),-1)</f>
        <v>0</v>
      </c>
      <c r="BR83" s="16">
        <f>ROUNDDOWN(IF($AG83*T83&gt;요율!$E$3,($AG83*T83-요율!$E$3)*요율!$C$3%*요율!$D$3%,0),-1)</f>
        <v>0</v>
      </c>
      <c r="BS83" s="16">
        <f>ROUNDDOWN(IF($AG83*U83&gt;요율!$E$3,($AG83*U83-요율!$E$3)*요율!$C$3%*요율!$D$3%,0),-1)</f>
        <v>0</v>
      </c>
      <c r="BT83" s="16">
        <f>ROUNDDOWN(IF($AG83*V83&gt;요율!$E$3,($AG83*V83-요율!$E$3)*요율!$C$3%*요율!$D$3%,0),-1)</f>
        <v>0</v>
      </c>
      <c r="BU83" s="16">
        <f>ROUNDDOWN(IF($AG83*W83&gt;요율!$E$3,($AG83*W83-요율!$E$3)*요율!$C$3%*요율!$D$3%,0),-1)</f>
        <v>0</v>
      </c>
      <c r="BV83" s="16">
        <f>ROUNDDOWN(IF($AG83*X83&gt;요율!$E$3,($AG83*X83-요율!$E$3)*요율!$C$3%*요율!$D$3%,0),-1)</f>
        <v>0</v>
      </c>
      <c r="BW83" s="16">
        <f>ROUNDDOWN(IF($AG83*Y83&gt;요율!$E$3,($AG83*Y83-요율!$E$3)*요율!$C$3%*요율!$D$3%,0),-1)</f>
        <v>0</v>
      </c>
      <c r="BX83" s="16">
        <f>ROUNDDOWN(IF($AG83*Z83&gt;요율!$E$3,($AG83*Z83-요율!$E$3)*요율!$C$3%*요율!$D$3%,0),-1)</f>
        <v>0</v>
      </c>
      <c r="BY83" s="16">
        <f>ROUNDDOWN(IF($AG83*AA83&gt;요율!$E$3,($AG83*AA83-요율!$E$3)*요율!$C$3%*요율!$D$3%,0),-1)</f>
        <v>0</v>
      </c>
      <c r="BZ83" s="16">
        <f>ROUNDDOWN(IF($AG83*AB83&gt;요율!$E$3,($AG83*AB83-요율!$E$3)*요율!$C$3%*요율!$D$3%,0),-1)</f>
        <v>0</v>
      </c>
      <c r="CA83" s="16">
        <f>ROUNDDOWN(IF($AG83*AC83&gt;요율!$E$3,($AG83*AC83-요율!$E$3)*요율!$C$3%*요율!$D$3%,0),-1)</f>
        <v>0</v>
      </c>
      <c r="CB83" s="31">
        <f>ROUNDDOWN(IF($AG83*AD83&gt;요율!$E$3,($AG83*AD83-요율!$E$3)*요율!$C$3%*요율!$D$3%,0),-1)</f>
        <v>0</v>
      </c>
      <c r="CD83" s="5" t="str">
        <f>IFERROR(VLOOKUP(B83,주소록,9,FALSE),"")</f>
        <v/>
      </c>
    </row>
    <row r="84" spans="1:82" ht="20.100000000000001" hidden="1" customHeight="1">
      <c r="A84" s="761"/>
      <c r="B84" s="261" t="str">
        <f>BA83</f>
        <v/>
      </c>
      <c r="C84" s="690" t="str">
        <f>IF(ISERROR(VLOOKUP(B83,주소록!$A$3:$K$523,7,0)),"",VLOOKUP(B83,주소록!$A$3:$K$523,5,0))</f>
        <v/>
      </c>
      <c r="D84" s="690"/>
      <c r="E84" s="690"/>
      <c r="F84" s="691"/>
      <c r="G84" s="692" t="str">
        <f>IF(ISERROR(VLOOKUP(B83,주소록!$A$3:$K$523,9,0)),"",VLOOKUP(B83,주소록!$A$3:$K$523,7,0))</f>
        <v/>
      </c>
      <c r="H84" s="693"/>
      <c r="I84" s="694"/>
      <c r="J84" s="692" t="str">
        <f>IF(ISERROR(VLOOKUP(B83,주소록!$A$3:$K$523,10,0)),"",VLOOKUP(B83,주소록!$A$3:$K$523,8,0))</f>
        <v/>
      </c>
      <c r="K84" s="693"/>
      <c r="L84" s="693"/>
      <c r="M84" s="693"/>
      <c r="N84" s="695"/>
      <c r="O84" s="474"/>
      <c r="P84" s="475"/>
      <c r="Q84" s="475"/>
      <c r="R84" s="468"/>
      <c r="S84" s="476"/>
      <c r="T84" s="474"/>
      <c r="U84" s="475"/>
      <c r="V84" s="475"/>
      <c r="W84" s="475"/>
      <c r="X84" s="477"/>
      <c r="Y84" s="479"/>
      <c r="Z84" s="475"/>
      <c r="AA84" s="475"/>
      <c r="AB84" s="475"/>
      <c r="AC84" s="475"/>
      <c r="AD84" s="477"/>
      <c r="AE84" s="696">
        <f>SUM(O83:AD84)</f>
        <v>0</v>
      </c>
      <c r="AF84" s="697"/>
      <c r="AG84" s="765"/>
      <c r="AH84" s="687"/>
      <c r="AI84" s="688"/>
      <c r="AJ84" s="689"/>
      <c r="AK84" s="698">
        <f>IF(C83=0,"",IF(MID(C83,7,1)="5","",IF(MID(C83,7,1)="6","",ROUNDDOWN((AK83*10%),-1))))</f>
        <v>0</v>
      </c>
      <c r="AL84" s="699"/>
      <c r="AM84" s="700"/>
      <c r="AN84" s="701">
        <f>ROUNDDOWN(AN83*요율!$F$5,-1)</f>
        <v>0</v>
      </c>
      <c r="AO84" s="701"/>
      <c r="AP84" s="701"/>
      <c r="AQ84" s="713">
        <f>IF(OR(AND(요율!$H$8="X",요율!$H$9="X",MID(C83,8,1)&gt;="5"),AND(요율!$H$8="○",요율!$H$9="X",MID(C83,8,1)&gt;="5")),"외국인",IF(요율!$H$8="X",IF(C83="",0,IF(OR(MID(C83,8,1)&lt;"3",AND(MID(C83,8,1)&gt;="5",MID(C83,8,1)&lt;="6")),IF(INT(TEXT($O$3,"yyyy.mmdd")-TEXT(TEXT(LEFT(C83,6),"1900-00-00"),"yyyy.mmdd"))&gt;=65,"65세이상",+TRUNC(AH83*요율!$C$9%,-1)),IF(INT(TEXT($O$3,"yyyy.mmdd")-TEXT(TEXT(LEFT(C83,6),"2000-00-00"),"yyyy.mmdd"))&gt;=65,"65세이상",+TRUNC(AH83*요율!$C$9%,-1)))),+TRUNC(AH83*요율!$C$9%,-1)))</f>
        <v>0</v>
      </c>
      <c r="AR84" s="699"/>
      <c r="AS84" s="699"/>
      <c r="AT84" s="714"/>
      <c r="AU84" s="715"/>
      <c r="AV84" s="716"/>
      <c r="AW84" s="723"/>
      <c r="AX84" s="724"/>
      <c r="AY84" s="725"/>
      <c r="AZ84" s="767"/>
      <c r="BA84" s="22" t="str">
        <f>BA83</f>
        <v/>
      </c>
      <c r="BB84" s="6">
        <v>2</v>
      </c>
      <c r="BC84" s="753"/>
      <c r="BD84" s="733">
        <f>B83</f>
        <v>0</v>
      </c>
      <c r="BE84" s="733"/>
      <c r="BF84" s="733"/>
      <c r="BG84" s="734">
        <f>SUM(BM83:CB84)</f>
        <v>0</v>
      </c>
      <c r="BH84" s="735"/>
      <c r="BI84" s="736"/>
      <c r="BJ84" s="144"/>
      <c r="BK84" s="145"/>
      <c r="BL84" s="146"/>
      <c r="BM84" s="17">
        <f>ROUNDDOWN(IF($AG83*O84&gt;요율!$E$3,($AG83*O84-요율!$E$3)*요율!$C$3%*요율!$D$3%,0),-1)</f>
        <v>0</v>
      </c>
      <c r="BN84" s="18">
        <f>ROUNDDOWN(IF($AG83*P84&gt;요율!$E$3,($AG83*P84-요율!$E$3)*요율!$C$3%*요율!$D$3%,0),-1)</f>
        <v>0</v>
      </c>
      <c r="BO84" s="18">
        <f>ROUNDDOWN(IF($AG83*Q84&gt;요율!$E$3,($AG83*Q84-요율!$E$3)*요율!$C$3%*요율!$D$3%,0),-1)</f>
        <v>0</v>
      </c>
      <c r="BP84" s="18">
        <f>ROUNDDOWN(IF($AG83*R84&gt;요율!$E$3,($AG83*R84-요율!$E$3)*요율!$C$3%*요율!$D$3%,0),-1)</f>
        <v>0</v>
      </c>
      <c r="BQ84" s="18">
        <f>ROUNDDOWN(IF($AG83*S84&gt;요율!$E$3,($AG83*S84-요율!$E$3)*요율!$C$3%*요율!$D$3%,0),-1)</f>
        <v>0</v>
      </c>
      <c r="BR84" s="18">
        <f>ROUNDDOWN(IF($AG83*T84&gt;요율!$E$3,($AG83*T84-요율!$E$3)*요율!$C$3%*요율!$D$3%,0),-1)</f>
        <v>0</v>
      </c>
      <c r="BS84" s="18">
        <f>ROUNDDOWN(IF($AG83*U84&gt;요율!$E$3,($AG83*U84-요율!$E$3)*요율!$C$3%*요율!$D$3%,0),-1)</f>
        <v>0</v>
      </c>
      <c r="BT84" s="18">
        <f>ROUNDDOWN(IF($AG83*V84&gt;요율!$E$3,($AG83*V84-요율!$E$3)*요율!$C$3%*요율!$D$3%,0),-1)</f>
        <v>0</v>
      </c>
      <c r="BU84" s="18">
        <f>ROUNDDOWN(IF($AG83*W84&gt;요율!$E$3,($AG83*W84-요율!$E$3)*요율!$C$3%*요율!$D$3%,0),-1)</f>
        <v>0</v>
      </c>
      <c r="BV84" s="18">
        <f>ROUNDDOWN(IF($AG83*X84&gt;요율!$E$3,($AG83*X84-요율!$E$3)*요율!$C$3%*요율!$D$3%,0),-1)</f>
        <v>0</v>
      </c>
      <c r="BW84" s="18">
        <f>ROUNDDOWN(IF($AG83*Y84&gt;요율!$E$3,($AG83*Y84-요율!$E$3)*요율!$C$3%*요율!$D$3%,0),-1)</f>
        <v>0</v>
      </c>
      <c r="BX84" s="18">
        <f>ROUNDDOWN(IF($AG83*Z84&gt;요율!$E$3,($AG83*Z84-요율!$E$3)*요율!$C$3%*요율!$D$3%,0),-1)</f>
        <v>0</v>
      </c>
      <c r="BY84" s="18">
        <f>ROUNDDOWN(IF($AG83*AA84&gt;요율!$E$3,($AG83*AA84-요율!$E$3)*요율!$C$3%*요율!$D$3%,0),-1)</f>
        <v>0</v>
      </c>
      <c r="BZ84" s="18">
        <f>ROUNDDOWN(IF($AG83*AB84&gt;요율!$E$3,($AG83*AB84-요율!$E$3)*요율!$C$3%*요율!$D$3%,0),-1)</f>
        <v>0</v>
      </c>
      <c r="CA84" s="18">
        <f>ROUNDDOWN(IF($AG83*AC84&gt;요율!$E$3,($AG83*AC84-요율!$E$3)*요율!$C$3%*요율!$D$3%,0),-1)</f>
        <v>0</v>
      </c>
      <c r="CB84" s="19">
        <f>ROUNDDOWN(IF($AG83*AD84&gt;요율!$E$3,($AG83*AD84-요율!$E$3)*요율!$C$3%*요율!$D$3%,0),-1)</f>
        <v>0</v>
      </c>
    </row>
    <row r="85" spans="1:82" ht="20.100000000000001" hidden="1" customHeight="1">
      <c r="A85" s="760">
        <f t="shared" si="2"/>
        <v>40</v>
      </c>
      <c r="B85" s="260"/>
      <c r="C85" s="708" t="str">
        <f>IF(ISERROR(VLOOKUP(B85,주소록!$A$3:$K$523,5,0)),"",VLOOKUP(B85,주소록!$A$3:$K$523,3,0))</f>
        <v/>
      </c>
      <c r="D85" s="708"/>
      <c r="E85" s="708"/>
      <c r="F85" s="709"/>
      <c r="G85" s="710" t="str">
        <f>IF(ISERROR(VLOOKUP(B85,주소록!$A$3:$K$523,6,0)),"",VLOOKUP(B85,주소록!$A$3:$K$523,4,0))</f>
        <v/>
      </c>
      <c r="H85" s="711"/>
      <c r="I85" s="711"/>
      <c r="J85" s="711"/>
      <c r="K85" s="711"/>
      <c r="L85" s="711"/>
      <c r="M85" s="711"/>
      <c r="N85" s="712"/>
      <c r="O85" s="469"/>
      <c r="P85" s="470"/>
      <c r="Q85" s="470"/>
      <c r="R85" s="470"/>
      <c r="S85" s="478"/>
      <c r="T85" s="469"/>
      <c r="U85" s="470"/>
      <c r="V85" s="470"/>
      <c r="W85" s="470"/>
      <c r="X85" s="471"/>
      <c r="Y85" s="472"/>
      <c r="Z85" s="467"/>
      <c r="AA85" s="470"/>
      <c r="AB85" s="470"/>
      <c r="AC85" s="470"/>
      <c r="AD85" s="473"/>
      <c r="AE85" s="762">
        <f>COUNTIF(O85:AD86,"&gt;=0.5")</f>
        <v>0</v>
      </c>
      <c r="AF85" s="763"/>
      <c r="AG85" s="764"/>
      <c r="AH85" s="684">
        <f>AE86*AG85</f>
        <v>0</v>
      </c>
      <c r="AI85" s="685"/>
      <c r="AJ85" s="686"/>
      <c r="AK85" s="755">
        <f>IF(BG86&lt;1000, 0, BG86)</f>
        <v>0</v>
      </c>
      <c r="AL85" s="756"/>
      <c r="AM85" s="757"/>
      <c r="AN85" s="758">
        <f>IF(요율!$H$7="○",IF(AE85&gt;=요율!$D$6,ROUNDDOWN(AH85*요율!$C$4%,-1),0),0)</f>
        <v>0</v>
      </c>
      <c r="AO85" s="756"/>
      <c r="AP85" s="757"/>
      <c r="AQ85" s="758">
        <f>BL85</f>
        <v>0</v>
      </c>
      <c r="AR85" s="756"/>
      <c r="AS85" s="759"/>
      <c r="AT85" s="717">
        <f>SUM(AK85:AS86)</f>
        <v>0</v>
      </c>
      <c r="AU85" s="718"/>
      <c r="AV85" s="719"/>
      <c r="AW85" s="720">
        <f>AH85-AT85-AT86</f>
        <v>0</v>
      </c>
      <c r="AX85" s="721"/>
      <c r="AY85" s="722"/>
      <c r="AZ85" s="766"/>
      <c r="BA85" s="21" t="str">
        <f>IF(ISERROR(VLOOKUP($B85,주소록!$A$3:$K$523,3,0)),"",VLOOKUP($B85,주소록!$A$3:$K$523,2,0))</f>
        <v/>
      </c>
      <c r="BB85" s="6">
        <v>1</v>
      </c>
      <c r="BC85" s="752">
        <f>A85</f>
        <v>40</v>
      </c>
      <c r="BD85" s="754" t="str">
        <f>IF(OR(MID(C85,8,1)&lt;"3",AND(MID(C85,8,1)&gt;="5",MID(C85,8,1)&lt;="6")),TEXT(TEXT(LEFT(C85,6),"1900-00-00"),"yyyy년 m월 d일"),TEXT(TEXT(LEFT(C85,6),"2000-00-00"),"yyyy년 m월 d일"))</f>
        <v/>
      </c>
      <c r="BE85" s="754"/>
      <c r="BF85" s="754"/>
      <c r="BG85" s="768">
        <f>IFERROR(INT( ( TEXT($O$3,"yyyy.mmdd") - TEXT(BD85,"yyyy.mmdd") )  ),0)</f>
        <v>0</v>
      </c>
      <c r="BH85" s="769"/>
      <c r="BI85" s="770"/>
      <c r="BJ85" s="133">
        <f>IF(BG85&gt;59,"60세이상",IF(OR(AE85&lt;요율!$D$6,AH85=0),0,IF(AH85&lt;요율!$C$7,요율!$D$7,IF(AH85&gt;요율!$C$8,요율!$D$8,+TRUNC(AH85*요율!$C$6%,-1)))))</f>
        <v>0</v>
      </c>
      <c r="BK85" s="143">
        <f>IF(BG85&gt;59,"60세이상",IF(OR(AH85&lt;2200000,AH85=0),0,IF(AH85&lt;요율!$C$7,요율!$D$7,IF(AH85&gt;요율!$C$8,요율!$D$8,+TRUNC(AH85*요율!$C$6%,-1)))))</f>
        <v>0</v>
      </c>
      <c r="BL85" s="140">
        <f>IF(BK85&gt;0,BK85,BJ85)</f>
        <v>0</v>
      </c>
      <c r="BM85" s="15">
        <f>ROUNDDOWN(IF($AG85*O85&gt;요율!$E$3,($AG85*O85-요율!$E$3)*요율!$C$3%*요율!$D$3%,0),-1)</f>
        <v>0</v>
      </c>
      <c r="BN85" s="16">
        <f>ROUNDDOWN(IF($AG85*P85&gt;요율!$E$3,($AG85*P85-요율!$E$3)*요율!$C$3%*요율!$D$3%,0),-1)</f>
        <v>0</v>
      </c>
      <c r="BO85" s="16">
        <f>ROUNDDOWN(IF($AG85*Q85&gt;요율!$E$3,($AG85*Q85-요율!$E$3)*요율!$C$3%*요율!$D$3%,0),-1)</f>
        <v>0</v>
      </c>
      <c r="BP85" s="16">
        <f>ROUNDDOWN(IF($AG85*R85&gt;요율!$E$3,($AG85*R85-요율!$E$3)*요율!$C$3%*요율!$D$3%,0),-1)</f>
        <v>0</v>
      </c>
      <c r="BQ85" s="16">
        <f>ROUNDDOWN(IF($AG85*S85&gt;요율!$E$3,($AG85*S85-요율!$E$3)*요율!$C$3%*요율!$D$3%,0),-1)</f>
        <v>0</v>
      </c>
      <c r="BR85" s="16">
        <f>ROUNDDOWN(IF($AG85*T85&gt;요율!$E$3,($AG85*T85-요율!$E$3)*요율!$C$3%*요율!$D$3%,0),-1)</f>
        <v>0</v>
      </c>
      <c r="BS85" s="16">
        <f>ROUNDDOWN(IF($AG85*U85&gt;요율!$E$3,($AG85*U85-요율!$E$3)*요율!$C$3%*요율!$D$3%,0),-1)</f>
        <v>0</v>
      </c>
      <c r="BT85" s="16">
        <f>ROUNDDOWN(IF($AG85*V85&gt;요율!$E$3,($AG85*V85-요율!$E$3)*요율!$C$3%*요율!$D$3%,0),-1)</f>
        <v>0</v>
      </c>
      <c r="BU85" s="16">
        <f>ROUNDDOWN(IF($AG85*W85&gt;요율!$E$3,($AG85*W85-요율!$E$3)*요율!$C$3%*요율!$D$3%,0),-1)</f>
        <v>0</v>
      </c>
      <c r="BV85" s="16">
        <f>ROUNDDOWN(IF($AG85*X85&gt;요율!$E$3,($AG85*X85-요율!$E$3)*요율!$C$3%*요율!$D$3%,0),-1)</f>
        <v>0</v>
      </c>
      <c r="BW85" s="16">
        <f>ROUNDDOWN(IF($AG85*Y85&gt;요율!$E$3,($AG85*Y85-요율!$E$3)*요율!$C$3%*요율!$D$3%,0),-1)</f>
        <v>0</v>
      </c>
      <c r="BX85" s="16">
        <f>ROUNDDOWN(IF($AG85*Z85&gt;요율!$E$3,($AG85*Z85-요율!$E$3)*요율!$C$3%*요율!$D$3%,0),-1)</f>
        <v>0</v>
      </c>
      <c r="BY85" s="16">
        <f>ROUNDDOWN(IF($AG85*AA85&gt;요율!$E$3,($AG85*AA85-요율!$E$3)*요율!$C$3%*요율!$D$3%,0),-1)</f>
        <v>0</v>
      </c>
      <c r="BZ85" s="16">
        <f>ROUNDDOWN(IF($AG85*AB85&gt;요율!$E$3,($AG85*AB85-요율!$E$3)*요율!$C$3%*요율!$D$3%,0),-1)</f>
        <v>0</v>
      </c>
      <c r="CA85" s="16">
        <f>ROUNDDOWN(IF($AG85*AC85&gt;요율!$E$3,($AG85*AC85-요율!$E$3)*요율!$C$3%*요율!$D$3%,0),-1)</f>
        <v>0</v>
      </c>
      <c r="CB85" s="31">
        <f>ROUNDDOWN(IF($AG85*AD85&gt;요율!$E$3,($AG85*AD85-요율!$E$3)*요율!$C$3%*요율!$D$3%,0),-1)</f>
        <v>0</v>
      </c>
      <c r="CD85" s="5" t="str">
        <f>IFERROR(VLOOKUP(B85,주소록,9,FALSE),"")</f>
        <v/>
      </c>
    </row>
    <row r="86" spans="1:82" ht="20.100000000000001" hidden="1" customHeight="1">
      <c r="A86" s="761"/>
      <c r="B86" s="261" t="str">
        <f>BA85</f>
        <v/>
      </c>
      <c r="C86" s="690" t="str">
        <f>IF(ISERROR(VLOOKUP(B85,주소록!$A$3:$K$523,7,0)),"",VLOOKUP(B85,주소록!$A$3:$K$523,5,0))</f>
        <v/>
      </c>
      <c r="D86" s="690"/>
      <c r="E86" s="690"/>
      <c r="F86" s="691"/>
      <c r="G86" s="692" t="str">
        <f>IF(ISERROR(VLOOKUP(B85,주소록!$A$3:$K$523,9,0)),"",VLOOKUP(B85,주소록!$A$3:$K$523,7,0))</f>
        <v/>
      </c>
      <c r="H86" s="693"/>
      <c r="I86" s="694"/>
      <c r="J86" s="692" t="str">
        <f>IF(ISERROR(VLOOKUP(B85,주소록!$A$3:$K$523,10,0)),"",VLOOKUP(B85,주소록!$A$3:$K$523,8,0))</f>
        <v/>
      </c>
      <c r="K86" s="693"/>
      <c r="L86" s="693"/>
      <c r="M86" s="693"/>
      <c r="N86" s="695"/>
      <c r="O86" s="474"/>
      <c r="P86" s="475"/>
      <c r="Q86" s="475"/>
      <c r="R86" s="468"/>
      <c r="S86" s="476"/>
      <c r="T86" s="474"/>
      <c r="U86" s="475"/>
      <c r="V86" s="475"/>
      <c r="W86" s="475"/>
      <c r="X86" s="477"/>
      <c r="Y86" s="479"/>
      <c r="Z86" s="475"/>
      <c r="AA86" s="475"/>
      <c r="AB86" s="475"/>
      <c r="AC86" s="475"/>
      <c r="AD86" s="477"/>
      <c r="AE86" s="696">
        <f>SUM(O85:AD86)</f>
        <v>0</v>
      </c>
      <c r="AF86" s="697"/>
      <c r="AG86" s="765"/>
      <c r="AH86" s="687"/>
      <c r="AI86" s="688"/>
      <c r="AJ86" s="689"/>
      <c r="AK86" s="698">
        <f>IF(C85=0,"",IF(MID(C85,7,1)="5","",IF(MID(C85,7,1)="6","",ROUNDDOWN((AK85*10%),-1))))</f>
        <v>0</v>
      </c>
      <c r="AL86" s="699"/>
      <c r="AM86" s="700"/>
      <c r="AN86" s="701">
        <f>ROUNDDOWN(AN85*요율!$F$5,-1)</f>
        <v>0</v>
      </c>
      <c r="AO86" s="701"/>
      <c r="AP86" s="701"/>
      <c r="AQ86" s="713">
        <f>IF(OR(AND(요율!$H$8="X",요율!$H$9="X",MID(C85,8,1)&gt;="5"),AND(요율!$H$8="○",요율!$H$9="X",MID(C85,8,1)&gt;="5")),"외국인",IF(요율!$H$8="X",IF(C85="",0,IF(OR(MID(C85,8,1)&lt;"3",AND(MID(C85,8,1)&gt;="5",MID(C85,8,1)&lt;="6")),IF(INT(TEXT($O$3,"yyyy.mmdd")-TEXT(TEXT(LEFT(C85,6),"1900-00-00"),"yyyy.mmdd"))&gt;=65,"65세이상",+TRUNC(AH85*요율!$C$9%,-1)),IF(INT(TEXT($O$3,"yyyy.mmdd")-TEXT(TEXT(LEFT(C85,6),"2000-00-00"),"yyyy.mmdd"))&gt;=65,"65세이상",+TRUNC(AH85*요율!$C$9%,-1)))),+TRUNC(AH85*요율!$C$9%,-1)))</f>
        <v>0</v>
      </c>
      <c r="AR86" s="699"/>
      <c r="AS86" s="699"/>
      <c r="AT86" s="714"/>
      <c r="AU86" s="715"/>
      <c r="AV86" s="716"/>
      <c r="AW86" s="723"/>
      <c r="AX86" s="724"/>
      <c r="AY86" s="725"/>
      <c r="AZ86" s="767"/>
      <c r="BA86" s="22" t="str">
        <f>BA85</f>
        <v/>
      </c>
      <c r="BB86" s="6">
        <v>2</v>
      </c>
      <c r="BC86" s="753"/>
      <c r="BD86" s="733">
        <f>B85</f>
        <v>0</v>
      </c>
      <c r="BE86" s="733"/>
      <c r="BF86" s="733"/>
      <c r="BG86" s="734">
        <f>SUM(BM85:CB86)</f>
        <v>0</v>
      </c>
      <c r="BH86" s="735"/>
      <c r="BI86" s="736"/>
      <c r="BJ86" s="144"/>
      <c r="BK86" s="145"/>
      <c r="BL86" s="146"/>
      <c r="BM86" s="17">
        <f>ROUNDDOWN(IF($AG85*O86&gt;요율!$E$3,($AG85*O86-요율!$E$3)*요율!$C$3%*요율!$D$3%,0),-1)</f>
        <v>0</v>
      </c>
      <c r="BN86" s="18">
        <f>ROUNDDOWN(IF($AG85*P86&gt;요율!$E$3,($AG85*P86-요율!$E$3)*요율!$C$3%*요율!$D$3%,0),-1)</f>
        <v>0</v>
      </c>
      <c r="BO86" s="18">
        <f>ROUNDDOWN(IF($AG85*Q86&gt;요율!$E$3,($AG85*Q86-요율!$E$3)*요율!$C$3%*요율!$D$3%,0),-1)</f>
        <v>0</v>
      </c>
      <c r="BP86" s="18">
        <f>ROUNDDOWN(IF($AG85*R86&gt;요율!$E$3,($AG85*R86-요율!$E$3)*요율!$C$3%*요율!$D$3%,0),-1)</f>
        <v>0</v>
      </c>
      <c r="BQ86" s="18">
        <f>ROUNDDOWN(IF($AG85*S86&gt;요율!$E$3,($AG85*S86-요율!$E$3)*요율!$C$3%*요율!$D$3%,0),-1)</f>
        <v>0</v>
      </c>
      <c r="BR86" s="18">
        <f>ROUNDDOWN(IF($AG85*T86&gt;요율!$E$3,($AG85*T86-요율!$E$3)*요율!$C$3%*요율!$D$3%,0),-1)</f>
        <v>0</v>
      </c>
      <c r="BS86" s="18">
        <f>ROUNDDOWN(IF($AG85*U86&gt;요율!$E$3,($AG85*U86-요율!$E$3)*요율!$C$3%*요율!$D$3%,0),-1)</f>
        <v>0</v>
      </c>
      <c r="BT86" s="18">
        <f>ROUNDDOWN(IF($AG85*V86&gt;요율!$E$3,($AG85*V86-요율!$E$3)*요율!$C$3%*요율!$D$3%,0),-1)</f>
        <v>0</v>
      </c>
      <c r="BU86" s="18">
        <f>ROUNDDOWN(IF($AG85*W86&gt;요율!$E$3,($AG85*W86-요율!$E$3)*요율!$C$3%*요율!$D$3%,0),-1)</f>
        <v>0</v>
      </c>
      <c r="BV86" s="18">
        <f>ROUNDDOWN(IF($AG85*X86&gt;요율!$E$3,($AG85*X86-요율!$E$3)*요율!$C$3%*요율!$D$3%,0),-1)</f>
        <v>0</v>
      </c>
      <c r="BW86" s="18">
        <f>ROUNDDOWN(IF($AG85*Y86&gt;요율!$E$3,($AG85*Y86-요율!$E$3)*요율!$C$3%*요율!$D$3%,0),-1)</f>
        <v>0</v>
      </c>
      <c r="BX86" s="18">
        <f>ROUNDDOWN(IF($AG85*Z86&gt;요율!$E$3,($AG85*Z86-요율!$E$3)*요율!$C$3%*요율!$D$3%,0),-1)</f>
        <v>0</v>
      </c>
      <c r="BY86" s="18">
        <f>ROUNDDOWN(IF($AG85*AA86&gt;요율!$E$3,($AG85*AA86-요율!$E$3)*요율!$C$3%*요율!$D$3%,0),-1)</f>
        <v>0</v>
      </c>
      <c r="BZ86" s="18">
        <f>ROUNDDOWN(IF($AG85*AB86&gt;요율!$E$3,($AG85*AB86-요율!$E$3)*요율!$C$3%*요율!$D$3%,0),-1)</f>
        <v>0</v>
      </c>
      <c r="CA86" s="18">
        <f>ROUNDDOWN(IF($AG85*AC86&gt;요율!$E$3,($AG85*AC86-요율!$E$3)*요율!$C$3%*요율!$D$3%,0),-1)</f>
        <v>0</v>
      </c>
      <c r="CB86" s="19">
        <f>ROUNDDOWN(IF($AG85*AD86&gt;요율!$E$3,($AG85*AD86-요율!$E$3)*요율!$C$3%*요율!$D$3%,0),-1)</f>
        <v>0</v>
      </c>
    </row>
    <row r="87" spans="1:82" ht="20.100000000000001" hidden="1" customHeight="1">
      <c r="A87" s="760">
        <f t="shared" si="2"/>
        <v>41</v>
      </c>
      <c r="B87" s="260"/>
      <c r="C87" s="708" t="str">
        <f>IF(ISERROR(VLOOKUP(B87,주소록!$A$3:$K$523,5,0)),"",VLOOKUP(B87,주소록!$A$3:$K$523,3,0))</f>
        <v/>
      </c>
      <c r="D87" s="708"/>
      <c r="E87" s="708"/>
      <c r="F87" s="709"/>
      <c r="G87" s="710" t="str">
        <f>IF(ISERROR(VLOOKUP(B87,주소록!$A$3:$K$523,6,0)),"",VLOOKUP(B87,주소록!$A$3:$K$523,4,0))</f>
        <v/>
      </c>
      <c r="H87" s="711"/>
      <c r="I87" s="711"/>
      <c r="J87" s="711"/>
      <c r="K87" s="711"/>
      <c r="L87" s="711"/>
      <c r="M87" s="711"/>
      <c r="N87" s="712"/>
      <c r="O87" s="469"/>
      <c r="P87" s="470"/>
      <c r="Q87" s="470"/>
      <c r="R87" s="470"/>
      <c r="S87" s="478"/>
      <c r="T87" s="469"/>
      <c r="U87" s="470"/>
      <c r="V87" s="470"/>
      <c r="W87" s="470"/>
      <c r="X87" s="471"/>
      <c r="Y87" s="472"/>
      <c r="Z87" s="467"/>
      <c r="AA87" s="470"/>
      <c r="AB87" s="470"/>
      <c r="AC87" s="470"/>
      <c r="AD87" s="473"/>
      <c r="AE87" s="762">
        <f>COUNTIF(O87:AD88,"&gt;=0.5")</f>
        <v>0</v>
      </c>
      <c r="AF87" s="763"/>
      <c r="AG87" s="764"/>
      <c r="AH87" s="684">
        <f>AE88*AG87</f>
        <v>0</v>
      </c>
      <c r="AI87" s="685"/>
      <c r="AJ87" s="686"/>
      <c r="AK87" s="755">
        <f>IF(BG88&lt;1000, 0, BG88)</f>
        <v>0</v>
      </c>
      <c r="AL87" s="756"/>
      <c r="AM87" s="757"/>
      <c r="AN87" s="758">
        <f>IF(요율!$H$7="○",IF(AE87&gt;=요율!$D$6,ROUNDDOWN(AH87*요율!$C$4%,-1),0),0)</f>
        <v>0</v>
      </c>
      <c r="AO87" s="756"/>
      <c r="AP87" s="757"/>
      <c r="AQ87" s="758">
        <f>BL87</f>
        <v>0</v>
      </c>
      <c r="AR87" s="756"/>
      <c r="AS87" s="759"/>
      <c r="AT87" s="717">
        <f>SUM(AK87:AS88)</f>
        <v>0</v>
      </c>
      <c r="AU87" s="718"/>
      <c r="AV87" s="719"/>
      <c r="AW87" s="720">
        <f>AH87-AT87-AT88</f>
        <v>0</v>
      </c>
      <c r="AX87" s="721"/>
      <c r="AY87" s="722"/>
      <c r="AZ87" s="766"/>
      <c r="BA87" s="21" t="str">
        <f>IF(ISERROR(VLOOKUP($B87,주소록!$A$3:$K$523,3,0)),"",VLOOKUP($B87,주소록!$A$3:$K$523,2,0))</f>
        <v/>
      </c>
      <c r="BB87" s="6">
        <v>1</v>
      </c>
      <c r="BC87" s="752">
        <f>A87</f>
        <v>41</v>
      </c>
      <c r="BD87" s="754" t="str">
        <f>IF(OR(MID(C87,8,1)&lt;"3",AND(MID(C87,8,1)&gt;="5",MID(C87,8,1)&lt;="6")),TEXT(TEXT(LEFT(C87,6),"1900-00-00"),"yyyy년 m월 d일"),TEXT(TEXT(LEFT(C87,6),"2000-00-00"),"yyyy년 m월 d일"))</f>
        <v/>
      </c>
      <c r="BE87" s="754"/>
      <c r="BF87" s="754"/>
      <c r="BG87" s="768">
        <f>IFERROR(INT( ( TEXT($O$3,"yyyy.mmdd") - TEXT(BD87,"yyyy.mmdd") )  ),0)</f>
        <v>0</v>
      </c>
      <c r="BH87" s="769"/>
      <c r="BI87" s="770"/>
      <c r="BJ87" s="133">
        <f>IF(BG87&gt;59,"60세이상",IF(OR(AE87&lt;요율!$D$6,AH87=0),0,IF(AH87&lt;요율!$C$7,요율!$D$7,IF(AH87&gt;요율!$C$8,요율!$D$8,+TRUNC(AH87*요율!$C$6%,-1)))))</f>
        <v>0</v>
      </c>
      <c r="BK87" s="143">
        <f>IF(BG87&gt;59,"60세이상",IF(OR(AH87&lt;2200000,AH87=0),0,IF(AH87&lt;요율!$C$7,요율!$D$7,IF(AH87&gt;요율!$C$8,요율!$D$8,+TRUNC(AH87*요율!$C$6%,-1)))))</f>
        <v>0</v>
      </c>
      <c r="BL87" s="140">
        <f>IF(BK87&gt;0,BK87,BJ87)</f>
        <v>0</v>
      </c>
      <c r="BM87" s="15">
        <f>ROUNDDOWN(IF($AG87*O87&gt;요율!$E$3,($AG87*O87-요율!$E$3)*요율!$C$3%*요율!$D$3%,0),-1)</f>
        <v>0</v>
      </c>
      <c r="BN87" s="16">
        <f>ROUNDDOWN(IF($AG87*P87&gt;요율!$E$3,($AG87*P87-요율!$E$3)*요율!$C$3%*요율!$D$3%,0),-1)</f>
        <v>0</v>
      </c>
      <c r="BO87" s="16">
        <f>ROUNDDOWN(IF($AG87*Q87&gt;요율!$E$3,($AG87*Q87-요율!$E$3)*요율!$C$3%*요율!$D$3%,0),-1)</f>
        <v>0</v>
      </c>
      <c r="BP87" s="16">
        <f>ROUNDDOWN(IF($AG87*R87&gt;요율!$E$3,($AG87*R87-요율!$E$3)*요율!$C$3%*요율!$D$3%,0),-1)</f>
        <v>0</v>
      </c>
      <c r="BQ87" s="16">
        <f>ROUNDDOWN(IF($AG87*S87&gt;요율!$E$3,($AG87*S87-요율!$E$3)*요율!$C$3%*요율!$D$3%,0),-1)</f>
        <v>0</v>
      </c>
      <c r="BR87" s="16">
        <f>ROUNDDOWN(IF($AG87*T87&gt;요율!$E$3,($AG87*T87-요율!$E$3)*요율!$C$3%*요율!$D$3%,0),-1)</f>
        <v>0</v>
      </c>
      <c r="BS87" s="16">
        <f>ROUNDDOWN(IF($AG87*U87&gt;요율!$E$3,($AG87*U87-요율!$E$3)*요율!$C$3%*요율!$D$3%,0),-1)</f>
        <v>0</v>
      </c>
      <c r="BT87" s="16">
        <f>ROUNDDOWN(IF($AG87*V87&gt;요율!$E$3,($AG87*V87-요율!$E$3)*요율!$C$3%*요율!$D$3%,0),-1)</f>
        <v>0</v>
      </c>
      <c r="BU87" s="16">
        <f>ROUNDDOWN(IF($AG87*W87&gt;요율!$E$3,($AG87*W87-요율!$E$3)*요율!$C$3%*요율!$D$3%,0),-1)</f>
        <v>0</v>
      </c>
      <c r="BV87" s="16">
        <f>ROUNDDOWN(IF($AG87*X87&gt;요율!$E$3,($AG87*X87-요율!$E$3)*요율!$C$3%*요율!$D$3%,0),-1)</f>
        <v>0</v>
      </c>
      <c r="BW87" s="16">
        <f>ROUNDDOWN(IF($AG87*Y87&gt;요율!$E$3,($AG87*Y87-요율!$E$3)*요율!$C$3%*요율!$D$3%,0),-1)</f>
        <v>0</v>
      </c>
      <c r="BX87" s="16">
        <f>ROUNDDOWN(IF($AG87*Z87&gt;요율!$E$3,($AG87*Z87-요율!$E$3)*요율!$C$3%*요율!$D$3%,0),-1)</f>
        <v>0</v>
      </c>
      <c r="BY87" s="16">
        <f>ROUNDDOWN(IF($AG87*AA87&gt;요율!$E$3,($AG87*AA87-요율!$E$3)*요율!$C$3%*요율!$D$3%,0),-1)</f>
        <v>0</v>
      </c>
      <c r="BZ87" s="16">
        <f>ROUNDDOWN(IF($AG87*AB87&gt;요율!$E$3,($AG87*AB87-요율!$E$3)*요율!$C$3%*요율!$D$3%,0),-1)</f>
        <v>0</v>
      </c>
      <c r="CA87" s="16">
        <f>ROUNDDOWN(IF($AG87*AC87&gt;요율!$E$3,($AG87*AC87-요율!$E$3)*요율!$C$3%*요율!$D$3%,0),-1)</f>
        <v>0</v>
      </c>
      <c r="CB87" s="31">
        <f>ROUNDDOWN(IF($AG87*AD87&gt;요율!$E$3,($AG87*AD87-요율!$E$3)*요율!$C$3%*요율!$D$3%,0),-1)</f>
        <v>0</v>
      </c>
      <c r="CD87" s="5" t="str">
        <f>IFERROR(VLOOKUP(B87,주소록,9,FALSE),"")</f>
        <v/>
      </c>
    </row>
    <row r="88" spans="1:82" ht="20.100000000000001" hidden="1" customHeight="1">
      <c r="A88" s="761"/>
      <c r="B88" s="261" t="str">
        <f>BA87</f>
        <v/>
      </c>
      <c r="C88" s="690" t="str">
        <f>IF(ISERROR(VLOOKUP(B87,주소록!$A$3:$K$523,7,0)),"",VLOOKUP(B87,주소록!$A$3:$K$523,5,0))</f>
        <v/>
      </c>
      <c r="D88" s="690"/>
      <c r="E88" s="690"/>
      <c r="F88" s="691"/>
      <c r="G88" s="692" t="str">
        <f>IF(ISERROR(VLOOKUP(B87,주소록!$A$3:$K$523,9,0)),"",VLOOKUP(B87,주소록!$A$3:$K$523,7,0))</f>
        <v/>
      </c>
      <c r="H88" s="693"/>
      <c r="I88" s="694"/>
      <c r="J88" s="692" t="str">
        <f>IF(ISERROR(VLOOKUP(B87,주소록!$A$3:$K$523,10,0)),"",VLOOKUP(B87,주소록!$A$3:$K$523,8,0))</f>
        <v/>
      </c>
      <c r="K88" s="693"/>
      <c r="L88" s="693"/>
      <c r="M88" s="693"/>
      <c r="N88" s="695"/>
      <c r="O88" s="474"/>
      <c r="P88" s="475"/>
      <c r="Q88" s="475"/>
      <c r="R88" s="468"/>
      <c r="S88" s="476"/>
      <c r="T88" s="474"/>
      <c r="U88" s="475"/>
      <c r="V88" s="475"/>
      <c r="W88" s="475"/>
      <c r="X88" s="477"/>
      <c r="Y88" s="479"/>
      <c r="Z88" s="475"/>
      <c r="AA88" s="475"/>
      <c r="AB88" s="475"/>
      <c r="AC88" s="475"/>
      <c r="AD88" s="477"/>
      <c r="AE88" s="696">
        <f>SUM(O87:AD88)</f>
        <v>0</v>
      </c>
      <c r="AF88" s="697"/>
      <c r="AG88" s="765"/>
      <c r="AH88" s="687"/>
      <c r="AI88" s="688"/>
      <c r="AJ88" s="689"/>
      <c r="AK88" s="698">
        <f>IF(C87=0,"",IF(MID(C87,7,1)="5","",IF(MID(C87,7,1)="6","",ROUNDDOWN((AK87*10%),-1))))</f>
        <v>0</v>
      </c>
      <c r="AL88" s="699"/>
      <c r="AM88" s="700"/>
      <c r="AN88" s="701">
        <f>ROUNDDOWN(AN87*요율!$F$5,-1)</f>
        <v>0</v>
      </c>
      <c r="AO88" s="701"/>
      <c r="AP88" s="701"/>
      <c r="AQ88" s="713">
        <f>IF(OR(AND(요율!$H$8="X",요율!$H$9="X",MID(C87,8,1)&gt;="5"),AND(요율!$H$8="○",요율!$H$9="X",MID(C87,8,1)&gt;="5")),"외국인",IF(요율!$H$8="X",IF(C87="",0,IF(OR(MID(C87,8,1)&lt;"3",AND(MID(C87,8,1)&gt;="5",MID(C87,8,1)&lt;="6")),IF(INT(TEXT($O$3,"yyyy.mmdd")-TEXT(TEXT(LEFT(C87,6),"1900-00-00"),"yyyy.mmdd"))&gt;=65,"65세이상",+TRUNC(AH87*요율!$C$9%,-1)),IF(INT(TEXT($O$3,"yyyy.mmdd")-TEXT(TEXT(LEFT(C87,6),"2000-00-00"),"yyyy.mmdd"))&gt;=65,"65세이상",+TRUNC(AH87*요율!$C$9%,-1)))),+TRUNC(AH87*요율!$C$9%,-1)))</f>
        <v>0</v>
      </c>
      <c r="AR88" s="699"/>
      <c r="AS88" s="699"/>
      <c r="AT88" s="714"/>
      <c r="AU88" s="715"/>
      <c r="AV88" s="716"/>
      <c r="AW88" s="723"/>
      <c r="AX88" s="724"/>
      <c r="AY88" s="725"/>
      <c r="AZ88" s="767"/>
      <c r="BA88" s="22" t="str">
        <f>BA87</f>
        <v/>
      </c>
      <c r="BB88" s="6">
        <v>2</v>
      </c>
      <c r="BC88" s="753"/>
      <c r="BD88" s="733">
        <f>B87</f>
        <v>0</v>
      </c>
      <c r="BE88" s="733"/>
      <c r="BF88" s="733"/>
      <c r="BG88" s="734">
        <f>SUM(BM87:CB88)</f>
        <v>0</v>
      </c>
      <c r="BH88" s="735"/>
      <c r="BI88" s="736"/>
      <c r="BJ88" s="144"/>
      <c r="BK88" s="145"/>
      <c r="BL88" s="146"/>
      <c r="BM88" s="17">
        <f>ROUNDDOWN(IF($AG87*O88&gt;요율!$E$3,($AG87*O88-요율!$E$3)*요율!$C$3%*요율!$D$3%,0),-1)</f>
        <v>0</v>
      </c>
      <c r="BN88" s="18">
        <f>ROUNDDOWN(IF($AG87*P88&gt;요율!$E$3,($AG87*P88-요율!$E$3)*요율!$C$3%*요율!$D$3%,0),-1)</f>
        <v>0</v>
      </c>
      <c r="BO88" s="18">
        <f>ROUNDDOWN(IF($AG87*Q88&gt;요율!$E$3,($AG87*Q88-요율!$E$3)*요율!$C$3%*요율!$D$3%,0),-1)</f>
        <v>0</v>
      </c>
      <c r="BP88" s="18">
        <f>ROUNDDOWN(IF($AG87*R88&gt;요율!$E$3,($AG87*R88-요율!$E$3)*요율!$C$3%*요율!$D$3%,0),-1)</f>
        <v>0</v>
      </c>
      <c r="BQ88" s="18">
        <f>ROUNDDOWN(IF($AG87*S88&gt;요율!$E$3,($AG87*S88-요율!$E$3)*요율!$C$3%*요율!$D$3%,0),-1)</f>
        <v>0</v>
      </c>
      <c r="BR88" s="18">
        <f>ROUNDDOWN(IF($AG87*T88&gt;요율!$E$3,($AG87*T88-요율!$E$3)*요율!$C$3%*요율!$D$3%,0),-1)</f>
        <v>0</v>
      </c>
      <c r="BS88" s="18">
        <f>ROUNDDOWN(IF($AG87*U88&gt;요율!$E$3,($AG87*U88-요율!$E$3)*요율!$C$3%*요율!$D$3%,0),-1)</f>
        <v>0</v>
      </c>
      <c r="BT88" s="18">
        <f>ROUNDDOWN(IF($AG87*V88&gt;요율!$E$3,($AG87*V88-요율!$E$3)*요율!$C$3%*요율!$D$3%,0),-1)</f>
        <v>0</v>
      </c>
      <c r="BU88" s="18">
        <f>ROUNDDOWN(IF($AG87*W88&gt;요율!$E$3,($AG87*W88-요율!$E$3)*요율!$C$3%*요율!$D$3%,0),-1)</f>
        <v>0</v>
      </c>
      <c r="BV88" s="18">
        <f>ROUNDDOWN(IF($AG87*X88&gt;요율!$E$3,($AG87*X88-요율!$E$3)*요율!$C$3%*요율!$D$3%,0),-1)</f>
        <v>0</v>
      </c>
      <c r="BW88" s="18">
        <f>ROUNDDOWN(IF($AG87*Y88&gt;요율!$E$3,($AG87*Y88-요율!$E$3)*요율!$C$3%*요율!$D$3%,0),-1)</f>
        <v>0</v>
      </c>
      <c r="BX88" s="18">
        <f>ROUNDDOWN(IF($AG87*Z88&gt;요율!$E$3,($AG87*Z88-요율!$E$3)*요율!$C$3%*요율!$D$3%,0),-1)</f>
        <v>0</v>
      </c>
      <c r="BY88" s="18">
        <f>ROUNDDOWN(IF($AG87*AA88&gt;요율!$E$3,($AG87*AA88-요율!$E$3)*요율!$C$3%*요율!$D$3%,0),-1)</f>
        <v>0</v>
      </c>
      <c r="BZ88" s="18">
        <f>ROUNDDOWN(IF($AG87*AB88&gt;요율!$E$3,($AG87*AB88-요율!$E$3)*요율!$C$3%*요율!$D$3%,0),-1)</f>
        <v>0</v>
      </c>
      <c r="CA88" s="18">
        <f>ROUNDDOWN(IF($AG87*AC88&gt;요율!$E$3,($AG87*AC88-요율!$E$3)*요율!$C$3%*요율!$D$3%,0),-1)</f>
        <v>0</v>
      </c>
      <c r="CB88" s="19">
        <f>ROUNDDOWN(IF($AG87*AD88&gt;요율!$E$3,($AG87*AD88-요율!$E$3)*요율!$C$3%*요율!$D$3%,0),-1)</f>
        <v>0</v>
      </c>
    </row>
    <row r="89" spans="1:82" ht="20.100000000000001" hidden="1" customHeight="1">
      <c r="A89" s="760">
        <f t="shared" si="2"/>
        <v>42</v>
      </c>
      <c r="B89" s="260"/>
      <c r="C89" s="708" t="str">
        <f>IF(ISERROR(VLOOKUP(B89,주소록!$A$3:$K$523,5,0)),"",VLOOKUP(B89,주소록!$A$3:$K$523,3,0))</f>
        <v/>
      </c>
      <c r="D89" s="708"/>
      <c r="E89" s="708"/>
      <c r="F89" s="709"/>
      <c r="G89" s="710" t="str">
        <f>IF(ISERROR(VLOOKUP(B89,주소록!$A$3:$K$523,6,0)),"",VLOOKUP(B89,주소록!$A$3:$K$523,4,0))</f>
        <v/>
      </c>
      <c r="H89" s="711"/>
      <c r="I89" s="711"/>
      <c r="J89" s="711"/>
      <c r="K89" s="711"/>
      <c r="L89" s="711"/>
      <c r="M89" s="711"/>
      <c r="N89" s="712"/>
      <c r="O89" s="469"/>
      <c r="P89" s="470"/>
      <c r="Q89" s="470"/>
      <c r="R89" s="470"/>
      <c r="S89" s="478"/>
      <c r="T89" s="469"/>
      <c r="U89" s="470"/>
      <c r="V89" s="470"/>
      <c r="W89" s="470"/>
      <c r="X89" s="471"/>
      <c r="Y89" s="472"/>
      <c r="Z89" s="467"/>
      <c r="AA89" s="470"/>
      <c r="AB89" s="470"/>
      <c r="AC89" s="470"/>
      <c r="AD89" s="473"/>
      <c r="AE89" s="762">
        <f>COUNTIF(O89:AD90,"&gt;=0.5")</f>
        <v>0</v>
      </c>
      <c r="AF89" s="763"/>
      <c r="AG89" s="764"/>
      <c r="AH89" s="684">
        <f>AE90*AG89</f>
        <v>0</v>
      </c>
      <c r="AI89" s="685"/>
      <c r="AJ89" s="686"/>
      <c r="AK89" s="755">
        <f>IF(BG90&lt;1000, 0, BG90)</f>
        <v>0</v>
      </c>
      <c r="AL89" s="756"/>
      <c r="AM89" s="757"/>
      <c r="AN89" s="758">
        <f>IF(요율!$H$7="○",IF(AE89&gt;=요율!$D$6,ROUNDDOWN(AH89*요율!$C$4%,-1),0),0)</f>
        <v>0</v>
      </c>
      <c r="AO89" s="756"/>
      <c r="AP89" s="757"/>
      <c r="AQ89" s="758">
        <f>BL89</f>
        <v>0</v>
      </c>
      <c r="AR89" s="756"/>
      <c r="AS89" s="759"/>
      <c r="AT89" s="717">
        <f>SUM(AK89:AS90)</f>
        <v>0</v>
      </c>
      <c r="AU89" s="718"/>
      <c r="AV89" s="719"/>
      <c r="AW89" s="720">
        <f>AH89-AT89-AT90</f>
        <v>0</v>
      </c>
      <c r="AX89" s="721"/>
      <c r="AY89" s="722"/>
      <c r="AZ89" s="766"/>
      <c r="BA89" s="21" t="str">
        <f>IF(ISERROR(VLOOKUP($B89,주소록!$A$3:$K$523,3,0)),"",VLOOKUP($B89,주소록!$A$3:$K$523,2,0))</f>
        <v/>
      </c>
      <c r="BB89" s="6">
        <v>1</v>
      </c>
      <c r="BC89" s="752">
        <f>A89</f>
        <v>42</v>
      </c>
      <c r="BD89" s="754" t="str">
        <f>IF(OR(MID(C89,8,1)&lt;"3",AND(MID(C89,8,1)&gt;="5",MID(C89,8,1)&lt;="6")),TEXT(TEXT(LEFT(C89,6),"1900-00-00"),"yyyy년 m월 d일"),TEXT(TEXT(LEFT(C89,6),"2000-00-00"),"yyyy년 m월 d일"))</f>
        <v/>
      </c>
      <c r="BE89" s="754"/>
      <c r="BF89" s="754"/>
      <c r="BG89" s="768">
        <f>IFERROR(INT( ( TEXT($O$3,"yyyy.mmdd") - TEXT(BD89,"yyyy.mmdd") )  ),0)</f>
        <v>0</v>
      </c>
      <c r="BH89" s="769"/>
      <c r="BI89" s="770"/>
      <c r="BJ89" s="133">
        <f>IF(BG89&gt;59,"60세이상",IF(OR(AE89&lt;요율!$D$6,AH89=0),0,IF(AH89&lt;요율!$C$7,요율!$D$7,IF(AH89&gt;요율!$C$8,요율!$D$8,+TRUNC(AH89*요율!$C$6%,-1)))))</f>
        <v>0</v>
      </c>
      <c r="BK89" s="143">
        <f>IF(BG89&gt;59,"60세이상",IF(OR(AH89&lt;2200000,AH89=0),0,IF(AH89&lt;요율!$C$7,요율!$D$7,IF(AH89&gt;요율!$C$8,요율!$D$8,+TRUNC(AH89*요율!$C$6%,-1)))))</f>
        <v>0</v>
      </c>
      <c r="BL89" s="140">
        <f>IF(BK89&gt;0,BK89,BJ89)</f>
        <v>0</v>
      </c>
      <c r="BM89" s="15">
        <f>ROUNDDOWN(IF($AG89*O89&gt;요율!$E$3,($AG89*O89-요율!$E$3)*요율!$C$3%*요율!$D$3%,0),-1)</f>
        <v>0</v>
      </c>
      <c r="BN89" s="16">
        <f>ROUNDDOWN(IF($AG89*P89&gt;요율!$E$3,($AG89*P89-요율!$E$3)*요율!$C$3%*요율!$D$3%,0),-1)</f>
        <v>0</v>
      </c>
      <c r="BO89" s="16">
        <f>ROUNDDOWN(IF($AG89*Q89&gt;요율!$E$3,($AG89*Q89-요율!$E$3)*요율!$C$3%*요율!$D$3%,0),-1)</f>
        <v>0</v>
      </c>
      <c r="BP89" s="16">
        <f>ROUNDDOWN(IF($AG89*R89&gt;요율!$E$3,($AG89*R89-요율!$E$3)*요율!$C$3%*요율!$D$3%,0),-1)</f>
        <v>0</v>
      </c>
      <c r="BQ89" s="16">
        <f>ROUNDDOWN(IF($AG89*S89&gt;요율!$E$3,($AG89*S89-요율!$E$3)*요율!$C$3%*요율!$D$3%,0),-1)</f>
        <v>0</v>
      </c>
      <c r="BR89" s="16">
        <f>ROUNDDOWN(IF($AG89*T89&gt;요율!$E$3,($AG89*T89-요율!$E$3)*요율!$C$3%*요율!$D$3%,0),-1)</f>
        <v>0</v>
      </c>
      <c r="BS89" s="16">
        <f>ROUNDDOWN(IF($AG89*U89&gt;요율!$E$3,($AG89*U89-요율!$E$3)*요율!$C$3%*요율!$D$3%,0),-1)</f>
        <v>0</v>
      </c>
      <c r="BT89" s="16">
        <f>ROUNDDOWN(IF($AG89*V89&gt;요율!$E$3,($AG89*V89-요율!$E$3)*요율!$C$3%*요율!$D$3%,0),-1)</f>
        <v>0</v>
      </c>
      <c r="BU89" s="16">
        <f>ROUNDDOWN(IF($AG89*W89&gt;요율!$E$3,($AG89*W89-요율!$E$3)*요율!$C$3%*요율!$D$3%,0),-1)</f>
        <v>0</v>
      </c>
      <c r="BV89" s="16">
        <f>ROUNDDOWN(IF($AG89*X89&gt;요율!$E$3,($AG89*X89-요율!$E$3)*요율!$C$3%*요율!$D$3%,0),-1)</f>
        <v>0</v>
      </c>
      <c r="BW89" s="16">
        <f>ROUNDDOWN(IF($AG89*Y89&gt;요율!$E$3,($AG89*Y89-요율!$E$3)*요율!$C$3%*요율!$D$3%,0),-1)</f>
        <v>0</v>
      </c>
      <c r="BX89" s="16">
        <f>ROUNDDOWN(IF($AG89*Z89&gt;요율!$E$3,($AG89*Z89-요율!$E$3)*요율!$C$3%*요율!$D$3%,0),-1)</f>
        <v>0</v>
      </c>
      <c r="BY89" s="16">
        <f>ROUNDDOWN(IF($AG89*AA89&gt;요율!$E$3,($AG89*AA89-요율!$E$3)*요율!$C$3%*요율!$D$3%,0),-1)</f>
        <v>0</v>
      </c>
      <c r="BZ89" s="16">
        <f>ROUNDDOWN(IF($AG89*AB89&gt;요율!$E$3,($AG89*AB89-요율!$E$3)*요율!$C$3%*요율!$D$3%,0),-1)</f>
        <v>0</v>
      </c>
      <c r="CA89" s="16">
        <f>ROUNDDOWN(IF($AG89*AC89&gt;요율!$E$3,($AG89*AC89-요율!$E$3)*요율!$C$3%*요율!$D$3%,0),-1)</f>
        <v>0</v>
      </c>
      <c r="CB89" s="31">
        <f>ROUNDDOWN(IF($AG89*AD89&gt;요율!$E$3,($AG89*AD89-요율!$E$3)*요율!$C$3%*요율!$D$3%,0),-1)</f>
        <v>0</v>
      </c>
      <c r="CD89" s="5" t="str">
        <f>IFERROR(VLOOKUP(B89,주소록,9,FALSE),"")</f>
        <v/>
      </c>
    </row>
    <row r="90" spans="1:82" ht="20.100000000000001" hidden="1" customHeight="1">
      <c r="A90" s="761"/>
      <c r="B90" s="261" t="str">
        <f>BA89</f>
        <v/>
      </c>
      <c r="C90" s="690" t="str">
        <f>IF(ISERROR(VLOOKUP(B89,주소록!$A$3:$K$523,7,0)),"",VLOOKUP(B89,주소록!$A$3:$K$523,5,0))</f>
        <v/>
      </c>
      <c r="D90" s="690"/>
      <c r="E90" s="690"/>
      <c r="F90" s="691"/>
      <c r="G90" s="692" t="str">
        <f>IF(ISERROR(VLOOKUP(B89,주소록!$A$3:$K$523,9,0)),"",VLOOKUP(B89,주소록!$A$3:$K$523,7,0))</f>
        <v/>
      </c>
      <c r="H90" s="693"/>
      <c r="I90" s="694"/>
      <c r="J90" s="692" t="str">
        <f>IF(ISERROR(VLOOKUP(B89,주소록!$A$3:$K$523,10,0)),"",VLOOKUP(B89,주소록!$A$3:$K$523,8,0))</f>
        <v/>
      </c>
      <c r="K90" s="693"/>
      <c r="L90" s="693"/>
      <c r="M90" s="693"/>
      <c r="N90" s="695"/>
      <c r="O90" s="474"/>
      <c r="P90" s="475"/>
      <c r="Q90" s="475"/>
      <c r="R90" s="468"/>
      <c r="S90" s="476"/>
      <c r="T90" s="474"/>
      <c r="U90" s="475"/>
      <c r="V90" s="475"/>
      <c r="W90" s="475"/>
      <c r="X90" s="477"/>
      <c r="Y90" s="479"/>
      <c r="Z90" s="475"/>
      <c r="AA90" s="475"/>
      <c r="AB90" s="475"/>
      <c r="AC90" s="475"/>
      <c r="AD90" s="477"/>
      <c r="AE90" s="696">
        <f>SUM(O89:AD90)</f>
        <v>0</v>
      </c>
      <c r="AF90" s="697"/>
      <c r="AG90" s="765"/>
      <c r="AH90" s="687"/>
      <c r="AI90" s="688"/>
      <c r="AJ90" s="689"/>
      <c r="AK90" s="698">
        <f>IF(C89=0,"",IF(MID(C89,7,1)="5","",IF(MID(C89,7,1)="6","",ROUNDDOWN((AK89*10%),-1))))</f>
        <v>0</v>
      </c>
      <c r="AL90" s="699"/>
      <c r="AM90" s="700"/>
      <c r="AN90" s="701">
        <f>ROUNDDOWN(AN89*요율!$F$5,-1)</f>
        <v>0</v>
      </c>
      <c r="AO90" s="701"/>
      <c r="AP90" s="701"/>
      <c r="AQ90" s="713">
        <f>IF(OR(AND(요율!$H$8="X",요율!$H$9="X",MID(C89,8,1)&gt;="5"),AND(요율!$H$8="○",요율!$H$9="X",MID(C89,8,1)&gt;="5")),"외국인",IF(요율!$H$8="X",IF(C89="",0,IF(OR(MID(C89,8,1)&lt;"3",AND(MID(C89,8,1)&gt;="5",MID(C89,8,1)&lt;="6")),IF(INT(TEXT($O$3,"yyyy.mmdd")-TEXT(TEXT(LEFT(C89,6),"1900-00-00"),"yyyy.mmdd"))&gt;=65,"65세이상",+TRUNC(AH89*요율!$C$9%,-1)),IF(INT(TEXT($O$3,"yyyy.mmdd")-TEXT(TEXT(LEFT(C89,6),"2000-00-00"),"yyyy.mmdd"))&gt;=65,"65세이상",+TRUNC(AH89*요율!$C$9%,-1)))),+TRUNC(AH89*요율!$C$9%,-1)))</f>
        <v>0</v>
      </c>
      <c r="AR90" s="699"/>
      <c r="AS90" s="699"/>
      <c r="AT90" s="714"/>
      <c r="AU90" s="715"/>
      <c r="AV90" s="716"/>
      <c r="AW90" s="723"/>
      <c r="AX90" s="724"/>
      <c r="AY90" s="725"/>
      <c r="AZ90" s="767"/>
      <c r="BA90" s="22" t="str">
        <f>BA89</f>
        <v/>
      </c>
      <c r="BB90" s="6">
        <v>2</v>
      </c>
      <c r="BC90" s="753"/>
      <c r="BD90" s="733">
        <f>B89</f>
        <v>0</v>
      </c>
      <c r="BE90" s="733"/>
      <c r="BF90" s="733"/>
      <c r="BG90" s="734">
        <f>SUM(BM89:CB90)</f>
        <v>0</v>
      </c>
      <c r="BH90" s="735"/>
      <c r="BI90" s="736"/>
      <c r="BJ90" s="144"/>
      <c r="BK90" s="145"/>
      <c r="BL90" s="146"/>
      <c r="BM90" s="17">
        <f>ROUNDDOWN(IF($AG89*O90&gt;요율!$E$3,($AG89*O90-요율!$E$3)*요율!$C$3%*요율!$D$3%,0),-1)</f>
        <v>0</v>
      </c>
      <c r="BN90" s="18">
        <f>ROUNDDOWN(IF($AG89*P90&gt;요율!$E$3,($AG89*P90-요율!$E$3)*요율!$C$3%*요율!$D$3%,0),-1)</f>
        <v>0</v>
      </c>
      <c r="BO90" s="18">
        <f>ROUNDDOWN(IF($AG89*Q90&gt;요율!$E$3,($AG89*Q90-요율!$E$3)*요율!$C$3%*요율!$D$3%,0),-1)</f>
        <v>0</v>
      </c>
      <c r="BP90" s="18">
        <f>ROUNDDOWN(IF($AG89*R90&gt;요율!$E$3,($AG89*R90-요율!$E$3)*요율!$C$3%*요율!$D$3%,0),-1)</f>
        <v>0</v>
      </c>
      <c r="BQ90" s="18">
        <f>ROUNDDOWN(IF($AG89*S90&gt;요율!$E$3,($AG89*S90-요율!$E$3)*요율!$C$3%*요율!$D$3%,0),-1)</f>
        <v>0</v>
      </c>
      <c r="BR90" s="18">
        <f>ROUNDDOWN(IF($AG89*T90&gt;요율!$E$3,($AG89*T90-요율!$E$3)*요율!$C$3%*요율!$D$3%,0),-1)</f>
        <v>0</v>
      </c>
      <c r="BS90" s="18">
        <f>ROUNDDOWN(IF($AG89*U90&gt;요율!$E$3,($AG89*U90-요율!$E$3)*요율!$C$3%*요율!$D$3%,0),-1)</f>
        <v>0</v>
      </c>
      <c r="BT90" s="18">
        <f>ROUNDDOWN(IF($AG89*V90&gt;요율!$E$3,($AG89*V90-요율!$E$3)*요율!$C$3%*요율!$D$3%,0),-1)</f>
        <v>0</v>
      </c>
      <c r="BU90" s="18">
        <f>ROUNDDOWN(IF($AG89*W90&gt;요율!$E$3,($AG89*W90-요율!$E$3)*요율!$C$3%*요율!$D$3%,0),-1)</f>
        <v>0</v>
      </c>
      <c r="BV90" s="18">
        <f>ROUNDDOWN(IF($AG89*X90&gt;요율!$E$3,($AG89*X90-요율!$E$3)*요율!$C$3%*요율!$D$3%,0),-1)</f>
        <v>0</v>
      </c>
      <c r="BW90" s="18">
        <f>ROUNDDOWN(IF($AG89*Y90&gt;요율!$E$3,($AG89*Y90-요율!$E$3)*요율!$C$3%*요율!$D$3%,0),-1)</f>
        <v>0</v>
      </c>
      <c r="BX90" s="18">
        <f>ROUNDDOWN(IF($AG89*Z90&gt;요율!$E$3,($AG89*Z90-요율!$E$3)*요율!$C$3%*요율!$D$3%,0),-1)</f>
        <v>0</v>
      </c>
      <c r="BY90" s="18">
        <f>ROUNDDOWN(IF($AG89*AA90&gt;요율!$E$3,($AG89*AA90-요율!$E$3)*요율!$C$3%*요율!$D$3%,0),-1)</f>
        <v>0</v>
      </c>
      <c r="BZ90" s="18">
        <f>ROUNDDOWN(IF($AG89*AB90&gt;요율!$E$3,($AG89*AB90-요율!$E$3)*요율!$C$3%*요율!$D$3%,0),-1)</f>
        <v>0</v>
      </c>
      <c r="CA90" s="18">
        <f>ROUNDDOWN(IF($AG89*AC90&gt;요율!$E$3,($AG89*AC90-요율!$E$3)*요율!$C$3%*요율!$D$3%,0),-1)</f>
        <v>0</v>
      </c>
      <c r="CB90" s="19">
        <f>ROUNDDOWN(IF($AG89*AD90&gt;요율!$E$3,($AG89*AD90-요율!$E$3)*요율!$C$3%*요율!$D$3%,0),-1)</f>
        <v>0</v>
      </c>
    </row>
    <row r="91" spans="1:82" ht="20.100000000000001" hidden="1" customHeight="1">
      <c r="A91" s="760">
        <f t="shared" si="2"/>
        <v>43</v>
      </c>
      <c r="B91" s="260"/>
      <c r="C91" s="708" t="str">
        <f>IF(ISERROR(VLOOKUP(B91,주소록!$A$3:$K$523,5,0)),"",VLOOKUP(B91,주소록!$A$3:$K$523,3,0))</f>
        <v/>
      </c>
      <c r="D91" s="708"/>
      <c r="E91" s="708"/>
      <c r="F91" s="709"/>
      <c r="G91" s="710" t="str">
        <f>IF(ISERROR(VLOOKUP(B91,주소록!$A$3:$K$523,6,0)),"",VLOOKUP(B91,주소록!$A$3:$K$523,4,0))</f>
        <v/>
      </c>
      <c r="H91" s="711"/>
      <c r="I91" s="711"/>
      <c r="J91" s="711"/>
      <c r="K91" s="711"/>
      <c r="L91" s="711"/>
      <c r="M91" s="711"/>
      <c r="N91" s="712"/>
      <c r="O91" s="469"/>
      <c r="P91" s="470"/>
      <c r="Q91" s="470"/>
      <c r="R91" s="470"/>
      <c r="S91" s="478"/>
      <c r="T91" s="469"/>
      <c r="U91" s="470"/>
      <c r="V91" s="470"/>
      <c r="W91" s="470"/>
      <c r="X91" s="471"/>
      <c r="Y91" s="472"/>
      <c r="Z91" s="467"/>
      <c r="AA91" s="470"/>
      <c r="AB91" s="470"/>
      <c r="AC91" s="470"/>
      <c r="AD91" s="473"/>
      <c r="AE91" s="762">
        <f>COUNTIF(O91:AD92,"&gt;=0.5")</f>
        <v>0</v>
      </c>
      <c r="AF91" s="763"/>
      <c r="AG91" s="764"/>
      <c r="AH91" s="684">
        <f>AE92*AG91</f>
        <v>0</v>
      </c>
      <c r="AI91" s="685"/>
      <c r="AJ91" s="686"/>
      <c r="AK91" s="755">
        <f>IF(BG92&lt;1000, 0, BG92)</f>
        <v>0</v>
      </c>
      <c r="AL91" s="756"/>
      <c r="AM91" s="757"/>
      <c r="AN91" s="758">
        <f>IF(요율!$H$7="○",IF(AE91&gt;=요율!$D$6,ROUNDDOWN(AH91*요율!$C$4%,-1),0),0)</f>
        <v>0</v>
      </c>
      <c r="AO91" s="756"/>
      <c r="AP91" s="757"/>
      <c r="AQ91" s="758">
        <f>BL91</f>
        <v>0</v>
      </c>
      <c r="AR91" s="756"/>
      <c r="AS91" s="759"/>
      <c r="AT91" s="717">
        <f>SUM(AK91:AS92)</f>
        <v>0</v>
      </c>
      <c r="AU91" s="718"/>
      <c r="AV91" s="719"/>
      <c r="AW91" s="720">
        <f>AH91-AT91-AT92</f>
        <v>0</v>
      </c>
      <c r="AX91" s="721"/>
      <c r="AY91" s="722"/>
      <c r="AZ91" s="766"/>
      <c r="BA91" s="21" t="str">
        <f>IF(ISERROR(VLOOKUP($B91,주소록!$A$3:$K$523,3,0)),"",VLOOKUP($B91,주소록!$A$3:$K$523,2,0))</f>
        <v/>
      </c>
      <c r="BB91" s="6">
        <v>1</v>
      </c>
      <c r="BC91" s="752">
        <f>A91</f>
        <v>43</v>
      </c>
      <c r="BD91" s="754" t="str">
        <f>IF(OR(MID(C91,8,1)&lt;"3",AND(MID(C91,8,1)&gt;="5",MID(C91,8,1)&lt;="6")),TEXT(TEXT(LEFT(C91,6),"1900-00-00"),"yyyy년 m월 d일"),TEXT(TEXT(LEFT(C91,6),"2000-00-00"),"yyyy년 m월 d일"))</f>
        <v/>
      </c>
      <c r="BE91" s="754"/>
      <c r="BF91" s="754"/>
      <c r="BG91" s="768">
        <f>IFERROR(INT( ( TEXT($O$3,"yyyy.mmdd") - TEXT(BD91,"yyyy.mmdd") )  ),0)</f>
        <v>0</v>
      </c>
      <c r="BH91" s="769"/>
      <c r="BI91" s="770"/>
      <c r="BJ91" s="133">
        <f>IF(BG91&gt;59,"60세이상",IF(OR(AE91&lt;요율!$D$6,AH91=0),0,IF(AH91&lt;요율!$C$7,요율!$D$7,IF(AH91&gt;요율!$C$8,요율!$D$8,+TRUNC(AH91*요율!$C$6%,-1)))))</f>
        <v>0</v>
      </c>
      <c r="BK91" s="143">
        <f>IF(BG91&gt;59,"60세이상",IF(OR(AH91&lt;2200000,AH91=0),0,IF(AH91&lt;요율!$C$7,요율!$D$7,IF(AH91&gt;요율!$C$8,요율!$D$8,+TRUNC(AH91*요율!$C$6%,-1)))))</f>
        <v>0</v>
      </c>
      <c r="BL91" s="140">
        <f>IF(BK91&gt;0,BK91,BJ91)</f>
        <v>0</v>
      </c>
      <c r="BM91" s="15">
        <f>ROUNDDOWN(IF($AG91*O91&gt;요율!$E$3,($AG91*O91-요율!$E$3)*요율!$C$3%*요율!$D$3%,0),-1)</f>
        <v>0</v>
      </c>
      <c r="BN91" s="16">
        <f>ROUNDDOWN(IF($AG91*P91&gt;요율!$E$3,($AG91*P91-요율!$E$3)*요율!$C$3%*요율!$D$3%,0),-1)</f>
        <v>0</v>
      </c>
      <c r="BO91" s="16">
        <f>ROUNDDOWN(IF($AG91*Q91&gt;요율!$E$3,($AG91*Q91-요율!$E$3)*요율!$C$3%*요율!$D$3%,0),-1)</f>
        <v>0</v>
      </c>
      <c r="BP91" s="16">
        <f>ROUNDDOWN(IF($AG91*R91&gt;요율!$E$3,($AG91*R91-요율!$E$3)*요율!$C$3%*요율!$D$3%,0),-1)</f>
        <v>0</v>
      </c>
      <c r="BQ91" s="16">
        <f>ROUNDDOWN(IF($AG91*S91&gt;요율!$E$3,($AG91*S91-요율!$E$3)*요율!$C$3%*요율!$D$3%,0),-1)</f>
        <v>0</v>
      </c>
      <c r="BR91" s="16">
        <f>ROUNDDOWN(IF($AG91*T91&gt;요율!$E$3,($AG91*T91-요율!$E$3)*요율!$C$3%*요율!$D$3%,0),-1)</f>
        <v>0</v>
      </c>
      <c r="BS91" s="16">
        <f>ROUNDDOWN(IF($AG91*U91&gt;요율!$E$3,($AG91*U91-요율!$E$3)*요율!$C$3%*요율!$D$3%,0),-1)</f>
        <v>0</v>
      </c>
      <c r="BT91" s="16">
        <f>ROUNDDOWN(IF($AG91*V91&gt;요율!$E$3,($AG91*V91-요율!$E$3)*요율!$C$3%*요율!$D$3%,0),-1)</f>
        <v>0</v>
      </c>
      <c r="BU91" s="16">
        <f>ROUNDDOWN(IF($AG91*W91&gt;요율!$E$3,($AG91*W91-요율!$E$3)*요율!$C$3%*요율!$D$3%,0),-1)</f>
        <v>0</v>
      </c>
      <c r="BV91" s="16">
        <f>ROUNDDOWN(IF($AG91*X91&gt;요율!$E$3,($AG91*X91-요율!$E$3)*요율!$C$3%*요율!$D$3%,0),-1)</f>
        <v>0</v>
      </c>
      <c r="BW91" s="16">
        <f>ROUNDDOWN(IF($AG91*Y91&gt;요율!$E$3,($AG91*Y91-요율!$E$3)*요율!$C$3%*요율!$D$3%,0),-1)</f>
        <v>0</v>
      </c>
      <c r="BX91" s="16">
        <f>ROUNDDOWN(IF($AG91*Z91&gt;요율!$E$3,($AG91*Z91-요율!$E$3)*요율!$C$3%*요율!$D$3%,0),-1)</f>
        <v>0</v>
      </c>
      <c r="BY91" s="16">
        <f>ROUNDDOWN(IF($AG91*AA91&gt;요율!$E$3,($AG91*AA91-요율!$E$3)*요율!$C$3%*요율!$D$3%,0),-1)</f>
        <v>0</v>
      </c>
      <c r="BZ91" s="16">
        <f>ROUNDDOWN(IF($AG91*AB91&gt;요율!$E$3,($AG91*AB91-요율!$E$3)*요율!$C$3%*요율!$D$3%,0),-1)</f>
        <v>0</v>
      </c>
      <c r="CA91" s="16">
        <f>ROUNDDOWN(IF($AG91*AC91&gt;요율!$E$3,($AG91*AC91-요율!$E$3)*요율!$C$3%*요율!$D$3%,0),-1)</f>
        <v>0</v>
      </c>
      <c r="CB91" s="31">
        <f>ROUNDDOWN(IF($AG91*AD91&gt;요율!$E$3,($AG91*AD91-요율!$E$3)*요율!$C$3%*요율!$D$3%,0),-1)</f>
        <v>0</v>
      </c>
      <c r="CD91" s="5" t="str">
        <f>IFERROR(VLOOKUP(B91,주소록,9,FALSE),"")</f>
        <v/>
      </c>
    </row>
    <row r="92" spans="1:82" ht="20.100000000000001" hidden="1" customHeight="1">
      <c r="A92" s="761"/>
      <c r="B92" s="261" t="str">
        <f>BA91</f>
        <v/>
      </c>
      <c r="C92" s="690" t="str">
        <f>IF(ISERROR(VLOOKUP(B91,주소록!$A$3:$K$523,7,0)),"",VLOOKUP(B91,주소록!$A$3:$K$523,5,0))</f>
        <v/>
      </c>
      <c r="D92" s="690"/>
      <c r="E92" s="690"/>
      <c r="F92" s="691"/>
      <c r="G92" s="692" t="str">
        <f>IF(ISERROR(VLOOKUP(B91,주소록!$A$3:$K$523,9,0)),"",VLOOKUP(B91,주소록!$A$3:$K$523,7,0))</f>
        <v/>
      </c>
      <c r="H92" s="693"/>
      <c r="I92" s="694"/>
      <c r="J92" s="692" t="str">
        <f>IF(ISERROR(VLOOKUP(B91,주소록!$A$3:$K$523,10,0)),"",VLOOKUP(B91,주소록!$A$3:$K$523,8,0))</f>
        <v/>
      </c>
      <c r="K92" s="693"/>
      <c r="L92" s="693"/>
      <c r="M92" s="693"/>
      <c r="N92" s="695"/>
      <c r="O92" s="474"/>
      <c r="P92" s="475"/>
      <c r="Q92" s="475"/>
      <c r="R92" s="468"/>
      <c r="S92" s="476"/>
      <c r="T92" s="474"/>
      <c r="U92" s="475"/>
      <c r="V92" s="475"/>
      <c r="W92" s="475"/>
      <c r="X92" s="477"/>
      <c r="Y92" s="479"/>
      <c r="Z92" s="475"/>
      <c r="AA92" s="475"/>
      <c r="AB92" s="475"/>
      <c r="AC92" s="475"/>
      <c r="AD92" s="477"/>
      <c r="AE92" s="696">
        <f>SUM(O91:AD92)</f>
        <v>0</v>
      </c>
      <c r="AF92" s="697"/>
      <c r="AG92" s="765"/>
      <c r="AH92" s="687"/>
      <c r="AI92" s="688"/>
      <c r="AJ92" s="689"/>
      <c r="AK92" s="698">
        <f>IF(C91=0,"",IF(MID(C91,7,1)="5","",IF(MID(C91,7,1)="6","",ROUNDDOWN((AK91*10%),-1))))</f>
        <v>0</v>
      </c>
      <c r="AL92" s="699"/>
      <c r="AM92" s="700"/>
      <c r="AN92" s="701">
        <f>ROUNDDOWN(AN91*요율!$F$5,-1)</f>
        <v>0</v>
      </c>
      <c r="AO92" s="701"/>
      <c r="AP92" s="701"/>
      <c r="AQ92" s="713">
        <f>IF(OR(AND(요율!$H$8="X",요율!$H$9="X",MID(C91,8,1)&gt;="5"),AND(요율!$H$8="○",요율!$H$9="X",MID(C91,8,1)&gt;="5")),"외국인",IF(요율!$H$8="X",IF(C91="",0,IF(OR(MID(C91,8,1)&lt;"3",AND(MID(C91,8,1)&gt;="5",MID(C91,8,1)&lt;="6")),IF(INT(TEXT($O$3,"yyyy.mmdd")-TEXT(TEXT(LEFT(C91,6),"1900-00-00"),"yyyy.mmdd"))&gt;=65,"65세이상",+TRUNC(AH91*요율!$C$9%,-1)),IF(INT(TEXT($O$3,"yyyy.mmdd")-TEXT(TEXT(LEFT(C91,6),"2000-00-00"),"yyyy.mmdd"))&gt;=65,"65세이상",+TRUNC(AH91*요율!$C$9%,-1)))),+TRUNC(AH91*요율!$C$9%,-1)))</f>
        <v>0</v>
      </c>
      <c r="AR92" s="699"/>
      <c r="AS92" s="699"/>
      <c r="AT92" s="714"/>
      <c r="AU92" s="715"/>
      <c r="AV92" s="716"/>
      <c r="AW92" s="723"/>
      <c r="AX92" s="724"/>
      <c r="AY92" s="725"/>
      <c r="AZ92" s="767"/>
      <c r="BA92" s="22" t="str">
        <f>BA91</f>
        <v/>
      </c>
      <c r="BB92" s="6">
        <v>2</v>
      </c>
      <c r="BC92" s="753"/>
      <c r="BD92" s="733">
        <f>B91</f>
        <v>0</v>
      </c>
      <c r="BE92" s="733"/>
      <c r="BF92" s="733"/>
      <c r="BG92" s="734">
        <f>SUM(BM91:CB92)</f>
        <v>0</v>
      </c>
      <c r="BH92" s="735"/>
      <c r="BI92" s="736"/>
      <c r="BJ92" s="144"/>
      <c r="BK92" s="145"/>
      <c r="BL92" s="146"/>
      <c r="BM92" s="17">
        <f>ROUNDDOWN(IF($AG91*O92&gt;요율!$E$3,($AG91*O92-요율!$E$3)*요율!$C$3%*요율!$D$3%,0),-1)</f>
        <v>0</v>
      </c>
      <c r="BN92" s="18">
        <f>ROUNDDOWN(IF($AG91*P92&gt;요율!$E$3,($AG91*P92-요율!$E$3)*요율!$C$3%*요율!$D$3%,0),-1)</f>
        <v>0</v>
      </c>
      <c r="BO92" s="18">
        <f>ROUNDDOWN(IF($AG91*Q92&gt;요율!$E$3,($AG91*Q92-요율!$E$3)*요율!$C$3%*요율!$D$3%,0),-1)</f>
        <v>0</v>
      </c>
      <c r="BP92" s="18">
        <f>ROUNDDOWN(IF($AG91*R92&gt;요율!$E$3,($AG91*R92-요율!$E$3)*요율!$C$3%*요율!$D$3%,0),-1)</f>
        <v>0</v>
      </c>
      <c r="BQ92" s="18">
        <f>ROUNDDOWN(IF($AG91*S92&gt;요율!$E$3,($AG91*S92-요율!$E$3)*요율!$C$3%*요율!$D$3%,0),-1)</f>
        <v>0</v>
      </c>
      <c r="BR92" s="18">
        <f>ROUNDDOWN(IF($AG91*T92&gt;요율!$E$3,($AG91*T92-요율!$E$3)*요율!$C$3%*요율!$D$3%,0),-1)</f>
        <v>0</v>
      </c>
      <c r="BS92" s="18">
        <f>ROUNDDOWN(IF($AG91*U92&gt;요율!$E$3,($AG91*U92-요율!$E$3)*요율!$C$3%*요율!$D$3%,0),-1)</f>
        <v>0</v>
      </c>
      <c r="BT92" s="18">
        <f>ROUNDDOWN(IF($AG91*V92&gt;요율!$E$3,($AG91*V92-요율!$E$3)*요율!$C$3%*요율!$D$3%,0),-1)</f>
        <v>0</v>
      </c>
      <c r="BU92" s="18">
        <f>ROUNDDOWN(IF($AG91*W92&gt;요율!$E$3,($AG91*W92-요율!$E$3)*요율!$C$3%*요율!$D$3%,0),-1)</f>
        <v>0</v>
      </c>
      <c r="BV92" s="18">
        <f>ROUNDDOWN(IF($AG91*X92&gt;요율!$E$3,($AG91*X92-요율!$E$3)*요율!$C$3%*요율!$D$3%,0),-1)</f>
        <v>0</v>
      </c>
      <c r="BW92" s="18">
        <f>ROUNDDOWN(IF($AG91*Y92&gt;요율!$E$3,($AG91*Y92-요율!$E$3)*요율!$C$3%*요율!$D$3%,0),-1)</f>
        <v>0</v>
      </c>
      <c r="BX92" s="18">
        <f>ROUNDDOWN(IF($AG91*Z92&gt;요율!$E$3,($AG91*Z92-요율!$E$3)*요율!$C$3%*요율!$D$3%,0),-1)</f>
        <v>0</v>
      </c>
      <c r="BY92" s="18">
        <f>ROUNDDOWN(IF($AG91*AA92&gt;요율!$E$3,($AG91*AA92-요율!$E$3)*요율!$C$3%*요율!$D$3%,0),-1)</f>
        <v>0</v>
      </c>
      <c r="BZ92" s="18">
        <f>ROUNDDOWN(IF($AG91*AB92&gt;요율!$E$3,($AG91*AB92-요율!$E$3)*요율!$C$3%*요율!$D$3%,0),-1)</f>
        <v>0</v>
      </c>
      <c r="CA92" s="18">
        <f>ROUNDDOWN(IF($AG91*AC92&gt;요율!$E$3,($AG91*AC92-요율!$E$3)*요율!$C$3%*요율!$D$3%,0),-1)</f>
        <v>0</v>
      </c>
      <c r="CB92" s="19">
        <f>ROUNDDOWN(IF($AG91*AD92&gt;요율!$E$3,($AG91*AD92-요율!$E$3)*요율!$C$3%*요율!$D$3%,0),-1)</f>
        <v>0</v>
      </c>
    </row>
    <row r="93" spans="1:82" ht="20.100000000000001" hidden="1" customHeight="1">
      <c r="A93" s="760">
        <f t="shared" si="2"/>
        <v>44</v>
      </c>
      <c r="B93" s="260"/>
      <c r="C93" s="708" t="str">
        <f>IF(ISERROR(VLOOKUP(B93,주소록!$A$3:$K$523,5,0)),"",VLOOKUP(B93,주소록!$A$3:$K$523,3,0))</f>
        <v/>
      </c>
      <c r="D93" s="708"/>
      <c r="E93" s="708"/>
      <c r="F93" s="709"/>
      <c r="G93" s="710" t="str">
        <f>IF(ISERROR(VLOOKUP(B93,주소록!$A$3:$K$523,6,0)),"",VLOOKUP(B93,주소록!$A$3:$K$523,4,0))</f>
        <v/>
      </c>
      <c r="H93" s="711"/>
      <c r="I93" s="711"/>
      <c r="J93" s="711"/>
      <c r="K93" s="711"/>
      <c r="L93" s="711"/>
      <c r="M93" s="711"/>
      <c r="N93" s="712"/>
      <c r="O93" s="469"/>
      <c r="P93" s="470"/>
      <c r="Q93" s="470"/>
      <c r="R93" s="470"/>
      <c r="S93" s="478"/>
      <c r="T93" s="469"/>
      <c r="U93" s="470"/>
      <c r="V93" s="470"/>
      <c r="W93" s="470"/>
      <c r="X93" s="471"/>
      <c r="Y93" s="472"/>
      <c r="Z93" s="467"/>
      <c r="AA93" s="470"/>
      <c r="AB93" s="470"/>
      <c r="AC93" s="470"/>
      <c r="AD93" s="473"/>
      <c r="AE93" s="762">
        <f>COUNTIF(O93:AD94,"&gt;=0.5")</f>
        <v>0</v>
      </c>
      <c r="AF93" s="763"/>
      <c r="AG93" s="764"/>
      <c r="AH93" s="684">
        <f>AE94*AG93</f>
        <v>0</v>
      </c>
      <c r="AI93" s="685"/>
      <c r="AJ93" s="686"/>
      <c r="AK93" s="755">
        <f>IF(BG94&lt;1000, 0, BG94)</f>
        <v>0</v>
      </c>
      <c r="AL93" s="756"/>
      <c r="AM93" s="757"/>
      <c r="AN93" s="758">
        <f>IF(요율!$H$7="○",IF(AE93&gt;=요율!$D$6,ROUNDDOWN(AH93*요율!$C$4%,-1),0),0)</f>
        <v>0</v>
      </c>
      <c r="AO93" s="756"/>
      <c r="AP93" s="757"/>
      <c r="AQ93" s="758">
        <f>BL93</f>
        <v>0</v>
      </c>
      <c r="AR93" s="756"/>
      <c r="AS93" s="759"/>
      <c r="AT93" s="717">
        <f>SUM(AK93:AS94)</f>
        <v>0</v>
      </c>
      <c r="AU93" s="718"/>
      <c r="AV93" s="719"/>
      <c r="AW93" s="720">
        <f>AH93-AT93-AT94</f>
        <v>0</v>
      </c>
      <c r="AX93" s="721"/>
      <c r="AY93" s="722"/>
      <c r="AZ93" s="766"/>
      <c r="BA93" s="21" t="str">
        <f>IF(ISERROR(VLOOKUP($B93,주소록!$A$3:$K$523,3,0)),"",VLOOKUP($B93,주소록!$A$3:$K$523,2,0))</f>
        <v/>
      </c>
      <c r="BB93" s="6">
        <v>1</v>
      </c>
      <c r="BC93" s="752">
        <f>A93</f>
        <v>44</v>
      </c>
      <c r="BD93" s="754" t="str">
        <f>IF(OR(MID(C93,8,1)&lt;"3",AND(MID(C93,8,1)&gt;="5",MID(C93,8,1)&lt;="6")),TEXT(TEXT(LEFT(C93,6),"1900-00-00"),"yyyy년 m월 d일"),TEXT(TEXT(LEFT(C93,6),"2000-00-00"),"yyyy년 m월 d일"))</f>
        <v/>
      </c>
      <c r="BE93" s="754"/>
      <c r="BF93" s="754"/>
      <c r="BG93" s="768">
        <f>IFERROR(INT( ( TEXT($O$3,"yyyy.mmdd") - TEXT(BD93,"yyyy.mmdd") )  ),0)</f>
        <v>0</v>
      </c>
      <c r="BH93" s="769"/>
      <c r="BI93" s="770"/>
      <c r="BJ93" s="133">
        <f>IF(BG93&gt;59,"60세이상",IF(OR(AE93&lt;요율!$D$6,AH93=0),0,IF(AH93&lt;요율!$C$7,요율!$D$7,IF(AH93&gt;요율!$C$8,요율!$D$8,+TRUNC(AH93*요율!$C$6%,-1)))))</f>
        <v>0</v>
      </c>
      <c r="BK93" s="143">
        <f>IF(BG93&gt;59,"60세이상",IF(OR(AH93&lt;2200000,AH93=0),0,IF(AH93&lt;요율!$C$7,요율!$D$7,IF(AH93&gt;요율!$C$8,요율!$D$8,+TRUNC(AH93*요율!$C$6%,-1)))))</f>
        <v>0</v>
      </c>
      <c r="BL93" s="140">
        <f>IF(BK93&gt;0,BK93,BJ93)</f>
        <v>0</v>
      </c>
      <c r="BM93" s="15">
        <f>ROUNDDOWN(IF($AG93*O93&gt;요율!$E$3,($AG93*O93-요율!$E$3)*요율!$C$3%*요율!$D$3%,0),-1)</f>
        <v>0</v>
      </c>
      <c r="BN93" s="16">
        <f>ROUNDDOWN(IF($AG93*P93&gt;요율!$E$3,($AG93*P93-요율!$E$3)*요율!$C$3%*요율!$D$3%,0),-1)</f>
        <v>0</v>
      </c>
      <c r="BO93" s="16">
        <f>ROUNDDOWN(IF($AG93*Q93&gt;요율!$E$3,($AG93*Q93-요율!$E$3)*요율!$C$3%*요율!$D$3%,0),-1)</f>
        <v>0</v>
      </c>
      <c r="BP93" s="16">
        <f>ROUNDDOWN(IF($AG93*R93&gt;요율!$E$3,($AG93*R93-요율!$E$3)*요율!$C$3%*요율!$D$3%,0),-1)</f>
        <v>0</v>
      </c>
      <c r="BQ93" s="16">
        <f>ROUNDDOWN(IF($AG93*S93&gt;요율!$E$3,($AG93*S93-요율!$E$3)*요율!$C$3%*요율!$D$3%,0),-1)</f>
        <v>0</v>
      </c>
      <c r="BR93" s="16">
        <f>ROUNDDOWN(IF($AG93*T93&gt;요율!$E$3,($AG93*T93-요율!$E$3)*요율!$C$3%*요율!$D$3%,0),-1)</f>
        <v>0</v>
      </c>
      <c r="BS93" s="16">
        <f>ROUNDDOWN(IF($AG93*U93&gt;요율!$E$3,($AG93*U93-요율!$E$3)*요율!$C$3%*요율!$D$3%,0),-1)</f>
        <v>0</v>
      </c>
      <c r="BT93" s="16">
        <f>ROUNDDOWN(IF($AG93*V93&gt;요율!$E$3,($AG93*V93-요율!$E$3)*요율!$C$3%*요율!$D$3%,0),-1)</f>
        <v>0</v>
      </c>
      <c r="BU93" s="16">
        <f>ROUNDDOWN(IF($AG93*W93&gt;요율!$E$3,($AG93*W93-요율!$E$3)*요율!$C$3%*요율!$D$3%,0),-1)</f>
        <v>0</v>
      </c>
      <c r="BV93" s="16">
        <f>ROUNDDOWN(IF($AG93*X93&gt;요율!$E$3,($AG93*X93-요율!$E$3)*요율!$C$3%*요율!$D$3%,0),-1)</f>
        <v>0</v>
      </c>
      <c r="BW93" s="16">
        <f>ROUNDDOWN(IF($AG93*Y93&gt;요율!$E$3,($AG93*Y93-요율!$E$3)*요율!$C$3%*요율!$D$3%,0),-1)</f>
        <v>0</v>
      </c>
      <c r="BX93" s="16">
        <f>ROUNDDOWN(IF($AG93*Z93&gt;요율!$E$3,($AG93*Z93-요율!$E$3)*요율!$C$3%*요율!$D$3%,0),-1)</f>
        <v>0</v>
      </c>
      <c r="BY93" s="16">
        <f>ROUNDDOWN(IF($AG93*AA93&gt;요율!$E$3,($AG93*AA93-요율!$E$3)*요율!$C$3%*요율!$D$3%,0),-1)</f>
        <v>0</v>
      </c>
      <c r="BZ93" s="16">
        <f>ROUNDDOWN(IF($AG93*AB93&gt;요율!$E$3,($AG93*AB93-요율!$E$3)*요율!$C$3%*요율!$D$3%,0),-1)</f>
        <v>0</v>
      </c>
      <c r="CA93" s="16">
        <f>ROUNDDOWN(IF($AG93*AC93&gt;요율!$E$3,($AG93*AC93-요율!$E$3)*요율!$C$3%*요율!$D$3%,0),-1)</f>
        <v>0</v>
      </c>
      <c r="CB93" s="31">
        <f>ROUNDDOWN(IF($AG93*AD93&gt;요율!$E$3,($AG93*AD93-요율!$E$3)*요율!$C$3%*요율!$D$3%,0),-1)</f>
        <v>0</v>
      </c>
      <c r="CD93" s="5" t="str">
        <f>IFERROR(VLOOKUP(B93,주소록,9,FALSE),"")</f>
        <v/>
      </c>
    </row>
    <row r="94" spans="1:82" ht="20.100000000000001" hidden="1" customHeight="1">
      <c r="A94" s="761"/>
      <c r="B94" s="261" t="str">
        <f>BA93</f>
        <v/>
      </c>
      <c r="C94" s="690" t="str">
        <f>IF(ISERROR(VLOOKUP(B93,주소록!$A$3:$K$523,7,0)),"",VLOOKUP(B93,주소록!$A$3:$K$523,5,0))</f>
        <v/>
      </c>
      <c r="D94" s="690"/>
      <c r="E94" s="690"/>
      <c r="F94" s="691"/>
      <c r="G94" s="692" t="str">
        <f>IF(ISERROR(VLOOKUP(B93,주소록!$A$3:$K$523,9,0)),"",VLOOKUP(B93,주소록!$A$3:$K$523,7,0))</f>
        <v/>
      </c>
      <c r="H94" s="693"/>
      <c r="I94" s="694"/>
      <c r="J94" s="692" t="str">
        <f>IF(ISERROR(VLOOKUP(B93,주소록!$A$3:$K$523,10,0)),"",VLOOKUP(B93,주소록!$A$3:$K$523,8,0))</f>
        <v/>
      </c>
      <c r="K94" s="693"/>
      <c r="L94" s="693"/>
      <c r="M94" s="693"/>
      <c r="N94" s="695"/>
      <c r="O94" s="474"/>
      <c r="P94" s="475"/>
      <c r="Q94" s="475"/>
      <c r="R94" s="468"/>
      <c r="S94" s="476"/>
      <c r="T94" s="474"/>
      <c r="U94" s="475"/>
      <c r="V94" s="475"/>
      <c r="W94" s="475"/>
      <c r="X94" s="477"/>
      <c r="Y94" s="479"/>
      <c r="Z94" s="475"/>
      <c r="AA94" s="475"/>
      <c r="AB94" s="475"/>
      <c r="AC94" s="475"/>
      <c r="AD94" s="477"/>
      <c r="AE94" s="696">
        <f>SUM(O93:AD94)</f>
        <v>0</v>
      </c>
      <c r="AF94" s="697"/>
      <c r="AG94" s="765"/>
      <c r="AH94" s="687"/>
      <c r="AI94" s="688"/>
      <c r="AJ94" s="689"/>
      <c r="AK94" s="698">
        <f>IF(C93=0,"",IF(MID(C93,7,1)="5","",IF(MID(C93,7,1)="6","",ROUNDDOWN((AK93*10%),-1))))</f>
        <v>0</v>
      </c>
      <c r="AL94" s="699"/>
      <c r="AM94" s="700"/>
      <c r="AN94" s="701">
        <f>ROUNDDOWN(AN93*요율!$F$5,-1)</f>
        <v>0</v>
      </c>
      <c r="AO94" s="701"/>
      <c r="AP94" s="701"/>
      <c r="AQ94" s="713">
        <f>IF(OR(AND(요율!$H$8="X",요율!$H$9="X",MID(C93,8,1)&gt;="5"),AND(요율!$H$8="○",요율!$H$9="X",MID(C93,8,1)&gt;="5")),"외국인",IF(요율!$H$8="X",IF(C93="",0,IF(OR(MID(C93,8,1)&lt;"3",AND(MID(C93,8,1)&gt;="5",MID(C93,8,1)&lt;="6")),IF(INT(TEXT($O$3,"yyyy.mmdd")-TEXT(TEXT(LEFT(C93,6),"1900-00-00"),"yyyy.mmdd"))&gt;=65,"65세이상",+TRUNC(AH93*요율!$C$9%,-1)),IF(INT(TEXT($O$3,"yyyy.mmdd")-TEXT(TEXT(LEFT(C93,6),"2000-00-00"),"yyyy.mmdd"))&gt;=65,"65세이상",+TRUNC(AH93*요율!$C$9%,-1)))),+TRUNC(AH93*요율!$C$9%,-1)))</f>
        <v>0</v>
      </c>
      <c r="AR94" s="699"/>
      <c r="AS94" s="699"/>
      <c r="AT94" s="714"/>
      <c r="AU94" s="715"/>
      <c r="AV94" s="716"/>
      <c r="AW94" s="723"/>
      <c r="AX94" s="724"/>
      <c r="AY94" s="725"/>
      <c r="AZ94" s="767"/>
      <c r="BA94" s="22" t="str">
        <f>BA93</f>
        <v/>
      </c>
      <c r="BB94" s="6">
        <v>2</v>
      </c>
      <c r="BC94" s="753"/>
      <c r="BD94" s="733">
        <f>B93</f>
        <v>0</v>
      </c>
      <c r="BE94" s="733"/>
      <c r="BF94" s="733"/>
      <c r="BG94" s="734">
        <f>SUM(BM93:CB94)</f>
        <v>0</v>
      </c>
      <c r="BH94" s="735"/>
      <c r="BI94" s="736"/>
      <c r="BJ94" s="144"/>
      <c r="BK94" s="145"/>
      <c r="BL94" s="146"/>
      <c r="BM94" s="17">
        <f>ROUNDDOWN(IF($AG93*O94&gt;요율!$E$3,($AG93*O94-요율!$E$3)*요율!$C$3%*요율!$D$3%,0),-1)</f>
        <v>0</v>
      </c>
      <c r="BN94" s="18">
        <f>ROUNDDOWN(IF($AG93*P94&gt;요율!$E$3,($AG93*P94-요율!$E$3)*요율!$C$3%*요율!$D$3%,0),-1)</f>
        <v>0</v>
      </c>
      <c r="BO94" s="18">
        <f>ROUNDDOWN(IF($AG93*Q94&gt;요율!$E$3,($AG93*Q94-요율!$E$3)*요율!$C$3%*요율!$D$3%,0),-1)</f>
        <v>0</v>
      </c>
      <c r="BP94" s="18">
        <f>ROUNDDOWN(IF($AG93*R94&gt;요율!$E$3,($AG93*R94-요율!$E$3)*요율!$C$3%*요율!$D$3%,0),-1)</f>
        <v>0</v>
      </c>
      <c r="BQ94" s="18">
        <f>ROUNDDOWN(IF($AG93*S94&gt;요율!$E$3,($AG93*S94-요율!$E$3)*요율!$C$3%*요율!$D$3%,0),-1)</f>
        <v>0</v>
      </c>
      <c r="BR94" s="18">
        <f>ROUNDDOWN(IF($AG93*T94&gt;요율!$E$3,($AG93*T94-요율!$E$3)*요율!$C$3%*요율!$D$3%,0),-1)</f>
        <v>0</v>
      </c>
      <c r="BS94" s="18">
        <f>ROUNDDOWN(IF($AG93*U94&gt;요율!$E$3,($AG93*U94-요율!$E$3)*요율!$C$3%*요율!$D$3%,0),-1)</f>
        <v>0</v>
      </c>
      <c r="BT94" s="18">
        <f>ROUNDDOWN(IF($AG93*V94&gt;요율!$E$3,($AG93*V94-요율!$E$3)*요율!$C$3%*요율!$D$3%,0),-1)</f>
        <v>0</v>
      </c>
      <c r="BU94" s="18">
        <f>ROUNDDOWN(IF($AG93*W94&gt;요율!$E$3,($AG93*W94-요율!$E$3)*요율!$C$3%*요율!$D$3%,0),-1)</f>
        <v>0</v>
      </c>
      <c r="BV94" s="18">
        <f>ROUNDDOWN(IF($AG93*X94&gt;요율!$E$3,($AG93*X94-요율!$E$3)*요율!$C$3%*요율!$D$3%,0),-1)</f>
        <v>0</v>
      </c>
      <c r="BW94" s="18">
        <f>ROUNDDOWN(IF($AG93*Y94&gt;요율!$E$3,($AG93*Y94-요율!$E$3)*요율!$C$3%*요율!$D$3%,0),-1)</f>
        <v>0</v>
      </c>
      <c r="BX94" s="18">
        <f>ROUNDDOWN(IF($AG93*Z94&gt;요율!$E$3,($AG93*Z94-요율!$E$3)*요율!$C$3%*요율!$D$3%,0),-1)</f>
        <v>0</v>
      </c>
      <c r="BY94" s="18">
        <f>ROUNDDOWN(IF($AG93*AA94&gt;요율!$E$3,($AG93*AA94-요율!$E$3)*요율!$C$3%*요율!$D$3%,0),-1)</f>
        <v>0</v>
      </c>
      <c r="BZ94" s="18">
        <f>ROUNDDOWN(IF($AG93*AB94&gt;요율!$E$3,($AG93*AB94-요율!$E$3)*요율!$C$3%*요율!$D$3%,0),-1)</f>
        <v>0</v>
      </c>
      <c r="CA94" s="18">
        <f>ROUNDDOWN(IF($AG93*AC94&gt;요율!$E$3,($AG93*AC94-요율!$E$3)*요율!$C$3%*요율!$D$3%,0),-1)</f>
        <v>0</v>
      </c>
      <c r="CB94" s="19">
        <f>ROUNDDOWN(IF($AG93*AD94&gt;요율!$E$3,($AG93*AD94-요율!$E$3)*요율!$C$3%*요율!$D$3%,0),-1)</f>
        <v>0</v>
      </c>
    </row>
    <row r="95" spans="1:82" ht="20.100000000000001" hidden="1" customHeight="1">
      <c r="A95" s="760">
        <f t="shared" si="2"/>
        <v>45</v>
      </c>
      <c r="B95" s="260"/>
      <c r="C95" s="708" t="str">
        <f>IF(ISERROR(VLOOKUP(B95,주소록!$A$3:$K$523,5,0)),"",VLOOKUP(B95,주소록!$A$3:$K$523,3,0))</f>
        <v/>
      </c>
      <c r="D95" s="708"/>
      <c r="E95" s="708"/>
      <c r="F95" s="709"/>
      <c r="G95" s="710" t="str">
        <f>IF(ISERROR(VLOOKUP(B95,주소록!$A$3:$K$523,6,0)),"",VLOOKUP(B95,주소록!$A$3:$K$523,4,0))</f>
        <v/>
      </c>
      <c r="H95" s="711"/>
      <c r="I95" s="711"/>
      <c r="J95" s="711"/>
      <c r="K95" s="711"/>
      <c r="L95" s="711"/>
      <c r="M95" s="711"/>
      <c r="N95" s="712"/>
      <c r="O95" s="469"/>
      <c r="P95" s="470"/>
      <c r="Q95" s="470"/>
      <c r="R95" s="470"/>
      <c r="S95" s="478"/>
      <c r="T95" s="469"/>
      <c r="U95" s="470"/>
      <c r="V95" s="470"/>
      <c r="W95" s="470"/>
      <c r="X95" s="471"/>
      <c r="Y95" s="472"/>
      <c r="Z95" s="467"/>
      <c r="AA95" s="470"/>
      <c r="AB95" s="470"/>
      <c r="AC95" s="470"/>
      <c r="AD95" s="473"/>
      <c r="AE95" s="762">
        <f>COUNTIF(O95:AD96,"&gt;=0.5")</f>
        <v>0</v>
      </c>
      <c r="AF95" s="763"/>
      <c r="AG95" s="764"/>
      <c r="AH95" s="684">
        <f>AE96*AG95</f>
        <v>0</v>
      </c>
      <c r="AI95" s="685"/>
      <c r="AJ95" s="686"/>
      <c r="AK95" s="755">
        <f>IF(BG96&lt;1000, 0, BG96)</f>
        <v>0</v>
      </c>
      <c r="AL95" s="756"/>
      <c r="AM95" s="757"/>
      <c r="AN95" s="758">
        <f>IF(요율!$H$7="○",IF(AE95&gt;=요율!$D$6,ROUNDDOWN(AH95*요율!$C$4%,-1),0),0)</f>
        <v>0</v>
      </c>
      <c r="AO95" s="756"/>
      <c r="AP95" s="757"/>
      <c r="AQ95" s="758">
        <f>BL95</f>
        <v>0</v>
      </c>
      <c r="AR95" s="756"/>
      <c r="AS95" s="759"/>
      <c r="AT95" s="717">
        <f>SUM(AK95:AS96)</f>
        <v>0</v>
      </c>
      <c r="AU95" s="718"/>
      <c r="AV95" s="719"/>
      <c r="AW95" s="720">
        <f>AH95-AT95-AT96</f>
        <v>0</v>
      </c>
      <c r="AX95" s="721"/>
      <c r="AY95" s="722"/>
      <c r="AZ95" s="766"/>
      <c r="BA95" s="21" t="str">
        <f>IF(ISERROR(VLOOKUP($B95,주소록!$A$3:$K$523,3,0)),"",VLOOKUP($B95,주소록!$A$3:$K$523,2,0))</f>
        <v/>
      </c>
      <c r="BB95" s="6">
        <v>1</v>
      </c>
      <c r="BC95" s="752">
        <f>A95</f>
        <v>45</v>
      </c>
      <c r="BD95" s="754" t="str">
        <f>IF(OR(MID(C95,8,1)&lt;"3",AND(MID(C95,8,1)&gt;="5",MID(C95,8,1)&lt;="6")),TEXT(TEXT(LEFT(C95,6),"1900-00-00"),"yyyy년 m월 d일"),TEXT(TEXT(LEFT(C95,6),"2000-00-00"),"yyyy년 m월 d일"))</f>
        <v/>
      </c>
      <c r="BE95" s="754"/>
      <c r="BF95" s="754"/>
      <c r="BG95" s="768">
        <f>IFERROR(INT( ( TEXT($O$3,"yyyy.mmdd") - TEXT(BD95,"yyyy.mmdd") )  ),0)</f>
        <v>0</v>
      </c>
      <c r="BH95" s="769"/>
      <c r="BI95" s="770"/>
      <c r="BJ95" s="133">
        <f>IF(BG95&gt;59,"60세이상",IF(OR(AE95&lt;요율!$D$6,AH95=0),0,IF(AH95&lt;요율!$C$7,요율!$D$7,IF(AH95&gt;요율!$C$8,요율!$D$8,+TRUNC(AH95*요율!$C$6%,-1)))))</f>
        <v>0</v>
      </c>
      <c r="BK95" s="143">
        <f>IF(BG95&gt;59,"60세이상",IF(OR(AH95&lt;2200000,AH95=0),0,IF(AH95&lt;요율!$C$7,요율!$D$7,IF(AH95&gt;요율!$C$8,요율!$D$8,+TRUNC(AH95*요율!$C$6%,-1)))))</f>
        <v>0</v>
      </c>
      <c r="BL95" s="140">
        <f>IF(BK95&gt;0,BK95,BJ95)</f>
        <v>0</v>
      </c>
      <c r="BM95" s="15">
        <f>ROUNDDOWN(IF($AG95*O95&gt;요율!$E$3,($AG95*O95-요율!$E$3)*요율!$C$3%*요율!$D$3%,0),-1)</f>
        <v>0</v>
      </c>
      <c r="BN95" s="16">
        <f>ROUNDDOWN(IF($AG95*P95&gt;요율!$E$3,($AG95*P95-요율!$E$3)*요율!$C$3%*요율!$D$3%,0),-1)</f>
        <v>0</v>
      </c>
      <c r="BO95" s="16">
        <f>ROUNDDOWN(IF($AG95*Q95&gt;요율!$E$3,($AG95*Q95-요율!$E$3)*요율!$C$3%*요율!$D$3%,0),-1)</f>
        <v>0</v>
      </c>
      <c r="BP95" s="16">
        <f>ROUNDDOWN(IF($AG95*R95&gt;요율!$E$3,($AG95*R95-요율!$E$3)*요율!$C$3%*요율!$D$3%,0),-1)</f>
        <v>0</v>
      </c>
      <c r="BQ95" s="16">
        <f>ROUNDDOWN(IF($AG95*S95&gt;요율!$E$3,($AG95*S95-요율!$E$3)*요율!$C$3%*요율!$D$3%,0),-1)</f>
        <v>0</v>
      </c>
      <c r="BR95" s="16">
        <f>ROUNDDOWN(IF($AG95*T95&gt;요율!$E$3,($AG95*T95-요율!$E$3)*요율!$C$3%*요율!$D$3%,0),-1)</f>
        <v>0</v>
      </c>
      <c r="BS95" s="16">
        <f>ROUNDDOWN(IF($AG95*U95&gt;요율!$E$3,($AG95*U95-요율!$E$3)*요율!$C$3%*요율!$D$3%,0),-1)</f>
        <v>0</v>
      </c>
      <c r="BT95" s="16">
        <f>ROUNDDOWN(IF($AG95*V95&gt;요율!$E$3,($AG95*V95-요율!$E$3)*요율!$C$3%*요율!$D$3%,0),-1)</f>
        <v>0</v>
      </c>
      <c r="BU95" s="16">
        <f>ROUNDDOWN(IF($AG95*W95&gt;요율!$E$3,($AG95*W95-요율!$E$3)*요율!$C$3%*요율!$D$3%,0),-1)</f>
        <v>0</v>
      </c>
      <c r="BV95" s="16">
        <f>ROUNDDOWN(IF($AG95*X95&gt;요율!$E$3,($AG95*X95-요율!$E$3)*요율!$C$3%*요율!$D$3%,0),-1)</f>
        <v>0</v>
      </c>
      <c r="BW95" s="16">
        <f>ROUNDDOWN(IF($AG95*Y95&gt;요율!$E$3,($AG95*Y95-요율!$E$3)*요율!$C$3%*요율!$D$3%,0),-1)</f>
        <v>0</v>
      </c>
      <c r="BX95" s="16">
        <f>ROUNDDOWN(IF($AG95*Z95&gt;요율!$E$3,($AG95*Z95-요율!$E$3)*요율!$C$3%*요율!$D$3%,0),-1)</f>
        <v>0</v>
      </c>
      <c r="BY95" s="16">
        <f>ROUNDDOWN(IF($AG95*AA95&gt;요율!$E$3,($AG95*AA95-요율!$E$3)*요율!$C$3%*요율!$D$3%,0),-1)</f>
        <v>0</v>
      </c>
      <c r="BZ95" s="16">
        <f>ROUNDDOWN(IF($AG95*AB95&gt;요율!$E$3,($AG95*AB95-요율!$E$3)*요율!$C$3%*요율!$D$3%,0),-1)</f>
        <v>0</v>
      </c>
      <c r="CA95" s="16">
        <f>ROUNDDOWN(IF($AG95*AC95&gt;요율!$E$3,($AG95*AC95-요율!$E$3)*요율!$C$3%*요율!$D$3%,0),-1)</f>
        <v>0</v>
      </c>
      <c r="CB95" s="31">
        <f>ROUNDDOWN(IF($AG95*AD95&gt;요율!$E$3,($AG95*AD95-요율!$E$3)*요율!$C$3%*요율!$D$3%,0),-1)</f>
        <v>0</v>
      </c>
      <c r="CD95" s="5" t="str">
        <f>IFERROR(VLOOKUP(B95,주소록,9,FALSE),"")</f>
        <v/>
      </c>
    </row>
    <row r="96" spans="1:82" ht="20.100000000000001" hidden="1" customHeight="1">
      <c r="A96" s="761"/>
      <c r="B96" s="261" t="str">
        <f>BA95</f>
        <v/>
      </c>
      <c r="C96" s="690" t="str">
        <f>IF(ISERROR(VLOOKUP(B95,주소록!$A$3:$K$523,7,0)),"",VLOOKUP(B95,주소록!$A$3:$K$523,5,0))</f>
        <v/>
      </c>
      <c r="D96" s="690"/>
      <c r="E96" s="690"/>
      <c r="F96" s="691"/>
      <c r="G96" s="692" t="str">
        <f>IF(ISERROR(VLOOKUP(B95,주소록!$A$3:$K$523,9,0)),"",VLOOKUP(B95,주소록!$A$3:$K$523,7,0))</f>
        <v/>
      </c>
      <c r="H96" s="693"/>
      <c r="I96" s="694"/>
      <c r="J96" s="692" t="str">
        <f>IF(ISERROR(VLOOKUP(B95,주소록!$A$3:$K$523,10,0)),"",VLOOKUP(B95,주소록!$A$3:$K$523,8,0))</f>
        <v/>
      </c>
      <c r="K96" s="693"/>
      <c r="L96" s="693"/>
      <c r="M96" s="693"/>
      <c r="N96" s="695"/>
      <c r="O96" s="474"/>
      <c r="P96" s="475"/>
      <c r="Q96" s="475"/>
      <c r="R96" s="468"/>
      <c r="S96" s="476"/>
      <c r="T96" s="474"/>
      <c r="U96" s="475"/>
      <c r="V96" s="475"/>
      <c r="W96" s="475"/>
      <c r="X96" s="477"/>
      <c r="Y96" s="479"/>
      <c r="Z96" s="475"/>
      <c r="AA96" s="475"/>
      <c r="AB96" s="475"/>
      <c r="AC96" s="475"/>
      <c r="AD96" s="477"/>
      <c r="AE96" s="696">
        <f>SUM(O95:AD96)</f>
        <v>0</v>
      </c>
      <c r="AF96" s="697"/>
      <c r="AG96" s="765"/>
      <c r="AH96" s="687"/>
      <c r="AI96" s="688"/>
      <c r="AJ96" s="689"/>
      <c r="AK96" s="698">
        <f>IF(C95=0,"",IF(MID(C95,7,1)="5","",IF(MID(C95,7,1)="6","",ROUNDDOWN((AK95*10%),-1))))</f>
        <v>0</v>
      </c>
      <c r="AL96" s="699"/>
      <c r="AM96" s="700"/>
      <c r="AN96" s="701">
        <f>ROUNDDOWN(AN95*요율!$F$5,-1)</f>
        <v>0</v>
      </c>
      <c r="AO96" s="701"/>
      <c r="AP96" s="701"/>
      <c r="AQ96" s="713">
        <f>IF(OR(AND(요율!$H$8="X",요율!$H$9="X",MID(C95,8,1)&gt;="5"),AND(요율!$H$8="○",요율!$H$9="X",MID(C95,8,1)&gt;="5")),"외국인",IF(요율!$H$8="X",IF(C95="",0,IF(OR(MID(C95,8,1)&lt;"3",AND(MID(C95,8,1)&gt;="5",MID(C95,8,1)&lt;="6")),IF(INT(TEXT($O$3,"yyyy.mmdd")-TEXT(TEXT(LEFT(C95,6),"1900-00-00"),"yyyy.mmdd"))&gt;=65,"65세이상",+TRUNC(AH95*요율!$C$9%,-1)),IF(INT(TEXT($O$3,"yyyy.mmdd")-TEXT(TEXT(LEFT(C95,6),"2000-00-00"),"yyyy.mmdd"))&gt;=65,"65세이상",+TRUNC(AH95*요율!$C$9%,-1)))),+TRUNC(AH95*요율!$C$9%,-1)))</f>
        <v>0</v>
      </c>
      <c r="AR96" s="699"/>
      <c r="AS96" s="699"/>
      <c r="AT96" s="714"/>
      <c r="AU96" s="715"/>
      <c r="AV96" s="716"/>
      <c r="AW96" s="723"/>
      <c r="AX96" s="724"/>
      <c r="AY96" s="725"/>
      <c r="AZ96" s="767"/>
      <c r="BA96" s="22" t="str">
        <f>BA95</f>
        <v/>
      </c>
      <c r="BB96" s="6">
        <v>2</v>
      </c>
      <c r="BC96" s="753"/>
      <c r="BD96" s="733">
        <f>B95</f>
        <v>0</v>
      </c>
      <c r="BE96" s="733"/>
      <c r="BF96" s="733"/>
      <c r="BG96" s="734">
        <f>SUM(BM95:CB96)</f>
        <v>0</v>
      </c>
      <c r="BH96" s="735"/>
      <c r="BI96" s="736"/>
      <c r="BJ96" s="144"/>
      <c r="BK96" s="145"/>
      <c r="BL96" s="146"/>
      <c r="BM96" s="17">
        <f>ROUNDDOWN(IF($AG95*O96&gt;요율!$E$3,($AG95*O96-요율!$E$3)*요율!$C$3%*요율!$D$3%,0),-1)</f>
        <v>0</v>
      </c>
      <c r="BN96" s="18">
        <f>ROUNDDOWN(IF($AG95*P96&gt;요율!$E$3,($AG95*P96-요율!$E$3)*요율!$C$3%*요율!$D$3%,0),-1)</f>
        <v>0</v>
      </c>
      <c r="BO96" s="18">
        <f>ROUNDDOWN(IF($AG95*Q96&gt;요율!$E$3,($AG95*Q96-요율!$E$3)*요율!$C$3%*요율!$D$3%,0),-1)</f>
        <v>0</v>
      </c>
      <c r="BP96" s="18">
        <f>ROUNDDOWN(IF($AG95*R96&gt;요율!$E$3,($AG95*R96-요율!$E$3)*요율!$C$3%*요율!$D$3%,0),-1)</f>
        <v>0</v>
      </c>
      <c r="BQ96" s="18">
        <f>ROUNDDOWN(IF($AG95*S96&gt;요율!$E$3,($AG95*S96-요율!$E$3)*요율!$C$3%*요율!$D$3%,0),-1)</f>
        <v>0</v>
      </c>
      <c r="BR96" s="18">
        <f>ROUNDDOWN(IF($AG95*T96&gt;요율!$E$3,($AG95*T96-요율!$E$3)*요율!$C$3%*요율!$D$3%,0),-1)</f>
        <v>0</v>
      </c>
      <c r="BS96" s="18">
        <f>ROUNDDOWN(IF($AG95*U96&gt;요율!$E$3,($AG95*U96-요율!$E$3)*요율!$C$3%*요율!$D$3%,0),-1)</f>
        <v>0</v>
      </c>
      <c r="BT96" s="18">
        <f>ROUNDDOWN(IF($AG95*V96&gt;요율!$E$3,($AG95*V96-요율!$E$3)*요율!$C$3%*요율!$D$3%,0),-1)</f>
        <v>0</v>
      </c>
      <c r="BU96" s="18">
        <f>ROUNDDOWN(IF($AG95*W96&gt;요율!$E$3,($AG95*W96-요율!$E$3)*요율!$C$3%*요율!$D$3%,0),-1)</f>
        <v>0</v>
      </c>
      <c r="BV96" s="18">
        <f>ROUNDDOWN(IF($AG95*X96&gt;요율!$E$3,($AG95*X96-요율!$E$3)*요율!$C$3%*요율!$D$3%,0),-1)</f>
        <v>0</v>
      </c>
      <c r="BW96" s="18">
        <f>ROUNDDOWN(IF($AG95*Y96&gt;요율!$E$3,($AG95*Y96-요율!$E$3)*요율!$C$3%*요율!$D$3%,0),-1)</f>
        <v>0</v>
      </c>
      <c r="BX96" s="18">
        <f>ROUNDDOWN(IF($AG95*Z96&gt;요율!$E$3,($AG95*Z96-요율!$E$3)*요율!$C$3%*요율!$D$3%,0),-1)</f>
        <v>0</v>
      </c>
      <c r="BY96" s="18">
        <f>ROUNDDOWN(IF($AG95*AA96&gt;요율!$E$3,($AG95*AA96-요율!$E$3)*요율!$C$3%*요율!$D$3%,0),-1)</f>
        <v>0</v>
      </c>
      <c r="BZ96" s="18">
        <f>ROUNDDOWN(IF($AG95*AB96&gt;요율!$E$3,($AG95*AB96-요율!$E$3)*요율!$C$3%*요율!$D$3%,0),-1)</f>
        <v>0</v>
      </c>
      <c r="CA96" s="18">
        <f>ROUNDDOWN(IF($AG95*AC96&gt;요율!$E$3,($AG95*AC96-요율!$E$3)*요율!$C$3%*요율!$D$3%,0),-1)</f>
        <v>0</v>
      </c>
      <c r="CB96" s="19">
        <f>ROUNDDOWN(IF($AG95*AD96&gt;요율!$E$3,($AG95*AD96-요율!$E$3)*요율!$C$3%*요율!$D$3%,0),-1)</f>
        <v>0</v>
      </c>
    </row>
    <row r="97" spans="1:82" ht="20.100000000000001" hidden="1" customHeight="1">
      <c r="A97" s="760">
        <f t="shared" si="2"/>
        <v>46</v>
      </c>
      <c r="B97" s="260"/>
      <c r="C97" s="708" t="str">
        <f>IF(ISERROR(VLOOKUP(B97,주소록!$A$3:$K$523,5,0)),"",VLOOKUP(B97,주소록!$A$3:$K$523,3,0))</f>
        <v/>
      </c>
      <c r="D97" s="708"/>
      <c r="E97" s="708"/>
      <c r="F97" s="709"/>
      <c r="G97" s="710" t="str">
        <f>IF(ISERROR(VLOOKUP(B97,주소록!$A$3:$K$523,6,0)),"",VLOOKUP(B97,주소록!$A$3:$K$523,4,0))</f>
        <v/>
      </c>
      <c r="H97" s="711"/>
      <c r="I97" s="711"/>
      <c r="J97" s="711"/>
      <c r="K97" s="711"/>
      <c r="L97" s="711"/>
      <c r="M97" s="711"/>
      <c r="N97" s="712"/>
      <c r="O97" s="469"/>
      <c r="P97" s="470"/>
      <c r="Q97" s="470"/>
      <c r="R97" s="470"/>
      <c r="S97" s="478"/>
      <c r="T97" s="469"/>
      <c r="U97" s="470"/>
      <c r="V97" s="470"/>
      <c r="W97" s="470"/>
      <c r="X97" s="471"/>
      <c r="Y97" s="472"/>
      <c r="Z97" s="467"/>
      <c r="AA97" s="470"/>
      <c r="AB97" s="470"/>
      <c r="AC97" s="470"/>
      <c r="AD97" s="473"/>
      <c r="AE97" s="762">
        <f>COUNTIF(O97:AD98,"&gt;=0.5")</f>
        <v>0</v>
      </c>
      <c r="AF97" s="763"/>
      <c r="AG97" s="764"/>
      <c r="AH97" s="684">
        <f>AE98*AG97</f>
        <v>0</v>
      </c>
      <c r="AI97" s="685"/>
      <c r="AJ97" s="686"/>
      <c r="AK97" s="755">
        <f>IF(BG98&lt;1000, 0, BG98)</f>
        <v>0</v>
      </c>
      <c r="AL97" s="756"/>
      <c r="AM97" s="757"/>
      <c r="AN97" s="758">
        <f>IF(요율!$H$7="○",IF(AE97&gt;=요율!$D$6,ROUNDDOWN(AH97*요율!$C$4%,-1),0),0)</f>
        <v>0</v>
      </c>
      <c r="AO97" s="756"/>
      <c r="AP97" s="757"/>
      <c r="AQ97" s="758">
        <f>BL97</f>
        <v>0</v>
      </c>
      <c r="AR97" s="756"/>
      <c r="AS97" s="759"/>
      <c r="AT97" s="717">
        <f>SUM(AK97:AS98)</f>
        <v>0</v>
      </c>
      <c r="AU97" s="718"/>
      <c r="AV97" s="719"/>
      <c r="AW97" s="720">
        <f>AH97-AT97-AT98</f>
        <v>0</v>
      </c>
      <c r="AX97" s="721"/>
      <c r="AY97" s="722"/>
      <c r="AZ97" s="766"/>
      <c r="BA97" s="21" t="str">
        <f>IF(ISERROR(VLOOKUP($B97,주소록!$A$3:$K$523,3,0)),"",VLOOKUP($B97,주소록!$A$3:$K$523,2,0))</f>
        <v/>
      </c>
      <c r="BB97" s="6">
        <v>1</v>
      </c>
      <c r="BC97" s="752">
        <f>A97</f>
        <v>46</v>
      </c>
      <c r="BD97" s="754" t="str">
        <f>IF(OR(MID(C97,8,1)&lt;"3",AND(MID(C97,8,1)&gt;="5",MID(C97,8,1)&lt;="6")),TEXT(TEXT(LEFT(C97,6),"1900-00-00"),"yyyy년 m월 d일"),TEXT(TEXT(LEFT(C97,6),"2000-00-00"),"yyyy년 m월 d일"))</f>
        <v/>
      </c>
      <c r="BE97" s="754"/>
      <c r="BF97" s="754"/>
      <c r="BG97" s="768">
        <f>IFERROR(INT( ( TEXT($O$3,"yyyy.mmdd") - TEXT(BD97,"yyyy.mmdd") )  ),0)</f>
        <v>0</v>
      </c>
      <c r="BH97" s="769"/>
      <c r="BI97" s="770"/>
      <c r="BJ97" s="133">
        <f>IF(BG97&gt;59,"60세이상",IF(OR(AE97&lt;요율!$D$6,AH97=0),0,IF(AH97&lt;요율!$C$7,요율!$D$7,IF(AH97&gt;요율!$C$8,요율!$D$8,+TRUNC(AH97*요율!$C$6%,-1)))))</f>
        <v>0</v>
      </c>
      <c r="BK97" s="143">
        <f>IF(BG97&gt;59,"60세이상",IF(OR(AH97&lt;2200000,AH97=0),0,IF(AH97&lt;요율!$C$7,요율!$D$7,IF(AH97&gt;요율!$C$8,요율!$D$8,+TRUNC(AH97*요율!$C$6%,-1)))))</f>
        <v>0</v>
      </c>
      <c r="BL97" s="140">
        <f>IF(BK97&gt;0,BK97,BJ97)</f>
        <v>0</v>
      </c>
      <c r="BM97" s="15">
        <f>ROUNDDOWN(IF($AG97*O97&gt;요율!$E$3,($AG97*O97-요율!$E$3)*요율!$C$3%*요율!$D$3%,0),-1)</f>
        <v>0</v>
      </c>
      <c r="BN97" s="16">
        <f>ROUNDDOWN(IF($AG97*P97&gt;요율!$E$3,($AG97*P97-요율!$E$3)*요율!$C$3%*요율!$D$3%,0),-1)</f>
        <v>0</v>
      </c>
      <c r="BO97" s="16">
        <f>ROUNDDOWN(IF($AG97*Q97&gt;요율!$E$3,($AG97*Q97-요율!$E$3)*요율!$C$3%*요율!$D$3%,0),-1)</f>
        <v>0</v>
      </c>
      <c r="BP97" s="16">
        <f>ROUNDDOWN(IF($AG97*R97&gt;요율!$E$3,($AG97*R97-요율!$E$3)*요율!$C$3%*요율!$D$3%,0),-1)</f>
        <v>0</v>
      </c>
      <c r="BQ97" s="16">
        <f>ROUNDDOWN(IF($AG97*S97&gt;요율!$E$3,($AG97*S97-요율!$E$3)*요율!$C$3%*요율!$D$3%,0),-1)</f>
        <v>0</v>
      </c>
      <c r="BR97" s="16">
        <f>ROUNDDOWN(IF($AG97*T97&gt;요율!$E$3,($AG97*T97-요율!$E$3)*요율!$C$3%*요율!$D$3%,0),-1)</f>
        <v>0</v>
      </c>
      <c r="BS97" s="16">
        <f>ROUNDDOWN(IF($AG97*U97&gt;요율!$E$3,($AG97*U97-요율!$E$3)*요율!$C$3%*요율!$D$3%,0),-1)</f>
        <v>0</v>
      </c>
      <c r="BT97" s="16">
        <f>ROUNDDOWN(IF($AG97*V97&gt;요율!$E$3,($AG97*V97-요율!$E$3)*요율!$C$3%*요율!$D$3%,0),-1)</f>
        <v>0</v>
      </c>
      <c r="BU97" s="16">
        <f>ROUNDDOWN(IF($AG97*W97&gt;요율!$E$3,($AG97*W97-요율!$E$3)*요율!$C$3%*요율!$D$3%,0),-1)</f>
        <v>0</v>
      </c>
      <c r="BV97" s="16">
        <f>ROUNDDOWN(IF($AG97*X97&gt;요율!$E$3,($AG97*X97-요율!$E$3)*요율!$C$3%*요율!$D$3%,0),-1)</f>
        <v>0</v>
      </c>
      <c r="BW97" s="16">
        <f>ROUNDDOWN(IF($AG97*Y97&gt;요율!$E$3,($AG97*Y97-요율!$E$3)*요율!$C$3%*요율!$D$3%,0),-1)</f>
        <v>0</v>
      </c>
      <c r="BX97" s="16">
        <f>ROUNDDOWN(IF($AG97*Z97&gt;요율!$E$3,($AG97*Z97-요율!$E$3)*요율!$C$3%*요율!$D$3%,0),-1)</f>
        <v>0</v>
      </c>
      <c r="BY97" s="16">
        <f>ROUNDDOWN(IF($AG97*AA97&gt;요율!$E$3,($AG97*AA97-요율!$E$3)*요율!$C$3%*요율!$D$3%,0),-1)</f>
        <v>0</v>
      </c>
      <c r="BZ97" s="16">
        <f>ROUNDDOWN(IF($AG97*AB97&gt;요율!$E$3,($AG97*AB97-요율!$E$3)*요율!$C$3%*요율!$D$3%,0),-1)</f>
        <v>0</v>
      </c>
      <c r="CA97" s="16">
        <f>ROUNDDOWN(IF($AG97*AC97&gt;요율!$E$3,($AG97*AC97-요율!$E$3)*요율!$C$3%*요율!$D$3%,0),-1)</f>
        <v>0</v>
      </c>
      <c r="CB97" s="31">
        <f>ROUNDDOWN(IF($AG97*AD97&gt;요율!$E$3,($AG97*AD97-요율!$E$3)*요율!$C$3%*요율!$D$3%,0),-1)</f>
        <v>0</v>
      </c>
      <c r="CD97" s="5" t="str">
        <f>IFERROR(VLOOKUP(B97,주소록,9,FALSE),"")</f>
        <v/>
      </c>
    </row>
    <row r="98" spans="1:82" ht="20.100000000000001" hidden="1" customHeight="1">
      <c r="A98" s="761"/>
      <c r="B98" s="261" t="str">
        <f>BA97</f>
        <v/>
      </c>
      <c r="C98" s="690" t="str">
        <f>IF(ISERROR(VLOOKUP(B97,주소록!$A$3:$K$523,7,0)),"",VLOOKUP(B97,주소록!$A$3:$K$523,5,0))</f>
        <v/>
      </c>
      <c r="D98" s="690"/>
      <c r="E98" s="690"/>
      <c r="F98" s="691"/>
      <c r="G98" s="692" t="str">
        <f>IF(ISERROR(VLOOKUP(B97,주소록!$A$3:$K$523,9,0)),"",VLOOKUP(B97,주소록!$A$3:$K$523,7,0))</f>
        <v/>
      </c>
      <c r="H98" s="693"/>
      <c r="I98" s="694"/>
      <c r="J98" s="692" t="str">
        <f>IF(ISERROR(VLOOKUP(B97,주소록!$A$3:$K$523,10,0)),"",VLOOKUP(B97,주소록!$A$3:$K$523,8,0))</f>
        <v/>
      </c>
      <c r="K98" s="693"/>
      <c r="L98" s="693"/>
      <c r="M98" s="693"/>
      <c r="N98" s="695"/>
      <c r="O98" s="474"/>
      <c r="P98" s="475"/>
      <c r="Q98" s="475"/>
      <c r="R98" s="468"/>
      <c r="S98" s="476"/>
      <c r="T98" s="474"/>
      <c r="U98" s="475"/>
      <c r="V98" s="475"/>
      <c r="W98" s="475"/>
      <c r="X98" s="477"/>
      <c r="Y98" s="479"/>
      <c r="Z98" s="475"/>
      <c r="AA98" s="475"/>
      <c r="AB98" s="475"/>
      <c r="AC98" s="475"/>
      <c r="AD98" s="477"/>
      <c r="AE98" s="696">
        <f>SUM(O97:AD98)</f>
        <v>0</v>
      </c>
      <c r="AF98" s="697"/>
      <c r="AG98" s="765"/>
      <c r="AH98" s="687"/>
      <c r="AI98" s="688"/>
      <c r="AJ98" s="689"/>
      <c r="AK98" s="698">
        <f>IF(C97=0,"",IF(MID(C97,7,1)="5","",IF(MID(C97,7,1)="6","",ROUNDDOWN((AK97*10%),-1))))</f>
        <v>0</v>
      </c>
      <c r="AL98" s="699"/>
      <c r="AM98" s="700"/>
      <c r="AN98" s="701">
        <f>ROUNDDOWN(AN97*요율!$F$5,-1)</f>
        <v>0</v>
      </c>
      <c r="AO98" s="701"/>
      <c r="AP98" s="701"/>
      <c r="AQ98" s="713">
        <f>IF(OR(AND(요율!$H$8="X",요율!$H$9="X",MID(C97,8,1)&gt;="5"),AND(요율!$H$8="○",요율!$H$9="X",MID(C97,8,1)&gt;="5")),"외국인",IF(요율!$H$8="X",IF(C97="",0,IF(OR(MID(C97,8,1)&lt;"3",AND(MID(C97,8,1)&gt;="5",MID(C97,8,1)&lt;="6")),IF(INT(TEXT($O$3,"yyyy.mmdd")-TEXT(TEXT(LEFT(C97,6),"1900-00-00"),"yyyy.mmdd"))&gt;=65,"65세이상",+TRUNC(AH97*요율!$C$9%,-1)),IF(INT(TEXT($O$3,"yyyy.mmdd")-TEXT(TEXT(LEFT(C97,6),"2000-00-00"),"yyyy.mmdd"))&gt;=65,"65세이상",+TRUNC(AH97*요율!$C$9%,-1)))),+TRUNC(AH97*요율!$C$9%,-1)))</f>
        <v>0</v>
      </c>
      <c r="AR98" s="699"/>
      <c r="AS98" s="699"/>
      <c r="AT98" s="714"/>
      <c r="AU98" s="715"/>
      <c r="AV98" s="716"/>
      <c r="AW98" s="723"/>
      <c r="AX98" s="724"/>
      <c r="AY98" s="725"/>
      <c r="AZ98" s="767"/>
      <c r="BA98" s="22" t="str">
        <f>BA97</f>
        <v/>
      </c>
      <c r="BB98" s="6">
        <v>2</v>
      </c>
      <c r="BC98" s="753"/>
      <c r="BD98" s="733">
        <f>B97</f>
        <v>0</v>
      </c>
      <c r="BE98" s="733"/>
      <c r="BF98" s="733"/>
      <c r="BG98" s="734">
        <f>SUM(BM97:CB98)</f>
        <v>0</v>
      </c>
      <c r="BH98" s="735"/>
      <c r="BI98" s="736"/>
      <c r="BJ98" s="144"/>
      <c r="BK98" s="145"/>
      <c r="BL98" s="146"/>
      <c r="BM98" s="17">
        <f>ROUNDDOWN(IF($AG97*O98&gt;요율!$E$3,($AG97*O98-요율!$E$3)*요율!$C$3%*요율!$D$3%,0),-1)</f>
        <v>0</v>
      </c>
      <c r="BN98" s="18">
        <f>ROUNDDOWN(IF($AG97*P98&gt;요율!$E$3,($AG97*P98-요율!$E$3)*요율!$C$3%*요율!$D$3%,0),-1)</f>
        <v>0</v>
      </c>
      <c r="BO98" s="18">
        <f>ROUNDDOWN(IF($AG97*Q98&gt;요율!$E$3,($AG97*Q98-요율!$E$3)*요율!$C$3%*요율!$D$3%,0),-1)</f>
        <v>0</v>
      </c>
      <c r="BP98" s="18">
        <f>ROUNDDOWN(IF($AG97*R98&gt;요율!$E$3,($AG97*R98-요율!$E$3)*요율!$C$3%*요율!$D$3%,0),-1)</f>
        <v>0</v>
      </c>
      <c r="BQ98" s="18">
        <f>ROUNDDOWN(IF($AG97*S98&gt;요율!$E$3,($AG97*S98-요율!$E$3)*요율!$C$3%*요율!$D$3%,0),-1)</f>
        <v>0</v>
      </c>
      <c r="BR98" s="18">
        <f>ROUNDDOWN(IF($AG97*T98&gt;요율!$E$3,($AG97*T98-요율!$E$3)*요율!$C$3%*요율!$D$3%,0),-1)</f>
        <v>0</v>
      </c>
      <c r="BS98" s="18">
        <f>ROUNDDOWN(IF($AG97*U98&gt;요율!$E$3,($AG97*U98-요율!$E$3)*요율!$C$3%*요율!$D$3%,0),-1)</f>
        <v>0</v>
      </c>
      <c r="BT98" s="18">
        <f>ROUNDDOWN(IF($AG97*V98&gt;요율!$E$3,($AG97*V98-요율!$E$3)*요율!$C$3%*요율!$D$3%,0),-1)</f>
        <v>0</v>
      </c>
      <c r="BU98" s="18">
        <f>ROUNDDOWN(IF($AG97*W98&gt;요율!$E$3,($AG97*W98-요율!$E$3)*요율!$C$3%*요율!$D$3%,0),-1)</f>
        <v>0</v>
      </c>
      <c r="BV98" s="18">
        <f>ROUNDDOWN(IF($AG97*X98&gt;요율!$E$3,($AG97*X98-요율!$E$3)*요율!$C$3%*요율!$D$3%,0),-1)</f>
        <v>0</v>
      </c>
      <c r="BW98" s="18">
        <f>ROUNDDOWN(IF($AG97*Y98&gt;요율!$E$3,($AG97*Y98-요율!$E$3)*요율!$C$3%*요율!$D$3%,0),-1)</f>
        <v>0</v>
      </c>
      <c r="BX98" s="18">
        <f>ROUNDDOWN(IF($AG97*Z98&gt;요율!$E$3,($AG97*Z98-요율!$E$3)*요율!$C$3%*요율!$D$3%,0),-1)</f>
        <v>0</v>
      </c>
      <c r="BY98" s="18">
        <f>ROUNDDOWN(IF($AG97*AA98&gt;요율!$E$3,($AG97*AA98-요율!$E$3)*요율!$C$3%*요율!$D$3%,0),-1)</f>
        <v>0</v>
      </c>
      <c r="BZ98" s="18">
        <f>ROUNDDOWN(IF($AG97*AB98&gt;요율!$E$3,($AG97*AB98-요율!$E$3)*요율!$C$3%*요율!$D$3%,0),-1)</f>
        <v>0</v>
      </c>
      <c r="CA98" s="18">
        <f>ROUNDDOWN(IF($AG97*AC98&gt;요율!$E$3,($AG97*AC98-요율!$E$3)*요율!$C$3%*요율!$D$3%,0),-1)</f>
        <v>0</v>
      </c>
      <c r="CB98" s="19">
        <f>ROUNDDOWN(IF($AG97*AD98&gt;요율!$E$3,($AG97*AD98-요율!$E$3)*요율!$C$3%*요율!$D$3%,0),-1)</f>
        <v>0</v>
      </c>
    </row>
    <row r="99" spans="1:82" ht="20.100000000000001" hidden="1" customHeight="1">
      <c r="A99" s="760">
        <f t="shared" si="2"/>
        <v>47</v>
      </c>
      <c r="B99" s="260"/>
      <c r="C99" s="708" t="str">
        <f>IF(ISERROR(VLOOKUP(B99,주소록!$A$3:$K$523,5,0)),"",VLOOKUP(B99,주소록!$A$3:$K$523,3,0))</f>
        <v/>
      </c>
      <c r="D99" s="708"/>
      <c r="E99" s="708"/>
      <c r="F99" s="709"/>
      <c r="G99" s="710" t="str">
        <f>IF(ISERROR(VLOOKUP(B99,주소록!$A$3:$K$523,6,0)),"",VLOOKUP(B99,주소록!$A$3:$K$523,4,0))</f>
        <v/>
      </c>
      <c r="H99" s="711"/>
      <c r="I99" s="711"/>
      <c r="J99" s="711"/>
      <c r="K99" s="711"/>
      <c r="L99" s="711"/>
      <c r="M99" s="711"/>
      <c r="N99" s="712"/>
      <c r="O99" s="469"/>
      <c r="P99" s="470"/>
      <c r="Q99" s="470"/>
      <c r="R99" s="470"/>
      <c r="S99" s="478"/>
      <c r="T99" s="469"/>
      <c r="U99" s="470"/>
      <c r="V99" s="470"/>
      <c r="W99" s="470"/>
      <c r="X99" s="471"/>
      <c r="Y99" s="472"/>
      <c r="Z99" s="467"/>
      <c r="AA99" s="470"/>
      <c r="AB99" s="470"/>
      <c r="AC99" s="470"/>
      <c r="AD99" s="473"/>
      <c r="AE99" s="762">
        <f>COUNTIF(O99:AD100,"&gt;=0.5")</f>
        <v>0</v>
      </c>
      <c r="AF99" s="763"/>
      <c r="AG99" s="764"/>
      <c r="AH99" s="684">
        <f>AE100*AG99</f>
        <v>0</v>
      </c>
      <c r="AI99" s="685"/>
      <c r="AJ99" s="686"/>
      <c r="AK99" s="755">
        <f>IF(BG100&lt;1000, 0, BG100)</f>
        <v>0</v>
      </c>
      <c r="AL99" s="756"/>
      <c r="AM99" s="757"/>
      <c r="AN99" s="758">
        <f>IF(요율!$H$7="○",IF(AE99&gt;=요율!$D$6,ROUNDDOWN(AH99*요율!$C$4%,-1),0),0)</f>
        <v>0</v>
      </c>
      <c r="AO99" s="756"/>
      <c r="AP99" s="757"/>
      <c r="AQ99" s="758">
        <f>BL99</f>
        <v>0</v>
      </c>
      <c r="AR99" s="756"/>
      <c r="AS99" s="759"/>
      <c r="AT99" s="717">
        <f>SUM(AK99:AS100)</f>
        <v>0</v>
      </c>
      <c r="AU99" s="718"/>
      <c r="AV99" s="719"/>
      <c r="AW99" s="720">
        <f>AH99-AT99-AT100</f>
        <v>0</v>
      </c>
      <c r="AX99" s="721"/>
      <c r="AY99" s="722"/>
      <c r="AZ99" s="766"/>
      <c r="BA99" s="21" t="str">
        <f>IF(ISERROR(VLOOKUP($B99,주소록!$A$3:$K$523,3,0)),"",VLOOKUP($B99,주소록!$A$3:$K$523,2,0))</f>
        <v/>
      </c>
      <c r="BB99" s="6">
        <v>1</v>
      </c>
      <c r="BC99" s="752">
        <f>A99</f>
        <v>47</v>
      </c>
      <c r="BD99" s="754" t="str">
        <f>IF(OR(MID(C99,8,1)&lt;"3",AND(MID(C99,8,1)&gt;="5",MID(C99,8,1)&lt;="6")),TEXT(TEXT(LEFT(C99,6),"1900-00-00"),"yyyy년 m월 d일"),TEXT(TEXT(LEFT(C99,6),"2000-00-00"),"yyyy년 m월 d일"))</f>
        <v/>
      </c>
      <c r="BE99" s="754"/>
      <c r="BF99" s="754"/>
      <c r="BG99" s="768">
        <f>IFERROR(INT( ( TEXT($O$3,"yyyy.mmdd") - TEXT(BD99,"yyyy.mmdd") )  ),0)</f>
        <v>0</v>
      </c>
      <c r="BH99" s="769"/>
      <c r="BI99" s="770"/>
      <c r="BJ99" s="133">
        <f>IF(BG99&gt;59,"60세이상",IF(OR(AE99&lt;요율!$D$6,AH99=0),0,IF(AH99&lt;요율!$C$7,요율!$D$7,IF(AH99&gt;요율!$C$8,요율!$D$8,+TRUNC(AH99*요율!$C$6%,-1)))))</f>
        <v>0</v>
      </c>
      <c r="BK99" s="143">
        <f>IF(BG99&gt;59,"60세이상",IF(OR(AH99&lt;2200000,AH99=0),0,IF(AH99&lt;요율!$C$7,요율!$D$7,IF(AH99&gt;요율!$C$8,요율!$D$8,+TRUNC(AH99*요율!$C$6%,-1)))))</f>
        <v>0</v>
      </c>
      <c r="BL99" s="140">
        <f>IF(BK99&gt;0,BK99,BJ99)</f>
        <v>0</v>
      </c>
      <c r="BM99" s="15">
        <f>ROUNDDOWN(IF($AG99*O99&gt;요율!$E$3,($AG99*O99-요율!$E$3)*요율!$C$3%*요율!$D$3%,0),-1)</f>
        <v>0</v>
      </c>
      <c r="BN99" s="16">
        <f>ROUNDDOWN(IF($AG99*P99&gt;요율!$E$3,($AG99*P99-요율!$E$3)*요율!$C$3%*요율!$D$3%,0),-1)</f>
        <v>0</v>
      </c>
      <c r="BO99" s="16">
        <f>ROUNDDOWN(IF($AG99*Q99&gt;요율!$E$3,($AG99*Q99-요율!$E$3)*요율!$C$3%*요율!$D$3%,0),-1)</f>
        <v>0</v>
      </c>
      <c r="BP99" s="16">
        <f>ROUNDDOWN(IF($AG99*R99&gt;요율!$E$3,($AG99*R99-요율!$E$3)*요율!$C$3%*요율!$D$3%,0),-1)</f>
        <v>0</v>
      </c>
      <c r="BQ99" s="16">
        <f>ROUNDDOWN(IF($AG99*S99&gt;요율!$E$3,($AG99*S99-요율!$E$3)*요율!$C$3%*요율!$D$3%,0),-1)</f>
        <v>0</v>
      </c>
      <c r="BR99" s="16">
        <f>ROUNDDOWN(IF($AG99*T99&gt;요율!$E$3,($AG99*T99-요율!$E$3)*요율!$C$3%*요율!$D$3%,0),-1)</f>
        <v>0</v>
      </c>
      <c r="BS99" s="16">
        <f>ROUNDDOWN(IF($AG99*U99&gt;요율!$E$3,($AG99*U99-요율!$E$3)*요율!$C$3%*요율!$D$3%,0),-1)</f>
        <v>0</v>
      </c>
      <c r="BT99" s="16">
        <f>ROUNDDOWN(IF($AG99*V99&gt;요율!$E$3,($AG99*V99-요율!$E$3)*요율!$C$3%*요율!$D$3%,0),-1)</f>
        <v>0</v>
      </c>
      <c r="BU99" s="16">
        <f>ROUNDDOWN(IF($AG99*W99&gt;요율!$E$3,($AG99*W99-요율!$E$3)*요율!$C$3%*요율!$D$3%,0),-1)</f>
        <v>0</v>
      </c>
      <c r="BV99" s="16">
        <f>ROUNDDOWN(IF($AG99*X99&gt;요율!$E$3,($AG99*X99-요율!$E$3)*요율!$C$3%*요율!$D$3%,0),-1)</f>
        <v>0</v>
      </c>
      <c r="BW99" s="16">
        <f>ROUNDDOWN(IF($AG99*Y99&gt;요율!$E$3,($AG99*Y99-요율!$E$3)*요율!$C$3%*요율!$D$3%,0),-1)</f>
        <v>0</v>
      </c>
      <c r="BX99" s="16">
        <f>ROUNDDOWN(IF($AG99*Z99&gt;요율!$E$3,($AG99*Z99-요율!$E$3)*요율!$C$3%*요율!$D$3%,0),-1)</f>
        <v>0</v>
      </c>
      <c r="BY99" s="16">
        <f>ROUNDDOWN(IF($AG99*AA99&gt;요율!$E$3,($AG99*AA99-요율!$E$3)*요율!$C$3%*요율!$D$3%,0),-1)</f>
        <v>0</v>
      </c>
      <c r="BZ99" s="16">
        <f>ROUNDDOWN(IF($AG99*AB99&gt;요율!$E$3,($AG99*AB99-요율!$E$3)*요율!$C$3%*요율!$D$3%,0),-1)</f>
        <v>0</v>
      </c>
      <c r="CA99" s="16">
        <f>ROUNDDOWN(IF($AG99*AC99&gt;요율!$E$3,($AG99*AC99-요율!$E$3)*요율!$C$3%*요율!$D$3%,0),-1)</f>
        <v>0</v>
      </c>
      <c r="CB99" s="31">
        <f>ROUNDDOWN(IF($AG99*AD99&gt;요율!$E$3,($AG99*AD99-요율!$E$3)*요율!$C$3%*요율!$D$3%,0),-1)</f>
        <v>0</v>
      </c>
      <c r="CD99" s="5" t="str">
        <f>IFERROR(VLOOKUP(B99,주소록,9,FALSE),"")</f>
        <v/>
      </c>
    </row>
    <row r="100" spans="1:82" ht="20.100000000000001" hidden="1" customHeight="1">
      <c r="A100" s="761"/>
      <c r="B100" s="261" t="str">
        <f>BA99</f>
        <v/>
      </c>
      <c r="C100" s="690" t="str">
        <f>IF(ISERROR(VLOOKUP(B99,주소록!$A$3:$K$523,7,0)),"",VLOOKUP(B99,주소록!$A$3:$K$523,5,0))</f>
        <v/>
      </c>
      <c r="D100" s="690"/>
      <c r="E100" s="690"/>
      <c r="F100" s="691"/>
      <c r="G100" s="692" t="str">
        <f>IF(ISERROR(VLOOKUP(B99,주소록!$A$3:$K$523,9,0)),"",VLOOKUP(B99,주소록!$A$3:$K$523,7,0))</f>
        <v/>
      </c>
      <c r="H100" s="693"/>
      <c r="I100" s="694"/>
      <c r="J100" s="692" t="str">
        <f>IF(ISERROR(VLOOKUP(B99,주소록!$A$3:$K$523,10,0)),"",VLOOKUP(B99,주소록!$A$3:$K$523,8,0))</f>
        <v/>
      </c>
      <c r="K100" s="693"/>
      <c r="L100" s="693"/>
      <c r="M100" s="693"/>
      <c r="N100" s="695"/>
      <c r="O100" s="474"/>
      <c r="P100" s="475"/>
      <c r="Q100" s="475"/>
      <c r="R100" s="468"/>
      <c r="S100" s="476"/>
      <c r="T100" s="474"/>
      <c r="U100" s="475"/>
      <c r="V100" s="475"/>
      <c r="W100" s="475"/>
      <c r="X100" s="477"/>
      <c r="Y100" s="479"/>
      <c r="Z100" s="475"/>
      <c r="AA100" s="475"/>
      <c r="AB100" s="475"/>
      <c r="AC100" s="475"/>
      <c r="AD100" s="477"/>
      <c r="AE100" s="696">
        <f>SUM(O99:AD100)</f>
        <v>0</v>
      </c>
      <c r="AF100" s="697"/>
      <c r="AG100" s="765"/>
      <c r="AH100" s="687"/>
      <c r="AI100" s="688"/>
      <c r="AJ100" s="689"/>
      <c r="AK100" s="698">
        <f>IF(C99=0,"",IF(MID(C99,7,1)="5","",IF(MID(C99,7,1)="6","",ROUNDDOWN((AK99*10%),-1))))</f>
        <v>0</v>
      </c>
      <c r="AL100" s="699"/>
      <c r="AM100" s="700"/>
      <c r="AN100" s="701">
        <f>ROUNDDOWN(AN99*요율!$F$5,-1)</f>
        <v>0</v>
      </c>
      <c r="AO100" s="701"/>
      <c r="AP100" s="701"/>
      <c r="AQ100" s="713">
        <f>IF(OR(AND(요율!$H$8="X",요율!$H$9="X",MID(C99,8,1)&gt;="5"),AND(요율!$H$8="○",요율!$H$9="X",MID(C99,8,1)&gt;="5")),"외국인",IF(요율!$H$8="X",IF(C99="",0,IF(OR(MID(C99,8,1)&lt;"3",AND(MID(C99,8,1)&gt;="5",MID(C99,8,1)&lt;="6")),IF(INT(TEXT($O$3,"yyyy.mmdd")-TEXT(TEXT(LEFT(C99,6),"1900-00-00"),"yyyy.mmdd"))&gt;=65,"65세이상",+TRUNC(AH99*요율!$C$9%,-1)),IF(INT(TEXT($O$3,"yyyy.mmdd")-TEXT(TEXT(LEFT(C99,6),"2000-00-00"),"yyyy.mmdd"))&gt;=65,"65세이상",+TRUNC(AH99*요율!$C$9%,-1)))),+TRUNC(AH99*요율!$C$9%,-1)))</f>
        <v>0</v>
      </c>
      <c r="AR100" s="699"/>
      <c r="AS100" s="699"/>
      <c r="AT100" s="714"/>
      <c r="AU100" s="715"/>
      <c r="AV100" s="716"/>
      <c r="AW100" s="723"/>
      <c r="AX100" s="724"/>
      <c r="AY100" s="725"/>
      <c r="AZ100" s="767"/>
      <c r="BA100" s="22" t="str">
        <f>BA99</f>
        <v/>
      </c>
      <c r="BB100" s="6">
        <v>2</v>
      </c>
      <c r="BC100" s="753"/>
      <c r="BD100" s="733">
        <f>B99</f>
        <v>0</v>
      </c>
      <c r="BE100" s="733"/>
      <c r="BF100" s="733"/>
      <c r="BG100" s="734">
        <f>SUM(BM99:CB100)</f>
        <v>0</v>
      </c>
      <c r="BH100" s="735"/>
      <c r="BI100" s="736"/>
      <c r="BJ100" s="144"/>
      <c r="BK100" s="145"/>
      <c r="BL100" s="146"/>
      <c r="BM100" s="17">
        <f>ROUNDDOWN(IF($AG99*O100&gt;요율!$E$3,($AG99*O100-요율!$E$3)*요율!$C$3%*요율!$D$3%,0),-1)</f>
        <v>0</v>
      </c>
      <c r="BN100" s="18">
        <f>ROUNDDOWN(IF($AG99*P100&gt;요율!$E$3,($AG99*P100-요율!$E$3)*요율!$C$3%*요율!$D$3%,0),-1)</f>
        <v>0</v>
      </c>
      <c r="BO100" s="18">
        <f>ROUNDDOWN(IF($AG99*Q100&gt;요율!$E$3,($AG99*Q100-요율!$E$3)*요율!$C$3%*요율!$D$3%,0),-1)</f>
        <v>0</v>
      </c>
      <c r="BP100" s="18">
        <f>ROUNDDOWN(IF($AG99*R100&gt;요율!$E$3,($AG99*R100-요율!$E$3)*요율!$C$3%*요율!$D$3%,0),-1)</f>
        <v>0</v>
      </c>
      <c r="BQ100" s="18">
        <f>ROUNDDOWN(IF($AG99*S100&gt;요율!$E$3,($AG99*S100-요율!$E$3)*요율!$C$3%*요율!$D$3%,0),-1)</f>
        <v>0</v>
      </c>
      <c r="BR100" s="18">
        <f>ROUNDDOWN(IF($AG99*T100&gt;요율!$E$3,($AG99*T100-요율!$E$3)*요율!$C$3%*요율!$D$3%,0),-1)</f>
        <v>0</v>
      </c>
      <c r="BS100" s="18">
        <f>ROUNDDOWN(IF($AG99*U100&gt;요율!$E$3,($AG99*U100-요율!$E$3)*요율!$C$3%*요율!$D$3%,0),-1)</f>
        <v>0</v>
      </c>
      <c r="BT100" s="18">
        <f>ROUNDDOWN(IF($AG99*V100&gt;요율!$E$3,($AG99*V100-요율!$E$3)*요율!$C$3%*요율!$D$3%,0),-1)</f>
        <v>0</v>
      </c>
      <c r="BU100" s="18">
        <f>ROUNDDOWN(IF($AG99*W100&gt;요율!$E$3,($AG99*W100-요율!$E$3)*요율!$C$3%*요율!$D$3%,0),-1)</f>
        <v>0</v>
      </c>
      <c r="BV100" s="18">
        <f>ROUNDDOWN(IF($AG99*X100&gt;요율!$E$3,($AG99*X100-요율!$E$3)*요율!$C$3%*요율!$D$3%,0),-1)</f>
        <v>0</v>
      </c>
      <c r="BW100" s="18">
        <f>ROUNDDOWN(IF($AG99*Y100&gt;요율!$E$3,($AG99*Y100-요율!$E$3)*요율!$C$3%*요율!$D$3%,0),-1)</f>
        <v>0</v>
      </c>
      <c r="BX100" s="18">
        <f>ROUNDDOWN(IF($AG99*Z100&gt;요율!$E$3,($AG99*Z100-요율!$E$3)*요율!$C$3%*요율!$D$3%,0),-1)</f>
        <v>0</v>
      </c>
      <c r="BY100" s="18">
        <f>ROUNDDOWN(IF($AG99*AA100&gt;요율!$E$3,($AG99*AA100-요율!$E$3)*요율!$C$3%*요율!$D$3%,0),-1)</f>
        <v>0</v>
      </c>
      <c r="BZ100" s="18">
        <f>ROUNDDOWN(IF($AG99*AB100&gt;요율!$E$3,($AG99*AB100-요율!$E$3)*요율!$C$3%*요율!$D$3%,0),-1)</f>
        <v>0</v>
      </c>
      <c r="CA100" s="18">
        <f>ROUNDDOWN(IF($AG99*AC100&gt;요율!$E$3,($AG99*AC100-요율!$E$3)*요율!$C$3%*요율!$D$3%,0),-1)</f>
        <v>0</v>
      </c>
      <c r="CB100" s="19">
        <f>ROUNDDOWN(IF($AG99*AD100&gt;요율!$E$3,($AG99*AD100-요율!$E$3)*요율!$C$3%*요율!$D$3%,0),-1)</f>
        <v>0</v>
      </c>
    </row>
    <row r="101" spans="1:82" ht="20.100000000000001" hidden="1" customHeight="1">
      <c r="A101" s="760">
        <f t="shared" si="2"/>
        <v>48</v>
      </c>
      <c r="B101" s="260"/>
      <c r="C101" s="708" t="str">
        <f>IF(ISERROR(VLOOKUP(B101,주소록!$A$3:$K$523,5,0)),"",VLOOKUP(B101,주소록!$A$3:$K$523,3,0))</f>
        <v/>
      </c>
      <c r="D101" s="708"/>
      <c r="E101" s="708"/>
      <c r="F101" s="709"/>
      <c r="G101" s="710" t="str">
        <f>IF(ISERROR(VLOOKUP(B101,주소록!$A$3:$K$523,6,0)),"",VLOOKUP(B101,주소록!$A$3:$K$523,4,0))</f>
        <v/>
      </c>
      <c r="H101" s="711"/>
      <c r="I101" s="711"/>
      <c r="J101" s="711"/>
      <c r="K101" s="711"/>
      <c r="L101" s="711"/>
      <c r="M101" s="711"/>
      <c r="N101" s="712"/>
      <c r="O101" s="469"/>
      <c r="P101" s="470"/>
      <c r="Q101" s="470"/>
      <c r="R101" s="470"/>
      <c r="S101" s="478"/>
      <c r="T101" s="469"/>
      <c r="U101" s="470"/>
      <c r="V101" s="470"/>
      <c r="W101" s="470"/>
      <c r="X101" s="471"/>
      <c r="Y101" s="472"/>
      <c r="Z101" s="467"/>
      <c r="AA101" s="470"/>
      <c r="AB101" s="470"/>
      <c r="AC101" s="470"/>
      <c r="AD101" s="473"/>
      <c r="AE101" s="762">
        <f>COUNTIF(O101:AD102,"&gt;=0.5")</f>
        <v>0</v>
      </c>
      <c r="AF101" s="763"/>
      <c r="AG101" s="764"/>
      <c r="AH101" s="684">
        <f>AE102*AG101</f>
        <v>0</v>
      </c>
      <c r="AI101" s="685"/>
      <c r="AJ101" s="686"/>
      <c r="AK101" s="755">
        <f>IF(BG102&lt;1000, 0, BG102)</f>
        <v>0</v>
      </c>
      <c r="AL101" s="756"/>
      <c r="AM101" s="757"/>
      <c r="AN101" s="758">
        <f>IF(요율!$H$7="○",IF(AE101&gt;=요율!$D$6,ROUNDDOWN(AH101*요율!$C$4%,-1),0),0)</f>
        <v>0</v>
      </c>
      <c r="AO101" s="756"/>
      <c r="AP101" s="757"/>
      <c r="AQ101" s="758">
        <f>BL101</f>
        <v>0</v>
      </c>
      <c r="AR101" s="756"/>
      <c r="AS101" s="759"/>
      <c r="AT101" s="717">
        <f>SUM(AK101:AS102)</f>
        <v>0</v>
      </c>
      <c r="AU101" s="718"/>
      <c r="AV101" s="719"/>
      <c r="AW101" s="720">
        <f>AH101-AT101-AT102</f>
        <v>0</v>
      </c>
      <c r="AX101" s="721"/>
      <c r="AY101" s="722"/>
      <c r="AZ101" s="766"/>
      <c r="BA101" s="21" t="str">
        <f>IF(ISERROR(VLOOKUP($B101,주소록!$A$3:$K$523,3,0)),"",VLOOKUP($B101,주소록!$A$3:$K$523,2,0))</f>
        <v/>
      </c>
      <c r="BB101" s="6">
        <v>1</v>
      </c>
      <c r="BC101" s="752">
        <f>A101</f>
        <v>48</v>
      </c>
      <c r="BD101" s="754" t="str">
        <f>IF(OR(MID(C101,8,1)&lt;"3",AND(MID(C101,8,1)&gt;="5",MID(C101,8,1)&lt;="6")),TEXT(TEXT(LEFT(C101,6),"1900-00-00"),"yyyy년 m월 d일"),TEXT(TEXT(LEFT(C101,6),"2000-00-00"),"yyyy년 m월 d일"))</f>
        <v/>
      </c>
      <c r="BE101" s="754"/>
      <c r="BF101" s="754"/>
      <c r="BG101" s="768">
        <f>IFERROR(INT( ( TEXT($O$3,"yyyy.mmdd") - TEXT(BD101,"yyyy.mmdd") )  ),0)</f>
        <v>0</v>
      </c>
      <c r="BH101" s="769"/>
      <c r="BI101" s="770"/>
      <c r="BJ101" s="133">
        <f>IF(BG101&gt;59,"60세이상",IF(OR(AE101&lt;요율!$D$6,AH101=0),0,IF(AH101&lt;요율!$C$7,요율!$D$7,IF(AH101&gt;요율!$C$8,요율!$D$8,+TRUNC(AH101*요율!$C$6%,-1)))))</f>
        <v>0</v>
      </c>
      <c r="BK101" s="143">
        <f>IF(BG101&gt;59,"60세이상",IF(OR(AH101&lt;2200000,AH101=0),0,IF(AH101&lt;요율!$C$7,요율!$D$7,IF(AH101&gt;요율!$C$8,요율!$D$8,+TRUNC(AH101*요율!$C$6%,-1)))))</f>
        <v>0</v>
      </c>
      <c r="BL101" s="140">
        <f>IF(BK101&gt;0,BK101,BJ101)</f>
        <v>0</v>
      </c>
      <c r="BM101" s="15">
        <f>ROUNDDOWN(IF($AG101*O101&gt;요율!$E$3,($AG101*O101-요율!$E$3)*요율!$C$3%*요율!$D$3%,0),-1)</f>
        <v>0</v>
      </c>
      <c r="BN101" s="16">
        <f>ROUNDDOWN(IF($AG101*P101&gt;요율!$E$3,($AG101*P101-요율!$E$3)*요율!$C$3%*요율!$D$3%,0),-1)</f>
        <v>0</v>
      </c>
      <c r="BO101" s="16">
        <f>ROUNDDOWN(IF($AG101*Q101&gt;요율!$E$3,($AG101*Q101-요율!$E$3)*요율!$C$3%*요율!$D$3%,0),-1)</f>
        <v>0</v>
      </c>
      <c r="BP101" s="16">
        <f>ROUNDDOWN(IF($AG101*R101&gt;요율!$E$3,($AG101*R101-요율!$E$3)*요율!$C$3%*요율!$D$3%,0),-1)</f>
        <v>0</v>
      </c>
      <c r="BQ101" s="16">
        <f>ROUNDDOWN(IF($AG101*S101&gt;요율!$E$3,($AG101*S101-요율!$E$3)*요율!$C$3%*요율!$D$3%,0),-1)</f>
        <v>0</v>
      </c>
      <c r="BR101" s="16">
        <f>ROUNDDOWN(IF($AG101*T101&gt;요율!$E$3,($AG101*T101-요율!$E$3)*요율!$C$3%*요율!$D$3%,0),-1)</f>
        <v>0</v>
      </c>
      <c r="BS101" s="16">
        <f>ROUNDDOWN(IF($AG101*U101&gt;요율!$E$3,($AG101*U101-요율!$E$3)*요율!$C$3%*요율!$D$3%,0),-1)</f>
        <v>0</v>
      </c>
      <c r="BT101" s="16">
        <f>ROUNDDOWN(IF($AG101*V101&gt;요율!$E$3,($AG101*V101-요율!$E$3)*요율!$C$3%*요율!$D$3%,0),-1)</f>
        <v>0</v>
      </c>
      <c r="BU101" s="16">
        <f>ROUNDDOWN(IF($AG101*W101&gt;요율!$E$3,($AG101*W101-요율!$E$3)*요율!$C$3%*요율!$D$3%,0),-1)</f>
        <v>0</v>
      </c>
      <c r="BV101" s="16">
        <f>ROUNDDOWN(IF($AG101*X101&gt;요율!$E$3,($AG101*X101-요율!$E$3)*요율!$C$3%*요율!$D$3%,0),-1)</f>
        <v>0</v>
      </c>
      <c r="BW101" s="16">
        <f>ROUNDDOWN(IF($AG101*Y101&gt;요율!$E$3,($AG101*Y101-요율!$E$3)*요율!$C$3%*요율!$D$3%,0),-1)</f>
        <v>0</v>
      </c>
      <c r="BX101" s="16">
        <f>ROUNDDOWN(IF($AG101*Z101&gt;요율!$E$3,($AG101*Z101-요율!$E$3)*요율!$C$3%*요율!$D$3%,0),-1)</f>
        <v>0</v>
      </c>
      <c r="BY101" s="16">
        <f>ROUNDDOWN(IF($AG101*AA101&gt;요율!$E$3,($AG101*AA101-요율!$E$3)*요율!$C$3%*요율!$D$3%,0),-1)</f>
        <v>0</v>
      </c>
      <c r="BZ101" s="16">
        <f>ROUNDDOWN(IF($AG101*AB101&gt;요율!$E$3,($AG101*AB101-요율!$E$3)*요율!$C$3%*요율!$D$3%,0),-1)</f>
        <v>0</v>
      </c>
      <c r="CA101" s="16">
        <f>ROUNDDOWN(IF($AG101*AC101&gt;요율!$E$3,($AG101*AC101-요율!$E$3)*요율!$C$3%*요율!$D$3%,0),-1)</f>
        <v>0</v>
      </c>
      <c r="CB101" s="31">
        <f>ROUNDDOWN(IF($AG101*AD101&gt;요율!$E$3,($AG101*AD101-요율!$E$3)*요율!$C$3%*요율!$D$3%,0),-1)</f>
        <v>0</v>
      </c>
      <c r="CD101" s="5" t="str">
        <f>IFERROR(VLOOKUP(B101,주소록,9,FALSE),"")</f>
        <v/>
      </c>
    </row>
    <row r="102" spans="1:82" ht="20.100000000000001" hidden="1" customHeight="1">
      <c r="A102" s="761"/>
      <c r="B102" s="261" t="str">
        <f>BA101</f>
        <v/>
      </c>
      <c r="C102" s="690" t="str">
        <f>IF(ISERROR(VLOOKUP(B101,주소록!$A$3:$K$523,7,0)),"",VLOOKUP(B101,주소록!$A$3:$K$523,5,0))</f>
        <v/>
      </c>
      <c r="D102" s="690"/>
      <c r="E102" s="690"/>
      <c r="F102" s="691"/>
      <c r="G102" s="692" t="str">
        <f>IF(ISERROR(VLOOKUP(B101,주소록!$A$3:$K$523,9,0)),"",VLOOKUP(B101,주소록!$A$3:$K$523,7,0))</f>
        <v/>
      </c>
      <c r="H102" s="693"/>
      <c r="I102" s="694"/>
      <c r="J102" s="692" t="str">
        <f>IF(ISERROR(VLOOKUP(B101,주소록!$A$3:$K$523,10,0)),"",VLOOKUP(B101,주소록!$A$3:$K$523,8,0))</f>
        <v/>
      </c>
      <c r="K102" s="693"/>
      <c r="L102" s="693"/>
      <c r="M102" s="693"/>
      <c r="N102" s="695"/>
      <c r="O102" s="474"/>
      <c r="P102" s="475"/>
      <c r="Q102" s="475"/>
      <c r="R102" s="468"/>
      <c r="S102" s="476"/>
      <c r="T102" s="474"/>
      <c r="U102" s="475"/>
      <c r="V102" s="475"/>
      <c r="W102" s="475"/>
      <c r="X102" s="477"/>
      <c r="Y102" s="479"/>
      <c r="Z102" s="475"/>
      <c r="AA102" s="475"/>
      <c r="AB102" s="475"/>
      <c r="AC102" s="475"/>
      <c r="AD102" s="477"/>
      <c r="AE102" s="696">
        <f>SUM(O101:AD102)</f>
        <v>0</v>
      </c>
      <c r="AF102" s="697"/>
      <c r="AG102" s="765"/>
      <c r="AH102" s="687"/>
      <c r="AI102" s="688"/>
      <c r="AJ102" s="689"/>
      <c r="AK102" s="698">
        <f>IF(C101=0,"",IF(MID(C101,7,1)="5","",IF(MID(C101,7,1)="6","",ROUNDDOWN((AK101*10%),-1))))</f>
        <v>0</v>
      </c>
      <c r="AL102" s="699"/>
      <c r="AM102" s="700"/>
      <c r="AN102" s="701">
        <f>ROUNDDOWN(AN101*요율!$F$5,-1)</f>
        <v>0</v>
      </c>
      <c r="AO102" s="701"/>
      <c r="AP102" s="701"/>
      <c r="AQ102" s="713">
        <f>IF(OR(AND(요율!$H$8="X",요율!$H$9="X",MID(C101,8,1)&gt;="5"),AND(요율!$H$8="○",요율!$H$9="X",MID(C101,8,1)&gt;="5")),"외국인",IF(요율!$H$8="X",IF(C101="",0,IF(OR(MID(C101,8,1)&lt;"3",AND(MID(C101,8,1)&gt;="5",MID(C101,8,1)&lt;="6")),IF(INT(TEXT($O$3,"yyyy.mmdd")-TEXT(TEXT(LEFT(C101,6),"1900-00-00"),"yyyy.mmdd"))&gt;=65,"65세이상",+TRUNC(AH101*요율!$C$9%,-1)),IF(INT(TEXT($O$3,"yyyy.mmdd")-TEXT(TEXT(LEFT(C101,6),"2000-00-00"),"yyyy.mmdd"))&gt;=65,"65세이상",+TRUNC(AH101*요율!$C$9%,-1)))),+TRUNC(AH101*요율!$C$9%,-1)))</f>
        <v>0</v>
      </c>
      <c r="AR102" s="699"/>
      <c r="AS102" s="699"/>
      <c r="AT102" s="714"/>
      <c r="AU102" s="715"/>
      <c r="AV102" s="716"/>
      <c r="AW102" s="723"/>
      <c r="AX102" s="724"/>
      <c r="AY102" s="725"/>
      <c r="AZ102" s="767"/>
      <c r="BA102" s="22" t="str">
        <f>BA101</f>
        <v/>
      </c>
      <c r="BB102" s="6">
        <v>2</v>
      </c>
      <c r="BC102" s="753"/>
      <c r="BD102" s="733">
        <f>B101</f>
        <v>0</v>
      </c>
      <c r="BE102" s="733"/>
      <c r="BF102" s="733"/>
      <c r="BG102" s="734">
        <f>SUM(BM101:CB102)</f>
        <v>0</v>
      </c>
      <c r="BH102" s="735"/>
      <c r="BI102" s="736"/>
      <c r="BJ102" s="144"/>
      <c r="BK102" s="145"/>
      <c r="BL102" s="146"/>
      <c r="BM102" s="17">
        <f>ROUNDDOWN(IF($AG101*O102&gt;요율!$E$3,($AG101*O102-요율!$E$3)*요율!$C$3%*요율!$D$3%,0),-1)</f>
        <v>0</v>
      </c>
      <c r="BN102" s="18">
        <f>ROUNDDOWN(IF($AG101*P102&gt;요율!$E$3,($AG101*P102-요율!$E$3)*요율!$C$3%*요율!$D$3%,0),-1)</f>
        <v>0</v>
      </c>
      <c r="BO102" s="18">
        <f>ROUNDDOWN(IF($AG101*Q102&gt;요율!$E$3,($AG101*Q102-요율!$E$3)*요율!$C$3%*요율!$D$3%,0),-1)</f>
        <v>0</v>
      </c>
      <c r="BP102" s="18">
        <f>ROUNDDOWN(IF($AG101*R102&gt;요율!$E$3,($AG101*R102-요율!$E$3)*요율!$C$3%*요율!$D$3%,0),-1)</f>
        <v>0</v>
      </c>
      <c r="BQ102" s="18">
        <f>ROUNDDOWN(IF($AG101*S102&gt;요율!$E$3,($AG101*S102-요율!$E$3)*요율!$C$3%*요율!$D$3%,0),-1)</f>
        <v>0</v>
      </c>
      <c r="BR102" s="18">
        <f>ROUNDDOWN(IF($AG101*T102&gt;요율!$E$3,($AG101*T102-요율!$E$3)*요율!$C$3%*요율!$D$3%,0),-1)</f>
        <v>0</v>
      </c>
      <c r="BS102" s="18">
        <f>ROUNDDOWN(IF($AG101*U102&gt;요율!$E$3,($AG101*U102-요율!$E$3)*요율!$C$3%*요율!$D$3%,0),-1)</f>
        <v>0</v>
      </c>
      <c r="BT102" s="18">
        <f>ROUNDDOWN(IF($AG101*V102&gt;요율!$E$3,($AG101*V102-요율!$E$3)*요율!$C$3%*요율!$D$3%,0),-1)</f>
        <v>0</v>
      </c>
      <c r="BU102" s="18">
        <f>ROUNDDOWN(IF($AG101*W102&gt;요율!$E$3,($AG101*W102-요율!$E$3)*요율!$C$3%*요율!$D$3%,0),-1)</f>
        <v>0</v>
      </c>
      <c r="BV102" s="18">
        <f>ROUNDDOWN(IF($AG101*X102&gt;요율!$E$3,($AG101*X102-요율!$E$3)*요율!$C$3%*요율!$D$3%,0),-1)</f>
        <v>0</v>
      </c>
      <c r="BW102" s="18">
        <f>ROUNDDOWN(IF($AG101*Y102&gt;요율!$E$3,($AG101*Y102-요율!$E$3)*요율!$C$3%*요율!$D$3%,0),-1)</f>
        <v>0</v>
      </c>
      <c r="BX102" s="18">
        <f>ROUNDDOWN(IF($AG101*Z102&gt;요율!$E$3,($AG101*Z102-요율!$E$3)*요율!$C$3%*요율!$D$3%,0),-1)</f>
        <v>0</v>
      </c>
      <c r="BY102" s="18">
        <f>ROUNDDOWN(IF($AG101*AA102&gt;요율!$E$3,($AG101*AA102-요율!$E$3)*요율!$C$3%*요율!$D$3%,0),-1)</f>
        <v>0</v>
      </c>
      <c r="BZ102" s="18">
        <f>ROUNDDOWN(IF($AG101*AB102&gt;요율!$E$3,($AG101*AB102-요율!$E$3)*요율!$C$3%*요율!$D$3%,0),-1)</f>
        <v>0</v>
      </c>
      <c r="CA102" s="18">
        <f>ROUNDDOWN(IF($AG101*AC102&gt;요율!$E$3,($AG101*AC102-요율!$E$3)*요율!$C$3%*요율!$D$3%,0),-1)</f>
        <v>0</v>
      </c>
      <c r="CB102" s="19">
        <f>ROUNDDOWN(IF($AG101*AD102&gt;요율!$E$3,($AG101*AD102-요율!$E$3)*요율!$C$3%*요율!$D$3%,0),-1)</f>
        <v>0</v>
      </c>
    </row>
    <row r="103" spans="1:82" ht="20.100000000000001" hidden="1" customHeight="1">
      <c r="A103" s="760">
        <f t="shared" si="2"/>
        <v>49</v>
      </c>
      <c r="B103" s="260"/>
      <c r="C103" s="708" t="str">
        <f>IF(ISERROR(VLOOKUP(B103,주소록!$A$3:$K$523,5,0)),"",VLOOKUP(B103,주소록!$A$3:$K$523,3,0))</f>
        <v/>
      </c>
      <c r="D103" s="708"/>
      <c r="E103" s="708"/>
      <c r="F103" s="709"/>
      <c r="G103" s="710" t="str">
        <f>IF(ISERROR(VLOOKUP(B103,주소록!$A$3:$K$523,6,0)),"",VLOOKUP(B103,주소록!$A$3:$K$523,4,0))</f>
        <v/>
      </c>
      <c r="H103" s="711"/>
      <c r="I103" s="711"/>
      <c r="J103" s="711"/>
      <c r="K103" s="711"/>
      <c r="L103" s="711"/>
      <c r="M103" s="711"/>
      <c r="N103" s="712"/>
      <c r="O103" s="469"/>
      <c r="P103" s="470"/>
      <c r="Q103" s="470"/>
      <c r="R103" s="470"/>
      <c r="S103" s="478"/>
      <c r="T103" s="469"/>
      <c r="U103" s="470"/>
      <c r="V103" s="470"/>
      <c r="W103" s="470"/>
      <c r="X103" s="471"/>
      <c r="Y103" s="472"/>
      <c r="Z103" s="467"/>
      <c r="AA103" s="470"/>
      <c r="AB103" s="470"/>
      <c r="AC103" s="470"/>
      <c r="AD103" s="473"/>
      <c r="AE103" s="762">
        <f>COUNTIF(O103:AD104,"&gt;=0.5")</f>
        <v>0</v>
      </c>
      <c r="AF103" s="763"/>
      <c r="AG103" s="764"/>
      <c r="AH103" s="684">
        <f>AE104*AG103</f>
        <v>0</v>
      </c>
      <c r="AI103" s="685"/>
      <c r="AJ103" s="686"/>
      <c r="AK103" s="755">
        <f>IF(BG104&lt;1000, 0, BG104)</f>
        <v>0</v>
      </c>
      <c r="AL103" s="756"/>
      <c r="AM103" s="757"/>
      <c r="AN103" s="758">
        <f>IF(요율!$H$7="○",IF(AE103&gt;=요율!$D$6,ROUNDDOWN(AH103*요율!$C$4%,-1),0),0)</f>
        <v>0</v>
      </c>
      <c r="AO103" s="756"/>
      <c r="AP103" s="757"/>
      <c r="AQ103" s="758">
        <f>BL103</f>
        <v>0</v>
      </c>
      <c r="AR103" s="756"/>
      <c r="AS103" s="759"/>
      <c r="AT103" s="717">
        <f>SUM(AK103:AS104)</f>
        <v>0</v>
      </c>
      <c r="AU103" s="718"/>
      <c r="AV103" s="719"/>
      <c r="AW103" s="720">
        <f>AH103-AT103-AT104</f>
        <v>0</v>
      </c>
      <c r="AX103" s="721"/>
      <c r="AY103" s="722"/>
      <c r="AZ103" s="766"/>
      <c r="BA103" s="21" t="str">
        <f>IF(ISERROR(VLOOKUP($B103,주소록!$A$3:$K$523,3,0)),"",VLOOKUP($B103,주소록!$A$3:$K$523,2,0))</f>
        <v/>
      </c>
      <c r="BB103" s="6">
        <v>1</v>
      </c>
      <c r="BC103" s="752">
        <f>A103</f>
        <v>49</v>
      </c>
      <c r="BD103" s="754" t="str">
        <f>IF(OR(MID(C103,8,1)&lt;"3",AND(MID(C103,8,1)&gt;="5",MID(C103,8,1)&lt;="6")),TEXT(TEXT(LEFT(C103,6),"1900-00-00"),"yyyy년 m월 d일"),TEXT(TEXT(LEFT(C103,6),"2000-00-00"),"yyyy년 m월 d일"))</f>
        <v/>
      </c>
      <c r="BE103" s="754"/>
      <c r="BF103" s="754"/>
      <c r="BG103" s="768">
        <f>IFERROR(INT( ( TEXT($O$3,"yyyy.mmdd") - TEXT(BD103,"yyyy.mmdd") )  ),0)</f>
        <v>0</v>
      </c>
      <c r="BH103" s="769"/>
      <c r="BI103" s="770"/>
      <c r="BJ103" s="133">
        <f>IF(BG103&gt;59,"60세이상",IF(OR(AE103&lt;요율!$D$6,AH103=0),0,IF(AH103&lt;요율!$C$7,요율!$D$7,IF(AH103&gt;요율!$C$8,요율!$D$8,+TRUNC(AH103*요율!$C$6%,-1)))))</f>
        <v>0</v>
      </c>
      <c r="BK103" s="143">
        <f>IF(BG103&gt;59,"60세이상",IF(OR(AH103&lt;2200000,AH103=0),0,IF(AH103&lt;요율!$C$7,요율!$D$7,IF(AH103&gt;요율!$C$8,요율!$D$8,+TRUNC(AH103*요율!$C$6%,-1)))))</f>
        <v>0</v>
      </c>
      <c r="BL103" s="140">
        <f>IF(BK103&gt;0,BK103,BJ103)</f>
        <v>0</v>
      </c>
      <c r="BM103" s="15">
        <f>ROUNDDOWN(IF($AG103*O103&gt;요율!$E$3,($AG103*O103-요율!$E$3)*요율!$C$3%*요율!$D$3%,0),-1)</f>
        <v>0</v>
      </c>
      <c r="BN103" s="16">
        <f>ROUNDDOWN(IF($AG103*P103&gt;요율!$E$3,($AG103*P103-요율!$E$3)*요율!$C$3%*요율!$D$3%,0),-1)</f>
        <v>0</v>
      </c>
      <c r="BO103" s="16">
        <f>ROUNDDOWN(IF($AG103*Q103&gt;요율!$E$3,($AG103*Q103-요율!$E$3)*요율!$C$3%*요율!$D$3%,0),-1)</f>
        <v>0</v>
      </c>
      <c r="BP103" s="16">
        <f>ROUNDDOWN(IF($AG103*R103&gt;요율!$E$3,($AG103*R103-요율!$E$3)*요율!$C$3%*요율!$D$3%,0),-1)</f>
        <v>0</v>
      </c>
      <c r="BQ103" s="16">
        <f>ROUNDDOWN(IF($AG103*S103&gt;요율!$E$3,($AG103*S103-요율!$E$3)*요율!$C$3%*요율!$D$3%,0),-1)</f>
        <v>0</v>
      </c>
      <c r="BR103" s="16">
        <f>ROUNDDOWN(IF($AG103*T103&gt;요율!$E$3,($AG103*T103-요율!$E$3)*요율!$C$3%*요율!$D$3%,0),-1)</f>
        <v>0</v>
      </c>
      <c r="BS103" s="16">
        <f>ROUNDDOWN(IF($AG103*U103&gt;요율!$E$3,($AG103*U103-요율!$E$3)*요율!$C$3%*요율!$D$3%,0),-1)</f>
        <v>0</v>
      </c>
      <c r="BT103" s="16">
        <f>ROUNDDOWN(IF($AG103*V103&gt;요율!$E$3,($AG103*V103-요율!$E$3)*요율!$C$3%*요율!$D$3%,0),-1)</f>
        <v>0</v>
      </c>
      <c r="BU103" s="16">
        <f>ROUNDDOWN(IF($AG103*W103&gt;요율!$E$3,($AG103*W103-요율!$E$3)*요율!$C$3%*요율!$D$3%,0),-1)</f>
        <v>0</v>
      </c>
      <c r="BV103" s="16">
        <f>ROUNDDOWN(IF($AG103*X103&gt;요율!$E$3,($AG103*X103-요율!$E$3)*요율!$C$3%*요율!$D$3%,0),-1)</f>
        <v>0</v>
      </c>
      <c r="BW103" s="16">
        <f>ROUNDDOWN(IF($AG103*Y103&gt;요율!$E$3,($AG103*Y103-요율!$E$3)*요율!$C$3%*요율!$D$3%,0),-1)</f>
        <v>0</v>
      </c>
      <c r="BX103" s="16">
        <f>ROUNDDOWN(IF($AG103*Z103&gt;요율!$E$3,($AG103*Z103-요율!$E$3)*요율!$C$3%*요율!$D$3%,0),-1)</f>
        <v>0</v>
      </c>
      <c r="BY103" s="16">
        <f>ROUNDDOWN(IF($AG103*AA103&gt;요율!$E$3,($AG103*AA103-요율!$E$3)*요율!$C$3%*요율!$D$3%,0),-1)</f>
        <v>0</v>
      </c>
      <c r="BZ103" s="16">
        <f>ROUNDDOWN(IF($AG103*AB103&gt;요율!$E$3,($AG103*AB103-요율!$E$3)*요율!$C$3%*요율!$D$3%,0),-1)</f>
        <v>0</v>
      </c>
      <c r="CA103" s="16">
        <f>ROUNDDOWN(IF($AG103*AC103&gt;요율!$E$3,($AG103*AC103-요율!$E$3)*요율!$C$3%*요율!$D$3%,0),-1)</f>
        <v>0</v>
      </c>
      <c r="CB103" s="31">
        <f>ROUNDDOWN(IF($AG103*AD103&gt;요율!$E$3,($AG103*AD103-요율!$E$3)*요율!$C$3%*요율!$D$3%,0),-1)</f>
        <v>0</v>
      </c>
      <c r="CD103" s="5" t="str">
        <f>IFERROR(VLOOKUP(B103,주소록,9,FALSE),"")</f>
        <v/>
      </c>
    </row>
    <row r="104" spans="1:82" ht="20.100000000000001" hidden="1" customHeight="1">
      <c r="A104" s="761"/>
      <c r="B104" s="261" t="str">
        <f>BA103</f>
        <v/>
      </c>
      <c r="C104" s="690" t="str">
        <f>IF(ISERROR(VLOOKUP(B103,주소록!$A$3:$K$523,7,0)),"",VLOOKUP(B103,주소록!$A$3:$K$523,5,0))</f>
        <v/>
      </c>
      <c r="D104" s="690"/>
      <c r="E104" s="690"/>
      <c r="F104" s="691"/>
      <c r="G104" s="692" t="str">
        <f>IF(ISERROR(VLOOKUP(B103,주소록!$A$3:$K$523,9,0)),"",VLOOKUP(B103,주소록!$A$3:$K$523,7,0))</f>
        <v/>
      </c>
      <c r="H104" s="693"/>
      <c r="I104" s="694"/>
      <c r="J104" s="692" t="str">
        <f>IF(ISERROR(VLOOKUP(B103,주소록!$A$3:$K$523,10,0)),"",VLOOKUP(B103,주소록!$A$3:$K$523,8,0))</f>
        <v/>
      </c>
      <c r="K104" s="693"/>
      <c r="L104" s="693"/>
      <c r="M104" s="693"/>
      <c r="N104" s="695"/>
      <c r="O104" s="474"/>
      <c r="P104" s="475"/>
      <c r="Q104" s="475"/>
      <c r="R104" s="468"/>
      <c r="S104" s="476"/>
      <c r="T104" s="474"/>
      <c r="U104" s="475"/>
      <c r="V104" s="475"/>
      <c r="W104" s="475"/>
      <c r="X104" s="477"/>
      <c r="Y104" s="479"/>
      <c r="Z104" s="475"/>
      <c r="AA104" s="475"/>
      <c r="AB104" s="475"/>
      <c r="AC104" s="475"/>
      <c r="AD104" s="477"/>
      <c r="AE104" s="696">
        <f>SUM(O103:AD104)</f>
        <v>0</v>
      </c>
      <c r="AF104" s="697"/>
      <c r="AG104" s="765"/>
      <c r="AH104" s="687"/>
      <c r="AI104" s="688"/>
      <c r="AJ104" s="689"/>
      <c r="AK104" s="698">
        <f>IF(C103=0,"",IF(MID(C103,7,1)="5","",IF(MID(C103,7,1)="6","",ROUNDDOWN((AK103*10%),-1))))</f>
        <v>0</v>
      </c>
      <c r="AL104" s="699"/>
      <c r="AM104" s="700"/>
      <c r="AN104" s="701">
        <f>ROUNDDOWN(AN103*요율!$F$5,-1)</f>
        <v>0</v>
      </c>
      <c r="AO104" s="701"/>
      <c r="AP104" s="701"/>
      <c r="AQ104" s="713">
        <f>IF(OR(AND(요율!$H$8="X",요율!$H$9="X",MID(C103,8,1)&gt;="5"),AND(요율!$H$8="○",요율!$H$9="X",MID(C103,8,1)&gt;="5")),"외국인",IF(요율!$H$8="X",IF(C103="",0,IF(OR(MID(C103,8,1)&lt;"3",AND(MID(C103,8,1)&gt;="5",MID(C103,8,1)&lt;="6")),IF(INT(TEXT($O$3,"yyyy.mmdd")-TEXT(TEXT(LEFT(C103,6),"1900-00-00"),"yyyy.mmdd"))&gt;=65,"65세이상",+TRUNC(AH103*요율!$C$9%,-1)),IF(INT(TEXT($O$3,"yyyy.mmdd")-TEXT(TEXT(LEFT(C103,6),"2000-00-00"),"yyyy.mmdd"))&gt;=65,"65세이상",+TRUNC(AH103*요율!$C$9%,-1)))),+TRUNC(AH103*요율!$C$9%,-1)))</f>
        <v>0</v>
      </c>
      <c r="AR104" s="699"/>
      <c r="AS104" s="699"/>
      <c r="AT104" s="714"/>
      <c r="AU104" s="715"/>
      <c r="AV104" s="716"/>
      <c r="AW104" s="723"/>
      <c r="AX104" s="724"/>
      <c r="AY104" s="725"/>
      <c r="AZ104" s="767"/>
      <c r="BA104" s="22" t="str">
        <f>BA103</f>
        <v/>
      </c>
      <c r="BB104" s="6">
        <v>2</v>
      </c>
      <c r="BC104" s="753"/>
      <c r="BD104" s="733">
        <f>B103</f>
        <v>0</v>
      </c>
      <c r="BE104" s="733"/>
      <c r="BF104" s="733"/>
      <c r="BG104" s="734">
        <f>SUM(BM103:CB104)</f>
        <v>0</v>
      </c>
      <c r="BH104" s="735"/>
      <c r="BI104" s="736"/>
      <c r="BJ104" s="144"/>
      <c r="BK104" s="145"/>
      <c r="BL104" s="146"/>
      <c r="BM104" s="17">
        <f>ROUNDDOWN(IF($AG103*O104&gt;요율!$E$3,($AG103*O104-요율!$E$3)*요율!$C$3%*요율!$D$3%,0),-1)</f>
        <v>0</v>
      </c>
      <c r="BN104" s="18">
        <f>ROUNDDOWN(IF($AG103*P104&gt;요율!$E$3,($AG103*P104-요율!$E$3)*요율!$C$3%*요율!$D$3%,0),-1)</f>
        <v>0</v>
      </c>
      <c r="BO104" s="18">
        <f>ROUNDDOWN(IF($AG103*Q104&gt;요율!$E$3,($AG103*Q104-요율!$E$3)*요율!$C$3%*요율!$D$3%,0),-1)</f>
        <v>0</v>
      </c>
      <c r="BP104" s="18">
        <f>ROUNDDOWN(IF($AG103*R104&gt;요율!$E$3,($AG103*R104-요율!$E$3)*요율!$C$3%*요율!$D$3%,0),-1)</f>
        <v>0</v>
      </c>
      <c r="BQ104" s="18">
        <f>ROUNDDOWN(IF($AG103*S104&gt;요율!$E$3,($AG103*S104-요율!$E$3)*요율!$C$3%*요율!$D$3%,0),-1)</f>
        <v>0</v>
      </c>
      <c r="BR104" s="18">
        <f>ROUNDDOWN(IF($AG103*T104&gt;요율!$E$3,($AG103*T104-요율!$E$3)*요율!$C$3%*요율!$D$3%,0),-1)</f>
        <v>0</v>
      </c>
      <c r="BS104" s="18">
        <f>ROUNDDOWN(IF($AG103*U104&gt;요율!$E$3,($AG103*U104-요율!$E$3)*요율!$C$3%*요율!$D$3%,0),-1)</f>
        <v>0</v>
      </c>
      <c r="BT104" s="18">
        <f>ROUNDDOWN(IF($AG103*V104&gt;요율!$E$3,($AG103*V104-요율!$E$3)*요율!$C$3%*요율!$D$3%,0),-1)</f>
        <v>0</v>
      </c>
      <c r="BU104" s="18">
        <f>ROUNDDOWN(IF($AG103*W104&gt;요율!$E$3,($AG103*W104-요율!$E$3)*요율!$C$3%*요율!$D$3%,0),-1)</f>
        <v>0</v>
      </c>
      <c r="BV104" s="18">
        <f>ROUNDDOWN(IF($AG103*X104&gt;요율!$E$3,($AG103*X104-요율!$E$3)*요율!$C$3%*요율!$D$3%,0),-1)</f>
        <v>0</v>
      </c>
      <c r="BW104" s="18">
        <f>ROUNDDOWN(IF($AG103*Y104&gt;요율!$E$3,($AG103*Y104-요율!$E$3)*요율!$C$3%*요율!$D$3%,0),-1)</f>
        <v>0</v>
      </c>
      <c r="BX104" s="18">
        <f>ROUNDDOWN(IF($AG103*Z104&gt;요율!$E$3,($AG103*Z104-요율!$E$3)*요율!$C$3%*요율!$D$3%,0),-1)</f>
        <v>0</v>
      </c>
      <c r="BY104" s="18">
        <f>ROUNDDOWN(IF($AG103*AA104&gt;요율!$E$3,($AG103*AA104-요율!$E$3)*요율!$C$3%*요율!$D$3%,0),-1)</f>
        <v>0</v>
      </c>
      <c r="BZ104" s="18">
        <f>ROUNDDOWN(IF($AG103*AB104&gt;요율!$E$3,($AG103*AB104-요율!$E$3)*요율!$C$3%*요율!$D$3%,0),-1)</f>
        <v>0</v>
      </c>
      <c r="CA104" s="18">
        <f>ROUNDDOWN(IF($AG103*AC104&gt;요율!$E$3,($AG103*AC104-요율!$E$3)*요율!$C$3%*요율!$D$3%,0),-1)</f>
        <v>0</v>
      </c>
      <c r="CB104" s="19">
        <f>ROUNDDOWN(IF($AG103*AD104&gt;요율!$E$3,($AG103*AD104-요율!$E$3)*요율!$C$3%*요율!$D$3%,0),-1)</f>
        <v>0</v>
      </c>
    </row>
    <row r="105" spans="1:82" ht="20.100000000000001" hidden="1" customHeight="1">
      <c r="A105" s="760">
        <f t="shared" si="2"/>
        <v>50</v>
      </c>
      <c r="B105" s="260"/>
      <c r="C105" s="708" t="str">
        <f>IF(ISERROR(VLOOKUP(B105,주소록!$A$3:$K$523,5,0)),"",VLOOKUP(B105,주소록!$A$3:$K$523,3,0))</f>
        <v/>
      </c>
      <c r="D105" s="708"/>
      <c r="E105" s="708"/>
      <c r="F105" s="709"/>
      <c r="G105" s="710" t="str">
        <f>IF(ISERROR(VLOOKUP(B105,주소록!$A$3:$K$523,6,0)),"",VLOOKUP(B105,주소록!$A$3:$K$523,4,0))</f>
        <v/>
      </c>
      <c r="H105" s="711"/>
      <c r="I105" s="711"/>
      <c r="J105" s="711"/>
      <c r="K105" s="711"/>
      <c r="L105" s="711"/>
      <c r="M105" s="711"/>
      <c r="N105" s="712"/>
      <c r="O105" s="469"/>
      <c r="P105" s="470"/>
      <c r="Q105" s="470"/>
      <c r="R105" s="470"/>
      <c r="S105" s="478"/>
      <c r="T105" s="469"/>
      <c r="U105" s="470"/>
      <c r="V105" s="470"/>
      <c r="W105" s="470"/>
      <c r="X105" s="471"/>
      <c r="Y105" s="472"/>
      <c r="Z105" s="467"/>
      <c r="AA105" s="470"/>
      <c r="AB105" s="470"/>
      <c r="AC105" s="470"/>
      <c r="AD105" s="473"/>
      <c r="AE105" s="762">
        <f>COUNTIF(O105:AD106,"&gt;=0.5")</f>
        <v>0</v>
      </c>
      <c r="AF105" s="763"/>
      <c r="AG105" s="764"/>
      <c r="AH105" s="684">
        <f>AE106*AG105</f>
        <v>0</v>
      </c>
      <c r="AI105" s="685"/>
      <c r="AJ105" s="686"/>
      <c r="AK105" s="755">
        <f>IF(BG106&lt;1000, 0, BG106)</f>
        <v>0</v>
      </c>
      <c r="AL105" s="756"/>
      <c r="AM105" s="757"/>
      <c r="AN105" s="758">
        <f>IF(요율!$H$7="○",IF(AE105&gt;=요율!$D$6,ROUNDDOWN(AH105*요율!$C$4%,-1),0),0)</f>
        <v>0</v>
      </c>
      <c r="AO105" s="756"/>
      <c r="AP105" s="757"/>
      <c r="AQ105" s="758">
        <f>BL105</f>
        <v>0</v>
      </c>
      <c r="AR105" s="756"/>
      <c r="AS105" s="759"/>
      <c r="AT105" s="717">
        <f>SUM(AK105:AS106)</f>
        <v>0</v>
      </c>
      <c r="AU105" s="718"/>
      <c r="AV105" s="719"/>
      <c r="AW105" s="720">
        <f>AH105-AT105-AT106</f>
        <v>0</v>
      </c>
      <c r="AX105" s="721"/>
      <c r="AY105" s="722"/>
      <c r="AZ105" s="766"/>
      <c r="BA105" s="21" t="str">
        <f>IF(ISERROR(VLOOKUP($B105,주소록!$A$3:$K$523,3,0)),"",VLOOKUP($B105,주소록!$A$3:$K$523,2,0))</f>
        <v/>
      </c>
      <c r="BB105" s="6">
        <v>1</v>
      </c>
      <c r="BC105" s="752">
        <f>A105</f>
        <v>50</v>
      </c>
      <c r="BD105" s="754" t="str">
        <f>IF(OR(MID(C105,8,1)&lt;"3",AND(MID(C105,8,1)&gt;="5",MID(C105,8,1)&lt;="6")),TEXT(TEXT(LEFT(C105,6),"1900-00-00"),"yyyy년 m월 d일"),TEXT(TEXT(LEFT(C105,6),"2000-00-00"),"yyyy년 m월 d일"))</f>
        <v/>
      </c>
      <c r="BE105" s="754"/>
      <c r="BF105" s="754"/>
      <c r="BG105" s="768">
        <f>IFERROR(INT( ( TEXT($O$3,"yyyy.mmdd") - TEXT(BD105,"yyyy.mmdd") )  ),0)</f>
        <v>0</v>
      </c>
      <c r="BH105" s="769"/>
      <c r="BI105" s="770"/>
      <c r="BJ105" s="133">
        <f>IF(BG105&gt;59,"60세이상",IF(OR(AE105&lt;요율!$D$6,AH105=0),0,IF(AH105&lt;요율!$C$7,요율!$D$7,IF(AH105&gt;요율!$C$8,요율!$D$8,+TRUNC(AH105*요율!$C$6%,-1)))))</f>
        <v>0</v>
      </c>
      <c r="BK105" s="143">
        <f>IF(BG105&gt;59,"60세이상",IF(OR(AH105&lt;2200000,AH105=0),0,IF(AH105&lt;요율!$C$7,요율!$D$7,IF(AH105&gt;요율!$C$8,요율!$D$8,+TRUNC(AH105*요율!$C$6%,-1)))))</f>
        <v>0</v>
      </c>
      <c r="BL105" s="140">
        <f>IF(BK105&gt;0,BK105,BJ105)</f>
        <v>0</v>
      </c>
      <c r="BM105" s="15">
        <f>ROUNDDOWN(IF($AG105*O105&gt;요율!$E$3,($AG105*O105-요율!$E$3)*요율!$C$3%*요율!$D$3%,0),-1)</f>
        <v>0</v>
      </c>
      <c r="BN105" s="16">
        <f>ROUNDDOWN(IF($AG105*P105&gt;요율!$E$3,($AG105*P105-요율!$E$3)*요율!$C$3%*요율!$D$3%,0),-1)</f>
        <v>0</v>
      </c>
      <c r="BO105" s="16">
        <f>ROUNDDOWN(IF($AG105*Q105&gt;요율!$E$3,($AG105*Q105-요율!$E$3)*요율!$C$3%*요율!$D$3%,0),-1)</f>
        <v>0</v>
      </c>
      <c r="BP105" s="16">
        <f>ROUNDDOWN(IF($AG105*R105&gt;요율!$E$3,($AG105*R105-요율!$E$3)*요율!$C$3%*요율!$D$3%,0),-1)</f>
        <v>0</v>
      </c>
      <c r="BQ105" s="16">
        <f>ROUNDDOWN(IF($AG105*S105&gt;요율!$E$3,($AG105*S105-요율!$E$3)*요율!$C$3%*요율!$D$3%,0),-1)</f>
        <v>0</v>
      </c>
      <c r="BR105" s="16">
        <f>ROUNDDOWN(IF($AG105*T105&gt;요율!$E$3,($AG105*T105-요율!$E$3)*요율!$C$3%*요율!$D$3%,0),-1)</f>
        <v>0</v>
      </c>
      <c r="BS105" s="16">
        <f>ROUNDDOWN(IF($AG105*U105&gt;요율!$E$3,($AG105*U105-요율!$E$3)*요율!$C$3%*요율!$D$3%,0),-1)</f>
        <v>0</v>
      </c>
      <c r="BT105" s="16">
        <f>ROUNDDOWN(IF($AG105*V105&gt;요율!$E$3,($AG105*V105-요율!$E$3)*요율!$C$3%*요율!$D$3%,0),-1)</f>
        <v>0</v>
      </c>
      <c r="BU105" s="16">
        <f>ROUNDDOWN(IF($AG105*W105&gt;요율!$E$3,($AG105*W105-요율!$E$3)*요율!$C$3%*요율!$D$3%,0),-1)</f>
        <v>0</v>
      </c>
      <c r="BV105" s="16">
        <f>ROUNDDOWN(IF($AG105*X105&gt;요율!$E$3,($AG105*X105-요율!$E$3)*요율!$C$3%*요율!$D$3%,0),-1)</f>
        <v>0</v>
      </c>
      <c r="BW105" s="16">
        <f>ROUNDDOWN(IF($AG105*Y105&gt;요율!$E$3,($AG105*Y105-요율!$E$3)*요율!$C$3%*요율!$D$3%,0),-1)</f>
        <v>0</v>
      </c>
      <c r="BX105" s="16">
        <f>ROUNDDOWN(IF($AG105*Z105&gt;요율!$E$3,($AG105*Z105-요율!$E$3)*요율!$C$3%*요율!$D$3%,0),-1)</f>
        <v>0</v>
      </c>
      <c r="BY105" s="16">
        <f>ROUNDDOWN(IF($AG105*AA105&gt;요율!$E$3,($AG105*AA105-요율!$E$3)*요율!$C$3%*요율!$D$3%,0),-1)</f>
        <v>0</v>
      </c>
      <c r="BZ105" s="16">
        <f>ROUNDDOWN(IF($AG105*AB105&gt;요율!$E$3,($AG105*AB105-요율!$E$3)*요율!$C$3%*요율!$D$3%,0),-1)</f>
        <v>0</v>
      </c>
      <c r="CA105" s="16">
        <f>ROUNDDOWN(IF($AG105*AC105&gt;요율!$E$3,($AG105*AC105-요율!$E$3)*요율!$C$3%*요율!$D$3%,0),-1)</f>
        <v>0</v>
      </c>
      <c r="CB105" s="31">
        <f>ROUNDDOWN(IF($AG105*AD105&gt;요율!$E$3,($AG105*AD105-요율!$E$3)*요율!$C$3%*요율!$D$3%,0),-1)</f>
        <v>0</v>
      </c>
      <c r="CD105" s="5" t="str">
        <f>IFERROR(VLOOKUP(B105,주소록,9,FALSE),"")</f>
        <v/>
      </c>
    </row>
    <row r="106" spans="1:82" ht="20.100000000000001" hidden="1" customHeight="1">
      <c r="A106" s="761"/>
      <c r="B106" s="261" t="str">
        <f>BA105</f>
        <v/>
      </c>
      <c r="C106" s="690" t="str">
        <f>IF(ISERROR(VLOOKUP(B105,주소록!$A$3:$K$523,7,0)),"",VLOOKUP(B105,주소록!$A$3:$K$523,5,0))</f>
        <v/>
      </c>
      <c r="D106" s="690"/>
      <c r="E106" s="690"/>
      <c r="F106" s="691"/>
      <c r="G106" s="692" t="str">
        <f>IF(ISERROR(VLOOKUP(B105,주소록!$A$3:$K$523,9,0)),"",VLOOKUP(B105,주소록!$A$3:$K$523,7,0))</f>
        <v/>
      </c>
      <c r="H106" s="693"/>
      <c r="I106" s="694"/>
      <c r="J106" s="692" t="str">
        <f>IF(ISERROR(VLOOKUP(B105,주소록!$A$3:$K$523,10,0)),"",VLOOKUP(B105,주소록!$A$3:$K$523,8,0))</f>
        <v/>
      </c>
      <c r="K106" s="693"/>
      <c r="L106" s="693"/>
      <c r="M106" s="693"/>
      <c r="N106" s="695"/>
      <c r="O106" s="474"/>
      <c r="P106" s="475"/>
      <c r="Q106" s="475"/>
      <c r="R106" s="468"/>
      <c r="S106" s="476"/>
      <c r="T106" s="474"/>
      <c r="U106" s="475"/>
      <c r="V106" s="475"/>
      <c r="W106" s="475"/>
      <c r="X106" s="477"/>
      <c r="Y106" s="479"/>
      <c r="Z106" s="475"/>
      <c r="AA106" s="475"/>
      <c r="AB106" s="475"/>
      <c r="AC106" s="475"/>
      <c r="AD106" s="477"/>
      <c r="AE106" s="696">
        <f>SUM(O105:AD106)</f>
        <v>0</v>
      </c>
      <c r="AF106" s="697"/>
      <c r="AG106" s="765"/>
      <c r="AH106" s="687"/>
      <c r="AI106" s="688"/>
      <c r="AJ106" s="689"/>
      <c r="AK106" s="698">
        <f>IF(C105=0,"",IF(MID(C105,7,1)="5","",IF(MID(C105,7,1)="6","",ROUNDDOWN((AK105*10%),-1))))</f>
        <v>0</v>
      </c>
      <c r="AL106" s="699"/>
      <c r="AM106" s="700"/>
      <c r="AN106" s="701">
        <f>ROUNDDOWN(AN105*요율!$F$5,-1)</f>
        <v>0</v>
      </c>
      <c r="AO106" s="701"/>
      <c r="AP106" s="701"/>
      <c r="AQ106" s="713">
        <f>IF(OR(AND(요율!$H$8="X",요율!$H$9="X",MID(C105,8,1)&gt;="5"),AND(요율!$H$8="○",요율!$H$9="X",MID(C105,8,1)&gt;="5")),"외국인",IF(요율!$H$8="X",IF(C105="",0,IF(OR(MID(C105,8,1)&lt;"3",AND(MID(C105,8,1)&gt;="5",MID(C105,8,1)&lt;="6")),IF(INT(TEXT($O$3,"yyyy.mmdd")-TEXT(TEXT(LEFT(C105,6),"1900-00-00"),"yyyy.mmdd"))&gt;=65,"65세이상",+TRUNC(AH105*요율!$C$9%,-1)),IF(INT(TEXT($O$3,"yyyy.mmdd")-TEXT(TEXT(LEFT(C105,6),"2000-00-00"),"yyyy.mmdd"))&gt;=65,"65세이상",+TRUNC(AH105*요율!$C$9%,-1)))),+TRUNC(AH105*요율!$C$9%,-1)))</f>
        <v>0</v>
      </c>
      <c r="AR106" s="699"/>
      <c r="AS106" s="699"/>
      <c r="AT106" s="714"/>
      <c r="AU106" s="715"/>
      <c r="AV106" s="716"/>
      <c r="AW106" s="723"/>
      <c r="AX106" s="724"/>
      <c r="AY106" s="725"/>
      <c r="AZ106" s="767"/>
      <c r="BA106" s="22" t="str">
        <f>BA105</f>
        <v/>
      </c>
      <c r="BB106" s="6">
        <v>2</v>
      </c>
      <c r="BC106" s="753"/>
      <c r="BD106" s="733">
        <f>B105</f>
        <v>0</v>
      </c>
      <c r="BE106" s="733"/>
      <c r="BF106" s="733"/>
      <c r="BG106" s="734">
        <f>SUM(BM105:CB106)</f>
        <v>0</v>
      </c>
      <c r="BH106" s="735"/>
      <c r="BI106" s="736"/>
      <c r="BJ106" s="144"/>
      <c r="BK106" s="145"/>
      <c r="BL106" s="146"/>
      <c r="BM106" s="17">
        <f>ROUNDDOWN(IF($AG105*O106&gt;요율!$E$3,($AG105*O106-요율!$E$3)*요율!$C$3%*요율!$D$3%,0),-1)</f>
        <v>0</v>
      </c>
      <c r="BN106" s="18">
        <f>ROUNDDOWN(IF($AG105*P106&gt;요율!$E$3,($AG105*P106-요율!$E$3)*요율!$C$3%*요율!$D$3%,0),-1)</f>
        <v>0</v>
      </c>
      <c r="BO106" s="18">
        <f>ROUNDDOWN(IF($AG105*Q106&gt;요율!$E$3,($AG105*Q106-요율!$E$3)*요율!$C$3%*요율!$D$3%,0),-1)</f>
        <v>0</v>
      </c>
      <c r="BP106" s="18">
        <f>ROUNDDOWN(IF($AG105*R106&gt;요율!$E$3,($AG105*R106-요율!$E$3)*요율!$C$3%*요율!$D$3%,0),-1)</f>
        <v>0</v>
      </c>
      <c r="BQ106" s="18">
        <f>ROUNDDOWN(IF($AG105*S106&gt;요율!$E$3,($AG105*S106-요율!$E$3)*요율!$C$3%*요율!$D$3%,0),-1)</f>
        <v>0</v>
      </c>
      <c r="BR106" s="18">
        <f>ROUNDDOWN(IF($AG105*T106&gt;요율!$E$3,($AG105*T106-요율!$E$3)*요율!$C$3%*요율!$D$3%,0),-1)</f>
        <v>0</v>
      </c>
      <c r="BS106" s="18">
        <f>ROUNDDOWN(IF($AG105*U106&gt;요율!$E$3,($AG105*U106-요율!$E$3)*요율!$C$3%*요율!$D$3%,0),-1)</f>
        <v>0</v>
      </c>
      <c r="BT106" s="18">
        <f>ROUNDDOWN(IF($AG105*V106&gt;요율!$E$3,($AG105*V106-요율!$E$3)*요율!$C$3%*요율!$D$3%,0),-1)</f>
        <v>0</v>
      </c>
      <c r="BU106" s="18">
        <f>ROUNDDOWN(IF($AG105*W106&gt;요율!$E$3,($AG105*W106-요율!$E$3)*요율!$C$3%*요율!$D$3%,0),-1)</f>
        <v>0</v>
      </c>
      <c r="BV106" s="18">
        <f>ROUNDDOWN(IF($AG105*X106&gt;요율!$E$3,($AG105*X106-요율!$E$3)*요율!$C$3%*요율!$D$3%,0),-1)</f>
        <v>0</v>
      </c>
      <c r="BW106" s="18">
        <f>ROUNDDOWN(IF($AG105*Y106&gt;요율!$E$3,($AG105*Y106-요율!$E$3)*요율!$C$3%*요율!$D$3%,0),-1)</f>
        <v>0</v>
      </c>
      <c r="BX106" s="18">
        <f>ROUNDDOWN(IF($AG105*Z106&gt;요율!$E$3,($AG105*Z106-요율!$E$3)*요율!$C$3%*요율!$D$3%,0),-1)</f>
        <v>0</v>
      </c>
      <c r="BY106" s="18">
        <f>ROUNDDOWN(IF($AG105*AA106&gt;요율!$E$3,($AG105*AA106-요율!$E$3)*요율!$C$3%*요율!$D$3%,0),-1)</f>
        <v>0</v>
      </c>
      <c r="BZ106" s="18">
        <f>ROUNDDOWN(IF($AG105*AB106&gt;요율!$E$3,($AG105*AB106-요율!$E$3)*요율!$C$3%*요율!$D$3%,0),-1)</f>
        <v>0</v>
      </c>
      <c r="CA106" s="18">
        <f>ROUNDDOWN(IF($AG105*AC106&gt;요율!$E$3,($AG105*AC106-요율!$E$3)*요율!$C$3%*요율!$D$3%,0),-1)</f>
        <v>0</v>
      </c>
      <c r="CB106" s="19">
        <f>ROUNDDOWN(IF($AG105*AD106&gt;요율!$E$3,($AG105*AD106-요율!$E$3)*요율!$C$3%*요율!$D$3%,0),-1)</f>
        <v>0</v>
      </c>
    </row>
    <row r="107" spans="1:82" ht="20.100000000000001" hidden="1" customHeight="1">
      <c r="A107" s="760">
        <f t="shared" si="2"/>
        <v>51</v>
      </c>
      <c r="B107" s="260"/>
      <c r="C107" s="708" t="str">
        <f>IF(ISERROR(VLOOKUP(B107,주소록!$A$3:$K$523,5,0)),"",VLOOKUP(B107,주소록!$A$3:$K$523,3,0))</f>
        <v/>
      </c>
      <c r="D107" s="708"/>
      <c r="E107" s="708"/>
      <c r="F107" s="709"/>
      <c r="G107" s="710" t="str">
        <f>IF(ISERROR(VLOOKUP(B107,주소록!$A$3:$K$523,6,0)),"",VLOOKUP(B107,주소록!$A$3:$K$523,4,0))</f>
        <v/>
      </c>
      <c r="H107" s="711"/>
      <c r="I107" s="711"/>
      <c r="J107" s="711"/>
      <c r="K107" s="711"/>
      <c r="L107" s="711"/>
      <c r="M107" s="711"/>
      <c r="N107" s="712"/>
      <c r="O107" s="469"/>
      <c r="P107" s="470"/>
      <c r="Q107" s="470"/>
      <c r="R107" s="470"/>
      <c r="S107" s="478"/>
      <c r="T107" s="469"/>
      <c r="U107" s="470"/>
      <c r="V107" s="470"/>
      <c r="W107" s="470"/>
      <c r="X107" s="471"/>
      <c r="Y107" s="472"/>
      <c r="Z107" s="467"/>
      <c r="AA107" s="470"/>
      <c r="AB107" s="470"/>
      <c r="AC107" s="470"/>
      <c r="AD107" s="473"/>
      <c r="AE107" s="762">
        <f>COUNTIF(O107:AD108,"&gt;=0.5")</f>
        <v>0</v>
      </c>
      <c r="AF107" s="763"/>
      <c r="AG107" s="764"/>
      <c r="AH107" s="684">
        <f>AE108*AG107</f>
        <v>0</v>
      </c>
      <c r="AI107" s="685"/>
      <c r="AJ107" s="686"/>
      <c r="AK107" s="755">
        <f>IF(BG108&lt;1000, 0, BG108)</f>
        <v>0</v>
      </c>
      <c r="AL107" s="756"/>
      <c r="AM107" s="757"/>
      <c r="AN107" s="758">
        <f>IF(요율!$H$7="○",IF(AE107&gt;=요율!$D$6,ROUNDDOWN(AH107*요율!$C$4%,-1),0),0)</f>
        <v>0</v>
      </c>
      <c r="AO107" s="756"/>
      <c r="AP107" s="757"/>
      <c r="AQ107" s="758">
        <f>BL107</f>
        <v>0</v>
      </c>
      <c r="AR107" s="756"/>
      <c r="AS107" s="759"/>
      <c r="AT107" s="717">
        <f>SUM(AK107:AS108)</f>
        <v>0</v>
      </c>
      <c r="AU107" s="718"/>
      <c r="AV107" s="719"/>
      <c r="AW107" s="720">
        <f>AH107-AT107-AT108</f>
        <v>0</v>
      </c>
      <c r="AX107" s="721"/>
      <c r="AY107" s="722"/>
      <c r="AZ107" s="766"/>
      <c r="BA107" s="21" t="str">
        <f>IF(ISERROR(VLOOKUP($B107,주소록!$A$3:$K$523,3,0)),"",VLOOKUP($B107,주소록!$A$3:$K$523,2,0))</f>
        <v/>
      </c>
      <c r="BB107" s="6">
        <v>1</v>
      </c>
      <c r="BC107" s="752">
        <f>A107</f>
        <v>51</v>
      </c>
      <c r="BD107" s="754" t="str">
        <f>IF(OR(MID(C107,8,1)&lt;"3",AND(MID(C107,8,1)&gt;="5",MID(C107,8,1)&lt;="6")),TEXT(TEXT(LEFT(C107,6),"1900-00-00"),"yyyy년 m월 d일"),TEXT(TEXT(LEFT(C107,6),"2000-00-00"),"yyyy년 m월 d일"))</f>
        <v/>
      </c>
      <c r="BE107" s="754"/>
      <c r="BF107" s="754"/>
      <c r="BG107" s="768">
        <f>IFERROR(INT( ( TEXT($O$3,"yyyy.mmdd") - TEXT(BD107,"yyyy.mmdd") )  ),0)</f>
        <v>0</v>
      </c>
      <c r="BH107" s="769"/>
      <c r="BI107" s="770"/>
      <c r="BJ107" s="133">
        <f>IF(BG107&gt;59,"60세이상",IF(OR(AE107&lt;요율!$D$6,AH107=0),0,IF(AH107&lt;요율!$C$7,요율!$D$7,IF(AH107&gt;요율!$C$8,요율!$D$8,+TRUNC(AH107*요율!$C$6%,-1)))))</f>
        <v>0</v>
      </c>
      <c r="BK107" s="143">
        <f>IF(BG107&gt;59,"60세이상",IF(OR(AH107&lt;2200000,AH107=0),0,IF(AH107&lt;요율!$C$7,요율!$D$7,IF(AH107&gt;요율!$C$8,요율!$D$8,+TRUNC(AH107*요율!$C$6%,-1)))))</f>
        <v>0</v>
      </c>
      <c r="BL107" s="140">
        <f>IF(BK107&gt;0,BK107,BJ107)</f>
        <v>0</v>
      </c>
      <c r="BM107" s="15">
        <f>ROUNDDOWN(IF($AG107*O107&gt;요율!$E$3,($AG107*O107-요율!$E$3)*요율!$C$3%*요율!$D$3%,0),-1)</f>
        <v>0</v>
      </c>
      <c r="BN107" s="16">
        <f>ROUNDDOWN(IF($AG107*P107&gt;요율!$E$3,($AG107*P107-요율!$E$3)*요율!$C$3%*요율!$D$3%,0),-1)</f>
        <v>0</v>
      </c>
      <c r="BO107" s="16">
        <f>ROUNDDOWN(IF($AG107*Q107&gt;요율!$E$3,($AG107*Q107-요율!$E$3)*요율!$C$3%*요율!$D$3%,0),-1)</f>
        <v>0</v>
      </c>
      <c r="BP107" s="16">
        <f>ROUNDDOWN(IF($AG107*R107&gt;요율!$E$3,($AG107*R107-요율!$E$3)*요율!$C$3%*요율!$D$3%,0),-1)</f>
        <v>0</v>
      </c>
      <c r="BQ107" s="16">
        <f>ROUNDDOWN(IF($AG107*S107&gt;요율!$E$3,($AG107*S107-요율!$E$3)*요율!$C$3%*요율!$D$3%,0),-1)</f>
        <v>0</v>
      </c>
      <c r="BR107" s="16">
        <f>ROUNDDOWN(IF($AG107*T107&gt;요율!$E$3,($AG107*T107-요율!$E$3)*요율!$C$3%*요율!$D$3%,0),-1)</f>
        <v>0</v>
      </c>
      <c r="BS107" s="16">
        <f>ROUNDDOWN(IF($AG107*U107&gt;요율!$E$3,($AG107*U107-요율!$E$3)*요율!$C$3%*요율!$D$3%,0),-1)</f>
        <v>0</v>
      </c>
      <c r="BT107" s="16">
        <f>ROUNDDOWN(IF($AG107*V107&gt;요율!$E$3,($AG107*V107-요율!$E$3)*요율!$C$3%*요율!$D$3%,0),-1)</f>
        <v>0</v>
      </c>
      <c r="BU107" s="16">
        <f>ROUNDDOWN(IF($AG107*W107&gt;요율!$E$3,($AG107*W107-요율!$E$3)*요율!$C$3%*요율!$D$3%,0),-1)</f>
        <v>0</v>
      </c>
      <c r="BV107" s="16">
        <f>ROUNDDOWN(IF($AG107*X107&gt;요율!$E$3,($AG107*X107-요율!$E$3)*요율!$C$3%*요율!$D$3%,0),-1)</f>
        <v>0</v>
      </c>
      <c r="BW107" s="16">
        <f>ROUNDDOWN(IF($AG107*Y107&gt;요율!$E$3,($AG107*Y107-요율!$E$3)*요율!$C$3%*요율!$D$3%,0),-1)</f>
        <v>0</v>
      </c>
      <c r="BX107" s="16">
        <f>ROUNDDOWN(IF($AG107*Z107&gt;요율!$E$3,($AG107*Z107-요율!$E$3)*요율!$C$3%*요율!$D$3%,0),-1)</f>
        <v>0</v>
      </c>
      <c r="BY107" s="16">
        <f>ROUNDDOWN(IF($AG107*AA107&gt;요율!$E$3,($AG107*AA107-요율!$E$3)*요율!$C$3%*요율!$D$3%,0),-1)</f>
        <v>0</v>
      </c>
      <c r="BZ107" s="16">
        <f>ROUNDDOWN(IF($AG107*AB107&gt;요율!$E$3,($AG107*AB107-요율!$E$3)*요율!$C$3%*요율!$D$3%,0),-1)</f>
        <v>0</v>
      </c>
      <c r="CA107" s="16">
        <f>ROUNDDOWN(IF($AG107*AC107&gt;요율!$E$3,($AG107*AC107-요율!$E$3)*요율!$C$3%*요율!$D$3%,0),-1)</f>
        <v>0</v>
      </c>
      <c r="CB107" s="31">
        <f>ROUNDDOWN(IF($AG107*AD107&gt;요율!$E$3,($AG107*AD107-요율!$E$3)*요율!$C$3%*요율!$D$3%,0),-1)</f>
        <v>0</v>
      </c>
      <c r="CD107" s="5" t="str">
        <f>IFERROR(VLOOKUP(B107,주소록,9,FALSE),"")</f>
        <v/>
      </c>
    </row>
    <row r="108" spans="1:82" ht="20.100000000000001" hidden="1" customHeight="1">
      <c r="A108" s="761"/>
      <c r="B108" s="261" t="str">
        <f>BA107</f>
        <v/>
      </c>
      <c r="C108" s="690" t="str">
        <f>IF(ISERROR(VLOOKUP(B107,주소록!$A$3:$K$523,7,0)),"",VLOOKUP(B107,주소록!$A$3:$K$523,5,0))</f>
        <v/>
      </c>
      <c r="D108" s="690"/>
      <c r="E108" s="690"/>
      <c r="F108" s="691"/>
      <c r="G108" s="692" t="str">
        <f>IF(ISERROR(VLOOKUP(B107,주소록!$A$3:$K$523,9,0)),"",VLOOKUP(B107,주소록!$A$3:$K$523,7,0))</f>
        <v/>
      </c>
      <c r="H108" s="693"/>
      <c r="I108" s="694"/>
      <c r="J108" s="692" t="str">
        <f>IF(ISERROR(VLOOKUP(B107,주소록!$A$3:$K$523,10,0)),"",VLOOKUP(B107,주소록!$A$3:$K$523,8,0))</f>
        <v/>
      </c>
      <c r="K108" s="693"/>
      <c r="L108" s="693"/>
      <c r="M108" s="693"/>
      <c r="N108" s="695"/>
      <c r="O108" s="474"/>
      <c r="P108" s="475"/>
      <c r="Q108" s="475"/>
      <c r="R108" s="468"/>
      <c r="S108" s="476"/>
      <c r="T108" s="474"/>
      <c r="U108" s="475"/>
      <c r="V108" s="475"/>
      <c r="W108" s="475"/>
      <c r="X108" s="477"/>
      <c r="Y108" s="479"/>
      <c r="Z108" s="475"/>
      <c r="AA108" s="475"/>
      <c r="AB108" s="475"/>
      <c r="AC108" s="475"/>
      <c r="AD108" s="477"/>
      <c r="AE108" s="696">
        <f>SUM(O107:AD108)</f>
        <v>0</v>
      </c>
      <c r="AF108" s="697"/>
      <c r="AG108" s="765"/>
      <c r="AH108" s="687"/>
      <c r="AI108" s="688"/>
      <c r="AJ108" s="689"/>
      <c r="AK108" s="698">
        <f>IF(C107=0,"",IF(MID(C107,7,1)="5","",IF(MID(C107,7,1)="6","",ROUNDDOWN((AK107*10%),-1))))</f>
        <v>0</v>
      </c>
      <c r="AL108" s="699"/>
      <c r="AM108" s="700"/>
      <c r="AN108" s="701">
        <f>ROUNDDOWN(AN107*요율!$F$5,-1)</f>
        <v>0</v>
      </c>
      <c r="AO108" s="701"/>
      <c r="AP108" s="701"/>
      <c r="AQ108" s="713">
        <f>IF(OR(AND(요율!$H$8="X",요율!$H$9="X",MID(C107,8,1)&gt;="5"),AND(요율!$H$8="○",요율!$H$9="X",MID(C107,8,1)&gt;="5")),"외국인",IF(요율!$H$8="X",IF(C107="",0,IF(OR(MID(C107,8,1)&lt;"3",AND(MID(C107,8,1)&gt;="5",MID(C107,8,1)&lt;="6")),IF(INT(TEXT($O$3,"yyyy.mmdd")-TEXT(TEXT(LEFT(C107,6),"1900-00-00"),"yyyy.mmdd"))&gt;=65,"65세이상",+TRUNC(AH107*요율!$C$9%,-1)),IF(INT(TEXT($O$3,"yyyy.mmdd")-TEXT(TEXT(LEFT(C107,6),"2000-00-00"),"yyyy.mmdd"))&gt;=65,"65세이상",+TRUNC(AH107*요율!$C$9%,-1)))),+TRUNC(AH107*요율!$C$9%,-1)))</f>
        <v>0</v>
      </c>
      <c r="AR108" s="699"/>
      <c r="AS108" s="699"/>
      <c r="AT108" s="714"/>
      <c r="AU108" s="715"/>
      <c r="AV108" s="716"/>
      <c r="AW108" s="723"/>
      <c r="AX108" s="724"/>
      <c r="AY108" s="725"/>
      <c r="AZ108" s="767"/>
      <c r="BA108" s="22" t="str">
        <f>BA107</f>
        <v/>
      </c>
      <c r="BB108" s="6">
        <v>2</v>
      </c>
      <c r="BC108" s="753"/>
      <c r="BD108" s="733">
        <f>B107</f>
        <v>0</v>
      </c>
      <c r="BE108" s="733"/>
      <c r="BF108" s="733"/>
      <c r="BG108" s="734">
        <f>SUM(BM107:CB108)</f>
        <v>0</v>
      </c>
      <c r="BH108" s="735"/>
      <c r="BI108" s="736"/>
      <c r="BJ108" s="144"/>
      <c r="BK108" s="145"/>
      <c r="BL108" s="146"/>
      <c r="BM108" s="17">
        <f>ROUNDDOWN(IF($AG107*O108&gt;요율!$E$3,($AG107*O108-요율!$E$3)*요율!$C$3%*요율!$D$3%,0),-1)</f>
        <v>0</v>
      </c>
      <c r="BN108" s="18">
        <f>ROUNDDOWN(IF($AG107*P108&gt;요율!$E$3,($AG107*P108-요율!$E$3)*요율!$C$3%*요율!$D$3%,0),-1)</f>
        <v>0</v>
      </c>
      <c r="BO108" s="18">
        <f>ROUNDDOWN(IF($AG107*Q108&gt;요율!$E$3,($AG107*Q108-요율!$E$3)*요율!$C$3%*요율!$D$3%,0),-1)</f>
        <v>0</v>
      </c>
      <c r="BP108" s="18">
        <f>ROUNDDOWN(IF($AG107*R108&gt;요율!$E$3,($AG107*R108-요율!$E$3)*요율!$C$3%*요율!$D$3%,0),-1)</f>
        <v>0</v>
      </c>
      <c r="BQ108" s="18">
        <f>ROUNDDOWN(IF($AG107*S108&gt;요율!$E$3,($AG107*S108-요율!$E$3)*요율!$C$3%*요율!$D$3%,0),-1)</f>
        <v>0</v>
      </c>
      <c r="BR108" s="18">
        <f>ROUNDDOWN(IF($AG107*T108&gt;요율!$E$3,($AG107*T108-요율!$E$3)*요율!$C$3%*요율!$D$3%,0),-1)</f>
        <v>0</v>
      </c>
      <c r="BS108" s="18">
        <f>ROUNDDOWN(IF($AG107*U108&gt;요율!$E$3,($AG107*U108-요율!$E$3)*요율!$C$3%*요율!$D$3%,0),-1)</f>
        <v>0</v>
      </c>
      <c r="BT108" s="18">
        <f>ROUNDDOWN(IF($AG107*V108&gt;요율!$E$3,($AG107*V108-요율!$E$3)*요율!$C$3%*요율!$D$3%,0),-1)</f>
        <v>0</v>
      </c>
      <c r="BU108" s="18">
        <f>ROUNDDOWN(IF($AG107*W108&gt;요율!$E$3,($AG107*W108-요율!$E$3)*요율!$C$3%*요율!$D$3%,0),-1)</f>
        <v>0</v>
      </c>
      <c r="BV108" s="18">
        <f>ROUNDDOWN(IF($AG107*X108&gt;요율!$E$3,($AG107*X108-요율!$E$3)*요율!$C$3%*요율!$D$3%,0),-1)</f>
        <v>0</v>
      </c>
      <c r="BW108" s="18">
        <f>ROUNDDOWN(IF($AG107*Y108&gt;요율!$E$3,($AG107*Y108-요율!$E$3)*요율!$C$3%*요율!$D$3%,0),-1)</f>
        <v>0</v>
      </c>
      <c r="BX108" s="18">
        <f>ROUNDDOWN(IF($AG107*Z108&gt;요율!$E$3,($AG107*Z108-요율!$E$3)*요율!$C$3%*요율!$D$3%,0),-1)</f>
        <v>0</v>
      </c>
      <c r="BY108" s="18">
        <f>ROUNDDOWN(IF($AG107*AA108&gt;요율!$E$3,($AG107*AA108-요율!$E$3)*요율!$C$3%*요율!$D$3%,0),-1)</f>
        <v>0</v>
      </c>
      <c r="BZ108" s="18">
        <f>ROUNDDOWN(IF($AG107*AB108&gt;요율!$E$3,($AG107*AB108-요율!$E$3)*요율!$C$3%*요율!$D$3%,0),-1)</f>
        <v>0</v>
      </c>
      <c r="CA108" s="18">
        <f>ROUNDDOWN(IF($AG107*AC108&gt;요율!$E$3,($AG107*AC108-요율!$E$3)*요율!$C$3%*요율!$D$3%,0),-1)</f>
        <v>0</v>
      </c>
      <c r="CB108" s="19">
        <f>ROUNDDOWN(IF($AG107*AD108&gt;요율!$E$3,($AG107*AD108-요율!$E$3)*요율!$C$3%*요율!$D$3%,0),-1)</f>
        <v>0</v>
      </c>
    </row>
    <row r="109" spans="1:82" ht="20.100000000000001" hidden="1" customHeight="1">
      <c r="A109" s="760">
        <f t="shared" si="2"/>
        <v>52</v>
      </c>
      <c r="B109" s="260"/>
      <c r="C109" s="708" t="str">
        <f>IF(ISERROR(VLOOKUP(B109,주소록!$A$3:$K$523,5,0)),"",VLOOKUP(B109,주소록!$A$3:$K$523,3,0))</f>
        <v/>
      </c>
      <c r="D109" s="708"/>
      <c r="E109" s="708"/>
      <c r="F109" s="709"/>
      <c r="G109" s="710" t="str">
        <f>IF(ISERROR(VLOOKUP(B109,주소록!$A$3:$K$523,6,0)),"",VLOOKUP(B109,주소록!$A$3:$K$523,4,0))</f>
        <v/>
      </c>
      <c r="H109" s="711"/>
      <c r="I109" s="711"/>
      <c r="J109" s="711"/>
      <c r="K109" s="711"/>
      <c r="L109" s="711"/>
      <c r="M109" s="711"/>
      <c r="N109" s="712"/>
      <c r="O109" s="469"/>
      <c r="P109" s="470"/>
      <c r="Q109" s="470"/>
      <c r="R109" s="470"/>
      <c r="S109" s="478"/>
      <c r="T109" s="469"/>
      <c r="U109" s="470"/>
      <c r="V109" s="470"/>
      <c r="W109" s="470"/>
      <c r="X109" s="471"/>
      <c r="Y109" s="472"/>
      <c r="Z109" s="467"/>
      <c r="AA109" s="470"/>
      <c r="AB109" s="470"/>
      <c r="AC109" s="470"/>
      <c r="AD109" s="473"/>
      <c r="AE109" s="762">
        <f>COUNTIF(O109:AD110,"&gt;=0.5")</f>
        <v>0</v>
      </c>
      <c r="AF109" s="763"/>
      <c r="AG109" s="764"/>
      <c r="AH109" s="684">
        <f>AE110*AG109</f>
        <v>0</v>
      </c>
      <c r="AI109" s="685"/>
      <c r="AJ109" s="686"/>
      <c r="AK109" s="755">
        <f>IF(BG110&lt;1000, 0, BG110)</f>
        <v>0</v>
      </c>
      <c r="AL109" s="756"/>
      <c r="AM109" s="757"/>
      <c r="AN109" s="758">
        <f>IF(요율!$H$7="○",IF(AE109&gt;=요율!$D$6,ROUNDDOWN(AH109*요율!$C$4%,-1),0),0)</f>
        <v>0</v>
      </c>
      <c r="AO109" s="756"/>
      <c r="AP109" s="757"/>
      <c r="AQ109" s="758">
        <f>BL109</f>
        <v>0</v>
      </c>
      <c r="AR109" s="756"/>
      <c r="AS109" s="759"/>
      <c r="AT109" s="717">
        <f>SUM(AK109:AS110)</f>
        <v>0</v>
      </c>
      <c r="AU109" s="718"/>
      <c r="AV109" s="719"/>
      <c r="AW109" s="720">
        <f>AH109-AT109-AT110</f>
        <v>0</v>
      </c>
      <c r="AX109" s="721"/>
      <c r="AY109" s="722"/>
      <c r="AZ109" s="766"/>
      <c r="BA109" s="21" t="str">
        <f>IF(ISERROR(VLOOKUP($B109,주소록!$A$3:$K$523,3,0)),"",VLOOKUP($B109,주소록!$A$3:$K$523,2,0))</f>
        <v/>
      </c>
      <c r="BB109" s="6">
        <v>1</v>
      </c>
      <c r="BC109" s="752">
        <f>A109</f>
        <v>52</v>
      </c>
      <c r="BD109" s="754" t="str">
        <f>IF(OR(MID(C109,8,1)&lt;"3",AND(MID(C109,8,1)&gt;="5",MID(C109,8,1)&lt;="6")),TEXT(TEXT(LEFT(C109,6),"1900-00-00"),"yyyy년 m월 d일"),TEXT(TEXT(LEFT(C109,6),"2000-00-00"),"yyyy년 m월 d일"))</f>
        <v/>
      </c>
      <c r="BE109" s="754"/>
      <c r="BF109" s="754"/>
      <c r="BG109" s="768">
        <f>IFERROR(INT( ( TEXT($O$3,"yyyy.mmdd") - TEXT(BD109,"yyyy.mmdd") )  ),0)</f>
        <v>0</v>
      </c>
      <c r="BH109" s="769"/>
      <c r="BI109" s="770"/>
      <c r="BJ109" s="133">
        <f>IF(BG109&gt;59,"60세이상",IF(OR(AE109&lt;요율!$D$6,AH109=0),0,IF(AH109&lt;요율!$C$7,요율!$D$7,IF(AH109&gt;요율!$C$8,요율!$D$8,+TRUNC(AH109*요율!$C$6%,-1)))))</f>
        <v>0</v>
      </c>
      <c r="BK109" s="143">
        <f>IF(BG109&gt;59,"60세이상",IF(OR(AH109&lt;2200000,AH109=0),0,IF(AH109&lt;요율!$C$7,요율!$D$7,IF(AH109&gt;요율!$C$8,요율!$D$8,+TRUNC(AH109*요율!$C$6%,-1)))))</f>
        <v>0</v>
      </c>
      <c r="BL109" s="140">
        <f>IF(BK109&gt;0,BK109,BJ109)</f>
        <v>0</v>
      </c>
      <c r="BM109" s="15">
        <f>ROUNDDOWN(IF($AG109*O109&gt;요율!$E$3,($AG109*O109-요율!$E$3)*요율!$C$3%*요율!$D$3%,0),-1)</f>
        <v>0</v>
      </c>
      <c r="BN109" s="16">
        <f>ROUNDDOWN(IF($AG109*P109&gt;요율!$E$3,($AG109*P109-요율!$E$3)*요율!$C$3%*요율!$D$3%,0),-1)</f>
        <v>0</v>
      </c>
      <c r="BO109" s="16">
        <f>ROUNDDOWN(IF($AG109*Q109&gt;요율!$E$3,($AG109*Q109-요율!$E$3)*요율!$C$3%*요율!$D$3%,0),-1)</f>
        <v>0</v>
      </c>
      <c r="BP109" s="16">
        <f>ROUNDDOWN(IF($AG109*R109&gt;요율!$E$3,($AG109*R109-요율!$E$3)*요율!$C$3%*요율!$D$3%,0),-1)</f>
        <v>0</v>
      </c>
      <c r="BQ109" s="16">
        <f>ROUNDDOWN(IF($AG109*S109&gt;요율!$E$3,($AG109*S109-요율!$E$3)*요율!$C$3%*요율!$D$3%,0),-1)</f>
        <v>0</v>
      </c>
      <c r="BR109" s="16">
        <f>ROUNDDOWN(IF($AG109*T109&gt;요율!$E$3,($AG109*T109-요율!$E$3)*요율!$C$3%*요율!$D$3%,0),-1)</f>
        <v>0</v>
      </c>
      <c r="BS109" s="16">
        <f>ROUNDDOWN(IF($AG109*U109&gt;요율!$E$3,($AG109*U109-요율!$E$3)*요율!$C$3%*요율!$D$3%,0),-1)</f>
        <v>0</v>
      </c>
      <c r="BT109" s="16">
        <f>ROUNDDOWN(IF($AG109*V109&gt;요율!$E$3,($AG109*V109-요율!$E$3)*요율!$C$3%*요율!$D$3%,0),-1)</f>
        <v>0</v>
      </c>
      <c r="BU109" s="16">
        <f>ROUNDDOWN(IF($AG109*W109&gt;요율!$E$3,($AG109*W109-요율!$E$3)*요율!$C$3%*요율!$D$3%,0),-1)</f>
        <v>0</v>
      </c>
      <c r="BV109" s="16">
        <f>ROUNDDOWN(IF($AG109*X109&gt;요율!$E$3,($AG109*X109-요율!$E$3)*요율!$C$3%*요율!$D$3%,0),-1)</f>
        <v>0</v>
      </c>
      <c r="BW109" s="16">
        <f>ROUNDDOWN(IF($AG109*Y109&gt;요율!$E$3,($AG109*Y109-요율!$E$3)*요율!$C$3%*요율!$D$3%,0),-1)</f>
        <v>0</v>
      </c>
      <c r="BX109" s="16">
        <f>ROUNDDOWN(IF($AG109*Z109&gt;요율!$E$3,($AG109*Z109-요율!$E$3)*요율!$C$3%*요율!$D$3%,0),-1)</f>
        <v>0</v>
      </c>
      <c r="BY109" s="16">
        <f>ROUNDDOWN(IF($AG109*AA109&gt;요율!$E$3,($AG109*AA109-요율!$E$3)*요율!$C$3%*요율!$D$3%,0),-1)</f>
        <v>0</v>
      </c>
      <c r="BZ109" s="16">
        <f>ROUNDDOWN(IF($AG109*AB109&gt;요율!$E$3,($AG109*AB109-요율!$E$3)*요율!$C$3%*요율!$D$3%,0),-1)</f>
        <v>0</v>
      </c>
      <c r="CA109" s="16">
        <f>ROUNDDOWN(IF($AG109*AC109&gt;요율!$E$3,($AG109*AC109-요율!$E$3)*요율!$C$3%*요율!$D$3%,0),-1)</f>
        <v>0</v>
      </c>
      <c r="CB109" s="31">
        <f>ROUNDDOWN(IF($AG109*AD109&gt;요율!$E$3,($AG109*AD109-요율!$E$3)*요율!$C$3%*요율!$D$3%,0),-1)</f>
        <v>0</v>
      </c>
      <c r="CD109" s="5" t="str">
        <f>IFERROR(VLOOKUP(B109,주소록,9,FALSE),"")</f>
        <v/>
      </c>
    </row>
    <row r="110" spans="1:82" ht="20.100000000000001" hidden="1" customHeight="1">
      <c r="A110" s="761"/>
      <c r="B110" s="261" t="str">
        <f>BA109</f>
        <v/>
      </c>
      <c r="C110" s="690" t="str">
        <f>IF(ISERROR(VLOOKUP(B109,주소록!$A$3:$K$523,7,0)),"",VLOOKUP(B109,주소록!$A$3:$K$523,5,0))</f>
        <v/>
      </c>
      <c r="D110" s="690"/>
      <c r="E110" s="690"/>
      <c r="F110" s="691"/>
      <c r="G110" s="692" t="str">
        <f>IF(ISERROR(VLOOKUP(B109,주소록!$A$3:$K$523,9,0)),"",VLOOKUP(B109,주소록!$A$3:$K$523,7,0))</f>
        <v/>
      </c>
      <c r="H110" s="693"/>
      <c r="I110" s="694"/>
      <c r="J110" s="692" t="str">
        <f>IF(ISERROR(VLOOKUP(B109,주소록!$A$3:$K$523,10,0)),"",VLOOKUP(B109,주소록!$A$3:$K$523,8,0))</f>
        <v/>
      </c>
      <c r="K110" s="693"/>
      <c r="L110" s="693"/>
      <c r="M110" s="693"/>
      <c r="N110" s="695"/>
      <c r="O110" s="474"/>
      <c r="P110" s="475"/>
      <c r="Q110" s="475"/>
      <c r="R110" s="468"/>
      <c r="S110" s="476"/>
      <c r="T110" s="474"/>
      <c r="U110" s="475"/>
      <c r="V110" s="475"/>
      <c r="W110" s="475"/>
      <c r="X110" s="477"/>
      <c r="Y110" s="479"/>
      <c r="Z110" s="475"/>
      <c r="AA110" s="475"/>
      <c r="AB110" s="475"/>
      <c r="AC110" s="475"/>
      <c r="AD110" s="477"/>
      <c r="AE110" s="696">
        <f>SUM(O109:AD110)</f>
        <v>0</v>
      </c>
      <c r="AF110" s="697"/>
      <c r="AG110" s="765"/>
      <c r="AH110" s="687"/>
      <c r="AI110" s="688"/>
      <c r="AJ110" s="689"/>
      <c r="AK110" s="698">
        <f>IF(C109=0,"",IF(MID(C109,7,1)="5","",IF(MID(C109,7,1)="6","",ROUNDDOWN((AK109*10%),-1))))</f>
        <v>0</v>
      </c>
      <c r="AL110" s="699"/>
      <c r="AM110" s="700"/>
      <c r="AN110" s="701">
        <f>ROUNDDOWN(AN109*요율!$F$5,-1)</f>
        <v>0</v>
      </c>
      <c r="AO110" s="701"/>
      <c r="AP110" s="701"/>
      <c r="AQ110" s="713">
        <f>IF(OR(AND(요율!$H$8="X",요율!$H$9="X",MID(C109,8,1)&gt;="5"),AND(요율!$H$8="○",요율!$H$9="X",MID(C109,8,1)&gt;="5")),"외국인",IF(요율!$H$8="X",IF(C109="",0,IF(OR(MID(C109,8,1)&lt;"3",AND(MID(C109,8,1)&gt;="5",MID(C109,8,1)&lt;="6")),IF(INT(TEXT($O$3,"yyyy.mmdd")-TEXT(TEXT(LEFT(C109,6),"1900-00-00"),"yyyy.mmdd"))&gt;=65,"65세이상",+TRUNC(AH109*요율!$C$9%,-1)),IF(INT(TEXT($O$3,"yyyy.mmdd")-TEXT(TEXT(LEFT(C109,6),"2000-00-00"),"yyyy.mmdd"))&gt;=65,"65세이상",+TRUNC(AH109*요율!$C$9%,-1)))),+TRUNC(AH109*요율!$C$9%,-1)))</f>
        <v>0</v>
      </c>
      <c r="AR110" s="699"/>
      <c r="AS110" s="699"/>
      <c r="AT110" s="714"/>
      <c r="AU110" s="715"/>
      <c r="AV110" s="716"/>
      <c r="AW110" s="723"/>
      <c r="AX110" s="724"/>
      <c r="AY110" s="725"/>
      <c r="AZ110" s="767"/>
      <c r="BA110" s="22" t="str">
        <f>BA109</f>
        <v/>
      </c>
      <c r="BB110" s="6">
        <v>2</v>
      </c>
      <c r="BC110" s="753"/>
      <c r="BD110" s="733">
        <f>B109</f>
        <v>0</v>
      </c>
      <c r="BE110" s="733"/>
      <c r="BF110" s="733"/>
      <c r="BG110" s="734">
        <f>SUM(BM109:CB110)</f>
        <v>0</v>
      </c>
      <c r="BH110" s="735"/>
      <c r="BI110" s="736"/>
      <c r="BJ110" s="144"/>
      <c r="BK110" s="145"/>
      <c r="BL110" s="146"/>
      <c r="BM110" s="17">
        <f>ROUNDDOWN(IF($AG109*O110&gt;요율!$E$3,($AG109*O110-요율!$E$3)*요율!$C$3%*요율!$D$3%,0),-1)</f>
        <v>0</v>
      </c>
      <c r="BN110" s="18">
        <f>ROUNDDOWN(IF($AG109*P110&gt;요율!$E$3,($AG109*P110-요율!$E$3)*요율!$C$3%*요율!$D$3%,0),-1)</f>
        <v>0</v>
      </c>
      <c r="BO110" s="18">
        <f>ROUNDDOWN(IF($AG109*Q110&gt;요율!$E$3,($AG109*Q110-요율!$E$3)*요율!$C$3%*요율!$D$3%,0),-1)</f>
        <v>0</v>
      </c>
      <c r="BP110" s="18">
        <f>ROUNDDOWN(IF($AG109*R110&gt;요율!$E$3,($AG109*R110-요율!$E$3)*요율!$C$3%*요율!$D$3%,0),-1)</f>
        <v>0</v>
      </c>
      <c r="BQ110" s="18">
        <f>ROUNDDOWN(IF($AG109*S110&gt;요율!$E$3,($AG109*S110-요율!$E$3)*요율!$C$3%*요율!$D$3%,0),-1)</f>
        <v>0</v>
      </c>
      <c r="BR110" s="18">
        <f>ROUNDDOWN(IF($AG109*T110&gt;요율!$E$3,($AG109*T110-요율!$E$3)*요율!$C$3%*요율!$D$3%,0),-1)</f>
        <v>0</v>
      </c>
      <c r="BS110" s="18">
        <f>ROUNDDOWN(IF($AG109*U110&gt;요율!$E$3,($AG109*U110-요율!$E$3)*요율!$C$3%*요율!$D$3%,0),-1)</f>
        <v>0</v>
      </c>
      <c r="BT110" s="18">
        <f>ROUNDDOWN(IF($AG109*V110&gt;요율!$E$3,($AG109*V110-요율!$E$3)*요율!$C$3%*요율!$D$3%,0),-1)</f>
        <v>0</v>
      </c>
      <c r="BU110" s="18">
        <f>ROUNDDOWN(IF($AG109*W110&gt;요율!$E$3,($AG109*W110-요율!$E$3)*요율!$C$3%*요율!$D$3%,0),-1)</f>
        <v>0</v>
      </c>
      <c r="BV110" s="18">
        <f>ROUNDDOWN(IF($AG109*X110&gt;요율!$E$3,($AG109*X110-요율!$E$3)*요율!$C$3%*요율!$D$3%,0),-1)</f>
        <v>0</v>
      </c>
      <c r="BW110" s="18">
        <f>ROUNDDOWN(IF($AG109*Y110&gt;요율!$E$3,($AG109*Y110-요율!$E$3)*요율!$C$3%*요율!$D$3%,0),-1)</f>
        <v>0</v>
      </c>
      <c r="BX110" s="18">
        <f>ROUNDDOWN(IF($AG109*Z110&gt;요율!$E$3,($AG109*Z110-요율!$E$3)*요율!$C$3%*요율!$D$3%,0),-1)</f>
        <v>0</v>
      </c>
      <c r="BY110" s="18">
        <f>ROUNDDOWN(IF($AG109*AA110&gt;요율!$E$3,($AG109*AA110-요율!$E$3)*요율!$C$3%*요율!$D$3%,0),-1)</f>
        <v>0</v>
      </c>
      <c r="BZ110" s="18">
        <f>ROUNDDOWN(IF($AG109*AB110&gt;요율!$E$3,($AG109*AB110-요율!$E$3)*요율!$C$3%*요율!$D$3%,0),-1)</f>
        <v>0</v>
      </c>
      <c r="CA110" s="18">
        <f>ROUNDDOWN(IF($AG109*AC110&gt;요율!$E$3,($AG109*AC110-요율!$E$3)*요율!$C$3%*요율!$D$3%,0),-1)</f>
        <v>0</v>
      </c>
      <c r="CB110" s="19">
        <f>ROUNDDOWN(IF($AG109*AD110&gt;요율!$E$3,($AG109*AD110-요율!$E$3)*요율!$C$3%*요율!$D$3%,0),-1)</f>
        <v>0</v>
      </c>
    </row>
    <row r="111" spans="1:82" ht="20.100000000000001" hidden="1" customHeight="1">
      <c r="A111" s="760">
        <f t="shared" si="2"/>
        <v>53</v>
      </c>
      <c r="B111" s="260"/>
      <c r="C111" s="708" t="str">
        <f>IF(ISERROR(VLOOKUP(B111,주소록!$A$3:$K$523,5,0)),"",VLOOKUP(B111,주소록!$A$3:$K$523,3,0))</f>
        <v/>
      </c>
      <c r="D111" s="708"/>
      <c r="E111" s="708"/>
      <c r="F111" s="709"/>
      <c r="G111" s="710" t="str">
        <f>IF(ISERROR(VLOOKUP(B111,주소록!$A$3:$K$523,6,0)),"",VLOOKUP(B111,주소록!$A$3:$K$523,4,0))</f>
        <v/>
      </c>
      <c r="H111" s="711"/>
      <c r="I111" s="711"/>
      <c r="J111" s="711"/>
      <c r="K111" s="711"/>
      <c r="L111" s="711"/>
      <c r="M111" s="711"/>
      <c r="N111" s="712"/>
      <c r="O111" s="469"/>
      <c r="P111" s="470"/>
      <c r="Q111" s="470"/>
      <c r="R111" s="470"/>
      <c r="S111" s="478"/>
      <c r="T111" s="469"/>
      <c r="U111" s="470"/>
      <c r="V111" s="470"/>
      <c r="W111" s="470"/>
      <c r="X111" s="471"/>
      <c r="Y111" s="472"/>
      <c r="Z111" s="467"/>
      <c r="AA111" s="470"/>
      <c r="AB111" s="470"/>
      <c r="AC111" s="470"/>
      <c r="AD111" s="473"/>
      <c r="AE111" s="762">
        <f>COUNTIF(O111:AD112,"&gt;=0.5")</f>
        <v>0</v>
      </c>
      <c r="AF111" s="763"/>
      <c r="AG111" s="764"/>
      <c r="AH111" s="684">
        <f>AE112*AG111</f>
        <v>0</v>
      </c>
      <c r="AI111" s="685"/>
      <c r="AJ111" s="686"/>
      <c r="AK111" s="755">
        <f>IF(BG112&lt;1000, 0, BG112)</f>
        <v>0</v>
      </c>
      <c r="AL111" s="756"/>
      <c r="AM111" s="757"/>
      <c r="AN111" s="758">
        <f>IF(요율!$H$7="○",IF(AE111&gt;=요율!$D$6,ROUNDDOWN(AH111*요율!$C$4%,-1),0),0)</f>
        <v>0</v>
      </c>
      <c r="AO111" s="756"/>
      <c r="AP111" s="757"/>
      <c r="AQ111" s="758">
        <f>BL111</f>
        <v>0</v>
      </c>
      <c r="AR111" s="756"/>
      <c r="AS111" s="759"/>
      <c r="AT111" s="717">
        <f>SUM(AK111:AS112)</f>
        <v>0</v>
      </c>
      <c r="AU111" s="718"/>
      <c r="AV111" s="719"/>
      <c r="AW111" s="720">
        <f>AH111-AT111-AT112</f>
        <v>0</v>
      </c>
      <c r="AX111" s="721"/>
      <c r="AY111" s="722"/>
      <c r="AZ111" s="766"/>
      <c r="BA111" s="21" t="str">
        <f>IF(ISERROR(VLOOKUP($B111,주소록!$A$3:$K$523,3,0)),"",VLOOKUP($B111,주소록!$A$3:$K$523,2,0))</f>
        <v/>
      </c>
      <c r="BB111" s="6">
        <v>1</v>
      </c>
      <c r="BC111" s="752">
        <f>A111</f>
        <v>53</v>
      </c>
      <c r="BD111" s="754" t="str">
        <f>IF(OR(MID(C111,8,1)&lt;"3",AND(MID(C111,8,1)&gt;="5",MID(C111,8,1)&lt;="6")),TEXT(TEXT(LEFT(C111,6),"1900-00-00"),"yyyy년 m월 d일"),TEXT(TEXT(LEFT(C111,6),"2000-00-00"),"yyyy년 m월 d일"))</f>
        <v/>
      </c>
      <c r="BE111" s="754"/>
      <c r="BF111" s="754"/>
      <c r="BG111" s="768">
        <f>IFERROR(INT( ( TEXT($O$3,"yyyy.mmdd") - TEXT(BD111,"yyyy.mmdd") )  ),0)</f>
        <v>0</v>
      </c>
      <c r="BH111" s="769"/>
      <c r="BI111" s="770"/>
      <c r="BJ111" s="133">
        <f>IF(BG111&gt;59,"60세이상",IF(OR(AE111&lt;요율!$D$6,AH111=0),0,IF(AH111&lt;요율!$C$7,요율!$D$7,IF(AH111&gt;요율!$C$8,요율!$D$8,+TRUNC(AH111*요율!$C$6%,-1)))))</f>
        <v>0</v>
      </c>
      <c r="BK111" s="143">
        <f>IF(BG111&gt;59,"60세이상",IF(OR(AH111&lt;2200000,AH111=0),0,IF(AH111&lt;요율!$C$7,요율!$D$7,IF(AH111&gt;요율!$C$8,요율!$D$8,+TRUNC(AH111*요율!$C$6%,-1)))))</f>
        <v>0</v>
      </c>
      <c r="BL111" s="140">
        <f>IF(BK111&gt;0,BK111,BJ111)</f>
        <v>0</v>
      </c>
      <c r="BM111" s="15">
        <f>ROUNDDOWN(IF($AG111*O111&gt;요율!$E$3,($AG111*O111-요율!$E$3)*요율!$C$3%*요율!$D$3%,0),-1)</f>
        <v>0</v>
      </c>
      <c r="BN111" s="16">
        <f>ROUNDDOWN(IF($AG111*P111&gt;요율!$E$3,($AG111*P111-요율!$E$3)*요율!$C$3%*요율!$D$3%,0),-1)</f>
        <v>0</v>
      </c>
      <c r="BO111" s="16">
        <f>ROUNDDOWN(IF($AG111*Q111&gt;요율!$E$3,($AG111*Q111-요율!$E$3)*요율!$C$3%*요율!$D$3%,0),-1)</f>
        <v>0</v>
      </c>
      <c r="BP111" s="16">
        <f>ROUNDDOWN(IF($AG111*R111&gt;요율!$E$3,($AG111*R111-요율!$E$3)*요율!$C$3%*요율!$D$3%,0),-1)</f>
        <v>0</v>
      </c>
      <c r="BQ111" s="16">
        <f>ROUNDDOWN(IF($AG111*S111&gt;요율!$E$3,($AG111*S111-요율!$E$3)*요율!$C$3%*요율!$D$3%,0),-1)</f>
        <v>0</v>
      </c>
      <c r="BR111" s="16">
        <f>ROUNDDOWN(IF($AG111*T111&gt;요율!$E$3,($AG111*T111-요율!$E$3)*요율!$C$3%*요율!$D$3%,0),-1)</f>
        <v>0</v>
      </c>
      <c r="BS111" s="16">
        <f>ROUNDDOWN(IF($AG111*U111&gt;요율!$E$3,($AG111*U111-요율!$E$3)*요율!$C$3%*요율!$D$3%,0),-1)</f>
        <v>0</v>
      </c>
      <c r="BT111" s="16">
        <f>ROUNDDOWN(IF($AG111*V111&gt;요율!$E$3,($AG111*V111-요율!$E$3)*요율!$C$3%*요율!$D$3%,0),-1)</f>
        <v>0</v>
      </c>
      <c r="BU111" s="16">
        <f>ROUNDDOWN(IF($AG111*W111&gt;요율!$E$3,($AG111*W111-요율!$E$3)*요율!$C$3%*요율!$D$3%,0),-1)</f>
        <v>0</v>
      </c>
      <c r="BV111" s="16">
        <f>ROUNDDOWN(IF($AG111*X111&gt;요율!$E$3,($AG111*X111-요율!$E$3)*요율!$C$3%*요율!$D$3%,0),-1)</f>
        <v>0</v>
      </c>
      <c r="BW111" s="16">
        <f>ROUNDDOWN(IF($AG111*Y111&gt;요율!$E$3,($AG111*Y111-요율!$E$3)*요율!$C$3%*요율!$D$3%,0),-1)</f>
        <v>0</v>
      </c>
      <c r="BX111" s="16">
        <f>ROUNDDOWN(IF($AG111*Z111&gt;요율!$E$3,($AG111*Z111-요율!$E$3)*요율!$C$3%*요율!$D$3%,0),-1)</f>
        <v>0</v>
      </c>
      <c r="BY111" s="16">
        <f>ROUNDDOWN(IF($AG111*AA111&gt;요율!$E$3,($AG111*AA111-요율!$E$3)*요율!$C$3%*요율!$D$3%,0),-1)</f>
        <v>0</v>
      </c>
      <c r="BZ111" s="16">
        <f>ROUNDDOWN(IF($AG111*AB111&gt;요율!$E$3,($AG111*AB111-요율!$E$3)*요율!$C$3%*요율!$D$3%,0),-1)</f>
        <v>0</v>
      </c>
      <c r="CA111" s="16">
        <f>ROUNDDOWN(IF($AG111*AC111&gt;요율!$E$3,($AG111*AC111-요율!$E$3)*요율!$C$3%*요율!$D$3%,0),-1)</f>
        <v>0</v>
      </c>
      <c r="CB111" s="31">
        <f>ROUNDDOWN(IF($AG111*AD111&gt;요율!$E$3,($AG111*AD111-요율!$E$3)*요율!$C$3%*요율!$D$3%,0),-1)</f>
        <v>0</v>
      </c>
      <c r="CD111" s="5" t="str">
        <f>IFERROR(VLOOKUP(B111,주소록,9,FALSE),"")</f>
        <v/>
      </c>
    </row>
    <row r="112" spans="1:82" ht="20.100000000000001" hidden="1" customHeight="1">
      <c r="A112" s="761"/>
      <c r="B112" s="261" t="str">
        <f>BA111</f>
        <v/>
      </c>
      <c r="C112" s="690" t="str">
        <f>IF(ISERROR(VLOOKUP(B111,주소록!$A$3:$K$523,7,0)),"",VLOOKUP(B111,주소록!$A$3:$K$523,5,0))</f>
        <v/>
      </c>
      <c r="D112" s="690"/>
      <c r="E112" s="690"/>
      <c r="F112" s="691"/>
      <c r="G112" s="692" t="str">
        <f>IF(ISERROR(VLOOKUP(B111,주소록!$A$3:$K$523,9,0)),"",VLOOKUP(B111,주소록!$A$3:$K$523,7,0))</f>
        <v/>
      </c>
      <c r="H112" s="693"/>
      <c r="I112" s="694"/>
      <c r="J112" s="692" t="str">
        <f>IF(ISERROR(VLOOKUP(B111,주소록!$A$3:$K$523,10,0)),"",VLOOKUP(B111,주소록!$A$3:$K$523,8,0))</f>
        <v/>
      </c>
      <c r="K112" s="693"/>
      <c r="L112" s="693"/>
      <c r="M112" s="693"/>
      <c r="N112" s="695"/>
      <c r="O112" s="474"/>
      <c r="P112" s="475"/>
      <c r="Q112" s="475"/>
      <c r="R112" s="468"/>
      <c r="S112" s="476"/>
      <c r="T112" s="474"/>
      <c r="U112" s="475"/>
      <c r="V112" s="475"/>
      <c r="W112" s="475"/>
      <c r="X112" s="477"/>
      <c r="Y112" s="479"/>
      <c r="Z112" s="475"/>
      <c r="AA112" s="475"/>
      <c r="AB112" s="475"/>
      <c r="AC112" s="475"/>
      <c r="AD112" s="477"/>
      <c r="AE112" s="696">
        <f>SUM(O111:AD112)</f>
        <v>0</v>
      </c>
      <c r="AF112" s="697"/>
      <c r="AG112" s="765"/>
      <c r="AH112" s="687"/>
      <c r="AI112" s="688"/>
      <c r="AJ112" s="689"/>
      <c r="AK112" s="698">
        <f>IF(C111=0,"",IF(MID(C111,7,1)="5","",IF(MID(C111,7,1)="6","",ROUNDDOWN((AK111*10%),-1))))</f>
        <v>0</v>
      </c>
      <c r="AL112" s="699"/>
      <c r="AM112" s="700"/>
      <c r="AN112" s="701">
        <f>ROUNDDOWN(AN111*요율!$F$5,-1)</f>
        <v>0</v>
      </c>
      <c r="AO112" s="701"/>
      <c r="AP112" s="701"/>
      <c r="AQ112" s="713">
        <f>IF(OR(AND(요율!$H$8="X",요율!$H$9="X",MID(C111,8,1)&gt;="5"),AND(요율!$H$8="○",요율!$H$9="X",MID(C111,8,1)&gt;="5")),"외국인",IF(요율!$H$8="X",IF(C111="",0,IF(OR(MID(C111,8,1)&lt;"3",AND(MID(C111,8,1)&gt;="5",MID(C111,8,1)&lt;="6")),IF(INT(TEXT($O$3,"yyyy.mmdd")-TEXT(TEXT(LEFT(C111,6),"1900-00-00"),"yyyy.mmdd"))&gt;=65,"65세이상",+TRUNC(AH111*요율!$C$9%,-1)),IF(INT(TEXT($O$3,"yyyy.mmdd")-TEXT(TEXT(LEFT(C111,6),"2000-00-00"),"yyyy.mmdd"))&gt;=65,"65세이상",+TRUNC(AH111*요율!$C$9%,-1)))),+TRUNC(AH111*요율!$C$9%,-1)))</f>
        <v>0</v>
      </c>
      <c r="AR112" s="699"/>
      <c r="AS112" s="699"/>
      <c r="AT112" s="714"/>
      <c r="AU112" s="715"/>
      <c r="AV112" s="716"/>
      <c r="AW112" s="723"/>
      <c r="AX112" s="724"/>
      <c r="AY112" s="725"/>
      <c r="AZ112" s="767"/>
      <c r="BA112" s="22" t="str">
        <f>BA111</f>
        <v/>
      </c>
      <c r="BB112" s="6">
        <v>2</v>
      </c>
      <c r="BC112" s="753"/>
      <c r="BD112" s="733">
        <f>B111</f>
        <v>0</v>
      </c>
      <c r="BE112" s="733"/>
      <c r="BF112" s="733"/>
      <c r="BG112" s="734">
        <f>SUM(BM111:CB112)</f>
        <v>0</v>
      </c>
      <c r="BH112" s="735"/>
      <c r="BI112" s="736"/>
      <c r="BJ112" s="144"/>
      <c r="BK112" s="145"/>
      <c r="BL112" s="146"/>
      <c r="BM112" s="17">
        <f>ROUNDDOWN(IF($AG111*O112&gt;요율!$E$3,($AG111*O112-요율!$E$3)*요율!$C$3%*요율!$D$3%,0),-1)</f>
        <v>0</v>
      </c>
      <c r="BN112" s="18">
        <f>ROUNDDOWN(IF($AG111*P112&gt;요율!$E$3,($AG111*P112-요율!$E$3)*요율!$C$3%*요율!$D$3%,0),-1)</f>
        <v>0</v>
      </c>
      <c r="BO112" s="18">
        <f>ROUNDDOWN(IF($AG111*Q112&gt;요율!$E$3,($AG111*Q112-요율!$E$3)*요율!$C$3%*요율!$D$3%,0),-1)</f>
        <v>0</v>
      </c>
      <c r="BP112" s="18">
        <f>ROUNDDOWN(IF($AG111*R112&gt;요율!$E$3,($AG111*R112-요율!$E$3)*요율!$C$3%*요율!$D$3%,0),-1)</f>
        <v>0</v>
      </c>
      <c r="BQ112" s="18">
        <f>ROUNDDOWN(IF($AG111*S112&gt;요율!$E$3,($AG111*S112-요율!$E$3)*요율!$C$3%*요율!$D$3%,0),-1)</f>
        <v>0</v>
      </c>
      <c r="BR112" s="18">
        <f>ROUNDDOWN(IF($AG111*T112&gt;요율!$E$3,($AG111*T112-요율!$E$3)*요율!$C$3%*요율!$D$3%,0),-1)</f>
        <v>0</v>
      </c>
      <c r="BS112" s="18">
        <f>ROUNDDOWN(IF($AG111*U112&gt;요율!$E$3,($AG111*U112-요율!$E$3)*요율!$C$3%*요율!$D$3%,0),-1)</f>
        <v>0</v>
      </c>
      <c r="BT112" s="18">
        <f>ROUNDDOWN(IF($AG111*V112&gt;요율!$E$3,($AG111*V112-요율!$E$3)*요율!$C$3%*요율!$D$3%,0),-1)</f>
        <v>0</v>
      </c>
      <c r="BU112" s="18">
        <f>ROUNDDOWN(IF($AG111*W112&gt;요율!$E$3,($AG111*W112-요율!$E$3)*요율!$C$3%*요율!$D$3%,0),-1)</f>
        <v>0</v>
      </c>
      <c r="BV112" s="18">
        <f>ROUNDDOWN(IF($AG111*X112&gt;요율!$E$3,($AG111*X112-요율!$E$3)*요율!$C$3%*요율!$D$3%,0),-1)</f>
        <v>0</v>
      </c>
      <c r="BW112" s="18">
        <f>ROUNDDOWN(IF($AG111*Y112&gt;요율!$E$3,($AG111*Y112-요율!$E$3)*요율!$C$3%*요율!$D$3%,0),-1)</f>
        <v>0</v>
      </c>
      <c r="BX112" s="18">
        <f>ROUNDDOWN(IF($AG111*Z112&gt;요율!$E$3,($AG111*Z112-요율!$E$3)*요율!$C$3%*요율!$D$3%,0),-1)</f>
        <v>0</v>
      </c>
      <c r="BY112" s="18">
        <f>ROUNDDOWN(IF($AG111*AA112&gt;요율!$E$3,($AG111*AA112-요율!$E$3)*요율!$C$3%*요율!$D$3%,0),-1)</f>
        <v>0</v>
      </c>
      <c r="BZ112" s="18">
        <f>ROUNDDOWN(IF($AG111*AB112&gt;요율!$E$3,($AG111*AB112-요율!$E$3)*요율!$C$3%*요율!$D$3%,0),-1)</f>
        <v>0</v>
      </c>
      <c r="CA112" s="18">
        <f>ROUNDDOWN(IF($AG111*AC112&gt;요율!$E$3,($AG111*AC112-요율!$E$3)*요율!$C$3%*요율!$D$3%,0),-1)</f>
        <v>0</v>
      </c>
      <c r="CB112" s="19">
        <f>ROUNDDOWN(IF($AG111*AD112&gt;요율!$E$3,($AG111*AD112-요율!$E$3)*요율!$C$3%*요율!$D$3%,0),-1)</f>
        <v>0</v>
      </c>
    </row>
    <row r="113" spans="1:82" ht="20.100000000000001" hidden="1" customHeight="1">
      <c r="A113" s="760">
        <f t="shared" si="2"/>
        <v>54</v>
      </c>
      <c r="B113" s="260"/>
      <c r="C113" s="708" t="str">
        <f>IF(ISERROR(VLOOKUP(B113,주소록!$A$3:$K$523,5,0)),"",VLOOKUP(B113,주소록!$A$3:$K$523,3,0))</f>
        <v/>
      </c>
      <c r="D113" s="708"/>
      <c r="E113" s="708"/>
      <c r="F113" s="709"/>
      <c r="G113" s="710" t="str">
        <f>IF(ISERROR(VLOOKUP(B113,주소록!$A$3:$K$523,6,0)),"",VLOOKUP(B113,주소록!$A$3:$K$523,4,0))</f>
        <v/>
      </c>
      <c r="H113" s="711"/>
      <c r="I113" s="711"/>
      <c r="J113" s="711"/>
      <c r="K113" s="711"/>
      <c r="L113" s="711"/>
      <c r="M113" s="711"/>
      <c r="N113" s="712"/>
      <c r="O113" s="469"/>
      <c r="P113" s="470"/>
      <c r="Q113" s="470"/>
      <c r="R113" s="470"/>
      <c r="S113" s="478"/>
      <c r="T113" s="469"/>
      <c r="U113" s="470"/>
      <c r="V113" s="470"/>
      <c r="W113" s="470"/>
      <c r="X113" s="471"/>
      <c r="Y113" s="472"/>
      <c r="Z113" s="467"/>
      <c r="AA113" s="470"/>
      <c r="AB113" s="470"/>
      <c r="AC113" s="470"/>
      <c r="AD113" s="473"/>
      <c r="AE113" s="762">
        <f>COUNTIF(O113:AD114,"&gt;=0.5")</f>
        <v>0</v>
      </c>
      <c r="AF113" s="763"/>
      <c r="AG113" s="764"/>
      <c r="AH113" s="684">
        <f>AE114*AG113</f>
        <v>0</v>
      </c>
      <c r="AI113" s="685"/>
      <c r="AJ113" s="686"/>
      <c r="AK113" s="755">
        <f>IF(BG114&lt;1000, 0, BG114)</f>
        <v>0</v>
      </c>
      <c r="AL113" s="756"/>
      <c r="AM113" s="757"/>
      <c r="AN113" s="758">
        <f>IF(요율!$H$7="○",IF(AE113&gt;=요율!$D$6,ROUNDDOWN(AH113*요율!$C$4%,-1),0),0)</f>
        <v>0</v>
      </c>
      <c r="AO113" s="756"/>
      <c r="AP113" s="757"/>
      <c r="AQ113" s="758">
        <f>BL113</f>
        <v>0</v>
      </c>
      <c r="AR113" s="756"/>
      <c r="AS113" s="759"/>
      <c r="AT113" s="717">
        <f>SUM(AK113:AS114)</f>
        <v>0</v>
      </c>
      <c r="AU113" s="718"/>
      <c r="AV113" s="719"/>
      <c r="AW113" s="720">
        <f>AH113-AT113-AT114</f>
        <v>0</v>
      </c>
      <c r="AX113" s="721"/>
      <c r="AY113" s="722"/>
      <c r="AZ113" s="766"/>
      <c r="BA113" s="21" t="str">
        <f>IF(ISERROR(VLOOKUP($B113,주소록!$A$3:$K$523,3,0)),"",VLOOKUP($B113,주소록!$A$3:$K$523,2,0))</f>
        <v/>
      </c>
      <c r="BB113" s="6">
        <v>1</v>
      </c>
      <c r="BC113" s="752">
        <f>A113</f>
        <v>54</v>
      </c>
      <c r="BD113" s="754" t="str">
        <f>IF(OR(MID(C113,8,1)&lt;"3",AND(MID(C113,8,1)&gt;="5",MID(C113,8,1)&lt;="6")),TEXT(TEXT(LEFT(C113,6),"1900-00-00"),"yyyy년 m월 d일"),TEXT(TEXT(LEFT(C113,6),"2000-00-00"),"yyyy년 m월 d일"))</f>
        <v/>
      </c>
      <c r="BE113" s="754"/>
      <c r="BF113" s="754"/>
      <c r="BG113" s="768">
        <f>IFERROR(INT( ( TEXT($O$3,"yyyy.mmdd") - TEXT(BD113,"yyyy.mmdd") )  ),0)</f>
        <v>0</v>
      </c>
      <c r="BH113" s="769"/>
      <c r="BI113" s="770"/>
      <c r="BJ113" s="133">
        <f>IF(BG113&gt;59,"60세이상",IF(OR(AE113&lt;요율!$D$6,AH113=0),0,IF(AH113&lt;요율!$C$7,요율!$D$7,IF(AH113&gt;요율!$C$8,요율!$D$8,+TRUNC(AH113*요율!$C$6%,-1)))))</f>
        <v>0</v>
      </c>
      <c r="BK113" s="143">
        <f>IF(BG113&gt;59,"60세이상",IF(OR(AH113&lt;2200000,AH113=0),0,IF(AH113&lt;요율!$C$7,요율!$D$7,IF(AH113&gt;요율!$C$8,요율!$D$8,+TRUNC(AH113*요율!$C$6%,-1)))))</f>
        <v>0</v>
      </c>
      <c r="BL113" s="140">
        <f>IF(BK113&gt;0,BK113,BJ113)</f>
        <v>0</v>
      </c>
      <c r="BM113" s="15">
        <f>ROUNDDOWN(IF($AG113*O113&gt;요율!$E$3,($AG113*O113-요율!$E$3)*요율!$C$3%*요율!$D$3%,0),-1)</f>
        <v>0</v>
      </c>
      <c r="BN113" s="16">
        <f>ROUNDDOWN(IF($AG113*P113&gt;요율!$E$3,($AG113*P113-요율!$E$3)*요율!$C$3%*요율!$D$3%,0),-1)</f>
        <v>0</v>
      </c>
      <c r="BO113" s="16">
        <f>ROUNDDOWN(IF($AG113*Q113&gt;요율!$E$3,($AG113*Q113-요율!$E$3)*요율!$C$3%*요율!$D$3%,0),-1)</f>
        <v>0</v>
      </c>
      <c r="BP113" s="16">
        <f>ROUNDDOWN(IF($AG113*R113&gt;요율!$E$3,($AG113*R113-요율!$E$3)*요율!$C$3%*요율!$D$3%,0),-1)</f>
        <v>0</v>
      </c>
      <c r="BQ113" s="16">
        <f>ROUNDDOWN(IF($AG113*S113&gt;요율!$E$3,($AG113*S113-요율!$E$3)*요율!$C$3%*요율!$D$3%,0),-1)</f>
        <v>0</v>
      </c>
      <c r="BR113" s="16">
        <f>ROUNDDOWN(IF($AG113*T113&gt;요율!$E$3,($AG113*T113-요율!$E$3)*요율!$C$3%*요율!$D$3%,0),-1)</f>
        <v>0</v>
      </c>
      <c r="BS113" s="16">
        <f>ROUNDDOWN(IF($AG113*U113&gt;요율!$E$3,($AG113*U113-요율!$E$3)*요율!$C$3%*요율!$D$3%,0),-1)</f>
        <v>0</v>
      </c>
      <c r="BT113" s="16">
        <f>ROUNDDOWN(IF($AG113*V113&gt;요율!$E$3,($AG113*V113-요율!$E$3)*요율!$C$3%*요율!$D$3%,0),-1)</f>
        <v>0</v>
      </c>
      <c r="BU113" s="16">
        <f>ROUNDDOWN(IF($AG113*W113&gt;요율!$E$3,($AG113*W113-요율!$E$3)*요율!$C$3%*요율!$D$3%,0),-1)</f>
        <v>0</v>
      </c>
      <c r="BV113" s="16">
        <f>ROUNDDOWN(IF($AG113*X113&gt;요율!$E$3,($AG113*X113-요율!$E$3)*요율!$C$3%*요율!$D$3%,0),-1)</f>
        <v>0</v>
      </c>
      <c r="BW113" s="16">
        <f>ROUNDDOWN(IF($AG113*Y113&gt;요율!$E$3,($AG113*Y113-요율!$E$3)*요율!$C$3%*요율!$D$3%,0),-1)</f>
        <v>0</v>
      </c>
      <c r="BX113" s="16">
        <f>ROUNDDOWN(IF($AG113*Z113&gt;요율!$E$3,($AG113*Z113-요율!$E$3)*요율!$C$3%*요율!$D$3%,0),-1)</f>
        <v>0</v>
      </c>
      <c r="BY113" s="16">
        <f>ROUNDDOWN(IF($AG113*AA113&gt;요율!$E$3,($AG113*AA113-요율!$E$3)*요율!$C$3%*요율!$D$3%,0),-1)</f>
        <v>0</v>
      </c>
      <c r="BZ113" s="16">
        <f>ROUNDDOWN(IF($AG113*AB113&gt;요율!$E$3,($AG113*AB113-요율!$E$3)*요율!$C$3%*요율!$D$3%,0),-1)</f>
        <v>0</v>
      </c>
      <c r="CA113" s="16">
        <f>ROUNDDOWN(IF($AG113*AC113&gt;요율!$E$3,($AG113*AC113-요율!$E$3)*요율!$C$3%*요율!$D$3%,0),-1)</f>
        <v>0</v>
      </c>
      <c r="CB113" s="31">
        <f>ROUNDDOWN(IF($AG113*AD113&gt;요율!$E$3,($AG113*AD113-요율!$E$3)*요율!$C$3%*요율!$D$3%,0),-1)</f>
        <v>0</v>
      </c>
      <c r="CD113" s="5" t="str">
        <f>IFERROR(VLOOKUP(B113,주소록,9,FALSE),"")</f>
        <v/>
      </c>
    </row>
    <row r="114" spans="1:82" ht="20.100000000000001" hidden="1" customHeight="1">
      <c r="A114" s="761"/>
      <c r="B114" s="261" t="str">
        <f>BA113</f>
        <v/>
      </c>
      <c r="C114" s="690" t="str">
        <f>IF(ISERROR(VLOOKUP(B113,주소록!$A$3:$K$523,7,0)),"",VLOOKUP(B113,주소록!$A$3:$K$523,5,0))</f>
        <v/>
      </c>
      <c r="D114" s="690"/>
      <c r="E114" s="690"/>
      <c r="F114" s="691"/>
      <c r="G114" s="692" t="str">
        <f>IF(ISERROR(VLOOKUP(B113,주소록!$A$3:$K$523,9,0)),"",VLOOKUP(B113,주소록!$A$3:$K$523,7,0))</f>
        <v/>
      </c>
      <c r="H114" s="693"/>
      <c r="I114" s="694"/>
      <c r="J114" s="692" t="str">
        <f>IF(ISERROR(VLOOKUP(B113,주소록!$A$3:$K$523,10,0)),"",VLOOKUP(B113,주소록!$A$3:$K$523,8,0))</f>
        <v/>
      </c>
      <c r="K114" s="693"/>
      <c r="L114" s="693"/>
      <c r="M114" s="693"/>
      <c r="N114" s="695"/>
      <c r="O114" s="474"/>
      <c r="P114" s="475"/>
      <c r="Q114" s="475"/>
      <c r="R114" s="468"/>
      <c r="S114" s="476"/>
      <c r="T114" s="474"/>
      <c r="U114" s="475"/>
      <c r="V114" s="475"/>
      <c r="W114" s="475"/>
      <c r="X114" s="477"/>
      <c r="Y114" s="479"/>
      <c r="Z114" s="475"/>
      <c r="AA114" s="475"/>
      <c r="AB114" s="475"/>
      <c r="AC114" s="475"/>
      <c r="AD114" s="477"/>
      <c r="AE114" s="696">
        <f>SUM(O113:AD114)</f>
        <v>0</v>
      </c>
      <c r="AF114" s="697"/>
      <c r="AG114" s="765"/>
      <c r="AH114" s="687"/>
      <c r="AI114" s="688"/>
      <c r="AJ114" s="689"/>
      <c r="AK114" s="698">
        <f>IF(C113=0,"",IF(MID(C113,7,1)="5","",IF(MID(C113,7,1)="6","",ROUNDDOWN((AK113*10%),-1))))</f>
        <v>0</v>
      </c>
      <c r="AL114" s="699"/>
      <c r="AM114" s="700"/>
      <c r="AN114" s="701">
        <f>ROUNDDOWN(AN113*요율!$F$5,-1)</f>
        <v>0</v>
      </c>
      <c r="AO114" s="701"/>
      <c r="AP114" s="701"/>
      <c r="AQ114" s="713">
        <f>IF(OR(AND(요율!$H$8="X",요율!$H$9="X",MID(C113,8,1)&gt;="5"),AND(요율!$H$8="○",요율!$H$9="X",MID(C113,8,1)&gt;="5")),"외국인",IF(요율!$H$8="X",IF(C113="",0,IF(OR(MID(C113,8,1)&lt;"3",AND(MID(C113,8,1)&gt;="5",MID(C113,8,1)&lt;="6")),IF(INT(TEXT($O$3,"yyyy.mmdd")-TEXT(TEXT(LEFT(C113,6),"1900-00-00"),"yyyy.mmdd"))&gt;=65,"65세이상",+TRUNC(AH113*요율!$C$9%,-1)),IF(INT(TEXT($O$3,"yyyy.mmdd")-TEXT(TEXT(LEFT(C113,6),"2000-00-00"),"yyyy.mmdd"))&gt;=65,"65세이상",+TRUNC(AH113*요율!$C$9%,-1)))),+TRUNC(AH113*요율!$C$9%,-1)))</f>
        <v>0</v>
      </c>
      <c r="AR114" s="699"/>
      <c r="AS114" s="699"/>
      <c r="AT114" s="714"/>
      <c r="AU114" s="715"/>
      <c r="AV114" s="716"/>
      <c r="AW114" s="723"/>
      <c r="AX114" s="724"/>
      <c r="AY114" s="725"/>
      <c r="AZ114" s="767"/>
      <c r="BA114" s="22" t="str">
        <f>BA113</f>
        <v/>
      </c>
      <c r="BB114" s="6">
        <v>2</v>
      </c>
      <c r="BC114" s="753"/>
      <c r="BD114" s="733">
        <f>B113</f>
        <v>0</v>
      </c>
      <c r="BE114" s="733"/>
      <c r="BF114" s="733"/>
      <c r="BG114" s="734">
        <f>SUM(BM113:CB114)</f>
        <v>0</v>
      </c>
      <c r="BH114" s="735"/>
      <c r="BI114" s="736"/>
      <c r="BJ114" s="144"/>
      <c r="BK114" s="145"/>
      <c r="BL114" s="146"/>
      <c r="BM114" s="17">
        <f>ROUNDDOWN(IF($AG113*O114&gt;요율!$E$3,($AG113*O114-요율!$E$3)*요율!$C$3%*요율!$D$3%,0),-1)</f>
        <v>0</v>
      </c>
      <c r="BN114" s="18">
        <f>ROUNDDOWN(IF($AG113*P114&gt;요율!$E$3,($AG113*P114-요율!$E$3)*요율!$C$3%*요율!$D$3%,0),-1)</f>
        <v>0</v>
      </c>
      <c r="BO114" s="18">
        <f>ROUNDDOWN(IF($AG113*Q114&gt;요율!$E$3,($AG113*Q114-요율!$E$3)*요율!$C$3%*요율!$D$3%,0),-1)</f>
        <v>0</v>
      </c>
      <c r="BP114" s="18">
        <f>ROUNDDOWN(IF($AG113*R114&gt;요율!$E$3,($AG113*R114-요율!$E$3)*요율!$C$3%*요율!$D$3%,0),-1)</f>
        <v>0</v>
      </c>
      <c r="BQ114" s="18">
        <f>ROUNDDOWN(IF($AG113*S114&gt;요율!$E$3,($AG113*S114-요율!$E$3)*요율!$C$3%*요율!$D$3%,0),-1)</f>
        <v>0</v>
      </c>
      <c r="BR114" s="18">
        <f>ROUNDDOWN(IF($AG113*T114&gt;요율!$E$3,($AG113*T114-요율!$E$3)*요율!$C$3%*요율!$D$3%,0),-1)</f>
        <v>0</v>
      </c>
      <c r="BS114" s="18">
        <f>ROUNDDOWN(IF($AG113*U114&gt;요율!$E$3,($AG113*U114-요율!$E$3)*요율!$C$3%*요율!$D$3%,0),-1)</f>
        <v>0</v>
      </c>
      <c r="BT114" s="18">
        <f>ROUNDDOWN(IF($AG113*V114&gt;요율!$E$3,($AG113*V114-요율!$E$3)*요율!$C$3%*요율!$D$3%,0),-1)</f>
        <v>0</v>
      </c>
      <c r="BU114" s="18">
        <f>ROUNDDOWN(IF($AG113*W114&gt;요율!$E$3,($AG113*W114-요율!$E$3)*요율!$C$3%*요율!$D$3%,0),-1)</f>
        <v>0</v>
      </c>
      <c r="BV114" s="18">
        <f>ROUNDDOWN(IF($AG113*X114&gt;요율!$E$3,($AG113*X114-요율!$E$3)*요율!$C$3%*요율!$D$3%,0),-1)</f>
        <v>0</v>
      </c>
      <c r="BW114" s="18">
        <f>ROUNDDOWN(IF($AG113*Y114&gt;요율!$E$3,($AG113*Y114-요율!$E$3)*요율!$C$3%*요율!$D$3%,0),-1)</f>
        <v>0</v>
      </c>
      <c r="BX114" s="18">
        <f>ROUNDDOWN(IF($AG113*Z114&gt;요율!$E$3,($AG113*Z114-요율!$E$3)*요율!$C$3%*요율!$D$3%,0),-1)</f>
        <v>0</v>
      </c>
      <c r="BY114" s="18">
        <f>ROUNDDOWN(IF($AG113*AA114&gt;요율!$E$3,($AG113*AA114-요율!$E$3)*요율!$C$3%*요율!$D$3%,0),-1)</f>
        <v>0</v>
      </c>
      <c r="BZ114" s="18">
        <f>ROUNDDOWN(IF($AG113*AB114&gt;요율!$E$3,($AG113*AB114-요율!$E$3)*요율!$C$3%*요율!$D$3%,0),-1)</f>
        <v>0</v>
      </c>
      <c r="CA114" s="18">
        <f>ROUNDDOWN(IF($AG113*AC114&gt;요율!$E$3,($AG113*AC114-요율!$E$3)*요율!$C$3%*요율!$D$3%,0),-1)</f>
        <v>0</v>
      </c>
      <c r="CB114" s="19">
        <f>ROUNDDOWN(IF($AG113*AD114&gt;요율!$E$3,($AG113*AD114-요율!$E$3)*요율!$C$3%*요율!$D$3%,0),-1)</f>
        <v>0</v>
      </c>
    </row>
    <row r="115" spans="1:82" ht="20.100000000000001" hidden="1" customHeight="1">
      <c r="A115" s="760">
        <f t="shared" si="2"/>
        <v>55</v>
      </c>
      <c r="B115" s="260"/>
      <c r="C115" s="708" t="str">
        <f>IF(ISERROR(VLOOKUP(B115,주소록!$A$3:$K$523,5,0)),"",VLOOKUP(B115,주소록!$A$3:$K$523,3,0))</f>
        <v/>
      </c>
      <c r="D115" s="708"/>
      <c r="E115" s="708"/>
      <c r="F115" s="709"/>
      <c r="G115" s="710" t="str">
        <f>IF(ISERROR(VLOOKUP(B115,주소록!$A$3:$K$523,6,0)),"",VLOOKUP(B115,주소록!$A$3:$K$523,4,0))</f>
        <v/>
      </c>
      <c r="H115" s="711"/>
      <c r="I115" s="711"/>
      <c r="J115" s="711"/>
      <c r="K115" s="711"/>
      <c r="L115" s="711"/>
      <c r="M115" s="711"/>
      <c r="N115" s="712"/>
      <c r="O115" s="469"/>
      <c r="P115" s="470"/>
      <c r="Q115" s="470"/>
      <c r="R115" s="470"/>
      <c r="S115" s="478"/>
      <c r="T115" s="469"/>
      <c r="U115" s="470"/>
      <c r="V115" s="470"/>
      <c r="W115" s="470"/>
      <c r="X115" s="471"/>
      <c r="Y115" s="472"/>
      <c r="Z115" s="467"/>
      <c r="AA115" s="470"/>
      <c r="AB115" s="470"/>
      <c r="AC115" s="470"/>
      <c r="AD115" s="473"/>
      <c r="AE115" s="762">
        <f>COUNTIF(O115:AD116,"&gt;=0.5")</f>
        <v>0</v>
      </c>
      <c r="AF115" s="763"/>
      <c r="AG115" s="764"/>
      <c r="AH115" s="684">
        <f>AE116*AG115</f>
        <v>0</v>
      </c>
      <c r="AI115" s="685"/>
      <c r="AJ115" s="686"/>
      <c r="AK115" s="755">
        <f>IF(BG116&lt;1000, 0, BG116)</f>
        <v>0</v>
      </c>
      <c r="AL115" s="756"/>
      <c r="AM115" s="757"/>
      <c r="AN115" s="758">
        <f>IF(요율!$H$7="○",IF(AE115&gt;=요율!$D$6,ROUNDDOWN(AH115*요율!$C$4%,-1),0),0)</f>
        <v>0</v>
      </c>
      <c r="AO115" s="756"/>
      <c r="AP115" s="757"/>
      <c r="AQ115" s="758">
        <f>BL115</f>
        <v>0</v>
      </c>
      <c r="AR115" s="756"/>
      <c r="AS115" s="759"/>
      <c r="AT115" s="717">
        <f>SUM(AK115:AS116)</f>
        <v>0</v>
      </c>
      <c r="AU115" s="718"/>
      <c r="AV115" s="719"/>
      <c r="AW115" s="720">
        <f>AH115-AT115-AT116</f>
        <v>0</v>
      </c>
      <c r="AX115" s="721"/>
      <c r="AY115" s="722"/>
      <c r="AZ115" s="766"/>
      <c r="BA115" s="21" t="str">
        <f>IF(ISERROR(VLOOKUP($B115,주소록!$A$3:$K$523,3,0)),"",VLOOKUP($B115,주소록!$A$3:$K$523,2,0))</f>
        <v/>
      </c>
      <c r="BB115" s="6">
        <v>1</v>
      </c>
      <c r="BC115" s="752">
        <f>A115</f>
        <v>55</v>
      </c>
      <c r="BD115" s="754" t="str">
        <f>IF(OR(MID(C115,8,1)&lt;"3",AND(MID(C115,8,1)&gt;="5",MID(C115,8,1)&lt;="6")),TEXT(TEXT(LEFT(C115,6),"1900-00-00"),"yyyy년 m월 d일"),TEXT(TEXT(LEFT(C115,6),"2000-00-00"),"yyyy년 m월 d일"))</f>
        <v/>
      </c>
      <c r="BE115" s="754"/>
      <c r="BF115" s="754"/>
      <c r="BG115" s="768">
        <f>IFERROR(INT( ( TEXT($O$3,"yyyy.mmdd") - TEXT(BD115,"yyyy.mmdd") )  ),0)</f>
        <v>0</v>
      </c>
      <c r="BH115" s="769"/>
      <c r="BI115" s="770"/>
      <c r="BJ115" s="133">
        <f>IF(BG115&gt;59,"60세이상",IF(OR(AE115&lt;요율!$D$6,AH115=0),0,IF(AH115&lt;요율!$C$7,요율!$D$7,IF(AH115&gt;요율!$C$8,요율!$D$8,+TRUNC(AH115*요율!$C$6%,-1)))))</f>
        <v>0</v>
      </c>
      <c r="BK115" s="143">
        <f>IF(BG115&gt;59,"60세이상",IF(OR(AH115&lt;2200000,AH115=0),0,IF(AH115&lt;요율!$C$7,요율!$D$7,IF(AH115&gt;요율!$C$8,요율!$D$8,+TRUNC(AH115*요율!$C$6%,-1)))))</f>
        <v>0</v>
      </c>
      <c r="BL115" s="140">
        <f>IF(BK115&gt;0,BK115,BJ115)</f>
        <v>0</v>
      </c>
      <c r="BM115" s="15">
        <f>ROUNDDOWN(IF($AG115*O115&gt;요율!$E$3,($AG115*O115-요율!$E$3)*요율!$C$3%*요율!$D$3%,0),-1)</f>
        <v>0</v>
      </c>
      <c r="BN115" s="16">
        <f>ROUNDDOWN(IF($AG115*P115&gt;요율!$E$3,($AG115*P115-요율!$E$3)*요율!$C$3%*요율!$D$3%,0),-1)</f>
        <v>0</v>
      </c>
      <c r="BO115" s="16">
        <f>ROUNDDOWN(IF($AG115*Q115&gt;요율!$E$3,($AG115*Q115-요율!$E$3)*요율!$C$3%*요율!$D$3%,0),-1)</f>
        <v>0</v>
      </c>
      <c r="BP115" s="16">
        <f>ROUNDDOWN(IF($AG115*R115&gt;요율!$E$3,($AG115*R115-요율!$E$3)*요율!$C$3%*요율!$D$3%,0),-1)</f>
        <v>0</v>
      </c>
      <c r="BQ115" s="16">
        <f>ROUNDDOWN(IF($AG115*S115&gt;요율!$E$3,($AG115*S115-요율!$E$3)*요율!$C$3%*요율!$D$3%,0),-1)</f>
        <v>0</v>
      </c>
      <c r="BR115" s="16">
        <f>ROUNDDOWN(IF($AG115*T115&gt;요율!$E$3,($AG115*T115-요율!$E$3)*요율!$C$3%*요율!$D$3%,0),-1)</f>
        <v>0</v>
      </c>
      <c r="BS115" s="16">
        <f>ROUNDDOWN(IF($AG115*U115&gt;요율!$E$3,($AG115*U115-요율!$E$3)*요율!$C$3%*요율!$D$3%,0),-1)</f>
        <v>0</v>
      </c>
      <c r="BT115" s="16">
        <f>ROUNDDOWN(IF($AG115*V115&gt;요율!$E$3,($AG115*V115-요율!$E$3)*요율!$C$3%*요율!$D$3%,0),-1)</f>
        <v>0</v>
      </c>
      <c r="BU115" s="16">
        <f>ROUNDDOWN(IF($AG115*W115&gt;요율!$E$3,($AG115*W115-요율!$E$3)*요율!$C$3%*요율!$D$3%,0),-1)</f>
        <v>0</v>
      </c>
      <c r="BV115" s="16">
        <f>ROUNDDOWN(IF($AG115*X115&gt;요율!$E$3,($AG115*X115-요율!$E$3)*요율!$C$3%*요율!$D$3%,0),-1)</f>
        <v>0</v>
      </c>
      <c r="BW115" s="16">
        <f>ROUNDDOWN(IF($AG115*Y115&gt;요율!$E$3,($AG115*Y115-요율!$E$3)*요율!$C$3%*요율!$D$3%,0),-1)</f>
        <v>0</v>
      </c>
      <c r="BX115" s="16">
        <f>ROUNDDOWN(IF($AG115*Z115&gt;요율!$E$3,($AG115*Z115-요율!$E$3)*요율!$C$3%*요율!$D$3%,0),-1)</f>
        <v>0</v>
      </c>
      <c r="BY115" s="16">
        <f>ROUNDDOWN(IF($AG115*AA115&gt;요율!$E$3,($AG115*AA115-요율!$E$3)*요율!$C$3%*요율!$D$3%,0),-1)</f>
        <v>0</v>
      </c>
      <c r="BZ115" s="16">
        <f>ROUNDDOWN(IF($AG115*AB115&gt;요율!$E$3,($AG115*AB115-요율!$E$3)*요율!$C$3%*요율!$D$3%,0),-1)</f>
        <v>0</v>
      </c>
      <c r="CA115" s="16">
        <f>ROUNDDOWN(IF($AG115*AC115&gt;요율!$E$3,($AG115*AC115-요율!$E$3)*요율!$C$3%*요율!$D$3%,0),-1)</f>
        <v>0</v>
      </c>
      <c r="CB115" s="31">
        <f>ROUNDDOWN(IF($AG115*AD115&gt;요율!$E$3,($AG115*AD115-요율!$E$3)*요율!$C$3%*요율!$D$3%,0),-1)</f>
        <v>0</v>
      </c>
      <c r="CD115" s="5" t="str">
        <f>IFERROR(VLOOKUP(B115,주소록,9,FALSE),"")</f>
        <v/>
      </c>
    </row>
    <row r="116" spans="1:82" ht="20.100000000000001" hidden="1" customHeight="1">
      <c r="A116" s="761"/>
      <c r="B116" s="261" t="str">
        <f>BA115</f>
        <v/>
      </c>
      <c r="C116" s="690" t="str">
        <f>IF(ISERROR(VLOOKUP(B115,주소록!$A$3:$K$523,7,0)),"",VLOOKUP(B115,주소록!$A$3:$K$523,5,0))</f>
        <v/>
      </c>
      <c r="D116" s="690"/>
      <c r="E116" s="690"/>
      <c r="F116" s="691"/>
      <c r="G116" s="692" t="str">
        <f>IF(ISERROR(VLOOKUP(B115,주소록!$A$3:$K$523,9,0)),"",VLOOKUP(B115,주소록!$A$3:$K$523,7,0))</f>
        <v/>
      </c>
      <c r="H116" s="693"/>
      <c r="I116" s="694"/>
      <c r="J116" s="692" t="str">
        <f>IF(ISERROR(VLOOKUP(B115,주소록!$A$3:$K$523,10,0)),"",VLOOKUP(B115,주소록!$A$3:$K$523,8,0))</f>
        <v/>
      </c>
      <c r="K116" s="693"/>
      <c r="L116" s="693"/>
      <c r="M116" s="693"/>
      <c r="N116" s="695"/>
      <c r="O116" s="474"/>
      <c r="P116" s="475"/>
      <c r="Q116" s="475"/>
      <c r="R116" s="468"/>
      <c r="S116" s="476"/>
      <c r="T116" s="474"/>
      <c r="U116" s="475"/>
      <c r="V116" s="475"/>
      <c r="W116" s="475"/>
      <c r="X116" s="477"/>
      <c r="Y116" s="479"/>
      <c r="Z116" s="475"/>
      <c r="AA116" s="475"/>
      <c r="AB116" s="475"/>
      <c r="AC116" s="475"/>
      <c r="AD116" s="477"/>
      <c r="AE116" s="696">
        <f>SUM(O115:AD116)</f>
        <v>0</v>
      </c>
      <c r="AF116" s="697"/>
      <c r="AG116" s="765"/>
      <c r="AH116" s="687"/>
      <c r="AI116" s="688"/>
      <c r="AJ116" s="689"/>
      <c r="AK116" s="698">
        <f>IF(C115=0,"",IF(MID(C115,7,1)="5","",IF(MID(C115,7,1)="6","",ROUNDDOWN((AK115*10%),-1))))</f>
        <v>0</v>
      </c>
      <c r="AL116" s="699"/>
      <c r="AM116" s="700"/>
      <c r="AN116" s="701">
        <f>ROUNDDOWN(AN115*요율!$F$5,-1)</f>
        <v>0</v>
      </c>
      <c r="AO116" s="701"/>
      <c r="AP116" s="701"/>
      <c r="AQ116" s="713">
        <f>IF(OR(AND(요율!$H$8="X",요율!$H$9="X",MID(C115,8,1)&gt;="5"),AND(요율!$H$8="○",요율!$H$9="X",MID(C115,8,1)&gt;="5")),"외국인",IF(요율!$H$8="X",IF(C115="",0,IF(OR(MID(C115,8,1)&lt;"3",AND(MID(C115,8,1)&gt;="5",MID(C115,8,1)&lt;="6")),IF(INT(TEXT($O$3,"yyyy.mmdd")-TEXT(TEXT(LEFT(C115,6),"1900-00-00"),"yyyy.mmdd"))&gt;=65,"65세이상",+TRUNC(AH115*요율!$C$9%,-1)),IF(INT(TEXT($O$3,"yyyy.mmdd")-TEXT(TEXT(LEFT(C115,6),"2000-00-00"),"yyyy.mmdd"))&gt;=65,"65세이상",+TRUNC(AH115*요율!$C$9%,-1)))),+TRUNC(AH115*요율!$C$9%,-1)))</f>
        <v>0</v>
      </c>
      <c r="AR116" s="699"/>
      <c r="AS116" s="699"/>
      <c r="AT116" s="714"/>
      <c r="AU116" s="715"/>
      <c r="AV116" s="716"/>
      <c r="AW116" s="723"/>
      <c r="AX116" s="724"/>
      <c r="AY116" s="725"/>
      <c r="AZ116" s="767"/>
      <c r="BA116" s="22" t="str">
        <f>BA115</f>
        <v/>
      </c>
      <c r="BB116" s="6">
        <v>2</v>
      </c>
      <c r="BC116" s="753"/>
      <c r="BD116" s="733">
        <f>B115</f>
        <v>0</v>
      </c>
      <c r="BE116" s="733"/>
      <c r="BF116" s="733"/>
      <c r="BG116" s="734">
        <f>SUM(BM115:CB116)</f>
        <v>0</v>
      </c>
      <c r="BH116" s="735"/>
      <c r="BI116" s="736"/>
      <c r="BJ116" s="144"/>
      <c r="BK116" s="145"/>
      <c r="BL116" s="146"/>
      <c r="BM116" s="17">
        <f>ROUNDDOWN(IF($AG115*O116&gt;요율!$E$3,($AG115*O116-요율!$E$3)*요율!$C$3%*요율!$D$3%,0),-1)</f>
        <v>0</v>
      </c>
      <c r="BN116" s="18">
        <f>ROUNDDOWN(IF($AG115*P116&gt;요율!$E$3,($AG115*P116-요율!$E$3)*요율!$C$3%*요율!$D$3%,0),-1)</f>
        <v>0</v>
      </c>
      <c r="BO116" s="18">
        <f>ROUNDDOWN(IF($AG115*Q116&gt;요율!$E$3,($AG115*Q116-요율!$E$3)*요율!$C$3%*요율!$D$3%,0),-1)</f>
        <v>0</v>
      </c>
      <c r="BP116" s="18">
        <f>ROUNDDOWN(IF($AG115*R116&gt;요율!$E$3,($AG115*R116-요율!$E$3)*요율!$C$3%*요율!$D$3%,0),-1)</f>
        <v>0</v>
      </c>
      <c r="BQ116" s="18">
        <f>ROUNDDOWN(IF($AG115*S116&gt;요율!$E$3,($AG115*S116-요율!$E$3)*요율!$C$3%*요율!$D$3%,0),-1)</f>
        <v>0</v>
      </c>
      <c r="BR116" s="18">
        <f>ROUNDDOWN(IF($AG115*T116&gt;요율!$E$3,($AG115*T116-요율!$E$3)*요율!$C$3%*요율!$D$3%,0),-1)</f>
        <v>0</v>
      </c>
      <c r="BS116" s="18">
        <f>ROUNDDOWN(IF($AG115*U116&gt;요율!$E$3,($AG115*U116-요율!$E$3)*요율!$C$3%*요율!$D$3%,0),-1)</f>
        <v>0</v>
      </c>
      <c r="BT116" s="18">
        <f>ROUNDDOWN(IF($AG115*V116&gt;요율!$E$3,($AG115*V116-요율!$E$3)*요율!$C$3%*요율!$D$3%,0),-1)</f>
        <v>0</v>
      </c>
      <c r="BU116" s="18">
        <f>ROUNDDOWN(IF($AG115*W116&gt;요율!$E$3,($AG115*W116-요율!$E$3)*요율!$C$3%*요율!$D$3%,0),-1)</f>
        <v>0</v>
      </c>
      <c r="BV116" s="18">
        <f>ROUNDDOWN(IF($AG115*X116&gt;요율!$E$3,($AG115*X116-요율!$E$3)*요율!$C$3%*요율!$D$3%,0),-1)</f>
        <v>0</v>
      </c>
      <c r="BW116" s="18">
        <f>ROUNDDOWN(IF($AG115*Y116&gt;요율!$E$3,($AG115*Y116-요율!$E$3)*요율!$C$3%*요율!$D$3%,0),-1)</f>
        <v>0</v>
      </c>
      <c r="BX116" s="18">
        <f>ROUNDDOWN(IF($AG115*Z116&gt;요율!$E$3,($AG115*Z116-요율!$E$3)*요율!$C$3%*요율!$D$3%,0),-1)</f>
        <v>0</v>
      </c>
      <c r="BY116" s="18">
        <f>ROUNDDOWN(IF($AG115*AA116&gt;요율!$E$3,($AG115*AA116-요율!$E$3)*요율!$C$3%*요율!$D$3%,0),-1)</f>
        <v>0</v>
      </c>
      <c r="BZ116" s="18">
        <f>ROUNDDOWN(IF($AG115*AB116&gt;요율!$E$3,($AG115*AB116-요율!$E$3)*요율!$C$3%*요율!$D$3%,0),-1)</f>
        <v>0</v>
      </c>
      <c r="CA116" s="18">
        <f>ROUNDDOWN(IF($AG115*AC116&gt;요율!$E$3,($AG115*AC116-요율!$E$3)*요율!$C$3%*요율!$D$3%,0),-1)</f>
        <v>0</v>
      </c>
      <c r="CB116" s="19">
        <f>ROUNDDOWN(IF($AG115*AD116&gt;요율!$E$3,($AG115*AD116-요율!$E$3)*요율!$C$3%*요율!$D$3%,0),-1)</f>
        <v>0</v>
      </c>
    </row>
    <row r="117" spans="1:82" ht="20.100000000000001" hidden="1" customHeight="1">
      <c r="A117" s="760">
        <f t="shared" si="2"/>
        <v>56</v>
      </c>
      <c r="B117" s="260"/>
      <c r="C117" s="708" t="str">
        <f>IF(ISERROR(VLOOKUP(B117,주소록!$A$3:$K$523,5,0)),"",VLOOKUP(B117,주소록!$A$3:$K$523,3,0))</f>
        <v/>
      </c>
      <c r="D117" s="708"/>
      <c r="E117" s="708"/>
      <c r="F117" s="709"/>
      <c r="G117" s="710" t="str">
        <f>IF(ISERROR(VLOOKUP(B117,주소록!$A$3:$K$523,6,0)),"",VLOOKUP(B117,주소록!$A$3:$K$523,4,0))</f>
        <v/>
      </c>
      <c r="H117" s="711"/>
      <c r="I117" s="711"/>
      <c r="J117" s="711"/>
      <c r="K117" s="711"/>
      <c r="L117" s="711"/>
      <c r="M117" s="711"/>
      <c r="N117" s="712"/>
      <c r="O117" s="469"/>
      <c r="P117" s="470"/>
      <c r="Q117" s="470"/>
      <c r="R117" s="470"/>
      <c r="S117" s="478"/>
      <c r="T117" s="469"/>
      <c r="U117" s="470"/>
      <c r="V117" s="470"/>
      <c r="W117" s="470"/>
      <c r="X117" s="471"/>
      <c r="Y117" s="472"/>
      <c r="Z117" s="467"/>
      <c r="AA117" s="470"/>
      <c r="AB117" s="470"/>
      <c r="AC117" s="470"/>
      <c r="AD117" s="473"/>
      <c r="AE117" s="762">
        <f>COUNTIF(O117:AD118,"&gt;=0.5")</f>
        <v>0</v>
      </c>
      <c r="AF117" s="763"/>
      <c r="AG117" s="764"/>
      <c r="AH117" s="684">
        <f>AE118*AG117</f>
        <v>0</v>
      </c>
      <c r="AI117" s="685"/>
      <c r="AJ117" s="686"/>
      <c r="AK117" s="755">
        <f>IF(BG118&lt;1000, 0, BG118)</f>
        <v>0</v>
      </c>
      <c r="AL117" s="756"/>
      <c r="AM117" s="757"/>
      <c r="AN117" s="758">
        <f>IF(요율!$H$7="○",IF(AE117&gt;=요율!$D$6,ROUNDDOWN(AH117*요율!$C$4%,-1),0),0)</f>
        <v>0</v>
      </c>
      <c r="AO117" s="756"/>
      <c r="AP117" s="757"/>
      <c r="AQ117" s="758">
        <f>BL117</f>
        <v>0</v>
      </c>
      <c r="AR117" s="756"/>
      <c r="AS117" s="759"/>
      <c r="AT117" s="717">
        <f>SUM(AK117:AS118)</f>
        <v>0</v>
      </c>
      <c r="AU117" s="718"/>
      <c r="AV117" s="719"/>
      <c r="AW117" s="720">
        <f>AH117-AT117-AT118</f>
        <v>0</v>
      </c>
      <c r="AX117" s="721"/>
      <c r="AY117" s="722"/>
      <c r="AZ117" s="766"/>
      <c r="BA117" s="21" t="str">
        <f>IF(ISERROR(VLOOKUP($B117,주소록!$A$3:$K$523,3,0)),"",VLOOKUP($B117,주소록!$A$3:$K$523,2,0))</f>
        <v/>
      </c>
      <c r="BB117" s="6">
        <v>1</v>
      </c>
      <c r="BC117" s="752">
        <f>A117</f>
        <v>56</v>
      </c>
      <c r="BD117" s="754" t="str">
        <f>IF(OR(MID(C117,8,1)&lt;"3",AND(MID(C117,8,1)&gt;="5",MID(C117,8,1)&lt;="6")),TEXT(TEXT(LEFT(C117,6),"1900-00-00"),"yyyy년 m월 d일"),TEXT(TEXT(LEFT(C117,6),"2000-00-00"),"yyyy년 m월 d일"))</f>
        <v/>
      </c>
      <c r="BE117" s="754"/>
      <c r="BF117" s="754"/>
      <c r="BG117" s="768">
        <f>IFERROR(INT( ( TEXT($O$3,"yyyy.mmdd") - TEXT(BD117,"yyyy.mmdd") )  ),0)</f>
        <v>0</v>
      </c>
      <c r="BH117" s="769"/>
      <c r="BI117" s="770"/>
      <c r="BJ117" s="133">
        <f>IF(BG117&gt;59,"60세이상",IF(OR(AE117&lt;요율!$D$6,AH117=0),0,IF(AH117&lt;요율!$C$7,요율!$D$7,IF(AH117&gt;요율!$C$8,요율!$D$8,+TRUNC(AH117*요율!$C$6%,-1)))))</f>
        <v>0</v>
      </c>
      <c r="BK117" s="143">
        <f>IF(BG117&gt;59,"60세이상",IF(OR(AH117&lt;2200000,AH117=0),0,IF(AH117&lt;요율!$C$7,요율!$D$7,IF(AH117&gt;요율!$C$8,요율!$D$8,+TRUNC(AH117*요율!$C$6%,-1)))))</f>
        <v>0</v>
      </c>
      <c r="BL117" s="140">
        <f>IF(BK117&gt;0,BK117,BJ117)</f>
        <v>0</v>
      </c>
      <c r="BM117" s="15">
        <f>ROUNDDOWN(IF($AG117*O117&gt;요율!$E$3,($AG117*O117-요율!$E$3)*요율!$C$3%*요율!$D$3%,0),-1)</f>
        <v>0</v>
      </c>
      <c r="BN117" s="16">
        <f>ROUNDDOWN(IF($AG117*P117&gt;요율!$E$3,($AG117*P117-요율!$E$3)*요율!$C$3%*요율!$D$3%,0),-1)</f>
        <v>0</v>
      </c>
      <c r="BO117" s="16">
        <f>ROUNDDOWN(IF($AG117*Q117&gt;요율!$E$3,($AG117*Q117-요율!$E$3)*요율!$C$3%*요율!$D$3%,0),-1)</f>
        <v>0</v>
      </c>
      <c r="BP117" s="16">
        <f>ROUNDDOWN(IF($AG117*R117&gt;요율!$E$3,($AG117*R117-요율!$E$3)*요율!$C$3%*요율!$D$3%,0),-1)</f>
        <v>0</v>
      </c>
      <c r="BQ117" s="16">
        <f>ROUNDDOWN(IF($AG117*S117&gt;요율!$E$3,($AG117*S117-요율!$E$3)*요율!$C$3%*요율!$D$3%,0),-1)</f>
        <v>0</v>
      </c>
      <c r="BR117" s="16">
        <f>ROUNDDOWN(IF($AG117*T117&gt;요율!$E$3,($AG117*T117-요율!$E$3)*요율!$C$3%*요율!$D$3%,0),-1)</f>
        <v>0</v>
      </c>
      <c r="BS117" s="16">
        <f>ROUNDDOWN(IF($AG117*U117&gt;요율!$E$3,($AG117*U117-요율!$E$3)*요율!$C$3%*요율!$D$3%,0),-1)</f>
        <v>0</v>
      </c>
      <c r="BT117" s="16">
        <f>ROUNDDOWN(IF($AG117*V117&gt;요율!$E$3,($AG117*V117-요율!$E$3)*요율!$C$3%*요율!$D$3%,0),-1)</f>
        <v>0</v>
      </c>
      <c r="BU117" s="16">
        <f>ROUNDDOWN(IF($AG117*W117&gt;요율!$E$3,($AG117*W117-요율!$E$3)*요율!$C$3%*요율!$D$3%,0),-1)</f>
        <v>0</v>
      </c>
      <c r="BV117" s="16">
        <f>ROUNDDOWN(IF($AG117*X117&gt;요율!$E$3,($AG117*X117-요율!$E$3)*요율!$C$3%*요율!$D$3%,0),-1)</f>
        <v>0</v>
      </c>
      <c r="BW117" s="16">
        <f>ROUNDDOWN(IF($AG117*Y117&gt;요율!$E$3,($AG117*Y117-요율!$E$3)*요율!$C$3%*요율!$D$3%,0),-1)</f>
        <v>0</v>
      </c>
      <c r="BX117" s="16">
        <f>ROUNDDOWN(IF($AG117*Z117&gt;요율!$E$3,($AG117*Z117-요율!$E$3)*요율!$C$3%*요율!$D$3%,0),-1)</f>
        <v>0</v>
      </c>
      <c r="BY117" s="16">
        <f>ROUNDDOWN(IF($AG117*AA117&gt;요율!$E$3,($AG117*AA117-요율!$E$3)*요율!$C$3%*요율!$D$3%,0),-1)</f>
        <v>0</v>
      </c>
      <c r="BZ117" s="16">
        <f>ROUNDDOWN(IF($AG117*AB117&gt;요율!$E$3,($AG117*AB117-요율!$E$3)*요율!$C$3%*요율!$D$3%,0),-1)</f>
        <v>0</v>
      </c>
      <c r="CA117" s="16">
        <f>ROUNDDOWN(IF($AG117*AC117&gt;요율!$E$3,($AG117*AC117-요율!$E$3)*요율!$C$3%*요율!$D$3%,0),-1)</f>
        <v>0</v>
      </c>
      <c r="CB117" s="31">
        <f>ROUNDDOWN(IF($AG117*AD117&gt;요율!$E$3,($AG117*AD117-요율!$E$3)*요율!$C$3%*요율!$D$3%,0),-1)</f>
        <v>0</v>
      </c>
      <c r="CD117" s="5" t="str">
        <f>IFERROR(VLOOKUP(B117,주소록,9,FALSE),"")</f>
        <v/>
      </c>
    </row>
    <row r="118" spans="1:82" ht="20.100000000000001" hidden="1" customHeight="1">
      <c r="A118" s="761"/>
      <c r="B118" s="261" t="str">
        <f>BA117</f>
        <v/>
      </c>
      <c r="C118" s="690" t="str">
        <f>IF(ISERROR(VLOOKUP(B117,주소록!$A$3:$K$523,7,0)),"",VLOOKUP(B117,주소록!$A$3:$K$523,5,0))</f>
        <v/>
      </c>
      <c r="D118" s="690"/>
      <c r="E118" s="690"/>
      <c r="F118" s="691"/>
      <c r="G118" s="692" t="str">
        <f>IF(ISERROR(VLOOKUP(B117,주소록!$A$3:$K$523,9,0)),"",VLOOKUP(B117,주소록!$A$3:$K$523,7,0))</f>
        <v/>
      </c>
      <c r="H118" s="693"/>
      <c r="I118" s="694"/>
      <c r="J118" s="692" t="str">
        <f>IF(ISERROR(VLOOKUP(B117,주소록!$A$3:$K$523,10,0)),"",VLOOKUP(B117,주소록!$A$3:$K$523,8,0))</f>
        <v/>
      </c>
      <c r="K118" s="693"/>
      <c r="L118" s="693"/>
      <c r="M118" s="693"/>
      <c r="N118" s="695"/>
      <c r="O118" s="474"/>
      <c r="P118" s="475"/>
      <c r="Q118" s="475"/>
      <c r="R118" s="468"/>
      <c r="S118" s="476"/>
      <c r="T118" s="474"/>
      <c r="U118" s="475"/>
      <c r="V118" s="475"/>
      <c r="W118" s="475"/>
      <c r="X118" s="477"/>
      <c r="Y118" s="479"/>
      <c r="Z118" s="475"/>
      <c r="AA118" s="475"/>
      <c r="AB118" s="475"/>
      <c r="AC118" s="475"/>
      <c r="AD118" s="477"/>
      <c r="AE118" s="696">
        <f>SUM(O117:AD118)</f>
        <v>0</v>
      </c>
      <c r="AF118" s="697"/>
      <c r="AG118" s="765"/>
      <c r="AH118" s="687"/>
      <c r="AI118" s="688"/>
      <c r="AJ118" s="689"/>
      <c r="AK118" s="698">
        <f>IF(C117=0,"",IF(MID(C117,7,1)="5","",IF(MID(C117,7,1)="6","",ROUNDDOWN((AK117*10%),-1))))</f>
        <v>0</v>
      </c>
      <c r="AL118" s="699"/>
      <c r="AM118" s="700"/>
      <c r="AN118" s="701">
        <f>ROUNDDOWN(AN117*요율!$F$5,-1)</f>
        <v>0</v>
      </c>
      <c r="AO118" s="701"/>
      <c r="AP118" s="701"/>
      <c r="AQ118" s="713">
        <f>IF(OR(AND(요율!$H$8="X",요율!$H$9="X",MID(C117,8,1)&gt;="5"),AND(요율!$H$8="○",요율!$H$9="X",MID(C117,8,1)&gt;="5")),"외국인",IF(요율!$H$8="X",IF(C117="",0,IF(OR(MID(C117,8,1)&lt;"3",AND(MID(C117,8,1)&gt;="5",MID(C117,8,1)&lt;="6")),IF(INT(TEXT($O$3,"yyyy.mmdd")-TEXT(TEXT(LEFT(C117,6),"1900-00-00"),"yyyy.mmdd"))&gt;=65,"65세이상",+TRUNC(AH117*요율!$C$9%,-1)),IF(INT(TEXT($O$3,"yyyy.mmdd")-TEXT(TEXT(LEFT(C117,6),"2000-00-00"),"yyyy.mmdd"))&gt;=65,"65세이상",+TRUNC(AH117*요율!$C$9%,-1)))),+TRUNC(AH117*요율!$C$9%,-1)))</f>
        <v>0</v>
      </c>
      <c r="AR118" s="699"/>
      <c r="AS118" s="699"/>
      <c r="AT118" s="714"/>
      <c r="AU118" s="715"/>
      <c r="AV118" s="716"/>
      <c r="AW118" s="723"/>
      <c r="AX118" s="724"/>
      <c r="AY118" s="725"/>
      <c r="AZ118" s="767"/>
      <c r="BA118" s="22" t="str">
        <f>BA117</f>
        <v/>
      </c>
      <c r="BB118" s="6">
        <v>2</v>
      </c>
      <c r="BC118" s="753"/>
      <c r="BD118" s="733">
        <f>B117</f>
        <v>0</v>
      </c>
      <c r="BE118" s="733"/>
      <c r="BF118" s="733"/>
      <c r="BG118" s="734">
        <f>SUM(BM117:CB118)</f>
        <v>0</v>
      </c>
      <c r="BH118" s="735"/>
      <c r="BI118" s="736"/>
      <c r="BJ118" s="144"/>
      <c r="BK118" s="145"/>
      <c r="BL118" s="146"/>
      <c r="BM118" s="17">
        <f>ROUNDDOWN(IF($AG117*O118&gt;요율!$E$3,($AG117*O118-요율!$E$3)*요율!$C$3%*요율!$D$3%,0),-1)</f>
        <v>0</v>
      </c>
      <c r="BN118" s="18">
        <f>ROUNDDOWN(IF($AG117*P118&gt;요율!$E$3,($AG117*P118-요율!$E$3)*요율!$C$3%*요율!$D$3%,0),-1)</f>
        <v>0</v>
      </c>
      <c r="BO118" s="18">
        <f>ROUNDDOWN(IF($AG117*Q118&gt;요율!$E$3,($AG117*Q118-요율!$E$3)*요율!$C$3%*요율!$D$3%,0),-1)</f>
        <v>0</v>
      </c>
      <c r="BP118" s="18">
        <f>ROUNDDOWN(IF($AG117*R118&gt;요율!$E$3,($AG117*R118-요율!$E$3)*요율!$C$3%*요율!$D$3%,0),-1)</f>
        <v>0</v>
      </c>
      <c r="BQ118" s="18">
        <f>ROUNDDOWN(IF($AG117*S118&gt;요율!$E$3,($AG117*S118-요율!$E$3)*요율!$C$3%*요율!$D$3%,0),-1)</f>
        <v>0</v>
      </c>
      <c r="BR118" s="18">
        <f>ROUNDDOWN(IF($AG117*T118&gt;요율!$E$3,($AG117*T118-요율!$E$3)*요율!$C$3%*요율!$D$3%,0),-1)</f>
        <v>0</v>
      </c>
      <c r="BS118" s="18">
        <f>ROUNDDOWN(IF($AG117*U118&gt;요율!$E$3,($AG117*U118-요율!$E$3)*요율!$C$3%*요율!$D$3%,0),-1)</f>
        <v>0</v>
      </c>
      <c r="BT118" s="18">
        <f>ROUNDDOWN(IF($AG117*V118&gt;요율!$E$3,($AG117*V118-요율!$E$3)*요율!$C$3%*요율!$D$3%,0),-1)</f>
        <v>0</v>
      </c>
      <c r="BU118" s="18">
        <f>ROUNDDOWN(IF($AG117*W118&gt;요율!$E$3,($AG117*W118-요율!$E$3)*요율!$C$3%*요율!$D$3%,0),-1)</f>
        <v>0</v>
      </c>
      <c r="BV118" s="18">
        <f>ROUNDDOWN(IF($AG117*X118&gt;요율!$E$3,($AG117*X118-요율!$E$3)*요율!$C$3%*요율!$D$3%,0),-1)</f>
        <v>0</v>
      </c>
      <c r="BW118" s="18">
        <f>ROUNDDOWN(IF($AG117*Y118&gt;요율!$E$3,($AG117*Y118-요율!$E$3)*요율!$C$3%*요율!$D$3%,0),-1)</f>
        <v>0</v>
      </c>
      <c r="BX118" s="18">
        <f>ROUNDDOWN(IF($AG117*Z118&gt;요율!$E$3,($AG117*Z118-요율!$E$3)*요율!$C$3%*요율!$D$3%,0),-1)</f>
        <v>0</v>
      </c>
      <c r="BY118" s="18">
        <f>ROUNDDOWN(IF($AG117*AA118&gt;요율!$E$3,($AG117*AA118-요율!$E$3)*요율!$C$3%*요율!$D$3%,0),-1)</f>
        <v>0</v>
      </c>
      <c r="BZ118" s="18">
        <f>ROUNDDOWN(IF($AG117*AB118&gt;요율!$E$3,($AG117*AB118-요율!$E$3)*요율!$C$3%*요율!$D$3%,0),-1)</f>
        <v>0</v>
      </c>
      <c r="CA118" s="18">
        <f>ROUNDDOWN(IF($AG117*AC118&gt;요율!$E$3,($AG117*AC118-요율!$E$3)*요율!$C$3%*요율!$D$3%,0),-1)</f>
        <v>0</v>
      </c>
      <c r="CB118" s="19">
        <f>ROUNDDOWN(IF($AG117*AD118&gt;요율!$E$3,($AG117*AD118-요율!$E$3)*요율!$C$3%*요율!$D$3%,0),-1)</f>
        <v>0</v>
      </c>
    </row>
    <row r="119" spans="1:82" ht="20.100000000000001" hidden="1" customHeight="1">
      <c r="A119" s="760">
        <f t="shared" si="2"/>
        <v>57</v>
      </c>
      <c r="B119" s="260"/>
      <c r="C119" s="708" t="str">
        <f>IF(ISERROR(VLOOKUP(B119,주소록!$A$3:$K$523,5,0)),"",VLOOKUP(B119,주소록!$A$3:$K$523,3,0))</f>
        <v/>
      </c>
      <c r="D119" s="708"/>
      <c r="E119" s="708"/>
      <c r="F119" s="709"/>
      <c r="G119" s="710" t="str">
        <f>IF(ISERROR(VLOOKUP(B119,주소록!$A$3:$K$523,6,0)),"",VLOOKUP(B119,주소록!$A$3:$K$523,4,0))</f>
        <v/>
      </c>
      <c r="H119" s="711"/>
      <c r="I119" s="711"/>
      <c r="J119" s="711"/>
      <c r="K119" s="711"/>
      <c r="L119" s="711"/>
      <c r="M119" s="711"/>
      <c r="N119" s="712"/>
      <c r="O119" s="469"/>
      <c r="P119" s="470"/>
      <c r="Q119" s="470"/>
      <c r="R119" s="470"/>
      <c r="S119" s="478"/>
      <c r="T119" s="469"/>
      <c r="U119" s="470"/>
      <c r="V119" s="470"/>
      <c r="W119" s="470"/>
      <c r="X119" s="471"/>
      <c r="Y119" s="472"/>
      <c r="Z119" s="467"/>
      <c r="AA119" s="470"/>
      <c r="AB119" s="470"/>
      <c r="AC119" s="470"/>
      <c r="AD119" s="473"/>
      <c r="AE119" s="762">
        <f>COUNTIF(O119:AD120,"&gt;=0.5")</f>
        <v>0</v>
      </c>
      <c r="AF119" s="763"/>
      <c r="AG119" s="764"/>
      <c r="AH119" s="684">
        <f>AE120*AG119</f>
        <v>0</v>
      </c>
      <c r="AI119" s="685"/>
      <c r="AJ119" s="686"/>
      <c r="AK119" s="755">
        <f>IF(BG120&lt;1000, 0, BG120)</f>
        <v>0</v>
      </c>
      <c r="AL119" s="756"/>
      <c r="AM119" s="757"/>
      <c r="AN119" s="758">
        <f>IF(요율!$H$7="○",IF(AE119&gt;=요율!$D$6,ROUNDDOWN(AH119*요율!$C$4%,-1),0),0)</f>
        <v>0</v>
      </c>
      <c r="AO119" s="756"/>
      <c r="AP119" s="757"/>
      <c r="AQ119" s="758">
        <f>BL119</f>
        <v>0</v>
      </c>
      <c r="AR119" s="756"/>
      <c r="AS119" s="759"/>
      <c r="AT119" s="717">
        <f>SUM(AK119:AS120)</f>
        <v>0</v>
      </c>
      <c r="AU119" s="718"/>
      <c r="AV119" s="719"/>
      <c r="AW119" s="720">
        <f>AH119-AT119-AT120</f>
        <v>0</v>
      </c>
      <c r="AX119" s="721"/>
      <c r="AY119" s="722"/>
      <c r="AZ119" s="766"/>
      <c r="BA119" s="21" t="str">
        <f>IF(ISERROR(VLOOKUP($B119,주소록!$A$3:$K$523,3,0)),"",VLOOKUP($B119,주소록!$A$3:$K$523,2,0))</f>
        <v/>
      </c>
      <c r="BB119" s="6">
        <v>1</v>
      </c>
      <c r="BC119" s="752">
        <f>A119</f>
        <v>57</v>
      </c>
      <c r="BD119" s="754" t="str">
        <f>IF(OR(MID(C119,8,1)&lt;"3",AND(MID(C119,8,1)&gt;="5",MID(C119,8,1)&lt;="6")),TEXT(TEXT(LEFT(C119,6),"1900-00-00"),"yyyy년 m월 d일"),TEXT(TEXT(LEFT(C119,6),"2000-00-00"),"yyyy년 m월 d일"))</f>
        <v/>
      </c>
      <c r="BE119" s="754"/>
      <c r="BF119" s="754"/>
      <c r="BG119" s="768">
        <f>IFERROR(INT( ( TEXT($O$3,"yyyy.mmdd") - TEXT(BD119,"yyyy.mmdd") )  ),0)</f>
        <v>0</v>
      </c>
      <c r="BH119" s="769"/>
      <c r="BI119" s="770"/>
      <c r="BJ119" s="133">
        <f>IF(BG119&gt;59,"60세이상",IF(OR(AE119&lt;요율!$D$6,AH119=0),0,IF(AH119&lt;요율!$C$7,요율!$D$7,IF(AH119&gt;요율!$C$8,요율!$D$8,+TRUNC(AH119*요율!$C$6%,-1)))))</f>
        <v>0</v>
      </c>
      <c r="BK119" s="143">
        <f>IF(BG119&gt;59,"60세이상",IF(OR(AH119&lt;2200000,AH119=0),0,IF(AH119&lt;요율!$C$7,요율!$D$7,IF(AH119&gt;요율!$C$8,요율!$D$8,+TRUNC(AH119*요율!$C$6%,-1)))))</f>
        <v>0</v>
      </c>
      <c r="BL119" s="140">
        <f>IF(BK119&gt;0,BK119,BJ119)</f>
        <v>0</v>
      </c>
      <c r="BM119" s="15">
        <f>ROUNDDOWN(IF($AG119*O119&gt;요율!$E$3,($AG119*O119-요율!$E$3)*요율!$C$3%*요율!$D$3%,0),-1)</f>
        <v>0</v>
      </c>
      <c r="BN119" s="16">
        <f>ROUNDDOWN(IF($AG119*P119&gt;요율!$E$3,($AG119*P119-요율!$E$3)*요율!$C$3%*요율!$D$3%,0),-1)</f>
        <v>0</v>
      </c>
      <c r="BO119" s="16">
        <f>ROUNDDOWN(IF($AG119*Q119&gt;요율!$E$3,($AG119*Q119-요율!$E$3)*요율!$C$3%*요율!$D$3%,0),-1)</f>
        <v>0</v>
      </c>
      <c r="BP119" s="16">
        <f>ROUNDDOWN(IF($AG119*R119&gt;요율!$E$3,($AG119*R119-요율!$E$3)*요율!$C$3%*요율!$D$3%,0),-1)</f>
        <v>0</v>
      </c>
      <c r="BQ119" s="16">
        <f>ROUNDDOWN(IF($AG119*S119&gt;요율!$E$3,($AG119*S119-요율!$E$3)*요율!$C$3%*요율!$D$3%,0),-1)</f>
        <v>0</v>
      </c>
      <c r="BR119" s="16">
        <f>ROUNDDOWN(IF($AG119*T119&gt;요율!$E$3,($AG119*T119-요율!$E$3)*요율!$C$3%*요율!$D$3%,0),-1)</f>
        <v>0</v>
      </c>
      <c r="BS119" s="16">
        <f>ROUNDDOWN(IF($AG119*U119&gt;요율!$E$3,($AG119*U119-요율!$E$3)*요율!$C$3%*요율!$D$3%,0),-1)</f>
        <v>0</v>
      </c>
      <c r="BT119" s="16">
        <f>ROUNDDOWN(IF($AG119*V119&gt;요율!$E$3,($AG119*V119-요율!$E$3)*요율!$C$3%*요율!$D$3%,0),-1)</f>
        <v>0</v>
      </c>
      <c r="BU119" s="16">
        <f>ROUNDDOWN(IF($AG119*W119&gt;요율!$E$3,($AG119*W119-요율!$E$3)*요율!$C$3%*요율!$D$3%,0),-1)</f>
        <v>0</v>
      </c>
      <c r="BV119" s="16">
        <f>ROUNDDOWN(IF($AG119*X119&gt;요율!$E$3,($AG119*X119-요율!$E$3)*요율!$C$3%*요율!$D$3%,0),-1)</f>
        <v>0</v>
      </c>
      <c r="BW119" s="16">
        <f>ROUNDDOWN(IF($AG119*Y119&gt;요율!$E$3,($AG119*Y119-요율!$E$3)*요율!$C$3%*요율!$D$3%,0),-1)</f>
        <v>0</v>
      </c>
      <c r="BX119" s="16">
        <f>ROUNDDOWN(IF($AG119*Z119&gt;요율!$E$3,($AG119*Z119-요율!$E$3)*요율!$C$3%*요율!$D$3%,0),-1)</f>
        <v>0</v>
      </c>
      <c r="BY119" s="16">
        <f>ROUNDDOWN(IF($AG119*AA119&gt;요율!$E$3,($AG119*AA119-요율!$E$3)*요율!$C$3%*요율!$D$3%,0),-1)</f>
        <v>0</v>
      </c>
      <c r="BZ119" s="16">
        <f>ROUNDDOWN(IF($AG119*AB119&gt;요율!$E$3,($AG119*AB119-요율!$E$3)*요율!$C$3%*요율!$D$3%,0),-1)</f>
        <v>0</v>
      </c>
      <c r="CA119" s="16">
        <f>ROUNDDOWN(IF($AG119*AC119&gt;요율!$E$3,($AG119*AC119-요율!$E$3)*요율!$C$3%*요율!$D$3%,0),-1)</f>
        <v>0</v>
      </c>
      <c r="CB119" s="31">
        <f>ROUNDDOWN(IF($AG119*AD119&gt;요율!$E$3,($AG119*AD119-요율!$E$3)*요율!$C$3%*요율!$D$3%,0),-1)</f>
        <v>0</v>
      </c>
      <c r="CD119" s="5" t="str">
        <f>IFERROR(VLOOKUP(B119,주소록,9,FALSE),"")</f>
        <v/>
      </c>
    </row>
    <row r="120" spans="1:82" ht="20.100000000000001" hidden="1" customHeight="1">
      <c r="A120" s="761"/>
      <c r="B120" s="261" t="str">
        <f>BA119</f>
        <v/>
      </c>
      <c r="C120" s="690" t="str">
        <f>IF(ISERROR(VLOOKUP(B119,주소록!$A$3:$K$523,7,0)),"",VLOOKUP(B119,주소록!$A$3:$K$523,5,0))</f>
        <v/>
      </c>
      <c r="D120" s="690"/>
      <c r="E120" s="690"/>
      <c r="F120" s="691"/>
      <c r="G120" s="692" t="str">
        <f>IF(ISERROR(VLOOKUP(B119,주소록!$A$3:$K$523,9,0)),"",VLOOKUP(B119,주소록!$A$3:$K$523,7,0))</f>
        <v/>
      </c>
      <c r="H120" s="693"/>
      <c r="I120" s="694"/>
      <c r="J120" s="692" t="str">
        <f>IF(ISERROR(VLOOKUP(B119,주소록!$A$3:$K$523,10,0)),"",VLOOKUP(B119,주소록!$A$3:$K$523,8,0))</f>
        <v/>
      </c>
      <c r="K120" s="693"/>
      <c r="L120" s="693"/>
      <c r="M120" s="693"/>
      <c r="N120" s="695"/>
      <c r="O120" s="474"/>
      <c r="P120" s="475"/>
      <c r="Q120" s="475"/>
      <c r="R120" s="468"/>
      <c r="S120" s="476"/>
      <c r="T120" s="474"/>
      <c r="U120" s="475"/>
      <c r="V120" s="475"/>
      <c r="W120" s="475"/>
      <c r="X120" s="477"/>
      <c r="Y120" s="479"/>
      <c r="Z120" s="475"/>
      <c r="AA120" s="475"/>
      <c r="AB120" s="475"/>
      <c r="AC120" s="475"/>
      <c r="AD120" s="477"/>
      <c r="AE120" s="696">
        <f>SUM(O119:AD120)</f>
        <v>0</v>
      </c>
      <c r="AF120" s="697"/>
      <c r="AG120" s="765"/>
      <c r="AH120" s="687"/>
      <c r="AI120" s="688"/>
      <c r="AJ120" s="689"/>
      <c r="AK120" s="698">
        <f>IF(C119=0,"",IF(MID(C119,7,1)="5","",IF(MID(C119,7,1)="6","",ROUNDDOWN((AK119*10%),-1))))</f>
        <v>0</v>
      </c>
      <c r="AL120" s="699"/>
      <c r="AM120" s="700"/>
      <c r="AN120" s="701">
        <f>ROUNDDOWN(AN119*요율!$F$5,-1)</f>
        <v>0</v>
      </c>
      <c r="AO120" s="701"/>
      <c r="AP120" s="701"/>
      <c r="AQ120" s="713">
        <f>IF(OR(AND(요율!$H$8="X",요율!$H$9="X",MID(C119,8,1)&gt;="5"),AND(요율!$H$8="○",요율!$H$9="X",MID(C119,8,1)&gt;="5")),"외국인",IF(요율!$H$8="X",IF(C119="",0,IF(OR(MID(C119,8,1)&lt;"3",AND(MID(C119,8,1)&gt;="5",MID(C119,8,1)&lt;="6")),IF(INT(TEXT($O$3,"yyyy.mmdd")-TEXT(TEXT(LEFT(C119,6),"1900-00-00"),"yyyy.mmdd"))&gt;=65,"65세이상",+TRUNC(AH119*요율!$C$9%,-1)),IF(INT(TEXT($O$3,"yyyy.mmdd")-TEXT(TEXT(LEFT(C119,6),"2000-00-00"),"yyyy.mmdd"))&gt;=65,"65세이상",+TRUNC(AH119*요율!$C$9%,-1)))),+TRUNC(AH119*요율!$C$9%,-1)))</f>
        <v>0</v>
      </c>
      <c r="AR120" s="699"/>
      <c r="AS120" s="699"/>
      <c r="AT120" s="714"/>
      <c r="AU120" s="715"/>
      <c r="AV120" s="716"/>
      <c r="AW120" s="723"/>
      <c r="AX120" s="724"/>
      <c r="AY120" s="725"/>
      <c r="AZ120" s="767"/>
      <c r="BA120" s="22" t="str">
        <f>BA119</f>
        <v/>
      </c>
      <c r="BB120" s="6">
        <v>2</v>
      </c>
      <c r="BC120" s="753"/>
      <c r="BD120" s="733">
        <f>B119</f>
        <v>0</v>
      </c>
      <c r="BE120" s="733"/>
      <c r="BF120" s="733"/>
      <c r="BG120" s="734">
        <f>SUM(BM119:CB120)</f>
        <v>0</v>
      </c>
      <c r="BH120" s="735"/>
      <c r="BI120" s="736"/>
      <c r="BJ120" s="144"/>
      <c r="BK120" s="145"/>
      <c r="BL120" s="146"/>
      <c r="BM120" s="17">
        <f>ROUNDDOWN(IF($AG119*O120&gt;요율!$E$3,($AG119*O120-요율!$E$3)*요율!$C$3%*요율!$D$3%,0),-1)</f>
        <v>0</v>
      </c>
      <c r="BN120" s="18">
        <f>ROUNDDOWN(IF($AG119*P120&gt;요율!$E$3,($AG119*P120-요율!$E$3)*요율!$C$3%*요율!$D$3%,0),-1)</f>
        <v>0</v>
      </c>
      <c r="BO120" s="18">
        <f>ROUNDDOWN(IF($AG119*Q120&gt;요율!$E$3,($AG119*Q120-요율!$E$3)*요율!$C$3%*요율!$D$3%,0),-1)</f>
        <v>0</v>
      </c>
      <c r="BP120" s="18">
        <f>ROUNDDOWN(IF($AG119*R120&gt;요율!$E$3,($AG119*R120-요율!$E$3)*요율!$C$3%*요율!$D$3%,0),-1)</f>
        <v>0</v>
      </c>
      <c r="BQ120" s="18">
        <f>ROUNDDOWN(IF($AG119*S120&gt;요율!$E$3,($AG119*S120-요율!$E$3)*요율!$C$3%*요율!$D$3%,0),-1)</f>
        <v>0</v>
      </c>
      <c r="BR120" s="18">
        <f>ROUNDDOWN(IF($AG119*T120&gt;요율!$E$3,($AG119*T120-요율!$E$3)*요율!$C$3%*요율!$D$3%,0),-1)</f>
        <v>0</v>
      </c>
      <c r="BS120" s="18">
        <f>ROUNDDOWN(IF($AG119*U120&gt;요율!$E$3,($AG119*U120-요율!$E$3)*요율!$C$3%*요율!$D$3%,0),-1)</f>
        <v>0</v>
      </c>
      <c r="BT120" s="18">
        <f>ROUNDDOWN(IF($AG119*V120&gt;요율!$E$3,($AG119*V120-요율!$E$3)*요율!$C$3%*요율!$D$3%,0),-1)</f>
        <v>0</v>
      </c>
      <c r="BU120" s="18">
        <f>ROUNDDOWN(IF($AG119*W120&gt;요율!$E$3,($AG119*W120-요율!$E$3)*요율!$C$3%*요율!$D$3%,0),-1)</f>
        <v>0</v>
      </c>
      <c r="BV120" s="18">
        <f>ROUNDDOWN(IF($AG119*X120&gt;요율!$E$3,($AG119*X120-요율!$E$3)*요율!$C$3%*요율!$D$3%,0),-1)</f>
        <v>0</v>
      </c>
      <c r="BW120" s="18">
        <f>ROUNDDOWN(IF($AG119*Y120&gt;요율!$E$3,($AG119*Y120-요율!$E$3)*요율!$C$3%*요율!$D$3%,0),-1)</f>
        <v>0</v>
      </c>
      <c r="BX120" s="18">
        <f>ROUNDDOWN(IF($AG119*Z120&gt;요율!$E$3,($AG119*Z120-요율!$E$3)*요율!$C$3%*요율!$D$3%,0),-1)</f>
        <v>0</v>
      </c>
      <c r="BY120" s="18">
        <f>ROUNDDOWN(IF($AG119*AA120&gt;요율!$E$3,($AG119*AA120-요율!$E$3)*요율!$C$3%*요율!$D$3%,0),-1)</f>
        <v>0</v>
      </c>
      <c r="BZ120" s="18">
        <f>ROUNDDOWN(IF($AG119*AB120&gt;요율!$E$3,($AG119*AB120-요율!$E$3)*요율!$C$3%*요율!$D$3%,0),-1)</f>
        <v>0</v>
      </c>
      <c r="CA120" s="18">
        <f>ROUNDDOWN(IF($AG119*AC120&gt;요율!$E$3,($AG119*AC120-요율!$E$3)*요율!$C$3%*요율!$D$3%,0),-1)</f>
        <v>0</v>
      </c>
      <c r="CB120" s="19">
        <f>ROUNDDOWN(IF($AG119*AD120&gt;요율!$E$3,($AG119*AD120-요율!$E$3)*요율!$C$3%*요율!$D$3%,0),-1)</f>
        <v>0</v>
      </c>
    </row>
    <row r="121" spans="1:82" ht="20.100000000000001" hidden="1" customHeight="1">
      <c r="A121" s="760">
        <f t="shared" si="2"/>
        <v>58</v>
      </c>
      <c r="B121" s="260"/>
      <c r="C121" s="708" t="str">
        <f>IF(ISERROR(VLOOKUP(B121,주소록!$A$3:$K$523,5,0)),"",VLOOKUP(B121,주소록!$A$3:$K$523,3,0))</f>
        <v/>
      </c>
      <c r="D121" s="708"/>
      <c r="E121" s="708"/>
      <c r="F121" s="709"/>
      <c r="G121" s="710" t="str">
        <f>IF(ISERROR(VLOOKUP(B121,주소록!$A$3:$K$523,6,0)),"",VLOOKUP(B121,주소록!$A$3:$K$523,4,0))</f>
        <v/>
      </c>
      <c r="H121" s="711"/>
      <c r="I121" s="711"/>
      <c r="J121" s="711"/>
      <c r="K121" s="711"/>
      <c r="L121" s="711"/>
      <c r="M121" s="711"/>
      <c r="N121" s="712"/>
      <c r="O121" s="469"/>
      <c r="P121" s="470"/>
      <c r="Q121" s="470"/>
      <c r="R121" s="470"/>
      <c r="S121" s="478"/>
      <c r="T121" s="469"/>
      <c r="U121" s="470"/>
      <c r="V121" s="470"/>
      <c r="W121" s="470"/>
      <c r="X121" s="471"/>
      <c r="Y121" s="472"/>
      <c r="Z121" s="467"/>
      <c r="AA121" s="470"/>
      <c r="AB121" s="470"/>
      <c r="AC121" s="470"/>
      <c r="AD121" s="473"/>
      <c r="AE121" s="762">
        <f>COUNTIF(O121:AD122,"&gt;=0.5")</f>
        <v>0</v>
      </c>
      <c r="AF121" s="763"/>
      <c r="AG121" s="764"/>
      <c r="AH121" s="684">
        <f>AE122*AG121</f>
        <v>0</v>
      </c>
      <c r="AI121" s="685"/>
      <c r="AJ121" s="686"/>
      <c r="AK121" s="755">
        <f>IF(BG122&lt;1000, 0, BG122)</f>
        <v>0</v>
      </c>
      <c r="AL121" s="756"/>
      <c r="AM121" s="757"/>
      <c r="AN121" s="758">
        <f>IF(요율!$H$7="○",IF(AE121&gt;=요율!$D$6,ROUNDDOWN(AH121*요율!$C$4%,-1),0),0)</f>
        <v>0</v>
      </c>
      <c r="AO121" s="756"/>
      <c r="AP121" s="757"/>
      <c r="AQ121" s="758">
        <f>BL121</f>
        <v>0</v>
      </c>
      <c r="AR121" s="756"/>
      <c r="AS121" s="759"/>
      <c r="AT121" s="717">
        <f>SUM(AK121:AS122)</f>
        <v>0</v>
      </c>
      <c r="AU121" s="718"/>
      <c r="AV121" s="719"/>
      <c r="AW121" s="720">
        <f>AH121-AT121-AT122</f>
        <v>0</v>
      </c>
      <c r="AX121" s="721"/>
      <c r="AY121" s="722"/>
      <c r="AZ121" s="766"/>
      <c r="BA121" s="21" t="str">
        <f>IF(ISERROR(VLOOKUP($B121,주소록!$A$3:$K$523,3,0)),"",VLOOKUP($B121,주소록!$A$3:$K$523,2,0))</f>
        <v/>
      </c>
      <c r="BB121" s="6">
        <v>1</v>
      </c>
      <c r="BC121" s="752">
        <f>A121</f>
        <v>58</v>
      </c>
      <c r="BD121" s="754" t="str">
        <f>IF(OR(MID(C121,8,1)&lt;"3",AND(MID(C121,8,1)&gt;="5",MID(C121,8,1)&lt;="6")),TEXT(TEXT(LEFT(C121,6),"1900-00-00"),"yyyy년 m월 d일"),TEXT(TEXT(LEFT(C121,6),"2000-00-00"),"yyyy년 m월 d일"))</f>
        <v/>
      </c>
      <c r="BE121" s="754"/>
      <c r="BF121" s="754"/>
      <c r="BG121" s="768">
        <f>IFERROR(INT( ( TEXT($O$3,"yyyy.mmdd") - TEXT(BD121,"yyyy.mmdd") )  ),0)</f>
        <v>0</v>
      </c>
      <c r="BH121" s="769"/>
      <c r="BI121" s="770"/>
      <c r="BJ121" s="133">
        <f>IF(BG121&gt;59,"60세이상",IF(OR(AE121&lt;요율!$D$6,AH121=0),0,IF(AH121&lt;요율!$C$7,요율!$D$7,IF(AH121&gt;요율!$C$8,요율!$D$8,+TRUNC(AH121*요율!$C$6%,-1)))))</f>
        <v>0</v>
      </c>
      <c r="BK121" s="143">
        <f>IF(BG121&gt;59,"60세이상",IF(OR(AH121&lt;2200000,AH121=0),0,IF(AH121&lt;요율!$C$7,요율!$D$7,IF(AH121&gt;요율!$C$8,요율!$D$8,+TRUNC(AH121*요율!$C$6%,-1)))))</f>
        <v>0</v>
      </c>
      <c r="BL121" s="140">
        <f>IF(BK121&gt;0,BK121,BJ121)</f>
        <v>0</v>
      </c>
      <c r="BM121" s="15">
        <f>ROUNDDOWN(IF($AG121*O121&gt;요율!$E$3,($AG121*O121-요율!$E$3)*요율!$C$3%*요율!$D$3%,0),-1)</f>
        <v>0</v>
      </c>
      <c r="BN121" s="16">
        <f>ROUNDDOWN(IF($AG121*P121&gt;요율!$E$3,($AG121*P121-요율!$E$3)*요율!$C$3%*요율!$D$3%,0),-1)</f>
        <v>0</v>
      </c>
      <c r="BO121" s="16">
        <f>ROUNDDOWN(IF($AG121*Q121&gt;요율!$E$3,($AG121*Q121-요율!$E$3)*요율!$C$3%*요율!$D$3%,0),-1)</f>
        <v>0</v>
      </c>
      <c r="BP121" s="16">
        <f>ROUNDDOWN(IF($AG121*R121&gt;요율!$E$3,($AG121*R121-요율!$E$3)*요율!$C$3%*요율!$D$3%,0),-1)</f>
        <v>0</v>
      </c>
      <c r="BQ121" s="16">
        <f>ROUNDDOWN(IF($AG121*S121&gt;요율!$E$3,($AG121*S121-요율!$E$3)*요율!$C$3%*요율!$D$3%,0),-1)</f>
        <v>0</v>
      </c>
      <c r="BR121" s="16">
        <f>ROUNDDOWN(IF($AG121*T121&gt;요율!$E$3,($AG121*T121-요율!$E$3)*요율!$C$3%*요율!$D$3%,0),-1)</f>
        <v>0</v>
      </c>
      <c r="BS121" s="16">
        <f>ROUNDDOWN(IF($AG121*U121&gt;요율!$E$3,($AG121*U121-요율!$E$3)*요율!$C$3%*요율!$D$3%,0),-1)</f>
        <v>0</v>
      </c>
      <c r="BT121" s="16">
        <f>ROUNDDOWN(IF($AG121*V121&gt;요율!$E$3,($AG121*V121-요율!$E$3)*요율!$C$3%*요율!$D$3%,0),-1)</f>
        <v>0</v>
      </c>
      <c r="BU121" s="16">
        <f>ROUNDDOWN(IF($AG121*W121&gt;요율!$E$3,($AG121*W121-요율!$E$3)*요율!$C$3%*요율!$D$3%,0),-1)</f>
        <v>0</v>
      </c>
      <c r="BV121" s="16">
        <f>ROUNDDOWN(IF($AG121*X121&gt;요율!$E$3,($AG121*X121-요율!$E$3)*요율!$C$3%*요율!$D$3%,0),-1)</f>
        <v>0</v>
      </c>
      <c r="BW121" s="16">
        <f>ROUNDDOWN(IF($AG121*Y121&gt;요율!$E$3,($AG121*Y121-요율!$E$3)*요율!$C$3%*요율!$D$3%,0),-1)</f>
        <v>0</v>
      </c>
      <c r="BX121" s="16">
        <f>ROUNDDOWN(IF($AG121*Z121&gt;요율!$E$3,($AG121*Z121-요율!$E$3)*요율!$C$3%*요율!$D$3%,0),-1)</f>
        <v>0</v>
      </c>
      <c r="BY121" s="16">
        <f>ROUNDDOWN(IF($AG121*AA121&gt;요율!$E$3,($AG121*AA121-요율!$E$3)*요율!$C$3%*요율!$D$3%,0),-1)</f>
        <v>0</v>
      </c>
      <c r="BZ121" s="16">
        <f>ROUNDDOWN(IF($AG121*AB121&gt;요율!$E$3,($AG121*AB121-요율!$E$3)*요율!$C$3%*요율!$D$3%,0),-1)</f>
        <v>0</v>
      </c>
      <c r="CA121" s="16">
        <f>ROUNDDOWN(IF($AG121*AC121&gt;요율!$E$3,($AG121*AC121-요율!$E$3)*요율!$C$3%*요율!$D$3%,0),-1)</f>
        <v>0</v>
      </c>
      <c r="CB121" s="31">
        <f>ROUNDDOWN(IF($AG121*AD121&gt;요율!$E$3,($AG121*AD121-요율!$E$3)*요율!$C$3%*요율!$D$3%,0),-1)</f>
        <v>0</v>
      </c>
      <c r="CD121" s="5" t="str">
        <f>IFERROR(VLOOKUP(B121,주소록,9,FALSE),"")</f>
        <v/>
      </c>
    </row>
    <row r="122" spans="1:82" ht="20.100000000000001" hidden="1" customHeight="1">
      <c r="A122" s="761"/>
      <c r="B122" s="261" t="str">
        <f>BA121</f>
        <v/>
      </c>
      <c r="C122" s="690" t="str">
        <f>IF(ISERROR(VLOOKUP(B121,주소록!$A$3:$K$523,7,0)),"",VLOOKUP(B121,주소록!$A$3:$K$523,5,0))</f>
        <v/>
      </c>
      <c r="D122" s="690"/>
      <c r="E122" s="690"/>
      <c r="F122" s="691"/>
      <c r="G122" s="692" t="str">
        <f>IF(ISERROR(VLOOKUP(B121,주소록!$A$3:$K$523,9,0)),"",VLOOKUP(B121,주소록!$A$3:$K$523,7,0))</f>
        <v/>
      </c>
      <c r="H122" s="693"/>
      <c r="I122" s="694"/>
      <c r="J122" s="692" t="str">
        <f>IF(ISERROR(VLOOKUP(B121,주소록!$A$3:$K$523,10,0)),"",VLOOKUP(B121,주소록!$A$3:$K$523,8,0))</f>
        <v/>
      </c>
      <c r="K122" s="693"/>
      <c r="L122" s="693"/>
      <c r="M122" s="693"/>
      <c r="N122" s="695"/>
      <c r="O122" s="474"/>
      <c r="P122" s="475"/>
      <c r="Q122" s="475"/>
      <c r="R122" s="468"/>
      <c r="S122" s="476"/>
      <c r="T122" s="474"/>
      <c r="U122" s="475"/>
      <c r="V122" s="475"/>
      <c r="W122" s="475"/>
      <c r="X122" s="477"/>
      <c r="Y122" s="479"/>
      <c r="Z122" s="475"/>
      <c r="AA122" s="475"/>
      <c r="AB122" s="475"/>
      <c r="AC122" s="475"/>
      <c r="AD122" s="477"/>
      <c r="AE122" s="696">
        <f>SUM(O121:AD122)</f>
        <v>0</v>
      </c>
      <c r="AF122" s="697"/>
      <c r="AG122" s="765"/>
      <c r="AH122" s="687"/>
      <c r="AI122" s="688"/>
      <c r="AJ122" s="689"/>
      <c r="AK122" s="698">
        <f>IF(C121=0,"",IF(MID(C121,7,1)="5","",IF(MID(C121,7,1)="6","",ROUNDDOWN((AK121*10%),-1))))</f>
        <v>0</v>
      </c>
      <c r="AL122" s="699"/>
      <c r="AM122" s="700"/>
      <c r="AN122" s="701">
        <f>ROUNDDOWN(AN121*요율!$F$5,-1)</f>
        <v>0</v>
      </c>
      <c r="AO122" s="701"/>
      <c r="AP122" s="701"/>
      <c r="AQ122" s="713">
        <f>IF(OR(AND(요율!$H$8="X",요율!$H$9="X",MID(C121,8,1)&gt;="5"),AND(요율!$H$8="○",요율!$H$9="X",MID(C121,8,1)&gt;="5")),"외국인",IF(요율!$H$8="X",IF(C121="",0,IF(OR(MID(C121,8,1)&lt;"3",AND(MID(C121,8,1)&gt;="5",MID(C121,8,1)&lt;="6")),IF(INT(TEXT($O$3,"yyyy.mmdd")-TEXT(TEXT(LEFT(C121,6),"1900-00-00"),"yyyy.mmdd"))&gt;=65,"65세이상",+TRUNC(AH121*요율!$C$9%,-1)),IF(INT(TEXT($O$3,"yyyy.mmdd")-TEXT(TEXT(LEFT(C121,6),"2000-00-00"),"yyyy.mmdd"))&gt;=65,"65세이상",+TRUNC(AH121*요율!$C$9%,-1)))),+TRUNC(AH121*요율!$C$9%,-1)))</f>
        <v>0</v>
      </c>
      <c r="AR122" s="699"/>
      <c r="AS122" s="699"/>
      <c r="AT122" s="714"/>
      <c r="AU122" s="715"/>
      <c r="AV122" s="716"/>
      <c r="AW122" s="723"/>
      <c r="AX122" s="724"/>
      <c r="AY122" s="725"/>
      <c r="AZ122" s="767"/>
      <c r="BA122" s="22" t="str">
        <f>BA121</f>
        <v/>
      </c>
      <c r="BB122" s="6">
        <v>2</v>
      </c>
      <c r="BC122" s="753"/>
      <c r="BD122" s="733">
        <f>B121</f>
        <v>0</v>
      </c>
      <c r="BE122" s="733"/>
      <c r="BF122" s="733"/>
      <c r="BG122" s="734">
        <f>SUM(BM121:CB122)</f>
        <v>0</v>
      </c>
      <c r="BH122" s="735"/>
      <c r="BI122" s="736"/>
      <c r="BJ122" s="144"/>
      <c r="BK122" s="145"/>
      <c r="BL122" s="146"/>
      <c r="BM122" s="17">
        <f>ROUNDDOWN(IF($AG121*O122&gt;요율!$E$3,($AG121*O122-요율!$E$3)*요율!$C$3%*요율!$D$3%,0),-1)</f>
        <v>0</v>
      </c>
      <c r="BN122" s="18">
        <f>ROUNDDOWN(IF($AG121*P122&gt;요율!$E$3,($AG121*P122-요율!$E$3)*요율!$C$3%*요율!$D$3%,0),-1)</f>
        <v>0</v>
      </c>
      <c r="BO122" s="18">
        <f>ROUNDDOWN(IF($AG121*Q122&gt;요율!$E$3,($AG121*Q122-요율!$E$3)*요율!$C$3%*요율!$D$3%,0),-1)</f>
        <v>0</v>
      </c>
      <c r="BP122" s="18">
        <f>ROUNDDOWN(IF($AG121*R122&gt;요율!$E$3,($AG121*R122-요율!$E$3)*요율!$C$3%*요율!$D$3%,0),-1)</f>
        <v>0</v>
      </c>
      <c r="BQ122" s="18">
        <f>ROUNDDOWN(IF($AG121*S122&gt;요율!$E$3,($AG121*S122-요율!$E$3)*요율!$C$3%*요율!$D$3%,0),-1)</f>
        <v>0</v>
      </c>
      <c r="BR122" s="18">
        <f>ROUNDDOWN(IF($AG121*T122&gt;요율!$E$3,($AG121*T122-요율!$E$3)*요율!$C$3%*요율!$D$3%,0),-1)</f>
        <v>0</v>
      </c>
      <c r="BS122" s="18">
        <f>ROUNDDOWN(IF($AG121*U122&gt;요율!$E$3,($AG121*U122-요율!$E$3)*요율!$C$3%*요율!$D$3%,0),-1)</f>
        <v>0</v>
      </c>
      <c r="BT122" s="18">
        <f>ROUNDDOWN(IF($AG121*V122&gt;요율!$E$3,($AG121*V122-요율!$E$3)*요율!$C$3%*요율!$D$3%,0),-1)</f>
        <v>0</v>
      </c>
      <c r="BU122" s="18">
        <f>ROUNDDOWN(IF($AG121*W122&gt;요율!$E$3,($AG121*W122-요율!$E$3)*요율!$C$3%*요율!$D$3%,0),-1)</f>
        <v>0</v>
      </c>
      <c r="BV122" s="18">
        <f>ROUNDDOWN(IF($AG121*X122&gt;요율!$E$3,($AG121*X122-요율!$E$3)*요율!$C$3%*요율!$D$3%,0),-1)</f>
        <v>0</v>
      </c>
      <c r="BW122" s="18">
        <f>ROUNDDOWN(IF($AG121*Y122&gt;요율!$E$3,($AG121*Y122-요율!$E$3)*요율!$C$3%*요율!$D$3%,0),-1)</f>
        <v>0</v>
      </c>
      <c r="BX122" s="18">
        <f>ROUNDDOWN(IF($AG121*Z122&gt;요율!$E$3,($AG121*Z122-요율!$E$3)*요율!$C$3%*요율!$D$3%,0),-1)</f>
        <v>0</v>
      </c>
      <c r="BY122" s="18">
        <f>ROUNDDOWN(IF($AG121*AA122&gt;요율!$E$3,($AG121*AA122-요율!$E$3)*요율!$C$3%*요율!$D$3%,0),-1)</f>
        <v>0</v>
      </c>
      <c r="BZ122" s="18">
        <f>ROUNDDOWN(IF($AG121*AB122&gt;요율!$E$3,($AG121*AB122-요율!$E$3)*요율!$C$3%*요율!$D$3%,0),-1)</f>
        <v>0</v>
      </c>
      <c r="CA122" s="18">
        <f>ROUNDDOWN(IF($AG121*AC122&gt;요율!$E$3,($AG121*AC122-요율!$E$3)*요율!$C$3%*요율!$D$3%,0),-1)</f>
        <v>0</v>
      </c>
      <c r="CB122" s="19">
        <f>ROUNDDOWN(IF($AG121*AD122&gt;요율!$E$3,($AG121*AD122-요율!$E$3)*요율!$C$3%*요율!$D$3%,0),-1)</f>
        <v>0</v>
      </c>
    </row>
    <row r="123" spans="1:82" ht="20.100000000000001" hidden="1" customHeight="1">
      <c r="A123" s="760">
        <f t="shared" si="2"/>
        <v>59</v>
      </c>
      <c r="B123" s="260"/>
      <c r="C123" s="708" t="str">
        <f>IF(ISERROR(VLOOKUP(B123,주소록!$A$3:$K$523,5,0)),"",VLOOKUP(B123,주소록!$A$3:$K$523,3,0))</f>
        <v/>
      </c>
      <c r="D123" s="708"/>
      <c r="E123" s="708"/>
      <c r="F123" s="709"/>
      <c r="G123" s="710" t="str">
        <f>IF(ISERROR(VLOOKUP(B123,주소록!$A$3:$K$523,6,0)),"",VLOOKUP(B123,주소록!$A$3:$K$523,4,0))</f>
        <v/>
      </c>
      <c r="H123" s="711"/>
      <c r="I123" s="711"/>
      <c r="J123" s="711"/>
      <c r="K123" s="711"/>
      <c r="L123" s="711"/>
      <c r="M123" s="711"/>
      <c r="N123" s="712"/>
      <c r="O123" s="469"/>
      <c r="P123" s="470"/>
      <c r="Q123" s="470"/>
      <c r="R123" s="470"/>
      <c r="S123" s="478"/>
      <c r="T123" s="469"/>
      <c r="U123" s="470"/>
      <c r="V123" s="470"/>
      <c r="W123" s="470"/>
      <c r="X123" s="471"/>
      <c r="Y123" s="472"/>
      <c r="Z123" s="467"/>
      <c r="AA123" s="470"/>
      <c r="AB123" s="470"/>
      <c r="AC123" s="470"/>
      <c r="AD123" s="473"/>
      <c r="AE123" s="762">
        <f>COUNTIF(O123:AD124,"&gt;=0.5")</f>
        <v>0</v>
      </c>
      <c r="AF123" s="763"/>
      <c r="AG123" s="764"/>
      <c r="AH123" s="684">
        <f>AE124*AG123</f>
        <v>0</v>
      </c>
      <c r="AI123" s="685"/>
      <c r="AJ123" s="686"/>
      <c r="AK123" s="755">
        <f>IF(BG124&lt;1000, 0, BG124)</f>
        <v>0</v>
      </c>
      <c r="AL123" s="756"/>
      <c r="AM123" s="757"/>
      <c r="AN123" s="758">
        <f>IF(요율!$H$7="○",IF(AE123&gt;=요율!$D$6,ROUNDDOWN(AH123*요율!$C$4%,-1),0),0)</f>
        <v>0</v>
      </c>
      <c r="AO123" s="756"/>
      <c r="AP123" s="757"/>
      <c r="AQ123" s="758">
        <f>BL123</f>
        <v>0</v>
      </c>
      <c r="AR123" s="756"/>
      <c r="AS123" s="759"/>
      <c r="AT123" s="717">
        <f>SUM(AK123:AS124)</f>
        <v>0</v>
      </c>
      <c r="AU123" s="718"/>
      <c r="AV123" s="719"/>
      <c r="AW123" s="720">
        <f>AH123-AT123-AT124</f>
        <v>0</v>
      </c>
      <c r="AX123" s="721"/>
      <c r="AY123" s="722"/>
      <c r="AZ123" s="766"/>
      <c r="BA123" s="21" t="str">
        <f>IF(ISERROR(VLOOKUP($B123,주소록!$A$3:$K$523,3,0)),"",VLOOKUP($B123,주소록!$A$3:$K$523,2,0))</f>
        <v/>
      </c>
      <c r="BB123" s="6">
        <v>1</v>
      </c>
      <c r="BC123" s="752">
        <f>A123</f>
        <v>59</v>
      </c>
      <c r="BD123" s="754" t="str">
        <f>IF(OR(MID(C123,8,1)&lt;"3",AND(MID(C123,8,1)&gt;="5",MID(C123,8,1)&lt;="6")),TEXT(TEXT(LEFT(C123,6),"1900-00-00"),"yyyy년 m월 d일"),TEXT(TEXT(LEFT(C123,6),"2000-00-00"),"yyyy년 m월 d일"))</f>
        <v/>
      </c>
      <c r="BE123" s="754"/>
      <c r="BF123" s="754"/>
      <c r="BG123" s="768">
        <f>IFERROR(INT( ( TEXT($O$3,"yyyy.mmdd") - TEXT(BD123,"yyyy.mmdd") )  ),0)</f>
        <v>0</v>
      </c>
      <c r="BH123" s="769"/>
      <c r="BI123" s="770"/>
      <c r="BJ123" s="133">
        <f>IF(BG123&gt;59,"60세이상",IF(OR(AE123&lt;요율!$D$6,AH123=0),0,IF(AH123&lt;요율!$C$7,요율!$D$7,IF(AH123&gt;요율!$C$8,요율!$D$8,+TRUNC(AH123*요율!$C$6%,-1)))))</f>
        <v>0</v>
      </c>
      <c r="BK123" s="143">
        <f>IF(BG123&gt;59,"60세이상",IF(OR(AH123&lt;2200000,AH123=0),0,IF(AH123&lt;요율!$C$7,요율!$D$7,IF(AH123&gt;요율!$C$8,요율!$D$8,+TRUNC(AH123*요율!$C$6%,-1)))))</f>
        <v>0</v>
      </c>
      <c r="BL123" s="140">
        <f>IF(BK123&gt;0,BK123,BJ123)</f>
        <v>0</v>
      </c>
      <c r="BM123" s="15">
        <f>ROUNDDOWN(IF($AG123*O123&gt;요율!$E$3,($AG123*O123-요율!$E$3)*요율!$C$3%*요율!$D$3%,0),-1)</f>
        <v>0</v>
      </c>
      <c r="BN123" s="16">
        <f>ROUNDDOWN(IF($AG123*P123&gt;요율!$E$3,($AG123*P123-요율!$E$3)*요율!$C$3%*요율!$D$3%,0),-1)</f>
        <v>0</v>
      </c>
      <c r="BO123" s="16">
        <f>ROUNDDOWN(IF($AG123*Q123&gt;요율!$E$3,($AG123*Q123-요율!$E$3)*요율!$C$3%*요율!$D$3%,0),-1)</f>
        <v>0</v>
      </c>
      <c r="BP123" s="16">
        <f>ROUNDDOWN(IF($AG123*R123&gt;요율!$E$3,($AG123*R123-요율!$E$3)*요율!$C$3%*요율!$D$3%,0),-1)</f>
        <v>0</v>
      </c>
      <c r="BQ123" s="16">
        <f>ROUNDDOWN(IF($AG123*S123&gt;요율!$E$3,($AG123*S123-요율!$E$3)*요율!$C$3%*요율!$D$3%,0),-1)</f>
        <v>0</v>
      </c>
      <c r="BR123" s="16">
        <f>ROUNDDOWN(IF($AG123*T123&gt;요율!$E$3,($AG123*T123-요율!$E$3)*요율!$C$3%*요율!$D$3%,0),-1)</f>
        <v>0</v>
      </c>
      <c r="BS123" s="16">
        <f>ROUNDDOWN(IF($AG123*U123&gt;요율!$E$3,($AG123*U123-요율!$E$3)*요율!$C$3%*요율!$D$3%,0),-1)</f>
        <v>0</v>
      </c>
      <c r="BT123" s="16">
        <f>ROUNDDOWN(IF($AG123*V123&gt;요율!$E$3,($AG123*V123-요율!$E$3)*요율!$C$3%*요율!$D$3%,0),-1)</f>
        <v>0</v>
      </c>
      <c r="BU123" s="16">
        <f>ROUNDDOWN(IF($AG123*W123&gt;요율!$E$3,($AG123*W123-요율!$E$3)*요율!$C$3%*요율!$D$3%,0),-1)</f>
        <v>0</v>
      </c>
      <c r="BV123" s="16">
        <f>ROUNDDOWN(IF($AG123*X123&gt;요율!$E$3,($AG123*X123-요율!$E$3)*요율!$C$3%*요율!$D$3%,0),-1)</f>
        <v>0</v>
      </c>
      <c r="BW123" s="16">
        <f>ROUNDDOWN(IF($AG123*Y123&gt;요율!$E$3,($AG123*Y123-요율!$E$3)*요율!$C$3%*요율!$D$3%,0),-1)</f>
        <v>0</v>
      </c>
      <c r="BX123" s="16">
        <f>ROUNDDOWN(IF($AG123*Z123&gt;요율!$E$3,($AG123*Z123-요율!$E$3)*요율!$C$3%*요율!$D$3%,0),-1)</f>
        <v>0</v>
      </c>
      <c r="BY123" s="16">
        <f>ROUNDDOWN(IF($AG123*AA123&gt;요율!$E$3,($AG123*AA123-요율!$E$3)*요율!$C$3%*요율!$D$3%,0),-1)</f>
        <v>0</v>
      </c>
      <c r="BZ123" s="16">
        <f>ROUNDDOWN(IF($AG123*AB123&gt;요율!$E$3,($AG123*AB123-요율!$E$3)*요율!$C$3%*요율!$D$3%,0),-1)</f>
        <v>0</v>
      </c>
      <c r="CA123" s="16">
        <f>ROUNDDOWN(IF($AG123*AC123&gt;요율!$E$3,($AG123*AC123-요율!$E$3)*요율!$C$3%*요율!$D$3%,0),-1)</f>
        <v>0</v>
      </c>
      <c r="CB123" s="31">
        <f>ROUNDDOWN(IF($AG123*AD123&gt;요율!$E$3,($AG123*AD123-요율!$E$3)*요율!$C$3%*요율!$D$3%,0),-1)</f>
        <v>0</v>
      </c>
      <c r="CD123" s="5" t="str">
        <f>IFERROR(VLOOKUP(B123,주소록,9,FALSE),"")</f>
        <v/>
      </c>
    </row>
    <row r="124" spans="1:82" ht="20.100000000000001" hidden="1" customHeight="1">
      <c r="A124" s="761"/>
      <c r="B124" s="261" t="str">
        <f>BA123</f>
        <v/>
      </c>
      <c r="C124" s="690" t="str">
        <f>IF(ISERROR(VLOOKUP(B123,주소록!$A$3:$K$523,7,0)),"",VLOOKUP(B123,주소록!$A$3:$K$523,5,0))</f>
        <v/>
      </c>
      <c r="D124" s="690"/>
      <c r="E124" s="690"/>
      <c r="F124" s="691"/>
      <c r="G124" s="692" t="str">
        <f>IF(ISERROR(VLOOKUP(B123,주소록!$A$3:$K$523,9,0)),"",VLOOKUP(B123,주소록!$A$3:$K$523,7,0))</f>
        <v/>
      </c>
      <c r="H124" s="693"/>
      <c r="I124" s="694"/>
      <c r="J124" s="692" t="str">
        <f>IF(ISERROR(VLOOKUP(B123,주소록!$A$3:$K$523,10,0)),"",VLOOKUP(B123,주소록!$A$3:$K$523,8,0))</f>
        <v/>
      </c>
      <c r="K124" s="693"/>
      <c r="L124" s="693"/>
      <c r="M124" s="693"/>
      <c r="N124" s="695"/>
      <c r="O124" s="474"/>
      <c r="P124" s="475"/>
      <c r="Q124" s="475"/>
      <c r="R124" s="468"/>
      <c r="S124" s="476"/>
      <c r="T124" s="474"/>
      <c r="U124" s="475"/>
      <c r="V124" s="475"/>
      <c r="W124" s="475"/>
      <c r="X124" s="477"/>
      <c r="Y124" s="479"/>
      <c r="Z124" s="475"/>
      <c r="AA124" s="475"/>
      <c r="AB124" s="475"/>
      <c r="AC124" s="475"/>
      <c r="AD124" s="477"/>
      <c r="AE124" s="696">
        <f>SUM(O123:AD124)</f>
        <v>0</v>
      </c>
      <c r="AF124" s="697"/>
      <c r="AG124" s="765"/>
      <c r="AH124" s="687"/>
      <c r="AI124" s="688"/>
      <c r="AJ124" s="689"/>
      <c r="AK124" s="698">
        <f>IF(C123=0,"",IF(MID(C123,7,1)="5","",IF(MID(C123,7,1)="6","",ROUNDDOWN((AK123*10%),-1))))</f>
        <v>0</v>
      </c>
      <c r="AL124" s="699"/>
      <c r="AM124" s="700"/>
      <c r="AN124" s="701">
        <f>ROUNDDOWN(AN123*요율!$F$5,-1)</f>
        <v>0</v>
      </c>
      <c r="AO124" s="701"/>
      <c r="AP124" s="701"/>
      <c r="AQ124" s="713">
        <f>IF(OR(AND(요율!$H$8="X",요율!$H$9="X",MID(C123,8,1)&gt;="5"),AND(요율!$H$8="○",요율!$H$9="X",MID(C123,8,1)&gt;="5")),"외국인",IF(요율!$H$8="X",IF(C123="",0,IF(OR(MID(C123,8,1)&lt;"3",AND(MID(C123,8,1)&gt;="5",MID(C123,8,1)&lt;="6")),IF(INT(TEXT($O$3,"yyyy.mmdd")-TEXT(TEXT(LEFT(C123,6),"1900-00-00"),"yyyy.mmdd"))&gt;=65,"65세이상",+TRUNC(AH123*요율!$C$9%,-1)),IF(INT(TEXT($O$3,"yyyy.mmdd")-TEXT(TEXT(LEFT(C123,6),"2000-00-00"),"yyyy.mmdd"))&gt;=65,"65세이상",+TRUNC(AH123*요율!$C$9%,-1)))),+TRUNC(AH123*요율!$C$9%,-1)))</f>
        <v>0</v>
      </c>
      <c r="AR124" s="699"/>
      <c r="AS124" s="699"/>
      <c r="AT124" s="714"/>
      <c r="AU124" s="715"/>
      <c r="AV124" s="716"/>
      <c r="AW124" s="723"/>
      <c r="AX124" s="724"/>
      <c r="AY124" s="725"/>
      <c r="AZ124" s="767"/>
      <c r="BA124" s="22" t="str">
        <f>BA123</f>
        <v/>
      </c>
      <c r="BB124" s="6">
        <v>2</v>
      </c>
      <c r="BC124" s="753"/>
      <c r="BD124" s="733">
        <f>B123</f>
        <v>0</v>
      </c>
      <c r="BE124" s="733"/>
      <c r="BF124" s="733"/>
      <c r="BG124" s="734">
        <f>SUM(BM123:CB124)</f>
        <v>0</v>
      </c>
      <c r="BH124" s="735"/>
      <c r="BI124" s="736"/>
      <c r="BJ124" s="144"/>
      <c r="BK124" s="145"/>
      <c r="BL124" s="146"/>
      <c r="BM124" s="17">
        <f>ROUNDDOWN(IF($AG123*O124&gt;요율!$E$3,($AG123*O124-요율!$E$3)*요율!$C$3%*요율!$D$3%,0),-1)</f>
        <v>0</v>
      </c>
      <c r="BN124" s="18">
        <f>ROUNDDOWN(IF($AG123*P124&gt;요율!$E$3,($AG123*P124-요율!$E$3)*요율!$C$3%*요율!$D$3%,0),-1)</f>
        <v>0</v>
      </c>
      <c r="BO124" s="18">
        <f>ROUNDDOWN(IF($AG123*Q124&gt;요율!$E$3,($AG123*Q124-요율!$E$3)*요율!$C$3%*요율!$D$3%,0),-1)</f>
        <v>0</v>
      </c>
      <c r="BP124" s="18">
        <f>ROUNDDOWN(IF($AG123*R124&gt;요율!$E$3,($AG123*R124-요율!$E$3)*요율!$C$3%*요율!$D$3%,0),-1)</f>
        <v>0</v>
      </c>
      <c r="BQ124" s="18">
        <f>ROUNDDOWN(IF($AG123*S124&gt;요율!$E$3,($AG123*S124-요율!$E$3)*요율!$C$3%*요율!$D$3%,0),-1)</f>
        <v>0</v>
      </c>
      <c r="BR124" s="18">
        <f>ROUNDDOWN(IF($AG123*T124&gt;요율!$E$3,($AG123*T124-요율!$E$3)*요율!$C$3%*요율!$D$3%,0),-1)</f>
        <v>0</v>
      </c>
      <c r="BS124" s="18">
        <f>ROUNDDOWN(IF($AG123*U124&gt;요율!$E$3,($AG123*U124-요율!$E$3)*요율!$C$3%*요율!$D$3%,0),-1)</f>
        <v>0</v>
      </c>
      <c r="BT124" s="18">
        <f>ROUNDDOWN(IF($AG123*V124&gt;요율!$E$3,($AG123*V124-요율!$E$3)*요율!$C$3%*요율!$D$3%,0),-1)</f>
        <v>0</v>
      </c>
      <c r="BU124" s="18">
        <f>ROUNDDOWN(IF($AG123*W124&gt;요율!$E$3,($AG123*W124-요율!$E$3)*요율!$C$3%*요율!$D$3%,0),-1)</f>
        <v>0</v>
      </c>
      <c r="BV124" s="18">
        <f>ROUNDDOWN(IF($AG123*X124&gt;요율!$E$3,($AG123*X124-요율!$E$3)*요율!$C$3%*요율!$D$3%,0),-1)</f>
        <v>0</v>
      </c>
      <c r="BW124" s="18">
        <f>ROUNDDOWN(IF($AG123*Y124&gt;요율!$E$3,($AG123*Y124-요율!$E$3)*요율!$C$3%*요율!$D$3%,0),-1)</f>
        <v>0</v>
      </c>
      <c r="BX124" s="18">
        <f>ROUNDDOWN(IF($AG123*Z124&gt;요율!$E$3,($AG123*Z124-요율!$E$3)*요율!$C$3%*요율!$D$3%,0),-1)</f>
        <v>0</v>
      </c>
      <c r="BY124" s="18">
        <f>ROUNDDOWN(IF($AG123*AA124&gt;요율!$E$3,($AG123*AA124-요율!$E$3)*요율!$C$3%*요율!$D$3%,0),-1)</f>
        <v>0</v>
      </c>
      <c r="BZ124" s="18">
        <f>ROUNDDOWN(IF($AG123*AB124&gt;요율!$E$3,($AG123*AB124-요율!$E$3)*요율!$C$3%*요율!$D$3%,0),-1)</f>
        <v>0</v>
      </c>
      <c r="CA124" s="18">
        <f>ROUNDDOWN(IF($AG123*AC124&gt;요율!$E$3,($AG123*AC124-요율!$E$3)*요율!$C$3%*요율!$D$3%,0),-1)</f>
        <v>0</v>
      </c>
      <c r="CB124" s="19">
        <f>ROUNDDOWN(IF($AG123*AD124&gt;요율!$E$3,($AG123*AD124-요율!$E$3)*요율!$C$3%*요율!$D$3%,0),-1)</f>
        <v>0</v>
      </c>
    </row>
    <row r="125" spans="1:82" ht="20.100000000000001" hidden="1" customHeight="1">
      <c r="A125" s="760">
        <f t="shared" si="2"/>
        <v>60</v>
      </c>
      <c r="B125" s="260"/>
      <c r="C125" s="708" t="str">
        <f>IF(ISERROR(VLOOKUP(B125,주소록!$A$3:$K$523,5,0)),"",VLOOKUP(B125,주소록!$A$3:$K$523,3,0))</f>
        <v/>
      </c>
      <c r="D125" s="708"/>
      <c r="E125" s="708"/>
      <c r="F125" s="709"/>
      <c r="G125" s="710" t="str">
        <f>IF(ISERROR(VLOOKUP(B125,주소록!$A$3:$K$523,6,0)),"",VLOOKUP(B125,주소록!$A$3:$K$523,4,0))</f>
        <v/>
      </c>
      <c r="H125" s="711"/>
      <c r="I125" s="711"/>
      <c r="J125" s="711"/>
      <c r="K125" s="711"/>
      <c r="L125" s="711"/>
      <c r="M125" s="711"/>
      <c r="N125" s="712"/>
      <c r="O125" s="469"/>
      <c r="P125" s="470"/>
      <c r="Q125" s="470"/>
      <c r="R125" s="470"/>
      <c r="S125" s="478"/>
      <c r="T125" s="469"/>
      <c r="U125" s="470"/>
      <c r="V125" s="470"/>
      <c r="W125" s="470"/>
      <c r="X125" s="471"/>
      <c r="Y125" s="472"/>
      <c r="Z125" s="467"/>
      <c r="AA125" s="470"/>
      <c r="AB125" s="470"/>
      <c r="AC125" s="470"/>
      <c r="AD125" s="473"/>
      <c r="AE125" s="762">
        <f>COUNTIF(O125:AD126,"&gt;=0.5")</f>
        <v>0</v>
      </c>
      <c r="AF125" s="763"/>
      <c r="AG125" s="764"/>
      <c r="AH125" s="684">
        <f>AE126*AG125</f>
        <v>0</v>
      </c>
      <c r="AI125" s="685"/>
      <c r="AJ125" s="686"/>
      <c r="AK125" s="755">
        <f>IF(BG126&lt;1000, 0, BG126)</f>
        <v>0</v>
      </c>
      <c r="AL125" s="756"/>
      <c r="AM125" s="757"/>
      <c r="AN125" s="758">
        <f>IF(요율!$H$7="○",IF(AE125&gt;=요율!$D$6,ROUNDDOWN(AH125*요율!$C$4%,-1),0),0)</f>
        <v>0</v>
      </c>
      <c r="AO125" s="756"/>
      <c r="AP125" s="757"/>
      <c r="AQ125" s="758">
        <f>BL125</f>
        <v>0</v>
      </c>
      <c r="AR125" s="756"/>
      <c r="AS125" s="759"/>
      <c r="AT125" s="717">
        <f>SUM(AK125:AS126)</f>
        <v>0</v>
      </c>
      <c r="AU125" s="718"/>
      <c r="AV125" s="719"/>
      <c r="AW125" s="720">
        <f>AH125-AT125-AT126</f>
        <v>0</v>
      </c>
      <c r="AX125" s="721"/>
      <c r="AY125" s="722"/>
      <c r="AZ125" s="766"/>
      <c r="BA125" s="21" t="str">
        <f>IF(ISERROR(VLOOKUP($B125,주소록!$A$3:$K$523,3,0)),"",VLOOKUP($B125,주소록!$A$3:$K$523,2,0))</f>
        <v/>
      </c>
      <c r="BB125" s="6">
        <v>1</v>
      </c>
      <c r="BC125" s="752">
        <f>A125</f>
        <v>60</v>
      </c>
      <c r="BD125" s="754" t="str">
        <f>IF(OR(MID(C125,8,1)&lt;"3",AND(MID(C125,8,1)&gt;="5",MID(C125,8,1)&lt;="6")),TEXT(TEXT(LEFT(C125,6),"1900-00-00"),"yyyy년 m월 d일"),TEXT(TEXT(LEFT(C125,6),"2000-00-00"),"yyyy년 m월 d일"))</f>
        <v/>
      </c>
      <c r="BE125" s="754"/>
      <c r="BF125" s="754"/>
      <c r="BG125" s="768">
        <f>IFERROR(INT( ( TEXT($O$3,"yyyy.mmdd") - TEXT(BD125,"yyyy.mmdd") )  ),0)</f>
        <v>0</v>
      </c>
      <c r="BH125" s="769"/>
      <c r="BI125" s="770"/>
      <c r="BJ125" s="133">
        <f>IF(BG125&gt;59,"60세이상",IF(OR(AE125&lt;요율!$D$6,AH125=0),0,IF(AH125&lt;요율!$C$7,요율!$D$7,IF(AH125&gt;요율!$C$8,요율!$D$8,+TRUNC(AH125*요율!$C$6%,-1)))))</f>
        <v>0</v>
      </c>
      <c r="BK125" s="143">
        <f>IF(BG125&gt;59,"60세이상",IF(OR(AH125&lt;2200000,AH125=0),0,IF(AH125&lt;요율!$C$7,요율!$D$7,IF(AH125&gt;요율!$C$8,요율!$D$8,+TRUNC(AH125*요율!$C$6%,-1)))))</f>
        <v>0</v>
      </c>
      <c r="BL125" s="140">
        <f>IF(BK125&gt;0,BK125,BJ125)</f>
        <v>0</v>
      </c>
      <c r="BM125" s="15">
        <f>ROUNDDOWN(IF($AG125*O125&gt;요율!$E$3,($AG125*O125-요율!$E$3)*요율!$C$3%*요율!$D$3%,0),-1)</f>
        <v>0</v>
      </c>
      <c r="BN125" s="16">
        <f>ROUNDDOWN(IF($AG125*P125&gt;요율!$E$3,($AG125*P125-요율!$E$3)*요율!$C$3%*요율!$D$3%,0),-1)</f>
        <v>0</v>
      </c>
      <c r="BO125" s="16">
        <f>ROUNDDOWN(IF($AG125*Q125&gt;요율!$E$3,($AG125*Q125-요율!$E$3)*요율!$C$3%*요율!$D$3%,0),-1)</f>
        <v>0</v>
      </c>
      <c r="BP125" s="16">
        <f>ROUNDDOWN(IF($AG125*R125&gt;요율!$E$3,($AG125*R125-요율!$E$3)*요율!$C$3%*요율!$D$3%,0),-1)</f>
        <v>0</v>
      </c>
      <c r="BQ125" s="16">
        <f>ROUNDDOWN(IF($AG125*S125&gt;요율!$E$3,($AG125*S125-요율!$E$3)*요율!$C$3%*요율!$D$3%,0),-1)</f>
        <v>0</v>
      </c>
      <c r="BR125" s="16">
        <f>ROUNDDOWN(IF($AG125*T125&gt;요율!$E$3,($AG125*T125-요율!$E$3)*요율!$C$3%*요율!$D$3%,0),-1)</f>
        <v>0</v>
      </c>
      <c r="BS125" s="16">
        <f>ROUNDDOWN(IF($AG125*U125&gt;요율!$E$3,($AG125*U125-요율!$E$3)*요율!$C$3%*요율!$D$3%,0),-1)</f>
        <v>0</v>
      </c>
      <c r="BT125" s="16">
        <f>ROUNDDOWN(IF($AG125*V125&gt;요율!$E$3,($AG125*V125-요율!$E$3)*요율!$C$3%*요율!$D$3%,0),-1)</f>
        <v>0</v>
      </c>
      <c r="BU125" s="16">
        <f>ROUNDDOWN(IF($AG125*W125&gt;요율!$E$3,($AG125*W125-요율!$E$3)*요율!$C$3%*요율!$D$3%,0),-1)</f>
        <v>0</v>
      </c>
      <c r="BV125" s="16">
        <f>ROUNDDOWN(IF($AG125*X125&gt;요율!$E$3,($AG125*X125-요율!$E$3)*요율!$C$3%*요율!$D$3%,0),-1)</f>
        <v>0</v>
      </c>
      <c r="BW125" s="16">
        <f>ROUNDDOWN(IF($AG125*Y125&gt;요율!$E$3,($AG125*Y125-요율!$E$3)*요율!$C$3%*요율!$D$3%,0),-1)</f>
        <v>0</v>
      </c>
      <c r="BX125" s="16">
        <f>ROUNDDOWN(IF($AG125*Z125&gt;요율!$E$3,($AG125*Z125-요율!$E$3)*요율!$C$3%*요율!$D$3%,0),-1)</f>
        <v>0</v>
      </c>
      <c r="BY125" s="16">
        <f>ROUNDDOWN(IF($AG125*AA125&gt;요율!$E$3,($AG125*AA125-요율!$E$3)*요율!$C$3%*요율!$D$3%,0),-1)</f>
        <v>0</v>
      </c>
      <c r="BZ125" s="16">
        <f>ROUNDDOWN(IF($AG125*AB125&gt;요율!$E$3,($AG125*AB125-요율!$E$3)*요율!$C$3%*요율!$D$3%,0),-1)</f>
        <v>0</v>
      </c>
      <c r="CA125" s="16">
        <f>ROUNDDOWN(IF($AG125*AC125&gt;요율!$E$3,($AG125*AC125-요율!$E$3)*요율!$C$3%*요율!$D$3%,0),-1)</f>
        <v>0</v>
      </c>
      <c r="CB125" s="31">
        <f>ROUNDDOWN(IF($AG125*AD125&gt;요율!$E$3,($AG125*AD125-요율!$E$3)*요율!$C$3%*요율!$D$3%,0),-1)</f>
        <v>0</v>
      </c>
      <c r="CD125" s="5" t="str">
        <f>IFERROR(VLOOKUP(B125,주소록,9,FALSE),"")</f>
        <v/>
      </c>
    </row>
    <row r="126" spans="1:82" ht="20.100000000000001" hidden="1" customHeight="1">
      <c r="A126" s="761"/>
      <c r="B126" s="261" t="str">
        <f>BA125</f>
        <v/>
      </c>
      <c r="C126" s="690" t="str">
        <f>IF(ISERROR(VLOOKUP(B125,주소록!$A$3:$K$523,7,0)),"",VLOOKUP(B125,주소록!$A$3:$K$523,5,0))</f>
        <v/>
      </c>
      <c r="D126" s="690"/>
      <c r="E126" s="690"/>
      <c r="F126" s="691"/>
      <c r="G126" s="692" t="str">
        <f>IF(ISERROR(VLOOKUP(B125,주소록!$A$3:$K$523,9,0)),"",VLOOKUP(B125,주소록!$A$3:$K$523,7,0))</f>
        <v/>
      </c>
      <c r="H126" s="693"/>
      <c r="I126" s="694"/>
      <c r="J126" s="692" t="str">
        <f>IF(ISERROR(VLOOKUP(B125,주소록!$A$3:$K$523,10,0)),"",VLOOKUP(B125,주소록!$A$3:$K$523,8,0))</f>
        <v/>
      </c>
      <c r="K126" s="693"/>
      <c r="L126" s="693"/>
      <c r="M126" s="693"/>
      <c r="N126" s="695"/>
      <c r="O126" s="474"/>
      <c r="P126" s="475"/>
      <c r="Q126" s="475"/>
      <c r="R126" s="468"/>
      <c r="S126" s="476"/>
      <c r="T126" s="474"/>
      <c r="U126" s="475"/>
      <c r="V126" s="475"/>
      <c r="W126" s="475"/>
      <c r="X126" s="477"/>
      <c r="Y126" s="479"/>
      <c r="Z126" s="475"/>
      <c r="AA126" s="475"/>
      <c r="AB126" s="475"/>
      <c r="AC126" s="475"/>
      <c r="AD126" s="477"/>
      <c r="AE126" s="696">
        <f>SUM(O125:AD126)</f>
        <v>0</v>
      </c>
      <c r="AF126" s="697"/>
      <c r="AG126" s="765"/>
      <c r="AH126" s="687"/>
      <c r="AI126" s="688"/>
      <c r="AJ126" s="689"/>
      <c r="AK126" s="698">
        <f>IF(C125=0,"",IF(MID(C125,7,1)="5","",IF(MID(C125,7,1)="6","",ROUNDDOWN((AK125*10%),-1))))</f>
        <v>0</v>
      </c>
      <c r="AL126" s="699"/>
      <c r="AM126" s="700"/>
      <c r="AN126" s="701">
        <f>ROUNDDOWN(AN125*요율!$F$5,-1)</f>
        <v>0</v>
      </c>
      <c r="AO126" s="701"/>
      <c r="AP126" s="701"/>
      <c r="AQ126" s="713">
        <f>IF(OR(AND(요율!$H$8="X",요율!$H$9="X",MID(C125,8,1)&gt;="5"),AND(요율!$H$8="○",요율!$H$9="X",MID(C125,8,1)&gt;="5")),"외국인",IF(요율!$H$8="X",IF(C125="",0,IF(OR(MID(C125,8,1)&lt;"3",AND(MID(C125,8,1)&gt;="5",MID(C125,8,1)&lt;="6")),IF(INT(TEXT($O$3,"yyyy.mmdd")-TEXT(TEXT(LEFT(C125,6),"1900-00-00"),"yyyy.mmdd"))&gt;=65,"65세이상",+TRUNC(AH125*요율!$C$9%,-1)),IF(INT(TEXT($O$3,"yyyy.mmdd")-TEXT(TEXT(LEFT(C125,6),"2000-00-00"),"yyyy.mmdd"))&gt;=65,"65세이상",+TRUNC(AH125*요율!$C$9%,-1)))),+TRUNC(AH125*요율!$C$9%,-1)))</f>
        <v>0</v>
      </c>
      <c r="AR126" s="699"/>
      <c r="AS126" s="699"/>
      <c r="AT126" s="714"/>
      <c r="AU126" s="715"/>
      <c r="AV126" s="716"/>
      <c r="AW126" s="723"/>
      <c r="AX126" s="724"/>
      <c r="AY126" s="725"/>
      <c r="AZ126" s="767"/>
      <c r="BA126" s="22" t="str">
        <f>BA125</f>
        <v/>
      </c>
      <c r="BB126" s="6">
        <v>2</v>
      </c>
      <c r="BC126" s="753"/>
      <c r="BD126" s="733">
        <f>B125</f>
        <v>0</v>
      </c>
      <c r="BE126" s="733"/>
      <c r="BF126" s="733"/>
      <c r="BG126" s="734">
        <f>SUM(BM125:CB126)</f>
        <v>0</v>
      </c>
      <c r="BH126" s="735"/>
      <c r="BI126" s="736"/>
      <c r="BJ126" s="144"/>
      <c r="BK126" s="145"/>
      <c r="BL126" s="146"/>
      <c r="BM126" s="17">
        <f>ROUNDDOWN(IF($AG125*O126&gt;요율!$E$3,($AG125*O126-요율!$E$3)*요율!$C$3%*요율!$D$3%,0),-1)</f>
        <v>0</v>
      </c>
      <c r="BN126" s="18">
        <f>ROUNDDOWN(IF($AG125*P126&gt;요율!$E$3,($AG125*P126-요율!$E$3)*요율!$C$3%*요율!$D$3%,0),-1)</f>
        <v>0</v>
      </c>
      <c r="BO126" s="18">
        <f>ROUNDDOWN(IF($AG125*Q126&gt;요율!$E$3,($AG125*Q126-요율!$E$3)*요율!$C$3%*요율!$D$3%,0),-1)</f>
        <v>0</v>
      </c>
      <c r="BP126" s="18">
        <f>ROUNDDOWN(IF($AG125*R126&gt;요율!$E$3,($AG125*R126-요율!$E$3)*요율!$C$3%*요율!$D$3%,0),-1)</f>
        <v>0</v>
      </c>
      <c r="BQ126" s="18">
        <f>ROUNDDOWN(IF($AG125*S126&gt;요율!$E$3,($AG125*S126-요율!$E$3)*요율!$C$3%*요율!$D$3%,0),-1)</f>
        <v>0</v>
      </c>
      <c r="BR126" s="18">
        <f>ROUNDDOWN(IF($AG125*T126&gt;요율!$E$3,($AG125*T126-요율!$E$3)*요율!$C$3%*요율!$D$3%,0),-1)</f>
        <v>0</v>
      </c>
      <c r="BS126" s="18">
        <f>ROUNDDOWN(IF($AG125*U126&gt;요율!$E$3,($AG125*U126-요율!$E$3)*요율!$C$3%*요율!$D$3%,0),-1)</f>
        <v>0</v>
      </c>
      <c r="BT126" s="18">
        <f>ROUNDDOWN(IF($AG125*V126&gt;요율!$E$3,($AG125*V126-요율!$E$3)*요율!$C$3%*요율!$D$3%,0),-1)</f>
        <v>0</v>
      </c>
      <c r="BU126" s="18">
        <f>ROUNDDOWN(IF($AG125*W126&gt;요율!$E$3,($AG125*W126-요율!$E$3)*요율!$C$3%*요율!$D$3%,0),-1)</f>
        <v>0</v>
      </c>
      <c r="BV126" s="18">
        <f>ROUNDDOWN(IF($AG125*X126&gt;요율!$E$3,($AG125*X126-요율!$E$3)*요율!$C$3%*요율!$D$3%,0),-1)</f>
        <v>0</v>
      </c>
      <c r="BW126" s="18">
        <f>ROUNDDOWN(IF($AG125*Y126&gt;요율!$E$3,($AG125*Y126-요율!$E$3)*요율!$C$3%*요율!$D$3%,0),-1)</f>
        <v>0</v>
      </c>
      <c r="BX126" s="18">
        <f>ROUNDDOWN(IF($AG125*Z126&gt;요율!$E$3,($AG125*Z126-요율!$E$3)*요율!$C$3%*요율!$D$3%,0),-1)</f>
        <v>0</v>
      </c>
      <c r="BY126" s="18">
        <f>ROUNDDOWN(IF($AG125*AA126&gt;요율!$E$3,($AG125*AA126-요율!$E$3)*요율!$C$3%*요율!$D$3%,0),-1)</f>
        <v>0</v>
      </c>
      <c r="BZ126" s="18">
        <f>ROUNDDOWN(IF($AG125*AB126&gt;요율!$E$3,($AG125*AB126-요율!$E$3)*요율!$C$3%*요율!$D$3%,0),-1)</f>
        <v>0</v>
      </c>
      <c r="CA126" s="18">
        <f>ROUNDDOWN(IF($AG125*AC126&gt;요율!$E$3,($AG125*AC126-요율!$E$3)*요율!$C$3%*요율!$D$3%,0),-1)</f>
        <v>0</v>
      </c>
      <c r="CB126" s="19">
        <f>ROUNDDOWN(IF($AG125*AD126&gt;요율!$E$3,($AG125*AD126-요율!$E$3)*요율!$C$3%*요율!$D$3%,0),-1)</f>
        <v>0</v>
      </c>
    </row>
    <row r="127" spans="1:82" ht="20.100000000000001" hidden="1" customHeight="1">
      <c r="A127" s="760">
        <f t="shared" si="2"/>
        <v>61</v>
      </c>
      <c r="B127" s="260"/>
      <c r="C127" s="708" t="str">
        <f>IF(ISERROR(VLOOKUP(B127,주소록!$A$3:$K$523,5,0)),"",VLOOKUP(B127,주소록!$A$3:$K$523,3,0))</f>
        <v/>
      </c>
      <c r="D127" s="708"/>
      <c r="E127" s="708"/>
      <c r="F127" s="709"/>
      <c r="G127" s="710" t="str">
        <f>IF(ISERROR(VLOOKUP(B127,주소록!$A$3:$K$523,6,0)),"",VLOOKUP(B127,주소록!$A$3:$K$523,4,0))</f>
        <v/>
      </c>
      <c r="H127" s="711"/>
      <c r="I127" s="711"/>
      <c r="J127" s="711"/>
      <c r="K127" s="711"/>
      <c r="L127" s="711"/>
      <c r="M127" s="711"/>
      <c r="N127" s="712"/>
      <c r="O127" s="469"/>
      <c r="P127" s="470"/>
      <c r="Q127" s="470"/>
      <c r="R127" s="470"/>
      <c r="S127" s="478"/>
      <c r="T127" s="469"/>
      <c r="U127" s="470"/>
      <c r="V127" s="470"/>
      <c r="W127" s="470"/>
      <c r="X127" s="471"/>
      <c r="Y127" s="472"/>
      <c r="Z127" s="467"/>
      <c r="AA127" s="470"/>
      <c r="AB127" s="470"/>
      <c r="AC127" s="470"/>
      <c r="AD127" s="473"/>
      <c r="AE127" s="762">
        <f>COUNTIF(O127:AD128,"&gt;=0.5")</f>
        <v>0</v>
      </c>
      <c r="AF127" s="763"/>
      <c r="AG127" s="764"/>
      <c r="AH127" s="684">
        <f>AE128*AG127</f>
        <v>0</v>
      </c>
      <c r="AI127" s="685"/>
      <c r="AJ127" s="686"/>
      <c r="AK127" s="755">
        <f>IF(BG128&lt;1000, 0, BG128)</f>
        <v>0</v>
      </c>
      <c r="AL127" s="756"/>
      <c r="AM127" s="757"/>
      <c r="AN127" s="758">
        <f>IF(요율!$H$7="○",IF(AE127&gt;=요율!$D$6,ROUNDDOWN(AH127*요율!$C$4%,-1),0),0)</f>
        <v>0</v>
      </c>
      <c r="AO127" s="756"/>
      <c r="AP127" s="757"/>
      <c r="AQ127" s="758">
        <f>BL127</f>
        <v>0</v>
      </c>
      <c r="AR127" s="756"/>
      <c r="AS127" s="759"/>
      <c r="AT127" s="717">
        <f>SUM(AK127:AS128)</f>
        <v>0</v>
      </c>
      <c r="AU127" s="718"/>
      <c r="AV127" s="719"/>
      <c r="AW127" s="720">
        <f>AH127-AT127-AT128</f>
        <v>0</v>
      </c>
      <c r="AX127" s="721"/>
      <c r="AY127" s="722"/>
      <c r="AZ127" s="766"/>
      <c r="BA127" s="21" t="str">
        <f>IF(ISERROR(VLOOKUP($B127,주소록!$A$3:$K$523,3,0)),"",VLOOKUP($B127,주소록!$A$3:$K$523,2,0))</f>
        <v/>
      </c>
      <c r="BB127" s="6">
        <v>1</v>
      </c>
      <c r="BC127" s="752">
        <f>A127</f>
        <v>61</v>
      </c>
      <c r="BD127" s="754" t="str">
        <f>IF(OR(MID(C127,8,1)&lt;"3",AND(MID(C127,8,1)&gt;="5",MID(C127,8,1)&lt;="6")),TEXT(TEXT(LEFT(C127,6),"1900-00-00"),"yyyy년 m월 d일"),TEXT(TEXT(LEFT(C127,6),"2000-00-00"),"yyyy년 m월 d일"))</f>
        <v/>
      </c>
      <c r="BE127" s="754"/>
      <c r="BF127" s="754"/>
      <c r="BG127" s="768">
        <f>IFERROR(INT( ( TEXT($O$3,"yyyy.mmdd") - TEXT(BD127,"yyyy.mmdd") )  ),0)</f>
        <v>0</v>
      </c>
      <c r="BH127" s="769"/>
      <c r="BI127" s="770"/>
      <c r="BJ127" s="133">
        <f>IF(BG127&gt;59,"60세이상",IF(OR(AE127&lt;요율!$D$6,AH127=0),0,IF(AH127&lt;요율!$C$7,요율!$D$7,IF(AH127&gt;요율!$C$8,요율!$D$8,+TRUNC(AH127*요율!$C$6%,-1)))))</f>
        <v>0</v>
      </c>
      <c r="BK127" s="143">
        <f>IF(BG127&gt;59,"60세이상",IF(OR(AH127&lt;2200000,AH127=0),0,IF(AH127&lt;요율!$C$7,요율!$D$7,IF(AH127&gt;요율!$C$8,요율!$D$8,+TRUNC(AH127*요율!$C$6%,-1)))))</f>
        <v>0</v>
      </c>
      <c r="BL127" s="140">
        <f>IF(BK127&gt;0,BK127,BJ127)</f>
        <v>0</v>
      </c>
      <c r="BM127" s="15">
        <f>ROUNDDOWN(IF($AG127*O127&gt;요율!$E$3,($AG127*O127-요율!$E$3)*요율!$C$3%*요율!$D$3%,0),-1)</f>
        <v>0</v>
      </c>
      <c r="BN127" s="16">
        <f>ROUNDDOWN(IF($AG127*P127&gt;요율!$E$3,($AG127*P127-요율!$E$3)*요율!$C$3%*요율!$D$3%,0),-1)</f>
        <v>0</v>
      </c>
      <c r="BO127" s="16">
        <f>ROUNDDOWN(IF($AG127*Q127&gt;요율!$E$3,($AG127*Q127-요율!$E$3)*요율!$C$3%*요율!$D$3%,0),-1)</f>
        <v>0</v>
      </c>
      <c r="BP127" s="16">
        <f>ROUNDDOWN(IF($AG127*R127&gt;요율!$E$3,($AG127*R127-요율!$E$3)*요율!$C$3%*요율!$D$3%,0),-1)</f>
        <v>0</v>
      </c>
      <c r="BQ127" s="16">
        <f>ROUNDDOWN(IF($AG127*S127&gt;요율!$E$3,($AG127*S127-요율!$E$3)*요율!$C$3%*요율!$D$3%,0),-1)</f>
        <v>0</v>
      </c>
      <c r="BR127" s="16">
        <f>ROUNDDOWN(IF($AG127*T127&gt;요율!$E$3,($AG127*T127-요율!$E$3)*요율!$C$3%*요율!$D$3%,0),-1)</f>
        <v>0</v>
      </c>
      <c r="BS127" s="16">
        <f>ROUNDDOWN(IF($AG127*U127&gt;요율!$E$3,($AG127*U127-요율!$E$3)*요율!$C$3%*요율!$D$3%,0),-1)</f>
        <v>0</v>
      </c>
      <c r="BT127" s="16">
        <f>ROUNDDOWN(IF($AG127*V127&gt;요율!$E$3,($AG127*V127-요율!$E$3)*요율!$C$3%*요율!$D$3%,0),-1)</f>
        <v>0</v>
      </c>
      <c r="BU127" s="16">
        <f>ROUNDDOWN(IF($AG127*W127&gt;요율!$E$3,($AG127*W127-요율!$E$3)*요율!$C$3%*요율!$D$3%,0),-1)</f>
        <v>0</v>
      </c>
      <c r="BV127" s="16">
        <f>ROUNDDOWN(IF($AG127*X127&gt;요율!$E$3,($AG127*X127-요율!$E$3)*요율!$C$3%*요율!$D$3%,0),-1)</f>
        <v>0</v>
      </c>
      <c r="BW127" s="16">
        <f>ROUNDDOWN(IF($AG127*Y127&gt;요율!$E$3,($AG127*Y127-요율!$E$3)*요율!$C$3%*요율!$D$3%,0),-1)</f>
        <v>0</v>
      </c>
      <c r="BX127" s="16">
        <f>ROUNDDOWN(IF($AG127*Z127&gt;요율!$E$3,($AG127*Z127-요율!$E$3)*요율!$C$3%*요율!$D$3%,0),-1)</f>
        <v>0</v>
      </c>
      <c r="BY127" s="16">
        <f>ROUNDDOWN(IF($AG127*AA127&gt;요율!$E$3,($AG127*AA127-요율!$E$3)*요율!$C$3%*요율!$D$3%,0),-1)</f>
        <v>0</v>
      </c>
      <c r="BZ127" s="16">
        <f>ROUNDDOWN(IF($AG127*AB127&gt;요율!$E$3,($AG127*AB127-요율!$E$3)*요율!$C$3%*요율!$D$3%,0),-1)</f>
        <v>0</v>
      </c>
      <c r="CA127" s="16">
        <f>ROUNDDOWN(IF($AG127*AC127&gt;요율!$E$3,($AG127*AC127-요율!$E$3)*요율!$C$3%*요율!$D$3%,0),-1)</f>
        <v>0</v>
      </c>
      <c r="CB127" s="31">
        <f>ROUNDDOWN(IF($AG127*AD127&gt;요율!$E$3,($AG127*AD127-요율!$E$3)*요율!$C$3%*요율!$D$3%,0),-1)</f>
        <v>0</v>
      </c>
      <c r="CD127" s="5" t="str">
        <f>IFERROR(VLOOKUP(B127,주소록,9,FALSE),"")</f>
        <v/>
      </c>
    </row>
    <row r="128" spans="1:82" ht="20.100000000000001" hidden="1" customHeight="1">
      <c r="A128" s="761"/>
      <c r="B128" s="261" t="str">
        <f>BA127</f>
        <v/>
      </c>
      <c r="C128" s="690" t="str">
        <f>IF(ISERROR(VLOOKUP(B127,주소록!$A$3:$K$523,7,0)),"",VLOOKUP(B127,주소록!$A$3:$K$523,5,0))</f>
        <v/>
      </c>
      <c r="D128" s="690"/>
      <c r="E128" s="690"/>
      <c r="F128" s="691"/>
      <c r="G128" s="692" t="str">
        <f>IF(ISERROR(VLOOKUP(B127,주소록!$A$3:$K$523,9,0)),"",VLOOKUP(B127,주소록!$A$3:$K$523,7,0))</f>
        <v/>
      </c>
      <c r="H128" s="693"/>
      <c r="I128" s="694"/>
      <c r="J128" s="692" t="str">
        <f>IF(ISERROR(VLOOKUP(B127,주소록!$A$3:$K$523,10,0)),"",VLOOKUP(B127,주소록!$A$3:$K$523,8,0))</f>
        <v/>
      </c>
      <c r="K128" s="693"/>
      <c r="L128" s="693"/>
      <c r="M128" s="693"/>
      <c r="N128" s="695"/>
      <c r="O128" s="474"/>
      <c r="P128" s="475"/>
      <c r="Q128" s="475"/>
      <c r="R128" s="468"/>
      <c r="S128" s="476"/>
      <c r="T128" s="474"/>
      <c r="U128" s="475"/>
      <c r="V128" s="475"/>
      <c r="W128" s="475"/>
      <c r="X128" s="477"/>
      <c r="Y128" s="479"/>
      <c r="Z128" s="475"/>
      <c r="AA128" s="475"/>
      <c r="AB128" s="475"/>
      <c r="AC128" s="475"/>
      <c r="AD128" s="477"/>
      <c r="AE128" s="696">
        <f>SUM(O127:AD128)</f>
        <v>0</v>
      </c>
      <c r="AF128" s="697"/>
      <c r="AG128" s="765"/>
      <c r="AH128" s="687"/>
      <c r="AI128" s="688"/>
      <c r="AJ128" s="689"/>
      <c r="AK128" s="698">
        <f>IF(C127=0,"",IF(MID(C127,7,1)="5","",IF(MID(C127,7,1)="6","",ROUNDDOWN((AK127*10%),-1))))</f>
        <v>0</v>
      </c>
      <c r="AL128" s="699"/>
      <c r="AM128" s="700"/>
      <c r="AN128" s="701">
        <f>ROUNDDOWN(AN127*요율!$F$5,-1)</f>
        <v>0</v>
      </c>
      <c r="AO128" s="701"/>
      <c r="AP128" s="701"/>
      <c r="AQ128" s="713">
        <f>IF(OR(AND(요율!$H$8="X",요율!$H$9="X",MID(C127,8,1)&gt;="5"),AND(요율!$H$8="○",요율!$H$9="X",MID(C127,8,1)&gt;="5")),"외국인",IF(요율!$H$8="X",IF(C127="",0,IF(OR(MID(C127,8,1)&lt;"3",AND(MID(C127,8,1)&gt;="5",MID(C127,8,1)&lt;="6")),IF(INT(TEXT($O$3,"yyyy.mmdd")-TEXT(TEXT(LEFT(C127,6),"1900-00-00"),"yyyy.mmdd"))&gt;=65,"65세이상",+TRUNC(AH127*요율!$C$9%,-1)),IF(INT(TEXT($O$3,"yyyy.mmdd")-TEXT(TEXT(LEFT(C127,6),"2000-00-00"),"yyyy.mmdd"))&gt;=65,"65세이상",+TRUNC(AH127*요율!$C$9%,-1)))),+TRUNC(AH127*요율!$C$9%,-1)))</f>
        <v>0</v>
      </c>
      <c r="AR128" s="699"/>
      <c r="AS128" s="699"/>
      <c r="AT128" s="714"/>
      <c r="AU128" s="715"/>
      <c r="AV128" s="716"/>
      <c r="AW128" s="723"/>
      <c r="AX128" s="724"/>
      <c r="AY128" s="725"/>
      <c r="AZ128" s="767"/>
      <c r="BA128" s="22" t="str">
        <f>BA127</f>
        <v/>
      </c>
      <c r="BB128" s="6">
        <v>2</v>
      </c>
      <c r="BC128" s="753"/>
      <c r="BD128" s="733">
        <f>B127</f>
        <v>0</v>
      </c>
      <c r="BE128" s="733"/>
      <c r="BF128" s="733"/>
      <c r="BG128" s="734">
        <f>SUM(BM127:CB128)</f>
        <v>0</v>
      </c>
      <c r="BH128" s="735"/>
      <c r="BI128" s="736"/>
      <c r="BJ128" s="144"/>
      <c r="BK128" s="145"/>
      <c r="BL128" s="146"/>
      <c r="BM128" s="17">
        <f>ROUNDDOWN(IF($AG127*O128&gt;요율!$E$3,($AG127*O128-요율!$E$3)*요율!$C$3%*요율!$D$3%,0),-1)</f>
        <v>0</v>
      </c>
      <c r="BN128" s="18">
        <f>ROUNDDOWN(IF($AG127*P128&gt;요율!$E$3,($AG127*P128-요율!$E$3)*요율!$C$3%*요율!$D$3%,0),-1)</f>
        <v>0</v>
      </c>
      <c r="BO128" s="18">
        <f>ROUNDDOWN(IF($AG127*Q128&gt;요율!$E$3,($AG127*Q128-요율!$E$3)*요율!$C$3%*요율!$D$3%,0),-1)</f>
        <v>0</v>
      </c>
      <c r="BP128" s="18">
        <f>ROUNDDOWN(IF($AG127*R128&gt;요율!$E$3,($AG127*R128-요율!$E$3)*요율!$C$3%*요율!$D$3%,0),-1)</f>
        <v>0</v>
      </c>
      <c r="BQ128" s="18">
        <f>ROUNDDOWN(IF($AG127*S128&gt;요율!$E$3,($AG127*S128-요율!$E$3)*요율!$C$3%*요율!$D$3%,0),-1)</f>
        <v>0</v>
      </c>
      <c r="BR128" s="18">
        <f>ROUNDDOWN(IF($AG127*T128&gt;요율!$E$3,($AG127*T128-요율!$E$3)*요율!$C$3%*요율!$D$3%,0),-1)</f>
        <v>0</v>
      </c>
      <c r="BS128" s="18">
        <f>ROUNDDOWN(IF($AG127*U128&gt;요율!$E$3,($AG127*U128-요율!$E$3)*요율!$C$3%*요율!$D$3%,0),-1)</f>
        <v>0</v>
      </c>
      <c r="BT128" s="18">
        <f>ROUNDDOWN(IF($AG127*V128&gt;요율!$E$3,($AG127*V128-요율!$E$3)*요율!$C$3%*요율!$D$3%,0),-1)</f>
        <v>0</v>
      </c>
      <c r="BU128" s="18">
        <f>ROUNDDOWN(IF($AG127*W128&gt;요율!$E$3,($AG127*W128-요율!$E$3)*요율!$C$3%*요율!$D$3%,0),-1)</f>
        <v>0</v>
      </c>
      <c r="BV128" s="18">
        <f>ROUNDDOWN(IF($AG127*X128&gt;요율!$E$3,($AG127*X128-요율!$E$3)*요율!$C$3%*요율!$D$3%,0),-1)</f>
        <v>0</v>
      </c>
      <c r="BW128" s="18">
        <f>ROUNDDOWN(IF($AG127*Y128&gt;요율!$E$3,($AG127*Y128-요율!$E$3)*요율!$C$3%*요율!$D$3%,0),-1)</f>
        <v>0</v>
      </c>
      <c r="BX128" s="18">
        <f>ROUNDDOWN(IF($AG127*Z128&gt;요율!$E$3,($AG127*Z128-요율!$E$3)*요율!$C$3%*요율!$D$3%,0),-1)</f>
        <v>0</v>
      </c>
      <c r="BY128" s="18">
        <f>ROUNDDOWN(IF($AG127*AA128&gt;요율!$E$3,($AG127*AA128-요율!$E$3)*요율!$C$3%*요율!$D$3%,0),-1)</f>
        <v>0</v>
      </c>
      <c r="BZ128" s="18">
        <f>ROUNDDOWN(IF($AG127*AB128&gt;요율!$E$3,($AG127*AB128-요율!$E$3)*요율!$C$3%*요율!$D$3%,0),-1)</f>
        <v>0</v>
      </c>
      <c r="CA128" s="18">
        <f>ROUNDDOWN(IF($AG127*AC128&gt;요율!$E$3,($AG127*AC128-요율!$E$3)*요율!$C$3%*요율!$D$3%,0),-1)</f>
        <v>0</v>
      </c>
      <c r="CB128" s="19">
        <f>ROUNDDOWN(IF($AG127*AD128&gt;요율!$E$3,($AG127*AD128-요율!$E$3)*요율!$C$3%*요율!$D$3%,0),-1)</f>
        <v>0</v>
      </c>
    </row>
    <row r="129" spans="1:82" ht="20.100000000000001" hidden="1" customHeight="1">
      <c r="A129" s="760">
        <f t="shared" si="2"/>
        <v>62</v>
      </c>
      <c r="B129" s="260"/>
      <c r="C129" s="708" t="str">
        <f>IF(ISERROR(VLOOKUP(B129,주소록!$A$3:$K$523,5,0)),"",VLOOKUP(B129,주소록!$A$3:$K$523,3,0))</f>
        <v/>
      </c>
      <c r="D129" s="708"/>
      <c r="E129" s="708"/>
      <c r="F129" s="709"/>
      <c r="G129" s="710" t="str">
        <f>IF(ISERROR(VLOOKUP(B129,주소록!$A$3:$K$523,6,0)),"",VLOOKUP(B129,주소록!$A$3:$K$523,4,0))</f>
        <v/>
      </c>
      <c r="H129" s="711"/>
      <c r="I129" s="711"/>
      <c r="J129" s="711"/>
      <c r="K129" s="711"/>
      <c r="L129" s="711"/>
      <c r="M129" s="711"/>
      <c r="N129" s="712"/>
      <c r="O129" s="469"/>
      <c r="P129" s="470"/>
      <c r="Q129" s="470"/>
      <c r="R129" s="470"/>
      <c r="S129" s="478"/>
      <c r="T129" s="469"/>
      <c r="U129" s="470"/>
      <c r="V129" s="470"/>
      <c r="W129" s="470"/>
      <c r="X129" s="471"/>
      <c r="Y129" s="472"/>
      <c r="Z129" s="467"/>
      <c r="AA129" s="470"/>
      <c r="AB129" s="470"/>
      <c r="AC129" s="470"/>
      <c r="AD129" s="473"/>
      <c r="AE129" s="762">
        <f>COUNTIF(O129:AD130,"&gt;=0.5")</f>
        <v>0</v>
      </c>
      <c r="AF129" s="763"/>
      <c r="AG129" s="764"/>
      <c r="AH129" s="684">
        <f>AE130*AG129</f>
        <v>0</v>
      </c>
      <c r="AI129" s="685"/>
      <c r="AJ129" s="686"/>
      <c r="AK129" s="755">
        <f>IF(BG130&lt;1000, 0, BG130)</f>
        <v>0</v>
      </c>
      <c r="AL129" s="756"/>
      <c r="AM129" s="757"/>
      <c r="AN129" s="758">
        <f>IF(요율!$H$7="○",IF(AE129&gt;=요율!$D$6,ROUNDDOWN(AH129*요율!$C$4%,-1),0),0)</f>
        <v>0</v>
      </c>
      <c r="AO129" s="756"/>
      <c r="AP129" s="757"/>
      <c r="AQ129" s="758">
        <f>BL129</f>
        <v>0</v>
      </c>
      <c r="AR129" s="756"/>
      <c r="AS129" s="759"/>
      <c r="AT129" s="717">
        <f>SUM(AK129:AS130)</f>
        <v>0</v>
      </c>
      <c r="AU129" s="718"/>
      <c r="AV129" s="719"/>
      <c r="AW129" s="720">
        <f>AH129-AT129-AT130</f>
        <v>0</v>
      </c>
      <c r="AX129" s="721"/>
      <c r="AY129" s="722"/>
      <c r="AZ129" s="766"/>
      <c r="BA129" s="21" t="str">
        <f>IF(ISERROR(VLOOKUP($B129,주소록!$A$3:$K$523,3,0)),"",VLOOKUP($B129,주소록!$A$3:$K$523,2,0))</f>
        <v/>
      </c>
      <c r="BB129" s="6">
        <v>1</v>
      </c>
      <c r="BC129" s="752">
        <f>A129</f>
        <v>62</v>
      </c>
      <c r="BD129" s="754" t="str">
        <f>IF(OR(MID(C129,8,1)&lt;"3",AND(MID(C129,8,1)&gt;="5",MID(C129,8,1)&lt;="6")),TEXT(TEXT(LEFT(C129,6),"1900-00-00"),"yyyy년 m월 d일"),TEXT(TEXT(LEFT(C129,6),"2000-00-00"),"yyyy년 m월 d일"))</f>
        <v/>
      </c>
      <c r="BE129" s="754"/>
      <c r="BF129" s="754"/>
      <c r="BG129" s="768">
        <f>IFERROR(INT( ( TEXT($O$3,"yyyy.mmdd") - TEXT(BD129,"yyyy.mmdd") )  ),0)</f>
        <v>0</v>
      </c>
      <c r="BH129" s="769"/>
      <c r="BI129" s="770"/>
      <c r="BJ129" s="133">
        <f>IF(BG129&gt;59,"60세이상",IF(OR(AE129&lt;요율!$D$6,AH129=0),0,IF(AH129&lt;요율!$C$7,요율!$D$7,IF(AH129&gt;요율!$C$8,요율!$D$8,+TRUNC(AH129*요율!$C$6%,-1)))))</f>
        <v>0</v>
      </c>
      <c r="BK129" s="143">
        <f>IF(BG129&gt;59,"60세이상",IF(OR(AH129&lt;2200000,AH129=0),0,IF(AH129&lt;요율!$C$7,요율!$D$7,IF(AH129&gt;요율!$C$8,요율!$D$8,+TRUNC(AH129*요율!$C$6%,-1)))))</f>
        <v>0</v>
      </c>
      <c r="BL129" s="140">
        <f>IF(BK129&gt;0,BK129,BJ129)</f>
        <v>0</v>
      </c>
      <c r="BM129" s="15">
        <f>ROUNDDOWN(IF($AG129*O129&gt;요율!$E$3,($AG129*O129-요율!$E$3)*요율!$C$3%*요율!$D$3%,0),-1)</f>
        <v>0</v>
      </c>
      <c r="BN129" s="16">
        <f>ROUNDDOWN(IF($AG129*P129&gt;요율!$E$3,($AG129*P129-요율!$E$3)*요율!$C$3%*요율!$D$3%,0),-1)</f>
        <v>0</v>
      </c>
      <c r="BO129" s="16">
        <f>ROUNDDOWN(IF($AG129*Q129&gt;요율!$E$3,($AG129*Q129-요율!$E$3)*요율!$C$3%*요율!$D$3%,0),-1)</f>
        <v>0</v>
      </c>
      <c r="BP129" s="16">
        <f>ROUNDDOWN(IF($AG129*R129&gt;요율!$E$3,($AG129*R129-요율!$E$3)*요율!$C$3%*요율!$D$3%,0),-1)</f>
        <v>0</v>
      </c>
      <c r="BQ129" s="16">
        <f>ROUNDDOWN(IF($AG129*S129&gt;요율!$E$3,($AG129*S129-요율!$E$3)*요율!$C$3%*요율!$D$3%,0),-1)</f>
        <v>0</v>
      </c>
      <c r="BR129" s="16">
        <f>ROUNDDOWN(IF($AG129*T129&gt;요율!$E$3,($AG129*T129-요율!$E$3)*요율!$C$3%*요율!$D$3%,0),-1)</f>
        <v>0</v>
      </c>
      <c r="BS129" s="16">
        <f>ROUNDDOWN(IF($AG129*U129&gt;요율!$E$3,($AG129*U129-요율!$E$3)*요율!$C$3%*요율!$D$3%,0),-1)</f>
        <v>0</v>
      </c>
      <c r="BT129" s="16">
        <f>ROUNDDOWN(IF($AG129*V129&gt;요율!$E$3,($AG129*V129-요율!$E$3)*요율!$C$3%*요율!$D$3%,0),-1)</f>
        <v>0</v>
      </c>
      <c r="BU129" s="16">
        <f>ROUNDDOWN(IF($AG129*W129&gt;요율!$E$3,($AG129*W129-요율!$E$3)*요율!$C$3%*요율!$D$3%,0),-1)</f>
        <v>0</v>
      </c>
      <c r="BV129" s="16">
        <f>ROUNDDOWN(IF($AG129*X129&gt;요율!$E$3,($AG129*X129-요율!$E$3)*요율!$C$3%*요율!$D$3%,0),-1)</f>
        <v>0</v>
      </c>
      <c r="BW129" s="16">
        <f>ROUNDDOWN(IF($AG129*Y129&gt;요율!$E$3,($AG129*Y129-요율!$E$3)*요율!$C$3%*요율!$D$3%,0),-1)</f>
        <v>0</v>
      </c>
      <c r="BX129" s="16">
        <f>ROUNDDOWN(IF($AG129*Z129&gt;요율!$E$3,($AG129*Z129-요율!$E$3)*요율!$C$3%*요율!$D$3%,0),-1)</f>
        <v>0</v>
      </c>
      <c r="BY129" s="16">
        <f>ROUNDDOWN(IF($AG129*AA129&gt;요율!$E$3,($AG129*AA129-요율!$E$3)*요율!$C$3%*요율!$D$3%,0),-1)</f>
        <v>0</v>
      </c>
      <c r="BZ129" s="16">
        <f>ROUNDDOWN(IF($AG129*AB129&gt;요율!$E$3,($AG129*AB129-요율!$E$3)*요율!$C$3%*요율!$D$3%,0),-1)</f>
        <v>0</v>
      </c>
      <c r="CA129" s="16">
        <f>ROUNDDOWN(IF($AG129*AC129&gt;요율!$E$3,($AG129*AC129-요율!$E$3)*요율!$C$3%*요율!$D$3%,0),-1)</f>
        <v>0</v>
      </c>
      <c r="CB129" s="31">
        <f>ROUNDDOWN(IF($AG129*AD129&gt;요율!$E$3,($AG129*AD129-요율!$E$3)*요율!$C$3%*요율!$D$3%,0),-1)</f>
        <v>0</v>
      </c>
      <c r="CD129" s="5" t="str">
        <f>IFERROR(VLOOKUP(B129,주소록,9,FALSE),"")</f>
        <v/>
      </c>
    </row>
    <row r="130" spans="1:82" ht="20.100000000000001" hidden="1" customHeight="1">
      <c r="A130" s="761"/>
      <c r="B130" s="261" t="str">
        <f>BA129</f>
        <v/>
      </c>
      <c r="C130" s="690" t="str">
        <f>IF(ISERROR(VLOOKUP(B129,주소록!$A$3:$K$523,7,0)),"",VLOOKUP(B129,주소록!$A$3:$K$523,5,0))</f>
        <v/>
      </c>
      <c r="D130" s="690"/>
      <c r="E130" s="690"/>
      <c r="F130" s="691"/>
      <c r="G130" s="692" t="str">
        <f>IF(ISERROR(VLOOKUP(B129,주소록!$A$3:$K$523,9,0)),"",VLOOKUP(B129,주소록!$A$3:$K$523,7,0))</f>
        <v/>
      </c>
      <c r="H130" s="693"/>
      <c r="I130" s="694"/>
      <c r="J130" s="692" t="str">
        <f>IF(ISERROR(VLOOKUP(B129,주소록!$A$3:$K$523,10,0)),"",VLOOKUP(B129,주소록!$A$3:$K$523,8,0))</f>
        <v/>
      </c>
      <c r="K130" s="693"/>
      <c r="L130" s="693"/>
      <c r="M130" s="693"/>
      <c r="N130" s="695"/>
      <c r="O130" s="474"/>
      <c r="P130" s="475"/>
      <c r="Q130" s="475"/>
      <c r="R130" s="468"/>
      <c r="S130" s="476"/>
      <c r="T130" s="474"/>
      <c r="U130" s="475"/>
      <c r="V130" s="475"/>
      <c r="W130" s="475"/>
      <c r="X130" s="477"/>
      <c r="Y130" s="479"/>
      <c r="Z130" s="475"/>
      <c r="AA130" s="475"/>
      <c r="AB130" s="475"/>
      <c r="AC130" s="475"/>
      <c r="AD130" s="477"/>
      <c r="AE130" s="696">
        <f>SUM(O129:AD130)</f>
        <v>0</v>
      </c>
      <c r="AF130" s="697"/>
      <c r="AG130" s="765"/>
      <c r="AH130" s="687"/>
      <c r="AI130" s="688"/>
      <c r="AJ130" s="689"/>
      <c r="AK130" s="698">
        <f>IF(C129=0,"",IF(MID(C129,7,1)="5","",IF(MID(C129,7,1)="6","",ROUNDDOWN((AK129*10%),-1))))</f>
        <v>0</v>
      </c>
      <c r="AL130" s="699"/>
      <c r="AM130" s="700"/>
      <c r="AN130" s="701">
        <f>ROUNDDOWN(AN129*요율!$F$5,-1)</f>
        <v>0</v>
      </c>
      <c r="AO130" s="701"/>
      <c r="AP130" s="701"/>
      <c r="AQ130" s="713">
        <f>IF(OR(AND(요율!$H$8="X",요율!$H$9="X",MID(C129,8,1)&gt;="5"),AND(요율!$H$8="○",요율!$H$9="X",MID(C129,8,1)&gt;="5")),"외국인",IF(요율!$H$8="X",IF(C129="",0,IF(OR(MID(C129,8,1)&lt;"3",AND(MID(C129,8,1)&gt;="5",MID(C129,8,1)&lt;="6")),IF(INT(TEXT($O$3,"yyyy.mmdd")-TEXT(TEXT(LEFT(C129,6),"1900-00-00"),"yyyy.mmdd"))&gt;=65,"65세이상",+TRUNC(AH129*요율!$C$9%,-1)),IF(INT(TEXT($O$3,"yyyy.mmdd")-TEXT(TEXT(LEFT(C129,6),"2000-00-00"),"yyyy.mmdd"))&gt;=65,"65세이상",+TRUNC(AH129*요율!$C$9%,-1)))),+TRUNC(AH129*요율!$C$9%,-1)))</f>
        <v>0</v>
      </c>
      <c r="AR130" s="699"/>
      <c r="AS130" s="699"/>
      <c r="AT130" s="714"/>
      <c r="AU130" s="715"/>
      <c r="AV130" s="716"/>
      <c r="AW130" s="723"/>
      <c r="AX130" s="724"/>
      <c r="AY130" s="725"/>
      <c r="AZ130" s="767"/>
      <c r="BA130" s="22" t="str">
        <f>BA129</f>
        <v/>
      </c>
      <c r="BB130" s="6">
        <v>2</v>
      </c>
      <c r="BC130" s="753"/>
      <c r="BD130" s="733">
        <f>B129</f>
        <v>0</v>
      </c>
      <c r="BE130" s="733"/>
      <c r="BF130" s="733"/>
      <c r="BG130" s="734">
        <f>SUM(BM129:CB130)</f>
        <v>0</v>
      </c>
      <c r="BH130" s="735"/>
      <c r="BI130" s="736"/>
      <c r="BJ130" s="144"/>
      <c r="BK130" s="145"/>
      <c r="BL130" s="146"/>
      <c r="BM130" s="17">
        <f>ROUNDDOWN(IF($AG129*O130&gt;요율!$E$3,($AG129*O130-요율!$E$3)*요율!$C$3%*요율!$D$3%,0),-1)</f>
        <v>0</v>
      </c>
      <c r="BN130" s="18">
        <f>ROUNDDOWN(IF($AG129*P130&gt;요율!$E$3,($AG129*P130-요율!$E$3)*요율!$C$3%*요율!$D$3%,0),-1)</f>
        <v>0</v>
      </c>
      <c r="BO130" s="18">
        <f>ROUNDDOWN(IF($AG129*Q130&gt;요율!$E$3,($AG129*Q130-요율!$E$3)*요율!$C$3%*요율!$D$3%,0),-1)</f>
        <v>0</v>
      </c>
      <c r="BP130" s="18">
        <f>ROUNDDOWN(IF($AG129*R130&gt;요율!$E$3,($AG129*R130-요율!$E$3)*요율!$C$3%*요율!$D$3%,0),-1)</f>
        <v>0</v>
      </c>
      <c r="BQ130" s="18">
        <f>ROUNDDOWN(IF($AG129*S130&gt;요율!$E$3,($AG129*S130-요율!$E$3)*요율!$C$3%*요율!$D$3%,0),-1)</f>
        <v>0</v>
      </c>
      <c r="BR130" s="18">
        <f>ROUNDDOWN(IF($AG129*T130&gt;요율!$E$3,($AG129*T130-요율!$E$3)*요율!$C$3%*요율!$D$3%,0),-1)</f>
        <v>0</v>
      </c>
      <c r="BS130" s="18">
        <f>ROUNDDOWN(IF($AG129*U130&gt;요율!$E$3,($AG129*U130-요율!$E$3)*요율!$C$3%*요율!$D$3%,0),-1)</f>
        <v>0</v>
      </c>
      <c r="BT130" s="18">
        <f>ROUNDDOWN(IF($AG129*V130&gt;요율!$E$3,($AG129*V130-요율!$E$3)*요율!$C$3%*요율!$D$3%,0),-1)</f>
        <v>0</v>
      </c>
      <c r="BU130" s="18">
        <f>ROUNDDOWN(IF($AG129*W130&gt;요율!$E$3,($AG129*W130-요율!$E$3)*요율!$C$3%*요율!$D$3%,0),-1)</f>
        <v>0</v>
      </c>
      <c r="BV130" s="18">
        <f>ROUNDDOWN(IF($AG129*X130&gt;요율!$E$3,($AG129*X130-요율!$E$3)*요율!$C$3%*요율!$D$3%,0),-1)</f>
        <v>0</v>
      </c>
      <c r="BW130" s="18">
        <f>ROUNDDOWN(IF($AG129*Y130&gt;요율!$E$3,($AG129*Y130-요율!$E$3)*요율!$C$3%*요율!$D$3%,0),-1)</f>
        <v>0</v>
      </c>
      <c r="BX130" s="18">
        <f>ROUNDDOWN(IF($AG129*Z130&gt;요율!$E$3,($AG129*Z130-요율!$E$3)*요율!$C$3%*요율!$D$3%,0),-1)</f>
        <v>0</v>
      </c>
      <c r="BY130" s="18">
        <f>ROUNDDOWN(IF($AG129*AA130&gt;요율!$E$3,($AG129*AA130-요율!$E$3)*요율!$C$3%*요율!$D$3%,0),-1)</f>
        <v>0</v>
      </c>
      <c r="BZ130" s="18">
        <f>ROUNDDOWN(IF($AG129*AB130&gt;요율!$E$3,($AG129*AB130-요율!$E$3)*요율!$C$3%*요율!$D$3%,0),-1)</f>
        <v>0</v>
      </c>
      <c r="CA130" s="18">
        <f>ROUNDDOWN(IF($AG129*AC130&gt;요율!$E$3,($AG129*AC130-요율!$E$3)*요율!$C$3%*요율!$D$3%,0),-1)</f>
        <v>0</v>
      </c>
      <c r="CB130" s="19">
        <f>ROUNDDOWN(IF($AG129*AD130&gt;요율!$E$3,($AG129*AD130-요율!$E$3)*요율!$C$3%*요율!$D$3%,0),-1)</f>
        <v>0</v>
      </c>
    </row>
    <row r="131" spans="1:82" ht="20.100000000000001" hidden="1" customHeight="1">
      <c r="A131" s="760">
        <f t="shared" si="2"/>
        <v>63</v>
      </c>
      <c r="B131" s="260"/>
      <c r="C131" s="708" t="str">
        <f>IF(ISERROR(VLOOKUP(B131,주소록!$A$3:$K$523,5,0)),"",VLOOKUP(B131,주소록!$A$3:$K$523,3,0))</f>
        <v/>
      </c>
      <c r="D131" s="708"/>
      <c r="E131" s="708"/>
      <c r="F131" s="709"/>
      <c r="G131" s="710" t="str">
        <f>IF(ISERROR(VLOOKUP(B131,주소록!$A$3:$K$523,6,0)),"",VLOOKUP(B131,주소록!$A$3:$K$523,4,0))</f>
        <v/>
      </c>
      <c r="H131" s="711"/>
      <c r="I131" s="711"/>
      <c r="J131" s="711"/>
      <c r="K131" s="711"/>
      <c r="L131" s="711"/>
      <c r="M131" s="711"/>
      <c r="N131" s="712"/>
      <c r="O131" s="469"/>
      <c r="P131" s="470"/>
      <c r="Q131" s="470"/>
      <c r="R131" s="470"/>
      <c r="S131" s="478"/>
      <c r="T131" s="469"/>
      <c r="U131" s="470"/>
      <c r="V131" s="470"/>
      <c r="W131" s="470"/>
      <c r="X131" s="471"/>
      <c r="Y131" s="472"/>
      <c r="Z131" s="467"/>
      <c r="AA131" s="470"/>
      <c r="AB131" s="470"/>
      <c r="AC131" s="470"/>
      <c r="AD131" s="473"/>
      <c r="AE131" s="762">
        <f>COUNTIF(O131:AD132,"&gt;=0.5")</f>
        <v>0</v>
      </c>
      <c r="AF131" s="763"/>
      <c r="AG131" s="764"/>
      <c r="AH131" s="684">
        <f>AE132*AG131</f>
        <v>0</v>
      </c>
      <c r="AI131" s="685"/>
      <c r="AJ131" s="686"/>
      <c r="AK131" s="755">
        <f>IF(BG132&lt;1000, 0, BG132)</f>
        <v>0</v>
      </c>
      <c r="AL131" s="756"/>
      <c r="AM131" s="757"/>
      <c r="AN131" s="758">
        <f>IF(요율!$H$7="○",IF(AE131&gt;=요율!$D$6,ROUNDDOWN(AH131*요율!$C$4%,-1),0),0)</f>
        <v>0</v>
      </c>
      <c r="AO131" s="756"/>
      <c r="AP131" s="757"/>
      <c r="AQ131" s="758">
        <f>BL131</f>
        <v>0</v>
      </c>
      <c r="AR131" s="756"/>
      <c r="AS131" s="759"/>
      <c r="AT131" s="717">
        <f>SUM(AK131:AS132)</f>
        <v>0</v>
      </c>
      <c r="AU131" s="718"/>
      <c r="AV131" s="719"/>
      <c r="AW131" s="720">
        <f>AH131-AT131-AT132</f>
        <v>0</v>
      </c>
      <c r="AX131" s="721"/>
      <c r="AY131" s="722"/>
      <c r="AZ131" s="766"/>
      <c r="BA131" s="21" t="str">
        <f>IF(ISERROR(VLOOKUP($B131,주소록!$A$3:$K$523,3,0)),"",VLOOKUP($B131,주소록!$A$3:$K$523,2,0))</f>
        <v/>
      </c>
      <c r="BB131" s="6">
        <v>1</v>
      </c>
      <c r="BC131" s="752">
        <f>A131</f>
        <v>63</v>
      </c>
      <c r="BD131" s="754" t="str">
        <f>IF(OR(MID(C131,8,1)&lt;"3",AND(MID(C131,8,1)&gt;="5",MID(C131,8,1)&lt;="6")),TEXT(TEXT(LEFT(C131,6),"1900-00-00"),"yyyy년 m월 d일"),TEXT(TEXT(LEFT(C131,6),"2000-00-00"),"yyyy년 m월 d일"))</f>
        <v/>
      </c>
      <c r="BE131" s="754"/>
      <c r="BF131" s="754"/>
      <c r="BG131" s="768">
        <f>IFERROR(INT( ( TEXT($O$3,"yyyy.mmdd") - TEXT(BD131,"yyyy.mmdd") )  ),0)</f>
        <v>0</v>
      </c>
      <c r="BH131" s="769"/>
      <c r="BI131" s="770"/>
      <c r="BJ131" s="133">
        <f>IF(BG131&gt;59,"60세이상",IF(OR(AE131&lt;요율!$D$6,AH131=0),0,IF(AH131&lt;요율!$C$7,요율!$D$7,IF(AH131&gt;요율!$C$8,요율!$D$8,+TRUNC(AH131*요율!$C$6%,-1)))))</f>
        <v>0</v>
      </c>
      <c r="BK131" s="143">
        <f>IF(BG131&gt;59,"60세이상",IF(OR(AH131&lt;2200000,AH131=0),0,IF(AH131&lt;요율!$C$7,요율!$D$7,IF(AH131&gt;요율!$C$8,요율!$D$8,+TRUNC(AH131*요율!$C$6%,-1)))))</f>
        <v>0</v>
      </c>
      <c r="BL131" s="140">
        <f>IF(BK131&gt;0,BK131,BJ131)</f>
        <v>0</v>
      </c>
      <c r="BM131" s="15">
        <f>ROUNDDOWN(IF($AG131*O131&gt;요율!$E$3,($AG131*O131-요율!$E$3)*요율!$C$3%*요율!$D$3%,0),-1)</f>
        <v>0</v>
      </c>
      <c r="BN131" s="16">
        <f>ROUNDDOWN(IF($AG131*P131&gt;요율!$E$3,($AG131*P131-요율!$E$3)*요율!$C$3%*요율!$D$3%,0),-1)</f>
        <v>0</v>
      </c>
      <c r="BO131" s="16">
        <f>ROUNDDOWN(IF($AG131*Q131&gt;요율!$E$3,($AG131*Q131-요율!$E$3)*요율!$C$3%*요율!$D$3%,0),-1)</f>
        <v>0</v>
      </c>
      <c r="BP131" s="16">
        <f>ROUNDDOWN(IF($AG131*R131&gt;요율!$E$3,($AG131*R131-요율!$E$3)*요율!$C$3%*요율!$D$3%,0),-1)</f>
        <v>0</v>
      </c>
      <c r="BQ131" s="16">
        <f>ROUNDDOWN(IF($AG131*S131&gt;요율!$E$3,($AG131*S131-요율!$E$3)*요율!$C$3%*요율!$D$3%,0),-1)</f>
        <v>0</v>
      </c>
      <c r="BR131" s="16">
        <f>ROUNDDOWN(IF($AG131*T131&gt;요율!$E$3,($AG131*T131-요율!$E$3)*요율!$C$3%*요율!$D$3%,0),-1)</f>
        <v>0</v>
      </c>
      <c r="BS131" s="16">
        <f>ROUNDDOWN(IF($AG131*U131&gt;요율!$E$3,($AG131*U131-요율!$E$3)*요율!$C$3%*요율!$D$3%,0),-1)</f>
        <v>0</v>
      </c>
      <c r="BT131" s="16">
        <f>ROUNDDOWN(IF($AG131*V131&gt;요율!$E$3,($AG131*V131-요율!$E$3)*요율!$C$3%*요율!$D$3%,0),-1)</f>
        <v>0</v>
      </c>
      <c r="BU131" s="16">
        <f>ROUNDDOWN(IF($AG131*W131&gt;요율!$E$3,($AG131*W131-요율!$E$3)*요율!$C$3%*요율!$D$3%,0),-1)</f>
        <v>0</v>
      </c>
      <c r="BV131" s="16">
        <f>ROUNDDOWN(IF($AG131*X131&gt;요율!$E$3,($AG131*X131-요율!$E$3)*요율!$C$3%*요율!$D$3%,0),-1)</f>
        <v>0</v>
      </c>
      <c r="BW131" s="16">
        <f>ROUNDDOWN(IF($AG131*Y131&gt;요율!$E$3,($AG131*Y131-요율!$E$3)*요율!$C$3%*요율!$D$3%,0),-1)</f>
        <v>0</v>
      </c>
      <c r="BX131" s="16">
        <f>ROUNDDOWN(IF($AG131*Z131&gt;요율!$E$3,($AG131*Z131-요율!$E$3)*요율!$C$3%*요율!$D$3%,0),-1)</f>
        <v>0</v>
      </c>
      <c r="BY131" s="16">
        <f>ROUNDDOWN(IF($AG131*AA131&gt;요율!$E$3,($AG131*AA131-요율!$E$3)*요율!$C$3%*요율!$D$3%,0),-1)</f>
        <v>0</v>
      </c>
      <c r="BZ131" s="16">
        <f>ROUNDDOWN(IF($AG131*AB131&gt;요율!$E$3,($AG131*AB131-요율!$E$3)*요율!$C$3%*요율!$D$3%,0),-1)</f>
        <v>0</v>
      </c>
      <c r="CA131" s="16">
        <f>ROUNDDOWN(IF($AG131*AC131&gt;요율!$E$3,($AG131*AC131-요율!$E$3)*요율!$C$3%*요율!$D$3%,0),-1)</f>
        <v>0</v>
      </c>
      <c r="CB131" s="31">
        <f>ROUNDDOWN(IF($AG131*AD131&gt;요율!$E$3,($AG131*AD131-요율!$E$3)*요율!$C$3%*요율!$D$3%,0),-1)</f>
        <v>0</v>
      </c>
      <c r="CD131" s="5" t="str">
        <f>IFERROR(VLOOKUP(B131,주소록,9,FALSE),"")</f>
        <v/>
      </c>
    </row>
    <row r="132" spans="1:82" ht="20.100000000000001" hidden="1" customHeight="1">
      <c r="A132" s="761"/>
      <c r="B132" s="261" t="str">
        <f>BA131</f>
        <v/>
      </c>
      <c r="C132" s="690" t="str">
        <f>IF(ISERROR(VLOOKUP(B131,주소록!$A$3:$K$523,7,0)),"",VLOOKUP(B131,주소록!$A$3:$K$523,5,0))</f>
        <v/>
      </c>
      <c r="D132" s="690"/>
      <c r="E132" s="690"/>
      <c r="F132" s="691"/>
      <c r="G132" s="692" t="str">
        <f>IF(ISERROR(VLOOKUP(B131,주소록!$A$3:$K$523,9,0)),"",VLOOKUP(B131,주소록!$A$3:$K$523,7,0))</f>
        <v/>
      </c>
      <c r="H132" s="693"/>
      <c r="I132" s="694"/>
      <c r="J132" s="692" t="str">
        <f>IF(ISERROR(VLOOKUP(B131,주소록!$A$3:$K$523,10,0)),"",VLOOKUP(B131,주소록!$A$3:$K$523,8,0))</f>
        <v/>
      </c>
      <c r="K132" s="693"/>
      <c r="L132" s="693"/>
      <c r="M132" s="693"/>
      <c r="N132" s="695"/>
      <c r="O132" s="474"/>
      <c r="P132" s="475"/>
      <c r="Q132" s="475"/>
      <c r="R132" s="468"/>
      <c r="S132" s="476"/>
      <c r="T132" s="474"/>
      <c r="U132" s="475"/>
      <c r="V132" s="475"/>
      <c r="W132" s="475"/>
      <c r="X132" s="477"/>
      <c r="Y132" s="479"/>
      <c r="Z132" s="475"/>
      <c r="AA132" s="475"/>
      <c r="AB132" s="475"/>
      <c r="AC132" s="475"/>
      <c r="AD132" s="477"/>
      <c r="AE132" s="696">
        <f>SUM(O131:AD132)</f>
        <v>0</v>
      </c>
      <c r="AF132" s="697"/>
      <c r="AG132" s="765"/>
      <c r="AH132" s="687"/>
      <c r="AI132" s="688"/>
      <c r="AJ132" s="689"/>
      <c r="AK132" s="698">
        <f>IF(C131=0,"",IF(MID(C131,7,1)="5","",IF(MID(C131,7,1)="6","",ROUNDDOWN((AK131*10%),-1))))</f>
        <v>0</v>
      </c>
      <c r="AL132" s="699"/>
      <c r="AM132" s="700"/>
      <c r="AN132" s="701">
        <f>ROUNDDOWN(AN131*요율!$F$5,-1)</f>
        <v>0</v>
      </c>
      <c r="AO132" s="701"/>
      <c r="AP132" s="701"/>
      <c r="AQ132" s="713">
        <f>IF(OR(AND(요율!$H$8="X",요율!$H$9="X",MID(C131,8,1)&gt;="5"),AND(요율!$H$8="○",요율!$H$9="X",MID(C131,8,1)&gt;="5")),"외국인",IF(요율!$H$8="X",IF(C131="",0,IF(OR(MID(C131,8,1)&lt;"3",AND(MID(C131,8,1)&gt;="5",MID(C131,8,1)&lt;="6")),IF(INT(TEXT($O$3,"yyyy.mmdd")-TEXT(TEXT(LEFT(C131,6),"1900-00-00"),"yyyy.mmdd"))&gt;=65,"65세이상",+TRUNC(AH131*요율!$C$9%,-1)),IF(INT(TEXT($O$3,"yyyy.mmdd")-TEXT(TEXT(LEFT(C131,6),"2000-00-00"),"yyyy.mmdd"))&gt;=65,"65세이상",+TRUNC(AH131*요율!$C$9%,-1)))),+TRUNC(AH131*요율!$C$9%,-1)))</f>
        <v>0</v>
      </c>
      <c r="AR132" s="699"/>
      <c r="AS132" s="699"/>
      <c r="AT132" s="714"/>
      <c r="AU132" s="715"/>
      <c r="AV132" s="716"/>
      <c r="AW132" s="723"/>
      <c r="AX132" s="724"/>
      <c r="AY132" s="725"/>
      <c r="AZ132" s="767"/>
      <c r="BA132" s="22" t="str">
        <f>BA131</f>
        <v/>
      </c>
      <c r="BB132" s="6">
        <v>2</v>
      </c>
      <c r="BC132" s="753"/>
      <c r="BD132" s="733">
        <f>B131</f>
        <v>0</v>
      </c>
      <c r="BE132" s="733"/>
      <c r="BF132" s="733"/>
      <c r="BG132" s="734">
        <f>SUM(BM131:CB132)</f>
        <v>0</v>
      </c>
      <c r="BH132" s="735"/>
      <c r="BI132" s="736"/>
      <c r="BJ132" s="144"/>
      <c r="BK132" s="145"/>
      <c r="BL132" s="146"/>
      <c r="BM132" s="17">
        <f>ROUNDDOWN(IF($AG131*O132&gt;요율!$E$3,($AG131*O132-요율!$E$3)*요율!$C$3%*요율!$D$3%,0),-1)</f>
        <v>0</v>
      </c>
      <c r="BN132" s="18">
        <f>ROUNDDOWN(IF($AG131*P132&gt;요율!$E$3,($AG131*P132-요율!$E$3)*요율!$C$3%*요율!$D$3%,0),-1)</f>
        <v>0</v>
      </c>
      <c r="BO132" s="18">
        <f>ROUNDDOWN(IF($AG131*Q132&gt;요율!$E$3,($AG131*Q132-요율!$E$3)*요율!$C$3%*요율!$D$3%,0),-1)</f>
        <v>0</v>
      </c>
      <c r="BP132" s="18">
        <f>ROUNDDOWN(IF($AG131*R132&gt;요율!$E$3,($AG131*R132-요율!$E$3)*요율!$C$3%*요율!$D$3%,0),-1)</f>
        <v>0</v>
      </c>
      <c r="BQ132" s="18">
        <f>ROUNDDOWN(IF($AG131*S132&gt;요율!$E$3,($AG131*S132-요율!$E$3)*요율!$C$3%*요율!$D$3%,0),-1)</f>
        <v>0</v>
      </c>
      <c r="BR132" s="18">
        <f>ROUNDDOWN(IF($AG131*T132&gt;요율!$E$3,($AG131*T132-요율!$E$3)*요율!$C$3%*요율!$D$3%,0),-1)</f>
        <v>0</v>
      </c>
      <c r="BS132" s="18">
        <f>ROUNDDOWN(IF($AG131*U132&gt;요율!$E$3,($AG131*U132-요율!$E$3)*요율!$C$3%*요율!$D$3%,0),-1)</f>
        <v>0</v>
      </c>
      <c r="BT132" s="18">
        <f>ROUNDDOWN(IF($AG131*V132&gt;요율!$E$3,($AG131*V132-요율!$E$3)*요율!$C$3%*요율!$D$3%,0),-1)</f>
        <v>0</v>
      </c>
      <c r="BU132" s="18">
        <f>ROUNDDOWN(IF($AG131*W132&gt;요율!$E$3,($AG131*W132-요율!$E$3)*요율!$C$3%*요율!$D$3%,0),-1)</f>
        <v>0</v>
      </c>
      <c r="BV132" s="18">
        <f>ROUNDDOWN(IF($AG131*X132&gt;요율!$E$3,($AG131*X132-요율!$E$3)*요율!$C$3%*요율!$D$3%,0),-1)</f>
        <v>0</v>
      </c>
      <c r="BW132" s="18">
        <f>ROUNDDOWN(IF($AG131*Y132&gt;요율!$E$3,($AG131*Y132-요율!$E$3)*요율!$C$3%*요율!$D$3%,0),-1)</f>
        <v>0</v>
      </c>
      <c r="BX132" s="18">
        <f>ROUNDDOWN(IF($AG131*Z132&gt;요율!$E$3,($AG131*Z132-요율!$E$3)*요율!$C$3%*요율!$D$3%,0),-1)</f>
        <v>0</v>
      </c>
      <c r="BY132" s="18">
        <f>ROUNDDOWN(IF($AG131*AA132&gt;요율!$E$3,($AG131*AA132-요율!$E$3)*요율!$C$3%*요율!$D$3%,0),-1)</f>
        <v>0</v>
      </c>
      <c r="BZ132" s="18">
        <f>ROUNDDOWN(IF($AG131*AB132&gt;요율!$E$3,($AG131*AB132-요율!$E$3)*요율!$C$3%*요율!$D$3%,0),-1)</f>
        <v>0</v>
      </c>
      <c r="CA132" s="18">
        <f>ROUNDDOWN(IF($AG131*AC132&gt;요율!$E$3,($AG131*AC132-요율!$E$3)*요율!$C$3%*요율!$D$3%,0),-1)</f>
        <v>0</v>
      </c>
      <c r="CB132" s="19">
        <f>ROUNDDOWN(IF($AG131*AD132&gt;요율!$E$3,($AG131*AD132-요율!$E$3)*요율!$C$3%*요율!$D$3%,0),-1)</f>
        <v>0</v>
      </c>
    </row>
    <row r="133" spans="1:82" ht="20.100000000000001" hidden="1" customHeight="1">
      <c r="A133" s="760">
        <f t="shared" si="2"/>
        <v>64</v>
      </c>
      <c r="B133" s="260"/>
      <c r="C133" s="708" t="str">
        <f>IF(ISERROR(VLOOKUP(B133,주소록!$A$3:$K$523,5,0)),"",VLOOKUP(B133,주소록!$A$3:$K$523,3,0))</f>
        <v/>
      </c>
      <c r="D133" s="708"/>
      <c r="E133" s="708"/>
      <c r="F133" s="709"/>
      <c r="G133" s="710" t="str">
        <f>IF(ISERROR(VLOOKUP(B133,주소록!$A$3:$K$523,6,0)),"",VLOOKUP(B133,주소록!$A$3:$K$523,4,0))</f>
        <v/>
      </c>
      <c r="H133" s="711"/>
      <c r="I133" s="711"/>
      <c r="J133" s="711"/>
      <c r="K133" s="711"/>
      <c r="L133" s="711"/>
      <c r="M133" s="711"/>
      <c r="N133" s="712"/>
      <c r="O133" s="469"/>
      <c r="P133" s="470"/>
      <c r="Q133" s="470"/>
      <c r="R133" s="470"/>
      <c r="S133" s="478"/>
      <c r="T133" s="469"/>
      <c r="U133" s="470"/>
      <c r="V133" s="470"/>
      <c r="W133" s="470"/>
      <c r="X133" s="471"/>
      <c r="Y133" s="472"/>
      <c r="Z133" s="467"/>
      <c r="AA133" s="470"/>
      <c r="AB133" s="470"/>
      <c r="AC133" s="470"/>
      <c r="AD133" s="473"/>
      <c r="AE133" s="762">
        <f>COUNTIF(O133:AD134,"&gt;=0.5")</f>
        <v>0</v>
      </c>
      <c r="AF133" s="763"/>
      <c r="AG133" s="764"/>
      <c r="AH133" s="684">
        <f>AE134*AG133</f>
        <v>0</v>
      </c>
      <c r="AI133" s="685"/>
      <c r="AJ133" s="686"/>
      <c r="AK133" s="755">
        <f>IF(BG134&lt;1000, 0, BG134)</f>
        <v>0</v>
      </c>
      <c r="AL133" s="756"/>
      <c r="AM133" s="757"/>
      <c r="AN133" s="758">
        <f>IF(요율!$H$7="○",IF(AE133&gt;=요율!$D$6,ROUNDDOWN(AH133*요율!$C$4%,-1),0),0)</f>
        <v>0</v>
      </c>
      <c r="AO133" s="756"/>
      <c r="AP133" s="757"/>
      <c r="AQ133" s="758">
        <f>BL133</f>
        <v>0</v>
      </c>
      <c r="AR133" s="756"/>
      <c r="AS133" s="759"/>
      <c r="AT133" s="717">
        <f>SUM(AK133:AS134)</f>
        <v>0</v>
      </c>
      <c r="AU133" s="718"/>
      <c r="AV133" s="719"/>
      <c r="AW133" s="720">
        <f>AH133-AT133-AT134</f>
        <v>0</v>
      </c>
      <c r="AX133" s="721"/>
      <c r="AY133" s="722"/>
      <c r="AZ133" s="766"/>
      <c r="BA133" s="21" t="str">
        <f>IF(ISERROR(VLOOKUP($B133,주소록!$A$3:$K$523,3,0)),"",VLOOKUP($B133,주소록!$A$3:$K$523,2,0))</f>
        <v/>
      </c>
      <c r="BB133" s="6">
        <v>1</v>
      </c>
      <c r="BC133" s="752">
        <f>A133</f>
        <v>64</v>
      </c>
      <c r="BD133" s="754" t="str">
        <f>IF(OR(MID(C133,8,1)&lt;"3",AND(MID(C133,8,1)&gt;="5",MID(C133,8,1)&lt;="6")),TEXT(TEXT(LEFT(C133,6),"1900-00-00"),"yyyy년 m월 d일"),TEXT(TEXT(LEFT(C133,6),"2000-00-00"),"yyyy년 m월 d일"))</f>
        <v/>
      </c>
      <c r="BE133" s="754"/>
      <c r="BF133" s="754"/>
      <c r="BG133" s="768">
        <f>IFERROR(INT( ( TEXT($O$3,"yyyy.mmdd") - TEXT(BD133,"yyyy.mmdd") )  ),0)</f>
        <v>0</v>
      </c>
      <c r="BH133" s="769"/>
      <c r="BI133" s="770"/>
      <c r="BJ133" s="133">
        <f>IF(BG133&gt;59,"60세이상",IF(OR(AE133&lt;요율!$D$6,AH133=0),0,IF(AH133&lt;요율!$C$7,요율!$D$7,IF(AH133&gt;요율!$C$8,요율!$D$8,+TRUNC(AH133*요율!$C$6%,-1)))))</f>
        <v>0</v>
      </c>
      <c r="BK133" s="143">
        <f>IF(BG133&gt;59,"60세이상",IF(OR(AH133&lt;2200000,AH133=0),0,IF(AH133&lt;요율!$C$7,요율!$D$7,IF(AH133&gt;요율!$C$8,요율!$D$8,+TRUNC(AH133*요율!$C$6%,-1)))))</f>
        <v>0</v>
      </c>
      <c r="BL133" s="140">
        <f>IF(BK133&gt;0,BK133,BJ133)</f>
        <v>0</v>
      </c>
      <c r="BM133" s="15">
        <f>ROUNDDOWN(IF($AG133*O133&gt;요율!$E$3,($AG133*O133-요율!$E$3)*요율!$C$3%*요율!$D$3%,0),-1)</f>
        <v>0</v>
      </c>
      <c r="BN133" s="16">
        <f>ROUNDDOWN(IF($AG133*P133&gt;요율!$E$3,($AG133*P133-요율!$E$3)*요율!$C$3%*요율!$D$3%,0),-1)</f>
        <v>0</v>
      </c>
      <c r="BO133" s="16">
        <f>ROUNDDOWN(IF($AG133*Q133&gt;요율!$E$3,($AG133*Q133-요율!$E$3)*요율!$C$3%*요율!$D$3%,0),-1)</f>
        <v>0</v>
      </c>
      <c r="BP133" s="16">
        <f>ROUNDDOWN(IF($AG133*R133&gt;요율!$E$3,($AG133*R133-요율!$E$3)*요율!$C$3%*요율!$D$3%,0),-1)</f>
        <v>0</v>
      </c>
      <c r="BQ133" s="16">
        <f>ROUNDDOWN(IF($AG133*S133&gt;요율!$E$3,($AG133*S133-요율!$E$3)*요율!$C$3%*요율!$D$3%,0),-1)</f>
        <v>0</v>
      </c>
      <c r="BR133" s="16">
        <f>ROUNDDOWN(IF($AG133*T133&gt;요율!$E$3,($AG133*T133-요율!$E$3)*요율!$C$3%*요율!$D$3%,0),-1)</f>
        <v>0</v>
      </c>
      <c r="BS133" s="16">
        <f>ROUNDDOWN(IF($AG133*U133&gt;요율!$E$3,($AG133*U133-요율!$E$3)*요율!$C$3%*요율!$D$3%,0),-1)</f>
        <v>0</v>
      </c>
      <c r="BT133" s="16">
        <f>ROUNDDOWN(IF($AG133*V133&gt;요율!$E$3,($AG133*V133-요율!$E$3)*요율!$C$3%*요율!$D$3%,0),-1)</f>
        <v>0</v>
      </c>
      <c r="BU133" s="16">
        <f>ROUNDDOWN(IF($AG133*W133&gt;요율!$E$3,($AG133*W133-요율!$E$3)*요율!$C$3%*요율!$D$3%,0),-1)</f>
        <v>0</v>
      </c>
      <c r="BV133" s="16">
        <f>ROUNDDOWN(IF($AG133*X133&gt;요율!$E$3,($AG133*X133-요율!$E$3)*요율!$C$3%*요율!$D$3%,0),-1)</f>
        <v>0</v>
      </c>
      <c r="BW133" s="16">
        <f>ROUNDDOWN(IF($AG133*Y133&gt;요율!$E$3,($AG133*Y133-요율!$E$3)*요율!$C$3%*요율!$D$3%,0),-1)</f>
        <v>0</v>
      </c>
      <c r="BX133" s="16">
        <f>ROUNDDOWN(IF($AG133*Z133&gt;요율!$E$3,($AG133*Z133-요율!$E$3)*요율!$C$3%*요율!$D$3%,0),-1)</f>
        <v>0</v>
      </c>
      <c r="BY133" s="16">
        <f>ROUNDDOWN(IF($AG133*AA133&gt;요율!$E$3,($AG133*AA133-요율!$E$3)*요율!$C$3%*요율!$D$3%,0),-1)</f>
        <v>0</v>
      </c>
      <c r="BZ133" s="16">
        <f>ROUNDDOWN(IF($AG133*AB133&gt;요율!$E$3,($AG133*AB133-요율!$E$3)*요율!$C$3%*요율!$D$3%,0),-1)</f>
        <v>0</v>
      </c>
      <c r="CA133" s="16">
        <f>ROUNDDOWN(IF($AG133*AC133&gt;요율!$E$3,($AG133*AC133-요율!$E$3)*요율!$C$3%*요율!$D$3%,0),-1)</f>
        <v>0</v>
      </c>
      <c r="CB133" s="31">
        <f>ROUNDDOWN(IF($AG133*AD133&gt;요율!$E$3,($AG133*AD133-요율!$E$3)*요율!$C$3%*요율!$D$3%,0),-1)</f>
        <v>0</v>
      </c>
      <c r="CD133" s="5" t="str">
        <f>IFERROR(VLOOKUP(B133,주소록,9,FALSE),"")</f>
        <v/>
      </c>
    </row>
    <row r="134" spans="1:82" ht="20.100000000000001" hidden="1" customHeight="1">
      <c r="A134" s="761"/>
      <c r="B134" s="261" t="str">
        <f>BA133</f>
        <v/>
      </c>
      <c r="C134" s="690" t="str">
        <f>IF(ISERROR(VLOOKUP(B133,주소록!$A$3:$K$523,7,0)),"",VLOOKUP(B133,주소록!$A$3:$K$523,5,0))</f>
        <v/>
      </c>
      <c r="D134" s="690"/>
      <c r="E134" s="690"/>
      <c r="F134" s="691"/>
      <c r="G134" s="692" t="str">
        <f>IF(ISERROR(VLOOKUP(B133,주소록!$A$3:$K$523,9,0)),"",VLOOKUP(B133,주소록!$A$3:$K$523,7,0))</f>
        <v/>
      </c>
      <c r="H134" s="693"/>
      <c r="I134" s="694"/>
      <c r="J134" s="692" t="str">
        <f>IF(ISERROR(VLOOKUP(B133,주소록!$A$3:$K$523,10,0)),"",VLOOKUP(B133,주소록!$A$3:$K$523,8,0))</f>
        <v/>
      </c>
      <c r="K134" s="693"/>
      <c r="L134" s="693"/>
      <c r="M134" s="693"/>
      <c r="N134" s="695"/>
      <c r="O134" s="474"/>
      <c r="P134" s="475"/>
      <c r="Q134" s="475"/>
      <c r="R134" s="468"/>
      <c r="S134" s="476"/>
      <c r="T134" s="474"/>
      <c r="U134" s="475"/>
      <c r="V134" s="475"/>
      <c r="W134" s="475"/>
      <c r="X134" s="477"/>
      <c r="Y134" s="479"/>
      <c r="Z134" s="475"/>
      <c r="AA134" s="475"/>
      <c r="AB134" s="475"/>
      <c r="AC134" s="475"/>
      <c r="AD134" s="477"/>
      <c r="AE134" s="696">
        <f>SUM(O133:AD134)</f>
        <v>0</v>
      </c>
      <c r="AF134" s="697"/>
      <c r="AG134" s="765"/>
      <c r="AH134" s="687"/>
      <c r="AI134" s="688"/>
      <c r="AJ134" s="689"/>
      <c r="AK134" s="698">
        <f>IF(C133=0,"",IF(MID(C133,7,1)="5","",IF(MID(C133,7,1)="6","",ROUNDDOWN((AK133*10%),-1))))</f>
        <v>0</v>
      </c>
      <c r="AL134" s="699"/>
      <c r="AM134" s="700"/>
      <c r="AN134" s="701">
        <f>ROUNDDOWN(AN133*요율!$F$5,-1)</f>
        <v>0</v>
      </c>
      <c r="AO134" s="701"/>
      <c r="AP134" s="701"/>
      <c r="AQ134" s="713">
        <f>IF(OR(AND(요율!$H$8="X",요율!$H$9="X",MID(C133,8,1)&gt;="5"),AND(요율!$H$8="○",요율!$H$9="X",MID(C133,8,1)&gt;="5")),"외국인",IF(요율!$H$8="X",IF(C133="",0,IF(OR(MID(C133,8,1)&lt;"3",AND(MID(C133,8,1)&gt;="5",MID(C133,8,1)&lt;="6")),IF(INT(TEXT($O$3,"yyyy.mmdd")-TEXT(TEXT(LEFT(C133,6),"1900-00-00"),"yyyy.mmdd"))&gt;=65,"65세이상",+TRUNC(AH133*요율!$C$9%,-1)),IF(INT(TEXT($O$3,"yyyy.mmdd")-TEXT(TEXT(LEFT(C133,6),"2000-00-00"),"yyyy.mmdd"))&gt;=65,"65세이상",+TRUNC(AH133*요율!$C$9%,-1)))),+TRUNC(AH133*요율!$C$9%,-1)))</f>
        <v>0</v>
      </c>
      <c r="AR134" s="699"/>
      <c r="AS134" s="699"/>
      <c r="AT134" s="714"/>
      <c r="AU134" s="715"/>
      <c r="AV134" s="716"/>
      <c r="AW134" s="723"/>
      <c r="AX134" s="724"/>
      <c r="AY134" s="725"/>
      <c r="AZ134" s="767"/>
      <c r="BA134" s="22" t="str">
        <f>BA133</f>
        <v/>
      </c>
      <c r="BB134" s="6">
        <v>2</v>
      </c>
      <c r="BC134" s="753"/>
      <c r="BD134" s="733">
        <f>B133</f>
        <v>0</v>
      </c>
      <c r="BE134" s="733"/>
      <c r="BF134" s="733"/>
      <c r="BG134" s="734">
        <f>SUM(BM133:CB134)</f>
        <v>0</v>
      </c>
      <c r="BH134" s="735"/>
      <c r="BI134" s="736"/>
      <c r="BJ134" s="144"/>
      <c r="BK134" s="145"/>
      <c r="BL134" s="146"/>
      <c r="BM134" s="17">
        <f>ROUNDDOWN(IF($AG133*O134&gt;요율!$E$3,($AG133*O134-요율!$E$3)*요율!$C$3%*요율!$D$3%,0),-1)</f>
        <v>0</v>
      </c>
      <c r="BN134" s="18">
        <f>ROUNDDOWN(IF($AG133*P134&gt;요율!$E$3,($AG133*P134-요율!$E$3)*요율!$C$3%*요율!$D$3%,0),-1)</f>
        <v>0</v>
      </c>
      <c r="BO134" s="18">
        <f>ROUNDDOWN(IF($AG133*Q134&gt;요율!$E$3,($AG133*Q134-요율!$E$3)*요율!$C$3%*요율!$D$3%,0),-1)</f>
        <v>0</v>
      </c>
      <c r="BP134" s="18">
        <f>ROUNDDOWN(IF($AG133*R134&gt;요율!$E$3,($AG133*R134-요율!$E$3)*요율!$C$3%*요율!$D$3%,0),-1)</f>
        <v>0</v>
      </c>
      <c r="BQ134" s="18">
        <f>ROUNDDOWN(IF($AG133*S134&gt;요율!$E$3,($AG133*S134-요율!$E$3)*요율!$C$3%*요율!$D$3%,0),-1)</f>
        <v>0</v>
      </c>
      <c r="BR134" s="18">
        <f>ROUNDDOWN(IF($AG133*T134&gt;요율!$E$3,($AG133*T134-요율!$E$3)*요율!$C$3%*요율!$D$3%,0),-1)</f>
        <v>0</v>
      </c>
      <c r="BS134" s="18">
        <f>ROUNDDOWN(IF($AG133*U134&gt;요율!$E$3,($AG133*U134-요율!$E$3)*요율!$C$3%*요율!$D$3%,0),-1)</f>
        <v>0</v>
      </c>
      <c r="BT134" s="18">
        <f>ROUNDDOWN(IF($AG133*V134&gt;요율!$E$3,($AG133*V134-요율!$E$3)*요율!$C$3%*요율!$D$3%,0),-1)</f>
        <v>0</v>
      </c>
      <c r="BU134" s="18">
        <f>ROUNDDOWN(IF($AG133*W134&gt;요율!$E$3,($AG133*W134-요율!$E$3)*요율!$C$3%*요율!$D$3%,0),-1)</f>
        <v>0</v>
      </c>
      <c r="BV134" s="18">
        <f>ROUNDDOWN(IF($AG133*X134&gt;요율!$E$3,($AG133*X134-요율!$E$3)*요율!$C$3%*요율!$D$3%,0),-1)</f>
        <v>0</v>
      </c>
      <c r="BW134" s="18">
        <f>ROUNDDOWN(IF($AG133*Y134&gt;요율!$E$3,($AG133*Y134-요율!$E$3)*요율!$C$3%*요율!$D$3%,0),-1)</f>
        <v>0</v>
      </c>
      <c r="BX134" s="18">
        <f>ROUNDDOWN(IF($AG133*Z134&gt;요율!$E$3,($AG133*Z134-요율!$E$3)*요율!$C$3%*요율!$D$3%,0),-1)</f>
        <v>0</v>
      </c>
      <c r="BY134" s="18">
        <f>ROUNDDOWN(IF($AG133*AA134&gt;요율!$E$3,($AG133*AA134-요율!$E$3)*요율!$C$3%*요율!$D$3%,0),-1)</f>
        <v>0</v>
      </c>
      <c r="BZ134" s="18">
        <f>ROUNDDOWN(IF($AG133*AB134&gt;요율!$E$3,($AG133*AB134-요율!$E$3)*요율!$C$3%*요율!$D$3%,0),-1)</f>
        <v>0</v>
      </c>
      <c r="CA134" s="18">
        <f>ROUNDDOWN(IF($AG133*AC134&gt;요율!$E$3,($AG133*AC134-요율!$E$3)*요율!$C$3%*요율!$D$3%,0),-1)</f>
        <v>0</v>
      </c>
      <c r="CB134" s="19">
        <f>ROUNDDOWN(IF($AG133*AD134&gt;요율!$E$3,($AG133*AD134-요율!$E$3)*요율!$C$3%*요율!$D$3%,0),-1)</f>
        <v>0</v>
      </c>
    </row>
    <row r="135" spans="1:82" ht="20.100000000000001" hidden="1" customHeight="1">
      <c r="A135" s="760">
        <f t="shared" si="2"/>
        <v>65</v>
      </c>
      <c r="B135" s="260"/>
      <c r="C135" s="708" t="str">
        <f>IF(ISERROR(VLOOKUP(B135,주소록!$A$3:$K$523,5,0)),"",VLOOKUP(B135,주소록!$A$3:$K$523,3,0))</f>
        <v/>
      </c>
      <c r="D135" s="708"/>
      <c r="E135" s="708"/>
      <c r="F135" s="709"/>
      <c r="G135" s="710" t="str">
        <f>IF(ISERROR(VLOOKUP(B135,주소록!$A$3:$K$523,6,0)),"",VLOOKUP(B135,주소록!$A$3:$K$523,4,0))</f>
        <v/>
      </c>
      <c r="H135" s="711"/>
      <c r="I135" s="711"/>
      <c r="J135" s="711"/>
      <c r="K135" s="711"/>
      <c r="L135" s="711"/>
      <c r="M135" s="711"/>
      <c r="N135" s="712"/>
      <c r="O135" s="469"/>
      <c r="P135" s="470"/>
      <c r="Q135" s="470"/>
      <c r="R135" s="470"/>
      <c r="S135" s="478"/>
      <c r="T135" s="469"/>
      <c r="U135" s="470"/>
      <c r="V135" s="470"/>
      <c r="W135" s="470"/>
      <c r="X135" s="471"/>
      <c r="Y135" s="472"/>
      <c r="Z135" s="467"/>
      <c r="AA135" s="470"/>
      <c r="AB135" s="470"/>
      <c r="AC135" s="470"/>
      <c r="AD135" s="473"/>
      <c r="AE135" s="762">
        <f>COUNTIF(O135:AD136,"&gt;=0.5")</f>
        <v>0</v>
      </c>
      <c r="AF135" s="763"/>
      <c r="AG135" s="764"/>
      <c r="AH135" s="684">
        <f>AE136*AG135</f>
        <v>0</v>
      </c>
      <c r="AI135" s="685"/>
      <c r="AJ135" s="686"/>
      <c r="AK135" s="755">
        <f>IF(BG136&lt;1000, 0, BG136)</f>
        <v>0</v>
      </c>
      <c r="AL135" s="756"/>
      <c r="AM135" s="757"/>
      <c r="AN135" s="758">
        <f>IF(요율!$H$7="○",IF(AE135&gt;=요율!$D$6,ROUNDDOWN(AH135*요율!$C$4%,-1),0),0)</f>
        <v>0</v>
      </c>
      <c r="AO135" s="756"/>
      <c r="AP135" s="757"/>
      <c r="AQ135" s="758">
        <f>BL135</f>
        <v>0</v>
      </c>
      <c r="AR135" s="756"/>
      <c r="AS135" s="759"/>
      <c r="AT135" s="717">
        <f>SUM(AK135:AS136)</f>
        <v>0</v>
      </c>
      <c r="AU135" s="718"/>
      <c r="AV135" s="719"/>
      <c r="AW135" s="720">
        <f>AH135-AT135-AT136</f>
        <v>0</v>
      </c>
      <c r="AX135" s="721"/>
      <c r="AY135" s="722"/>
      <c r="AZ135" s="766"/>
      <c r="BA135" s="21" t="str">
        <f>IF(ISERROR(VLOOKUP($B135,주소록!$A$3:$K$523,3,0)),"",VLOOKUP($B135,주소록!$A$3:$K$523,2,0))</f>
        <v/>
      </c>
      <c r="BB135" s="6">
        <v>1</v>
      </c>
      <c r="BC135" s="752">
        <f>A135</f>
        <v>65</v>
      </c>
      <c r="BD135" s="754" t="str">
        <f>IF(OR(MID(C135,8,1)&lt;"3",AND(MID(C135,8,1)&gt;="5",MID(C135,8,1)&lt;="6")),TEXT(TEXT(LEFT(C135,6),"1900-00-00"),"yyyy년 m월 d일"),TEXT(TEXT(LEFT(C135,6),"2000-00-00"),"yyyy년 m월 d일"))</f>
        <v/>
      </c>
      <c r="BE135" s="754"/>
      <c r="BF135" s="754"/>
      <c r="BG135" s="768">
        <f>IFERROR(INT( ( TEXT($O$3,"yyyy.mmdd") - TEXT(BD135,"yyyy.mmdd") )  ),0)</f>
        <v>0</v>
      </c>
      <c r="BH135" s="769"/>
      <c r="BI135" s="770"/>
      <c r="BJ135" s="133">
        <f>IF(BG135&gt;59,"60세이상",IF(OR(AE135&lt;요율!$D$6,AH135=0),0,IF(AH135&lt;요율!$C$7,요율!$D$7,IF(AH135&gt;요율!$C$8,요율!$D$8,+TRUNC(AH135*요율!$C$6%,-1)))))</f>
        <v>0</v>
      </c>
      <c r="BK135" s="143">
        <f>IF(BG135&gt;59,"60세이상",IF(OR(AH135&lt;2200000,AH135=0),0,IF(AH135&lt;요율!$C$7,요율!$D$7,IF(AH135&gt;요율!$C$8,요율!$D$8,+TRUNC(AH135*요율!$C$6%,-1)))))</f>
        <v>0</v>
      </c>
      <c r="BL135" s="140">
        <f>IF(BK135&gt;0,BK135,BJ135)</f>
        <v>0</v>
      </c>
      <c r="BM135" s="15">
        <f>ROUNDDOWN(IF($AG135*O135&gt;요율!$E$3,($AG135*O135-요율!$E$3)*요율!$C$3%*요율!$D$3%,0),-1)</f>
        <v>0</v>
      </c>
      <c r="BN135" s="16">
        <f>ROUNDDOWN(IF($AG135*P135&gt;요율!$E$3,($AG135*P135-요율!$E$3)*요율!$C$3%*요율!$D$3%,0),-1)</f>
        <v>0</v>
      </c>
      <c r="BO135" s="16">
        <f>ROUNDDOWN(IF($AG135*Q135&gt;요율!$E$3,($AG135*Q135-요율!$E$3)*요율!$C$3%*요율!$D$3%,0),-1)</f>
        <v>0</v>
      </c>
      <c r="BP135" s="16">
        <f>ROUNDDOWN(IF($AG135*R135&gt;요율!$E$3,($AG135*R135-요율!$E$3)*요율!$C$3%*요율!$D$3%,0),-1)</f>
        <v>0</v>
      </c>
      <c r="BQ135" s="16">
        <f>ROUNDDOWN(IF($AG135*S135&gt;요율!$E$3,($AG135*S135-요율!$E$3)*요율!$C$3%*요율!$D$3%,0),-1)</f>
        <v>0</v>
      </c>
      <c r="BR135" s="16">
        <f>ROUNDDOWN(IF($AG135*T135&gt;요율!$E$3,($AG135*T135-요율!$E$3)*요율!$C$3%*요율!$D$3%,0),-1)</f>
        <v>0</v>
      </c>
      <c r="BS135" s="16">
        <f>ROUNDDOWN(IF($AG135*U135&gt;요율!$E$3,($AG135*U135-요율!$E$3)*요율!$C$3%*요율!$D$3%,0),-1)</f>
        <v>0</v>
      </c>
      <c r="BT135" s="16">
        <f>ROUNDDOWN(IF($AG135*V135&gt;요율!$E$3,($AG135*V135-요율!$E$3)*요율!$C$3%*요율!$D$3%,0),-1)</f>
        <v>0</v>
      </c>
      <c r="BU135" s="16">
        <f>ROUNDDOWN(IF($AG135*W135&gt;요율!$E$3,($AG135*W135-요율!$E$3)*요율!$C$3%*요율!$D$3%,0),-1)</f>
        <v>0</v>
      </c>
      <c r="BV135" s="16">
        <f>ROUNDDOWN(IF($AG135*X135&gt;요율!$E$3,($AG135*X135-요율!$E$3)*요율!$C$3%*요율!$D$3%,0),-1)</f>
        <v>0</v>
      </c>
      <c r="BW135" s="16">
        <f>ROUNDDOWN(IF($AG135*Y135&gt;요율!$E$3,($AG135*Y135-요율!$E$3)*요율!$C$3%*요율!$D$3%,0),-1)</f>
        <v>0</v>
      </c>
      <c r="BX135" s="16">
        <f>ROUNDDOWN(IF($AG135*Z135&gt;요율!$E$3,($AG135*Z135-요율!$E$3)*요율!$C$3%*요율!$D$3%,0),-1)</f>
        <v>0</v>
      </c>
      <c r="BY135" s="16">
        <f>ROUNDDOWN(IF($AG135*AA135&gt;요율!$E$3,($AG135*AA135-요율!$E$3)*요율!$C$3%*요율!$D$3%,0),-1)</f>
        <v>0</v>
      </c>
      <c r="BZ135" s="16">
        <f>ROUNDDOWN(IF($AG135*AB135&gt;요율!$E$3,($AG135*AB135-요율!$E$3)*요율!$C$3%*요율!$D$3%,0),-1)</f>
        <v>0</v>
      </c>
      <c r="CA135" s="16">
        <f>ROUNDDOWN(IF($AG135*AC135&gt;요율!$E$3,($AG135*AC135-요율!$E$3)*요율!$C$3%*요율!$D$3%,0),-1)</f>
        <v>0</v>
      </c>
      <c r="CB135" s="31">
        <f>ROUNDDOWN(IF($AG135*AD135&gt;요율!$E$3,($AG135*AD135-요율!$E$3)*요율!$C$3%*요율!$D$3%,0),-1)</f>
        <v>0</v>
      </c>
      <c r="CD135" s="5" t="str">
        <f>IFERROR(VLOOKUP(B135,주소록,9,FALSE),"")</f>
        <v/>
      </c>
    </row>
    <row r="136" spans="1:82" ht="20.100000000000001" hidden="1" customHeight="1">
      <c r="A136" s="761"/>
      <c r="B136" s="261" t="str">
        <f>BA135</f>
        <v/>
      </c>
      <c r="C136" s="690" t="str">
        <f>IF(ISERROR(VLOOKUP(B135,주소록!$A$3:$K$523,7,0)),"",VLOOKUP(B135,주소록!$A$3:$K$523,5,0))</f>
        <v/>
      </c>
      <c r="D136" s="690"/>
      <c r="E136" s="690"/>
      <c r="F136" s="691"/>
      <c r="G136" s="692" t="str">
        <f>IF(ISERROR(VLOOKUP(B135,주소록!$A$3:$K$523,9,0)),"",VLOOKUP(B135,주소록!$A$3:$K$523,7,0))</f>
        <v/>
      </c>
      <c r="H136" s="693"/>
      <c r="I136" s="694"/>
      <c r="J136" s="692" t="str">
        <f>IF(ISERROR(VLOOKUP(B135,주소록!$A$3:$K$523,10,0)),"",VLOOKUP(B135,주소록!$A$3:$K$523,8,0))</f>
        <v/>
      </c>
      <c r="K136" s="693"/>
      <c r="L136" s="693"/>
      <c r="M136" s="693"/>
      <c r="N136" s="695"/>
      <c r="O136" s="474"/>
      <c r="P136" s="475"/>
      <c r="Q136" s="475"/>
      <c r="R136" s="468"/>
      <c r="S136" s="476"/>
      <c r="T136" s="474"/>
      <c r="U136" s="475"/>
      <c r="V136" s="475"/>
      <c r="W136" s="475"/>
      <c r="X136" s="477"/>
      <c r="Y136" s="479"/>
      <c r="Z136" s="475"/>
      <c r="AA136" s="475"/>
      <c r="AB136" s="475"/>
      <c r="AC136" s="475"/>
      <c r="AD136" s="477"/>
      <c r="AE136" s="696">
        <f>SUM(O135:AD136)</f>
        <v>0</v>
      </c>
      <c r="AF136" s="697"/>
      <c r="AG136" s="765"/>
      <c r="AH136" s="687"/>
      <c r="AI136" s="688"/>
      <c r="AJ136" s="689"/>
      <c r="AK136" s="698">
        <f>IF(C135=0,"",IF(MID(C135,7,1)="5","",IF(MID(C135,7,1)="6","",ROUNDDOWN((AK135*10%),-1))))</f>
        <v>0</v>
      </c>
      <c r="AL136" s="699"/>
      <c r="AM136" s="700"/>
      <c r="AN136" s="701">
        <f>ROUNDDOWN(AN135*요율!$F$5,-1)</f>
        <v>0</v>
      </c>
      <c r="AO136" s="701"/>
      <c r="AP136" s="701"/>
      <c r="AQ136" s="713">
        <f>IF(OR(AND(요율!$H$8="X",요율!$H$9="X",MID(C135,8,1)&gt;="5"),AND(요율!$H$8="○",요율!$H$9="X",MID(C135,8,1)&gt;="5")),"외국인",IF(요율!$H$8="X",IF(C135="",0,IF(OR(MID(C135,8,1)&lt;"3",AND(MID(C135,8,1)&gt;="5",MID(C135,8,1)&lt;="6")),IF(INT(TEXT($O$3,"yyyy.mmdd")-TEXT(TEXT(LEFT(C135,6),"1900-00-00"),"yyyy.mmdd"))&gt;=65,"65세이상",+TRUNC(AH135*요율!$C$9%,-1)),IF(INT(TEXT($O$3,"yyyy.mmdd")-TEXT(TEXT(LEFT(C135,6),"2000-00-00"),"yyyy.mmdd"))&gt;=65,"65세이상",+TRUNC(AH135*요율!$C$9%,-1)))),+TRUNC(AH135*요율!$C$9%,-1)))</f>
        <v>0</v>
      </c>
      <c r="AR136" s="699"/>
      <c r="AS136" s="699"/>
      <c r="AT136" s="714"/>
      <c r="AU136" s="715"/>
      <c r="AV136" s="716"/>
      <c r="AW136" s="723"/>
      <c r="AX136" s="724"/>
      <c r="AY136" s="725"/>
      <c r="AZ136" s="767"/>
      <c r="BA136" s="22" t="str">
        <f>BA135</f>
        <v/>
      </c>
      <c r="BB136" s="6">
        <v>2</v>
      </c>
      <c r="BC136" s="753"/>
      <c r="BD136" s="733">
        <f>B135</f>
        <v>0</v>
      </c>
      <c r="BE136" s="733"/>
      <c r="BF136" s="733"/>
      <c r="BG136" s="734">
        <f>SUM(BM135:CB136)</f>
        <v>0</v>
      </c>
      <c r="BH136" s="735"/>
      <c r="BI136" s="736"/>
      <c r="BJ136" s="144"/>
      <c r="BK136" s="145"/>
      <c r="BL136" s="146"/>
      <c r="BM136" s="17">
        <f>ROUNDDOWN(IF($AG135*O136&gt;요율!$E$3,($AG135*O136-요율!$E$3)*요율!$C$3%*요율!$D$3%,0),-1)</f>
        <v>0</v>
      </c>
      <c r="BN136" s="18">
        <f>ROUNDDOWN(IF($AG135*P136&gt;요율!$E$3,($AG135*P136-요율!$E$3)*요율!$C$3%*요율!$D$3%,0),-1)</f>
        <v>0</v>
      </c>
      <c r="BO136" s="18">
        <f>ROUNDDOWN(IF($AG135*Q136&gt;요율!$E$3,($AG135*Q136-요율!$E$3)*요율!$C$3%*요율!$D$3%,0),-1)</f>
        <v>0</v>
      </c>
      <c r="BP136" s="18">
        <f>ROUNDDOWN(IF($AG135*R136&gt;요율!$E$3,($AG135*R136-요율!$E$3)*요율!$C$3%*요율!$D$3%,0),-1)</f>
        <v>0</v>
      </c>
      <c r="BQ136" s="18">
        <f>ROUNDDOWN(IF($AG135*S136&gt;요율!$E$3,($AG135*S136-요율!$E$3)*요율!$C$3%*요율!$D$3%,0),-1)</f>
        <v>0</v>
      </c>
      <c r="BR136" s="18">
        <f>ROUNDDOWN(IF($AG135*T136&gt;요율!$E$3,($AG135*T136-요율!$E$3)*요율!$C$3%*요율!$D$3%,0),-1)</f>
        <v>0</v>
      </c>
      <c r="BS136" s="18">
        <f>ROUNDDOWN(IF($AG135*U136&gt;요율!$E$3,($AG135*U136-요율!$E$3)*요율!$C$3%*요율!$D$3%,0),-1)</f>
        <v>0</v>
      </c>
      <c r="BT136" s="18">
        <f>ROUNDDOWN(IF($AG135*V136&gt;요율!$E$3,($AG135*V136-요율!$E$3)*요율!$C$3%*요율!$D$3%,0),-1)</f>
        <v>0</v>
      </c>
      <c r="BU136" s="18">
        <f>ROUNDDOWN(IF($AG135*W136&gt;요율!$E$3,($AG135*W136-요율!$E$3)*요율!$C$3%*요율!$D$3%,0),-1)</f>
        <v>0</v>
      </c>
      <c r="BV136" s="18">
        <f>ROUNDDOWN(IF($AG135*X136&gt;요율!$E$3,($AG135*X136-요율!$E$3)*요율!$C$3%*요율!$D$3%,0),-1)</f>
        <v>0</v>
      </c>
      <c r="BW136" s="18">
        <f>ROUNDDOWN(IF($AG135*Y136&gt;요율!$E$3,($AG135*Y136-요율!$E$3)*요율!$C$3%*요율!$D$3%,0),-1)</f>
        <v>0</v>
      </c>
      <c r="BX136" s="18">
        <f>ROUNDDOWN(IF($AG135*Z136&gt;요율!$E$3,($AG135*Z136-요율!$E$3)*요율!$C$3%*요율!$D$3%,0),-1)</f>
        <v>0</v>
      </c>
      <c r="BY136" s="18">
        <f>ROUNDDOWN(IF($AG135*AA136&gt;요율!$E$3,($AG135*AA136-요율!$E$3)*요율!$C$3%*요율!$D$3%,0),-1)</f>
        <v>0</v>
      </c>
      <c r="BZ136" s="18">
        <f>ROUNDDOWN(IF($AG135*AB136&gt;요율!$E$3,($AG135*AB136-요율!$E$3)*요율!$C$3%*요율!$D$3%,0),-1)</f>
        <v>0</v>
      </c>
      <c r="CA136" s="18">
        <f>ROUNDDOWN(IF($AG135*AC136&gt;요율!$E$3,($AG135*AC136-요율!$E$3)*요율!$C$3%*요율!$D$3%,0),-1)</f>
        <v>0</v>
      </c>
      <c r="CB136" s="19">
        <f>ROUNDDOWN(IF($AG135*AD136&gt;요율!$E$3,($AG135*AD136-요율!$E$3)*요율!$C$3%*요율!$D$3%,0),-1)</f>
        <v>0</v>
      </c>
    </row>
    <row r="137" spans="1:82" ht="20.100000000000001" hidden="1" customHeight="1">
      <c r="A137" s="760">
        <f t="shared" ref="A137:A151" si="3">A135+1</f>
        <v>66</v>
      </c>
      <c r="B137" s="260"/>
      <c r="C137" s="708" t="str">
        <f>IF(ISERROR(VLOOKUP(B137,주소록!$A$3:$K$523,5,0)),"",VLOOKUP(B137,주소록!$A$3:$K$523,3,0))</f>
        <v/>
      </c>
      <c r="D137" s="708"/>
      <c r="E137" s="708"/>
      <c r="F137" s="709"/>
      <c r="G137" s="710" t="str">
        <f>IF(ISERROR(VLOOKUP(B137,주소록!$A$3:$K$523,6,0)),"",VLOOKUP(B137,주소록!$A$3:$K$523,4,0))</f>
        <v/>
      </c>
      <c r="H137" s="711"/>
      <c r="I137" s="711"/>
      <c r="J137" s="711"/>
      <c r="K137" s="711"/>
      <c r="L137" s="711"/>
      <c r="M137" s="711"/>
      <c r="N137" s="712"/>
      <c r="O137" s="469"/>
      <c r="P137" s="470"/>
      <c r="Q137" s="470"/>
      <c r="R137" s="470"/>
      <c r="S137" s="478"/>
      <c r="T137" s="469"/>
      <c r="U137" s="470"/>
      <c r="V137" s="470"/>
      <c r="W137" s="470"/>
      <c r="X137" s="471"/>
      <c r="Y137" s="472"/>
      <c r="Z137" s="467"/>
      <c r="AA137" s="470"/>
      <c r="AB137" s="470"/>
      <c r="AC137" s="470"/>
      <c r="AD137" s="473"/>
      <c r="AE137" s="762">
        <f>COUNTIF(O137:AD138,"&gt;=0.5")</f>
        <v>0</v>
      </c>
      <c r="AF137" s="763"/>
      <c r="AG137" s="764"/>
      <c r="AH137" s="684">
        <f>AE138*AG137</f>
        <v>0</v>
      </c>
      <c r="AI137" s="685"/>
      <c r="AJ137" s="686"/>
      <c r="AK137" s="755">
        <f>IF(BG138&lt;1000, 0, BG138)</f>
        <v>0</v>
      </c>
      <c r="AL137" s="756"/>
      <c r="AM137" s="757"/>
      <c r="AN137" s="758">
        <f>IF(요율!$H$7="○",IF(AE137&gt;=요율!$D$6,ROUNDDOWN(AH137*요율!$C$4%,-1),0),0)</f>
        <v>0</v>
      </c>
      <c r="AO137" s="756"/>
      <c r="AP137" s="757"/>
      <c r="AQ137" s="758">
        <f>BL137</f>
        <v>0</v>
      </c>
      <c r="AR137" s="756"/>
      <c r="AS137" s="759"/>
      <c r="AT137" s="717">
        <f>SUM(AK137:AS138)</f>
        <v>0</v>
      </c>
      <c r="AU137" s="718"/>
      <c r="AV137" s="719"/>
      <c r="AW137" s="720">
        <f>AH137-AT137-AT138</f>
        <v>0</v>
      </c>
      <c r="AX137" s="721"/>
      <c r="AY137" s="722"/>
      <c r="AZ137" s="766"/>
      <c r="BA137" s="21" t="str">
        <f>IF(ISERROR(VLOOKUP($B137,주소록!$A$3:$K$523,3,0)),"",VLOOKUP($B137,주소록!$A$3:$K$523,2,0))</f>
        <v/>
      </c>
      <c r="BB137" s="6">
        <v>1</v>
      </c>
      <c r="BC137" s="752">
        <f>A137</f>
        <v>66</v>
      </c>
      <c r="BD137" s="754" t="str">
        <f>IF(OR(MID(C137,8,1)&lt;"3",AND(MID(C137,8,1)&gt;="5",MID(C137,8,1)&lt;="6")),TEXT(TEXT(LEFT(C137,6),"1900-00-00"),"yyyy년 m월 d일"),TEXT(TEXT(LEFT(C137,6),"2000-00-00"),"yyyy년 m월 d일"))</f>
        <v/>
      </c>
      <c r="BE137" s="754"/>
      <c r="BF137" s="754"/>
      <c r="BG137" s="768">
        <f>IFERROR(INT( ( TEXT($O$3,"yyyy.mmdd") - TEXT(BD137,"yyyy.mmdd") )  ),0)</f>
        <v>0</v>
      </c>
      <c r="BH137" s="769"/>
      <c r="BI137" s="770"/>
      <c r="BJ137" s="133">
        <f>IF(BG137&gt;59,"60세이상",IF(OR(AE137&lt;요율!$D$6,AH137=0),0,IF(AH137&lt;요율!$C$7,요율!$D$7,IF(AH137&gt;요율!$C$8,요율!$D$8,+TRUNC(AH137*요율!$C$6%,-1)))))</f>
        <v>0</v>
      </c>
      <c r="BK137" s="143">
        <f>IF(BG137&gt;59,"60세이상",IF(OR(AH137&lt;2200000,AH137=0),0,IF(AH137&lt;요율!$C$7,요율!$D$7,IF(AH137&gt;요율!$C$8,요율!$D$8,+TRUNC(AH137*요율!$C$6%,-1)))))</f>
        <v>0</v>
      </c>
      <c r="BL137" s="140">
        <f>IF(BK137&gt;0,BK137,BJ137)</f>
        <v>0</v>
      </c>
      <c r="BM137" s="15">
        <f>ROUNDDOWN(IF($AG137*O137&gt;요율!$E$3,($AG137*O137-요율!$E$3)*요율!$C$3%*요율!$D$3%,0),-1)</f>
        <v>0</v>
      </c>
      <c r="BN137" s="16">
        <f>ROUNDDOWN(IF($AG137*P137&gt;요율!$E$3,($AG137*P137-요율!$E$3)*요율!$C$3%*요율!$D$3%,0),-1)</f>
        <v>0</v>
      </c>
      <c r="BO137" s="16">
        <f>ROUNDDOWN(IF($AG137*Q137&gt;요율!$E$3,($AG137*Q137-요율!$E$3)*요율!$C$3%*요율!$D$3%,0),-1)</f>
        <v>0</v>
      </c>
      <c r="BP137" s="16">
        <f>ROUNDDOWN(IF($AG137*R137&gt;요율!$E$3,($AG137*R137-요율!$E$3)*요율!$C$3%*요율!$D$3%,0),-1)</f>
        <v>0</v>
      </c>
      <c r="BQ137" s="16">
        <f>ROUNDDOWN(IF($AG137*S137&gt;요율!$E$3,($AG137*S137-요율!$E$3)*요율!$C$3%*요율!$D$3%,0),-1)</f>
        <v>0</v>
      </c>
      <c r="BR137" s="16">
        <f>ROUNDDOWN(IF($AG137*T137&gt;요율!$E$3,($AG137*T137-요율!$E$3)*요율!$C$3%*요율!$D$3%,0),-1)</f>
        <v>0</v>
      </c>
      <c r="BS137" s="16">
        <f>ROUNDDOWN(IF($AG137*U137&gt;요율!$E$3,($AG137*U137-요율!$E$3)*요율!$C$3%*요율!$D$3%,0),-1)</f>
        <v>0</v>
      </c>
      <c r="BT137" s="16">
        <f>ROUNDDOWN(IF($AG137*V137&gt;요율!$E$3,($AG137*V137-요율!$E$3)*요율!$C$3%*요율!$D$3%,0),-1)</f>
        <v>0</v>
      </c>
      <c r="BU137" s="16">
        <f>ROUNDDOWN(IF($AG137*W137&gt;요율!$E$3,($AG137*W137-요율!$E$3)*요율!$C$3%*요율!$D$3%,0),-1)</f>
        <v>0</v>
      </c>
      <c r="BV137" s="16">
        <f>ROUNDDOWN(IF($AG137*X137&gt;요율!$E$3,($AG137*X137-요율!$E$3)*요율!$C$3%*요율!$D$3%,0),-1)</f>
        <v>0</v>
      </c>
      <c r="BW137" s="16">
        <f>ROUNDDOWN(IF($AG137*Y137&gt;요율!$E$3,($AG137*Y137-요율!$E$3)*요율!$C$3%*요율!$D$3%,0),-1)</f>
        <v>0</v>
      </c>
      <c r="BX137" s="16">
        <f>ROUNDDOWN(IF($AG137*Z137&gt;요율!$E$3,($AG137*Z137-요율!$E$3)*요율!$C$3%*요율!$D$3%,0),-1)</f>
        <v>0</v>
      </c>
      <c r="BY137" s="16">
        <f>ROUNDDOWN(IF($AG137*AA137&gt;요율!$E$3,($AG137*AA137-요율!$E$3)*요율!$C$3%*요율!$D$3%,0),-1)</f>
        <v>0</v>
      </c>
      <c r="BZ137" s="16">
        <f>ROUNDDOWN(IF($AG137*AB137&gt;요율!$E$3,($AG137*AB137-요율!$E$3)*요율!$C$3%*요율!$D$3%,0),-1)</f>
        <v>0</v>
      </c>
      <c r="CA137" s="16">
        <f>ROUNDDOWN(IF($AG137*AC137&gt;요율!$E$3,($AG137*AC137-요율!$E$3)*요율!$C$3%*요율!$D$3%,0),-1)</f>
        <v>0</v>
      </c>
      <c r="CB137" s="31">
        <f>ROUNDDOWN(IF($AG137*AD137&gt;요율!$E$3,($AG137*AD137-요율!$E$3)*요율!$C$3%*요율!$D$3%,0),-1)</f>
        <v>0</v>
      </c>
      <c r="CD137" s="5" t="str">
        <f>IFERROR(VLOOKUP(B137,주소록,9,FALSE),"")</f>
        <v/>
      </c>
    </row>
    <row r="138" spans="1:82" ht="20.100000000000001" hidden="1" customHeight="1">
      <c r="A138" s="761"/>
      <c r="B138" s="261" t="str">
        <f>BA137</f>
        <v/>
      </c>
      <c r="C138" s="690" t="str">
        <f>IF(ISERROR(VLOOKUP(B137,주소록!$A$3:$K$523,7,0)),"",VLOOKUP(B137,주소록!$A$3:$K$523,5,0))</f>
        <v/>
      </c>
      <c r="D138" s="690"/>
      <c r="E138" s="690"/>
      <c r="F138" s="691"/>
      <c r="G138" s="692" t="str">
        <f>IF(ISERROR(VLOOKUP(B137,주소록!$A$3:$K$523,9,0)),"",VLOOKUP(B137,주소록!$A$3:$K$523,7,0))</f>
        <v/>
      </c>
      <c r="H138" s="693"/>
      <c r="I138" s="694"/>
      <c r="J138" s="692" t="str">
        <f>IF(ISERROR(VLOOKUP(B137,주소록!$A$3:$K$523,10,0)),"",VLOOKUP(B137,주소록!$A$3:$K$523,8,0))</f>
        <v/>
      </c>
      <c r="K138" s="693"/>
      <c r="L138" s="693"/>
      <c r="M138" s="693"/>
      <c r="N138" s="695"/>
      <c r="O138" s="474"/>
      <c r="P138" s="475"/>
      <c r="Q138" s="475"/>
      <c r="R138" s="468"/>
      <c r="S138" s="476"/>
      <c r="T138" s="474"/>
      <c r="U138" s="475"/>
      <c r="V138" s="475"/>
      <c r="W138" s="475"/>
      <c r="X138" s="477"/>
      <c r="Y138" s="479"/>
      <c r="Z138" s="475"/>
      <c r="AA138" s="475"/>
      <c r="AB138" s="475"/>
      <c r="AC138" s="475"/>
      <c r="AD138" s="477"/>
      <c r="AE138" s="696">
        <f>SUM(O137:AD138)</f>
        <v>0</v>
      </c>
      <c r="AF138" s="697"/>
      <c r="AG138" s="765"/>
      <c r="AH138" s="687"/>
      <c r="AI138" s="688"/>
      <c r="AJ138" s="689"/>
      <c r="AK138" s="698">
        <f>IF(C137=0,"",IF(MID(C137,7,1)="5","",IF(MID(C137,7,1)="6","",ROUNDDOWN((AK137*10%),-1))))</f>
        <v>0</v>
      </c>
      <c r="AL138" s="699"/>
      <c r="AM138" s="700"/>
      <c r="AN138" s="701">
        <f>ROUNDDOWN(AN137*요율!$F$5,-1)</f>
        <v>0</v>
      </c>
      <c r="AO138" s="701"/>
      <c r="AP138" s="701"/>
      <c r="AQ138" s="713">
        <f>IF(OR(AND(요율!$H$8="X",요율!$H$9="X",MID(C137,8,1)&gt;="5"),AND(요율!$H$8="○",요율!$H$9="X",MID(C137,8,1)&gt;="5")),"외국인",IF(요율!$H$8="X",IF(C137="",0,IF(OR(MID(C137,8,1)&lt;"3",AND(MID(C137,8,1)&gt;="5",MID(C137,8,1)&lt;="6")),IF(INT(TEXT($O$3,"yyyy.mmdd")-TEXT(TEXT(LEFT(C137,6),"1900-00-00"),"yyyy.mmdd"))&gt;=65,"65세이상",+TRUNC(AH137*요율!$C$9%,-1)),IF(INT(TEXT($O$3,"yyyy.mmdd")-TEXT(TEXT(LEFT(C137,6),"2000-00-00"),"yyyy.mmdd"))&gt;=65,"65세이상",+TRUNC(AH137*요율!$C$9%,-1)))),+TRUNC(AH137*요율!$C$9%,-1)))</f>
        <v>0</v>
      </c>
      <c r="AR138" s="699"/>
      <c r="AS138" s="699"/>
      <c r="AT138" s="714"/>
      <c r="AU138" s="715"/>
      <c r="AV138" s="716"/>
      <c r="AW138" s="723"/>
      <c r="AX138" s="724"/>
      <c r="AY138" s="725"/>
      <c r="AZ138" s="767"/>
      <c r="BA138" s="22" t="str">
        <f>BA137</f>
        <v/>
      </c>
      <c r="BB138" s="6">
        <v>2</v>
      </c>
      <c r="BC138" s="753"/>
      <c r="BD138" s="733">
        <f>B137</f>
        <v>0</v>
      </c>
      <c r="BE138" s="733"/>
      <c r="BF138" s="733"/>
      <c r="BG138" s="734">
        <f>SUM(BM137:CB138)</f>
        <v>0</v>
      </c>
      <c r="BH138" s="735"/>
      <c r="BI138" s="736"/>
      <c r="BJ138" s="144"/>
      <c r="BK138" s="145"/>
      <c r="BL138" s="146"/>
      <c r="BM138" s="17">
        <f>ROUNDDOWN(IF($AG137*O138&gt;요율!$E$3,($AG137*O138-요율!$E$3)*요율!$C$3%*요율!$D$3%,0),-1)</f>
        <v>0</v>
      </c>
      <c r="BN138" s="18">
        <f>ROUNDDOWN(IF($AG137*P138&gt;요율!$E$3,($AG137*P138-요율!$E$3)*요율!$C$3%*요율!$D$3%,0),-1)</f>
        <v>0</v>
      </c>
      <c r="BO138" s="18">
        <f>ROUNDDOWN(IF($AG137*Q138&gt;요율!$E$3,($AG137*Q138-요율!$E$3)*요율!$C$3%*요율!$D$3%,0),-1)</f>
        <v>0</v>
      </c>
      <c r="BP138" s="18">
        <f>ROUNDDOWN(IF($AG137*R138&gt;요율!$E$3,($AG137*R138-요율!$E$3)*요율!$C$3%*요율!$D$3%,0),-1)</f>
        <v>0</v>
      </c>
      <c r="BQ138" s="18">
        <f>ROUNDDOWN(IF($AG137*S138&gt;요율!$E$3,($AG137*S138-요율!$E$3)*요율!$C$3%*요율!$D$3%,0),-1)</f>
        <v>0</v>
      </c>
      <c r="BR138" s="18">
        <f>ROUNDDOWN(IF($AG137*T138&gt;요율!$E$3,($AG137*T138-요율!$E$3)*요율!$C$3%*요율!$D$3%,0),-1)</f>
        <v>0</v>
      </c>
      <c r="BS138" s="18">
        <f>ROUNDDOWN(IF($AG137*U138&gt;요율!$E$3,($AG137*U138-요율!$E$3)*요율!$C$3%*요율!$D$3%,0),-1)</f>
        <v>0</v>
      </c>
      <c r="BT138" s="18">
        <f>ROUNDDOWN(IF($AG137*V138&gt;요율!$E$3,($AG137*V138-요율!$E$3)*요율!$C$3%*요율!$D$3%,0),-1)</f>
        <v>0</v>
      </c>
      <c r="BU138" s="18">
        <f>ROUNDDOWN(IF($AG137*W138&gt;요율!$E$3,($AG137*W138-요율!$E$3)*요율!$C$3%*요율!$D$3%,0),-1)</f>
        <v>0</v>
      </c>
      <c r="BV138" s="18">
        <f>ROUNDDOWN(IF($AG137*X138&gt;요율!$E$3,($AG137*X138-요율!$E$3)*요율!$C$3%*요율!$D$3%,0),-1)</f>
        <v>0</v>
      </c>
      <c r="BW138" s="18">
        <f>ROUNDDOWN(IF($AG137*Y138&gt;요율!$E$3,($AG137*Y138-요율!$E$3)*요율!$C$3%*요율!$D$3%,0),-1)</f>
        <v>0</v>
      </c>
      <c r="BX138" s="18">
        <f>ROUNDDOWN(IF($AG137*Z138&gt;요율!$E$3,($AG137*Z138-요율!$E$3)*요율!$C$3%*요율!$D$3%,0),-1)</f>
        <v>0</v>
      </c>
      <c r="BY138" s="18">
        <f>ROUNDDOWN(IF($AG137*AA138&gt;요율!$E$3,($AG137*AA138-요율!$E$3)*요율!$C$3%*요율!$D$3%,0),-1)</f>
        <v>0</v>
      </c>
      <c r="BZ138" s="18">
        <f>ROUNDDOWN(IF($AG137*AB138&gt;요율!$E$3,($AG137*AB138-요율!$E$3)*요율!$C$3%*요율!$D$3%,0),-1)</f>
        <v>0</v>
      </c>
      <c r="CA138" s="18">
        <f>ROUNDDOWN(IF($AG137*AC138&gt;요율!$E$3,($AG137*AC138-요율!$E$3)*요율!$C$3%*요율!$D$3%,0),-1)</f>
        <v>0</v>
      </c>
      <c r="CB138" s="19">
        <f>ROUNDDOWN(IF($AG137*AD138&gt;요율!$E$3,($AG137*AD138-요율!$E$3)*요율!$C$3%*요율!$D$3%,0),-1)</f>
        <v>0</v>
      </c>
    </row>
    <row r="139" spans="1:82" ht="20.100000000000001" hidden="1" customHeight="1">
      <c r="A139" s="760">
        <f t="shared" si="3"/>
        <v>67</v>
      </c>
      <c r="B139" s="260"/>
      <c r="C139" s="708" t="str">
        <f>IF(ISERROR(VLOOKUP(B139,주소록!$A$3:$K$523,5,0)),"",VLOOKUP(B139,주소록!$A$3:$K$523,3,0))</f>
        <v/>
      </c>
      <c r="D139" s="708"/>
      <c r="E139" s="708"/>
      <c r="F139" s="709"/>
      <c r="G139" s="710" t="str">
        <f>IF(ISERROR(VLOOKUP(B139,주소록!$A$3:$K$523,6,0)),"",VLOOKUP(B139,주소록!$A$3:$K$523,4,0))</f>
        <v/>
      </c>
      <c r="H139" s="711"/>
      <c r="I139" s="711"/>
      <c r="J139" s="711"/>
      <c r="K139" s="711"/>
      <c r="L139" s="711"/>
      <c r="M139" s="711"/>
      <c r="N139" s="712"/>
      <c r="O139" s="469"/>
      <c r="P139" s="470"/>
      <c r="Q139" s="470"/>
      <c r="R139" s="470"/>
      <c r="S139" s="478"/>
      <c r="T139" s="469"/>
      <c r="U139" s="470"/>
      <c r="V139" s="470"/>
      <c r="W139" s="470"/>
      <c r="X139" s="471"/>
      <c r="Y139" s="472"/>
      <c r="Z139" s="467"/>
      <c r="AA139" s="470"/>
      <c r="AB139" s="470"/>
      <c r="AC139" s="470"/>
      <c r="AD139" s="473"/>
      <c r="AE139" s="762">
        <f>COUNTIF(O139:AD140,"&gt;=0.5")</f>
        <v>0</v>
      </c>
      <c r="AF139" s="763"/>
      <c r="AG139" s="764"/>
      <c r="AH139" s="684">
        <f>AE140*AG139</f>
        <v>0</v>
      </c>
      <c r="AI139" s="685"/>
      <c r="AJ139" s="686"/>
      <c r="AK139" s="755">
        <f>IF(BG140&lt;1000, 0, BG140)</f>
        <v>0</v>
      </c>
      <c r="AL139" s="756"/>
      <c r="AM139" s="757"/>
      <c r="AN139" s="758">
        <f>IF(요율!$H$7="○",IF(AE139&gt;=요율!$D$6,ROUNDDOWN(AH139*요율!$C$4%,-1),0),0)</f>
        <v>0</v>
      </c>
      <c r="AO139" s="756"/>
      <c r="AP139" s="757"/>
      <c r="AQ139" s="758">
        <f>BL139</f>
        <v>0</v>
      </c>
      <c r="AR139" s="756"/>
      <c r="AS139" s="759"/>
      <c r="AT139" s="717">
        <f>SUM(AK139:AS140)</f>
        <v>0</v>
      </c>
      <c r="AU139" s="718"/>
      <c r="AV139" s="719"/>
      <c r="AW139" s="720">
        <f>AH139-AT139-AT140</f>
        <v>0</v>
      </c>
      <c r="AX139" s="721"/>
      <c r="AY139" s="722"/>
      <c r="AZ139" s="766"/>
      <c r="BA139" s="21" t="str">
        <f>IF(ISERROR(VLOOKUP($B139,주소록!$A$3:$K$523,3,0)),"",VLOOKUP($B139,주소록!$A$3:$K$523,2,0))</f>
        <v/>
      </c>
      <c r="BB139" s="6">
        <v>1</v>
      </c>
      <c r="BC139" s="752">
        <f>A139</f>
        <v>67</v>
      </c>
      <c r="BD139" s="754" t="str">
        <f>IF(OR(MID(C139,8,1)&lt;"3",AND(MID(C139,8,1)&gt;="5",MID(C139,8,1)&lt;="6")),TEXT(TEXT(LEFT(C139,6),"1900-00-00"),"yyyy년 m월 d일"),TEXT(TEXT(LEFT(C139,6),"2000-00-00"),"yyyy년 m월 d일"))</f>
        <v/>
      </c>
      <c r="BE139" s="754"/>
      <c r="BF139" s="754"/>
      <c r="BG139" s="768">
        <f>IFERROR(INT( ( TEXT($O$3,"yyyy.mmdd") - TEXT(BD139,"yyyy.mmdd") )  ),0)</f>
        <v>0</v>
      </c>
      <c r="BH139" s="769"/>
      <c r="BI139" s="770"/>
      <c r="BJ139" s="133">
        <f>IF(BG139&gt;59,"60세이상",IF(OR(AE139&lt;요율!$D$6,AH139=0),0,IF(AH139&lt;요율!$C$7,요율!$D$7,IF(AH139&gt;요율!$C$8,요율!$D$8,+TRUNC(AH139*요율!$C$6%,-1)))))</f>
        <v>0</v>
      </c>
      <c r="BK139" s="143">
        <f>IF(BG139&gt;59,"60세이상",IF(OR(AH139&lt;2200000,AH139=0),0,IF(AH139&lt;요율!$C$7,요율!$D$7,IF(AH139&gt;요율!$C$8,요율!$D$8,+TRUNC(AH139*요율!$C$6%,-1)))))</f>
        <v>0</v>
      </c>
      <c r="BL139" s="140">
        <f>IF(BK139&gt;0,BK139,BJ139)</f>
        <v>0</v>
      </c>
      <c r="BM139" s="15">
        <f>ROUNDDOWN(IF($AG139*O139&gt;요율!$E$3,($AG139*O139-요율!$E$3)*요율!$C$3%*요율!$D$3%,0),-1)</f>
        <v>0</v>
      </c>
      <c r="BN139" s="16">
        <f>ROUNDDOWN(IF($AG139*P139&gt;요율!$E$3,($AG139*P139-요율!$E$3)*요율!$C$3%*요율!$D$3%,0),-1)</f>
        <v>0</v>
      </c>
      <c r="BO139" s="16">
        <f>ROUNDDOWN(IF($AG139*Q139&gt;요율!$E$3,($AG139*Q139-요율!$E$3)*요율!$C$3%*요율!$D$3%,0),-1)</f>
        <v>0</v>
      </c>
      <c r="BP139" s="16">
        <f>ROUNDDOWN(IF($AG139*R139&gt;요율!$E$3,($AG139*R139-요율!$E$3)*요율!$C$3%*요율!$D$3%,0),-1)</f>
        <v>0</v>
      </c>
      <c r="BQ139" s="16">
        <f>ROUNDDOWN(IF($AG139*S139&gt;요율!$E$3,($AG139*S139-요율!$E$3)*요율!$C$3%*요율!$D$3%,0),-1)</f>
        <v>0</v>
      </c>
      <c r="BR139" s="16">
        <f>ROUNDDOWN(IF($AG139*T139&gt;요율!$E$3,($AG139*T139-요율!$E$3)*요율!$C$3%*요율!$D$3%,0),-1)</f>
        <v>0</v>
      </c>
      <c r="BS139" s="16">
        <f>ROUNDDOWN(IF($AG139*U139&gt;요율!$E$3,($AG139*U139-요율!$E$3)*요율!$C$3%*요율!$D$3%,0),-1)</f>
        <v>0</v>
      </c>
      <c r="BT139" s="16">
        <f>ROUNDDOWN(IF($AG139*V139&gt;요율!$E$3,($AG139*V139-요율!$E$3)*요율!$C$3%*요율!$D$3%,0),-1)</f>
        <v>0</v>
      </c>
      <c r="BU139" s="16">
        <f>ROUNDDOWN(IF($AG139*W139&gt;요율!$E$3,($AG139*W139-요율!$E$3)*요율!$C$3%*요율!$D$3%,0),-1)</f>
        <v>0</v>
      </c>
      <c r="BV139" s="16">
        <f>ROUNDDOWN(IF($AG139*X139&gt;요율!$E$3,($AG139*X139-요율!$E$3)*요율!$C$3%*요율!$D$3%,0),-1)</f>
        <v>0</v>
      </c>
      <c r="BW139" s="16">
        <f>ROUNDDOWN(IF($AG139*Y139&gt;요율!$E$3,($AG139*Y139-요율!$E$3)*요율!$C$3%*요율!$D$3%,0),-1)</f>
        <v>0</v>
      </c>
      <c r="BX139" s="16">
        <f>ROUNDDOWN(IF($AG139*Z139&gt;요율!$E$3,($AG139*Z139-요율!$E$3)*요율!$C$3%*요율!$D$3%,0),-1)</f>
        <v>0</v>
      </c>
      <c r="BY139" s="16">
        <f>ROUNDDOWN(IF($AG139*AA139&gt;요율!$E$3,($AG139*AA139-요율!$E$3)*요율!$C$3%*요율!$D$3%,0),-1)</f>
        <v>0</v>
      </c>
      <c r="BZ139" s="16">
        <f>ROUNDDOWN(IF($AG139*AB139&gt;요율!$E$3,($AG139*AB139-요율!$E$3)*요율!$C$3%*요율!$D$3%,0),-1)</f>
        <v>0</v>
      </c>
      <c r="CA139" s="16">
        <f>ROUNDDOWN(IF($AG139*AC139&gt;요율!$E$3,($AG139*AC139-요율!$E$3)*요율!$C$3%*요율!$D$3%,0),-1)</f>
        <v>0</v>
      </c>
      <c r="CB139" s="31">
        <f>ROUNDDOWN(IF($AG139*AD139&gt;요율!$E$3,($AG139*AD139-요율!$E$3)*요율!$C$3%*요율!$D$3%,0),-1)</f>
        <v>0</v>
      </c>
      <c r="CD139" s="5" t="str">
        <f>IFERROR(VLOOKUP(B139,주소록,9,FALSE),"")</f>
        <v/>
      </c>
    </row>
    <row r="140" spans="1:82" ht="20.100000000000001" hidden="1" customHeight="1">
      <c r="A140" s="761"/>
      <c r="B140" s="261" t="str">
        <f>BA139</f>
        <v/>
      </c>
      <c r="C140" s="690" t="str">
        <f>IF(ISERROR(VLOOKUP(B139,주소록!$A$3:$K$523,7,0)),"",VLOOKUP(B139,주소록!$A$3:$K$523,5,0))</f>
        <v/>
      </c>
      <c r="D140" s="690"/>
      <c r="E140" s="690"/>
      <c r="F140" s="691"/>
      <c r="G140" s="692" t="str">
        <f>IF(ISERROR(VLOOKUP(B139,주소록!$A$3:$K$523,9,0)),"",VLOOKUP(B139,주소록!$A$3:$K$523,7,0))</f>
        <v/>
      </c>
      <c r="H140" s="693"/>
      <c r="I140" s="694"/>
      <c r="J140" s="692" t="str">
        <f>IF(ISERROR(VLOOKUP(B139,주소록!$A$3:$K$523,10,0)),"",VLOOKUP(B139,주소록!$A$3:$K$523,8,0))</f>
        <v/>
      </c>
      <c r="K140" s="693"/>
      <c r="L140" s="693"/>
      <c r="M140" s="693"/>
      <c r="N140" s="695"/>
      <c r="O140" s="474"/>
      <c r="P140" s="475"/>
      <c r="Q140" s="475"/>
      <c r="R140" s="468"/>
      <c r="S140" s="476"/>
      <c r="T140" s="474"/>
      <c r="U140" s="475"/>
      <c r="V140" s="475"/>
      <c r="W140" s="475"/>
      <c r="X140" s="477"/>
      <c r="Y140" s="479"/>
      <c r="Z140" s="475"/>
      <c r="AA140" s="475"/>
      <c r="AB140" s="475"/>
      <c r="AC140" s="475"/>
      <c r="AD140" s="477"/>
      <c r="AE140" s="696">
        <f>SUM(O139:AD140)</f>
        <v>0</v>
      </c>
      <c r="AF140" s="697"/>
      <c r="AG140" s="765"/>
      <c r="AH140" s="687"/>
      <c r="AI140" s="688"/>
      <c r="AJ140" s="689"/>
      <c r="AK140" s="698">
        <f>IF(C139=0,"",IF(MID(C139,7,1)="5","",IF(MID(C139,7,1)="6","",ROUNDDOWN((AK139*10%),-1))))</f>
        <v>0</v>
      </c>
      <c r="AL140" s="699"/>
      <c r="AM140" s="700"/>
      <c r="AN140" s="701">
        <f>ROUNDDOWN(AN139*요율!$F$5,-1)</f>
        <v>0</v>
      </c>
      <c r="AO140" s="701"/>
      <c r="AP140" s="701"/>
      <c r="AQ140" s="713">
        <f>IF(OR(AND(요율!$H$8="X",요율!$H$9="X",MID(C139,8,1)&gt;="5"),AND(요율!$H$8="○",요율!$H$9="X",MID(C139,8,1)&gt;="5")),"외국인",IF(요율!$H$8="X",IF(C139="",0,IF(OR(MID(C139,8,1)&lt;"3",AND(MID(C139,8,1)&gt;="5",MID(C139,8,1)&lt;="6")),IF(INT(TEXT($O$3,"yyyy.mmdd")-TEXT(TEXT(LEFT(C139,6),"1900-00-00"),"yyyy.mmdd"))&gt;=65,"65세이상",+TRUNC(AH139*요율!$C$9%,-1)),IF(INT(TEXT($O$3,"yyyy.mmdd")-TEXT(TEXT(LEFT(C139,6),"2000-00-00"),"yyyy.mmdd"))&gt;=65,"65세이상",+TRUNC(AH139*요율!$C$9%,-1)))),+TRUNC(AH139*요율!$C$9%,-1)))</f>
        <v>0</v>
      </c>
      <c r="AR140" s="699"/>
      <c r="AS140" s="699"/>
      <c r="AT140" s="714"/>
      <c r="AU140" s="715"/>
      <c r="AV140" s="716"/>
      <c r="AW140" s="723"/>
      <c r="AX140" s="724"/>
      <c r="AY140" s="725"/>
      <c r="AZ140" s="767"/>
      <c r="BA140" s="22" t="str">
        <f>BA139</f>
        <v/>
      </c>
      <c r="BB140" s="6">
        <v>2</v>
      </c>
      <c r="BC140" s="753"/>
      <c r="BD140" s="733">
        <f>B139</f>
        <v>0</v>
      </c>
      <c r="BE140" s="733"/>
      <c r="BF140" s="733"/>
      <c r="BG140" s="734">
        <f>SUM(BM139:CB140)</f>
        <v>0</v>
      </c>
      <c r="BH140" s="735"/>
      <c r="BI140" s="736"/>
      <c r="BJ140" s="144"/>
      <c r="BK140" s="145"/>
      <c r="BL140" s="146"/>
      <c r="BM140" s="17">
        <f>ROUNDDOWN(IF($AG139*O140&gt;요율!$E$3,($AG139*O140-요율!$E$3)*요율!$C$3%*요율!$D$3%,0),-1)</f>
        <v>0</v>
      </c>
      <c r="BN140" s="18">
        <f>ROUNDDOWN(IF($AG139*P140&gt;요율!$E$3,($AG139*P140-요율!$E$3)*요율!$C$3%*요율!$D$3%,0),-1)</f>
        <v>0</v>
      </c>
      <c r="BO140" s="18">
        <f>ROUNDDOWN(IF($AG139*Q140&gt;요율!$E$3,($AG139*Q140-요율!$E$3)*요율!$C$3%*요율!$D$3%,0),-1)</f>
        <v>0</v>
      </c>
      <c r="BP140" s="18">
        <f>ROUNDDOWN(IF($AG139*R140&gt;요율!$E$3,($AG139*R140-요율!$E$3)*요율!$C$3%*요율!$D$3%,0),-1)</f>
        <v>0</v>
      </c>
      <c r="BQ140" s="18">
        <f>ROUNDDOWN(IF($AG139*S140&gt;요율!$E$3,($AG139*S140-요율!$E$3)*요율!$C$3%*요율!$D$3%,0),-1)</f>
        <v>0</v>
      </c>
      <c r="BR140" s="18">
        <f>ROUNDDOWN(IF($AG139*T140&gt;요율!$E$3,($AG139*T140-요율!$E$3)*요율!$C$3%*요율!$D$3%,0),-1)</f>
        <v>0</v>
      </c>
      <c r="BS140" s="18">
        <f>ROUNDDOWN(IF($AG139*U140&gt;요율!$E$3,($AG139*U140-요율!$E$3)*요율!$C$3%*요율!$D$3%,0),-1)</f>
        <v>0</v>
      </c>
      <c r="BT140" s="18">
        <f>ROUNDDOWN(IF($AG139*V140&gt;요율!$E$3,($AG139*V140-요율!$E$3)*요율!$C$3%*요율!$D$3%,0),-1)</f>
        <v>0</v>
      </c>
      <c r="BU140" s="18">
        <f>ROUNDDOWN(IF($AG139*W140&gt;요율!$E$3,($AG139*W140-요율!$E$3)*요율!$C$3%*요율!$D$3%,0),-1)</f>
        <v>0</v>
      </c>
      <c r="BV140" s="18">
        <f>ROUNDDOWN(IF($AG139*X140&gt;요율!$E$3,($AG139*X140-요율!$E$3)*요율!$C$3%*요율!$D$3%,0),-1)</f>
        <v>0</v>
      </c>
      <c r="BW140" s="18">
        <f>ROUNDDOWN(IF($AG139*Y140&gt;요율!$E$3,($AG139*Y140-요율!$E$3)*요율!$C$3%*요율!$D$3%,0),-1)</f>
        <v>0</v>
      </c>
      <c r="BX140" s="18">
        <f>ROUNDDOWN(IF($AG139*Z140&gt;요율!$E$3,($AG139*Z140-요율!$E$3)*요율!$C$3%*요율!$D$3%,0),-1)</f>
        <v>0</v>
      </c>
      <c r="BY140" s="18">
        <f>ROUNDDOWN(IF($AG139*AA140&gt;요율!$E$3,($AG139*AA140-요율!$E$3)*요율!$C$3%*요율!$D$3%,0),-1)</f>
        <v>0</v>
      </c>
      <c r="BZ140" s="18">
        <f>ROUNDDOWN(IF($AG139*AB140&gt;요율!$E$3,($AG139*AB140-요율!$E$3)*요율!$C$3%*요율!$D$3%,0),-1)</f>
        <v>0</v>
      </c>
      <c r="CA140" s="18">
        <f>ROUNDDOWN(IF($AG139*AC140&gt;요율!$E$3,($AG139*AC140-요율!$E$3)*요율!$C$3%*요율!$D$3%,0),-1)</f>
        <v>0</v>
      </c>
      <c r="CB140" s="19">
        <f>ROUNDDOWN(IF($AG139*AD140&gt;요율!$E$3,($AG139*AD140-요율!$E$3)*요율!$C$3%*요율!$D$3%,0),-1)</f>
        <v>0</v>
      </c>
    </row>
    <row r="141" spans="1:82" ht="20.100000000000001" hidden="1" customHeight="1">
      <c r="A141" s="760">
        <f t="shared" si="3"/>
        <v>68</v>
      </c>
      <c r="B141" s="260"/>
      <c r="C141" s="708" t="str">
        <f>IF(ISERROR(VLOOKUP(B141,주소록!$A$3:$K$523,5,0)),"",VLOOKUP(B141,주소록!$A$3:$K$523,3,0))</f>
        <v/>
      </c>
      <c r="D141" s="708"/>
      <c r="E141" s="708"/>
      <c r="F141" s="709"/>
      <c r="G141" s="710" t="str">
        <f>IF(ISERROR(VLOOKUP(B141,주소록!$A$3:$K$523,6,0)),"",VLOOKUP(B141,주소록!$A$3:$K$523,4,0))</f>
        <v/>
      </c>
      <c r="H141" s="711"/>
      <c r="I141" s="711"/>
      <c r="J141" s="711"/>
      <c r="K141" s="711"/>
      <c r="L141" s="711"/>
      <c r="M141" s="711"/>
      <c r="N141" s="712"/>
      <c r="O141" s="469"/>
      <c r="P141" s="470"/>
      <c r="Q141" s="470"/>
      <c r="R141" s="470"/>
      <c r="S141" s="478"/>
      <c r="T141" s="469"/>
      <c r="U141" s="470"/>
      <c r="V141" s="470"/>
      <c r="W141" s="470"/>
      <c r="X141" s="471"/>
      <c r="Y141" s="472"/>
      <c r="Z141" s="467"/>
      <c r="AA141" s="470"/>
      <c r="AB141" s="470"/>
      <c r="AC141" s="470"/>
      <c r="AD141" s="473"/>
      <c r="AE141" s="762">
        <f>COUNTIF(O141:AD142,"&gt;=0.5")</f>
        <v>0</v>
      </c>
      <c r="AF141" s="763"/>
      <c r="AG141" s="764"/>
      <c r="AH141" s="684">
        <f>AE142*AG141</f>
        <v>0</v>
      </c>
      <c r="AI141" s="685"/>
      <c r="AJ141" s="686"/>
      <c r="AK141" s="755">
        <f>IF(BG142&lt;1000, 0, BG142)</f>
        <v>0</v>
      </c>
      <c r="AL141" s="756"/>
      <c r="AM141" s="757"/>
      <c r="AN141" s="758">
        <f>IF(요율!$H$7="○",IF(AE141&gt;=요율!$D$6,ROUNDDOWN(AH141*요율!$C$4%,-1),0),0)</f>
        <v>0</v>
      </c>
      <c r="AO141" s="756"/>
      <c r="AP141" s="757"/>
      <c r="AQ141" s="758">
        <f>BL141</f>
        <v>0</v>
      </c>
      <c r="AR141" s="756"/>
      <c r="AS141" s="759"/>
      <c r="AT141" s="717">
        <f>SUM(AK141:AS142)</f>
        <v>0</v>
      </c>
      <c r="AU141" s="718"/>
      <c r="AV141" s="719"/>
      <c r="AW141" s="720">
        <f>AH141-AT141-AT142</f>
        <v>0</v>
      </c>
      <c r="AX141" s="721"/>
      <c r="AY141" s="722"/>
      <c r="AZ141" s="766"/>
      <c r="BA141" s="21" t="str">
        <f>IF(ISERROR(VLOOKUP($B141,주소록!$A$3:$K$523,3,0)),"",VLOOKUP($B141,주소록!$A$3:$K$523,2,0))</f>
        <v/>
      </c>
      <c r="BB141" s="6">
        <v>1</v>
      </c>
      <c r="BC141" s="752">
        <f>A141</f>
        <v>68</v>
      </c>
      <c r="BD141" s="754" t="str">
        <f>IF(OR(MID(C141,8,1)&lt;"3",AND(MID(C141,8,1)&gt;="5",MID(C141,8,1)&lt;="6")),TEXT(TEXT(LEFT(C141,6),"1900-00-00"),"yyyy년 m월 d일"),TEXT(TEXT(LEFT(C141,6),"2000-00-00"),"yyyy년 m월 d일"))</f>
        <v/>
      </c>
      <c r="BE141" s="754"/>
      <c r="BF141" s="754"/>
      <c r="BG141" s="768">
        <f>IFERROR(INT( ( TEXT($O$3,"yyyy.mmdd") - TEXT(BD141,"yyyy.mmdd") )  ),0)</f>
        <v>0</v>
      </c>
      <c r="BH141" s="769"/>
      <c r="BI141" s="770"/>
      <c r="BJ141" s="133">
        <f>IF(BG141&gt;59,"60세이상",IF(OR(AE141&lt;요율!$D$6,AH141=0),0,IF(AH141&lt;요율!$C$7,요율!$D$7,IF(AH141&gt;요율!$C$8,요율!$D$8,+TRUNC(AH141*요율!$C$6%,-1)))))</f>
        <v>0</v>
      </c>
      <c r="BK141" s="143">
        <f>IF(BG141&gt;59,"60세이상",IF(OR(AH141&lt;2200000,AH141=0),0,IF(AH141&lt;요율!$C$7,요율!$D$7,IF(AH141&gt;요율!$C$8,요율!$D$8,+TRUNC(AH141*요율!$C$6%,-1)))))</f>
        <v>0</v>
      </c>
      <c r="BL141" s="140">
        <f>IF(BK141&gt;0,BK141,BJ141)</f>
        <v>0</v>
      </c>
      <c r="BM141" s="15">
        <f>ROUNDDOWN(IF($AG141*O141&gt;요율!$E$3,($AG141*O141-요율!$E$3)*요율!$C$3%*요율!$D$3%,0),-1)</f>
        <v>0</v>
      </c>
      <c r="BN141" s="16">
        <f>ROUNDDOWN(IF($AG141*P141&gt;요율!$E$3,($AG141*P141-요율!$E$3)*요율!$C$3%*요율!$D$3%,0),-1)</f>
        <v>0</v>
      </c>
      <c r="BO141" s="16">
        <f>ROUNDDOWN(IF($AG141*Q141&gt;요율!$E$3,($AG141*Q141-요율!$E$3)*요율!$C$3%*요율!$D$3%,0),-1)</f>
        <v>0</v>
      </c>
      <c r="BP141" s="16">
        <f>ROUNDDOWN(IF($AG141*R141&gt;요율!$E$3,($AG141*R141-요율!$E$3)*요율!$C$3%*요율!$D$3%,0),-1)</f>
        <v>0</v>
      </c>
      <c r="BQ141" s="16">
        <f>ROUNDDOWN(IF($AG141*S141&gt;요율!$E$3,($AG141*S141-요율!$E$3)*요율!$C$3%*요율!$D$3%,0),-1)</f>
        <v>0</v>
      </c>
      <c r="BR141" s="16">
        <f>ROUNDDOWN(IF($AG141*T141&gt;요율!$E$3,($AG141*T141-요율!$E$3)*요율!$C$3%*요율!$D$3%,0),-1)</f>
        <v>0</v>
      </c>
      <c r="BS141" s="16">
        <f>ROUNDDOWN(IF($AG141*U141&gt;요율!$E$3,($AG141*U141-요율!$E$3)*요율!$C$3%*요율!$D$3%,0),-1)</f>
        <v>0</v>
      </c>
      <c r="BT141" s="16">
        <f>ROUNDDOWN(IF($AG141*V141&gt;요율!$E$3,($AG141*V141-요율!$E$3)*요율!$C$3%*요율!$D$3%,0),-1)</f>
        <v>0</v>
      </c>
      <c r="BU141" s="16">
        <f>ROUNDDOWN(IF($AG141*W141&gt;요율!$E$3,($AG141*W141-요율!$E$3)*요율!$C$3%*요율!$D$3%,0),-1)</f>
        <v>0</v>
      </c>
      <c r="BV141" s="16">
        <f>ROUNDDOWN(IF($AG141*X141&gt;요율!$E$3,($AG141*X141-요율!$E$3)*요율!$C$3%*요율!$D$3%,0),-1)</f>
        <v>0</v>
      </c>
      <c r="BW141" s="16">
        <f>ROUNDDOWN(IF($AG141*Y141&gt;요율!$E$3,($AG141*Y141-요율!$E$3)*요율!$C$3%*요율!$D$3%,0),-1)</f>
        <v>0</v>
      </c>
      <c r="BX141" s="16">
        <f>ROUNDDOWN(IF($AG141*Z141&gt;요율!$E$3,($AG141*Z141-요율!$E$3)*요율!$C$3%*요율!$D$3%,0),-1)</f>
        <v>0</v>
      </c>
      <c r="BY141" s="16">
        <f>ROUNDDOWN(IF($AG141*AA141&gt;요율!$E$3,($AG141*AA141-요율!$E$3)*요율!$C$3%*요율!$D$3%,0),-1)</f>
        <v>0</v>
      </c>
      <c r="BZ141" s="16">
        <f>ROUNDDOWN(IF($AG141*AB141&gt;요율!$E$3,($AG141*AB141-요율!$E$3)*요율!$C$3%*요율!$D$3%,0),-1)</f>
        <v>0</v>
      </c>
      <c r="CA141" s="16">
        <f>ROUNDDOWN(IF($AG141*AC141&gt;요율!$E$3,($AG141*AC141-요율!$E$3)*요율!$C$3%*요율!$D$3%,0),-1)</f>
        <v>0</v>
      </c>
      <c r="CB141" s="31">
        <f>ROUNDDOWN(IF($AG141*AD141&gt;요율!$E$3,($AG141*AD141-요율!$E$3)*요율!$C$3%*요율!$D$3%,0),-1)</f>
        <v>0</v>
      </c>
      <c r="CD141" s="5" t="str">
        <f>IFERROR(VLOOKUP(B141,주소록,9,FALSE),"")</f>
        <v/>
      </c>
    </row>
    <row r="142" spans="1:82" ht="20.100000000000001" hidden="1" customHeight="1">
      <c r="A142" s="761"/>
      <c r="B142" s="261" t="str">
        <f>BA141</f>
        <v/>
      </c>
      <c r="C142" s="690" t="str">
        <f>IF(ISERROR(VLOOKUP(B141,주소록!$A$3:$K$523,7,0)),"",VLOOKUP(B141,주소록!$A$3:$K$523,5,0))</f>
        <v/>
      </c>
      <c r="D142" s="690"/>
      <c r="E142" s="690"/>
      <c r="F142" s="691"/>
      <c r="G142" s="692" t="str">
        <f>IF(ISERROR(VLOOKUP(B141,주소록!$A$3:$K$523,9,0)),"",VLOOKUP(B141,주소록!$A$3:$K$523,7,0))</f>
        <v/>
      </c>
      <c r="H142" s="693"/>
      <c r="I142" s="694"/>
      <c r="J142" s="692" t="str">
        <f>IF(ISERROR(VLOOKUP(B141,주소록!$A$3:$K$523,10,0)),"",VLOOKUP(B141,주소록!$A$3:$K$523,8,0))</f>
        <v/>
      </c>
      <c r="K142" s="693"/>
      <c r="L142" s="693"/>
      <c r="M142" s="693"/>
      <c r="N142" s="695"/>
      <c r="O142" s="474"/>
      <c r="P142" s="475"/>
      <c r="Q142" s="475"/>
      <c r="R142" s="468"/>
      <c r="S142" s="476"/>
      <c r="T142" s="474"/>
      <c r="U142" s="475"/>
      <c r="V142" s="475"/>
      <c r="W142" s="475"/>
      <c r="X142" s="477"/>
      <c r="Y142" s="479"/>
      <c r="Z142" s="475"/>
      <c r="AA142" s="475"/>
      <c r="AB142" s="475"/>
      <c r="AC142" s="475"/>
      <c r="AD142" s="477"/>
      <c r="AE142" s="696">
        <f>SUM(O141:AD142)</f>
        <v>0</v>
      </c>
      <c r="AF142" s="697"/>
      <c r="AG142" s="765"/>
      <c r="AH142" s="687"/>
      <c r="AI142" s="688"/>
      <c r="AJ142" s="689"/>
      <c r="AK142" s="698">
        <f>IF(C141=0,"",IF(MID(C141,7,1)="5","",IF(MID(C141,7,1)="6","",ROUNDDOWN((AK141*10%),-1))))</f>
        <v>0</v>
      </c>
      <c r="AL142" s="699"/>
      <c r="AM142" s="700"/>
      <c r="AN142" s="701">
        <f>ROUNDDOWN(AN141*요율!$F$5,-1)</f>
        <v>0</v>
      </c>
      <c r="AO142" s="701"/>
      <c r="AP142" s="701"/>
      <c r="AQ142" s="713">
        <f>IF(OR(AND(요율!$H$8="X",요율!$H$9="X",MID(C141,8,1)&gt;="5"),AND(요율!$H$8="○",요율!$H$9="X",MID(C141,8,1)&gt;="5")),"외국인",IF(요율!$H$8="X",IF(C141="",0,IF(OR(MID(C141,8,1)&lt;"3",AND(MID(C141,8,1)&gt;="5",MID(C141,8,1)&lt;="6")),IF(INT(TEXT($O$3,"yyyy.mmdd")-TEXT(TEXT(LEFT(C141,6),"1900-00-00"),"yyyy.mmdd"))&gt;=65,"65세이상",+TRUNC(AH141*요율!$C$9%,-1)),IF(INT(TEXT($O$3,"yyyy.mmdd")-TEXT(TEXT(LEFT(C141,6),"2000-00-00"),"yyyy.mmdd"))&gt;=65,"65세이상",+TRUNC(AH141*요율!$C$9%,-1)))),+TRUNC(AH141*요율!$C$9%,-1)))</f>
        <v>0</v>
      </c>
      <c r="AR142" s="699"/>
      <c r="AS142" s="699"/>
      <c r="AT142" s="714"/>
      <c r="AU142" s="715"/>
      <c r="AV142" s="716"/>
      <c r="AW142" s="723"/>
      <c r="AX142" s="724"/>
      <c r="AY142" s="725"/>
      <c r="AZ142" s="767"/>
      <c r="BA142" s="22" t="str">
        <f>BA141</f>
        <v/>
      </c>
      <c r="BB142" s="6">
        <v>2</v>
      </c>
      <c r="BC142" s="753"/>
      <c r="BD142" s="733">
        <f>B141</f>
        <v>0</v>
      </c>
      <c r="BE142" s="733"/>
      <c r="BF142" s="733"/>
      <c r="BG142" s="734">
        <f>SUM(BM141:CB142)</f>
        <v>0</v>
      </c>
      <c r="BH142" s="735"/>
      <c r="BI142" s="736"/>
      <c r="BJ142" s="144"/>
      <c r="BK142" s="145"/>
      <c r="BL142" s="146"/>
      <c r="BM142" s="17">
        <f>ROUNDDOWN(IF($AG141*O142&gt;요율!$E$3,($AG141*O142-요율!$E$3)*요율!$C$3%*요율!$D$3%,0),-1)</f>
        <v>0</v>
      </c>
      <c r="BN142" s="18">
        <f>ROUNDDOWN(IF($AG141*P142&gt;요율!$E$3,($AG141*P142-요율!$E$3)*요율!$C$3%*요율!$D$3%,0),-1)</f>
        <v>0</v>
      </c>
      <c r="BO142" s="18">
        <f>ROUNDDOWN(IF($AG141*Q142&gt;요율!$E$3,($AG141*Q142-요율!$E$3)*요율!$C$3%*요율!$D$3%,0),-1)</f>
        <v>0</v>
      </c>
      <c r="BP142" s="18">
        <f>ROUNDDOWN(IF($AG141*R142&gt;요율!$E$3,($AG141*R142-요율!$E$3)*요율!$C$3%*요율!$D$3%,0),-1)</f>
        <v>0</v>
      </c>
      <c r="BQ142" s="18">
        <f>ROUNDDOWN(IF($AG141*S142&gt;요율!$E$3,($AG141*S142-요율!$E$3)*요율!$C$3%*요율!$D$3%,0),-1)</f>
        <v>0</v>
      </c>
      <c r="BR142" s="18">
        <f>ROUNDDOWN(IF($AG141*T142&gt;요율!$E$3,($AG141*T142-요율!$E$3)*요율!$C$3%*요율!$D$3%,0),-1)</f>
        <v>0</v>
      </c>
      <c r="BS142" s="18">
        <f>ROUNDDOWN(IF($AG141*U142&gt;요율!$E$3,($AG141*U142-요율!$E$3)*요율!$C$3%*요율!$D$3%,0),-1)</f>
        <v>0</v>
      </c>
      <c r="BT142" s="18">
        <f>ROUNDDOWN(IF($AG141*V142&gt;요율!$E$3,($AG141*V142-요율!$E$3)*요율!$C$3%*요율!$D$3%,0),-1)</f>
        <v>0</v>
      </c>
      <c r="BU142" s="18">
        <f>ROUNDDOWN(IF($AG141*W142&gt;요율!$E$3,($AG141*W142-요율!$E$3)*요율!$C$3%*요율!$D$3%,0),-1)</f>
        <v>0</v>
      </c>
      <c r="BV142" s="18">
        <f>ROUNDDOWN(IF($AG141*X142&gt;요율!$E$3,($AG141*X142-요율!$E$3)*요율!$C$3%*요율!$D$3%,0),-1)</f>
        <v>0</v>
      </c>
      <c r="BW142" s="18">
        <f>ROUNDDOWN(IF($AG141*Y142&gt;요율!$E$3,($AG141*Y142-요율!$E$3)*요율!$C$3%*요율!$D$3%,0),-1)</f>
        <v>0</v>
      </c>
      <c r="BX142" s="18">
        <f>ROUNDDOWN(IF($AG141*Z142&gt;요율!$E$3,($AG141*Z142-요율!$E$3)*요율!$C$3%*요율!$D$3%,0),-1)</f>
        <v>0</v>
      </c>
      <c r="BY142" s="18">
        <f>ROUNDDOWN(IF($AG141*AA142&gt;요율!$E$3,($AG141*AA142-요율!$E$3)*요율!$C$3%*요율!$D$3%,0),-1)</f>
        <v>0</v>
      </c>
      <c r="BZ142" s="18">
        <f>ROUNDDOWN(IF($AG141*AB142&gt;요율!$E$3,($AG141*AB142-요율!$E$3)*요율!$C$3%*요율!$D$3%,0),-1)</f>
        <v>0</v>
      </c>
      <c r="CA142" s="18">
        <f>ROUNDDOWN(IF($AG141*AC142&gt;요율!$E$3,($AG141*AC142-요율!$E$3)*요율!$C$3%*요율!$D$3%,0),-1)</f>
        <v>0</v>
      </c>
      <c r="CB142" s="19">
        <f>ROUNDDOWN(IF($AG141*AD142&gt;요율!$E$3,($AG141*AD142-요율!$E$3)*요율!$C$3%*요율!$D$3%,0),-1)</f>
        <v>0</v>
      </c>
    </row>
    <row r="143" spans="1:82" ht="20.100000000000001" hidden="1" customHeight="1">
      <c r="A143" s="760">
        <f t="shared" si="3"/>
        <v>69</v>
      </c>
      <c r="B143" s="260"/>
      <c r="C143" s="708" t="str">
        <f>IF(ISERROR(VLOOKUP(B143,주소록!$A$3:$K$523,5,0)),"",VLOOKUP(B143,주소록!$A$3:$K$523,3,0))</f>
        <v/>
      </c>
      <c r="D143" s="708"/>
      <c r="E143" s="708"/>
      <c r="F143" s="709"/>
      <c r="G143" s="710" t="str">
        <f>IF(ISERROR(VLOOKUP(B143,주소록!$A$3:$K$523,6,0)),"",VLOOKUP(B143,주소록!$A$3:$K$523,4,0))</f>
        <v/>
      </c>
      <c r="H143" s="711"/>
      <c r="I143" s="711"/>
      <c r="J143" s="711"/>
      <c r="K143" s="711"/>
      <c r="L143" s="711"/>
      <c r="M143" s="711"/>
      <c r="N143" s="712"/>
      <c r="O143" s="469"/>
      <c r="P143" s="470"/>
      <c r="Q143" s="470"/>
      <c r="R143" s="470"/>
      <c r="S143" s="478"/>
      <c r="T143" s="469"/>
      <c r="U143" s="470"/>
      <c r="V143" s="470"/>
      <c r="W143" s="470"/>
      <c r="X143" s="471"/>
      <c r="Y143" s="472"/>
      <c r="Z143" s="467"/>
      <c r="AA143" s="470"/>
      <c r="AB143" s="470"/>
      <c r="AC143" s="470"/>
      <c r="AD143" s="473"/>
      <c r="AE143" s="762">
        <f>COUNTIF(O143:AD144,"&gt;=0.5")</f>
        <v>0</v>
      </c>
      <c r="AF143" s="763"/>
      <c r="AG143" s="764"/>
      <c r="AH143" s="684">
        <f>AE144*AG143</f>
        <v>0</v>
      </c>
      <c r="AI143" s="685"/>
      <c r="AJ143" s="686"/>
      <c r="AK143" s="755">
        <f>IF(BG144&lt;1000, 0, BG144)</f>
        <v>0</v>
      </c>
      <c r="AL143" s="756"/>
      <c r="AM143" s="757"/>
      <c r="AN143" s="758">
        <f>IF(요율!$H$7="○",IF(AE143&gt;=요율!$D$6,ROUNDDOWN(AH143*요율!$C$4%,-1),0),0)</f>
        <v>0</v>
      </c>
      <c r="AO143" s="756"/>
      <c r="AP143" s="757"/>
      <c r="AQ143" s="758">
        <f>BL143</f>
        <v>0</v>
      </c>
      <c r="AR143" s="756"/>
      <c r="AS143" s="759"/>
      <c r="AT143" s="717">
        <f>SUM(AK143:AS144)</f>
        <v>0</v>
      </c>
      <c r="AU143" s="718"/>
      <c r="AV143" s="719"/>
      <c r="AW143" s="720">
        <f>AH143-AT143-AT144</f>
        <v>0</v>
      </c>
      <c r="AX143" s="721"/>
      <c r="AY143" s="722"/>
      <c r="AZ143" s="766"/>
      <c r="BA143" s="21" t="str">
        <f>IF(ISERROR(VLOOKUP($B143,주소록!$A$3:$K$523,3,0)),"",VLOOKUP($B143,주소록!$A$3:$K$523,2,0))</f>
        <v/>
      </c>
      <c r="BB143" s="6">
        <v>1</v>
      </c>
      <c r="BC143" s="752">
        <f>A143</f>
        <v>69</v>
      </c>
      <c r="BD143" s="754" t="str">
        <f>IF(OR(MID(C143,8,1)&lt;"3",AND(MID(C143,8,1)&gt;="5",MID(C143,8,1)&lt;="6")),TEXT(TEXT(LEFT(C143,6),"1900-00-00"),"yyyy년 m월 d일"),TEXT(TEXT(LEFT(C143,6),"2000-00-00"),"yyyy년 m월 d일"))</f>
        <v/>
      </c>
      <c r="BE143" s="754"/>
      <c r="BF143" s="754"/>
      <c r="BG143" s="768">
        <f>IFERROR(INT( ( TEXT($O$3,"yyyy.mmdd") - TEXT(BD143,"yyyy.mmdd") )  ),0)</f>
        <v>0</v>
      </c>
      <c r="BH143" s="769"/>
      <c r="BI143" s="770"/>
      <c r="BJ143" s="133">
        <f>IF(BG143&gt;59,"60세이상",IF(OR(AE143&lt;요율!$D$6,AH143=0),0,IF(AH143&lt;요율!$C$7,요율!$D$7,IF(AH143&gt;요율!$C$8,요율!$D$8,+TRUNC(AH143*요율!$C$6%,-1)))))</f>
        <v>0</v>
      </c>
      <c r="BK143" s="143">
        <f>IF(BG143&gt;59,"60세이상",IF(OR(AH143&lt;2200000,AH143=0),0,IF(AH143&lt;요율!$C$7,요율!$D$7,IF(AH143&gt;요율!$C$8,요율!$D$8,+TRUNC(AH143*요율!$C$6%,-1)))))</f>
        <v>0</v>
      </c>
      <c r="BL143" s="140">
        <f>IF(BK143&gt;0,BK143,BJ143)</f>
        <v>0</v>
      </c>
      <c r="BM143" s="15">
        <f>ROUNDDOWN(IF($AG143*O143&gt;요율!$E$3,($AG143*O143-요율!$E$3)*요율!$C$3%*요율!$D$3%,0),-1)</f>
        <v>0</v>
      </c>
      <c r="BN143" s="16">
        <f>ROUNDDOWN(IF($AG143*P143&gt;요율!$E$3,($AG143*P143-요율!$E$3)*요율!$C$3%*요율!$D$3%,0),-1)</f>
        <v>0</v>
      </c>
      <c r="BO143" s="16">
        <f>ROUNDDOWN(IF($AG143*Q143&gt;요율!$E$3,($AG143*Q143-요율!$E$3)*요율!$C$3%*요율!$D$3%,0),-1)</f>
        <v>0</v>
      </c>
      <c r="BP143" s="16">
        <f>ROUNDDOWN(IF($AG143*R143&gt;요율!$E$3,($AG143*R143-요율!$E$3)*요율!$C$3%*요율!$D$3%,0),-1)</f>
        <v>0</v>
      </c>
      <c r="BQ143" s="16">
        <f>ROUNDDOWN(IF($AG143*S143&gt;요율!$E$3,($AG143*S143-요율!$E$3)*요율!$C$3%*요율!$D$3%,0),-1)</f>
        <v>0</v>
      </c>
      <c r="BR143" s="16">
        <f>ROUNDDOWN(IF($AG143*T143&gt;요율!$E$3,($AG143*T143-요율!$E$3)*요율!$C$3%*요율!$D$3%,0),-1)</f>
        <v>0</v>
      </c>
      <c r="BS143" s="16">
        <f>ROUNDDOWN(IF($AG143*U143&gt;요율!$E$3,($AG143*U143-요율!$E$3)*요율!$C$3%*요율!$D$3%,0),-1)</f>
        <v>0</v>
      </c>
      <c r="BT143" s="16">
        <f>ROUNDDOWN(IF($AG143*V143&gt;요율!$E$3,($AG143*V143-요율!$E$3)*요율!$C$3%*요율!$D$3%,0),-1)</f>
        <v>0</v>
      </c>
      <c r="BU143" s="16">
        <f>ROUNDDOWN(IF($AG143*W143&gt;요율!$E$3,($AG143*W143-요율!$E$3)*요율!$C$3%*요율!$D$3%,0),-1)</f>
        <v>0</v>
      </c>
      <c r="BV143" s="16">
        <f>ROUNDDOWN(IF($AG143*X143&gt;요율!$E$3,($AG143*X143-요율!$E$3)*요율!$C$3%*요율!$D$3%,0),-1)</f>
        <v>0</v>
      </c>
      <c r="BW143" s="16">
        <f>ROUNDDOWN(IF($AG143*Y143&gt;요율!$E$3,($AG143*Y143-요율!$E$3)*요율!$C$3%*요율!$D$3%,0),-1)</f>
        <v>0</v>
      </c>
      <c r="BX143" s="16">
        <f>ROUNDDOWN(IF($AG143*Z143&gt;요율!$E$3,($AG143*Z143-요율!$E$3)*요율!$C$3%*요율!$D$3%,0),-1)</f>
        <v>0</v>
      </c>
      <c r="BY143" s="16">
        <f>ROUNDDOWN(IF($AG143*AA143&gt;요율!$E$3,($AG143*AA143-요율!$E$3)*요율!$C$3%*요율!$D$3%,0),-1)</f>
        <v>0</v>
      </c>
      <c r="BZ143" s="16">
        <f>ROUNDDOWN(IF($AG143*AB143&gt;요율!$E$3,($AG143*AB143-요율!$E$3)*요율!$C$3%*요율!$D$3%,0),-1)</f>
        <v>0</v>
      </c>
      <c r="CA143" s="16">
        <f>ROUNDDOWN(IF($AG143*AC143&gt;요율!$E$3,($AG143*AC143-요율!$E$3)*요율!$C$3%*요율!$D$3%,0),-1)</f>
        <v>0</v>
      </c>
      <c r="CB143" s="31">
        <f>ROUNDDOWN(IF($AG143*AD143&gt;요율!$E$3,($AG143*AD143-요율!$E$3)*요율!$C$3%*요율!$D$3%,0),-1)</f>
        <v>0</v>
      </c>
      <c r="CD143" s="5" t="str">
        <f>IFERROR(VLOOKUP(B143,주소록,9,FALSE),"")</f>
        <v/>
      </c>
    </row>
    <row r="144" spans="1:82" ht="20.100000000000001" hidden="1" customHeight="1">
      <c r="A144" s="761"/>
      <c r="B144" s="261" t="str">
        <f>BA143</f>
        <v/>
      </c>
      <c r="C144" s="690" t="str">
        <f>IF(ISERROR(VLOOKUP(B143,주소록!$A$3:$K$523,7,0)),"",VLOOKUP(B143,주소록!$A$3:$K$523,5,0))</f>
        <v/>
      </c>
      <c r="D144" s="690"/>
      <c r="E144" s="690"/>
      <c r="F144" s="691"/>
      <c r="G144" s="692" t="str">
        <f>IF(ISERROR(VLOOKUP(B143,주소록!$A$3:$K$523,9,0)),"",VLOOKUP(B143,주소록!$A$3:$K$523,7,0))</f>
        <v/>
      </c>
      <c r="H144" s="693"/>
      <c r="I144" s="694"/>
      <c r="J144" s="692" t="str">
        <f>IF(ISERROR(VLOOKUP(B143,주소록!$A$3:$K$523,10,0)),"",VLOOKUP(B143,주소록!$A$3:$K$523,8,0))</f>
        <v/>
      </c>
      <c r="K144" s="693"/>
      <c r="L144" s="693"/>
      <c r="M144" s="693"/>
      <c r="N144" s="695"/>
      <c r="O144" s="474"/>
      <c r="P144" s="475"/>
      <c r="Q144" s="475"/>
      <c r="R144" s="468"/>
      <c r="S144" s="476"/>
      <c r="T144" s="474"/>
      <c r="U144" s="475"/>
      <c r="V144" s="475"/>
      <c r="W144" s="475"/>
      <c r="X144" s="477"/>
      <c r="Y144" s="479"/>
      <c r="Z144" s="475"/>
      <c r="AA144" s="475"/>
      <c r="AB144" s="475"/>
      <c r="AC144" s="475"/>
      <c r="AD144" s="477"/>
      <c r="AE144" s="696">
        <f>SUM(O143:AD144)</f>
        <v>0</v>
      </c>
      <c r="AF144" s="697"/>
      <c r="AG144" s="765"/>
      <c r="AH144" s="687"/>
      <c r="AI144" s="688"/>
      <c r="AJ144" s="689"/>
      <c r="AK144" s="698">
        <f>IF(C143=0,"",IF(MID(C143,7,1)="5","",IF(MID(C143,7,1)="6","",ROUNDDOWN((AK143*10%),-1))))</f>
        <v>0</v>
      </c>
      <c r="AL144" s="699"/>
      <c r="AM144" s="700"/>
      <c r="AN144" s="701">
        <f>ROUNDDOWN(AN143*요율!$F$5,-1)</f>
        <v>0</v>
      </c>
      <c r="AO144" s="701"/>
      <c r="AP144" s="701"/>
      <c r="AQ144" s="713">
        <f>IF(OR(AND(요율!$H$8="X",요율!$H$9="X",MID(C143,8,1)&gt;="5"),AND(요율!$H$8="○",요율!$H$9="X",MID(C143,8,1)&gt;="5")),"외국인",IF(요율!$H$8="X",IF(C143="",0,IF(OR(MID(C143,8,1)&lt;"3",AND(MID(C143,8,1)&gt;="5",MID(C143,8,1)&lt;="6")),IF(INT(TEXT($O$3,"yyyy.mmdd")-TEXT(TEXT(LEFT(C143,6),"1900-00-00"),"yyyy.mmdd"))&gt;=65,"65세이상",+TRUNC(AH143*요율!$C$9%,-1)),IF(INT(TEXT($O$3,"yyyy.mmdd")-TEXT(TEXT(LEFT(C143,6),"2000-00-00"),"yyyy.mmdd"))&gt;=65,"65세이상",+TRUNC(AH143*요율!$C$9%,-1)))),+TRUNC(AH143*요율!$C$9%,-1)))</f>
        <v>0</v>
      </c>
      <c r="AR144" s="699"/>
      <c r="AS144" s="699"/>
      <c r="AT144" s="714"/>
      <c r="AU144" s="715"/>
      <c r="AV144" s="716"/>
      <c r="AW144" s="723"/>
      <c r="AX144" s="724"/>
      <c r="AY144" s="725"/>
      <c r="AZ144" s="767"/>
      <c r="BA144" s="22" t="str">
        <f>BA143</f>
        <v/>
      </c>
      <c r="BB144" s="6">
        <v>2</v>
      </c>
      <c r="BC144" s="753"/>
      <c r="BD144" s="733">
        <f>B143</f>
        <v>0</v>
      </c>
      <c r="BE144" s="733"/>
      <c r="BF144" s="733"/>
      <c r="BG144" s="734">
        <f>SUM(BM143:CB144)</f>
        <v>0</v>
      </c>
      <c r="BH144" s="735"/>
      <c r="BI144" s="736"/>
      <c r="BJ144" s="144"/>
      <c r="BK144" s="145"/>
      <c r="BL144" s="146"/>
      <c r="BM144" s="17">
        <f>ROUNDDOWN(IF($AG143*O144&gt;요율!$E$3,($AG143*O144-요율!$E$3)*요율!$C$3%*요율!$D$3%,0),-1)</f>
        <v>0</v>
      </c>
      <c r="BN144" s="18">
        <f>ROUNDDOWN(IF($AG143*P144&gt;요율!$E$3,($AG143*P144-요율!$E$3)*요율!$C$3%*요율!$D$3%,0),-1)</f>
        <v>0</v>
      </c>
      <c r="BO144" s="18">
        <f>ROUNDDOWN(IF($AG143*Q144&gt;요율!$E$3,($AG143*Q144-요율!$E$3)*요율!$C$3%*요율!$D$3%,0),-1)</f>
        <v>0</v>
      </c>
      <c r="BP144" s="18">
        <f>ROUNDDOWN(IF($AG143*R144&gt;요율!$E$3,($AG143*R144-요율!$E$3)*요율!$C$3%*요율!$D$3%,0),-1)</f>
        <v>0</v>
      </c>
      <c r="BQ144" s="18">
        <f>ROUNDDOWN(IF($AG143*S144&gt;요율!$E$3,($AG143*S144-요율!$E$3)*요율!$C$3%*요율!$D$3%,0),-1)</f>
        <v>0</v>
      </c>
      <c r="BR144" s="18">
        <f>ROUNDDOWN(IF($AG143*T144&gt;요율!$E$3,($AG143*T144-요율!$E$3)*요율!$C$3%*요율!$D$3%,0),-1)</f>
        <v>0</v>
      </c>
      <c r="BS144" s="18">
        <f>ROUNDDOWN(IF($AG143*U144&gt;요율!$E$3,($AG143*U144-요율!$E$3)*요율!$C$3%*요율!$D$3%,0),-1)</f>
        <v>0</v>
      </c>
      <c r="BT144" s="18">
        <f>ROUNDDOWN(IF($AG143*V144&gt;요율!$E$3,($AG143*V144-요율!$E$3)*요율!$C$3%*요율!$D$3%,0),-1)</f>
        <v>0</v>
      </c>
      <c r="BU144" s="18">
        <f>ROUNDDOWN(IF($AG143*W144&gt;요율!$E$3,($AG143*W144-요율!$E$3)*요율!$C$3%*요율!$D$3%,0),-1)</f>
        <v>0</v>
      </c>
      <c r="BV144" s="18">
        <f>ROUNDDOWN(IF($AG143*X144&gt;요율!$E$3,($AG143*X144-요율!$E$3)*요율!$C$3%*요율!$D$3%,0),-1)</f>
        <v>0</v>
      </c>
      <c r="BW144" s="18">
        <f>ROUNDDOWN(IF($AG143*Y144&gt;요율!$E$3,($AG143*Y144-요율!$E$3)*요율!$C$3%*요율!$D$3%,0),-1)</f>
        <v>0</v>
      </c>
      <c r="BX144" s="18">
        <f>ROUNDDOWN(IF($AG143*Z144&gt;요율!$E$3,($AG143*Z144-요율!$E$3)*요율!$C$3%*요율!$D$3%,0),-1)</f>
        <v>0</v>
      </c>
      <c r="BY144" s="18">
        <f>ROUNDDOWN(IF($AG143*AA144&gt;요율!$E$3,($AG143*AA144-요율!$E$3)*요율!$C$3%*요율!$D$3%,0),-1)</f>
        <v>0</v>
      </c>
      <c r="BZ144" s="18">
        <f>ROUNDDOWN(IF($AG143*AB144&gt;요율!$E$3,($AG143*AB144-요율!$E$3)*요율!$C$3%*요율!$D$3%,0),-1)</f>
        <v>0</v>
      </c>
      <c r="CA144" s="18">
        <f>ROUNDDOWN(IF($AG143*AC144&gt;요율!$E$3,($AG143*AC144-요율!$E$3)*요율!$C$3%*요율!$D$3%,0),-1)</f>
        <v>0</v>
      </c>
      <c r="CB144" s="19">
        <f>ROUNDDOWN(IF($AG143*AD144&gt;요율!$E$3,($AG143*AD144-요율!$E$3)*요율!$C$3%*요율!$D$3%,0),-1)</f>
        <v>0</v>
      </c>
    </row>
    <row r="145" spans="1:82" ht="20.100000000000001" hidden="1" customHeight="1">
      <c r="A145" s="760">
        <f t="shared" si="3"/>
        <v>70</v>
      </c>
      <c r="B145" s="260"/>
      <c r="C145" s="708" t="str">
        <f>IF(ISERROR(VLOOKUP(B145,주소록!$A$3:$K$523,5,0)),"",VLOOKUP(B145,주소록!$A$3:$K$523,3,0))</f>
        <v/>
      </c>
      <c r="D145" s="708"/>
      <c r="E145" s="708"/>
      <c r="F145" s="709"/>
      <c r="G145" s="710" t="str">
        <f>IF(ISERROR(VLOOKUP(B145,주소록!$A$3:$K$523,6,0)),"",VLOOKUP(B145,주소록!$A$3:$K$523,4,0))</f>
        <v/>
      </c>
      <c r="H145" s="711"/>
      <c r="I145" s="711"/>
      <c r="J145" s="711"/>
      <c r="K145" s="711"/>
      <c r="L145" s="711"/>
      <c r="M145" s="711"/>
      <c r="N145" s="712"/>
      <c r="O145" s="469"/>
      <c r="P145" s="470"/>
      <c r="Q145" s="470"/>
      <c r="R145" s="470"/>
      <c r="S145" s="478"/>
      <c r="T145" s="469"/>
      <c r="U145" s="470"/>
      <c r="V145" s="470"/>
      <c r="W145" s="470"/>
      <c r="X145" s="471"/>
      <c r="Y145" s="472"/>
      <c r="Z145" s="467"/>
      <c r="AA145" s="470"/>
      <c r="AB145" s="470"/>
      <c r="AC145" s="470"/>
      <c r="AD145" s="473"/>
      <c r="AE145" s="762">
        <f>COUNTIF(O145:AD146,"&gt;=0.5")</f>
        <v>0</v>
      </c>
      <c r="AF145" s="763"/>
      <c r="AG145" s="764"/>
      <c r="AH145" s="684">
        <f>AE146*AG145</f>
        <v>0</v>
      </c>
      <c r="AI145" s="685"/>
      <c r="AJ145" s="686"/>
      <c r="AK145" s="755">
        <f>IF(BG146&lt;1000, 0, BG146)</f>
        <v>0</v>
      </c>
      <c r="AL145" s="756"/>
      <c r="AM145" s="757"/>
      <c r="AN145" s="758">
        <f>IF(요율!$H$7="○",IF(AE145&gt;=요율!$D$6,ROUNDDOWN(AH145*요율!$C$4%,-1),0),0)</f>
        <v>0</v>
      </c>
      <c r="AO145" s="756"/>
      <c r="AP145" s="757"/>
      <c r="AQ145" s="758">
        <f>BL145</f>
        <v>0</v>
      </c>
      <c r="AR145" s="756"/>
      <c r="AS145" s="759"/>
      <c r="AT145" s="717">
        <f>SUM(AK145:AS146)</f>
        <v>0</v>
      </c>
      <c r="AU145" s="718"/>
      <c r="AV145" s="719"/>
      <c r="AW145" s="720">
        <f>AH145-AT145-AT146</f>
        <v>0</v>
      </c>
      <c r="AX145" s="721"/>
      <c r="AY145" s="722"/>
      <c r="AZ145" s="766"/>
      <c r="BA145" s="21" t="str">
        <f>IF(ISERROR(VLOOKUP($B145,주소록!$A$3:$K$523,3,0)),"",VLOOKUP($B145,주소록!$A$3:$K$523,2,0))</f>
        <v/>
      </c>
      <c r="BB145" s="6">
        <v>1</v>
      </c>
      <c r="BC145" s="752">
        <f>A145</f>
        <v>70</v>
      </c>
      <c r="BD145" s="754" t="str">
        <f>IF(OR(MID(C145,8,1)&lt;"3",AND(MID(C145,8,1)&gt;="5",MID(C145,8,1)&lt;="6")),TEXT(TEXT(LEFT(C145,6),"1900-00-00"),"yyyy년 m월 d일"),TEXT(TEXT(LEFT(C145,6),"2000-00-00"),"yyyy년 m월 d일"))</f>
        <v/>
      </c>
      <c r="BE145" s="754"/>
      <c r="BF145" s="754"/>
      <c r="BG145" s="768">
        <f>IFERROR(INT( ( TEXT($O$3,"yyyy.mmdd") - TEXT(BD145,"yyyy.mmdd") )  ),0)</f>
        <v>0</v>
      </c>
      <c r="BH145" s="769"/>
      <c r="BI145" s="770"/>
      <c r="BJ145" s="133">
        <f>IF(BG145&gt;59,"60세이상",IF(OR(AE145&lt;요율!$D$6,AH145=0),0,IF(AH145&lt;요율!$C$7,요율!$D$7,IF(AH145&gt;요율!$C$8,요율!$D$8,+TRUNC(AH145*요율!$C$6%,-1)))))</f>
        <v>0</v>
      </c>
      <c r="BK145" s="143">
        <f>IF(BG145&gt;59,"60세이상",IF(OR(AH145&lt;2200000,AH145=0),0,IF(AH145&lt;요율!$C$7,요율!$D$7,IF(AH145&gt;요율!$C$8,요율!$D$8,+TRUNC(AH145*요율!$C$6%,-1)))))</f>
        <v>0</v>
      </c>
      <c r="BL145" s="140">
        <f>IF(BK145&gt;0,BK145,BJ145)</f>
        <v>0</v>
      </c>
      <c r="BM145" s="15">
        <f>ROUNDDOWN(IF($AG145*O145&gt;요율!$E$3,($AG145*O145-요율!$E$3)*요율!$C$3%*요율!$D$3%,0),-1)</f>
        <v>0</v>
      </c>
      <c r="BN145" s="16">
        <f>ROUNDDOWN(IF($AG145*P145&gt;요율!$E$3,($AG145*P145-요율!$E$3)*요율!$C$3%*요율!$D$3%,0),-1)</f>
        <v>0</v>
      </c>
      <c r="BO145" s="16">
        <f>ROUNDDOWN(IF($AG145*Q145&gt;요율!$E$3,($AG145*Q145-요율!$E$3)*요율!$C$3%*요율!$D$3%,0),-1)</f>
        <v>0</v>
      </c>
      <c r="BP145" s="16">
        <f>ROUNDDOWN(IF($AG145*R145&gt;요율!$E$3,($AG145*R145-요율!$E$3)*요율!$C$3%*요율!$D$3%,0),-1)</f>
        <v>0</v>
      </c>
      <c r="BQ145" s="16">
        <f>ROUNDDOWN(IF($AG145*S145&gt;요율!$E$3,($AG145*S145-요율!$E$3)*요율!$C$3%*요율!$D$3%,0),-1)</f>
        <v>0</v>
      </c>
      <c r="BR145" s="16">
        <f>ROUNDDOWN(IF($AG145*T145&gt;요율!$E$3,($AG145*T145-요율!$E$3)*요율!$C$3%*요율!$D$3%,0),-1)</f>
        <v>0</v>
      </c>
      <c r="BS145" s="16">
        <f>ROUNDDOWN(IF($AG145*U145&gt;요율!$E$3,($AG145*U145-요율!$E$3)*요율!$C$3%*요율!$D$3%,0),-1)</f>
        <v>0</v>
      </c>
      <c r="BT145" s="16">
        <f>ROUNDDOWN(IF($AG145*V145&gt;요율!$E$3,($AG145*V145-요율!$E$3)*요율!$C$3%*요율!$D$3%,0),-1)</f>
        <v>0</v>
      </c>
      <c r="BU145" s="16">
        <f>ROUNDDOWN(IF($AG145*W145&gt;요율!$E$3,($AG145*W145-요율!$E$3)*요율!$C$3%*요율!$D$3%,0),-1)</f>
        <v>0</v>
      </c>
      <c r="BV145" s="16">
        <f>ROUNDDOWN(IF($AG145*X145&gt;요율!$E$3,($AG145*X145-요율!$E$3)*요율!$C$3%*요율!$D$3%,0),-1)</f>
        <v>0</v>
      </c>
      <c r="BW145" s="16">
        <f>ROUNDDOWN(IF($AG145*Y145&gt;요율!$E$3,($AG145*Y145-요율!$E$3)*요율!$C$3%*요율!$D$3%,0),-1)</f>
        <v>0</v>
      </c>
      <c r="BX145" s="16">
        <f>ROUNDDOWN(IF($AG145*Z145&gt;요율!$E$3,($AG145*Z145-요율!$E$3)*요율!$C$3%*요율!$D$3%,0),-1)</f>
        <v>0</v>
      </c>
      <c r="BY145" s="16">
        <f>ROUNDDOWN(IF($AG145*AA145&gt;요율!$E$3,($AG145*AA145-요율!$E$3)*요율!$C$3%*요율!$D$3%,0),-1)</f>
        <v>0</v>
      </c>
      <c r="BZ145" s="16">
        <f>ROUNDDOWN(IF($AG145*AB145&gt;요율!$E$3,($AG145*AB145-요율!$E$3)*요율!$C$3%*요율!$D$3%,0),-1)</f>
        <v>0</v>
      </c>
      <c r="CA145" s="16">
        <f>ROUNDDOWN(IF($AG145*AC145&gt;요율!$E$3,($AG145*AC145-요율!$E$3)*요율!$C$3%*요율!$D$3%,0),-1)</f>
        <v>0</v>
      </c>
      <c r="CB145" s="31">
        <f>ROUNDDOWN(IF($AG145*AD145&gt;요율!$E$3,($AG145*AD145-요율!$E$3)*요율!$C$3%*요율!$D$3%,0),-1)</f>
        <v>0</v>
      </c>
      <c r="CD145" s="5" t="str">
        <f>IFERROR(VLOOKUP(B145,주소록,9,FALSE),"")</f>
        <v/>
      </c>
    </row>
    <row r="146" spans="1:82" ht="20.100000000000001" hidden="1" customHeight="1">
      <c r="A146" s="761"/>
      <c r="B146" s="261" t="str">
        <f>BA145</f>
        <v/>
      </c>
      <c r="C146" s="690" t="str">
        <f>IF(ISERROR(VLOOKUP(B145,주소록!$A$3:$K$523,7,0)),"",VLOOKUP(B145,주소록!$A$3:$K$523,5,0))</f>
        <v/>
      </c>
      <c r="D146" s="690"/>
      <c r="E146" s="690"/>
      <c r="F146" s="691"/>
      <c r="G146" s="692" t="str">
        <f>IF(ISERROR(VLOOKUP(B145,주소록!$A$3:$K$523,9,0)),"",VLOOKUP(B145,주소록!$A$3:$K$523,7,0))</f>
        <v/>
      </c>
      <c r="H146" s="693"/>
      <c r="I146" s="694"/>
      <c r="J146" s="692" t="str">
        <f>IF(ISERROR(VLOOKUP(B145,주소록!$A$3:$K$523,10,0)),"",VLOOKUP(B145,주소록!$A$3:$K$523,8,0))</f>
        <v/>
      </c>
      <c r="K146" s="693"/>
      <c r="L146" s="693"/>
      <c r="M146" s="693"/>
      <c r="N146" s="695"/>
      <c r="O146" s="474"/>
      <c r="P146" s="475"/>
      <c r="Q146" s="475"/>
      <c r="R146" s="468"/>
      <c r="S146" s="476"/>
      <c r="T146" s="474"/>
      <c r="U146" s="475"/>
      <c r="V146" s="475"/>
      <c r="W146" s="475"/>
      <c r="X146" s="477"/>
      <c r="Y146" s="479"/>
      <c r="Z146" s="475"/>
      <c r="AA146" s="475"/>
      <c r="AB146" s="475"/>
      <c r="AC146" s="475"/>
      <c r="AD146" s="477"/>
      <c r="AE146" s="696">
        <f>SUM(O145:AD146)</f>
        <v>0</v>
      </c>
      <c r="AF146" s="697"/>
      <c r="AG146" s="765"/>
      <c r="AH146" s="687"/>
      <c r="AI146" s="688"/>
      <c r="AJ146" s="689"/>
      <c r="AK146" s="698">
        <f>IF(C145=0,"",IF(MID(C145,7,1)="5","",IF(MID(C145,7,1)="6","",ROUNDDOWN((AK145*10%),-1))))</f>
        <v>0</v>
      </c>
      <c r="AL146" s="699"/>
      <c r="AM146" s="700"/>
      <c r="AN146" s="701">
        <f>ROUNDDOWN(AN145*요율!$F$5,-1)</f>
        <v>0</v>
      </c>
      <c r="AO146" s="701"/>
      <c r="AP146" s="701"/>
      <c r="AQ146" s="713">
        <f>IF(OR(AND(요율!$H$8="X",요율!$H$9="X",MID(C145,8,1)&gt;="5"),AND(요율!$H$8="○",요율!$H$9="X",MID(C145,8,1)&gt;="5")),"외국인",IF(요율!$H$8="X",IF(C145="",0,IF(OR(MID(C145,8,1)&lt;"3",AND(MID(C145,8,1)&gt;="5",MID(C145,8,1)&lt;="6")),IF(INT(TEXT($O$3,"yyyy.mmdd")-TEXT(TEXT(LEFT(C145,6),"1900-00-00"),"yyyy.mmdd"))&gt;=65,"65세이상",+TRUNC(AH145*요율!$C$9%,-1)),IF(INT(TEXT($O$3,"yyyy.mmdd")-TEXT(TEXT(LEFT(C145,6),"2000-00-00"),"yyyy.mmdd"))&gt;=65,"65세이상",+TRUNC(AH145*요율!$C$9%,-1)))),+TRUNC(AH145*요율!$C$9%,-1)))</f>
        <v>0</v>
      </c>
      <c r="AR146" s="699"/>
      <c r="AS146" s="699"/>
      <c r="AT146" s="714"/>
      <c r="AU146" s="715"/>
      <c r="AV146" s="716"/>
      <c r="AW146" s="723"/>
      <c r="AX146" s="724"/>
      <c r="AY146" s="725"/>
      <c r="AZ146" s="767"/>
      <c r="BA146" s="22" t="str">
        <f>BA145</f>
        <v/>
      </c>
      <c r="BB146" s="6">
        <v>2</v>
      </c>
      <c r="BC146" s="753"/>
      <c r="BD146" s="733">
        <f>B145</f>
        <v>0</v>
      </c>
      <c r="BE146" s="733"/>
      <c r="BF146" s="733"/>
      <c r="BG146" s="734">
        <f>SUM(BM145:CB146)</f>
        <v>0</v>
      </c>
      <c r="BH146" s="735"/>
      <c r="BI146" s="736"/>
      <c r="BJ146" s="144"/>
      <c r="BK146" s="145"/>
      <c r="BL146" s="146"/>
      <c r="BM146" s="17">
        <f>ROUNDDOWN(IF($AG145*O146&gt;요율!$E$3,($AG145*O146-요율!$E$3)*요율!$C$3%*요율!$D$3%,0),-1)</f>
        <v>0</v>
      </c>
      <c r="BN146" s="18">
        <f>ROUNDDOWN(IF($AG145*P146&gt;요율!$E$3,($AG145*P146-요율!$E$3)*요율!$C$3%*요율!$D$3%,0),-1)</f>
        <v>0</v>
      </c>
      <c r="BO146" s="18">
        <f>ROUNDDOWN(IF($AG145*Q146&gt;요율!$E$3,($AG145*Q146-요율!$E$3)*요율!$C$3%*요율!$D$3%,0),-1)</f>
        <v>0</v>
      </c>
      <c r="BP146" s="18">
        <f>ROUNDDOWN(IF($AG145*R146&gt;요율!$E$3,($AG145*R146-요율!$E$3)*요율!$C$3%*요율!$D$3%,0),-1)</f>
        <v>0</v>
      </c>
      <c r="BQ146" s="18">
        <f>ROUNDDOWN(IF($AG145*S146&gt;요율!$E$3,($AG145*S146-요율!$E$3)*요율!$C$3%*요율!$D$3%,0),-1)</f>
        <v>0</v>
      </c>
      <c r="BR146" s="18">
        <f>ROUNDDOWN(IF($AG145*T146&gt;요율!$E$3,($AG145*T146-요율!$E$3)*요율!$C$3%*요율!$D$3%,0),-1)</f>
        <v>0</v>
      </c>
      <c r="BS146" s="18">
        <f>ROUNDDOWN(IF($AG145*U146&gt;요율!$E$3,($AG145*U146-요율!$E$3)*요율!$C$3%*요율!$D$3%,0),-1)</f>
        <v>0</v>
      </c>
      <c r="BT146" s="18">
        <f>ROUNDDOWN(IF($AG145*V146&gt;요율!$E$3,($AG145*V146-요율!$E$3)*요율!$C$3%*요율!$D$3%,0),-1)</f>
        <v>0</v>
      </c>
      <c r="BU146" s="18">
        <f>ROUNDDOWN(IF($AG145*W146&gt;요율!$E$3,($AG145*W146-요율!$E$3)*요율!$C$3%*요율!$D$3%,0),-1)</f>
        <v>0</v>
      </c>
      <c r="BV146" s="18">
        <f>ROUNDDOWN(IF($AG145*X146&gt;요율!$E$3,($AG145*X146-요율!$E$3)*요율!$C$3%*요율!$D$3%,0),-1)</f>
        <v>0</v>
      </c>
      <c r="BW146" s="18">
        <f>ROUNDDOWN(IF($AG145*Y146&gt;요율!$E$3,($AG145*Y146-요율!$E$3)*요율!$C$3%*요율!$D$3%,0),-1)</f>
        <v>0</v>
      </c>
      <c r="BX146" s="18">
        <f>ROUNDDOWN(IF($AG145*Z146&gt;요율!$E$3,($AG145*Z146-요율!$E$3)*요율!$C$3%*요율!$D$3%,0),-1)</f>
        <v>0</v>
      </c>
      <c r="BY146" s="18">
        <f>ROUNDDOWN(IF($AG145*AA146&gt;요율!$E$3,($AG145*AA146-요율!$E$3)*요율!$C$3%*요율!$D$3%,0),-1)</f>
        <v>0</v>
      </c>
      <c r="BZ146" s="18">
        <f>ROUNDDOWN(IF($AG145*AB146&gt;요율!$E$3,($AG145*AB146-요율!$E$3)*요율!$C$3%*요율!$D$3%,0),-1)</f>
        <v>0</v>
      </c>
      <c r="CA146" s="18">
        <f>ROUNDDOWN(IF($AG145*AC146&gt;요율!$E$3,($AG145*AC146-요율!$E$3)*요율!$C$3%*요율!$D$3%,0),-1)</f>
        <v>0</v>
      </c>
      <c r="CB146" s="19">
        <f>ROUNDDOWN(IF($AG145*AD146&gt;요율!$E$3,($AG145*AD146-요율!$E$3)*요율!$C$3%*요율!$D$3%,0),-1)</f>
        <v>0</v>
      </c>
    </row>
    <row r="147" spans="1:82" ht="20.100000000000001" hidden="1" customHeight="1">
      <c r="A147" s="760">
        <f t="shared" si="3"/>
        <v>71</v>
      </c>
      <c r="B147" s="260"/>
      <c r="C147" s="708" t="str">
        <f>IF(ISERROR(VLOOKUP(B147,주소록!$A$3:$K$523,5,0)),"",VLOOKUP(B147,주소록!$A$3:$K$523,3,0))</f>
        <v/>
      </c>
      <c r="D147" s="708"/>
      <c r="E147" s="708"/>
      <c r="F147" s="709"/>
      <c r="G147" s="710" t="str">
        <f>IF(ISERROR(VLOOKUP(B147,주소록!$A$3:$K$523,6,0)),"",VLOOKUP(B147,주소록!$A$3:$K$523,4,0))</f>
        <v/>
      </c>
      <c r="H147" s="711"/>
      <c r="I147" s="711"/>
      <c r="J147" s="711"/>
      <c r="K147" s="711"/>
      <c r="L147" s="711"/>
      <c r="M147" s="711"/>
      <c r="N147" s="712"/>
      <c r="O147" s="469"/>
      <c r="P147" s="470"/>
      <c r="Q147" s="470"/>
      <c r="R147" s="470"/>
      <c r="S147" s="478"/>
      <c r="T147" s="469"/>
      <c r="U147" s="470"/>
      <c r="V147" s="470"/>
      <c r="W147" s="470"/>
      <c r="X147" s="471"/>
      <c r="Y147" s="472"/>
      <c r="Z147" s="467"/>
      <c r="AA147" s="470"/>
      <c r="AB147" s="470"/>
      <c r="AC147" s="470"/>
      <c r="AD147" s="473"/>
      <c r="AE147" s="762">
        <f>COUNTIF(O147:AD148,"&gt;=0.5")</f>
        <v>0</v>
      </c>
      <c r="AF147" s="763"/>
      <c r="AG147" s="764"/>
      <c r="AH147" s="684">
        <f>AE148*AG147</f>
        <v>0</v>
      </c>
      <c r="AI147" s="685"/>
      <c r="AJ147" s="686"/>
      <c r="AK147" s="755">
        <f>IF(BG148&lt;1000, 0, BG148)</f>
        <v>0</v>
      </c>
      <c r="AL147" s="756"/>
      <c r="AM147" s="757"/>
      <c r="AN147" s="758">
        <f>IF(요율!$H$7="○",IF(AE147&gt;=요율!$D$6,ROUNDDOWN(AH147*요율!$C$4%,-1),0),0)</f>
        <v>0</v>
      </c>
      <c r="AO147" s="756"/>
      <c r="AP147" s="757"/>
      <c r="AQ147" s="758">
        <f>BL147</f>
        <v>0</v>
      </c>
      <c r="AR147" s="756"/>
      <c r="AS147" s="759"/>
      <c r="AT147" s="717">
        <f>SUM(AK147:AS148)</f>
        <v>0</v>
      </c>
      <c r="AU147" s="718"/>
      <c r="AV147" s="719"/>
      <c r="AW147" s="720">
        <f>AH147-AT147-AT148</f>
        <v>0</v>
      </c>
      <c r="AX147" s="721"/>
      <c r="AY147" s="722"/>
      <c r="AZ147" s="766"/>
      <c r="BA147" s="21" t="str">
        <f>IF(ISERROR(VLOOKUP($B147,주소록!$A$3:$K$523,3,0)),"",VLOOKUP($B147,주소록!$A$3:$K$523,2,0))</f>
        <v/>
      </c>
      <c r="BB147" s="6">
        <v>1</v>
      </c>
      <c r="BC147" s="752">
        <f>A147</f>
        <v>71</v>
      </c>
      <c r="BD147" s="754" t="str">
        <f>IF(OR(MID(C147,8,1)&lt;"3",AND(MID(C147,8,1)&gt;="5",MID(C147,8,1)&lt;="6")),TEXT(TEXT(LEFT(C147,6),"1900-00-00"),"yyyy년 m월 d일"),TEXT(TEXT(LEFT(C147,6),"2000-00-00"),"yyyy년 m월 d일"))</f>
        <v/>
      </c>
      <c r="BE147" s="754"/>
      <c r="BF147" s="754"/>
      <c r="BG147" s="768">
        <f>IFERROR(INT( ( TEXT($O$3,"yyyy.mmdd") - TEXT(BD147,"yyyy.mmdd") )  ),0)</f>
        <v>0</v>
      </c>
      <c r="BH147" s="769"/>
      <c r="BI147" s="770"/>
      <c r="BJ147" s="133">
        <f>IF(BG147&gt;59,"60세이상",IF(OR(AE147&lt;요율!$D$6,AH147=0),0,IF(AH147&lt;요율!$C$7,요율!$D$7,IF(AH147&gt;요율!$C$8,요율!$D$8,+TRUNC(AH147*요율!$C$6%,-1)))))</f>
        <v>0</v>
      </c>
      <c r="BK147" s="143">
        <f>IF(BG147&gt;59,"60세이상",IF(OR(AH147&lt;2200000,AH147=0),0,IF(AH147&lt;요율!$C$7,요율!$D$7,IF(AH147&gt;요율!$C$8,요율!$D$8,+TRUNC(AH147*요율!$C$6%,-1)))))</f>
        <v>0</v>
      </c>
      <c r="BL147" s="140">
        <f>IF(BK147&gt;0,BK147,BJ147)</f>
        <v>0</v>
      </c>
      <c r="BM147" s="15">
        <f>ROUNDDOWN(IF($AG147*O147&gt;요율!$E$3,($AG147*O147-요율!$E$3)*요율!$C$3%*요율!$D$3%,0),-1)</f>
        <v>0</v>
      </c>
      <c r="BN147" s="16">
        <f>ROUNDDOWN(IF($AG147*P147&gt;요율!$E$3,($AG147*P147-요율!$E$3)*요율!$C$3%*요율!$D$3%,0),-1)</f>
        <v>0</v>
      </c>
      <c r="BO147" s="16">
        <f>ROUNDDOWN(IF($AG147*Q147&gt;요율!$E$3,($AG147*Q147-요율!$E$3)*요율!$C$3%*요율!$D$3%,0),-1)</f>
        <v>0</v>
      </c>
      <c r="BP147" s="16">
        <f>ROUNDDOWN(IF($AG147*R147&gt;요율!$E$3,($AG147*R147-요율!$E$3)*요율!$C$3%*요율!$D$3%,0),-1)</f>
        <v>0</v>
      </c>
      <c r="BQ147" s="16">
        <f>ROUNDDOWN(IF($AG147*S147&gt;요율!$E$3,($AG147*S147-요율!$E$3)*요율!$C$3%*요율!$D$3%,0),-1)</f>
        <v>0</v>
      </c>
      <c r="BR147" s="16">
        <f>ROUNDDOWN(IF($AG147*T147&gt;요율!$E$3,($AG147*T147-요율!$E$3)*요율!$C$3%*요율!$D$3%,0),-1)</f>
        <v>0</v>
      </c>
      <c r="BS147" s="16">
        <f>ROUNDDOWN(IF($AG147*U147&gt;요율!$E$3,($AG147*U147-요율!$E$3)*요율!$C$3%*요율!$D$3%,0),-1)</f>
        <v>0</v>
      </c>
      <c r="BT147" s="16">
        <f>ROUNDDOWN(IF($AG147*V147&gt;요율!$E$3,($AG147*V147-요율!$E$3)*요율!$C$3%*요율!$D$3%,0),-1)</f>
        <v>0</v>
      </c>
      <c r="BU147" s="16">
        <f>ROUNDDOWN(IF($AG147*W147&gt;요율!$E$3,($AG147*W147-요율!$E$3)*요율!$C$3%*요율!$D$3%,0),-1)</f>
        <v>0</v>
      </c>
      <c r="BV147" s="16">
        <f>ROUNDDOWN(IF($AG147*X147&gt;요율!$E$3,($AG147*X147-요율!$E$3)*요율!$C$3%*요율!$D$3%,0),-1)</f>
        <v>0</v>
      </c>
      <c r="BW147" s="16">
        <f>ROUNDDOWN(IF($AG147*Y147&gt;요율!$E$3,($AG147*Y147-요율!$E$3)*요율!$C$3%*요율!$D$3%,0),-1)</f>
        <v>0</v>
      </c>
      <c r="BX147" s="16">
        <f>ROUNDDOWN(IF($AG147*Z147&gt;요율!$E$3,($AG147*Z147-요율!$E$3)*요율!$C$3%*요율!$D$3%,0),-1)</f>
        <v>0</v>
      </c>
      <c r="BY147" s="16">
        <f>ROUNDDOWN(IF($AG147*AA147&gt;요율!$E$3,($AG147*AA147-요율!$E$3)*요율!$C$3%*요율!$D$3%,0),-1)</f>
        <v>0</v>
      </c>
      <c r="BZ147" s="16">
        <f>ROUNDDOWN(IF($AG147*AB147&gt;요율!$E$3,($AG147*AB147-요율!$E$3)*요율!$C$3%*요율!$D$3%,0),-1)</f>
        <v>0</v>
      </c>
      <c r="CA147" s="16">
        <f>ROUNDDOWN(IF($AG147*AC147&gt;요율!$E$3,($AG147*AC147-요율!$E$3)*요율!$C$3%*요율!$D$3%,0),-1)</f>
        <v>0</v>
      </c>
      <c r="CB147" s="31">
        <f>ROUNDDOWN(IF($AG147*AD147&gt;요율!$E$3,($AG147*AD147-요율!$E$3)*요율!$C$3%*요율!$D$3%,0),-1)</f>
        <v>0</v>
      </c>
      <c r="CD147" s="5" t="str">
        <f>IFERROR(VLOOKUP(B147,주소록,9,FALSE),"")</f>
        <v/>
      </c>
    </row>
    <row r="148" spans="1:82" ht="20.100000000000001" hidden="1" customHeight="1">
      <c r="A148" s="761"/>
      <c r="B148" s="261" t="str">
        <f>BA147</f>
        <v/>
      </c>
      <c r="C148" s="690" t="str">
        <f>IF(ISERROR(VLOOKUP(B147,주소록!$A$3:$K$523,7,0)),"",VLOOKUP(B147,주소록!$A$3:$K$523,5,0))</f>
        <v/>
      </c>
      <c r="D148" s="690"/>
      <c r="E148" s="690"/>
      <c r="F148" s="691"/>
      <c r="G148" s="692" t="str">
        <f>IF(ISERROR(VLOOKUP(B147,주소록!$A$3:$K$523,9,0)),"",VLOOKUP(B147,주소록!$A$3:$K$523,7,0))</f>
        <v/>
      </c>
      <c r="H148" s="693"/>
      <c r="I148" s="694"/>
      <c r="J148" s="692" t="str">
        <f>IF(ISERROR(VLOOKUP(B147,주소록!$A$3:$K$523,10,0)),"",VLOOKUP(B147,주소록!$A$3:$K$523,8,0))</f>
        <v/>
      </c>
      <c r="K148" s="693"/>
      <c r="L148" s="693"/>
      <c r="M148" s="693"/>
      <c r="N148" s="695"/>
      <c r="O148" s="474"/>
      <c r="P148" s="475"/>
      <c r="Q148" s="475"/>
      <c r="R148" s="468"/>
      <c r="S148" s="476"/>
      <c r="T148" s="474"/>
      <c r="U148" s="475"/>
      <c r="V148" s="475"/>
      <c r="W148" s="475"/>
      <c r="X148" s="477"/>
      <c r="Y148" s="479"/>
      <c r="Z148" s="475"/>
      <c r="AA148" s="475"/>
      <c r="AB148" s="475"/>
      <c r="AC148" s="475"/>
      <c r="AD148" s="477"/>
      <c r="AE148" s="696">
        <f>SUM(O147:AD148)</f>
        <v>0</v>
      </c>
      <c r="AF148" s="697"/>
      <c r="AG148" s="765"/>
      <c r="AH148" s="687"/>
      <c r="AI148" s="688"/>
      <c r="AJ148" s="689"/>
      <c r="AK148" s="698">
        <f>IF(C147=0,"",IF(MID(C147,7,1)="5","",IF(MID(C147,7,1)="6","",ROUNDDOWN((AK147*10%),-1))))</f>
        <v>0</v>
      </c>
      <c r="AL148" s="699"/>
      <c r="AM148" s="700"/>
      <c r="AN148" s="701">
        <f>ROUNDDOWN(AN147*요율!$F$5,-1)</f>
        <v>0</v>
      </c>
      <c r="AO148" s="701"/>
      <c r="AP148" s="701"/>
      <c r="AQ148" s="713">
        <f>IF(OR(AND(요율!$H$8="X",요율!$H$9="X",MID(C147,8,1)&gt;="5"),AND(요율!$H$8="○",요율!$H$9="X",MID(C147,8,1)&gt;="5")),"외국인",IF(요율!$H$8="X",IF(C147="",0,IF(OR(MID(C147,8,1)&lt;"3",AND(MID(C147,8,1)&gt;="5",MID(C147,8,1)&lt;="6")),IF(INT(TEXT($O$3,"yyyy.mmdd")-TEXT(TEXT(LEFT(C147,6),"1900-00-00"),"yyyy.mmdd"))&gt;=65,"65세이상",+TRUNC(AH147*요율!$C$9%,-1)),IF(INT(TEXT($O$3,"yyyy.mmdd")-TEXT(TEXT(LEFT(C147,6),"2000-00-00"),"yyyy.mmdd"))&gt;=65,"65세이상",+TRUNC(AH147*요율!$C$9%,-1)))),+TRUNC(AH147*요율!$C$9%,-1)))</f>
        <v>0</v>
      </c>
      <c r="AR148" s="699"/>
      <c r="AS148" s="699"/>
      <c r="AT148" s="714"/>
      <c r="AU148" s="715"/>
      <c r="AV148" s="716"/>
      <c r="AW148" s="723"/>
      <c r="AX148" s="724"/>
      <c r="AY148" s="725"/>
      <c r="AZ148" s="767"/>
      <c r="BA148" s="22" t="str">
        <f>BA147</f>
        <v/>
      </c>
      <c r="BB148" s="6">
        <v>2</v>
      </c>
      <c r="BC148" s="753"/>
      <c r="BD148" s="733">
        <f>B147</f>
        <v>0</v>
      </c>
      <c r="BE148" s="733"/>
      <c r="BF148" s="733"/>
      <c r="BG148" s="734">
        <f>SUM(BM147:CB148)</f>
        <v>0</v>
      </c>
      <c r="BH148" s="735"/>
      <c r="BI148" s="736"/>
      <c r="BJ148" s="144"/>
      <c r="BK148" s="145"/>
      <c r="BL148" s="146"/>
      <c r="BM148" s="17">
        <f>ROUNDDOWN(IF($AG147*O148&gt;요율!$E$3,($AG147*O148-요율!$E$3)*요율!$C$3%*요율!$D$3%,0),-1)</f>
        <v>0</v>
      </c>
      <c r="BN148" s="18">
        <f>ROUNDDOWN(IF($AG147*P148&gt;요율!$E$3,($AG147*P148-요율!$E$3)*요율!$C$3%*요율!$D$3%,0),-1)</f>
        <v>0</v>
      </c>
      <c r="BO148" s="18">
        <f>ROUNDDOWN(IF($AG147*Q148&gt;요율!$E$3,($AG147*Q148-요율!$E$3)*요율!$C$3%*요율!$D$3%,0),-1)</f>
        <v>0</v>
      </c>
      <c r="BP148" s="18">
        <f>ROUNDDOWN(IF($AG147*R148&gt;요율!$E$3,($AG147*R148-요율!$E$3)*요율!$C$3%*요율!$D$3%,0),-1)</f>
        <v>0</v>
      </c>
      <c r="BQ148" s="18">
        <f>ROUNDDOWN(IF($AG147*S148&gt;요율!$E$3,($AG147*S148-요율!$E$3)*요율!$C$3%*요율!$D$3%,0),-1)</f>
        <v>0</v>
      </c>
      <c r="BR148" s="18">
        <f>ROUNDDOWN(IF($AG147*T148&gt;요율!$E$3,($AG147*T148-요율!$E$3)*요율!$C$3%*요율!$D$3%,0),-1)</f>
        <v>0</v>
      </c>
      <c r="BS148" s="18">
        <f>ROUNDDOWN(IF($AG147*U148&gt;요율!$E$3,($AG147*U148-요율!$E$3)*요율!$C$3%*요율!$D$3%,0),-1)</f>
        <v>0</v>
      </c>
      <c r="BT148" s="18">
        <f>ROUNDDOWN(IF($AG147*V148&gt;요율!$E$3,($AG147*V148-요율!$E$3)*요율!$C$3%*요율!$D$3%,0),-1)</f>
        <v>0</v>
      </c>
      <c r="BU148" s="18">
        <f>ROUNDDOWN(IF($AG147*W148&gt;요율!$E$3,($AG147*W148-요율!$E$3)*요율!$C$3%*요율!$D$3%,0),-1)</f>
        <v>0</v>
      </c>
      <c r="BV148" s="18">
        <f>ROUNDDOWN(IF($AG147*X148&gt;요율!$E$3,($AG147*X148-요율!$E$3)*요율!$C$3%*요율!$D$3%,0),-1)</f>
        <v>0</v>
      </c>
      <c r="BW148" s="18">
        <f>ROUNDDOWN(IF($AG147*Y148&gt;요율!$E$3,($AG147*Y148-요율!$E$3)*요율!$C$3%*요율!$D$3%,0),-1)</f>
        <v>0</v>
      </c>
      <c r="BX148" s="18">
        <f>ROUNDDOWN(IF($AG147*Z148&gt;요율!$E$3,($AG147*Z148-요율!$E$3)*요율!$C$3%*요율!$D$3%,0),-1)</f>
        <v>0</v>
      </c>
      <c r="BY148" s="18">
        <f>ROUNDDOWN(IF($AG147*AA148&gt;요율!$E$3,($AG147*AA148-요율!$E$3)*요율!$C$3%*요율!$D$3%,0),-1)</f>
        <v>0</v>
      </c>
      <c r="BZ148" s="18">
        <f>ROUNDDOWN(IF($AG147*AB148&gt;요율!$E$3,($AG147*AB148-요율!$E$3)*요율!$C$3%*요율!$D$3%,0),-1)</f>
        <v>0</v>
      </c>
      <c r="CA148" s="18">
        <f>ROUNDDOWN(IF($AG147*AC148&gt;요율!$E$3,($AG147*AC148-요율!$E$3)*요율!$C$3%*요율!$D$3%,0),-1)</f>
        <v>0</v>
      </c>
      <c r="CB148" s="19">
        <f>ROUNDDOWN(IF($AG147*AD148&gt;요율!$E$3,($AG147*AD148-요율!$E$3)*요율!$C$3%*요율!$D$3%,0),-1)</f>
        <v>0</v>
      </c>
    </row>
    <row r="149" spans="1:82" ht="20.100000000000001" hidden="1" customHeight="1">
      <c r="A149" s="760">
        <f t="shared" si="3"/>
        <v>72</v>
      </c>
      <c r="B149" s="260"/>
      <c r="C149" s="708" t="str">
        <f>IF(ISERROR(VLOOKUP(B149,주소록!$A$3:$K$523,5,0)),"",VLOOKUP(B149,주소록!$A$3:$K$523,3,0))</f>
        <v/>
      </c>
      <c r="D149" s="708"/>
      <c r="E149" s="708"/>
      <c r="F149" s="709"/>
      <c r="G149" s="710" t="str">
        <f>IF(ISERROR(VLOOKUP(B149,주소록!$A$3:$K$523,6,0)),"",VLOOKUP(B149,주소록!$A$3:$K$523,4,0))</f>
        <v/>
      </c>
      <c r="H149" s="711"/>
      <c r="I149" s="711"/>
      <c r="J149" s="711"/>
      <c r="K149" s="711"/>
      <c r="L149" s="711"/>
      <c r="M149" s="711"/>
      <c r="N149" s="712"/>
      <c r="O149" s="469"/>
      <c r="P149" s="470"/>
      <c r="Q149" s="470"/>
      <c r="R149" s="470"/>
      <c r="S149" s="478"/>
      <c r="T149" s="469"/>
      <c r="U149" s="470"/>
      <c r="V149" s="470"/>
      <c r="W149" s="470"/>
      <c r="X149" s="471"/>
      <c r="Y149" s="472"/>
      <c r="Z149" s="467"/>
      <c r="AA149" s="470"/>
      <c r="AB149" s="470"/>
      <c r="AC149" s="470"/>
      <c r="AD149" s="473"/>
      <c r="AE149" s="762">
        <f>COUNTIF(O149:AD150,"&gt;=0.5")</f>
        <v>0</v>
      </c>
      <c r="AF149" s="763"/>
      <c r="AG149" s="764"/>
      <c r="AH149" s="684">
        <f>AE150*AG149</f>
        <v>0</v>
      </c>
      <c r="AI149" s="685"/>
      <c r="AJ149" s="686"/>
      <c r="AK149" s="755">
        <f>IF(BG150&lt;1000, 0, BG150)</f>
        <v>0</v>
      </c>
      <c r="AL149" s="756"/>
      <c r="AM149" s="757"/>
      <c r="AN149" s="758">
        <f>IF(요율!$H$7="○",IF(AE149&gt;=요율!$D$6,ROUNDDOWN(AH149*요율!$C$4%,-1),0),0)</f>
        <v>0</v>
      </c>
      <c r="AO149" s="756"/>
      <c r="AP149" s="757"/>
      <c r="AQ149" s="758">
        <f>BL149</f>
        <v>0</v>
      </c>
      <c r="AR149" s="756"/>
      <c r="AS149" s="759"/>
      <c r="AT149" s="717">
        <f>SUM(AK149:AS150)</f>
        <v>0</v>
      </c>
      <c r="AU149" s="718"/>
      <c r="AV149" s="719"/>
      <c r="AW149" s="720">
        <f>AH149-AT149-AT150</f>
        <v>0</v>
      </c>
      <c r="AX149" s="721"/>
      <c r="AY149" s="722"/>
      <c r="AZ149" s="766"/>
      <c r="BA149" s="21" t="str">
        <f>IF(ISERROR(VLOOKUP($B149,주소록!$A$3:$K$523,3,0)),"",VLOOKUP($B149,주소록!$A$3:$K$523,2,0))</f>
        <v/>
      </c>
      <c r="BB149" s="6">
        <v>1</v>
      </c>
      <c r="BC149" s="752">
        <f>A149</f>
        <v>72</v>
      </c>
      <c r="BD149" s="754" t="str">
        <f>IF(OR(MID(C149,8,1)&lt;"3",AND(MID(C149,8,1)&gt;="5",MID(C149,8,1)&lt;="6")),TEXT(TEXT(LEFT(C149,6),"1900-00-00"),"yyyy년 m월 d일"),TEXT(TEXT(LEFT(C149,6),"2000-00-00"),"yyyy년 m월 d일"))</f>
        <v/>
      </c>
      <c r="BE149" s="754"/>
      <c r="BF149" s="754"/>
      <c r="BG149" s="768">
        <f>IFERROR(INT( ( TEXT($O$3,"yyyy.mmdd") - TEXT(BD149,"yyyy.mmdd") )  ),0)</f>
        <v>0</v>
      </c>
      <c r="BH149" s="769"/>
      <c r="BI149" s="770"/>
      <c r="BJ149" s="133">
        <f>IF(BG149&gt;59,"60세이상",IF(OR(AE149&lt;요율!$D$6,AH149=0),0,IF(AH149&lt;요율!$C$7,요율!$D$7,IF(AH149&gt;요율!$C$8,요율!$D$8,+TRUNC(AH149*요율!$C$6%,-1)))))</f>
        <v>0</v>
      </c>
      <c r="BK149" s="143">
        <f>IF(BG149&gt;59,"60세이상",IF(OR(AH149&lt;2200000,AH149=0),0,IF(AH149&lt;요율!$C$7,요율!$D$7,IF(AH149&gt;요율!$C$8,요율!$D$8,+TRUNC(AH149*요율!$C$6%,-1)))))</f>
        <v>0</v>
      </c>
      <c r="BL149" s="140">
        <f>IF(BK149&gt;0,BK149,BJ149)</f>
        <v>0</v>
      </c>
      <c r="BM149" s="15">
        <f>ROUNDDOWN(IF($AG149*O149&gt;요율!$E$3,($AG149*O149-요율!$E$3)*요율!$C$3%*요율!$D$3%,0),-1)</f>
        <v>0</v>
      </c>
      <c r="BN149" s="16">
        <f>ROUNDDOWN(IF($AG149*P149&gt;요율!$E$3,($AG149*P149-요율!$E$3)*요율!$C$3%*요율!$D$3%,0),-1)</f>
        <v>0</v>
      </c>
      <c r="BO149" s="16">
        <f>ROUNDDOWN(IF($AG149*Q149&gt;요율!$E$3,($AG149*Q149-요율!$E$3)*요율!$C$3%*요율!$D$3%,0),-1)</f>
        <v>0</v>
      </c>
      <c r="BP149" s="16">
        <f>ROUNDDOWN(IF($AG149*R149&gt;요율!$E$3,($AG149*R149-요율!$E$3)*요율!$C$3%*요율!$D$3%,0),-1)</f>
        <v>0</v>
      </c>
      <c r="BQ149" s="16">
        <f>ROUNDDOWN(IF($AG149*S149&gt;요율!$E$3,($AG149*S149-요율!$E$3)*요율!$C$3%*요율!$D$3%,0),-1)</f>
        <v>0</v>
      </c>
      <c r="BR149" s="16">
        <f>ROUNDDOWN(IF($AG149*T149&gt;요율!$E$3,($AG149*T149-요율!$E$3)*요율!$C$3%*요율!$D$3%,0),-1)</f>
        <v>0</v>
      </c>
      <c r="BS149" s="16">
        <f>ROUNDDOWN(IF($AG149*U149&gt;요율!$E$3,($AG149*U149-요율!$E$3)*요율!$C$3%*요율!$D$3%,0),-1)</f>
        <v>0</v>
      </c>
      <c r="BT149" s="16">
        <f>ROUNDDOWN(IF($AG149*V149&gt;요율!$E$3,($AG149*V149-요율!$E$3)*요율!$C$3%*요율!$D$3%,0),-1)</f>
        <v>0</v>
      </c>
      <c r="BU149" s="16">
        <f>ROUNDDOWN(IF($AG149*W149&gt;요율!$E$3,($AG149*W149-요율!$E$3)*요율!$C$3%*요율!$D$3%,0),-1)</f>
        <v>0</v>
      </c>
      <c r="BV149" s="16">
        <f>ROUNDDOWN(IF($AG149*X149&gt;요율!$E$3,($AG149*X149-요율!$E$3)*요율!$C$3%*요율!$D$3%,0),-1)</f>
        <v>0</v>
      </c>
      <c r="BW149" s="16">
        <f>ROUNDDOWN(IF($AG149*Y149&gt;요율!$E$3,($AG149*Y149-요율!$E$3)*요율!$C$3%*요율!$D$3%,0),-1)</f>
        <v>0</v>
      </c>
      <c r="BX149" s="16">
        <f>ROUNDDOWN(IF($AG149*Z149&gt;요율!$E$3,($AG149*Z149-요율!$E$3)*요율!$C$3%*요율!$D$3%,0),-1)</f>
        <v>0</v>
      </c>
      <c r="BY149" s="16">
        <f>ROUNDDOWN(IF($AG149*AA149&gt;요율!$E$3,($AG149*AA149-요율!$E$3)*요율!$C$3%*요율!$D$3%,0),-1)</f>
        <v>0</v>
      </c>
      <c r="BZ149" s="16">
        <f>ROUNDDOWN(IF($AG149*AB149&gt;요율!$E$3,($AG149*AB149-요율!$E$3)*요율!$C$3%*요율!$D$3%,0),-1)</f>
        <v>0</v>
      </c>
      <c r="CA149" s="16">
        <f>ROUNDDOWN(IF($AG149*AC149&gt;요율!$E$3,($AG149*AC149-요율!$E$3)*요율!$C$3%*요율!$D$3%,0),-1)</f>
        <v>0</v>
      </c>
      <c r="CB149" s="31">
        <f>ROUNDDOWN(IF($AG149*AD149&gt;요율!$E$3,($AG149*AD149-요율!$E$3)*요율!$C$3%*요율!$D$3%,0),-1)</f>
        <v>0</v>
      </c>
      <c r="CD149" s="5" t="str">
        <f>IFERROR(VLOOKUP(B149,주소록,9,FALSE),"")</f>
        <v/>
      </c>
    </row>
    <row r="150" spans="1:82" ht="20.100000000000001" hidden="1" customHeight="1">
      <c r="A150" s="761"/>
      <c r="B150" s="261" t="str">
        <f>BA149</f>
        <v/>
      </c>
      <c r="C150" s="690" t="str">
        <f>IF(ISERROR(VLOOKUP(B149,주소록!$A$3:$K$523,7,0)),"",VLOOKUP(B149,주소록!$A$3:$K$523,5,0))</f>
        <v/>
      </c>
      <c r="D150" s="690"/>
      <c r="E150" s="690"/>
      <c r="F150" s="691"/>
      <c r="G150" s="692" t="str">
        <f>IF(ISERROR(VLOOKUP(B149,주소록!$A$3:$K$523,9,0)),"",VLOOKUP(B149,주소록!$A$3:$K$523,7,0))</f>
        <v/>
      </c>
      <c r="H150" s="693"/>
      <c r="I150" s="694"/>
      <c r="J150" s="692" t="str">
        <f>IF(ISERROR(VLOOKUP(B149,주소록!$A$3:$K$523,10,0)),"",VLOOKUP(B149,주소록!$A$3:$K$523,8,0))</f>
        <v/>
      </c>
      <c r="K150" s="693"/>
      <c r="L150" s="693"/>
      <c r="M150" s="693"/>
      <c r="N150" s="695"/>
      <c r="O150" s="474"/>
      <c r="P150" s="475"/>
      <c r="Q150" s="475"/>
      <c r="R150" s="468"/>
      <c r="S150" s="476"/>
      <c r="T150" s="474"/>
      <c r="U150" s="475"/>
      <c r="V150" s="475"/>
      <c r="W150" s="475"/>
      <c r="X150" s="477"/>
      <c r="Y150" s="479"/>
      <c r="Z150" s="475"/>
      <c r="AA150" s="475"/>
      <c r="AB150" s="475"/>
      <c r="AC150" s="475"/>
      <c r="AD150" s="477"/>
      <c r="AE150" s="696">
        <f>SUM(O149:AD150)</f>
        <v>0</v>
      </c>
      <c r="AF150" s="697"/>
      <c r="AG150" s="765"/>
      <c r="AH150" s="687"/>
      <c r="AI150" s="688"/>
      <c r="AJ150" s="689"/>
      <c r="AK150" s="698">
        <f>IF(C149=0,"",IF(MID(C149,7,1)="5","",IF(MID(C149,7,1)="6","",ROUNDDOWN((AK149*10%),-1))))</f>
        <v>0</v>
      </c>
      <c r="AL150" s="699"/>
      <c r="AM150" s="700"/>
      <c r="AN150" s="701">
        <f>ROUNDDOWN(AN149*요율!$F$5,-1)</f>
        <v>0</v>
      </c>
      <c r="AO150" s="701"/>
      <c r="AP150" s="701"/>
      <c r="AQ150" s="713">
        <f>IF(OR(AND(요율!$H$8="X",요율!$H$9="X",MID(C149,8,1)&gt;="5"),AND(요율!$H$8="○",요율!$H$9="X",MID(C149,8,1)&gt;="5")),"외국인",IF(요율!$H$8="X",IF(C149="",0,IF(OR(MID(C149,8,1)&lt;"3",AND(MID(C149,8,1)&gt;="5",MID(C149,8,1)&lt;="6")),IF(INT(TEXT($O$3,"yyyy.mmdd")-TEXT(TEXT(LEFT(C149,6),"1900-00-00"),"yyyy.mmdd"))&gt;=65,"65세이상",+TRUNC(AH149*요율!$C$9%,-1)),IF(INT(TEXT($O$3,"yyyy.mmdd")-TEXT(TEXT(LEFT(C149,6),"2000-00-00"),"yyyy.mmdd"))&gt;=65,"65세이상",+TRUNC(AH149*요율!$C$9%,-1)))),+TRUNC(AH149*요율!$C$9%,-1)))</f>
        <v>0</v>
      </c>
      <c r="AR150" s="699"/>
      <c r="AS150" s="699"/>
      <c r="AT150" s="714"/>
      <c r="AU150" s="715"/>
      <c r="AV150" s="716"/>
      <c r="AW150" s="723"/>
      <c r="AX150" s="724"/>
      <c r="AY150" s="725"/>
      <c r="AZ150" s="767"/>
      <c r="BA150" s="22" t="str">
        <f>BA149</f>
        <v/>
      </c>
      <c r="BB150" s="6">
        <v>2</v>
      </c>
      <c r="BC150" s="753"/>
      <c r="BD150" s="733">
        <f>B149</f>
        <v>0</v>
      </c>
      <c r="BE150" s="733"/>
      <c r="BF150" s="733"/>
      <c r="BG150" s="734">
        <f>SUM(BM149:CB150)</f>
        <v>0</v>
      </c>
      <c r="BH150" s="735"/>
      <c r="BI150" s="736"/>
      <c r="BJ150" s="144"/>
      <c r="BK150" s="145"/>
      <c r="BL150" s="146"/>
      <c r="BM150" s="17">
        <f>ROUNDDOWN(IF($AG149*O150&gt;요율!$E$3,($AG149*O150-요율!$E$3)*요율!$C$3%*요율!$D$3%,0),-1)</f>
        <v>0</v>
      </c>
      <c r="BN150" s="18">
        <f>ROUNDDOWN(IF($AG149*P150&gt;요율!$E$3,($AG149*P150-요율!$E$3)*요율!$C$3%*요율!$D$3%,0),-1)</f>
        <v>0</v>
      </c>
      <c r="BO150" s="18">
        <f>ROUNDDOWN(IF($AG149*Q150&gt;요율!$E$3,($AG149*Q150-요율!$E$3)*요율!$C$3%*요율!$D$3%,0),-1)</f>
        <v>0</v>
      </c>
      <c r="BP150" s="18">
        <f>ROUNDDOWN(IF($AG149*R150&gt;요율!$E$3,($AG149*R150-요율!$E$3)*요율!$C$3%*요율!$D$3%,0),-1)</f>
        <v>0</v>
      </c>
      <c r="BQ150" s="18">
        <f>ROUNDDOWN(IF($AG149*S150&gt;요율!$E$3,($AG149*S150-요율!$E$3)*요율!$C$3%*요율!$D$3%,0),-1)</f>
        <v>0</v>
      </c>
      <c r="BR150" s="18">
        <f>ROUNDDOWN(IF($AG149*T150&gt;요율!$E$3,($AG149*T150-요율!$E$3)*요율!$C$3%*요율!$D$3%,0),-1)</f>
        <v>0</v>
      </c>
      <c r="BS150" s="18">
        <f>ROUNDDOWN(IF($AG149*U150&gt;요율!$E$3,($AG149*U150-요율!$E$3)*요율!$C$3%*요율!$D$3%,0),-1)</f>
        <v>0</v>
      </c>
      <c r="BT150" s="18">
        <f>ROUNDDOWN(IF($AG149*V150&gt;요율!$E$3,($AG149*V150-요율!$E$3)*요율!$C$3%*요율!$D$3%,0),-1)</f>
        <v>0</v>
      </c>
      <c r="BU150" s="18">
        <f>ROUNDDOWN(IF($AG149*W150&gt;요율!$E$3,($AG149*W150-요율!$E$3)*요율!$C$3%*요율!$D$3%,0),-1)</f>
        <v>0</v>
      </c>
      <c r="BV150" s="18">
        <f>ROUNDDOWN(IF($AG149*X150&gt;요율!$E$3,($AG149*X150-요율!$E$3)*요율!$C$3%*요율!$D$3%,0),-1)</f>
        <v>0</v>
      </c>
      <c r="BW150" s="18">
        <f>ROUNDDOWN(IF($AG149*Y150&gt;요율!$E$3,($AG149*Y150-요율!$E$3)*요율!$C$3%*요율!$D$3%,0),-1)</f>
        <v>0</v>
      </c>
      <c r="BX150" s="18">
        <f>ROUNDDOWN(IF($AG149*Z150&gt;요율!$E$3,($AG149*Z150-요율!$E$3)*요율!$C$3%*요율!$D$3%,0),-1)</f>
        <v>0</v>
      </c>
      <c r="BY150" s="18">
        <f>ROUNDDOWN(IF($AG149*AA150&gt;요율!$E$3,($AG149*AA150-요율!$E$3)*요율!$C$3%*요율!$D$3%,0),-1)</f>
        <v>0</v>
      </c>
      <c r="BZ150" s="18">
        <f>ROUNDDOWN(IF($AG149*AB150&gt;요율!$E$3,($AG149*AB150-요율!$E$3)*요율!$C$3%*요율!$D$3%,0),-1)</f>
        <v>0</v>
      </c>
      <c r="CA150" s="18">
        <f>ROUNDDOWN(IF($AG149*AC150&gt;요율!$E$3,($AG149*AC150-요율!$E$3)*요율!$C$3%*요율!$D$3%,0),-1)</f>
        <v>0</v>
      </c>
      <c r="CB150" s="19">
        <f>ROUNDDOWN(IF($AG149*AD150&gt;요율!$E$3,($AG149*AD150-요율!$E$3)*요율!$C$3%*요율!$D$3%,0),-1)</f>
        <v>0</v>
      </c>
    </row>
    <row r="151" spans="1:82" ht="20.100000000000001" hidden="1" customHeight="1">
      <c r="A151" s="760">
        <f t="shared" si="3"/>
        <v>73</v>
      </c>
      <c r="B151" s="260"/>
      <c r="C151" s="708" t="str">
        <f>IF(ISERROR(VLOOKUP(B151,주소록!$A$3:$K$523,5,0)),"",VLOOKUP(B151,주소록!$A$3:$K$523,3,0))</f>
        <v/>
      </c>
      <c r="D151" s="708"/>
      <c r="E151" s="708"/>
      <c r="F151" s="709"/>
      <c r="G151" s="710" t="str">
        <f>IF(ISERROR(VLOOKUP(B151,주소록!$A$3:$K$523,6,0)),"",VLOOKUP(B151,주소록!$A$3:$K$523,4,0))</f>
        <v/>
      </c>
      <c r="H151" s="711"/>
      <c r="I151" s="711"/>
      <c r="J151" s="711"/>
      <c r="K151" s="711"/>
      <c r="L151" s="711"/>
      <c r="M151" s="711"/>
      <c r="N151" s="712"/>
      <c r="O151" s="469"/>
      <c r="P151" s="470"/>
      <c r="Q151" s="470"/>
      <c r="R151" s="470"/>
      <c r="S151" s="478"/>
      <c r="T151" s="469"/>
      <c r="U151" s="470"/>
      <c r="V151" s="470"/>
      <c r="W151" s="470"/>
      <c r="X151" s="471"/>
      <c r="Y151" s="472"/>
      <c r="Z151" s="467"/>
      <c r="AA151" s="470"/>
      <c r="AB151" s="470"/>
      <c r="AC151" s="470"/>
      <c r="AD151" s="473"/>
      <c r="AE151" s="762">
        <f>COUNTIF(O151:AD152,"&gt;=0.5")</f>
        <v>0</v>
      </c>
      <c r="AF151" s="763"/>
      <c r="AG151" s="764"/>
      <c r="AH151" s="684">
        <f>AE152*AG151</f>
        <v>0</v>
      </c>
      <c r="AI151" s="685"/>
      <c r="AJ151" s="686"/>
      <c r="AK151" s="755">
        <f>IF(BG152&lt;1000, 0, BG152)</f>
        <v>0</v>
      </c>
      <c r="AL151" s="756"/>
      <c r="AM151" s="757"/>
      <c r="AN151" s="758">
        <f>IF(요율!$H$7="○",IF(AE151&gt;=요율!$D$6,ROUNDDOWN(AH151*요율!$C$4%,-1),0),0)</f>
        <v>0</v>
      </c>
      <c r="AO151" s="756"/>
      <c r="AP151" s="757"/>
      <c r="AQ151" s="758">
        <f>BL151</f>
        <v>0</v>
      </c>
      <c r="AR151" s="756"/>
      <c r="AS151" s="759"/>
      <c r="AT151" s="717">
        <f>SUM(AK151:AS152)</f>
        <v>0</v>
      </c>
      <c r="AU151" s="718"/>
      <c r="AV151" s="719"/>
      <c r="AW151" s="720">
        <f>AH151-AT151-AT152</f>
        <v>0</v>
      </c>
      <c r="AX151" s="721"/>
      <c r="AY151" s="722"/>
      <c r="AZ151" s="766"/>
      <c r="BA151" s="21" t="str">
        <f>IF(ISERROR(VLOOKUP($B151,주소록!$A$3:$K$523,3,0)),"",VLOOKUP($B151,주소록!$A$3:$K$523,2,0))</f>
        <v/>
      </c>
      <c r="BB151" s="6">
        <v>1</v>
      </c>
      <c r="BC151" s="752">
        <f>A151</f>
        <v>73</v>
      </c>
      <c r="BD151" s="754" t="str">
        <f>IF(OR(MID(C151,8,1)&lt;"3",AND(MID(C151,8,1)&gt;="5",MID(C151,8,1)&lt;="6")),TEXT(TEXT(LEFT(C151,6),"1900-00-00"),"yyyy년 m월 d일"),TEXT(TEXT(LEFT(C151,6),"2000-00-00"),"yyyy년 m월 d일"))</f>
        <v/>
      </c>
      <c r="BE151" s="754"/>
      <c r="BF151" s="754"/>
      <c r="BG151" s="768">
        <f>IFERROR(INT( ( TEXT($O$3,"yyyy.mmdd") - TEXT(BD151,"yyyy.mmdd") )  ),0)</f>
        <v>0</v>
      </c>
      <c r="BH151" s="769"/>
      <c r="BI151" s="770"/>
      <c r="BJ151" s="133">
        <f>IF(BG151&gt;59,"60세이상",IF(OR(AE151&lt;요율!$D$6,AH151=0),0,IF(AH151&lt;요율!$C$7,요율!$D$7,IF(AH151&gt;요율!$C$8,요율!$D$8,+TRUNC(AH151*요율!$C$6%,-1)))))</f>
        <v>0</v>
      </c>
      <c r="BK151" s="143">
        <f>IF(BG151&gt;59,"60세이상",IF(OR(AH151&lt;2200000,AH151=0),0,IF(AH151&lt;요율!$C$7,요율!$D$7,IF(AH151&gt;요율!$C$8,요율!$D$8,+TRUNC(AH151*요율!$C$6%,-1)))))</f>
        <v>0</v>
      </c>
      <c r="BL151" s="140">
        <f>IF(BK151&gt;0,BK151,BJ151)</f>
        <v>0</v>
      </c>
      <c r="BM151" s="15">
        <f>ROUNDDOWN(IF($AG151*O151&gt;요율!$E$3,($AG151*O151-요율!$E$3)*요율!$C$3%*요율!$D$3%,0),-1)</f>
        <v>0</v>
      </c>
      <c r="BN151" s="16">
        <f>ROUNDDOWN(IF($AG151*P151&gt;요율!$E$3,($AG151*P151-요율!$E$3)*요율!$C$3%*요율!$D$3%,0),-1)</f>
        <v>0</v>
      </c>
      <c r="BO151" s="16">
        <f>ROUNDDOWN(IF($AG151*Q151&gt;요율!$E$3,($AG151*Q151-요율!$E$3)*요율!$C$3%*요율!$D$3%,0),-1)</f>
        <v>0</v>
      </c>
      <c r="BP151" s="16">
        <f>ROUNDDOWN(IF($AG151*R151&gt;요율!$E$3,($AG151*R151-요율!$E$3)*요율!$C$3%*요율!$D$3%,0),-1)</f>
        <v>0</v>
      </c>
      <c r="BQ151" s="16">
        <f>ROUNDDOWN(IF($AG151*S151&gt;요율!$E$3,($AG151*S151-요율!$E$3)*요율!$C$3%*요율!$D$3%,0),-1)</f>
        <v>0</v>
      </c>
      <c r="BR151" s="16">
        <f>ROUNDDOWN(IF($AG151*T151&gt;요율!$E$3,($AG151*T151-요율!$E$3)*요율!$C$3%*요율!$D$3%,0),-1)</f>
        <v>0</v>
      </c>
      <c r="BS151" s="16">
        <f>ROUNDDOWN(IF($AG151*U151&gt;요율!$E$3,($AG151*U151-요율!$E$3)*요율!$C$3%*요율!$D$3%,0),-1)</f>
        <v>0</v>
      </c>
      <c r="BT151" s="16">
        <f>ROUNDDOWN(IF($AG151*V151&gt;요율!$E$3,($AG151*V151-요율!$E$3)*요율!$C$3%*요율!$D$3%,0),-1)</f>
        <v>0</v>
      </c>
      <c r="BU151" s="16">
        <f>ROUNDDOWN(IF($AG151*W151&gt;요율!$E$3,($AG151*W151-요율!$E$3)*요율!$C$3%*요율!$D$3%,0),-1)</f>
        <v>0</v>
      </c>
      <c r="BV151" s="16">
        <f>ROUNDDOWN(IF($AG151*X151&gt;요율!$E$3,($AG151*X151-요율!$E$3)*요율!$C$3%*요율!$D$3%,0),-1)</f>
        <v>0</v>
      </c>
      <c r="BW151" s="16">
        <f>ROUNDDOWN(IF($AG151*Y151&gt;요율!$E$3,($AG151*Y151-요율!$E$3)*요율!$C$3%*요율!$D$3%,0),-1)</f>
        <v>0</v>
      </c>
      <c r="BX151" s="16">
        <f>ROUNDDOWN(IF($AG151*Z151&gt;요율!$E$3,($AG151*Z151-요율!$E$3)*요율!$C$3%*요율!$D$3%,0),-1)</f>
        <v>0</v>
      </c>
      <c r="BY151" s="16">
        <f>ROUNDDOWN(IF($AG151*AA151&gt;요율!$E$3,($AG151*AA151-요율!$E$3)*요율!$C$3%*요율!$D$3%,0),-1)</f>
        <v>0</v>
      </c>
      <c r="BZ151" s="16">
        <f>ROUNDDOWN(IF($AG151*AB151&gt;요율!$E$3,($AG151*AB151-요율!$E$3)*요율!$C$3%*요율!$D$3%,0),-1)</f>
        <v>0</v>
      </c>
      <c r="CA151" s="16">
        <f>ROUNDDOWN(IF($AG151*AC151&gt;요율!$E$3,($AG151*AC151-요율!$E$3)*요율!$C$3%*요율!$D$3%,0),-1)</f>
        <v>0</v>
      </c>
      <c r="CB151" s="31">
        <f>ROUNDDOWN(IF($AG151*AD151&gt;요율!$E$3,($AG151*AD151-요율!$E$3)*요율!$C$3%*요율!$D$3%,0),-1)</f>
        <v>0</v>
      </c>
      <c r="CD151" s="5" t="str">
        <f>IFERROR(VLOOKUP(B151,주소록,9,FALSE),"")</f>
        <v/>
      </c>
    </row>
    <row r="152" spans="1:82" ht="20.100000000000001" hidden="1" customHeight="1">
      <c r="A152" s="761"/>
      <c r="B152" s="261" t="str">
        <f>BA151</f>
        <v/>
      </c>
      <c r="C152" s="690" t="str">
        <f>IF(ISERROR(VLOOKUP(B151,주소록!$A$3:$K$523,7,0)),"",VLOOKUP(B151,주소록!$A$3:$K$523,5,0))</f>
        <v/>
      </c>
      <c r="D152" s="690"/>
      <c r="E152" s="690"/>
      <c r="F152" s="691"/>
      <c r="G152" s="692" t="str">
        <f>IF(ISERROR(VLOOKUP(B151,주소록!$A$3:$K$523,9,0)),"",VLOOKUP(B151,주소록!$A$3:$K$523,7,0))</f>
        <v/>
      </c>
      <c r="H152" s="693"/>
      <c r="I152" s="694"/>
      <c r="J152" s="692" t="str">
        <f>IF(ISERROR(VLOOKUP(B151,주소록!$A$3:$K$523,10,0)),"",VLOOKUP(B151,주소록!$A$3:$K$523,8,0))</f>
        <v/>
      </c>
      <c r="K152" s="693"/>
      <c r="L152" s="693"/>
      <c r="M152" s="693"/>
      <c r="N152" s="695"/>
      <c r="O152" s="474"/>
      <c r="P152" s="475"/>
      <c r="Q152" s="475"/>
      <c r="R152" s="468"/>
      <c r="S152" s="476"/>
      <c r="T152" s="474"/>
      <c r="U152" s="475"/>
      <c r="V152" s="475"/>
      <c r="W152" s="475"/>
      <c r="X152" s="477"/>
      <c r="Y152" s="479"/>
      <c r="Z152" s="475"/>
      <c r="AA152" s="475"/>
      <c r="AB152" s="475"/>
      <c r="AC152" s="475"/>
      <c r="AD152" s="477"/>
      <c r="AE152" s="696">
        <f>SUM(O151:AD152)</f>
        <v>0</v>
      </c>
      <c r="AF152" s="697"/>
      <c r="AG152" s="765"/>
      <c r="AH152" s="687"/>
      <c r="AI152" s="688"/>
      <c r="AJ152" s="689"/>
      <c r="AK152" s="698">
        <f>IF(C151=0,"",IF(MID(C151,7,1)="5","",IF(MID(C151,7,1)="6","",ROUNDDOWN((AK151*10%),-1))))</f>
        <v>0</v>
      </c>
      <c r="AL152" s="699"/>
      <c r="AM152" s="700"/>
      <c r="AN152" s="701">
        <f>ROUNDDOWN(AN151*요율!$F$5,-1)</f>
        <v>0</v>
      </c>
      <c r="AO152" s="701"/>
      <c r="AP152" s="701"/>
      <c r="AQ152" s="713">
        <f>IF(OR(AND(요율!$H$8="X",요율!$H$9="X",MID(C151,8,1)&gt;="5"),AND(요율!$H$8="○",요율!$H$9="X",MID(C151,8,1)&gt;="5")),"외국인",IF(요율!$H$8="X",IF(C151="",0,IF(OR(MID(C151,8,1)&lt;"3",AND(MID(C151,8,1)&gt;="5",MID(C151,8,1)&lt;="6")),IF(INT(TEXT($O$3,"yyyy.mmdd")-TEXT(TEXT(LEFT(C151,6),"1900-00-00"),"yyyy.mmdd"))&gt;=65,"65세이상",+TRUNC(AH151*요율!$C$9%,-1)),IF(INT(TEXT($O$3,"yyyy.mmdd")-TEXT(TEXT(LEFT(C151,6),"2000-00-00"),"yyyy.mmdd"))&gt;=65,"65세이상",+TRUNC(AH151*요율!$C$9%,-1)))),+TRUNC(AH151*요율!$C$9%,-1)))</f>
        <v>0</v>
      </c>
      <c r="AR152" s="699"/>
      <c r="AS152" s="699"/>
      <c r="AT152" s="714"/>
      <c r="AU152" s="715"/>
      <c r="AV152" s="716"/>
      <c r="AW152" s="723"/>
      <c r="AX152" s="724"/>
      <c r="AY152" s="725"/>
      <c r="AZ152" s="767"/>
      <c r="BA152" s="22" t="str">
        <f>BA151</f>
        <v/>
      </c>
      <c r="BB152" s="6">
        <v>2</v>
      </c>
      <c r="BC152" s="753"/>
      <c r="BD152" s="733">
        <f>B151</f>
        <v>0</v>
      </c>
      <c r="BE152" s="733"/>
      <c r="BF152" s="733"/>
      <c r="BG152" s="734">
        <f>SUM(BM151:CB152)</f>
        <v>0</v>
      </c>
      <c r="BH152" s="735"/>
      <c r="BI152" s="736"/>
      <c r="BJ152" s="144"/>
      <c r="BK152" s="145"/>
      <c r="BL152" s="146"/>
      <c r="BM152" s="17">
        <f>ROUNDDOWN(IF($AG151*O152&gt;요율!$E$3,($AG151*O152-요율!$E$3)*요율!$C$3%*요율!$D$3%,0),-1)</f>
        <v>0</v>
      </c>
      <c r="BN152" s="18">
        <f>ROUNDDOWN(IF($AG151*P152&gt;요율!$E$3,($AG151*P152-요율!$E$3)*요율!$C$3%*요율!$D$3%,0),-1)</f>
        <v>0</v>
      </c>
      <c r="BO152" s="18">
        <f>ROUNDDOWN(IF($AG151*Q152&gt;요율!$E$3,($AG151*Q152-요율!$E$3)*요율!$C$3%*요율!$D$3%,0),-1)</f>
        <v>0</v>
      </c>
      <c r="BP152" s="18">
        <f>ROUNDDOWN(IF($AG151*R152&gt;요율!$E$3,($AG151*R152-요율!$E$3)*요율!$C$3%*요율!$D$3%,0),-1)</f>
        <v>0</v>
      </c>
      <c r="BQ152" s="18">
        <f>ROUNDDOWN(IF($AG151*S152&gt;요율!$E$3,($AG151*S152-요율!$E$3)*요율!$C$3%*요율!$D$3%,0),-1)</f>
        <v>0</v>
      </c>
      <c r="BR152" s="18">
        <f>ROUNDDOWN(IF($AG151*T152&gt;요율!$E$3,($AG151*T152-요율!$E$3)*요율!$C$3%*요율!$D$3%,0),-1)</f>
        <v>0</v>
      </c>
      <c r="BS152" s="18">
        <f>ROUNDDOWN(IF($AG151*U152&gt;요율!$E$3,($AG151*U152-요율!$E$3)*요율!$C$3%*요율!$D$3%,0),-1)</f>
        <v>0</v>
      </c>
      <c r="BT152" s="18">
        <f>ROUNDDOWN(IF($AG151*V152&gt;요율!$E$3,($AG151*V152-요율!$E$3)*요율!$C$3%*요율!$D$3%,0),-1)</f>
        <v>0</v>
      </c>
      <c r="BU152" s="18">
        <f>ROUNDDOWN(IF($AG151*W152&gt;요율!$E$3,($AG151*W152-요율!$E$3)*요율!$C$3%*요율!$D$3%,0),-1)</f>
        <v>0</v>
      </c>
      <c r="BV152" s="18">
        <f>ROUNDDOWN(IF($AG151*X152&gt;요율!$E$3,($AG151*X152-요율!$E$3)*요율!$C$3%*요율!$D$3%,0),-1)</f>
        <v>0</v>
      </c>
      <c r="BW152" s="18">
        <f>ROUNDDOWN(IF($AG151*Y152&gt;요율!$E$3,($AG151*Y152-요율!$E$3)*요율!$C$3%*요율!$D$3%,0),-1)</f>
        <v>0</v>
      </c>
      <c r="BX152" s="18">
        <f>ROUNDDOWN(IF($AG151*Z152&gt;요율!$E$3,($AG151*Z152-요율!$E$3)*요율!$C$3%*요율!$D$3%,0),-1)</f>
        <v>0</v>
      </c>
      <c r="BY152" s="18">
        <f>ROUNDDOWN(IF($AG151*AA152&gt;요율!$E$3,($AG151*AA152-요율!$E$3)*요율!$C$3%*요율!$D$3%,0),-1)</f>
        <v>0</v>
      </c>
      <c r="BZ152" s="18">
        <f>ROUNDDOWN(IF($AG151*AB152&gt;요율!$E$3,($AG151*AB152-요율!$E$3)*요율!$C$3%*요율!$D$3%,0),-1)</f>
        <v>0</v>
      </c>
      <c r="CA152" s="18">
        <f>ROUNDDOWN(IF($AG151*AC152&gt;요율!$E$3,($AG151*AC152-요율!$E$3)*요율!$C$3%*요율!$D$3%,0),-1)</f>
        <v>0</v>
      </c>
      <c r="CB152" s="19">
        <f>ROUNDDOWN(IF($AG151*AD152&gt;요율!$E$3,($AG151*AD152-요율!$E$3)*요율!$C$3%*요율!$D$3%,0),-1)</f>
        <v>0</v>
      </c>
    </row>
    <row r="153" spans="1:82" ht="20.100000000000001" customHeight="1">
      <c r="A153" s="737" t="s">
        <v>154</v>
      </c>
      <c r="B153" s="738"/>
      <c r="C153" s="738"/>
      <c r="D153" s="738"/>
      <c r="E153" s="738"/>
      <c r="F153" s="738"/>
      <c r="G153" s="738"/>
      <c r="H153" s="738"/>
      <c r="I153" s="738"/>
      <c r="J153" s="738"/>
      <c r="K153" s="738"/>
      <c r="L153" s="738"/>
      <c r="M153" s="738"/>
      <c r="N153" s="739"/>
      <c r="O153" s="482">
        <f>SUMIF($BB$7:$BB$152,"1",O7:O152)</f>
        <v>0</v>
      </c>
      <c r="P153" s="483">
        <f t="shared" ref="P153:AD153" si="4">SUMIF($BB$7:$BB$152,"1",P7:P152)</f>
        <v>0</v>
      </c>
      <c r="Q153" s="483">
        <f t="shared" si="4"/>
        <v>0</v>
      </c>
      <c r="R153" s="483">
        <f t="shared" si="4"/>
        <v>0</v>
      </c>
      <c r="S153" s="484">
        <f t="shared" si="4"/>
        <v>0</v>
      </c>
      <c r="T153" s="482">
        <f t="shared" si="4"/>
        <v>5</v>
      </c>
      <c r="U153" s="483">
        <f t="shared" si="4"/>
        <v>5</v>
      </c>
      <c r="V153" s="483">
        <f t="shared" si="4"/>
        <v>5</v>
      </c>
      <c r="W153" s="483">
        <f t="shared" si="4"/>
        <v>2</v>
      </c>
      <c r="X153" s="484">
        <f t="shared" si="4"/>
        <v>8</v>
      </c>
      <c r="Y153" s="482">
        <f t="shared" si="4"/>
        <v>9</v>
      </c>
      <c r="Z153" s="483">
        <f t="shared" si="4"/>
        <v>8</v>
      </c>
      <c r="AA153" s="483">
        <f t="shared" si="4"/>
        <v>9</v>
      </c>
      <c r="AB153" s="483">
        <f t="shared" si="4"/>
        <v>9</v>
      </c>
      <c r="AC153" s="483">
        <f t="shared" si="4"/>
        <v>12</v>
      </c>
      <c r="AD153" s="484">
        <f t="shared" si="4"/>
        <v>0</v>
      </c>
      <c r="AE153" s="743">
        <f>SUMPRODUCT((ISNUMBER(AE7:AF152))*(MOD(ROW(AE7:AF152),2)=1),AE7:AF152)</f>
        <v>165</v>
      </c>
      <c r="AF153" s="744"/>
      <c r="AG153" s="745"/>
      <c r="AH153" s="702">
        <f>SUM(AH7:AJ152)</f>
        <v>33425000</v>
      </c>
      <c r="AI153" s="703"/>
      <c r="AJ153" s="704"/>
      <c r="AK153" s="747">
        <f>SUMPRODUCT((ISNUMBER(AK7:AM152))*(MOD(ROW(AK7:AM152),2)=1),AK7:AM152)</f>
        <v>239070</v>
      </c>
      <c r="AL153" s="748"/>
      <c r="AM153" s="748"/>
      <c r="AN153" s="748">
        <f>SUMPRODUCT((ISNUMBER(AN7:AP152))*(MOD(ROW(AN7:AP152),2)=1),AN7:AP152)</f>
        <v>1059070</v>
      </c>
      <c r="AO153" s="748"/>
      <c r="AP153" s="748"/>
      <c r="AQ153" s="748">
        <f>SUMPRODUCT((ISNUMBER(AQ7:AS152))*(MOD(ROW(AQ7:AS152),2)=1),AQ7:AS152)</f>
        <v>336530</v>
      </c>
      <c r="AR153" s="748"/>
      <c r="AS153" s="749"/>
      <c r="AT153" s="750">
        <f>SUMPRODUCT((ISNUMBER(AT7:AV152))*(MOD(ROW(AT7:AV152),2)=1),AT7:AV152)</f>
        <v>2035690</v>
      </c>
      <c r="AU153" s="748"/>
      <c r="AV153" s="751"/>
      <c r="AW153" s="702">
        <f>SUM(AW7:AY152)</f>
        <v>31389310</v>
      </c>
      <c r="AX153" s="703"/>
      <c r="AY153" s="704"/>
      <c r="AZ153" s="480"/>
      <c r="BA153" s="12"/>
      <c r="BC153" s="771" t="s">
        <v>24</v>
      </c>
      <c r="BD153" s="771"/>
      <c r="BE153" s="771"/>
      <c r="BF153" s="772"/>
      <c r="BG153" s="773"/>
      <c r="BH153" s="773"/>
      <c r="BI153" s="773"/>
      <c r="BJ153" s="134"/>
      <c r="BK153" s="134"/>
      <c r="BL153" s="134"/>
      <c r="BM153" s="24">
        <f t="shared" ref="BM153:CB153" si="5">SUMPRODUCT(N(MOD(ROW(BM7:BM152),2)=1),BM7:BM152)</f>
        <v>0</v>
      </c>
      <c r="BN153" s="20">
        <f t="shared" si="5"/>
        <v>0</v>
      </c>
      <c r="BO153" s="20">
        <f t="shared" si="5"/>
        <v>0</v>
      </c>
      <c r="BP153" s="20">
        <f t="shared" si="5"/>
        <v>0</v>
      </c>
      <c r="BQ153" s="20">
        <f t="shared" si="5"/>
        <v>0</v>
      </c>
      <c r="BR153" s="20">
        <f t="shared" si="5"/>
        <v>7830</v>
      </c>
      <c r="BS153" s="20">
        <f t="shared" si="5"/>
        <v>7830</v>
      </c>
      <c r="BT153" s="20">
        <f t="shared" si="5"/>
        <v>7830</v>
      </c>
      <c r="BU153" s="20">
        <f t="shared" si="5"/>
        <v>0</v>
      </c>
      <c r="BV153" s="20">
        <f t="shared" si="5"/>
        <v>11880</v>
      </c>
      <c r="BW153" s="20">
        <f t="shared" si="5"/>
        <v>13230</v>
      </c>
      <c r="BX153" s="20">
        <f t="shared" si="5"/>
        <v>11880</v>
      </c>
      <c r="BY153" s="20">
        <f t="shared" si="5"/>
        <v>13230</v>
      </c>
      <c r="BZ153" s="20">
        <f t="shared" si="5"/>
        <v>13230</v>
      </c>
      <c r="CA153" s="20">
        <f t="shared" si="5"/>
        <v>16870</v>
      </c>
      <c r="CB153" s="26">
        <f t="shared" si="5"/>
        <v>0</v>
      </c>
    </row>
    <row r="154" spans="1:82" ht="20.100000000000001" customHeight="1">
      <c r="A154" s="740"/>
      <c r="B154" s="741"/>
      <c r="C154" s="741"/>
      <c r="D154" s="741"/>
      <c r="E154" s="741"/>
      <c r="F154" s="741"/>
      <c r="G154" s="741"/>
      <c r="H154" s="741"/>
      <c r="I154" s="741"/>
      <c r="J154" s="741"/>
      <c r="K154" s="741"/>
      <c r="L154" s="741"/>
      <c r="M154" s="741"/>
      <c r="N154" s="742"/>
      <c r="O154" s="485">
        <f>SUMIF($BB$7:$BB$152,"2",O7:O152)</f>
        <v>13</v>
      </c>
      <c r="P154" s="486">
        <f t="shared" ref="P154:AD154" si="6">SUMIF($BB$7:$BB$152,"2",P7:P152)</f>
        <v>8</v>
      </c>
      <c r="Q154" s="486">
        <f t="shared" si="6"/>
        <v>8</v>
      </c>
      <c r="R154" s="486">
        <f t="shared" si="6"/>
        <v>0</v>
      </c>
      <c r="S154" s="487">
        <f t="shared" si="6"/>
        <v>8</v>
      </c>
      <c r="T154" s="485">
        <f t="shared" si="6"/>
        <v>9</v>
      </c>
      <c r="U154" s="486">
        <f t="shared" si="6"/>
        <v>8</v>
      </c>
      <c r="V154" s="486">
        <f t="shared" si="6"/>
        <v>8</v>
      </c>
      <c r="W154" s="486">
        <f t="shared" si="6"/>
        <v>8</v>
      </c>
      <c r="X154" s="487">
        <f t="shared" si="6"/>
        <v>8</v>
      </c>
      <c r="Y154" s="485">
        <f t="shared" si="6"/>
        <v>0</v>
      </c>
      <c r="Z154" s="486">
        <f t="shared" si="6"/>
        <v>4</v>
      </c>
      <c r="AA154" s="486">
        <f t="shared" si="6"/>
        <v>0</v>
      </c>
      <c r="AB154" s="486">
        <f t="shared" si="6"/>
        <v>4</v>
      </c>
      <c r="AC154" s="486">
        <f t="shared" si="6"/>
        <v>5</v>
      </c>
      <c r="AD154" s="487">
        <f t="shared" si="6"/>
        <v>0</v>
      </c>
      <c r="AE154" s="726">
        <f>SUMPRODUCT((ISNUMBER(AE7:AF152))*(MOD(ROW(AE7:AF152),2)=0),AE7:AF152)</f>
        <v>163</v>
      </c>
      <c r="AF154" s="727"/>
      <c r="AG154" s="746"/>
      <c r="AH154" s="705"/>
      <c r="AI154" s="706"/>
      <c r="AJ154" s="707"/>
      <c r="AK154" s="728">
        <f>SUMPRODUCT((ISNUMBER(AK7:AM152))*(MOD(ROW(AK7:AM152),2)=0),AK7:AM152)</f>
        <v>23860</v>
      </c>
      <c r="AL154" s="729"/>
      <c r="AM154" s="729"/>
      <c r="AN154" s="729">
        <f>SUMPRODUCT((ISNUMBER(AN7:AP152))*(MOD(ROW(AN7:AP152),2)=0),AN7:AP152)</f>
        <v>139130</v>
      </c>
      <c r="AO154" s="729"/>
      <c r="AP154" s="729"/>
      <c r="AQ154" s="729">
        <f>SUMPRODUCT((ISNUMBER(AQ7:AS152))*(MOD(ROW(AQ7:AS152),2)=0),AQ7:AS152)</f>
        <v>238030</v>
      </c>
      <c r="AR154" s="729"/>
      <c r="AS154" s="730"/>
      <c r="AT154" s="731">
        <f>SUMPRODUCT((ISNUMBER(AT7:AV152))*(MOD(ROW(AT7:AV152),2)=0),AT7:AV152)</f>
        <v>0</v>
      </c>
      <c r="AU154" s="729"/>
      <c r="AV154" s="732"/>
      <c r="AW154" s="705"/>
      <c r="AX154" s="706"/>
      <c r="AY154" s="707"/>
      <c r="AZ154" s="481"/>
      <c r="BA154" s="14"/>
      <c r="BC154" s="771"/>
      <c r="BD154" s="771"/>
      <c r="BE154" s="771"/>
      <c r="BF154" s="772"/>
      <c r="BG154" s="774"/>
      <c r="BH154" s="774"/>
      <c r="BI154" s="774"/>
      <c r="BJ154" s="135"/>
      <c r="BK154" s="135"/>
      <c r="BL154" s="135"/>
      <c r="BM154" s="25"/>
      <c r="BN154" s="13"/>
      <c r="BO154" s="13"/>
      <c r="BP154" s="13"/>
      <c r="BQ154" s="13"/>
      <c r="BR154" s="13"/>
      <c r="BS154" s="13"/>
      <c r="BT154" s="13"/>
      <c r="BU154" s="13"/>
      <c r="BV154" s="13"/>
      <c r="BW154" s="13"/>
      <c r="BX154" s="13"/>
      <c r="BY154" s="13"/>
      <c r="BZ154" s="13"/>
      <c r="CA154" s="13"/>
      <c r="CB154" s="27"/>
    </row>
    <row r="155" spans="1:82" ht="24.95" customHeight="1"/>
  </sheetData>
  <mergeCells count="1894">
    <mergeCell ref="BD8:BF8"/>
    <mergeCell ref="BG8:BI8"/>
    <mergeCell ref="A1:AZ1"/>
    <mergeCell ref="A2:B2"/>
    <mergeCell ref="C2:N2"/>
    <mergeCell ref="O2:U2"/>
    <mergeCell ref="Y2:AB3"/>
    <mergeCell ref="AC2:AE3"/>
    <mergeCell ref="AF2:AF3"/>
    <mergeCell ref="AH2:AJ2"/>
    <mergeCell ref="AK2:AM2"/>
    <mergeCell ref="AN2:AP2"/>
    <mergeCell ref="AN3:AP3"/>
    <mergeCell ref="AQ3:AS3"/>
    <mergeCell ref="AT3:AV3"/>
    <mergeCell ref="AW3:AZ3"/>
    <mergeCell ref="BG3:BI3"/>
    <mergeCell ref="A5:A6"/>
    <mergeCell ref="B5:B6"/>
    <mergeCell ref="C5:F5"/>
    <mergeCell ref="G5:N5"/>
    <mergeCell ref="AE5:AF5"/>
    <mergeCell ref="AQ2:AS2"/>
    <mergeCell ref="AT2:AV2"/>
    <mergeCell ref="AW2:AZ2"/>
    <mergeCell ref="BG2:BI2"/>
    <mergeCell ref="A3:B3"/>
    <mergeCell ref="C3:N3"/>
    <mergeCell ref="O3:Q3"/>
    <mergeCell ref="S3:U3"/>
    <mergeCell ref="AH3:AJ3"/>
    <mergeCell ref="AK3:AM3"/>
    <mergeCell ref="CD5:CD6"/>
    <mergeCell ref="C6:F6"/>
    <mergeCell ref="G6:I6"/>
    <mergeCell ref="J6:N6"/>
    <mergeCell ref="AE6:AF6"/>
    <mergeCell ref="AK6:AM6"/>
    <mergeCell ref="AN6:AP6"/>
    <mergeCell ref="AQ6:AS6"/>
    <mergeCell ref="AT6:AV6"/>
    <mergeCell ref="BD6:BF6"/>
    <mergeCell ref="AW5:AY6"/>
    <mergeCell ref="AZ5:AZ6"/>
    <mergeCell ref="BC5:BC6"/>
    <mergeCell ref="BD5:BF5"/>
    <mergeCell ref="BG5:BI5"/>
    <mergeCell ref="BJ5:BL5"/>
    <mergeCell ref="BG6:BI6"/>
    <mergeCell ref="AG5:AG6"/>
    <mergeCell ref="AH5:AJ6"/>
    <mergeCell ref="AK5:AM5"/>
    <mergeCell ref="AN5:AP5"/>
    <mergeCell ref="AQ5:AS5"/>
    <mergeCell ref="AT5:AV5"/>
    <mergeCell ref="A9:A10"/>
    <mergeCell ref="C9:F9"/>
    <mergeCell ref="G9:N9"/>
    <mergeCell ref="AE9:AF9"/>
    <mergeCell ref="AG9:AG10"/>
    <mergeCell ref="AH9:AJ10"/>
    <mergeCell ref="AK9:AM9"/>
    <mergeCell ref="AN9:AP9"/>
    <mergeCell ref="BC7:BC8"/>
    <mergeCell ref="BD7:BF7"/>
    <mergeCell ref="BG7:BI7"/>
    <mergeCell ref="C8:F8"/>
    <mergeCell ref="G8:I8"/>
    <mergeCell ref="J8:N8"/>
    <mergeCell ref="AE8:AF8"/>
    <mergeCell ref="AK8:AM8"/>
    <mergeCell ref="AN8:AP8"/>
    <mergeCell ref="AQ8:AS8"/>
    <mergeCell ref="AK7:AM7"/>
    <mergeCell ref="AN7:AP7"/>
    <mergeCell ref="AQ7:AS7"/>
    <mergeCell ref="AT7:AV7"/>
    <mergeCell ref="AW7:AY8"/>
    <mergeCell ref="AZ7:AZ8"/>
    <mergeCell ref="AT8:AV8"/>
    <mergeCell ref="A7:A8"/>
    <mergeCell ref="C7:F7"/>
    <mergeCell ref="G7:N7"/>
    <mergeCell ref="AE7:AF7"/>
    <mergeCell ref="AG7:AG8"/>
    <mergeCell ref="BG10:BI10"/>
    <mergeCell ref="AH7:AJ8"/>
    <mergeCell ref="BG9:BI9"/>
    <mergeCell ref="C10:F10"/>
    <mergeCell ref="G10:I10"/>
    <mergeCell ref="J10:N10"/>
    <mergeCell ref="AE10:AF10"/>
    <mergeCell ref="AK10:AM10"/>
    <mergeCell ref="AN10:AP10"/>
    <mergeCell ref="AQ10:AS10"/>
    <mergeCell ref="AT10:AV10"/>
    <mergeCell ref="BD10:BF10"/>
    <mergeCell ref="AQ9:AS9"/>
    <mergeCell ref="AT9:AV9"/>
    <mergeCell ref="AW9:AY10"/>
    <mergeCell ref="AZ9:AZ10"/>
    <mergeCell ref="BC9:BC10"/>
    <mergeCell ref="BD9:BF9"/>
    <mergeCell ref="AQ12:AS12"/>
    <mergeCell ref="AT12:AV12"/>
    <mergeCell ref="BD12:BF12"/>
    <mergeCell ref="BG12:BI12"/>
    <mergeCell ref="BG11:BI11"/>
    <mergeCell ref="AH13:AJ14"/>
    <mergeCell ref="C12:F12"/>
    <mergeCell ref="G12:I12"/>
    <mergeCell ref="J12:N12"/>
    <mergeCell ref="AE12:AF12"/>
    <mergeCell ref="AK12:AM12"/>
    <mergeCell ref="AN12:AP12"/>
    <mergeCell ref="AT11:AV11"/>
    <mergeCell ref="AW11:AY12"/>
    <mergeCell ref="AZ11:AZ12"/>
    <mergeCell ref="BC11:BC12"/>
    <mergeCell ref="BD11:BF11"/>
    <mergeCell ref="BD14:BF14"/>
    <mergeCell ref="A11:A12"/>
    <mergeCell ref="C11:F11"/>
    <mergeCell ref="G11:N11"/>
    <mergeCell ref="AE11:AF11"/>
    <mergeCell ref="AG11:AG12"/>
    <mergeCell ref="AH11:AJ12"/>
    <mergeCell ref="AK11:AM11"/>
    <mergeCell ref="AN11:AP11"/>
    <mergeCell ref="AQ11:AS11"/>
    <mergeCell ref="BG14:BI14"/>
    <mergeCell ref="A15:A16"/>
    <mergeCell ref="C15:F15"/>
    <mergeCell ref="G15:N15"/>
    <mergeCell ref="AE15:AF15"/>
    <mergeCell ref="AG15:AG16"/>
    <mergeCell ref="AH15:AJ16"/>
    <mergeCell ref="AK15:AM15"/>
    <mergeCell ref="AN15:AP15"/>
    <mergeCell ref="BC13:BC14"/>
    <mergeCell ref="BD13:BF13"/>
    <mergeCell ref="BG13:BI13"/>
    <mergeCell ref="C14:F14"/>
    <mergeCell ref="G14:I14"/>
    <mergeCell ref="J14:N14"/>
    <mergeCell ref="AE14:AF14"/>
    <mergeCell ref="AK14:AM14"/>
    <mergeCell ref="AN14:AP14"/>
    <mergeCell ref="AQ14:AS14"/>
    <mergeCell ref="AK13:AM13"/>
    <mergeCell ref="AN13:AP13"/>
    <mergeCell ref="AQ13:AS13"/>
    <mergeCell ref="AT13:AV13"/>
    <mergeCell ref="AW13:AY14"/>
    <mergeCell ref="AZ13:AZ14"/>
    <mergeCell ref="AT14:AV14"/>
    <mergeCell ref="BG16:BI16"/>
    <mergeCell ref="A13:A14"/>
    <mergeCell ref="C13:F13"/>
    <mergeCell ref="G13:N13"/>
    <mergeCell ref="AE13:AF13"/>
    <mergeCell ref="AG13:AG14"/>
    <mergeCell ref="BG15:BI15"/>
    <mergeCell ref="C16:F16"/>
    <mergeCell ref="G16:I16"/>
    <mergeCell ref="J16:N16"/>
    <mergeCell ref="AE16:AF16"/>
    <mergeCell ref="AK16:AM16"/>
    <mergeCell ref="AN16:AP16"/>
    <mergeCell ref="AQ16:AS16"/>
    <mergeCell ref="AT16:AV16"/>
    <mergeCell ref="BD16:BF16"/>
    <mergeCell ref="AQ15:AS15"/>
    <mergeCell ref="AT15:AV15"/>
    <mergeCell ref="AW15:AY16"/>
    <mergeCell ref="AZ15:AZ16"/>
    <mergeCell ref="BC15:BC16"/>
    <mergeCell ref="BD15:BF15"/>
    <mergeCell ref="AQ18:AS18"/>
    <mergeCell ref="AT18:AV18"/>
    <mergeCell ref="BD18:BF18"/>
    <mergeCell ref="BG18:BI18"/>
    <mergeCell ref="BG17:BI17"/>
    <mergeCell ref="AH19:AJ20"/>
    <mergeCell ref="C18:F18"/>
    <mergeCell ref="G18:I18"/>
    <mergeCell ref="J18:N18"/>
    <mergeCell ref="AE18:AF18"/>
    <mergeCell ref="AK18:AM18"/>
    <mergeCell ref="AN18:AP18"/>
    <mergeCell ref="AT17:AV17"/>
    <mergeCell ref="AW17:AY18"/>
    <mergeCell ref="AZ17:AZ18"/>
    <mergeCell ref="BC17:BC18"/>
    <mergeCell ref="BD17:BF17"/>
    <mergeCell ref="BD20:BF20"/>
    <mergeCell ref="A17:A18"/>
    <mergeCell ref="C17:F17"/>
    <mergeCell ref="G17:N17"/>
    <mergeCell ref="AE17:AF17"/>
    <mergeCell ref="AG17:AG18"/>
    <mergeCell ref="AH17:AJ18"/>
    <mergeCell ref="AK17:AM17"/>
    <mergeCell ref="AN17:AP17"/>
    <mergeCell ref="AQ17:AS17"/>
    <mergeCell ref="BG20:BI20"/>
    <mergeCell ref="A21:A22"/>
    <mergeCell ref="C21:F21"/>
    <mergeCell ref="G21:N21"/>
    <mergeCell ref="AE21:AF21"/>
    <mergeCell ref="AG21:AG22"/>
    <mergeCell ref="AH21:AJ22"/>
    <mergeCell ref="AK21:AM21"/>
    <mergeCell ref="AN21:AP21"/>
    <mergeCell ref="BC19:BC20"/>
    <mergeCell ref="BD19:BF19"/>
    <mergeCell ref="BG19:BI19"/>
    <mergeCell ref="C20:F20"/>
    <mergeCell ref="G20:I20"/>
    <mergeCell ref="J20:N20"/>
    <mergeCell ref="AE20:AF20"/>
    <mergeCell ref="AK20:AM20"/>
    <mergeCell ref="AN20:AP20"/>
    <mergeCell ref="AQ20:AS20"/>
    <mergeCell ref="AK19:AM19"/>
    <mergeCell ref="AN19:AP19"/>
    <mergeCell ref="AQ19:AS19"/>
    <mergeCell ref="AT19:AV19"/>
    <mergeCell ref="AW19:AY20"/>
    <mergeCell ref="AZ19:AZ20"/>
    <mergeCell ref="AT20:AV20"/>
    <mergeCell ref="BG22:BI22"/>
    <mergeCell ref="A19:A20"/>
    <mergeCell ref="C19:F19"/>
    <mergeCell ref="G19:N19"/>
    <mergeCell ref="AE19:AF19"/>
    <mergeCell ref="AG19:AG20"/>
    <mergeCell ref="BG21:BI21"/>
    <mergeCell ref="C22:F22"/>
    <mergeCell ref="G22:I22"/>
    <mergeCell ref="J22:N22"/>
    <mergeCell ref="AE22:AF22"/>
    <mergeCell ref="AK22:AM22"/>
    <mergeCell ref="AN22:AP22"/>
    <mergeCell ref="AQ22:AS22"/>
    <mergeCell ref="AT22:AV22"/>
    <mergeCell ref="BD22:BF22"/>
    <mergeCell ref="AQ21:AS21"/>
    <mergeCell ref="AT21:AV21"/>
    <mergeCell ref="AW21:AY22"/>
    <mergeCell ref="AZ21:AZ22"/>
    <mergeCell ref="BC21:BC22"/>
    <mergeCell ref="BD21:BF21"/>
    <mergeCell ref="AQ24:AS24"/>
    <mergeCell ref="AT24:AV24"/>
    <mergeCell ref="BD24:BF24"/>
    <mergeCell ref="BG24:BI24"/>
    <mergeCell ref="BG23:BI23"/>
    <mergeCell ref="A25:A26"/>
    <mergeCell ref="C25:F25"/>
    <mergeCell ref="G25:N25"/>
    <mergeCell ref="AE25:AF25"/>
    <mergeCell ref="AG25:AG26"/>
    <mergeCell ref="AH25:AJ26"/>
    <mergeCell ref="C24:F24"/>
    <mergeCell ref="G24:I24"/>
    <mergeCell ref="J24:N24"/>
    <mergeCell ref="AE24:AF24"/>
    <mergeCell ref="AK24:AM24"/>
    <mergeCell ref="AN24:AP24"/>
    <mergeCell ref="AT23:AV23"/>
    <mergeCell ref="AW23:AY24"/>
    <mergeCell ref="AZ23:AZ24"/>
    <mergeCell ref="BC23:BC24"/>
    <mergeCell ref="BD23:BF23"/>
    <mergeCell ref="BD26:BF26"/>
    <mergeCell ref="A23:A24"/>
    <mergeCell ref="C23:F23"/>
    <mergeCell ref="G23:N23"/>
    <mergeCell ref="AE23:AF23"/>
    <mergeCell ref="AG23:AG24"/>
    <mergeCell ref="AH23:AJ24"/>
    <mergeCell ref="AK23:AM23"/>
    <mergeCell ref="AN23:AP23"/>
    <mergeCell ref="AQ23:AS23"/>
    <mergeCell ref="AQ30:AS30"/>
    <mergeCell ref="AT30:AV30"/>
    <mergeCell ref="BD30:BF30"/>
    <mergeCell ref="BG30:BI30"/>
    <mergeCell ref="BG29:BI29"/>
    <mergeCell ref="BG26:BI26"/>
    <mergeCell ref="A27:A28"/>
    <mergeCell ref="C27:F27"/>
    <mergeCell ref="G27:N27"/>
    <mergeCell ref="AE27:AF27"/>
    <mergeCell ref="AG27:AG28"/>
    <mergeCell ref="AH27:AJ28"/>
    <mergeCell ref="AK27:AM27"/>
    <mergeCell ref="AN27:AP27"/>
    <mergeCell ref="BC25:BC26"/>
    <mergeCell ref="BD25:BF25"/>
    <mergeCell ref="BG25:BI25"/>
    <mergeCell ref="C26:F26"/>
    <mergeCell ref="G26:I26"/>
    <mergeCell ref="J26:N26"/>
    <mergeCell ref="AE26:AF26"/>
    <mergeCell ref="AK26:AM26"/>
    <mergeCell ref="AN26:AP26"/>
    <mergeCell ref="AQ26:AS26"/>
    <mergeCell ref="AK25:AM25"/>
    <mergeCell ref="AN25:AP25"/>
    <mergeCell ref="AQ25:AS25"/>
    <mergeCell ref="AT25:AV25"/>
    <mergeCell ref="AW25:AY26"/>
    <mergeCell ref="AZ25:AZ26"/>
    <mergeCell ref="AT26:AV26"/>
    <mergeCell ref="BG28:BI28"/>
    <mergeCell ref="AE30:AF30"/>
    <mergeCell ref="AK30:AM30"/>
    <mergeCell ref="AN30:AP30"/>
    <mergeCell ref="AT29:AV29"/>
    <mergeCell ref="AW29:AY30"/>
    <mergeCell ref="AZ29:AZ30"/>
    <mergeCell ref="BC29:BC30"/>
    <mergeCell ref="BD29:BF29"/>
    <mergeCell ref="BD32:BF32"/>
    <mergeCell ref="A29:A30"/>
    <mergeCell ref="AE29:AF29"/>
    <mergeCell ref="AG29:AG30"/>
    <mergeCell ref="AH29:AJ30"/>
    <mergeCell ref="AK29:AM29"/>
    <mergeCell ref="AN29:AP29"/>
    <mergeCell ref="AQ29:AS29"/>
    <mergeCell ref="BG27:BI27"/>
    <mergeCell ref="C28:F28"/>
    <mergeCell ref="G28:I28"/>
    <mergeCell ref="J28:N28"/>
    <mergeCell ref="AE28:AF28"/>
    <mergeCell ref="AK28:AM28"/>
    <mergeCell ref="AN28:AP28"/>
    <mergeCell ref="AQ28:AS28"/>
    <mergeCell ref="AT28:AV28"/>
    <mergeCell ref="BD28:BF28"/>
    <mergeCell ref="AQ27:AS27"/>
    <mergeCell ref="AT27:AV27"/>
    <mergeCell ref="AW27:AY28"/>
    <mergeCell ref="AZ27:AZ28"/>
    <mergeCell ref="BC27:BC28"/>
    <mergeCell ref="BD27:BF27"/>
    <mergeCell ref="BG32:BI32"/>
    <mergeCell ref="A33:A34"/>
    <mergeCell ref="C33:F33"/>
    <mergeCell ref="G33:N33"/>
    <mergeCell ref="AE33:AF33"/>
    <mergeCell ref="AG33:AG34"/>
    <mergeCell ref="AH33:AJ34"/>
    <mergeCell ref="AK33:AM33"/>
    <mergeCell ref="AN33:AP33"/>
    <mergeCell ref="BC31:BC32"/>
    <mergeCell ref="BD31:BF31"/>
    <mergeCell ref="BG31:BI31"/>
    <mergeCell ref="AE32:AF32"/>
    <mergeCell ref="AK32:AM32"/>
    <mergeCell ref="AN32:AP32"/>
    <mergeCell ref="AQ32:AS32"/>
    <mergeCell ref="AK31:AM31"/>
    <mergeCell ref="AN31:AP31"/>
    <mergeCell ref="AQ31:AS31"/>
    <mergeCell ref="AT31:AV31"/>
    <mergeCell ref="AW31:AY32"/>
    <mergeCell ref="AZ31:AZ32"/>
    <mergeCell ref="AT32:AV32"/>
    <mergeCell ref="BG34:BI34"/>
    <mergeCell ref="A31:A32"/>
    <mergeCell ref="AE31:AF31"/>
    <mergeCell ref="AG31:AG32"/>
    <mergeCell ref="AH31:AJ32"/>
    <mergeCell ref="BG33:BI33"/>
    <mergeCell ref="C34:F34"/>
    <mergeCell ref="G34:I34"/>
    <mergeCell ref="J34:N34"/>
    <mergeCell ref="AE34:AF34"/>
    <mergeCell ref="AK34:AM34"/>
    <mergeCell ref="AN34:AP34"/>
    <mergeCell ref="AQ34:AS34"/>
    <mergeCell ref="AT34:AV34"/>
    <mergeCell ref="BD34:BF34"/>
    <mergeCell ref="AQ33:AS33"/>
    <mergeCell ref="AT33:AV33"/>
    <mergeCell ref="AW33:AY34"/>
    <mergeCell ref="AZ33:AZ34"/>
    <mergeCell ref="BC33:BC34"/>
    <mergeCell ref="BD33:BF33"/>
    <mergeCell ref="AQ36:AS36"/>
    <mergeCell ref="AT36:AV36"/>
    <mergeCell ref="BD36:BF36"/>
    <mergeCell ref="BG36:BI36"/>
    <mergeCell ref="BG35:BI35"/>
    <mergeCell ref="AH37:AJ38"/>
    <mergeCell ref="C36:F36"/>
    <mergeCell ref="G36:I36"/>
    <mergeCell ref="J36:N36"/>
    <mergeCell ref="AE36:AF36"/>
    <mergeCell ref="AK36:AM36"/>
    <mergeCell ref="AN36:AP36"/>
    <mergeCell ref="AT35:AV35"/>
    <mergeCell ref="AW35:AY36"/>
    <mergeCell ref="AZ35:AZ36"/>
    <mergeCell ref="BC35:BC36"/>
    <mergeCell ref="BD35:BF35"/>
    <mergeCell ref="BD38:BF38"/>
    <mergeCell ref="A35:A36"/>
    <mergeCell ref="C35:F35"/>
    <mergeCell ref="G35:N35"/>
    <mergeCell ref="AE35:AF35"/>
    <mergeCell ref="AG35:AG36"/>
    <mergeCell ref="AH35:AJ36"/>
    <mergeCell ref="AK35:AM35"/>
    <mergeCell ref="AN35:AP35"/>
    <mergeCell ref="AQ35:AS35"/>
    <mergeCell ref="BG38:BI38"/>
    <mergeCell ref="A39:A40"/>
    <mergeCell ref="C39:F39"/>
    <mergeCell ref="G39:N39"/>
    <mergeCell ref="AE39:AF39"/>
    <mergeCell ref="AG39:AG40"/>
    <mergeCell ref="AH39:AJ40"/>
    <mergeCell ref="AK39:AM39"/>
    <mergeCell ref="AN39:AP39"/>
    <mergeCell ref="BC37:BC38"/>
    <mergeCell ref="BD37:BF37"/>
    <mergeCell ref="BG37:BI37"/>
    <mergeCell ref="C38:F38"/>
    <mergeCell ref="G38:I38"/>
    <mergeCell ref="J38:N38"/>
    <mergeCell ref="AE38:AF38"/>
    <mergeCell ref="AK38:AM38"/>
    <mergeCell ref="AN38:AP38"/>
    <mergeCell ref="AQ38:AS38"/>
    <mergeCell ref="AK37:AM37"/>
    <mergeCell ref="AN37:AP37"/>
    <mergeCell ref="AQ37:AS37"/>
    <mergeCell ref="AT37:AV37"/>
    <mergeCell ref="AW37:AY38"/>
    <mergeCell ref="AZ37:AZ38"/>
    <mergeCell ref="AT38:AV38"/>
    <mergeCell ref="BG40:BI40"/>
    <mergeCell ref="A37:A38"/>
    <mergeCell ref="C37:F37"/>
    <mergeCell ref="G37:N37"/>
    <mergeCell ref="AE37:AF37"/>
    <mergeCell ref="AG37:AG38"/>
    <mergeCell ref="BG39:BI39"/>
    <mergeCell ref="C40:F40"/>
    <mergeCell ref="G40:I40"/>
    <mergeCell ref="J40:N40"/>
    <mergeCell ref="AE40:AF40"/>
    <mergeCell ref="AK40:AM40"/>
    <mergeCell ref="AN40:AP40"/>
    <mergeCell ref="AQ40:AS40"/>
    <mergeCell ref="AT40:AV40"/>
    <mergeCell ref="BD40:BF40"/>
    <mergeCell ref="AQ39:AS39"/>
    <mergeCell ref="AT39:AV39"/>
    <mergeCell ref="AW39:AY40"/>
    <mergeCell ref="AZ39:AZ40"/>
    <mergeCell ref="BC39:BC40"/>
    <mergeCell ref="BD39:BF39"/>
    <mergeCell ref="AQ42:AS42"/>
    <mergeCell ref="AT42:AV42"/>
    <mergeCell ref="BD42:BF42"/>
    <mergeCell ref="BG42:BI42"/>
    <mergeCell ref="BG41:BI41"/>
    <mergeCell ref="AH43:AJ44"/>
    <mergeCell ref="C42:F42"/>
    <mergeCell ref="G42:I42"/>
    <mergeCell ref="J42:N42"/>
    <mergeCell ref="AE42:AF42"/>
    <mergeCell ref="AK42:AM42"/>
    <mergeCell ref="AN42:AP42"/>
    <mergeCell ref="AT41:AV41"/>
    <mergeCell ref="AW41:AY42"/>
    <mergeCell ref="AZ41:AZ42"/>
    <mergeCell ref="BC41:BC42"/>
    <mergeCell ref="BD41:BF41"/>
    <mergeCell ref="BD44:BF44"/>
    <mergeCell ref="A41:A42"/>
    <mergeCell ref="C41:F41"/>
    <mergeCell ref="G41:N41"/>
    <mergeCell ref="AE41:AF41"/>
    <mergeCell ref="AG41:AG42"/>
    <mergeCell ref="AH41:AJ42"/>
    <mergeCell ref="AK41:AM41"/>
    <mergeCell ref="AN41:AP41"/>
    <mergeCell ref="AQ41:AS41"/>
    <mergeCell ref="BG44:BI44"/>
    <mergeCell ref="A45:A46"/>
    <mergeCell ref="C45:F45"/>
    <mergeCell ref="G45:N45"/>
    <mergeCell ref="AE45:AF45"/>
    <mergeCell ref="AG45:AG46"/>
    <mergeCell ref="AH45:AJ46"/>
    <mergeCell ref="AK45:AM45"/>
    <mergeCell ref="AN45:AP45"/>
    <mergeCell ref="BC43:BC44"/>
    <mergeCell ref="BD43:BF43"/>
    <mergeCell ref="BG43:BI43"/>
    <mergeCell ref="C44:F44"/>
    <mergeCell ref="G44:I44"/>
    <mergeCell ref="J44:N44"/>
    <mergeCell ref="AE44:AF44"/>
    <mergeCell ref="AK44:AM44"/>
    <mergeCell ref="AN44:AP44"/>
    <mergeCell ref="AQ44:AS44"/>
    <mergeCell ref="AK43:AM43"/>
    <mergeCell ref="AN43:AP43"/>
    <mergeCell ref="AQ43:AS43"/>
    <mergeCell ref="AT43:AV43"/>
    <mergeCell ref="AW43:AY44"/>
    <mergeCell ref="AZ43:AZ44"/>
    <mergeCell ref="AT44:AV44"/>
    <mergeCell ref="BG46:BI46"/>
    <mergeCell ref="A43:A44"/>
    <mergeCell ref="C43:F43"/>
    <mergeCell ref="G43:N43"/>
    <mergeCell ref="AE43:AF43"/>
    <mergeCell ref="AG43:AG44"/>
    <mergeCell ref="BG45:BI45"/>
    <mergeCell ref="C46:F46"/>
    <mergeCell ref="G46:I46"/>
    <mergeCell ref="J46:N46"/>
    <mergeCell ref="AE46:AF46"/>
    <mergeCell ref="AK46:AM46"/>
    <mergeCell ref="AN46:AP46"/>
    <mergeCell ref="AQ46:AS46"/>
    <mergeCell ref="AT46:AV46"/>
    <mergeCell ref="BD46:BF46"/>
    <mergeCell ref="AQ45:AS45"/>
    <mergeCell ref="AT45:AV45"/>
    <mergeCell ref="AW45:AY46"/>
    <mergeCell ref="AZ45:AZ46"/>
    <mergeCell ref="BC45:BC46"/>
    <mergeCell ref="BD45:BF45"/>
    <mergeCell ref="AQ48:AS48"/>
    <mergeCell ref="AT48:AV48"/>
    <mergeCell ref="BD48:BF48"/>
    <mergeCell ref="BG48:BI48"/>
    <mergeCell ref="BG47:BI47"/>
    <mergeCell ref="AH49:AJ50"/>
    <mergeCell ref="C48:F48"/>
    <mergeCell ref="G48:I48"/>
    <mergeCell ref="J48:N48"/>
    <mergeCell ref="AE48:AF48"/>
    <mergeCell ref="AK48:AM48"/>
    <mergeCell ref="AN48:AP48"/>
    <mergeCell ref="AT47:AV47"/>
    <mergeCell ref="AW47:AY48"/>
    <mergeCell ref="AZ47:AZ48"/>
    <mergeCell ref="BC47:BC48"/>
    <mergeCell ref="BD47:BF47"/>
    <mergeCell ref="BD50:BF50"/>
    <mergeCell ref="A47:A48"/>
    <mergeCell ref="C47:F47"/>
    <mergeCell ref="G47:N47"/>
    <mergeCell ref="AE47:AF47"/>
    <mergeCell ref="AG47:AG48"/>
    <mergeCell ref="AH47:AJ48"/>
    <mergeCell ref="AK47:AM47"/>
    <mergeCell ref="AN47:AP47"/>
    <mergeCell ref="AQ47:AS47"/>
    <mergeCell ref="BG50:BI50"/>
    <mergeCell ref="A51:A52"/>
    <mergeCell ref="C51:F51"/>
    <mergeCell ref="G51:N51"/>
    <mergeCell ref="AE51:AF51"/>
    <mergeCell ref="AG51:AG52"/>
    <mergeCell ref="AH51:AJ52"/>
    <mergeCell ref="AK51:AM51"/>
    <mergeCell ref="AN51:AP51"/>
    <mergeCell ref="BC49:BC50"/>
    <mergeCell ref="BD49:BF49"/>
    <mergeCell ref="BG49:BI49"/>
    <mergeCell ref="C50:F50"/>
    <mergeCell ref="G50:I50"/>
    <mergeCell ref="J50:N50"/>
    <mergeCell ref="AE50:AF50"/>
    <mergeCell ref="AK50:AM50"/>
    <mergeCell ref="AN50:AP50"/>
    <mergeCell ref="AQ50:AS50"/>
    <mergeCell ref="AK49:AM49"/>
    <mergeCell ref="AN49:AP49"/>
    <mergeCell ref="AQ49:AS49"/>
    <mergeCell ref="AT49:AV49"/>
    <mergeCell ref="AW49:AY50"/>
    <mergeCell ref="AZ49:AZ50"/>
    <mergeCell ref="AT50:AV50"/>
    <mergeCell ref="BG52:BI52"/>
    <mergeCell ref="A49:A50"/>
    <mergeCell ref="C49:F49"/>
    <mergeCell ref="G49:N49"/>
    <mergeCell ref="AE49:AF49"/>
    <mergeCell ref="AG49:AG50"/>
    <mergeCell ref="BG51:BI51"/>
    <mergeCell ref="C52:F52"/>
    <mergeCell ref="G52:I52"/>
    <mergeCell ref="J52:N52"/>
    <mergeCell ref="AE52:AF52"/>
    <mergeCell ref="AK52:AM52"/>
    <mergeCell ref="AN52:AP52"/>
    <mergeCell ref="AQ52:AS52"/>
    <mergeCell ref="AT52:AV52"/>
    <mergeCell ref="BD52:BF52"/>
    <mergeCell ref="AQ51:AS51"/>
    <mergeCell ref="AT51:AV51"/>
    <mergeCell ref="AW51:AY52"/>
    <mergeCell ref="AZ51:AZ52"/>
    <mergeCell ref="BC51:BC52"/>
    <mergeCell ref="BD51:BF51"/>
    <mergeCell ref="AQ54:AS54"/>
    <mergeCell ref="AT54:AV54"/>
    <mergeCell ref="BD54:BF54"/>
    <mergeCell ref="BG54:BI54"/>
    <mergeCell ref="BG53:BI53"/>
    <mergeCell ref="AH55:AJ56"/>
    <mergeCell ref="C54:F54"/>
    <mergeCell ref="G54:I54"/>
    <mergeCell ref="J54:N54"/>
    <mergeCell ref="AE54:AF54"/>
    <mergeCell ref="AK54:AM54"/>
    <mergeCell ref="AN54:AP54"/>
    <mergeCell ref="AT53:AV53"/>
    <mergeCell ref="AW53:AY54"/>
    <mergeCell ref="AZ53:AZ54"/>
    <mergeCell ref="BC53:BC54"/>
    <mergeCell ref="BD53:BF53"/>
    <mergeCell ref="BD56:BF56"/>
    <mergeCell ref="A53:A54"/>
    <mergeCell ref="C53:F53"/>
    <mergeCell ref="G53:N53"/>
    <mergeCell ref="AE53:AF53"/>
    <mergeCell ref="AG53:AG54"/>
    <mergeCell ref="AH53:AJ54"/>
    <mergeCell ref="AK53:AM53"/>
    <mergeCell ref="AN53:AP53"/>
    <mergeCell ref="AQ53:AS53"/>
    <mergeCell ref="BG56:BI56"/>
    <mergeCell ref="A57:A58"/>
    <mergeCell ref="C57:F57"/>
    <mergeCell ref="G57:N57"/>
    <mergeCell ref="AE57:AF57"/>
    <mergeCell ref="AG57:AG58"/>
    <mergeCell ref="AH57:AJ58"/>
    <mergeCell ref="AK57:AM57"/>
    <mergeCell ref="AN57:AP57"/>
    <mergeCell ref="BC55:BC56"/>
    <mergeCell ref="BD55:BF55"/>
    <mergeCell ref="BG55:BI55"/>
    <mergeCell ref="C56:F56"/>
    <mergeCell ref="G56:I56"/>
    <mergeCell ref="J56:N56"/>
    <mergeCell ref="AE56:AF56"/>
    <mergeCell ref="AK56:AM56"/>
    <mergeCell ref="AN56:AP56"/>
    <mergeCell ref="AQ56:AS56"/>
    <mergeCell ref="AK55:AM55"/>
    <mergeCell ref="AN55:AP55"/>
    <mergeCell ref="AQ55:AS55"/>
    <mergeCell ref="AT55:AV55"/>
    <mergeCell ref="AW55:AY56"/>
    <mergeCell ref="AZ55:AZ56"/>
    <mergeCell ref="AT56:AV56"/>
    <mergeCell ref="BG58:BI58"/>
    <mergeCell ref="A55:A56"/>
    <mergeCell ref="C55:F55"/>
    <mergeCell ref="G55:N55"/>
    <mergeCell ref="AE55:AF55"/>
    <mergeCell ref="AG55:AG56"/>
    <mergeCell ref="BG57:BI57"/>
    <mergeCell ref="C58:F58"/>
    <mergeCell ref="G58:I58"/>
    <mergeCell ref="J58:N58"/>
    <mergeCell ref="AE58:AF58"/>
    <mergeCell ref="AK58:AM58"/>
    <mergeCell ref="AN58:AP58"/>
    <mergeCell ref="AQ58:AS58"/>
    <mergeCell ref="AT58:AV58"/>
    <mergeCell ref="BD58:BF58"/>
    <mergeCell ref="AQ57:AS57"/>
    <mergeCell ref="AT57:AV57"/>
    <mergeCell ref="AW57:AY58"/>
    <mergeCell ref="AZ57:AZ58"/>
    <mergeCell ref="BC57:BC58"/>
    <mergeCell ref="BD57:BF57"/>
    <mergeCell ref="AQ60:AS60"/>
    <mergeCell ref="AT60:AV60"/>
    <mergeCell ref="BD60:BF60"/>
    <mergeCell ref="BG60:BI60"/>
    <mergeCell ref="BG59:BI59"/>
    <mergeCell ref="AH61:AJ62"/>
    <mergeCell ref="C60:F60"/>
    <mergeCell ref="G60:I60"/>
    <mergeCell ref="J60:N60"/>
    <mergeCell ref="AE60:AF60"/>
    <mergeCell ref="AK60:AM60"/>
    <mergeCell ref="AN60:AP60"/>
    <mergeCell ref="AT59:AV59"/>
    <mergeCell ref="AW59:AY60"/>
    <mergeCell ref="AZ59:AZ60"/>
    <mergeCell ref="BC59:BC60"/>
    <mergeCell ref="BD59:BF59"/>
    <mergeCell ref="BD62:BF62"/>
    <mergeCell ref="A59:A60"/>
    <mergeCell ref="C59:F59"/>
    <mergeCell ref="G59:N59"/>
    <mergeCell ref="AE59:AF59"/>
    <mergeCell ref="AG59:AG60"/>
    <mergeCell ref="AH59:AJ60"/>
    <mergeCell ref="AK59:AM59"/>
    <mergeCell ref="AN59:AP59"/>
    <mergeCell ref="AQ59:AS59"/>
    <mergeCell ref="BG62:BI62"/>
    <mergeCell ref="A63:A64"/>
    <mergeCell ref="C63:F63"/>
    <mergeCell ref="G63:N63"/>
    <mergeCell ref="AE63:AF63"/>
    <mergeCell ref="AG63:AG64"/>
    <mergeCell ref="AH63:AJ64"/>
    <mergeCell ref="AK63:AM63"/>
    <mergeCell ref="AN63:AP63"/>
    <mergeCell ref="BC61:BC62"/>
    <mergeCell ref="BD61:BF61"/>
    <mergeCell ref="BG61:BI61"/>
    <mergeCell ref="C62:F62"/>
    <mergeCell ref="G62:I62"/>
    <mergeCell ref="J62:N62"/>
    <mergeCell ref="AE62:AF62"/>
    <mergeCell ref="AK62:AM62"/>
    <mergeCell ref="AN62:AP62"/>
    <mergeCell ref="AQ62:AS62"/>
    <mergeCell ref="AK61:AM61"/>
    <mergeCell ref="AN61:AP61"/>
    <mergeCell ref="AQ61:AS61"/>
    <mergeCell ref="AT61:AV61"/>
    <mergeCell ref="AW61:AY62"/>
    <mergeCell ref="AZ61:AZ62"/>
    <mergeCell ref="AT62:AV62"/>
    <mergeCell ref="BG64:BI64"/>
    <mergeCell ref="A61:A62"/>
    <mergeCell ref="C61:F61"/>
    <mergeCell ref="G61:N61"/>
    <mergeCell ref="AE61:AF61"/>
    <mergeCell ref="AG61:AG62"/>
    <mergeCell ref="BG63:BI63"/>
    <mergeCell ref="C64:F64"/>
    <mergeCell ref="G64:I64"/>
    <mergeCell ref="J64:N64"/>
    <mergeCell ref="AE64:AF64"/>
    <mergeCell ref="AK64:AM64"/>
    <mergeCell ref="AN64:AP64"/>
    <mergeCell ref="AQ64:AS64"/>
    <mergeCell ref="AT64:AV64"/>
    <mergeCell ref="BD64:BF64"/>
    <mergeCell ref="AQ63:AS63"/>
    <mergeCell ref="AT63:AV63"/>
    <mergeCell ref="AW63:AY64"/>
    <mergeCell ref="AZ63:AZ64"/>
    <mergeCell ref="BC63:BC64"/>
    <mergeCell ref="BD63:BF63"/>
    <mergeCell ref="AQ66:AS66"/>
    <mergeCell ref="AT66:AV66"/>
    <mergeCell ref="BD66:BF66"/>
    <mergeCell ref="BG66:BI66"/>
    <mergeCell ref="BG65:BI65"/>
    <mergeCell ref="AH67:AJ68"/>
    <mergeCell ref="C66:F66"/>
    <mergeCell ref="G66:I66"/>
    <mergeCell ref="J66:N66"/>
    <mergeCell ref="AE66:AF66"/>
    <mergeCell ref="AK66:AM66"/>
    <mergeCell ref="AN66:AP66"/>
    <mergeCell ref="AT65:AV65"/>
    <mergeCell ref="AW65:AY66"/>
    <mergeCell ref="AZ65:AZ66"/>
    <mergeCell ref="BC65:BC66"/>
    <mergeCell ref="BD65:BF65"/>
    <mergeCell ref="BD68:BF68"/>
    <mergeCell ref="A65:A66"/>
    <mergeCell ref="C65:F65"/>
    <mergeCell ref="G65:N65"/>
    <mergeCell ref="AE65:AF65"/>
    <mergeCell ref="AG65:AG66"/>
    <mergeCell ref="AH65:AJ66"/>
    <mergeCell ref="AK65:AM65"/>
    <mergeCell ref="AN65:AP65"/>
    <mergeCell ref="AQ65:AS65"/>
    <mergeCell ref="BG68:BI68"/>
    <mergeCell ref="A69:A70"/>
    <mergeCell ref="C69:F69"/>
    <mergeCell ref="G69:N69"/>
    <mergeCell ref="AE69:AF69"/>
    <mergeCell ref="AG69:AG70"/>
    <mergeCell ref="AH69:AJ70"/>
    <mergeCell ref="AK69:AM69"/>
    <mergeCell ref="AN69:AP69"/>
    <mergeCell ref="BC67:BC68"/>
    <mergeCell ref="BD67:BF67"/>
    <mergeCell ref="BG67:BI67"/>
    <mergeCell ref="C68:F68"/>
    <mergeCell ref="G68:I68"/>
    <mergeCell ref="J68:N68"/>
    <mergeCell ref="AE68:AF68"/>
    <mergeCell ref="AK68:AM68"/>
    <mergeCell ref="AN68:AP68"/>
    <mergeCell ref="AQ68:AS68"/>
    <mergeCell ref="AK67:AM67"/>
    <mergeCell ref="AN67:AP67"/>
    <mergeCell ref="AQ67:AS67"/>
    <mergeCell ref="AT67:AV67"/>
    <mergeCell ref="AW67:AY68"/>
    <mergeCell ref="AZ67:AZ68"/>
    <mergeCell ref="AT68:AV68"/>
    <mergeCell ref="BG70:BI70"/>
    <mergeCell ref="A67:A68"/>
    <mergeCell ref="C67:F67"/>
    <mergeCell ref="G67:N67"/>
    <mergeCell ref="AE67:AF67"/>
    <mergeCell ref="AG67:AG68"/>
    <mergeCell ref="BG69:BI69"/>
    <mergeCell ref="C70:F70"/>
    <mergeCell ref="G70:I70"/>
    <mergeCell ref="J70:N70"/>
    <mergeCell ref="AE70:AF70"/>
    <mergeCell ref="AK70:AM70"/>
    <mergeCell ref="AN70:AP70"/>
    <mergeCell ref="AQ70:AS70"/>
    <mergeCell ref="AT70:AV70"/>
    <mergeCell ref="BD70:BF70"/>
    <mergeCell ref="AQ69:AS69"/>
    <mergeCell ref="AT69:AV69"/>
    <mergeCell ref="AW69:AY70"/>
    <mergeCell ref="AZ69:AZ70"/>
    <mergeCell ref="BC69:BC70"/>
    <mergeCell ref="BD69:BF69"/>
    <mergeCell ref="AQ72:AS72"/>
    <mergeCell ref="AT72:AV72"/>
    <mergeCell ref="BD72:BF72"/>
    <mergeCell ref="BG72:BI72"/>
    <mergeCell ref="BG71:BI71"/>
    <mergeCell ref="AH73:AJ74"/>
    <mergeCell ref="C72:F72"/>
    <mergeCell ref="G72:I72"/>
    <mergeCell ref="J72:N72"/>
    <mergeCell ref="AE72:AF72"/>
    <mergeCell ref="AK72:AM72"/>
    <mergeCell ref="AN72:AP72"/>
    <mergeCell ref="AT71:AV71"/>
    <mergeCell ref="AW71:AY72"/>
    <mergeCell ref="AZ71:AZ72"/>
    <mergeCell ref="BC71:BC72"/>
    <mergeCell ref="BD71:BF71"/>
    <mergeCell ref="BD74:BF74"/>
    <mergeCell ref="A71:A72"/>
    <mergeCell ref="C71:F71"/>
    <mergeCell ref="G71:N71"/>
    <mergeCell ref="AE71:AF71"/>
    <mergeCell ref="AG71:AG72"/>
    <mergeCell ref="AH71:AJ72"/>
    <mergeCell ref="AK71:AM71"/>
    <mergeCell ref="AN71:AP71"/>
    <mergeCell ref="AQ71:AS71"/>
    <mergeCell ref="BG74:BI74"/>
    <mergeCell ref="A75:A76"/>
    <mergeCell ref="C75:F75"/>
    <mergeCell ref="G75:N75"/>
    <mergeCell ref="AE75:AF75"/>
    <mergeCell ref="AG75:AG76"/>
    <mergeCell ref="AH75:AJ76"/>
    <mergeCell ref="AK75:AM75"/>
    <mergeCell ref="AN75:AP75"/>
    <mergeCell ref="BC73:BC74"/>
    <mergeCell ref="BD73:BF73"/>
    <mergeCell ref="BG73:BI73"/>
    <mergeCell ref="C74:F74"/>
    <mergeCell ref="G74:I74"/>
    <mergeCell ref="J74:N74"/>
    <mergeCell ref="AE74:AF74"/>
    <mergeCell ref="AK74:AM74"/>
    <mergeCell ref="AN74:AP74"/>
    <mergeCell ref="AQ74:AS74"/>
    <mergeCell ref="AK73:AM73"/>
    <mergeCell ref="AN73:AP73"/>
    <mergeCell ref="AQ73:AS73"/>
    <mergeCell ref="AT73:AV73"/>
    <mergeCell ref="AW73:AY74"/>
    <mergeCell ref="AZ73:AZ74"/>
    <mergeCell ref="AT74:AV74"/>
    <mergeCell ref="BG76:BI76"/>
    <mergeCell ref="A73:A74"/>
    <mergeCell ref="C73:F73"/>
    <mergeCell ref="G73:N73"/>
    <mergeCell ref="AE73:AF73"/>
    <mergeCell ref="AG73:AG74"/>
    <mergeCell ref="BG75:BI75"/>
    <mergeCell ref="C76:F76"/>
    <mergeCell ref="G76:I76"/>
    <mergeCell ref="J76:N76"/>
    <mergeCell ref="AE76:AF76"/>
    <mergeCell ref="AK76:AM76"/>
    <mergeCell ref="AN76:AP76"/>
    <mergeCell ref="AQ76:AS76"/>
    <mergeCell ref="AT76:AV76"/>
    <mergeCell ref="BD76:BF76"/>
    <mergeCell ref="AQ75:AS75"/>
    <mergeCell ref="AT75:AV75"/>
    <mergeCell ref="AW75:AY76"/>
    <mergeCell ref="AZ75:AZ76"/>
    <mergeCell ref="BC75:BC76"/>
    <mergeCell ref="BD75:BF75"/>
    <mergeCell ref="AQ78:AS78"/>
    <mergeCell ref="AT78:AV78"/>
    <mergeCell ref="BD78:BF78"/>
    <mergeCell ref="BG78:BI78"/>
    <mergeCell ref="BG77:BI77"/>
    <mergeCell ref="AH79:AJ80"/>
    <mergeCell ref="C78:F78"/>
    <mergeCell ref="G78:I78"/>
    <mergeCell ref="J78:N78"/>
    <mergeCell ref="AE78:AF78"/>
    <mergeCell ref="AK78:AM78"/>
    <mergeCell ref="AN78:AP78"/>
    <mergeCell ref="AT77:AV77"/>
    <mergeCell ref="AW77:AY78"/>
    <mergeCell ref="AZ77:AZ78"/>
    <mergeCell ref="BC77:BC78"/>
    <mergeCell ref="BD77:BF77"/>
    <mergeCell ref="BD80:BF80"/>
    <mergeCell ref="A77:A78"/>
    <mergeCell ref="C77:F77"/>
    <mergeCell ref="G77:N77"/>
    <mergeCell ref="AE77:AF77"/>
    <mergeCell ref="AG77:AG78"/>
    <mergeCell ref="AH77:AJ78"/>
    <mergeCell ref="AK77:AM77"/>
    <mergeCell ref="AN77:AP77"/>
    <mergeCell ref="AQ77:AS77"/>
    <mergeCell ref="BG80:BI80"/>
    <mergeCell ref="A81:A82"/>
    <mergeCell ref="C81:F81"/>
    <mergeCell ref="G81:N81"/>
    <mergeCell ref="AE81:AF81"/>
    <mergeCell ref="AG81:AG82"/>
    <mergeCell ref="AH81:AJ82"/>
    <mergeCell ref="AK81:AM81"/>
    <mergeCell ref="AN81:AP81"/>
    <mergeCell ref="BC79:BC80"/>
    <mergeCell ref="BD79:BF79"/>
    <mergeCell ref="BG79:BI79"/>
    <mergeCell ref="C80:F80"/>
    <mergeCell ref="G80:I80"/>
    <mergeCell ref="J80:N80"/>
    <mergeCell ref="AE80:AF80"/>
    <mergeCell ref="AK80:AM80"/>
    <mergeCell ref="AN80:AP80"/>
    <mergeCell ref="AQ80:AS80"/>
    <mergeCell ref="AK79:AM79"/>
    <mergeCell ref="AN79:AP79"/>
    <mergeCell ref="AQ79:AS79"/>
    <mergeCell ref="AT79:AV79"/>
    <mergeCell ref="AW79:AY80"/>
    <mergeCell ref="AZ79:AZ80"/>
    <mergeCell ref="AT80:AV80"/>
    <mergeCell ref="BG82:BI82"/>
    <mergeCell ref="A79:A80"/>
    <mergeCell ref="C79:F79"/>
    <mergeCell ref="G79:N79"/>
    <mergeCell ref="AE79:AF79"/>
    <mergeCell ref="AG79:AG80"/>
    <mergeCell ref="BG81:BI81"/>
    <mergeCell ref="C82:F82"/>
    <mergeCell ref="G82:I82"/>
    <mergeCell ref="J82:N82"/>
    <mergeCell ref="AE82:AF82"/>
    <mergeCell ref="AK82:AM82"/>
    <mergeCell ref="AN82:AP82"/>
    <mergeCell ref="AQ82:AS82"/>
    <mergeCell ref="AT82:AV82"/>
    <mergeCell ref="BD82:BF82"/>
    <mergeCell ref="AQ81:AS81"/>
    <mergeCell ref="AT81:AV81"/>
    <mergeCell ref="AW81:AY82"/>
    <mergeCell ref="AZ81:AZ82"/>
    <mergeCell ref="BC81:BC82"/>
    <mergeCell ref="BD81:BF81"/>
    <mergeCell ref="AQ84:AS84"/>
    <mergeCell ref="AT84:AV84"/>
    <mergeCell ref="BD84:BF84"/>
    <mergeCell ref="BG84:BI84"/>
    <mergeCell ref="BG83:BI83"/>
    <mergeCell ref="AH85:AJ86"/>
    <mergeCell ref="C84:F84"/>
    <mergeCell ref="G84:I84"/>
    <mergeCell ref="J84:N84"/>
    <mergeCell ref="AE84:AF84"/>
    <mergeCell ref="AK84:AM84"/>
    <mergeCell ref="AN84:AP84"/>
    <mergeCell ref="AT83:AV83"/>
    <mergeCell ref="AW83:AY84"/>
    <mergeCell ref="AZ83:AZ84"/>
    <mergeCell ref="BC83:BC84"/>
    <mergeCell ref="BD83:BF83"/>
    <mergeCell ref="BD86:BF86"/>
    <mergeCell ref="A83:A84"/>
    <mergeCell ref="C83:F83"/>
    <mergeCell ref="G83:N83"/>
    <mergeCell ref="AE83:AF83"/>
    <mergeCell ref="AG83:AG84"/>
    <mergeCell ref="AH83:AJ84"/>
    <mergeCell ref="AK83:AM83"/>
    <mergeCell ref="AN83:AP83"/>
    <mergeCell ref="AQ83:AS83"/>
    <mergeCell ref="BG86:BI86"/>
    <mergeCell ref="A87:A88"/>
    <mergeCell ref="C87:F87"/>
    <mergeCell ref="G87:N87"/>
    <mergeCell ref="AE87:AF87"/>
    <mergeCell ref="AG87:AG88"/>
    <mergeCell ref="AH87:AJ88"/>
    <mergeCell ref="AK87:AM87"/>
    <mergeCell ref="AN87:AP87"/>
    <mergeCell ref="BC85:BC86"/>
    <mergeCell ref="BD85:BF85"/>
    <mergeCell ref="BG85:BI85"/>
    <mergeCell ref="C86:F86"/>
    <mergeCell ref="G86:I86"/>
    <mergeCell ref="J86:N86"/>
    <mergeCell ref="AE86:AF86"/>
    <mergeCell ref="AK86:AM86"/>
    <mergeCell ref="AN86:AP86"/>
    <mergeCell ref="AQ86:AS86"/>
    <mergeCell ref="AK85:AM85"/>
    <mergeCell ref="AN85:AP85"/>
    <mergeCell ref="AQ85:AS85"/>
    <mergeCell ref="AT85:AV85"/>
    <mergeCell ref="AW85:AY86"/>
    <mergeCell ref="AZ85:AZ86"/>
    <mergeCell ref="AT86:AV86"/>
    <mergeCell ref="BG88:BI88"/>
    <mergeCell ref="A85:A86"/>
    <mergeCell ref="C85:F85"/>
    <mergeCell ref="G85:N85"/>
    <mergeCell ref="AE85:AF85"/>
    <mergeCell ref="AG85:AG86"/>
    <mergeCell ref="BG87:BI87"/>
    <mergeCell ref="C88:F88"/>
    <mergeCell ref="G88:I88"/>
    <mergeCell ref="J88:N88"/>
    <mergeCell ref="AE88:AF88"/>
    <mergeCell ref="AK88:AM88"/>
    <mergeCell ref="AN88:AP88"/>
    <mergeCell ref="AQ88:AS88"/>
    <mergeCell ref="AT88:AV88"/>
    <mergeCell ref="BD88:BF88"/>
    <mergeCell ref="AQ87:AS87"/>
    <mergeCell ref="AT87:AV87"/>
    <mergeCell ref="AW87:AY88"/>
    <mergeCell ref="AZ87:AZ88"/>
    <mergeCell ref="BC87:BC88"/>
    <mergeCell ref="BD87:BF87"/>
    <mergeCell ref="AQ90:AS90"/>
    <mergeCell ref="AT90:AV90"/>
    <mergeCell ref="BD90:BF90"/>
    <mergeCell ref="BG90:BI90"/>
    <mergeCell ref="BG89:BI89"/>
    <mergeCell ref="AH91:AJ92"/>
    <mergeCell ref="C90:F90"/>
    <mergeCell ref="G90:I90"/>
    <mergeCell ref="J90:N90"/>
    <mergeCell ref="AE90:AF90"/>
    <mergeCell ref="AK90:AM90"/>
    <mergeCell ref="AN90:AP90"/>
    <mergeCell ref="AT89:AV89"/>
    <mergeCell ref="AW89:AY90"/>
    <mergeCell ref="AZ89:AZ90"/>
    <mergeCell ref="BC89:BC90"/>
    <mergeCell ref="BD89:BF89"/>
    <mergeCell ref="BD92:BF92"/>
    <mergeCell ref="A89:A90"/>
    <mergeCell ref="C89:F89"/>
    <mergeCell ref="G89:N89"/>
    <mergeCell ref="AE89:AF89"/>
    <mergeCell ref="AG89:AG90"/>
    <mergeCell ref="AH89:AJ90"/>
    <mergeCell ref="AK89:AM89"/>
    <mergeCell ref="AN89:AP89"/>
    <mergeCell ref="AQ89:AS89"/>
    <mergeCell ref="BG92:BI92"/>
    <mergeCell ref="A93:A94"/>
    <mergeCell ref="C93:F93"/>
    <mergeCell ref="G93:N93"/>
    <mergeCell ref="AE93:AF93"/>
    <mergeCell ref="AG93:AG94"/>
    <mergeCell ref="AH93:AJ94"/>
    <mergeCell ref="AK93:AM93"/>
    <mergeCell ref="AN93:AP93"/>
    <mergeCell ref="BC91:BC92"/>
    <mergeCell ref="BD91:BF91"/>
    <mergeCell ref="BG91:BI91"/>
    <mergeCell ref="C92:F92"/>
    <mergeCell ref="G92:I92"/>
    <mergeCell ref="J92:N92"/>
    <mergeCell ref="AE92:AF92"/>
    <mergeCell ref="AK92:AM92"/>
    <mergeCell ref="AN92:AP92"/>
    <mergeCell ref="AQ92:AS92"/>
    <mergeCell ref="AK91:AM91"/>
    <mergeCell ref="AN91:AP91"/>
    <mergeCell ref="AQ91:AS91"/>
    <mergeCell ref="AT91:AV91"/>
    <mergeCell ref="AW91:AY92"/>
    <mergeCell ref="AZ91:AZ92"/>
    <mergeCell ref="AT92:AV92"/>
    <mergeCell ref="BG94:BI94"/>
    <mergeCell ref="A91:A92"/>
    <mergeCell ref="C91:F91"/>
    <mergeCell ref="G91:N91"/>
    <mergeCell ref="AE91:AF91"/>
    <mergeCell ref="AG91:AG92"/>
    <mergeCell ref="BG93:BI93"/>
    <mergeCell ref="C94:F94"/>
    <mergeCell ref="G94:I94"/>
    <mergeCell ref="J94:N94"/>
    <mergeCell ref="AE94:AF94"/>
    <mergeCell ref="AK94:AM94"/>
    <mergeCell ref="AN94:AP94"/>
    <mergeCell ref="AQ94:AS94"/>
    <mergeCell ref="AT94:AV94"/>
    <mergeCell ref="BD94:BF94"/>
    <mergeCell ref="AQ93:AS93"/>
    <mergeCell ref="AT93:AV93"/>
    <mergeCell ref="AW93:AY94"/>
    <mergeCell ref="AZ93:AZ94"/>
    <mergeCell ref="BC93:BC94"/>
    <mergeCell ref="BD93:BF93"/>
    <mergeCell ref="AQ96:AS96"/>
    <mergeCell ref="AT96:AV96"/>
    <mergeCell ref="BD96:BF96"/>
    <mergeCell ref="BG96:BI96"/>
    <mergeCell ref="BG95:BI95"/>
    <mergeCell ref="AH97:AJ98"/>
    <mergeCell ref="C96:F96"/>
    <mergeCell ref="G96:I96"/>
    <mergeCell ref="J96:N96"/>
    <mergeCell ref="AE96:AF96"/>
    <mergeCell ref="AK96:AM96"/>
    <mergeCell ref="AN96:AP96"/>
    <mergeCell ref="AT95:AV95"/>
    <mergeCell ref="AW95:AY96"/>
    <mergeCell ref="AZ95:AZ96"/>
    <mergeCell ref="BC95:BC96"/>
    <mergeCell ref="BD95:BF95"/>
    <mergeCell ref="BD98:BF98"/>
    <mergeCell ref="A95:A96"/>
    <mergeCell ref="C95:F95"/>
    <mergeCell ref="G95:N95"/>
    <mergeCell ref="AE95:AF95"/>
    <mergeCell ref="AG95:AG96"/>
    <mergeCell ref="AH95:AJ96"/>
    <mergeCell ref="AK95:AM95"/>
    <mergeCell ref="AN95:AP95"/>
    <mergeCell ref="AQ95:AS95"/>
    <mergeCell ref="BG98:BI98"/>
    <mergeCell ref="A99:A100"/>
    <mergeCell ref="C99:F99"/>
    <mergeCell ref="G99:N99"/>
    <mergeCell ref="AE99:AF99"/>
    <mergeCell ref="AG99:AG100"/>
    <mergeCell ref="AH99:AJ100"/>
    <mergeCell ref="AK99:AM99"/>
    <mergeCell ref="AN99:AP99"/>
    <mergeCell ref="BC97:BC98"/>
    <mergeCell ref="BD97:BF97"/>
    <mergeCell ref="BG97:BI97"/>
    <mergeCell ref="C98:F98"/>
    <mergeCell ref="G98:I98"/>
    <mergeCell ref="J98:N98"/>
    <mergeCell ref="AE98:AF98"/>
    <mergeCell ref="AK98:AM98"/>
    <mergeCell ref="AN98:AP98"/>
    <mergeCell ref="AQ98:AS98"/>
    <mergeCell ref="AK97:AM97"/>
    <mergeCell ref="AN97:AP97"/>
    <mergeCell ref="AQ97:AS97"/>
    <mergeCell ref="AT97:AV97"/>
    <mergeCell ref="AW97:AY98"/>
    <mergeCell ref="AZ97:AZ98"/>
    <mergeCell ref="AT98:AV98"/>
    <mergeCell ref="BG100:BI100"/>
    <mergeCell ref="A97:A98"/>
    <mergeCell ref="C97:F97"/>
    <mergeCell ref="G97:N97"/>
    <mergeCell ref="AE97:AF97"/>
    <mergeCell ref="AG97:AG98"/>
    <mergeCell ref="BG99:BI99"/>
    <mergeCell ref="C100:F100"/>
    <mergeCell ref="G100:I100"/>
    <mergeCell ref="J100:N100"/>
    <mergeCell ref="AE100:AF100"/>
    <mergeCell ref="AK100:AM100"/>
    <mergeCell ref="AN100:AP100"/>
    <mergeCell ref="AQ100:AS100"/>
    <mergeCell ref="AT100:AV100"/>
    <mergeCell ref="BD100:BF100"/>
    <mergeCell ref="AQ99:AS99"/>
    <mergeCell ref="AT99:AV99"/>
    <mergeCell ref="AW99:AY100"/>
    <mergeCell ref="AZ99:AZ100"/>
    <mergeCell ref="BC99:BC100"/>
    <mergeCell ref="BD99:BF99"/>
    <mergeCell ref="AQ102:AS102"/>
    <mergeCell ref="AT102:AV102"/>
    <mergeCell ref="BD102:BF102"/>
    <mergeCell ref="BG102:BI102"/>
    <mergeCell ref="BG101:BI101"/>
    <mergeCell ref="AH103:AJ104"/>
    <mergeCell ref="C102:F102"/>
    <mergeCell ref="G102:I102"/>
    <mergeCell ref="J102:N102"/>
    <mergeCell ref="AE102:AF102"/>
    <mergeCell ref="AK102:AM102"/>
    <mergeCell ref="AN102:AP102"/>
    <mergeCell ref="AT101:AV101"/>
    <mergeCell ref="AW101:AY102"/>
    <mergeCell ref="AZ101:AZ102"/>
    <mergeCell ref="BC101:BC102"/>
    <mergeCell ref="BD101:BF101"/>
    <mergeCell ref="BD104:BF104"/>
    <mergeCell ref="A101:A102"/>
    <mergeCell ref="C101:F101"/>
    <mergeCell ref="G101:N101"/>
    <mergeCell ref="AE101:AF101"/>
    <mergeCell ref="AG101:AG102"/>
    <mergeCell ref="AH101:AJ102"/>
    <mergeCell ref="AK101:AM101"/>
    <mergeCell ref="AN101:AP101"/>
    <mergeCell ref="AQ101:AS101"/>
    <mergeCell ref="BG104:BI104"/>
    <mergeCell ref="A105:A106"/>
    <mergeCell ref="C105:F105"/>
    <mergeCell ref="G105:N105"/>
    <mergeCell ref="AE105:AF105"/>
    <mergeCell ref="AG105:AG106"/>
    <mergeCell ref="AH105:AJ106"/>
    <mergeCell ref="AK105:AM105"/>
    <mergeCell ref="AN105:AP105"/>
    <mergeCell ref="BC103:BC104"/>
    <mergeCell ref="BD103:BF103"/>
    <mergeCell ref="BG103:BI103"/>
    <mergeCell ref="C104:F104"/>
    <mergeCell ref="G104:I104"/>
    <mergeCell ref="J104:N104"/>
    <mergeCell ref="AE104:AF104"/>
    <mergeCell ref="AK104:AM104"/>
    <mergeCell ref="AN104:AP104"/>
    <mergeCell ref="AQ104:AS104"/>
    <mergeCell ref="AK103:AM103"/>
    <mergeCell ref="AN103:AP103"/>
    <mergeCell ref="AQ103:AS103"/>
    <mergeCell ref="AT103:AV103"/>
    <mergeCell ref="AW103:AY104"/>
    <mergeCell ref="AZ103:AZ104"/>
    <mergeCell ref="AT104:AV104"/>
    <mergeCell ref="BG106:BI106"/>
    <mergeCell ref="A103:A104"/>
    <mergeCell ref="C103:F103"/>
    <mergeCell ref="G103:N103"/>
    <mergeCell ref="AE103:AF103"/>
    <mergeCell ref="AG103:AG104"/>
    <mergeCell ref="BG105:BI105"/>
    <mergeCell ref="C106:F106"/>
    <mergeCell ref="G106:I106"/>
    <mergeCell ref="J106:N106"/>
    <mergeCell ref="AE106:AF106"/>
    <mergeCell ref="AK106:AM106"/>
    <mergeCell ref="AN106:AP106"/>
    <mergeCell ref="AQ106:AS106"/>
    <mergeCell ref="AT106:AV106"/>
    <mergeCell ref="BD106:BF106"/>
    <mergeCell ref="AQ105:AS105"/>
    <mergeCell ref="AT105:AV105"/>
    <mergeCell ref="AW105:AY106"/>
    <mergeCell ref="AZ105:AZ106"/>
    <mergeCell ref="BC105:BC106"/>
    <mergeCell ref="BD105:BF105"/>
    <mergeCell ref="AQ108:AS108"/>
    <mergeCell ref="AT108:AV108"/>
    <mergeCell ref="BD108:BF108"/>
    <mergeCell ref="BG108:BI108"/>
    <mergeCell ref="BG107:BI107"/>
    <mergeCell ref="AH109:AJ110"/>
    <mergeCell ref="C108:F108"/>
    <mergeCell ref="G108:I108"/>
    <mergeCell ref="J108:N108"/>
    <mergeCell ref="AE108:AF108"/>
    <mergeCell ref="AK108:AM108"/>
    <mergeCell ref="AN108:AP108"/>
    <mergeCell ref="AT107:AV107"/>
    <mergeCell ref="AW107:AY108"/>
    <mergeCell ref="AZ107:AZ108"/>
    <mergeCell ref="BC107:BC108"/>
    <mergeCell ref="BD107:BF107"/>
    <mergeCell ref="BD110:BF110"/>
    <mergeCell ref="A107:A108"/>
    <mergeCell ref="C107:F107"/>
    <mergeCell ref="G107:N107"/>
    <mergeCell ref="AE107:AF107"/>
    <mergeCell ref="AG107:AG108"/>
    <mergeCell ref="AH107:AJ108"/>
    <mergeCell ref="AK107:AM107"/>
    <mergeCell ref="AN107:AP107"/>
    <mergeCell ref="AQ107:AS107"/>
    <mergeCell ref="BG110:BI110"/>
    <mergeCell ref="A111:A112"/>
    <mergeCell ref="C111:F111"/>
    <mergeCell ref="G111:N111"/>
    <mergeCell ref="AE111:AF111"/>
    <mergeCell ref="AG111:AG112"/>
    <mergeCell ref="AH111:AJ112"/>
    <mergeCell ref="AK111:AM111"/>
    <mergeCell ref="AN111:AP111"/>
    <mergeCell ref="BC109:BC110"/>
    <mergeCell ref="BD109:BF109"/>
    <mergeCell ref="BG109:BI109"/>
    <mergeCell ref="C110:F110"/>
    <mergeCell ref="G110:I110"/>
    <mergeCell ref="J110:N110"/>
    <mergeCell ref="AE110:AF110"/>
    <mergeCell ref="AK110:AM110"/>
    <mergeCell ref="AN110:AP110"/>
    <mergeCell ref="AQ110:AS110"/>
    <mergeCell ref="AK109:AM109"/>
    <mergeCell ref="AN109:AP109"/>
    <mergeCell ref="AQ109:AS109"/>
    <mergeCell ref="AT109:AV109"/>
    <mergeCell ref="AW109:AY110"/>
    <mergeCell ref="AZ109:AZ110"/>
    <mergeCell ref="AT110:AV110"/>
    <mergeCell ref="BG112:BI112"/>
    <mergeCell ref="A109:A110"/>
    <mergeCell ref="C109:F109"/>
    <mergeCell ref="G109:N109"/>
    <mergeCell ref="AE109:AF109"/>
    <mergeCell ref="AG109:AG110"/>
    <mergeCell ref="BG111:BI111"/>
    <mergeCell ref="C112:F112"/>
    <mergeCell ref="G112:I112"/>
    <mergeCell ref="J112:N112"/>
    <mergeCell ref="AE112:AF112"/>
    <mergeCell ref="AK112:AM112"/>
    <mergeCell ref="AN112:AP112"/>
    <mergeCell ref="AQ112:AS112"/>
    <mergeCell ref="AT112:AV112"/>
    <mergeCell ref="BD112:BF112"/>
    <mergeCell ref="AQ111:AS111"/>
    <mergeCell ref="AT111:AV111"/>
    <mergeCell ref="AW111:AY112"/>
    <mergeCell ref="AZ111:AZ112"/>
    <mergeCell ref="BC111:BC112"/>
    <mergeCell ref="BD111:BF111"/>
    <mergeCell ref="AQ114:AS114"/>
    <mergeCell ref="AT114:AV114"/>
    <mergeCell ref="BD114:BF114"/>
    <mergeCell ref="BG114:BI114"/>
    <mergeCell ref="BG113:BI113"/>
    <mergeCell ref="AH115:AJ116"/>
    <mergeCell ref="C114:F114"/>
    <mergeCell ref="G114:I114"/>
    <mergeCell ref="J114:N114"/>
    <mergeCell ref="AE114:AF114"/>
    <mergeCell ref="AK114:AM114"/>
    <mergeCell ref="AN114:AP114"/>
    <mergeCell ref="AT113:AV113"/>
    <mergeCell ref="AW113:AY114"/>
    <mergeCell ref="AZ113:AZ114"/>
    <mergeCell ref="BC113:BC114"/>
    <mergeCell ref="BD113:BF113"/>
    <mergeCell ref="BD116:BF116"/>
    <mergeCell ref="A113:A114"/>
    <mergeCell ref="C113:F113"/>
    <mergeCell ref="G113:N113"/>
    <mergeCell ref="AE113:AF113"/>
    <mergeCell ref="AG113:AG114"/>
    <mergeCell ref="AH113:AJ114"/>
    <mergeCell ref="AK113:AM113"/>
    <mergeCell ref="AN113:AP113"/>
    <mergeCell ref="AQ113:AS113"/>
    <mergeCell ref="BG116:BI116"/>
    <mergeCell ref="A117:A118"/>
    <mergeCell ref="C117:F117"/>
    <mergeCell ref="G117:N117"/>
    <mergeCell ref="AE117:AF117"/>
    <mergeCell ref="AG117:AG118"/>
    <mergeCell ref="AH117:AJ118"/>
    <mergeCell ref="AK117:AM117"/>
    <mergeCell ref="AN117:AP117"/>
    <mergeCell ref="BC115:BC116"/>
    <mergeCell ref="BD115:BF115"/>
    <mergeCell ref="BG115:BI115"/>
    <mergeCell ref="C116:F116"/>
    <mergeCell ref="G116:I116"/>
    <mergeCell ref="J116:N116"/>
    <mergeCell ref="AE116:AF116"/>
    <mergeCell ref="AK116:AM116"/>
    <mergeCell ref="AN116:AP116"/>
    <mergeCell ref="AQ116:AS116"/>
    <mergeCell ref="AK115:AM115"/>
    <mergeCell ref="AN115:AP115"/>
    <mergeCell ref="AQ115:AS115"/>
    <mergeCell ref="AT115:AV115"/>
    <mergeCell ref="AW115:AY116"/>
    <mergeCell ref="AZ115:AZ116"/>
    <mergeCell ref="AT116:AV116"/>
    <mergeCell ref="BG118:BI118"/>
    <mergeCell ref="A115:A116"/>
    <mergeCell ref="C115:F115"/>
    <mergeCell ref="G115:N115"/>
    <mergeCell ref="AE115:AF115"/>
    <mergeCell ref="AG115:AG116"/>
    <mergeCell ref="BG117:BI117"/>
    <mergeCell ref="C118:F118"/>
    <mergeCell ref="G118:I118"/>
    <mergeCell ref="J118:N118"/>
    <mergeCell ref="AE118:AF118"/>
    <mergeCell ref="AK118:AM118"/>
    <mergeCell ref="AN118:AP118"/>
    <mergeCell ref="AQ118:AS118"/>
    <mergeCell ref="AT118:AV118"/>
    <mergeCell ref="BD118:BF118"/>
    <mergeCell ref="AQ117:AS117"/>
    <mergeCell ref="AT117:AV117"/>
    <mergeCell ref="AW117:AY118"/>
    <mergeCell ref="AZ117:AZ118"/>
    <mergeCell ref="BC117:BC118"/>
    <mergeCell ref="BD117:BF117"/>
    <mergeCell ref="AQ120:AS120"/>
    <mergeCell ref="AT120:AV120"/>
    <mergeCell ref="BD120:BF120"/>
    <mergeCell ref="BG120:BI120"/>
    <mergeCell ref="BG119:BI119"/>
    <mergeCell ref="AH121:AJ122"/>
    <mergeCell ref="C120:F120"/>
    <mergeCell ref="G120:I120"/>
    <mergeCell ref="J120:N120"/>
    <mergeCell ref="AE120:AF120"/>
    <mergeCell ref="AK120:AM120"/>
    <mergeCell ref="AN120:AP120"/>
    <mergeCell ref="AT119:AV119"/>
    <mergeCell ref="AW119:AY120"/>
    <mergeCell ref="AZ119:AZ120"/>
    <mergeCell ref="BC119:BC120"/>
    <mergeCell ref="BD119:BF119"/>
    <mergeCell ref="BD122:BF122"/>
    <mergeCell ref="A119:A120"/>
    <mergeCell ref="C119:F119"/>
    <mergeCell ref="G119:N119"/>
    <mergeCell ref="AE119:AF119"/>
    <mergeCell ref="AG119:AG120"/>
    <mergeCell ref="AH119:AJ120"/>
    <mergeCell ref="AK119:AM119"/>
    <mergeCell ref="AN119:AP119"/>
    <mergeCell ref="AQ119:AS119"/>
    <mergeCell ref="BG122:BI122"/>
    <mergeCell ref="A123:A124"/>
    <mergeCell ref="C123:F123"/>
    <mergeCell ref="G123:N123"/>
    <mergeCell ref="AE123:AF123"/>
    <mergeCell ref="AG123:AG124"/>
    <mergeCell ref="AH123:AJ124"/>
    <mergeCell ref="AK123:AM123"/>
    <mergeCell ref="AN123:AP123"/>
    <mergeCell ref="BC121:BC122"/>
    <mergeCell ref="BD121:BF121"/>
    <mergeCell ref="BG121:BI121"/>
    <mergeCell ref="C122:F122"/>
    <mergeCell ref="G122:I122"/>
    <mergeCell ref="J122:N122"/>
    <mergeCell ref="AE122:AF122"/>
    <mergeCell ref="AK122:AM122"/>
    <mergeCell ref="AN122:AP122"/>
    <mergeCell ref="AQ122:AS122"/>
    <mergeCell ref="AK121:AM121"/>
    <mergeCell ref="AN121:AP121"/>
    <mergeCell ref="AQ121:AS121"/>
    <mergeCell ref="AT121:AV121"/>
    <mergeCell ref="AW121:AY122"/>
    <mergeCell ref="AZ121:AZ122"/>
    <mergeCell ref="AT122:AV122"/>
    <mergeCell ref="BG124:BI124"/>
    <mergeCell ref="A121:A122"/>
    <mergeCell ref="C121:F121"/>
    <mergeCell ref="G121:N121"/>
    <mergeCell ref="AE121:AF121"/>
    <mergeCell ref="AG121:AG122"/>
    <mergeCell ref="BG123:BI123"/>
    <mergeCell ref="C124:F124"/>
    <mergeCell ref="G124:I124"/>
    <mergeCell ref="J124:N124"/>
    <mergeCell ref="AE124:AF124"/>
    <mergeCell ref="AK124:AM124"/>
    <mergeCell ref="AN124:AP124"/>
    <mergeCell ref="AQ124:AS124"/>
    <mergeCell ref="AT124:AV124"/>
    <mergeCell ref="BD124:BF124"/>
    <mergeCell ref="AQ123:AS123"/>
    <mergeCell ref="AT123:AV123"/>
    <mergeCell ref="AW123:AY124"/>
    <mergeCell ref="AZ123:AZ124"/>
    <mergeCell ref="BC123:BC124"/>
    <mergeCell ref="BD123:BF123"/>
    <mergeCell ref="AQ126:AS126"/>
    <mergeCell ref="AT126:AV126"/>
    <mergeCell ref="BD126:BF126"/>
    <mergeCell ref="BG126:BI126"/>
    <mergeCell ref="BG125:BI125"/>
    <mergeCell ref="AH127:AJ128"/>
    <mergeCell ref="C126:F126"/>
    <mergeCell ref="G126:I126"/>
    <mergeCell ref="J126:N126"/>
    <mergeCell ref="AE126:AF126"/>
    <mergeCell ref="AK126:AM126"/>
    <mergeCell ref="AN126:AP126"/>
    <mergeCell ref="AT125:AV125"/>
    <mergeCell ref="AW125:AY126"/>
    <mergeCell ref="AZ125:AZ126"/>
    <mergeCell ref="BC125:BC126"/>
    <mergeCell ref="BD125:BF125"/>
    <mergeCell ref="BD128:BF128"/>
    <mergeCell ref="A125:A126"/>
    <mergeCell ref="C125:F125"/>
    <mergeCell ref="G125:N125"/>
    <mergeCell ref="AE125:AF125"/>
    <mergeCell ref="AG125:AG126"/>
    <mergeCell ref="AH125:AJ126"/>
    <mergeCell ref="AK125:AM125"/>
    <mergeCell ref="AN125:AP125"/>
    <mergeCell ref="AQ125:AS125"/>
    <mergeCell ref="BG128:BI128"/>
    <mergeCell ref="A129:A130"/>
    <mergeCell ref="C129:F129"/>
    <mergeCell ref="G129:N129"/>
    <mergeCell ref="AE129:AF129"/>
    <mergeCell ref="AG129:AG130"/>
    <mergeCell ref="AH129:AJ130"/>
    <mergeCell ref="AK129:AM129"/>
    <mergeCell ref="AN129:AP129"/>
    <mergeCell ref="BC127:BC128"/>
    <mergeCell ref="BD127:BF127"/>
    <mergeCell ref="BG127:BI127"/>
    <mergeCell ref="C128:F128"/>
    <mergeCell ref="G128:I128"/>
    <mergeCell ref="J128:N128"/>
    <mergeCell ref="AE128:AF128"/>
    <mergeCell ref="AK128:AM128"/>
    <mergeCell ref="AN128:AP128"/>
    <mergeCell ref="AQ128:AS128"/>
    <mergeCell ref="AK127:AM127"/>
    <mergeCell ref="AN127:AP127"/>
    <mergeCell ref="AQ127:AS127"/>
    <mergeCell ref="AT127:AV127"/>
    <mergeCell ref="AW127:AY128"/>
    <mergeCell ref="AZ127:AZ128"/>
    <mergeCell ref="AT128:AV128"/>
    <mergeCell ref="BG130:BI130"/>
    <mergeCell ref="A127:A128"/>
    <mergeCell ref="C127:F127"/>
    <mergeCell ref="G127:N127"/>
    <mergeCell ref="AE127:AF127"/>
    <mergeCell ref="AG127:AG128"/>
    <mergeCell ref="BG129:BI129"/>
    <mergeCell ref="C130:F130"/>
    <mergeCell ref="G130:I130"/>
    <mergeCell ref="J130:N130"/>
    <mergeCell ref="AE130:AF130"/>
    <mergeCell ref="AK130:AM130"/>
    <mergeCell ref="AN130:AP130"/>
    <mergeCell ref="AQ130:AS130"/>
    <mergeCell ref="AT130:AV130"/>
    <mergeCell ref="BD130:BF130"/>
    <mergeCell ref="AQ129:AS129"/>
    <mergeCell ref="AT129:AV129"/>
    <mergeCell ref="AW129:AY130"/>
    <mergeCell ref="AZ129:AZ130"/>
    <mergeCell ref="BC129:BC130"/>
    <mergeCell ref="BD129:BF129"/>
    <mergeCell ref="AQ132:AS132"/>
    <mergeCell ref="AT132:AV132"/>
    <mergeCell ref="BD132:BF132"/>
    <mergeCell ref="BG132:BI132"/>
    <mergeCell ref="BG131:BI131"/>
    <mergeCell ref="AE133:AF133"/>
    <mergeCell ref="AG133:AG134"/>
    <mergeCell ref="AH133:AJ134"/>
    <mergeCell ref="C132:F132"/>
    <mergeCell ref="G132:I132"/>
    <mergeCell ref="J132:N132"/>
    <mergeCell ref="AE132:AF132"/>
    <mergeCell ref="AK132:AM132"/>
    <mergeCell ref="AN132:AP132"/>
    <mergeCell ref="AT131:AV131"/>
    <mergeCell ref="AW131:AY132"/>
    <mergeCell ref="AZ131:AZ132"/>
    <mergeCell ref="BC131:BC132"/>
    <mergeCell ref="BD131:BF131"/>
    <mergeCell ref="BD134:BF134"/>
    <mergeCell ref="A131:A132"/>
    <mergeCell ref="C131:F131"/>
    <mergeCell ref="G131:N131"/>
    <mergeCell ref="AE131:AF131"/>
    <mergeCell ref="AG131:AG132"/>
    <mergeCell ref="AH131:AJ132"/>
    <mergeCell ref="AK131:AM131"/>
    <mergeCell ref="AN131:AP131"/>
    <mergeCell ref="AQ131:AS131"/>
    <mergeCell ref="BG138:BI138"/>
    <mergeCell ref="BG137:BI137"/>
    <mergeCell ref="BG134:BI134"/>
    <mergeCell ref="A135:A136"/>
    <mergeCell ref="C135:F135"/>
    <mergeCell ref="G135:N135"/>
    <mergeCell ref="AE135:AF135"/>
    <mergeCell ref="AG135:AG136"/>
    <mergeCell ref="AH135:AJ136"/>
    <mergeCell ref="AK135:AM135"/>
    <mergeCell ref="AN135:AP135"/>
    <mergeCell ref="BC133:BC134"/>
    <mergeCell ref="BD133:BF133"/>
    <mergeCell ref="BG133:BI133"/>
    <mergeCell ref="C134:F134"/>
    <mergeCell ref="G134:I134"/>
    <mergeCell ref="J134:N134"/>
    <mergeCell ref="AE134:AF134"/>
    <mergeCell ref="AK134:AM134"/>
    <mergeCell ref="AN134:AP134"/>
    <mergeCell ref="AQ134:AS134"/>
    <mergeCell ref="AK133:AM133"/>
    <mergeCell ref="AN133:AP133"/>
    <mergeCell ref="AQ133:AS133"/>
    <mergeCell ref="AT133:AV133"/>
    <mergeCell ref="AW133:AY134"/>
    <mergeCell ref="AZ133:AZ134"/>
    <mergeCell ref="AT134:AV134"/>
    <mergeCell ref="BG136:BI136"/>
    <mergeCell ref="A133:A134"/>
    <mergeCell ref="C133:F133"/>
    <mergeCell ref="G133:N133"/>
    <mergeCell ref="AZ137:AZ138"/>
    <mergeCell ref="BC137:BC138"/>
    <mergeCell ref="BD137:BF137"/>
    <mergeCell ref="BD140:BF140"/>
    <mergeCell ref="A137:A138"/>
    <mergeCell ref="C137:F137"/>
    <mergeCell ref="G137:N137"/>
    <mergeCell ref="AE137:AF137"/>
    <mergeCell ref="AG137:AG138"/>
    <mergeCell ref="AH137:AJ138"/>
    <mergeCell ref="AK137:AM137"/>
    <mergeCell ref="AN137:AP137"/>
    <mergeCell ref="AQ137:AS137"/>
    <mergeCell ref="BG135:BI135"/>
    <mergeCell ref="C136:F136"/>
    <mergeCell ref="G136:I136"/>
    <mergeCell ref="J136:N136"/>
    <mergeCell ref="AE136:AF136"/>
    <mergeCell ref="AK136:AM136"/>
    <mergeCell ref="AN136:AP136"/>
    <mergeCell ref="AQ136:AS136"/>
    <mergeCell ref="AT136:AV136"/>
    <mergeCell ref="BD136:BF136"/>
    <mergeCell ref="AQ135:AS135"/>
    <mergeCell ref="AT135:AV135"/>
    <mergeCell ref="AW135:AY136"/>
    <mergeCell ref="AZ135:AZ136"/>
    <mergeCell ref="BC135:BC136"/>
    <mergeCell ref="BD135:BF135"/>
    <mergeCell ref="AQ138:AS138"/>
    <mergeCell ref="AT138:AV138"/>
    <mergeCell ref="BD138:BF138"/>
    <mergeCell ref="BG140:BI140"/>
    <mergeCell ref="A141:A142"/>
    <mergeCell ref="C141:F141"/>
    <mergeCell ref="G141:N141"/>
    <mergeCell ref="AE141:AF141"/>
    <mergeCell ref="AG141:AG142"/>
    <mergeCell ref="AH141:AJ142"/>
    <mergeCell ref="AK141:AM141"/>
    <mergeCell ref="AN141:AP141"/>
    <mergeCell ref="BC139:BC140"/>
    <mergeCell ref="BD139:BF139"/>
    <mergeCell ref="BG139:BI139"/>
    <mergeCell ref="C140:F140"/>
    <mergeCell ref="G140:I140"/>
    <mergeCell ref="J140:N140"/>
    <mergeCell ref="AE140:AF140"/>
    <mergeCell ref="AK140:AM140"/>
    <mergeCell ref="AN140:AP140"/>
    <mergeCell ref="AQ140:AS140"/>
    <mergeCell ref="AK139:AM139"/>
    <mergeCell ref="AN139:AP139"/>
    <mergeCell ref="AQ139:AS139"/>
    <mergeCell ref="AT139:AV139"/>
    <mergeCell ref="AW139:AY140"/>
    <mergeCell ref="AZ139:AZ140"/>
    <mergeCell ref="AT140:AV140"/>
    <mergeCell ref="BG142:BI142"/>
    <mergeCell ref="A139:A140"/>
    <mergeCell ref="C139:F139"/>
    <mergeCell ref="G139:N139"/>
    <mergeCell ref="AE139:AF139"/>
    <mergeCell ref="AG139:AG140"/>
    <mergeCell ref="BG141:BI141"/>
    <mergeCell ref="C142:F142"/>
    <mergeCell ref="G142:I142"/>
    <mergeCell ref="J142:N142"/>
    <mergeCell ref="AE142:AF142"/>
    <mergeCell ref="AK142:AM142"/>
    <mergeCell ref="AN142:AP142"/>
    <mergeCell ref="AQ142:AS142"/>
    <mergeCell ref="AT142:AV142"/>
    <mergeCell ref="BD142:BF142"/>
    <mergeCell ref="AQ141:AS141"/>
    <mergeCell ref="AT141:AV141"/>
    <mergeCell ref="AW141:AY142"/>
    <mergeCell ref="AZ141:AZ142"/>
    <mergeCell ref="BC141:BC142"/>
    <mergeCell ref="BD141:BF141"/>
    <mergeCell ref="AQ144:AS144"/>
    <mergeCell ref="AT144:AV144"/>
    <mergeCell ref="BD144:BF144"/>
    <mergeCell ref="BG144:BI144"/>
    <mergeCell ref="BG143:BI143"/>
    <mergeCell ref="C144:F144"/>
    <mergeCell ref="G144:I144"/>
    <mergeCell ref="J144:N144"/>
    <mergeCell ref="AE144:AF144"/>
    <mergeCell ref="AK144:AM144"/>
    <mergeCell ref="AN144:AP144"/>
    <mergeCell ref="AT143:AV143"/>
    <mergeCell ref="AW143:AY144"/>
    <mergeCell ref="AZ143:AZ144"/>
    <mergeCell ref="BC143:BC144"/>
    <mergeCell ref="BD143:BF143"/>
    <mergeCell ref="A143:A144"/>
    <mergeCell ref="C143:F143"/>
    <mergeCell ref="G143:N143"/>
    <mergeCell ref="AE143:AF143"/>
    <mergeCell ref="AG143:AG144"/>
    <mergeCell ref="AH143:AJ144"/>
    <mergeCell ref="AK143:AM143"/>
    <mergeCell ref="AN143:AP143"/>
    <mergeCell ref="AQ143:AS143"/>
    <mergeCell ref="BG146:BI146"/>
    <mergeCell ref="A147:A148"/>
    <mergeCell ref="C147:F147"/>
    <mergeCell ref="G147:N147"/>
    <mergeCell ref="AE147:AF147"/>
    <mergeCell ref="AG147:AG148"/>
    <mergeCell ref="AH147:AJ148"/>
    <mergeCell ref="AK147:AM147"/>
    <mergeCell ref="AN147:AP147"/>
    <mergeCell ref="BC145:BC146"/>
    <mergeCell ref="BD145:BF145"/>
    <mergeCell ref="BG145:BI145"/>
    <mergeCell ref="C146:F146"/>
    <mergeCell ref="G146:I146"/>
    <mergeCell ref="J146:N146"/>
    <mergeCell ref="AE146:AF146"/>
    <mergeCell ref="AK146:AM146"/>
    <mergeCell ref="AN146:AP146"/>
    <mergeCell ref="AQ146:AS146"/>
    <mergeCell ref="AK145:AM145"/>
    <mergeCell ref="AN145:AP145"/>
    <mergeCell ref="AQ145:AS145"/>
    <mergeCell ref="A145:A146"/>
    <mergeCell ref="C145:F145"/>
    <mergeCell ref="G145:N145"/>
    <mergeCell ref="AE145:AF145"/>
    <mergeCell ref="AG145:AG146"/>
    <mergeCell ref="AH145:AJ146"/>
    <mergeCell ref="AT149:AV149"/>
    <mergeCell ref="AW149:AY150"/>
    <mergeCell ref="AZ149:AZ150"/>
    <mergeCell ref="BC149:BC150"/>
    <mergeCell ref="BD149:BF149"/>
    <mergeCell ref="BG149:BI149"/>
    <mergeCell ref="BG148:BI148"/>
    <mergeCell ref="A149:A150"/>
    <mergeCell ref="C149:F149"/>
    <mergeCell ref="G149:N149"/>
    <mergeCell ref="AE149:AF149"/>
    <mergeCell ref="AG149:AG150"/>
    <mergeCell ref="AH149:AJ150"/>
    <mergeCell ref="AK149:AM149"/>
    <mergeCell ref="AN149:AP149"/>
    <mergeCell ref="AQ149:AS149"/>
    <mergeCell ref="BG147:BI147"/>
    <mergeCell ref="C148:F148"/>
    <mergeCell ref="G148:I148"/>
    <mergeCell ref="J148:N148"/>
    <mergeCell ref="AE148:AF148"/>
    <mergeCell ref="AK148:AM148"/>
    <mergeCell ref="BD146:BF146"/>
    <mergeCell ref="BD148:BF148"/>
    <mergeCell ref="AQ147:AS147"/>
    <mergeCell ref="AT147:AV147"/>
    <mergeCell ref="AW147:AY148"/>
    <mergeCell ref="AZ147:AZ148"/>
    <mergeCell ref="BC147:BC148"/>
    <mergeCell ref="BD147:BF147"/>
    <mergeCell ref="AW151:AY152"/>
    <mergeCell ref="AZ151:AZ152"/>
    <mergeCell ref="AT152:AV152"/>
    <mergeCell ref="AQ150:AS150"/>
    <mergeCell ref="AT150:AV150"/>
    <mergeCell ref="BD150:BF150"/>
    <mergeCell ref="BG150:BI150"/>
    <mergeCell ref="BG151:BI151"/>
    <mergeCell ref="AQ152:AS152"/>
    <mergeCell ref="AT145:AV145"/>
    <mergeCell ref="AW145:AY146"/>
    <mergeCell ref="AZ145:AZ146"/>
    <mergeCell ref="AT146:AV146"/>
    <mergeCell ref="BC153:BF154"/>
    <mergeCell ref="BG153:BI154"/>
    <mergeCell ref="AN154:AP154"/>
    <mergeCell ref="AQ154:AS154"/>
    <mergeCell ref="AT154:AV154"/>
    <mergeCell ref="BD152:BF152"/>
    <mergeCell ref="BG152:BI152"/>
    <mergeCell ref="A153:N154"/>
    <mergeCell ref="AE153:AF153"/>
    <mergeCell ref="AG153:AG154"/>
    <mergeCell ref="AH153:AJ154"/>
    <mergeCell ref="AK153:AM153"/>
    <mergeCell ref="AN153:AP153"/>
    <mergeCell ref="AQ153:AS153"/>
    <mergeCell ref="AT153:AV153"/>
    <mergeCell ref="BC151:BC152"/>
    <mergeCell ref="BD151:BF151"/>
    <mergeCell ref="C152:F152"/>
    <mergeCell ref="G152:I152"/>
    <mergeCell ref="J152:N152"/>
    <mergeCell ref="AE152:AF152"/>
    <mergeCell ref="AK152:AM152"/>
    <mergeCell ref="AN152:AP152"/>
    <mergeCell ref="AK151:AM151"/>
    <mergeCell ref="AN151:AP151"/>
    <mergeCell ref="AQ151:AS151"/>
    <mergeCell ref="AT151:AV151"/>
    <mergeCell ref="A151:A152"/>
    <mergeCell ref="C151:F151"/>
    <mergeCell ref="G151:N151"/>
    <mergeCell ref="AE151:AF151"/>
    <mergeCell ref="AG151:AG152"/>
    <mergeCell ref="AH151:AJ152"/>
    <mergeCell ref="C150:F150"/>
    <mergeCell ref="G150:I150"/>
    <mergeCell ref="J150:N150"/>
    <mergeCell ref="AE150:AF150"/>
    <mergeCell ref="AK150:AM150"/>
    <mergeCell ref="AN150:AP150"/>
    <mergeCell ref="AW153:AY154"/>
    <mergeCell ref="C29:F29"/>
    <mergeCell ref="G29:N29"/>
    <mergeCell ref="C30:F30"/>
    <mergeCell ref="G30:I30"/>
    <mergeCell ref="J30:N30"/>
    <mergeCell ref="C31:F31"/>
    <mergeCell ref="G31:N31"/>
    <mergeCell ref="C32:F32"/>
    <mergeCell ref="G32:I32"/>
    <mergeCell ref="J32:N32"/>
    <mergeCell ref="AN148:AP148"/>
    <mergeCell ref="AQ148:AS148"/>
    <mergeCell ref="AT148:AV148"/>
    <mergeCell ref="AH139:AJ140"/>
    <mergeCell ref="C138:F138"/>
    <mergeCell ref="G138:I138"/>
    <mergeCell ref="J138:N138"/>
    <mergeCell ref="AE138:AF138"/>
    <mergeCell ref="AK138:AM138"/>
    <mergeCell ref="AN138:AP138"/>
    <mergeCell ref="AT137:AV137"/>
    <mergeCell ref="AW137:AY138"/>
    <mergeCell ref="AE154:AF154"/>
    <mergeCell ref="AK154:AM154"/>
  </mergeCells>
  <phoneticPr fontId="4" type="noConversion"/>
  <conditionalFormatting sqref="O5:AD6">
    <cfRule type="expression" dxfId="6" priority="5">
      <formula>WEEKDAY(O5)=1</formula>
    </cfRule>
  </conditionalFormatting>
  <conditionalFormatting sqref="AE35:AF35 AE37:AF37 AE39:AF39 AE41:AF41 AE43:AF43 AE45:AF45 AE47:AF47 AE49:AF49 AE51:AF51 AE53:AF53 AE55:AF55 AE57:AF57 AE59:AF59 AE61:AF61 AE63:AF63 AE65:AF65 AE67:AF67 AE69:AF69 AE71:AF71 AE73:AF73 AE75:AF75 AE77:AF77 AE79:AF79 AE81:AF81 AE83:AF83 AE85:AF85 AE87:AF87 AE89:AF89 AE91:AF91 AE93:AF93 AE95:AF95 AE97:AF97 AE99:AF99 AE101:AF101 AE103:AF103 AE105:AF105 AE107:AF107 AE109:AF109 AE111:AF111 AE113:AF113 AE115:AF115 AE117:AF117 AE119:AF119 AE121:AF121 AE123:AF123 AE125:AF125 AE127:AF127 AE129:AF129 AE131:AF131 AE133:AF133 AE135:AF135 AE137:AF137 AE139:AF139 AE141:AF141 AE143:AF143 AE145:AF145 AE147:AF147 AE149:AF149 AE151:AF151">
    <cfRule type="cellIs" dxfId="5" priority="3" operator="greaterThan">
      <formula>7</formula>
    </cfRule>
  </conditionalFormatting>
  <conditionalFormatting sqref="AQ1:AS1048576">
    <cfRule type="cellIs" dxfId="4" priority="6" operator="equal">
      <formula>"60세이상"</formula>
    </cfRule>
  </conditionalFormatting>
  <conditionalFormatting sqref="CD7">
    <cfRule type="cellIs" dxfId="3" priority="7" operator="notEqual">
      <formula>B7</formula>
    </cfRule>
  </conditionalFormatting>
  <conditionalFormatting sqref="CD9 CD11 CD13 CD15 CD17 CD19 CD21 CD23 CD25 CD27 CD29 CD31 CD33 CD35 CD37 CD39 CD41 CD43 CD45 CD47 CD49 CD51 CD53 CD55 CD57 CD59 CD61 CD63 CD65 CD67 CD69 CD71 CD73 CD75 CD77 CD79 CD81 CD83 CD85 CD87 CD89 CD91 CD93 CD95 CD97 CD99 CD101 CD103 CD105 CD107 CD109 CD111 CD113 CD115 CD117 CD119 CD121 CD123 CD125 CD127 CD129 CD131 CD133 CD135 CD137 CD139 CD141 CD143 CD145 CD147 CD149 CD151">
    <cfRule type="cellIs" dxfId="2" priority="2" operator="notEqual">
      <formula>B9</formula>
    </cfRule>
  </conditionalFormatting>
  <printOptions horizontalCentered="1"/>
  <pageMargins left="0.59055118110236227" right="0.27559055118110237" top="0.59055118110236227" bottom="0.19685039370078741" header="0" footer="0"/>
  <pageSetup paperSize="9" scale="50"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94241" r:id="rId4" name="Spinner 1">
              <controlPr defaultSize="0" print="0" autoPict="0">
                <anchor>
                  <from>
                    <xdr:col>30</xdr:col>
                    <xdr:colOff>361950</xdr:colOff>
                    <xdr:row>1</xdr:row>
                    <xdr:rowOff>152400</xdr:rowOff>
                  </from>
                  <to>
                    <xdr:col>31</xdr:col>
                    <xdr:colOff>247650</xdr:colOff>
                    <xdr:row>2</xdr:row>
                    <xdr:rowOff>276225</xdr:rowOff>
                  </to>
                </anchor>
              </controlPr>
            </control>
          </mc:Choice>
        </mc:AlternateContent>
        <mc:AlternateContent xmlns:mc="http://schemas.openxmlformats.org/markup-compatibility/2006">
          <mc:Choice Requires="x14">
            <control shapeId="394242" r:id="rId5" name="Spinner 2">
              <controlPr defaultSize="0" print="0" autoPict="0">
                <anchor>
                  <from>
                    <xdr:col>27</xdr:col>
                    <xdr:colOff>285750</xdr:colOff>
                    <xdr:row>1</xdr:row>
                    <xdr:rowOff>152400</xdr:rowOff>
                  </from>
                  <to>
                    <xdr:col>28</xdr:col>
                    <xdr:colOff>247650</xdr:colOff>
                    <xdr:row>2</xdr:row>
                    <xdr:rowOff>276225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tabColor theme="1"/>
  </sheetPr>
  <dimension ref="B1:R56"/>
  <sheetViews>
    <sheetView showGridLines="0" workbookViewId="0">
      <pane xSplit="5" ySplit="2" topLeftCell="F30" activePane="bottomRight" state="frozen"/>
      <selection activeCell="C15" sqref="C15"/>
      <selection pane="topRight" activeCell="C15" sqref="C15"/>
      <selection pane="bottomLeft" activeCell="C15" sqref="C15"/>
      <selection pane="bottomRight" activeCell="F3" sqref="F3"/>
    </sheetView>
  </sheetViews>
  <sheetFormatPr defaultRowHeight="19.5" customHeight="1"/>
  <cols>
    <col min="1" max="1" width="2.625" style="111" customWidth="1"/>
    <col min="2" max="2" width="6.375" style="111" customWidth="1"/>
    <col min="3" max="3" width="16.5" style="111" bestFit="1" customWidth="1"/>
    <col min="4" max="4" width="16.5" style="111" hidden="1" customWidth="1"/>
    <col min="5" max="5" width="16" style="112" customWidth="1"/>
    <col min="6" max="17" width="10.375" style="111" customWidth="1"/>
    <col min="18" max="18" width="11.25" style="116" customWidth="1"/>
    <col min="19" max="16384" width="9" style="111"/>
  </cols>
  <sheetData>
    <row r="1" spans="2:18" ht="19.5" customHeight="1">
      <c r="F1" s="257">
        <v>2025</v>
      </c>
    </row>
    <row r="2" spans="2:18" ht="19.5" customHeight="1">
      <c r="B2" s="203" t="s">
        <v>502</v>
      </c>
      <c r="C2" s="204" t="s">
        <v>0</v>
      </c>
      <c r="D2" s="204"/>
      <c r="E2" s="204" t="s">
        <v>2</v>
      </c>
      <c r="F2" s="205" t="s">
        <v>490</v>
      </c>
      <c r="G2" s="203" t="s">
        <v>505</v>
      </c>
      <c r="H2" s="203" t="s">
        <v>491</v>
      </c>
      <c r="I2" s="203" t="s">
        <v>492</v>
      </c>
      <c r="J2" s="203" t="s">
        <v>493</v>
      </c>
      <c r="K2" s="203" t="s">
        <v>494</v>
      </c>
      <c r="L2" s="203" t="s">
        <v>495</v>
      </c>
      <c r="M2" s="203" t="s">
        <v>496</v>
      </c>
      <c r="N2" s="203" t="s">
        <v>497</v>
      </c>
      <c r="O2" s="203" t="s">
        <v>498</v>
      </c>
      <c r="P2" s="203" t="s">
        <v>499</v>
      </c>
      <c r="Q2" s="203" t="s">
        <v>500</v>
      </c>
      <c r="R2" s="206" t="s">
        <v>501</v>
      </c>
    </row>
    <row r="3" spans="2:18" ht="19.5" customHeight="1">
      <c r="B3" s="111">
        <v>1</v>
      </c>
      <c r="C3" s="112"/>
      <c r="D3" s="112" t="s">
        <v>355</v>
      </c>
      <c r="F3" s="115">
        <f>IFERROR(VLOOKUP(E3,#REF!,32,FALSE),0)</f>
        <v>0</v>
      </c>
      <c r="G3" s="113">
        <f>IFERROR(VLOOKUP(E3,#REF!,32,FALSE),0)</f>
        <v>0</v>
      </c>
      <c r="H3" s="113">
        <f>IFERROR(VLOOKUP(E3,#REF!,32,FALSE),0)</f>
        <v>0</v>
      </c>
      <c r="I3" s="113">
        <f>IFERROR(VLOOKUP(E3,#REF!,32,FALSE),0)</f>
        <v>0</v>
      </c>
      <c r="J3" s="113">
        <f>IFERROR(VLOOKUP(E3,#REF!,32,FALSE),0)</f>
        <v>0</v>
      </c>
      <c r="K3" s="113">
        <f>IFERROR(VLOOKUP(E3,#REF!,32,FALSE),0)</f>
        <v>0</v>
      </c>
      <c r="L3" s="113">
        <f>IFERROR(VLOOKUP(E3,#REF!,32,FALSE),0)</f>
        <v>0</v>
      </c>
      <c r="M3" s="113">
        <f>IFERROR(VLOOKUP(E3,#REF!,32,FALSE),0)</f>
        <v>0</v>
      </c>
      <c r="N3" s="113">
        <f>IFERROR(VLOOKUP(E3,#REF!,32,FALSE),0)</f>
        <v>0</v>
      </c>
      <c r="O3" s="113">
        <f>IFERROR(VLOOKUP(E3,#REF!,32,FALSE),0)</f>
        <v>0</v>
      </c>
      <c r="P3" s="113">
        <f>IFERROR(VLOOKUP(E3,#REF!,32,FALSE),0)</f>
        <v>0</v>
      </c>
      <c r="Q3" s="113">
        <f>IFERROR(VLOOKUP(E3,#REF!,32,FALSE),0)</f>
        <v>0</v>
      </c>
      <c r="R3" s="117">
        <f>SUM(F3:Q3)</f>
        <v>0</v>
      </c>
    </row>
    <row r="4" spans="2:18" ht="19.5" customHeight="1">
      <c r="B4" s="111">
        <f t="shared" ref="B4:B52" si="0">B3+1</f>
        <v>2</v>
      </c>
      <c r="C4" s="112"/>
      <c r="D4" s="112" t="s">
        <v>156</v>
      </c>
      <c r="E4" s="111"/>
      <c r="F4" s="115">
        <f>IFERROR(VLOOKUP(E4,#REF!,32,FALSE),0)</f>
        <v>0</v>
      </c>
      <c r="G4" s="113">
        <f>IFERROR(VLOOKUP(E4,#REF!,32,FALSE),0)</f>
        <v>0</v>
      </c>
      <c r="H4" s="113">
        <f>IFERROR(VLOOKUP(E4,#REF!,32,FALSE),0)</f>
        <v>0</v>
      </c>
      <c r="I4" s="113">
        <f>IFERROR(VLOOKUP(E4,#REF!,32,FALSE),0)</f>
        <v>0</v>
      </c>
      <c r="J4" s="113">
        <f>IFERROR(VLOOKUP(E4,#REF!,32,FALSE),0)</f>
        <v>0</v>
      </c>
      <c r="K4" s="113">
        <f>IFERROR(VLOOKUP(E4,#REF!,32,FALSE),0)</f>
        <v>0</v>
      </c>
      <c r="L4" s="113">
        <f>IFERROR(VLOOKUP(E4,#REF!,32,FALSE),0)</f>
        <v>0</v>
      </c>
      <c r="M4" s="113">
        <f>IFERROR(VLOOKUP(E4,#REF!,32,FALSE),0)</f>
        <v>0</v>
      </c>
      <c r="N4" s="113">
        <f>IFERROR(VLOOKUP(E4,#REF!,32,FALSE),0)</f>
        <v>0</v>
      </c>
      <c r="O4" s="113">
        <f>IFERROR(VLOOKUP(E4,#REF!,32,FALSE),0)</f>
        <v>0</v>
      </c>
      <c r="P4" s="113">
        <f>IFERROR(VLOOKUP(E4,#REF!,32,FALSE),0)</f>
        <v>0</v>
      </c>
      <c r="Q4" s="113">
        <f>IFERROR(VLOOKUP(E4,#REF!,32,FALSE),0)</f>
        <v>0</v>
      </c>
      <c r="R4" s="117">
        <f t="shared" ref="R4:R52" si="1">SUM(F4:Q4)</f>
        <v>0</v>
      </c>
    </row>
    <row r="5" spans="2:18" ht="19.5" customHeight="1">
      <c r="B5" s="111">
        <f t="shared" si="0"/>
        <v>3</v>
      </c>
      <c r="C5" s="112"/>
      <c r="D5" s="112" t="s">
        <v>80</v>
      </c>
      <c r="E5" s="111"/>
      <c r="F5" s="115">
        <f>IFERROR(VLOOKUP(E5,#REF!,32,FALSE),0)</f>
        <v>0</v>
      </c>
      <c r="G5" s="113">
        <f>IFERROR(VLOOKUP(E5,#REF!,32,FALSE),0)</f>
        <v>0</v>
      </c>
      <c r="H5" s="113">
        <f>IFERROR(VLOOKUP(E5,#REF!,32,FALSE),0)</f>
        <v>0</v>
      </c>
      <c r="I5" s="113">
        <f>IFERROR(VLOOKUP(E5,#REF!,32,FALSE),0)</f>
        <v>0</v>
      </c>
      <c r="J5" s="113">
        <f>IFERROR(VLOOKUP(E5,#REF!,32,FALSE),0)</f>
        <v>0</v>
      </c>
      <c r="K5" s="113">
        <f>IFERROR(VLOOKUP(E5,#REF!,32,FALSE),0)</f>
        <v>0</v>
      </c>
      <c r="L5" s="113">
        <f>IFERROR(VLOOKUP(E5,#REF!,32,FALSE),0)</f>
        <v>0</v>
      </c>
      <c r="M5" s="113">
        <f>IFERROR(VLOOKUP(E5,#REF!,32,FALSE),0)</f>
        <v>0</v>
      </c>
      <c r="N5" s="113">
        <f>IFERROR(VLOOKUP(E5,#REF!,32,FALSE),0)</f>
        <v>0</v>
      </c>
      <c r="O5" s="113">
        <f>IFERROR(VLOOKUP(E5,#REF!,32,FALSE),0)</f>
        <v>0</v>
      </c>
      <c r="P5" s="113">
        <f>IFERROR(VLOOKUP(E5,#REF!,32,FALSE),0)</f>
        <v>0</v>
      </c>
      <c r="Q5" s="113">
        <f>IFERROR(VLOOKUP(E5,#REF!,32,FALSE),0)</f>
        <v>0</v>
      </c>
      <c r="R5" s="117">
        <f t="shared" si="1"/>
        <v>0</v>
      </c>
    </row>
    <row r="6" spans="2:18" ht="19.5" customHeight="1">
      <c r="B6" s="111">
        <f t="shared" si="0"/>
        <v>4</v>
      </c>
      <c r="C6" s="112"/>
      <c r="D6" s="112"/>
      <c r="E6" s="111"/>
      <c r="F6" s="115">
        <f>IFERROR(VLOOKUP(E6,#REF!,32,FALSE),0)</f>
        <v>0</v>
      </c>
      <c r="G6" s="113">
        <f>IFERROR(VLOOKUP(E6,#REF!,32,FALSE),0)</f>
        <v>0</v>
      </c>
      <c r="H6" s="113">
        <f>IFERROR(VLOOKUP(E6,#REF!,32,FALSE),0)</f>
        <v>0</v>
      </c>
      <c r="I6" s="113">
        <f>IFERROR(VLOOKUP(E6,#REF!,32,FALSE),0)</f>
        <v>0</v>
      </c>
      <c r="J6" s="113">
        <f>IFERROR(VLOOKUP(E6,#REF!,32,FALSE),0)</f>
        <v>0</v>
      </c>
      <c r="K6" s="113">
        <f>IFERROR(VLOOKUP(E6,#REF!,32,FALSE),0)</f>
        <v>0</v>
      </c>
      <c r="L6" s="113">
        <f>IFERROR(VLOOKUP(E6,#REF!,32,FALSE),0)</f>
        <v>0</v>
      </c>
      <c r="M6" s="113">
        <f>IFERROR(VLOOKUP(E6,#REF!,32,FALSE),0)</f>
        <v>0</v>
      </c>
      <c r="N6" s="113">
        <f>IFERROR(VLOOKUP(E6,#REF!,32,FALSE),0)</f>
        <v>0</v>
      </c>
      <c r="O6" s="113">
        <f>IFERROR(VLOOKUP(E6,#REF!,32,FALSE),0)</f>
        <v>0</v>
      </c>
      <c r="P6" s="113">
        <f>IFERROR(VLOOKUP(E6,#REF!,32,FALSE),0)</f>
        <v>0</v>
      </c>
      <c r="Q6" s="113">
        <f>IFERROR(VLOOKUP(E6,#REF!,32,FALSE),0)</f>
        <v>0</v>
      </c>
      <c r="R6" s="117">
        <f t="shared" si="1"/>
        <v>0</v>
      </c>
    </row>
    <row r="7" spans="2:18" ht="19.5" customHeight="1">
      <c r="B7" s="111">
        <f t="shared" si="0"/>
        <v>5</v>
      </c>
      <c r="C7" s="112"/>
      <c r="D7" s="112"/>
      <c r="F7" s="115">
        <f>IFERROR(VLOOKUP(E7,#REF!,32,FALSE),0)</f>
        <v>0</v>
      </c>
      <c r="G7" s="113">
        <f>IFERROR(VLOOKUP(E7,#REF!,32,FALSE),0)</f>
        <v>0</v>
      </c>
      <c r="H7" s="113">
        <f>IFERROR(VLOOKUP(E7,#REF!,32,FALSE),0)</f>
        <v>0</v>
      </c>
      <c r="I7" s="113">
        <f>IFERROR(VLOOKUP(E7,#REF!,32,FALSE),0)</f>
        <v>0</v>
      </c>
      <c r="J7" s="113">
        <f>IFERROR(VLOOKUP(E7,#REF!,32,FALSE),0)</f>
        <v>0</v>
      </c>
      <c r="K7" s="113">
        <f>IFERROR(VLOOKUP(E7,#REF!,32,FALSE),0)</f>
        <v>0</v>
      </c>
      <c r="L7" s="113">
        <f>IFERROR(VLOOKUP(E7,#REF!,32,FALSE),0)</f>
        <v>0</v>
      </c>
      <c r="M7" s="113">
        <f>IFERROR(VLOOKUP(E7,#REF!,32,FALSE),0)</f>
        <v>0</v>
      </c>
      <c r="N7" s="113">
        <f>IFERROR(VLOOKUP(E7,#REF!,32,FALSE),0)</f>
        <v>0</v>
      </c>
      <c r="O7" s="113">
        <f>IFERROR(VLOOKUP(E7,#REF!,32,FALSE),0)</f>
        <v>0</v>
      </c>
      <c r="P7" s="113">
        <f>IFERROR(VLOOKUP(E7,#REF!,32,FALSE),0)</f>
        <v>0</v>
      </c>
      <c r="Q7" s="113">
        <f>IFERROR(VLOOKUP(E7,#REF!,32,FALSE),0)</f>
        <v>0</v>
      </c>
      <c r="R7" s="117">
        <f t="shared" si="1"/>
        <v>0</v>
      </c>
    </row>
    <row r="8" spans="2:18" ht="19.5" customHeight="1">
      <c r="B8" s="111">
        <f t="shared" si="0"/>
        <v>6</v>
      </c>
      <c r="C8" s="112"/>
      <c r="D8" s="112"/>
      <c r="E8" s="111"/>
      <c r="F8" s="115">
        <f>IFERROR(VLOOKUP(E8,#REF!,32,FALSE),0)</f>
        <v>0</v>
      </c>
      <c r="G8" s="113">
        <f>IFERROR(VLOOKUP(E8,#REF!,32,FALSE),0)</f>
        <v>0</v>
      </c>
      <c r="H8" s="113">
        <f>IFERROR(VLOOKUP(E8,#REF!,32,FALSE),0)</f>
        <v>0</v>
      </c>
      <c r="I8" s="113">
        <f>IFERROR(VLOOKUP(E8,#REF!,32,FALSE),0)</f>
        <v>0</v>
      </c>
      <c r="J8" s="113">
        <f>IFERROR(VLOOKUP(E8,#REF!,32,FALSE),0)</f>
        <v>0</v>
      </c>
      <c r="K8" s="113">
        <f>IFERROR(VLOOKUP(E8,#REF!,32,FALSE),0)</f>
        <v>0</v>
      </c>
      <c r="L8" s="113">
        <f>IFERROR(VLOOKUP(E8,#REF!,32,FALSE),0)</f>
        <v>0</v>
      </c>
      <c r="M8" s="113">
        <f>IFERROR(VLOOKUP(E8,#REF!,32,FALSE),0)</f>
        <v>0</v>
      </c>
      <c r="N8" s="113">
        <f>IFERROR(VLOOKUP(E8,#REF!,32,FALSE),0)</f>
        <v>0</v>
      </c>
      <c r="O8" s="113">
        <f>IFERROR(VLOOKUP(E8,#REF!,32,FALSE),0)</f>
        <v>0</v>
      </c>
      <c r="P8" s="113">
        <f>IFERROR(VLOOKUP(E8,#REF!,32,FALSE),0)</f>
        <v>0</v>
      </c>
      <c r="Q8" s="113">
        <f>IFERROR(VLOOKUP(E8,#REF!,32,FALSE),0)</f>
        <v>0</v>
      </c>
      <c r="R8" s="117">
        <f t="shared" si="1"/>
        <v>0</v>
      </c>
    </row>
    <row r="9" spans="2:18" ht="19.5" customHeight="1">
      <c r="B9" s="111">
        <f t="shared" si="0"/>
        <v>7</v>
      </c>
      <c r="C9" s="112"/>
      <c r="D9" s="112"/>
      <c r="E9" s="111"/>
      <c r="F9" s="115">
        <f>IFERROR(VLOOKUP(E9,#REF!,32,FALSE),0)</f>
        <v>0</v>
      </c>
      <c r="G9" s="113">
        <f>IFERROR(VLOOKUP(E9,#REF!,32,FALSE),0)</f>
        <v>0</v>
      </c>
      <c r="H9" s="113">
        <f>IFERROR(VLOOKUP(E9,#REF!,32,FALSE),0)</f>
        <v>0</v>
      </c>
      <c r="I9" s="113">
        <f>IFERROR(VLOOKUP(E9,#REF!,32,FALSE),0)</f>
        <v>0</v>
      </c>
      <c r="J9" s="113">
        <f>IFERROR(VLOOKUP(E9,#REF!,32,FALSE),0)</f>
        <v>0</v>
      </c>
      <c r="K9" s="113">
        <f>IFERROR(VLOOKUP(E9,#REF!,32,FALSE),0)</f>
        <v>0</v>
      </c>
      <c r="L9" s="113">
        <f>IFERROR(VLOOKUP(E9,#REF!,32,FALSE),0)</f>
        <v>0</v>
      </c>
      <c r="M9" s="113">
        <f>IFERROR(VLOOKUP(E9,#REF!,32,FALSE),0)</f>
        <v>0</v>
      </c>
      <c r="N9" s="113">
        <f>IFERROR(VLOOKUP(E9,#REF!,32,FALSE),0)</f>
        <v>0</v>
      </c>
      <c r="O9" s="113">
        <f>IFERROR(VLOOKUP(E9,#REF!,32,FALSE),0)</f>
        <v>0</v>
      </c>
      <c r="P9" s="113">
        <f>IFERROR(VLOOKUP(E9,#REF!,32,FALSE),0)</f>
        <v>0</v>
      </c>
      <c r="Q9" s="113">
        <f>IFERROR(VLOOKUP(E9,#REF!,32,FALSE),0)</f>
        <v>0</v>
      </c>
      <c r="R9" s="117">
        <f t="shared" si="1"/>
        <v>0</v>
      </c>
    </row>
    <row r="10" spans="2:18" ht="19.5" customHeight="1">
      <c r="B10" s="111">
        <f t="shared" si="0"/>
        <v>8</v>
      </c>
      <c r="C10" s="112"/>
      <c r="D10" s="112"/>
      <c r="F10" s="115">
        <f>IFERROR(VLOOKUP(E10,#REF!,32,FALSE),0)</f>
        <v>0</v>
      </c>
      <c r="G10" s="113">
        <f>IFERROR(VLOOKUP(E10,#REF!,32,FALSE),0)</f>
        <v>0</v>
      </c>
      <c r="H10" s="113">
        <f>IFERROR(VLOOKUP(E10,#REF!,32,FALSE),0)</f>
        <v>0</v>
      </c>
      <c r="I10" s="113">
        <f>IFERROR(VLOOKUP(E10,#REF!,32,FALSE),0)</f>
        <v>0</v>
      </c>
      <c r="J10" s="113">
        <f>IFERROR(VLOOKUP(E10,#REF!,32,FALSE),0)</f>
        <v>0</v>
      </c>
      <c r="K10" s="113">
        <f>IFERROR(VLOOKUP(E10,#REF!,32,FALSE),0)</f>
        <v>0</v>
      </c>
      <c r="L10" s="113">
        <f>IFERROR(VLOOKUP(E10,#REF!,32,FALSE),0)</f>
        <v>0</v>
      </c>
      <c r="M10" s="113">
        <f>IFERROR(VLOOKUP(E10,#REF!,32,FALSE),0)</f>
        <v>0</v>
      </c>
      <c r="N10" s="113">
        <f>IFERROR(VLOOKUP(E10,#REF!,32,FALSE),0)</f>
        <v>0</v>
      </c>
      <c r="O10" s="113">
        <f>IFERROR(VLOOKUP(E10,#REF!,32,FALSE),0)</f>
        <v>0</v>
      </c>
      <c r="P10" s="113">
        <f>IFERROR(VLOOKUP(E10,#REF!,32,FALSE),0)</f>
        <v>0</v>
      </c>
      <c r="Q10" s="113">
        <f>IFERROR(VLOOKUP(E10,#REF!,32,FALSE),0)</f>
        <v>0</v>
      </c>
      <c r="R10" s="117">
        <f t="shared" si="1"/>
        <v>0</v>
      </c>
    </row>
    <row r="11" spans="2:18" ht="19.5" customHeight="1">
      <c r="B11" s="111">
        <f t="shared" si="0"/>
        <v>9</v>
      </c>
      <c r="C11" s="112"/>
      <c r="D11" s="112"/>
      <c r="E11" s="111"/>
      <c r="F11" s="115">
        <f>IFERROR(VLOOKUP(E11,#REF!,32,FALSE),0)</f>
        <v>0</v>
      </c>
      <c r="G11" s="113">
        <f>IFERROR(VLOOKUP(E11,#REF!,32,FALSE),0)</f>
        <v>0</v>
      </c>
      <c r="H11" s="113">
        <f>IFERROR(VLOOKUP(E11,#REF!,32,FALSE),0)</f>
        <v>0</v>
      </c>
      <c r="I11" s="113">
        <f>IFERROR(VLOOKUP(E11,#REF!,32,FALSE),0)</f>
        <v>0</v>
      </c>
      <c r="J11" s="113">
        <f>IFERROR(VLOOKUP(E11,#REF!,32,FALSE),0)</f>
        <v>0</v>
      </c>
      <c r="K11" s="113">
        <f>IFERROR(VLOOKUP(E11,#REF!,32,FALSE),0)</f>
        <v>0</v>
      </c>
      <c r="L11" s="113">
        <f>IFERROR(VLOOKUP(E11,#REF!,32,FALSE),0)</f>
        <v>0</v>
      </c>
      <c r="M11" s="113">
        <f>IFERROR(VLOOKUP(E11,#REF!,32,FALSE),0)</f>
        <v>0</v>
      </c>
      <c r="N11" s="113">
        <f>IFERROR(VLOOKUP(E11,#REF!,32,FALSE),0)</f>
        <v>0</v>
      </c>
      <c r="O11" s="113">
        <f>IFERROR(VLOOKUP(E11,#REF!,32,FALSE),0)</f>
        <v>0</v>
      </c>
      <c r="P11" s="113">
        <f>IFERROR(VLOOKUP(E11,#REF!,32,FALSE),0)</f>
        <v>0</v>
      </c>
      <c r="Q11" s="113">
        <f>IFERROR(VLOOKUP(E11,#REF!,32,FALSE),0)</f>
        <v>0</v>
      </c>
      <c r="R11" s="117">
        <f t="shared" si="1"/>
        <v>0</v>
      </c>
    </row>
    <row r="12" spans="2:18" ht="19.5" customHeight="1">
      <c r="B12" s="111">
        <f t="shared" si="0"/>
        <v>10</v>
      </c>
      <c r="C12" s="112"/>
      <c r="D12" s="112"/>
      <c r="E12" s="111"/>
      <c r="F12" s="115">
        <f>IFERROR(VLOOKUP(E12,#REF!,32,FALSE),0)</f>
        <v>0</v>
      </c>
      <c r="G12" s="113">
        <f>IFERROR(VLOOKUP(E12,#REF!,32,FALSE),0)</f>
        <v>0</v>
      </c>
      <c r="H12" s="113">
        <f>IFERROR(VLOOKUP(E12,#REF!,32,FALSE),0)</f>
        <v>0</v>
      </c>
      <c r="I12" s="113">
        <f>IFERROR(VLOOKUP(E12,#REF!,32,FALSE),0)</f>
        <v>0</v>
      </c>
      <c r="J12" s="113">
        <f>IFERROR(VLOOKUP(E12,#REF!,32,FALSE),0)</f>
        <v>0</v>
      </c>
      <c r="K12" s="113">
        <f>IFERROR(VLOOKUP(E12,#REF!,32,FALSE),0)</f>
        <v>0</v>
      </c>
      <c r="L12" s="113">
        <f>IFERROR(VLOOKUP(E12,#REF!,32,FALSE),0)</f>
        <v>0</v>
      </c>
      <c r="M12" s="113">
        <f>IFERROR(VLOOKUP(E12,#REF!,32,FALSE),0)</f>
        <v>0</v>
      </c>
      <c r="N12" s="113">
        <f>IFERROR(VLOOKUP(E12,#REF!,32,FALSE),0)</f>
        <v>0</v>
      </c>
      <c r="O12" s="113">
        <f>IFERROR(VLOOKUP(E12,#REF!,32,FALSE),0)</f>
        <v>0</v>
      </c>
      <c r="P12" s="113">
        <f>IFERROR(VLOOKUP(E12,#REF!,32,FALSE),0)</f>
        <v>0</v>
      </c>
      <c r="Q12" s="113">
        <f>IFERROR(VLOOKUP(E12,#REF!,32,FALSE),0)</f>
        <v>0</v>
      </c>
      <c r="R12" s="117">
        <f t="shared" si="1"/>
        <v>0</v>
      </c>
    </row>
    <row r="13" spans="2:18" ht="19.5" customHeight="1">
      <c r="B13" s="111">
        <f t="shared" si="0"/>
        <v>11</v>
      </c>
      <c r="C13" s="112"/>
      <c r="D13" s="112"/>
      <c r="F13" s="115">
        <f>IFERROR(VLOOKUP(E13,#REF!,32,FALSE),0)</f>
        <v>0</v>
      </c>
      <c r="G13" s="113">
        <f>IFERROR(VLOOKUP(E13,#REF!,32,FALSE),0)</f>
        <v>0</v>
      </c>
      <c r="H13" s="113">
        <f>IFERROR(VLOOKUP(E13,#REF!,32,FALSE),0)</f>
        <v>0</v>
      </c>
      <c r="I13" s="113">
        <f>IFERROR(VLOOKUP(E13,#REF!,32,FALSE),0)</f>
        <v>0</v>
      </c>
      <c r="J13" s="113">
        <f>IFERROR(VLOOKUP(E13,#REF!,32,FALSE),0)</f>
        <v>0</v>
      </c>
      <c r="K13" s="113">
        <f>IFERROR(VLOOKUP(E13,#REF!,32,FALSE),0)</f>
        <v>0</v>
      </c>
      <c r="L13" s="113">
        <f>IFERROR(VLOOKUP(E13,#REF!,32,FALSE),0)</f>
        <v>0</v>
      </c>
      <c r="M13" s="113">
        <f>IFERROR(VLOOKUP(E13,#REF!,32,FALSE),0)</f>
        <v>0</v>
      </c>
      <c r="N13" s="113">
        <f>IFERROR(VLOOKUP(E13,#REF!,32,FALSE),0)</f>
        <v>0</v>
      </c>
      <c r="O13" s="113">
        <f>IFERROR(VLOOKUP(E13,#REF!,32,FALSE),0)</f>
        <v>0</v>
      </c>
      <c r="P13" s="113">
        <f>IFERROR(VLOOKUP(E13,#REF!,32,FALSE),0)</f>
        <v>0</v>
      </c>
      <c r="Q13" s="113">
        <f>IFERROR(VLOOKUP(E13,#REF!,32,FALSE),0)</f>
        <v>0</v>
      </c>
      <c r="R13" s="117">
        <f t="shared" si="1"/>
        <v>0</v>
      </c>
    </row>
    <row r="14" spans="2:18" ht="19.5" customHeight="1">
      <c r="B14" s="111">
        <f t="shared" si="0"/>
        <v>12</v>
      </c>
      <c r="C14" s="112"/>
      <c r="D14" s="112"/>
      <c r="E14" s="111"/>
      <c r="F14" s="115">
        <f>IFERROR(VLOOKUP(E14,#REF!,32,FALSE),0)</f>
        <v>0</v>
      </c>
      <c r="G14" s="113">
        <f>IFERROR(VLOOKUP(E14,#REF!,32,FALSE),0)</f>
        <v>0</v>
      </c>
      <c r="H14" s="113">
        <f>IFERROR(VLOOKUP(E14,#REF!,32,FALSE),0)</f>
        <v>0</v>
      </c>
      <c r="I14" s="113">
        <f>IFERROR(VLOOKUP(E14,#REF!,32,FALSE),0)</f>
        <v>0</v>
      </c>
      <c r="J14" s="113">
        <f>IFERROR(VLOOKUP(E14,#REF!,32,FALSE),0)</f>
        <v>0</v>
      </c>
      <c r="K14" s="113">
        <f>IFERROR(VLOOKUP(E14,#REF!,32,FALSE),0)</f>
        <v>0</v>
      </c>
      <c r="L14" s="113">
        <f>IFERROR(VLOOKUP(E14,#REF!,32,FALSE),0)</f>
        <v>0</v>
      </c>
      <c r="M14" s="113">
        <f>IFERROR(VLOOKUP(E14,#REF!,32,FALSE),0)</f>
        <v>0</v>
      </c>
      <c r="N14" s="113">
        <f>IFERROR(VLOOKUP(E14,#REF!,32,FALSE),0)</f>
        <v>0</v>
      </c>
      <c r="O14" s="113">
        <f>IFERROR(VLOOKUP(E14,#REF!,32,FALSE),0)</f>
        <v>0</v>
      </c>
      <c r="P14" s="113">
        <f>IFERROR(VLOOKUP(E14,#REF!,32,FALSE),0)</f>
        <v>0</v>
      </c>
      <c r="Q14" s="113">
        <f>IFERROR(VLOOKUP(E14,#REF!,32,FALSE),0)</f>
        <v>0</v>
      </c>
      <c r="R14" s="117">
        <f t="shared" si="1"/>
        <v>0</v>
      </c>
    </row>
    <row r="15" spans="2:18" ht="19.5" customHeight="1">
      <c r="B15" s="111">
        <f t="shared" si="0"/>
        <v>13</v>
      </c>
      <c r="C15" s="112"/>
      <c r="D15" s="112"/>
      <c r="E15" s="111"/>
      <c r="F15" s="115">
        <f>IFERROR(VLOOKUP(E15,#REF!,32,FALSE),0)</f>
        <v>0</v>
      </c>
      <c r="G15" s="113">
        <f>IFERROR(VLOOKUP(E15,#REF!,32,FALSE),0)</f>
        <v>0</v>
      </c>
      <c r="H15" s="113">
        <f>IFERROR(VLOOKUP(E15,#REF!,32,FALSE),0)</f>
        <v>0</v>
      </c>
      <c r="I15" s="113">
        <f>IFERROR(VLOOKUP(E15,#REF!,32,FALSE),0)</f>
        <v>0</v>
      </c>
      <c r="J15" s="113">
        <f>IFERROR(VLOOKUP(E15,#REF!,32,FALSE),0)</f>
        <v>0</v>
      </c>
      <c r="K15" s="113">
        <f>IFERROR(VLOOKUP(E15,#REF!,32,FALSE),0)</f>
        <v>0</v>
      </c>
      <c r="L15" s="113">
        <f>IFERROR(VLOOKUP(E15,#REF!,32,FALSE),0)</f>
        <v>0</v>
      </c>
      <c r="M15" s="113">
        <f>IFERROR(VLOOKUP(E15,#REF!,32,FALSE),0)</f>
        <v>0</v>
      </c>
      <c r="N15" s="113">
        <f>IFERROR(VLOOKUP(E15,#REF!,32,FALSE),0)</f>
        <v>0</v>
      </c>
      <c r="O15" s="113">
        <f>IFERROR(VLOOKUP(E15,#REF!,32,FALSE),0)</f>
        <v>0</v>
      </c>
      <c r="P15" s="113">
        <f>IFERROR(VLOOKUP(E15,#REF!,32,FALSE),0)</f>
        <v>0</v>
      </c>
      <c r="Q15" s="113">
        <f>IFERROR(VLOOKUP(E15,#REF!,32,FALSE),0)</f>
        <v>0</v>
      </c>
      <c r="R15" s="117">
        <f t="shared" si="1"/>
        <v>0</v>
      </c>
    </row>
    <row r="16" spans="2:18" ht="19.5" customHeight="1">
      <c r="B16" s="111">
        <f t="shared" si="0"/>
        <v>14</v>
      </c>
      <c r="C16" s="112"/>
      <c r="D16" s="112"/>
      <c r="E16" s="111"/>
      <c r="F16" s="115">
        <f>IFERROR(VLOOKUP(E16,#REF!,32,FALSE),0)</f>
        <v>0</v>
      </c>
      <c r="G16" s="113">
        <f>IFERROR(VLOOKUP(E16,#REF!,32,FALSE),0)</f>
        <v>0</v>
      </c>
      <c r="H16" s="113">
        <f>IFERROR(VLOOKUP(E16,#REF!,32,FALSE),0)</f>
        <v>0</v>
      </c>
      <c r="I16" s="113">
        <f>IFERROR(VLOOKUP(E16,#REF!,32,FALSE),0)</f>
        <v>0</v>
      </c>
      <c r="J16" s="113">
        <f>IFERROR(VLOOKUP(E16,#REF!,32,FALSE),0)</f>
        <v>0</v>
      </c>
      <c r="K16" s="113">
        <f>IFERROR(VLOOKUP(E16,#REF!,32,FALSE),0)</f>
        <v>0</v>
      </c>
      <c r="L16" s="113">
        <f>IFERROR(VLOOKUP(E16,#REF!,32,FALSE),0)</f>
        <v>0</v>
      </c>
      <c r="M16" s="113">
        <f>IFERROR(VLOOKUP(E16,#REF!,32,FALSE),0)</f>
        <v>0</v>
      </c>
      <c r="N16" s="113">
        <f>IFERROR(VLOOKUP(E16,#REF!,32,FALSE),0)</f>
        <v>0</v>
      </c>
      <c r="O16" s="113">
        <f>IFERROR(VLOOKUP(E16,#REF!,32,FALSE),0)</f>
        <v>0</v>
      </c>
      <c r="P16" s="113">
        <f>IFERROR(VLOOKUP(E16,#REF!,32,FALSE),0)</f>
        <v>0</v>
      </c>
      <c r="Q16" s="113">
        <f>IFERROR(VLOOKUP(E16,#REF!,32,FALSE),0)</f>
        <v>0</v>
      </c>
      <c r="R16" s="117">
        <f t="shared" si="1"/>
        <v>0</v>
      </c>
    </row>
    <row r="17" spans="2:18" ht="19.5" customHeight="1">
      <c r="B17" s="111">
        <f t="shared" si="0"/>
        <v>15</v>
      </c>
      <c r="C17" s="112"/>
      <c r="D17" s="112"/>
      <c r="E17" s="111"/>
      <c r="F17" s="115">
        <f>IFERROR(VLOOKUP(E17,#REF!,32,FALSE),0)</f>
        <v>0</v>
      </c>
      <c r="G17" s="113">
        <f>IFERROR(VLOOKUP(E17,#REF!,32,FALSE),0)</f>
        <v>0</v>
      </c>
      <c r="H17" s="113">
        <f>IFERROR(VLOOKUP(E17,#REF!,32,FALSE),0)</f>
        <v>0</v>
      </c>
      <c r="I17" s="113">
        <f>IFERROR(VLOOKUP(E17,#REF!,32,FALSE),0)</f>
        <v>0</v>
      </c>
      <c r="J17" s="113">
        <f>IFERROR(VLOOKUP(E17,#REF!,32,FALSE),0)</f>
        <v>0</v>
      </c>
      <c r="K17" s="113">
        <f>IFERROR(VLOOKUP(E17,#REF!,32,FALSE),0)</f>
        <v>0</v>
      </c>
      <c r="L17" s="113">
        <f>IFERROR(VLOOKUP(E17,#REF!,32,FALSE),0)</f>
        <v>0</v>
      </c>
      <c r="M17" s="113">
        <f>IFERROR(VLOOKUP(E17,#REF!,32,FALSE),0)</f>
        <v>0</v>
      </c>
      <c r="N17" s="113">
        <f>IFERROR(VLOOKUP(E17,#REF!,32,FALSE),0)</f>
        <v>0</v>
      </c>
      <c r="O17" s="113">
        <f>IFERROR(VLOOKUP(E17,#REF!,32,FALSE),0)</f>
        <v>0</v>
      </c>
      <c r="P17" s="113">
        <f>IFERROR(VLOOKUP(E17,#REF!,32,FALSE),0)</f>
        <v>0</v>
      </c>
      <c r="Q17" s="113">
        <f>IFERROR(VLOOKUP(E17,#REF!,32,FALSE),0)</f>
        <v>0</v>
      </c>
      <c r="R17" s="117">
        <f t="shared" si="1"/>
        <v>0</v>
      </c>
    </row>
    <row r="18" spans="2:18" ht="19.5" customHeight="1">
      <c r="B18" s="111">
        <f t="shared" si="0"/>
        <v>16</v>
      </c>
      <c r="C18" s="112"/>
      <c r="D18" s="112"/>
      <c r="E18" s="111"/>
      <c r="F18" s="115">
        <f>IFERROR(VLOOKUP(E18,#REF!,32,FALSE),0)</f>
        <v>0</v>
      </c>
      <c r="G18" s="113">
        <f>IFERROR(VLOOKUP(E18,#REF!,32,FALSE),0)</f>
        <v>0</v>
      </c>
      <c r="H18" s="113">
        <f>IFERROR(VLOOKUP(E18,#REF!,32,FALSE),0)</f>
        <v>0</v>
      </c>
      <c r="I18" s="113">
        <f>IFERROR(VLOOKUP(E18,#REF!,32,FALSE),0)</f>
        <v>0</v>
      </c>
      <c r="J18" s="113">
        <f>IFERROR(VLOOKUP(E18,#REF!,32,FALSE),0)</f>
        <v>0</v>
      </c>
      <c r="K18" s="113">
        <f>IFERROR(VLOOKUP(E18,#REF!,32,FALSE),0)</f>
        <v>0</v>
      </c>
      <c r="L18" s="113">
        <f>IFERROR(VLOOKUP(E18,#REF!,32,FALSE),0)</f>
        <v>0</v>
      </c>
      <c r="M18" s="113">
        <f>IFERROR(VLOOKUP(E18,#REF!,32,FALSE),0)</f>
        <v>0</v>
      </c>
      <c r="N18" s="113">
        <f>IFERROR(VLOOKUP(E18,#REF!,32,FALSE),0)</f>
        <v>0</v>
      </c>
      <c r="O18" s="113">
        <f>IFERROR(VLOOKUP(E18,#REF!,32,FALSE),0)</f>
        <v>0</v>
      </c>
      <c r="P18" s="113">
        <f>IFERROR(VLOOKUP(E18,#REF!,32,FALSE),0)</f>
        <v>0</v>
      </c>
      <c r="Q18" s="113">
        <f>IFERROR(VLOOKUP(E18,#REF!,32,FALSE),0)</f>
        <v>0</v>
      </c>
      <c r="R18" s="117">
        <f t="shared" si="1"/>
        <v>0</v>
      </c>
    </row>
    <row r="19" spans="2:18" ht="19.5" customHeight="1">
      <c r="B19" s="111">
        <f t="shared" si="0"/>
        <v>17</v>
      </c>
      <c r="C19" s="112"/>
      <c r="D19" s="112"/>
      <c r="E19" s="111"/>
      <c r="F19" s="115">
        <f>IFERROR(VLOOKUP(E19,#REF!,32,FALSE),0)</f>
        <v>0</v>
      </c>
      <c r="G19" s="113">
        <f>IFERROR(VLOOKUP(E19,#REF!,32,FALSE),0)</f>
        <v>0</v>
      </c>
      <c r="H19" s="113">
        <f>IFERROR(VLOOKUP(E19,#REF!,32,FALSE),0)</f>
        <v>0</v>
      </c>
      <c r="I19" s="113">
        <f>IFERROR(VLOOKUP(E19,#REF!,32,FALSE),0)</f>
        <v>0</v>
      </c>
      <c r="J19" s="113">
        <f>IFERROR(VLOOKUP(E19,#REF!,32,FALSE),0)</f>
        <v>0</v>
      </c>
      <c r="K19" s="113">
        <f>IFERROR(VLOOKUP(E19,#REF!,32,FALSE),0)</f>
        <v>0</v>
      </c>
      <c r="L19" s="113">
        <f>IFERROR(VLOOKUP(E19,#REF!,32,FALSE),0)</f>
        <v>0</v>
      </c>
      <c r="M19" s="113">
        <f>IFERROR(VLOOKUP(E19,#REF!,32,FALSE),0)</f>
        <v>0</v>
      </c>
      <c r="N19" s="113">
        <f>IFERROR(VLOOKUP(E19,#REF!,32,FALSE),0)</f>
        <v>0</v>
      </c>
      <c r="O19" s="113">
        <f>IFERROR(VLOOKUP(E19,#REF!,32,FALSE),0)</f>
        <v>0</v>
      </c>
      <c r="P19" s="113">
        <f>IFERROR(VLOOKUP(E19,#REF!,32,FALSE),0)</f>
        <v>0</v>
      </c>
      <c r="Q19" s="113">
        <f>IFERROR(VLOOKUP(E19,#REF!,32,FALSE),0)</f>
        <v>0</v>
      </c>
      <c r="R19" s="117">
        <f t="shared" si="1"/>
        <v>0</v>
      </c>
    </row>
    <row r="20" spans="2:18" ht="19.5" customHeight="1">
      <c r="B20" s="111">
        <f t="shared" si="0"/>
        <v>18</v>
      </c>
      <c r="C20" s="112"/>
      <c r="D20" s="112"/>
      <c r="F20" s="115">
        <f>IFERROR(VLOOKUP(E20,#REF!,32,FALSE),0)</f>
        <v>0</v>
      </c>
      <c r="G20" s="113">
        <f>IFERROR(VLOOKUP(E20,#REF!,32,FALSE),0)</f>
        <v>0</v>
      </c>
      <c r="H20" s="113">
        <f>IFERROR(VLOOKUP(E20,#REF!,32,FALSE),0)</f>
        <v>0</v>
      </c>
      <c r="I20" s="113">
        <f>IFERROR(VLOOKUP(E20,#REF!,32,FALSE),0)</f>
        <v>0</v>
      </c>
      <c r="J20" s="113">
        <f>IFERROR(VLOOKUP(E20,#REF!,32,FALSE),0)</f>
        <v>0</v>
      </c>
      <c r="K20" s="113">
        <f>IFERROR(VLOOKUP(E20,#REF!,32,FALSE),0)</f>
        <v>0</v>
      </c>
      <c r="L20" s="113">
        <f>IFERROR(VLOOKUP(E20,#REF!,32,FALSE),0)</f>
        <v>0</v>
      </c>
      <c r="M20" s="113">
        <f>IFERROR(VLOOKUP(E20,#REF!,32,FALSE),0)</f>
        <v>0</v>
      </c>
      <c r="N20" s="113">
        <f>IFERROR(VLOOKUP(E20,#REF!,32,FALSE),0)</f>
        <v>0</v>
      </c>
      <c r="O20" s="113">
        <f>IFERROR(VLOOKUP(E20,#REF!,32,FALSE),0)</f>
        <v>0</v>
      </c>
      <c r="P20" s="113">
        <f>IFERROR(VLOOKUP(E20,#REF!,32,FALSE),0)</f>
        <v>0</v>
      </c>
      <c r="Q20" s="113">
        <f>IFERROR(VLOOKUP(E20,#REF!,32,FALSE),0)</f>
        <v>0</v>
      </c>
      <c r="R20" s="117">
        <f t="shared" si="1"/>
        <v>0</v>
      </c>
    </row>
    <row r="21" spans="2:18" ht="19.5" customHeight="1">
      <c r="B21" s="111">
        <f t="shared" si="0"/>
        <v>19</v>
      </c>
      <c r="C21" s="112"/>
      <c r="D21" s="112"/>
      <c r="E21" s="111"/>
      <c r="F21" s="115">
        <f>IFERROR(VLOOKUP(E21,#REF!,32,FALSE),0)</f>
        <v>0</v>
      </c>
      <c r="G21" s="113">
        <f>IFERROR(VLOOKUP(E21,#REF!,32,FALSE),0)</f>
        <v>0</v>
      </c>
      <c r="H21" s="113">
        <f>IFERROR(VLOOKUP(E21,#REF!,32,FALSE),0)</f>
        <v>0</v>
      </c>
      <c r="I21" s="113">
        <f>IFERROR(VLOOKUP(E21,#REF!,32,FALSE),0)</f>
        <v>0</v>
      </c>
      <c r="J21" s="113">
        <f>IFERROR(VLOOKUP(E21,#REF!,32,FALSE),0)</f>
        <v>0</v>
      </c>
      <c r="K21" s="113">
        <f>IFERROR(VLOOKUP(E21,#REF!,32,FALSE),0)</f>
        <v>0</v>
      </c>
      <c r="L21" s="113">
        <f>IFERROR(VLOOKUP(E21,#REF!,32,FALSE),0)</f>
        <v>0</v>
      </c>
      <c r="M21" s="113">
        <f>IFERROR(VLOOKUP(E21,#REF!,32,FALSE),0)</f>
        <v>0</v>
      </c>
      <c r="N21" s="113">
        <f>IFERROR(VLOOKUP(E21,#REF!,32,FALSE),0)</f>
        <v>0</v>
      </c>
      <c r="O21" s="113">
        <f>IFERROR(VLOOKUP(E21,#REF!,32,FALSE),0)</f>
        <v>0</v>
      </c>
      <c r="P21" s="113">
        <f>IFERROR(VLOOKUP(E21,#REF!,32,FALSE),0)</f>
        <v>0</v>
      </c>
      <c r="Q21" s="113">
        <f>IFERROR(VLOOKUP(E21,#REF!,32,FALSE),0)</f>
        <v>0</v>
      </c>
      <c r="R21" s="117">
        <f t="shared" si="1"/>
        <v>0</v>
      </c>
    </row>
    <row r="22" spans="2:18" ht="19.5" customHeight="1">
      <c r="B22" s="111">
        <f t="shared" si="0"/>
        <v>20</v>
      </c>
      <c r="C22" s="112"/>
      <c r="D22" s="112"/>
      <c r="E22" s="111"/>
      <c r="F22" s="115">
        <f>IFERROR(VLOOKUP(E22,#REF!,32,FALSE),0)</f>
        <v>0</v>
      </c>
      <c r="G22" s="113">
        <f>IFERROR(VLOOKUP(E22,#REF!,32,FALSE),0)</f>
        <v>0</v>
      </c>
      <c r="H22" s="113">
        <f>IFERROR(VLOOKUP(E22,#REF!,32,FALSE),0)</f>
        <v>0</v>
      </c>
      <c r="I22" s="113">
        <f>IFERROR(VLOOKUP(E22,#REF!,32,FALSE),0)</f>
        <v>0</v>
      </c>
      <c r="J22" s="113">
        <f>IFERROR(VLOOKUP(E22,#REF!,32,FALSE),0)</f>
        <v>0</v>
      </c>
      <c r="K22" s="113">
        <f>IFERROR(VLOOKUP(E22,#REF!,32,FALSE),0)</f>
        <v>0</v>
      </c>
      <c r="L22" s="113">
        <f>IFERROR(VLOOKUP(E22,#REF!,32,FALSE),0)</f>
        <v>0</v>
      </c>
      <c r="M22" s="113">
        <f>IFERROR(VLOOKUP(E22,#REF!,32,FALSE),0)</f>
        <v>0</v>
      </c>
      <c r="N22" s="113">
        <f>IFERROR(VLOOKUP(E22,#REF!,32,FALSE),0)</f>
        <v>0</v>
      </c>
      <c r="O22" s="113">
        <f>IFERROR(VLOOKUP(E22,#REF!,32,FALSE),0)</f>
        <v>0</v>
      </c>
      <c r="P22" s="113">
        <f>IFERROR(VLOOKUP(E22,#REF!,32,FALSE),0)</f>
        <v>0</v>
      </c>
      <c r="Q22" s="113">
        <f>IFERROR(VLOOKUP(E22,#REF!,32,FALSE),0)</f>
        <v>0</v>
      </c>
      <c r="R22" s="117">
        <f t="shared" si="1"/>
        <v>0</v>
      </c>
    </row>
    <row r="23" spans="2:18" ht="19.5" customHeight="1">
      <c r="B23" s="111">
        <f t="shared" si="0"/>
        <v>21</v>
      </c>
      <c r="C23" s="112"/>
      <c r="D23" s="112"/>
      <c r="E23" s="111"/>
      <c r="F23" s="115">
        <f>IFERROR(VLOOKUP(E23,#REF!,32,FALSE),0)</f>
        <v>0</v>
      </c>
      <c r="G23" s="113">
        <f>IFERROR(VLOOKUP(E23,#REF!,32,FALSE),0)</f>
        <v>0</v>
      </c>
      <c r="H23" s="113">
        <f>IFERROR(VLOOKUP(E23,#REF!,32,FALSE),0)</f>
        <v>0</v>
      </c>
      <c r="I23" s="113">
        <f>IFERROR(VLOOKUP(E23,#REF!,32,FALSE),0)</f>
        <v>0</v>
      </c>
      <c r="J23" s="113">
        <f>IFERROR(VLOOKUP(E23,#REF!,32,FALSE),0)</f>
        <v>0</v>
      </c>
      <c r="K23" s="113">
        <f>IFERROR(VLOOKUP(E23,#REF!,32,FALSE),0)</f>
        <v>0</v>
      </c>
      <c r="L23" s="113">
        <f>IFERROR(VLOOKUP(E23,#REF!,32,FALSE),0)</f>
        <v>0</v>
      </c>
      <c r="M23" s="113">
        <f>IFERROR(VLOOKUP(E23,#REF!,32,FALSE),0)</f>
        <v>0</v>
      </c>
      <c r="N23" s="113">
        <f>IFERROR(VLOOKUP(E23,#REF!,32,FALSE),0)</f>
        <v>0</v>
      </c>
      <c r="O23" s="113">
        <f>IFERROR(VLOOKUP(E23,#REF!,32,FALSE),0)</f>
        <v>0</v>
      </c>
      <c r="P23" s="113">
        <f>IFERROR(VLOOKUP(E23,#REF!,32,FALSE),0)</f>
        <v>0</v>
      </c>
      <c r="Q23" s="113">
        <f>IFERROR(VLOOKUP(E23,#REF!,32,FALSE),0)</f>
        <v>0</v>
      </c>
      <c r="R23" s="117">
        <f t="shared" si="1"/>
        <v>0</v>
      </c>
    </row>
    <row r="24" spans="2:18" ht="19.5" customHeight="1">
      <c r="B24" s="111">
        <f t="shared" si="0"/>
        <v>22</v>
      </c>
      <c r="C24" s="112"/>
      <c r="D24" s="112"/>
      <c r="E24" s="111"/>
      <c r="F24" s="115">
        <f>IFERROR(VLOOKUP(E24,#REF!,32,FALSE),0)</f>
        <v>0</v>
      </c>
      <c r="G24" s="113">
        <f>IFERROR(VLOOKUP(E24,#REF!,32,FALSE),0)</f>
        <v>0</v>
      </c>
      <c r="H24" s="113">
        <f>IFERROR(VLOOKUP(E24,#REF!,32,FALSE),0)</f>
        <v>0</v>
      </c>
      <c r="I24" s="113">
        <f>IFERROR(VLOOKUP(E24,#REF!,32,FALSE),0)</f>
        <v>0</v>
      </c>
      <c r="J24" s="113">
        <f>IFERROR(VLOOKUP(E24,#REF!,32,FALSE),0)</f>
        <v>0</v>
      </c>
      <c r="K24" s="113">
        <f>IFERROR(VLOOKUP(E24,#REF!,32,FALSE),0)</f>
        <v>0</v>
      </c>
      <c r="L24" s="113">
        <f>IFERROR(VLOOKUP(E24,#REF!,32,FALSE),0)</f>
        <v>0</v>
      </c>
      <c r="M24" s="113">
        <f>IFERROR(VLOOKUP(E24,#REF!,32,FALSE),0)</f>
        <v>0</v>
      </c>
      <c r="N24" s="113">
        <f>IFERROR(VLOOKUP(E24,#REF!,32,FALSE),0)</f>
        <v>0</v>
      </c>
      <c r="O24" s="113">
        <f>IFERROR(VLOOKUP(E24,#REF!,32,FALSE),0)</f>
        <v>0</v>
      </c>
      <c r="P24" s="113">
        <f>IFERROR(VLOOKUP(E24,#REF!,32,FALSE),0)</f>
        <v>0</v>
      </c>
      <c r="Q24" s="113">
        <f>IFERROR(VLOOKUP(E24,#REF!,32,FALSE),0)</f>
        <v>0</v>
      </c>
      <c r="R24" s="117">
        <f t="shared" si="1"/>
        <v>0</v>
      </c>
    </row>
    <row r="25" spans="2:18" ht="19.5" customHeight="1">
      <c r="B25" s="111">
        <f t="shared" si="0"/>
        <v>23</v>
      </c>
      <c r="C25" s="112"/>
      <c r="D25" s="112"/>
      <c r="E25" s="111"/>
      <c r="F25" s="115">
        <f>IFERROR(VLOOKUP(E25,#REF!,32,FALSE),0)</f>
        <v>0</v>
      </c>
      <c r="G25" s="113">
        <f>IFERROR(VLOOKUP(E25,#REF!,32,FALSE),0)</f>
        <v>0</v>
      </c>
      <c r="H25" s="113">
        <f>IFERROR(VLOOKUP(E25,#REF!,32,FALSE),0)</f>
        <v>0</v>
      </c>
      <c r="I25" s="113">
        <f>IFERROR(VLOOKUP(E25,#REF!,32,FALSE),0)</f>
        <v>0</v>
      </c>
      <c r="J25" s="113">
        <f>IFERROR(VLOOKUP(E25,#REF!,32,FALSE),0)</f>
        <v>0</v>
      </c>
      <c r="K25" s="113">
        <f>IFERROR(VLOOKUP(E25,#REF!,32,FALSE),0)</f>
        <v>0</v>
      </c>
      <c r="L25" s="113">
        <f>IFERROR(VLOOKUP(E25,#REF!,32,FALSE),0)</f>
        <v>0</v>
      </c>
      <c r="M25" s="113">
        <f>IFERROR(VLOOKUP(E25,#REF!,32,FALSE),0)</f>
        <v>0</v>
      </c>
      <c r="N25" s="113">
        <f>IFERROR(VLOOKUP(E25,#REF!,32,FALSE),0)</f>
        <v>0</v>
      </c>
      <c r="O25" s="113">
        <f>IFERROR(VLOOKUP(E25,#REF!,32,FALSE),0)</f>
        <v>0</v>
      </c>
      <c r="P25" s="113">
        <f>IFERROR(VLOOKUP(E25,#REF!,32,FALSE),0)</f>
        <v>0</v>
      </c>
      <c r="Q25" s="113">
        <f>IFERROR(VLOOKUP(E25,#REF!,32,FALSE),0)</f>
        <v>0</v>
      </c>
      <c r="R25" s="117">
        <f t="shared" si="1"/>
        <v>0</v>
      </c>
    </row>
    <row r="26" spans="2:18" ht="19.5" customHeight="1">
      <c r="B26" s="111">
        <f t="shared" si="0"/>
        <v>24</v>
      </c>
      <c r="C26" s="112"/>
      <c r="D26" s="112"/>
      <c r="F26" s="115">
        <f>IFERROR(VLOOKUP(E26,#REF!,32,FALSE),0)</f>
        <v>0</v>
      </c>
      <c r="G26" s="113">
        <f>IFERROR(VLOOKUP(E26,#REF!,32,FALSE),0)</f>
        <v>0</v>
      </c>
      <c r="H26" s="113">
        <f>IFERROR(VLOOKUP(E26,#REF!,32,FALSE),0)</f>
        <v>0</v>
      </c>
      <c r="I26" s="113">
        <f>IFERROR(VLOOKUP(E26,#REF!,32,FALSE),0)</f>
        <v>0</v>
      </c>
      <c r="J26" s="113">
        <f>IFERROR(VLOOKUP(E26,#REF!,32,FALSE),0)</f>
        <v>0</v>
      </c>
      <c r="K26" s="113">
        <f>IFERROR(VLOOKUP(E26,#REF!,32,FALSE),0)</f>
        <v>0</v>
      </c>
      <c r="L26" s="113">
        <f>IFERROR(VLOOKUP(E26,#REF!,32,FALSE),0)</f>
        <v>0</v>
      </c>
      <c r="M26" s="113">
        <f>IFERROR(VLOOKUP(E26,#REF!,32,FALSE),0)</f>
        <v>0</v>
      </c>
      <c r="N26" s="113">
        <f>IFERROR(VLOOKUP(E26,#REF!,32,FALSE),0)</f>
        <v>0</v>
      </c>
      <c r="O26" s="113">
        <f>IFERROR(VLOOKUP(E26,#REF!,32,FALSE),0)</f>
        <v>0</v>
      </c>
      <c r="P26" s="113">
        <f>IFERROR(VLOOKUP(E26,#REF!,32,FALSE),0)</f>
        <v>0</v>
      </c>
      <c r="Q26" s="113">
        <f>IFERROR(VLOOKUP(E26,#REF!,32,FALSE),0)</f>
        <v>0</v>
      </c>
      <c r="R26" s="117">
        <f t="shared" si="1"/>
        <v>0</v>
      </c>
    </row>
    <row r="27" spans="2:18" ht="19.5" customHeight="1">
      <c r="B27" s="111">
        <f t="shared" si="0"/>
        <v>25</v>
      </c>
      <c r="C27" s="112"/>
      <c r="D27" s="112"/>
      <c r="E27" s="111"/>
      <c r="F27" s="115">
        <f>IFERROR(VLOOKUP(E27,#REF!,32,FALSE),0)</f>
        <v>0</v>
      </c>
      <c r="G27" s="113">
        <f>IFERROR(VLOOKUP(E27,#REF!,32,FALSE),0)</f>
        <v>0</v>
      </c>
      <c r="H27" s="113">
        <f>IFERROR(VLOOKUP(E27,#REF!,32,FALSE),0)</f>
        <v>0</v>
      </c>
      <c r="I27" s="113">
        <f>IFERROR(VLOOKUP(E27,#REF!,32,FALSE),0)</f>
        <v>0</v>
      </c>
      <c r="J27" s="113">
        <f>IFERROR(VLOOKUP(E27,#REF!,32,FALSE),0)</f>
        <v>0</v>
      </c>
      <c r="K27" s="113">
        <f>IFERROR(VLOOKUP(E27,#REF!,32,FALSE),0)</f>
        <v>0</v>
      </c>
      <c r="L27" s="113">
        <f>IFERROR(VLOOKUP(E27,#REF!,32,FALSE),0)</f>
        <v>0</v>
      </c>
      <c r="M27" s="113">
        <f>IFERROR(VLOOKUP(E27,#REF!,32,FALSE),0)</f>
        <v>0</v>
      </c>
      <c r="N27" s="113">
        <f>IFERROR(VLOOKUP(E27,#REF!,32,FALSE),0)</f>
        <v>0</v>
      </c>
      <c r="O27" s="113">
        <f>IFERROR(VLOOKUP(E27,#REF!,32,FALSE),0)</f>
        <v>0</v>
      </c>
      <c r="P27" s="113">
        <f>IFERROR(VLOOKUP(E27,#REF!,32,FALSE),0)</f>
        <v>0</v>
      </c>
      <c r="Q27" s="113">
        <f>IFERROR(VLOOKUP(E27,#REF!,32,FALSE),0)</f>
        <v>0</v>
      </c>
      <c r="R27" s="117">
        <f t="shared" si="1"/>
        <v>0</v>
      </c>
    </row>
    <row r="28" spans="2:18" ht="19.5" customHeight="1">
      <c r="B28" s="111">
        <f t="shared" si="0"/>
        <v>26</v>
      </c>
      <c r="C28" s="112"/>
      <c r="D28" s="112"/>
      <c r="E28" s="111"/>
      <c r="F28" s="115">
        <f>IFERROR(VLOOKUP(E28,#REF!,32,FALSE),0)</f>
        <v>0</v>
      </c>
      <c r="G28" s="113">
        <f>IFERROR(VLOOKUP(E28,#REF!,32,FALSE),0)</f>
        <v>0</v>
      </c>
      <c r="H28" s="113">
        <f>IFERROR(VLOOKUP(E28,#REF!,32,FALSE),0)</f>
        <v>0</v>
      </c>
      <c r="I28" s="113">
        <f>IFERROR(VLOOKUP(E28,#REF!,32,FALSE),0)</f>
        <v>0</v>
      </c>
      <c r="J28" s="113">
        <f>IFERROR(VLOOKUP(E28,#REF!,32,FALSE),0)</f>
        <v>0</v>
      </c>
      <c r="K28" s="113">
        <f>IFERROR(VLOOKUP(E28,#REF!,32,FALSE),0)</f>
        <v>0</v>
      </c>
      <c r="L28" s="113">
        <f>IFERROR(VLOOKUP(E28,#REF!,32,FALSE),0)</f>
        <v>0</v>
      </c>
      <c r="M28" s="113">
        <f>IFERROR(VLOOKUP(E28,#REF!,32,FALSE),0)</f>
        <v>0</v>
      </c>
      <c r="N28" s="113">
        <f>IFERROR(VLOOKUP(E28,#REF!,32,FALSE),0)</f>
        <v>0</v>
      </c>
      <c r="O28" s="113">
        <f>IFERROR(VLOOKUP(E28,#REF!,32,FALSE),0)</f>
        <v>0</v>
      </c>
      <c r="P28" s="113">
        <f>IFERROR(VLOOKUP(E28,#REF!,32,FALSE),0)</f>
        <v>0</v>
      </c>
      <c r="Q28" s="113">
        <f>IFERROR(VLOOKUP(E28,#REF!,32,FALSE),0)</f>
        <v>0</v>
      </c>
      <c r="R28" s="117">
        <f t="shared" si="1"/>
        <v>0</v>
      </c>
    </row>
    <row r="29" spans="2:18" ht="19.5" customHeight="1">
      <c r="B29" s="111">
        <f t="shared" si="0"/>
        <v>27</v>
      </c>
      <c r="C29" s="112"/>
      <c r="D29" s="112"/>
      <c r="E29" s="111"/>
      <c r="F29" s="115">
        <f>IFERROR(VLOOKUP(E29,#REF!,32,FALSE),0)</f>
        <v>0</v>
      </c>
      <c r="G29" s="113">
        <f>IFERROR(VLOOKUP(E29,#REF!,32,FALSE),0)</f>
        <v>0</v>
      </c>
      <c r="H29" s="113">
        <f>IFERROR(VLOOKUP(E29,#REF!,32,FALSE),0)</f>
        <v>0</v>
      </c>
      <c r="I29" s="113">
        <f>IFERROR(VLOOKUP(E29,#REF!,32,FALSE),0)</f>
        <v>0</v>
      </c>
      <c r="J29" s="113">
        <f>IFERROR(VLOOKUP(E29,#REF!,32,FALSE),0)</f>
        <v>0</v>
      </c>
      <c r="K29" s="113">
        <f>IFERROR(VLOOKUP(E29,#REF!,32,FALSE),0)</f>
        <v>0</v>
      </c>
      <c r="L29" s="113">
        <f>IFERROR(VLOOKUP(E29,#REF!,32,FALSE),0)</f>
        <v>0</v>
      </c>
      <c r="M29" s="113">
        <f>IFERROR(VLOOKUP(E29,#REF!,32,FALSE),0)</f>
        <v>0</v>
      </c>
      <c r="N29" s="113">
        <f>IFERROR(VLOOKUP(E29,#REF!,32,FALSE),0)</f>
        <v>0</v>
      </c>
      <c r="O29" s="113">
        <f>IFERROR(VLOOKUP(E29,#REF!,32,FALSE),0)</f>
        <v>0</v>
      </c>
      <c r="P29" s="113">
        <f>IFERROR(VLOOKUP(E29,#REF!,32,FALSE),0)</f>
        <v>0</v>
      </c>
      <c r="Q29" s="113">
        <f>IFERROR(VLOOKUP(E29,#REF!,32,FALSE),0)</f>
        <v>0</v>
      </c>
      <c r="R29" s="117">
        <f t="shared" si="1"/>
        <v>0</v>
      </c>
    </row>
    <row r="30" spans="2:18" ht="19.5" customHeight="1">
      <c r="B30" s="111">
        <f t="shared" si="0"/>
        <v>28</v>
      </c>
      <c r="C30" s="112"/>
      <c r="D30" s="112"/>
      <c r="F30" s="115">
        <f>IFERROR(VLOOKUP(E30,#REF!,32,FALSE),0)</f>
        <v>0</v>
      </c>
      <c r="G30" s="113">
        <f>IFERROR(VLOOKUP(E30,#REF!,32,FALSE),0)</f>
        <v>0</v>
      </c>
      <c r="H30" s="113">
        <f>IFERROR(VLOOKUP(E30,#REF!,32,FALSE),0)</f>
        <v>0</v>
      </c>
      <c r="I30" s="113">
        <f>IFERROR(VLOOKUP(E30,#REF!,32,FALSE),0)</f>
        <v>0</v>
      </c>
      <c r="J30" s="113">
        <f>IFERROR(VLOOKUP(E30,#REF!,32,FALSE),0)</f>
        <v>0</v>
      </c>
      <c r="K30" s="113">
        <f>IFERROR(VLOOKUP(E30,#REF!,32,FALSE),0)</f>
        <v>0</v>
      </c>
      <c r="L30" s="113">
        <f>IFERROR(VLOOKUP(E30,#REF!,32,FALSE),0)</f>
        <v>0</v>
      </c>
      <c r="M30" s="113">
        <f>IFERROR(VLOOKUP(E30,#REF!,32,FALSE),0)</f>
        <v>0</v>
      </c>
      <c r="N30" s="113">
        <f>IFERROR(VLOOKUP(E30,#REF!,32,FALSE),0)</f>
        <v>0</v>
      </c>
      <c r="O30" s="113">
        <f>IFERROR(VLOOKUP(E30,#REF!,32,FALSE),0)</f>
        <v>0</v>
      </c>
      <c r="P30" s="113">
        <f>IFERROR(VLOOKUP(E30,#REF!,32,FALSE),0)</f>
        <v>0</v>
      </c>
      <c r="Q30" s="113">
        <f>IFERROR(VLOOKUP(E30,#REF!,32,FALSE),0)</f>
        <v>0</v>
      </c>
      <c r="R30" s="117">
        <f t="shared" si="1"/>
        <v>0</v>
      </c>
    </row>
    <row r="31" spans="2:18" ht="19.5" customHeight="1">
      <c r="B31" s="111">
        <f t="shared" si="0"/>
        <v>29</v>
      </c>
      <c r="C31" s="112"/>
      <c r="D31" s="112"/>
      <c r="E31" s="111"/>
      <c r="F31" s="115">
        <f>IFERROR(VLOOKUP(E31,#REF!,32,FALSE),0)</f>
        <v>0</v>
      </c>
      <c r="G31" s="113">
        <f>IFERROR(VLOOKUP(E31,#REF!,32,FALSE),0)</f>
        <v>0</v>
      </c>
      <c r="H31" s="113">
        <f>IFERROR(VLOOKUP(E31,#REF!,32,FALSE),0)</f>
        <v>0</v>
      </c>
      <c r="I31" s="113">
        <f>IFERROR(VLOOKUP(E31,#REF!,32,FALSE),0)</f>
        <v>0</v>
      </c>
      <c r="J31" s="113">
        <f>IFERROR(VLOOKUP(E31,#REF!,32,FALSE),0)</f>
        <v>0</v>
      </c>
      <c r="K31" s="113">
        <f>IFERROR(VLOOKUP(E31,#REF!,32,FALSE),0)</f>
        <v>0</v>
      </c>
      <c r="L31" s="113">
        <f>IFERROR(VLOOKUP(E31,#REF!,32,FALSE),0)</f>
        <v>0</v>
      </c>
      <c r="M31" s="113">
        <f>IFERROR(VLOOKUP(E31,#REF!,32,FALSE),0)</f>
        <v>0</v>
      </c>
      <c r="N31" s="113">
        <f>IFERROR(VLOOKUP(E31,#REF!,32,FALSE),0)</f>
        <v>0</v>
      </c>
      <c r="O31" s="113">
        <f>IFERROR(VLOOKUP(E31,#REF!,32,FALSE),0)</f>
        <v>0</v>
      </c>
      <c r="P31" s="113">
        <f>IFERROR(VLOOKUP(E31,#REF!,32,FALSE),0)</f>
        <v>0</v>
      </c>
      <c r="Q31" s="113">
        <f>IFERROR(VLOOKUP(E31,#REF!,32,FALSE),0)</f>
        <v>0</v>
      </c>
      <c r="R31" s="117">
        <f t="shared" si="1"/>
        <v>0</v>
      </c>
    </row>
    <row r="32" spans="2:18" ht="19.5" customHeight="1">
      <c r="B32" s="111">
        <f t="shared" si="0"/>
        <v>30</v>
      </c>
      <c r="C32" s="112"/>
      <c r="D32" s="112"/>
      <c r="E32" s="111"/>
      <c r="F32" s="115">
        <f>IFERROR(VLOOKUP(E32,#REF!,32,FALSE),0)</f>
        <v>0</v>
      </c>
      <c r="G32" s="113">
        <f>IFERROR(VLOOKUP(E32,#REF!,32,FALSE),0)</f>
        <v>0</v>
      </c>
      <c r="H32" s="113">
        <f>IFERROR(VLOOKUP(E32,#REF!,32,FALSE),0)</f>
        <v>0</v>
      </c>
      <c r="I32" s="113">
        <f>IFERROR(VLOOKUP(E32,#REF!,32,FALSE),0)</f>
        <v>0</v>
      </c>
      <c r="J32" s="113">
        <f>IFERROR(VLOOKUP(E32,#REF!,32,FALSE),0)</f>
        <v>0</v>
      </c>
      <c r="K32" s="113">
        <f>IFERROR(VLOOKUP(E32,#REF!,32,FALSE),0)</f>
        <v>0</v>
      </c>
      <c r="L32" s="113">
        <f>IFERROR(VLOOKUP(E32,#REF!,32,FALSE),0)</f>
        <v>0</v>
      </c>
      <c r="M32" s="113">
        <f>IFERROR(VLOOKUP(E32,#REF!,32,FALSE),0)</f>
        <v>0</v>
      </c>
      <c r="N32" s="113">
        <f>IFERROR(VLOOKUP(E32,#REF!,32,FALSE),0)</f>
        <v>0</v>
      </c>
      <c r="O32" s="113">
        <f>IFERROR(VLOOKUP(E32,#REF!,32,FALSE),0)</f>
        <v>0</v>
      </c>
      <c r="P32" s="113">
        <f>IFERROR(VLOOKUP(E32,#REF!,32,FALSE),0)</f>
        <v>0</v>
      </c>
      <c r="Q32" s="113">
        <f>IFERROR(VLOOKUP(E32,#REF!,32,FALSE),0)</f>
        <v>0</v>
      </c>
      <c r="R32" s="117">
        <f t="shared" si="1"/>
        <v>0</v>
      </c>
    </row>
    <row r="33" spans="2:18" ht="19.5" customHeight="1">
      <c r="B33" s="111">
        <f t="shared" si="0"/>
        <v>31</v>
      </c>
      <c r="C33" s="112"/>
      <c r="D33" s="112"/>
      <c r="E33" s="111"/>
      <c r="F33" s="115">
        <f>IFERROR(VLOOKUP(E33,#REF!,32,FALSE),0)</f>
        <v>0</v>
      </c>
      <c r="G33" s="113">
        <f>IFERROR(VLOOKUP(E33,#REF!,32,FALSE),0)</f>
        <v>0</v>
      </c>
      <c r="H33" s="113">
        <f>IFERROR(VLOOKUP(E33,#REF!,32,FALSE),0)</f>
        <v>0</v>
      </c>
      <c r="I33" s="113">
        <f>IFERROR(VLOOKUP(E33,#REF!,32,FALSE),0)</f>
        <v>0</v>
      </c>
      <c r="J33" s="113">
        <f>IFERROR(VLOOKUP(E33,#REF!,32,FALSE),0)</f>
        <v>0</v>
      </c>
      <c r="K33" s="113">
        <f>IFERROR(VLOOKUP(E33,#REF!,32,FALSE),0)</f>
        <v>0</v>
      </c>
      <c r="L33" s="113">
        <f>IFERROR(VLOOKUP(E33,#REF!,32,FALSE),0)</f>
        <v>0</v>
      </c>
      <c r="M33" s="113">
        <f>IFERROR(VLOOKUP(E33,#REF!,32,FALSE),0)</f>
        <v>0</v>
      </c>
      <c r="N33" s="113">
        <f>IFERROR(VLOOKUP(E33,#REF!,32,FALSE),0)</f>
        <v>0</v>
      </c>
      <c r="O33" s="113">
        <f>IFERROR(VLOOKUP(E33,#REF!,32,FALSE),0)</f>
        <v>0</v>
      </c>
      <c r="P33" s="113">
        <f>IFERROR(VLOOKUP(E33,#REF!,32,FALSE),0)</f>
        <v>0</v>
      </c>
      <c r="Q33" s="113">
        <f>IFERROR(VLOOKUP(E33,#REF!,32,FALSE),0)</f>
        <v>0</v>
      </c>
      <c r="R33" s="117">
        <f t="shared" si="1"/>
        <v>0</v>
      </c>
    </row>
    <row r="34" spans="2:18" ht="19.5" customHeight="1">
      <c r="B34" s="111">
        <f t="shared" si="0"/>
        <v>32</v>
      </c>
      <c r="F34" s="115">
        <f>IFERROR(VLOOKUP(E34,#REF!,32,FALSE),0)</f>
        <v>0</v>
      </c>
      <c r="G34" s="113">
        <f>IFERROR(VLOOKUP(E34,#REF!,32,FALSE),0)</f>
        <v>0</v>
      </c>
      <c r="H34" s="113">
        <f>IFERROR(VLOOKUP(E34,#REF!,32,FALSE),0)</f>
        <v>0</v>
      </c>
      <c r="I34" s="113">
        <f>IFERROR(VLOOKUP(E34,#REF!,32,FALSE),0)</f>
        <v>0</v>
      </c>
      <c r="J34" s="113">
        <f>IFERROR(VLOOKUP(E34,#REF!,32,FALSE),0)</f>
        <v>0</v>
      </c>
      <c r="K34" s="113">
        <f>IFERROR(VLOOKUP(E34,#REF!,32,FALSE),0)</f>
        <v>0</v>
      </c>
      <c r="L34" s="113">
        <f>IFERROR(VLOOKUP(E34,#REF!,32,FALSE),0)</f>
        <v>0</v>
      </c>
      <c r="M34" s="113">
        <f>IFERROR(VLOOKUP(E34,#REF!,32,FALSE),0)</f>
        <v>0</v>
      </c>
      <c r="N34" s="113">
        <f>IFERROR(VLOOKUP(E34,#REF!,32,FALSE),0)</f>
        <v>0</v>
      </c>
      <c r="O34" s="113">
        <f>IFERROR(VLOOKUP(E34,#REF!,32,FALSE),0)</f>
        <v>0</v>
      </c>
      <c r="P34" s="113">
        <f>IFERROR(VLOOKUP(E34,#REF!,32,FALSE),0)</f>
        <v>0</v>
      </c>
      <c r="Q34" s="113">
        <f>IFERROR(VLOOKUP(E34,#REF!,32,FALSE),0)</f>
        <v>0</v>
      </c>
      <c r="R34" s="117">
        <f t="shared" si="1"/>
        <v>0</v>
      </c>
    </row>
    <row r="35" spans="2:18" ht="19.5" customHeight="1">
      <c r="B35" s="111">
        <f t="shared" si="0"/>
        <v>33</v>
      </c>
      <c r="C35" s="112"/>
      <c r="D35" s="112"/>
      <c r="E35" s="111"/>
      <c r="F35" s="115">
        <f>IFERROR(VLOOKUP(E35,#REF!,32,FALSE),0)</f>
        <v>0</v>
      </c>
      <c r="G35" s="113">
        <f>IFERROR(VLOOKUP(E35,#REF!,32,FALSE),0)</f>
        <v>0</v>
      </c>
      <c r="H35" s="113">
        <f>IFERROR(VLOOKUP(E35,#REF!,32,FALSE),0)</f>
        <v>0</v>
      </c>
      <c r="I35" s="113">
        <f>IFERROR(VLOOKUP(E35,#REF!,32,FALSE),0)</f>
        <v>0</v>
      </c>
      <c r="J35" s="113">
        <f>IFERROR(VLOOKUP(E35,#REF!,32,FALSE),0)</f>
        <v>0</v>
      </c>
      <c r="K35" s="113">
        <f>IFERROR(VLOOKUP(E35,#REF!,32,FALSE),0)</f>
        <v>0</v>
      </c>
      <c r="L35" s="113">
        <f>IFERROR(VLOOKUP(E35,#REF!,32,FALSE),0)</f>
        <v>0</v>
      </c>
      <c r="M35" s="113">
        <f>IFERROR(VLOOKUP(E35,#REF!,32,FALSE),0)</f>
        <v>0</v>
      </c>
      <c r="N35" s="113">
        <f>IFERROR(VLOOKUP(E35,#REF!,32,FALSE),0)</f>
        <v>0</v>
      </c>
      <c r="O35" s="113">
        <f>IFERROR(VLOOKUP(E35,#REF!,32,FALSE),0)</f>
        <v>0</v>
      </c>
      <c r="P35" s="113">
        <f>IFERROR(VLOOKUP(E35,#REF!,32,FALSE),0)</f>
        <v>0</v>
      </c>
      <c r="Q35" s="113">
        <f>IFERROR(VLOOKUP(E35,#REF!,32,FALSE),0)</f>
        <v>0</v>
      </c>
      <c r="R35" s="117">
        <f t="shared" si="1"/>
        <v>0</v>
      </c>
    </row>
    <row r="36" spans="2:18" ht="19.5" customHeight="1">
      <c r="B36" s="111">
        <f t="shared" si="0"/>
        <v>34</v>
      </c>
      <c r="C36" s="112"/>
      <c r="D36" s="112"/>
      <c r="E36" s="111"/>
      <c r="F36" s="115">
        <f>IFERROR(VLOOKUP(E36,#REF!,32,FALSE),0)</f>
        <v>0</v>
      </c>
      <c r="G36" s="113">
        <f>IFERROR(VLOOKUP(E36,#REF!,32,FALSE),0)</f>
        <v>0</v>
      </c>
      <c r="H36" s="113">
        <f>IFERROR(VLOOKUP(E36,#REF!,32,FALSE),0)</f>
        <v>0</v>
      </c>
      <c r="I36" s="113">
        <f>IFERROR(VLOOKUP(E36,#REF!,32,FALSE),0)</f>
        <v>0</v>
      </c>
      <c r="J36" s="113">
        <f>IFERROR(VLOOKUP(E36,#REF!,32,FALSE),0)</f>
        <v>0</v>
      </c>
      <c r="K36" s="113">
        <f>IFERROR(VLOOKUP(E36,#REF!,32,FALSE),0)</f>
        <v>0</v>
      </c>
      <c r="L36" s="113">
        <f>IFERROR(VLOOKUP(E36,#REF!,32,FALSE),0)</f>
        <v>0</v>
      </c>
      <c r="M36" s="113">
        <f>IFERROR(VLOOKUP(E36,#REF!,32,FALSE),0)</f>
        <v>0</v>
      </c>
      <c r="N36" s="113">
        <f>IFERROR(VLOOKUP(E36,#REF!,32,FALSE),0)</f>
        <v>0</v>
      </c>
      <c r="O36" s="113">
        <f>IFERROR(VLOOKUP(E36,#REF!,32,FALSE),0)</f>
        <v>0</v>
      </c>
      <c r="P36" s="113">
        <f>IFERROR(VLOOKUP(E36,#REF!,32,FALSE),0)</f>
        <v>0</v>
      </c>
      <c r="Q36" s="113">
        <f>IFERROR(VLOOKUP(E36,#REF!,32,FALSE),0)</f>
        <v>0</v>
      </c>
      <c r="R36" s="117">
        <f t="shared" si="1"/>
        <v>0</v>
      </c>
    </row>
    <row r="37" spans="2:18" ht="19.5" customHeight="1">
      <c r="B37" s="111">
        <f t="shared" si="0"/>
        <v>35</v>
      </c>
      <c r="C37" s="112"/>
      <c r="D37" s="112"/>
      <c r="E37" s="111"/>
      <c r="F37" s="115">
        <f>IFERROR(VLOOKUP(E37,#REF!,32,FALSE),0)</f>
        <v>0</v>
      </c>
      <c r="G37" s="113">
        <f>IFERROR(VLOOKUP(E37,#REF!,32,FALSE),0)</f>
        <v>0</v>
      </c>
      <c r="H37" s="113">
        <f>IFERROR(VLOOKUP(E37,#REF!,32,FALSE),0)</f>
        <v>0</v>
      </c>
      <c r="I37" s="113">
        <f>IFERROR(VLOOKUP(E37,#REF!,32,FALSE),0)</f>
        <v>0</v>
      </c>
      <c r="J37" s="113">
        <f>IFERROR(VLOOKUP(E37,#REF!,32,FALSE),0)</f>
        <v>0</v>
      </c>
      <c r="K37" s="113">
        <f>IFERROR(VLOOKUP(E37,#REF!,32,FALSE),0)</f>
        <v>0</v>
      </c>
      <c r="L37" s="113">
        <f>IFERROR(VLOOKUP(E37,#REF!,32,FALSE),0)</f>
        <v>0</v>
      </c>
      <c r="M37" s="113">
        <f>IFERROR(VLOOKUP(E37,#REF!,32,FALSE),0)</f>
        <v>0</v>
      </c>
      <c r="N37" s="113">
        <f>IFERROR(VLOOKUP(E37,#REF!,32,FALSE),0)</f>
        <v>0</v>
      </c>
      <c r="O37" s="113">
        <f>IFERROR(VLOOKUP(E37,#REF!,32,FALSE),0)</f>
        <v>0</v>
      </c>
      <c r="P37" s="113">
        <f>IFERROR(VLOOKUP(E37,#REF!,32,FALSE),0)</f>
        <v>0</v>
      </c>
      <c r="Q37" s="113">
        <f>IFERROR(VLOOKUP(E37,#REF!,32,FALSE),0)</f>
        <v>0</v>
      </c>
      <c r="R37" s="117">
        <f t="shared" si="1"/>
        <v>0</v>
      </c>
    </row>
    <row r="38" spans="2:18" ht="19.5" customHeight="1">
      <c r="B38" s="111">
        <f t="shared" si="0"/>
        <v>36</v>
      </c>
      <c r="C38" s="112"/>
      <c r="D38" s="112"/>
      <c r="E38" s="111"/>
      <c r="F38" s="115">
        <f>IFERROR(VLOOKUP(E38,#REF!,32,FALSE),0)</f>
        <v>0</v>
      </c>
      <c r="G38" s="113">
        <f>IFERROR(VLOOKUP(E38,#REF!,32,FALSE),0)</f>
        <v>0</v>
      </c>
      <c r="H38" s="113">
        <f>IFERROR(VLOOKUP(E38,#REF!,32,FALSE),0)</f>
        <v>0</v>
      </c>
      <c r="I38" s="113">
        <f>IFERROR(VLOOKUP(E38,#REF!,32,FALSE),0)</f>
        <v>0</v>
      </c>
      <c r="J38" s="113">
        <f>IFERROR(VLOOKUP(E38,#REF!,32,FALSE),0)</f>
        <v>0</v>
      </c>
      <c r="K38" s="113">
        <f>IFERROR(VLOOKUP(E38,#REF!,32,FALSE),0)</f>
        <v>0</v>
      </c>
      <c r="L38" s="113">
        <f>IFERROR(VLOOKUP(E38,#REF!,32,FALSE),0)</f>
        <v>0</v>
      </c>
      <c r="M38" s="113">
        <f>IFERROR(VLOOKUP(E38,#REF!,32,FALSE),0)</f>
        <v>0</v>
      </c>
      <c r="N38" s="113">
        <f>IFERROR(VLOOKUP(E38,#REF!,32,FALSE),0)</f>
        <v>0</v>
      </c>
      <c r="O38" s="113">
        <f>IFERROR(VLOOKUP(E38,#REF!,32,FALSE),0)</f>
        <v>0</v>
      </c>
      <c r="P38" s="113">
        <f>IFERROR(VLOOKUP(E38,#REF!,32,FALSE),0)</f>
        <v>0</v>
      </c>
      <c r="Q38" s="113">
        <f>IFERROR(VLOOKUP(E38,#REF!,32,FALSE),0)</f>
        <v>0</v>
      </c>
      <c r="R38" s="117">
        <f t="shared" si="1"/>
        <v>0</v>
      </c>
    </row>
    <row r="39" spans="2:18" ht="19.5" customHeight="1">
      <c r="B39" s="111">
        <f t="shared" si="0"/>
        <v>37</v>
      </c>
      <c r="C39" s="112"/>
      <c r="D39" s="112"/>
      <c r="E39" s="111"/>
      <c r="F39" s="115">
        <f>IFERROR(VLOOKUP(E39,#REF!,32,FALSE),0)</f>
        <v>0</v>
      </c>
      <c r="G39" s="113">
        <f>IFERROR(VLOOKUP(E39,#REF!,32,FALSE),0)</f>
        <v>0</v>
      </c>
      <c r="H39" s="113">
        <f>IFERROR(VLOOKUP(E39,#REF!,32,FALSE),0)</f>
        <v>0</v>
      </c>
      <c r="I39" s="113">
        <f>IFERROR(VLOOKUP(E39,#REF!,32,FALSE),0)</f>
        <v>0</v>
      </c>
      <c r="J39" s="113">
        <f>IFERROR(VLOOKUP(E39,#REF!,32,FALSE),0)</f>
        <v>0</v>
      </c>
      <c r="K39" s="113">
        <f>IFERROR(VLOOKUP(E39,#REF!,32,FALSE),0)</f>
        <v>0</v>
      </c>
      <c r="L39" s="113">
        <f>IFERROR(VLOOKUP(E39,#REF!,32,FALSE),0)</f>
        <v>0</v>
      </c>
      <c r="M39" s="113">
        <f>IFERROR(VLOOKUP(E39,#REF!,32,FALSE),0)</f>
        <v>0</v>
      </c>
      <c r="N39" s="113">
        <f>IFERROR(VLOOKUP(E39,#REF!,32,FALSE),0)</f>
        <v>0</v>
      </c>
      <c r="O39" s="113">
        <f>IFERROR(VLOOKUP(E39,#REF!,32,FALSE),0)</f>
        <v>0</v>
      </c>
      <c r="P39" s="113">
        <f>IFERROR(VLOOKUP(E39,#REF!,32,FALSE),0)</f>
        <v>0</v>
      </c>
      <c r="Q39" s="113">
        <f>IFERROR(VLOOKUP(E39,#REF!,32,FALSE),0)</f>
        <v>0</v>
      </c>
      <c r="R39" s="117">
        <f t="shared" si="1"/>
        <v>0</v>
      </c>
    </row>
    <row r="40" spans="2:18" ht="19.5" customHeight="1">
      <c r="B40" s="111">
        <f t="shared" si="0"/>
        <v>38</v>
      </c>
      <c r="C40" s="112"/>
      <c r="D40" s="112"/>
      <c r="E40" s="111"/>
      <c r="F40" s="115">
        <f>IFERROR(VLOOKUP(E40,#REF!,32,FALSE),0)</f>
        <v>0</v>
      </c>
      <c r="G40" s="113">
        <f>IFERROR(VLOOKUP(E40,#REF!,32,FALSE),0)</f>
        <v>0</v>
      </c>
      <c r="H40" s="113">
        <f>IFERROR(VLOOKUP(E40,#REF!,32,FALSE),0)</f>
        <v>0</v>
      </c>
      <c r="I40" s="113">
        <f>IFERROR(VLOOKUP(E40,#REF!,32,FALSE),0)</f>
        <v>0</v>
      </c>
      <c r="J40" s="113">
        <f>IFERROR(VLOOKUP(E40,#REF!,32,FALSE),0)</f>
        <v>0</v>
      </c>
      <c r="K40" s="113">
        <f>IFERROR(VLOOKUP(E40,#REF!,32,FALSE),0)</f>
        <v>0</v>
      </c>
      <c r="L40" s="113">
        <f>IFERROR(VLOOKUP(E40,#REF!,32,FALSE),0)</f>
        <v>0</v>
      </c>
      <c r="M40" s="113">
        <f>IFERROR(VLOOKUP(E40,#REF!,32,FALSE),0)</f>
        <v>0</v>
      </c>
      <c r="N40" s="113">
        <f>IFERROR(VLOOKUP(E40,#REF!,32,FALSE),0)</f>
        <v>0</v>
      </c>
      <c r="O40" s="113">
        <f>IFERROR(VLOOKUP(E40,#REF!,32,FALSE),0)</f>
        <v>0</v>
      </c>
      <c r="P40" s="113">
        <f>IFERROR(VLOOKUP(E40,#REF!,32,FALSE),0)</f>
        <v>0</v>
      </c>
      <c r="Q40" s="113">
        <f>IFERROR(VLOOKUP(E40,#REF!,32,FALSE),0)</f>
        <v>0</v>
      </c>
      <c r="R40" s="117">
        <f t="shared" si="1"/>
        <v>0</v>
      </c>
    </row>
    <row r="41" spans="2:18" ht="19.5" customHeight="1">
      <c r="B41" s="111">
        <f t="shared" si="0"/>
        <v>39</v>
      </c>
      <c r="C41" s="112"/>
      <c r="D41" s="112"/>
      <c r="F41" s="115">
        <f>IFERROR(VLOOKUP(E41,#REF!,32,FALSE),0)</f>
        <v>0</v>
      </c>
      <c r="G41" s="113">
        <f>IFERROR(VLOOKUP(E41,#REF!,32,FALSE),0)</f>
        <v>0</v>
      </c>
      <c r="H41" s="113">
        <f>IFERROR(VLOOKUP(E41,#REF!,32,FALSE),0)</f>
        <v>0</v>
      </c>
      <c r="I41" s="113">
        <f>IFERROR(VLOOKUP(E41,#REF!,32,FALSE),0)</f>
        <v>0</v>
      </c>
      <c r="J41" s="113">
        <f>IFERROR(VLOOKUP(E41,#REF!,32,FALSE),0)</f>
        <v>0</v>
      </c>
      <c r="K41" s="113">
        <f>IFERROR(VLOOKUP(E41,#REF!,32,FALSE),0)</f>
        <v>0</v>
      </c>
      <c r="L41" s="113">
        <f>IFERROR(VLOOKUP(E41,#REF!,32,FALSE),0)</f>
        <v>0</v>
      </c>
      <c r="M41" s="113">
        <f>IFERROR(VLOOKUP(E41,#REF!,32,FALSE),0)</f>
        <v>0</v>
      </c>
      <c r="N41" s="113">
        <f>IFERROR(VLOOKUP(E41,#REF!,32,FALSE),0)</f>
        <v>0</v>
      </c>
      <c r="O41" s="113">
        <f>IFERROR(VLOOKUP(E41,#REF!,32,FALSE),0)</f>
        <v>0</v>
      </c>
      <c r="P41" s="113">
        <f>IFERROR(VLOOKUP(E41,#REF!,32,FALSE),0)</f>
        <v>0</v>
      </c>
      <c r="Q41" s="113">
        <f>IFERROR(VLOOKUP(E41,#REF!,32,FALSE),0)</f>
        <v>0</v>
      </c>
      <c r="R41" s="117">
        <f t="shared" si="1"/>
        <v>0</v>
      </c>
    </row>
    <row r="42" spans="2:18" ht="19.5" customHeight="1">
      <c r="B42" s="111">
        <f t="shared" si="0"/>
        <v>40</v>
      </c>
      <c r="C42" s="112"/>
      <c r="D42" s="112"/>
      <c r="E42" s="111"/>
      <c r="F42" s="115">
        <f>IFERROR(VLOOKUP(E42,#REF!,32,FALSE),0)</f>
        <v>0</v>
      </c>
      <c r="G42" s="113">
        <f>IFERROR(VLOOKUP(E42,#REF!,32,FALSE),0)</f>
        <v>0</v>
      </c>
      <c r="H42" s="113">
        <f>IFERROR(VLOOKUP(E42,#REF!,32,FALSE),0)</f>
        <v>0</v>
      </c>
      <c r="I42" s="113">
        <f>IFERROR(VLOOKUP(E42,#REF!,32,FALSE),0)</f>
        <v>0</v>
      </c>
      <c r="J42" s="113">
        <f>IFERROR(VLOOKUP(E42,#REF!,32,FALSE),0)</f>
        <v>0</v>
      </c>
      <c r="K42" s="113">
        <f>IFERROR(VLOOKUP(E42,#REF!,32,FALSE),0)</f>
        <v>0</v>
      </c>
      <c r="L42" s="113">
        <f>IFERROR(VLOOKUP(E42,#REF!,32,FALSE),0)</f>
        <v>0</v>
      </c>
      <c r="M42" s="113">
        <f>IFERROR(VLOOKUP(E42,#REF!,32,FALSE),0)</f>
        <v>0</v>
      </c>
      <c r="N42" s="113">
        <f>IFERROR(VLOOKUP(E42,#REF!,32,FALSE),0)</f>
        <v>0</v>
      </c>
      <c r="O42" s="113">
        <f>IFERROR(VLOOKUP(E42,#REF!,32,FALSE),0)</f>
        <v>0</v>
      </c>
      <c r="P42" s="113">
        <f>IFERROR(VLOOKUP(E42,#REF!,32,FALSE),0)</f>
        <v>0</v>
      </c>
      <c r="Q42" s="113">
        <f>IFERROR(VLOOKUP(E42,#REF!,32,FALSE),0)</f>
        <v>0</v>
      </c>
      <c r="R42" s="117">
        <f t="shared" si="1"/>
        <v>0</v>
      </c>
    </row>
    <row r="43" spans="2:18" ht="19.5" customHeight="1">
      <c r="B43" s="111">
        <f t="shared" si="0"/>
        <v>41</v>
      </c>
      <c r="C43" s="112"/>
      <c r="D43" s="112"/>
      <c r="E43" s="111"/>
      <c r="F43" s="115">
        <f>IFERROR(VLOOKUP(E43,#REF!,32,FALSE),0)</f>
        <v>0</v>
      </c>
      <c r="G43" s="113">
        <f>IFERROR(VLOOKUP(E43,#REF!,32,FALSE),0)</f>
        <v>0</v>
      </c>
      <c r="H43" s="113">
        <f>IFERROR(VLOOKUP(E43,#REF!,32,FALSE),0)</f>
        <v>0</v>
      </c>
      <c r="I43" s="113">
        <f>IFERROR(VLOOKUP(E43,#REF!,32,FALSE),0)</f>
        <v>0</v>
      </c>
      <c r="J43" s="113">
        <f>IFERROR(VLOOKUP(E43,#REF!,32,FALSE),0)</f>
        <v>0</v>
      </c>
      <c r="K43" s="113">
        <f>IFERROR(VLOOKUP(E43,#REF!,32,FALSE),0)</f>
        <v>0</v>
      </c>
      <c r="L43" s="113">
        <f>IFERROR(VLOOKUP(E43,#REF!,32,FALSE),0)</f>
        <v>0</v>
      </c>
      <c r="M43" s="113">
        <f>IFERROR(VLOOKUP(E43,#REF!,32,FALSE),0)</f>
        <v>0</v>
      </c>
      <c r="N43" s="113">
        <f>IFERROR(VLOOKUP(E43,#REF!,32,FALSE),0)</f>
        <v>0</v>
      </c>
      <c r="O43" s="113">
        <f>IFERROR(VLOOKUP(E43,#REF!,32,FALSE),0)</f>
        <v>0</v>
      </c>
      <c r="P43" s="113">
        <f>IFERROR(VLOOKUP(E43,#REF!,32,FALSE),0)</f>
        <v>0</v>
      </c>
      <c r="Q43" s="113">
        <f>IFERROR(VLOOKUP(E43,#REF!,32,FALSE),0)</f>
        <v>0</v>
      </c>
      <c r="R43" s="117">
        <f t="shared" si="1"/>
        <v>0</v>
      </c>
    </row>
    <row r="44" spans="2:18" ht="19.5" customHeight="1">
      <c r="B44" s="111">
        <f t="shared" si="0"/>
        <v>42</v>
      </c>
      <c r="C44" s="112"/>
      <c r="D44" s="112"/>
      <c r="E44" s="111"/>
      <c r="F44" s="115">
        <f>IFERROR(VLOOKUP(E44,#REF!,32,FALSE),0)</f>
        <v>0</v>
      </c>
      <c r="G44" s="113">
        <f>IFERROR(VLOOKUP(E44,#REF!,32,FALSE),0)</f>
        <v>0</v>
      </c>
      <c r="H44" s="113">
        <f>IFERROR(VLOOKUP(E44,#REF!,32,FALSE),0)</f>
        <v>0</v>
      </c>
      <c r="I44" s="113">
        <f>IFERROR(VLOOKUP(E44,#REF!,32,FALSE),0)</f>
        <v>0</v>
      </c>
      <c r="J44" s="113">
        <f>IFERROR(VLOOKUP(E44,#REF!,32,FALSE),0)</f>
        <v>0</v>
      </c>
      <c r="K44" s="113">
        <f>IFERROR(VLOOKUP(E44,#REF!,32,FALSE),0)</f>
        <v>0</v>
      </c>
      <c r="L44" s="113">
        <f>IFERROR(VLOOKUP(E44,#REF!,32,FALSE),0)</f>
        <v>0</v>
      </c>
      <c r="M44" s="113">
        <f>IFERROR(VLOOKUP(E44,#REF!,32,FALSE),0)</f>
        <v>0</v>
      </c>
      <c r="N44" s="113">
        <f>IFERROR(VLOOKUP(E44,#REF!,32,FALSE),0)</f>
        <v>0</v>
      </c>
      <c r="O44" s="113">
        <f>IFERROR(VLOOKUP(E44,#REF!,32,FALSE),0)</f>
        <v>0</v>
      </c>
      <c r="P44" s="113">
        <f>IFERROR(VLOOKUP(E44,#REF!,32,FALSE),0)</f>
        <v>0</v>
      </c>
      <c r="Q44" s="113">
        <f>IFERROR(VLOOKUP(E44,#REF!,32,FALSE),0)</f>
        <v>0</v>
      </c>
      <c r="R44" s="117">
        <f t="shared" si="1"/>
        <v>0</v>
      </c>
    </row>
    <row r="45" spans="2:18" ht="19.5" customHeight="1">
      <c r="B45" s="111">
        <f t="shared" si="0"/>
        <v>43</v>
      </c>
      <c r="C45" s="112"/>
      <c r="D45" s="112"/>
      <c r="E45" s="111"/>
      <c r="F45" s="115">
        <f>IFERROR(VLOOKUP(E45,#REF!,32,FALSE),0)</f>
        <v>0</v>
      </c>
      <c r="G45" s="113">
        <f>IFERROR(VLOOKUP(E45,#REF!,32,FALSE),0)</f>
        <v>0</v>
      </c>
      <c r="H45" s="113">
        <f>IFERROR(VLOOKUP(E45,#REF!,32,FALSE),0)</f>
        <v>0</v>
      </c>
      <c r="I45" s="113">
        <f>IFERROR(VLOOKUP(E45,#REF!,32,FALSE),0)</f>
        <v>0</v>
      </c>
      <c r="J45" s="113">
        <f>IFERROR(VLOOKUP(E45,#REF!,32,FALSE),0)</f>
        <v>0</v>
      </c>
      <c r="K45" s="113">
        <f>IFERROR(VLOOKUP(E45,#REF!,32,FALSE),0)</f>
        <v>0</v>
      </c>
      <c r="L45" s="113">
        <f>IFERROR(VLOOKUP(E45,#REF!,32,FALSE),0)</f>
        <v>0</v>
      </c>
      <c r="M45" s="113">
        <f>IFERROR(VLOOKUP(E45,#REF!,32,FALSE),0)</f>
        <v>0</v>
      </c>
      <c r="N45" s="113">
        <f>IFERROR(VLOOKUP(E45,#REF!,32,FALSE),0)</f>
        <v>0</v>
      </c>
      <c r="O45" s="113">
        <f>IFERROR(VLOOKUP(E45,#REF!,32,FALSE),0)</f>
        <v>0</v>
      </c>
      <c r="P45" s="113">
        <f>IFERROR(VLOOKUP(E45,#REF!,32,FALSE),0)</f>
        <v>0</v>
      </c>
      <c r="Q45" s="113">
        <f>IFERROR(VLOOKUP(E45,#REF!,32,FALSE),0)</f>
        <v>0</v>
      </c>
      <c r="R45" s="117">
        <f t="shared" si="1"/>
        <v>0</v>
      </c>
    </row>
    <row r="46" spans="2:18" ht="19.5" customHeight="1">
      <c r="B46" s="111">
        <f t="shared" si="0"/>
        <v>44</v>
      </c>
      <c r="C46" s="112"/>
      <c r="D46" s="112"/>
      <c r="E46" s="111"/>
      <c r="F46" s="115">
        <f>IFERROR(VLOOKUP(E46,#REF!,32,FALSE),0)</f>
        <v>0</v>
      </c>
      <c r="G46" s="113">
        <f>IFERROR(VLOOKUP(E46,#REF!,32,FALSE),0)</f>
        <v>0</v>
      </c>
      <c r="H46" s="113">
        <f>IFERROR(VLOOKUP(E46,#REF!,32,FALSE),0)</f>
        <v>0</v>
      </c>
      <c r="I46" s="113">
        <f>IFERROR(VLOOKUP(E46,#REF!,32,FALSE),0)</f>
        <v>0</v>
      </c>
      <c r="J46" s="113">
        <f>IFERROR(VLOOKUP(E46,#REF!,32,FALSE),0)</f>
        <v>0</v>
      </c>
      <c r="K46" s="113">
        <f>IFERROR(VLOOKUP(E46,#REF!,32,FALSE),0)</f>
        <v>0</v>
      </c>
      <c r="L46" s="113">
        <f>IFERROR(VLOOKUP(E46,#REF!,32,FALSE),0)</f>
        <v>0</v>
      </c>
      <c r="M46" s="113">
        <f>IFERROR(VLOOKUP(E46,#REF!,32,FALSE),0)</f>
        <v>0</v>
      </c>
      <c r="N46" s="113">
        <f>IFERROR(VLOOKUP(E46,#REF!,32,FALSE),0)</f>
        <v>0</v>
      </c>
      <c r="O46" s="113">
        <f>IFERROR(VLOOKUP(E46,#REF!,32,FALSE),0)</f>
        <v>0</v>
      </c>
      <c r="P46" s="113">
        <f>IFERROR(VLOOKUP(E46,#REF!,32,FALSE),0)</f>
        <v>0</v>
      </c>
      <c r="Q46" s="113">
        <f>IFERROR(VLOOKUP(E46,#REF!,32,FALSE),0)</f>
        <v>0</v>
      </c>
      <c r="R46" s="117">
        <f t="shared" si="1"/>
        <v>0</v>
      </c>
    </row>
    <row r="47" spans="2:18" ht="19.5" customHeight="1">
      <c r="B47" s="111">
        <f t="shared" si="0"/>
        <v>45</v>
      </c>
      <c r="C47" s="112"/>
      <c r="D47" s="112"/>
      <c r="E47" s="111"/>
      <c r="F47" s="115">
        <f>IFERROR(VLOOKUP(E47,#REF!,32,FALSE),0)</f>
        <v>0</v>
      </c>
      <c r="G47" s="113">
        <f>IFERROR(VLOOKUP(E47,#REF!,32,FALSE),0)</f>
        <v>0</v>
      </c>
      <c r="H47" s="113">
        <f>IFERROR(VLOOKUP(E47,#REF!,32,FALSE),0)</f>
        <v>0</v>
      </c>
      <c r="I47" s="113">
        <f>IFERROR(VLOOKUP(E47,#REF!,32,FALSE),0)</f>
        <v>0</v>
      </c>
      <c r="J47" s="113">
        <f>IFERROR(VLOOKUP(E47,#REF!,32,FALSE),0)</f>
        <v>0</v>
      </c>
      <c r="K47" s="113">
        <f>IFERROR(VLOOKUP(E47,#REF!,32,FALSE),0)</f>
        <v>0</v>
      </c>
      <c r="L47" s="113">
        <f>IFERROR(VLOOKUP(E47,#REF!,32,FALSE),0)</f>
        <v>0</v>
      </c>
      <c r="M47" s="113">
        <f>IFERROR(VLOOKUP(E47,#REF!,32,FALSE),0)</f>
        <v>0</v>
      </c>
      <c r="N47" s="113">
        <f>IFERROR(VLOOKUP(E47,#REF!,32,FALSE),0)</f>
        <v>0</v>
      </c>
      <c r="O47" s="113">
        <f>IFERROR(VLOOKUP(E47,#REF!,32,FALSE),0)</f>
        <v>0</v>
      </c>
      <c r="P47" s="113">
        <f>IFERROR(VLOOKUP(E47,#REF!,32,FALSE),0)</f>
        <v>0</v>
      </c>
      <c r="Q47" s="113">
        <f>IFERROR(VLOOKUP(E47,#REF!,32,FALSE),0)</f>
        <v>0</v>
      </c>
      <c r="R47" s="117">
        <f t="shared" si="1"/>
        <v>0</v>
      </c>
    </row>
    <row r="48" spans="2:18" ht="19.5" customHeight="1">
      <c r="B48" s="111">
        <f t="shared" si="0"/>
        <v>46</v>
      </c>
      <c r="C48" s="112"/>
      <c r="D48" s="112"/>
      <c r="E48" s="111"/>
      <c r="F48" s="115">
        <f>IFERROR(VLOOKUP(E48,#REF!,32,FALSE),0)</f>
        <v>0</v>
      </c>
      <c r="G48" s="113">
        <f>IFERROR(VLOOKUP(E48,#REF!,32,FALSE),0)</f>
        <v>0</v>
      </c>
      <c r="H48" s="113">
        <f>IFERROR(VLOOKUP(E48,#REF!,32,FALSE),0)</f>
        <v>0</v>
      </c>
      <c r="I48" s="113">
        <f>IFERROR(VLOOKUP(E48,#REF!,32,FALSE),0)</f>
        <v>0</v>
      </c>
      <c r="J48" s="113">
        <f>IFERROR(VLOOKUP(E48,#REF!,32,FALSE),0)</f>
        <v>0</v>
      </c>
      <c r="K48" s="113">
        <f>IFERROR(VLOOKUP(E48,#REF!,32,FALSE),0)</f>
        <v>0</v>
      </c>
      <c r="L48" s="113">
        <f>IFERROR(VLOOKUP(E48,#REF!,32,FALSE),0)</f>
        <v>0</v>
      </c>
      <c r="M48" s="113">
        <f>IFERROR(VLOOKUP(E48,#REF!,32,FALSE),0)</f>
        <v>0</v>
      </c>
      <c r="N48" s="113">
        <f>IFERROR(VLOOKUP(E48,#REF!,32,FALSE),0)</f>
        <v>0</v>
      </c>
      <c r="O48" s="113">
        <f>IFERROR(VLOOKUP(E48,#REF!,32,FALSE),0)</f>
        <v>0</v>
      </c>
      <c r="P48" s="113">
        <f>IFERROR(VLOOKUP(E48,#REF!,32,FALSE),0)</f>
        <v>0</v>
      </c>
      <c r="Q48" s="113">
        <f>IFERROR(VLOOKUP(E48,#REF!,32,FALSE),0)</f>
        <v>0</v>
      </c>
      <c r="R48" s="117">
        <f t="shared" si="1"/>
        <v>0</v>
      </c>
    </row>
    <row r="49" spans="2:18" ht="19.5" customHeight="1">
      <c r="B49" s="111">
        <f t="shared" si="0"/>
        <v>47</v>
      </c>
      <c r="C49" s="112"/>
      <c r="D49" s="112"/>
      <c r="E49" s="111"/>
      <c r="F49" s="115">
        <f>IFERROR(VLOOKUP(E49,#REF!,32,FALSE),0)</f>
        <v>0</v>
      </c>
      <c r="G49" s="113">
        <f>IFERROR(VLOOKUP(E49,#REF!,32,FALSE),0)</f>
        <v>0</v>
      </c>
      <c r="H49" s="113">
        <f>IFERROR(VLOOKUP(E49,#REF!,32,FALSE),0)</f>
        <v>0</v>
      </c>
      <c r="I49" s="113">
        <f>IFERROR(VLOOKUP(E49,#REF!,32,FALSE),0)</f>
        <v>0</v>
      </c>
      <c r="J49" s="113">
        <f>IFERROR(VLOOKUP(E49,#REF!,32,FALSE),0)</f>
        <v>0</v>
      </c>
      <c r="K49" s="113">
        <f>IFERROR(VLOOKUP(E49,#REF!,32,FALSE),0)</f>
        <v>0</v>
      </c>
      <c r="L49" s="113">
        <f>IFERROR(VLOOKUP(E49,#REF!,32,FALSE),0)</f>
        <v>0</v>
      </c>
      <c r="M49" s="113">
        <f>IFERROR(VLOOKUP(E49,#REF!,32,FALSE),0)</f>
        <v>0</v>
      </c>
      <c r="N49" s="113">
        <f>IFERROR(VLOOKUP(E49,#REF!,32,FALSE),0)</f>
        <v>0</v>
      </c>
      <c r="O49" s="113">
        <f>IFERROR(VLOOKUP(E49,#REF!,32,FALSE),0)</f>
        <v>0</v>
      </c>
      <c r="P49" s="113">
        <f>IFERROR(VLOOKUP(E49,#REF!,32,FALSE),0)</f>
        <v>0</v>
      </c>
      <c r="Q49" s="113">
        <f>IFERROR(VLOOKUP(E49,#REF!,32,FALSE),0)</f>
        <v>0</v>
      </c>
      <c r="R49" s="117">
        <f t="shared" si="1"/>
        <v>0</v>
      </c>
    </row>
    <row r="50" spans="2:18" ht="19.5" customHeight="1">
      <c r="B50" s="111">
        <f t="shared" si="0"/>
        <v>48</v>
      </c>
      <c r="C50" s="112"/>
      <c r="D50" s="112"/>
      <c r="E50" s="111"/>
      <c r="F50" s="115">
        <f>IFERROR(VLOOKUP(E50,#REF!,32,FALSE),0)</f>
        <v>0</v>
      </c>
      <c r="G50" s="113">
        <f>IFERROR(VLOOKUP(E50,#REF!,32,FALSE),0)</f>
        <v>0</v>
      </c>
      <c r="H50" s="113">
        <f>IFERROR(VLOOKUP(E50,#REF!,32,FALSE),0)</f>
        <v>0</v>
      </c>
      <c r="I50" s="113">
        <f>IFERROR(VLOOKUP(E50,#REF!,32,FALSE),0)</f>
        <v>0</v>
      </c>
      <c r="J50" s="113">
        <f>IFERROR(VLOOKUP(E50,#REF!,32,FALSE),0)</f>
        <v>0</v>
      </c>
      <c r="K50" s="113">
        <f>IFERROR(VLOOKUP(E50,#REF!,32,FALSE),0)</f>
        <v>0</v>
      </c>
      <c r="L50" s="113">
        <f>IFERROR(VLOOKUP(E50,#REF!,32,FALSE),0)</f>
        <v>0</v>
      </c>
      <c r="M50" s="113">
        <f>IFERROR(VLOOKUP(E50,#REF!,32,FALSE),0)</f>
        <v>0</v>
      </c>
      <c r="N50" s="113">
        <f>IFERROR(VLOOKUP(E50,#REF!,32,FALSE),0)</f>
        <v>0</v>
      </c>
      <c r="O50" s="113">
        <f>IFERROR(VLOOKUP(E50,#REF!,32,FALSE),0)</f>
        <v>0</v>
      </c>
      <c r="P50" s="113">
        <f>IFERROR(VLOOKUP(E50,#REF!,32,FALSE),0)</f>
        <v>0</v>
      </c>
      <c r="Q50" s="113">
        <f>IFERROR(VLOOKUP(E50,#REF!,32,FALSE),0)</f>
        <v>0</v>
      </c>
      <c r="R50" s="117">
        <f t="shared" si="1"/>
        <v>0</v>
      </c>
    </row>
    <row r="51" spans="2:18" ht="19.5" customHeight="1">
      <c r="B51" s="111">
        <f t="shared" si="0"/>
        <v>49</v>
      </c>
      <c r="C51" s="112"/>
      <c r="D51" s="112"/>
      <c r="E51" s="111"/>
      <c r="F51" s="115">
        <f>IFERROR(VLOOKUP(E51,#REF!,32,FALSE),0)</f>
        <v>0</v>
      </c>
      <c r="G51" s="113">
        <f>IFERROR(VLOOKUP(E51,#REF!,32,FALSE),0)</f>
        <v>0</v>
      </c>
      <c r="H51" s="113">
        <f>IFERROR(VLOOKUP(E51,#REF!,32,FALSE),0)</f>
        <v>0</v>
      </c>
      <c r="I51" s="113">
        <f>IFERROR(VLOOKUP(E51,#REF!,32,FALSE),0)</f>
        <v>0</v>
      </c>
      <c r="J51" s="113">
        <f>IFERROR(VLOOKUP(E51,#REF!,32,FALSE),0)</f>
        <v>0</v>
      </c>
      <c r="K51" s="113">
        <f>IFERROR(VLOOKUP(E51,#REF!,32,FALSE),0)</f>
        <v>0</v>
      </c>
      <c r="L51" s="113">
        <f>IFERROR(VLOOKUP(E51,#REF!,32,FALSE),0)</f>
        <v>0</v>
      </c>
      <c r="M51" s="113">
        <f>IFERROR(VLOOKUP(E51,#REF!,32,FALSE),0)</f>
        <v>0</v>
      </c>
      <c r="N51" s="113">
        <f>IFERROR(VLOOKUP(E51,#REF!,32,FALSE),0)</f>
        <v>0</v>
      </c>
      <c r="O51" s="113">
        <f>IFERROR(VLOOKUP(E51,#REF!,32,FALSE),0)</f>
        <v>0</v>
      </c>
      <c r="P51" s="113">
        <f>IFERROR(VLOOKUP(E51,#REF!,32,FALSE),0)</f>
        <v>0</v>
      </c>
      <c r="Q51" s="113">
        <f>IFERROR(VLOOKUP(E51,#REF!,32,FALSE),0)</f>
        <v>0</v>
      </c>
      <c r="R51" s="117">
        <f t="shared" si="1"/>
        <v>0</v>
      </c>
    </row>
    <row r="52" spans="2:18" ht="19.5" customHeight="1">
      <c r="B52" s="111">
        <f t="shared" si="0"/>
        <v>50</v>
      </c>
      <c r="C52" s="112"/>
      <c r="D52" s="112"/>
      <c r="F52" s="115">
        <f>IFERROR(VLOOKUP(E52,#REF!,32,FALSE),0)</f>
        <v>0</v>
      </c>
      <c r="G52" s="113">
        <f>IFERROR(VLOOKUP(E52,#REF!,32,FALSE),0)</f>
        <v>0</v>
      </c>
      <c r="H52" s="113">
        <f>IFERROR(VLOOKUP(E52,#REF!,32,FALSE),0)</f>
        <v>0</v>
      </c>
      <c r="I52" s="113">
        <f>IFERROR(VLOOKUP(E52,#REF!,32,FALSE),0)</f>
        <v>0</v>
      </c>
      <c r="J52" s="113">
        <f>IFERROR(VLOOKUP(E52,#REF!,32,FALSE),0)</f>
        <v>0</v>
      </c>
      <c r="K52" s="113">
        <f>IFERROR(VLOOKUP(E52,#REF!,32,FALSE),0)</f>
        <v>0</v>
      </c>
      <c r="L52" s="113">
        <f>IFERROR(VLOOKUP(E52,#REF!,32,FALSE),0)</f>
        <v>0</v>
      </c>
      <c r="M52" s="113">
        <f>IFERROR(VLOOKUP(E52,#REF!,32,FALSE),0)</f>
        <v>0</v>
      </c>
      <c r="N52" s="113">
        <f>IFERROR(VLOOKUP(E52,#REF!,32,FALSE),0)</f>
        <v>0</v>
      </c>
      <c r="O52" s="113">
        <f>IFERROR(VLOOKUP(E52,#REF!,32,FALSE),0)</f>
        <v>0</v>
      </c>
      <c r="P52" s="113">
        <f>IFERROR(VLOOKUP(E52,#REF!,32,FALSE),0)</f>
        <v>0</v>
      </c>
      <c r="Q52" s="113">
        <f>IFERROR(VLOOKUP(E52,#REF!,32,FALSE),0)</f>
        <v>0</v>
      </c>
      <c r="R52" s="117">
        <f t="shared" si="1"/>
        <v>0</v>
      </c>
    </row>
    <row r="53" spans="2:18" ht="19.5" customHeight="1">
      <c r="B53" s="881" t="s">
        <v>503</v>
      </c>
      <c r="C53" s="881"/>
      <c r="D53" s="881"/>
      <c r="E53" s="881"/>
      <c r="F53" s="197">
        <f t="shared" ref="F53:R53" si="2">SUM(F3:F52)</f>
        <v>0</v>
      </c>
      <c r="G53" s="198">
        <f t="shared" si="2"/>
        <v>0</v>
      </c>
      <c r="H53" s="198">
        <f t="shared" si="2"/>
        <v>0</v>
      </c>
      <c r="I53" s="198">
        <f t="shared" si="2"/>
        <v>0</v>
      </c>
      <c r="J53" s="198">
        <f t="shared" si="2"/>
        <v>0</v>
      </c>
      <c r="K53" s="198">
        <f t="shared" si="2"/>
        <v>0</v>
      </c>
      <c r="L53" s="198">
        <f t="shared" si="2"/>
        <v>0</v>
      </c>
      <c r="M53" s="198">
        <f t="shared" si="2"/>
        <v>0</v>
      </c>
      <c r="N53" s="198">
        <f t="shared" si="2"/>
        <v>0</v>
      </c>
      <c r="O53" s="198">
        <f t="shared" si="2"/>
        <v>0</v>
      </c>
      <c r="P53" s="198">
        <f t="shared" si="2"/>
        <v>0</v>
      </c>
      <c r="Q53" s="198">
        <f t="shared" si="2"/>
        <v>0</v>
      </c>
      <c r="R53" s="199">
        <f t="shared" si="2"/>
        <v>0</v>
      </c>
    </row>
    <row r="54" spans="2:18" ht="19.5" customHeight="1">
      <c r="B54" s="882" t="s">
        <v>504</v>
      </c>
      <c r="C54" s="882"/>
      <c r="D54" s="882"/>
      <c r="E54" s="882"/>
      <c r="F54" s="115" t="e">
        <f>#REF!</f>
        <v>#REF!</v>
      </c>
      <c r="G54" s="113" t="e">
        <f>#REF!</f>
        <v>#REF!</v>
      </c>
      <c r="H54" s="113" t="e">
        <f>#REF!</f>
        <v>#REF!</v>
      </c>
      <c r="I54" s="113" t="e">
        <f>#REF!</f>
        <v>#REF!</v>
      </c>
      <c r="J54" s="113" t="e">
        <f>#REF!</f>
        <v>#REF!</v>
      </c>
      <c r="K54" s="113" t="e">
        <f>#REF!</f>
        <v>#REF!</v>
      </c>
      <c r="L54" s="113" t="e">
        <f>#REF!</f>
        <v>#REF!</v>
      </c>
      <c r="M54" s="113" t="e">
        <f>#REF!</f>
        <v>#REF!</v>
      </c>
      <c r="N54" s="113" t="e">
        <f>#REF!</f>
        <v>#REF!</v>
      </c>
      <c r="O54" s="113" t="e">
        <f>#REF!</f>
        <v>#REF!</v>
      </c>
      <c r="P54" s="113" t="e">
        <f>#REF!</f>
        <v>#REF!</v>
      </c>
      <c r="Q54" s="113" t="e">
        <f>#REF!</f>
        <v>#REF!</v>
      </c>
      <c r="R54" s="117" t="e">
        <f>SUM(F54:Q54)</f>
        <v>#REF!</v>
      </c>
    </row>
    <row r="55" spans="2:18" s="121" customFormat="1" ht="19.5" customHeight="1">
      <c r="B55" s="883" t="s">
        <v>506</v>
      </c>
      <c r="C55" s="883"/>
      <c r="D55" s="883"/>
      <c r="E55" s="883"/>
      <c r="F55" s="230" t="e">
        <f t="shared" ref="F55:R55" si="3">F54-F53</f>
        <v>#REF!</v>
      </c>
      <c r="G55" s="119" t="e">
        <f t="shared" si="3"/>
        <v>#REF!</v>
      </c>
      <c r="H55" s="119" t="e">
        <f t="shared" si="3"/>
        <v>#REF!</v>
      </c>
      <c r="I55" s="119" t="e">
        <f t="shared" si="3"/>
        <v>#REF!</v>
      </c>
      <c r="J55" s="119" t="e">
        <f t="shared" si="3"/>
        <v>#REF!</v>
      </c>
      <c r="K55" s="119" t="e">
        <f t="shared" si="3"/>
        <v>#REF!</v>
      </c>
      <c r="L55" s="119" t="e">
        <f t="shared" si="3"/>
        <v>#REF!</v>
      </c>
      <c r="M55" s="119" t="e">
        <f t="shared" si="3"/>
        <v>#REF!</v>
      </c>
      <c r="N55" s="119" t="e">
        <f t="shared" si="3"/>
        <v>#REF!</v>
      </c>
      <c r="O55" s="119" t="e">
        <f t="shared" si="3"/>
        <v>#REF!</v>
      </c>
      <c r="P55" s="119" t="e">
        <f t="shared" si="3"/>
        <v>#REF!</v>
      </c>
      <c r="Q55" s="119" t="e">
        <f t="shared" si="3"/>
        <v>#REF!</v>
      </c>
      <c r="R55" s="120" t="e">
        <f t="shared" si="3"/>
        <v>#REF!</v>
      </c>
    </row>
    <row r="56" spans="2:18" ht="19.5" customHeight="1">
      <c r="F56" s="114"/>
      <c r="G56" s="114"/>
      <c r="H56" s="114"/>
      <c r="I56" s="114"/>
      <c r="J56" s="114"/>
      <c r="K56" s="114"/>
      <c r="L56" s="114"/>
      <c r="M56" s="114"/>
      <c r="N56" s="114"/>
      <c r="O56" s="114"/>
      <c r="P56" s="114"/>
      <c r="Q56" s="114"/>
      <c r="R56" s="118"/>
    </row>
  </sheetData>
  <autoFilter ref="A2:R55" xr:uid="{00000000-0009-0000-0000-000014000000}"/>
  <sortState xmlns:xlrd2="http://schemas.microsoft.com/office/spreadsheetml/2017/richdata2" ref="C4:E52">
    <sortCondition ref="C3"/>
  </sortState>
  <mergeCells count="3">
    <mergeCell ref="B53:E53"/>
    <mergeCell ref="B54:E54"/>
    <mergeCell ref="B55:E55"/>
  </mergeCells>
  <phoneticPr fontId="4"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tabColor theme="5" tint="0.59999389629810485"/>
    <pageSetUpPr fitToPage="1"/>
  </sheetPr>
  <dimension ref="A1:U110"/>
  <sheetViews>
    <sheetView view="pageBreakPreview" zoomScaleNormal="100" zoomScaleSheetLayoutView="100" workbookViewId="0">
      <selection activeCell="B15" sqref="B15:J15"/>
    </sheetView>
  </sheetViews>
  <sheetFormatPr defaultColWidth="8.875" defaultRowHeight="26.25"/>
  <cols>
    <col min="1" max="1" width="3.375" style="375" customWidth="1"/>
    <col min="2" max="2" width="2.625" style="375" customWidth="1"/>
    <col min="3" max="3" width="6" style="375" customWidth="1"/>
    <col min="4" max="4" width="1.875" style="375" customWidth="1"/>
    <col min="5" max="5" width="16.375" style="375" bestFit="1" customWidth="1"/>
    <col min="6" max="6" width="8.875" style="375"/>
    <col min="7" max="7" width="2.125" style="375" customWidth="1"/>
    <col min="8" max="8" width="12.25" style="375" customWidth="1"/>
    <col min="9" max="9" width="2.125" style="375" customWidth="1"/>
    <col min="10" max="10" width="10.25" style="375" customWidth="1"/>
    <col min="11" max="11" width="3" style="375" customWidth="1"/>
    <col min="12" max="12" width="2.25" style="375" customWidth="1"/>
    <col min="13" max="256" width="8.875" style="375"/>
    <col min="257" max="257" width="3.375" style="375" customWidth="1"/>
    <col min="258" max="258" width="2.625" style="375" customWidth="1"/>
    <col min="259" max="259" width="14.25" style="375" customWidth="1"/>
    <col min="260" max="260" width="1.875" style="375" customWidth="1"/>
    <col min="261" max="261" width="16.375" style="375" bestFit="1" customWidth="1"/>
    <col min="262" max="262" width="8.875" style="375"/>
    <col min="263" max="263" width="2.125" style="375" customWidth="1"/>
    <col min="264" max="264" width="12.25" style="375" customWidth="1"/>
    <col min="265" max="265" width="2.125" style="375" customWidth="1"/>
    <col min="266" max="266" width="10.25" style="375" customWidth="1"/>
    <col min="267" max="267" width="3" style="375" customWidth="1"/>
    <col min="268" max="268" width="2.25" style="375" customWidth="1"/>
    <col min="269" max="512" width="8.875" style="375"/>
    <col min="513" max="513" width="3.375" style="375" customWidth="1"/>
    <col min="514" max="514" width="2.625" style="375" customWidth="1"/>
    <col min="515" max="515" width="14.25" style="375" customWidth="1"/>
    <col min="516" max="516" width="1.875" style="375" customWidth="1"/>
    <col min="517" max="517" width="16.375" style="375" bestFit="1" customWidth="1"/>
    <col min="518" max="518" width="8.875" style="375"/>
    <col min="519" max="519" width="2.125" style="375" customWidth="1"/>
    <col min="520" max="520" width="12.25" style="375" customWidth="1"/>
    <col min="521" max="521" width="2.125" style="375" customWidth="1"/>
    <col min="522" max="522" width="10.25" style="375" customWidth="1"/>
    <col min="523" max="523" width="3" style="375" customWidth="1"/>
    <col min="524" max="524" width="2.25" style="375" customWidth="1"/>
    <col min="525" max="768" width="8.875" style="375"/>
    <col min="769" max="769" width="3.375" style="375" customWidth="1"/>
    <col min="770" max="770" width="2.625" style="375" customWidth="1"/>
    <col min="771" max="771" width="14.25" style="375" customWidth="1"/>
    <col min="772" max="772" width="1.875" style="375" customWidth="1"/>
    <col min="773" max="773" width="16.375" style="375" bestFit="1" customWidth="1"/>
    <col min="774" max="774" width="8.875" style="375"/>
    <col min="775" max="775" width="2.125" style="375" customWidth="1"/>
    <col min="776" max="776" width="12.25" style="375" customWidth="1"/>
    <col min="777" max="777" width="2.125" style="375" customWidth="1"/>
    <col min="778" max="778" width="10.25" style="375" customWidth="1"/>
    <col min="779" max="779" width="3" style="375" customWidth="1"/>
    <col min="780" max="780" width="2.25" style="375" customWidth="1"/>
    <col min="781" max="1024" width="8.875" style="375"/>
    <col min="1025" max="1025" width="3.375" style="375" customWidth="1"/>
    <col min="1026" max="1026" width="2.625" style="375" customWidth="1"/>
    <col min="1027" max="1027" width="14.25" style="375" customWidth="1"/>
    <col min="1028" max="1028" width="1.875" style="375" customWidth="1"/>
    <col min="1029" max="1029" width="16.375" style="375" bestFit="1" customWidth="1"/>
    <col min="1030" max="1030" width="8.875" style="375"/>
    <col min="1031" max="1031" width="2.125" style="375" customWidth="1"/>
    <col min="1032" max="1032" width="12.25" style="375" customWidth="1"/>
    <col min="1033" max="1033" width="2.125" style="375" customWidth="1"/>
    <col min="1034" max="1034" width="10.25" style="375" customWidth="1"/>
    <col min="1035" max="1035" width="3" style="375" customWidth="1"/>
    <col min="1036" max="1036" width="2.25" style="375" customWidth="1"/>
    <col min="1037" max="1280" width="8.875" style="375"/>
    <col min="1281" max="1281" width="3.375" style="375" customWidth="1"/>
    <col min="1282" max="1282" width="2.625" style="375" customWidth="1"/>
    <col min="1283" max="1283" width="14.25" style="375" customWidth="1"/>
    <col min="1284" max="1284" width="1.875" style="375" customWidth="1"/>
    <col min="1285" max="1285" width="16.375" style="375" bestFit="1" customWidth="1"/>
    <col min="1286" max="1286" width="8.875" style="375"/>
    <col min="1287" max="1287" width="2.125" style="375" customWidth="1"/>
    <col min="1288" max="1288" width="12.25" style="375" customWidth="1"/>
    <col min="1289" max="1289" width="2.125" style="375" customWidth="1"/>
    <col min="1290" max="1290" width="10.25" style="375" customWidth="1"/>
    <col min="1291" max="1291" width="3" style="375" customWidth="1"/>
    <col min="1292" max="1292" width="2.25" style="375" customWidth="1"/>
    <col min="1293" max="1536" width="8.875" style="375"/>
    <col min="1537" max="1537" width="3.375" style="375" customWidth="1"/>
    <col min="1538" max="1538" width="2.625" style="375" customWidth="1"/>
    <col min="1539" max="1539" width="14.25" style="375" customWidth="1"/>
    <col min="1540" max="1540" width="1.875" style="375" customWidth="1"/>
    <col min="1541" max="1541" width="16.375" style="375" bestFit="1" customWidth="1"/>
    <col min="1542" max="1542" width="8.875" style="375"/>
    <col min="1543" max="1543" width="2.125" style="375" customWidth="1"/>
    <col min="1544" max="1544" width="12.25" style="375" customWidth="1"/>
    <col min="1545" max="1545" width="2.125" style="375" customWidth="1"/>
    <col min="1546" max="1546" width="10.25" style="375" customWidth="1"/>
    <col min="1547" max="1547" width="3" style="375" customWidth="1"/>
    <col min="1548" max="1548" width="2.25" style="375" customWidth="1"/>
    <col min="1549" max="1792" width="8.875" style="375"/>
    <col min="1793" max="1793" width="3.375" style="375" customWidth="1"/>
    <col min="1794" max="1794" width="2.625" style="375" customWidth="1"/>
    <col min="1795" max="1795" width="14.25" style="375" customWidth="1"/>
    <col min="1796" max="1796" width="1.875" style="375" customWidth="1"/>
    <col min="1797" max="1797" width="16.375" style="375" bestFit="1" customWidth="1"/>
    <col min="1798" max="1798" width="8.875" style="375"/>
    <col min="1799" max="1799" width="2.125" style="375" customWidth="1"/>
    <col min="1800" max="1800" width="12.25" style="375" customWidth="1"/>
    <col min="1801" max="1801" width="2.125" style="375" customWidth="1"/>
    <col min="1802" max="1802" width="10.25" style="375" customWidth="1"/>
    <col min="1803" max="1803" width="3" style="375" customWidth="1"/>
    <col min="1804" max="1804" width="2.25" style="375" customWidth="1"/>
    <col min="1805" max="2048" width="8.875" style="375"/>
    <col min="2049" max="2049" width="3.375" style="375" customWidth="1"/>
    <col min="2050" max="2050" width="2.625" style="375" customWidth="1"/>
    <col min="2051" max="2051" width="14.25" style="375" customWidth="1"/>
    <col min="2052" max="2052" width="1.875" style="375" customWidth="1"/>
    <col min="2053" max="2053" width="16.375" style="375" bestFit="1" customWidth="1"/>
    <col min="2054" max="2054" width="8.875" style="375"/>
    <col min="2055" max="2055" width="2.125" style="375" customWidth="1"/>
    <col min="2056" max="2056" width="12.25" style="375" customWidth="1"/>
    <col min="2057" max="2057" width="2.125" style="375" customWidth="1"/>
    <col min="2058" max="2058" width="10.25" style="375" customWidth="1"/>
    <col min="2059" max="2059" width="3" style="375" customWidth="1"/>
    <col min="2060" max="2060" width="2.25" style="375" customWidth="1"/>
    <col min="2061" max="2304" width="8.875" style="375"/>
    <col min="2305" max="2305" width="3.375" style="375" customWidth="1"/>
    <col min="2306" max="2306" width="2.625" style="375" customWidth="1"/>
    <col min="2307" max="2307" width="14.25" style="375" customWidth="1"/>
    <col min="2308" max="2308" width="1.875" style="375" customWidth="1"/>
    <col min="2309" max="2309" width="16.375" style="375" bestFit="1" customWidth="1"/>
    <col min="2310" max="2310" width="8.875" style="375"/>
    <col min="2311" max="2311" width="2.125" style="375" customWidth="1"/>
    <col min="2312" max="2312" width="12.25" style="375" customWidth="1"/>
    <col min="2313" max="2313" width="2.125" style="375" customWidth="1"/>
    <col min="2314" max="2314" width="10.25" style="375" customWidth="1"/>
    <col min="2315" max="2315" width="3" style="375" customWidth="1"/>
    <col min="2316" max="2316" width="2.25" style="375" customWidth="1"/>
    <col min="2317" max="2560" width="8.875" style="375"/>
    <col min="2561" max="2561" width="3.375" style="375" customWidth="1"/>
    <col min="2562" max="2562" width="2.625" style="375" customWidth="1"/>
    <col min="2563" max="2563" width="14.25" style="375" customWidth="1"/>
    <col min="2564" max="2564" width="1.875" style="375" customWidth="1"/>
    <col min="2565" max="2565" width="16.375" style="375" bestFit="1" customWidth="1"/>
    <col min="2566" max="2566" width="8.875" style="375"/>
    <col min="2567" max="2567" width="2.125" style="375" customWidth="1"/>
    <col min="2568" max="2568" width="12.25" style="375" customWidth="1"/>
    <col min="2569" max="2569" width="2.125" style="375" customWidth="1"/>
    <col min="2570" max="2570" width="10.25" style="375" customWidth="1"/>
    <col min="2571" max="2571" width="3" style="375" customWidth="1"/>
    <col min="2572" max="2572" width="2.25" style="375" customWidth="1"/>
    <col min="2573" max="2816" width="8.875" style="375"/>
    <col min="2817" max="2817" width="3.375" style="375" customWidth="1"/>
    <col min="2818" max="2818" width="2.625" style="375" customWidth="1"/>
    <col min="2819" max="2819" width="14.25" style="375" customWidth="1"/>
    <col min="2820" max="2820" width="1.875" style="375" customWidth="1"/>
    <col min="2821" max="2821" width="16.375" style="375" bestFit="1" customWidth="1"/>
    <col min="2822" max="2822" width="8.875" style="375"/>
    <col min="2823" max="2823" width="2.125" style="375" customWidth="1"/>
    <col min="2824" max="2824" width="12.25" style="375" customWidth="1"/>
    <col min="2825" max="2825" width="2.125" style="375" customWidth="1"/>
    <col min="2826" max="2826" width="10.25" style="375" customWidth="1"/>
    <col min="2827" max="2827" width="3" style="375" customWidth="1"/>
    <col min="2828" max="2828" width="2.25" style="375" customWidth="1"/>
    <col min="2829" max="3072" width="8.875" style="375"/>
    <col min="3073" max="3073" width="3.375" style="375" customWidth="1"/>
    <col min="3074" max="3074" width="2.625" style="375" customWidth="1"/>
    <col min="3075" max="3075" width="14.25" style="375" customWidth="1"/>
    <col min="3076" max="3076" width="1.875" style="375" customWidth="1"/>
    <col min="3077" max="3077" width="16.375" style="375" bestFit="1" customWidth="1"/>
    <col min="3078" max="3078" width="8.875" style="375"/>
    <col min="3079" max="3079" width="2.125" style="375" customWidth="1"/>
    <col min="3080" max="3080" width="12.25" style="375" customWidth="1"/>
    <col min="3081" max="3081" width="2.125" style="375" customWidth="1"/>
    <col min="3082" max="3082" width="10.25" style="375" customWidth="1"/>
    <col min="3083" max="3083" width="3" style="375" customWidth="1"/>
    <col min="3084" max="3084" width="2.25" style="375" customWidth="1"/>
    <col min="3085" max="3328" width="8.875" style="375"/>
    <col min="3329" max="3329" width="3.375" style="375" customWidth="1"/>
    <col min="3330" max="3330" width="2.625" style="375" customWidth="1"/>
    <col min="3331" max="3331" width="14.25" style="375" customWidth="1"/>
    <col min="3332" max="3332" width="1.875" style="375" customWidth="1"/>
    <col min="3333" max="3333" width="16.375" style="375" bestFit="1" customWidth="1"/>
    <col min="3334" max="3334" width="8.875" style="375"/>
    <col min="3335" max="3335" width="2.125" style="375" customWidth="1"/>
    <col min="3336" max="3336" width="12.25" style="375" customWidth="1"/>
    <col min="3337" max="3337" width="2.125" style="375" customWidth="1"/>
    <col min="3338" max="3338" width="10.25" style="375" customWidth="1"/>
    <col min="3339" max="3339" width="3" style="375" customWidth="1"/>
    <col min="3340" max="3340" width="2.25" style="375" customWidth="1"/>
    <col min="3341" max="3584" width="8.875" style="375"/>
    <col min="3585" max="3585" width="3.375" style="375" customWidth="1"/>
    <col min="3586" max="3586" width="2.625" style="375" customWidth="1"/>
    <col min="3587" max="3587" width="14.25" style="375" customWidth="1"/>
    <col min="3588" max="3588" width="1.875" style="375" customWidth="1"/>
    <col min="3589" max="3589" width="16.375" style="375" bestFit="1" customWidth="1"/>
    <col min="3590" max="3590" width="8.875" style="375"/>
    <col min="3591" max="3591" width="2.125" style="375" customWidth="1"/>
    <col min="3592" max="3592" width="12.25" style="375" customWidth="1"/>
    <col min="3593" max="3593" width="2.125" style="375" customWidth="1"/>
    <col min="3594" max="3594" width="10.25" style="375" customWidth="1"/>
    <col min="3595" max="3595" width="3" style="375" customWidth="1"/>
    <col min="3596" max="3596" width="2.25" style="375" customWidth="1"/>
    <col min="3597" max="3840" width="8.875" style="375"/>
    <col min="3841" max="3841" width="3.375" style="375" customWidth="1"/>
    <col min="3842" max="3842" width="2.625" style="375" customWidth="1"/>
    <col min="3843" max="3843" width="14.25" style="375" customWidth="1"/>
    <col min="3844" max="3844" width="1.875" style="375" customWidth="1"/>
    <col min="3845" max="3845" width="16.375" style="375" bestFit="1" customWidth="1"/>
    <col min="3846" max="3846" width="8.875" style="375"/>
    <col min="3847" max="3847" width="2.125" style="375" customWidth="1"/>
    <col min="3848" max="3848" width="12.25" style="375" customWidth="1"/>
    <col min="3849" max="3849" width="2.125" style="375" customWidth="1"/>
    <col min="3850" max="3850" width="10.25" style="375" customWidth="1"/>
    <col min="3851" max="3851" width="3" style="375" customWidth="1"/>
    <col min="3852" max="3852" width="2.25" style="375" customWidth="1"/>
    <col min="3853" max="4096" width="8.875" style="375"/>
    <col min="4097" max="4097" width="3.375" style="375" customWidth="1"/>
    <col min="4098" max="4098" width="2.625" style="375" customWidth="1"/>
    <col min="4099" max="4099" width="14.25" style="375" customWidth="1"/>
    <col min="4100" max="4100" width="1.875" style="375" customWidth="1"/>
    <col min="4101" max="4101" width="16.375" style="375" bestFit="1" customWidth="1"/>
    <col min="4102" max="4102" width="8.875" style="375"/>
    <col min="4103" max="4103" width="2.125" style="375" customWidth="1"/>
    <col min="4104" max="4104" width="12.25" style="375" customWidth="1"/>
    <col min="4105" max="4105" width="2.125" style="375" customWidth="1"/>
    <col min="4106" max="4106" width="10.25" style="375" customWidth="1"/>
    <col min="4107" max="4107" width="3" style="375" customWidth="1"/>
    <col min="4108" max="4108" width="2.25" style="375" customWidth="1"/>
    <col min="4109" max="4352" width="8.875" style="375"/>
    <col min="4353" max="4353" width="3.375" style="375" customWidth="1"/>
    <col min="4354" max="4354" width="2.625" style="375" customWidth="1"/>
    <col min="4355" max="4355" width="14.25" style="375" customWidth="1"/>
    <col min="4356" max="4356" width="1.875" style="375" customWidth="1"/>
    <col min="4357" max="4357" width="16.375" style="375" bestFit="1" customWidth="1"/>
    <col min="4358" max="4358" width="8.875" style="375"/>
    <col min="4359" max="4359" width="2.125" style="375" customWidth="1"/>
    <col min="4360" max="4360" width="12.25" style="375" customWidth="1"/>
    <col min="4361" max="4361" width="2.125" style="375" customWidth="1"/>
    <col min="4362" max="4362" width="10.25" style="375" customWidth="1"/>
    <col min="4363" max="4363" width="3" style="375" customWidth="1"/>
    <col min="4364" max="4364" width="2.25" style="375" customWidth="1"/>
    <col min="4365" max="4608" width="8.875" style="375"/>
    <col min="4609" max="4609" width="3.375" style="375" customWidth="1"/>
    <col min="4610" max="4610" width="2.625" style="375" customWidth="1"/>
    <col min="4611" max="4611" width="14.25" style="375" customWidth="1"/>
    <col min="4612" max="4612" width="1.875" style="375" customWidth="1"/>
    <col min="4613" max="4613" width="16.375" style="375" bestFit="1" customWidth="1"/>
    <col min="4614" max="4614" width="8.875" style="375"/>
    <col min="4615" max="4615" width="2.125" style="375" customWidth="1"/>
    <col min="4616" max="4616" width="12.25" style="375" customWidth="1"/>
    <col min="4617" max="4617" width="2.125" style="375" customWidth="1"/>
    <col min="4618" max="4618" width="10.25" style="375" customWidth="1"/>
    <col min="4619" max="4619" width="3" style="375" customWidth="1"/>
    <col min="4620" max="4620" width="2.25" style="375" customWidth="1"/>
    <col min="4621" max="4864" width="8.875" style="375"/>
    <col min="4865" max="4865" width="3.375" style="375" customWidth="1"/>
    <col min="4866" max="4866" width="2.625" style="375" customWidth="1"/>
    <col min="4867" max="4867" width="14.25" style="375" customWidth="1"/>
    <col min="4868" max="4868" width="1.875" style="375" customWidth="1"/>
    <col min="4869" max="4869" width="16.375" style="375" bestFit="1" customWidth="1"/>
    <col min="4870" max="4870" width="8.875" style="375"/>
    <col min="4871" max="4871" width="2.125" style="375" customWidth="1"/>
    <col min="4872" max="4872" width="12.25" style="375" customWidth="1"/>
    <col min="4873" max="4873" width="2.125" style="375" customWidth="1"/>
    <col min="4874" max="4874" width="10.25" style="375" customWidth="1"/>
    <col min="4875" max="4875" width="3" style="375" customWidth="1"/>
    <col min="4876" max="4876" width="2.25" style="375" customWidth="1"/>
    <col min="4877" max="5120" width="8.875" style="375"/>
    <col min="5121" max="5121" width="3.375" style="375" customWidth="1"/>
    <col min="5122" max="5122" width="2.625" style="375" customWidth="1"/>
    <col min="5123" max="5123" width="14.25" style="375" customWidth="1"/>
    <col min="5124" max="5124" width="1.875" style="375" customWidth="1"/>
    <col min="5125" max="5125" width="16.375" style="375" bestFit="1" customWidth="1"/>
    <col min="5126" max="5126" width="8.875" style="375"/>
    <col min="5127" max="5127" width="2.125" style="375" customWidth="1"/>
    <col min="5128" max="5128" width="12.25" style="375" customWidth="1"/>
    <col min="5129" max="5129" width="2.125" style="375" customWidth="1"/>
    <col min="5130" max="5130" width="10.25" style="375" customWidth="1"/>
    <col min="5131" max="5131" width="3" style="375" customWidth="1"/>
    <col min="5132" max="5132" width="2.25" style="375" customWidth="1"/>
    <col min="5133" max="5376" width="8.875" style="375"/>
    <col min="5377" max="5377" width="3.375" style="375" customWidth="1"/>
    <col min="5378" max="5378" width="2.625" style="375" customWidth="1"/>
    <col min="5379" max="5379" width="14.25" style="375" customWidth="1"/>
    <col min="5380" max="5380" width="1.875" style="375" customWidth="1"/>
    <col min="5381" max="5381" width="16.375" style="375" bestFit="1" customWidth="1"/>
    <col min="5382" max="5382" width="8.875" style="375"/>
    <col min="5383" max="5383" width="2.125" style="375" customWidth="1"/>
    <col min="5384" max="5384" width="12.25" style="375" customWidth="1"/>
    <col min="5385" max="5385" width="2.125" style="375" customWidth="1"/>
    <col min="5386" max="5386" width="10.25" style="375" customWidth="1"/>
    <col min="5387" max="5387" width="3" style="375" customWidth="1"/>
    <col min="5388" max="5388" width="2.25" style="375" customWidth="1"/>
    <col min="5389" max="5632" width="8.875" style="375"/>
    <col min="5633" max="5633" width="3.375" style="375" customWidth="1"/>
    <col min="5634" max="5634" width="2.625" style="375" customWidth="1"/>
    <col min="5635" max="5635" width="14.25" style="375" customWidth="1"/>
    <col min="5636" max="5636" width="1.875" style="375" customWidth="1"/>
    <col min="5637" max="5637" width="16.375" style="375" bestFit="1" customWidth="1"/>
    <col min="5638" max="5638" width="8.875" style="375"/>
    <col min="5639" max="5639" width="2.125" style="375" customWidth="1"/>
    <col min="5640" max="5640" width="12.25" style="375" customWidth="1"/>
    <col min="5641" max="5641" width="2.125" style="375" customWidth="1"/>
    <col min="5642" max="5642" width="10.25" style="375" customWidth="1"/>
    <col min="5643" max="5643" width="3" style="375" customWidth="1"/>
    <col min="5644" max="5644" width="2.25" style="375" customWidth="1"/>
    <col min="5645" max="5888" width="8.875" style="375"/>
    <col min="5889" max="5889" width="3.375" style="375" customWidth="1"/>
    <col min="5890" max="5890" width="2.625" style="375" customWidth="1"/>
    <col min="5891" max="5891" width="14.25" style="375" customWidth="1"/>
    <col min="5892" max="5892" width="1.875" style="375" customWidth="1"/>
    <col min="5893" max="5893" width="16.375" style="375" bestFit="1" customWidth="1"/>
    <col min="5894" max="5894" width="8.875" style="375"/>
    <col min="5895" max="5895" width="2.125" style="375" customWidth="1"/>
    <col min="5896" max="5896" width="12.25" style="375" customWidth="1"/>
    <col min="5897" max="5897" width="2.125" style="375" customWidth="1"/>
    <col min="5898" max="5898" width="10.25" style="375" customWidth="1"/>
    <col min="5899" max="5899" width="3" style="375" customWidth="1"/>
    <col min="5900" max="5900" width="2.25" style="375" customWidth="1"/>
    <col min="5901" max="6144" width="8.875" style="375"/>
    <col min="6145" max="6145" width="3.375" style="375" customWidth="1"/>
    <col min="6146" max="6146" width="2.625" style="375" customWidth="1"/>
    <col min="6147" max="6147" width="14.25" style="375" customWidth="1"/>
    <col min="6148" max="6148" width="1.875" style="375" customWidth="1"/>
    <col min="6149" max="6149" width="16.375" style="375" bestFit="1" customWidth="1"/>
    <col min="6150" max="6150" width="8.875" style="375"/>
    <col min="6151" max="6151" width="2.125" style="375" customWidth="1"/>
    <col min="6152" max="6152" width="12.25" style="375" customWidth="1"/>
    <col min="6153" max="6153" width="2.125" style="375" customWidth="1"/>
    <col min="6154" max="6154" width="10.25" style="375" customWidth="1"/>
    <col min="6155" max="6155" width="3" style="375" customWidth="1"/>
    <col min="6156" max="6156" width="2.25" style="375" customWidth="1"/>
    <col min="6157" max="6400" width="8.875" style="375"/>
    <col min="6401" max="6401" width="3.375" style="375" customWidth="1"/>
    <col min="6402" max="6402" width="2.625" style="375" customWidth="1"/>
    <col min="6403" max="6403" width="14.25" style="375" customWidth="1"/>
    <col min="6404" max="6404" width="1.875" style="375" customWidth="1"/>
    <col min="6405" max="6405" width="16.375" style="375" bestFit="1" customWidth="1"/>
    <col min="6406" max="6406" width="8.875" style="375"/>
    <col min="6407" max="6407" width="2.125" style="375" customWidth="1"/>
    <col min="6408" max="6408" width="12.25" style="375" customWidth="1"/>
    <col min="6409" max="6409" width="2.125" style="375" customWidth="1"/>
    <col min="6410" max="6410" width="10.25" style="375" customWidth="1"/>
    <col min="6411" max="6411" width="3" style="375" customWidth="1"/>
    <col min="6412" max="6412" width="2.25" style="375" customWidth="1"/>
    <col min="6413" max="6656" width="8.875" style="375"/>
    <col min="6657" max="6657" width="3.375" style="375" customWidth="1"/>
    <col min="6658" max="6658" width="2.625" style="375" customWidth="1"/>
    <col min="6659" max="6659" width="14.25" style="375" customWidth="1"/>
    <col min="6660" max="6660" width="1.875" style="375" customWidth="1"/>
    <col min="6661" max="6661" width="16.375" style="375" bestFit="1" customWidth="1"/>
    <col min="6662" max="6662" width="8.875" style="375"/>
    <col min="6663" max="6663" width="2.125" style="375" customWidth="1"/>
    <col min="6664" max="6664" width="12.25" style="375" customWidth="1"/>
    <col min="6665" max="6665" width="2.125" style="375" customWidth="1"/>
    <col min="6666" max="6666" width="10.25" style="375" customWidth="1"/>
    <col min="6667" max="6667" width="3" style="375" customWidth="1"/>
    <col min="6668" max="6668" width="2.25" style="375" customWidth="1"/>
    <col min="6669" max="6912" width="8.875" style="375"/>
    <col min="6913" max="6913" width="3.375" style="375" customWidth="1"/>
    <col min="6914" max="6914" width="2.625" style="375" customWidth="1"/>
    <col min="6915" max="6915" width="14.25" style="375" customWidth="1"/>
    <col min="6916" max="6916" width="1.875" style="375" customWidth="1"/>
    <col min="6917" max="6917" width="16.375" style="375" bestFit="1" customWidth="1"/>
    <col min="6918" max="6918" width="8.875" style="375"/>
    <col min="6919" max="6919" width="2.125" style="375" customWidth="1"/>
    <col min="6920" max="6920" width="12.25" style="375" customWidth="1"/>
    <col min="6921" max="6921" width="2.125" style="375" customWidth="1"/>
    <col min="6922" max="6922" width="10.25" style="375" customWidth="1"/>
    <col min="6923" max="6923" width="3" style="375" customWidth="1"/>
    <col min="6924" max="6924" width="2.25" style="375" customWidth="1"/>
    <col min="6925" max="7168" width="8.875" style="375"/>
    <col min="7169" max="7169" width="3.375" style="375" customWidth="1"/>
    <col min="7170" max="7170" width="2.625" style="375" customWidth="1"/>
    <col min="7171" max="7171" width="14.25" style="375" customWidth="1"/>
    <col min="7172" max="7172" width="1.875" style="375" customWidth="1"/>
    <col min="7173" max="7173" width="16.375" style="375" bestFit="1" customWidth="1"/>
    <col min="7174" max="7174" width="8.875" style="375"/>
    <col min="7175" max="7175" width="2.125" style="375" customWidth="1"/>
    <col min="7176" max="7176" width="12.25" style="375" customWidth="1"/>
    <col min="7177" max="7177" width="2.125" style="375" customWidth="1"/>
    <col min="7178" max="7178" width="10.25" style="375" customWidth="1"/>
    <col min="7179" max="7179" width="3" style="375" customWidth="1"/>
    <col min="7180" max="7180" width="2.25" style="375" customWidth="1"/>
    <col min="7181" max="7424" width="8.875" style="375"/>
    <col min="7425" max="7425" width="3.375" style="375" customWidth="1"/>
    <col min="7426" max="7426" width="2.625" style="375" customWidth="1"/>
    <col min="7427" max="7427" width="14.25" style="375" customWidth="1"/>
    <col min="7428" max="7428" width="1.875" style="375" customWidth="1"/>
    <col min="7429" max="7429" width="16.375" style="375" bestFit="1" customWidth="1"/>
    <col min="7430" max="7430" width="8.875" style="375"/>
    <col min="7431" max="7431" width="2.125" style="375" customWidth="1"/>
    <col min="7432" max="7432" width="12.25" style="375" customWidth="1"/>
    <col min="7433" max="7433" width="2.125" style="375" customWidth="1"/>
    <col min="7434" max="7434" width="10.25" style="375" customWidth="1"/>
    <col min="7435" max="7435" width="3" style="375" customWidth="1"/>
    <col min="7436" max="7436" width="2.25" style="375" customWidth="1"/>
    <col min="7437" max="7680" width="8.875" style="375"/>
    <col min="7681" max="7681" width="3.375" style="375" customWidth="1"/>
    <col min="7682" max="7682" width="2.625" style="375" customWidth="1"/>
    <col min="7683" max="7683" width="14.25" style="375" customWidth="1"/>
    <col min="7684" max="7684" width="1.875" style="375" customWidth="1"/>
    <col min="7685" max="7685" width="16.375" style="375" bestFit="1" customWidth="1"/>
    <col min="7686" max="7686" width="8.875" style="375"/>
    <col min="7687" max="7687" width="2.125" style="375" customWidth="1"/>
    <col min="7688" max="7688" width="12.25" style="375" customWidth="1"/>
    <col min="7689" max="7689" width="2.125" style="375" customWidth="1"/>
    <col min="7690" max="7690" width="10.25" style="375" customWidth="1"/>
    <col min="7691" max="7691" width="3" style="375" customWidth="1"/>
    <col min="7692" max="7692" width="2.25" style="375" customWidth="1"/>
    <col min="7693" max="7936" width="8.875" style="375"/>
    <col min="7937" max="7937" width="3.375" style="375" customWidth="1"/>
    <col min="7938" max="7938" width="2.625" style="375" customWidth="1"/>
    <col min="7939" max="7939" width="14.25" style="375" customWidth="1"/>
    <col min="7940" max="7940" width="1.875" style="375" customWidth="1"/>
    <col min="7941" max="7941" width="16.375" style="375" bestFit="1" customWidth="1"/>
    <col min="7942" max="7942" width="8.875" style="375"/>
    <col min="7943" max="7943" width="2.125" style="375" customWidth="1"/>
    <col min="7944" max="7944" width="12.25" style="375" customWidth="1"/>
    <col min="7945" max="7945" width="2.125" style="375" customWidth="1"/>
    <col min="7946" max="7946" width="10.25" style="375" customWidth="1"/>
    <col min="7947" max="7947" width="3" style="375" customWidth="1"/>
    <col min="7948" max="7948" width="2.25" style="375" customWidth="1"/>
    <col min="7949" max="8192" width="8.875" style="375"/>
    <col min="8193" max="8193" width="3.375" style="375" customWidth="1"/>
    <col min="8194" max="8194" width="2.625" style="375" customWidth="1"/>
    <col min="8195" max="8195" width="14.25" style="375" customWidth="1"/>
    <col min="8196" max="8196" width="1.875" style="375" customWidth="1"/>
    <col min="8197" max="8197" width="16.375" style="375" bestFit="1" customWidth="1"/>
    <col min="8198" max="8198" width="8.875" style="375"/>
    <col min="8199" max="8199" width="2.125" style="375" customWidth="1"/>
    <col min="8200" max="8200" width="12.25" style="375" customWidth="1"/>
    <col min="8201" max="8201" width="2.125" style="375" customWidth="1"/>
    <col min="8202" max="8202" width="10.25" style="375" customWidth="1"/>
    <col min="8203" max="8203" width="3" style="375" customWidth="1"/>
    <col min="8204" max="8204" width="2.25" style="375" customWidth="1"/>
    <col min="8205" max="8448" width="8.875" style="375"/>
    <col min="8449" max="8449" width="3.375" style="375" customWidth="1"/>
    <col min="8450" max="8450" width="2.625" style="375" customWidth="1"/>
    <col min="8451" max="8451" width="14.25" style="375" customWidth="1"/>
    <col min="8452" max="8452" width="1.875" style="375" customWidth="1"/>
    <col min="8453" max="8453" width="16.375" style="375" bestFit="1" customWidth="1"/>
    <col min="8454" max="8454" width="8.875" style="375"/>
    <col min="8455" max="8455" width="2.125" style="375" customWidth="1"/>
    <col min="8456" max="8456" width="12.25" style="375" customWidth="1"/>
    <col min="8457" max="8457" width="2.125" style="375" customWidth="1"/>
    <col min="8458" max="8458" width="10.25" style="375" customWidth="1"/>
    <col min="8459" max="8459" width="3" style="375" customWidth="1"/>
    <col min="8460" max="8460" width="2.25" style="375" customWidth="1"/>
    <col min="8461" max="8704" width="8.875" style="375"/>
    <col min="8705" max="8705" width="3.375" style="375" customWidth="1"/>
    <col min="8706" max="8706" width="2.625" style="375" customWidth="1"/>
    <col min="8707" max="8707" width="14.25" style="375" customWidth="1"/>
    <col min="8708" max="8708" width="1.875" style="375" customWidth="1"/>
    <col min="8709" max="8709" width="16.375" style="375" bestFit="1" customWidth="1"/>
    <col min="8710" max="8710" width="8.875" style="375"/>
    <col min="8711" max="8711" width="2.125" style="375" customWidth="1"/>
    <col min="8712" max="8712" width="12.25" style="375" customWidth="1"/>
    <col min="8713" max="8713" width="2.125" style="375" customWidth="1"/>
    <col min="8714" max="8714" width="10.25" style="375" customWidth="1"/>
    <col min="8715" max="8715" width="3" style="375" customWidth="1"/>
    <col min="8716" max="8716" width="2.25" style="375" customWidth="1"/>
    <col min="8717" max="8960" width="8.875" style="375"/>
    <col min="8961" max="8961" width="3.375" style="375" customWidth="1"/>
    <col min="8962" max="8962" width="2.625" style="375" customWidth="1"/>
    <col min="8963" max="8963" width="14.25" style="375" customWidth="1"/>
    <col min="8964" max="8964" width="1.875" style="375" customWidth="1"/>
    <col min="8965" max="8965" width="16.375" style="375" bestFit="1" customWidth="1"/>
    <col min="8966" max="8966" width="8.875" style="375"/>
    <col min="8967" max="8967" width="2.125" style="375" customWidth="1"/>
    <col min="8968" max="8968" width="12.25" style="375" customWidth="1"/>
    <col min="8969" max="8969" width="2.125" style="375" customWidth="1"/>
    <col min="8970" max="8970" width="10.25" style="375" customWidth="1"/>
    <col min="8971" max="8971" width="3" style="375" customWidth="1"/>
    <col min="8972" max="8972" width="2.25" style="375" customWidth="1"/>
    <col min="8973" max="9216" width="8.875" style="375"/>
    <col min="9217" max="9217" width="3.375" style="375" customWidth="1"/>
    <col min="9218" max="9218" width="2.625" style="375" customWidth="1"/>
    <col min="9219" max="9219" width="14.25" style="375" customWidth="1"/>
    <col min="9220" max="9220" width="1.875" style="375" customWidth="1"/>
    <col min="9221" max="9221" width="16.375" style="375" bestFit="1" customWidth="1"/>
    <col min="9222" max="9222" width="8.875" style="375"/>
    <col min="9223" max="9223" width="2.125" style="375" customWidth="1"/>
    <col min="9224" max="9224" width="12.25" style="375" customWidth="1"/>
    <col min="9225" max="9225" width="2.125" style="375" customWidth="1"/>
    <col min="9226" max="9226" width="10.25" style="375" customWidth="1"/>
    <col min="9227" max="9227" width="3" style="375" customWidth="1"/>
    <col min="9228" max="9228" width="2.25" style="375" customWidth="1"/>
    <col min="9229" max="9472" width="8.875" style="375"/>
    <col min="9473" max="9473" width="3.375" style="375" customWidth="1"/>
    <col min="9474" max="9474" width="2.625" style="375" customWidth="1"/>
    <col min="9475" max="9475" width="14.25" style="375" customWidth="1"/>
    <col min="9476" max="9476" width="1.875" style="375" customWidth="1"/>
    <col min="9477" max="9477" width="16.375" style="375" bestFit="1" customWidth="1"/>
    <col min="9478" max="9478" width="8.875" style="375"/>
    <col min="9479" max="9479" width="2.125" style="375" customWidth="1"/>
    <col min="9480" max="9480" width="12.25" style="375" customWidth="1"/>
    <col min="9481" max="9481" width="2.125" style="375" customWidth="1"/>
    <col min="9482" max="9482" width="10.25" style="375" customWidth="1"/>
    <col min="9483" max="9483" width="3" style="375" customWidth="1"/>
    <col min="9484" max="9484" width="2.25" style="375" customWidth="1"/>
    <col min="9485" max="9728" width="8.875" style="375"/>
    <col min="9729" max="9729" width="3.375" style="375" customWidth="1"/>
    <col min="9730" max="9730" width="2.625" style="375" customWidth="1"/>
    <col min="9731" max="9731" width="14.25" style="375" customWidth="1"/>
    <col min="9732" max="9732" width="1.875" style="375" customWidth="1"/>
    <col min="9733" max="9733" width="16.375" style="375" bestFit="1" customWidth="1"/>
    <col min="9734" max="9734" width="8.875" style="375"/>
    <col min="9735" max="9735" width="2.125" style="375" customWidth="1"/>
    <col min="9736" max="9736" width="12.25" style="375" customWidth="1"/>
    <col min="9737" max="9737" width="2.125" style="375" customWidth="1"/>
    <col min="9738" max="9738" width="10.25" style="375" customWidth="1"/>
    <col min="9739" max="9739" width="3" style="375" customWidth="1"/>
    <col min="9740" max="9740" width="2.25" style="375" customWidth="1"/>
    <col min="9741" max="9984" width="8.875" style="375"/>
    <col min="9985" max="9985" width="3.375" style="375" customWidth="1"/>
    <col min="9986" max="9986" width="2.625" style="375" customWidth="1"/>
    <col min="9987" max="9987" width="14.25" style="375" customWidth="1"/>
    <col min="9988" max="9988" width="1.875" style="375" customWidth="1"/>
    <col min="9989" max="9989" width="16.375" style="375" bestFit="1" customWidth="1"/>
    <col min="9990" max="9990" width="8.875" style="375"/>
    <col min="9991" max="9991" width="2.125" style="375" customWidth="1"/>
    <col min="9992" max="9992" width="12.25" style="375" customWidth="1"/>
    <col min="9993" max="9993" width="2.125" style="375" customWidth="1"/>
    <col min="9994" max="9994" width="10.25" style="375" customWidth="1"/>
    <col min="9995" max="9995" width="3" style="375" customWidth="1"/>
    <col min="9996" max="9996" width="2.25" style="375" customWidth="1"/>
    <col min="9997" max="10240" width="8.875" style="375"/>
    <col min="10241" max="10241" width="3.375" style="375" customWidth="1"/>
    <col min="10242" max="10242" width="2.625" style="375" customWidth="1"/>
    <col min="10243" max="10243" width="14.25" style="375" customWidth="1"/>
    <col min="10244" max="10244" width="1.875" style="375" customWidth="1"/>
    <col min="10245" max="10245" width="16.375" style="375" bestFit="1" customWidth="1"/>
    <col min="10246" max="10246" width="8.875" style="375"/>
    <col min="10247" max="10247" width="2.125" style="375" customWidth="1"/>
    <col min="10248" max="10248" width="12.25" style="375" customWidth="1"/>
    <col min="10249" max="10249" width="2.125" style="375" customWidth="1"/>
    <col min="10250" max="10250" width="10.25" style="375" customWidth="1"/>
    <col min="10251" max="10251" width="3" style="375" customWidth="1"/>
    <col min="10252" max="10252" width="2.25" style="375" customWidth="1"/>
    <col min="10253" max="10496" width="8.875" style="375"/>
    <col min="10497" max="10497" width="3.375" style="375" customWidth="1"/>
    <col min="10498" max="10498" width="2.625" style="375" customWidth="1"/>
    <col min="10499" max="10499" width="14.25" style="375" customWidth="1"/>
    <col min="10500" max="10500" width="1.875" style="375" customWidth="1"/>
    <col min="10501" max="10501" width="16.375" style="375" bestFit="1" customWidth="1"/>
    <col min="10502" max="10502" width="8.875" style="375"/>
    <col min="10503" max="10503" width="2.125" style="375" customWidth="1"/>
    <col min="10504" max="10504" width="12.25" style="375" customWidth="1"/>
    <col min="10505" max="10505" width="2.125" style="375" customWidth="1"/>
    <col min="10506" max="10506" width="10.25" style="375" customWidth="1"/>
    <col min="10507" max="10507" width="3" style="375" customWidth="1"/>
    <col min="10508" max="10508" width="2.25" style="375" customWidth="1"/>
    <col min="10509" max="10752" width="8.875" style="375"/>
    <col min="10753" max="10753" width="3.375" style="375" customWidth="1"/>
    <col min="10754" max="10754" width="2.625" style="375" customWidth="1"/>
    <col min="10755" max="10755" width="14.25" style="375" customWidth="1"/>
    <col min="10756" max="10756" width="1.875" style="375" customWidth="1"/>
    <col min="10757" max="10757" width="16.375" style="375" bestFit="1" customWidth="1"/>
    <col min="10758" max="10758" width="8.875" style="375"/>
    <col min="10759" max="10759" width="2.125" style="375" customWidth="1"/>
    <col min="10760" max="10760" width="12.25" style="375" customWidth="1"/>
    <col min="10761" max="10761" width="2.125" style="375" customWidth="1"/>
    <col min="10762" max="10762" width="10.25" style="375" customWidth="1"/>
    <col min="10763" max="10763" width="3" style="375" customWidth="1"/>
    <col min="10764" max="10764" width="2.25" style="375" customWidth="1"/>
    <col min="10765" max="11008" width="8.875" style="375"/>
    <col min="11009" max="11009" width="3.375" style="375" customWidth="1"/>
    <col min="11010" max="11010" width="2.625" style="375" customWidth="1"/>
    <col min="11011" max="11011" width="14.25" style="375" customWidth="1"/>
    <col min="11012" max="11012" width="1.875" style="375" customWidth="1"/>
    <col min="11013" max="11013" width="16.375" style="375" bestFit="1" customWidth="1"/>
    <col min="11014" max="11014" width="8.875" style="375"/>
    <col min="11015" max="11015" width="2.125" style="375" customWidth="1"/>
    <col min="11016" max="11016" width="12.25" style="375" customWidth="1"/>
    <col min="11017" max="11017" width="2.125" style="375" customWidth="1"/>
    <col min="11018" max="11018" width="10.25" style="375" customWidth="1"/>
    <col min="11019" max="11019" width="3" style="375" customWidth="1"/>
    <col min="11020" max="11020" width="2.25" style="375" customWidth="1"/>
    <col min="11021" max="11264" width="8.875" style="375"/>
    <col min="11265" max="11265" width="3.375" style="375" customWidth="1"/>
    <col min="11266" max="11266" width="2.625" style="375" customWidth="1"/>
    <col min="11267" max="11267" width="14.25" style="375" customWidth="1"/>
    <col min="11268" max="11268" width="1.875" style="375" customWidth="1"/>
    <col min="11269" max="11269" width="16.375" style="375" bestFit="1" customWidth="1"/>
    <col min="11270" max="11270" width="8.875" style="375"/>
    <col min="11271" max="11271" width="2.125" style="375" customWidth="1"/>
    <col min="11272" max="11272" width="12.25" style="375" customWidth="1"/>
    <col min="11273" max="11273" width="2.125" style="375" customWidth="1"/>
    <col min="11274" max="11274" width="10.25" style="375" customWidth="1"/>
    <col min="11275" max="11275" width="3" style="375" customWidth="1"/>
    <col min="11276" max="11276" width="2.25" style="375" customWidth="1"/>
    <col min="11277" max="11520" width="8.875" style="375"/>
    <col min="11521" max="11521" width="3.375" style="375" customWidth="1"/>
    <col min="11522" max="11522" width="2.625" style="375" customWidth="1"/>
    <col min="11523" max="11523" width="14.25" style="375" customWidth="1"/>
    <col min="11524" max="11524" width="1.875" style="375" customWidth="1"/>
    <col min="11525" max="11525" width="16.375" style="375" bestFit="1" customWidth="1"/>
    <col min="11526" max="11526" width="8.875" style="375"/>
    <col min="11527" max="11527" width="2.125" style="375" customWidth="1"/>
    <col min="11528" max="11528" width="12.25" style="375" customWidth="1"/>
    <col min="11529" max="11529" width="2.125" style="375" customWidth="1"/>
    <col min="11530" max="11530" width="10.25" style="375" customWidth="1"/>
    <col min="11531" max="11531" width="3" style="375" customWidth="1"/>
    <col min="11532" max="11532" width="2.25" style="375" customWidth="1"/>
    <col min="11533" max="11776" width="8.875" style="375"/>
    <col min="11777" max="11777" width="3.375" style="375" customWidth="1"/>
    <col min="11778" max="11778" width="2.625" style="375" customWidth="1"/>
    <col min="11779" max="11779" width="14.25" style="375" customWidth="1"/>
    <col min="11780" max="11780" width="1.875" style="375" customWidth="1"/>
    <col min="11781" max="11781" width="16.375" style="375" bestFit="1" customWidth="1"/>
    <col min="11782" max="11782" width="8.875" style="375"/>
    <col min="11783" max="11783" width="2.125" style="375" customWidth="1"/>
    <col min="11784" max="11784" width="12.25" style="375" customWidth="1"/>
    <col min="11785" max="11785" width="2.125" style="375" customWidth="1"/>
    <col min="11786" max="11786" width="10.25" style="375" customWidth="1"/>
    <col min="11787" max="11787" width="3" style="375" customWidth="1"/>
    <col min="11788" max="11788" width="2.25" style="375" customWidth="1"/>
    <col min="11789" max="12032" width="8.875" style="375"/>
    <col min="12033" max="12033" width="3.375" style="375" customWidth="1"/>
    <col min="12034" max="12034" width="2.625" style="375" customWidth="1"/>
    <col min="12035" max="12035" width="14.25" style="375" customWidth="1"/>
    <col min="12036" max="12036" width="1.875" style="375" customWidth="1"/>
    <col min="12037" max="12037" width="16.375" style="375" bestFit="1" customWidth="1"/>
    <col min="12038" max="12038" width="8.875" style="375"/>
    <col min="12039" max="12039" width="2.125" style="375" customWidth="1"/>
    <col min="12040" max="12040" width="12.25" style="375" customWidth="1"/>
    <col min="12041" max="12041" width="2.125" style="375" customWidth="1"/>
    <col min="12042" max="12042" width="10.25" style="375" customWidth="1"/>
    <col min="12043" max="12043" width="3" style="375" customWidth="1"/>
    <col min="12044" max="12044" width="2.25" style="375" customWidth="1"/>
    <col min="12045" max="12288" width="8.875" style="375"/>
    <col min="12289" max="12289" width="3.375" style="375" customWidth="1"/>
    <col min="12290" max="12290" width="2.625" style="375" customWidth="1"/>
    <col min="12291" max="12291" width="14.25" style="375" customWidth="1"/>
    <col min="12292" max="12292" width="1.875" style="375" customWidth="1"/>
    <col min="12293" max="12293" width="16.375" style="375" bestFit="1" customWidth="1"/>
    <col min="12294" max="12294" width="8.875" style="375"/>
    <col min="12295" max="12295" width="2.125" style="375" customWidth="1"/>
    <col min="12296" max="12296" width="12.25" style="375" customWidth="1"/>
    <col min="12297" max="12297" width="2.125" style="375" customWidth="1"/>
    <col min="12298" max="12298" width="10.25" style="375" customWidth="1"/>
    <col min="12299" max="12299" width="3" style="375" customWidth="1"/>
    <col min="12300" max="12300" width="2.25" style="375" customWidth="1"/>
    <col min="12301" max="12544" width="8.875" style="375"/>
    <col min="12545" max="12545" width="3.375" style="375" customWidth="1"/>
    <col min="12546" max="12546" width="2.625" style="375" customWidth="1"/>
    <col min="12547" max="12547" width="14.25" style="375" customWidth="1"/>
    <col min="12548" max="12548" width="1.875" style="375" customWidth="1"/>
    <col min="12549" max="12549" width="16.375" style="375" bestFit="1" customWidth="1"/>
    <col min="12550" max="12550" width="8.875" style="375"/>
    <col min="12551" max="12551" width="2.125" style="375" customWidth="1"/>
    <col min="12552" max="12552" width="12.25" style="375" customWidth="1"/>
    <col min="12553" max="12553" width="2.125" style="375" customWidth="1"/>
    <col min="12554" max="12554" width="10.25" style="375" customWidth="1"/>
    <col min="12555" max="12555" width="3" style="375" customWidth="1"/>
    <col min="12556" max="12556" width="2.25" style="375" customWidth="1"/>
    <col min="12557" max="12800" width="8.875" style="375"/>
    <col min="12801" max="12801" width="3.375" style="375" customWidth="1"/>
    <col min="12802" max="12802" width="2.625" style="375" customWidth="1"/>
    <col min="12803" max="12803" width="14.25" style="375" customWidth="1"/>
    <col min="12804" max="12804" width="1.875" style="375" customWidth="1"/>
    <col min="12805" max="12805" width="16.375" style="375" bestFit="1" customWidth="1"/>
    <col min="12806" max="12806" width="8.875" style="375"/>
    <col min="12807" max="12807" width="2.125" style="375" customWidth="1"/>
    <col min="12808" max="12808" width="12.25" style="375" customWidth="1"/>
    <col min="12809" max="12809" width="2.125" style="375" customWidth="1"/>
    <col min="12810" max="12810" width="10.25" style="375" customWidth="1"/>
    <col min="12811" max="12811" width="3" style="375" customWidth="1"/>
    <col min="12812" max="12812" width="2.25" style="375" customWidth="1"/>
    <col min="12813" max="13056" width="8.875" style="375"/>
    <col min="13057" max="13057" width="3.375" style="375" customWidth="1"/>
    <col min="13058" max="13058" width="2.625" style="375" customWidth="1"/>
    <col min="13059" max="13059" width="14.25" style="375" customWidth="1"/>
    <col min="13060" max="13060" width="1.875" style="375" customWidth="1"/>
    <col min="13061" max="13061" width="16.375" style="375" bestFit="1" customWidth="1"/>
    <col min="13062" max="13062" width="8.875" style="375"/>
    <col min="13063" max="13063" width="2.125" style="375" customWidth="1"/>
    <col min="13064" max="13064" width="12.25" style="375" customWidth="1"/>
    <col min="13065" max="13065" width="2.125" style="375" customWidth="1"/>
    <col min="13066" max="13066" width="10.25" style="375" customWidth="1"/>
    <col min="13067" max="13067" width="3" style="375" customWidth="1"/>
    <col min="13068" max="13068" width="2.25" style="375" customWidth="1"/>
    <col min="13069" max="13312" width="8.875" style="375"/>
    <col min="13313" max="13313" width="3.375" style="375" customWidth="1"/>
    <col min="13314" max="13314" width="2.625" style="375" customWidth="1"/>
    <col min="13315" max="13315" width="14.25" style="375" customWidth="1"/>
    <col min="13316" max="13316" width="1.875" style="375" customWidth="1"/>
    <col min="13317" max="13317" width="16.375" style="375" bestFit="1" customWidth="1"/>
    <col min="13318" max="13318" width="8.875" style="375"/>
    <col min="13319" max="13319" width="2.125" style="375" customWidth="1"/>
    <col min="13320" max="13320" width="12.25" style="375" customWidth="1"/>
    <col min="13321" max="13321" width="2.125" style="375" customWidth="1"/>
    <col min="13322" max="13322" width="10.25" style="375" customWidth="1"/>
    <col min="13323" max="13323" width="3" style="375" customWidth="1"/>
    <col min="13324" max="13324" width="2.25" style="375" customWidth="1"/>
    <col min="13325" max="13568" width="8.875" style="375"/>
    <col min="13569" max="13569" width="3.375" style="375" customWidth="1"/>
    <col min="13570" max="13570" width="2.625" style="375" customWidth="1"/>
    <col min="13571" max="13571" width="14.25" style="375" customWidth="1"/>
    <col min="13572" max="13572" width="1.875" style="375" customWidth="1"/>
    <col min="13573" max="13573" width="16.375" style="375" bestFit="1" customWidth="1"/>
    <col min="13574" max="13574" width="8.875" style="375"/>
    <col min="13575" max="13575" width="2.125" style="375" customWidth="1"/>
    <col min="13576" max="13576" width="12.25" style="375" customWidth="1"/>
    <col min="13577" max="13577" width="2.125" style="375" customWidth="1"/>
    <col min="13578" max="13578" width="10.25" style="375" customWidth="1"/>
    <col min="13579" max="13579" width="3" style="375" customWidth="1"/>
    <col min="13580" max="13580" width="2.25" style="375" customWidth="1"/>
    <col min="13581" max="13824" width="8.875" style="375"/>
    <col min="13825" max="13825" width="3.375" style="375" customWidth="1"/>
    <col min="13826" max="13826" width="2.625" style="375" customWidth="1"/>
    <col min="13827" max="13827" width="14.25" style="375" customWidth="1"/>
    <col min="13828" max="13828" width="1.875" style="375" customWidth="1"/>
    <col min="13829" max="13829" width="16.375" style="375" bestFit="1" customWidth="1"/>
    <col min="13830" max="13830" width="8.875" style="375"/>
    <col min="13831" max="13831" width="2.125" style="375" customWidth="1"/>
    <col min="13832" max="13832" width="12.25" style="375" customWidth="1"/>
    <col min="13833" max="13833" width="2.125" style="375" customWidth="1"/>
    <col min="13834" max="13834" width="10.25" style="375" customWidth="1"/>
    <col min="13835" max="13835" width="3" style="375" customWidth="1"/>
    <col min="13836" max="13836" width="2.25" style="375" customWidth="1"/>
    <col min="13837" max="14080" width="8.875" style="375"/>
    <col min="14081" max="14081" width="3.375" style="375" customWidth="1"/>
    <col min="14082" max="14082" width="2.625" style="375" customWidth="1"/>
    <col min="14083" max="14083" width="14.25" style="375" customWidth="1"/>
    <col min="14084" max="14084" width="1.875" style="375" customWidth="1"/>
    <col min="14085" max="14085" width="16.375" style="375" bestFit="1" customWidth="1"/>
    <col min="14086" max="14086" width="8.875" style="375"/>
    <col min="14087" max="14087" width="2.125" style="375" customWidth="1"/>
    <col min="14088" max="14088" width="12.25" style="375" customWidth="1"/>
    <col min="14089" max="14089" width="2.125" style="375" customWidth="1"/>
    <col min="14090" max="14090" width="10.25" style="375" customWidth="1"/>
    <col min="14091" max="14091" width="3" style="375" customWidth="1"/>
    <col min="14092" max="14092" width="2.25" style="375" customWidth="1"/>
    <col min="14093" max="14336" width="8.875" style="375"/>
    <col min="14337" max="14337" width="3.375" style="375" customWidth="1"/>
    <col min="14338" max="14338" width="2.625" style="375" customWidth="1"/>
    <col min="14339" max="14339" width="14.25" style="375" customWidth="1"/>
    <col min="14340" max="14340" width="1.875" style="375" customWidth="1"/>
    <col min="14341" max="14341" width="16.375" style="375" bestFit="1" customWidth="1"/>
    <col min="14342" max="14342" width="8.875" style="375"/>
    <col min="14343" max="14343" width="2.125" style="375" customWidth="1"/>
    <col min="14344" max="14344" width="12.25" style="375" customWidth="1"/>
    <col min="14345" max="14345" width="2.125" style="375" customWidth="1"/>
    <col min="14346" max="14346" width="10.25" style="375" customWidth="1"/>
    <col min="14347" max="14347" width="3" style="375" customWidth="1"/>
    <col min="14348" max="14348" width="2.25" style="375" customWidth="1"/>
    <col min="14349" max="14592" width="8.875" style="375"/>
    <col min="14593" max="14593" width="3.375" style="375" customWidth="1"/>
    <col min="14594" max="14594" width="2.625" style="375" customWidth="1"/>
    <col min="14595" max="14595" width="14.25" style="375" customWidth="1"/>
    <col min="14596" max="14596" width="1.875" style="375" customWidth="1"/>
    <col min="14597" max="14597" width="16.375" style="375" bestFit="1" customWidth="1"/>
    <col min="14598" max="14598" width="8.875" style="375"/>
    <col min="14599" max="14599" width="2.125" style="375" customWidth="1"/>
    <col min="14600" max="14600" width="12.25" style="375" customWidth="1"/>
    <col min="14601" max="14601" width="2.125" style="375" customWidth="1"/>
    <col min="14602" max="14602" width="10.25" style="375" customWidth="1"/>
    <col min="14603" max="14603" width="3" style="375" customWidth="1"/>
    <col min="14604" max="14604" width="2.25" style="375" customWidth="1"/>
    <col min="14605" max="14848" width="8.875" style="375"/>
    <col min="14849" max="14849" width="3.375" style="375" customWidth="1"/>
    <col min="14850" max="14850" width="2.625" style="375" customWidth="1"/>
    <col min="14851" max="14851" width="14.25" style="375" customWidth="1"/>
    <col min="14852" max="14852" width="1.875" style="375" customWidth="1"/>
    <col min="14853" max="14853" width="16.375" style="375" bestFit="1" customWidth="1"/>
    <col min="14854" max="14854" width="8.875" style="375"/>
    <col min="14855" max="14855" width="2.125" style="375" customWidth="1"/>
    <col min="14856" max="14856" width="12.25" style="375" customWidth="1"/>
    <col min="14857" max="14857" width="2.125" style="375" customWidth="1"/>
    <col min="14858" max="14858" width="10.25" style="375" customWidth="1"/>
    <col min="14859" max="14859" width="3" style="375" customWidth="1"/>
    <col min="14860" max="14860" width="2.25" style="375" customWidth="1"/>
    <col min="14861" max="15104" width="8.875" style="375"/>
    <col min="15105" max="15105" width="3.375" style="375" customWidth="1"/>
    <col min="15106" max="15106" width="2.625" style="375" customWidth="1"/>
    <col min="15107" max="15107" width="14.25" style="375" customWidth="1"/>
    <col min="15108" max="15108" width="1.875" style="375" customWidth="1"/>
    <col min="15109" max="15109" width="16.375" style="375" bestFit="1" customWidth="1"/>
    <col min="15110" max="15110" width="8.875" style="375"/>
    <col min="15111" max="15111" width="2.125" style="375" customWidth="1"/>
    <col min="15112" max="15112" width="12.25" style="375" customWidth="1"/>
    <col min="15113" max="15113" width="2.125" style="375" customWidth="1"/>
    <col min="15114" max="15114" width="10.25" style="375" customWidth="1"/>
    <col min="15115" max="15115" width="3" style="375" customWidth="1"/>
    <col min="15116" max="15116" width="2.25" style="375" customWidth="1"/>
    <col min="15117" max="15360" width="8.875" style="375"/>
    <col min="15361" max="15361" width="3.375" style="375" customWidth="1"/>
    <col min="15362" max="15362" width="2.625" style="375" customWidth="1"/>
    <col min="15363" max="15363" width="14.25" style="375" customWidth="1"/>
    <col min="15364" max="15364" width="1.875" style="375" customWidth="1"/>
    <col min="15365" max="15365" width="16.375" style="375" bestFit="1" customWidth="1"/>
    <col min="15366" max="15366" width="8.875" style="375"/>
    <col min="15367" max="15367" width="2.125" style="375" customWidth="1"/>
    <col min="15368" max="15368" width="12.25" style="375" customWidth="1"/>
    <col min="15369" max="15369" width="2.125" style="375" customWidth="1"/>
    <col min="15370" max="15370" width="10.25" style="375" customWidth="1"/>
    <col min="15371" max="15371" width="3" style="375" customWidth="1"/>
    <col min="15372" max="15372" width="2.25" style="375" customWidth="1"/>
    <col min="15373" max="15616" width="8.875" style="375"/>
    <col min="15617" max="15617" width="3.375" style="375" customWidth="1"/>
    <col min="15618" max="15618" width="2.625" style="375" customWidth="1"/>
    <col min="15619" max="15619" width="14.25" style="375" customWidth="1"/>
    <col min="15620" max="15620" width="1.875" style="375" customWidth="1"/>
    <col min="15621" max="15621" width="16.375" style="375" bestFit="1" customWidth="1"/>
    <col min="15622" max="15622" width="8.875" style="375"/>
    <col min="15623" max="15623" width="2.125" style="375" customWidth="1"/>
    <col min="15624" max="15624" width="12.25" style="375" customWidth="1"/>
    <col min="15625" max="15625" width="2.125" style="375" customWidth="1"/>
    <col min="15626" max="15626" width="10.25" style="375" customWidth="1"/>
    <col min="15627" max="15627" width="3" style="375" customWidth="1"/>
    <col min="15628" max="15628" width="2.25" style="375" customWidth="1"/>
    <col min="15629" max="15872" width="8.875" style="375"/>
    <col min="15873" max="15873" width="3.375" style="375" customWidth="1"/>
    <col min="15874" max="15874" width="2.625" style="375" customWidth="1"/>
    <col min="15875" max="15875" width="14.25" style="375" customWidth="1"/>
    <col min="15876" max="15876" width="1.875" style="375" customWidth="1"/>
    <col min="15877" max="15877" width="16.375" style="375" bestFit="1" customWidth="1"/>
    <col min="15878" max="15878" width="8.875" style="375"/>
    <col min="15879" max="15879" width="2.125" style="375" customWidth="1"/>
    <col min="15880" max="15880" width="12.25" style="375" customWidth="1"/>
    <col min="15881" max="15881" width="2.125" style="375" customWidth="1"/>
    <col min="15882" max="15882" width="10.25" style="375" customWidth="1"/>
    <col min="15883" max="15883" width="3" style="375" customWidth="1"/>
    <col min="15884" max="15884" width="2.25" style="375" customWidth="1"/>
    <col min="15885" max="16128" width="8.875" style="375"/>
    <col min="16129" max="16129" width="3.375" style="375" customWidth="1"/>
    <col min="16130" max="16130" width="2.625" style="375" customWidth="1"/>
    <col min="16131" max="16131" width="14.25" style="375" customWidth="1"/>
    <col min="16132" max="16132" width="1.875" style="375" customWidth="1"/>
    <col min="16133" max="16133" width="16.375" style="375" bestFit="1" customWidth="1"/>
    <col min="16134" max="16134" width="8.875" style="375"/>
    <col min="16135" max="16135" width="2.125" style="375" customWidth="1"/>
    <col min="16136" max="16136" width="12.25" style="375" customWidth="1"/>
    <col min="16137" max="16137" width="2.125" style="375" customWidth="1"/>
    <col min="16138" max="16138" width="10.25" style="375" customWidth="1"/>
    <col min="16139" max="16139" width="3" style="375" customWidth="1"/>
    <col min="16140" max="16140" width="2.25" style="375" customWidth="1"/>
    <col min="16141" max="16384" width="8.875" style="375"/>
  </cols>
  <sheetData>
    <row r="1" spans="2:12" ht="61.9" customHeight="1"/>
    <row r="2" spans="2:12" ht="31.5">
      <c r="B2" s="888" t="s">
        <v>718</v>
      </c>
      <c r="C2" s="888"/>
      <c r="D2" s="888"/>
      <c r="E2" s="888"/>
      <c r="F2" s="888"/>
      <c r="G2" s="888"/>
      <c r="H2" s="888"/>
      <c r="I2" s="888"/>
      <c r="J2" s="888"/>
      <c r="K2" s="376"/>
      <c r="L2" s="376"/>
    </row>
    <row r="3" spans="2:12" s="377" customFormat="1" ht="48.6" customHeight="1"/>
    <row r="4" spans="2:12" s="380" customFormat="1" ht="22.9" customHeight="1">
      <c r="B4" s="378"/>
      <c r="C4" s="379" t="s">
        <v>719</v>
      </c>
      <c r="D4" s="379" t="s">
        <v>720</v>
      </c>
      <c r="E4" s="377" t="str">
        <f>청구서!G3</f>
        <v>고색2지구 공원 및 공공공지 조성공사</v>
      </c>
      <c r="F4" s="377"/>
      <c r="G4" s="377"/>
      <c r="H4" s="377"/>
      <c r="I4" s="377"/>
      <c r="J4" s="377"/>
      <c r="K4" s="377"/>
      <c r="L4" s="377"/>
    </row>
    <row r="5" spans="2:12" s="380" customFormat="1" ht="13.5">
      <c r="B5" s="378"/>
      <c r="C5" s="379"/>
      <c r="D5" s="379"/>
      <c r="E5" s="381"/>
      <c r="F5" s="377"/>
      <c r="G5" s="377"/>
      <c r="H5" s="377"/>
      <c r="I5" s="377"/>
      <c r="J5" s="377"/>
      <c r="K5" s="377"/>
      <c r="L5" s="377"/>
    </row>
    <row r="6" spans="2:12" s="377" customFormat="1" ht="13.5">
      <c r="B6" s="889"/>
      <c r="C6" s="889"/>
      <c r="D6" s="889"/>
      <c r="E6" s="889"/>
      <c r="F6" s="889"/>
      <c r="G6" s="889"/>
      <c r="H6" s="889"/>
      <c r="I6" s="889"/>
      <c r="J6" s="889"/>
      <c r="K6" s="382"/>
      <c r="L6" s="382"/>
    </row>
    <row r="7" spans="2:12" s="380" customFormat="1" ht="35.450000000000003" customHeight="1">
      <c r="B7" s="885" t="s">
        <v>721</v>
      </c>
      <c r="C7" s="885"/>
      <c r="D7" s="885"/>
      <c r="E7" s="885"/>
      <c r="F7" s="885"/>
      <c r="G7" s="885"/>
      <c r="H7" s="885"/>
      <c r="I7" s="885"/>
      <c r="J7" s="885"/>
      <c r="K7" s="377"/>
      <c r="L7" s="377"/>
    </row>
    <row r="8" spans="2:12" s="380" customFormat="1" ht="35.450000000000003" customHeight="1">
      <c r="B8" s="885" t="s">
        <v>722</v>
      </c>
      <c r="C8" s="885"/>
      <c r="D8" s="885"/>
      <c r="E8" s="885"/>
      <c r="F8" s="885"/>
      <c r="G8" s="885"/>
      <c r="H8" s="885"/>
      <c r="I8" s="885"/>
      <c r="J8" s="885"/>
      <c r="K8" s="377"/>
      <c r="L8" s="377"/>
    </row>
    <row r="9" spans="2:12" s="380" customFormat="1" ht="35.450000000000003" customHeight="1">
      <c r="B9" s="885" t="s">
        <v>723</v>
      </c>
      <c r="C9" s="885"/>
      <c r="D9" s="885"/>
      <c r="E9" s="885"/>
      <c r="F9" s="885"/>
      <c r="G9" s="885"/>
      <c r="H9" s="885"/>
      <c r="I9" s="885"/>
      <c r="J9" s="885"/>
      <c r="K9" s="377"/>
      <c r="L9" s="377"/>
    </row>
    <row r="10" spans="2:12" s="380" customFormat="1" ht="23.45" customHeight="1">
      <c r="B10" s="885"/>
      <c r="C10" s="885"/>
      <c r="D10" s="885"/>
      <c r="E10" s="885"/>
      <c r="F10" s="885"/>
      <c r="G10" s="885"/>
      <c r="H10" s="885"/>
      <c r="I10" s="885"/>
      <c r="J10" s="885"/>
      <c r="K10" s="377"/>
      <c r="L10" s="377"/>
    </row>
    <row r="11" spans="2:12" s="377" customFormat="1" ht="13.5">
      <c r="B11" s="885"/>
      <c r="C11" s="885"/>
      <c r="D11" s="885"/>
      <c r="E11" s="885"/>
      <c r="F11" s="885"/>
      <c r="G11" s="885"/>
      <c r="H11" s="885"/>
      <c r="I11" s="885"/>
      <c r="J11" s="885"/>
      <c r="K11" s="382"/>
      <c r="L11" s="382"/>
    </row>
    <row r="12" spans="2:12" s="377" customFormat="1" ht="13.5">
      <c r="B12" s="885"/>
      <c r="C12" s="885"/>
      <c r="D12" s="885"/>
      <c r="E12" s="885"/>
      <c r="F12" s="885"/>
      <c r="G12" s="885"/>
      <c r="H12" s="885"/>
      <c r="I12" s="885"/>
      <c r="J12" s="885"/>
      <c r="K12" s="382"/>
      <c r="L12" s="382"/>
    </row>
    <row r="13" spans="2:12" s="377" customFormat="1" ht="13.5">
      <c r="B13" s="885"/>
      <c r="C13" s="885"/>
      <c r="D13" s="885"/>
      <c r="E13" s="885"/>
      <c r="F13" s="885"/>
      <c r="G13" s="885"/>
      <c r="H13" s="885"/>
      <c r="I13" s="885"/>
      <c r="J13" s="885"/>
      <c r="K13" s="382"/>
      <c r="L13" s="382"/>
    </row>
    <row r="14" spans="2:12" s="377" customFormat="1" ht="13.5">
      <c r="B14" s="885"/>
      <c r="C14" s="885"/>
      <c r="D14" s="885"/>
      <c r="E14" s="885"/>
      <c r="F14" s="885"/>
      <c r="G14" s="885"/>
      <c r="H14" s="885"/>
      <c r="I14" s="885"/>
      <c r="J14" s="885"/>
      <c r="K14" s="382"/>
      <c r="L14" s="382"/>
    </row>
    <row r="15" spans="2:12" s="377" customFormat="1" ht="13.5">
      <c r="B15" s="885"/>
      <c r="C15" s="885"/>
      <c r="D15" s="885"/>
      <c r="E15" s="885"/>
      <c r="F15" s="885"/>
      <c r="G15" s="885"/>
      <c r="H15" s="885"/>
      <c r="I15" s="885"/>
      <c r="J15" s="885"/>
      <c r="K15" s="382"/>
      <c r="L15" s="382"/>
    </row>
    <row r="16" spans="2:12" s="377" customFormat="1" ht="13.5">
      <c r="B16" s="885"/>
      <c r="C16" s="885"/>
      <c r="D16" s="885"/>
      <c r="E16" s="885"/>
      <c r="F16" s="885"/>
      <c r="G16" s="885"/>
      <c r="H16" s="885"/>
      <c r="I16" s="885"/>
      <c r="J16" s="885"/>
      <c r="K16" s="382"/>
      <c r="L16" s="382"/>
    </row>
    <row r="17" spans="2:21" s="377" customFormat="1" ht="13.5">
      <c r="B17" s="885"/>
      <c r="C17" s="885"/>
      <c r="D17" s="885"/>
      <c r="E17" s="885"/>
      <c r="F17" s="885"/>
      <c r="G17" s="885"/>
      <c r="H17" s="885"/>
      <c r="I17" s="885"/>
      <c r="J17" s="885"/>
      <c r="K17" s="382"/>
      <c r="L17" s="382"/>
    </row>
    <row r="18" spans="2:21" s="377" customFormat="1" ht="13.5">
      <c r="B18" s="885"/>
      <c r="C18" s="885"/>
      <c r="D18" s="885"/>
      <c r="E18" s="885"/>
      <c r="F18" s="885"/>
      <c r="G18" s="885"/>
      <c r="H18" s="885"/>
      <c r="I18" s="885"/>
      <c r="J18" s="885"/>
      <c r="K18" s="382"/>
      <c r="L18" s="382"/>
      <c r="U18" s="383"/>
    </row>
    <row r="19" spans="2:21" s="377" customFormat="1" ht="13.5">
      <c r="B19" s="885"/>
      <c r="C19" s="885"/>
      <c r="D19" s="885"/>
      <c r="E19" s="885"/>
      <c r="F19" s="885"/>
      <c r="G19" s="885"/>
      <c r="H19" s="885"/>
      <c r="I19" s="885"/>
      <c r="J19" s="885"/>
      <c r="K19" s="382"/>
      <c r="L19" s="382"/>
    </row>
    <row r="20" spans="2:21" s="377" customFormat="1" ht="13.5">
      <c r="B20" s="885"/>
      <c r="C20" s="885"/>
      <c r="D20" s="885"/>
      <c r="E20" s="885"/>
      <c r="F20" s="885"/>
      <c r="G20" s="885"/>
      <c r="H20" s="885"/>
      <c r="I20" s="885"/>
      <c r="J20" s="885"/>
      <c r="K20" s="382"/>
      <c r="L20" s="382"/>
    </row>
    <row r="21" spans="2:21" s="377" customFormat="1" ht="24" customHeight="1">
      <c r="B21" s="886" t="str">
        <f>청구서!A32</f>
        <v>2023 년  02 월      일</v>
      </c>
      <c r="C21" s="886"/>
      <c r="D21" s="886"/>
      <c r="E21" s="886"/>
      <c r="F21" s="886"/>
      <c r="G21" s="886"/>
      <c r="H21" s="886"/>
      <c r="I21" s="886"/>
      <c r="J21" s="886"/>
    </row>
    <row r="22" spans="2:21" s="385" customFormat="1" ht="19.5">
      <c r="C22" s="887"/>
      <c r="D22" s="887"/>
      <c r="E22" s="887"/>
      <c r="F22" s="887"/>
      <c r="G22" s="887"/>
      <c r="H22" s="887"/>
      <c r="I22" s="887"/>
      <c r="J22" s="887"/>
      <c r="K22" s="887"/>
      <c r="L22" s="386"/>
    </row>
    <row r="23" spans="2:21" s="388" customFormat="1" ht="17.25">
      <c r="B23" s="387"/>
      <c r="C23" s="387"/>
      <c r="D23" s="387"/>
      <c r="E23" s="387"/>
      <c r="F23" s="387"/>
      <c r="G23" s="387"/>
      <c r="H23" s="387"/>
      <c r="I23" s="387"/>
      <c r="J23" s="387"/>
      <c r="K23" s="387"/>
      <c r="L23" s="387"/>
    </row>
    <row r="24" spans="2:21" s="388" customFormat="1" ht="25.15" customHeight="1">
      <c r="F24" s="379" t="s">
        <v>724</v>
      </c>
      <c r="G24" s="384" t="s">
        <v>720</v>
      </c>
      <c r="H24" s="884" t="str">
        <f>청구서!O35</f>
        <v>부강종합건설㈜</v>
      </c>
      <c r="I24" s="884"/>
      <c r="J24" s="884"/>
    </row>
    <row r="25" spans="2:21" s="388" customFormat="1" ht="25.15" customHeight="1">
      <c r="F25" s="379" t="s">
        <v>489</v>
      </c>
      <c r="G25" s="384" t="s">
        <v>720</v>
      </c>
      <c r="H25" s="885" t="str">
        <f>청구서!O36</f>
        <v xml:space="preserve">경남 합천군 </v>
      </c>
      <c r="I25" s="885"/>
      <c r="J25" s="885"/>
    </row>
    <row r="26" spans="2:21" s="388" customFormat="1" ht="25.15" customHeight="1">
      <c r="F26" s="379" t="s">
        <v>725</v>
      </c>
      <c r="G26" s="384" t="s">
        <v>720</v>
      </c>
      <c r="H26" s="389" t="str">
        <f>청구서!O37</f>
        <v>김 0 0</v>
      </c>
      <c r="I26" s="389" t="s">
        <v>726</v>
      </c>
      <c r="J26" s="377"/>
    </row>
    <row r="27" spans="2:21" s="388" customFormat="1" ht="106.15" customHeight="1">
      <c r="B27" s="387"/>
      <c r="C27" s="387"/>
      <c r="D27" s="387"/>
      <c r="E27" s="387"/>
      <c r="F27" s="390"/>
      <c r="G27" s="391"/>
      <c r="H27" s="392"/>
      <c r="I27" s="392"/>
      <c r="J27" s="387"/>
      <c r="K27" s="387"/>
      <c r="L27" s="387"/>
    </row>
    <row r="28" spans="2:21" s="388" customFormat="1" ht="19.5">
      <c r="B28" s="393" t="str">
        <f>청구서!A49</f>
        <v>경상남도교육지원청귀하</v>
      </c>
      <c r="C28" s="393"/>
      <c r="D28" s="393"/>
      <c r="E28" s="393"/>
      <c r="F28" s="393"/>
      <c r="G28" s="393"/>
      <c r="H28" s="393"/>
    </row>
    <row r="108" spans="1:9">
      <c r="A108" s="394"/>
      <c r="I108" s="395"/>
    </row>
    <row r="109" spans="1:9">
      <c r="A109" s="394"/>
      <c r="I109" s="395"/>
    </row>
    <row r="110" spans="1:9">
      <c r="A110" s="396"/>
      <c r="B110" s="397"/>
      <c r="C110" s="397"/>
      <c r="D110" s="397"/>
      <c r="E110" s="397"/>
      <c r="F110" s="397"/>
      <c r="G110" s="397"/>
      <c r="H110" s="397"/>
      <c r="I110" s="398"/>
    </row>
  </sheetData>
  <mergeCells count="20">
    <mergeCell ref="B16:J16"/>
    <mergeCell ref="B2:J2"/>
    <mergeCell ref="B6:J6"/>
    <mergeCell ref="B7:J7"/>
    <mergeCell ref="B8:J8"/>
    <mergeCell ref="B9:J9"/>
    <mergeCell ref="B10:J10"/>
    <mergeCell ref="B11:J11"/>
    <mergeCell ref="B12:J12"/>
    <mergeCell ref="B13:J13"/>
    <mergeCell ref="B14:J14"/>
    <mergeCell ref="B15:J15"/>
    <mergeCell ref="H24:J24"/>
    <mergeCell ref="H25:J25"/>
    <mergeCell ref="B17:J17"/>
    <mergeCell ref="B18:J18"/>
    <mergeCell ref="B19:J19"/>
    <mergeCell ref="B20:J20"/>
    <mergeCell ref="B21:J21"/>
    <mergeCell ref="C22:K22"/>
  </mergeCells>
  <phoneticPr fontId="4" type="noConversion"/>
  <pageMargins left="1.2204724409448819" right="0.23622047244094488" top="0" bottom="0" header="0" footer="0"/>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tabColor theme="5" tint="0.59999389629810485"/>
  </sheetPr>
  <dimension ref="A1:I110"/>
  <sheetViews>
    <sheetView view="pageBreakPreview" zoomScaleNormal="100" zoomScaleSheetLayoutView="100" workbookViewId="0">
      <selection activeCell="B15" sqref="B15:J15"/>
    </sheetView>
  </sheetViews>
  <sheetFormatPr defaultRowHeight="16.5"/>
  <cols>
    <col min="1" max="1" width="2.125" style="400" customWidth="1"/>
    <col min="2" max="2" width="28.5" style="400" customWidth="1"/>
    <col min="3" max="3" width="53" style="400" customWidth="1"/>
    <col min="4" max="4" width="11.375" style="400" customWidth="1"/>
    <col min="5" max="5" width="1.875" style="400" customWidth="1"/>
    <col min="6" max="16384" width="9" style="400"/>
  </cols>
  <sheetData>
    <row r="1" spans="2:4">
      <c r="B1" s="399" t="s">
        <v>727</v>
      </c>
    </row>
    <row r="2" spans="2:4">
      <c r="B2" s="401" t="s">
        <v>728</v>
      </c>
    </row>
    <row r="3" spans="2:4" ht="34.9" customHeight="1">
      <c r="B3" s="897" t="s">
        <v>729</v>
      </c>
      <c r="C3" s="897"/>
      <c r="D3" s="897"/>
    </row>
    <row r="4" spans="2:4">
      <c r="B4" s="399" t="s">
        <v>728</v>
      </c>
    </row>
    <row r="5" spans="2:4" ht="53.45" customHeight="1">
      <c r="B5" s="894" t="s">
        <v>730</v>
      </c>
      <c r="C5" s="894"/>
      <c r="D5" s="894"/>
    </row>
    <row r="6" spans="2:4" ht="17.25" thickBot="1">
      <c r="B6" s="399" t="s">
        <v>728</v>
      </c>
    </row>
    <row r="7" spans="2:4" ht="27.6" customHeight="1">
      <c r="B7" s="402" t="s">
        <v>731</v>
      </c>
      <c r="C7" s="898" t="str">
        <f>청구서!H24</f>
        <v>농협은행</v>
      </c>
      <c r="D7" s="899"/>
    </row>
    <row r="8" spans="2:4" ht="27.6" customHeight="1">
      <c r="B8" s="403" t="s">
        <v>732</v>
      </c>
      <c r="C8" s="895"/>
      <c r="D8" s="896"/>
    </row>
    <row r="9" spans="2:4" ht="27.6" customHeight="1">
      <c r="B9" s="403" t="s">
        <v>733</v>
      </c>
      <c r="C9" s="895" t="str">
        <f>청구서!I24</f>
        <v>355-0062-3586-33</v>
      </c>
      <c r="D9" s="896"/>
    </row>
    <row r="10" spans="2:4" ht="27.6" customHeight="1">
      <c r="B10" s="403" t="s">
        <v>734</v>
      </c>
      <c r="C10" s="895" t="str">
        <f>청구서!D24</f>
        <v>부강종합건설㈜</v>
      </c>
      <c r="D10" s="896"/>
    </row>
    <row r="11" spans="2:4" ht="27.6" customHeight="1" thickBot="1">
      <c r="B11" s="404" t="s">
        <v>735</v>
      </c>
      <c r="C11" s="890" t="s">
        <v>736</v>
      </c>
      <c r="D11" s="891"/>
    </row>
    <row r="12" spans="2:4" ht="47.45" customHeight="1">
      <c r="B12" s="399" t="s">
        <v>728</v>
      </c>
    </row>
    <row r="13" spans="2:4" ht="30" customHeight="1">
      <c r="B13" s="401" t="s">
        <v>737</v>
      </c>
    </row>
    <row r="14" spans="2:4" ht="30" customHeight="1">
      <c r="B14" s="892" t="s">
        <v>738</v>
      </c>
      <c r="C14" s="892"/>
      <c r="D14" s="892"/>
    </row>
    <row r="15" spans="2:4" ht="30" customHeight="1">
      <c r="B15" s="892" t="s">
        <v>739</v>
      </c>
      <c r="C15" s="892"/>
      <c r="D15" s="892"/>
    </row>
    <row r="16" spans="2:4" ht="31.15" customHeight="1">
      <c r="B16" s="399" t="s">
        <v>728</v>
      </c>
    </row>
    <row r="17" spans="2:4" ht="31.15" customHeight="1">
      <c r="B17" s="893" t="str">
        <f>각서!B21</f>
        <v>2023 년  02 월      일</v>
      </c>
      <c r="C17" s="893"/>
      <c r="D17" s="893"/>
    </row>
    <row r="19" spans="2:4" ht="35.450000000000003" customHeight="1">
      <c r="B19" s="406" t="s">
        <v>680</v>
      </c>
      <c r="C19" s="405" t="str">
        <f>각서!H24</f>
        <v>부강종합건설㈜</v>
      </c>
      <c r="D19" s="405"/>
    </row>
    <row r="20" spans="2:4" ht="35.450000000000003" customHeight="1">
      <c r="B20" s="407" t="s">
        <v>740</v>
      </c>
      <c r="C20" s="405" t="str">
        <f>각서!H25</f>
        <v xml:space="preserve">경남 합천군 </v>
      </c>
      <c r="D20" s="405"/>
    </row>
    <row r="21" spans="2:4" ht="35.450000000000003" customHeight="1">
      <c r="B21" s="406" t="s">
        <v>682</v>
      </c>
      <c r="C21" s="405" t="str">
        <f>각서!H26</f>
        <v>김 0 0</v>
      </c>
      <c r="D21" s="405"/>
    </row>
    <row r="22" spans="2:4" ht="35.450000000000003" customHeight="1">
      <c r="B22" s="894"/>
      <c r="C22" s="894"/>
      <c r="D22" s="894"/>
    </row>
    <row r="23" spans="2:4" ht="35.450000000000003" customHeight="1">
      <c r="B23" s="399"/>
      <c r="C23" s="399"/>
      <c r="D23" s="399"/>
    </row>
    <row r="24" spans="2:4" ht="24" customHeight="1">
      <c r="B24" s="399" t="s">
        <v>728</v>
      </c>
      <c r="D24" s="408" t="s">
        <v>741</v>
      </c>
    </row>
    <row r="25" spans="2:4" ht="56.45" customHeight="1">
      <c r="D25" s="409" t="s">
        <v>728</v>
      </c>
    </row>
    <row r="26" spans="2:4" ht="40.15" customHeight="1"/>
    <row r="27" spans="2:4" ht="27" customHeight="1">
      <c r="B27" s="410" t="str">
        <f>각서!B28</f>
        <v>경상남도교육지원청귀하</v>
      </c>
    </row>
    <row r="28" spans="2:4">
      <c r="B28" s="411" t="s">
        <v>728</v>
      </c>
    </row>
    <row r="108" spans="1:9">
      <c r="A108" s="412"/>
      <c r="I108" s="413"/>
    </row>
    <row r="109" spans="1:9">
      <c r="A109" s="412"/>
      <c r="I109" s="413"/>
    </row>
    <row r="110" spans="1:9">
      <c r="A110" s="414"/>
      <c r="B110" s="415"/>
      <c r="C110" s="415"/>
      <c r="D110" s="415"/>
      <c r="E110" s="415"/>
      <c r="F110" s="415"/>
      <c r="G110" s="415"/>
      <c r="H110" s="415"/>
      <c r="I110" s="416"/>
    </row>
  </sheetData>
  <mergeCells count="11">
    <mergeCell ref="C10:D10"/>
    <mergeCell ref="B3:D3"/>
    <mergeCell ref="B5:D5"/>
    <mergeCell ref="C7:D7"/>
    <mergeCell ref="C8:D8"/>
    <mergeCell ref="C9:D9"/>
    <mergeCell ref="C11:D11"/>
    <mergeCell ref="B14:D14"/>
    <mergeCell ref="B15:D15"/>
    <mergeCell ref="B17:D17"/>
    <mergeCell ref="B22:D22"/>
  </mergeCells>
  <phoneticPr fontId="4" type="noConversion"/>
  <pageMargins left="0.7" right="0.7" top="0.75" bottom="0.75" header="0.3" footer="0.3"/>
  <pageSetup paperSize="9" scale="83"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5"/>
  <dimension ref="A1:BD75"/>
  <sheetViews>
    <sheetView showGridLines="0" zoomScaleNormal="100" workbookViewId="0">
      <pane xSplit="10" ySplit="1" topLeftCell="K2" activePane="bottomRight" state="frozen"/>
      <selection activeCell="E2" sqref="E2"/>
      <selection pane="topRight" activeCell="E2" sqref="E2"/>
      <selection pane="bottomLeft" activeCell="E2" sqref="E2"/>
      <selection pane="bottomRight" activeCell="D3" sqref="D3"/>
    </sheetView>
  </sheetViews>
  <sheetFormatPr defaultRowHeight="19.5" customHeight="1"/>
  <cols>
    <col min="1" max="1" width="4.625" style="74" customWidth="1"/>
    <col min="2" max="2" width="8.125" style="74" bestFit="1" customWidth="1"/>
    <col min="3" max="3" width="14.5" style="74" customWidth="1"/>
    <col min="4" max="4" width="7.875" style="75" customWidth="1"/>
    <col min="5" max="5" width="8" style="252" customWidth="1"/>
    <col min="6" max="6" width="11.375" style="252" customWidth="1"/>
    <col min="7" max="9" width="0.375" style="74" hidden="1" customWidth="1"/>
    <col min="10" max="10" width="8" style="74" bestFit="1" customWidth="1"/>
    <col min="11" max="41" width="4.25" style="74" customWidth="1"/>
    <col min="42" max="44" width="8" style="74" bestFit="1" customWidth="1"/>
    <col min="45" max="46" width="11.5" style="74" customWidth="1"/>
    <col min="47" max="47" width="11.375" style="74" customWidth="1"/>
    <col min="48" max="49" width="13.125" style="74" customWidth="1"/>
    <col min="50" max="50" width="11.375" style="74" customWidth="1"/>
    <col min="51" max="51" width="6.375" style="74" customWidth="1"/>
    <col min="52" max="52" width="9.25" style="74" customWidth="1"/>
    <col min="53" max="53" width="9.625" style="74" customWidth="1"/>
    <col min="54" max="54" width="6.375" style="74" customWidth="1"/>
    <col min="55" max="55" width="9.625" style="74" customWidth="1"/>
    <col min="56" max="56" width="8" style="74" customWidth="1"/>
    <col min="57" max="16384" width="9" style="74"/>
  </cols>
  <sheetData>
    <row r="1" spans="1:56" s="193" customFormat="1" ht="51" customHeight="1">
      <c r="A1" s="182" t="s">
        <v>94</v>
      </c>
      <c r="B1" s="183" t="s">
        <v>95</v>
      </c>
      <c r="C1" s="255" t="s">
        <v>96</v>
      </c>
      <c r="D1" s="184" t="s">
        <v>97</v>
      </c>
      <c r="E1" s="250" t="s">
        <v>98</v>
      </c>
      <c r="F1" s="250" t="s">
        <v>99</v>
      </c>
      <c r="G1" s="186" t="s">
        <v>100</v>
      </c>
      <c r="H1" s="186" t="s">
        <v>101</v>
      </c>
      <c r="I1" s="186" t="s">
        <v>102</v>
      </c>
      <c r="J1" s="185" t="s">
        <v>103</v>
      </c>
      <c r="K1" s="187" t="s">
        <v>104</v>
      </c>
      <c r="L1" s="188" t="s">
        <v>105</v>
      </c>
      <c r="M1" s="188" t="s">
        <v>106</v>
      </c>
      <c r="N1" s="188" t="s">
        <v>107</v>
      </c>
      <c r="O1" s="188" t="s">
        <v>108</v>
      </c>
      <c r="P1" s="188" t="s">
        <v>109</v>
      </c>
      <c r="Q1" s="188" t="s">
        <v>110</v>
      </c>
      <c r="R1" s="188" t="s">
        <v>111</v>
      </c>
      <c r="S1" s="188" t="s">
        <v>112</v>
      </c>
      <c r="T1" s="188" t="s">
        <v>113</v>
      </c>
      <c r="U1" s="188" t="s">
        <v>114</v>
      </c>
      <c r="V1" s="188" t="s">
        <v>115</v>
      </c>
      <c r="W1" s="188" t="s">
        <v>116</v>
      </c>
      <c r="X1" s="188" t="s">
        <v>117</v>
      </c>
      <c r="Y1" s="188" t="s">
        <v>118</v>
      </c>
      <c r="Z1" s="188" t="s">
        <v>119</v>
      </c>
      <c r="AA1" s="188" t="s">
        <v>120</v>
      </c>
      <c r="AB1" s="188" t="s">
        <v>121</v>
      </c>
      <c r="AC1" s="188" t="s">
        <v>122</v>
      </c>
      <c r="AD1" s="188" t="s">
        <v>123</v>
      </c>
      <c r="AE1" s="188" t="s">
        <v>124</v>
      </c>
      <c r="AF1" s="188" t="s">
        <v>125</v>
      </c>
      <c r="AG1" s="188" t="s">
        <v>126</v>
      </c>
      <c r="AH1" s="188" t="s">
        <v>127</v>
      </c>
      <c r="AI1" s="188" t="s">
        <v>128</v>
      </c>
      <c r="AJ1" s="188" t="s">
        <v>129</v>
      </c>
      <c r="AK1" s="188" t="s">
        <v>130</v>
      </c>
      <c r="AL1" s="188" t="s">
        <v>131</v>
      </c>
      <c r="AM1" s="188" t="s">
        <v>132</v>
      </c>
      <c r="AN1" s="188" t="s">
        <v>133</v>
      </c>
      <c r="AO1" s="189" t="s">
        <v>134</v>
      </c>
      <c r="AP1" s="190" t="s">
        <v>135</v>
      </c>
      <c r="AQ1" s="183" t="s">
        <v>136</v>
      </c>
      <c r="AR1" s="183" t="s">
        <v>137</v>
      </c>
      <c r="AS1" s="191" t="s">
        <v>138</v>
      </c>
      <c r="AT1" s="185" t="s">
        <v>139</v>
      </c>
      <c r="AU1" s="185" t="s">
        <v>140</v>
      </c>
      <c r="AV1" s="191" t="s">
        <v>141</v>
      </c>
      <c r="AW1" s="191" t="s">
        <v>142</v>
      </c>
      <c r="AX1" s="192" t="s">
        <v>143</v>
      </c>
      <c r="AY1" s="192" t="s">
        <v>144</v>
      </c>
      <c r="AZ1" s="192" t="s">
        <v>145</v>
      </c>
      <c r="BA1" s="192" t="s">
        <v>146</v>
      </c>
      <c r="BB1" s="192" t="s">
        <v>147</v>
      </c>
      <c r="BC1" s="192" t="s">
        <v>148</v>
      </c>
      <c r="BD1" s="191" t="s">
        <v>149</v>
      </c>
    </row>
    <row r="2" spans="1:56" s="73" customFormat="1" ht="19.5" customHeight="1">
      <c r="A2" s="68" t="s">
        <v>609</v>
      </c>
      <c r="B2" s="69" t="e">
        <f>#REF!</f>
        <v>#REF!</v>
      </c>
      <c r="C2" s="70" t="e">
        <f>LEFT(#REF!,6)&amp;RIGHT(#REF!,7)</f>
        <v>#REF!</v>
      </c>
      <c r="D2" s="201" t="e">
        <f>#REF!</f>
        <v>#REF!</v>
      </c>
      <c r="E2" s="251" t="str">
        <f t="shared" ref="E2:E33" si="0">IFERROR(IF(VLOOKUP(B2,주소록,10,FALSE)&lt;&gt;"",VLOOKUP(B2,주소록,10,FALSE),""),"")</f>
        <v/>
      </c>
      <c r="F2" s="251" t="str">
        <f t="shared" ref="F2:F33" si="1">IFERROR(IF(VLOOKUP(B2,주소록,10,FALSE)&lt;&gt;"",VLOOKUP(B2,주소록,11,FALSE),""),"")</f>
        <v/>
      </c>
      <c r="G2" s="68"/>
      <c r="H2" s="68"/>
      <c r="I2" s="68"/>
      <c r="J2" s="68" t="s">
        <v>150</v>
      </c>
      <c r="K2" s="194" t="e">
        <f>IF(#REF!=0,"",#REF!)</f>
        <v>#REF!</v>
      </c>
      <c r="L2" s="195" t="e">
        <f>IF(#REF!=0,"",#REF!)</f>
        <v>#REF!</v>
      </c>
      <c r="M2" s="195" t="e">
        <f>IF(#REF!=0,"",#REF!)</f>
        <v>#REF!</v>
      </c>
      <c r="N2" s="195" t="e">
        <f>IF(#REF!=0,"",#REF!)</f>
        <v>#REF!</v>
      </c>
      <c r="O2" s="195" t="e">
        <f>IF(#REF!=0,"",#REF!)</f>
        <v>#REF!</v>
      </c>
      <c r="P2" s="195" t="e">
        <f>IF(#REF!=0,"",#REF!)</f>
        <v>#REF!</v>
      </c>
      <c r="Q2" s="195" t="e">
        <f>IF(#REF!=0,"",#REF!)</f>
        <v>#REF!</v>
      </c>
      <c r="R2" s="195" t="e">
        <f>IF(#REF!=0,"",#REF!)</f>
        <v>#REF!</v>
      </c>
      <c r="S2" s="195" t="e">
        <f>IF(#REF!=0,"",#REF!)</f>
        <v>#REF!</v>
      </c>
      <c r="T2" s="195" t="e">
        <f>IF(#REF!=0,"",#REF!)</f>
        <v>#REF!</v>
      </c>
      <c r="U2" s="195" t="e">
        <f>IF(#REF!=0,"",#REF!)</f>
        <v>#REF!</v>
      </c>
      <c r="V2" s="195" t="e">
        <f>IF(#REF!=0,"",#REF!)</f>
        <v>#REF!</v>
      </c>
      <c r="W2" s="195" t="e">
        <f>IF(#REF!=0,"",#REF!)</f>
        <v>#REF!</v>
      </c>
      <c r="X2" s="195" t="e">
        <f>IF(#REF!=0,"",#REF!)</f>
        <v>#REF!</v>
      </c>
      <c r="Y2" s="195" t="e">
        <f>IF(#REF!=0,"",#REF!)</f>
        <v>#REF!</v>
      </c>
      <c r="Z2" s="195" t="e">
        <f>IF(#REF!=0,"",#REF!)</f>
        <v>#REF!</v>
      </c>
      <c r="AA2" s="195" t="e">
        <f>IF(#REF!=0,"",#REF!)</f>
        <v>#REF!</v>
      </c>
      <c r="AB2" s="195" t="e">
        <f>IF(#REF!=0,"",#REF!)</f>
        <v>#REF!</v>
      </c>
      <c r="AC2" s="195" t="e">
        <f>IF(#REF!=0,"",#REF!)</f>
        <v>#REF!</v>
      </c>
      <c r="AD2" s="195" t="e">
        <f>IF(#REF!=0,"",#REF!)</f>
        <v>#REF!</v>
      </c>
      <c r="AE2" s="195" t="e">
        <f>IF(#REF!=0,"",#REF!)</f>
        <v>#REF!</v>
      </c>
      <c r="AF2" s="195" t="e">
        <f>IF(#REF!=0,"",#REF!)</f>
        <v>#REF!</v>
      </c>
      <c r="AG2" s="195" t="e">
        <f>IF(#REF!=0,"",#REF!)</f>
        <v>#REF!</v>
      </c>
      <c r="AH2" s="195" t="e">
        <f>IF(#REF!=0,"",#REF!)</f>
        <v>#REF!</v>
      </c>
      <c r="AI2" s="195" t="e">
        <f>IF(#REF!=0,"",#REF!)</f>
        <v>#REF!</v>
      </c>
      <c r="AJ2" s="195" t="e">
        <f>IF(#REF!=0,"",#REF!)</f>
        <v>#REF!</v>
      </c>
      <c r="AK2" s="195" t="e">
        <f>IF(#REF!=0,"",#REF!)</f>
        <v>#REF!</v>
      </c>
      <c r="AL2" s="195" t="e">
        <f>IF(#REF!=0,"",#REF!)</f>
        <v>#REF!</v>
      </c>
      <c r="AM2" s="195" t="e">
        <f>IF(#REF!=0,"",#REF!)</f>
        <v>#REF!</v>
      </c>
      <c r="AN2" s="195" t="e">
        <f>IF(#REF!=0,"",#REF!)</f>
        <v>#REF!</v>
      </c>
      <c r="AO2" s="196" t="e">
        <f>IF(#REF!=0,"",#REF!)</f>
        <v>#REF!</v>
      </c>
      <c r="AP2" s="70" t="e">
        <f t="shared" ref="AP2:AP33" si="2">SUM(K2:AO2)</f>
        <v>#REF!</v>
      </c>
      <c r="AQ2" s="68" t="s">
        <v>151</v>
      </c>
      <c r="AR2" s="70" t="e">
        <f>#REF!</f>
        <v>#REF!</v>
      </c>
      <c r="AS2" s="71" t="e">
        <f>#REF!</f>
        <v>#REF!</v>
      </c>
      <c r="AT2" s="71" t="e">
        <f>#REF!</f>
        <v>#REF!</v>
      </c>
      <c r="AU2" s="72"/>
      <c r="AV2" s="72"/>
      <c r="AW2" s="72"/>
      <c r="AX2" s="72"/>
      <c r="AY2" s="72"/>
      <c r="AZ2" s="72"/>
      <c r="BA2" s="68"/>
      <c r="BB2" s="68"/>
      <c r="BC2" s="68"/>
      <c r="BD2" s="68"/>
    </row>
    <row r="3" spans="1:56" s="73" customFormat="1" ht="19.5" customHeight="1">
      <c r="A3" s="68" t="s">
        <v>609</v>
      </c>
      <c r="B3" s="69" t="e">
        <f>#REF!</f>
        <v>#REF!</v>
      </c>
      <c r="C3" s="70" t="e">
        <f>LEFT(#REF!,6)&amp;RIGHT(#REF!,7)</f>
        <v>#REF!</v>
      </c>
      <c r="D3" s="201" t="e">
        <f>#REF!</f>
        <v>#REF!</v>
      </c>
      <c r="E3" s="251" t="str">
        <f t="shared" si="0"/>
        <v/>
      </c>
      <c r="F3" s="251" t="str">
        <f t="shared" si="1"/>
        <v/>
      </c>
      <c r="G3" s="68"/>
      <c r="H3" s="68"/>
      <c r="I3" s="68"/>
      <c r="J3" s="68" t="s">
        <v>150</v>
      </c>
      <c r="K3" s="194" t="e">
        <f>IF(#REF!=0,"",#REF!)</f>
        <v>#REF!</v>
      </c>
      <c r="L3" s="195" t="e">
        <f>IF(#REF!=0,"",#REF!)</f>
        <v>#REF!</v>
      </c>
      <c r="M3" s="195" t="e">
        <f>IF(#REF!=0,"",#REF!)</f>
        <v>#REF!</v>
      </c>
      <c r="N3" s="195" t="e">
        <f>IF(#REF!=0,"",#REF!)</f>
        <v>#REF!</v>
      </c>
      <c r="O3" s="195" t="e">
        <f>IF(#REF!=0,"",#REF!)</f>
        <v>#REF!</v>
      </c>
      <c r="P3" s="195" t="e">
        <f>IF(#REF!=0,"",#REF!)</f>
        <v>#REF!</v>
      </c>
      <c r="Q3" s="195" t="e">
        <f>IF(#REF!=0,"",#REF!)</f>
        <v>#REF!</v>
      </c>
      <c r="R3" s="195" t="e">
        <f>IF(#REF!=0,"",#REF!)</f>
        <v>#REF!</v>
      </c>
      <c r="S3" s="195" t="e">
        <f>IF(#REF!=0,"",#REF!)</f>
        <v>#REF!</v>
      </c>
      <c r="T3" s="195" t="e">
        <f>IF(#REF!=0,"",#REF!)</f>
        <v>#REF!</v>
      </c>
      <c r="U3" s="195" t="e">
        <f>IF(#REF!=0,"",#REF!)</f>
        <v>#REF!</v>
      </c>
      <c r="V3" s="195" t="e">
        <f>IF(#REF!=0,"",#REF!)</f>
        <v>#REF!</v>
      </c>
      <c r="W3" s="195" t="e">
        <f>IF(#REF!=0,"",#REF!)</f>
        <v>#REF!</v>
      </c>
      <c r="X3" s="195" t="e">
        <f>IF(#REF!=0,"",#REF!)</f>
        <v>#REF!</v>
      </c>
      <c r="Y3" s="195" t="e">
        <f>IF(#REF!=0,"",#REF!)</f>
        <v>#REF!</v>
      </c>
      <c r="Z3" s="195" t="e">
        <f>IF(#REF!=0,"",#REF!)</f>
        <v>#REF!</v>
      </c>
      <c r="AA3" s="195" t="e">
        <f>IF(#REF!=0,"",#REF!)</f>
        <v>#REF!</v>
      </c>
      <c r="AB3" s="195" t="e">
        <f>IF(#REF!=0,"",#REF!)</f>
        <v>#REF!</v>
      </c>
      <c r="AC3" s="195" t="e">
        <f>IF(#REF!=0,"",#REF!)</f>
        <v>#REF!</v>
      </c>
      <c r="AD3" s="195" t="e">
        <f>IF(#REF!=0,"",#REF!)</f>
        <v>#REF!</v>
      </c>
      <c r="AE3" s="195" t="e">
        <f>IF(#REF!=0,"",#REF!)</f>
        <v>#REF!</v>
      </c>
      <c r="AF3" s="195" t="e">
        <f>IF(#REF!=0,"",#REF!)</f>
        <v>#REF!</v>
      </c>
      <c r="AG3" s="195" t="e">
        <f>IF(#REF!=0,"",#REF!)</f>
        <v>#REF!</v>
      </c>
      <c r="AH3" s="195" t="e">
        <f>IF(#REF!=0,"",#REF!)</f>
        <v>#REF!</v>
      </c>
      <c r="AI3" s="195" t="e">
        <f>IF(#REF!=0,"",#REF!)</f>
        <v>#REF!</v>
      </c>
      <c r="AJ3" s="195" t="e">
        <f>IF(#REF!=0,"",#REF!)</f>
        <v>#REF!</v>
      </c>
      <c r="AK3" s="195" t="e">
        <f>IF(#REF!=0,"",#REF!)</f>
        <v>#REF!</v>
      </c>
      <c r="AL3" s="195" t="e">
        <f>IF(#REF!=0,"",#REF!)</f>
        <v>#REF!</v>
      </c>
      <c r="AM3" s="195" t="e">
        <f>IF(#REF!=0,"",#REF!)</f>
        <v>#REF!</v>
      </c>
      <c r="AN3" s="195" t="e">
        <f>IF(#REF!=0,"",#REF!)</f>
        <v>#REF!</v>
      </c>
      <c r="AO3" s="196" t="e">
        <f>IF(#REF!=0,"",#REF!)</f>
        <v>#REF!</v>
      </c>
      <c r="AP3" s="70" t="e">
        <f t="shared" si="2"/>
        <v>#REF!</v>
      </c>
      <c r="AQ3" s="68" t="s">
        <v>151</v>
      </c>
      <c r="AR3" s="70" t="e">
        <f>#REF!</f>
        <v>#REF!</v>
      </c>
      <c r="AS3" s="71" t="e">
        <f>#REF!</f>
        <v>#REF!</v>
      </c>
      <c r="AT3" s="71" t="e">
        <f>#REF!</f>
        <v>#REF!</v>
      </c>
      <c r="AU3" s="72"/>
      <c r="AV3" s="72"/>
      <c r="AW3" s="72"/>
      <c r="AX3" s="72"/>
      <c r="AY3" s="72"/>
      <c r="AZ3" s="72"/>
      <c r="BA3" s="68"/>
      <c r="BB3" s="68"/>
      <c r="BC3" s="68"/>
      <c r="BD3" s="68"/>
    </row>
    <row r="4" spans="1:56" s="73" customFormat="1" ht="19.5" customHeight="1">
      <c r="A4" s="68" t="s">
        <v>609</v>
      </c>
      <c r="B4" s="69" t="e">
        <f>#REF!</f>
        <v>#REF!</v>
      </c>
      <c r="C4" s="70" t="e">
        <f>LEFT(#REF!,6)&amp;RIGHT(#REF!,7)</f>
        <v>#REF!</v>
      </c>
      <c r="D4" s="201" t="e">
        <f>#REF!</f>
        <v>#REF!</v>
      </c>
      <c r="E4" s="251" t="str">
        <f t="shared" si="0"/>
        <v/>
      </c>
      <c r="F4" s="251" t="str">
        <f t="shared" si="1"/>
        <v/>
      </c>
      <c r="G4" s="68"/>
      <c r="H4" s="68"/>
      <c r="I4" s="68"/>
      <c r="J4" s="68" t="s">
        <v>150</v>
      </c>
      <c r="K4" s="194" t="e">
        <f>IF(#REF!=0,"",#REF!)</f>
        <v>#REF!</v>
      </c>
      <c r="L4" s="195" t="e">
        <f>IF(#REF!=0,"",#REF!)</f>
        <v>#REF!</v>
      </c>
      <c r="M4" s="195" t="e">
        <f>IF(#REF!=0,"",#REF!)</f>
        <v>#REF!</v>
      </c>
      <c r="N4" s="195" t="e">
        <f>IF(#REF!=0,"",#REF!)</f>
        <v>#REF!</v>
      </c>
      <c r="O4" s="195" t="e">
        <f>IF(#REF!=0,"",#REF!)</f>
        <v>#REF!</v>
      </c>
      <c r="P4" s="195" t="e">
        <f>IF(#REF!=0,"",#REF!)</f>
        <v>#REF!</v>
      </c>
      <c r="Q4" s="195" t="e">
        <f>IF(#REF!=0,"",#REF!)</f>
        <v>#REF!</v>
      </c>
      <c r="R4" s="195" t="e">
        <f>IF(#REF!=0,"",#REF!)</f>
        <v>#REF!</v>
      </c>
      <c r="S4" s="195" t="e">
        <f>IF(#REF!=0,"",#REF!)</f>
        <v>#REF!</v>
      </c>
      <c r="T4" s="195" t="e">
        <f>IF(#REF!=0,"",#REF!)</f>
        <v>#REF!</v>
      </c>
      <c r="U4" s="195" t="e">
        <f>IF(#REF!=0,"",#REF!)</f>
        <v>#REF!</v>
      </c>
      <c r="V4" s="195" t="e">
        <f>IF(#REF!=0,"",#REF!)</f>
        <v>#REF!</v>
      </c>
      <c r="W4" s="195" t="e">
        <f>IF(#REF!=0,"",#REF!)</f>
        <v>#REF!</v>
      </c>
      <c r="X4" s="195" t="e">
        <f>IF(#REF!=0,"",#REF!)</f>
        <v>#REF!</v>
      </c>
      <c r="Y4" s="195" t="e">
        <f>IF(#REF!=0,"",#REF!)</f>
        <v>#REF!</v>
      </c>
      <c r="Z4" s="195" t="e">
        <f>IF(#REF!=0,"",#REF!)</f>
        <v>#REF!</v>
      </c>
      <c r="AA4" s="195" t="e">
        <f>IF(#REF!=0,"",#REF!)</f>
        <v>#REF!</v>
      </c>
      <c r="AB4" s="195" t="e">
        <f>IF(#REF!=0,"",#REF!)</f>
        <v>#REF!</v>
      </c>
      <c r="AC4" s="195" t="e">
        <f>IF(#REF!=0,"",#REF!)</f>
        <v>#REF!</v>
      </c>
      <c r="AD4" s="195" t="e">
        <f>IF(#REF!=0,"",#REF!)</f>
        <v>#REF!</v>
      </c>
      <c r="AE4" s="195" t="e">
        <f>IF(#REF!=0,"",#REF!)</f>
        <v>#REF!</v>
      </c>
      <c r="AF4" s="195" t="e">
        <f>IF(#REF!=0,"",#REF!)</f>
        <v>#REF!</v>
      </c>
      <c r="AG4" s="195" t="e">
        <f>IF(#REF!=0,"",#REF!)</f>
        <v>#REF!</v>
      </c>
      <c r="AH4" s="195" t="e">
        <f>IF(#REF!=0,"",#REF!)</f>
        <v>#REF!</v>
      </c>
      <c r="AI4" s="195" t="e">
        <f>IF(#REF!=0,"",#REF!)</f>
        <v>#REF!</v>
      </c>
      <c r="AJ4" s="195" t="e">
        <f>IF(#REF!=0,"",#REF!)</f>
        <v>#REF!</v>
      </c>
      <c r="AK4" s="195" t="e">
        <f>IF(#REF!=0,"",#REF!)</f>
        <v>#REF!</v>
      </c>
      <c r="AL4" s="195" t="e">
        <f>IF(#REF!=0,"",#REF!)</f>
        <v>#REF!</v>
      </c>
      <c r="AM4" s="195" t="e">
        <f>IF(#REF!=0,"",#REF!)</f>
        <v>#REF!</v>
      </c>
      <c r="AN4" s="195" t="e">
        <f>IF(#REF!=0,"",#REF!)</f>
        <v>#REF!</v>
      </c>
      <c r="AO4" s="196" t="e">
        <f>IF(#REF!=0,"",#REF!)</f>
        <v>#REF!</v>
      </c>
      <c r="AP4" s="70" t="e">
        <f t="shared" si="2"/>
        <v>#REF!</v>
      </c>
      <c r="AQ4" s="68" t="s">
        <v>151</v>
      </c>
      <c r="AR4" s="70" t="e">
        <f>#REF!</f>
        <v>#REF!</v>
      </c>
      <c r="AS4" s="71" t="e">
        <f>#REF!</f>
        <v>#REF!</v>
      </c>
      <c r="AT4" s="71" t="e">
        <f>#REF!</f>
        <v>#REF!</v>
      </c>
      <c r="AU4" s="72"/>
      <c r="AV4" s="72"/>
      <c r="AW4" s="72"/>
      <c r="AX4" s="72"/>
      <c r="AY4" s="72"/>
      <c r="AZ4" s="72"/>
      <c r="BA4" s="68"/>
      <c r="BB4" s="68"/>
      <c r="BC4" s="68"/>
      <c r="BD4" s="68"/>
    </row>
    <row r="5" spans="1:56" s="73" customFormat="1" ht="19.5" customHeight="1">
      <c r="A5" s="68" t="s">
        <v>609</v>
      </c>
      <c r="B5" s="69" t="e">
        <f>#REF!</f>
        <v>#REF!</v>
      </c>
      <c r="C5" s="70" t="e">
        <f>LEFT(#REF!,6)&amp;RIGHT(#REF!,7)</f>
        <v>#REF!</v>
      </c>
      <c r="D5" s="201" t="e">
        <f>#REF!</f>
        <v>#REF!</v>
      </c>
      <c r="E5" s="251" t="str">
        <f t="shared" si="0"/>
        <v/>
      </c>
      <c r="F5" s="251" t="str">
        <f t="shared" si="1"/>
        <v/>
      </c>
      <c r="G5" s="68"/>
      <c r="H5" s="68"/>
      <c r="I5" s="68"/>
      <c r="J5" s="68" t="s">
        <v>150</v>
      </c>
      <c r="K5" s="194" t="e">
        <f>IF(#REF!=0,"",#REF!)</f>
        <v>#REF!</v>
      </c>
      <c r="L5" s="195" t="e">
        <f>IF(#REF!=0,"",#REF!)</f>
        <v>#REF!</v>
      </c>
      <c r="M5" s="195" t="e">
        <f>IF(#REF!=0,"",#REF!)</f>
        <v>#REF!</v>
      </c>
      <c r="N5" s="195" t="e">
        <f>IF(#REF!=0,"",#REF!)</f>
        <v>#REF!</v>
      </c>
      <c r="O5" s="195" t="e">
        <f>IF(#REF!=0,"",#REF!)</f>
        <v>#REF!</v>
      </c>
      <c r="P5" s="195" t="e">
        <f>IF(#REF!=0,"",#REF!)</f>
        <v>#REF!</v>
      </c>
      <c r="Q5" s="195" t="e">
        <f>IF(#REF!=0,"",#REF!)</f>
        <v>#REF!</v>
      </c>
      <c r="R5" s="195" t="e">
        <f>IF(#REF!=0,"",#REF!)</f>
        <v>#REF!</v>
      </c>
      <c r="S5" s="195" t="e">
        <f>IF(#REF!=0,"",#REF!)</f>
        <v>#REF!</v>
      </c>
      <c r="T5" s="195" t="e">
        <f>IF(#REF!=0,"",#REF!)</f>
        <v>#REF!</v>
      </c>
      <c r="U5" s="195" t="e">
        <f>IF(#REF!=0,"",#REF!)</f>
        <v>#REF!</v>
      </c>
      <c r="V5" s="195" t="e">
        <f>IF(#REF!=0,"",#REF!)</f>
        <v>#REF!</v>
      </c>
      <c r="W5" s="195" t="e">
        <f>IF(#REF!=0,"",#REF!)</f>
        <v>#REF!</v>
      </c>
      <c r="X5" s="195" t="e">
        <f>IF(#REF!=0,"",#REF!)</f>
        <v>#REF!</v>
      </c>
      <c r="Y5" s="195" t="e">
        <f>IF(#REF!=0,"",#REF!)</f>
        <v>#REF!</v>
      </c>
      <c r="Z5" s="195" t="e">
        <f>IF(#REF!=0,"",#REF!)</f>
        <v>#REF!</v>
      </c>
      <c r="AA5" s="195" t="e">
        <f>IF(#REF!=0,"",#REF!)</f>
        <v>#REF!</v>
      </c>
      <c r="AB5" s="195" t="e">
        <f>IF(#REF!=0,"",#REF!)</f>
        <v>#REF!</v>
      </c>
      <c r="AC5" s="195" t="e">
        <f>IF(#REF!=0,"",#REF!)</f>
        <v>#REF!</v>
      </c>
      <c r="AD5" s="195" t="e">
        <f>IF(#REF!=0,"",#REF!)</f>
        <v>#REF!</v>
      </c>
      <c r="AE5" s="195" t="e">
        <f>IF(#REF!=0,"",#REF!)</f>
        <v>#REF!</v>
      </c>
      <c r="AF5" s="195" t="e">
        <f>IF(#REF!=0,"",#REF!)</f>
        <v>#REF!</v>
      </c>
      <c r="AG5" s="195" t="e">
        <f>IF(#REF!=0,"",#REF!)</f>
        <v>#REF!</v>
      </c>
      <c r="AH5" s="195" t="e">
        <f>IF(#REF!=0,"",#REF!)</f>
        <v>#REF!</v>
      </c>
      <c r="AI5" s="195" t="e">
        <f>IF(#REF!=0,"",#REF!)</f>
        <v>#REF!</v>
      </c>
      <c r="AJ5" s="195" t="e">
        <f>IF(#REF!=0,"",#REF!)</f>
        <v>#REF!</v>
      </c>
      <c r="AK5" s="195" t="e">
        <f>IF(#REF!=0,"",#REF!)</f>
        <v>#REF!</v>
      </c>
      <c r="AL5" s="195" t="e">
        <f>IF(#REF!=0,"",#REF!)</f>
        <v>#REF!</v>
      </c>
      <c r="AM5" s="195" t="e">
        <f>IF(#REF!=0,"",#REF!)</f>
        <v>#REF!</v>
      </c>
      <c r="AN5" s="195" t="e">
        <f>IF(#REF!=0,"",#REF!)</f>
        <v>#REF!</v>
      </c>
      <c r="AO5" s="196" t="e">
        <f>IF(#REF!=0,"",#REF!)</f>
        <v>#REF!</v>
      </c>
      <c r="AP5" s="70" t="e">
        <f t="shared" si="2"/>
        <v>#REF!</v>
      </c>
      <c r="AQ5" s="68" t="s">
        <v>151</v>
      </c>
      <c r="AR5" s="70" t="e">
        <f>#REF!</f>
        <v>#REF!</v>
      </c>
      <c r="AS5" s="71" t="e">
        <f>#REF!</f>
        <v>#REF!</v>
      </c>
      <c r="AT5" s="71" t="e">
        <f>#REF!</f>
        <v>#REF!</v>
      </c>
      <c r="AU5" s="72"/>
      <c r="AV5" s="72"/>
      <c r="AW5" s="72"/>
      <c r="AX5" s="72"/>
      <c r="AY5" s="72"/>
      <c r="AZ5" s="72"/>
      <c r="BA5" s="68"/>
      <c r="BB5" s="68"/>
      <c r="BC5" s="68"/>
      <c r="BD5" s="68"/>
    </row>
    <row r="6" spans="1:56" s="73" customFormat="1" ht="19.5" customHeight="1">
      <c r="A6" s="68" t="s">
        <v>609</v>
      </c>
      <c r="B6" s="69" t="e">
        <f>#REF!</f>
        <v>#REF!</v>
      </c>
      <c r="C6" s="70" t="e">
        <f>LEFT(#REF!,6)&amp;RIGHT(#REF!,7)</f>
        <v>#REF!</v>
      </c>
      <c r="D6" s="201" t="e">
        <f>#REF!</f>
        <v>#REF!</v>
      </c>
      <c r="E6" s="251" t="str">
        <f t="shared" si="0"/>
        <v/>
      </c>
      <c r="F6" s="251" t="str">
        <f t="shared" si="1"/>
        <v/>
      </c>
      <c r="G6" s="68"/>
      <c r="H6" s="68"/>
      <c r="I6" s="68"/>
      <c r="J6" s="68" t="s">
        <v>150</v>
      </c>
      <c r="K6" s="194" t="e">
        <f>IF(#REF!=0,"",#REF!)</f>
        <v>#REF!</v>
      </c>
      <c r="L6" s="195" t="e">
        <f>IF(#REF!=0,"",#REF!)</f>
        <v>#REF!</v>
      </c>
      <c r="M6" s="195" t="e">
        <f>IF(#REF!=0,"",#REF!)</f>
        <v>#REF!</v>
      </c>
      <c r="N6" s="195" t="e">
        <f>IF(#REF!=0,"",#REF!)</f>
        <v>#REF!</v>
      </c>
      <c r="O6" s="195" t="e">
        <f>IF(#REF!=0,"",#REF!)</f>
        <v>#REF!</v>
      </c>
      <c r="P6" s="195" t="e">
        <f>IF(#REF!=0,"",#REF!)</f>
        <v>#REF!</v>
      </c>
      <c r="Q6" s="195" t="e">
        <f>IF(#REF!=0,"",#REF!)</f>
        <v>#REF!</v>
      </c>
      <c r="R6" s="195" t="e">
        <f>IF(#REF!=0,"",#REF!)</f>
        <v>#REF!</v>
      </c>
      <c r="S6" s="195" t="e">
        <f>IF(#REF!=0,"",#REF!)</f>
        <v>#REF!</v>
      </c>
      <c r="T6" s="195" t="e">
        <f>IF(#REF!=0,"",#REF!)</f>
        <v>#REF!</v>
      </c>
      <c r="U6" s="195" t="e">
        <f>IF(#REF!=0,"",#REF!)</f>
        <v>#REF!</v>
      </c>
      <c r="V6" s="195" t="e">
        <f>IF(#REF!=0,"",#REF!)</f>
        <v>#REF!</v>
      </c>
      <c r="W6" s="195" t="e">
        <f>IF(#REF!=0,"",#REF!)</f>
        <v>#REF!</v>
      </c>
      <c r="X6" s="195" t="e">
        <f>IF(#REF!=0,"",#REF!)</f>
        <v>#REF!</v>
      </c>
      <c r="Y6" s="195" t="e">
        <f>IF(#REF!=0,"",#REF!)</f>
        <v>#REF!</v>
      </c>
      <c r="Z6" s="195" t="e">
        <f>IF(#REF!=0,"",#REF!)</f>
        <v>#REF!</v>
      </c>
      <c r="AA6" s="195" t="e">
        <f>IF(#REF!=0,"",#REF!)</f>
        <v>#REF!</v>
      </c>
      <c r="AB6" s="195" t="e">
        <f>IF(#REF!=0,"",#REF!)</f>
        <v>#REF!</v>
      </c>
      <c r="AC6" s="195" t="e">
        <f>IF(#REF!=0,"",#REF!)</f>
        <v>#REF!</v>
      </c>
      <c r="AD6" s="195" t="e">
        <f>IF(#REF!=0,"",#REF!)</f>
        <v>#REF!</v>
      </c>
      <c r="AE6" s="195" t="e">
        <f>IF(#REF!=0,"",#REF!)</f>
        <v>#REF!</v>
      </c>
      <c r="AF6" s="195" t="e">
        <f>IF(#REF!=0,"",#REF!)</f>
        <v>#REF!</v>
      </c>
      <c r="AG6" s="195" t="e">
        <f>IF(#REF!=0,"",#REF!)</f>
        <v>#REF!</v>
      </c>
      <c r="AH6" s="195" t="e">
        <f>IF(#REF!=0,"",#REF!)</f>
        <v>#REF!</v>
      </c>
      <c r="AI6" s="195" t="e">
        <f>IF(#REF!=0,"",#REF!)</f>
        <v>#REF!</v>
      </c>
      <c r="AJ6" s="195" t="e">
        <f>IF(#REF!=0,"",#REF!)</f>
        <v>#REF!</v>
      </c>
      <c r="AK6" s="195" t="e">
        <f>IF(#REF!=0,"",#REF!)</f>
        <v>#REF!</v>
      </c>
      <c r="AL6" s="195" t="e">
        <f>IF(#REF!=0,"",#REF!)</f>
        <v>#REF!</v>
      </c>
      <c r="AM6" s="195" t="e">
        <f>IF(#REF!=0,"",#REF!)</f>
        <v>#REF!</v>
      </c>
      <c r="AN6" s="195" t="e">
        <f>IF(#REF!=0,"",#REF!)</f>
        <v>#REF!</v>
      </c>
      <c r="AO6" s="196" t="e">
        <f>IF(#REF!=0,"",#REF!)</f>
        <v>#REF!</v>
      </c>
      <c r="AP6" s="70" t="e">
        <f t="shared" si="2"/>
        <v>#REF!</v>
      </c>
      <c r="AQ6" s="68" t="s">
        <v>151</v>
      </c>
      <c r="AR6" s="70" t="e">
        <f>#REF!</f>
        <v>#REF!</v>
      </c>
      <c r="AS6" s="71" t="e">
        <f>#REF!</f>
        <v>#REF!</v>
      </c>
      <c r="AT6" s="71" t="e">
        <f>#REF!</f>
        <v>#REF!</v>
      </c>
      <c r="AU6" s="72"/>
      <c r="AV6" s="72"/>
      <c r="AW6" s="72"/>
      <c r="AX6" s="72"/>
      <c r="AY6" s="72"/>
      <c r="AZ6" s="72"/>
      <c r="BA6" s="68"/>
      <c r="BB6" s="68"/>
      <c r="BC6" s="68"/>
      <c r="BD6" s="68"/>
    </row>
    <row r="7" spans="1:56" s="73" customFormat="1" ht="19.5" customHeight="1">
      <c r="A7" s="68" t="s">
        <v>609</v>
      </c>
      <c r="B7" s="69" t="e">
        <f>#REF!</f>
        <v>#REF!</v>
      </c>
      <c r="C7" s="70" t="e">
        <f>LEFT(#REF!,6)&amp;RIGHT(#REF!,7)</f>
        <v>#REF!</v>
      </c>
      <c r="D7" s="201" t="e">
        <f>#REF!</f>
        <v>#REF!</v>
      </c>
      <c r="E7" s="251" t="str">
        <f t="shared" si="0"/>
        <v/>
      </c>
      <c r="F7" s="251" t="str">
        <f t="shared" si="1"/>
        <v/>
      </c>
      <c r="G7" s="68"/>
      <c r="H7" s="68"/>
      <c r="I7" s="68"/>
      <c r="J7" s="68" t="s">
        <v>150</v>
      </c>
      <c r="K7" s="194" t="e">
        <f>IF(#REF!=0,"",#REF!)</f>
        <v>#REF!</v>
      </c>
      <c r="L7" s="195" t="e">
        <f>IF(#REF!=0,"",#REF!)</f>
        <v>#REF!</v>
      </c>
      <c r="M7" s="195" t="e">
        <f>IF(#REF!=0,"",#REF!)</f>
        <v>#REF!</v>
      </c>
      <c r="N7" s="195" t="e">
        <f>IF(#REF!=0,"",#REF!)</f>
        <v>#REF!</v>
      </c>
      <c r="O7" s="195" t="e">
        <f>IF(#REF!=0,"",#REF!)</f>
        <v>#REF!</v>
      </c>
      <c r="P7" s="195" t="e">
        <f>IF(#REF!=0,"",#REF!)</f>
        <v>#REF!</v>
      </c>
      <c r="Q7" s="195" t="e">
        <f>IF(#REF!=0,"",#REF!)</f>
        <v>#REF!</v>
      </c>
      <c r="R7" s="195" t="e">
        <f>IF(#REF!=0,"",#REF!)</f>
        <v>#REF!</v>
      </c>
      <c r="S7" s="195" t="e">
        <f>IF(#REF!=0,"",#REF!)</f>
        <v>#REF!</v>
      </c>
      <c r="T7" s="195" t="e">
        <f>IF(#REF!=0,"",#REF!)</f>
        <v>#REF!</v>
      </c>
      <c r="U7" s="195" t="e">
        <f>IF(#REF!=0,"",#REF!)</f>
        <v>#REF!</v>
      </c>
      <c r="V7" s="195" t="e">
        <f>IF(#REF!=0,"",#REF!)</f>
        <v>#REF!</v>
      </c>
      <c r="W7" s="195" t="e">
        <f>IF(#REF!=0,"",#REF!)</f>
        <v>#REF!</v>
      </c>
      <c r="X7" s="195" t="e">
        <f>IF(#REF!=0,"",#REF!)</f>
        <v>#REF!</v>
      </c>
      <c r="Y7" s="195" t="e">
        <f>IF(#REF!=0,"",#REF!)</f>
        <v>#REF!</v>
      </c>
      <c r="Z7" s="195" t="e">
        <f>IF(#REF!=0,"",#REF!)</f>
        <v>#REF!</v>
      </c>
      <c r="AA7" s="195" t="e">
        <f>IF(#REF!=0,"",#REF!)</f>
        <v>#REF!</v>
      </c>
      <c r="AB7" s="195" t="e">
        <f>IF(#REF!=0,"",#REF!)</f>
        <v>#REF!</v>
      </c>
      <c r="AC7" s="195" t="e">
        <f>IF(#REF!=0,"",#REF!)</f>
        <v>#REF!</v>
      </c>
      <c r="AD7" s="195" t="e">
        <f>IF(#REF!=0,"",#REF!)</f>
        <v>#REF!</v>
      </c>
      <c r="AE7" s="195" t="e">
        <f>IF(#REF!=0,"",#REF!)</f>
        <v>#REF!</v>
      </c>
      <c r="AF7" s="195" t="e">
        <f>IF(#REF!=0,"",#REF!)</f>
        <v>#REF!</v>
      </c>
      <c r="AG7" s="195" t="e">
        <f>IF(#REF!=0,"",#REF!)</f>
        <v>#REF!</v>
      </c>
      <c r="AH7" s="195" t="e">
        <f>IF(#REF!=0,"",#REF!)</f>
        <v>#REF!</v>
      </c>
      <c r="AI7" s="195" t="e">
        <f>IF(#REF!=0,"",#REF!)</f>
        <v>#REF!</v>
      </c>
      <c r="AJ7" s="195" t="e">
        <f>IF(#REF!=0,"",#REF!)</f>
        <v>#REF!</v>
      </c>
      <c r="AK7" s="195" t="e">
        <f>IF(#REF!=0,"",#REF!)</f>
        <v>#REF!</v>
      </c>
      <c r="AL7" s="195" t="e">
        <f>IF(#REF!=0,"",#REF!)</f>
        <v>#REF!</v>
      </c>
      <c r="AM7" s="195" t="e">
        <f>IF(#REF!=0,"",#REF!)</f>
        <v>#REF!</v>
      </c>
      <c r="AN7" s="195" t="e">
        <f>IF(#REF!=0,"",#REF!)</f>
        <v>#REF!</v>
      </c>
      <c r="AO7" s="196" t="e">
        <f>IF(#REF!=0,"",#REF!)</f>
        <v>#REF!</v>
      </c>
      <c r="AP7" s="70" t="e">
        <f t="shared" si="2"/>
        <v>#REF!</v>
      </c>
      <c r="AQ7" s="68" t="s">
        <v>151</v>
      </c>
      <c r="AR7" s="70" t="e">
        <f>#REF!</f>
        <v>#REF!</v>
      </c>
      <c r="AS7" s="71" t="e">
        <f>#REF!</f>
        <v>#REF!</v>
      </c>
      <c r="AT7" s="71" t="e">
        <f>#REF!</f>
        <v>#REF!</v>
      </c>
      <c r="AU7" s="72"/>
      <c r="AV7" s="72"/>
      <c r="AW7" s="72"/>
      <c r="AX7" s="72"/>
      <c r="AY7" s="72"/>
      <c r="AZ7" s="72"/>
      <c r="BA7" s="68"/>
      <c r="BB7" s="68"/>
      <c r="BC7" s="68"/>
      <c r="BD7" s="68"/>
    </row>
    <row r="8" spans="1:56" s="73" customFormat="1" ht="19.5" customHeight="1">
      <c r="A8" s="68" t="s">
        <v>609</v>
      </c>
      <c r="B8" s="69" t="e">
        <f>#REF!</f>
        <v>#REF!</v>
      </c>
      <c r="C8" s="70" t="e">
        <f>LEFT(#REF!,6)&amp;RIGHT(#REF!,7)</f>
        <v>#REF!</v>
      </c>
      <c r="D8" s="201" t="e">
        <f>#REF!</f>
        <v>#REF!</v>
      </c>
      <c r="E8" s="251" t="str">
        <f t="shared" si="0"/>
        <v/>
      </c>
      <c r="F8" s="251" t="str">
        <f t="shared" si="1"/>
        <v/>
      </c>
      <c r="G8" s="68"/>
      <c r="H8" s="68"/>
      <c r="I8" s="68"/>
      <c r="J8" s="68" t="s">
        <v>150</v>
      </c>
      <c r="K8" s="194" t="e">
        <f>IF(#REF!=0,"",#REF!)</f>
        <v>#REF!</v>
      </c>
      <c r="L8" s="195" t="e">
        <f>IF(#REF!=0,"",#REF!)</f>
        <v>#REF!</v>
      </c>
      <c r="M8" s="195" t="e">
        <f>IF(#REF!=0,"",#REF!)</f>
        <v>#REF!</v>
      </c>
      <c r="N8" s="195" t="e">
        <f>IF(#REF!=0,"",#REF!)</f>
        <v>#REF!</v>
      </c>
      <c r="O8" s="195" t="e">
        <f>IF(#REF!=0,"",#REF!)</f>
        <v>#REF!</v>
      </c>
      <c r="P8" s="195" t="e">
        <f>IF(#REF!=0,"",#REF!)</f>
        <v>#REF!</v>
      </c>
      <c r="Q8" s="195" t="e">
        <f>IF(#REF!=0,"",#REF!)</f>
        <v>#REF!</v>
      </c>
      <c r="R8" s="195" t="e">
        <f>IF(#REF!=0,"",#REF!)</f>
        <v>#REF!</v>
      </c>
      <c r="S8" s="195" t="e">
        <f>IF(#REF!=0,"",#REF!)</f>
        <v>#REF!</v>
      </c>
      <c r="T8" s="195" t="e">
        <f>IF(#REF!=0,"",#REF!)</f>
        <v>#REF!</v>
      </c>
      <c r="U8" s="195" t="e">
        <f>IF(#REF!=0,"",#REF!)</f>
        <v>#REF!</v>
      </c>
      <c r="V8" s="195" t="e">
        <f>IF(#REF!=0,"",#REF!)</f>
        <v>#REF!</v>
      </c>
      <c r="W8" s="195" t="e">
        <f>IF(#REF!=0,"",#REF!)</f>
        <v>#REF!</v>
      </c>
      <c r="X8" s="195" t="e">
        <f>IF(#REF!=0,"",#REF!)</f>
        <v>#REF!</v>
      </c>
      <c r="Y8" s="195" t="e">
        <f>IF(#REF!=0,"",#REF!)</f>
        <v>#REF!</v>
      </c>
      <c r="Z8" s="195" t="e">
        <f>IF(#REF!=0,"",#REF!)</f>
        <v>#REF!</v>
      </c>
      <c r="AA8" s="195" t="e">
        <f>IF(#REF!=0,"",#REF!)</f>
        <v>#REF!</v>
      </c>
      <c r="AB8" s="195" t="e">
        <f>IF(#REF!=0,"",#REF!)</f>
        <v>#REF!</v>
      </c>
      <c r="AC8" s="195" t="e">
        <f>IF(#REF!=0,"",#REF!)</f>
        <v>#REF!</v>
      </c>
      <c r="AD8" s="195" t="e">
        <f>IF(#REF!=0,"",#REF!)</f>
        <v>#REF!</v>
      </c>
      <c r="AE8" s="195" t="e">
        <f>IF(#REF!=0,"",#REF!)</f>
        <v>#REF!</v>
      </c>
      <c r="AF8" s="195" t="e">
        <f>IF(#REF!=0,"",#REF!)</f>
        <v>#REF!</v>
      </c>
      <c r="AG8" s="195" t="e">
        <f>IF(#REF!=0,"",#REF!)</f>
        <v>#REF!</v>
      </c>
      <c r="AH8" s="195" t="e">
        <f>IF(#REF!=0,"",#REF!)</f>
        <v>#REF!</v>
      </c>
      <c r="AI8" s="195" t="e">
        <f>IF(#REF!=0,"",#REF!)</f>
        <v>#REF!</v>
      </c>
      <c r="AJ8" s="195" t="e">
        <f>IF(#REF!=0,"",#REF!)</f>
        <v>#REF!</v>
      </c>
      <c r="AK8" s="195" t="e">
        <f>IF(#REF!=0,"",#REF!)</f>
        <v>#REF!</v>
      </c>
      <c r="AL8" s="195" t="e">
        <f>IF(#REF!=0,"",#REF!)</f>
        <v>#REF!</v>
      </c>
      <c r="AM8" s="195" t="e">
        <f>IF(#REF!=0,"",#REF!)</f>
        <v>#REF!</v>
      </c>
      <c r="AN8" s="195" t="e">
        <f>IF(#REF!=0,"",#REF!)</f>
        <v>#REF!</v>
      </c>
      <c r="AO8" s="196" t="e">
        <f>IF(#REF!=0,"",#REF!)</f>
        <v>#REF!</v>
      </c>
      <c r="AP8" s="70" t="e">
        <f t="shared" si="2"/>
        <v>#REF!</v>
      </c>
      <c r="AQ8" s="68" t="s">
        <v>151</v>
      </c>
      <c r="AR8" s="70" t="e">
        <f>#REF!</f>
        <v>#REF!</v>
      </c>
      <c r="AS8" s="71" t="e">
        <f>#REF!</f>
        <v>#REF!</v>
      </c>
      <c r="AT8" s="71" t="e">
        <f>#REF!</f>
        <v>#REF!</v>
      </c>
      <c r="AU8" s="72"/>
      <c r="AV8" s="72"/>
      <c r="AW8" s="72"/>
      <c r="AX8" s="72"/>
      <c r="AY8" s="72"/>
      <c r="AZ8" s="72"/>
      <c r="BA8" s="68"/>
      <c r="BB8" s="68"/>
      <c r="BC8" s="68"/>
      <c r="BD8" s="68"/>
    </row>
    <row r="9" spans="1:56" s="73" customFormat="1" ht="19.5" customHeight="1">
      <c r="A9" s="68" t="s">
        <v>609</v>
      </c>
      <c r="B9" s="69" t="e">
        <f>#REF!</f>
        <v>#REF!</v>
      </c>
      <c r="C9" s="70" t="e">
        <f>LEFT(#REF!,6)&amp;RIGHT(#REF!,7)</f>
        <v>#REF!</v>
      </c>
      <c r="D9" s="201" t="e">
        <f>#REF!</f>
        <v>#REF!</v>
      </c>
      <c r="E9" s="251" t="str">
        <f t="shared" si="0"/>
        <v/>
      </c>
      <c r="F9" s="251" t="str">
        <f t="shared" si="1"/>
        <v/>
      </c>
      <c r="G9" s="68"/>
      <c r="H9" s="68"/>
      <c r="I9" s="68"/>
      <c r="J9" s="68" t="s">
        <v>150</v>
      </c>
      <c r="K9" s="194" t="e">
        <f>IF(#REF!=0,"",#REF!)</f>
        <v>#REF!</v>
      </c>
      <c r="L9" s="195" t="e">
        <f>IF(#REF!=0,"",#REF!)</f>
        <v>#REF!</v>
      </c>
      <c r="M9" s="195" t="e">
        <f>IF(#REF!=0,"",#REF!)</f>
        <v>#REF!</v>
      </c>
      <c r="N9" s="195" t="e">
        <f>IF(#REF!=0,"",#REF!)</f>
        <v>#REF!</v>
      </c>
      <c r="O9" s="195" t="e">
        <f>IF(#REF!=0,"",#REF!)</f>
        <v>#REF!</v>
      </c>
      <c r="P9" s="195" t="e">
        <f>IF(#REF!=0,"",#REF!)</f>
        <v>#REF!</v>
      </c>
      <c r="Q9" s="195" t="e">
        <f>IF(#REF!=0,"",#REF!)</f>
        <v>#REF!</v>
      </c>
      <c r="R9" s="195" t="e">
        <f>IF(#REF!=0,"",#REF!)</f>
        <v>#REF!</v>
      </c>
      <c r="S9" s="195" t="e">
        <f>IF(#REF!=0,"",#REF!)</f>
        <v>#REF!</v>
      </c>
      <c r="T9" s="195" t="e">
        <f>IF(#REF!=0,"",#REF!)</f>
        <v>#REF!</v>
      </c>
      <c r="U9" s="195" t="e">
        <f>IF(#REF!=0,"",#REF!)</f>
        <v>#REF!</v>
      </c>
      <c r="V9" s="195" t="e">
        <f>IF(#REF!=0,"",#REF!)</f>
        <v>#REF!</v>
      </c>
      <c r="W9" s="195" t="e">
        <f>IF(#REF!=0,"",#REF!)</f>
        <v>#REF!</v>
      </c>
      <c r="X9" s="195" t="e">
        <f>IF(#REF!=0,"",#REF!)</f>
        <v>#REF!</v>
      </c>
      <c r="Y9" s="195" t="e">
        <f>IF(#REF!=0,"",#REF!)</f>
        <v>#REF!</v>
      </c>
      <c r="Z9" s="195" t="e">
        <f>IF(#REF!=0,"",#REF!)</f>
        <v>#REF!</v>
      </c>
      <c r="AA9" s="195" t="e">
        <f>IF(#REF!=0,"",#REF!)</f>
        <v>#REF!</v>
      </c>
      <c r="AB9" s="195" t="e">
        <f>IF(#REF!=0,"",#REF!)</f>
        <v>#REF!</v>
      </c>
      <c r="AC9" s="195" t="e">
        <f>IF(#REF!=0,"",#REF!)</f>
        <v>#REF!</v>
      </c>
      <c r="AD9" s="195" t="e">
        <f>IF(#REF!=0,"",#REF!)</f>
        <v>#REF!</v>
      </c>
      <c r="AE9" s="195" t="e">
        <f>IF(#REF!=0,"",#REF!)</f>
        <v>#REF!</v>
      </c>
      <c r="AF9" s="195" t="e">
        <f>IF(#REF!=0,"",#REF!)</f>
        <v>#REF!</v>
      </c>
      <c r="AG9" s="195" t="e">
        <f>IF(#REF!=0,"",#REF!)</f>
        <v>#REF!</v>
      </c>
      <c r="AH9" s="195" t="e">
        <f>IF(#REF!=0,"",#REF!)</f>
        <v>#REF!</v>
      </c>
      <c r="AI9" s="195" t="e">
        <f>IF(#REF!=0,"",#REF!)</f>
        <v>#REF!</v>
      </c>
      <c r="AJ9" s="195" t="e">
        <f>IF(#REF!=0,"",#REF!)</f>
        <v>#REF!</v>
      </c>
      <c r="AK9" s="195" t="e">
        <f>IF(#REF!=0,"",#REF!)</f>
        <v>#REF!</v>
      </c>
      <c r="AL9" s="195" t="e">
        <f>IF(#REF!=0,"",#REF!)</f>
        <v>#REF!</v>
      </c>
      <c r="AM9" s="195" t="e">
        <f>IF(#REF!=0,"",#REF!)</f>
        <v>#REF!</v>
      </c>
      <c r="AN9" s="195" t="e">
        <f>IF(#REF!=0,"",#REF!)</f>
        <v>#REF!</v>
      </c>
      <c r="AO9" s="196" t="e">
        <f>IF(#REF!=0,"",#REF!)</f>
        <v>#REF!</v>
      </c>
      <c r="AP9" s="70" t="e">
        <f t="shared" si="2"/>
        <v>#REF!</v>
      </c>
      <c r="AQ9" s="68" t="s">
        <v>151</v>
      </c>
      <c r="AR9" s="70" t="e">
        <f>#REF!</f>
        <v>#REF!</v>
      </c>
      <c r="AS9" s="71" t="e">
        <f>#REF!</f>
        <v>#REF!</v>
      </c>
      <c r="AT9" s="71" t="e">
        <f>#REF!</f>
        <v>#REF!</v>
      </c>
      <c r="AU9" s="72"/>
      <c r="AV9" s="72"/>
      <c r="AW9" s="72"/>
      <c r="AX9" s="72"/>
      <c r="AY9" s="72"/>
      <c r="AZ9" s="72"/>
      <c r="BA9" s="68"/>
      <c r="BB9" s="68"/>
      <c r="BC9" s="68"/>
      <c r="BD9" s="68"/>
    </row>
    <row r="10" spans="1:56" s="73" customFormat="1" ht="19.5" customHeight="1">
      <c r="A10" s="68" t="s">
        <v>609</v>
      </c>
      <c r="B10" s="69" t="e">
        <f>#REF!</f>
        <v>#REF!</v>
      </c>
      <c r="C10" s="70" t="e">
        <f>LEFT(#REF!,6)&amp;RIGHT(#REF!,7)</f>
        <v>#REF!</v>
      </c>
      <c r="D10" s="201" t="e">
        <f>#REF!</f>
        <v>#REF!</v>
      </c>
      <c r="E10" s="251" t="str">
        <f t="shared" si="0"/>
        <v/>
      </c>
      <c r="F10" s="251" t="str">
        <f t="shared" si="1"/>
        <v/>
      </c>
      <c r="G10" s="68"/>
      <c r="H10" s="68"/>
      <c r="I10" s="68"/>
      <c r="J10" s="68" t="s">
        <v>150</v>
      </c>
      <c r="K10" s="194" t="e">
        <f>IF(#REF!=0,"",#REF!)</f>
        <v>#REF!</v>
      </c>
      <c r="L10" s="195" t="e">
        <f>IF(#REF!=0,"",#REF!)</f>
        <v>#REF!</v>
      </c>
      <c r="M10" s="195" t="e">
        <f>IF(#REF!=0,"",#REF!)</f>
        <v>#REF!</v>
      </c>
      <c r="N10" s="195" t="e">
        <f>IF(#REF!=0,"",#REF!)</f>
        <v>#REF!</v>
      </c>
      <c r="O10" s="195" t="e">
        <f>IF(#REF!=0,"",#REF!)</f>
        <v>#REF!</v>
      </c>
      <c r="P10" s="195" t="e">
        <f>IF(#REF!=0,"",#REF!)</f>
        <v>#REF!</v>
      </c>
      <c r="Q10" s="195" t="e">
        <f>IF(#REF!=0,"",#REF!)</f>
        <v>#REF!</v>
      </c>
      <c r="R10" s="195" t="e">
        <f>IF(#REF!=0,"",#REF!)</f>
        <v>#REF!</v>
      </c>
      <c r="S10" s="195" t="e">
        <f>IF(#REF!=0,"",#REF!)</f>
        <v>#REF!</v>
      </c>
      <c r="T10" s="195" t="e">
        <f>IF(#REF!=0,"",#REF!)</f>
        <v>#REF!</v>
      </c>
      <c r="U10" s="195" t="e">
        <f>IF(#REF!=0,"",#REF!)</f>
        <v>#REF!</v>
      </c>
      <c r="V10" s="195" t="e">
        <f>IF(#REF!=0,"",#REF!)</f>
        <v>#REF!</v>
      </c>
      <c r="W10" s="195" t="e">
        <f>IF(#REF!=0,"",#REF!)</f>
        <v>#REF!</v>
      </c>
      <c r="X10" s="195" t="e">
        <f>IF(#REF!=0,"",#REF!)</f>
        <v>#REF!</v>
      </c>
      <c r="Y10" s="195" t="e">
        <f>IF(#REF!=0,"",#REF!)</f>
        <v>#REF!</v>
      </c>
      <c r="Z10" s="195" t="e">
        <f>IF(#REF!=0,"",#REF!)</f>
        <v>#REF!</v>
      </c>
      <c r="AA10" s="195" t="e">
        <f>IF(#REF!=0,"",#REF!)</f>
        <v>#REF!</v>
      </c>
      <c r="AB10" s="195" t="e">
        <f>IF(#REF!=0,"",#REF!)</f>
        <v>#REF!</v>
      </c>
      <c r="AC10" s="195" t="e">
        <f>IF(#REF!=0,"",#REF!)</f>
        <v>#REF!</v>
      </c>
      <c r="AD10" s="195" t="e">
        <f>IF(#REF!=0,"",#REF!)</f>
        <v>#REF!</v>
      </c>
      <c r="AE10" s="195" t="e">
        <f>IF(#REF!=0,"",#REF!)</f>
        <v>#REF!</v>
      </c>
      <c r="AF10" s="195" t="e">
        <f>IF(#REF!=0,"",#REF!)</f>
        <v>#REF!</v>
      </c>
      <c r="AG10" s="195" t="e">
        <f>IF(#REF!=0,"",#REF!)</f>
        <v>#REF!</v>
      </c>
      <c r="AH10" s="195" t="e">
        <f>IF(#REF!=0,"",#REF!)</f>
        <v>#REF!</v>
      </c>
      <c r="AI10" s="195" t="e">
        <f>IF(#REF!=0,"",#REF!)</f>
        <v>#REF!</v>
      </c>
      <c r="AJ10" s="195" t="e">
        <f>IF(#REF!=0,"",#REF!)</f>
        <v>#REF!</v>
      </c>
      <c r="AK10" s="195" t="e">
        <f>IF(#REF!=0,"",#REF!)</f>
        <v>#REF!</v>
      </c>
      <c r="AL10" s="195" t="e">
        <f>IF(#REF!=0,"",#REF!)</f>
        <v>#REF!</v>
      </c>
      <c r="AM10" s="195" t="e">
        <f>IF(#REF!=0,"",#REF!)</f>
        <v>#REF!</v>
      </c>
      <c r="AN10" s="195" t="e">
        <f>IF(#REF!=0,"",#REF!)</f>
        <v>#REF!</v>
      </c>
      <c r="AO10" s="196" t="e">
        <f>IF(#REF!=0,"",#REF!)</f>
        <v>#REF!</v>
      </c>
      <c r="AP10" s="70" t="e">
        <f t="shared" si="2"/>
        <v>#REF!</v>
      </c>
      <c r="AQ10" s="68" t="s">
        <v>151</v>
      </c>
      <c r="AR10" s="70" t="e">
        <f>#REF!</f>
        <v>#REF!</v>
      </c>
      <c r="AS10" s="71" t="e">
        <f>#REF!</f>
        <v>#REF!</v>
      </c>
      <c r="AT10" s="71" t="e">
        <f>#REF!</f>
        <v>#REF!</v>
      </c>
      <c r="AU10" s="72"/>
      <c r="AV10" s="72"/>
      <c r="AW10" s="72"/>
      <c r="AX10" s="72"/>
      <c r="AY10" s="72"/>
      <c r="AZ10" s="72"/>
      <c r="BA10" s="68"/>
      <c r="BB10" s="68"/>
      <c r="BC10" s="68"/>
      <c r="BD10" s="68"/>
    </row>
    <row r="11" spans="1:56" s="73" customFormat="1" ht="19.5" customHeight="1">
      <c r="A11" s="68" t="s">
        <v>609</v>
      </c>
      <c r="B11" s="69" t="e">
        <f>#REF!</f>
        <v>#REF!</v>
      </c>
      <c r="C11" s="70" t="e">
        <f>LEFT(#REF!,6)&amp;RIGHT(#REF!,7)</f>
        <v>#REF!</v>
      </c>
      <c r="D11" s="201" t="e">
        <f>#REF!</f>
        <v>#REF!</v>
      </c>
      <c r="E11" s="251" t="str">
        <f t="shared" si="0"/>
        <v/>
      </c>
      <c r="F11" s="251" t="str">
        <f t="shared" si="1"/>
        <v/>
      </c>
      <c r="G11" s="68"/>
      <c r="H11" s="68"/>
      <c r="I11" s="68"/>
      <c r="J11" s="68" t="s">
        <v>150</v>
      </c>
      <c r="K11" s="194" t="e">
        <f>IF(#REF!=0,"",#REF!)</f>
        <v>#REF!</v>
      </c>
      <c r="L11" s="195" t="e">
        <f>IF(#REF!=0,"",#REF!)</f>
        <v>#REF!</v>
      </c>
      <c r="M11" s="195" t="e">
        <f>IF(#REF!=0,"",#REF!)</f>
        <v>#REF!</v>
      </c>
      <c r="N11" s="195" t="e">
        <f>IF(#REF!=0,"",#REF!)</f>
        <v>#REF!</v>
      </c>
      <c r="O11" s="195" t="e">
        <f>IF(#REF!=0,"",#REF!)</f>
        <v>#REF!</v>
      </c>
      <c r="P11" s="195" t="e">
        <f>IF(#REF!=0,"",#REF!)</f>
        <v>#REF!</v>
      </c>
      <c r="Q11" s="195" t="e">
        <f>IF(#REF!=0,"",#REF!)</f>
        <v>#REF!</v>
      </c>
      <c r="R11" s="195" t="e">
        <f>IF(#REF!=0,"",#REF!)</f>
        <v>#REF!</v>
      </c>
      <c r="S11" s="195" t="e">
        <f>IF(#REF!=0,"",#REF!)</f>
        <v>#REF!</v>
      </c>
      <c r="T11" s="195" t="e">
        <f>IF(#REF!=0,"",#REF!)</f>
        <v>#REF!</v>
      </c>
      <c r="U11" s="195" t="e">
        <f>IF(#REF!=0,"",#REF!)</f>
        <v>#REF!</v>
      </c>
      <c r="V11" s="195" t="e">
        <f>IF(#REF!=0,"",#REF!)</f>
        <v>#REF!</v>
      </c>
      <c r="W11" s="195" t="e">
        <f>IF(#REF!=0,"",#REF!)</f>
        <v>#REF!</v>
      </c>
      <c r="X11" s="195" t="e">
        <f>IF(#REF!=0,"",#REF!)</f>
        <v>#REF!</v>
      </c>
      <c r="Y11" s="195" t="e">
        <f>IF(#REF!=0,"",#REF!)</f>
        <v>#REF!</v>
      </c>
      <c r="Z11" s="195" t="e">
        <f>IF(#REF!=0,"",#REF!)</f>
        <v>#REF!</v>
      </c>
      <c r="AA11" s="195" t="e">
        <f>IF(#REF!=0,"",#REF!)</f>
        <v>#REF!</v>
      </c>
      <c r="AB11" s="195" t="e">
        <f>IF(#REF!=0,"",#REF!)</f>
        <v>#REF!</v>
      </c>
      <c r="AC11" s="195" t="e">
        <f>IF(#REF!=0,"",#REF!)</f>
        <v>#REF!</v>
      </c>
      <c r="AD11" s="195" t="e">
        <f>IF(#REF!=0,"",#REF!)</f>
        <v>#REF!</v>
      </c>
      <c r="AE11" s="195" t="e">
        <f>IF(#REF!=0,"",#REF!)</f>
        <v>#REF!</v>
      </c>
      <c r="AF11" s="195" t="e">
        <f>IF(#REF!=0,"",#REF!)</f>
        <v>#REF!</v>
      </c>
      <c r="AG11" s="195" t="e">
        <f>IF(#REF!=0,"",#REF!)</f>
        <v>#REF!</v>
      </c>
      <c r="AH11" s="195" t="e">
        <f>IF(#REF!=0,"",#REF!)</f>
        <v>#REF!</v>
      </c>
      <c r="AI11" s="195" t="e">
        <f>IF(#REF!=0,"",#REF!)</f>
        <v>#REF!</v>
      </c>
      <c r="AJ11" s="195" t="e">
        <f>IF(#REF!=0,"",#REF!)</f>
        <v>#REF!</v>
      </c>
      <c r="AK11" s="195" t="e">
        <f>IF(#REF!=0,"",#REF!)</f>
        <v>#REF!</v>
      </c>
      <c r="AL11" s="195" t="e">
        <f>IF(#REF!=0,"",#REF!)</f>
        <v>#REF!</v>
      </c>
      <c r="AM11" s="195" t="e">
        <f>IF(#REF!=0,"",#REF!)</f>
        <v>#REF!</v>
      </c>
      <c r="AN11" s="195" t="e">
        <f>IF(#REF!=0,"",#REF!)</f>
        <v>#REF!</v>
      </c>
      <c r="AO11" s="196" t="e">
        <f>IF(#REF!=0,"",#REF!)</f>
        <v>#REF!</v>
      </c>
      <c r="AP11" s="70" t="e">
        <f t="shared" si="2"/>
        <v>#REF!</v>
      </c>
      <c r="AQ11" s="68" t="s">
        <v>151</v>
      </c>
      <c r="AR11" s="70" t="e">
        <f>#REF!</f>
        <v>#REF!</v>
      </c>
      <c r="AS11" s="71" t="e">
        <f>#REF!</f>
        <v>#REF!</v>
      </c>
      <c r="AT11" s="71" t="e">
        <f>#REF!</f>
        <v>#REF!</v>
      </c>
      <c r="AU11" s="72"/>
      <c r="AV11" s="72"/>
      <c r="AW11" s="72"/>
      <c r="AX11" s="72"/>
      <c r="AY11" s="72"/>
      <c r="AZ11" s="72"/>
      <c r="BA11" s="68"/>
      <c r="BB11" s="68"/>
      <c r="BC11" s="68"/>
      <c r="BD11" s="68"/>
    </row>
    <row r="12" spans="1:56" s="73" customFormat="1" ht="19.5" customHeight="1">
      <c r="A12" s="68" t="s">
        <v>609</v>
      </c>
      <c r="B12" s="69" t="e">
        <f>#REF!</f>
        <v>#REF!</v>
      </c>
      <c r="C12" s="70" t="e">
        <f>LEFT(#REF!,6)&amp;RIGHT(#REF!,7)</f>
        <v>#REF!</v>
      </c>
      <c r="D12" s="201" t="e">
        <f>#REF!</f>
        <v>#REF!</v>
      </c>
      <c r="E12" s="251" t="str">
        <f t="shared" si="0"/>
        <v/>
      </c>
      <c r="F12" s="251" t="str">
        <f t="shared" si="1"/>
        <v/>
      </c>
      <c r="G12" s="68"/>
      <c r="H12" s="68"/>
      <c r="I12" s="68"/>
      <c r="J12" s="68" t="s">
        <v>150</v>
      </c>
      <c r="K12" s="194" t="e">
        <f>IF(#REF!=0,"",#REF!)</f>
        <v>#REF!</v>
      </c>
      <c r="L12" s="195" t="e">
        <f>IF(#REF!=0,"",#REF!)</f>
        <v>#REF!</v>
      </c>
      <c r="M12" s="195" t="e">
        <f>IF(#REF!=0,"",#REF!)</f>
        <v>#REF!</v>
      </c>
      <c r="N12" s="195" t="e">
        <f>IF(#REF!=0,"",#REF!)</f>
        <v>#REF!</v>
      </c>
      <c r="O12" s="195" t="e">
        <f>IF(#REF!=0,"",#REF!)</f>
        <v>#REF!</v>
      </c>
      <c r="P12" s="195" t="e">
        <f>IF(#REF!=0,"",#REF!)</f>
        <v>#REF!</v>
      </c>
      <c r="Q12" s="195" t="e">
        <f>IF(#REF!=0,"",#REF!)</f>
        <v>#REF!</v>
      </c>
      <c r="R12" s="195" t="e">
        <f>IF(#REF!=0,"",#REF!)</f>
        <v>#REF!</v>
      </c>
      <c r="S12" s="195" t="e">
        <f>IF(#REF!=0,"",#REF!)</f>
        <v>#REF!</v>
      </c>
      <c r="T12" s="195" t="e">
        <f>IF(#REF!=0,"",#REF!)</f>
        <v>#REF!</v>
      </c>
      <c r="U12" s="195" t="e">
        <f>IF(#REF!=0,"",#REF!)</f>
        <v>#REF!</v>
      </c>
      <c r="V12" s="195" t="e">
        <f>IF(#REF!=0,"",#REF!)</f>
        <v>#REF!</v>
      </c>
      <c r="W12" s="195" t="e">
        <f>IF(#REF!=0,"",#REF!)</f>
        <v>#REF!</v>
      </c>
      <c r="X12" s="195" t="e">
        <f>IF(#REF!=0,"",#REF!)</f>
        <v>#REF!</v>
      </c>
      <c r="Y12" s="195" t="e">
        <f>IF(#REF!=0,"",#REF!)</f>
        <v>#REF!</v>
      </c>
      <c r="Z12" s="195" t="e">
        <f>IF(#REF!=0,"",#REF!)</f>
        <v>#REF!</v>
      </c>
      <c r="AA12" s="195" t="e">
        <f>IF(#REF!=0,"",#REF!)</f>
        <v>#REF!</v>
      </c>
      <c r="AB12" s="195" t="e">
        <f>IF(#REF!=0,"",#REF!)</f>
        <v>#REF!</v>
      </c>
      <c r="AC12" s="195" t="e">
        <f>IF(#REF!=0,"",#REF!)</f>
        <v>#REF!</v>
      </c>
      <c r="AD12" s="195" t="e">
        <f>IF(#REF!=0,"",#REF!)</f>
        <v>#REF!</v>
      </c>
      <c r="AE12" s="195" t="e">
        <f>IF(#REF!=0,"",#REF!)</f>
        <v>#REF!</v>
      </c>
      <c r="AF12" s="195" t="e">
        <f>IF(#REF!=0,"",#REF!)</f>
        <v>#REF!</v>
      </c>
      <c r="AG12" s="195" t="e">
        <f>IF(#REF!=0,"",#REF!)</f>
        <v>#REF!</v>
      </c>
      <c r="AH12" s="195" t="e">
        <f>IF(#REF!=0,"",#REF!)</f>
        <v>#REF!</v>
      </c>
      <c r="AI12" s="195" t="e">
        <f>IF(#REF!=0,"",#REF!)</f>
        <v>#REF!</v>
      </c>
      <c r="AJ12" s="195" t="e">
        <f>IF(#REF!=0,"",#REF!)</f>
        <v>#REF!</v>
      </c>
      <c r="AK12" s="195" t="e">
        <f>IF(#REF!=0,"",#REF!)</f>
        <v>#REF!</v>
      </c>
      <c r="AL12" s="195" t="e">
        <f>IF(#REF!=0,"",#REF!)</f>
        <v>#REF!</v>
      </c>
      <c r="AM12" s="195" t="e">
        <f>IF(#REF!=0,"",#REF!)</f>
        <v>#REF!</v>
      </c>
      <c r="AN12" s="195" t="e">
        <f>IF(#REF!=0,"",#REF!)</f>
        <v>#REF!</v>
      </c>
      <c r="AO12" s="196" t="e">
        <f>IF(#REF!=0,"",#REF!)</f>
        <v>#REF!</v>
      </c>
      <c r="AP12" s="70" t="e">
        <f t="shared" si="2"/>
        <v>#REF!</v>
      </c>
      <c r="AQ12" s="68" t="s">
        <v>151</v>
      </c>
      <c r="AR12" s="70" t="e">
        <f>#REF!</f>
        <v>#REF!</v>
      </c>
      <c r="AS12" s="71" t="e">
        <f>#REF!</f>
        <v>#REF!</v>
      </c>
      <c r="AT12" s="71" t="e">
        <f>#REF!</f>
        <v>#REF!</v>
      </c>
      <c r="AU12" s="72"/>
      <c r="AV12" s="72"/>
      <c r="AW12" s="72"/>
      <c r="AX12" s="72"/>
      <c r="AY12" s="72"/>
      <c r="AZ12" s="72"/>
      <c r="BA12" s="68"/>
      <c r="BB12" s="68"/>
      <c r="BC12" s="68"/>
      <c r="BD12" s="68"/>
    </row>
    <row r="13" spans="1:56" s="73" customFormat="1" ht="19.5" customHeight="1">
      <c r="A13" s="68" t="s">
        <v>609</v>
      </c>
      <c r="B13" s="69" t="e">
        <f>#REF!</f>
        <v>#REF!</v>
      </c>
      <c r="C13" s="70" t="e">
        <f>LEFT(#REF!,6)&amp;RIGHT(#REF!,7)</f>
        <v>#REF!</v>
      </c>
      <c r="D13" s="201" t="e">
        <f>#REF!</f>
        <v>#REF!</v>
      </c>
      <c r="E13" s="251" t="str">
        <f t="shared" si="0"/>
        <v/>
      </c>
      <c r="F13" s="251" t="str">
        <f t="shared" si="1"/>
        <v/>
      </c>
      <c r="G13" s="68"/>
      <c r="H13" s="68"/>
      <c r="I13" s="68"/>
      <c r="J13" s="68" t="s">
        <v>150</v>
      </c>
      <c r="K13" s="194" t="e">
        <f>IF(#REF!=0,"",#REF!)</f>
        <v>#REF!</v>
      </c>
      <c r="L13" s="195" t="e">
        <f>IF(#REF!=0,"",#REF!)</f>
        <v>#REF!</v>
      </c>
      <c r="M13" s="195" t="e">
        <f>IF(#REF!=0,"",#REF!)</f>
        <v>#REF!</v>
      </c>
      <c r="N13" s="195" t="e">
        <f>IF(#REF!=0,"",#REF!)</f>
        <v>#REF!</v>
      </c>
      <c r="O13" s="195" t="e">
        <f>IF(#REF!=0,"",#REF!)</f>
        <v>#REF!</v>
      </c>
      <c r="P13" s="195" t="e">
        <f>IF(#REF!=0,"",#REF!)</f>
        <v>#REF!</v>
      </c>
      <c r="Q13" s="195" t="e">
        <f>IF(#REF!=0,"",#REF!)</f>
        <v>#REF!</v>
      </c>
      <c r="R13" s="195" t="e">
        <f>IF(#REF!=0,"",#REF!)</f>
        <v>#REF!</v>
      </c>
      <c r="S13" s="195" t="e">
        <f>IF(#REF!=0,"",#REF!)</f>
        <v>#REF!</v>
      </c>
      <c r="T13" s="195" t="e">
        <f>IF(#REF!=0,"",#REF!)</f>
        <v>#REF!</v>
      </c>
      <c r="U13" s="195" t="e">
        <f>IF(#REF!=0,"",#REF!)</f>
        <v>#REF!</v>
      </c>
      <c r="V13" s="195" t="e">
        <f>IF(#REF!=0,"",#REF!)</f>
        <v>#REF!</v>
      </c>
      <c r="W13" s="195" t="e">
        <f>IF(#REF!=0,"",#REF!)</f>
        <v>#REF!</v>
      </c>
      <c r="X13" s="195" t="e">
        <f>IF(#REF!=0,"",#REF!)</f>
        <v>#REF!</v>
      </c>
      <c r="Y13" s="195" t="e">
        <f>IF(#REF!=0,"",#REF!)</f>
        <v>#REF!</v>
      </c>
      <c r="Z13" s="195" t="e">
        <f>IF(#REF!=0,"",#REF!)</f>
        <v>#REF!</v>
      </c>
      <c r="AA13" s="195" t="e">
        <f>IF(#REF!=0,"",#REF!)</f>
        <v>#REF!</v>
      </c>
      <c r="AB13" s="195" t="e">
        <f>IF(#REF!=0,"",#REF!)</f>
        <v>#REF!</v>
      </c>
      <c r="AC13" s="195" t="e">
        <f>IF(#REF!=0,"",#REF!)</f>
        <v>#REF!</v>
      </c>
      <c r="AD13" s="195" t="e">
        <f>IF(#REF!=0,"",#REF!)</f>
        <v>#REF!</v>
      </c>
      <c r="AE13" s="195" t="e">
        <f>IF(#REF!=0,"",#REF!)</f>
        <v>#REF!</v>
      </c>
      <c r="AF13" s="195" t="e">
        <f>IF(#REF!=0,"",#REF!)</f>
        <v>#REF!</v>
      </c>
      <c r="AG13" s="195" t="e">
        <f>IF(#REF!=0,"",#REF!)</f>
        <v>#REF!</v>
      </c>
      <c r="AH13" s="195" t="e">
        <f>IF(#REF!=0,"",#REF!)</f>
        <v>#REF!</v>
      </c>
      <c r="AI13" s="195" t="e">
        <f>IF(#REF!=0,"",#REF!)</f>
        <v>#REF!</v>
      </c>
      <c r="AJ13" s="195" t="e">
        <f>IF(#REF!=0,"",#REF!)</f>
        <v>#REF!</v>
      </c>
      <c r="AK13" s="195" t="e">
        <f>IF(#REF!=0,"",#REF!)</f>
        <v>#REF!</v>
      </c>
      <c r="AL13" s="195" t="e">
        <f>IF(#REF!=0,"",#REF!)</f>
        <v>#REF!</v>
      </c>
      <c r="AM13" s="195" t="e">
        <f>IF(#REF!=0,"",#REF!)</f>
        <v>#REF!</v>
      </c>
      <c r="AN13" s="195" t="e">
        <f>IF(#REF!=0,"",#REF!)</f>
        <v>#REF!</v>
      </c>
      <c r="AO13" s="196" t="e">
        <f>IF(#REF!=0,"",#REF!)</f>
        <v>#REF!</v>
      </c>
      <c r="AP13" s="70" t="e">
        <f t="shared" si="2"/>
        <v>#REF!</v>
      </c>
      <c r="AQ13" s="68" t="s">
        <v>151</v>
      </c>
      <c r="AR13" s="70" t="e">
        <f>#REF!</f>
        <v>#REF!</v>
      </c>
      <c r="AS13" s="71" t="e">
        <f>#REF!</f>
        <v>#REF!</v>
      </c>
      <c r="AT13" s="71" t="e">
        <f>#REF!</f>
        <v>#REF!</v>
      </c>
      <c r="AU13" s="72"/>
      <c r="AV13" s="72"/>
      <c r="AW13" s="72"/>
      <c r="AX13" s="72"/>
      <c r="AY13" s="72"/>
      <c r="AZ13" s="72"/>
      <c r="BA13" s="68"/>
      <c r="BB13" s="68"/>
      <c r="BC13" s="68"/>
      <c r="BD13" s="68"/>
    </row>
    <row r="14" spans="1:56" s="73" customFormat="1" ht="19.5" customHeight="1">
      <c r="A14" s="68" t="s">
        <v>609</v>
      </c>
      <c r="B14" s="69" t="e">
        <f>#REF!</f>
        <v>#REF!</v>
      </c>
      <c r="C14" s="70" t="e">
        <f>LEFT(#REF!,6)&amp;RIGHT(#REF!,7)</f>
        <v>#REF!</v>
      </c>
      <c r="D14" s="201" t="e">
        <f>#REF!</f>
        <v>#REF!</v>
      </c>
      <c r="E14" s="251" t="str">
        <f t="shared" si="0"/>
        <v/>
      </c>
      <c r="F14" s="251" t="str">
        <f t="shared" si="1"/>
        <v/>
      </c>
      <c r="G14" s="68"/>
      <c r="H14" s="68"/>
      <c r="I14" s="68"/>
      <c r="J14" s="68" t="s">
        <v>150</v>
      </c>
      <c r="K14" s="194" t="e">
        <f>IF(#REF!=0,"",#REF!)</f>
        <v>#REF!</v>
      </c>
      <c r="L14" s="195" t="e">
        <f>IF(#REF!=0,"",#REF!)</f>
        <v>#REF!</v>
      </c>
      <c r="M14" s="195" t="e">
        <f>IF(#REF!=0,"",#REF!)</f>
        <v>#REF!</v>
      </c>
      <c r="N14" s="195" t="e">
        <f>IF(#REF!=0,"",#REF!)</f>
        <v>#REF!</v>
      </c>
      <c r="O14" s="195" t="e">
        <f>IF(#REF!=0,"",#REF!)</f>
        <v>#REF!</v>
      </c>
      <c r="P14" s="195" t="e">
        <f>IF(#REF!=0,"",#REF!)</f>
        <v>#REF!</v>
      </c>
      <c r="Q14" s="195" t="e">
        <f>IF(#REF!=0,"",#REF!)</f>
        <v>#REF!</v>
      </c>
      <c r="R14" s="195" t="e">
        <f>IF(#REF!=0,"",#REF!)</f>
        <v>#REF!</v>
      </c>
      <c r="S14" s="195" t="e">
        <f>IF(#REF!=0,"",#REF!)</f>
        <v>#REF!</v>
      </c>
      <c r="T14" s="195" t="e">
        <f>IF(#REF!=0,"",#REF!)</f>
        <v>#REF!</v>
      </c>
      <c r="U14" s="195" t="e">
        <f>IF(#REF!=0,"",#REF!)</f>
        <v>#REF!</v>
      </c>
      <c r="V14" s="195" t="e">
        <f>IF(#REF!=0,"",#REF!)</f>
        <v>#REF!</v>
      </c>
      <c r="W14" s="195" t="e">
        <f>IF(#REF!=0,"",#REF!)</f>
        <v>#REF!</v>
      </c>
      <c r="X14" s="195" t="e">
        <f>IF(#REF!=0,"",#REF!)</f>
        <v>#REF!</v>
      </c>
      <c r="Y14" s="195" t="e">
        <f>IF(#REF!=0,"",#REF!)</f>
        <v>#REF!</v>
      </c>
      <c r="Z14" s="195" t="e">
        <f>IF(#REF!=0,"",#REF!)</f>
        <v>#REF!</v>
      </c>
      <c r="AA14" s="195" t="e">
        <f>IF(#REF!=0,"",#REF!)</f>
        <v>#REF!</v>
      </c>
      <c r="AB14" s="195" t="e">
        <f>IF(#REF!=0,"",#REF!)</f>
        <v>#REF!</v>
      </c>
      <c r="AC14" s="195" t="e">
        <f>IF(#REF!=0,"",#REF!)</f>
        <v>#REF!</v>
      </c>
      <c r="AD14" s="195" t="e">
        <f>IF(#REF!=0,"",#REF!)</f>
        <v>#REF!</v>
      </c>
      <c r="AE14" s="195" t="e">
        <f>IF(#REF!=0,"",#REF!)</f>
        <v>#REF!</v>
      </c>
      <c r="AF14" s="195" t="e">
        <f>IF(#REF!=0,"",#REF!)</f>
        <v>#REF!</v>
      </c>
      <c r="AG14" s="195" t="e">
        <f>IF(#REF!=0,"",#REF!)</f>
        <v>#REF!</v>
      </c>
      <c r="AH14" s="195" t="e">
        <f>IF(#REF!=0,"",#REF!)</f>
        <v>#REF!</v>
      </c>
      <c r="AI14" s="195" t="e">
        <f>IF(#REF!=0,"",#REF!)</f>
        <v>#REF!</v>
      </c>
      <c r="AJ14" s="195" t="e">
        <f>IF(#REF!=0,"",#REF!)</f>
        <v>#REF!</v>
      </c>
      <c r="AK14" s="195" t="e">
        <f>IF(#REF!=0,"",#REF!)</f>
        <v>#REF!</v>
      </c>
      <c r="AL14" s="195" t="e">
        <f>IF(#REF!=0,"",#REF!)</f>
        <v>#REF!</v>
      </c>
      <c r="AM14" s="195" t="e">
        <f>IF(#REF!=0,"",#REF!)</f>
        <v>#REF!</v>
      </c>
      <c r="AN14" s="195" t="e">
        <f>IF(#REF!=0,"",#REF!)</f>
        <v>#REF!</v>
      </c>
      <c r="AO14" s="196" t="e">
        <f>IF(#REF!=0,"",#REF!)</f>
        <v>#REF!</v>
      </c>
      <c r="AP14" s="70" t="e">
        <f t="shared" si="2"/>
        <v>#REF!</v>
      </c>
      <c r="AQ14" s="68" t="s">
        <v>151</v>
      </c>
      <c r="AR14" s="70" t="e">
        <f>#REF!</f>
        <v>#REF!</v>
      </c>
      <c r="AS14" s="71" t="e">
        <f>#REF!</f>
        <v>#REF!</v>
      </c>
      <c r="AT14" s="71" t="e">
        <f>#REF!</f>
        <v>#REF!</v>
      </c>
      <c r="AU14" s="72"/>
      <c r="AV14" s="72"/>
      <c r="AW14" s="72"/>
      <c r="AX14" s="72"/>
      <c r="AY14" s="72"/>
      <c r="AZ14" s="72"/>
      <c r="BA14" s="68"/>
      <c r="BB14" s="68"/>
      <c r="BC14" s="68"/>
      <c r="BD14" s="68"/>
    </row>
    <row r="15" spans="1:56" s="73" customFormat="1" ht="19.5" customHeight="1">
      <c r="A15" s="68" t="s">
        <v>609</v>
      </c>
      <c r="B15" s="69" t="e">
        <f>#REF!</f>
        <v>#REF!</v>
      </c>
      <c r="C15" s="70" t="e">
        <f>LEFT(#REF!,6)&amp;RIGHT(#REF!,7)</f>
        <v>#REF!</v>
      </c>
      <c r="D15" s="201" t="e">
        <f>#REF!</f>
        <v>#REF!</v>
      </c>
      <c r="E15" s="251" t="str">
        <f t="shared" si="0"/>
        <v/>
      </c>
      <c r="F15" s="251" t="str">
        <f t="shared" si="1"/>
        <v/>
      </c>
      <c r="G15" s="68"/>
      <c r="H15" s="68"/>
      <c r="I15" s="68"/>
      <c r="J15" s="68" t="s">
        <v>150</v>
      </c>
      <c r="K15" s="194" t="e">
        <f>IF(#REF!=0,"",#REF!)</f>
        <v>#REF!</v>
      </c>
      <c r="L15" s="195" t="e">
        <f>IF(#REF!=0,"",#REF!)</f>
        <v>#REF!</v>
      </c>
      <c r="M15" s="195" t="e">
        <f>IF(#REF!=0,"",#REF!)</f>
        <v>#REF!</v>
      </c>
      <c r="N15" s="195" t="e">
        <f>IF(#REF!=0,"",#REF!)</f>
        <v>#REF!</v>
      </c>
      <c r="O15" s="195" t="e">
        <f>IF(#REF!=0,"",#REF!)</f>
        <v>#REF!</v>
      </c>
      <c r="P15" s="195" t="e">
        <f>IF(#REF!=0,"",#REF!)</f>
        <v>#REF!</v>
      </c>
      <c r="Q15" s="195" t="e">
        <f>IF(#REF!=0,"",#REF!)</f>
        <v>#REF!</v>
      </c>
      <c r="R15" s="195" t="e">
        <f>IF(#REF!=0,"",#REF!)</f>
        <v>#REF!</v>
      </c>
      <c r="S15" s="195" t="e">
        <f>IF(#REF!=0,"",#REF!)</f>
        <v>#REF!</v>
      </c>
      <c r="T15" s="195" t="e">
        <f>IF(#REF!=0,"",#REF!)</f>
        <v>#REF!</v>
      </c>
      <c r="U15" s="195" t="e">
        <f>IF(#REF!=0,"",#REF!)</f>
        <v>#REF!</v>
      </c>
      <c r="V15" s="195" t="e">
        <f>IF(#REF!=0,"",#REF!)</f>
        <v>#REF!</v>
      </c>
      <c r="W15" s="195" t="e">
        <f>IF(#REF!=0,"",#REF!)</f>
        <v>#REF!</v>
      </c>
      <c r="X15" s="195" t="e">
        <f>IF(#REF!=0,"",#REF!)</f>
        <v>#REF!</v>
      </c>
      <c r="Y15" s="195" t="e">
        <f>IF(#REF!=0,"",#REF!)</f>
        <v>#REF!</v>
      </c>
      <c r="Z15" s="195" t="e">
        <f>IF(#REF!=0,"",#REF!)</f>
        <v>#REF!</v>
      </c>
      <c r="AA15" s="195" t="e">
        <f>IF(#REF!=0,"",#REF!)</f>
        <v>#REF!</v>
      </c>
      <c r="AB15" s="195" t="e">
        <f>IF(#REF!=0,"",#REF!)</f>
        <v>#REF!</v>
      </c>
      <c r="AC15" s="195" t="e">
        <f>IF(#REF!=0,"",#REF!)</f>
        <v>#REF!</v>
      </c>
      <c r="AD15" s="195" t="e">
        <f>IF(#REF!=0,"",#REF!)</f>
        <v>#REF!</v>
      </c>
      <c r="AE15" s="195" t="e">
        <f>IF(#REF!=0,"",#REF!)</f>
        <v>#REF!</v>
      </c>
      <c r="AF15" s="195" t="e">
        <f>IF(#REF!=0,"",#REF!)</f>
        <v>#REF!</v>
      </c>
      <c r="AG15" s="195" t="e">
        <f>IF(#REF!=0,"",#REF!)</f>
        <v>#REF!</v>
      </c>
      <c r="AH15" s="195" t="e">
        <f>IF(#REF!=0,"",#REF!)</f>
        <v>#REF!</v>
      </c>
      <c r="AI15" s="195" t="e">
        <f>IF(#REF!=0,"",#REF!)</f>
        <v>#REF!</v>
      </c>
      <c r="AJ15" s="195" t="e">
        <f>IF(#REF!=0,"",#REF!)</f>
        <v>#REF!</v>
      </c>
      <c r="AK15" s="195" t="e">
        <f>IF(#REF!=0,"",#REF!)</f>
        <v>#REF!</v>
      </c>
      <c r="AL15" s="195" t="e">
        <f>IF(#REF!=0,"",#REF!)</f>
        <v>#REF!</v>
      </c>
      <c r="AM15" s="195" t="e">
        <f>IF(#REF!=0,"",#REF!)</f>
        <v>#REF!</v>
      </c>
      <c r="AN15" s="195" t="e">
        <f>IF(#REF!=0,"",#REF!)</f>
        <v>#REF!</v>
      </c>
      <c r="AO15" s="196" t="e">
        <f>IF(#REF!=0,"",#REF!)</f>
        <v>#REF!</v>
      </c>
      <c r="AP15" s="70" t="e">
        <f t="shared" si="2"/>
        <v>#REF!</v>
      </c>
      <c r="AQ15" s="68" t="s">
        <v>151</v>
      </c>
      <c r="AR15" s="70" t="e">
        <f>#REF!</f>
        <v>#REF!</v>
      </c>
      <c r="AS15" s="71" t="e">
        <f>#REF!</f>
        <v>#REF!</v>
      </c>
      <c r="AT15" s="71" t="e">
        <f>#REF!</f>
        <v>#REF!</v>
      </c>
      <c r="AU15" s="72"/>
      <c r="AV15" s="72"/>
      <c r="AW15" s="72"/>
      <c r="AX15" s="72"/>
      <c r="AY15" s="72"/>
      <c r="AZ15" s="72"/>
      <c r="BA15" s="68"/>
      <c r="BB15" s="68"/>
      <c r="BC15" s="68"/>
      <c r="BD15" s="68"/>
    </row>
    <row r="16" spans="1:56" s="73" customFormat="1" ht="19.5" customHeight="1">
      <c r="A16" s="68" t="s">
        <v>609</v>
      </c>
      <c r="B16" s="69" t="e">
        <f>#REF!</f>
        <v>#REF!</v>
      </c>
      <c r="C16" s="70" t="e">
        <f>LEFT(#REF!,6)&amp;RIGHT(#REF!,7)</f>
        <v>#REF!</v>
      </c>
      <c r="D16" s="201" t="e">
        <f>#REF!</f>
        <v>#REF!</v>
      </c>
      <c r="E16" s="251" t="str">
        <f t="shared" si="0"/>
        <v/>
      </c>
      <c r="F16" s="251" t="str">
        <f t="shared" si="1"/>
        <v/>
      </c>
      <c r="G16" s="68"/>
      <c r="H16" s="68"/>
      <c r="I16" s="68"/>
      <c r="J16" s="68" t="s">
        <v>150</v>
      </c>
      <c r="K16" s="194" t="e">
        <f>IF(#REF!=0,"",#REF!)</f>
        <v>#REF!</v>
      </c>
      <c r="L16" s="195" t="e">
        <f>IF(#REF!=0,"",#REF!)</f>
        <v>#REF!</v>
      </c>
      <c r="M16" s="195" t="e">
        <f>IF(#REF!=0,"",#REF!)</f>
        <v>#REF!</v>
      </c>
      <c r="N16" s="195" t="e">
        <f>IF(#REF!=0,"",#REF!)</f>
        <v>#REF!</v>
      </c>
      <c r="O16" s="195" t="e">
        <f>IF(#REF!=0,"",#REF!)</f>
        <v>#REF!</v>
      </c>
      <c r="P16" s="195" t="e">
        <f>IF(#REF!=0,"",#REF!)</f>
        <v>#REF!</v>
      </c>
      <c r="Q16" s="195" t="e">
        <f>IF(#REF!=0,"",#REF!)</f>
        <v>#REF!</v>
      </c>
      <c r="R16" s="195" t="e">
        <f>IF(#REF!=0,"",#REF!)</f>
        <v>#REF!</v>
      </c>
      <c r="S16" s="195" t="e">
        <f>IF(#REF!=0,"",#REF!)</f>
        <v>#REF!</v>
      </c>
      <c r="T16" s="195" t="e">
        <f>IF(#REF!=0,"",#REF!)</f>
        <v>#REF!</v>
      </c>
      <c r="U16" s="195" t="e">
        <f>IF(#REF!=0,"",#REF!)</f>
        <v>#REF!</v>
      </c>
      <c r="V16" s="195" t="e">
        <f>IF(#REF!=0,"",#REF!)</f>
        <v>#REF!</v>
      </c>
      <c r="W16" s="195" t="e">
        <f>IF(#REF!=0,"",#REF!)</f>
        <v>#REF!</v>
      </c>
      <c r="X16" s="195" t="e">
        <f>IF(#REF!=0,"",#REF!)</f>
        <v>#REF!</v>
      </c>
      <c r="Y16" s="195" t="e">
        <f>IF(#REF!=0,"",#REF!)</f>
        <v>#REF!</v>
      </c>
      <c r="Z16" s="195" t="e">
        <f>IF(#REF!=0,"",#REF!)</f>
        <v>#REF!</v>
      </c>
      <c r="AA16" s="195" t="e">
        <f>IF(#REF!=0,"",#REF!)</f>
        <v>#REF!</v>
      </c>
      <c r="AB16" s="195" t="e">
        <f>IF(#REF!=0,"",#REF!)</f>
        <v>#REF!</v>
      </c>
      <c r="AC16" s="195" t="e">
        <f>IF(#REF!=0,"",#REF!)</f>
        <v>#REF!</v>
      </c>
      <c r="AD16" s="195" t="e">
        <f>IF(#REF!=0,"",#REF!)</f>
        <v>#REF!</v>
      </c>
      <c r="AE16" s="195" t="e">
        <f>IF(#REF!=0,"",#REF!)</f>
        <v>#REF!</v>
      </c>
      <c r="AF16" s="195" t="e">
        <f>IF(#REF!=0,"",#REF!)</f>
        <v>#REF!</v>
      </c>
      <c r="AG16" s="195" t="e">
        <f>IF(#REF!=0,"",#REF!)</f>
        <v>#REF!</v>
      </c>
      <c r="AH16" s="195" t="e">
        <f>IF(#REF!=0,"",#REF!)</f>
        <v>#REF!</v>
      </c>
      <c r="AI16" s="195" t="e">
        <f>IF(#REF!=0,"",#REF!)</f>
        <v>#REF!</v>
      </c>
      <c r="AJ16" s="195" t="e">
        <f>IF(#REF!=0,"",#REF!)</f>
        <v>#REF!</v>
      </c>
      <c r="AK16" s="195" t="e">
        <f>IF(#REF!=0,"",#REF!)</f>
        <v>#REF!</v>
      </c>
      <c r="AL16" s="195" t="e">
        <f>IF(#REF!=0,"",#REF!)</f>
        <v>#REF!</v>
      </c>
      <c r="AM16" s="195" t="e">
        <f>IF(#REF!=0,"",#REF!)</f>
        <v>#REF!</v>
      </c>
      <c r="AN16" s="195" t="e">
        <f>IF(#REF!=0,"",#REF!)</f>
        <v>#REF!</v>
      </c>
      <c r="AO16" s="196" t="e">
        <f>IF(#REF!=0,"",#REF!)</f>
        <v>#REF!</v>
      </c>
      <c r="AP16" s="70" t="e">
        <f t="shared" si="2"/>
        <v>#REF!</v>
      </c>
      <c r="AQ16" s="68" t="s">
        <v>151</v>
      </c>
      <c r="AR16" s="70" t="e">
        <f>#REF!</f>
        <v>#REF!</v>
      </c>
      <c r="AS16" s="71" t="e">
        <f>#REF!</f>
        <v>#REF!</v>
      </c>
      <c r="AT16" s="71" t="e">
        <f>#REF!</f>
        <v>#REF!</v>
      </c>
      <c r="AU16" s="72"/>
      <c r="AV16" s="72"/>
      <c r="AW16" s="72"/>
      <c r="AX16" s="72"/>
      <c r="AY16" s="72"/>
      <c r="AZ16" s="72"/>
      <c r="BA16" s="68"/>
      <c r="BB16" s="68"/>
      <c r="BC16" s="68"/>
      <c r="BD16" s="68"/>
    </row>
    <row r="17" spans="1:56" s="73" customFormat="1" ht="19.5" customHeight="1">
      <c r="A17" s="68" t="s">
        <v>609</v>
      </c>
      <c r="B17" s="69" t="e">
        <f>#REF!</f>
        <v>#REF!</v>
      </c>
      <c r="C17" s="70" t="e">
        <f>LEFT(#REF!,6)&amp;RIGHT(#REF!,7)</f>
        <v>#REF!</v>
      </c>
      <c r="D17" s="201" t="e">
        <f>#REF!</f>
        <v>#REF!</v>
      </c>
      <c r="E17" s="251" t="str">
        <f t="shared" si="0"/>
        <v/>
      </c>
      <c r="F17" s="251" t="str">
        <f t="shared" si="1"/>
        <v/>
      </c>
      <c r="G17" s="68"/>
      <c r="H17" s="68"/>
      <c r="I17" s="68"/>
      <c r="J17" s="68" t="s">
        <v>150</v>
      </c>
      <c r="K17" s="194" t="e">
        <f>IF(#REF!=0,"",#REF!)</f>
        <v>#REF!</v>
      </c>
      <c r="L17" s="195" t="e">
        <f>IF(#REF!=0,"",#REF!)</f>
        <v>#REF!</v>
      </c>
      <c r="M17" s="195" t="e">
        <f>IF(#REF!=0,"",#REF!)</f>
        <v>#REF!</v>
      </c>
      <c r="N17" s="195" t="e">
        <f>IF(#REF!=0,"",#REF!)</f>
        <v>#REF!</v>
      </c>
      <c r="O17" s="195" t="e">
        <f>IF(#REF!=0,"",#REF!)</f>
        <v>#REF!</v>
      </c>
      <c r="P17" s="195" t="e">
        <f>IF(#REF!=0,"",#REF!)</f>
        <v>#REF!</v>
      </c>
      <c r="Q17" s="195" t="e">
        <f>IF(#REF!=0,"",#REF!)</f>
        <v>#REF!</v>
      </c>
      <c r="R17" s="195" t="e">
        <f>IF(#REF!=0,"",#REF!)</f>
        <v>#REF!</v>
      </c>
      <c r="S17" s="195" t="e">
        <f>IF(#REF!=0,"",#REF!)</f>
        <v>#REF!</v>
      </c>
      <c r="T17" s="195" t="e">
        <f>IF(#REF!=0,"",#REF!)</f>
        <v>#REF!</v>
      </c>
      <c r="U17" s="195" t="e">
        <f>IF(#REF!=0,"",#REF!)</f>
        <v>#REF!</v>
      </c>
      <c r="V17" s="195" t="e">
        <f>IF(#REF!=0,"",#REF!)</f>
        <v>#REF!</v>
      </c>
      <c r="W17" s="195" t="e">
        <f>IF(#REF!=0,"",#REF!)</f>
        <v>#REF!</v>
      </c>
      <c r="X17" s="195" t="e">
        <f>IF(#REF!=0,"",#REF!)</f>
        <v>#REF!</v>
      </c>
      <c r="Y17" s="195" t="e">
        <f>IF(#REF!=0,"",#REF!)</f>
        <v>#REF!</v>
      </c>
      <c r="Z17" s="195" t="e">
        <f>IF(#REF!=0,"",#REF!)</f>
        <v>#REF!</v>
      </c>
      <c r="AA17" s="195" t="e">
        <f>IF(#REF!=0,"",#REF!)</f>
        <v>#REF!</v>
      </c>
      <c r="AB17" s="195" t="e">
        <f>IF(#REF!=0,"",#REF!)</f>
        <v>#REF!</v>
      </c>
      <c r="AC17" s="195" t="e">
        <f>IF(#REF!=0,"",#REF!)</f>
        <v>#REF!</v>
      </c>
      <c r="AD17" s="195" t="e">
        <f>IF(#REF!=0,"",#REF!)</f>
        <v>#REF!</v>
      </c>
      <c r="AE17" s="195" t="e">
        <f>IF(#REF!=0,"",#REF!)</f>
        <v>#REF!</v>
      </c>
      <c r="AF17" s="195" t="e">
        <f>IF(#REF!=0,"",#REF!)</f>
        <v>#REF!</v>
      </c>
      <c r="AG17" s="195" t="e">
        <f>IF(#REF!=0,"",#REF!)</f>
        <v>#REF!</v>
      </c>
      <c r="AH17" s="195" t="e">
        <f>IF(#REF!=0,"",#REF!)</f>
        <v>#REF!</v>
      </c>
      <c r="AI17" s="195" t="e">
        <f>IF(#REF!=0,"",#REF!)</f>
        <v>#REF!</v>
      </c>
      <c r="AJ17" s="195" t="e">
        <f>IF(#REF!=0,"",#REF!)</f>
        <v>#REF!</v>
      </c>
      <c r="AK17" s="195" t="e">
        <f>IF(#REF!=0,"",#REF!)</f>
        <v>#REF!</v>
      </c>
      <c r="AL17" s="195" t="e">
        <f>IF(#REF!=0,"",#REF!)</f>
        <v>#REF!</v>
      </c>
      <c r="AM17" s="195" t="e">
        <f>IF(#REF!=0,"",#REF!)</f>
        <v>#REF!</v>
      </c>
      <c r="AN17" s="195" t="e">
        <f>IF(#REF!=0,"",#REF!)</f>
        <v>#REF!</v>
      </c>
      <c r="AO17" s="196" t="e">
        <f>IF(#REF!=0,"",#REF!)</f>
        <v>#REF!</v>
      </c>
      <c r="AP17" s="70" t="e">
        <f t="shared" si="2"/>
        <v>#REF!</v>
      </c>
      <c r="AQ17" s="68" t="s">
        <v>151</v>
      </c>
      <c r="AR17" s="70" t="e">
        <f>#REF!</f>
        <v>#REF!</v>
      </c>
      <c r="AS17" s="71" t="e">
        <f>#REF!</f>
        <v>#REF!</v>
      </c>
      <c r="AT17" s="71" t="e">
        <f>#REF!</f>
        <v>#REF!</v>
      </c>
      <c r="AU17" s="72"/>
      <c r="AV17" s="72"/>
      <c r="AW17" s="72"/>
      <c r="AX17" s="72"/>
      <c r="AY17" s="72"/>
      <c r="AZ17" s="72"/>
      <c r="BA17" s="68"/>
      <c r="BB17" s="68"/>
      <c r="BC17" s="68"/>
      <c r="BD17" s="68"/>
    </row>
    <row r="18" spans="1:56" s="73" customFormat="1" ht="19.5" customHeight="1">
      <c r="A18" s="68" t="s">
        <v>609</v>
      </c>
      <c r="B18" s="69" t="e">
        <f>#REF!</f>
        <v>#REF!</v>
      </c>
      <c r="C18" s="70" t="e">
        <f>LEFT(#REF!,6)&amp;RIGHT(#REF!,7)</f>
        <v>#REF!</v>
      </c>
      <c r="D18" s="201" t="e">
        <f>#REF!</f>
        <v>#REF!</v>
      </c>
      <c r="E18" s="251" t="str">
        <f t="shared" si="0"/>
        <v/>
      </c>
      <c r="F18" s="251" t="str">
        <f t="shared" si="1"/>
        <v/>
      </c>
      <c r="G18" s="68"/>
      <c r="H18" s="68"/>
      <c r="I18" s="68"/>
      <c r="J18" s="68" t="s">
        <v>150</v>
      </c>
      <c r="K18" s="194" t="e">
        <f>IF(#REF!=0,"",#REF!)</f>
        <v>#REF!</v>
      </c>
      <c r="L18" s="195" t="e">
        <f>IF(#REF!=0,"",#REF!)</f>
        <v>#REF!</v>
      </c>
      <c r="M18" s="195" t="e">
        <f>IF(#REF!=0,"",#REF!)</f>
        <v>#REF!</v>
      </c>
      <c r="N18" s="195" t="e">
        <f>IF(#REF!=0,"",#REF!)</f>
        <v>#REF!</v>
      </c>
      <c r="O18" s="195" t="e">
        <f>IF(#REF!=0,"",#REF!)</f>
        <v>#REF!</v>
      </c>
      <c r="P18" s="195" t="e">
        <f>IF(#REF!=0,"",#REF!)</f>
        <v>#REF!</v>
      </c>
      <c r="Q18" s="195" t="e">
        <f>IF(#REF!=0,"",#REF!)</f>
        <v>#REF!</v>
      </c>
      <c r="R18" s="195" t="e">
        <f>IF(#REF!=0,"",#REF!)</f>
        <v>#REF!</v>
      </c>
      <c r="S18" s="195" t="e">
        <f>IF(#REF!=0,"",#REF!)</f>
        <v>#REF!</v>
      </c>
      <c r="T18" s="195" t="e">
        <f>IF(#REF!=0,"",#REF!)</f>
        <v>#REF!</v>
      </c>
      <c r="U18" s="195" t="e">
        <f>IF(#REF!=0,"",#REF!)</f>
        <v>#REF!</v>
      </c>
      <c r="V18" s="195" t="e">
        <f>IF(#REF!=0,"",#REF!)</f>
        <v>#REF!</v>
      </c>
      <c r="W18" s="195" t="e">
        <f>IF(#REF!=0,"",#REF!)</f>
        <v>#REF!</v>
      </c>
      <c r="X18" s="195" t="e">
        <f>IF(#REF!=0,"",#REF!)</f>
        <v>#REF!</v>
      </c>
      <c r="Y18" s="195" t="e">
        <f>IF(#REF!=0,"",#REF!)</f>
        <v>#REF!</v>
      </c>
      <c r="Z18" s="195" t="e">
        <f>IF(#REF!=0,"",#REF!)</f>
        <v>#REF!</v>
      </c>
      <c r="AA18" s="195" t="e">
        <f>IF(#REF!=0,"",#REF!)</f>
        <v>#REF!</v>
      </c>
      <c r="AB18" s="195" t="e">
        <f>IF(#REF!=0,"",#REF!)</f>
        <v>#REF!</v>
      </c>
      <c r="AC18" s="195" t="e">
        <f>IF(#REF!=0,"",#REF!)</f>
        <v>#REF!</v>
      </c>
      <c r="AD18" s="195" t="e">
        <f>IF(#REF!=0,"",#REF!)</f>
        <v>#REF!</v>
      </c>
      <c r="AE18" s="195" t="e">
        <f>IF(#REF!=0,"",#REF!)</f>
        <v>#REF!</v>
      </c>
      <c r="AF18" s="195" t="e">
        <f>IF(#REF!=0,"",#REF!)</f>
        <v>#REF!</v>
      </c>
      <c r="AG18" s="195" t="e">
        <f>IF(#REF!=0,"",#REF!)</f>
        <v>#REF!</v>
      </c>
      <c r="AH18" s="195" t="e">
        <f>IF(#REF!=0,"",#REF!)</f>
        <v>#REF!</v>
      </c>
      <c r="AI18" s="195" t="e">
        <f>IF(#REF!=0,"",#REF!)</f>
        <v>#REF!</v>
      </c>
      <c r="AJ18" s="195" t="e">
        <f>IF(#REF!=0,"",#REF!)</f>
        <v>#REF!</v>
      </c>
      <c r="AK18" s="195" t="e">
        <f>IF(#REF!=0,"",#REF!)</f>
        <v>#REF!</v>
      </c>
      <c r="AL18" s="195" t="e">
        <f>IF(#REF!=0,"",#REF!)</f>
        <v>#REF!</v>
      </c>
      <c r="AM18" s="195" t="e">
        <f>IF(#REF!=0,"",#REF!)</f>
        <v>#REF!</v>
      </c>
      <c r="AN18" s="195" t="e">
        <f>IF(#REF!=0,"",#REF!)</f>
        <v>#REF!</v>
      </c>
      <c r="AO18" s="196" t="e">
        <f>IF(#REF!=0,"",#REF!)</f>
        <v>#REF!</v>
      </c>
      <c r="AP18" s="70" t="e">
        <f t="shared" si="2"/>
        <v>#REF!</v>
      </c>
      <c r="AQ18" s="68" t="s">
        <v>151</v>
      </c>
      <c r="AR18" s="70" t="e">
        <f>#REF!</f>
        <v>#REF!</v>
      </c>
      <c r="AS18" s="71" t="e">
        <f>#REF!</f>
        <v>#REF!</v>
      </c>
      <c r="AT18" s="71" t="e">
        <f>#REF!</f>
        <v>#REF!</v>
      </c>
      <c r="AU18" s="72"/>
      <c r="AV18" s="72"/>
      <c r="AW18" s="72"/>
      <c r="AX18" s="72"/>
      <c r="AY18" s="72"/>
      <c r="AZ18" s="72"/>
      <c r="BA18" s="68"/>
      <c r="BB18" s="68"/>
      <c r="BC18" s="68"/>
      <c r="BD18" s="68"/>
    </row>
    <row r="19" spans="1:56" s="73" customFormat="1" ht="19.5" customHeight="1">
      <c r="A19" s="68" t="s">
        <v>609</v>
      </c>
      <c r="B19" s="69" t="e">
        <f>#REF!</f>
        <v>#REF!</v>
      </c>
      <c r="C19" s="70" t="e">
        <f>LEFT(#REF!,6)&amp;RIGHT(#REF!,7)</f>
        <v>#REF!</v>
      </c>
      <c r="D19" s="201" t="e">
        <f>#REF!</f>
        <v>#REF!</v>
      </c>
      <c r="E19" s="251" t="str">
        <f t="shared" si="0"/>
        <v/>
      </c>
      <c r="F19" s="251" t="str">
        <f t="shared" si="1"/>
        <v/>
      </c>
      <c r="G19" s="68"/>
      <c r="H19" s="68"/>
      <c r="I19" s="68"/>
      <c r="J19" s="68" t="s">
        <v>150</v>
      </c>
      <c r="K19" s="194" t="e">
        <f>IF(#REF!=0,"",#REF!)</f>
        <v>#REF!</v>
      </c>
      <c r="L19" s="195" t="e">
        <f>IF(#REF!=0,"",#REF!)</f>
        <v>#REF!</v>
      </c>
      <c r="M19" s="195" t="e">
        <f>IF(#REF!=0,"",#REF!)</f>
        <v>#REF!</v>
      </c>
      <c r="N19" s="195" t="e">
        <f>IF(#REF!=0,"",#REF!)</f>
        <v>#REF!</v>
      </c>
      <c r="O19" s="195" t="e">
        <f>IF(#REF!=0,"",#REF!)</f>
        <v>#REF!</v>
      </c>
      <c r="P19" s="195" t="e">
        <f>IF(#REF!=0,"",#REF!)</f>
        <v>#REF!</v>
      </c>
      <c r="Q19" s="195" t="e">
        <f>IF(#REF!=0,"",#REF!)</f>
        <v>#REF!</v>
      </c>
      <c r="R19" s="195" t="e">
        <f>IF(#REF!=0,"",#REF!)</f>
        <v>#REF!</v>
      </c>
      <c r="S19" s="195" t="e">
        <f>IF(#REF!=0,"",#REF!)</f>
        <v>#REF!</v>
      </c>
      <c r="T19" s="195" t="e">
        <f>IF(#REF!=0,"",#REF!)</f>
        <v>#REF!</v>
      </c>
      <c r="U19" s="195" t="e">
        <f>IF(#REF!=0,"",#REF!)</f>
        <v>#REF!</v>
      </c>
      <c r="V19" s="195" t="e">
        <f>IF(#REF!=0,"",#REF!)</f>
        <v>#REF!</v>
      </c>
      <c r="W19" s="195" t="e">
        <f>IF(#REF!=0,"",#REF!)</f>
        <v>#REF!</v>
      </c>
      <c r="X19" s="195" t="e">
        <f>IF(#REF!=0,"",#REF!)</f>
        <v>#REF!</v>
      </c>
      <c r="Y19" s="195" t="e">
        <f>IF(#REF!=0,"",#REF!)</f>
        <v>#REF!</v>
      </c>
      <c r="Z19" s="195" t="e">
        <f>IF(#REF!=0,"",#REF!)</f>
        <v>#REF!</v>
      </c>
      <c r="AA19" s="195" t="e">
        <f>IF(#REF!=0,"",#REF!)</f>
        <v>#REF!</v>
      </c>
      <c r="AB19" s="195" t="e">
        <f>IF(#REF!=0,"",#REF!)</f>
        <v>#REF!</v>
      </c>
      <c r="AC19" s="195" t="e">
        <f>IF(#REF!=0,"",#REF!)</f>
        <v>#REF!</v>
      </c>
      <c r="AD19" s="195" t="e">
        <f>IF(#REF!=0,"",#REF!)</f>
        <v>#REF!</v>
      </c>
      <c r="AE19" s="195" t="e">
        <f>IF(#REF!=0,"",#REF!)</f>
        <v>#REF!</v>
      </c>
      <c r="AF19" s="195" t="e">
        <f>IF(#REF!=0,"",#REF!)</f>
        <v>#REF!</v>
      </c>
      <c r="AG19" s="195" t="e">
        <f>IF(#REF!=0,"",#REF!)</f>
        <v>#REF!</v>
      </c>
      <c r="AH19" s="195" t="e">
        <f>IF(#REF!=0,"",#REF!)</f>
        <v>#REF!</v>
      </c>
      <c r="AI19" s="195" t="e">
        <f>IF(#REF!=0,"",#REF!)</f>
        <v>#REF!</v>
      </c>
      <c r="AJ19" s="195" t="e">
        <f>IF(#REF!=0,"",#REF!)</f>
        <v>#REF!</v>
      </c>
      <c r="AK19" s="195" t="e">
        <f>IF(#REF!=0,"",#REF!)</f>
        <v>#REF!</v>
      </c>
      <c r="AL19" s="195" t="e">
        <f>IF(#REF!=0,"",#REF!)</f>
        <v>#REF!</v>
      </c>
      <c r="AM19" s="195" t="e">
        <f>IF(#REF!=0,"",#REF!)</f>
        <v>#REF!</v>
      </c>
      <c r="AN19" s="195" t="e">
        <f>IF(#REF!=0,"",#REF!)</f>
        <v>#REF!</v>
      </c>
      <c r="AO19" s="196" t="e">
        <f>IF(#REF!=0,"",#REF!)</f>
        <v>#REF!</v>
      </c>
      <c r="AP19" s="70" t="e">
        <f t="shared" si="2"/>
        <v>#REF!</v>
      </c>
      <c r="AQ19" s="68" t="s">
        <v>151</v>
      </c>
      <c r="AR19" s="70" t="e">
        <f>#REF!</f>
        <v>#REF!</v>
      </c>
      <c r="AS19" s="71" t="e">
        <f>#REF!</f>
        <v>#REF!</v>
      </c>
      <c r="AT19" s="71" t="e">
        <f>#REF!</f>
        <v>#REF!</v>
      </c>
      <c r="AU19" s="72"/>
      <c r="AV19" s="72"/>
      <c r="AW19" s="72"/>
      <c r="AX19" s="72"/>
      <c r="AY19" s="72"/>
      <c r="AZ19" s="72"/>
      <c r="BA19" s="68"/>
      <c r="BB19" s="68"/>
      <c r="BC19" s="68"/>
      <c r="BD19" s="68"/>
    </row>
    <row r="20" spans="1:56" s="73" customFormat="1" ht="19.5" customHeight="1">
      <c r="A20" s="68" t="s">
        <v>609</v>
      </c>
      <c r="B20" s="69" t="e">
        <f>#REF!</f>
        <v>#REF!</v>
      </c>
      <c r="C20" s="70" t="e">
        <f>LEFT(#REF!,6)&amp;RIGHT(#REF!,7)</f>
        <v>#REF!</v>
      </c>
      <c r="D20" s="201" t="e">
        <f>#REF!</f>
        <v>#REF!</v>
      </c>
      <c r="E20" s="251" t="str">
        <f t="shared" si="0"/>
        <v/>
      </c>
      <c r="F20" s="251" t="str">
        <f t="shared" si="1"/>
        <v/>
      </c>
      <c r="G20" s="68"/>
      <c r="H20" s="68"/>
      <c r="I20" s="68"/>
      <c r="J20" s="68" t="s">
        <v>150</v>
      </c>
      <c r="K20" s="194" t="e">
        <f>IF(#REF!=0,"",#REF!)</f>
        <v>#REF!</v>
      </c>
      <c r="L20" s="195" t="e">
        <f>IF(#REF!=0,"",#REF!)</f>
        <v>#REF!</v>
      </c>
      <c r="M20" s="195" t="e">
        <f>IF(#REF!=0,"",#REF!)</f>
        <v>#REF!</v>
      </c>
      <c r="N20" s="195" t="e">
        <f>IF(#REF!=0,"",#REF!)</f>
        <v>#REF!</v>
      </c>
      <c r="O20" s="195" t="e">
        <f>IF(#REF!=0,"",#REF!)</f>
        <v>#REF!</v>
      </c>
      <c r="P20" s="195" t="e">
        <f>IF(#REF!=0,"",#REF!)</f>
        <v>#REF!</v>
      </c>
      <c r="Q20" s="195" t="e">
        <f>IF(#REF!=0,"",#REF!)</f>
        <v>#REF!</v>
      </c>
      <c r="R20" s="195" t="e">
        <f>IF(#REF!=0,"",#REF!)</f>
        <v>#REF!</v>
      </c>
      <c r="S20" s="195" t="e">
        <f>IF(#REF!=0,"",#REF!)</f>
        <v>#REF!</v>
      </c>
      <c r="T20" s="195" t="e">
        <f>IF(#REF!=0,"",#REF!)</f>
        <v>#REF!</v>
      </c>
      <c r="U20" s="195" t="e">
        <f>IF(#REF!=0,"",#REF!)</f>
        <v>#REF!</v>
      </c>
      <c r="V20" s="195" t="e">
        <f>IF(#REF!=0,"",#REF!)</f>
        <v>#REF!</v>
      </c>
      <c r="W20" s="195" t="e">
        <f>IF(#REF!=0,"",#REF!)</f>
        <v>#REF!</v>
      </c>
      <c r="X20" s="195" t="e">
        <f>IF(#REF!=0,"",#REF!)</f>
        <v>#REF!</v>
      </c>
      <c r="Y20" s="195" t="e">
        <f>IF(#REF!=0,"",#REF!)</f>
        <v>#REF!</v>
      </c>
      <c r="Z20" s="195" t="e">
        <f>IF(#REF!=0,"",#REF!)</f>
        <v>#REF!</v>
      </c>
      <c r="AA20" s="195" t="e">
        <f>IF(#REF!=0,"",#REF!)</f>
        <v>#REF!</v>
      </c>
      <c r="AB20" s="195" t="e">
        <f>IF(#REF!=0,"",#REF!)</f>
        <v>#REF!</v>
      </c>
      <c r="AC20" s="195" t="e">
        <f>IF(#REF!=0,"",#REF!)</f>
        <v>#REF!</v>
      </c>
      <c r="AD20" s="195" t="e">
        <f>IF(#REF!=0,"",#REF!)</f>
        <v>#REF!</v>
      </c>
      <c r="AE20" s="195" t="e">
        <f>IF(#REF!=0,"",#REF!)</f>
        <v>#REF!</v>
      </c>
      <c r="AF20" s="195" t="e">
        <f>IF(#REF!=0,"",#REF!)</f>
        <v>#REF!</v>
      </c>
      <c r="AG20" s="195" t="e">
        <f>IF(#REF!=0,"",#REF!)</f>
        <v>#REF!</v>
      </c>
      <c r="AH20" s="195" t="e">
        <f>IF(#REF!=0,"",#REF!)</f>
        <v>#REF!</v>
      </c>
      <c r="AI20" s="195" t="e">
        <f>IF(#REF!=0,"",#REF!)</f>
        <v>#REF!</v>
      </c>
      <c r="AJ20" s="195" t="e">
        <f>IF(#REF!=0,"",#REF!)</f>
        <v>#REF!</v>
      </c>
      <c r="AK20" s="195" t="e">
        <f>IF(#REF!=0,"",#REF!)</f>
        <v>#REF!</v>
      </c>
      <c r="AL20" s="195" t="e">
        <f>IF(#REF!=0,"",#REF!)</f>
        <v>#REF!</v>
      </c>
      <c r="AM20" s="195" t="e">
        <f>IF(#REF!=0,"",#REF!)</f>
        <v>#REF!</v>
      </c>
      <c r="AN20" s="195" t="e">
        <f>IF(#REF!=0,"",#REF!)</f>
        <v>#REF!</v>
      </c>
      <c r="AO20" s="196" t="e">
        <f>IF(#REF!=0,"",#REF!)</f>
        <v>#REF!</v>
      </c>
      <c r="AP20" s="70" t="e">
        <f t="shared" si="2"/>
        <v>#REF!</v>
      </c>
      <c r="AQ20" s="68" t="s">
        <v>151</v>
      </c>
      <c r="AR20" s="70" t="e">
        <f>#REF!</f>
        <v>#REF!</v>
      </c>
      <c r="AS20" s="71" t="e">
        <f>#REF!</f>
        <v>#REF!</v>
      </c>
      <c r="AT20" s="71" t="e">
        <f>#REF!</f>
        <v>#REF!</v>
      </c>
      <c r="AU20" s="72"/>
      <c r="AV20" s="72"/>
      <c r="AW20" s="72"/>
      <c r="AX20" s="72"/>
      <c r="AY20" s="72"/>
      <c r="AZ20" s="72"/>
      <c r="BA20" s="68"/>
      <c r="BB20" s="68"/>
      <c r="BC20" s="68"/>
      <c r="BD20" s="68"/>
    </row>
    <row r="21" spans="1:56" s="73" customFormat="1" ht="19.5" customHeight="1">
      <c r="A21" s="68" t="s">
        <v>609</v>
      </c>
      <c r="B21" s="69" t="e">
        <f>#REF!</f>
        <v>#REF!</v>
      </c>
      <c r="C21" s="70" t="e">
        <f>LEFT(#REF!,6)&amp;RIGHT(#REF!,7)</f>
        <v>#REF!</v>
      </c>
      <c r="D21" s="201" t="e">
        <f>#REF!</f>
        <v>#REF!</v>
      </c>
      <c r="E21" s="251" t="str">
        <f t="shared" si="0"/>
        <v/>
      </c>
      <c r="F21" s="251" t="str">
        <f t="shared" si="1"/>
        <v/>
      </c>
      <c r="G21" s="68"/>
      <c r="H21" s="68"/>
      <c r="I21" s="68"/>
      <c r="J21" s="68" t="s">
        <v>150</v>
      </c>
      <c r="K21" s="194" t="e">
        <f>IF(#REF!=0,"",#REF!)</f>
        <v>#REF!</v>
      </c>
      <c r="L21" s="195" t="e">
        <f>IF(#REF!=0,"",#REF!)</f>
        <v>#REF!</v>
      </c>
      <c r="M21" s="195" t="e">
        <f>IF(#REF!=0,"",#REF!)</f>
        <v>#REF!</v>
      </c>
      <c r="N21" s="195" t="e">
        <f>IF(#REF!=0,"",#REF!)</f>
        <v>#REF!</v>
      </c>
      <c r="O21" s="195" t="e">
        <f>IF(#REF!=0,"",#REF!)</f>
        <v>#REF!</v>
      </c>
      <c r="P21" s="195" t="e">
        <f>IF(#REF!=0,"",#REF!)</f>
        <v>#REF!</v>
      </c>
      <c r="Q21" s="195" t="e">
        <f>IF(#REF!=0,"",#REF!)</f>
        <v>#REF!</v>
      </c>
      <c r="R21" s="195" t="e">
        <f>IF(#REF!=0,"",#REF!)</f>
        <v>#REF!</v>
      </c>
      <c r="S21" s="195" t="e">
        <f>IF(#REF!=0,"",#REF!)</f>
        <v>#REF!</v>
      </c>
      <c r="T21" s="195" t="e">
        <f>IF(#REF!=0,"",#REF!)</f>
        <v>#REF!</v>
      </c>
      <c r="U21" s="195" t="e">
        <f>IF(#REF!=0,"",#REF!)</f>
        <v>#REF!</v>
      </c>
      <c r="V21" s="195" t="e">
        <f>IF(#REF!=0,"",#REF!)</f>
        <v>#REF!</v>
      </c>
      <c r="W21" s="195" t="e">
        <f>IF(#REF!=0,"",#REF!)</f>
        <v>#REF!</v>
      </c>
      <c r="X21" s="195" t="e">
        <f>IF(#REF!=0,"",#REF!)</f>
        <v>#REF!</v>
      </c>
      <c r="Y21" s="195" t="e">
        <f>IF(#REF!=0,"",#REF!)</f>
        <v>#REF!</v>
      </c>
      <c r="Z21" s="195" t="e">
        <f>IF(#REF!=0,"",#REF!)</f>
        <v>#REF!</v>
      </c>
      <c r="AA21" s="195" t="e">
        <f>IF(#REF!=0,"",#REF!)</f>
        <v>#REF!</v>
      </c>
      <c r="AB21" s="195" t="e">
        <f>IF(#REF!=0,"",#REF!)</f>
        <v>#REF!</v>
      </c>
      <c r="AC21" s="195" t="e">
        <f>IF(#REF!=0,"",#REF!)</f>
        <v>#REF!</v>
      </c>
      <c r="AD21" s="195" t="e">
        <f>IF(#REF!=0,"",#REF!)</f>
        <v>#REF!</v>
      </c>
      <c r="AE21" s="195" t="e">
        <f>IF(#REF!=0,"",#REF!)</f>
        <v>#REF!</v>
      </c>
      <c r="AF21" s="195" t="e">
        <f>IF(#REF!=0,"",#REF!)</f>
        <v>#REF!</v>
      </c>
      <c r="AG21" s="195" t="e">
        <f>IF(#REF!=0,"",#REF!)</f>
        <v>#REF!</v>
      </c>
      <c r="AH21" s="195" t="e">
        <f>IF(#REF!=0,"",#REF!)</f>
        <v>#REF!</v>
      </c>
      <c r="AI21" s="195" t="e">
        <f>IF(#REF!=0,"",#REF!)</f>
        <v>#REF!</v>
      </c>
      <c r="AJ21" s="195" t="e">
        <f>IF(#REF!=0,"",#REF!)</f>
        <v>#REF!</v>
      </c>
      <c r="AK21" s="195" t="e">
        <f>IF(#REF!=0,"",#REF!)</f>
        <v>#REF!</v>
      </c>
      <c r="AL21" s="195" t="e">
        <f>IF(#REF!=0,"",#REF!)</f>
        <v>#REF!</v>
      </c>
      <c r="AM21" s="195" t="e">
        <f>IF(#REF!=0,"",#REF!)</f>
        <v>#REF!</v>
      </c>
      <c r="AN21" s="195" t="e">
        <f>IF(#REF!=0,"",#REF!)</f>
        <v>#REF!</v>
      </c>
      <c r="AO21" s="196" t="e">
        <f>IF(#REF!=0,"",#REF!)</f>
        <v>#REF!</v>
      </c>
      <c r="AP21" s="70" t="e">
        <f t="shared" si="2"/>
        <v>#REF!</v>
      </c>
      <c r="AQ21" s="68" t="s">
        <v>151</v>
      </c>
      <c r="AR21" s="70" t="e">
        <f>#REF!</f>
        <v>#REF!</v>
      </c>
      <c r="AS21" s="71" t="e">
        <f>#REF!</f>
        <v>#REF!</v>
      </c>
      <c r="AT21" s="71" t="e">
        <f>#REF!</f>
        <v>#REF!</v>
      </c>
      <c r="AU21" s="72"/>
      <c r="AV21" s="72"/>
      <c r="AW21" s="72"/>
      <c r="AX21" s="72"/>
      <c r="AY21" s="72"/>
      <c r="AZ21" s="72"/>
      <c r="BA21" s="68"/>
      <c r="BB21" s="68"/>
      <c r="BC21" s="68"/>
      <c r="BD21" s="68"/>
    </row>
    <row r="22" spans="1:56" s="73" customFormat="1" ht="19.5" customHeight="1">
      <c r="A22" s="68" t="s">
        <v>609</v>
      </c>
      <c r="B22" s="69" t="e">
        <f>#REF!</f>
        <v>#REF!</v>
      </c>
      <c r="C22" s="70" t="e">
        <f>LEFT(#REF!,6)&amp;RIGHT(#REF!,7)</f>
        <v>#REF!</v>
      </c>
      <c r="D22" s="201" t="e">
        <f>#REF!</f>
        <v>#REF!</v>
      </c>
      <c r="E22" s="251" t="str">
        <f t="shared" si="0"/>
        <v/>
      </c>
      <c r="F22" s="251" t="str">
        <f t="shared" si="1"/>
        <v/>
      </c>
      <c r="G22" s="68"/>
      <c r="H22" s="68"/>
      <c r="I22" s="68"/>
      <c r="J22" s="68" t="s">
        <v>150</v>
      </c>
      <c r="K22" s="194" t="e">
        <f>IF(#REF!=0,"",#REF!)</f>
        <v>#REF!</v>
      </c>
      <c r="L22" s="195" t="e">
        <f>IF(#REF!=0,"",#REF!)</f>
        <v>#REF!</v>
      </c>
      <c r="M22" s="195" t="e">
        <f>IF(#REF!=0,"",#REF!)</f>
        <v>#REF!</v>
      </c>
      <c r="N22" s="195" t="e">
        <f>IF(#REF!=0,"",#REF!)</f>
        <v>#REF!</v>
      </c>
      <c r="O22" s="195" t="e">
        <f>IF(#REF!=0,"",#REF!)</f>
        <v>#REF!</v>
      </c>
      <c r="P22" s="195" t="e">
        <f>IF(#REF!=0,"",#REF!)</f>
        <v>#REF!</v>
      </c>
      <c r="Q22" s="195" t="e">
        <f>IF(#REF!=0,"",#REF!)</f>
        <v>#REF!</v>
      </c>
      <c r="R22" s="195" t="e">
        <f>IF(#REF!=0,"",#REF!)</f>
        <v>#REF!</v>
      </c>
      <c r="S22" s="195" t="e">
        <f>IF(#REF!=0,"",#REF!)</f>
        <v>#REF!</v>
      </c>
      <c r="T22" s="195" t="e">
        <f>IF(#REF!=0,"",#REF!)</f>
        <v>#REF!</v>
      </c>
      <c r="U22" s="195" t="e">
        <f>IF(#REF!=0,"",#REF!)</f>
        <v>#REF!</v>
      </c>
      <c r="V22" s="195" t="e">
        <f>IF(#REF!=0,"",#REF!)</f>
        <v>#REF!</v>
      </c>
      <c r="W22" s="195" t="e">
        <f>IF(#REF!=0,"",#REF!)</f>
        <v>#REF!</v>
      </c>
      <c r="X22" s="195" t="e">
        <f>IF(#REF!=0,"",#REF!)</f>
        <v>#REF!</v>
      </c>
      <c r="Y22" s="195" t="e">
        <f>IF(#REF!=0,"",#REF!)</f>
        <v>#REF!</v>
      </c>
      <c r="Z22" s="195" t="e">
        <f>IF(#REF!=0,"",#REF!)</f>
        <v>#REF!</v>
      </c>
      <c r="AA22" s="195" t="e">
        <f>IF(#REF!=0,"",#REF!)</f>
        <v>#REF!</v>
      </c>
      <c r="AB22" s="195" t="e">
        <f>IF(#REF!=0,"",#REF!)</f>
        <v>#REF!</v>
      </c>
      <c r="AC22" s="195" t="e">
        <f>IF(#REF!=0,"",#REF!)</f>
        <v>#REF!</v>
      </c>
      <c r="AD22" s="195" t="e">
        <f>IF(#REF!=0,"",#REF!)</f>
        <v>#REF!</v>
      </c>
      <c r="AE22" s="195" t="e">
        <f>IF(#REF!=0,"",#REF!)</f>
        <v>#REF!</v>
      </c>
      <c r="AF22" s="195" t="e">
        <f>IF(#REF!=0,"",#REF!)</f>
        <v>#REF!</v>
      </c>
      <c r="AG22" s="195" t="e">
        <f>IF(#REF!=0,"",#REF!)</f>
        <v>#REF!</v>
      </c>
      <c r="AH22" s="195" t="e">
        <f>IF(#REF!=0,"",#REF!)</f>
        <v>#REF!</v>
      </c>
      <c r="AI22" s="195" t="e">
        <f>IF(#REF!=0,"",#REF!)</f>
        <v>#REF!</v>
      </c>
      <c r="AJ22" s="195" t="e">
        <f>IF(#REF!=0,"",#REF!)</f>
        <v>#REF!</v>
      </c>
      <c r="AK22" s="195" t="e">
        <f>IF(#REF!=0,"",#REF!)</f>
        <v>#REF!</v>
      </c>
      <c r="AL22" s="195" t="e">
        <f>IF(#REF!=0,"",#REF!)</f>
        <v>#REF!</v>
      </c>
      <c r="AM22" s="195" t="e">
        <f>IF(#REF!=0,"",#REF!)</f>
        <v>#REF!</v>
      </c>
      <c r="AN22" s="195" t="e">
        <f>IF(#REF!=0,"",#REF!)</f>
        <v>#REF!</v>
      </c>
      <c r="AO22" s="196" t="e">
        <f>IF(#REF!=0,"",#REF!)</f>
        <v>#REF!</v>
      </c>
      <c r="AP22" s="70" t="e">
        <f t="shared" si="2"/>
        <v>#REF!</v>
      </c>
      <c r="AQ22" s="68" t="s">
        <v>151</v>
      </c>
      <c r="AR22" s="70" t="e">
        <f>#REF!</f>
        <v>#REF!</v>
      </c>
      <c r="AS22" s="71" t="e">
        <f>#REF!</f>
        <v>#REF!</v>
      </c>
      <c r="AT22" s="71" t="e">
        <f>#REF!</f>
        <v>#REF!</v>
      </c>
      <c r="AU22" s="72"/>
      <c r="AV22" s="72"/>
      <c r="AW22" s="72"/>
      <c r="AX22" s="72"/>
      <c r="AY22" s="72"/>
      <c r="AZ22" s="72"/>
      <c r="BA22" s="68"/>
      <c r="BB22" s="68"/>
      <c r="BC22" s="68"/>
      <c r="BD22" s="68"/>
    </row>
    <row r="23" spans="1:56" s="73" customFormat="1" ht="19.5" customHeight="1">
      <c r="A23" s="68" t="s">
        <v>609</v>
      </c>
      <c r="B23" s="69" t="e">
        <f>#REF!</f>
        <v>#REF!</v>
      </c>
      <c r="C23" s="70" t="e">
        <f>LEFT(#REF!,6)&amp;RIGHT(#REF!,7)</f>
        <v>#REF!</v>
      </c>
      <c r="D23" s="201" t="e">
        <f>#REF!</f>
        <v>#REF!</v>
      </c>
      <c r="E23" s="251" t="str">
        <f t="shared" si="0"/>
        <v/>
      </c>
      <c r="F23" s="251" t="str">
        <f t="shared" si="1"/>
        <v/>
      </c>
      <c r="G23" s="68"/>
      <c r="H23" s="68"/>
      <c r="I23" s="68"/>
      <c r="J23" s="68" t="s">
        <v>150</v>
      </c>
      <c r="K23" s="194" t="e">
        <f>IF(#REF!=0,"",#REF!)</f>
        <v>#REF!</v>
      </c>
      <c r="L23" s="195" t="e">
        <f>IF(#REF!=0,"",#REF!)</f>
        <v>#REF!</v>
      </c>
      <c r="M23" s="195" t="e">
        <f>IF(#REF!=0,"",#REF!)</f>
        <v>#REF!</v>
      </c>
      <c r="N23" s="195" t="e">
        <f>IF(#REF!=0,"",#REF!)</f>
        <v>#REF!</v>
      </c>
      <c r="O23" s="195" t="e">
        <f>IF(#REF!=0,"",#REF!)</f>
        <v>#REF!</v>
      </c>
      <c r="P23" s="195" t="e">
        <f>IF(#REF!=0,"",#REF!)</f>
        <v>#REF!</v>
      </c>
      <c r="Q23" s="195" t="e">
        <f>IF(#REF!=0,"",#REF!)</f>
        <v>#REF!</v>
      </c>
      <c r="R23" s="195" t="e">
        <f>IF(#REF!=0,"",#REF!)</f>
        <v>#REF!</v>
      </c>
      <c r="S23" s="195" t="e">
        <f>IF(#REF!=0,"",#REF!)</f>
        <v>#REF!</v>
      </c>
      <c r="T23" s="195" t="e">
        <f>IF(#REF!=0,"",#REF!)</f>
        <v>#REF!</v>
      </c>
      <c r="U23" s="195" t="e">
        <f>IF(#REF!=0,"",#REF!)</f>
        <v>#REF!</v>
      </c>
      <c r="V23" s="195" t="e">
        <f>IF(#REF!=0,"",#REF!)</f>
        <v>#REF!</v>
      </c>
      <c r="W23" s="195" t="e">
        <f>IF(#REF!=0,"",#REF!)</f>
        <v>#REF!</v>
      </c>
      <c r="X23" s="195" t="e">
        <f>IF(#REF!=0,"",#REF!)</f>
        <v>#REF!</v>
      </c>
      <c r="Y23" s="195" t="e">
        <f>IF(#REF!=0,"",#REF!)</f>
        <v>#REF!</v>
      </c>
      <c r="Z23" s="195" t="e">
        <f>IF(#REF!=0,"",#REF!)</f>
        <v>#REF!</v>
      </c>
      <c r="AA23" s="195" t="e">
        <f>IF(#REF!=0,"",#REF!)</f>
        <v>#REF!</v>
      </c>
      <c r="AB23" s="195" t="e">
        <f>IF(#REF!=0,"",#REF!)</f>
        <v>#REF!</v>
      </c>
      <c r="AC23" s="195" t="e">
        <f>IF(#REF!=0,"",#REF!)</f>
        <v>#REF!</v>
      </c>
      <c r="AD23" s="195" t="e">
        <f>IF(#REF!=0,"",#REF!)</f>
        <v>#REF!</v>
      </c>
      <c r="AE23" s="195" t="e">
        <f>IF(#REF!=0,"",#REF!)</f>
        <v>#REF!</v>
      </c>
      <c r="AF23" s="195" t="e">
        <f>IF(#REF!=0,"",#REF!)</f>
        <v>#REF!</v>
      </c>
      <c r="AG23" s="195" t="e">
        <f>IF(#REF!=0,"",#REF!)</f>
        <v>#REF!</v>
      </c>
      <c r="AH23" s="195" t="e">
        <f>IF(#REF!=0,"",#REF!)</f>
        <v>#REF!</v>
      </c>
      <c r="AI23" s="195" t="e">
        <f>IF(#REF!=0,"",#REF!)</f>
        <v>#REF!</v>
      </c>
      <c r="AJ23" s="195" t="e">
        <f>IF(#REF!=0,"",#REF!)</f>
        <v>#REF!</v>
      </c>
      <c r="AK23" s="195" t="e">
        <f>IF(#REF!=0,"",#REF!)</f>
        <v>#REF!</v>
      </c>
      <c r="AL23" s="195" t="e">
        <f>IF(#REF!=0,"",#REF!)</f>
        <v>#REF!</v>
      </c>
      <c r="AM23" s="195" t="e">
        <f>IF(#REF!=0,"",#REF!)</f>
        <v>#REF!</v>
      </c>
      <c r="AN23" s="195" t="e">
        <f>IF(#REF!=0,"",#REF!)</f>
        <v>#REF!</v>
      </c>
      <c r="AO23" s="196" t="e">
        <f>IF(#REF!=0,"",#REF!)</f>
        <v>#REF!</v>
      </c>
      <c r="AP23" s="70" t="e">
        <f t="shared" si="2"/>
        <v>#REF!</v>
      </c>
      <c r="AQ23" s="68" t="s">
        <v>151</v>
      </c>
      <c r="AR23" s="70" t="e">
        <f>#REF!</f>
        <v>#REF!</v>
      </c>
      <c r="AS23" s="71" t="e">
        <f>#REF!</f>
        <v>#REF!</v>
      </c>
      <c r="AT23" s="71" t="e">
        <f>#REF!</f>
        <v>#REF!</v>
      </c>
      <c r="AU23" s="72"/>
      <c r="AV23" s="72"/>
      <c r="AW23" s="72"/>
      <c r="AX23" s="72"/>
      <c r="AY23" s="72"/>
      <c r="AZ23" s="72"/>
      <c r="BA23" s="68"/>
      <c r="BB23" s="68"/>
      <c r="BC23" s="68"/>
      <c r="BD23" s="68"/>
    </row>
    <row r="24" spans="1:56" s="73" customFormat="1" ht="19.5" customHeight="1">
      <c r="A24" s="68" t="s">
        <v>609</v>
      </c>
      <c r="B24" s="69" t="e">
        <f>#REF!</f>
        <v>#REF!</v>
      </c>
      <c r="C24" s="70" t="e">
        <f>LEFT(#REF!,6)&amp;RIGHT(#REF!,7)</f>
        <v>#REF!</v>
      </c>
      <c r="D24" s="201" t="e">
        <f>#REF!</f>
        <v>#REF!</v>
      </c>
      <c r="E24" s="251" t="str">
        <f t="shared" si="0"/>
        <v/>
      </c>
      <c r="F24" s="251" t="str">
        <f t="shared" si="1"/>
        <v/>
      </c>
      <c r="G24" s="68"/>
      <c r="H24" s="68"/>
      <c r="I24" s="68"/>
      <c r="J24" s="68" t="s">
        <v>150</v>
      </c>
      <c r="K24" s="194" t="e">
        <f>IF(#REF!=0,"",#REF!)</f>
        <v>#REF!</v>
      </c>
      <c r="L24" s="195" t="e">
        <f>IF(#REF!=0,"",#REF!)</f>
        <v>#REF!</v>
      </c>
      <c r="M24" s="195" t="e">
        <f>IF(#REF!=0,"",#REF!)</f>
        <v>#REF!</v>
      </c>
      <c r="N24" s="195" t="e">
        <f>IF(#REF!=0,"",#REF!)</f>
        <v>#REF!</v>
      </c>
      <c r="O24" s="195" t="e">
        <f>IF(#REF!=0,"",#REF!)</f>
        <v>#REF!</v>
      </c>
      <c r="P24" s="195" t="e">
        <f>IF(#REF!=0,"",#REF!)</f>
        <v>#REF!</v>
      </c>
      <c r="Q24" s="195" t="e">
        <f>IF(#REF!=0,"",#REF!)</f>
        <v>#REF!</v>
      </c>
      <c r="R24" s="195" t="e">
        <f>IF(#REF!=0,"",#REF!)</f>
        <v>#REF!</v>
      </c>
      <c r="S24" s="195" t="e">
        <f>IF(#REF!=0,"",#REF!)</f>
        <v>#REF!</v>
      </c>
      <c r="T24" s="195" t="e">
        <f>IF(#REF!=0,"",#REF!)</f>
        <v>#REF!</v>
      </c>
      <c r="U24" s="195" t="e">
        <f>IF(#REF!=0,"",#REF!)</f>
        <v>#REF!</v>
      </c>
      <c r="V24" s="195" t="e">
        <f>IF(#REF!=0,"",#REF!)</f>
        <v>#REF!</v>
      </c>
      <c r="W24" s="195" t="e">
        <f>IF(#REF!=0,"",#REF!)</f>
        <v>#REF!</v>
      </c>
      <c r="X24" s="195" t="e">
        <f>IF(#REF!=0,"",#REF!)</f>
        <v>#REF!</v>
      </c>
      <c r="Y24" s="195" t="e">
        <f>IF(#REF!=0,"",#REF!)</f>
        <v>#REF!</v>
      </c>
      <c r="Z24" s="195" t="e">
        <f>IF(#REF!=0,"",#REF!)</f>
        <v>#REF!</v>
      </c>
      <c r="AA24" s="195" t="e">
        <f>IF(#REF!=0,"",#REF!)</f>
        <v>#REF!</v>
      </c>
      <c r="AB24" s="195" t="e">
        <f>IF(#REF!=0,"",#REF!)</f>
        <v>#REF!</v>
      </c>
      <c r="AC24" s="195" t="e">
        <f>IF(#REF!=0,"",#REF!)</f>
        <v>#REF!</v>
      </c>
      <c r="AD24" s="195" t="e">
        <f>IF(#REF!=0,"",#REF!)</f>
        <v>#REF!</v>
      </c>
      <c r="AE24" s="195" t="e">
        <f>IF(#REF!=0,"",#REF!)</f>
        <v>#REF!</v>
      </c>
      <c r="AF24" s="195" t="e">
        <f>IF(#REF!=0,"",#REF!)</f>
        <v>#REF!</v>
      </c>
      <c r="AG24" s="195" t="e">
        <f>IF(#REF!=0,"",#REF!)</f>
        <v>#REF!</v>
      </c>
      <c r="AH24" s="195" t="e">
        <f>IF(#REF!=0,"",#REF!)</f>
        <v>#REF!</v>
      </c>
      <c r="AI24" s="195" t="e">
        <f>IF(#REF!=0,"",#REF!)</f>
        <v>#REF!</v>
      </c>
      <c r="AJ24" s="195" t="e">
        <f>IF(#REF!=0,"",#REF!)</f>
        <v>#REF!</v>
      </c>
      <c r="AK24" s="195" t="e">
        <f>IF(#REF!=0,"",#REF!)</f>
        <v>#REF!</v>
      </c>
      <c r="AL24" s="195" t="e">
        <f>IF(#REF!=0,"",#REF!)</f>
        <v>#REF!</v>
      </c>
      <c r="AM24" s="195" t="e">
        <f>IF(#REF!=0,"",#REF!)</f>
        <v>#REF!</v>
      </c>
      <c r="AN24" s="195" t="e">
        <f>IF(#REF!=0,"",#REF!)</f>
        <v>#REF!</v>
      </c>
      <c r="AO24" s="196" t="e">
        <f>IF(#REF!=0,"",#REF!)</f>
        <v>#REF!</v>
      </c>
      <c r="AP24" s="70" t="e">
        <f t="shared" si="2"/>
        <v>#REF!</v>
      </c>
      <c r="AQ24" s="68" t="s">
        <v>151</v>
      </c>
      <c r="AR24" s="70" t="e">
        <f>#REF!</f>
        <v>#REF!</v>
      </c>
      <c r="AS24" s="71" t="e">
        <f>#REF!</f>
        <v>#REF!</v>
      </c>
      <c r="AT24" s="71" t="e">
        <f>#REF!</f>
        <v>#REF!</v>
      </c>
      <c r="AU24" s="72"/>
      <c r="AV24" s="72"/>
      <c r="AW24" s="72"/>
      <c r="AX24" s="72"/>
      <c r="AY24" s="72"/>
      <c r="AZ24" s="72"/>
      <c r="BA24" s="68"/>
      <c r="BB24" s="68"/>
      <c r="BC24" s="68"/>
      <c r="BD24" s="68"/>
    </row>
    <row r="25" spans="1:56" s="73" customFormat="1" ht="19.5" customHeight="1">
      <c r="A25" s="68" t="s">
        <v>609</v>
      </c>
      <c r="B25" s="69" t="e">
        <f>#REF!</f>
        <v>#REF!</v>
      </c>
      <c r="C25" s="70" t="e">
        <f>LEFT(#REF!,6)&amp;RIGHT(#REF!,7)</f>
        <v>#REF!</v>
      </c>
      <c r="D25" s="201" t="e">
        <f>#REF!</f>
        <v>#REF!</v>
      </c>
      <c r="E25" s="251" t="str">
        <f t="shared" si="0"/>
        <v/>
      </c>
      <c r="F25" s="251" t="str">
        <f t="shared" si="1"/>
        <v/>
      </c>
      <c r="G25" s="68"/>
      <c r="H25" s="68"/>
      <c r="I25" s="68"/>
      <c r="J25" s="68" t="s">
        <v>150</v>
      </c>
      <c r="K25" s="194" t="e">
        <f>IF(#REF!=0,"",#REF!)</f>
        <v>#REF!</v>
      </c>
      <c r="L25" s="195" t="e">
        <f>IF(#REF!=0,"",#REF!)</f>
        <v>#REF!</v>
      </c>
      <c r="M25" s="195" t="e">
        <f>IF(#REF!=0,"",#REF!)</f>
        <v>#REF!</v>
      </c>
      <c r="N25" s="195" t="e">
        <f>IF(#REF!=0,"",#REF!)</f>
        <v>#REF!</v>
      </c>
      <c r="O25" s="195" t="e">
        <f>IF(#REF!=0,"",#REF!)</f>
        <v>#REF!</v>
      </c>
      <c r="P25" s="195" t="e">
        <f>IF(#REF!=0,"",#REF!)</f>
        <v>#REF!</v>
      </c>
      <c r="Q25" s="195" t="e">
        <f>IF(#REF!=0,"",#REF!)</f>
        <v>#REF!</v>
      </c>
      <c r="R25" s="195" t="e">
        <f>IF(#REF!=0,"",#REF!)</f>
        <v>#REF!</v>
      </c>
      <c r="S25" s="195" t="e">
        <f>IF(#REF!=0,"",#REF!)</f>
        <v>#REF!</v>
      </c>
      <c r="T25" s="195" t="e">
        <f>IF(#REF!=0,"",#REF!)</f>
        <v>#REF!</v>
      </c>
      <c r="U25" s="195" t="e">
        <f>IF(#REF!=0,"",#REF!)</f>
        <v>#REF!</v>
      </c>
      <c r="V25" s="195" t="e">
        <f>IF(#REF!=0,"",#REF!)</f>
        <v>#REF!</v>
      </c>
      <c r="W25" s="195" t="e">
        <f>IF(#REF!=0,"",#REF!)</f>
        <v>#REF!</v>
      </c>
      <c r="X25" s="195" t="e">
        <f>IF(#REF!=0,"",#REF!)</f>
        <v>#REF!</v>
      </c>
      <c r="Y25" s="195" t="e">
        <f>IF(#REF!=0,"",#REF!)</f>
        <v>#REF!</v>
      </c>
      <c r="Z25" s="195" t="e">
        <f>IF(#REF!=0,"",#REF!)</f>
        <v>#REF!</v>
      </c>
      <c r="AA25" s="195" t="e">
        <f>IF(#REF!=0,"",#REF!)</f>
        <v>#REF!</v>
      </c>
      <c r="AB25" s="195" t="e">
        <f>IF(#REF!=0,"",#REF!)</f>
        <v>#REF!</v>
      </c>
      <c r="AC25" s="195" t="e">
        <f>IF(#REF!=0,"",#REF!)</f>
        <v>#REF!</v>
      </c>
      <c r="AD25" s="195" t="e">
        <f>IF(#REF!=0,"",#REF!)</f>
        <v>#REF!</v>
      </c>
      <c r="AE25" s="195" t="e">
        <f>IF(#REF!=0,"",#REF!)</f>
        <v>#REF!</v>
      </c>
      <c r="AF25" s="195" t="e">
        <f>IF(#REF!=0,"",#REF!)</f>
        <v>#REF!</v>
      </c>
      <c r="AG25" s="195" t="e">
        <f>IF(#REF!=0,"",#REF!)</f>
        <v>#REF!</v>
      </c>
      <c r="AH25" s="195" t="e">
        <f>IF(#REF!=0,"",#REF!)</f>
        <v>#REF!</v>
      </c>
      <c r="AI25" s="195" t="e">
        <f>IF(#REF!=0,"",#REF!)</f>
        <v>#REF!</v>
      </c>
      <c r="AJ25" s="195" t="e">
        <f>IF(#REF!=0,"",#REF!)</f>
        <v>#REF!</v>
      </c>
      <c r="AK25" s="195" t="e">
        <f>IF(#REF!=0,"",#REF!)</f>
        <v>#REF!</v>
      </c>
      <c r="AL25" s="195" t="e">
        <f>IF(#REF!=0,"",#REF!)</f>
        <v>#REF!</v>
      </c>
      <c r="AM25" s="195" t="e">
        <f>IF(#REF!=0,"",#REF!)</f>
        <v>#REF!</v>
      </c>
      <c r="AN25" s="195" t="e">
        <f>IF(#REF!=0,"",#REF!)</f>
        <v>#REF!</v>
      </c>
      <c r="AO25" s="196" t="e">
        <f>IF(#REF!=0,"",#REF!)</f>
        <v>#REF!</v>
      </c>
      <c r="AP25" s="70" t="e">
        <f t="shared" si="2"/>
        <v>#REF!</v>
      </c>
      <c r="AQ25" s="68" t="s">
        <v>151</v>
      </c>
      <c r="AR25" s="70" t="e">
        <f>#REF!</f>
        <v>#REF!</v>
      </c>
      <c r="AS25" s="71" t="e">
        <f>#REF!</f>
        <v>#REF!</v>
      </c>
      <c r="AT25" s="71" t="e">
        <f>#REF!</f>
        <v>#REF!</v>
      </c>
      <c r="AU25" s="72"/>
      <c r="AV25" s="72"/>
      <c r="AW25" s="72"/>
      <c r="AX25" s="72"/>
      <c r="AY25" s="72"/>
      <c r="AZ25" s="72"/>
      <c r="BA25" s="68"/>
      <c r="BB25" s="68"/>
      <c r="BC25" s="68"/>
      <c r="BD25" s="68"/>
    </row>
    <row r="26" spans="1:56" s="73" customFormat="1" ht="19.5" customHeight="1">
      <c r="A26" s="68" t="s">
        <v>609</v>
      </c>
      <c r="B26" s="69" t="e">
        <f>#REF!</f>
        <v>#REF!</v>
      </c>
      <c r="C26" s="70" t="e">
        <f>LEFT(#REF!,6)&amp;RIGHT(#REF!,7)</f>
        <v>#REF!</v>
      </c>
      <c r="D26" s="201" t="e">
        <f>#REF!</f>
        <v>#REF!</v>
      </c>
      <c r="E26" s="251" t="str">
        <f t="shared" si="0"/>
        <v/>
      </c>
      <c r="F26" s="251" t="str">
        <f t="shared" si="1"/>
        <v/>
      </c>
      <c r="G26" s="68"/>
      <c r="H26" s="68"/>
      <c r="I26" s="68"/>
      <c r="J26" s="68" t="s">
        <v>150</v>
      </c>
      <c r="K26" s="194" t="e">
        <f>IF(#REF!=0,"",#REF!)</f>
        <v>#REF!</v>
      </c>
      <c r="L26" s="195" t="e">
        <f>IF(#REF!=0,"",#REF!)</f>
        <v>#REF!</v>
      </c>
      <c r="M26" s="195" t="e">
        <f>IF(#REF!=0,"",#REF!)</f>
        <v>#REF!</v>
      </c>
      <c r="N26" s="195" t="e">
        <f>IF(#REF!=0,"",#REF!)</f>
        <v>#REF!</v>
      </c>
      <c r="O26" s="195" t="e">
        <f>IF(#REF!=0,"",#REF!)</f>
        <v>#REF!</v>
      </c>
      <c r="P26" s="195" t="e">
        <f>IF(#REF!=0,"",#REF!)</f>
        <v>#REF!</v>
      </c>
      <c r="Q26" s="195" t="e">
        <f>IF(#REF!=0,"",#REF!)</f>
        <v>#REF!</v>
      </c>
      <c r="R26" s="195" t="e">
        <f>IF(#REF!=0,"",#REF!)</f>
        <v>#REF!</v>
      </c>
      <c r="S26" s="195" t="e">
        <f>IF(#REF!=0,"",#REF!)</f>
        <v>#REF!</v>
      </c>
      <c r="T26" s="195" t="e">
        <f>IF(#REF!=0,"",#REF!)</f>
        <v>#REF!</v>
      </c>
      <c r="U26" s="195" t="e">
        <f>IF(#REF!=0,"",#REF!)</f>
        <v>#REF!</v>
      </c>
      <c r="V26" s="195" t="e">
        <f>IF(#REF!=0,"",#REF!)</f>
        <v>#REF!</v>
      </c>
      <c r="W26" s="195" t="e">
        <f>IF(#REF!=0,"",#REF!)</f>
        <v>#REF!</v>
      </c>
      <c r="X26" s="195" t="e">
        <f>IF(#REF!=0,"",#REF!)</f>
        <v>#REF!</v>
      </c>
      <c r="Y26" s="195" t="e">
        <f>IF(#REF!=0,"",#REF!)</f>
        <v>#REF!</v>
      </c>
      <c r="Z26" s="195" t="e">
        <f>IF(#REF!=0,"",#REF!)</f>
        <v>#REF!</v>
      </c>
      <c r="AA26" s="195" t="e">
        <f>IF(#REF!=0,"",#REF!)</f>
        <v>#REF!</v>
      </c>
      <c r="AB26" s="195" t="e">
        <f>IF(#REF!=0,"",#REF!)</f>
        <v>#REF!</v>
      </c>
      <c r="AC26" s="195" t="e">
        <f>IF(#REF!=0,"",#REF!)</f>
        <v>#REF!</v>
      </c>
      <c r="AD26" s="195" t="e">
        <f>IF(#REF!=0,"",#REF!)</f>
        <v>#REF!</v>
      </c>
      <c r="AE26" s="195" t="e">
        <f>IF(#REF!=0,"",#REF!)</f>
        <v>#REF!</v>
      </c>
      <c r="AF26" s="195" t="e">
        <f>IF(#REF!=0,"",#REF!)</f>
        <v>#REF!</v>
      </c>
      <c r="AG26" s="195" t="e">
        <f>IF(#REF!=0,"",#REF!)</f>
        <v>#REF!</v>
      </c>
      <c r="AH26" s="195" t="e">
        <f>IF(#REF!=0,"",#REF!)</f>
        <v>#REF!</v>
      </c>
      <c r="AI26" s="195" t="e">
        <f>IF(#REF!=0,"",#REF!)</f>
        <v>#REF!</v>
      </c>
      <c r="AJ26" s="195" t="e">
        <f>IF(#REF!=0,"",#REF!)</f>
        <v>#REF!</v>
      </c>
      <c r="AK26" s="195" t="e">
        <f>IF(#REF!=0,"",#REF!)</f>
        <v>#REF!</v>
      </c>
      <c r="AL26" s="195" t="e">
        <f>IF(#REF!=0,"",#REF!)</f>
        <v>#REF!</v>
      </c>
      <c r="AM26" s="195" t="e">
        <f>IF(#REF!=0,"",#REF!)</f>
        <v>#REF!</v>
      </c>
      <c r="AN26" s="195" t="e">
        <f>IF(#REF!=0,"",#REF!)</f>
        <v>#REF!</v>
      </c>
      <c r="AO26" s="196" t="e">
        <f>IF(#REF!=0,"",#REF!)</f>
        <v>#REF!</v>
      </c>
      <c r="AP26" s="70" t="e">
        <f t="shared" si="2"/>
        <v>#REF!</v>
      </c>
      <c r="AQ26" s="68" t="s">
        <v>151</v>
      </c>
      <c r="AR26" s="70" t="e">
        <f>#REF!</f>
        <v>#REF!</v>
      </c>
      <c r="AS26" s="71" t="e">
        <f>#REF!</f>
        <v>#REF!</v>
      </c>
      <c r="AT26" s="71" t="e">
        <f>#REF!</f>
        <v>#REF!</v>
      </c>
      <c r="AU26" s="72"/>
      <c r="AV26" s="72"/>
      <c r="AW26" s="72"/>
      <c r="AX26" s="72"/>
      <c r="AY26" s="72"/>
      <c r="AZ26" s="72"/>
      <c r="BA26" s="68"/>
      <c r="BB26" s="68"/>
      <c r="BC26" s="68"/>
      <c r="BD26" s="68"/>
    </row>
    <row r="27" spans="1:56" s="73" customFormat="1" ht="19.5" customHeight="1">
      <c r="A27" s="68" t="s">
        <v>609</v>
      </c>
      <c r="B27" s="69" t="e">
        <f>#REF!</f>
        <v>#REF!</v>
      </c>
      <c r="C27" s="70" t="e">
        <f>LEFT(#REF!,6)&amp;RIGHT(#REF!,7)</f>
        <v>#REF!</v>
      </c>
      <c r="D27" s="201" t="e">
        <f>#REF!</f>
        <v>#REF!</v>
      </c>
      <c r="E27" s="251" t="str">
        <f t="shared" si="0"/>
        <v/>
      </c>
      <c r="F27" s="251" t="str">
        <f t="shared" si="1"/>
        <v/>
      </c>
      <c r="G27" s="68"/>
      <c r="H27" s="68"/>
      <c r="I27" s="68"/>
      <c r="J27" s="68" t="s">
        <v>150</v>
      </c>
      <c r="K27" s="194" t="e">
        <f>IF(#REF!=0,"",#REF!)</f>
        <v>#REF!</v>
      </c>
      <c r="L27" s="195" t="e">
        <f>IF(#REF!=0,"",#REF!)</f>
        <v>#REF!</v>
      </c>
      <c r="M27" s="195" t="e">
        <f>IF(#REF!=0,"",#REF!)</f>
        <v>#REF!</v>
      </c>
      <c r="N27" s="195" t="e">
        <f>IF(#REF!=0,"",#REF!)</f>
        <v>#REF!</v>
      </c>
      <c r="O27" s="195" t="e">
        <f>IF(#REF!=0,"",#REF!)</f>
        <v>#REF!</v>
      </c>
      <c r="P27" s="195" t="e">
        <f>IF(#REF!=0,"",#REF!)</f>
        <v>#REF!</v>
      </c>
      <c r="Q27" s="195" t="e">
        <f>IF(#REF!=0,"",#REF!)</f>
        <v>#REF!</v>
      </c>
      <c r="R27" s="195" t="e">
        <f>IF(#REF!=0,"",#REF!)</f>
        <v>#REF!</v>
      </c>
      <c r="S27" s="195" t="e">
        <f>IF(#REF!=0,"",#REF!)</f>
        <v>#REF!</v>
      </c>
      <c r="T27" s="195" t="e">
        <f>IF(#REF!=0,"",#REF!)</f>
        <v>#REF!</v>
      </c>
      <c r="U27" s="195" t="e">
        <f>IF(#REF!=0,"",#REF!)</f>
        <v>#REF!</v>
      </c>
      <c r="V27" s="195" t="e">
        <f>IF(#REF!=0,"",#REF!)</f>
        <v>#REF!</v>
      </c>
      <c r="W27" s="195" t="e">
        <f>IF(#REF!=0,"",#REF!)</f>
        <v>#REF!</v>
      </c>
      <c r="X27" s="195" t="e">
        <f>IF(#REF!=0,"",#REF!)</f>
        <v>#REF!</v>
      </c>
      <c r="Y27" s="195" t="e">
        <f>IF(#REF!=0,"",#REF!)</f>
        <v>#REF!</v>
      </c>
      <c r="Z27" s="195" t="e">
        <f>IF(#REF!=0,"",#REF!)</f>
        <v>#REF!</v>
      </c>
      <c r="AA27" s="195" t="e">
        <f>IF(#REF!=0,"",#REF!)</f>
        <v>#REF!</v>
      </c>
      <c r="AB27" s="195" t="e">
        <f>IF(#REF!=0,"",#REF!)</f>
        <v>#REF!</v>
      </c>
      <c r="AC27" s="195" t="e">
        <f>IF(#REF!=0,"",#REF!)</f>
        <v>#REF!</v>
      </c>
      <c r="AD27" s="195" t="e">
        <f>IF(#REF!=0,"",#REF!)</f>
        <v>#REF!</v>
      </c>
      <c r="AE27" s="195" t="e">
        <f>IF(#REF!=0,"",#REF!)</f>
        <v>#REF!</v>
      </c>
      <c r="AF27" s="195" t="e">
        <f>IF(#REF!=0,"",#REF!)</f>
        <v>#REF!</v>
      </c>
      <c r="AG27" s="195" t="e">
        <f>IF(#REF!=0,"",#REF!)</f>
        <v>#REF!</v>
      </c>
      <c r="AH27" s="195" t="e">
        <f>IF(#REF!=0,"",#REF!)</f>
        <v>#REF!</v>
      </c>
      <c r="AI27" s="195" t="e">
        <f>IF(#REF!=0,"",#REF!)</f>
        <v>#REF!</v>
      </c>
      <c r="AJ27" s="195" t="e">
        <f>IF(#REF!=0,"",#REF!)</f>
        <v>#REF!</v>
      </c>
      <c r="AK27" s="195" t="e">
        <f>IF(#REF!=0,"",#REF!)</f>
        <v>#REF!</v>
      </c>
      <c r="AL27" s="195" t="e">
        <f>IF(#REF!=0,"",#REF!)</f>
        <v>#REF!</v>
      </c>
      <c r="AM27" s="195" t="e">
        <f>IF(#REF!=0,"",#REF!)</f>
        <v>#REF!</v>
      </c>
      <c r="AN27" s="195" t="e">
        <f>IF(#REF!=0,"",#REF!)</f>
        <v>#REF!</v>
      </c>
      <c r="AO27" s="196" t="e">
        <f>IF(#REF!=0,"",#REF!)</f>
        <v>#REF!</v>
      </c>
      <c r="AP27" s="70" t="e">
        <f t="shared" si="2"/>
        <v>#REF!</v>
      </c>
      <c r="AQ27" s="68" t="s">
        <v>151</v>
      </c>
      <c r="AR27" s="70" t="e">
        <f>#REF!</f>
        <v>#REF!</v>
      </c>
      <c r="AS27" s="71" t="e">
        <f>#REF!</f>
        <v>#REF!</v>
      </c>
      <c r="AT27" s="71" t="e">
        <f>#REF!</f>
        <v>#REF!</v>
      </c>
      <c r="AU27" s="72"/>
      <c r="AV27" s="72"/>
      <c r="AW27" s="72"/>
      <c r="AX27" s="72"/>
      <c r="AY27" s="72"/>
      <c r="AZ27" s="72"/>
      <c r="BA27" s="68"/>
      <c r="BB27" s="68"/>
      <c r="BC27" s="68"/>
      <c r="BD27" s="68"/>
    </row>
    <row r="28" spans="1:56" s="73" customFormat="1" ht="19.5" customHeight="1">
      <c r="A28" s="68" t="s">
        <v>609</v>
      </c>
      <c r="B28" s="69" t="e">
        <f>#REF!</f>
        <v>#REF!</v>
      </c>
      <c r="C28" s="70" t="e">
        <f>LEFT(#REF!,6)&amp;RIGHT(#REF!,7)</f>
        <v>#REF!</v>
      </c>
      <c r="D28" s="201" t="e">
        <f>#REF!</f>
        <v>#REF!</v>
      </c>
      <c r="E28" s="251" t="str">
        <f t="shared" si="0"/>
        <v/>
      </c>
      <c r="F28" s="251" t="str">
        <f t="shared" si="1"/>
        <v/>
      </c>
      <c r="G28" s="68"/>
      <c r="H28" s="68"/>
      <c r="I28" s="68"/>
      <c r="J28" s="68" t="s">
        <v>150</v>
      </c>
      <c r="K28" s="194" t="e">
        <f>IF(#REF!=0,"",#REF!)</f>
        <v>#REF!</v>
      </c>
      <c r="L28" s="195" t="e">
        <f>IF(#REF!=0,"",#REF!)</f>
        <v>#REF!</v>
      </c>
      <c r="M28" s="195" t="e">
        <f>IF(#REF!=0,"",#REF!)</f>
        <v>#REF!</v>
      </c>
      <c r="N28" s="195" t="e">
        <f>IF(#REF!=0,"",#REF!)</f>
        <v>#REF!</v>
      </c>
      <c r="O28" s="195" t="e">
        <f>IF(#REF!=0,"",#REF!)</f>
        <v>#REF!</v>
      </c>
      <c r="P28" s="195" t="e">
        <f>IF(#REF!=0,"",#REF!)</f>
        <v>#REF!</v>
      </c>
      <c r="Q28" s="195" t="e">
        <f>IF(#REF!=0,"",#REF!)</f>
        <v>#REF!</v>
      </c>
      <c r="R28" s="195" t="e">
        <f>IF(#REF!=0,"",#REF!)</f>
        <v>#REF!</v>
      </c>
      <c r="S28" s="195" t="e">
        <f>IF(#REF!=0,"",#REF!)</f>
        <v>#REF!</v>
      </c>
      <c r="T28" s="195" t="e">
        <f>IF(#REF!=0,"",#REF!)</f>
        <v>#REF!</v>
      </c>
      <c r="U28" s="195" t="e">
        <f>IF(#REF!=0,"",#REF!)</f>
        <v>#REF!</v>
      </c>
      <c r="V28" s="195" t="e">
        <f>IF(#REF!=0,"",#REF!)</f>
        <v>#REF!</v>
      </c>
      <c r="W28" s="195" t="e">
        <f>IF(#REF!=0,"",#REF!)</f>
        <v>#REF!</v>
      </c>
      <c r="X28" s="195" t="e">
        <f>IF(#REF!=0,"",#REF!)</f>
        <v>#REF!</v>
      </c>
      <c r="Y28" s="195" t="e">
        <f>IF(#REF!=0,"",#REF!)</f>
        <v>#REF!</v>
      </c>
      <c r="Z28" s="195" t="e">
        <f>IF(#REF!=0,"",#REF!)</f>
        <v>#REF!</v>
      </c>
      <c r="AA28" s="195" t="e">
        <f>IF(#REF!=0,"",#REF!)</f>
        <v>#REF!</v>
      </c>
      <c r="AB28" s="195" t="e">
        <f>IF(#REF!=0,"",#REF!)</f>
        <v>#REF!</v>
      </c>
      <c r="AC28" s="195" t="e">
        <f>IF(#REF!=0,"",#REF!)</f>
        <v>#REF!</v>
      </c>
      <c r="AD28" s="195" t="e">
        <f>IF(#REF!=0,"",#REF!)</f>
        <v>#REF!</v>
      </c>
      <c r="AE28" s="195" t="e">
        <f>IF(#REF!=0,"",#REF!)</f>
        <v>#REF!</v>
      </c>
      <c r="AF28" s="195" t="e">
        <f>IF(#REF!=0,"",#REF!)</f>
        <v>#REF!</v>
      </c>
      <c r="AG28" s="195" t="e">
        <f>IF(#REF!=0,"",#REF!)</f>
        <v>#REF!</v>
      </c>
      <c r="AH28" s="195" t="e">
        <f>IF(#REF!=0,"",#REF!)</f>
        <v>#REF!</v>
      </c>
      <c r="AI28" s="195" t="e">
        <f>IF(#REF!=0,"",#REF!)</f>
        <v>#REF!</v>
      </c>
      <c r="AJ28" s="195" t="e">
        <f>IF(#REF!=0,"",#REF!)</f>
        <v>#REF!</v>
      </c>
      <c r="AK28" s="195" t="e">
        <f>IF(#REF!=0,"",#REF!)</f>
        <v>#REF!</v>
      </c>
      <c r="AL28" s="195" t="e">
        <f>IF(#REF!=0,"",#REF!)</f>
        <v>#REF!</v>
      </c>
      <c r="AM28" s="195" t="e">
        <f>IF(#REF!=0,"",#REF!)</f>
        <v>#REF!</v>
      </c>
      <c r="AN28" s="195" t="e">
        <f>IF(#REF!=0,"",#REF!)</f>
        <v>#REF!</v>
      </c>
      <c r="AO28" s="196" t="e">
        <f>IF(#REF!=0,"",#REF!)</f>
        <v>#REF!</v>
      </c>
      <c r="AP28" s="70" t="e">
        <f t="shared" si="2"/>
        <v>#REF!</v>
      </c>
      <c r="AQ28" s="68" t="s">
        <v>151</v>
      </c>
      <c r="AR28" s="70" t="e">
        <f>#REF!</f>
        <v>#REF!</v>
      </c>
      <c r="AS28" s="71" t="e">
        <f>#REF!</f>
        <v>#REF!</v>
      </c>
      <c r="AT28" s="71" t="e">
        <f>#REF!</f>
        <v>#REF!</v>
      </c>
      <c r="AU28" s="72"/>
      <c r="AV28" s="72"/>
      <c r="AW28" s="72"/>
      <c r="AX28" s="72"/>
      <c r="AY28" s="72"/>
      <c r="AZ28" s="72"/>
      <c r="BA28" s="68"/>
      <c r="BB28" s="68"/>
      <c r="BC28" s="68"/>
      <c r="BD28" s="68"/>
    </row>
    <row r="29" spans="1:56" s="73" customFormat="1" ht="19.5" customHeight="1">
      <c r="A29" s="68" t="s">
        <v>609</v>
      </c>
      <c r="B29" s="69" t="e">
        <f>#REF!</f>
        <v>#REF!</v>
      </c>
      <c r="C29" s="70" t="e">
        <f>LEFT(#REF!,6)&amp;RIGHT(#REF!,7)</f>
        <v>#REF!</v>
      </c>
      <c r="D29" s="201" t="e">
        <f>#REF!</f>
        <v>#REF!</v>
      </c>
      <c r="E29" s="251" t="str">
        <f t="shared" si="0"/>
        <v/>
      </c>
      <c r="F29" s="251" t="str">
        <f t="shared" si="1"/>
        <v/>
      </c>
      <c r="G29" s="68"/>
      <c r="H29" s="68"/>
      <c r="I29" s="68"/>
      <c r="J29" s="68" t="s">
        <v>150</v>
      </c>
      <c r="K29" s="194" t="e">
        <f>IF(#REF!=0,"",#REF!)</f>
        <v>#REF!</v>
      </c>
      <c r="L29" s="195" t="e">
        <f>IF(#REF!=0,"",#REF!)</f>
        <v>#REF!</v>
      </c>
      <c r="M29" s="195" t="e">
        <f>IF(#REF!=0,"",#REF!)</f>
        <v>#REF!</v>
      </c>
      <c r="N29" s="195" t="e">
        <f>IF(#REF!=0,"",#REF!)</f>
        <v>#REF!</v>
      </c>
      <c r="O29" s="195" t="e">
        <f>IF(#REF!=0,"",#REF!)</f>
        <v>#REF!</v>
      </c>
      <c r="P29" s="195" t="e">
        <f>IF(#REF!=0,"",#REF!)</f>
        <v>#REF!</v>
      </c>
      <c r="Q29" s="195" t="e">
        <f>IF(#REF!=0,"",#REF!)</f>
        <v>#REF!</v>
      </c>
      <c r="R29" s="195" t="e">
        <f>IF(#REF!=0,"",#REF!)</f>
        <v>#REF!</v>
      </c>
      <c r="S29" s="195" t="e">
        <f>IF(#REF!=0,"",#REF!)</f>
        <v>#REF!</v>
      </c>
      <c r="T29" s="195" t="e">
        <f>IF(#REF!=0,"",#REF!)</f>
        <v>#REF!</v>
      </c>
      <c r="U29" s="195" t="e">
        <f>IF(#REF!=0,"",#REF!)</f>
        <v>#REF!</v>
      </c>
      <c r="V29" s="195" t="e">
        <f>IF(#REF!=0,"",#REF!)</f>
        <v>#REF!</v>
      </c>
      <c r="W29" s="195" t="e">
        <f>IF(#REF!=0,"",#REF!)</f>
        <v>#REF!</v>
      </c>
      <c r="X29" s="195" t="e">
        <f>IF(#REF!=0,"",#REF!)</f>
        <v>#REF!</v>
      </c>
      <c r="Y29" s="195" t="e">
        <f>IF(#REF!=0,"",#REF!)</f>
        <v>#REF!</v>
      </c>
      <c r="Z29" s="195" t="e">
        <f>IF(#REF!=0,"",#REF!)</f>
        <v>#REF!</v>
      </c>
      <c r="AA29" s="195" t="e">
        <f>IF(#REF!=0,"",#REF!)</f>
        <v>#REF!</v>
      </c>
      <c r="AB29" s="195" t="e">
        <f>IF(#REF!=0,"",#REF!)</f>
        <v>#REF!</v>
      </c>
      <c r="AC29" s="195" t="e">
        <f>IF(#REF!=0,"",#REF!)</f>
        <v>#REF!</v>
      </c>
      <c r="AD29" s="195" t="e">
        <f>IF(#REF!=0,"",#REF!)</f>
        <v>#REF!</v>
      </c>
      <c r="AE29" s="195" t="e">
        <f>IF(#REF!=0,"",#REF!)</f>
        <v>#REF!</v>
      </c>
      <c r="AF29" s="195" t="e">
        <f>IF(#REF!=0,"",#REF!)</f>
        <v>#REF!</v>
      </c>
      <c r="AG29" s="195" t="e">
        <f>IF(#REF!=0,"",#REF!)</f>
        <v>#REF!</v>
      </c>
      <c r="AH29" s="195" t="e">
        <f>IF(#REF!=0,"",#REF!)</f>
        <v>#REF!</v>
      </c>
      <c r="AI29" s="195" t="e">
        <f>IF(#REF!=0,"",#REF!)</f>
        <v>#REF!</v>
      </c>
      <c r="AJ29" s="195" t="e">
        <f>IF(#REF!=0,"",#REF!)</f>
        <v>#REF!</v>
      </c>
      <c r="AK29" s="195" t="e">
        <f>IF(#REF!=0,"",#REF!)</f>
        <v>#REF!</v>
      </c>
      <c r="AL29" s="195" t="e">
        <f>IF(#REF!=0,"",#REF!)</f>
        <v>#REF!</v>
      </c>
      <c r="AM29" s="195" t="e">
        <f>IF(#REF!=0,"",#REF!)</f>
        <v>#REF!</v>
      </c>
      <c r="AN29" s="195" t="e">
        <f>IF(#REF!=0,"",#REF!)</f>
        <v>#REF!</v>
      </c>
      <c r="AO29" s="196" t="e">
        <f>IF(#REF!=0,"",#REF!)</f>
        <v>#REF!</v>
      </c>
      <c r="AP29" s="70" t="e">
        <f t="shared" si="2"/>
        <v>#REF!</v>
      </c>
      <c r="AQ29" s="68" t="s">
        <v>151</v>
      </c>
      <c r="AR29" s="70" t="e">
        <f>#REF!</f>
        <v>#REF!</v>
      </c>
      <c r="AS29" s="71" t="e">
        <f>#REF!</f>
        <v>#REF!</v>
      </c>
      <c r="AT29" s="71" t="e">
        <f>#REF!</f>
        <v>#REF!</v>
      </c>
      <c r="AU29" s="72"/>
      <c r="AV29" s="72"/>
      <c r="AW29" s="72"/>
      <c r="AX29" s="72"/>
      <c r="AY29" s="72"/>
      <c r="AZ29" s="72"/>
      <c r="BA29" s="68"/>
      <c r="BB29" s="68"/>
      <c r="BC29" s="68"/>
      <c r="BD29" s="68"/>
    </row>
    <row r="30" spans="1:56" s="73" customFormat="1" ht="19.5" customHeight="1">
      <c r="A30" s="68" t="s">
        <v>609</v>
      </c>
      <c r="B30" s="69" t="e">
        <f>#REF!</f>
        <v>#REF!</v>
      </c>
      <c r="C30" s="70" t="e">
        <f>LEFT(#REF!,6)&amp;RIGHT(#REF!,7)</f>
        <v>#REF!</v>
      </c>
      <c r="D30" s="201" t="e">
        <f>#REF!</f>
        <v>#REF!</v>
      </c>
      <c r="E30" s="251" t="str">
        <f t="shared" si="0"/>
        <v/>
      </c>
      <c r="F30" s="251" t="str">
        <f t="shared" si="1"/>
        <v/>
      </c>
      <c r="G30" s="68"/>
      <c r="H30" s="68"/>
      <c r="I30" s="68"/>
      <c r="J30" s="68" t="s">
        <v>150</v>
      </c>
      <c r="K30" s="194" t="e">
        <f>IF(#REF!=0,"",#REF!)</f>
        <v>#REF!</v>
      </c>
      <c r="L30" s="195" t="e">
        <f>IF(#REF!=0,"",#REF!)</f>
        <v>#REF!</v>
      </c>
      <c r="M30" s="195" t="e">
        <f>IF(#REF!=0,"",#REF!)</f>
        <v>#REF!</v>
      </c>
      <c r="N30" s="195" t="e">
        <f>IF(#REF!=0,"",#REF!)</f>
        <v>#REF!</v>
      </c>
      <c r="O30" s="195" t="e">
        <f>IF(#REF!=0,"",#REF!)</f>
        <v>#REF!</v>
      </c>
      <c r="P30" s="195" t="e">
        <f>IF(#REF!=0,"",#REF!)</f>
        <v>#REF!</v>
      </c>
      <c r="Q30" s="195" t="e">
        <f>IF(#REF!=0,"",#REF!)</f>
        <v>#REF!</v>
      </c>
      <c r="R30" s="195" t="e">
        <f>IF(#REF!=0,"",#REF!)</f>
        <v>#REF!</v>
      </c>
      <c r="S30" s="195" t="e">
        <f>IF(#REF!=0,"",#REF!)</f>
        <v>#REF!</v>
      </c>
      <c r="T30" s="195" t="e">
        <f>IF(#REF!=0,"",#REF!)</f>
        <v>#REF!</v>
      </c>
      <c r="U30" s="195" t="e">
        <f>IF(#REF!=0,"",#REF!)</f>
        <v>#REF!</v>
      </c>
      <c r="V30" s="195" t="e">
        <f>IF(#REF!=0,"",#REF!)</f>
        <v>#REF!</v>
      </c>
      <c r="W30" s="195" t="e">
        <f>IF(#REF!=0,"",#REF!)</f>
        <v>#REF!</v>
      </c>
      <c r="X30" s="195" t="e">
        <f>IF(#REF!=0,"",#REF!)</f>
        <v>#REF!</v>
      </c>
      <c r="Y30" s="195" t="e">
        <f>IF(#REF!=0,"",#REF!)</f>
        <v>#REF!</v>
      </c>
      <c r="Z30" s="195" t="e">
        <f>IF(#REF!=0,"",#REF!)</f>
        <v>#REF!</v>
      </c>
      <c r="AA30" s="195" t="e">
        <f>IF(#REF!=0,"",#REF!)</f>
        <v>#REF!</v>
      </c>
      <c r="AB30" s="195" t="e">
        <f>IF(#REF!=0,"",#REF!)</f>
        <v>#REF!</v>
      </c>
      <c r="AC30" s="195" t="e">
        <f>IF(#REF!=0,"",#REF!)</f>
        <v>#REF!</v>
      </c>
      <c r="AD30" s="195" t="e">
        <f>IF(#REF!=0,"",#REF!)</f>
        <v>#REF!</v>
      </c>
      <c r="AE30" s="195" t="e">
        <f>IF(#REF!=0,"",#REF!)</f>
        <v>#REF!</v>
      </c>
      <c r="AF30" s="195" t="e">
        <f>IF(#REF!=0,"",#REF!)</f>
        <v>#REF!</v>
      </c>
      <c r="AG30" s="195" t="e">
        <f>IF(#REF!=0,"",#REF!)</f>
        <v>#REF!</v>
      </c>
      <c r="AH30" s="195" t="e">
        <f>IF(#REF!=0,"",#REF!)</f>
        <v>#REF!</v>
      </c>
      <c r="AI30" s="195" t="e">
        <f>IF(#REF!=0,"",#REF!)</f>
        <v>#REF!</v>
      </c>
      <c r="AJ30" s="195" t="e">
        <f>IF(#REF!=0,"",#REF!)</f>
        <v>#REF!</v>
      </c>
      <c r="AK30" s="195" t="e">
        <f>IF(#REF!=0,"",#REF!)</f>
        <v>#REF!</v>
      </c>
      <c r="AL30" s="195" t="e">
        <f>IF(#REF!=0,"",#REF!)</f>
        <v>#REF!</v>
      </c>
      <c r="AM30" s="195" t="e">
        <f>IF(#REF!=0,"",#REF!)</f>
        <v>#REF!</v>
      </c>
      <c r="AN30" s="195" t="e">
        <f>IF(#REF!=0,"",#REF!)</f>
        <v>#REF!</v>
      </c>
      <c r="AO30" s="196" t="e">
        <f>IF(#REF!=0,"",#REF!)</f>
        <v>#REF!</v>
      </c>
      <c r="AP30" s="70" t="e">
        <f t="shared" si="2"/>
        <v>#REF!</v>
      </c>
      <c r="AQ30" s="68" t="s">
        <v>151</v>
      </c>
      <c r="AR30" s="70" t="e">
        <f>#REF!</f>
        <v>#REF!</v>
      </c>
      <c r="AS30" s="71" t="e">
        <f>#REF!</f>
        <v>#REF!</v>
      </c>
      <c r="AT30" s="71" t="e">
        <f>#REF!</f>
        <v>#REF!</v>
      </c>
      <c r="AU30" s="72"/>
      <c r="AV30" s="72"/>
      <c r="AW30" s="72"/>
      <c r="AX30" s="72"/>
      <c r="AY30" s="72"/>
      <c r="AZ30" s="72"/>
      <c r="BA30" s="68"/>
      <c r="BB30" s="68"/>
      <c r="BC30" s="68"/>
      <c r="BD30" s="68"/>
    </row>
    <row r="31" spans="1:56" s="73" customFormat="1" ht="19.5" customHeight="1">
      <c r="A31" s="68" t="s">
        <v>609</v>
      </c>
      <c r="B31" s="69" t="e">
        <f>#REF!</f>
        <v>#REF!</v>
      </c>
      <c r="C31" s="70" t="e">
        <f>LEFT(#REF!,6)&amp;RIGHT(#REF!,7)</f>
        <v>#REF!</v>
      </c>
      <c r="D31" s="201" t="e">
        <f>#REF!</f>
        <v>#REF!</v>
      </c>
      <c r="E31" s="251" t="str">
        <f t="shared" si="0"/>
        <v/>
      </c>
      <c r="F31" s="251" t="str">
        <f t="shared" si="1"/>
        <v/>
      </c>
      <c r="G31" s="68"/>
      <c r="H31" s="68"/>
      <c r="I31" s="68"/>
      <c r="J31" s="68" t="s">
        <v>150</v>
      </c>
      <c r="K31" s="194" t="e">
        <f>IF(#REF!=0,"",#REF!)</f>
        <v>#REF!</v>
      </c>
      <c r="L31" s="195" t="e">
        <f>IF(#REF!=0,"",#REF!)</f>
        <v>#REF!</v>
      </c>
      <c r="M31" s="195" t="e">
        <f>IF(#REF!=0,"",#REF!)</f>
        <v>#REF!</v>
      </c>
      <c r="N31" s="195" t="e">
        <f>IF(#REF!=0,"",#REF!)</f>
        <v>#REF!</v>
      </c>
      <c r="O31" s="195" t="e">
        <f>IF(#REF!=0,"",#REF!)</f>
        <v>#REF!</v>
      </c>
      <c r="P31" s="195" t="e">
        <f>IF(#REF!=0,"",#REF!)</f>
        <v>#REF!</v>
      </c>
      <c r="Q31" s="195" t="e">
        <f>IF(#REF!=0,"",#REF!)</f>
        <v>#REF!</v>
      </c>
      <c r="R31" s="195" t="e">
        <f>IF(#REF!=0,"",#REF!)</f>
        <v>#REF!</v>
      </c>
      <c r="S31" s="195" t="e">
        <f>IF(#REF!=0,"",#REF!)</f>
        <v>#REF!</v>
      </c>
      <c r="T31" s="195" t="e">
        <f>IF(#REF!=0,"",#REF!)</f>
        <v>#REF!</v>
      </c>
      <c r="U31" s="195" t="e">
        <f>IF(#REF!=0,"",#REF!)</f>
        <v>#REF!</v>
      </c>
      <c r="V31" s="195" t="e">
        <f>IF(#REF!=0,"",#REF!)</f>
        <v>#REF!</v>
      </c>
      <c r="W31" s="195" t="e">
        <f>IF(#REF!=0,"",#REF!)</f>
        <v>#REF!</v>
      </c>
      <c r="X31" s="195" t="e">
        <f>IF(#REF!=0,"",#REF!)</f>
        <v>#REF!</v>
      </c>
      <c r="Y31" s="195" t="e">
        <f>IF(#REF!=0,"",#REF!)</f>
        <v>#REF!</v>
      </c>
      <c r="Z31" s="195" t="e">
        <f>IF(#REF!=0,"",#REF!)</f>
        <v>#REF!</v>
      </c>
      <c r="AA31" s="195" t="e">
        <f>IF(#REF!=0,"",#REF!)</f>
        <v>#REF!</v>
      </c>
      <c r="AB31" s="195" t="e">
        <f>IF(#REF!=0,"",#REF!)</f>
        <v>#REF!</v>
      </c>
      <c r="AC31" s="195" t="e">
        <f>IF(#REF!=0,"",#REF!)</f>
        <v>#REF!</v>
      </c>
      <c r="AD31" s="195" t="e">
        <f>IF(#REF!=0,"",#REF!)</f>
        <v>#REF!</v>
      </c>
      <c r="AE31" s="195" t="e">
        <f>IF(#REF!=0,"",#REF!)</f>
        <v>#REF!</v>
      </c>
      <c r="AF31" s="195" t="e">
        <f>IF(#REF!=0,"",#REF!)</f>
        <v>#REF!</v>
      </c>
      <c r="AG31" s="195" t="e">
        <f>IF(#REF!=0,"",#REF!)</f>
        <v>#REF!</v>
      </c>
      <c r="AH31" s="195" t="e">
        <f>IF(#REF!=0,"",#REF!)</f>
        <v>#REF!</v>
      </c>
      <c r="AI31" s="195" t="e">
        <f>IF(#REF!=0,"",#REF!)</f>
        <v>#REF!</v>
      </c>
      <c r="AJ31" s="195" t="e">
        <f>IF(#REF!=0,"",#REF!)</f>
        <v>#REF!</v>
      </c>
      <c r="AK31" s="195" t="e">
        <f>IF(#REF!=0,"",#REF!)</f>
        <v>#REF!</v>
      </c>
      <c r="AL31" s="195" t="e">
        <f>IF(#REF!=0,"",#REF!)</f>
        <v>#REF!</v>
      </c>
      <c r="AM31" s="195" t="e">
        <f>IF(#REF!=0,"",#REF!)</f>
        <v>#REF!</v>
      </c>
      <c r="AN31" s="195" t="e">
        <f>IF(#REF!=0,"",#REF!)</f>
        <v>#REF!</v>
      </c>
      <c r="AO31" s="196" t="e">
        <f>IF(#REF!=0,"",#REF!)</f>
        <v>#REF!</v>
      </c>
      <c r="AP31" s="70" t="e">
        <f t="shared" si="2"/>
        <v>#REF!</v>
      </c>
      <c r="AQ31" s="68" t="s">
        <v>151</v>
      </c>
      <c r="AR31" s="70" t="e">
        <f>#REF!</f>
        <v>#REF!</v>
      </c>
      <c r="AS31" s="71" t="e">
        <f>#REF!</f>
        <v>#REF!</v>
      </c>
      <c r="AT31" s="71" t="e">
        <f>#REF!</f>
        <v>#REF!</v>
      </c>
      <c r="AU31" s="72"/>
      <c r="AV31" s="72"/>
      <c r="AW31" s="72"/>
      <c r="AX31" s="72"/>
      <c r="AY31" s="72"/>
      <c r="AZ31" s="72"/>
      <c r="BA31" s="68"/>
      <c r="BB31" s="68"/>
      <c r="BC31" s="68"/>
      <c r="BD31" s="68"/>
    </row>
    <row r="32" spans="1:56" s="73" customFormat="1" ht="19.5" customHeight="1">
      <c r="A32" s="68" t="s">
        <v>609</v>
      </c>
      <c r="B32" s="69" t="e">
        <f>#REF!</f>
        <v>#REF!</v>
      </c>
      <c r="C32" s="70" t="e">
        <f>LEFT(#REF!,6)&amp;RIGHT(#REF!,7)</f>
        <v>#REF!</v>
      </c>
      <c r="D32" s="201" t="e">
        <f>#REF!</f>
        <v>#REF!</v>
      </c>
      <c r="E32" s="251" t="str">
        <f t="shared" si="0"/>
        <v/>
      </c>
      <c r="F32" s="251" t="str">
        <f t="shared" si="1"/>
        <v/>
      </c>
      <c r="G32" s="68"/>
      <c r="H32" s="68"/>
      <c r="I32" s="68"/>
      <c r="J32" s="68" t="s">
        <v>150</v>
      </c>
      <c r="K32" s="194" t="e">
        <f>IF(#REF!=0,"",#REF!)</f>
        <v>#REF!</v>
      </c>
      <c r="L32" s="195" t="e">
        <f>IF(#REF!=0,"",#REF!)</f>
        <v>#REF!</v>
      </c>
      <c r="M32" s="195" t="e">
        <f>IF(#REF!=0,"",#REF!)</f>
        <v>#REF!</v>
      </c>
      <c r="N32" s="195" t="e">
        <f>IF(#REF!=0,"",#REF!)</f>
        <v>#REF!</v>
      </c>
      <c r="O32" s="195" t="e">
        <f>IF(#REF!=0,"",#REF!)</f>
        <v>#REF!</v>
      </c>
      <c r="P32" s="195" t="e">
        <f>IF(#REF!=0,"",#REF!)</f>
        <v>#REF!</v>
      </c>
      <c r="Q32" s="195" t="e">
        <f>IF(#REF!=0,"",#REF!)</f>
        <v>#REF!</v>
      </c>
      <c r="R32" s="195" t="e">
        <f>IF(#REF!=0,"",#REF!)</f>
        <v>#REF!</v>
      </c>
      <c r="S32" s="195" t="e">
        <f>IF(#REF!=0,"",#REF!)</f>
        <v>#REF!</v>
      </c>
      <c r="T32" s="195" t="e">
        <f>IF(#REF!=0,"",#REF!)</f>
        <v>#REF!</v>
      </c>
      <c r="U32" s="195" t="e">
        <f>IF(#REF!=0,"",#REF!)</f>
        <v>#REF!</v>
      </c>
      <c r="V32" s="195" t="e">
        <f>IF(#REF!=0,"",#REF!)</f>
        <v>#REF!</v>
      </c>
      <c r="W32" s="195" t="e">
        <f>IF(#REF!=0,"",#REF!)</f>
        <v>#REF!</v>
      </c>
      <c r="X32" s="195" t="e">
        <f>IF(#REF!=0,"",#REF!)</f>
        <v>#REF!</v>
      </c>
      <c r="Y32" s="195" t="e">
        <f>IF(#REF!=0,"",#REF!)</f>
        <v>#REF!</v>
      </c>
      <c r="Z32" s="195" t="e">
        <f>IF(#REF!=0,"",#REF!)</f>
        <v>#REF!</v>
      </c>
      <c r="AA32" s="195" t="e">
        <f>IF(#REF!=0,"",#REF!)</f>
        <v>#REF!</v>
      </c>
      <c r="AB32" s="195" t="e">
        <f>IF(#REF!=0,"",#REF!)</f>
        <v>#REF!</v>
      </c>
      <c r="AC32" s="195" t="e">
        <f>IF(#REF!=0,"",#REF!)</f>
        <v>#REF!</v>
      </c>
      <c r="AD32" s="195" t="e">
        <f>IF(#REF!=0,"",#REF!)</f>
        <v>#REF!</v>
      </c>
      <c r="AE32" s="195" t="e">
        <f>IF(#REF!=0,"",#REF!)</f>
        <v>#REF!</v>
      </c>
      <c r="AF32" s="195" t="e">
        <f>IF(#REF!=0,"",#REF!)</f>
        <v>#REF!</v>
      </c>
      <c r="AG32" s="195" t="e">
        <f>IF(#REF!=0,"",#REF!)</f>
        <v>#REF!</v>
      </c>
      <c r="AH32" s="195" t="e">
        <f>IF(#REF!=0,"",#REF!)</f>
        <v>#REF!</v>
      </c>
      <c r="AI32" s="195" t="e">
        <f>IF(#REF!=0,"",#REF!)</f>
        <v>#REF!</v>
      </c>
      <c r="AJ32" s="195" t="e">
        <f>IF(#REF!=0,"",#REF!)</f>
        <v>#REF!</v>
      </c>
      <c r="AK32" s="195" t="e">
        <f>IF(#REF!=0,"",#REF!)</f>
        <v>#REF!</v>
      </c>
      <c r="AL32" s="195" t="e">
        <f>IF(#REF!=0,"",#REF!)</f>
        <v>#REF!</v>
      </c>
      <c r="AM32" s="195" t="e">
        <f>IF(#REF!=0,"",#REF!)</f>
        <v>#REF!</v>
      </c>
      <c r="AN32" s="195" t="e">
        <f>IF(#REF!=0,"",#REF!)</f>
        <v>#REF!</v>
      </c>
      <c r="AO32" s="196" t="e">
        <f>IF(#REF!=0,"",#REF!)</f>
        <v>#REF!</v>
      </c>
      <c r="AP32" s="70" t="e">
        <f t="shared" si="2"/>
        <v>#REF!</v>
      </c>
      <c r="AQ32" s="68" t="s">
        <v>151</v>
      </c>
      <c r="AR32" s="70" t="e">
        <f>#REF!</f>
        <v>#REF!</v>
      </c>
      <c r="AS32" s="71" t="e">
        <f>#REF!</f>
        <v>#REF!</v>
      </c>
      <c r="AT32" s="71" t="e">
        <f>#REF!</f>
        <v>#REF!</v>
      </c>
      <c r="AU32" s="72"/>
      <c r="AV32" s="72"/>
      <c r="AW32" s="72"/>
      <c r="AX32" s="72"/>
      <c r="AY32" s="72"/>
      <c r="AZ32" s="72"/>
      <c r="BA32" s="68"/>
      <c r="BB32" s="68"/>
      <c r="BC32" s="68"/>
      <c r="BD32" s="68"/>
    </row>
    <row r="33" spans="1:56" s="73" customFormat="1" ht="19.5" customHeight="1">
      <c r="A33" s="68" t="s">
        <v>609</v>
      </c>
      <c r="B33" s="69" t="e">
        <f>#REF!</f>
        <v>#REF!</v>
      </c>
      <c r="C33" s="70" t="e">
        <f>LEFT(#REF!,6)&amp;RIGHT(#REF!,7)</f>
        <v>#REF!</v>
      </c>
      <c r="D33" s="201" t="e">
        <f>#REF!</f>
        <v>#REF!</v>
      </c>
      <c r="E33" s="251" t="str">
        <f t="shared" si="0"/>
        <v/>
      </c>
      <c r="F33" s="251" t="str">
        <f t="shared" si="1"/>
        <v/>
      </c>
      <c r="G33" s="68"/>
      <c r="H33" s="68"/>
      <c r="I33" s="68"/>
      <c r="J33" s="68" t="s">
        <v>150</v>
      </c>
      <c r="K33" s="194" t="e">
        <f>IF(#REF!=0,"",#REF!)</f>
        <v>#REF!</v>
      </c>
      <c r="L33" s="195" t="e">
        <f>IF(#REF!=0,"",#REF!)</f>
        <v>#REF!</v>
      </c>
      <c r="M33" s="195" t="e">
        <f>IF(#REF!=0,"",#REF!)</f>
        <v>#REF!</v>
      </c>
      <c r="N33" s="195" t="e">
        <f>IF(#REF!=0,"",#REF!)</f>
        <v>#REF!</v>
      </c>
      <c r="O33" s="195" t="e">
        <f>IF(#REF!=0,"",#REF!)</f>
        <v>#REF!</v>
      </c>
      <c r="P33" s="195" t="e">
        <f>IF(#REF!=0,"",#REF!)</f>
        <v>#REF!</v>
      </c>
      <c r="Q33" s="195" t="e">
        <f>IF(#REF!=0,"",#REF!)</f>
        <v>#REF!</v>
      </c>
      <c r="R33" s="195" t="e">
        <f>IF(#REF!=0,"",#REF!)</f>
        <v>#REF!</v>
      </c>
      <c r="S33" s="195" t="e">
        <f>IF(#REF!=0,"",#REF!)</f>
        <v>#REF!</v>
      </c>
      <c r="T33" s="195" t="e">
        <f>IF(#REF!=0,"",#REF!)</f>
        <v>#REF!</v>
      </c>
      <c r="U33" s="195" t="e">
        <f>IF(#REF!=0,"",#REF!)</f>
        <v>#REF!</v>
      </c>
      <c r="V33" s="195" t="e">
        <f>IF(#REF!=0,"",#REF!)</f>
        <v>#REF!</v>
      </c>
      <c r="W33" s="195" t="e">
        <f>IF(#REF!=0,"",#REF!)</f>
        <v>#REF!</v>
      </c>
      <c r="X33" s="195" t="e">
        <f>IF(#REF!=0,"",#REF!)</f>
        <v>#REF!</v>
      </c>
      <c r="Y33" s="195" t="e">
        <f>IF(#REF!=0,"",#REF!)</f>
        <v>#REF!</v>
      </c>
      <c r="Z33" s="195" t="e">
        <f>IF(#REF!=0,"",#REF!)</f>
        <v>#REF!</v>
      </c>
      <c r="AA33" s="195" t="e">
        <f>IF(#REF!=0,"",#REF!)</f>
        <v>#REF!</v>
      </c>
      <c r="AB33" s="195" t="e">
        <f>IF(#REF!=0,"",#REF!)</f>
        <v>#REF!</v>
      </c>
      <c r="AC33" s="195" t="e">
        <f>IF(#REF!=0,"",#REF!)</f>
        <v>#REF!</v>
      </c>
      <c r="AD33" s="195" t="e">
        <f>IF(#REF!=0,"",#REF!)</f>
        <v>#REF!</v>
      </c>
      <c r="AE33" s="195" t="e">
        <f>IF(#REF!=0,"",#REF!)</f>
        <v>#REF!</v>
      </c>
      <c r="AF33" s="195" t="e">
        <f>IF(#REF!=0,"",#REF!)</f>
        <v>#REF!</v>
      </c>
      <c r="AG33" s="195" t="e">
        <f>IF(#REF!=0,"",#REF!)</f>
        <v>#REF!</v>
      </c>
      <c r="AH33" s="195" t="e">
        <f>IF(#REF!=0,"",#REF!)</f>
        <v>#REF!</v>
      </c>
      <c r="AI33" s="195" t="e">
        <f>IF(#REF!=0,"",#REF!)</f>
        <v>#REF!</v>
      </c>
      <c r="AJ33" s="195" t="e">
        <f>IF(#REF!=0,"",#REF!)</f>
        <v>#REF!</v>
      </c>
      <c r="AK33" s="195" t="e">
        <f>IF(#REF!=0,"",#REF!)</f>
        <v>#REF!</v>
      </c>
      <c r="AL33" s="195" t="e">
        <f>IF(#REF!=0,"",#REF!)</f>
        <v>#REF!</v>
      </c>
      <c r="AM33" s="195" t="e">
        <f>IF(#REF!=0,"",#REF!)</f>
        <v>#REF!</v>
      </c>
      <c r="AN33" s="195" t="e">
        <f>IF(#REF!=0,"",#REF!)</f>
        <v>#REF!</v>
      </c>
      <c r="AO33" s="196" t="e">
        <f>IF(#REF!=0,"",#REF!)</f>
        <v>#REF!</v>
      </c>
      <c r="AP33" s="70" t="e">
        <f t="shared" si="2"/>
        <v>#REF!</v>
      </c>
      <c r="AQ33" s="68" t="s">
        <v>151</v>
      </c>
      <c r="AR33" s="70" t="e">
        <f>#REF!</f>
        <v>#REF!</v>
      </c>
      <c r="AS33" s="71" t="e">
        <f>#REF!</f>
        <v>#REF!</v>
      </c>
      <c r="AT33" s="71" t="e">
        <f>#REF!</f>
        <v>#REF!</v>
      </c>
      <c r="AU33" s="72"/>
      <c r="AV33" s="72"/>
      <c r="AW33" s="72"/>
      <c r="AX33" s="72"/>
      <c r="AY33" s="72"/>
      <c r="AZ33" s="72"/>
      <c r="BA33" s="68"/>
      <c r="BB33" s="68"/>
      <c r="BC33" s="68"/>
      <c r="BD33" s="68"/>
    </row>
    <row r="34" spans="1:56" s="73" customFormat="1" ht="19.5" customHeight="1">
      <c r="A34" s="68" t="s">
        <v>609</v>
      </c>
      <c r="B34" s="69" t="e">
        <f>#REF!</f>
        <v>#REF!</v>
      </c>
      <c r="C34" s="70" t="e">
        <f>LEFT(#REF!,6)&amp;RIGHT(#REF!,7)</f>
        <v>#REF!</v>
      </c>
      <c r="D34" s="201" t="e">
        <f>#REF!</f>
        <v>#REF!</v>
      </c>
      <c r="E34" s="251" t="str">
        <f t="shared" ref="E34:E65" si="3">IFERROR(IF(VLOOKUP(B34,주소록,10,FALSE)&lt;&gt;"",VLOOKUP(B34,주소록,10,FALSE),""),"")</f>
        <v/>
      </c>
      <c r="F34" s="251" t="str">
        <f t="shared" ref="F34:F65" si="4">IFERROR(IF(VLOOKUP(B34,주소록,10,FALSE)&lt;&gt;"",VLOOKUP(B34,주소록,11,FALSE),""),"")</f>
        <v/>
      </c>
      <c r="G34" s="68"/>
      <c r="H34" s="68"/>
      <c r="I34" s="68"/>
      <c r="J34" s="68" t="s">
        <v>150</v>
      </c>
      <c r="K34" s="194" t="e">
        <f>IF(#REF!=0,"",#REF!)</f>
        <v>#REF!</v>
      </c>
      <c r="L34" s="195" t="e">
        <f>IF(#REF!=0,"",#REF!)</f>
        <v>#REF!</v>
      </c>
      <c r="M34" s="195" t="e">
        <f>IF(#REF!=0,"",#REF!)</f>
        <v>#REF!</v>
      </c>
      <c r="N34" s="195" t="e">
        <f>IF(#REF!=0,"",#REF!)</f>
        <v>#REF!</v>
      </c>
      <c r="O34" s="195" t="e">
        <f>IF(#REF!=0,"",#REF!)</f>
        <v>#REF!</v>
      </c>
      <c r="P34" s="195" t="e">
        <f>IF(#REF!=0,"",#REF!)</f>
        <v>#REF!</v>
      </c>
      <c r="Q34" s="195" t="e">
        <f>IF(#REF!=0,"",#REF!)</f>
        <v>#REF!</v>
      </c>
      <c r="R34" s="195" t="e">
        <f>IF(#REF!=0,"",#REF!)</f>
        <v>#REF!</v>
      </c>
      <c r="S34" s="195" t="e">
        <f>IF(#REF!=0,"",#REF!)</f>
        <v>#REF!</v>
      </c>
      <c r="T34" s="195" t="e">
        <f>IF(#REF!=0,"",#REF!)</f>
        <v>#REF!</v>
      </c>
      <c r="U34" s="195" t="e">
        <f>IF(#REF!=0,"",#REF!)</f>
        <v>#REF!</v>
      </c>
      <c r="V34" s="195" t="e">
        <f>IF(#REF!=0,"",#REF!)</f>
        <v>#REF!</v>
      </c>
      <c r="W34" s="195" t="e">
        <f>IF(#REF!=0,"",#REF!)</f>
        <v>#REF!</v>
      </c>
      <c r="X34" s="195" t="e">
        <f>IF(#REF!=0,"",#REF!)</f>
        <v>#REF!</v>
      </c>
      <c r="Y34" s="195" t="e">
        <f>IF(#REF!=0,"",#REF!)</f>
        <v>#REF!</v>
      </c>
      <c r="Z34" s="195" t="e">
        <f>IF(#REF!=0,"",#REF!)</f>
        <v>#REF!</v>
      </c>
      <c r="AA34" s="195" t="e">
        <f>IF(#REF!=0,"",#REF!)</f>
        <v>#REF!</v>
      </c>
      <c r="AB34" s="195" t="e">
        <f>IF(#REF!=0,"",#REF!)</f>
        <v>#REF!</v>
      </c>
      <c r="AC34" s="195" t="e">
        <f>IF(#REF!=0,"",#REF!)</f>
        <v>#REF!</v>
      </c>
      <c r="AD34" s="195" t="e">
        <f>IF(#REF!=0,"",#REF!)</f>
        <v>#REF!</v>
      </c>
      <c r="AE34" s="195" t="e">
        <f>IF(#REF!=0,"",#REF!)</f>
        <v>#REF!</v>
      </c>
      <c r="AF34" s="195" t="e">
        <f>IF(#REF!=0,"",#REF!)</f>
        <v>#REF!</v>
      </c>
      <c r="AG34" s="195" t="e">
        <f>IF(#REF!=0,"",#REF!)</f>
        <v>#REF!</v>
      </c>
      <c r="AH34" s="195" t="e">
        <f>IF(#REF!=0,"",#REF!)</f>
        <v>#REF!</v>
      </c>
      <c r="AI34" s="195" t="e">
        <f>IF(#REF!=0,"",#REF!)</f>
        <v>#REF!</v>
      </c>
      <c r="AJ34" s="195" t="e">
        <f>IF(#REF!=0,"",#REF!)</f>
        <v>#REF!</v>
      </c>
      <c r="AK34" s="195" t="e">
        <f>IF(#REF!=0,"",#REF!)</f>
        <v>#REF!</v>
      </c>
      <c r="AL34" s="195" t="e">
        <f>IF(#REF!=0,"",#REF!)</f>
        <v>#REF!</v>
      </c>
      <c r="AM34" s="195" t="e">
        <f>IF(#REF!=0,"",#REF!)</f>
        <v>#REF!</v>
      </c>
      <c r="AN34" s="195" t="e">
        <f>IF(#REF!=0,"",#REF!)</f>
        <v>#REF!</v>
      </c>
      <c r="AO34" s="196" t="e">
        <f>IF(#REF!=0,"",#REF!)</f>
        <v>#REF!</v>
      </c>
      <c r="AP34" s="70" t="e">
        <f t="shared" ref="AP34:AP65" si="5">SUM(K34:AO34)</f>
        <v>#REF!</v>
      </c>
      <c r="AQ34" s="68" t="s">
        <v>151</v>
      </c>
      <c r="AR34" s="70" t="e">
        <f>#REF!</f>
        <v>#REF!</v>
      </c>
      <c r="AS34" s="71" t="e">
        <f>#REF!</f>
        <v>#REF!</v>
      </c>
      <c r="AT34" s="71" t="e">
        <f>#REF!</f>
        <v>#REF!</v>
      </c>
      <c r="AU34" s="72"/>
      <c r="AV34" s="72"/>
      <c r="AW34" s="72"/>
      <c r="AX34" s="72"/>
      <c r="AY34" s="72"/>
      <c r="AZ34" s="72"/>
      <c r="BA34" s="68"/>
      <c r="BB34" s="68"/>
      <c r="BC34" s="68"/>
      <c r="BD34" s="68"/>
    </row>
    <row r="35" spans="1:56" s="73" customFormat="1" ht="19.5" customHeight="1">
      <c r="A35" s="68" t="s">
        <v>609</v>
      </c>
      <c r="B35" s="69" t="e">
        <f>#REF!</f>
        <v>#REF!</v>
      </c>
      <c r="C35" s="70" t="e">
        <f>LEFT(#REF!,6)&amp;RIGHT(#REF!,7)</f>
        <v>#REF!</v>
      </c>
      <c r="D35" s="201" t="e">
        <f>#REF!</f>
        <v>#REF!</v>
      </c>
      <c r="E35" s="251" t="str">
        <f t="shared" si="3"/>
        <v/>
      </c>
      <c r="F35" s="251" t="str">
        <f t="shared" si="4"/>
        <v/>
      </c>
      <c r="G35" s="68"/>
      <c r="H35" s="68"/>
      <c r="I35" s="68"/>
      <c r="J35" s="68" t="s">
        <v>150</v>
      </c>
      <c r="K35" s="194" t="e">
        <f>IF(#REF!=0,"",#REF!)</f>
        <v>#REF!</v>
      </c>
      <c r="L35" s="195" t="e">
        <f>IF(#REF!=0,"",#REF!)</f>
        <v>#REF!</v>
      </c>
      <c r="M35" s="195" t="e">
        <f>IF(#REF!=0,"",#REF!)</f>
        <v>#REF!</v>
      </c>
      <c r="N35" s="195" t="e">
        <f>IF(#REF!=0,"",#REF!)</f>
        <v>#REF!</v>
      </c>
      <c r="O35" s="195" t="e">
        <f>IF(#REF!=0,"",#REF!)</f>
        <v>#REF!</v>
      </c>
      <c r="P35" s="195" t="e">
        <f>IF(#REF!=0,"",#REF!)</f>
        <v>#REF!</v>
      </c>
      <c r="Q35" s="195" t="e">
        <f>IF(#REF!=0,"",#REF!)</f>
        <v>#REF!</v>
      </c>
      <c r="R35" s="195" t="e">
        <f>IF(#REF!=0,"",#REF!)</f>
        <v>#REF!</v>
      </c>
      <c r="S35" s="195" t="e">
        <f>IF(#REF!=0,"",#REF!)</f>
        <v>#REF!</v>
      </c>
      <c r="T35" s="195" t="e">
        <f>IF(#REF!=0,"",#REF!)</f>
        <v>#REF!</v>
      </c>
      <c r="U35" s="195" t="e">
        <f>IF(#REF!=0,"",#REF!)</f>
        <v>#REF!</v>
      </c>
      <c r="V35" s="195" t="e">
        <f>IF(#REF!=0,"",#REF!)</f>
        <v>#REF!</v>
      </c>
      <c r="W35" s="195" t="e">
        <f>IF(#REF!=0,"",#REF!)</f>
        <v>#REF!</v>
      </c>
      <c r="X35" s="195" t="e">
        <f>IF(#REF!=0,"",#REF!)</f>
        <v>#REF!</v>
      </c>
      <c r="Y35" s="195" t="e">
        <f>IF(#REF!=0,"",#REF!)</f>
        <v>#REF!</v>
      </c>
      <c r="Z35" s="195" t="e">
        <f>IF(#REF!=0,"",#REF!)</f>
        <v>#REF!</v>
      </c>
      <c r="AA35" s="195" t="e">
        <f>IF(#REF!=0,"",#REF!)</f>
        <v>#REF!</v>
      </c>
      <c r="AB35" s="195" t="e">
        <f>IF(#REF!=0,"",#REF!)</f>
        <v>#REF!</v>
      </c>
      <c r="AC35" s="195" t="e">
        <f>IF(#REF!=0,"",#REF!)</f>
        <v>#REF!</v>
      </c>
      <c r="AD35" s="195" t="e">
        <f>IF(#REF!=0,"",#REF!)</f>
        <v>#REF!</v>
      </c>
      <c r="AE35" s="195" t="e">
        <f>IF(#REF!=0,"",#REF!)</f>
        <v>#REF!</v>
      </c>
      <c r="AF35" s="195" t="e">
        <f>IF(#REF!=0,"",#REF!)</f>
        <v>#REF!</v>
      </c>
      <c r="AG35" s="195" t="e">
        <f>IF(#REF!=0,"",#REF!)</f>
        <v>#REF!</v>
      </c>
      <c r="AH35" s="195" t="e">
        <f>IF(#REF!=0,"",#REF!)</f>
        <v>#REF!</v>
      </c>
      <c r="AI35" s="195" t="e">
        <f>IF(#REF!=0,"",#REF!)</f>
        <v>#REF!</v>
      </c>
      <c r="AJ35" s="195" t="e">
        <f>IF(#REF!=0,"",#REF!)</f>
        <v>#REF!</v>
      </c>
      <c r="AK35" s="195" t="e">
        <f>IF(#REF!=0,"",#REF!)</f>
        <v>#REF!</v>
      </c>
      <c r="AL35" s="195" t="e">
        <f>IF(#REF!=0,"",#REF!)</f>
        <v>#REF!</v>
      </c>
      <c r="AM35" s="195" t="e">
        <f>IF(#REF!=0,"",#REF!)</f>
        <v>#REF!</v>
      </c>
      <c r="AN35" s="195" t="e">
        <f>IF(#REF!=0,"",#REF!)</f>
        <v>#REF!</v>
      </c>
      <c r="AO35" s="196" t="e">
        <f>IF(#REF!=0,"",#REF!)</f>
        <v>#REF!</v>
      </c>
      <c r="AP35" s="70" t="e">
        <f t="shared" si="5"/>
        <v>#REF!</v>
      </c>
      <c r="AQ35" s="68" t="s">
        <v>151</v>
      </c>
      <c r="AR35" s="70" t="e">
        <f>#REF!</f>
        <v>#REF!</v>
      </c>
      <c r="AS35" s="71" t="e">
        <f>#REF!</f>
        <v>#REF!</v>
      </c>
      <c r="AT35" s="71" t="e">
        <f>#REF!</f>
        <v>#REF!</v>
      </c>
      <c r="AU35" s="72"/>
      <c r="AV35" s="72"/>
      <c r="AW35" s="72"/>
      <c r="AX35" s="72"/>
      <c r="AY35" s="72"/>
      <c r="AZ35" s="72"/>
      <c r="BA35" s="68"/>
      <c r="BB35" s="68"/>
      <c r="BC35" s="68"/>
      <c r="BD35" s="68"/>
    </row>
    <row r="36" spans="1:56" s="73" customFormat="1" ht="19.5" customHeight="1">
      <c r="A36" s="68" t="s">
        <v>609</v>
      </c>
      <c r="B36" s="69" t="e">
        <f>#REF!</f>
        <v>#REF!</v>
      </c>
      <c r="C36" s="70" t="e">
        <f>LEFT(#REF!,6)&amp;RIGHT(#REF!,7)</f>
        <v>#REF!</v>
      </c>
      <c r="D36" s="201" t="e">
        <f>#REF!</f>
        <v>#REF!</v>
      </c>
      <c r="E36" s="251" t="str">
        <f t="shared" si="3"/>
        <v/>
      </c>
      <c r="F36" s="251" t="str">
        <f t="shared" si="4"/>
        <v/>
      </c>
      <c r="G36" s="68"/>
      <c r="H36" s="68"/>
      <c r="I36" s="68"/>
      <c r="J36" s="68" t="s">
        <v>150</v>
      </c>
      <c r="K36" s="194" t="e">
        <f>IF(#REF!=0,"",#REF!)</f>
        <v>#REF!</v>
      </c>
      <c r="L36" s="195" t="e">
        <f>IF(#REF!=0,"",#REF!)</f>
        <v>#REF!</v>
      </c>
      <c r="M36" s="195" t="e">
        <f>IF(#REF!=0,"",#REF!)</f>
        <v>#REF!</v>
      </c>
      <c r="N36" s="195" t="e">
        <f>IF(#REF!=0,"",#REF!)</f>
        <v>#REF!</v>
      </c>
      <c r="O36" s="195" t="e">
        <f>IF(#REF!=0,"",#REF!)</f>
        <v>#REF!</v>
      </c>
      <c r="P36" s="195" t="e">
        <f>IF(#REF!=0,"",#REF!)</f>
        <v>#REF!</v>
      </c>
      <c r="Q36" s="195" t="e">
        <f>IF(#REF!=0,"",#REF!)</f>
        <v>#REF!</v>
      </c>
      <c r="R36" s="195" t="e">
        <f>IF(#REF!=0,"",#REF!)</f>
        <v>#REF!</v>
      </c>
      <c r="S36" s="195" t="e">
        <f>IF(#REF!=0,"",#REF!)</f>
        <v>#REF!</v>
      </c>
      <c r="T36" s="195" t="e">
        <f>IF(#REF!=0,"",#REF!)</f>
        <v>#REF!</v>
      </c>
      <c r="U36" s="195" t="e">
        <f>IF(#REF!=0,"",#REF!)</f>
        <v>#REF!</v>
      </c>
      <c r="V36" s="195" t="e">
        <f>IF(#REF!=0,"",#REF!)</f>
        <v>#REF!</v>
      </c>
      <c r="W36" s="195" t="e">
        <f>IF(#REF!=0,"",#REF!)</f>
        <v>#REF!</v>
      </c>
      <c r="X36" s="195" t="e">
        <f>IF(#REF!=0,"",#REF!)</f>
        <v>#REF!</v>
      </c>
      <c r="Y36" s="195" t="e">
        <f>IF(#REF!=0,"",#REF!)</f>
        <v>#REF!</v>
      </c>
      <c r="Z36" s="195" t="e">
        <f>IF(#REF!=0,"",#REF!)</f>
        <v>#REF!</v>
      </c>
      <c r="AA36" s="195" t="e">
        <f>IF(#REF!=0,"",#REF!)</f>
        <v>#REF!</v>
      </c>
      <c r="AB36" s="195" t="e">
        <f>IF(#REF!=0,"",#REF!)</f>
        <v>#REF!</v>
      </c>
      <c r="AC36" s="195" t="e">
        <f>IF(#REF!=0,"",#REF!)</f>
        <v>#REF!</v>
      </c>
      <c r="AD36" s="195" t="e">
        <f>IF(#REF!=0,"",#REF!)</f>
        <v>#REF!</v>
      </c>
      <c r="AE36" s="195" t="e">
        <f>IF(#REF!=0,"",#REF!)</f>
        <v>#REF!</v>
      </c>
      <c r="AF36" s="195" t="e">
        <f>IF(#REF!=0,"",#REF!)</f>
        <v>#REF!</v>
      </c>
      <c r="AG36" s="195" t="e">
        <f>IF(#REF!=0,"",#REF!)</f>
        <v>#REF!</v>
      </c>
      <c r="AH36" s="195" t="e">
        <f>IF(#REF!=0,"",#REF!)</f>
        <v>#REF!</v>
      </c>
      <c r="AI36" s="195" t="e">
        <f>IF(#REF!=0,"",#REF!)</f>
        <v>#REF!</v>
      </c>
      <c r="AJ36" s="195" t="e">
        <f>IF(#REF!=0,"",#REF!)</f>
        <v>#REF!</v>
      </c>
      <c r="AK36" s="195" t="e">
        <f>IF(#REF!=0,"",#REF!)</f>
        <v>#REF!</v>
      </c>
      <c r="AL36" s="195" t="e">
        <f>IF(#REF!=0,"",#REF!)</f>
        <v>#REF!</v>
      </c>
      <c r="AM36" s="195" t="e">
        <f>IF(#REF!=0,"",#REF!)</f>
        <v>#REF!</v>
      </c>
      <c r="AN36" s="195" t="e">
        <f>IF(#REF!=0,"",#REF!)</f>
        <v>#REF!</v>
      </c>
      <c r="AO36" s="196" t="e">
        <f>IF(#REF!=0,"",#REF!)</f>
        <v>#REF!</v>
      </c>
      <c r="AP36" s="70" t="e">
        <f t="shared" si="5"/>
        <v>#REF!</v>
      </c>
      <c r="AQ36" s="68" t="s">
        <v>151</v>
      </c>
      <c r="AR36" s="70" t="e">
        <f>#REF!</f>
        <v>#REF!</v>
      </c>
      <c r="AS36" s="71" t="e">
        <f>#REF!</f>
        <v>#REF!</v>
      </c>
      <c r="AT36" s="71" t="e">
        <f>#REF!</f>
        <v>#REF!</v>
      </c>
      <c r="AU36" s="72"/>
      <c r="AV36" s="72"/>
      <c r="AW36" s="72"/>
      <c r="AX36" s="72"/>
      <c r="AY36" s="72"/>
      <c r="AZ36" s="72"/>
      <c r="BA36" s="68"/>
      <c r="BB36" s="68"/>
      <c r="BC36" s="68"/>
      <c r="BD36" s="68"/>
    </row>
    <row r="37" spans="1:56" s="73" customFormat="1" ht="19.5" customHeight="1">
      <c r="A37" s="68" t="s">
        <v>609</v>
      </c>
      <c r="B37" s="69" t="e">
        <f>#REF!</f>
        <v>#REF!</v>
      </c>
      <c r="C37" s="70" t="e">
        <f>LEFT(#REF!,6)&amp;RIGHT(#REF!,7)</f>
        <v>#REF!</v>
      </c>
      <c r="D37" s="201" t="e">
        <f>#REF!</f>
        <v>#REF!</v>
      </c>
      <c r="E37" s="251" t="str">
        <f t="shared" si="3"/>
        <v/>
      </c>
      <c r="F37" s="251" t="str">
        <f t="shared" si="4"/>
        <v/>
      </c>
      <c r="G37" s="68"/>
      <c r="H37" s="68"/>
      <c r="I37" s="68"/>
      <c r="J37" s="68" t="s">
        <v>150</v>
      </c>
      <c r="K37" s="194" t="e">
        <f>IF(#REF!=0,"",#REF!)</f>
        <v>#REF!</v>
      </c>
      <c r="L37" s="195" t="e">
        <f>IF(#REF!=0,"",#REF!)</f>
        <v>#REF!</v>
      </c>
      <c r="M37" s="195" t="e">
        <f>IF(#REF!=0,"",#REF!)</f>
        <v>#REF!</v>
      </c>
      <c r="N37" s="195" t="e">
        <f>IF(#REF!=0,"",#REF!)</f>
        <v>#REF!</v>
      </c>
      <c r="O37" s="195" t="e">
        <f>IF(#REF!=0,"",#REF!)</f>
        <v>#REF!</v>
      </c>
      <c r="P37" s="195" t="e">
        <f>IF(#REF!=0,"",#REF!)</f>
        <v>#REF!</v>
      </c>
      <c r="Q37" s="195" t="e">
        <f>IF(#REF!=0,"",#REF!)</f>
        <v>#REF!</v>
      </c>
      <c r="R37" s="195" t="e">
        <f>IF(#REF!=0,"",#REF!)</f>
        <v>#REF!</v>
      </c>
      <c r="S37" s="195" t="e">
        <f>IF(#REF!=0,"",#REF!)</f>
        <v>#REF!</v>
      </c>
      <c r="T37" s="195" t="e">
        <f>IF(#REF!=0,"",#REF!)</f>
        <v>#REF!</v>
      </c>
      <c r="U37" s="195" t="e">
        <f>IF(#REF!=0,"",#REF!)</f>
        <v>#REF!</v>
      </c>
      <c r="V37" s="195" t="e">
        <f>IF(#REF!=0,"",#REF!)</f>
        <v>#REF!</v>
      </c>
      <c r="W37" s="195" t="e">
        <f>IF(#REF!=0,"",#REF!)</f>
        <v>#REF!</v>
      </c>
      <c r="X37" s="195" t="e">
        <f>IF(#REF!=0,"",#REF!)</f>
        <v>#REF!</v>
      </c>
      <c r="Y37" s="195" t="e">
        <f>IF(#REF!=0,"",#REF!)</f>
        <v>#REF!</v>
      </c>
      <c r="Z37" s="195" t="e">
        <f>IF(#REF!=0,"",#REF!)</f>
        <v>#REF!</v>
      </c>
      <c r="AA37" s="195" t="e">
        <f>IF(#REF!=0,"",#REF!)</f>
        <v>#REF!</v>
      </c>
      <c r="AB37" s="195" t="e">
        <f>IF(#REF!=0,"",#REF!)</f>
        <v>#REF!</v>
      </c>
      <c r="AC37" s="195" t="e">
        <f>IF(#REF!=0,"",#REF!)</f>
        <v>#REF!</v>
      </c>
      <c r="AD37" s="195" t="e">
        <f>IF(#REF!=0,"",#REF!)</f>
        <v>#REF!</v>
      </c>
      <c r="AE37" s="195" t="e">
        <f>IF(#REF!=0,"",#REF!)</f>
        <v>#REF!</v>
      </c>
      <c r="AF37" s="195" t="e">
        <f>IF(#REF!=0,"",#REF!)</f>
        <v>#REF!</v>
      </c>
      <c r="AG37" s="195" t="e">
        <f>IF(#REF!=0,"",#REF!)</f>
        <v>#REF!</v>
      </c>
      <c r="AH37" s="195" t="e">
        <f>IF(#REF!=0,"",#REF!)</f>
        <v>#REF!</v>
      </c>
      <c r="AI37" s="195" t="e">
        <f>IF(#REF!=0,"",#REF!)</f>
        <v>#REF!</v>
      </c>
      <c r="AJ37" s="195" t="e">
        <f>IF(#REF!=0,"",#REF!)</f>
        <v>#REF!</v>
      </c>
      <c r="AK37" s="195" t="e">
        <f>IF(#REF!=0,"",#REF!)</f>
        <v>#REF!</v>
      </c>
      <c r="AL37" s="195" t="e">
        <f>IF(#REF!=0,"",#REF!)</f>
        <v>#REF!</v>
      </c>
      <c r="AM37" s="195" t="e">
        <f>IF(#REF!=0,"",#REF!)</f>
        <v>#REF!</v>
      </c>
      <c r="AN37" s="195" t="e">
        <f>IF(#REF!=0,"",#REF!)</f>
        <v>#REF!</v>
      </c>
      <c r="AO37" s="196" t="e">
        <f>IF(#REF!=0,"",#REF!)</f>
        <v>#REF!</v>
      </c>
      <c r="AP37" s="70" t="e">
        <f t="shared" si="5"/>
        <v>#REF!</v>
      </c>
      <c r="AQ37" s="68" t="s">
        <v>151</v>
      </c>
      <c r="AR37" s="70" t="e">
        <f>#REF!</f>
        <v>#REF!</v>
      </c>
      <c r="AS37" s="71" t="e">
        <f>#REF!</f>
        <v>#REF!</v>
      </c>
      <c r="AT37" s="71" t="e">
        <f>#REF!</f>
        <v>#REF!</v>
      </c>
      <c r="AU37" s="72"/>
      <c r="AV37" s="72"/>
      <c r="AW37" s="72"/>
      <c r="AX37" s="72"/>
      <c r="AY37" s="72"/>
      <c r="AZ37" s="72"/>
      <c r="BA37" s="68"/>
      <c r="BB37" s="68"/>
      <c r="BC37" s="68"/>
      <c r="BD37" s="68"/>
    </row>
    <row r="38" spans="1:56" s="73" customFormat="1" ht="19.5" customHeight="1">
      <c r="A38" s="68" t="s">
        <v>609</v>
      </c>
      <c r="B38" s="69" t="e">
        <f>#REF!</f>
        <v>#REF!</v>
      </c>
      <c r="C38" s="70" t="e">
        <f>LEFT(#REF!,6)&amp;RIGHT(#REF!,7)</f>
        <v>#REF!</v>
      </c>
      <c r="D38" s="201" t="e">
        <f>#REF!</f>
        <v>#REF!</v>
      </c>
      <c r="E38" s="251" t="str">
        <f t="shared" si="3"/>
        <v/>
      </c>
      <c r="F38" s="251" t="str">
        <f t="shared" si="4"/>
        <v/>
      </c>
      <c r="G38" s="68"/>
      <c r="H38" s="68"/>
      <c r="I38" s="68"/>
      <c r="J38" s="68" t="s">
        <v>150</v>
      </c>
      <c r="K38" s="194" t="e">
        <f>IF(#REF!=0,"",#REF!)</f>
        <v>#REF!</v>
      </c>
      <c r="L38" s="195" t="e">
        <f>IF(#REF!=0,"",#REF!)</f>
        <v>#REF!</v>
      </c>
      <c r="M38" s="195" t="e">
        <f>IF(#REF!=0,"",#REF!)</f>
        <v>#REF!</v>
      </c>
      <c r="N38" s="195" t="e">
        <f>IF(#REF!=0,"",#REF!)</f>
        <v>#REF!</v>
      </c>
      <c r="O38" s="195" t="e">
        <f>IF(#REF!=0,"",#REF!)</f>
        <v>#REF!</v>
      </c>
      <c r="P38" s="195" t="e">
        <f>IF(#REF!=0,"",#REF!)</f>
        <v>#REF!</v>
      </c>
      <c r="Q38" s="195" t="e">
        <f>IF(#REF!=0,"",#REF!)</f>
        <v>#REF!</v>
      </c>
      <c r="R38" s="195" t="e">
        <f>IF(#REF!=0,"",#REF!)</f>
        <v>#REF!</v>
      </c>
      <c r="S38" s="195" t="e">
        <f>IF(#REF!=0,"",#REF!)</f>
        <v>#REF!</v>
      </c>
      <c r="T38" s="195" t="e">
        <f>IF(#REF!=0,"",#REF!)</f>
        <v>#REF!</v>
      </c>
      <c r="U38" s="195" t="e">
        <f>IF(#REF!=0,"",#REF!)</f>
        <v>#REF!</v>
      </c>
      <c r="V38" s="195" t="e">
        <f>IF(#REF!=0,"",#REF!)</f>
        <v>#REF!</v>
      </c>
      <c r="W38" s="195" t="e">
        <f>IF(#REF!=0,"",#REF!)</f>
        <v>#REF!</v>
      </c>
      <c r="X38" s="195" t="e">
        <f>IF(#REF!=0,"",#REF!)</f>
        <v>#REF!</v>
      </c>
      <c r="Y38" s="195" t="e">
        <f>IF(#REF!=0,"",#REF!)</f>
        <v>#REF!</v>
      </c>
      <c r="Z38" s="195" t="e">
        <f>IF(#REF!=0,"",#REF!)</f>
        <v>#REF!</v>
      </c>
      <c r="AA38" s="195" t="e">
        <f>IF(#REF!=0,"",#REF!)</f>
        <v>#REF!</v>
      </c>
      <c r="AB38" s="195" t="e">
        <f>IF(#REF!=0,"",#REF!)</f>
        <v>#REF!</v>
      </c>
      <c r="AC38" s="195" t="e">
        <f>IF(#REF!=0,"",#REF!)</f>
        <v>#REF!</v>
      </c>
      <c r="AD38" s="195" t="e">
        <f>IF(#REF!=0,"",#REF!)</f>
        <v>#REF!</v>
      </c>
      <c r="AE38" s="195" t="e">
        <f>IF(#REF!=0,"",#REF!)</f>
        <v>#REF!</v>
      </c>
      <c r="AF38" s="195" t="e">
        <f>IF(#REF!=0,"",#REF!)</f>
        <v>#REF!</v>
      </c>
      <c r="AG38" s="195" t="e">
        <f>IF(#REF!=0,"",#REF!)</f>
        <v>#REF!</v>
      </c>
      <c r="AH38" s="195" t="e">
        <f>IF(#REF!=0,"",#REF!)</f>
        <v>#REF!</v>
      </c>
      <c r="AI38" s="195" t="e">
        <f>IF(#REF!=0,"",#REF!)</f>
        <v>#REF!</v>
      </c>
      <c r="AJ38" s="195" t="e">
        <f>IF(#REF!=0,"",#REF!)</f>
        <v>#REF!</v>
      </c>
      <c r="AK38" s="195" t="e">
        <f>IF(#REF!=0,"",#REF!)</f>
        <v>#REF!</v>
      </c>
      <c r="AL38" s="195" t="e">
        <f>IF(#REF!=0,"",#REF!)</f>
        <v>#REF!</v>
      </c>
      <c r="AM38" s="195" t="e">
        <f>IF(#REF!=0,"",#REF!)</f>
        <v>#REF!</v>
      </c>
      <c r="AN38" s="195" t="e">
        <f>IF(#REF!=0,"",#REF!)</f>
        <v>#REF!</v>
      </c>
      <c r="AO38" s="196" t="e">
        <f>IF(#REF!=0,"",#REF!)</f>
        <v>#REF!</v>
      </c>
      <c r="AP38" s="70" t="e">
        <f t="shared" si="5"/>
        <v>#REF!</v>
      </c>
      <c r="AQ38" s="68" t="s">
        <v>151</v>
      </c>
      <c r="AR38" s="70" t="e">
        <f>#REF!</f>
        <v>#REF!</v>
      </c>
      <c r="AS38" s="71" t="e">
        <f>#REF!</f>
        <v>#REF!</v>
      </c>
      <c r="AT38" s="71" t="e">
        <f>#REF!</f>
        <v>#REF!</v>
      </c>
      <c r="AU38" s="72"/>
      <c r="AV38" s="72"/>
      <c r="AW38" s="72"/>
      <c r="AX38" s="72"/>
      <c r="AY38" s="72"/>
      <c r="AZ38" s="72"/>
      <c r="BA38" s="68"/>
      <c r="BB38" s="68"/>
      <c r="BC38" s="68"/>
      <c r="BD38" s="68"/>
    </row>
    <row r="39" spans="1:56" s="73" customFormat="1" ht="19.5" customHeight="1">
      <c r="A39" s="68" t="s">
        <v>609</v>
      </c>
      <c r="B39" s="69" t="e">
        <f>#REF!</f>
        <v>#REF!</v>
      </c>
      <c r="C39" s="70" t="e">
        <f>LEFT(#REF!,6)&amp;RIGHT(#REF!,7)</f>
        <v>#REF!</v>
      </c>
      <c r="D39" s="201" t="e">
        <f>#REF!</f>
        <v>#REF!</v>
      </c>
      <c r="E39" s="251" t="str">
        <f t="shared" si="3"/>
        <v/>
      </c>
      <c r="F39" s="251" t="str">
        <f t="shared" si="4"/>
        <v/>
      </c>
      <c r="G39" s="68"/>
      <c r="H39" s="68"/>
      <c r="I39" s="68"/>
      <c r="J39" s="68" t="s">
        <v>150</v>
      </c>
      <c r="K39" s="194" t="e">
        <f>IF(#REF!=0,"",#REF!)</f>
        <v>#REF!</v>
      </c>
      <c r="L39" s="195" t="e">
        <f>IF(#REF!=0,"",#REF!)</f>
        <v>#REF!</v>
      </c>
      <c r="M39" s="195" t="e">
        <f>IF(#REF!=0,"",#REF!)</f>
        <v>#REF!</v>
      </c>
      <c r="N39" s="195" t="e">
        <f>IF(#REF!=0,"",#REF!)</f>
        <v>#REF!</v>
      </c>
      <c r="O39" s="195" t="e">
        <f>IF(#REF!=0,"",#REF!)</f>
        <v>#REF!</v>
      </c>
      <c r="P39" s="195" t="e">
        <f>IF(#REF!=0,"",#REF!)</f>
        <v>#REF!</v>
      </c>
      <c r="Q39" s="195" t="e">
        <f>IF(#REF!=0,"",#REF!)</f>
        <v>#REF!</v>
      </c>
      <c r="R39" s="195" t="e">
        <f>IF(#REF!=0,"",#REF!)</f>
        <v>#REF!</v>
      </c>
      <c r="S39" s="195" t="e">
        <f>IF(#REF!=0,"",#REF!)</f>
        <v>#REF!</v>
      </c>
      <c r="T39" s="195" t="e">
        <f>IF(#REF!=0,"",#REF!)</f>
        <v>#REF!</v>
      </c>
      <c r="U39" s="195" t="e">
        <f>IF(#REF!=0,"",#REF!)</f>
        <v>#REF!</v>
      </c>
      <c r="V39" s="195" t="e">
        <f>IF(#REF!=0,"",#REF!)</f>
        <v>#REF!</v>
      </c>
      <c r="W39" s="195" t="e">
        <f>IF(#REF!=0,"",#REF!)</f>
        <v>#REF!</v>
      </c>
      <c r="X39" s="195" t="e">
        <f>IF(#REF!=0,"",#REF!)</f>
        <v>#REF!</v>
      </c>
      <c r="Y39" s="195" t="e">
        <f>IF(#REF!=0,"",#REF!)</f>
        <v>#REF!</v>
      </c>
      <c r="Z39" s="195" t="e">
        <f>IF(#REF!=0,"",#REF!)</f>
        <v>#REF!</v>
      </c>
      <c r="AA39" s="195" t="e">
        <f>IF(#REF!=0,"",#REF!)</f>
        <v>#REF!</v>
      </c>
      <c r="AB39" s="195" t="e">
        <f>IF(#REF!=0,"",#REF!)</f>
        <v>#REF!</v>
      </c>
      <c r="AC39" s="195" t="e">
        <f>IF(#REF!=0,"",#REF!)</f>
        <v>#REF!</v>
      </c>
      <c r="AD39" s="195" t="e">
        <f>IF(#REF!=0,"",#REF!)</f>
        <v>#REF!</v>
      </c>
      <c r="AE39" s="195" t="e">
        <f>IF(#REF!=0,"",#REF!)</f>
        <v>#REF!</v>
      </c>
      <c r="AF39" s="195" t="e">
        <f>IF(#REF!=0,"",#REF!)</f>
        <v>#REF!</v>
      </c>
      <c r="AG39" s="195" t="e">
        <f>IF(#REF!=0,"",#REF!)</f>
        <v>#REF!</v>
      </c>
      <c r="AH39" s="195" t="e">
        <f>IF(#REF!=0,"",#REF!)</f>
        <v>#REF!</v>
      </c>
      <c r="AI39" s="195" t="e">
        <f>IF(#REF!=0,"",#REF!)</f>
        <v>#REF!</v>
      </c>
      <c r="AJ39" s="195" t="e">
        <f>IF(#REF!=0,"",#REF!)</f>
        <v>#REF!</v>
      </c>
      <c r="AK39" s="195" t="e">
        <f>IF(#REF!=0,"",#REF!)</f>
        <v>#REF!</v>
      </c>
      <c r="AL39" s="195" t="e">
        <f>IF(#REF!=0,"",#REF!)</f>
        <v>#REF!</v>
      </c>
      <c r="AM39" s="195" t="e">
        <f>IF(#REF!=0,"",#REF!)</f>
        <v>#REF!</v>
      </c>
      <c r="AN39" s="195" t="e">
        <f>IF(#REF!=0,"",#REF!)</f>
        <v>#REF!</v>
      </c>
      <c r="AO39" s="196" t="e">
        <f>IF(#REF!=0,"",#REF!)</f>
        <v>#REF!</v>
      </c>
      <c r="AP39" s="70" t="e">
        <f t="shared" si="5"/>
        <v>#REF!</v>
      </c>
      <c r="AQ39" s="68" t="s">
        <v>151</v>
      </c>
      <c r="AR39" s="70" t="e">
        <f>#REF!</f>
        <v>#REF!</v>
      </c>
      <c r="AS39" s="71" t="e">
        <f>#REF!</f>
        <v>#REF!</v>
      </c>
      <c r="AT39" s="71" t="e">
        <f>#REF!</f>
        <v>#REF!</v>
      </c>
      <c r="AU39" s="72"/>
      <c r="AV39" s="72"/>
      <c r="AW39" s="72"/>
      <c r="AX39" s="72"/>
      <c r="AY39" s="72"/>
      <c r="AZ39" s="72"/>
      <c r="BA39" s="68"/>
      <c r="BB39" s="68"/>
      <c r="BC39" s="68"/>
      <c r="BD39" s="68"/>
    </row>
    <row r="40" spans="1:56" s="73" customFormat="1" ht="19.5" customHeight="1">
      <c r="A40" s="68" t="s">
        <v>609</v>
      </c>
      <c r="B40" s="69" t="e">
        <f>#REF!</f>
        <v>#REF!</v>
      </c>
      <c r="C40" s="70" t="e">
        <f>LEFT(#REF!,6)&amp;RIGHT(#REF!,7)</f>
        <v>#REF!</v>
      </c>
      <c r="D40" s="201" t="e">
        <f>#REF!</f>
        <v>#REF!</v>
      </c>
      <c r="E40" s="251" t="str">
        <f t="shared" si="3"/>
        <v/>
      </c>
      <c r="F40" s="251" t="str">
        <f t="shared" si="4"/>
        <v/>
      </c>
      <c r="G40" s="68"/>
      <c r="H40" s="68"/>
      <c r="I40" s="68"/>
      <c r="J40" s="68" t="s">
        <v>150</v>
      </c>
      <c r="K40" s="194" t="e">
        <f>IF(#REF!=0,"",#REF!)</f>
        <v>#REF!</v>
      </c>
      <c r="L40" s="195" t="e">
        <f>IF(#REF!=0,"",#REF!)</f>
        <v>#REF!</v>
      </c>
      <c r="M40" s="195" t="e">
        <f>IF(#REF!=0,"",#REF!)</f>
        <v>#REF!</v>
      </c>
      <c r="N40" s="195" t="e">
        <f>IF(#REF!=0,"",#REF!)</f>
        <v>#REF!</v>
      </c>
      <c r="O40" s="195" t="e">
        <f>IF(#REF!=0,"",#REF!)</f>
        <v>#REF!</v>
      </c>
      <c r="P40" s="195" t="e">
        <f>IF(#REF!=0,"",#REF!)</f>
        <v>#REF!</v>
      </c>
      <c r="Q40" s="195" t="e">
        <f>IF(#REF!=0,"",#REF!)</f>
        <v>#REF!</v>
      </c>
      <c r="R40" s="195" t="e">
        <f>IF(#REF!=0,"",#REF!)</f>
        <v>#REF!</v>
      </c>
      <c r="S40" s="195" t="e">
        <f>IF(#REF!=0,"",#REF!)</f>
        <v>#REF!</v>
      </c>
      <c r="T40" s="195" t="e">
        <f>IF(#REF!=0,"",#REF!)</f>
        <v>#REF!</v>
      </c>
      <c r="U40" s="195" t="e">
        <f>IF(#REF!=0,"",#REF!)</f>
        <v>#REF!</v>
      </c>
      <c r="V40" s="195" t="e">
        <f>IF(#REF!=0,"",#REF!)</f>
        <v>#REF!</v>
      </c>
      <c r="W40" s="195" t="e">
        <f>IF(#REF!=0,"",#REF!)</f>
        <v>#REF!</v>
      </c>
      <c r="X40" s="195" t="e">
        <f>IF(#REF!=0,"",#REF!)</f>
        <v>#REF!</v>
      </c>
      <c r="Y40" s="195" t="e">
        <f>IF(#REF!=0,"",#REF!)</f>
        <v>#REF!</v>
      </c>
      <c r="Z40" s="195" t="e">
        <f>IF(#REF!=0,"",#REF!)</f>
        <v>#REF!</v>
      </c>
      <c r="AA40" s="195" t="e">
        <f>IF(#REF!=0,"",#REF!)</f>
        <v>#REF!</v>
      </c>
      <c r="AB40" s="195" t="e">
        <f>IF(#REF!=0,"",#REF!)</f>
        <v>#REF!</v>
      </c>
      <c r="AC40" s="195" t="e">
        <f>IF(#REF!=0,"",#REF!)</f>
        <v>#REF!</v>
      </c>
      <c r="AD40" s="195" t="e">
        <f>IF(#REF!=0,"",#REF!)</f>
        <v>#REF!</v>
      </c>
      <c r="AE40" s="195" t="e">
        <f>IF(#REF!=0,"",#REF!)</f>
        <v>#REF!</v>
      </c>
      <c r="AF40" s="195" t="e">
        <f>IF(#REF!=0,"",#REF!)</f>
        <v>#REF!</v>
      </c>
      <c r="AG40" s="195" t="e">
        <f>IF(#REF!=0,"",#REF!)</f>
        <v>#REF!</v>
      </c>
      <c r="AH40" s="195" t="e">
        <f>IF(#REF!=0,"",#REF!)</f>
        <v>#REF!</v>
      </c>
      <c r="AI40" s="195" t="e">
        <f>IF(#REF!=0,"",#REF!)</f>
        <v>#REF!</v>
      </c>
      <c r="AJ40" s="195" t="e">
        <f>IF(#REF!=0,"",#REF!)</f>
        <v>#REF!</v>
      </c>
      <c r="AK40" s="195" t="e">
        <f>IF(#REF!=0,"",#REF!)</f>
        <v>#REF!</v>
      </c>
      <c r="AL40" s="195" t="e">
        <f>IF(#REF!=0,"",#REF!)</f>
        <v>#REF!</v>
      </c>
      <c r="AM40" s="195" t="e">
        <f>IF(#REF!=0,"",#REF!)</f>
        <v>#REF!</v>
      </c>
      <c r="AN40" s="195" t="e">
        <f>IF(#REF!=0,"",#REF!)</f>
        <v>#REF!</v>
      </c>
      <c r="AO40" s="196" t="e">
        <f>IF(#REF!=0,"",#REF!)</f>
        <v>#REF!</v>
      </c>
      <c r="AP40" s="70" t="e">
        <f t="shared" si="5"/>
        <v>#REF!</v>
      </c>
      <c r="AQ40" s="68" t="s">
        <v>151</v>
      </c>
      <c r="AR40" s="70" t="e">
        <f>#REF!</f>
        <v>#REF!</v>
      </c>
      <c r="AS40" s="71" t="e">
        <f>#REF!</f>
        <v>#REF!</v>
      </c>
      <c r="AT40" s="71" t="e">
        <f>#REF!</f>
        <v>#REF!</v>
      </c>
      <c r="AU40" s="72"/>
      <c r="AV40" s="72"/>
      <c r="AW40" s="72"/>
      <c r="AX40" s="72"/>
      <c r="AY40" s="72"/>
      <c r="AZ40" s="72"/>
      <c r="BA40" s="68"/>
      <c r="BB40" s="68"/>
      <c r="BC40" s="68"/>
      <c r="BD40" s="68"/>
    </row>
    <row r="41" spans="1:56" s="73" customFormat="1" ht="19.5" customHeight="1">
      <c r="A41" s="68" t="s">
        <v>609</v>
      </c>
      <c r="B41" s="69" t="e">
        <f>#REF!</f>
        <v>#REF!</v>
      </c>
      <c r="C41" s="70" t="e">
        <f>LEFT(#REF!,6)&amp;RIGHT(#REF!,7)</f>
        <v>#REF!</v>
      </c>
      <c r="D41" s="201" t="e">
        <f>#REF!</f>
        <v>#REF!</v>
      </c>
      <c r="E41" s="251" t="str">
        <f t="shared" si="3"/>
        <v/>
      </c>
      <c r="F41" s="251" t="str">
        <f t="shared" si="4"/>
        <v/>
      </c>
      <c r="G41" s="68"/>
      <c r="H41" s="68"/>
      <c r="I41" s="68"/>
      <c r="J41" s="68" t="s">
        <v>150</v>
      </c>
      <c r="K41" s="194" t="e">
        <f>IF(#REF!=0,"",#REF!)</f>
        <v>#REF!</v>
      </c>
      <c r="L41" s="195" t="e">
        <f>IF(#REF!=0,"",#REF!)</f>
        <v>#REF!</v>
      </c>
      <c r="M41" s="195" t="e">
        <f>IF(#REF!=0,"",#REF!)</f>
        <v>#REF!</v>
      </c>
      <c r="N41" s="195" t="e">
        <f>IF(#REF!=0,"",#REF!)</f>
        <v>#REF!</v>
      </c>
      <c r="O41" s="195" t="e">
        <f>IF(#REF!=0,"",#REF!)</f>
        <v>#REF!</v>
      </c>
      <c r="P41" s="195" t="e">
        <f>IF(#REF!=0,"",#REF!)</f>
        <v>#REF!</v>
      </c>
      <c r="Q41" s="195" t="e">
        <f>IF(#REF!=0,"",#REF!)</f>
        <v>#REF!</v>
      </c>
      <c r="R41" s="195" t="e">
        <f>IF(#REF!=0,"",#REF!)</f>
        <v>#REF!</v>
      </c>
      <c r="S41" s="195" t="e">
        <f>IF(#REF!=0,"",#REF!)</f>
        <v>#REF!</v>
      </c>
      <c r="T41" s="195" t="e">
        <f>IF(#REF!=0,"",#REF!)</f>
        <v>#REF!</v>
      </c>
      <c r="U41" s="195" t="e">
        <f>IF(#REF!=0,"",#REF!)</f>
        <v>#REF!</v>
      </c>
      <c r="V41" s="195" t="e">
        <f>IF(#REF!=0,"",#REF!)</f>
        <v>#REF!</v>
      </c>
      <c r="W41" s="195" t="e">
        <f>IF(#REF!=0,"",#REF!)</f>
        <v>#REF!</v>
      </c>
      <c r="X41" s="195" t="e">
        <f>IF(#REF!=0,"",#REF!)</f>
        <v>#REF!</v>
      </c>
      <c r="Y41" s="195" t="e">
        <f>IF(#REF!=0,"",#REF!)</f>
        <v>#REF!</v>
      </c>
      <c r="Z41" s="195" t="e">
        <f>IF(#REF!=0,"",#REF!)</f>
        <v>#REF!</v>
      </c>
      <c r="AA41" s="195" t="e">
        <f>IF(#REF!=0,"",#REF!)</f>
        <v>#REF!</v>
      </c>
      <c r="AB41" s="195" t="e">
        <f>IF(#REF!=0,"",#REF!)</f>
        <v>#REF!</v>
      </c>
      <c r="AC41" s="195" t="e">
        <f>IF(#REF!=0,"",#REF!)</f>
        <v>#REF!</v>
      </c>
      <c r="AD41" s="195" t="e">
        <f>IF(#REF!=0,"",#REF!)</f>
        <v>#REF!</v>
      </c>
      <c r="AE41" s="195" t="e">
        <f>IF(#REF!=0,"",#REF!)</f>
        <v>#REF!</v>
      </c>
      <c r="AF41" s="195" t="e">
        <f>IF(#REF!=0,"",#REF!)</f>
        <v>#REF!</v>
      </c>
      <c r="AG41" s="195" t="e">
        <f>IF(#REF!=0,"",#REF!)</f>
        <v>#REF!</v>
      </c>
      <c r="AH41" s="195" t="e">
        <f>IF(#REF!=0,"",#REF!)</f>
        <v>#REF!</v>
      </c>
      <c r="AI41" s="195" t="e">
        <f>IF(#REF!=0,"",#REF!)</f>
        <v>#REF!</v>
      </c>
      <c r="AJ41" s="195" t="e">
        <f>IF(#REF!=0,"",#REF!)</f>
        <v>#REF!</v>
      </c>
      <c r="AK41" s="195" t="e">
        <f>IF(#REF!=0,"",#REF!)</f>
        <v>#REF!</v>
      </c>
      <c r="AL41" s="195" t="e">
        <f>IF(#REF!=0,"",#REF!)</f>
        <v>#REF!</v>
      </c>
      <c r="AM41" s="195" t="e">
        <f>IF(#REF!=0,"",#REF!)</f>
        <v>#REF!</v>
      </c>
      <c r="AN41" s="195" t="e">
        <f>IF(#REF!=0,"",#REF!)</f>
        <v>#REF!</v>
      </c>
      <c r="AO41" s="196" t="e">
        <f>IF(#REF!=0,"",#REF!)</f>
        <v>#REF!</v>
      </c>
      <c r="AP41" s="70" t="e">
        <f t="shared" si="5"/>
        <v>#REF!</v>
      </c>
      <c r="AQ41" s="68" t="s">
        <v>151</v>
      </c>
      <c r="AR41" s="70" t="e">
        <f>#REF!</f>
        <v>#REF!</v>
      </c>
      <c r="AS41" s="71" t="e">
        <f>#REF!</f>
        <v>#REF!</v>
      </c>
      <c r="AT41" s="71" t="e">
        <f>#REF!</f>
        <v>#REF!</v>
      </c>
      <c r="AU41" s="72"/>
      <c r="AV41" s="72"/>
      <c r="AW41" s="72"/>
      <c r="AX41" s="72"/>
      <c r="AY41" s="72"/>
      <c r="AZ41" s="72"/>
      <c r="BA41" s="68"/>
      <c r="BB41" s="68"/>
      <c r="BC41" s="68"/>
      <c r="BD41" s="68"/>
    </row>
    <row r="42" spans="1:56" s="73" customFormat="1" ht="19.5" customHeight="1">
      <c r="A42" s="68" t="s">
        <v>609</v>
      </c>
      <c r="B42" s="69" t="e">
        <f>#REF!</f>
        <v>#REF!</v>
      </c>
      <c r="C42" s="70" t="e">
        <f>LEFT(#REF!,6)&amp;RIGHT(#REF!,7)</f>
        <v>#REF!</v>
      </c>
      <c r="D42" s="201" t="e">
        <f>#REF!</f>
        <v>#REF!</v>
      </c>
      <c r="E42" s="251" t="str">
        <f t="shared" si="3"/>
        <v/>
      </c>
      <c r="F42" s="251" t="str">
        <f t="shared" si="4"/>
        <v/>
      </c>
      <c r="G42" s="68"/>
      <c r="H42" s="68"/>
      <c r="I42" s="68"/>
      <c r="J42" s="68" t="s">
        <v>150</v>
      </c>
      <c r="K42" s="194" t="e">
        <f>IF(#REF!=0,"",#REF!)</f>
        <v>#REF!</v>
      </c>
      <c r="L42" s="195" t="e">
        <f>IF(#REF!=0,"",#REF!)</f>
        <v>#REF!</v>
      </c>
      <c r="M42" s="195" t="e">
        <f>IF(#REF!=0,"",#REF!)</f>
        <v>#REF!</v>
      </c>
      <c r="N42" s="195" t="e">
        <f>IF(#REF!=0,"",#REF!)</f>
        <v>#REF!</v>
      </c>
      <c r="O42" s="195" t="e">
        <f>IF(#REF!=0,"",#REF!)</f>
        <v>#REF!</v>
      </c>
      <c r="P42" s="195" t="e">
        <f>IF(#REF!=0,"",#REF!)</f>
        <v>#REF!</v>
      </c>
      <c r="Q42" s="195" t="e">
        <f>IF(#REF!=0,"",#REF!)</f>
        <v>#REF!</v>
      </c>
      <c r="R42" s="195" t="e">
        <f>IF(#REF!=0,"",#REF!)</f>
        <v>#REF!</v>
      </c>
      <c r="S42" s="195" t="e">
        <f>IF(#REF!=0,"",#REF!)</f>
        <v>#REF!</v>
      </c>
      <c r="T42" s="195" t="e">
        <f>IF(#REF!=0,"",#REF!)</f>
        <v>#REF!</v>
      </c>
      <c r="U42" s="195" t="e">
        <f>IF(#REF!=0,"",#REF!)</f>
        <v>#REF!</v>
      </c>
      <c r="V42" s="195" t="e">
        <f>IF(#REF!=0,"",#REF!)</f>
        <v>#REF!</v>
      </c>
      <c r="W42" s="195" t="e">
        <f>IF(#REF!=0,"",#REF!)</f>
        <v>#REF!</v>
      </c>
      <c r="X42" s="195" t="e">
        <f>IF(#REF!=0,"",#REF!)</f>
        <v>#REF!</v>
      </c>
      <c r="Y42" s="195" t="e">
        <f>IF(#REF!=0,"",#REF!)</f>
        <v>#REF!</v>
      </c>
      <c r="Z42" s="195" t="e">
        <f>IF(#REF!=0,"",#REF!)</f>
        <v>#REF!</v>
      </c>
      <c r="AA42" s="195" t="e">
        <f>IF(#REF!=0,"",#REF!)</f>
        <v>#REF!</v>
      </c>
      <c r="AB42" s="195" t="e">
        <f>IF(#REF!=0,"",#REF!)</f>
        <v>#REF!</v>
      </c>
      <c r="AC42" s="195" t="e">
        <f>IF(#REF!=0,"",#REF!)</f>
        <v>#REF!</v>
      </c>
      <c r="AD42" s="195" t="e">
        <f>IF(#REF!=0,"",#REF!)</f>
        <v>#REF!</v>
      </c>
      <c r="AE42" s="195" t="e">
        <f>IF(#REF!=0,"",#REF!)</f>
        <v>#REF!</v>
      </c>
      <c r="AF42" s="195" t="e">
        <f>IF(#REF!=0,"",#REF!)</f>
        <v>#REF!</v>
      </c>
      <c r="AG42" s="195" t="e">
        <f>IF(#REF!=0,"",#REF!)</f>
        <v>#REF!</v>
      </c>
      <c r="AH42" s="195" t="e">
        <f>IF(#REF!=0,"",#REF!)</f>
        <v>#REF!</v>
      </c>
      <c r="AI42" s="195" t="e">
        <f>IF(#REF!=0,"",#REF!)</f>
        <v>#REF!</v>
      </c>
      <c r="AJ42" s="195" t="e">
        <f>IF(#REF!=0,"",#REF!)</f>
        <v>#REF!</v>
      </c>
      <c r="AK42" s="195" t="e">
        <f>IF(#REF!=0,"",#REF!)</f>
        <v>#REF!</v>
      </c>
      <c r="AL42" s="195" t="e">
        <f>IF(#REF!=0,"",#REF!)</f>
        <v>#REF!</v>
      </c>
      <c r="AM42" s="195" t="e">
        <f>IF(#REF!=0,"",#REF!)</f>
        <v>#REF!</v>
      </c>
      <c r="AN42" s="195" t="e">
        <f>IF(#REF!=0,"",#REF!)</f>
        <v>#REF!</v>
      </c>
      <c r="AO42" s="196" t="e">
        <f>IF(#REF!=0,"",#REF!)</f>
        <v>#REF!</v>
      </c>
      <c r="AP42" s="70" t="e">
        <f t="shared" si="5"/>
        <v>#REF!</v>
      </c>
      <c r="AQ42" s="68" t="s">
        <v>151</v>
      </c>
      <c r="AR42" s="70" t="e">
        <f>#REF!</f>
        <v>#REF!</v>
      </c>
      <c r="AS42" s="71" t="e">
        <f>#REF!</f>
        <v>#REF!</v>
      </c>
      <c r="AT42" s="71" t="e">
        <f>#REF!</f>
        <v>#REF!</v>
      </c>
      <c r="AU42" s="72"/>
      <c r="AV42" s="72"/>
      <c r="AW42" s="72"/>
      <c r="AX42" s="72"/>
      <c r="AY42" s="72"/>
      <c r="AZ42" s="72"/>
      <c r="BA42" s="68"/>
      <c r="BB42" s="68"/>
      <c r="BC42" s="68"/>
      <c r="BD42" s="68"/>
    </row>
    <row r="43" spans="1:56" s="73" customFormat="1" ht="19.5" customHeight="1">
      <c r="A43" s="68" t="s">
        <v>609</v>
      </c>
      <c r="B43" s="69" t="e">
        <f>#REF!</f>
        <v>#REF!</v>
      </c>
      <c r="C43" s="70" t="e">
        <f>LEFT(#REF!,6)&amp;RIGHT(#REF!,7)</f>
        <v>#REF!</v>
      </c>
      <c r="D43" s="201" t="e">
        <f>#REF!</f>
        <v>#REF!</v>
      </c>
      <c r="E43" s="251" t="str">
        <f t="shared" si="3"/>
        <v/>
      </c>
      <c r="F43" s="251" t="str">
        <f t="shared" si="4"/>
        <v/>
      </c>
      <c r="G43" s="68"/>
      <c r="H43" s="68"/>
      <c r="I43" s="68"/>
      <c r="J43" s="68" t="s">
        <v>150</v>
      </c>
      <c r="K43" s="194" t="e">
        <f>IF(#REF!=0,"",#REF!)</f>
        <v>#REF!</v>
      </c>
      <c r="L43" s="195" t="e">
        <f>IF(#REF!=0,"",#REF!)</f>
        <v>#REF!</v>
      </c>
      <c r="M43" s="195" t="e">
        <f>IF(#REF!=0,"",#REF!)</f>
        <v>#REF!</v>
      </c>
      <c r="N43" s="195" t="e">
        <f>IF(#REF!=0,"",#REF!)</f>
        <v>#REF!</v>
      </c>
      <c r="O43" s="195" t="e">
        <f>IF(#REF!=0,"",#REF!)</f>
        <v>#REF!</v>
      </c>
      <c r="P43" s="195" t="e">
        <f>IF(#REF!=0,"",#REF!)</f>
        <v>#REF!</v>
      </c>
      <c r="Q43" s="195" t="e">
        <f>IF(#REF!=0,"",#REF!)</f>
        <v>#REF!</v>
      </c>
      <c r="R43" s="195" t="e">
        <f>IF(#REF!=0,"",#REF!)</f>
        <v>#REF!</v>
      </c>
      <c r="S43" s="195" t="e">
        <f>IF(#REF!=0,"",#REF!)</f>
        <v>#REF!</v>
      </c>
      <c r="T43" s="195" t="e">
        <f>IF(#REF!=0,"",#REF!)</f>
        <v>#REF!</v>
      </c>
      <c r="U43" s="195" t="e">
        <f>IF(#REF!=0,"",#REF!)</f>
        <v>#REF!</v>
      </c>
      <c r="V43" s="195" t="e">
        <f>IF(#REF!=0,"",#REF!)</f>
        <v>#REF!</v>
      </c>
      <c r="W43" s="195" t="e">
        <f>IF(#REF!=0,"",#REF!)</f>
        <v>#REF!</v>
      </c>
      <c r="X43" s="195" t="e">
        <f>IF(#REF!=0,"",#REF!)</f>
        <v>#REF!</v>
      </c>
      <c r="Y43" s="195" t="e">
        <f>IF(#REF!=0,"",#REF!)</f>
        <v>#REF!</v>
      </c>
      <c r="Z43" s="195" t="e">
        <f>IF(#REF!=0,"",#REF!)</f>
        <v>#REF!</v>
      </c>
      <c r="AA43" s="195" t="e">
        <f>IF(#REF!=0,"",#REF!)</f>
        <v>#REF!</v>
      </c>
      <c r="AB43" s="195" t="e">
        <f>IF(#REF!=0,"",#REF!)</f>
        <v>#REF!</v>
      </c>
      <c r="AC43" s="195" t="e">
        <f>IF(#REF!=0,"",#REF!)</f>
        <v>#REF!</v>
      </c>
      <c r="AD43" s="195" t="e">
        <f>IF(#REF!=0,"",#REF!)</f>
        <v>#REF!</v>
      </c>
      <c r="AE43" s="195" t="e">
        <f>IF(#REF!=0,"",#REF!)</f>
        <v>#REF!</v>
      </c>
      <c r="AF43" s="195" t="e">
        <f>IF(#REF!=0,"",#REF!)</f>
        <v>#REF!</v>
      </c>
      <c r="AG43" s="195" t="e">
        <f>IF(#REF!=0,"",#REF!)</f>
        <v>#REF!</v>
      </c>
      <c r="AH43" s="195" t="e">
        <f>IF(#REF!=0,"",#REF!)</f>
        <v>#REF!</v>
      </c>
      <c r="AI43" s="195" t="e">
        <f>IF(#REF!=0,"",#REF!)</f>
        <v>#REF!</v>
      </c>
      <c r="AJ43" s="195" t="e">
        <f>IF(#REF!=0,"",#REF!)</f>
        <v>#REF!</v>
      </c>
      <c r="AK43" s="195" t="e">
        <f>IF(#REF!=0,"",#REF!)</f>
        <v>#REF!</v>
      </c>
      <c r="AL43" s="195" t="e">
        <f>IF(#REF!=0,"",#REF!)</f>
        <v>#REF!</v>
      </c>
      <c r="AM43" s="195" t="e">
        <f>IF(#REF!=0,"",#REF!)</f>
        <v>#REF!</v>
      </c>
      <c r="AN43" s="195" t="e">
        <f>IF(#REF!=0,"",#REF!)</f>
        <v>#REF!</v>
      </c>
      <c r="AO43" s="196" t="e">
        <f>IF(#REF!=0,"",#REF!)</f>
        <v>#REF!</v>
      </c>
      <c r="AP43" s="70" t="e">
        <f t="shared" si="5"/>
        <v>#REF!</v>
      </c>
      <c r="AQ43" s="68" t="s">
        <v>151</v>
      </c>
      <c r="AR43" s="70" t="e">
        <f>#REF!</f>
        <v>#REF!</v>
      </c>
      <c r="AS43" s="71" t="e">
        <f>#REF!</f>
        <v>#REF!</v>
      </c>
      <c r="AT43" s="71" t="e">
        <f>#REF!</f>
        <v>#REF!</v>
      </c>
      <c r="AU43" s="72"/>
      <c r="AV43" s="72"/>
      <c r="AW43" s="72"/>
      <c r="AX43" s="72"/>
      <c r="AY43" s="72"/>
      <c r="AZ43" s="72"/>
      <c r="BA43" s="68"/>
      <c r="BB43" s="68"/>
      <c r="BC43" s="68"/>
      <c r="BD43" s="68"/>
    </row>
    <row r="44" spans="1:56" s="73" customFormat="1" ht="19.5" customHeight="1">
      <c r="A44" s="68" t="s">
        <v>609</v>
      </c>
      <c r="B44" s="69" t="e">
        <f>#REF!</f>
        <v>#REF!</v>
      </c>
      <c r="C44" s="70" t="e">
        <f>LEFT(#REF!,6)&amp;RIGHT(#REF!,7)</f>
        <v>#REF!</v>
      </c>
      <c r="D44" s="201" t="e">
        <f>#REF!</f>
        <v>#REF!</v>
      </c>
      <c r="E44" s="251" t="str">
        <f t="shared" si="3"/>
        <v/>
      </c>
      <c r="F44" s="251" t="str">
        <f t="shared" si="4"/>
        <v/>
      </c>
      <c r="G44" s="68"/>
      <c r="H44" s="68"/>
      <c r="I44" s="68"/>
      <c r="J44" s="68" t="s">
        <v>150</v>
      </c>
      <c r="K44" s="194" t="e">
        <f>IF(#REF!=0,"",#REF!)</f>
        <v>#REF!</v>
      </c>
      <c r="L44" s="195" t="e">
        <f>IF(#REF!=0,"",#REF!)</f>
        <v>#REF!</v>
      </c>
      <c r="M44" s="195" t="e">
        <f>IF(#REF!=0,"",#REF!)</f>
        <v>#REF!</v>
      </c>
      <c r="N44" s="195" t="e">
        <f>IF(#REF!=0,"",#REF!)</f>
        <v>#REF!</v>
      </c>
      <c r="O44" s="195" t="e">
        <f>IF(#REF!=0,"",#REF!)</f>
        <v>#REF!</v>
      </c>
      <c r="P44" s="195" t="e">
        <f>IF(#REF!=0,"",#REF!)</f>
        <v>#REF!</v>
      </c>
      <c r="Q44" s="195" t="e">
        <f>IF(#REF!=0,"",#REF!)</f>
        <v>#REF!</v>
      </c>
      <c r="R44" s="195" t="e">
        <f>IF(#REF!=0,"",#REF!)</f>
        <v>#REF!</v>
      </c>
      <c r="S44" s="195" t="e">
        <f>IF(#REF!=0,"",#REF!)</f>
        <v>#REF!</v>
      </c>
      <c r="T44" s="195" t="e">
        <f>IF(#REF!=0,"",#REF!)</f>
        <v>#REF!</v>
      </c>
      <c r="U44" s="195" t="e">
        <f>IF(#REF!=0,"",#REF!)</f>
        <v>#REF!</v>
      </c>
      <c r="V44" s="195" t="e">
        <f>IF(#REF!=0,"",#REF!)</f>
        <v>#REF!</v>
      </c>
      <c r="W44" s="195" t="e">
        <f>IF(#REF!=0,"",#REF!)</f>
        <v>#REF!</v>
      </c>
      <c r="X44" s="195" t="e">
        <f>IF(#REF!=0,"",#REF!)</f>
        <v>#REF!</v>
      </c>
      <c r="Y44" s="195" t="e">
        <f>IF(#REF!=0,"",#REF!)</f>
        <v>#REF!</v>
      </c>
      <c r="Z44" s="195" t="e">
        <f>IF(#REF!=0,"",#REF!)</f>
        <v>#REF!</v>
      </c>
      <c r="AA44" s="195" t="e">
        <f>IF(#REF!=0,"",#REF!)</f>
        <v>#REF!</v>
      </c>
      <c r="AB44" s="195" t="e">
        <f>IF(#REF!=0,"",#REF!)</f>
        <v>#REF!</v>
      </c>
      <c r="AC44" s="195" t="e">
        <f>IF(#REF!=0,"",#REF!)</f>
        <v>#REF!</v>
      </c>
      <c r="AD44" s="195" t="e">
        <f>IF(#REF!=0,"",#REF!)</f>
        <v>#REF!</v>
      </c>
      <c r="AE44" s="195" t="e">
        <f>IF(#REF!=0,"",#REF!)</f>
        <v>#REF!</v>
      </c>
      <c r="AF44" s="195" t="e">
        <f>IF(#REF!=0,"",#REF!)</f>
        <v>#REF!</v>
      </c>
      <c r="AG44" s="195" t="e">
        <f>IF(#REF!=0,"",#REF!)</f>
        <v>#REF!</v>
      </c>
      <c r="AH44" s="195" t="e">
        <f>IF(#REF!=0,"",#REF!)</f>
        <v>#REF!</v>
      </c>
      <c r="AI44" s="195" t="e">
        <f>IF(#REF!=0,"",#REF!)</f>
        <v>#REF!</v>
      </c>
      <c r="AJ44" s="195" t="e">
        <f>IF(#REF!=0,"",#REF!)</f>
        <v>#REF!</v>
      </c>
      <c r="AK44" s="195" t="e">
        <f>IF(#REF!=0,"",#REF!)</f>
        <v>#REF!</v>
      </c>
      <c r="AL44" s="195" t="e">
        <f>IF(#REF!=0,"",#REF!)</f>
        <v>#REF!</v>
      </c>
      <c r="AM44" s="195" t="e">
        <f>IF(#REF!=0,"",#REF!)</f>
        <v>#REF!</v>
      </c>
      <c r="AN44" s="195" t="e">
        <f>IF(#REF!=0,"",#REF!)</f>
        <v>#REF!</v>
      </c>
      <c r="AO44" s="196" t="e">
        <f>IF(#REF!=0,"",#REF!)</f>
        <v>#REF!</v>
      </c>
      <c r="AP44" s="70" t="e">
        <f t="shared" si="5"/>
        <v>#REF!</v>
      </c>
      <c r="AQ44" s="68" t="s">
        <v>151</v>
      </c>
      <c r="AR44" s="70" t="e">
        <f>#REF!</f>
        <v>#REF!</v>
      </c>
      <c r="AS44" s="71" t="e">
        <f>#REF!</f>
        <v>#REF!</v>
      </c>
      <c r="AT44" s="71" t="e">
        <f>#REF!</f>
        <v>#REF!</v>
      </c>
      <c r="AU44" s="72"/>
      <c r="AV44" s="72"/>
      <c r="AW44" s="72"/>
      <c r="AX44" s="72"/>
      <c r="AY44" s="72"/>
      <c r="AZ44" s="72"/>
      <c r="BA44" s="68"/>
      <c r="BB44" s="68"/>
      <c r="BC44" s="68"/>
      <c r="BD44" s="68"/>
    </row>
    <row r="45" spans="1:56" s="73" customFormat="1" ht="19.5" customHeight="1">
      <c r="A45" s="68" t="s">
        <v>609</v>
      </c>
      <c r="B45" s="69" t="e">
        <f>#REF!</f>
        <v>#REF!</v>
      </c>
      <c r="C45" s="70" t="e">
        <f>LEFT(#REF!,6)&amp;RIGHT(#REF!,7)</f>
        <v>#REF!</v>
      </c>
      <c r="D45" s="201" t="e">
        <f>#REF!</f>
        <v>#REF!</v>
      </c>
      <c r="E45" s="251" t="str">
        <f t="shared" si="3"/>
        <v/>
      </c>
      <c r="F45" s="251" t="str">
        <f t="shared" si="4"/>
        <v/>
      </c>
      <c r="G45" s="68"/>
      <c r="H45" s="68"/>
      <c r="I45" s="68"/>
      <c r="J45" s="68" t="s">
        <v>150</v>
      </c>
      <c r="K45" s="194" t="e">
        <f>IF(#REF!=0,"",#REF!)</f>
        <v>#REF!</v>
      </c>
      <c r="L45" s="195" t="e">
        <f>IF(#REF!=0,"",#REF!)</f>
        <v>#REF!</v>
      </c>
      <c r="M45" s="195" t="e">
        <f>IF(#REF!=0,"",#REF!)</f>
        <v>#REF!</v>
      </c>
      <c r="N45" s="195" t="e">
        <f>IF(#REF!=0,"",#REF!)</f>
        <v>#REF!</v>
      </c>
      <c r="O45" s="195" t="e">
        <f>IF(#REF!=0,"",#REF!)</f>
        <v>#REF!</v>
      </c>
      <c r="P45" s="195" t="e">
        <f>IF(#REF!=0,"",#REF!)</f>
        <v>#REF!</v>
      </c>
      <c r="Q45" s="195" t="e">
        <f>IF(#REF!=0,"",#REF!)</f>
        <v>#REF!</v>
      </c>
      <c r="R45" s="195" t="e">
        <f>IF(#REF!=0,"",#REF!)</f>
        <v>#REF!</v>
      </c>
      <c r="S45" s="195" t="e">
        <f>IF(#REF!=0,"",#REF!)</f>
        <v>#REF!</v>
      </c>
      <c r="T45" s="195" t="e">
        <f>IF(#REF!=0,"",#REF!)</f>
        <v>#REF!</v>
      </c>
      <c r="U45" s="195" t="e">
        <f>IF(#REF!=0,"",#REF!)</f>
        <v>#REF!</v>
      </c>
      <c r="V45" s="195" t="e">
        <f>IF(#REF!=0,"",#REF!)</f>
        <v>#REF!</v>
      </c>
      <c r="W45" s="195" t="e">
        <f>IF(#REF!=0,"",#REF!)</f>
        <v>#REF!</v>
      </c>
      <c r="X45" s="195" t="e">
        <f>IF(#REF!=0,"",#REF!)</f>
        <v>#REF!</v>
      </c>
      <c r="Y45" s="195" t="e">
        <f>IF(#REF!=0,"",#REF!)</f>
        <v>#REF!</v>
      </c>
      <c r="Z45" s="195" t="e">
        <f>IF(#REF!=0,"",#REF!)</f>
        <v>#REF!</v>
      </c>
      <c r="AA45" s="195" t="e">
        <f>IF(#REF!=0,"",#REF!)</f>
        <v>#REF!</v>
      </c>
      <c r="AB45" s="195" t="e">
        <f>IF(#REF!=0,"",#REF!)</f>
        <v>#REF!</v>
      </c>
      <c r="AC45" s="195" t="e">
        <f>IF(#REF!=0,"",#REF!)</f>
        <v>#REF!</v>
      </c>
      <c r="AD45" s="195" t="e">
        <f>IF(#REF!=0,"",#REF!)</f>
        <v>#REF!</v>
      </c>
      <c r="AE45" s="195" t="e">
        <f>IF(#REF!=0,"",#REF!)</f>
        <v>#REF!</v>
      </c>
      <c r="AF45" s="195" t="e">
        <f>IF(#REF!=0,"",#REF!)</f>
        <v>#REF!</v>
      </c>
      <c r="AG45" s="195" t="e">
        <f>IF(#REF!=0,"",#REF!)</f>
        <v>#REF!</v>
      </c>
      <c r="AH45" s="195" t="e">
        <f>IF(#REF!=0,"",#REF!)</f>
        <v>#REF!</v>
      </c>
      <c r="AI45" s="195" t="e">
        <f>IF(#REF!=0,"",#REF!)</f>
        <v>#REF!</v>
      </c>
      <c r="AJ45" s="195" t="e">
        <f>IF(#REF!=0,"",#REF!)</f>
        <v>#REF!</v>
      </c>
      <c r="AK45" s="195" t="e">
        <f>IF(#REF!=0,"",#REF!)</f>
        <v>#REF!</v>
      </c>
      <c r="AL45" s="195" t="e">
        <f>IF(#REF!=0,"",#REF!)</f>
        <v>#REF!</v>
      </c>
      <c r="AM45" s="195" t="e">
        <f>IF(#REF!=0,"",#REF!)</f>
        <v>#REF!</v>
      </c>
      <c r="AN45" s="195" t="e">
        <f>IF(#REF!=0,"",#REF!)</f>
        <v>#REF!</v>
      </c>
      <c r="AO45" s="196" t="e">
        <f>IF(#REF!=0,"",#REF!)</f>
        <v>#REF!</v>
      </c>
      <c r="AP45" s="70" t="e">
        <f t="shared" si="5"/>
        <v>#REF!</v>
      </c>
      <c r="AQ45" s="68" t="s">
        <v>151</v>
      </c>
      <c r="AR45" s="70" t="e">
        <f>#REF!</f>
        <v>#REF!</v>
      </c>
      <c r="AS45" s="71" t="e">
        <f>#REF!</f>
        <v>#REF!</v>
      </c>
      <c r="AT45" s="71" t="e">
        <f>#REF!</f>
        <v>#REF!</v>
      </c>
      <c r="AU45" s="72"/>
      <c r="AV45" s="72"/>
      <c r="AW45" s="72"/>
      <c r="AX45" s="72"/>
      <c r="AY45" s="72"/>
      <c r="AZ45" s="72"/>
      <c r="BA45" s="68"/>
      <c r="BB45" s="68"/>
      <c r="BC45" s="68"/>
      <c r="BD45" s="68"/>
    </row>
    <row r="46" spans="1:56" s="73" customFormat="1" ht="19.5" customHeight="1">
      <c r="A46" s="68" t="s">
        <v>609</v>
      </c>
      <c r="B46" s="69" t="e">
        <f>#REF!</f>
        <v>#REF!</v>
      </c>
      <c r="C46" s="70" t="e">
        <f>LEFT(#REF!,6)&amp;RIGHT(#REF!,7)</f>
        <v>#REF!</v>
      </c>
      <c r="D46" s="201" t="e">
        <f>#REF!</f>
        <v>#REF!</v>
      </c>
      <c r="E46" s="251" t="str">
        <f t="shared" si="3"/>
        <v/>
      </c>
      <c r="F46" s="251" t="str">
        <f t="shared" si="4"/>
        <v/>
      </c>
      <c r="G46" s="68"/>
      <c r="H46" s="68"/>
      <c r="I46" s="68"/>
      <c r="J46" s="68" t="s">
        <v>150</v>
      </c>
      <c r="K46" s="194" t="e">
        <f>IF(#REF!=0,"",#REF!)</f>
        <v>#REF!</v>
      </c>
      <c r="L46" s="195" t="e">
        <f>IF(#REF!=0,"",#REF!)</f>
        <v>#REF!</v>
      </c>
      <c r="M46" s="195" t="e">
        <f>IF(#REF!=0,"",#REF!)</f>
        <v>#REF!</v>
      </c>
      <c r="N46" s="195" t="e">
        <f>IF(#REF!=0,"",#REF!)</f>
        <v>#REF!</v>
      </c>
      <c r="O46" s="195" t="e">
        <f>IF(#REF!=0,"",#REF!)</f>
        <v>#REF!</v>
      </c>
      <c r="P46" s="195" t="e">
        <f>IF(#REF!=0,"",#REF!)</f>
        <v>#REF!</v>
      </c>
      <c r="Q46" s="195" t="e">
        <f>IF(#REF!=0,"",#REF!)</f>
        <v>#REF!</v>
      </c>
      <c r="R46" s="195" t="e">
        <f>IF(#REF!=0,"",#REF!)</f>
        <v>#REF!</v>
      </c>
      <c r="S46" s="195" t="e">
        <f>IF(#REF!=0,"",#REF!)</f>
        <v>#REF!</v>
      </c>
      <c r="T46" s="195" t="e">
        <f>IF(#REF!=0,"",#REF!)</f>
        <v>#REF!</v>
      </c>
      <c r="U46" s="195" t="e">
        <f>IF(#REF!=0,"",#REF!)</f>
        <v>#REF!</v>
      </c>
      <c r="V46" s="195" t="e">
        <f>IF(#REF!=0,"",#REF!)</f>
        <v>#REF!</v>
      </c>
      <c r="W46" s="195" t="e">
        <f>IF(#REF!=0,"",#REF!)</f>
        <v>#REF!</v>
      </c>
      <c r="X46" s="195" t="e">
        <f>IF(#REF!=0,"",#REF!)</f>
        <v>#REF!</v>
      </c>
      <c r="Y46" s="195" t="e">
        <f>IF(#REF!=0,"",#REF!)</f>
        <v>#REF!</v>
      </c>
      <c r="Z46" s="195" t="e">
        <f>IF(#REF!=0,"",#REF!)</f>
        <v>#REF!</v>
      </c>
      <c r="AA46" s="195" t="e">
        <f>IF(#REF!=0,"",#REF!)</f>
        <v>#REF!</v>
      </c>
      <c r="AB46" s="195" t="e">
        <f>IF(#REF!=0,"",#REF!)</f>
        <v>#REF!</v>
      </c>
      <c r="AC46" s="195" t="e">
        <f>IF(#REF!=0,"",#REF!)</f>
        <v>#REF!</v>
      </c>
      <c r="AD46" s="195" t="e">
        <f>IF(#REF!=0,"",#REF!)</f>
        <v>#REF!</v>
      </c>
      <c r="AE46" s="195" t="e">
        <f>IF(#REF!=0,"",#REF!)</f>
        <v>#REF!</v>
      </c>
      <c r="AF46" s="195" t="e">
        <f>IF(#REF!=0,"",#REF!)</f>
        <v>#REF!</v>
      </c>
      <c r="AG46" s="195" t="e">
        <f>IF(#REF!=0,"",#REF!)</f>
        <v>#REF!</v>
      </c>
      <c r="AH46" s="195" t="e">
        <f>IF(#REF!=0,"",#REF!)</f>
        <v>#REF!</v>
      </c>
      <c r="AI46" s="195" t="e">
        <f>IF(#REF!=0,"",#REF!)</f>
        <v>#REF!</v>
      </c>
      <c r="AJ46" s="195" t="e">
        <f>IF(#REF!=0,"",#REF!)</f>
        <v>#REF!</v>
      </c>
      <c r="AK46" s="195" t="e">
        <f>IF(#REF!=0,"",#REF!)</f>
        <v>#REF!</v>
      </c>
      <c r="AL46" s="195" t="e">
        <f>IF(#REF!=0,"",#REF!)</f>
        <v>#REF!</v>
      </c>
      <c r="AM46" s="195" t="e">
        <f>IF(#REF!=0,"",#REF!)</f>
        <v>#REF!</v>
      </c>
      <c r="AN46" s="195" t="e">
        <f>IF(#REF!=0,"",#REF!)</f>
        <v>#REF!</v>
      </c>
      <c r="AO46" s="196" t="e">
        <f>IF(#REF!=0,"",#REF!)</f>
        <v>#REF!</v>
      </c>
      <c r="AP46" s="70" t="e">
        <f t="shared" si="5"/>
        <v>#REF!</v>
      </c>
      <c r="AQ46" s="68" t="s">
        <v>151</v>
      </c>
      <c r="AR46" s="70" t="e">
        <f>#REF!</f>
        <v>#REF!</v>
      </c>
      <c r="AS46" s="71" t="e">
        <f>#REF!</f>
        <v>#REF!</v>
      </c>
      <c r="AT46" s="71" t="e">
        <f>#REF!</f>
        <v>#REF!</v>
      </c>
      <c r="AU46" s="72"/>
      <c r="AV46" s="72"/>
      <c r="AW46" s="72"/>
      <c r="AX46" s="72"/>
      <c r="AY46" s="72"/>
      <c r="AZ46" s="72"/>
      <c r="BA46" s="68"/>
      <c r="BB46" s="68"/>
      <c r="BC46" s="68"/>
      <c r="BD46" s="68"/>
    </row>
    <row r="47" spans="1:56" s="73" customFormat="1" ht="19.5" customHeight="1">
      <c r="A47" s="68" t="s">
        <v>609</v>
      </c>
      <c r="B47" s="69" t="e">
        <f>#REF!</f>
        <v>#REF!</v>
      </c>
      <c r="C47" s="70" t="e">
        <f>LEFT(#REF!,6)&amp;RIGHT(#REF!,7)</f>
        <v>#REF!</v>
      </c>
      <c r="D47" s="201" t="e">
        <f>#REF!</f>
        <v>#REF!</v>
      </c>
      <c r="E47" s="251" t="str">
        <f t="shared" si="3"/>
        <v/>
      </c>
      <c r="F47" s="251" t="str">
        <f t="shared" si="4"/>
        <v/>
      </c>
      <c r="G47" s="68"/>
      <c r="H47" s="68"/>
      <c r="I47" s="68"/>
      <c r="J47" s="68" t="s">
        <v>150</v>
      </c>
      <c r="K47" s="194" t="e">
        <f>IF(#REF!=0,"",#REF!)</f>
        <v>#REF!</v>
      </c>
      <c r="L47" s="195" t="e">
        <f>IF(#REF!=0,"",#REF!)</f>
        <v>#REF!</v>
      </c>
      <c r="M47" s="195" t="e">
        <f>IF(#REF!=0,"",#REF!)</f>
        <v>#REF!</v>
      </c>
      <c r="N47" s="195" t="e">
        <f>IF(#REF!=0,"",#REF!)</f>
        <v>#REF!</v>
      </c>
      <c r="O47" s="195" t="e">
        <f>IF(#REF!=0,"",#REF!)</f>
        <v>#REF!</v>
      </c>
      <c r="P47" s="195" t="e">
        <f>IF(#REF!=0,"",#REF!)</f>
        <v>#REF!</v>
      </c>
      <c r="Q47" s="195" t="e">
        <f>IF(#REF!=0,"",#REF!)</f>
        <v>#REF!</v>
      </c>
      <c r="R47" s="195" t="e">
        <f>IF(#REF!=0,"",#REF!)</f>
        <v>#REF!</v>
      </c>
      <c r="S47" s="195" t="e">
        <f>IF(#REF!=0,"",#REF!)</f>
        <v>#REF!</v>
      </c>
      <c r="T47" s="195" t="e">
        <f>IF(#REF!=0,"",#REF!)</f>
        <v>#REF!</v>
      </c>
      <c r="U47" s="195" t="e">
        <f>IF(#REF!=0,"",#REF!)</f>
        <v>#REF!</v>
      </c>
      <c r="V47" s="195" t="e">
        <f>IF(#REF!=0,"",#REF!)</f>
        <v>#REF!</v>
      </c>
      <c r="W47" s="195" t="e">
        <f>IF(#REF!=0,"",#REF!)</f>
        <v>#REF!</v>
      </c>
      <c r="X47" s="195" t="e">
        <f>IF(#REF!=0,"",#REF!)</f>
        <v>#REF!</v>
      </c>
      <c r="Y47" s="195" t="e">
        <f>IF(#REF!=0,"",#REF!)</f>
        <v>#REF!</v>
      </c>
      <c r="Z47" s="195" t="e">
        <f>IF(#REF!=0,"",#REF!)</f>
        <v>#REF!</v>
      </c>
      <c r="AA47" s="195" t="e">
        <f>IF(#REF!=0,"",#REF!)</f>
        <v>#REF!</v>
      </c>
      <c r="AB47" s="195" t="e">
        <f>IF(#REF!=0,"",#REF!)</f>
        <v>#REF!</v>
      </c>
      <c r="AC47" s="195" t="e">
        <f>IF(#REF!=0,"",#REF!)</f>
        <v>#REF!</v>
      </c>
      <c r="AD47" s="195" t="e">
        <f>IF(#REF!=0,"",#REF!)</f>
        <v>#REF!</v>
      </c>
      <c r="AE47" s="195" t="e">
        <f>IF(#REF!=0,"",#REF!)</f>
        <v>#REF!</v>
      </c>
      <c r="AF47" s="195" t="e">
        <f>IF(#REF!=0,"",#REF!)</f>
        <v>#REF!</v>
      </c>
      <c r="AG47" s="195" t="e">
        <f>IF(#REF!=0,"",#REF!)</f>
        <v>#REF!</v>
      </c>
      <c r="AH47" s="195" t="e">
        <f>IF(#REF!=0,"",#REF!)</f>
        <v>#REF!</v>
      </c>
      <c r="AI47" s="195" t="e">
        <f>IF(#REF!=0,"",#REF!)</f>
        <v>#REF!</v>
      </c>
      <c r="AJ47" s="195" t="e">
        <f>IF(#REF!=0,"",#REF!)</f>
        <v>#REF!</v>
      </c>
      <c r="AK47" s="195" t="e">
        <f>IF(#REF!=0,"",#REF!)</f>
        <v>#REF!</v>
      </c>
      <c r="AL47" s="195" t="e">
        <f>IF(#REF!=0,"",#REF!)</f>
        <v>#REF!</v>
      </c>
      <c r="AM47" s="195" t="e">
        <f>IF(#REF!=0,"",#REF!)</f>
        <v>#REF!</v>
      </c>
      <c r="AN47" s="195" t="e">
        <f>IF(#REF!=0,"",#REF!)</f>
        <v>#REF!</v>
      </c>
      <c r="AO47" s="196" t="e">
        <f>IF(#REF!=0,"",#REF!)</f>
        <v>#REF!</v>
      </c>
      <c r="AP47" s="70" t="e">
        <f t="shared" si="5"/>
        <v>#REF!</v>
      </c>
      <c r="AQ47" s="68" t="s">
        <v>151</v>
      </c>
      <c r="AR47" s="70" t="e">
        <f>#REF!</f>
        <v>#REF!</v>
      </c>
      <c r="AS47" s="71" t="e">
        <f>#REF!</f>
        <v>#REF!</v>
      </c>
      <c r="AT47" s="71" t="e">
        <f>#REF!</f>
        <v>#REF!</v>
      </c>
      <c r="AU47" s="72"/>
      <c r="AV47" s="72"/>
      <c r="AW47" s="72"/>
      <c r="AX47" s="72"/>
      <c r="AY47" s="72"/>
      <c r="AZ47" s="72"/>
      <c r="BA47" s="68"/>
      <c r="BB47" s="68"/>
      <c r="BC47" s="68"/>
      <c r="BD47" s="68"/>
    </row>
    <row r="48" spans="1:56" s="73" customFormat="1" ht="19.5" customHeight="1">
      <c r="A48" s="68" t="s">
        <v>609</v>
      </c>
      <c r="B48" s="69" t="e">
        <f>#REF!</f>
        <v>#REF!</v>
      </c>
      <c r="C48" s="70" t="e">
        <f>LEFT(#REF!,6)&amp;RIGHT(#REF!,7)</f>
        <v>#REF!</v>
      </c>
      <c r="D48" s="201" t="e">
        <f>#REF!</f>
        <v>#REF!</v>
      </c>
      <c r="E48" s="251" t="str">
        <f t="shared" si="3"/>
        <v/>
      </c>
      <c r="F48" s="251" t="str">
        <f t="shared" si="4"/>
        <v/>
      </c>
      <c r="G48" s="68"/>
      <c r="H48" s="68"/>
      <c r="I48" s="68"/>
      <c r="J48" s="68" t="s">
        <v>150</v>
      </c>
      <c r="K48" s="194" t="e">
        <f>IF(#REF!=0,"",#REF!)</f>
        <v>#REF!</v>
      </c>
      <c r="L48" s="195" t="e">
        <f>IF(#REF!=0,"",#REF!)</f>
        <v>#REF!</v>
      </c>
      <c r="M48" s="195" t="e">
        <f>IF(#REF!=0,"",#REF!)</f>
        <v>#REF!</v>
      </c>
      <c r="N48" s="195" t="e">
        <f>IF(#REF!=0,"",#REF!)</f>
        <v>#REF!</v>
      </c>
      <c r="O48" s="195" t="e">
        <f>IF(#REF!=0,"",#REF!)</f>
        <v>#REF!</v>
      </c>
      <c r="P48" s="195" t="e">
        <f>IF(#REF!=0,"",#REF!)</f>
        <v>#REF!</v>
      </c>
      <c r="Q48" s="195" t="e">
        <f>IF(#REF!=0,"",#REF!)</f>
        <v>#REF!</v>
      </c>
      <c r="R48" s="195" t="e">
        <f>IF(#REF!=0,"",#REF!)</f>
        <v>#REF!</v>
      </c>
      <c r="S48" s="195" t="e">
        <f>IF(#REF!=0,"",#REF!)</f>
        <v>#REF!</v>
      </c>
      <c r="T48" s="195" t="e">
        <f>IF(#REF!=0,"",#REF!)</f>
        <v>#REF!</v>
      </c>
      <c r="U48" s="195" t="e">
        <f>IF(#REF!=0,"",#REF!)</f>
        <v>#REF!</v>
      </c>
      <c r="V48" s="195" t="e">
        <f>IF(#REF!=0,"",#REF!)</f>
        <v>#REF!</v>
      </c>
      <c r="W48" s="195" t="e">
        <f>IF(#REF!=0,"",#REF!)</f>
        <v>#REF!</v>
      </c>
      <c r="X48" s="195" t="e">
        <f>IF(#REF!=0,"",#REF!)</f>
        <v>#REF!</v>
      </c>
      <c r="Y48" s="195" t="e">
        <f>IF(#REF!=0,"",#REF!)</f>
        <v>#REF!</v>
      </c>
      <c r="Z48" s="195" t="e">
        <f>IF(#REF!=0,"",#REF!)</f>
        <v>#REF!</v>
      </c>
      <c r="AA48" s="195" t="e">
        <f>IF(#REF!=0,"",#REF!)</f>
        <v>#REF!</v>
      </c>
      <c r="AB48" s="195" t="e">
        <f>IF(#REF!=0,"",#REF!)</f>
        <v>#REF!</v>
      </c>
      <c r="AC48" s="195" t="e">
        <f>IF(#REF!=0,"",#REF!)</f>
        <v>#REF!</v>
      </c>
      <c r="AD48" s="195" t="e">
        <f>IF(#REF!=0,"",#REF!)</f>
        <v>#REF!</v>
      </c>
      <c r="AE48" s="195" t="e">
        <f>IF(#REF!=0,"",#REF!)</f>
        <v>#REF!</v>
      </c>
      <c r="AF48" s="195" t="e">
        <f>IF(#REF!=0,"",#REF!)</f>
        <v>#REF!</v>
      </c>
      <c r="AG48" s="195" t="e">
        <f>IF(#REF!=0,"",#REF!)</f>
        <v>#REF!</v>
      </c>
      <c r="AH48" s="195" t="e">
        <f>IF(#REF!=0,"",#REF!)</f>
        <v>#REF!</v>
      </c>
      <c r="AI48" s="195" t="e">
        <f>IF(#REF!=0,"",#REF!)</f>
        <v>#REF!</v>
      </c>
      <c r="AJ48" s="195" t="e">
        <f>IF(#REF!=0,"",#REF!)</f>
        <v>#REF!</v>
      </c>
      <c r="AK48" s="195" t="e">
        <f>IF(#REF!=0,"",#REF!)</f>
        <v>#REF!</v>
      </c>
      <c r="AL48" s="195" t="e">
        <f>IF(#REF!=0,"",#REF!)</f>
        <v>#REF!</v>
      </c>
      <c r="AM48" s="195" t="e">
        <f>IF(#REF!=0,"",#REF!)</f>
        <v>#REF!</v>
      </c>
      <c r="AN48" s="195" t="e">
        <f>IF(#REF!=0,"",#REF!)</f>
        <v>#REF!</v>
      </c>
      <c r="AO48" s="196" t="e">
        <f>IF(#REF!=0,"",#REF!)</f>
        <v>#REF!</v>
      </c>
      <c r="AP48" s="70" t="e">
        <f t="shared" si="5"/>
        <v>#REF!</v>
      </c>
      <c r="AQ48" s="68" t="s">
        <v>151</v>
      </c>
      <c r="AR48" s="70" t="e">
        <f>#REF!</f>
        <v>#REF!</v>
      </c>
      <c r="AS48" s="71" t="e">
        <f>#REF!</f>
        <v>#REF!</v>
      </c>
      <c r="AT48" s="71" t="e">
        <f>#REF!</f>
        <v>#REF!</v>
      </c>
      <c r="AU48" s="72"/>
      <c r="AV48" s="72"/>
      <c r="AW48" s="72"/>
      <c r="AX48" s="72"/>
      <c r="AY48" s="72"/>
      <c r="AZ48" s="72"/>
      <c r="BA48" s="68"/>
      <c r="BB48" s="68"/>
      <c r="BC48" s="68"/>
      <c r="BD48" s="68"/>
    </row>
    <row r="49" spans="1:56" s="73" customFormat="1" ht="19.5" customHeight="1">
      <c r="A49" s="68" t="s">
        <v>609</v>
      </c>
      <c r="B49" s="69" t="e">
        <f>#REF!</f>
        <v>#REF!</v>
      </c>
      <c r="C49" s="70" t="e">
        <f>LEFT(#REF!,6)&amp;RIGHT(#REF!,7)</f>
        <v>#REF!</v>
      </c>
      <c r="D49" s="201" t="e">
        <f>#REF!</f>
        <v>#REF!</v>
      </c>
      <c r="E49" s="251" t="str">
        <f t="shared" si="3"/>
        <v/>
      </c>
      <c r="F49" s="251" t="str">
        <f t="shared" si="4"/>
        <v/>
      </c>
      <c r="G49" s="68"/>
      <c r="H49" s="68"/>
      <c r="I49" s="68"/>
      <c r="J49" s="68" t="s">
        <v>150</v>
      </c>
      <c r="K49" s="194" t="e">
        <f>IF(#REF!=0,"",#REF!)</f>
        <v>#REF!</v>
      </c>
      <c r="L49" s="195" t="e">
        <f>IF(#REF!=0,"",#REF!)</f>
        <v>#REF!</v>
      </c>
      <c r="M49" s="195" t="e">
        <f>IF(#REF!=0,"",#REF!)</f>
        <v>#REF!</v>
      </c>
      <c r="N49" s="195" t="e">
        <f>IF(#REF!=0,"",#REF!)</f>
        <v>#REF!</v>
      </c>
      <c r="O49" s="195" t="e">
        <f>IF(#REF!=0,"",#REF!)</f>
        <v>#REF!</v>
      </c>
      <c r="P49" s="195" t="e">
        <f>IF(#REF!=0,"",#REF!)</f>
        <v>#REF!</v>
      </c>
      <c r="Q49" s="195" t="e">
        <f>IF(#REF!=0,"",#REF!)</f>
        <v>#REF!</v>
      </c>
      <c r="R49" s="195" t="e">
        <f>IF(#REF!=0,"",#REF!)</f>
        <v>#REF!</v>
      </c>
      <c r="S49" s="195" t="e">
        <f>IF(#REF!=0,"",#REF!)</f>
        <v>#REF!</v>
      </c>
      <c r="T49" s="195" t="e">
        <f>IF(#REF!=0,"",#REF!)</f>
        <v>#REF!</v>
      </c>
      <c r="U49" s="195" t="e">
        <f>IF(#REF!=0,"",#REF!)</f>
        <v>#REF!</v>
      </c>
      <c r="V49" s="195" t="e">
        <f>IF(#REF!=0,"",#REF!)</f>
        <v>#REF!</v>
      </c>
      <c r="W49" s="195" t="e">
        <f>IF(#REF!=0,"",#REF!)</f>
        <v>#REF!</v>
      </c>
      <c r="X49" s="195" t="e">
        <f>IF(#REF!=0,"",#REF!)</f>
        <v>#REF!</v>
      </c>
      <c r="Y49" s="195" t="e">
        <f>IF(#REF!=0,"",#REF!)</f>
        <v>#REF!</v>
      </c>
      <c r="Z49" s="195" t="e">
        <f>IF(#REF!=0,"",#REF!)</f>
        <v>#REF!</v>
      </c>
      <c r="AA49" s="195" t="e">
        <f>IF(#REF!=0,"",#REF!)</f>
        <v>#REF!</v>
      </c>
      <c r="AB49" s="195" t="e">
        <f>IF(#REF!=0,"",#REF!)</f>
        <v>#REF!</v>
      </c>
      <c r="AC49" s="195" t="e">
        <f>IF(#REF!=0,"",#REF!)</f>
        <v>#REF!</v>
      </c>
      <c r="AD49" s="195" t="e">
        <f>IF(#REF!=0,"",#REF!)</f>
        <v>#REF!</v>
      </c>
      <c r="AE49" s="195" t="e">
        <f>IF(#REF!=0,"",#REF!)</f>
        <v>#REF!</v>
      </c>
      <c r="AF49" s="195" t="e">
        <f>IF(#REF!=0,"",#REF!)</f>
        <v>#REF!</v>
      </c>
      <c r="AG49" s="195" t="e">
        <f>IF(#REF!=0,"",#REF!)</f>
        <v>#REF!</v>
      </c>
      <c r="AH49" s="195" t="e">
        <f>IF(#REF!=0,"",#REF!)</f>
        <v>#REF!</v>
      </c>
      <c r="AI49" s="195" t="e">
        <f>IF(#REF!=0,"",#REF!)</f>
        <v>#REF!</v>
      </c>
      <c r="AJ49" s="195" t="e">
        <f>IF(#REF!=0,"",#REF!)</f>
        <v>#REF!</v>
      </c>
      <c r="AK49" s="195" t="e">
        <f>IF(#REF!=0,"",#REF!)</f>
        <v>#REF!</v>
      </c>
      <c r="AL49" s="195" t="e">
        <f>IF(#REF!=0,"",#REF!)</f>
        <v>#REF!</v>
      </c>
      <c r="AM49" s="195" t="e">
        <f>IF(#REF!=0,"",#REF!)</f>
        <v>#REF!</v>
      </c>
      <c r="AN49" s="195" t="e">
        <f>IF(#REF!=0,"",#REF!)</f>
        <v>#REF!</v>
      </c>
      <c r="AO49" s="196" t="e">
        <f>IF(#REF!=0,"",#REF!)</f>
        <v>#REF!</v>
      </c>
      <c r="AP49" s="70" t="e">
        <f t="shared" si="5"/>
        <v>#REF!</v>
      </c>
      <c r="AQ49" s="68" t="s">
        <v>151</v>
      </c>
      <c r="AR49" s="70" t="e">
        <f>#REF!</f>
        <v>#REF!</v>
      </c>
      <c r="AS49" s="71" t="e">
        <f>#REF!</f>
        <v>#REF!</v>
      </c>
      <c r="AT49" s="71" t="e">
        <f>#REF!</f>
        <v>#REF!</v>
      </c>
      <c r="AU49" s="72"/>
      <c r="AV49" s="72"/>
      <c r="AW49" s="72"/>
      <c r="AX49" s="72"/>
      <c r="AY49" s="72"/>
      <c r="AZ49" s="72"/>
      <c r="BA49" s="68"/>
      <c r="BB49" s="68"/>
      <c r="BC49" s="68"/>
      <c r="BD49" s="68"/>
    </row>
    <row r="50" spans="1:56" s="73" customFormat="1" ht="19.5" customHeight="1">
      <c r="A50" s="68" t="s">
        <v>609</v>
      </c>
      <c r="B50" s="69" t="e">
        <f>#REF!</f>
        <v>#REF!</v>
      </c>
      <c r="C50" s="70" t="e">
        <f>LEFT(#REF!,6)&amp;RIGHT(#REF!,7)</f>
        <v>#REF!</v>
      </c>
      <c r="D50" s="201" t="e">
        <f>#REF!</f>
        <v>#REF!</v>
      </c>
      <c r="E50" s="251" t="str">
        <f t="shared" si="3"/>
        <v/>
      </c>
      <c r="F50" s="251" t="str">
        <f t="shared" si="4"/>
        <v/>
      </c>
      <c r="G50" s="68"/>
      <c r="H50" s="68"/>
      <c r="I50" s="68"/>
      <c r="J50" s="68" t="s">
        <v>150</v>
      </c>
      <c r="K50" s="194" t="e">
        <f>IF(#REF!=0,"",#REF!)</f>
        <v>#REF!</v>
      </c>
      <c r="L50" s="195" t="e">
        <f>IF(#REF!=0,"",#REF!)</f>
        <v>#REF!</v>
      </c>
      <c r="M50" s="195" t="e">
        <f>IF(#REF!=0,"",#REF!)</f>
        <v>#REF!</v>
      </c>
      <c r="N50" s="195" t="e">
        <f>IF(#REF!=0,"",#REF!)</f>
        <v>#REF!</v>
      </c>
      <c r="O50" s="195" t="e">
        <f>IF(#REF!=0,"",#REF!)</f>
        <v>#REF!</v>
      </c>
      <c r="P50" s="195" t="e">
        <f>IF(#REF!=0,"",#REF!)</f>
        <v>#REF!</v>
      </c>
      <c r="Q50" s="195" t="e">
        <f>IF(#REF!=0,"",#REF!)</f>
        <v>#REF!</v>
      </c>
      <c r="R50" s="195" t="e">
        <f>IF(#REF!=0,"",#REF!)</f>
        <v>#REF!</v>
      </c>
      <c r="S50" s="195" t="e">
        <f>IF(#REF!=0,"",#REF!)</f>
        <v>#REF!</v>
      </c>
      <c r="T50" s="195" t="e">
        <f>IF(#REF!=0,"",#REF!)</f>
        <v>#REF!</v>
      </c>
      <c r="U50" s="195" t="e">
        <f>IF(#REF!=0,"",#REF!)</f>
        <v>#REF!</v>
      </c>
      <c r="V50" s="195" t="e">
        <f>IF(#REF!=0,"",#REF!)</f>
        <v>#REF!</v>
      </c>
      <c r="W50" s="195" t="e">
        <f>IF(#REF!=0,"",#REF!)</f>
        <v>#REF!</v>
      </c>
      <c r="X50" s="195" t="e">
        <f>IF(#REF!=0,"",#REF!)</f>
        <v>#REF!</v>
      </c>
      <c r="Y50" s="195" t="e">
        <f>IF(#REF!=0,"",#REF!)</f>
        <v>#REF!</v>
      </c>
      <c r="Z50" s="195" t="e">
        <f>IF(#REF!=0,"",#REF!)</f>
        <v>#REF!</v>
      </c>
      <c r="AA50" s="195" t="e">
        <f>IF(#REF!=0,"",#REF!)</f>
        <v>#REF!</v>
      </c>
      <c r="AB50" s="195" t="e">
        <f>IF(#REF!=0,"",#REF!)</f>
        <v>#REF!</v>
      </c>
      <c r="AC50" s="195" t="e">
        <f>IF(#REF!=0,"",#REF!)</f>
        <v>#REF!</v>
      </c>
      <c r="AD50" s="195" t="e">
        <f>IF(#REF!=0,"",#REF!)</f>
        <v>#REF!</v>
      </c>
      <c r="AE50" s="195" t="e">
        <f>IF(#REF!=0,"",#REF!)</f>
        <v>#REF!</v>
      </c>
      <c r="AF50" s="195" t="e">
        <f>IF(#REF!=0,"",#REF!)</f>
        <v>#REF!</v>
      </c>
      <c r="AG50" s="195" t="e">
        <f>IF(#REF!=0,"",#REF!)</f>
        <v>#REF!</v>
      </c>
      <c r="AH50" s="195" t="e">
        <f>IF(#REF!=0,"",#REF!)</f>
        <v>#REF!</v>
      </c>
      <c r="AI50" s="195" t="e">
        <f>IF(#REF!=0,"",#REF!)</f>
        <v>#REF!</v>
      </c>
      <c r="AJ50" s="195" t="e">
        <f>IF(#REF!=0,"",#REF!)</f>
        <v>#REF!</v>
      </c>
      <c r="AK50" s="195" t="e">
        <f>IF(#REF!=0,"",#REF!)</f>
        <v>#REF!</v>
      </c>
      <c r="AL50" s="195" t="e">
        <f>IF(#REF!=0,"",#REF!)</f>
        <v>#REF!</v>
      </c>
      <c r="AM50" s="195" t="e">
        <f>IF(#REF!=0,"",#REF!)</f>
        <v>#REF!</v>
      </c>
      <c r="AN50" s="195" t="e">
        <f>IF(#REF!=0,"",#REF!)</f>
        <v>#REF!</v>
      </c>
      <c r="AO50" s="196" t="e">
        <f>IF(#REF!=0,"",#REF!)</f>
        <v>#REF!</v>
      </c>
      <c r="AP50" s="70" t="e">
        <f t="shared" si="5"/>
        <v>#REF!</v>
      </c>
      <c r="AQ50" s="68" t="s">
        <v>151</v>
      </c>
      <c r="AR50" s="70" t="e">
        <f>#REF!</f>
        <v>#REF!</v>
      </c>
      <c r="AS50" s="71" t="e">
        <f>#REF!</f>
        <v>#REF!</v>
      </c>
      <c r="AT50" s="71" t="e">
        <f>#REF!</f>
        <v>#REF!</v>
      </c>
      <c r="AU50" s="72"/>
      <c r="AV50" s="72"/>
      <c r="AW50" s="72"/>
      <c r="AX50" s="72"/>
      <c r="AY50" s="72"/>
      <c r="AZ50" s="72"/>
      <c r="BA50" s="68"/>
      <c r="BB50" s="68"/>
      <c r="BC50" s="68"/>
      <c r="BD50" s="68"/>
    </row>
    <row r="51" spans="1:56" s="73" customFormat="1" ht="19.5" customHeight="1">
      <c r="A51" s="68" t="s">
        <v>609</v>
      </c>
      <c r="B51" s="69" t="e">
        <f>#REF!</f>
        <v>#REF!</v>
      </c>
      <c r="C51" s="70" t="e">
        <f>LEFT(#REF!,6)&amp;RIGHT(#REF!,7)</f>
        <v>#REF!</v>
      </c>
      <c r="D51" s="201" t="e">
        <f>#REF!</f>
        <v>#REF!</v>
      </c>
      <c r="E51" s="251" t="str">
        <f t="shared" si="3"/>
        <v/>
      </c>
      <c r="F51" s="251" t="str">
        <f t="shared" si="4"/>
        <v/>
      </c>
      <c r="G51" s="68"/>
      <c r="H51" s="68"/>
      <c r="I51" s="68"/>
      <c r="J51" s="68" t="s">
        <v>150</v>
      </c>
      <c r="K51" s="194" t="e">
        <f>IF(#REF!=0,"",#REF!)</f>
        <v>#REF!</v>
      </c>
      <c r="L51" s="195" t="e">
        <f>IF(#REF!=0,"",#REF!)</f>
        <v>#REF!</v>
      </c>
      <c r="M51" s="195" t="e">
        <f>IF(#REF!=0,"",#REF!)</f>
        <v>#REF!</v>
      </c>
      <c r="N51" s="195" t="e">
        <f>IF(#REF!=0,"",#REF!)</f>
        <v>#REF!</v>
      </c>
      <c r="O51" s="195" t="e">
        <f>IF(#REF!=0,"",#REF!)</f>
        <v>#REF!</v>
      </c>
      <c r="P51" s="195" t="e">
        <f>IF(#REF!=0,"",#REF!)</f>
        <v>#REF!</v>
      </c>
      <c r="Q51" s="195" t="e">
        <f>IF(#REF!=0,"",#REF!)</f>
        <v>#REF!</v>
      </c>
      <c r="R51" s="195" t="e">
        <f>IF(#REF!=0,"",#REF!)</f>
        <v>#REF!</v>
      </c>
      <c r="S51" s="195" t="e">
        <f>IF(#REF!=0,"",#REF!)</f>
        <v>#REF!</v>
      </c>
      <c r="T51" s="195" t="e">
        <f>IF(#REF!=0,"",#REF!)</f>
        <v>#REF!</v>
      </c>
      <c r="U51" s="195" t="e">
        <f>IF(#REF!=0,"",#REF!)</f>
        <v>#REF!</v>
      </c>
      <c r="V51" s="195" t="e">
        <f>IF(#REF!=0,"",#REF!)</f>
        <v>#REF!</v>
      </c>
      <c r="W51" s="195" t="e">
        <f>IF(#REF!=0,"",#REF!)</f>
        <v>#REF!</v>
      </c>
      <c r="X51" s="195" t="e">
        <f>IF(#REF!=0,"",#REF!)</f>
        <v>#REF!</v>
      </c>
      <c r="Y51" s="195" t="e">
        <f>IF(#REF!=0,"",#REF!)</f>
        <v>#REF!</v>
      </c>
      <c r="Z51" s="195" t="e">
        <f>IF(#REF!=0,"",#REF!)</f>
        <v>#REF!</v>
      </c>
      <c r="AA51" s="195" t="e">
        <f>IF(#REF!=0,"",#REF!)</f>
        <v>#REF!</v>
      </c>
      <c r="AB51" s="195" t="e">
        <f>IF(#REF!=0,"",#REF!)</f>
        <v>#REF!</v>
      </c>
      <c r="AC51" s="195" t="e">
        <f>IF(#REF!=0,"",#REF!)</f>
        <v>#REF!</v>
      </c>
      <c r="AD51" s="195" t="e">
        <f>IF(#REF!=0,"",#REF!)</f>
        <v>#REF!</v>
      </c>
      <c r="AE51" s="195" t="e">
        <f>IF(#REF!=0,"",#REF!)</f>
        <v>#REF!</v>
      </c>
      <c r="AF51" s="195" t="e">
        <f>IF(#REF!=0,"",#REF!)</f>
        <v>#REF!</v>
      </c>
      <c r="AG51" s="195" t="e">
        <f>IF(#REF!=0,"",#REF!)</f>
        <v>#REF!</v>
      </c>
      <c r="AH51" s="195" t="e">
        <f>IF(#REF!=0,"",#REF!)</f>
        <v>#REF!</v>
      </c>
      <c r="AI51" s="195" t="e">
        <f>IF(#REF!=0,"",#REF!)</f>
        <v>#REF!</v>
      </c>
      <c r="AJ51" s="195" t="e">
        <f>IF(#REF!=0,"",#REF!)</f>
        <v>#REF!</v>
      </c>
      <c r="AK51" s="195" t="e">
        <f>IF(#REF!=0,"",#REF!)</f>
        <v>#REF!</v>
      </c>
      <c r="AL51" s="195" t="e">
        <f>IF(#REF!=0,"",#REF!)</f>
        <v>#REF!</v>
      </c>
      <c r="AM51" s="195" t="e">
        <f>IF(#REF!=0,"",#REF!)</f>
        <v>#REF!</v>
      </c>
      <c r="AN51" s="195" t="e">
        <f>IF(#REF!=0,"",#REF!)</f>
        <v>#REF!</v>
      </c>
      <c r="AO51" s="196" t="e">
        <f>IF(#REF!=0,"",#REF!)</f>
        <v>#REF!</v>
      </c>
      <c r="AP51" s="70" t="e">
        <f t="shared" si="5"/>
        <v>#REF!</v>
      </c>
      <c r="AQ51" s="68" t="s">
        <v>151</v>
      </c>
      <c r="AR51" s="70" t="e">
        <f>#REF!</f>
        <v>#REF!</v>
      </c>
      <c r="AS51" s="71" t="e">
        <f>#REF!</f>
        <v>#REF!</v>
      </c>
      <c r="AT51" s="71" t="e">
        <f>#REF!</f>
        <v>#REF!</v>
      </c>
      <c r="AU51" s="72"/>
      <c r="AV51" s="72"/>
      <c r="AW51" s="72"/>
      <c r="AX51" s="72"/>
      <c r="AY51" s="72"/>
      <c r="AZ51" s="72"/>
      <c r="BA51" s="68"/>
      <c r="BB51" s="68"/>
      <c r="BC51" s="68"/>
      <c r="BD51" s="68"/>
    </row>
    <row r="52" spans="1:56" s="73" customFormat="1" ht="19.5" customHeight="1">
      <c r="A52" s="68" t="s">
        <v>609</v>
      </c>
      <c r="B52" s="69" t="e">
        <f>#REF!</f>
        <v>#REF!</v>
      </c>
      <c r="C52" s="70" t="e">
        <f>LEFT(#REF!,6)&amp;RIGHT(#REF!,7)</f>
        <v>#REF!</v>
      </c>
      <c r="D52" s="201" t="e">
        <f>#REF!</f>
        <v>#REF!</v>
      </c>
      <c r="E52" s="251" t="str">
        <f t="shared" si="3"/>
        <v/>
      </c>
      <c r="F52" s="251" t="str">
        <f t="shared" si="4"/>
        <v/>
      </c>
      <c r="G52" s="68"/>
      <c r="H52" s="68"/>
      <c r="I52" s="68"/>
      <c r="J52" s="68" t="s">
        <v>150</v>
      </c>
      <c r="K52" s="194" t="e">
        <f>IF(#REF!=0,"",#REF!)</f>
        <v>#REF!</v>
      </c>
      <c r="L52" s="195" t="e">
        <f>IF(#REF!=0,"",#REF!)</f>
        <v>#REF!</v>
      </c>
      <c r="M52" s="195" t="e">
        <f>IF(#REF!=0,"",#REF!)</f>
        <v>#REF!</v>
      </c>
      <c r="N52" s="195" t="e">
        <f>IF(#REF!=0,"",#REF!)</f>
        <v>#REF!</v>
      </c>
      <c r="O52" s="195" t="e">
        <f>IF(#REF!=0,"",#REF!)</f>
        <v>#REF!</v>
      </c>
      <c r="P52" s="195" t="e">
        <f>IF(#REF!=0,"",#REF!)</f>
        <v>#REF!</v>
      </c>
      <c r="Q52" s="195" t="e">
        <f>IF(#REF!=0,"",#REF!)</f>
        <v>#REF!</v>
      </c>
      <c r="R52" s="195" t="e">
        <f>IF(#REF!=0,"",#REF!)</f>
        <v>#REF!</v>
      </c>
      <c r="S52" s="195" t="e">
        <f>IF(#REF!=0,"",#REF!)</f>
        <v>#REF!</v>
      </c>
      <c r="T52" s="195" t="e">
        <f>IF(#REF!=0,"",#REF!)</f>
        <v>#REF!</v>
      </c>
      <c r="U52" s="195" t="e">
        <f>IF(#REF!=0,"",#REF!)</f>
        <v>#REF!</v>
      </c>
      <c r="V52" s="195" t="e">
        <f>IF(#REF!=0,"",#REF!)</f>
        <v>#REF!</v>
      </c>
      <c r="W52" s="195" t="e">
        <f>IF(#REF!=0,"",#REF!)</f>
        <v>#REF!</v>
      </c>
      <c r="X52" s="195" t="e">
        <f>IF(#REF!=0,"",#REF!)</f>
        <v>#REF!</v>
      </c>
      <c r="Y52" s="195" t="e">
        <f>IF(#REF!=0,"",#REF!)</f>
        <v>#REF!</v>
      </c>
      <c r="Z52" s="195" t="e">
        <f>IF(#REF!=0,"",#REF!)</f>
        <v>#REF!</v>
      </c>
      <c r="AA52" s="195" t="e">
        <f>IF(#REF!=0,"",#REF!)</f>
        <v>#REF!</v>
      </c>
      <c r="AB52" s="195" t="e">
        <f>IF(#REF!=0,"",#REF!)</f>
        <v>#REF!</v>
      </c>
      <c r="AC52" s="195" t="e">
        <f>IF(#REF!=0,"",#REF!)</f>
        <v>#REF!</v>
      </c>
      <c r="AD52" s="195" t="e">
        <f>IF(#REF!=0,"",#REF!)</f>
        <v>#REF!</v>
      </c>
      <c r="AE52" s="195" t="e">
        <f>IF(#REF!=0,"",#REF!)</f>
        <v>#REF!</v>
      </c>
      <c r="AF52" s="195" t="e">
        <f>IF(#REF!=0,"",#REF!)</f>
        <v>#REF!</v>
      </c>
      <c r="AG52" s="195" t="e">
        <f>IF(#REF!=0,"",#REF!)</f>
        <v>#REF!</v>
      </c>
      <c r="AH52" s="195" t="e">
        <f>IF(#REF!=0,"",#REF!)</f>
        <v>#REF!</v>
      </c>
      <c r="AI52" s="195" t="e">
        <f>IF(#REF!=0,"",#REF!)</f>
        <v>#REF!</v>
      </c>
      <c r="AJ52" s="195" t="e">
        <f>IF(#REF!=0,"",#REF!)</f>
        <v>#REF!</v>
      </c>
      <c r="AK52" s="195" t="e">
        <f>IF(#REF!=0,"",#REF!)</f>
        <v>#REF!</v>
      </c>
      <c r="AL52" s="195" t="e">
        <f>IF(#REF!=0,"",#REF!)</f>
        <v>#REF!</v>
      </c>
      <c r="AM52" s="195" t="e">
        <f>IF(#REF!=0,"",#REF!)</f>
        <v>#REF!</v>
      </c>
      <c r="AN52" s="195" t="e">
        <f>IF(#REF!=0,"",#REF!)</f>
        <v>#REF!</v>
      </c>
      <c r="AO52" s="196" t="e">
        <f>IF(#REF!=0,"",#REF!)</f>
        <v>#REF!</v>
      </c>
      <c r="AP52" s="70" t="e">
        <f t="shared" si="5"/>
        <v>#REF!</v>
      </c>
      <c r="AQ52" s="68" t="s">
        <v>151</v>
      </c>
      <c r="AR52" s="70" t="e">
        <f>#REF!</f>
        <v>#REF!</v>
      </c>
      <c r="AS52" s="71" t="e">
        <f>#REF!</f>
        <v>#REF!</v>
      </c>
      <c r="AT52" s="71" t="e">
        <f>#REF!</f>
        <v>#REF!</v>
      </c>
      <c r="AU52" s="72"/>
      <c r="AV52" s="72"/>
      <c r="AW52" s="72"/>
      <c r="AX52" s="72"/>
      <c r="AY52" s="72"/>
      <c r="AZ52" s="72"/>
      <c r="BA52" s="68"/>
      <c r="BB52" s="68"/>
      <c r="BC52" s="68"/>
      <c r="BD52" s="68"/>
    </row>
    <row r="53" spans="1:56" s="73" customFormat="1" ht="19.5" customHeight="1">
      <c r="A53" s="68" t="s">
        <v>609</v>
      </c>
      <c r="B53" s="69" t="e">
        <f>#REF!</f>
        <v>#REF!</v>
      </c>
      <c r="C53" s="70" t="e">
        <f>LEFT(#REF!,6)&amp;RIGHT(#REF!,7)</f>
        <v>#REF!</v>
      </c>
      <c r="D53" s="201" t="e">
        <f>#REF!</f>
        <v>#REF!</v>
      </c>
      <c r="E53" s="251" t="str">
        <f t="shared" si="3"/>
        <v/>
      </c>
      <c r="F53" s="251" t="str">
        <f t="shared" si="4"/>
        <v/>
      </c>
      <c r="G53" s="68"/>
      <c r="H53" s="68"/>
      <c r="I53" s="68"/>
      <c r="J53" s="68" t="s">
        <v>150</v>
      </c>
      <c r="K53" s="194" t="e">
        <f>IF(#REF!=0,"",#REF!)</f>
        <v>#REF!</v>
      </c>
      <c r="L53" s="195" t="e">
        <f>IF(#REF!=0,"",#REF!)</f>
        <v>#REF!</v>
      </c>
      <c r="M53" s="195" t="e">
        <f>IF(#REF!=0,"",#REF!)</f>
        <v>#REF!</v>
      </c>
      <c r="N53" s="195" t="e">
        <f>IF(#REF!=0,"",#REF!)</f>
        <v>#REF!</v>
      </c>
      <c r="O53" s="195" t="e">
        <f>IF(#REF!=0,"",#REF!)</f>
        <v>#REF!</v>
      </c>
      <c r="P53" s="195" t="e">
        <f>IF(#REF!=0,"",#REF!)</f>
        <v>#REF!</v>
      </c>
      <c r="Q53" s="195" t="e">
        <f>IF(#REF!=0,"",#REF!)</f>
        <v>#REF!</v>
      </c>
      <c r="R53" s="195" t="e">
        <f>IF(#REF!=0,"",#REF!)</f>
        <v>#REF!</v>
      </c>
      <c r="S53" s="195" t="e">
        <f>IF(#REF!=0,"",#REF!)</f>
        <v>#REF!</v>
      </c>
      <c r="T53" s="195" t="e">
        <f>IF(#REF!=0,"",#REF!)</f>
        <v>#REF!</v>
      </c>
      <c r="U53" s="195" t="e">
        <f>IF(#REF!=0,"",#REF!)</f>
        <v>#REF!</v>
      </c>
      <c r="V53" s="195" t="e">
        <f>IF(#REF!=0,"",#REF!)</f>
        <v>#REF!</v>
      </c>
      <c r="W53" s="195" t="e">
        <f>IF(#REF!=0,"",#REF!)</f>
        <v>#REF!</v>
      </c>
      <c r="X53" s="195" t="e">
        <f>IF(#REF!=0,"",#REF!)</f>
        <v>#REF!</v>
      </c>
      <c r="Y53" s="195" t="e">
        <f>IF(#REF!=0,"",#REF!)</f>
        <v>#REF!</v>
      </c>
      <c r="Z53" s="195" t="e">
        <f>IF(#REF!=0,"",#REF!)</f>
        <v>#REF!</v>
      </c>
      <c r="AA53" s="195" t="e">
        <f>IF(#REF!=0,"",#REF!)</f>
        <v>#REF!</v>
      </c>
      <c r="AB53" s="195" t="e">
        <f>IF(#REF!=0,"",#REF!)</f>
        <v>#REF!</v>
      </c>
      <c r="AC53" s="195" t="e">
        <f>IF(#REF!=0,"",#REF!)</f>
        <v>#REF!</v>
      </c>
      <c r="AD53" s="195" t="e">
        <f>IF(#REF!=0,"",#REF!)</f>
        <v>#REF!</v>
      </c>
      <c r="AE53" s="195" t="e">
        <f>IF(#REF!=0,"",#REF!)</f>
        <v>#REF!</v>
      </c>
      <c r="AF53" s="195" t="e">
        <f>IF(#REF!=0,"",#REF!)</f>
        <v>#REF!</v>
      </c>
      <c r="AG53" s="195" t="e">
        <f>IF(#REF!=0,"",#REF!)</f>
        <v>#REF!</v>
      </c>
      <c r="AH53" s="195" t="e">
        <f>IF(#REF!=0,"",#REF!)</f>
        <v>#REF!</v>
      </c>
      <c r="AI53" s="195" t="e">
        <f>IF(#REF!=0,"",#REF!)</f>
        <v>#REF!</v>
      </c>
      <c r="AJ53" s="195" t="e">
        <f>IF(#REF!=0,"",#REF!)</f>
        <v>#REF!</v>
      </c>
      <c r="AK53" s="195" t="e">
        <f>IF(#REF!=0,"",#REF!)</f>
        <v>#REF!</v>
      </c>
      <c r="AL53" s="195" t="e">
        <f>IF(#REF!=0,"",#REF!)</f>
        <v>#REF!</v>
      </c>
      <c r="AM53" s="195" t="e">
        <f>IF(#REF!=0,"",#REF!)</f>
        <v>#REF!</v>
      </c>
      <c r="AN53" s="195" t="e">
        <f>IF(#REF!=0,"",#REF!)</f>
        <v>#REF!</v>
      </c>
      <c r="AO53" s="196" t="e">
        <f>IF(#REF!=0,"",#REF!)</f>
        <v>#REF!</v>
      </c>
      <c r="AP53" s="70" t="e">
        <f t="shared" si="5"/>
        <v>#REF!</v>
      </c>
      <c r="AQ53" s="68" t="s">
        <v>151</v>
      </c>
      <c r="AR53" s="70" t="e">
        <f>#REF!</f>
        <v>#REF!</v>
      </c>
      <c r="AS53" s="71" t="e">
        <f>#REF!</f>
        <v>#REF!</v>
      </c>
      <c r="AT53" s="71" t="e">
        <f>#REF!</f>
        <v>#REF!</v>
      </c>
      <c r="AU53" s="72"/>
      <c r="AV53" s="72"/>
      <c r="AW53" s="72"/>
      <c r="AX53" s="72"/>
      <c r="AY53" s="72"/>
      <c r="AZ53" s="72"/>
      <c r="BA53" s="68"/>
      <c r="BB53" s="68"/>
      <c r="BC53" s="68"/>
      <c r="BD53" s="68"/>
    </row>
    <row r="54" spans="1:56" s="73" customFormat="1" ht="19.5" customHeight="1">
      <c r="A54" s="68" t="s">
        <v>609</v>
      </c>
      <c r="B54" s="69" t="e">
        <f>#REF!</f>
        <v>#REF!</v>
      </c>
      <c r="C54" s="70" t="e">
        <f>LEFT(#REF!,6)&amp;RIGHT(#REF!,7)</f>
        <v>#REF!</v>
      </c>
      <c r="D54" s="201" t="e">
        <f>#REF!</f>
        <v>#REF!</v>
      </c>
      <c r="E54" s="251" t="str">
        <f t="shared" si="3"/>
        <v/>
      </c>
      <c r="F54" s="251" t="str">
        <f t="shared" si="4"/>
        <v/>
      </c>
      <c r="G54" s="68"/>
      <c r="H54" s="68"/>
      <c r="I54" s="68"/>
      <c r="J54" s="68" t="s">
        <v>150</v>
      </c>
      <c r="K54" s="194" t="e">
        <f>IF(#REF!=0,"",#REF!)</f>
        <v>#REF!</v>
      </c>
      <c r="L54" s="195" t="e">
        <f>IF(#REF!=0,"",#REF!)</f>
        <v>#REF!</v>
      </c>
      <c r="M54" s="195" t="e">
        <f>IF(#REF!=0,"",#REF!)</f>
        <v>#REF!</v>
      </c>
      <c r="N54" s="195" t="e">
        <f>IF(#REF!=0,"",#REF!)</f>
        <v>#REF!</v>
      </c>
      <c r="O54" s="195" t="e">
        <f>IF(#REF!=0,"",#REF!)</f>
        <v>#REF!</v>
      </c>
      <c r="P54" s="195" t="e">
        <f>IF(#REF!=0,"",#REF!)</f>
        <v>#REF!</v>
      </c>
      <c r="Q54" s="195" t="e">
        <f>IF(#REF!=0,"",#REF!)</f>
        <v>#REF!</v>
      </c>
      <c r="R54" s="195" t="e">
        <f>IF(#REF!=0,"",#REF!)</f>
        <v>#REF!</v>
      </c>
      <c r="S54" s="195" t="e">
        <f>IF(#REF!=0,"",#REF!)</f>
        <v>#REF!</v>
      </c>
      <c r="T54" s="195" t="e">
        <f>IF(#REF!=0,"",#REF!)</f>
        <v>#REF!</v>
      </c>
      <c r="U54" s="195" t="e">
        <f>IF(#REF!=0,"",#REF!)</f>
        <v>#REF!</v>
      </c>
      <c r="V54" s="195" t="e">
        <f>IF(#REF!=0,"",#REF!)</f>
        <v>#REF!</v>
      </c>
      <c r="W54" s="195" t="e">
        <f>IF(#REF!=0,"",#REF!)</f>
        <v>#REF!</v>
      </c>
      <c r="X54" s="195" t="e">
        <f>IF(#REF!=0,"",#REF!)</f>
        <v>#REF!</v>
      </c>
      <c r="Y54" s="195" t="e">
        <f>IF(#REF!=0,"",#REF!)</f>
        <v>#REF!</v>
      </c>
      <c r="Z54" s="195" t="e">
        <f>IF(#REF!=0,"",#REF!)</f>
        <v>#REF!</v>
      </c>
      <c r="AA54" s="195" t="e">
        <f>IF(#REF!=0,"",#REF!)</f>
        <v>#REF!</v>
      </c>
      <c r="AB54" s="195" t="e">
        <f>IF(#REF!=0,"",#REF!)</f>
        <v>#REF!</v>
      </c>
      <c r="AC54" s="195" t="e">
        <f>IF(#REF!=0,"",#REF!)</f>
        <v>#REF!</v>
      </c>
      <c r="AD54" s="195" t="e">
        <f>IF(#REF!=0,"",#REF!)</f>
        <v>#REF!</v>
      </c>
      <c r="AE54" s="195" t="e">
        <f>IF(#REF!=0,"",#REF!)</f>
        <v>#REF!</v>
      </c>
      <c r="AF54" s="195" t="e">
        <f>IF(#REF!=0,"",#REF!)</f>
        <v>#REF!</v>
      </c>
      <c r="AG54" s="195" t="e">
        <f>IF(#REF!=0,"",#REF!)</f>
        <v>#REF!</v>
      </c>
      <c r="AH54" s="195" t="e">
        <f>IF(#REF!=0,"",#REF!)</f>
        <v>#REF!</v>
      </c>
      <c r="AI54" s="195" t="e">
        <f>IF(#REF!=0,"",#REF!)</f>
        <v>#REF!</v>
      </c>
      <c r="AJ54" s="195" t="e">
        <f>IF(#REF!=0,"",#REF!)</f>
        <v>#REF!</v>
      </c>
      <c r="AK54" s="195" t="e">
        <f>IF(#REF!=0,"",#REF!)</f>
        <v>#REF!</v>
      </c>
      <c r="AL54" s="195" t="e">
        <f>IF(#REF!=0,"",#REF!)</f>
        <v>#REF!</v>
      </c>
      <c r="AM54" s="195" t="e">
        <f>IF(#REF!=0,"",#REF!)</f>
        <v>#REF!</v>
      </c>
      <c r="AN54" s="195" t="e">
        <f>IF(#REF!=0,"",#REF!)</f>
        <v>#REF!</v>
      </c>
      <c r="AO54" s="196" t="e">
        <f>IF(#REF!=0,"",#REF!)</f>
        <v>#REF!</v>
      </c>
      <c r="AP54" s="70" t="e">
        <f t="shared" si="5"/>
        <v>#REF!</v>
      </c>
      <c r="AQ54" s="68" t="s">
        <v>151</v>
      </c>
      <c r="AR54" s="70" t="e">
        <f>#REF!</f>
        <v>#REF!</v>
      </c>
      <c r="AS54" s="71" t="e">
        <f>#REF!</f>
        <v>#REF!</v>
      </c>
      <c r="AT54" s="71" t="e">
        <f>#REF!</f>
        <v>#REF!</v>
      </c>
      <c r="AU54" s="72"/>
      <c r="AV54" s="72"/>
      <c r="AW54" s="72"/>
      <c r="AX54" s="72"/>
      <c r="AY54" s="72"/>
      <c r="AZ54" s="72"/>
      <c r="BA54" s="68"/>
      <c r="BB54" s="68"/>
      <c r="BC54" s="68"/>
      <c r="BD54" s="68"/>
    </row>
    <row r="55" spans="1:56" s="73" customFormat="1" ht="19.5" customHeight="1">
      <c r="A55" s="68" t="s">
        <v>609</v>
      </c>
      <c r="B55" s="69" t="e">
        <f>#REF!</f>
        <v>#REF!</v>
      </c>
      <c r="C55" s="70" t="e">
        <f>LEFT(#REF!,6)&amp;RIGHT(#REF!,7)</f>
        <v>#REF!</v>
      </c>
      <c r="D55" s="201" t="e">
        <f>#REF!</f>
        <v>#REF!</v>
      </c>
      <c r="E55" s="251" t="str">
        <f t="shared" si="3"/>
        <v/>
      </c>
      <c r="F55" s="251" t="str">
        <f t="shared" si="4"/>
        <v/>
      </c>
      <c r="G55" s="68"/>
      <c r="H55" s="68"/>
      <c r="I55" s="68"/>
      <c r="J55" s="68" t="s">
        <v>150</v>
      </c>
      <c r="K55" s="194" t="e">
        <f>IF(#REF!=0,"",#REF!)</f>
        <v>#REF!</v>
      </c>
      <c r="L55" s="195" t="e">
        <f>IF(#REF!=0,"",#REF!)</f>
        <v>#REF!</v>
      </c>
      <c r="M55" s="195" t="e">
        <f>IF(#REF!=0,"",#REF!)</f>
        <v>#REF!</v>
      </c>
      <c r="N55" s="195" t="e">
        <f>IF(#REF!=0,"",#REF!)</f>
        <v>#REF!</v>
      </c>
      <c r="O55" s="195" t="e">
        <f>IF(#REF!=0,"",#REF!)</f>
        <v>#REF!</v>
      </c>
      <c r="P55" s="195" t="e">
        <f>IF(#REF!=0,"",#REF!)</f>
        <v>#REF!</v>
      </c>
      <c r="Q55" s="195" t="e">
        <f>IF(#REF!=0,"",#REF!)</f>
        <v>#REF!</v>
      </c>
      <c r="R55" s="195" t="e">
        <f>IF(#REF!=0,"",#REF!)</f>
        <v>#REF!</v>
      </c>
      <c r="S55" s="195" t="e">
        <f>IF(#REF!=0,"",#REF!)</f>
        <v>#REF!</v>
      </c>
      <c r="T55" s="195" t="e">
        <f>IF(#REF!=0,"",#REF!)</f>
        <v>#REF!</v>
      </c>
      <c r="U55" s="195" t="e">
        <f>IF(#REF!=0,"",#REF!)</f>
        <v>#REF!</v>
      </c>
      <c r="V55" s="195" t="e">
        <f>IF(#REF!=0,"",#REF!)</f>
        <v>#REF!</v>
      </c>
      <c r="W55" s="195" t="e">
        <f>IF(#REF!=0,"",#REF!)</f>
        <v>#REF!</v>
      </c>
      <c r="X55" s="195" t="e">
        <f>IF(#REF!=0,"",#REF!)</f>
        <v>#REF!</v>
      </c>
      <c r="Y55" s="195" t="e">
        <f>IF(#REF!=0,"",#REF!)</f>
        <v>#REF!</v>
      </c>
      <c r="Z55" s="195" t="e">
        <f>IF(#REF!=0,"",#REF!)</f>
        <v>#REF!</v>
      </c>
      <c r="AA55" s="195" t="e">
        <f>IF(#REF!=0,"",#REF!)</f>
        <v>#REF!</v>
      </c>
      <c r="AB55" s="195" t="e">
        <f>IF(#REF!=0,"",#REF!)</f>
        <v>#REF!</v>
      </c>
      <c r="AC55" s="195" t="e">
        <f>IF(#REF!=0,"",#REF!)</f>
        <v>#REF!</v>
      </c>
      <c r="AD55" s="195" t="e">
        <f>IF(#REF!=0,"",#REF!)</f>
        <v>#REF!</v>
      </c>
      <c r="AE55" s="195" t="e">
        <f>IF(#REF!=0,"",#REF!)</f>
        <v>#REF!</v>
      </c>
      <c r="AF55" s="195" t="e">
        <f>IF(#REF!=0,"",#REF!)</f>
        <v>#REF!</v>
      </c>
      <c r="AG55" s="195" t="e">
        <f>IF(#REF!=0,"",#REF!)</f>
        <v>#REF!</v>
      </c>
      <c r="AH55" s="195" t="e">
        <f>IF(#REF!=0,"",#REF!)</f>
        <v>#REF!</v>
      </c>
      <c r="AI55" s="195" t="e">
        <f>IF(#REF!=0,"",#REF!)</f>
        <v>#REF!</v>
      </c>
      <c r="AJ55" s="195" t="e">
        <f>IF(#REF!=0,"",#REF!)</f>
        <v>#REF!</v>
      </c>
      <c r="AK55" s="195" t="e">
        <f>IF(#REF!=0,"",#REF!)</f>
        <v>#REF!</v>
      </c>
      <c r="AL55" s="195" t="e">
        <f>IF(#REF!=0,"",#REF!)</f>
        <v>#REF!</v>
      </c>
      <c r="AM55" s="195" t="e">
        <f>IF(#REF!=0,"",#REF!)</f>
        <v>#REF!</v>
      </c>
      <c r="AN55" s="195" t="e">
        <f>IF(#REF!=0,"",#REF!)</f>
        <v>#REF!</v>
      </c>
      <c r="AO55" s="196" t="e">
        <f>IF(#REF!=0,"",#REF!)</f>
        <v>#REF!</v>
      </c>
      <c r="AP55" s="70" t="e">
        <f t="shared" si="5"/>
        <v>#REF!</v>
      </c>
      <c r="AQ55" s="68" t="s">
        <v>151</v>
      </c>
      <c r="AR55" s="70" t="e">
        <f>#REF!</f>
        <v>#REF!</v>
      </c>
      <c r="AS55" s="71" t="e">
        <f>#REF!</f>
        <v>#REF!</v>
      </c>
      <c r="AT55" s="71" t="e">
        <f>#REF!</f>
        <v>#REF!</v>
      </c>
      <c r="AU55" s="72"/>
      <c r="AV55" s="72"/>
      <c r="AW55" s="72"/>
      <c r="AX55" s="72"/>
      <c r="AY55" s="72"/>
      <c r="AZ55" s="72"/>
      <c r="BA55" s="68"/>
      <c r="BB55" s="68"/>
      <c r="BC55" s="68"/>
      <c r="BD55" s="68"/>
    </row>
    <row r="56" spans="1:56" s="73" customFormat="1" ht="19.5" customHeight="1">
      <c r="A56" s="68" t="s">
        <v>609</v>
      </c>
      <c r="B56" s="69" t="e">
        <f>#REF!</f>
        <v>#REF!</v>
      </c>
      <c r="C56" s="70" t="e">
        <f>LEFT(#REF!,6)&amp;RIGHT(#REF!,7)</f>
        <v>#REF!</v>
      </c>
      <c r="D56" s="201" t="e">
        <f>#REF!</f>
        <v>#REF!</v>
      </c>
      <c r="E56" s="251" t="str">
        <f t="shared" si="3"/>
        <v/>
      </c>
      <c r="F56" s="251" t="str">
        <f t="shared" si="4"/>
        <v/>
      </c>
      <c r="G56" s="68"/>
      <c r="H56" s="68"/>
      <c r="I56" s="68"/>
      <c r="J56" s="68" t="s">
        <v>150</v>
      </c>
      <c r="K56" s="194" t="e">
        <f>IF(#REF!=0,"",#REF!)</f>
        <v>#REF!</v>
      </c>
      <c r="L56" s="195" t="e">
        <f>IF(#REF!=0,"",#REF!)</f>
        <v>#REF!</v>
      </c>
      <c r="M56" s="195" t="e">
        <f>IF(#REF!=0,"",#REF!)</f>
        <v>#REF!</v>
      </c>
      <c r="N56" s="195" t="e">
        <f>IF(#REF!=0,"",#REF!)</f>
        <v>#REF!</v>
      </c>
      <c r="O56" s="195" t="e">
        <f>IF(#REF!=0,"",#REF!)</f>
        <v>#REF!</v>
      </c>
      <c r="P56" s="195" t="e">
        <f>IF(#REF!=0,"",#REF!)</f>
        <v>#REF!</v>
      </c>
      <c r="Q56" s="195" t="e">
        <f>IF(#REF!=0,"",#REF!)</f>
        <v>#REF!</v>
      </c>
      <c r="R56" s="195" t="e">
        <f>IF(#REF!=0,"",#REF!)</f>
        <v>#REF!</v>
      </c>
      <c r="S56" s="195" t="e">
        <f>IF(#REF!=0,"",#REF!)</f>
        <v>#REF!</v>
      </c>
      <c r="T56" s="195" t="e">
        <f>IF(#REF!=0,"",#REF!)</f>
        <v>#REF!</v>
      </c>
      <c r="U56" s="195" t="e">
        <f>IF(#REF!=0,"",#REF!)</f>
        <v>#REF!</v>
      </c>
      <c r="V56" s="195" t="e">
        <f>IF(#REF!=0,"",#REF!)</f>
        <v>#REF!</v>
      </c>
      <c r="W56" s="195" t="e">
        <f>IF(#REF!=0,"",#REF!)</f>
        <v>#REF!</v>
      </c>
      <c r="X56" s="195" t="e">
        <f>IF(#REF!=0,"",#REF!)</f>
        <v>#REF!</v>
      </c>
      <c r="Y56" s="195" t="e">
        <f>IF(#REF!=0,"",#REF!)</f>
        <v>#REF!</v>
      </c>
      <c r="Z56" s="195" t="e">
        <f>IF(#REF!=0,"",#REF!)</f>
        <v>#REF!</v>
      </c>
      <c r="AA56" s="195" t="e">
        <f>IF(#REF!=0,"",#REF!)</f>
        <v>#REF!</v>
      </c>
      <c r="AB56" s="195" t="e">
        <f>IF(#REF!=0,"",#REF!)</f>
        <v>#REF!</v>
      </c>
      <c r="AC56" s="195" t="e">
        <f>IF(#REF!=0,"",#REF!)</f>
        <v>#REF!</v>
      </c>
      <c r="AD56" s="195" t="e">
        <f>IF(#REF!=0,"",#REF!)</f>
        <v>#REF!</v>
      </c>
      <c r="AE56" s="195" t="e">
        <f>IF(#REF!=0,"",#REF!)</f>
        <v>#REF!</v>
      </c>
      <c r="AF56" s="195" t="e">
        <f>IF(#REF!=0,"",#REF!)</f>
        <v>#REF!</v>
      </c>
      <c r="AG56" s="195" t="e">
        <f>IF(#REF!=0,"",#REF!)</f>
        <v>#REF!</v>
      </c>
      <c r="AH56" s="195" t="e">
        <f>IF(#REF!=0,"",#REF!)</f>
        <v>#REF!</v>
      </c>
      <c r="AI56" s="195" t="e">
        <f>IF(#REF!=0,"",#REF!)</f>
        <v>#REF!</v>
      </c>
      <c r="AJ56" s="195" t="e">
        <f>IF(#REF!=0,"",#REF!)</f>
        <v>#REF!</v>
      </c>
      <c r="AK56" s="195" t="e">
        <f>IF(#REF!=0,"",#REF!)</f>
        <v>#REF!</v>
      </c>
      <c r="AL56" s="195" t="e">
        <f>IF(#REF!=0,"",#REF!)</f>
        <v>#REF!</v>
      </c>
      <c r="AM56" s="195" t="e">
        <f>IF(#REF!=0,"",#REF!)</f>
        <v>#REF!</v>
      </c>
      <c r="AN56" s="195" t="e">
        <f>IF(#REF!=0,"",#REF!)</f>
        <v>#REF!</v>
      </c>
      <c r="AO56" s="196" t="e">
        <f>IF(#REF!=0,"",#REF!)</f>
        <v>#REF!</v>
      </c>
      <c r="AP56" s="70" t="e">
        <f t="shared" si="5"/>
        <v>#REF!</v>
      </c>
      <c r="AQ56" s="68" t="s">
        <v>151</v>
      </c>
      <c r="AR56" s="70" t="e">
        <f>#REF!</f>
        <v>#REF!</v>
      </c>
      <c r="AS56" s="71" t="e">
        <f>#REF!</f>
        <v>#REF!</v>
      </c>
      <c r="AT56" s="71" t="e">
        <f>#REF!</f>
        <v>#REF!</v>
      </c>
      <c r="AU56" s="72"/>
      <c r="AV56" s="72"/>
      <c r="AW56" s="72"/>
      <c r="AX56" s="72"/>
      <c r="AY56" s="72"/>
      <c r="AZ56" s="72"/>
      <c r="BA56" s="68"/>
      <c r="BB56" s="68"/>
      <c r="BC56" s="68"/>
      <c r="BD56" s="68"/>
    </row>
    <row r="57" spans="1:56" s="73" customFormat="1" ht="19.5" customHeight="1">
      <c r="A57" s="68" t="s">
        <v>609</v>
      </c>
      <c r="B57" s="69" t="e">
        <f>#REF!</f>
        <v>#REF!</v>
      </c>
      <c r="C57" s="70" t="e">
        <f>LEFT(#REF!,6)&amp;RIGHT(#REF!,7)</f>
        <v>#REF!</v>
      </c>
      <c r="D57" s="201" t="e">
        <f>#REF!</f>
        <v>#REF!</v>
      </c>
      <c r="E57" s="251" t="str">
        <f t="shared" si="3"/>
        <v/>
      </c>
      <c r="F57" s="251" t="str">
        <f t="shared" si="4"/>
        <v/>
      </c>
      <c r="G57" s="68"/>
      <c r="H57" s="68"/>
      <c r="I57" s="68"/>
      <c r="J57" s="68" t="s">
        <v>150</v>
      </c>
      <c r="K57" s="194" t="e">
        <f>IF(#REF!=0,"",#REF!)</f>
        <v>#REF!</v>
      </c>
      <c r="L57" s="195" t="e">
        <f>IF(#REF!=0,"",#REF!)</f>
        <v>#REF!</v>
      </c>
      <c r="M57" s="195" t="e">
        <f>IF(#REF!=0,"",#REF!)</f>
        <v>#REF!</v>
      </c>
      <c r="N57" s="195" t="e">
        <f>IF(#REF!=0,"",#REF!)</f>
        <v>#REF!</v>
      </c>
      <c r="O57" s="195" t="e">
        <f>IF(#REF!=0,"",#REF!)</f>
        <v>#REF!</v>
      </c>
      <c r="P57" s="195" t="e">
        <f>IF(#REF!=0,"",#REF!)</f>
        <v>#REF!</v>
      </c>
      <c r="Q57" s="195" t="e">
        <f>IF(#REF!=0,"",#REF!)</f>
        <v>#REF!</v>
      </c>
      <c r="R57" s="195" t="e">
        <f>IF(#REF!=0,"",#REF!)</f>
        <v>#REF!</v>
      </c>
      <c r="S57" s="195" t="e">
        <f>IF(#REF!=0,"",#REF!)</f>
        <v>#REF!</v>
      </c>
      <c r="T57" s="195" t="e">
        <f>IF(#REF!=0,"",#REF!)</f>
        <v>#REF!</v>
      </c>
      <c r="U57" s="195" t="e">
        <f>IF(#REF!=0,"",#REF!)</f>
        <v>#REF!</v>
      </c>
      <c r="V57" s="195" t="e">
        <f>IF(#REF!=0,"",#REF!)</f>
        <v>#REF!</v>
      </c>
      <c r="W57" s="195" t="e">
        <f>IF(#REF!=0,"",#REF!)</f>
        <v>#REF!</v>
      </c>
      <c r="X57" s="195" t="e">
        <f>IF(#REF!=0,"",#REF!)</f>
        <v>#REF!</v>
      </c>
      <c r="Y57" s="195" t="e">
        <f>IF(#REF!=0,"",#REF!)</f>
        <v>#REF!</v>
      </c>
      <c r="Z57" s="195" t="e">
        <f>IF(#REF!=0,"",#REF!)</f>
        <v>#REF!</v>
      </c>
      <c r="AA57" s="195" t="e">
        <f>IF(#REF!=0,"",#REF!)</f>
        <v>#REF!</v>
      </c>
      <c r="AB57" s="195" t="e">
        <f>IF(#REF!=0,"",#REF!)</f>
        <v>#REF!</v>
      </c>
      <c r="AC57" s="195" t="e">
        <f>IF(#REF!=0,"",#REF!)</f>
        <v>#REF!</v>
      </c>
      <c r="AD57" s="195" t="e">
        <f>IF(#REF!=0,"",#REF!)</f>
        <v>#REF!</v>
      </c>
      <c r="AE57" s="195" t="e">
        <f>IF(#REF!=0,"",#REF!)</f>
        <v>#REF!</v>
      </c>
      <c r="AF57" s="195" t="e">
        <f>IF(#REF!=0,"",#REF!)</f>
        <v>#REF!</v>
      </c>
      <c r="AG57" s="195" t="e">
        <f>IF(#REF!=0,"",#REF!)</f>
        <v>#REF!</v>
      </c>
      <c r="AH57" s="195" t="e">
        <f>IF(#REF!=0,"",#REF!)</f>
        <v>#REF!</v>
      </c>
      <c r="AI57" s="195" t="e">
        <f>IF(#REF!=0,"",#REF!)</f>
        <v>#REF!</v>
      </c>
      <c r="AJ57" s="195" t="e">
        <f>IF(#REF!=0,"",#REF!)</f>
        <v>#REF!</v>
      </c>
      <c r="AK57" s="195" t="e">
        <f>IF(#REF!=0,"",#REF!)</f>
        <v>#REF!</v>
      </c>
      <c r="AL57" s="195" t="e">
        <f>IF(#REF!=0,"",#REF!)</f>
        <v>#REF!</v>
      </c>
      <c r="AM57" s="195" t="e">
        <f>IF(#REF!=0,"",#REF!)</f>
        <v>#REF!</v>
      </c>
      <c r="AN57" s="195" t="e">
        <f>IF(#REF!=0,"",#REF!)</f>
        <v>#REF!</v>
      </c>
      <c r="AO57" s="196" t="e">
        <f>IF(#REF!=0,"",#REF!)</f>
        <v>#REF!</v>
      </c>
      <c r="AP57" s="70" t="e">
        <f t="shared" si="5"/>
        <v>#REF!</v>
      </c>
      <c r="AQ57" s="68" t="s">
        <v>151</v>
      </c>
      <c r="AR57" s="70" t="e">
        <f>#REF!</f>
        <v>#REF!</v>
      </c>
      <c r="AS57" s="71" t="e">
        <f>#REF!</f>
        <v>#REF!</v>
      </c>
      <c r="AT57" s="71" t="e">
        <f>#REF!</f>
        <v>#REF!</v>
      </c>
      <c r="AU57" s="72"/>
      <c r="AV57" s="72"/>
      <c r="AW57" s="72"/>
      <c r="AX57" s="72"/>
      <c r="AY57" s="72"/>
      <c r="AZ57" s="72"/>
      <c r="BA57" s="68"/>
      <c r="BB57" s="68"/>
      <c r="BC57" s="68"/>
      <c r="BD57" s="68"/>
    </row>
    <row r="58" spans="1:56" s="73" customFormat="1" ht="19.5" customHeight="1">
      <c r="A58" s="68" t="s">
        <v>609</v>
      </c>
      <c r="B58" s="69" t="e">
        <f>#REF!</f>
        <v>#REF!</v>
      </c>
      <c r="C58" s="70" t="e">
        <f>LEFT(#REF!,6)&amp;RIGHT(#REF!,7)</f>
        <v>#REF!</v>
      </c>
      <c r="D58" s="201" t="e">
        <f>#REF!</f>
        <v>#REF!</v>
      </c>
      <c r="E58" s="251" t="str">
        <f t="shared" si="3"/>
        <v/>
      </c>
      <c r="F58" s="251" t="str">
        <f t="shared" si="4"/>
        <v/>
      </c>
      <c r="G58" s="68"/>
      <c r="H58" s="68"/>
      <c r="I58" s="68"/>
      <c r="J58" s="68" t="s">
        <v>150</v>
      </c>
      <c r="K58" s="194" t="e">
        <f>IF(#REF!=0,"",#REF!)</f>
        <v>#REF!</v>
      </c>
      <c r="L58" s="195" t="e">
        <f>IF(#REF!=0,"",#REF!)</f>
        <v>#REF!</v>
      </c>
      <c r="M58" s="195" t="e">
        <f>IF(#REF!=0,"",#REF!)</f>
        <v>#REF!</v>
      </c>
      <c r="N58" s="195" t="e">
        <f>IF(#REF!=0,"",#REF!)</f>
        <v>#REF!</v>
      </c>
      <c r="O58" s="195" t="e">
        <f>IF(#REF!=0,"",#REF!)</f>
        <v>#REF!</v>
      </c>
      <c r="P58" s="195" t="e">
        <f>IF(#REF!=0,"",#REF!)</f>
        <v>#REF!</v>
      </c>
      <c r="Q58" s="195" t="e">
        <f>IF(#REF!=0,"",#REF!)</f>
        <v>#REF!</v>
      </c>
      <c r="R58" s="195" t="e">
        <f>IF(#REF!=0,"",#REF!)</f>
        <v>#REF!</v>
      </c>
      <c r="S58" s="195" t="e">
        <f>IF(#REF!=0,"",#REF!)</f>
        <v>#REF!</v>
      </c>
      <c r="T58" s="195" t="e">
        <f>IF(#REF!=0,"",#REF!)</f>
        <v>#REF!</v>
      </c>
      <c r="U58" s="195" t="e">
        <f>IF(#REF!=0,"",#REF!)</f>
        <v>#REF!</v>
      </c>
      <c r="V58" s="195" t="e">
        <f>IF(#REF!=0,"",#REF!)</f>
        <v>#REF!</v>
      </c>
      <c r="W58" s="195" t="e">
        <f>IF(#REF!=0,"",#REF!)</f>
        <v>#REF!</v>
      </c>
      <c r="X58" s="195" t="e">
        <f>IF(#REF!=0,"",#REF!)</f>
        <v>#REF!</v>
      </c>
      <c r="Y58" s="195" t="e">
        <f>IF(#REF!=0,"",#REF!)</f>
        <v>#REF!</v>
      </c>
      <c r="Z58" s="195" t="e">
        <f>IF(#REF!=0,"",#REF!)</f>
        <v>#REF!</v>
      </c>
      <c r="AA58" s="195" t="e">
        <f>IF(#REF!=0,"",#REF!)</f>
        <v>#REF!</v>
      </c>
      <c r="AB58" s="195" t="e">
        <f>IF(#REF!=0,"",#REF!)</f>
        <v>#REF!</v>
      </c>
      <c r="AC58" s="195" t="e">
        <f>IF(#REF!=0,"",#REF!)</f>
        <v>#REF!</v>
      </c>
      <c r="AD58" s="195" t="e">
        <f>IF(#REF!=0,"",#REF!)</f>
        <v>#REF!</v>
      </c>
      <c r="AE58" s="195" t="e">
        <f>IF(#REF!=0,"",#REF!)</f>
        <v>#REF!</v>
      </c>
      <c r="AF58" s="195" t="e">
        <f>IF(#REF!=0,"",#REF!)</f>
        <v>#REF!</v>
      </c>
      <c r="AG58" s="195" t="e">
        <f>IF(#REF!=0,"",#REF!)</f>
        <v>#REF!</v>
      </c>
      <c r="AH58" s="195" t="e">
        <f>IF(#REF!=0,"",#REF!)</f>
        <v>#REF!</v>
      </c>
      <c r="AI58" s="195" t="e">
        <f>IF(#REF!=0,"",#REF!)</f>
        <v>#REF!</v>
      </c>
      <c r="AJ58" s="195" t="e">
        <f>IF(#REF!=0,"",#REF!)</f>
        <v>#REF!</v>
      </c>
      <c r="AK58" s="195" t="e">
        <f>IF(#REF!=0,"",#REF!)</f>
        <v>#REF!</v>
      </c>
      <c r="AL58" s="195" t="e">
        <f>IF(#REF!=0,"",#REF!)</f>
        <v>#REF!</v>
      </c>
      <c r="AM58" s="195" t="e">
        <f>IF(#REF!=0,"",#REF!)</f>
        <v>#REF!</v>
      </c>
      <c r="AN58" s="195" t="e">
        <f>IF(#REF!=0,"",#REF!)</f>
        <v>#REF!</v>
      </c>
      <c r="AO58" s="196" t="e">
        <f>IF(#REF!=0,"",#REF!)</f>
        <v>#REF!</v>
      </c>
      <c r="AP58" s="70" t="e">
        <f t="shared" si="5"/>
        <v>#REF!</v>
      </c>
      <c r="AQ58" s="68" t="s">
        <v>151</v>
      </c>
      <c r="AR58" s="70" t="e">
        <f>#REF!</f>
        <v>#REF!</v>
      </c>
      <c r="AS58" s="71" t="e">
        <f>#REF!</f>
        <v>#REF!</v>
      </c>
      <c r="AT58" s="71" t="e">
        <f>#REF!</f>
        <v>#REF!</v>
      </c>
      <c r="AU58" s="72"/>
      <c r="AV58" s="72"/>
      <c r="AW58" s="72"/>
      <c r="AX58" s="72"/>
      <c r="AY58" s="72"/>
      <c r="AZ58" s="72"/>
      <c r="BA58" s="68"/>
      <c r="BB58" s="68"/>
      <c r="BC58" s="68"/>
      <c r="BD58" s="68"/>
    </row>
    <row r="59" spans="1:56" s="73" customFormat="1" ht="19.5" customHeight="1">
      <c r="A59" s="68" t="s">
        <v>609</v>
      </c>
      <c r="B59" s="69" t="e">
        <f>#REF!</f>
        <v>#REF!</v>
      </c>
      <c r="C59" s="70" t="e">
        <f>LEFT(#REF!,6)&amp;RIGHT(#REF!,7)</f>
        <v>#REF!</v>
      </c>
      <c r="D59" s="201" t="e">
        <f>#REF!</f>
        <v>#REF!</v>
      </c>
      <c r="E59" s="251" t="str">
        <f t="shared" si="3"/>
        <v/>
      </c>
      <c r="F59" s="251" t="str">
        <f t="shared" si="4"/>
        <v/>
      </c>
      <c r="G59" s="68"/>
      <c r="H59" s="68"/>
      <c r="I59" s="68"/>
      <c r="J59" s="68" t="s">
        <v>150</v>
      </c>
      <c r="K59" s="194" t="e">
        <f>IF(#REF!=0,"",#REF!)</f>
        <v>#REF!</v>
      </c>
      <c r="L59" s="195" t="e">
        <f>IF(#REF!=0,"",#REF!)</f>
        <v>#REF!</v>
      </c>
      <c r="M59" s="195" t="e">
        <f>IF(#REF!=0,"",#REF!)</f>
        <v>#REF!</v>
      </c>
      <c r="N59" s="195" t="e">
        <f>IF(#REF!=0,"",#REF!)</f>
        <v>#REF!</v>
      </c>
      <c r="O59" s="195" t="e">
        <f>IF(#REF!=0,"",#REF!)</f>
        <v>#REF!</v>
      </c>
      <c r="P59" s="195" t="e">
        <f>IF(#REF!=0,"",#REF!)</f>
        <v>#REF!</v>
      </c>
      <c r="Q59" s="195" t="e">
        <f>IF(#REF!=0,"",#REF!)</f>
        <v>#REF!</v>
      </c>
      <c r="R59" s="195" t="e">
        <f>IF(#REF!=0,"",#REF!)</f>
        <v>#REF!</v>
      </c>
      <c r="S59" s="195" t="e">
        <f>IF(#REF!=0,"",#REF!)</f>
        <v>#REF!</v>
      </c>
      <c r="T59" s="195" t="e">
        <f>IF(#REF!=0,"",#REF!)</f>
        <v>#REF!</v>
      </c>
      <c r="U59" s="195" t="e">
        <f>IF(#REF!=0,"",#REF!)</f>
        <v>#REF!</v>
      </c>
      <c r="V59" s="195" t="e">
        <f>IF(#REF!=0,"",#REF!)</f>
        <v>#REF!</v>
      </c>
      <c r="W59" s="195" t="e">
        <f>IF(#REF!=0,"",#REF!)</f>
        <v>#REF!</v>
      </c>
      <c r="X59" s="195" t="e">
        <f>IF(#REF!=0,"",#REF!)</f>
        <v>#REF!</v>
      </c>
      <c r="Y59" s="195" t="e">
        <f>IF(#REF!=0,"",#REF!)</f>
        <v>#REF!</v>
      </c>
      <c r="Z59" s="195" t="e">
        <f>IF(#REF!=0,"",#REF!)</f>
        <v>#REF!</v>
      </c>
      <c r="AA59" s="195" t="e">
        <f>IF(#REF!=0,"",#REF!)</f>
        <v>#REF!</v>
      </c>
      <c r="AB59" s="195" t="e">
        <f>IF(#REF!=0,"",#REF!)</f>
        <v>#REF!</v>
      </c>
      <c r="AC59" s="195" t="e">
        <f>IF(#REF!=0,"",#REF!)</f>
        <v>#REF!</v>
      </c>
      <c r="AD59" s="195" t="e">
        <f>IF(#REF!=0,"",#REF!)</f>
        <v>#REF!</v>
      </c>
      <c r="AE59" s="195" t="e">
        <f>IF(#REF!=0,"",#REF!)</f>
        <v>#REF!</v>
      </c>
      <c r="AF59" s="195" t="e">
        <f>IF(#REF!=0,"",#REF!)</f>
        <v>#REF!</v>
      </c>
      <c r="AG59" s="195" t="e">
        <f>IF(#REF!=0,"",#REF!)</f>
        <v>#REF!</v>
      </c>
      <c r="AH59" s="195" t="e">
        <f>IF(#REF!=0,"",#REF!)</f>
        <v>#REF!</v>
      </c>
      <c r="AI59" s="195" t="e">
        <f>IF(#REF!=0,"",#REF!)</f>
        <v>#REF!</v>
      </c>
      <c r="AJ59" s="195" t="e">
        <f>IF(#REF!=0,"",#REF!)</f>
        <v>#REF!</v>
      </c>
      <c r="AK59" s="195" t="e">
        <f>IF(#REF!=0,"",#REF!)</f>
        <v>#REF!</v>
      </c>
      <c r="AL59" s="195" t="e">
        <f>IF(#REF!=0,"",#REF!)</f>
        <v>#REF!</v>
      </c>
      <c r="AM59" s="195" t="e">
        <f>IF(#REF!=0,"",#REF!)</f>
        <v>#REF!</v>
      </c>
      <c r="AN59" s="195" t="e">
        <f>IF(#REF!=0,"",#REF!)</f>
        <v>#REF!</v>
      </c>
      <c r="AO59" s="196" t="e">
        <f>IF(#REF!=0,"",#REF!)</f>
        <v>#REF!</v>
      </c>
      <c r="AP59" s="70" t="e">
        <f t="shared" si="5"/>
        <v>#REF!</v>
      </c>
      <c r="AQ59" s="68" t="s">
        <v>151</v>
      </c>
      <c r="AR59" s="70" t="e">
        <f>#REF!</f>
        <v>#REF!</v>
      </c>
      <c r="AS59" s="71" t="e">
        <f>#REF!</f>
        <v>#REF!</v>
      </c>
      <c r="AT59" s="71" t="e">
        <f>#REF!</f>
        <v>#REF!</v>
      </c>
      <c r="AU59" s="72"/>
      <c r="AV59" s="72"/>
      <c r="AW59" s="72"/>
      <c r="AX59" s="72"/>
      <c r="AY59" s="72"/>
      <c r="AZ59" s="72"/>
      <c r="BA59" s="68"/>
      <c r="BB59" s="68"/>
      <c r="BC59" s="68"/>
      <c r="BD59" s="68"/>
    </row>
    <row r="60" spans="1:56" s="73" customFormat="1" ht="19.5" customHeight="1">
      <c r="A60" s="68" t="s">
        <v>609</v>
      </c>
      <c r="B60" s="69" t="e">
        <f>#REF!</f>
        <v>#REF!</v>
      </c>
      <c r="C60" s="70" t="e">
        <f>LEFT(#REF!,6)&amp;RIGHT(#REF!,7)</f>
        <v>#REF!</v>
      </c>
      <c r="D60" s="201" t="e">
        <f>#REF!</f>
        <v>#REF!</v>
      </c>
      <c r="E60" s="251" t="str">
        <f t="shared" si="3"/>
        <v/>
      </c>
      <c r="F60" s="251" t="str">
        <f t="shared" si="4"/>
        <v/>
      </c>
      <c r="G60" s="68"/>
      <c r="H60" s="68"/>
      <c r="I60" s="68"/>
      <c r="J60" s="68" t="s">
        <v>150</v>
      </c>
      <c r="K60" s="194" t="e">
        <f>IF(#REF!=0,"",#REF!)</f>
        <v>#REF!</v>
      </c>
      <c r="L60" s="195" t="e">
        <f>IF(#REF!=0,"",#REF!)</f>
        <v>#REF!</v>
      </c>
      <c r="M60" s="195" t="e">
        <f>IF(#REF!=0,"",#REF!)</f>
        <v>#REF!</v>
      </c>
      <c r="N60" s="195" t="e">
        <f>IF(#REF!=0,"",#REF!)</f>
        <v>#REF!</v>
      </c>
      <c r="O60" s="195" t="e">
        <f>IF(#REF!=0,"",#REF!)</f>
        <v>#REF!</v>
      </c>
      <c r="P60" s="195" t="e">
        <f>IF(#REF!=0,"",#REF!)</f>
        <v>#REF!</v>
      </c>
      <c r="Q60" s="195" t="e">
        <f>IF(#REF!=0,"",#REF!)</f>
        <v>#REF!</v>
      </c>
      <c r="R60" s="195" t="e">
        <f>IF(#REF!=0,"",#REF!)</f>
        <v>#REF!</v>
      </c>
      <c r="S60" s="195" t="e">
        <f>IF(#REF!=0,"",#REF!)</f>
        <v>#REF!</v>
      </c>
      <c r="T60" s="195" t="e">
        <f>IF(#REF!=0,"",#REF!)</f>
        <v>#REF!</v>
      </c>
      <c r="U60" s="195" t="e">
        <f>IF(#REF!=0,"",#REF!)</f>
        <v>#REF!</v>
      </c>
      <c r="V60" s="195" t="e">
        <f>IF(#REF!=0,"",#REF!)</f>
        <v>#REF!</v>
      </c>
      <c r="W60" s="195" t="e">
        <f>IF(#REF!=0,"",#REF!)</f>
        <v>#REF!</v>
      </c>
      <c r="X60" s="195" t="e">
        <f>IF(#REF!=0,"",#REF!)</f>
        <v>#REF!</v>
      </c>
      <c r="Y60" s="195" t="e">
        <f>IF(#REF!=0,"",#REF!)</f>
        <v>#REF!</v>
      </c>
      <c r="Z60" s="195" t="e">
        <f>IF(#REF!=0,"",#REF!)</f>
        <v>#REF!</v>
      </c>
      <c r="AA60" s="195" t="e">
        <f>IF(#REF!=0,"",#REF!)</f>
        <v>#REF!</v>
      </c>
      <c r="AB60" s="195" t="e">
        <f>IF(#REF!=0,"",#REF!)</f>
        <v>#REF!</v>
      </c>
      <c r="AC60" s="195" t="e">
        <f>IF(#REF!=0,"",#REF!)</f>
        <v>#REF!</v>
      </c>
      <c r="AD60" s="195" t="e">
        <f>IF(#REF!=0,"",#REF!)</f>
        <v>#REF!</v>
      </c>
      <c r="AE60" s="195" t="e">
        <f>IF(#REF!=0,"",#REF!)</f>
        <v>#REF!</v>
      </c>
      <c r="AF60" s="195" t="e">
        <f>IF(#REF!=0,"",#REF!)</f>
        <v>#REF!</v>
      </c>
      <c r="AG60" s="195" t="e">
        <f>IF(#REF!=0,"",#REF!)</f>
        <v>#REF!</v>
      </c>
      <c r="AH60" s="195" t="e">
        <f>IF(#REF!=0,"",#REF!)</f>
        <v>#REF!</v>
      </c>
      <c r="AI60" s="195" t="e">
        <f>IF(#REF!=0,"",#REF!)</f>
        <v>#REF!</v>
      </c>
      <c r="AJ60" s="195" t="e">
        <f>IF(#REF!=0,"",#REF!)</f>
        <v>#REF!</v>
      </c>
      <c r="AK60" s="195" t="e">
        <f>IF(#REF!=0,"",#REF!)</f>
        <v>#REF!</v>
      </c>
      <c r="AL60" s="195" t="e">
        <f>IF(#REF!=0,"",#REF!)</f>
        <v>#REF!</v>
      </c>
      <c r="AM60" s="195" t="e">
        <f>IF(#REF!=0,"",#REF!)</f>
        <v>#REF!</v>
      </c>
      <c r="AN60" s="195" t="e">
        <f>IF(#REF!=0,"",#REF!)</f>
        <v>#REF!</v>
      </c>
      <c r="AO60" s="196" t="e">
        <f>IF(#REF!=0,"",#REF!)</f>
        <v>#REF!</v>
      </c>
      <c r="AP60" s="70" t="e">
        <f t="shared" si="5"/>
        <v>#REF!</v>
      </c>
      <c r="AQ60" s="68" t="s">
        <v>151</v>
      </c>
      <c r="AR60" s="70" t="e">
        <f>#REF!</f>
        <v>#REF!</v>
      </c>
      <c r="AS60" s="71" t="e">
        <f>#REF!</f>
        <v>#REF!</v>
      </c>
      <c r="AT60" s="71" t="e">
        <f>#REF!</f>
        <v>#REF!</v>
      </c>
      <c r="AU60" s="72"/>
      <c r="AV60" s="72"/>
      <c r="AW60" s="72"/>
      <c r="AX60" s="72"/>
      <c r="AY60" s="72"/>
      <c r="AZ60" s="72"/>
      <c r="BA60" s="68"/>
      <c r="BB60" s="68"/>
      <c r="BC60" s="68"/>
      <c r="BD60" s="68"/>
    </row>
    <row r="61" spans="1:56" s="73" customFormat="1" ht="19.5" customHeight="1">
      <c r="A61" s="68" t="s">
        <v>609</v>
      </c>
      <c r="B61" s="69" t="e">
        <f>#REF!</f>
        <v>#REF!</v>
      </c>
      <c r="C61" s="70" t="e">
        <f>LEFT(#REF!,6)&amp;RIGHT(#REF!,7)</f>
        <v>#REF!</v>
      </c>
      <c r="D61" s="201" t="e">
        <f>#REF!</f>
        <v>#REF!</v>
      </c>
      <c r="E61" s="251" t="str">
        <f t="shared" si="3"/>
        <v/>
      </c>
      <c r="F61" s="251" t="str">
        <f t="shared" si="4"/>
        <v/>
      </c>
      <c r="G61" s="68"/>
      <c r="H61" s="68"/>
      <c r="I61" s="68"/>
      <c r="J61" s="68" t="s">
        <v>150</v>
      </c>
      <c r="K61" s="194" t="e">
        <f>IF(#REF!=0,"",#REF!)</f>
        <v>#REF!</v>
      </c>
      <c r="L61" s="195" t="e">
        <f>IF(#REF!=0,"",#REF!)</f>
        <v>#REF!</v>
      </c>
      <c r="M61" s="195" t="e">
        <f>IF(#REF!=0,"",#REF!)</f>
        <v>#REF!</v>
      </c>
      <c r="N61" s="195" t="e">
        <f>IF(#REF!=0,"",#REF!)</f>
        <v>#REF!</v>
      </c>
      <c r="O61" s="195" t="e">
        <f>IF(#REF!=0,"",#REF!)</f>
        <v>#REF!</v>
      </c>
      <c r="P61" s="195" t="e">
        <f>IF(#REF!=0,"",#REF!)</f>
        <v>#REF!</v>
      </c>
      <c r="Q61" s="195" t="e">
        <f>IF(#REF!=0,"",#REF!)</f>
        <v>#REF!</v>
      </c>
      <c r="R61" s="195" t="e">
        <f>IF(#REF!=0,"",#REF!)</f>
        <v>#REF!</v>
      </c>
      <c r="S61" s="195" t="e">
        <f>IF(#REF!=0,"",#REF!)</f>
        <v>#REF!</v>
      </c>
      <c r="T61" s="195" t="e">
        <f>IF(#REF!=0,"",#REF!)</f>
        <v>#REF!</v>
      </c>
      <c r="U61" s="195" t="e">
        <f>IF(#REF!=0,"",#REF!)</f>
        <v>#REF!</v>
      </c>
      <c r="V61" s="195" t="e">
        <f>IF(#REF!=0,"",#REF!)</f>
        <v>#REF!</v>
      </c>
      <c r="W61" s="195" t="e">
        <f>IF(#REF!=0,"",#REF!)</f>
        <v>#REF!</v>
      </c>
      <c r="X61" s="195" t="e">
        <f>IF(#REF!=0,"",#REF!)</f>
        <v>#REF!</v>
      </c>
      <c r="Y61" s="195" t="e">
        <f>IF(#REF!=0,"",#REF!)</f>
        <v>#REF!</v>
      </c>
      <c r="Z61" s="195" t="e">
        <f>IF(#REF!=0,"",#REF!)</f>
        <v>#REF!</v>
      </c>
      <c r="AA61" s="195" t="e">
        <f>IF(#REF!=0,"",#REF!)</f>
        <v>#REF!</v>
      </c>
      <c r="AB61" s="195" t="e">
        <f>IF(#REF!=0,"",#REF!)</f>
        <v>#REF!</v>
      </c>
      <c r="AC61" s="195" t="e">
        <f>IF(#REF!=0,"",#REF!)</f>
        <v>#REF!</v>
      </c>
      <c r="AD61" s="195" t="e">
        <f>IF(#REF!=0,"",#REF!)</f>
        <v>#REF!</v>
      </c>
      <c r="AE61" s="195" t="e">
        <f>IF(#REF!=0,"",#REF!)</f>
        <v>#REF!</v>
      </c>
      <c r="AF61" s="195" t="e">
        <f>IF(#REF!=0,"",#REF!)</f>
        <v>#REF!</v>
      </c>
      <c r="AG61" s="195" t="e">
        <f>IF(#REF!=0,"",#REF!)</f>
        <v>#REF!</v>
      </c>
      <c r="AH61" s="195" t="e">
        <f>IF(#REF!=0,"",#REF!)</f>
        <v>#REF!</v>
      </c>
      <c r="AI61" s="195" t="e">
        <f>IF(#REF!=0,"",#REF!)</f>
        <v>#REF!</v>
      </c>
      <c r="AJ61" s="195" t="e">
        <f>IF(#REF!=0,"",#REF!)</f>
        <v>#REF!</v>
      </c>
      <c r="AK61" s="195" t="e">
        <f>IF(#REF!=0,"",#REF!)</f>
        <v>#REF!</v>
      </c>
      <c r="AL61" s="195" t="e">
        <f>IF(#REF!=0,"",#REF!)</f>
        <v>#REF!</v>
      </c>
      <c r="AM61" s="195" t="e">
        <f>IF(#REF!=0,"",#REF!)</f>
        <v>#REF!</v>
      </c>
      <c r="AN61" s="195" t="e">
        <f>IF(#REF!=0,"",#REF!)</f>
        <v>#REF!</v>
      </c>
      <c r="AO61" s="196" t="e">
        <f>IF(#REF!=0,"",#REF!)</f>
        <v>#REF!</v>
      </c>
      <c r="AP61" s="70" t="e">
        <f t="shared" si="5"/>
        <v>#REF!</v>
      </c>
      <c r="AQ61" s="68" t="s">
        <v>151</v>
      </c>
      <c r="AR61" s="70" t="e">
        <f>#REF!</f>
        <v>#REF!</v>
      </c>
      <c r="AS61" s="71" t="e">
        <f>#REF!</f>
        <v>#REF!</v>
      </c>
      <c r="AT61" s="71" t="e">
        <f>#REF!</f>
        <v>#REF!</v>
      </c>
      <c r="AU61" s="72"/>
      <c r="AV61" s="72"/>
      <c r="AW61" s="72"/>
      <c r="AX61" s="72"/>
      <c r="AY61" s="72"/>
      <c r="AZ61" s="72"/>
      <c r="BA61" s="68"/>
      <c r="BB61" s="68"/>
      <c r="BC61" s="68"/>
      <c r="BD61" s="68"/>
    </row>
    <row r="62" spans="1:56" s="73" customFormat="1" ht="19.5" customHeight="1">
      <c r="A62" s="68" t="s">
        <v>609</v>
      </c>
      <c r="B62" s="69" t="e">
        <f>#REF!</f>
        <v>#REF!</v>
      </c>
      <c r="C62" s="70" t="e">
        <f>LEFT(#REF!,6)&amp;RIGHT(#REF!,7)</f>
        <v>#REF!</v>
      </c>
      <c r="D62" s="201" t="e">
        <f>#REF!</f>
        <v>#REF!</v>
      </c>
      <c r="E62" s="251" t="str">
        <f t="shared" si="3"/>
        <v/>
      </c>
      <c r="F62" s="251" t="str">
        <f t="shared" si="4"/>
        <v/>
      </c>
      <c r="G62" s="68"/>
      <c r="H62" s="68"/>
      <c r="I62" s="68"/>
      <c r="J62" s="68" t="s">
        <v>150</v>
      </c>
      <c r="K62" s="194" t="e">
        <f>IF(#REF!=0,"",#REF!)</f>
        <v>#REF!</v>
      </c>
      <c r="L62" s="195" t="e">
        <f>IF(#REF!=0,"",#REF!)</f>
        <v>#REF!</v>
      </c>
      <c r="M62" s="195" t="e">
        <f>IF(#REF!=0,"",#REF!)</f>
        <v>#REF!</v>
      </c>
      <c r="N62" s="195" t="e">
        <f>IF(#REF!=0,"",#REF!)</f>
        <v>#REF!</v>
      </c>
      <c r="O62" s="195" t="e">
        <f>IF(#REF!=0,"",#REF!)</f>
        <v>#REF!</v>
      </c>
      <c r="P62" s="195" t="e">
        <f>IF(#REF!=0,"",#REF!)</f>
        <v>#REF!</v>
      </c>
      <c r="Q62" s="195" t="e">
        <f>IF(#REF!=0,"",#REF!)</f>
        <v>#REF!</v>
      </c>
      <c r="R62" s="195" t="e">
        <f>IF(#REF!=0,"",#REF!)</f>
        <v>#REF!</v>
      </c>
      <c r="S62" s="195" t="e">
        <f>IF(#REF!=0,"",#REF!)</f>
        <v>#REF!</v>
      </c>
      <c r="T62" s="195" t="e">
        <f>IF(#REF!=0,"",#REF!)</f>
        <v>#REF!</v>
      </c>
      <c r="U62" s="195" t="e">
        <f>IF(#REF!=0,"",#REF!)</f>
        <v>#REF!</v>
      </c>
      <c r="V62" s="195" t="e">
        <f>IF(#REF!=0,"",#REF!)</f>
        <v>#REF!</v>
      </c>
      <c r="W62" s="195" t="e">
        <f>IF(#REF!=0,"",#REF!)</f>
        <v>#REF!</v>
      </c>
      <c r="X62" s="195" t="e">
        <f>IF(#REF!=0,"",#REF!)</f>
        <v>#REF!</v>
      </c>
      <c r="Y62" s="195" t="e">
        <f>IF(#REF!=0,"",#REF!)</f>
        <v>#REF!</v>
      </c>
      <c r="Z62" s="195" t="e">
        <f>IF(#REF!=0,"",#REF!)</f>
        <v>#REF!</v>
      </c>
      <c r="AA62" s="195" t="e">
        <f>IF(#REF!=0,"",#REF!)</f>
        <v>#REF!</v>
      </c>
      <c r="AB62" s="195" t="e">
        <f>IF(#REF!=0,"",#REF!)</f>
        <v>#REF!</v>
      </c>
      <c r="AC62" s="195" t="e">
        <f>IF(#REF!=0,"",#REF!)</f>
        <v>#REF!</v>
      </c>
      <c r="AD62" s="195" t="e">
        <f>IF(#REF!=0,"",#REF!)</f>
        <v>#REF!</v>
      </c>
      <c r="AE62" s="195" t="e">
        <f>IF(#REF!=0,"",#REF!)</f>
        <v>#REF!</v>
      </c>
      <c r="AF62" s="195" t="e">
        <f>IF(#REF!=0,"",#REF!)</f>
        <v>#REF!</v>
      </c>
      <c r="AG62" s="195" t="e">
        <f>IF(#REF!=0,"",#REF!)</f>
        <v>#REF!</v>
      </c>
      <c r="AH62" s="195" t="e">
        <f>IF(#REF!=0,"",#REF!)</f>
        <v>#REF!</v>
      </c>
      <c r="AI62" s="195" t="e">
        <f>IF(#REF!=0,"",#REF!)</f>
        <v>#REF!</v>
      </c>
      <c r="AJ62" s="195" t="e">
        <f>IF(#REF!=0,"",#REF!)</f>
        <v>#REF!</v>
      </c>
      <c r="AK62" s="195" t="e">
        <f>IF(#REF!=0,"",#REF!)</f>
        <v>#REF!</v>
      </c>
      <c r="AL62" s="195" t="e">
        <f>IF(#REF!=0,"",#REF!)</f>
        <v>#REF!</v>
      </c>
      <c r="AM62" s="195" t="e">
        <f>IF(#REF!=0,"",#REF!)</f>
        <v>#REF!</v>
      </c>
      <c r="AN62" s="195" t="e">
        <f>IF(#REF!=0,"",#REF!)</f>
        <v>#REF!</v>
      </c>
      <c r="AO62" s="196" t="e">
        <f>IF(#REF!=0,"",#REF!)</f>
        <v>#REF!</v>
      </c>
      <c r="AP62" s="70" t="e">
        <f t="shared" si="5"/>
        <v>#REF!</v>
      </c>
      <c r="AQ62" s="68" t="s">
        <v>151</v>
      </c>
      <c r="AR62" s="70" t="e">
        <f>#REF!</f>
        <v>#REF!</v>
      </c>
      <c r="AS62" s="71" t="e">
        <f>#REF!</f>
        <v>#REF!</v>
      </c>
      <c r="AT62" s="71" t="e">
        <f>#REF!</f>
        <v>#REF!</v>
      </c>
      <c r="AU62" s="72"/>
      <c r="AV62" s="72"/>
      <c r="AW62" s="72"/>
      <c r="AX62" s="72"/>
      <c r="AY62" s="72"/>
      <c r="AZ62" s="72"/>
      <c r="BA62" s="68"/>
      <c r="BB62" s="68"/>
      <c r="BC62" s="68"/>
      <c r="BD62" s="68"/>
    </row>
    <row r="63" spans="1:56" s="73" customFormat="1" ht="19.5" customHeight="1">
      <c r="A63" s="68" t="s">
        <v>609</v>
      </c>
      <c r="B63" s="69" t="e">
        <f>#REF!</f>
        <v>#REF!</v>
      </c>
      <c r="C63" s="70" t="e">
        <f>LEFT(#REF!,6)&amp;RIGHT(#REF!,7)</f>
        <v>#REF!</v>
      </c>
      <c r="D63" s="201" t="e">
        <f>#REF!</f>
        <v>#REF!</v>
      </c>
      <c r="E63" s="251" t="str">
        <f t="shared" si="3"/>
        <v/>
      </c>
      <c r="F63" s="251" t="str">
        <f t="shared" si="4"/>
        <v/>
      </c>
      <c r="G63" s="68"/>
      <c r="H63" s="68"/>
      <c r="I63" s="68"/>
      <c r="J63" s="68" t="s">
        <v>150</v>
      </c>
      <c r="K63" s="194" t="e">
        <f>IF(#REF!=0,"",#REF!)</f>
        <v>#REF!</v>
      </c>
      <c r="L63" s="195" t="e">
        <f>IF(#REF!=0,"",#REF!)</f>
        <v>#REF!</v>
      </c>
      <c r="M63" s="195" t="e">
        <f>IF(#REF!=0,"",#REF!)</f>
        <v>#REF!</v>
      </c>
      <c r="N63" s="195" t="e">
        <f>IF(#REF!=0,"",#REF!)</f>
        <v>#REF!</v>
      </c>
      <c r="O63" s="195" t="e">
        <f>IF(#REF!=0,"",#REF!)</f>
        <v>#REF!</v>
      </c>
      <c r="P63" s="195" t="e">
        <f>IF(#REF!=0,"",#REF!)</f>
        <v>#REF!</v>
      </c>
      <c r="Q63" s="195" t="e">
        <f>IF(#REF!=0,"",#REF!)</f>
        <v>#REF!</v>
      </c>
      <c r="R63" s="195" t="e">
        <f>IF(#REF!=0,"",#REF!)</f>
        <v>#REF!</v>
      </c>
      <c r="S63" s="195" t="e">
        <f>IF(#REF!=0,"",#REF!)</f>
        <v>#REF!</v>
      </c>
      <c r="T63" s="195" t="e">
        <f>IF(#REF!=0,"",#REF!)</f>
        <v>#REF!</v>
      </c>
      <c r="U63" s="195" t="e">
        <f>IF(#REF!=0,"",#REF!)</f>
        <v>#REF!</v>
      </c>
      <c r="V63" s="195" t="e">
        <f>IF(#REF!=0,"",#REF!)</f>
        <v>#REF!</v>
      </c>
      <c r="W63" s="195" t="e">
        <f>IF(#REF!=0,"",#REF!)</f>
        <v>#REF!</v>
      </c>
      <c r="X63" s="195" t="e">
        <f>IF(#REF!=0,"",#REF!)</f>
        <v>#REF!</v>
      </c>
      <c r="Y63" s="195" t="e">
        <f>IF(#REF!=0,"",#REF!)</f>
        <v>#REF!</v>
      </c>
      <c r="Z63" s="195" t="e">
        <f>IF(#REF!=0,"",#REF!)</f>
        <v>#REF!</v>
      </c>
      <c r="AA63" s="195" t="e">
        <f>IF(#REF!=0,"",#REF!)</f>
        <v>#REF!</v>
      </c>
      <c r="AB63" s="195" t="e">
        <f>IF(#REF!=0,"",#REF!)</f>
        <v>#REF!</v>
      </c>
      <c r="AC63" s="195" t="e">
        <f>IF(#REF!=0,"",#REF!)</f>
        <v>#REF!</v>
      </c>
      <c r="AD63" s="195" t="e">
        <f>IF(#REF!=0,"",#REF!)</f>
        <v>#REF!</v>
      </c>
      <c r="AE63" s="195" t="e">
        <f>IF(#REF!=0,"",#REF!)</f>
        <v>#REF!</v>
      </c>
      <c r="AF63" s="195" t="e">
        <f>IF(#REF!=0,"",#REF!)</f>
        <v>#REF!</v>
      </c>
      <c r="AG63" s="195" t="e">
        <f>IF(#REF!=0,"",#REF!)</f>
        <v>#REF!</v>
      </c>
      <c r="AH63" s="195" t="e">
        <f>IF(#REF!=0,"",#REF!)</f>
        <v>#REF!</v>
      </c>
      <c r="AI63" s="195" t="e">
        <f>IF(#REF!=0,"",#REF!)</f>
        <v>#REF!</v>
      </c>
      <c r="AJ63" s="195" t="e">
        <f>IF(#REF!=0,"",#REF!)</f>
        <v>#REF!</v>
      </c>
      <c r="AK63" s="195" t="e">
        <f>IF(#REF!=0,"",#REF!)</f>
        <v>#REF!</v>
      </c>
      <c r="AL63" s="195" t="e">
        <f>IF(#REF!=0,"",#REF!)</f>
        <v>#REF!</v>
      </c>
      <c r="AM63" s="195" t="e">
        <f>IF(#REF!=0,"",#REF!)</f>
        <v>#REF!</v>
      </c>
      <c r="AN63" s="195" t="e">
        <f>IF(#REF!=0,"",#REF!)</f>
        <v>#REF!</v>
      </c>
      <c r="AO63" s="196" t="e">
        <f>IF(#REF!=0,"",#REF!)</f>
        <v>#REF!</v>
      </c>
      <c r="AP63" s="70" t="e">
        <f t="shared" si="5"/>
        <v>#REF!</v>
      </c>
      <c r="AQ63" s="68" t="s">
        <v>151</v>
      </c>
      <c r="AR63" s="70" t="e">
        <f>#REF!</f>
        <v>#REF!</v>
      </c>
      <c r="AS63" s="71" t="e">
        <f>#REF!</f>
        <v>#REF!</v>
      </c>
      <c r="AT63" s="71" t="e">
        <f>#REF!</f>
        <v>#REF!</v>
      </c>
      <c r="AU63" s="72"/>
      <c r="AV63" s="72"/>
      <c r="AW63" s="72"/>
      <c r="AX63" s="72"/>
      <c r="AY63" s="72"/>
      <c r="AZ63" s="72"/>
      <c r="BA63" s="68"/>
      <c r="BB63" s="68"/>
      <c r="BC63" s="68"/>
      <c r="BD63" s="68"/>
    </row>
    <row r="64" spans="1:56" s="73" customFormat="1" ht="19.5" customHeight="1">
      <c r="A64" s="68" t="s">
        <v>609</v>
      </c>
      <c r="B64" s="69" t="e">
        <f>#REF!</f>
        <v>#REF!</v>
      </c>
      <c r="C64" s="70" t="e">
        <f>LEFT(#REF!,6)&amp;RIGHT(#REF!,7)</f>
        <v>#REF!</v>
      </c>
      <c r="D64" s="201" t="e">
        <f>#REF!</f>
        <v>#REF!</v>
      </c>
      <c r="E64" s="251" t="str">
        <f t="shared" si="3"/>
        <v/>
      </c>
      <c r="F64" s="251" t="str">
        <f t="shared" si="4"/>
        <v/>
      </c>
      <c r="G64" s="68"/>
      <c r="H64" s="68"/>
      <c r="I64" s="68"/>
      <c r="J64" s="68" t="s">
        <v>150</v>
      </c>
      <c r="K64" s="194" t="e">
        <f>IF(#REF!=0,"",#REF!)</f>
        <v>#REF!</v>
      </c>
      <c r="L64" s="195" t="e">
        <f>IF(#REF!=0,"",#REF!)</f>
        <v>#REF!</v>
      </c>
      <c r="M64" s="195" t="e">
        <f>IF(#REF!=0,"",#REF!)</f>
        <v>#REF!</v>
      </c>
      <c r="N64" s="195" t="e">
        <f>IF(#REF!=0,"",#REF!)</f>
        <v>#REF!</v>
      </c>
      <c r="O64" s="195" t="e">
        <f>IF(#REF!=0,"",#REF!)</f>
        <v>#REF!</v>
      </c>
      <c r="P64" s="195" t="e">
        <f>IF(#REF!=0,"",#REF!)</f>
        <v>#REF!</v>
      </c>
      <c r="Q64" s="195" t="e">
        <f>IF(#REF!=0,"",#REF!)</f>
        <v>#REF!</v>
      </c>
      <c r="R64" s="195" t="e">
        <f>IF(#REF!=0,"",#REF!)</f>
        <v>#REF!</v>
      </c>
      <c r="S64" s="195" t="e">
        <f>IF(#REF!=0,"",#REF!)</f>
        <v>#REF!</v>
      </c>
      <c r="T64" s="195" t="e">
        <f>IF(#REF!=0,"",#REF!)</f>
        <v>#REF!</v>
      </c>
      <c r="U64" s="195" t="e">
        <f>IF(#REF!=0,"",#REF!)</f>
        <v>#REF!</v>
      </c>
      <c r="V64" s="195" t="e">
        <f>IF(#REF!=0,"",#REF!)</f>
        <v>#REF!</v>
      </c>
      <c r="W64" s="195" t="e">
        <f>IF(#REF!=0,"",#REF!)</f>
        <v>#REF!</v>
      </c>
      <c r="X64" s="195" t="e">
        <f>IF(#REF!=0,"",#REF!)</f>
        <v>#REF!</v>
      </c>
      <c r="Y64" s="195" t="e">
        <f>IF(#REF!=0,"",#REF!)</f>
        <v>#REF!</v>
      </c>
      <c r="Z64" s="195" t="e">
        <f>IF(#REF!=0,"",#REF!)</f>
        <v>#REF!</v>
      </c>
      <c r="AA64" s="195" t="e">
        <f>IF(#REF!=0,"",#REF!)</f>
        <v>#REF!</v>
      </c>
      <c r="AB64" s="195" t="e">
        <f>IF(#REF!=0,"",#REF!)</f>
        <v>#REF!</v>
      </c>
      <c r="AC64" s="195" t="e">
        <f>IF(#REF!=0,"",#REF!)</f>
        <v>#REF!</v>
      </c>
      <c r="AD64" s="195" t="e">
        <f>IF(#REF!=0,"",#REF!)</f>
        <v>#REF!</v>
      </c>
      <c r="AE64" s="195" t="e">
        <f>IF(#REF!=0,"",#REF!)</f>
        <v>#REF!</v>
      </c>
      <c r="AF64" s="195" t="e">
        <f>IF(#REF!=0,"",#REF!)</f>
        <v>#REF!</v>
      </c>
      <c r="AG64" s="195" t="e">
        <f>IF(#REF!=0,"",#REF!)</f>
        <v>#REF!</v>
      </c>
      <c r="AH64" s="195" t="e">
        <f>IF(#REF!=0,"",#REF!)</f>
        <v>#REF!</v>
      </c>
      <c r="AI64" s="195" t="e">
        <f>IF(#REF!=0,"",#REF!)</f>
        <v>#REF!</v>
      </c>
      <c r="AJ64" s="195" t="e">
        <f>IF(#REF!=0,"",#REF!)</f>
        <v>#REF!</v>
      </c>
      <c r="AK64" s="195" t="e">
        <f>IF(#REF!=0,"",#REF!)</f>
        <v>#REF!</v>
      </c>
      <c r="AL64" s="195" t="e">
        <f>IF(#REF!=0,"",#REF!)</f>
        <v>#REF!</v>
      </c>
      <c r="AM64" s="195" t="e">
        <f>IF(#REF!=0,"",#REF!)</f>
        <v>#REF!</v>
      </c>
      <c r="AN64" s="195" t="e">
        <f>IF(#REF!=0,"",#REF!)</f>
        <v>#REF!</v>
      </c>
      <c r="AO64" s="196" t="e">
        <f>IF(#REF!=0,"",#REF!)</f>
        <v>#REF!</v>
      </c>
      <c r="AP64" s="70" t="e">
        <f t="shared" si="5"/>
        <v>#REF!</v>
      </c>
      <c r="AQ64" s="68" t="s">
        <v>151</v>
      </c>
      <c r="AR64" s="70" t="e">
        <f>#REF!</f>
        <v>#REF!</v>
      </c>
      <c r="AS64" s="71" t="e">
        <f>#REF!</f>
        <v>#REF!</v>
      </c>
      <c r="AT64" s="71" t="e">
        <f>#REF!</f>
        <v>#REF!</v>
      </c>
      <c r="AU64" s="72"/>
      <c r="AV64" s="72"/>
      <c r="AW64" s="72"/>
      <c r="AX64" s="72"/>
      <c r="AY64" s="72"/>
      <c r="AZ64" s="72"/>
      <c r="BA64" s="68"/>
      <c r="BB64" s="68"/>
      <c r="BC64" s="68"/>
      <c r="BD64" s="68"/>
    </row>
    <row r="65" spans="1:56" s="73" customFormat="1" ht="19.5" customHeight="1">
      <c r="A65" s="68" t="s">
        <v>609</v>
      </c>
      <c r="B65" s="69" t="e">
        <f>#REF!</f>
        <v>#REF!</v>
      </c>
      <c r="C65" s="70" t="e">
        <f>LEFT(#REF!,6)&amp;RIGHT(#REF!,7)</f>
        <v>#REF!</v>
      </c>
      <c r="D65" s="201" t="e">
        <f>#REF!</f>
        <v>#REF!</v>
      </c>
      <c r="E65" s="251" t="str">
        <f t="shared" si="3"/>
        <v/>
      </c>
      <c r="F65" s="251" t="str">
        <f t="shared" si="4"/>
        <v/>
      </c>
      <c r="G65" s="68"/>
      <c r="H65" s="68"/>
      <c r="I65" s="68"/>
      <c r="J65" s="68" t="s">
        <v>150</v>
      </c>
      <c r="K65" s="194" t="e">
        <f>IF(#REF!=0,"",#REF!)</f>
        <v>#REF!</v>
      </c>
      <c r="L65" s="195" t="e">
        <f>IF(#REF!=0,"",#REF!)</f>
        <v>#REF!</v>
      </c>
      <c r="M65" s="195" t="e">
        <f>IF(#REF!=0,"",#REF!)</f>
        <v>#REF!</v>
      </c>
      <c r="N65" s="195" t="e">
        <f>IF(#REF!=0,"",#REF!)</f>
        <v>#REF!</v>
      </c>
      <c r="O65" s="195" t="e">
        <f>IF(#REF!=0,"",#REF!)</f>
        <v>#REF!</v>
      </c>
      <c r="P65" s="195" t="e">
        <f>IF(#REF!=0,"",#REF!)</f>
        <v>#REF!</v>
      </c>
      <c r="Q65" s="195" t="e">
        <f>IF(#REF!=0,"",#REF!)</f>
        <v>#REF!</v>
      </c>
      <c r="R65" s="195" t="e">
        <f>IF(#REF!=0,"",#REF!)</f>
        <v>#REF!</v>
      </c>
      <c r="S65" s="195" t="e">
        <f>IF(#REF!=0,"",#REF!)</f>
        <v>#REF!</v>
      </c>
      <c r="T65" s="195" t="e">
        <f>IF(#REF!=0,"",#REF!)</f>
        <v>#REF!</v>
      </c>
      <c r="U65" s="195" t="e">
        <f>IF(#REF!=0,"",#REF!)</f>
        <v>#REF!</v>
      </c>
      <c r="V65" s="195" t="e">
        <f>IF(#REF!=0,"",#REF!)</f>
        <v>#REF!</v>
      </c>
      <c r="W65" s="195" t="e">
        <f>IF(#REF!=0,"",#REF!)</f>
        <v>#REF!</v>
      </c>
      <c r="X65" s="195" t="e">
        <f>IF(#REF!=0,"",#REF!)</f>
        <v>#REF!</v>
      </c>
      <c r="Y65" s="195" t="e">
        <f>IF(#REF!=0,"",#REF!)</f>
        <v>#REF!</v>
      </c>
      <c r="Z65" s="195" t="e">
        <f>IF(#REF!=0,"",#REF!)</f>
        <v>#REF!</v>
      </c>
      <c r="AA65" s="195" t="e">
        <f>IF(#REF!=0,"",#REF!)</f>
        <v>#REF!</v>
      </c>
      <c r="AB65" s="195" t="e">
        <f>IF(#REF!=0,"",#REF!)</f>
        <v>#REF!</v>
      </c>
      <c r="AC65" s="195" t="e">
        <f>IF(#REF!=0,"",#REF!)</f>
        <v>#REF!</v>
      </c>
      <c r="AD65" s="195" t="e">
        <f>IF(#REF!=0,"",#REF!)</f>
        <v>#REF!</v>
      </c>
      <c r="AE65" s="195" t="e">
        <f>IF(#REF!=0,"",#REF!)</f>
        <v>#REF!</v>
      </c>
      <c r="AF65" s="195" t="e">
        <f>IF(#REF!=0,"",#REF!)</f>
        <v>#REF!</v>
      </c>
      <c r="AG65" s="195" t="e">
        <f>IF(#REF!=0,"",#REF!)</f>
        <v>#REF!</v>
      </c>
      <c r="AH65" s="195" t="e">
        <f>IF(#REF!=0,"",#REF!)</f>
        <v>#REF!</v>
      </c>
      <c r="AI65" s="195" t="e">
        <f>IF(#REF!=0,"",#REF!)</f>
        <v>#REF!</v>
      </c>
      <c r="AJ65" s="195" t="e">
        <f>IF(#REF!=0,"",#REF!)</f>
        <v>#REF!</v>
      </c>
      <c r="AK65" s="195" t="e">
        <f>IF(#REF!=0,"",#REF!)</f>
        <v>#REF!</v>
      </c>
      <c r="AL65" s="195" t="e">
        <f>IF(#REF!=0,"",#REF!)</f>
        <v>#REF!</v>
      </c>
      <c r="AM65" s="195" t="e">
        <f>IF(#REF!=0,"",#REF!)</f>
        <v>#REF!</v>
      </c>
      <c r="AN65" s="195" t="e">
        <f>IF(#REF!=0,"",#REF!)</f>
        <v>#REF!</v>
      </c>
      <c r="AO65" s="196" t="e">
        <f>IF(#REF!=0,"",#REF!)</f>
        <v>#REF!</v>
      </c>
      <c r="AP65" s="70" t="e">
        <f t="shared" si="5"/>
        <v>#REF!</v>
      </c>
      <c r="AQ65" s="68" t="s">
        <v>151</v>
      </c>
      <c r="AR65" s="70" t="e">
        <f>#REF!</f>
        <v>#REF!</v>
      </c>
      <c r="AS65" s="71" t="e">
        <f>#REF!</f>
        <v>#REF!</v>
      </c>
      <c r="AT65" s="71" t="e">
        <f>#REF!</f>
        <v>#REF!</v>
      </c>
      <c r="AU65" s="72"/>
      <c r="AV65" s="72"/>
      <c r="AW65" s="72"/>
      <c r="AX65" s="72"/>
      <c r="AY65" s="72"/>
      <c r="AZ65" s="72"/>
      <c r="BA65" s="68"/>
      <c r="BB65" s="68"/>
      <c r="BC65" s="68"/>
      <c r="BD65" s="68"/>
    </row>
    <row r="66" spans="1:56" s="73" customFormat="1" ht="19.5" customHeight="1">
      <c r="A66" s="68" t="s">
        <v>609</v>
      </c>
      <c r="B66" s="69" t="e">
        <f>#REF!</f>
        <v>#REF!</v>
      </c>
      <c r="C66" s="70" t="e">
        <f>LEFT(#REF!,6)&amp;RIGHT(#REF!,7)</f>
        <v>#REF!</v>
      </c>
      <c r="D66" s="201" t="e">
        <f>#REF!</f>
        <v>#REF!</v>
      </c>
      <c r="E66" s="251" t="str">
        <f t="shared" ref="E66:E74" si="6">IFERROR(IF(VLOOKUP(B66,주소록,10,FALSE)&lt;&gt;"",VLOOKUP(B66,주소록,10,FALSE),""),"")</f>
        <v/>
      </c>
      <c r="F66" s="251" t="str">
        <f t="shared" ref="F66:F74" si="7">IFERROR(IF(VLOOKUP(B66,주소록,10,FALSE)&lt;&gt;"",VLOOKUP(B66,주소록,11,FALSE),""),"")</f>
        <v/>
      </c>
      <c r="G66" s="68"/>
      <c r="H66" s="68"/>
      <c r="I66" s="68"/>
      <c r="J66" s="68" t="s">
        <v>150</v>
      </c>
      <c r="K66" s="194" t="e">
        <f>IF(#REF!=0,"",#REF!)</f>
        <v>#REF!</v>
      </c>
      <c r="L66" s="195" t="e">
        <f>IF(#REF!=0,"",#REF!)</f>
        <v>#REF!</v>
      </c>
      <c r="M66" s="195" t="e">
        <f>IF(#REF!=0,"",#REF!)</f>
        <v>#REF!</v>
      </c>
      <c r="N66" s="195" t="e">
        <f>IF(#REF!=0,"",#REF!)</f>
        <v>#REF!</v>
      </c>
      <c r="O66" s="195" t="e">
        <f>IF(#REF!=0,"",#REF!)</f>
        <v>#REF!</v>
      </c>
      <c r="P66" s="195" t="e">
        <f>IF(#REF!=0,"",#REF!)</f>
        <v>#REF!</v>
      </c>
      <c r="Q66" s="195" t="e">
        <f>IF(#REF!=0,"",#REF!)</f>
        <v>#REF!</v>
      </c>
      <c r="R66" s="195" t="e">
        <f>IF(#REF!=0,"",#REF!)</f>
        <v>#REF!</v>
      </c>
      <c r="S66" s="195" t="e">
        <f>IF(#REF!=0,"",#REF!)</f>
        <v>#REF!</v>
      </c>
      <c r="T66" s="195" t="e">
        <f>IF(#REF!=0,"",#REF!)</f>
        <v>#REF!</v>
      </c>
      <c r="U66" s="195" t="e">
        <f>IF(#REF!=0,"",#REF!)</f>
        <v>#REF!</v>
      </c>
      <c r="V66" s="195" t="e">
        <f>IF(#REF!=0,"",#REF!)</f>
        <v>#REF!</v>
      </c>
      <c r="W66" s="195" t="e">
        <f>IF(#REF!=0,"",#REF!)</f>
        <v>#REF!</v>
      </c>
      <c r="X66" s="195" t="e">
        <f>IF(#REF!=0,"",#REF!)</f>
        <v>#REF!</v>
      </c>
      <c r="Y66" s="195" t="e">
        <f>IF(#REF!=0,"",#REF!)</f>
        <v>#REF!</v>
      </c>
      <c r="Z66" s="195" t="e">
        <f>IF(#REF!=0,"",#REF!)</f>
        <v>#REF!</v>
      </c>
      <c r="AA66" s="195" t="e">
        <f>IF(#REF!=0,"",#REF!)</f>
        <v>#REF!</v>
      </c>
      <c r="AB66" s="195" t="e">
        <f>IF(#REF!=0,"",#REF!)</f>
        <v>#REF!</v>
      </c>
      <c r="AC66" s="195" t="e">
        <f>IF(#REF!=0,"",#REF!)</f>
        <v>#REF!</v>
      </c>
      <c r="AD66" s="195" t="e">
        <f>IF(#REF!=0,"",#REF!)</f>
        <v>#REF!</v>
      </c>
      <c r="AE66" s="195" t="e">
        <f>IF(#REF!=0,"",#REF!)</f>
        <v>#REF!</v>
      </c>
      <c r="AF66" s="195" t="e">
        <f>IF(#REF!=0,"",#REF!)</f>
        <v>#REF!</v>
      </c>
      <c r="AG66" s="195" t="e">
        <f>IF(#REF!=0,"",#REF!)</f>
        <v>#REF!</v>
      </c>
      <c r="AH66" s="195" t="e">
        <f>IF(#REF!=0,"",#REF!)</f>
        <v>#REF!</v>
      </c>
      <c r="AI66" s="195" t="e">
        <f>IF(#REF!=0,"",#REF!)</f>
        <v>#REF!</v>
      </c>
      <c r="AJ66" s="195" t="e">
        <f>IF(#REF!=0,"",#REF!)</f>
        <v>#REF!</v>
      </c>
      <c r="AK66" s="195" t="e">
        <f>IF(#REF!=0,"",#REF!)</f>
        <v>#REF!</v>
      </c>
      <c r="AL66" s="195" t="e">
        <f>IF(#REF!=0,"",#REF!)</f>
        <v>#REF!</v>
      </c>
      <c r="AM66" s="195" t="e">
        <f>IF(#REF!=0,"",#REF!)</f>
        <v>#REF!</v>
      </c>
      <c r="AN66" s="195" t="e">
        <f>IF(#REF!=0,"",#REF!)</f>
        <v>#REF!</v>
      </c>
      <c r="AO66" s="196" t="e">
        <f>IF(#REF!=0,"",#REF!)</f>
        <v>#REF!</v>
      </c>
      <c r="AP66" s="70" t="e">
        <f t="shared" ref="AP66:AP74" si="8">SUM(K66:AO66)</f>
        <v>#REF!</v>
      </c>
      <c r="AQ66" s="68" t="s">
        <v>151</v>
      </c>
      <c r="AR66" s="70" t="e">
        <f>#REF!</f>
        <v>#REF!</v>
      </c>
      <c r="AS66" s="71" t="e">
        <f>#REF!</f>
        <v>#REF!</v>
      </c>
      <c r="AT66" s="71" t="e">
        <f>#REF!</f>
        <v>#REF!</v>
      </c>
      <c r="AU66" s="72"/>
      <c r="AV66" s="72"/>
      <c r="AW66" s="72"/>
      <c r="AX66" s="72"/>
      <c r="AY66" s="72"/>
      <c r="AZ66" s="72"/>
      <c r="BA66" s="68"/>
      <c r="BB66" s="68"/>
      <c r="BC66" s="68"/>
      <c r="BD66" s="68"/>
    </row>
    <row r="67" spans="1:56" s="73" customFormat="1" ht="19.5" customHeight="1">
      <c r="A67" s="68" t="s">
        <v>609</v>
      </c>
      <c r="B67" s="69" t="e">
        <f>#REF!</f>
        <v>#REF!</v>
      </c>
      <c r="C67" s="70" t="e">
        <f>LEFT(#REF!,6)&amp;RIGHT(#REF!,7)</f>
        <v>#REF!</v>
      </c>
      <c r="D67" s="201" t="e">
        <f>#REF!</f>
        <v>#REF!</v>
      </c>
      <c r="E67" s="251" t="str">
        <f t="shared" si="6"/>
        <v/>
      </c>
      <c r="F67" s="251" t="str">
        <f t="shared" si="7"/>
        <v/>
      </c>
      <c r="G67" s="68"/>
      <c r="H67" s="68"/>
      <c r="I67" s="68"/>
      <c r="J67" s="68" t="s">
        <v>150</v>
      </c>
      <c r="K67" s="194" t="e">
        <f>IF(#REF!=0,"",#REF!)</f>
        <v>#REF!</v>
      </c>
      <c r="L67" s="195" t="e">
        <f>IF(#REF!=0,"",#REF!)</f>
        <v>#REF!</v>
      </c>
      <c r="M67" s="195" t="e">
        <f>IF(#REF!=0,"",#REF!)</f>
        <v>#REF!</v>
      </c>
      <c r="N67" s="195" t="e">
        <f>IF(#REF!=0,"",#REF!)</f>
        <v>#REF!</v>
      </c>
      <c r="O67" s="195" t="e">
        <f>IF(#REF!=0,"",#REF!)</f>
        <v>#REF!</v>
      </c>
      <c r="P67" s="195" t="e">
        <f>IF(#REF!=0,"",#REF!)</f>
        <v>#REF!</v>
      </c>
      <c r="Q67" s="195" t="e">
        <f>IF(#REF!=0,"",#REF!)</f>
        <v>#REF!</v>
      </c>
      <c r="R67" s="195" t="e">
        <f>IF(#REF!=0,"",#REF!)</f>
        <v>#REF!</v>
      </c>
      <c r="S67" s="195" t="e">
        <f>IF(#REF!=0,"",#REF!)</f>
        <v>#REF!</v>
      </c>
      <c r="T67" s="195" t="e">
        <f>IF(#REF!=0,"",#REF!)</f>
        <v>#REF!</v>
      </c>
      <c r="U67" s="195" t="e">
        <f>IF(#REF!=0,"",#REF!)</f>
        <v>#REF!</v>
      </c>
      <c r="V67" s="195" t="e">
        <f>IF(#REF!=0,"",#REF!)</f>
        <v>#REF!</v>
      </c>
      <c r="W67" s="195" t="e">
        <f>IF(#REF!=0,"",#REF!)</f>
        <v>#REF!</v>
      </c>
      <c r="X67" s="195" t="e">
        <f>IF(#REF!=0,"",#REF!)</f>
        <v>#REF!</v>
      </c>
      <c r="Y67" s="195" t="e">
        <f>IF(#REF!=0,"",#REF!)</f>
        <v>#REF!</v>
      </c>
      <c r="Z67" s="195" t="e">
        <f>IF(#REF!=0,"",#REF!)</f>
        <v>#REF!</v>
      </c>
      <c r="AA67" s="195" t="e">
        <f>IF(#REF!=0,"",#REF!)</f>
        <v>#REF!</v>
      </c>
      <c r="AB67" s="195" t="e">
        <f>IF(#REF!=0,"",#REF!)</f>
        <v>#REF!</v>
      </c>
      <c r="AC67" s="195" t="e">
        <f>IF(#REF!=0,"",#REF!)</f>
        <v>#REF!</v>
      </c>
      <c r="AD67" s="195" t="e">
        <f>IF(#REF!=0,"",#REF!)</f>
        <v>#REF!</v>
      </c>
      <c r="AE67" s="195" t="e">
        <f>IF(#REF!=0,"",#REF!)</f>
        <v>#REF!</v>
      </c>
      <c r="AF67" s="195" t="e">
        <f>IF(#REF!=0,"",#REF!)</f>
        <v>#REF!</v>
      </c>
      <c r="AG67" s="195" t="e">
        <f>IF(#REF!=0,"",#REF!)</f>
        <v>#REF!</v>
      </c>
      <c r="AH67" s="195" t="e">
        <f>IF(#REF!=0,"",#REF!)</f>
        <v>#REF!</v>
      </c>
      <c r="AI67" s="195" t="e">
        <f>IF(#REF!=0,"",#REF!)</f>
        <v>#REF!</v>
      </c>
      <c r="AJ67" s="195" t="e">
        <f>IF(#REF!=0,"",#REF!)</f>
        <v>#REF!</v>
      </c>
      <c r="AK67" s="195" t="e">
        <f>IF(#REF!=0,"",#REF!)</f>
        <v>#REF!</v>
      </c>
      <c r="AL67" s="195" t="e">
        <f>IF(#REF!=0,"",#REF!)</f>
        <v>#REF!</v>
      </c>
      <c r="AM67" s="195" t="e">
        <f>IF(#REF!=0,"",#REF!)</f>
        <v>#REF!</v>
      </c>
      <c r="AN67" s="195" t="e">
        <f>IF(#REF!=0,"",#REF!)</f>
        <v>#REF!</v>
      </c>
      <c r="AO67" s="196" t="e">
        <f>IF(#REF!=0,"",#REF!)</f>
        <v>#REF!</v>
      </c>
      <c r="AP67" s="70" t="e">
        <f t="shared" si="8"/>
        <v>#REF!</v>
      </c>
      <c r="AQ67" s="68" t="s">
        <v>151</v>
      </c>
      <c r="AR67" s="70" t="e">
        <f>#REF!</f>
        <v>#REF!</v>
      </c>
      <c r="AS67" s="71" t="e">
        <f>#REF!</f>
        <v>#REF!</v>
      </c>
      <c r="AT67" s="71" t="e">
        <f>#REF!</f>
        <v>#REF!</v>
      </c>
      <c r="AU67" s="72"/>
      <c r="AV67" s="72"/>
      <c r="AW67" s="72"/>
      <c r="AX67" s="72"/>
      <c r="AY67" s="72"/>
      <c r="AZ67" s="72"/>
      <c r="BA67" s="68"/>
      <c r="BB67" s="68"/>
      <c r="BC67" s="68"/>
      <c r="BD67" s="68"/>
    </row>
    <row r="68" spans="1:56" s="73" customFormat="1" ht="19.5" customHeight="1">
      <c r="A68" s="68" t="s">
        <v>609</v>
      </c>
      <c r="B68" s="69" t="e">
        <f>#REF!</f>
        <v>#REF!</v>
      </c>
      <c r="C68" s="70" t="e">
        <f>LEFT(#REF!,6)&amp;RIGHT(#REF!,7)</f>
        <v>#REF!</v>
      </c>
      <c r="D68" s="201" t="e">
        <f>#REF!</f>
        <v>#REF!</v>
      </c>
      <c r="E68" s="251" t="str">
        <f t="shared" si="6"/>
        <v/>
      </c>
      <c r="F68" s="251" t="str">
        <f t="shared" si="7"/>
        <v/>
      </c>
      <c r="G68" s="68"/>
      <c r="H68" s="68"/>
      <c r="I68" s="68"/>
      <c r="J68" s="68" t="s">
        <v>150</v>
      </c>
      <c r="K68" s="194" t="e">
        <f>IF(#REF!=0,"",#REF!)</f>
        <v>#REF!</v>
      </c>
      <c r="L68" s="195" t="e">
        <f>IF(#REF!=0,"",#REF!)</f>
        <v>#REF!</v>
      </c>
      <c r="M68" s="195" t="e">
        <f>IF(#REF!=0,"",#REF!)</f>
        <v>#REF!</v>
      </c>
      <c r="N68" s="195" t="e">
        <f>IF(#REF!=0,"",#REF!)</f>
        <v>#REF!</v>
      </c>
      <c r="O68" s="195" t="e">
        <f>IF(#REF!=0,"",#REF!)</f>
        <v>#REF!</v>
      </c>
      <c r="P68" s="195" t="e">
        <f>IF(#REF!=0,"",#REF!)</f>
        <v>#REF!</v>
      </c>
      <c r="Q68" s="195" t="e">
        <f>IF(#REF!=0,"",#REF!)</f>
        <v>#REF!</v>
      </c>
      <c r="R68" s="195" t="e">
        <f>IF(#REF!=0,"",#REF!)</f>
        <v>#REF!</v>
      </c>
      <c r="S68" s="195" t="e">
        <f>IF(#REF!=0,"",#REF!)</f>
        <v>#REF!</v>
      </c>
      <c r="T68" s="195" t="e">
        <f>IF(#REF!=0,"",#REF!)</f>
        <v>#REF!</v>
      </c>
      <c r="U68" s="195" t="e">
        <f>IF(#REF!=0,"",#REF!)</f>
        <v>#REF!</v>
      </c>
      <c r="V68" s="195" t="e">
        <f>IF(#REF!=0,"",#REF!)</f>
        <v>#REF!</v>
      </c>
      <c r="W68" s="195" t="e">
        <f>IF(#REF!=0,"",#REF!)</f>
        <v>#REF!</v>
      </c>
      <c r="X68" s="195" t="e">
        <f>IF(#REF!=0,"",#REF!)</f>
        <v>#REF!</v>
      </c>
      <c r="Y68" s="195" t="e">
        <f>IF(#REF!=0,"",#REF!)</f>
        <v>#REF!</v>
      </c>
      <c r="Z68" s="195" t="e">
        <f>IF(#REF!=0,"",#REF!)</f>
        <v>#REF!</v>
      </c>
      <c r="AA68" s="195" t="e">
        <f>IF(#REF!=0,"",#REF!)</f>
        <v>#REF!</v>
      </c>
      <c r="AB68" s="195" t="e">
        <f>IF(#REF!=0,"",#REF!)</f>
        <v>#REF!</v>
      </c>
      <c r="AC68" s="195" t="e">
        <f>IF(#REF!=0,"",#REF!)</f>
        <v>#REF!</v>
      </c>
      <c r="AD68" s="195" t="e">
        <f>IF(#REF!=0,"",#REF!)</f>
        <v>#REF!</v>
      </c>
      <c r="AE68" s="195" t="e">
        <f>IF(#REF!=0,"",#REF!)</f>
        <v>#REF!</v>
      </c>
      <c r="AF68" s="195" t="e">
        <f>IF(#REF!=0,"",#REF!)</f>
        <v>#REF!</v>
      </c>
      <c r="AG68" s="195" t="e">
        <f>IF(#REF!=0,"",#REF!)</f>
        <v>#REF!</v>
      </c>
      <c r="AH68" s="195" t="e">
        <f>IF(#REF!=0,"",#REF!)</f>
        <v>#REF!</v>
      </c>
      <c r="AI68" s="195" t="e">
        <f>IF(#REF!=0,"",#REF!)</f>
        <v>#REF!</v>
      </c>
      <c r="AJ68" s="195" t="e">
        <f>IF(#REF!=0,"",#REF!)</f>
        <v>#REF!</v>
      </c>
      <c r="AK68" s="195" t="e">
        <f>IF(#REF!=0,"",#REF!)</f>
        <v>#REF!</v>
      </c>
      <c r="AL68" s="195" t="e">
        <f>IF(#REF!=0,"",#REF!)</f>
        <v>#REF!</v>
      </c>
      <c r="AM68" s="195" t="e">
        <f>IF(#REF!=0,"",#REF!)</f>
        <v>#REF!</v>
      </c>
      <c r="AN68" s="195" t="e">
        <f>IF(#REF!=0,"",#REF!)</f>
        <v>#REF!</v>
      </c>
      <c r="AO68" s="196" t="e">
        <f>IF(#REF!=0,"",#REF!)</f>
        <v>#REF!</v>
      </c>
      <c r="AP68" s="70" t="e">
        <f t="shared" si="8"/>
        <v>#REF!</v>
      </c>
      <c r="AQ68" s="68" t="s">
        <v>151</v>
      </c>
      <c r="AR68" s="70" t="e">
        <f>#REF!</f>
        <v>#REF!</v>
      </c>
      <c r="AS68" s="71" t="e">
        <f>#REF!</f>
        <v>#REF!</v>
      </c>
      <c r="AT68" s="71" t="e">
        <f>#REF!</f>
        <v>#REF!</v>
      </c>
      <c r="AU68" s="72"/>
      <c r="AV68" s="72"/>
      <c r="AW68" s="72"/>
      <c r="AX68" s="72"/>
      <c r="AY68" s="72"/>
      <c r="AZ68" s="72"/>
      <c r="BA68" s="68"/>
      <c r="BB68" s="68"/>
      <c r="BC68" s="68"/>
      <c r="BD68" s="68"/>
    </row>
    <row r="69" spans="1:56" s="73" customFormat="1" ht="19.5" customHeight="1">
      <c r="A69" s="68" t="s">
        <v>609</v>
      </c>
      <c r="B69" s="69" t="e">
        <f>#REF!</f>
        <v>#REF!</v>
      </c>
      <c r="C69" s="70" t="e">
        <f>LEFT(#REF!,6)&amp;RIGHT(#REF!,7)</f>
        <v>#REF!</v>
      </c>
      <c r="D69" s="201" t="e">
        <f>#REF!</f>
        <v>#REF!</v>
      </c>
      <c r="E69" s="251" t="str">
        <f t="shared" si="6"/>
        <v/>
      </c>
      <c r="F69" s="251" t="str">
        <f t="shared" si="7"/>
        <v/>
      </c>
      <c r="G69" s="68"/>
      <c r="H69" s="68"/>
      <c r="I69" s="68"/>
      <c r="J69" s="68" t="s">
        <v>150</v>
      </c>
      <c r="K69" s="194" t="e">
        <f>IF(#REF!=0,"",#REF!)</f>
        <v>#REF!</v>
      </c>
      <c r="L69" s="195" t="e">
        <f>IF(#REF!=0,"",#REF!)</f>
        <v>#REF!</v>
      </c>
      <c r="M69" s="195" t="e">
        <f>IF(#REF!=0,"",#REF!)</f>
        <v>#REF!</v>
      </c>
      <c r="N69" s="195" t="e">
        <f>IF(#REF!=0,"",#REF!)</f>
        <v>#REF!</v>
      </c>
      <c r="O69" s="195" t="e">
        <f>IF(#REF!=0,"",#REF!)</f>
        <v>#REF!</v>
      </c>
      <c r="P69" s="195" t="e">
        <f>IF(#REF!=0,"",#REF!)</f>
        <v>#REF!</v>
      </c>
      <c r="Q69" s="195" t="e">
        <f>IF(#REF!=0,"",#REF!)</f>
        <v>#REF!</v>
      </c>
      <c r="R69" s="195" t="e">
        <f>IF(#REF!=0,"",#REF!)</f>
        <v>#REF!</v>
      </c>
      <c r="S69" s="195" t="e">
        <f>IF(#REF!=0,"",#REF!)</f>
        <v>#REF!</v>
      </c>
      <c r="T69" s="195" t="e">
        <f>IF(#REF!=0,"",#REF!)</f>
        <v>#REF!</v>
      </c>
      <c r="U69" s="195" t="e">
        <f>IF(#REF!=0,"",#REF!)</f>
        <v>#REF!</v>
      </c>
      <c r="V69" s="195" t="e">
        <f>IF(#REF!=0,"",#REF!)</f>
        <v>#REF!</v>
      </c>
      <c r="W69" s="195" t="e">
        <f>IF(#REF!=0,"",#REF!)</f>
        <v>#REF!</v>
      </c>
      <c r="X69" s="195" t="e">
        <f>IF(#REF!=0,"",#REF!)</f>
        <v>#REF!</v>
      </c>
      <c r="Y69" s="195" t="e">
        <f>IF(#REF!=0,"",#REF!)</f>
        <v>#REF!</v>
      </c>
      <c r="Z69" s="195" t="e">
        <f>IF(#REF!=0,"",#REF!)</f>
        <v>#REF!</v>
      </c>
      <c r="AA69" s="195" t="e">
        <f>IF(#REF!=0,"",#REF!)</f>
        <v>#REF!</v>
      </c>
      <c r="AB69" s="195" t="e">
        <f>IF(#REF!=0,"",#REF!)</f>
        <v>#REF!</v>
      </c>
      <c r="AC69" s="195" t="e">
        <f>IF(#REF!=0,"",#REF!)</f>
        <v>#REF!</v>
      </c>
      <c r="AD69" s="195" t="e">
        <f>IF(#REF!=0,"",#REF!)</f>
        <v>#REF!</v>
      </c>
      <c r="AE69" s="195" t="e">
        <f>IF(#REF!=0,"",#REF!)</f>
        <v>#REF!</v>
      </c>
      <c r="AF69" s="195" t="e">
        <f>IF(#REF!=0,"",#REF!)</f>
        <v>#REF!</v>
      </c>
      <c r="AG69" s="195" t="e">
        <f>IF(#REF!=0,"",#REF!)</f>
        <v>#REF!</v>
      </c>
      <c r="AH69" s="195" t="e">
        <f>IF(#REF!=0,"",#REF!)</f>
        <v>#REF!</v>
      </c>
      <c r="AI69" s="195" t="e">
        <f>IF(#REF!=0,"",#REF!)</f>
        <v>#REF!</v>
      </c>
      <c r="AJ69" s="195" t="e">
        <f>IF(#REF!=0,"",#REF!)</f>
        <v>#REF!</v>
      </c>
      <c r="AK69" s="195" t="e">
        <f>IF(#REF!=0,"",#REF!)</f>
        <v>#REF!</v>
      </c>
      <c r="AL69" s="195" t="e">
        <f>IF(#REF!=0,"",#REF!)</f>
        <v>#REF!</v>
      </c>
      <c r="AM69" s="195" t="e">
        <f>IF(#REF!=0,"",#REF!)</f>
        <v>#REF!</v>
      </c>
      <c r="AN69" s="195" t="e">
        <f>IF(#REF!=0,"",#REF!)</f>
        <v>#REF!</v>
      </c>
      <c r="AO69" s="196" t="e">
        <f>IF(#REF!=0,"",#REF!)</f>
        <v>#REF!</v>
      </c>
      <c r="AP69" s="70" t="e">
        <f t="shared" si="8"/>
        <v>#REF!</v>
      </c>
      <c r="AQ69" s="68" t="s">
        <v>151</v>
      </c>
      <c r="AR69" s="70" t="e">
        <f>#REF!</f>
        <v>#REF!</v>
      </c>
      <c r="AS69" s="71" t="e">
        <f>#REF!</f>
        <v>#REF!</v>
      </c>
      <c r="AT69" s="71" t="e">
        <f>#REF!</f>
        <v>#REF!</v>
      </c>
      <c r="AU69" s="72"/>
      <c r="AV69" s="72"/>
      <c r="AW69" s="72"/>
      <c r="AX69" s="72"/>
      <c r="AY69" s="72"/>
      <c r="AZ69" s="72"/>
      <c r="BA69" s="68"/>
      <c r="BB69" s="68"/>
      <c r="BC69" s="68"/>
      <c r="BD69" s="68"/>
    </row>
    <row r="70" spans="1:56" s="73" customFormat="1" ht="19.5" customHeight="1">
      <c r="A70" s="68" t="s">
        <v>609</v>
      </c>
      <c r="B70" s="69" t="e">
        <f>#REF!</f>
        <v>#REF!</v>
      </c>
      <c r="C70" s="70" t="e">
        <f>LEFT(#REF!,6)&amp;RIGHT(#REF!,7)</f>
        <v>#REF!</v>
      </c>
      <c r="D70" s="201" t="e">
        <f>#REF!</f>
        <v>#REF!</v>
      </c>
      <c r="E70" s="251" t="str">
        <f t="shared" si="6"/>
        <v/>
      </c>
      <c r="F70" s="251" t="str">
        <f t="shared" si="7"/>
        <v/>
      </c>
      <c r="G70" s="68"/>
      <c r="H70" s="68"/>
      <c r="I70" s="68"/>
      <c r="J70" s="68" t="s">
        <v>150</v>
      </c>
      <c r="K70" s="194" t="e">
        <f>IF(#REF!=0,"",#REF!)</f>
        <v>#REF!</v>
      </c>
      <c r="L70" s="195" t="e">
        <f>IF(#REF!=0,"",#REF!)</f>
        <v>#REF!</v>
      </c>
      <c r="M70" s="195" t="e">
        <f>IF(#REF!=0,"",#REF!)</f>
        <v>#REF!</v>
      </c>
      <c r="N70" s="195" t="e">
        <f>IF(#REF!=0,"",#REF!)</f>
        <v>#REF!</v>
      </c>
      <c r="O70" s="195" t="e">
        <f>IF(#REF!=0,"",#REF!)</f>
        <v>#REF!</v>
      </c>
      <c r="P70" s="195" t="e">
        <f>IF(#REF!=0,"",#REF!)</f>
        <v>#REF!</v>
      </c>
      <c r="Q70" s="195" t="e">
        <f>IF(#REF!=0,"",#REF!)</f>
        <v>#REF!</v>
      </c>
      <c r="R70" s="195" t="e">
        <f>IF(#REF!=0,"",#REF!)</f>
        <v>#REF!</v>
      </c>
      <c r="S70" s="195" t="e">
        <f>IF(#REF!=0,"",#REF!)</f>
        <v>#REF!</v>
      </c>
      <c r="T70" s="195" t="e">
        <f>IF(#REF!=0,"",#REF!)</f>
        <v>#REF!</v>
      </c>
      <c r="U70" s="195" t="e">
        <f>IF(#REF!=0,"",#REF!)</f>
        <v>#REF!</v>
      </c>
      <c r="V70" s="195" t="e">
        <f>IF(#REF!=0,"",#REF!)</f>
        <v>#REF!</v>
      </c>
      <c r="W70" s="195" t="e">
        <f>IF(#REF!=0,"",#REF!)</f>
        <v>#REF!</v>
      </c>
      <c r="X70" s="195" t="e">
        <f>IF(#REF!=0,"",#REF!)</f>
        <v>#REF!</v>
      </c>
      <c r="Y70" s="195" t="e">
        <f>IF(#REF!=0,"",#REF!)</f>
        <v>#REF!</v>
      </c>
      <c r="Z70" s="195" t="e">
        <f>IF(#REF!=0,"",#REF!)</f>
        <v>#REF!</v>
      </c>
      <c r="AA70" s="195" t="e">
        <f>IF(#REF!=0,"",#REF!)</f>
        <v>#REF!</v>
      </c>
      <c r="AB70" s="195" t="e">
        <f>IF(#REF!=0,"",#REF!)</f>
        <v>#REF!</v>
      </c>
      <c r="AC70" s="195" t="e">
        <f>IF(#REF!=0,"",#REF!)</f>
        <v>#REF!</v>
      </c>
      <c r="AD70" s="195" t="e">
        <f>IF(#REF!=0,"",#REF!)</f>
        <v>#REF!</v>
      </c>
      <c r="AE70" s="195" t="e">
        <f>IF(#REF!=0,"",#REF!)</f>
        <v>#REF!</v>
      </c>
      <c r="AF70" s="195" t="e">
        <f>IF(#REF!=0,"",#REF!)</f>
        <v>#REF!</v>
      </c>
      <c r="AG70" s="195" t="e">
        <f>IF(#REF!=0,"",#REF!)</f>
        <v>#REF!</v>
      </c>
      <c r="AH70" s="195" t="e">
        <f>IF(#REF!=0,"",#REF!)</f>
        <v>#REF!</v>
      </c>
      <c r="AI70" s="195" t="e">
        <f>IF(#REF!=0,"",#REF!)</f>
        <v>#REF!</v>
      </c>
      <c r="AJ70" s="195" t="e">
        <f>IF(#REF!=0,"",#REF!)</f>
        <v>#REF!</v>
      </c>
      <c r="AK70" s="195" t="e">
        <f>IF(#REF!=0,"",#REF!)</f>
        <v>#REF!</v>
      </c>
      <c r="AL70" s="195" t="e">
        <f>IF(#REF!=0,"",#REF!)</f>
        <v>#REF!</v>
      </c>
      <c r="AM70" s="195" t="e">
        <f>IF(#REF!=0,"",#REF!)</f>
        <v>#REF!</v>
      </c>
      <c r="AN70" s="195" t="e">
        <f>IF(#REF!=0,"",#REF!)</f>
        <v>#REF!</v>
      </c>
      <c r="AO70" s="196" t="e">
        <f>IF(#REF!=0,"",#REF!)</f>
        <v>#REF!</v>
      </c>
      <c r="AP70" s="70" t="e">
        <f t="shared" si="8"/>
        <v>#REF!</v>
      </c>
      <c r="AQ70" s="68" t="s">
        <v>151</v>
      </c>
      <c r="AR70" s="70" t="e">
        <f>#REF!</f>
        <v>#REF!</v>
      </c>
      <c r="AS70" s="71" t="e">
        <f>#REF!</f>
        <v>#REF!</v>
      </c>
      <c r="AT70" s="71" t="e">
        <f>#REF!</f>
        <v>#REF!</v>
      </c>
      <c r="AU70" s="72"/>
      <c r="AV70" s="72"/>
      <c r="AW70" s="72"/>
      <c r="AX70" s="72"/>
      <c r="AY70" s="72"/>
      <c r="AZ70" s="72"/>
      <c r="BA70" s="68"/>
      <c r="BB70" s="68"/>
      <c r="BC70" s="68"/>
      <c r="BD70" s="68"/>
    </row>
    <row r="71" spans="1:56" s="73" customFormat="1" ht="19.5" customHeight="1">
      <c r="A71" s="68" t="s">
        <v>609</v>
      </c>
      <c r="B71" s="69" t="e">
        <f>#REF!</f>
        <v>#REF!</v>
      </c>
      <c r="C71" s="70" t="e">
        <f>LEFT(#REF!,6)&amp;RIGHT(#REF!,7)</f>
        <v>#REF!</v>
      </c>
      <c r="D71" s="201" t="e">
        <f>#REF!</f>
        <v>#REF!</v>
      </c>
      <c r="E71" s="251" t="str">
        <f t="shared" si="6"/>
        <v/>
      </c>
      <c r="F71" s="251" t="str">
        <f t="shared" si="7"/>
        <v/>
      </c>
      <c r="G71" s="68"/>
      <c r="H71" s="68"/>
      <c r="I71" s="68"/>
      <c r="J71" s="68" t="s">
        <v>150</v>
      </c>
      <c r="K71" s="194" t="e">
        <f>IF(#REF!=0,"",#REF!)</f>
        <v>#REF!</v>
      </c>
      <c r="L71" s="195" t="e">
        <f>IF(#REF!=0,"",#REF!)</f>
        <v>#REF!</v>
      </c>
      <c r="M71" s="195" t="e">
        <f>IF(#REF!=0,"",#REF!)</f>
        <v>#REF!</v>
      </c>
      <c r="N71" s="195" t="e">
        <f>IF(#REF!=0,"",#REF!)</f>
        <v>#REF!</v>
      </c>
      <c r="O71" s="195" t="e">
        <f>IF(#REF!=0,"",#REF!)</f>
        <v>#REF!</v>
      </c>
      <c r="P71" s="195" t="e">
        <f>IF(#REF!=0,"",#REF!)</f>
        <v>#REF!</v>
      </c>
      <c r="Q71" s="195" t="e">
        <f>IF(#REF!=0,"",#REF!)</f>
        <v>#REF!</v>
      </c>
      <c r="R71" s="195" t="e">
        <f>IF(#REF!=0,"",#REF!)</f>
        <v>#REF!</v>
      </c>
      <c r="S71" s="195" t="e">
        <f>IF(#REF!=0,"",#REF!)</f>
        <v>#REF!</v>
      </c>
      <c r="T71" s="195" t="e">
        <f>IF(#REF!=0,"",#REF!)</f>
        <v>#REF!</v>
      </c>
      <c r="U71" s="195" t="e">
        <f>IF(#REF!=0,"",#REF!)</f>
        <v>#REF!</v>
      </c>
      <c r="V71" s="195" t="e">
        <f>IF(#REF!=0,"",#REF!)</f>
        <v>#REF!</v>
      </c>
      <c r="W71" s="195" t="e">
        <f>IF(#REF!=0,"",#REF!)</f>
        <v>#REF!</v>
      </c>
      <c r="X71" s="195" t="e">
        <f>IF(#REF!=0,"",#REF!)</f>
        <v>#REF!</v>
      </c>
      <c r="Y71" s="195" t="e">
        <f>IF(#REF!=0,"",#REF!)</f>
        <v>#REF!</v>
      </c>
      <c r="Z71" s="195" t="e">
        <f>IF(#REF!=0,"",#REF!)</f>
        <v>#REF!</v>
      </c>
      <c r="AA71" s="195" t="e">
        <f>IF(#REF!=0,"",#REF!)</f>
        <v>#REF!</v>
      </c>
      <c r="AB71" s="195" t="e">
        <f>IF(#REF!=0,"",#REF!)</f>
        <v>#REF!</v>
      </c>
      <c r="AC71" s="195" t="e">
        <f>IF(#REF!=0,"",#REF!)</f>
        <v>#REF!</v>
      </c>
      <c r="AD71" s="195" t="e">
        <f>IF(#REF!=0,"",#REF!)</f>
        <v>#REF!</v>
      </c>
      <c r="AE71" s="195" t="e">
        <f>IF(#REF!=0,"",#REF!)</f>
        <v>#REF!</v>
      </c>
      <c r="AF71" s="195" t="e">
        <f>IF(#REF!=0,"",#REF!)</f>
        <v>#REF!</v>
      </c>
      <c r="AG71" s="195" t="e">
        <f>IF(#REF!=0,"",#REF!)</f>
        <v>#REF!</v>
      </c>
      <c r="AH71" s="195" t="e">
        <f>IF(#REF!=0,"",#REF!)</f>
        <v>#REF!</v>
      </c>
      <c r="AI71" s="195" t="e">
        <f>IF(#REF!=0,"",#REF!)</f>
        <v>#REF!</v>
      </c>
      <c r="AJ71" s="195" t="e">
        <f>IF(#REF!=0,"",#REF!)</f>
        <v>#REF!</v>
      </c>
      <c r="AK71" s="195" t="e">
        <f>IF(#REF!=0,"",#REF!)</f>
        <v>#REF!</v>
      </c>
      <c r="AL71" s="195" t="e">
        <f>IF(#REF!=0,"",#REF!)</f>
        <v>#REF!</v>
      </c>
      <c r="AM71" s="195" t="e">
        <f>IF(#REF!=0,"",#REF!)</f>
        <v>#REF!</v>
      </c>
      <c r="AN71" s="195" t="e">
        <f>IF(#REF!=0,"",#REF!)</f>
        <v>#REF!</v>
      </c>
      <c r="AO71" s="196" t="e">
        <f>IF(#REF!=0,"",#REF!)</f>
        <v>#REF!</v>
      </c>
      <c r="AP71" s="70" t="e">
        <f t="shared" si="8"/>
        <v>#REF!</v>
      </c>
      <c r="AQ71" s="68" t="s">
        <v>151</v>
      </c>
      <c r="AR71" s="70" t="e">
        <f>#REF!</f>
        <v>#REF!</v>
      </c>
      <c r="AS71" s="71" t="e">
        <f>#REF!</f>
        <v>#REF!</v>
      </c>
      <c r="AT71" s="71" t="e">
        <f>#REF!</f>
        <v>#REF!</v>
      </c>
      <c r="AU71" s="72"/>
      <c r="AV71" s="72"/>
      <c r="AW71" s="72"/>
      <c r="AX71" s="72"/>
      <c r="AY71" s="72"/>
      <c r="AZ71" s="72"/>
      <c r="BA71" s="68"/>
      <c r="BB71" s="68"/>
      <c r="BC71" s="68"/>
      <c r="BD71" s="68"/>
    </row>
    <row r="72" spans="1:56" s="73" customFormat="1" ht="19.5" customHeight="1">
      <c r="A72" s="68" t="s">
        <v>609</v>
      </c>
      <c r="B72" s="69" t="e">
        <f>#REF!</f>
        <v>#REF!</v>
      </c>
      <c r="C72" s="70" t="e">
        <f>LEFT(#REF!,6)&amp;RIGHT(#REF!,7)</f>
        <v>#REF!</v>
      </c>
      <c r="D72" s="201" t="e">
        <f>#REF!</f>
        <v>#REF!</v>
      </c>
      <c r="E72" s="251" t="str">
        <f t="shared" si="6"/>
        <v/>
      </c>
      <c r="F72" s="251" t="str">
        <f t="shared" si="7"/>
        <v/>
      </c>
      <c r="G72" s="68"/>
      <c r="H72" s="68"/>
      <c r="I72" s="68"/>
      <c r="J72" s="68" t="s">
        <v>150</v>
      </c>
      <c r="K72" s="194" t="e">
        <f>IF(#REF!=0,"",#REF!)</f>
        <v>#REF!</v>
      </c>
      <c r="L72" s="195" t="e">
        <f>IF(#REF!=0,"",#REF!)</f>
        <v>#REF!</v>
      </c>
      <c r="M72" s="195" t="e">
        <f>IF(#REF!=0,"",#REF!)</f>
        <v>#REF!</v>
      </c>
      <c r="N72" s="195" t="e">
        <f>IF(#REF!=0,"",#REF!)</f>
        <v>#REF!</v>
      </c>
      <c r="O72" s="195" t="e">
        <f>IF(#REF!=0,"",#REF!)</f>
        <v>#REF!</v>
      </c>
      <c r="P72" s="195" t="e">
        <f>IF(#REF!=0,"",#REF!)</f>
        <v>#REF!</v>
      </c>
      <c r="Q72" s="195" t="e">
        <f>IF(#REF!=0,"",#REF!)</f>
        <v>#REF!</v>
      </c>
      <c r="R72" s="195" t="e">
        <f>IF(#REF!=0,"",#REF!)</f>
        <v>#REF!</v>
      </c>
      <c r="S72" s="195" t="e">
        <f>IF(#REF!=0,"",#REF!)</f>
        <v>#REF!</v>
      </c>
      <c r="T72" s="195" t="e">
        <f>IF(#REF!=0,"",#REF!)</f>
        <v>#REF!</v>
      </c>
      <c r="U72" s="195" t="e">
        <f>IF(#REF!=0,"",#REF!)</f>
        <v>#REF!</v>
      </c>
      <c r="V72" s="195" t="e">
        <f>IF(#REF!=0,"",#REF!)</f>
        <v>#REF!</v>
      </c>
      <c r="W72" s="195" t="e">
        <f>IF(#REF!=0,"",#REF!)</f>
        <v>#REF!</v>
      </c>
      <c r="X72" s="195" t="e">
        <f>IF(#REF!=0,"",#REF!)</f>
        <v>#REF!</v>
      </c>
      <c r="Y72" s="195" t="e">
        <f>IF(#REF!=0,"",#REF!)</f>
        <v>#REF!</v>
      </c>
      <c r="Z72" s="195" t="e">
        <f>IF(#REF!=0,"",#REF!)</f>
        <v>#REF!</v>
      </c>
      <c r="AA72" s="195" t="e">
        <f>IF(#REF!=0,"",#REF!)</f>
        <v>#REF!</v>
      </c>
      <c r="AB72" s="195" t="e">
        <f>IF(#REF!=0,"",#REF!)</f>
        <v>#REF!</v>
      </c>
      <c r="AC72" s="195" t="e">
        <f>IF(#REF!=0,"",#REF!)</f>
        <v>#REF!</v>
      </c>
      <c r="AD72" s="195" t="e">
        <f>IF(#REF!=0,"",#REF!)</f>
        <v>#REF!</v>
      </c>
      <c r="AE72" s="195" t="e">
        <f>IF(#REF!=0,"",#REF!)</f>
        <v>#REF!</v>
      </c>
      <c r="AF72" s="195" t="e">
        <f>IF(#REF!=0,"",#REF!)</f>
        <v>#REF!</v>
      </c>
      <c r="AG72" s="195" t="e">
        <f>IF(#REF!=0,"",#REF!)</f>
        <v>#REF!</v>
      </c>
      <c r="AH72" s="195" t="e">
        <f>IF(#REF!=0,"",#REF!)</f>
        <v>#REF!</v>
      </c>
      <c r="AI72" s="195" t="e">
        <f>IF(#REF!=0,"",#REF!)</f>
        <v>#REF!</v>
      </c>
      <c r="AJ72" s="195" t="e">
        <f>IF(#REF!=0,"",#REF!)</f>
        <v>#REF!</v>
      </c>
      <c r="AK72" s="195" t="e">
        <f>IF(#REF!=0,"",#REF!)</f>
        <v>#REF!</v>
      </c>
      <c r="AL72" s="195" t="e">
        <f>IF(#REF!=0,"",#REF!)</f>
        <v>#REF!</v>
      </c>
      <c r="AM72" s="195" t="e">
        <f>IF(#REF!=0,"",#REF!)</f>
        <v>#REF!</v>
      </c>
      <c r="AN72" s="195" t="e">
        <f>IF(#REF!=0,"",#REF!)</f>
        <v>#REF!</v>
      </c>
      <c r="AO72" s="196" t="e">
        <f>IF(#REF!=0,"",#REF!)</f>
        <v>#REF!</v>
      </c>
      <c r="AP72" s="70" t="e">
        <f t="shared" si="8"/>
        <v>#REF!</v>
      </c>
      <c r="AQ72" s="68" t="s">
        <v>151</v>
      </c>
      <c r="AR72" s="70" t="e">
        <f>#REF!</f>
        <v>#REF!</v>
      </c>
      <c r="AS72" s="71" t="e">
        <f>#REF!</f>
        <v>#REF!</v>
      </c>
      <c r="AT72" s="71" t="e">
        <f>#REF!</f>
        <v>#REF!</v>
      </c>
      <c r="AU72" s="72"/>
      <c r="AV72" s="72"/>
      <c r="AW72" s="72"/>
      <c r="AX72" s="72"/>
      <c r="AY72" s="72"/>
      <c r="AZ72" s="72"/>
      <c r="BA72" s="68"/>
      <c r="BB72" s="68"/>
      <c r="BC72" s="68"/>
      <c r="BD72" s="68"/>
    </row>
    <row r="73" spans="1:56" s="73" customFormat="1" ht="19.5" customHeight="1">
      <c r="A73" s="68" t="s">
        <v>609</v>
      </c>
      <c r="B73" s="69" t="e">
        <f>#REF!</f>
        <v>#REF!</v>
      </c>
      <c r="C73" s="70" t="e">
        <f>LEFT(#REF!,6)&amp;RIGHT(#REF!,7)</f>
        <v>#REF!</v>
      </c>
      <c r="D73" s="201" t="e">
        <f>#REF!</f>
        <v>#REF!</v>
      </c>
      <c r="E73" s="251" t="str">
        <f t="shared" si="6"/>
        <v/>
      </c>
      <c r="F73" s="251" t="str">
        <f t="shared" si="7"/>
        <v/>
      </c>
      <c r="G73" s="68"/>
      <c r="H73" s="68"/>
      <c r="I73" s="68"/>
      <c r="J73" s="68" t="s">
        <v>150</v>
      </c>
      <c r="K73" s="194" t="e">
        <f>IF(#REF!=0,"",#REF!)</f>
        <v>#REF!</v>
      </c>
      <c r="L73" s="195" t="e">
        <f>IF(#REF!=0,"",#REF!)</f>
        <v>#REF!</v>
      </c>
      <c r="M73" s="195" t="e">
        <f>IF(#REF!=0,"",#REF!)</f>
        <v>#REF!</v>
      </c>
      <c r="N73" s="195" t="e">
        <f>IF(#REF!=0,"",#REF!)</f>
        <v>#REF!</v>
      </c>
      <c r="O73" s="195" t="e">
        <f>IF(#REF!=0,"",#REF!)</f>
        <v>#REF!</v>
      </c>
      <c r="P73" s="195" t="e">
        <f>IF(#REF!=0,"",#REF!)</f>
        <v>#REF!</v>
      </c>
      <c r="Q73" s="195" t="e">
        <f>IF(#REF!=0,"",#REF!)</f>
        <v>#REF!</v>
      </c>
      <c r="R73" s="195" t="e">
        <f>IF(#REF!=0,"",#REF!)</f>
        <v>#REF!</v>
      </c>
      <c r="S73" s="195" t="e">
        <f>IF(#REF!=0,"",#REF!)</f>
        <v>#REF!</v>
      </c>
      <c r="T73" s="195" t="e">
        <f>IF(#REF!=0,"",#REF!)</f>
        <v>#REF!</v>
      </c>
      <c r="U73" s="195" t="e">
        <f>IF(#REF!=0,"",#REF!)</f>
        <v>#REF!</v>
      </c>
      <c r="V73" s="195" t="e">
        <f>IF(#REF!=0,"",#REF!)</f>
        <v>#REF!</v>
      </c>
      <c r="W73" s="195" t="e">
        <f>IF(#REF!=0,"",#REF!)</f>
        <v>#REF!</v>
      </c>
      <c r="X73" s="195" t="e">
        <f>IF(#REF!=0,"",#REF!)</f>
        <v>#REF!</v>
      </c>
      <c r="Y73" s="195" t="e">
        <f>IF(#REF!=0,"",#REF!)</f>
        <v>#REF!</v>
      </c>
      <c r="Z73" s="195" t="e">
        <f>IF(#REF!=0,"",#REF!)</f>
        <v>#REF!</v>
      </c>
      <c r="AA73" s="195" t="e">
        <f>IF(#REF!=0,"",#REF!)</f>
        <v>#REF!</v>
      </c>
      <c r="AB73" s="195" t="e">
        <f>IF(#REF!=0,"",#REF!)</f>
        <v>#REF!</v>
      </c>
      <c r="AC73" s="195" t="e">
        <f>IF(#REF!=0,"",#REF!)</f>
        <v>#REF!</v>
      </c>
      <c r="AD73" s="195" t="e">
        <f>IF(#REF!=0,"",#REF!)</f>
        <v>#REF!</v>
      </c>
      <c r="AE73" s="195" t="e">
        <f>IF(#REF!=0,"",#REF!)</f>
        <v>#REF!</v>
      </c>
      <c r="AF73" s="195" t="e">
        <f>IF(#REF!=0,"",#REF!)</f>
        <v>#REF!</v>
      </c>
      <c r="AG73" s="195" t="e">
        <f>IF(#REF!=0,"",#REF!)</f>
        <v>#REF!</v>
      </c>
      <c r="AH73" s="195" t="e">
        <f>IF(#REF!=0,"",#REF!)</f>
        <v>#REF!</v>
      </c>
      <c r="AI73" s="195" t="e">
        <f>IF(#REF!=0,"",#REF!)</f>
        <v>#REF!</v>
      </c>
      <c r="AJ73" s="195" t="e">
        <f>IF(#REF!=0,"",#REF!)</f>
        <v>#REF!</v>
      </c>
      <c r="AK73" s="195" t="e">
        <f>IF(#REF!=0,"",#REF!)</f>
        <v>#REF!</v>
      </c>
      <c r="AL73" s="195" t="e">
        <f>IF(#REF!=0,"",#REF!)</f>
        <v>#REF!</v>
      </c>
      <c r="AM73" s="195" t="e">
        <f>IF(#REF!=0,"",#REF!)</f>
        <v>#REF!</v>
      </c>
      <c r="AN73" s="195" t="e">
        <f>IF(#REF!=0,"",#REF!)</f>
        <v>#REF!</v>
      </c>
      <c r="AO73" s="196" t="e">
        <f>IF(#REF!=0,"",#REF!)</f>
        <v>#REF!</v>
      </c>
      <c r="AP73" s="70" t="e">
        <f t="shared" si="8"/>
        <v>#REF!</v>
      </c>
      <c r="AQ73" s="68" t="s">
        <v>151</v>
      </c>
      <c r="AR73" s="70" t="e">
        <f>#REF!</f>
        <v>#REF!</v>
      </c>
      <c r="AS73" s="71" t="e">
        <f>#REF!</f>
        <v>#REF!</v>
      </c>
      <c r="AT73" s="71" t="e">
        <f>#REF!</f>
        <v>#REF!</v>
      </c>
      <c r="AU73" s="72"/>
      <c r="AV73" s="72"/>
      <c r="AW73" s="72"/>
      <c r="AX73" s="72"/>
      <c r="AY73" s="72"/>
      <c r="AZ73" s="72"/>
      <c r="BA73" s="68"/>
      <c r="BB73" s="68"/>
      <c r="BC73" s="68"/>
      <c r="BD73" s="68"/>
    </row>
    <row r="74" spans="1:56" s="73" customFormat="1" ht="19.5" customHeight="1">
      <c r="A74" s="68" t="s">
        <v>609</v>
      </c>
      <c r="B74" s="69" t="e">
        <f>#REF!</f>
        <v>#REF!</v>
      </c>
      <c r="C74" s="70" t="e">
        <f>LEFT(#REF!,6)&amp;RIGHT(#REF!,7)</f>
        <v>#REF!</v>
      </c>
      <c r="D74" s="201" t="e">
        <f>#REF!</f>
        <v>#REF!</v>
      </c>
      <c r="E74" s="251" t="str">
        <f t="shared" si="6"/>
        <v/>
      </c>
      <c r="F74" s="251" t="str">
        <f t="shared" si="7"/>
        <v/>
      </c>
      <c r="G74" s="68"/>
      <c r="H74" s="68"/>
      <c r="I74" s="68"/>
      <c r="J74" s="68" t="s">
        <v>150</v>
      </c>
      <c r="K74" s="194" t="e">
        <f>IF(#REF!=0,"",#REF!)</f>
        <v>#REF!</v>
      </c>
      <c r="L74" s="195" t="e">
        <f>IF(#REF!=0,"",#REF!)</f>
        <v>#REF!</v>
      </c>
      <c r="M74" s="195" t="e">
        <f>IF(#REF!=0,"",#REF!)</f>
        <v>#REF!</v>
      </c>
      <c r="N74" s="195" t="e">
        <f>IF(#REF!=0,"",#REF!)</f>
        <v>#REF!</v>
      </c>
      <c r="O74" s="195" t="e">
        <f>IF(#REF!=0,"",#REF!)</f>
        <v>#REF!</v>
      </c>
      <c r="P74" s="195" t="e">
        <f>IF(#REF!=0,"",#REF!)</f>
        <v>#REF!</v>
      </c>
      <c r="Q74" s="195" t="e">
        <f>IF(#REF!=0,"",#REF!)</f>
        <v>#REF!</v>
      </c>
      <c r="R74" s="195" t="e">
        <f>IF(#REF!=0,"",#REF!)</f>
        <v>#REF!</v>
      </c>
      <c r="S74" s="195" t="e">
        <f>IF(#REF!=0,"",#REF!)</f>
        <v>#REF!</v>
      </c>
      <c r="T74" s="195" t="e">
        <f>IF(#REF!=0,"",#REF!)</f>
        <v>#REF!</v>
      </c>
      <c r="U74" s="195" t="e">
        <f>IF(#REF!=0,"",#REF!)</f>
        <v>#REF!</v>
      </c>
      <c r="V74" s="195" t="e">
        <f>IF(#REF!=0,"",#REF!)</f>
        <v>#REF!</v>
      </c>
      <c r="W74" s="195" t="e">
        <f>IF(#REF!=0,"",#REF!)</f>
        <v>#REF!</v>
      </c>
      <c r="X74" s="195" t="e">
        <f>IF(#REF!=0,"",#REF!)</f>
        <v>#REF!</v>
      </c>
      <c r="Y74" s="195" t="e">
        <f>IF(#REF!=0,"",#REF!)</f>
        <v>#REF!</v>
      </c>
      <c r="Z74" s="195" t="e">
        <f>IF(#REF!=0,"",#REF!)</f>
        <v>#REF!</v>
      </c>
      <c r="AA74" s="195" t="e">
        <f>IF(#REF!=0,"",#REF!)</f>
        <v>#REF!</v>
      </c>
      <c r="AB74" s="195" t="e">
        <f>IF(#REF!=0,"",#REF!)</f>
        <v>#REF!</v>
      </c>
      <c r="AC74" s="195" t="e">
        <f>IF(#REF!=0,"",#REF!)</f>
        <v>#REF!</v>
      </c>
      <c r="AD74" s="195" t="e">
        <f>IF(#REF!=0,"",#REF!)</f>
        <v>#REF!</v>
      </c>
      <c r="AE74" s="195" t="e">
        <f>IF(#REF!=0,"",#REF!)</f>
        <v>#REF!</v>
      </c>
      <c r="AF74" s="195" t="e">
        <f>IF(#REF!=0,"",#REF!)</f>
        <v>#REF!</v>
      </c>
      <c r="AG74" s="195" t="e">
        <f>IF(#REF!=0,"",#REF!)</f>
        <v>#REF!</v>
      </c>
      <c r="AH74" s="195" t="e">
        <f>IF(#REF!=0,"",#REF!)</f>
        <v>#REF!</v>
      </c>
      <c r="AI74" s="195" t="e">
        <f>IF(#REF!=0,"",#REF!)</f>
        <v>#REF!</v>
      </c>
      <c r="AJ74" s="195" t="e">
        <f>IF(#REF!=0,"",#REF!)</f>
        <v>#REF!</v>
      </c>
      <c r="AK74" s="195" t="e">
        <f>IF(#REF!=0,"",#REF!)</f>
        <v>#REF!</v>
      </c>
      <c r="AL74" s="195" t="e">
        <f>IF(#REF!=0,"",#REF!)</f>
        <v>#REF!</v>
      </c>
      <c r="AM74" s="195" t="e">
        <f>IF(#REF!=0,"",#REF!)</f>
        <v>#REF!</v>
      </c>
      <c r="AN74" s="195" t="e">
        <f>IF(#REF!=0,"",#REF!)</f>
        <v>#REF!</v>
      </c>
      <c r="AO74" s="196" t="e">
        <f>IF(#REF!=0,"",#REF!)</f>
        <v>#REF!</v>
      </c>
      <c r="AP74" s="70" t="e">
        <f t="shared" si="8"/>
        <v>#REF!</v>
      </c>
      <c r="AQ74" s="68" t="s">
        <v>151</v>
      </c>
      <c r="AR74" s="70" t="e">
        <f>#REF!</f>
        <v>#REF!</v>
      </c>
      <c r="AS74" s="71" t="e">
        <f>#REF!</f>
        <v>#REF!</v>
      </c>
      <c r="AT74" s="71" t="e">
        <f>#REF!</f>
        <v>#REF!</v>
      </c>
      <c r="AU74" s="72"/>
      <c r="AV74" s="72"/>
      <c r="AW74" s="72"/>
      <c r="AX74" s="72"/>
      <c r="AY74" s="72"/>
      <c r="AZ74" s="72"/>
      <c r="BA74" s="68"/>
      <c r="BB74" s="68"/>
      <c r="BC74" s="68"/>
      <c r="BD74" s="68"/>
    </row>
    <row r="75" spans="1:56" ht="19.5" customHeight="1">
      <c r="AP75" s="253" t="e">
        <f>SUM(AP2:AP74)</f>
        <v>#REF!</v>
      </c>
      <c r="AQ75" s="253"/>
      <c r="AR75" s="253" t="e">
        <f>SUM(AR2:AR74)</f>
        <v>#REF!</v>
      </c>
      <c r="AS75" s="254" t="e">
        <f>SUM(AS2:AS74)</f>
        <v>#REF!</v>
      </c>
    </row>
  </sheetData>
  <phoneticPr fontId="4" type="noConversion"/>
  <conditionalFormatting sqref="AP2:AP74">
    <cfRule type="cellIs" dxfId="1" priority="3" operator="notEqual">
      <formula>AR2</formula>
    </cfRule>
  </conditionalFormatting>
  <dataValidations count="21">
    <dataValidation allowBlank="1" showInputMessage="1" showErrorMessage="1" prompt="-전화번호 뒷자리" sqref="I1" xr:uid="{00000000-0002-0000-1700-000000000000}"/>
    <dataValidation allowBlank="1" showInputMessage="1" showErrorMessage="1" prompt="-국번" sqref="H1" xr:uid="{00000000-0002-0000-1700-000001000000}"/>
    <dataValidation allowBlank="1" showInputMessage="1" showErrorMessage="1" prompt="-지역번호 (휴대폰의 경우 01x)" sqref="G1" xr:uid="{00000000-0002-0000-1700-000002000000}"/>
    <dataValidation allowBlank="1" showInputMessage="1" showErrorMessage="1" prompt="-1234561234567 형식" sqref="C1" xr:uid="{00000000-0002-0000-1700-000003000000}"/>
    <dataValidation allowBlank="1" showInputMessage="1" showErrorMessage="1" prompt="근로신고 확인신고서에 신고할 해당 년월을 기재 (등록된 근로자는 모두 동일한 년월을 기재함)_x000a_-YYYYMM 형식으로 기재 (예: 2010년2월의 경우 &quot;201002&quot;로 기재)" sqref="D1" xr:uid="{00000000-0002-0000-1700-000004000000}"/>
    <dataValidation allowBlank="1" showInputMessage="1" showErrorMessage="1" prompt="-근로자의 국적코드 (국적코드시트 참조)" sqref="E1" xr:uid="{00000000-0002-0000-1700-000005000000}"/>
    <dataValidation allowBlank="1" showInputMessage="1" showErrorMessage="1" prompt="*체류자격코드 시트 참조" sqref="F1" xr:uid="{00000000-0002-0000-1700-000006000000}"/>
    <dataValidation allowBlank="1" showInputMessage="1" showErrorMessage="1" prompt="*한국고용직업분류 중 소분류(119개) 직종현황 참고하여 기재" sqref="J1" xr:uid="{00000000-0002-0000-1700-000007000000}"/>
    <dataValidation allowBlank="1" showInputMessage="1" showErrorMessage="1" prompt="-근로한 날짜에 &quot;1&quot; 기재" sqref="K1:AO1" xr:uid="{00000000-0002-0000-1700-000008000000}"/>
    <dataValidation allowBlank="1" showInputMessage="1" showErrorMessage="1" prompt="-한달간 근로한 일 수" sqref="AP1" xr:uid="{00000000-0002-0000-1700-000009000000}"/>
    <dataValidation allowBlank="1" showInputMessage="1" showErrorMessage="1" prompt="일평균근무시간" sqref="AQ1" xr:uid="{00000000-0002-0000-1700-00000A000000}"/>
    <dataValidation allowBlank="1" showInputMessage="1" showErrorMessage="1" prompt="-&quot;소득세법&quot; 제20조에 따른 근로소득에서 같은 법 제12조제3호에 따른 비과세 근로소득을 뺀 금액으로서, _x000a_  해당 월에 발생된 금액" sqref="AS1" xr:uid="{00000000-0002-0000-1700-00000B000000}"/>
    <dataValidation allowBlank="1" showInputMessage="1" showErrorMessage="1" prompt="-&quot;근로기준법&quot; 제2조에 따른 임금으로서, 해당 월에 발생된 금액 기재" sqref="AT1" xr:uid="{00000000-0002-0000-1700-00000C000000}"/>
    <dataValidation allowBlank="1" showInputMessage="1" showErrorMessage="1" prompt="*상실(이직)사유코드 시트 참조 (코드 변경 검토)_x000a_1. 회사의 사정에 의한 이직 (폐업, 공사중단, 공사종료, 계약기간 만료 등)_x000a_2. 부득이한 개인 사정에 의한 이직 (질병ㆍ부상, 출산 등)_x000a_3. 기타 개인사정에 의한 이직 (전직, 자영업을 위한 이직 등)" sqref="AU1" xr:uid="{00000000-0002-0000-1700-00000D000000}"/>
    <dataValidation allowBlank="1" showInputMessage="1" showErrorMessage="1" prompt="고용보험, 산재보험 구분_x000a_- 1 : 산재보험,  _x000a_  3 : 고용보험, _x000a_  5 : 산재,고용보험" sqref="A1" xr:uid="{00000000-0002-0000-1700-00000E000000}"/>
    <dataValidation allowBlank="1" showInputMessage="1" showErrorMessage="1" prompt="*보험료부과구분부호 (해당자만 기재)_x000a_ 보험료부과구분 코드 시트 참조_x000a_" sqref="AV1:AW1" xr:uid="{00000000-0002-0000-1700-00000F000000}"/>
    <dataValidation allowBlank="1" showInputMessage="1" showErrorMessage="1" prompt="일자리안정자금 신청여부를 입력_x000a_1 : 예_x000a_0 : 아니오" sqref="BD1" xr:uid="{00000000-0002-0000-1700-000010000000}"/>
    <dataValidation allowBlank="1" showInputMessage="1" showErrorMessage="1" prompt="피보험기간 중 &quot;보수지급의 기초가 된 일수&quot;" sqref="AR1" xr:uid="{00000000-0002-0000-1700-000011000000}"/>
    <dataValidation type="list" allowBlank="1" showInputMessage="1" showErrorMessage="1" sqref="A2:A74" xr:uid="{00000000-0002-0000-1700-000012000000}">
      <formula1>"3"</formula1>
    </dataValidation>
    <dataValidation type="list" allowBlank="1" showInputMessage="1" showErrorMessage="1" sqref="J2:J74" xr:uid="{00000000-0002-0000-1700-000013000000}">
      <formula1>"706"</formula1>
    </dataValidation>
    <dataValidation type="list" allowBlank="1" showInputMessage="1" showErrorMessage="1" sqref="AQ2:AQ74" xr:uid="{00000000-0002-0000-1700-000014000000}">
      <formula1>"8"</formula1>
    </dataValidation>
  </dataValidations>
  <pageMargins left="0.70866141732283472" right="0.70866141732283472" top="0.74803149606299213" bottom="0.74803149606299213" header="0.31496062992125984" footer="0.31496062992125984"/>
  <pageSetup paperSize="9"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6"/>
  <dimension ref="A1:L75"/>
  <sheetViews>
    <sheetView showGridLines="0" zoomScaleNormal="100" zoomScaleSheetLayoutView="100" workbookViewId="0">
      <pane xSplit="4" ySplit="1" topLeftCell="E2" activePane="bottomRight" state="frozen"/>
      <selection activeCell="K2" sqref="A1:XFD1048576"/>
      <selection pane="topRight" activeCell="K2" sqref="A1:XFD1048576"/>
      <selection pane="bottomLeft" activeCell="K2" sqref="A1:XFD1048576"/>
      <selection pane="bottomRight" activeCell="F25" sqref="F25"/>
    </sheetView>
  </sheetViews>
  <sheetFormatPr defaultRowHeight="27" customHeight="1"/>
  <cols>
    <col min="1" max="1" width="6.5" style="92" customWidth="1"/>
    <col min="2" max="2" width="8.5" style="92" customWidth="1"/>
    <col min="3" max="3" width="16.875" style="92" customWidth="1"/>
    <col min="4" max="4" width="8.375" style="93" customWidth="1"/>
    <col min="5" max="5" width="8.375" style="126" customWidth="1"/>
    <col min="6" max="6" width="37.125" style="92" customWidth="1"/>
    <col min="7" max="7" width="14" style="92" customWidth="1"/>
    <col min="8" max="8" width="8.5" style="92" customWidth="1"/>
    <col min="9" max="9" width="8.875" style="92" customWidth="1"/>
    <col min="10" max="10" width="12.375" style="92" customWidth="1"/>
    <col min="11" max="11" width="8.875" style="92" customWidth="1"/>
    <col min="12" max="12" width="8.5" style="92" customWidth="1"/>
    <col min="13" max="16384" width="9" style="92"/>
  </cols>
  <sheetData>
    <row r="1" spans="1:12" s="208" customFormat="1" ht="35.25" customHeight="1">
      <c r="A1" s="256" t="s">
        <v>487</v>
      </c>
      <c r="B1" s="80" t="s">
        <v>464</v>
      </c>
      <c r="C1" s="207" t="s">
        <v>465</v>
      </c>
      <c r="D1" s="81" t="s">
        <v>466</v>
      </c>
      <c r="E1" s="123" t="s">
        <v>467</v>
      </c>
      <c r="F1" s="82" t="s">
        <v>489</v>
      </c>
      <c r="G1" s="83" t="s">
        <v>468</v>
      </c>
      <c r="H1" s="82" t="s">
        <v>469</v>
      </c>
      <c r="I1" s="84" t="s">
        <v>470</v>
      </c>
      <c r="J1" s="85" t="s">
        <v>471</v>
      </c>
      <c r="K1" s="86" t="s">
        <v>472</v>
      </c>
      <c r="L1" s="85" t="s">
        <v>473</v>
      </c>
    </row>
    <row r="2" spans="1:12" ht="20.100000000000001" customHeight="1">
      <c r="A2" s="87">
        <v>1</v>
      </c>
      <c r="B2" s="88" t="e">
        <f>#REF!</f>
        <v>#REF!</v>
      </c>
      <c r="C2" s="89" t="e">
        <f>#REF!</f>
        <v>#REF!</v>
      </c>
      <c r="D2" s="202" t="e">
        <f>#REF!</f>
        <v>#REF!</v>
      </c>
      <c r="E2" s="124" t="e">
        <f>ROUND(#REF!,0)</f>
        <v>#REF!</v>
      </c>
      <c r="F2" s="88" t="e">
        <f>#REF!</f>
        <v>#REF!</v>
      </c>
      <c r="G2" s="88" t="e">
        <f>#REF!</f>
        <v>#REF!</v>
      </c>
      <c r="H2" s="88" t="e">
        <f>#REF!</f>
        <v>#REF!</v>
      </c>
      <c r="I2" s="90"/>
      <c r="J2" s="90"/>
      <c r="K2" s="91"/>
      <c r="L2" s="90"/>
    </row>
    <row r="3" spans="1:12" ht="20.100000000000001" customHeight="1">
      <c r="A3" s="87">
        <f t="shared" ref="A3:A34" si="0">A2+1</f>
        <v>2</v>
      </c>
      <c r="B3" s="88" t="e">
        <f>#REF!</f>
        <v>#REF!</v>
      </c>
      <c r="C3" s="89" t="e">
        <f>#REF!</f>
        <v>#REF!</v>
      </c>
      <c r="D3" s="202" t="e">
        <f>#REF!</f>
        <v>#REF!</v>
      </c>
      <c r="E3" s="124" t="e">
        <f>ROUND(#REF!,0)</f>
        <v>#REF!</v>
      </c>
      <c r="F3" s="88" t="e">
        <f>#REF!</f>
        <v>#REF!</v>
      </c>
      <c r="G3" s="88" t="e">
        <f>#REF!</f>
        <v>#REF!</v>
      </c>
      <c r="H3" s="88" t="e">
        <f>#REF!</f>
        <v>#REF!</v>
      </c>
      <c r="I3" s="90"/>
      <c r="J3" s="90"/>
      <c r="K3" s="91"/>
      <c r="L3" s="90"/>
    </row>
    <row r="4" spans="1:12" ht="20.100000000000001" customHeight="1">
      <c r="A4" s="87">
        <f t="shared" si="0"/>
        <v>3</v>
      </c>
      <c r="B4" s="88" t="e">
        <f>#REF!</f>
        <v>#REF!</v>
      </c>
      <c r="C4" s="89" t="e">
        <f>#REF!</f>
        <v>#REF!</v>
      </c>
      <c r="D4" s="202" t="e">
        <f>#REF!</f>
        <v>#REF!</v>
      </c>
      <c r="E4" s="124" t="e">
        <f>ROUND(#REF!,0)</f>
        <v>#REF!</v>
      </c>
      <c r="F4" s="88" t="e">
        <f>#REF!</f>
        <v>#REF!</v>
      </c>
      <c r="G4" s="88" t="e">
        <f>#REF!</f>
        <v>#REF!</v>
      </c>
      <c r="H4" s="88" t="e">
        <f>#REF!</f>
        <v>#REF!</v>
      </c>
      <c r="I4" s="90"/>
      <c r="J4" s="90"/>
      <c r="K4" s="91"/>
      <c r="L4" s="90"/>
    </row>
    <row r="5" spans="1:12" ht="20.100000000000001" customHeight="1">
      <c r="A5" s="87">
        <f t="shared" si="0"/>
        <v>4</v>
      </c>
      <c r="B5" s="88" t="e">
        <f>#REF!</f>
        <v>#REF!</v>
      </c>
      <c r="C5" s="89" t="e">
        <f>#REF!</f>
        <v>#REF!</v>
      </c>
      <c r="D5" s="202" t="e">
        <f>#REF!</f>
        <v>#REF!</v>
      </c>
      <c r="E5" s="124" t="e">
        <f>ROUND(#REF!,0)</f>
        <v>#REF!</v>
      </c>
      <c r="F5" s="88" t="e">
        <f>#REF!</f>
        <v>#REF!</v>
      </c>
      <c r="G5" s="88" t="e">
        <f>#REF!</f>
        <v>#REF!</v>
      </c>
      <c r="H5" s="88" t="e">
        <f>#REF!</f>
        <v>#REF!</v>
      </c>
      <c r="I5" s="90"/>
      <c r="J5" s="90"/>
      <c r="K5" s="91"/>
      <c r="L5" s="90"/>
    </row>
    <row r="6" spans="1:12" ht="20.100000000000001" customHeight="1">
      <c r="A6" s="87">
        <f t="shared" si="0"/>
        <v>5</v>
      </c>
      <c r="B6" s="88" t="e">
        <f>#REF!</f>
        <v>#REF!</v>
      </c>
      <c r="C6" s="89" t="e">
        <f>#REF!</f>
        <v>#REF!</v>
      </c>
      <c r="D6" s="202" t="e">
        <f>#REF!</f>
        <v>#REF!</v>
      </c>
      <c r="E6" s="124" t="e">
        <f>ROUND(#REF!,0)</f>
        <v>#REF!</v>
      </c>
      <c r="F6" s="88" t="e">
        <f>#REF!</f>
        <v>#REF!</v>
      </c>
      <c r="G6" s="88" t="e">
        <f>#REF!</f>
        <v>#REF!</v>
      </c>
      <c r="H6" s="88" t="e">
        <f>#REF!</f>
        <v>#REF!</v>
      </c>
      <c r="I6" s="90"/>
      <c r="J6" s="90"/>
      <c r="K6" s="91"/>
      <c r="L6" s="90"/>
    </row>
    <row r="7" spans="1:12" ht="20.100000000000001" customHeight="1">
      <c r="A7" s="87">
        <f t="shared" si="0"/>
        <v>6</v>
      </c>
      <c r="B7" s="88" t="e">
        <f>#REF!</f>
        <v>#REF!</v>
      </c>
      <c r="C7" s="89" t="e">
        <f>#REF!</f>
        <v>#REF!</v>
      </c>
      <c r="D7" s="202" t="e">
        <f>#REF!</f>
        <v>#REF!</v>
      </c>
      <c r="E7" s="124" t="e">
        <f>ROUND(#REF!,0)</f>
        <v>#REF!</v>
      </c>
      <c r="F7" s="88" t="e">
        <f>#REF!</f>
        <v>#REF!</v>
      </c>
      <c r="G7" s="88" t="e">
        <f>#REF!</f>
        <v>#REF!</v>
      </c>
      <c r="H7" s="88" t="e">
        <f>#REF!</f>
        <v>#REF!</v>
      </c>
      <c r="I7" s="90"/>
      <c r="J7" s="90"/>
      <c r="K7" s="91"/>
      <c r="L7" s="90"/>
    </row>
    <row r="8" spans="1:12" ht="20.100000000000001" customHeight="1">
      <c r="A8" s="87">
        <f t="shared" si="0"/>
        <v>7</v>
      </c>
      <c r="B8" s="88" t="e">
        <f>#REF!</f>
        <v>#REF!</v>
      </c>
      <c r="C8" s="89" t="e">
        <f>#REF!</f>
        <v>#REF!</v>
      </c>
      <c r="D8" s="202" t="e">
        <f>#REF!</f>
        <v>#REF!</v>
      </c>
      <c r="E8" s="124" t="e">
        <f>ROUND(#REF!,0)</f>
        <v>#REF!</v>
      </c>
      <c r="F8" s="88" t="e">
        <f>#REF!</f>
        <v>#REF!</v>
      </c>
      <c r="G8" s="88" t="e">
        <f>#REF!</f>
        <v>#REF!</v>
      </c>
      <c r="H8" s="88" t="e">
        <f>#REF!</f>
        <v>#REF!</v>
      </c>
      <c r="I8" s="90"/>
      <c r="J8" s="90"/>
      <c r="K8" s="91"/>
      <c r="L8" s="90"/>
    </row>
    <row r="9" spans="1:12" ht="20.100000000000001" customHeight="1">
      <c r="A9" s="87">
        <f t="shared" si="0"/>
        <v>8</v>
      </c>
      <c r="B9" s="88" t="e">
        <f>#REF!</f>
        <v>#REF!</v>
      </c>
      <c r="C9" s="89" t="e">
        <f>#REF!</f>
        <v>#REF!</v>
      </c>
      <c r="D9" s="202" t="e">
        <f>#REF!</f>
        <v>#REF!</v>
      </c>
      <c r="E9" s="124" t="e">
        <f>ROUND(#REF!,0)</f>
        <v>#REF!</v>
      </c>
      <c r="F9" s="88" t="e">
        <f>#REF!</f>
        <v>#REF!</v>
      </c>
      <c r="G9" s="88" t="e">
        <f>#REF!</f>
        <v>#REF!</v>
      </c>
      <c r="H9" s="88" t="e">
        <f>#REF!</f>
        <v>#REF!</v>
      </c>
      <c r="I9" s="90"/>
      <c r="J9" s="90"/>
      <c r="K9" s="91"/>
      <c r="L9" s="90"/>
    </row>
    <row r="10" spans="1:12" ht="20.100000000000001" customHeight="1">
      <c r="A10" s="87">
        <f t="shared" si="0"/>
        <v>9</v>
      </c>
      <c r="B10" s="88" t="e">
        <f>#REF!</f>
        <v>#REF!</v>
      </c>
      <c r="C10" s="89" t="e">
        <f>#REF!</f>
        <v>#REF!</v>
      </c>
      <c r="D10" s="202" t="e">
        <f>#REF!</f>
        <v>#REF!</v>
      </c>
      <c r="E10" s="124" t="e">
        <f>ROUND(#REF!,0)</f>
        <v>#REF!</v>
      </c>
      <c r="F10" s="88" t="e">
        <f>#REF!</f>
        <v>#REF!</v>
      </c>
      <c r="G10" s="88" t="e">
        <f>#REF!</f>
        <v>#REF!</v>
      </c>
      <c r="H10" s="88" t="e">
        <f>#REF!</f>
        <v>#REF!</v>
      </c>
      <c r="I10" s="90"/>
      <c r="J10" s="90"/>
      <c r="K10" s="91"/>
      <c r="L10" s="90"/>
    </row>
    <row r="11" spans="1:12" ht="20.100000000000001" customHeight="1">
      <c r="A11" s="87">
        <f t="shared" si="0"/>
        <v>10</v>
      </c>
      <c r="B11" s="88" t="e">
        <f>#REF!</f>
        <v>#REF!</v>
      </c>
      <c r="C11" s="89" t="e">
        <f>#REF!</f>
        <v>#REF!</v>
      </c>
      <c r="D11" s="202" t="e">
        <f>#REF!</f>
        <v>#REF!</v>
      </c>
      <c r="E11" s="124" t="e">
        <f>ROUND(#REF!,0)</f>
        <v>#REF!</v>
      </c>
      <c r="F11" s="88" t="e">
        <f>#REF!</f>
        <v>#REF!</v>
      </c>
      <c r="G11" s="88" t="e">
        <f>#REF!</f>
        <v>#REF!</v>
      </c>
      <c r="H11" s="88" t="e">
        <f>#REF!</f>
        <v>#REF!</v>
      </c>
      <c r="I11" s="90"/>
      <c r="J11" s="90"/>
      <c r="K11" s="91"/>
      <c r="L11" s="90"/>
    </row>
    <row r="12" spans="1:12" ht="20.100000000000001" customHeight="1">
      <c r="A12" s="87">
        <f t="shared" si="0"/>
        <v>11</v>
      </c>
      <c r="B12" s="88" t="e">
        <f>#REF!</f>
        <v>#REF!</v>
      </c>
      <c r="C12" s="89" t="e">
        <f>#REF!</f>
        <v>#REF!</v>
      </c>
      <c r="D12" s="202" t="e">
        <f>#REF!</f>
        <v>#REF!</v>
      </c>
      <c r="E12" s="124" t="e">
        <f>ROUND(#REF!,0)</f>
        <v>#REF!</v>
      </c>
      <c r="F12" s="88" t="e">
        <f>#REF!</f>
        <v>#REF!</v>
      </c>
      <c r="G12" s="88" t="e">
        <f>#REF!</f>
        <v>#REF!</v>
      </c>
      <c r="H12" s="88" t="e">
        <f>#REF!</f>
        <v>#REF!</v>
      </c>
      <c r="I12" s="90"/>
      <c r="J12" s="90"/>
      <c r="K12" s="91"/>
      <c r="L12" s="90"/>
    </row>
    <row r="13" spans="1:12" ht="20.100000000000001" customHeight="1">
      <c r="A13" s="87">
        <f t="shared" si="0"/>
        <v>12</v>
      </c>
      <c r="B13" s="88" t="e">
        <f>#REF!</f>
        <v>#REF!</v>
      </c>
      <c r="C13" s="89" t="e">
        <f>#REF!</f>
        <v>#REF!</v>
      </c>
      <c r="D13" s="202" t="e">
        <f>#REF!</f>
        <v>#REF!</v>
      </c>
      <c r="E13" s="124" t="e">
        <f>ROUND(#REF!,0)</f>
        <v>#REF!</v>
      </c>
      <c r="F13" s="88" t="e">
        <f>#REF!</f>
        <v>#REF!</v>
      </c>
      <c r="G13" s="88" t="e">
        <f>#REF!</f>
        <v>#REF!</v>
      </c>
      <c r="H13" s="88" t="e">
        <f>#REF!</f>
        <v>#REF!</v>
      </c>
      <c r="I13" s="90"/>
      <c r="J13" s="90"/>
      <c r="K13" s="91"/>
      <c r="L13" s="90"/>
    </row>
    <row r="14" spans="1:12" ht="20.100000000000001" customHeight="1">
      <c r="A14" s="87">
        <f t="shared" si="0"/>
        <v>13</v>
      </c>
      <c r="B14" s="88" t="e">
        <f>#REF!</f>
        <v>#REF!</v>
      </c>
      <c r="C14" s="89" t="e">
        <f>#REF!</f>
        <v>#REF!</v>
      </c>
      <c r="D14" s="202" t="e">
        <f>#REF!</f>
        <v>#REF!</v>
      </c>
      <c r="E14" s="124" t="e">
        <f>ROUND(#REF!,0)</f>
        <v>#REF!</v>
      </c>
      <c r="F14" s="88" t="e">
        <f>#REF!</f>
        <v>#REF!</v>
      </c>
      <c r="G14" s="88" t="e">
        <f>#REF!</f>
        <v>#REF!</v>
      </c>
      <c r="H14" s="88" t="e">
        <f>#REF!</f>
        <v>#REF!</v>
      </c>
      <c r="I14" s="90"/>
      <c r="J14" s="90"/>
      <c r="K14" s="91"/>
      <c r="L14" s="90"/>
    </row>
    <row r="15" spans="1:12" ht="20.100000000000001" customHeight="1">
      <c r="A15" s="87">
        <f t="shared" si="0"/>
        <v>14</v>
      </c>
      <c r="B15" s="88" t="e">
        <f>#REF!</f>
        <v>#REF!</v>
      </c>
      <c r="C15" s="89" t="e">
        <f>#REF!</f>
        <v>#REF!</v>
      </c>
      <c r="D15" s="202" t="e">
        <f>#REF!</f>
        <v>#REF!</v>
      </c>
      <c r="E15" s="124" t="e">
        <f>ROUND(#REF!,0)</f>
        <v>#REF!</v>
      </c>
      <c r="F15" s="88" t="e">
        <f>#REF!</f>
        <v>#REF!</v>
      </c>
      <c r="G15" s="88" t="e">
        <f>#REF!</f>
        <v>#REF!</v>
      </c>
      <c r="H15" s="88" t="e">
        <f>#REF!</f>
        <v>#REF!</v>
      </c>
      <c r="I15" s="90"/>
      <c r="J15" s="90"/>
      <c r="K15" s="91"/>
      <c r="L15" s="90"/>
    </row>
    <row r="16" spans="1:12" ht="20.100000000000001" customHeight="1">
      <c r="A16" s="87">
        <f t="shared" si="0"/>
        <v>15</v>
      </c>
      <c r="B16" s="88" t="e">
        <f>#REF!</f>
        <v>#REF!</v>
      </c>
      <c r="C16" s="89" t="e">
        <f>#REF!</f>
        <v>#REF!</v>
      </c>
      <c r="D16" s="202" t="e">
        <f>#REF!</f>
        <v>#REF!</v>
      </c>
      <c r="E16" s="124" t="e">
        <f>ROUND(#REF!,0)</f>
        <v>#REF!</v>
      </c>
      <c r="F16" s="88" t="e">
        <f>#REF!</f>
        <v>#REF!</v>
      </c>
      <c r="G16" s="88" t="e">
        <f>#REF!</f>
        <v>#REF!</v>
      </c>
      <c r="H16" s="88" t="e">
        <f>#REF!</f>
        <v>#REF!</v>
      </c>
      <c r="I16" s="90"/>
      <c r="J16" s="90"/>
      <c r="K16" s="91"/>
      <c r="L16" s="90"/>
    </row>
    <row r="17" spans="1:12" ht="20.100000000000001" customHeight="1">
      <c r="A17" s="87">
        <f t="shared" si="0"/>
        <v>16</v>
      </c>
      <c r="B17" s="88" t="e">
        <f>#REF!</f>
        <v>#REF!</v>
      </c>
      <c r="C17" s="89" t="e">
        <f>#REF!</f>
        <v>#REF!</v>
      </c>
      <c r="D17" s="202" t="e">
        <f>#REF!</f>
        <v>#REF!</v>
      </c>
      <c r="E17" s="124" t="e">
        <f>ROUND(#REF!,0)</f>
        <v>#REF!</v>
      </c>
      <c r="F17" s="88" t="e">
        <f>#REF!</f>
        <v>#REF!</v>
      </c>
      <c r="G17" s="88" t="e">
        <f>#REF!</f>
        <v>#REF!</v>
      </c>
      <c r="H17" s="88" t="e">
        <f>#REF!</f>
        <v>#REF!</v>
      </c>
      <c r="I17" s="90"/>
      <c r="J17" s="90"/>
      <c r="K17" s="91"/>
      <c r="L17" s="90"/>
    </row>
    <row r="18" spans="1:12" ht="20.100000000000001" customHeight="1">
      <c r="A18" s="87">
        <f t="shared" si="0"/>
        <v>17</v>
      </c>
      <c r="B18" s="88" t="e">
        <f>#REF!</f>
        <v>#REF!</v>
      </c>
      <c r="C18" s="89" t="e">
        <f>#REF!</f>
        <v>#REF!</v>
      </c>
      <c r="D18" s="202" t="e">
        <f>#REF!</f>
        <v>#REF!</v>
      </c>
      <c r="E18" s="124" t="e">
        <f>ROUND(#REF!,0)</f>
        <v>#REF!</v>
      </c>
      <c r="F18" s="88" t="e">
        <f>#REF!</f>
        <v>#REF!</v>
      </c>
      <c r="G18" s="88" t="e">
        <f>#REF!</f>
        <v>#REF!</v>
      </c>
      <c r="H18" s="88" t="e">
        <f>#REF!</f>
        <v>#REF!</v>
      </c>
      <c r="I18" s="90"/>
      <c r="J18" s="90"/>
      <c r="K18" s="91"/>
      <c r="L18" s="90"/>
    </row>
    <row r="19" spans="1:12" ht="20.100000000000001" customHeight="1">
      <c r="A19" s="87">
        <f t="shared" si="0"/>
        <v>18</v>
      </c>
      <c r="B19" s="88" t="e">
        <f>#REF!</f>
        <v>#REF!</v>
      </c>
      <c r="C19" s="89" t="e">
        <f>#REF!</f>
        <v>#REF!</v>
      </c>
      <c r="D19" s="202" t="e">
        <f>#REF!</f>
        <v>#REF!</v>
      </c>
      <c r="E19" s="124" t="e">
        <f>ROUND(#REF!,0)</f>
        <v>#REF!</v>
      </c>
      <c r="F19" s="88" t="e">
        <f>#REF!</f>
        <v>#REF!</v>
      </c>
      <c r="G19" s="88" t="e">
        <f>#REF!</f>
        <v>#REF!</v>
      </c>
      <c r="H19" s="88" t="e">
        <f>#REF!</f>
        <v>#REF!</v>
      </c>
      <c r="I19" s="90"/>
      <c r="J19" s="90"/>
      <c r="K19" s="91"/>
      <c r="L19" s="90"/>
    </row>
    <row r="20" spans="1:12" ht="20.100000000000001" customHeight="1">
      <c r="A20" s="87">
        <f t="shared" si="0"/>
        <v>19</v>
      </c>
      <c r="B20" s="88" t="e">
        <f>#REF!</f>
        <v>#REF!</v>
      </c>
      <c r="C20" s="89" t="e">
        <f>#REF!</f>
        <v>#REF!</v>
      </c>
      <c r="D20" s="202" t="e">
        <f>#REF!</f>
        <v>#REF!</v>
      </c>
      <c r="E20" s="124" t="e">
        <f>ROUND(#REF!,0)</f>
        <v>#REF!</v>
      </c>
      <c r="F20" s="88" t="e">
        <f>#REF!</f>
        <v>#REF!</v>
      </c>
      <c r="G20" s="88" t="e">
        <f>#REF!</f>
        <v>#REF!</v>
      </c>
      <c r="H20" s="88" t="e">
        <f>#REF!</f>
        <v>#REF!</v>
      </c>
      <c r="I20" s="90"/>
      <c r="J20" s="90"/>
      <c r="K20" s="91"/>
      <c r="L20" s="90"/>
    </row>
    <row r="21" spans="1:12" ht="20.100000000000001" customHeight="1">
      <c r="A21" s="87">
        <f t="shared" si="0"/>
        <v>20</v>
      </c>
      <c r="B21" s="88" t="e">
        <f>#REF!</f>
        <v>#REF!</v>
      </c>
      <c r="C21" s="89" t="e">
        <f>#REF!</f>
        <v>#REF!</v>
      </c>
      <c r="D21" s="202" t="e">
        <f>#REF!</f>
        <v>#REF!</v>
      </c>
      <c r="E21" s="124" t="e">
        <f>ROUND(#REF!,0)</f>
        <v>#REF!</v>
      </c>
      <c r="F21" s="88" t="e">
        <f>#REF!</f>
        <v>#REF!</v>
      </c>
      <c r="G21" s="88" t="e">
        <f>#REF!</f>
        <v>#REF!</v>
      </c>
      <c r="H21" s="88" t="e">
        <f>#REF!</f>
        <v>#REF!</v>
      </c>
      <c r="I21" s="90"/>
      <c r="J21" s="90"/>
      <c r="K21" s="91"/>
      <c r="L21" s="90"/>
    </row>
    <row r="22" spans="1:12" ht="20.100000000000001" customHeight="1">
      <c r="A22" s="87">
        <f t="shared" si="0"/>
        <v>21</v>
      </c>
      <c r="B22" s="88" t="e">
        <f>#REF!</f>
        <v>#REF!</v>
      </c>
      <c r="C22" s="89" t="e">
        <f>#REF!</f>
        <v>#REF!</v>
      </c>
      <c r="D22" s="202" t="e">
        <f>#REF!</f>
        <v>#REF!</v>
      </c>
      <c r="E22" s="124" t="e">
        <f>ROUND(#REF!,0)</f>
        <v>#REF!</v>
      </c>
      <c r="F22" s="88" t="e">
        <f>#REF!</f>
        <v>#REF!</v>
      </c>
      <c r="G22" s="88" t="e">
        <f>#REF!</f>
        <v>#REF!</v>
      </c>
      <c r="H22" s="88" t="e">
        <f>#REF!</f>
        <v>#REF!</v>
      </c>
      <c r="I22" s="90"/>
      <c r="J22" s="90"/>
      <c r="K22" s="91"/>
      <c r="L22" s="90"/>
    </row>
    <row r="23" spans="1:12" ht="20.100000000000001" customHeight="1">
      <c r="A23" s="87">
        <f t="shared" si="0"/>
        <v>22</v>
      </c>
      <c r="B23" s="88" t="e">
        <f>#REF!</f>
        <v>#REF!</v>
      </c>
      <c r="C23" s="89" t="e">
        <f>#REF!</f>
        <v>#REF!</v>
      </c>
      <c r="D23" s="202" t="e">
        <f>#REF!</f>
        <v>#REF!</v>
      </c>
      <c r="E23" s="124" t="e">
        <f>ROUND(#REF!,0)</f>
        <v>#REF!</v>
      </c>
      <c r="F23" s="88" t="e">
        <f>#REF!</f>
        <v>#REF!</v>
      </c>
      <c r="G23" s="88" t="e">
        <f>#REF!</f>
        <v>#REF!</v>
      </c>
      <c r="H23" s="88" t="e">
        <f>#REF!</f>
        <v>#REF!</v>
      </c>
      <c r="I23" s="90"/>
      <c r="J23" s="90"/>
      <c r="K23" s="91"/>
      <c r="L23" s="90"/>
    </row>
    <row r="24" spans="1:12" ht="20.100000000000001" customHeight="1">
      <c r="A24" s="87">
        <f t="shared" si="0"/>
        <v>23</v>
      </c>
      <c r="B24" s="88" t="e">
        <f>#REF!</f>
        <v>#REF!</v>
      </c>
      <c r="C24" s="89" t="e">
        <f>#REF!</f>
        <v>#REF!</v>
      </c>
      <c r="D24" s="202" t="e">
        <f>#REF!</f>
        <v>#REF!</v>
      </c>
      <c r="E24" s="124" t="e">
        <f>ROUND(#REF!,0)</f>
        <v>#REF!</v>
      </c>
      <c r="F24" s="88" t="e">
        <f>#REF!</f>
        <v>#REF!</v>
      </c>
      <c r="G24" s="88" t="e">
        <f>#REF!</f>
        <v>#REF!</v>
      </c>
      <c r="H24" s="88" t="e">
        <f>#REF!</f>
        <v>#REF!</v>
      </c>
      <c r="I24" s="90"/>
      <c r="J24" s="90"/>
      <c r="K24" s="91"/>
      <c r="L24" s="90"/>
    </row>
    <row r="25" spans="1:12" ht="20.100000000000001" customHeight="1">
      <c r="A25" s="87">
        <f t="shared" si="0"/>
        <v>24</v>
      </c>
      <c r="B25" s="88" t="e">
        <f>#REF!</f>
        <v>#REF!</v>
      </c>
      <c r="C25" s="89" t="e">
        <f>#REF!</f>
        <v>#REF!</v>
      </c>
      <c r="D25" s="202" t="e">
        <f>#REF!</f>
        <v>#REF!</v>
      </c>
      <c r="E25" s="124" t="e">
        <f>ROUND(#REF!,0)</f>
        <v>#REF!</v>
      </c>
      <c r="F25" s="88" t="e">
        <f>#REF!</f>
        <v>#REF!</v>
      </c>
      <c r="G25" s="88" t="e">
        <f>#REF!</f>
        <v>#REF!</v>
      </c>
      <c r="H25" s="88" t="e">
        <f>#REF!</f>
        <v>#REF!</v>
      </c>
      <c r="I25" s="90"/>
      <c r="J25" s="90"/>
      <c r="K25" s="91"/>
      <c r="L25" s="90"/>
    </row>
    <row r="26" spans="1:12" ht="20.100000000000001" customHeight="1">
      <c r="A26" s="87">
        <f t="shared" si="0"/>
        <v>25</v>
      </c>
      <c r="B26" s="88" t="e">
        <f>#REF!</f>
        <v>#REF!</v>
      </c>
      <c r="C26" s="89" t="e">
        <f>#REF!</f>
        <v>#REF!</v>
      </c>
      <c r="D26" s="202" t="e">
        <f>#REF!</f>
        <v>#REF!</v>
      </c>
      <c r="E26" s="124" t="e">
        <f>ROUND(#REF!,0)</f>
        <v>#REF!</v>
      </c>
      <c r="F26" s="88" t="e">
        <f>#REF!</f>
        <v>#REF!</v>
      </c>
      <c r="G26" s="88" t="e">
        <f>#REF!</f>
        <v>#REF!</v>
      </c>
      <c r="H26" s="88" t="e">
        <f>#REF!</f>
        <v>#REF!</v>
      </c>
      <c r="I26" s="90"/>
      <c r="J26" s="90"/>
      <c r="K26" s="91"/>
      <c r="L26" s="90"/>
    </row>
    <row r="27" spans="1:12" ht="20.100000000000001" customHeight="1">
      <c r="A27" s="87">
        <f t="shared" si="0"/>
        <v>26</v>
      </c>
      <c r="B27" s="88" t="e">
        <f>#REF!</f>
        <v>#REF!</v>
      </c>
      <c r="C27" s="89" t="e">
        <f>#REF!</f>
        <v>#REF!</v>
      </c>
      <c r="D27" s="202" t="e">
        <f>#REF!</f>
        <v>#REF!</v>
      </c>
      <c r="E27" s="124" t="e">
        <f>ROUND(#REF!,0)</f>
        <v>#REF!</v>
      </c>
      <c r="F27" s="88" t="e">
        <f>#REF!</f>
        <v>#REF!</v>
      </c>
      <c r="G27" s="88" t="e">
        <f>#REF!</f>
        <v>#REF!</v>
      </c>
      <c r="H27" s="88" t="e">
        <f>#REF!</f>
        <v>#REF!</v>
      </c>
      <c r="I27" s="90"/>
      <c r="J27" s="90"/>
      <c r="K27" s="91"/>
      <c r="L27" s="90"/>
    </row>
    <row r="28" spans="1:12" ht="20.100000000000001" customHeight="1">
      <c r="A28" s="87">
        <f t="shared" si="0"/>
        <v>27</v>
      </c>
      <c r="B28" s="88" t="e">
        <f>#REF!</f>
        <v>#REF!</v>
      </c>
      <c r="C28" s="89" t="e">
        <f>#REF!</f>
        <v>#REF!</v>
      </c>
      <c r="D28" s="202" t="e">
        <f>#REF!</f>
        <v>#REF!</v>
      </c>
      <c r="E28" s="124" t="e">
        <f>ROUND(#REF!,0)</f>
        <v>#REF!</v>
      </c>
      <c r="F28" s="88" t="e">
        <f>#REF!</f>
        <v>#REF!</v>
      </c>
      <c r="G28" s="88" t="e">
        <f>#REF!</f>
        <v>#REF!</v>
      </c>
      <c r="H28" s="88" t="e">
        <f>#REF!</f>
        <v>#REF!</v>
      </c>
      <c r="I28" s="90"/>
      <c r="J28" s="90"/>
      <c r="K28" s="91"/>
      <c r="L28" s="90"/>
    </row>
    <row r="29" spans="1:12" ht="20.100000000000001" customHeight="1">
      <c r="A29" s="87">
        <f t="shared" si="0"/>
        <v>28</v>
      </c>
      <c r="B29" s="88" t="e">
        <f>#REF!</f>
        <v>#REF!</v>
      </c>
      <c r="C29" s="89" t="e">
        <f>#REF!</f>
        <v>#REF!</v>
      </c>
      <c r="D29" s="202" t="e">
        <f>#REF!</f>
        <v>#REF!</v>
      </c>
      <c r="E29" s="124" t="e">
        <f>ROUND(#REF!,0)</f>
        <v>#REF!</v>
      </c>
      <c r="F29" s="88" t="e">
        <f>#REF!</f>
        <v>#REF!</v>
      </c>
      <c r="G29" s="88" t="e">
        <f>#REF!</f>
        <v>#REF!</v>
      </c>
      <c r="H29" s="88" t="e">
        <f>#REF!</f>
        <v>#REF!</v>
      </c>
      <c r="I29" s="90"/>
      <c r="J29" s="90"/>
      <c r="K29" s="91"/>
      <c r="L29" s="90"/>
    </row>
    <row r="30" spans="1:12" ht="20.100000000000001" customHeight="1">
      <c r="A30" s="87">
        <f t="shared" si="0"/>
        <v>29</v>
      </c>
      <c r="B30" s="88" t="e">
        <f>#REF!</f>
        <v>#REF!</v>
      </c>
      <c r="C30" s="89" t="e">
        <f>#REF!</f>
        <v>#REF!</v>
      </c>
      <c r="D30" s="202" t="e">
        <f>#REF!</f>
        <v>#REF!</v>
      </c>
      <c r="E30" s="124" t="e">
        <f>ROUND(#REF!,0)</f>
        <v>#REF!</v>
      </c>
      <c r="F30" s="88" t="e">
        <f>#REF!</f>
        <v>#REF!</v>
      </c>
      <c r="G30" s="88" t="e">
        <f>#REF!</f>
        <v>#REF!</v>
      </c>
      <c r="H30" s="88" t="e">
        <f>#REF!</f>
        <v>#REF!</v>
      </c>
      <c r="I30" s="90"/>
      <c r="J30" s="90"/>
      <c r="K30" s="91"/>
      <c r="L30" s="90"/>
    </row>
    <row r="31" spans="1:12" ht="20.100000000000001" customHeight="1">
      <c r="A31" s="87">
        <f t="shared" si="0"/>
        <v>30</v>
      </c>
      <c r="B31" s="88" t="e">
        <f>#REF!</f>
        <v>#REF!</v>
      </c>
      <c r="C31" s="89" t="e">
        <f>#REF!</f>
        <v>#REF!</v>
      </c>
      <c r="D31" s="202" t="e">
        <f>#REF!</f>
        <v>#REF!</v>
      </c>
      <c r="E31" s="124" t="e">
        <f>ROUND(#REF!,0)</f>
        <v>#REF!</v>
      </c>
      <c r="F31" s="88" t="e">
        <f>#REF!</f>
        <v>#REF!</v>
      </c>
      <c r="G31" s="88" t="e">
        <f>#REF!</f>
        <v>#REF!</v>
      </c>
      <c r="H31" s="88" t="e">
        <f>#REF!</f>
        <v>#REF!</v>
      </c>
      <c r="I31" s="90"/>
      <c r="J31" s="90"/>
      <c r="K31" s="91"/>
      <c r="L31" s="90"/>
    </row>
    <row r="32" spans="1:12" ht="20.100000000000001" customHeight="1">
      <c r="A32" s="87">
        <f t="shared" si="0"/>
        <v>31</v>
      </c>
      <c r="B32" s="88" t="e">
        <f>#REF!</f>
        <v>#REF!</v>
      </c>
      <c r="C32" s="89" t="e">
        <f>#REF!</f>
        <v>#REF!</v>
      </c>
      <c r="D32" s="202" t="e">
        <f>#REF!</f>
        <v>#REF!</v>
      </c>
      <c r="E32" s="124" t="e">
        <f>ROUND(#REF!,0)</f>
        <v>#REF!</v>
      </c>
      <c r="F32" s="88" t="e">
        <f>#REF!</f>
        <v>#REF!</v>
      </c>
      <c r="G32" s="88" t="e">
        <f>#REF!</f>
        <v>#REF!</v>
      </c>
      <c r="H32" s="88" t="e">
        <f>#REF!</f>
        <v>#REF!</v>
      </c>
      <c r="I32" s="90"/>
      <c r="J32" s="90"/>
      <c r="K32" s="91"/>
      <c r="L32" s="90"/>
    </row>
    <row r="33" spans="1:12" ht="20.100000000000001" customHeight="1">
      <c r="A33" s="87">
        <f t="shared" si="0"/>
        <v>32</v>
      </c>
      <c r="B33" s="88" t="e">
        <f>#REF!</f>
        <v>#REF!</v>
      </c>
      <c r="C33" s="89" t="e">
        <f>#REF!</f>
        <v>#REF!</v>
      </c>
      <c r="D33" s="202" t="e">
        <f>#REF!</f>
        <v>#REF!</v>
      </c>
      <c r="E33" s="124" t="e">
        <f>ROUND(#REF!,0)</f>
        <v>#REF!</v>
      </c>
      <c r="F33" s="88" t="e">
        <f>#REF!</f>
        <v>#REF!</v>
      </c>
      <c r="G33" s="88" t="e">
        <f>#REF!</f>
        <v>#REF!</v>
      </c>
      <c r="H33" s="88" t="e">
        <f>#REF!</f>
        <v>#REF!</v>
      </c>
      <c r="I33" s="90"/>
      <c r="J33" s="90"/>
      <c r="K33" s="91"/>
      <c r="L33" s="90"/>
    </row>
    <row r="34" spans="1:12" ht="20.100000000000001" customHeight="1">
      <c r="A34" s="87">
        <f t="shared" si="0"/>
        <v>33</v>
      </c>
      <c r="B34" s="88" t="e">
        <f>#REF!</f>
        <v>#REF!</v>
      </c>
      <c r="C34" s="89" t="e">
        <f>#REF!</f>
        <v>#REF!</v>
      </c>
      <c r="D34" s="202" t="e">
        <f>#REF!</f>
        <v>#REF!</v>
      </c>
      <c r="E34" s="124" t="e">
        <f>ROUND(#REF!,0)</f>
        <v>#REF!</v>
      </c>
      <c r="F34" s="88" t="e">
        <f>#REF!</f>
        <v>#REF!</v>
      </c>
      <c r="G34" s="88" t="e">
        <f>#REF!</f>
        <v>#REF!</v>
      </c>
      <c r="H34" s="88" t="e">
        <f>#REF!</f>
        <v>#REF!</v>
      </c>
      <c r="I34" s="90"/>
      <c r="J34" s="90"/>
      <c r="K34" s="91"/>
      <c r="L34" s="90"/>
    </row>
    <row r="35" spans="1:12" ht="20.100000000000001" customHeight="1">
      <c r="A35" s="87">
        <f t="shared" ref="A35:A66" si="1">A34+1</f>
        <v>34</v>
      </c>
      <c r="B35" s="88" t="e">
        <f>#REF!</f>
        <v>#REF!</v>
      </c>
      <c r="C35" s="89" t="e">
        <f>#REF!</f>
        <v>#REF!</v>
      </c>
      <c r="D35" s="202" t="e">
        <f>#REF!</f>
        <v>#REF!</v>
      </c>
      <c r="E35" s="124" t="e">
        <f>ROUND(#REF!,0)</f>
        <v>#REF!</v>
      </c>
      <c r="F35" s="88" t="e">
        <f>#REF!</f>
        <v>#REF!</v>
      </c>
      <c r="G35" s="88" t="e">
        <f>#REF!</f>
        <v>#REF!</v>
      </c>
      <c r="H35" s="88" t="e">
        <f>#REF!</f>
        <v>#REF!</v>
      </c>
      <c r="I35" s="90"/>
      <c r="J35" s="90"/>
      <c r="K35" s="91"/>
      <c r="L35" s="90"/>
    </row>
    <row r="36" spans="1:12" ht="20.100000000000001" customHeight="1">
      <c r="A36" s="87">
        <f t="shared" si="1"/>
        <v>35</v>
      </c>
      <c r="B36" s="88" t="e">
        <f>#REF!</f>
        <v>#REF!</v>
      </c>
      <c r="C36" s="89" t="e">
        <f>#REF!</f>
        <v>#REF!</v>
      </c>
      <c r="D36" s="202" t="e">
        <f>#REF!</f>
        <v>#REF!</v>
      </c>
      <c r="E36" s="124" t="e">
        <f>ROUND(#REF!,0)</f>
        <v>#REF!</v>
      </c>
      <c r="F36" s="88" t="e">
        <f>#REF!</f>
        <v>#REF!</v>
      </c>
      <c r="G36" s="88" t="e">
        <f>#REF!</f>
        <v>#REF!</v>
      </c>
      <c r="H36" s="88" t="e">
        <f>#REF!</f>
        <v>#REF!</v>
      </c>
      <c r="I36" s="90"/>
      <c r="J36" s="90"/>
      <c r="K36" s="91"/>
      <c r="L36" s="90"/>
    </row>
    <row r="37" spans="1:12" ht="20.100000000000001" customHeight="1">
      <c r="A37" s="87">
        <f t="shared" si="1"/>
        <v>36</v>
      </c>
      <c r="B37" s="88" t="e">
        <f>#REF!</f>
        <v>#REF!</v>
      </c>
      <c r="C37" s="89" t="e">
        <f>#REF!</f>
        <v>#REF!</v>
      </c>
      <c r="D37" s="202" t="e">
        <f>#REF!</f>
        <v>#REF!</v>
      </c>
      <c r="E37" s="124" t="e">
        <f>ROUND(#REF!,0)</f>
        <v>#REF!</v>
      </c>
      <c r="F37" s="88" t="e">
        <f>#REF!</f>
        <v>#REF!</v>
      </c>
      <c r="G37" s="88" t="e">
        <f>#REF!</f>
        <v>#REF!</v>
      </c>
      <c r="H37" s="88" t="e">
        <f>#REF!</f>
        <v>#REF!</v>
      </c>
      <c r="I37" s="90"/>
      <c r="J37" s="90"/>
      <c r="K37" s="91"/>
      <c r="L37" s="90"/>
    </row>
    <row r="38" spans="1:12" ht="20.100000000000001" customHeight="1">
      <c r="A38" s="87">
        <f t="shared" si="1"/>
        <v>37</v>
      </c>
      <c r="B38" s="88" t="e">
        <f>#REF!</f>
        <v>#REF!</v>
      </c>
      <c r="C38" s="89" t="e">
        <f>#REF!</f>
        <v>#REF!</v>
      </c>
      <c r="D38" s="202" t="e">
        <f>#REF!</f>
        <v>#REF!</v>
      </c>
      <c r="E38" s="124" t="e">
        <f>ROUND(#REF!,0)</f>
        <v>#REF!</v>
      </c>
      <c r="F38" s="88" t="e">
        <f>#REF!</f>
        <v>#REF!</v>
      </c>
      <c r="G38" s="88" t="e">
        <f>#REF!</f>
        <v>#REF!</v>
      </c>
      <c r="H38" s="88" t="e">
        <f>#REF!</f>
        <v>#REF!</v>
      </c>
      <c r="I38" s="90"/>
      <c r="J38" s="90"/>
      <c r="K38" s="91"/>
      <c r="L38" s="90"/>
    </row>
    <row r="39" spans="1:12" ht="20.100000000000001" customHeight="1">
      <c r="A39" s="87">
        <f t="shared" si="1"/>
        <v>38</v>
      </c>
      <c r="B39" s="88" t="e">
        <f>#REF!</f>
        <v>#REF!</v>
      </c>
      <c r="C39" s="89" t="e">
        <f>#REF!</f>
        <v>#REF!</v>
      </c>
      <c r="D39" s="202" t="e">
        <f>#REF!</f>
        <v>#REF!</v>
      </c>
      <c r="E39" s="124" t="e">
        <f>ROUND(#REF!,0)</f>
        <v>#REF!</v>
      </c>
      <c r="F39" s="88" t="e">
        <f>#REF!</f>
        <v>#REF!</v>
      </c>
      <c r="G39" s="88" t="e">
        <f>#REF!</f>
        <v>#REF!</v>
      </c>
      <c r="H39" s="88" t="e">
        <f>#REF!</f>
        <v>#REF!</v>
      </c>
      <c r="I39" s="90"/>
      <c r="J39" s="90"/>
      <c r="K39" s="91"/>
      <c r="L39" s="90"/>
    </row>
    <row r="40" spans="1:12" ht="20.100000000000001" customHeight="1">
      <c r="A40" s="87">
        <f t="shared" si="1"/>
        <v>39</v>
      </c>
      <c r="B40" s="88" t="e">
        <f>#REF!</f>
        <v>#REF!</v>
      </c>
      <c r="C40" s="89" t="e">
        <f>#REF!</f>
        <v>#REF!</v>
      </c>
      <c r="D40" s="202" t="e">
        <f>#REF!</f>
        <v>#REF!</v>
      </c>
      <c r="E40" s="124" t="e">
        <f>ROUND(#REF!,0)</f>
        <v>#REF!</v>
      </c>
      <c r="F40" s="88" t="e">
        <f>#REF!</f>
        <v>#REF!</v>
      </c>
      <c r="G40" s="88" t="e">
        <f>#REF!</f>
        <v>#REF!</v>
      </c>
      <c r="H40" s="88" t="e">
        <f>#REF!</f>
        <v>#REF!</v>
      </c>
      <c r="I40" s="90"/>
      <c r="J40" s="90"/>
      <c r="K40" s="91"/>
      <c r="L40" s="90"/>
    </row>
    <row r="41" spans="1:12" ht="20.100000000000001" customHeight="1">
      <c r="A41" s="87">
        <f t="shared" si="1"/>
        <v>40</v>
      </c>
      <c r="B41" s="88" t="e">
        <f>#REF!</f>
        <v>#REF!</v>
      </c>
      <c r="C41" s="89" t="e">
        <f>#REF!</f>
        <v>#REF!</v>
      </c>
      <c r="D41" s="202" t="e">
        <f>#REF!</f>
        <v>#REF!</v>
      </c>
      <c r="E41" s="124" t="e">
        <f>ROUND(#REF!,0)</f>
        <v>#REF!</v>
      </c>
      <c r="F41" s="88" t="e">
        <f>#REF!</f>
        <v>#REF!</v>
      </c>
      <c r="G41" s="88" t="e">
        <f>#REF!</f>
        <v>#REF!</v>
      </c>
      <c r="H41" s="88" t="e">
        <f>#REF!</f>
        <v>#REF!</v>
      </c>
      <c r="I41" s="90"/>
      <c r="J41" s="90"/>
      <c r="K41" s="91"/>
      <c r="L41" s="90"/>
    </row>
    <row r="42" spans="1:12" ht="20.100000000000001" customHeight="1">
      <c r="A42" s="87">
        <f t="shared" si="1"/>
        <v>41</v>
      </c>
      <c r="B42" s="88" t="e">
        <f>#REF!</f>
        <v>#REF!</v>
      </c>
      <c r="C42" s="89" t="e">
        <f>#REF!</f>
        <v>#REF!</v>
      </c>
      <c r="D42" s="202" t="e">
        <f>#REF!</f>
        <v>#REF!</v>
      </c>
      <c r="E42" s="124" t="e">
        <f>ROUND(#REF!,0)</f>
        <v>#REF!</v>
      </c>
      <c r="F42" s="88" t="e">
        <f>#REF!</f>
        <v>#REF!</v>
      </c>
      <c r="G42" s="88" t="e">
        <f>#REF!</f>
        <v>#REF!</v>
      </c>
      <c r="H42" s="88" t="e">
        <f>#REF!</f>
        <v>#REF!</v>
      </c>
      <c r="I42" s="90"/>
      <c r="J42" s="90"/>
      <c r="K42" s="91"/>
      <c r="L42" s="90"/>
    </row>
    <row r="43" spans="1:12" ht="20.100000000000001" customHeight="1">
      <c r="A43" s="87">
        <f t="shared" si="1"/>
        <v>42</v>
      </c>
      <c r="B43" s="88" t="e">
        <f>#REF!</f>
        <v>#REF!</v>
      </c>
      <c r="C43" s="89" t="e">
        <f>#REF!</f>
        <v>#REF!</v>
      </c>
      <c r="D43" s="202" t="e">
        <f>#REF!</f>
        <v>#REF!</v>
      </c>
      <c r="E43" s="124" t="e">
        <f>ROUND(#REF!,0)</f>
        <v>#REF!</v>
      </c>
      <c r="F43" s="88" t="e">
        <f>#REF!</f>
        <v>#REF!</v>
      </c>
      <c r="G43" s="88" t="e">
        <f>#REF!</f>
        <v>#REF!</v>
      </c>
      <c r="H43" s="88" t="e">
        <f>#REF!</f>
        <v>#REF!</v>
      </c>
      <c r="I43" s="90"/>
      <c r="J43" s="90"/>
      <c r="K43" s="91"/>
      <c r="L43" s="90"/>
    </row>
    <row r="44" spans="1:12" ht="20.100000000000001" customHeight="1">
      <c r="A44" s="87">
        <f t="shared" si="1"/>
        <v>43</v>
      </c>
      <c r="B44" s="88" t="e">
        <f>#REF!</f>
        <v>#REF!</v>
      </c>
      <c r="C44" s="89" t="e">
        <f>#REF!</f>
        <v>#REF!</v>
      </c>
      <c r="D44" s="202" t="e">
        <f>#REF!</f>
        <v>#REF!</v>
      </c>
      <c r="E44" s="124" t="e">
        <f>ROUND(#REF!,0)</f>
        <v>#REF!</v>
      </c>
      <c r="F44" s="88" t="e">
        <f>#REF!</f>
        <v>#REF!</v>
      </c>
      <c r="G44" s="88" t="e">
        <f>#REF!</f>
        <v>#REF!</v>
      </c>
      <c r="H44" s="88" t="e">
        <f>#REF!</f>
        <v>#REF!</v>
      </c>
      <c r="I44" s="90"/>
      <c r="J44" s="90"/>
      <c r="K44" s="91"/>
      <c r="L44" s="90"/>
    </row>
    <row r="45" spans="1:12" ht="20.100000000000001" customHeight="1">
      <c r="A45" s="87">
        <f t="shared" si="1"/>
        <v>44</v>
      </c>
      <c r="B45" s="88" t="e">
        <f>#REF!</f>
        <v>#REF!</v>
      </c>
      <c r="C45" s="89" t="e">
        <f>#REF!</f>
        <v>#REF!</v>
      </c>
      <c r="D45" s="202" t="e">
        <f>#REF!</f>
        <v>#REF!</v>
      </c>
      <c r="E45" s="124" t="e">
        <f>ROUND(#REF!,0)</f>
        <v>#REF!</v>
      </c>
      <c r="F45" s="88" t="e">
        <f>#REF!</f>
        <v>#REF!</v>
      </c>
      <c r="G45" s="88" t="e">
        <f>#REF!</f>
        <v>#REF!</v>
      </c>
      <c r="H45" s="88" t="e">
        <f>#REF!</f>
        <v>#REF!</v>
      </c>
      <c r="I45" s="90"/>
      <c r="J45" s="90"/>
      <c r="K45" s="91"/>
      <c r="L45" s="90"/>
    </row>
    <row r="46" spans="1:12" ht="20.100000000000001" customHeight="1">
      <c r="A46" s="87">
        <f t="shared" si="1"/>
        <v>45</v>
      </c>
      <c r="B46" s="88" t="e">
        <f>#REF!</f>
        <v>#REF!</v>
      </c>
      <c r="C46" s="89" t="e">
        <f>#REF!</f>
        <v>#REF!</v>
      </c>
      <c r="D46" s="202" t="e">
        <f>#REF!</f>
        <v>#REF!</v>
      </c>
      <c r="E46" s="124" t="e">
        <f>ROUND(#REF!,0)</f>
        <v>#REF!</v>
      </c>
      <c r="F46" s="88" t="e">
        <f>#REF!</f>
        <v>#REF!</v>
      </c>
      <c r="G46" s="88" t="e">
        <f>#REF!</f>
        <v>#REF!</v>
      </c>
      <c r="H46" s="88" t="e">
        <f>#REF!</f>
        <v>#REF!</v>
      </c>
      <c r="I46" s="90"/>
      <c r="J46" s="90"/>
      <c r="K46" s="91"/>
      <c r="L46" s="90"/>
    </row>
    <row r="47" spans="1:12" ht="20.100000000000001" customHeight="1">
      <c r="A47" s="87">
        <f t="shared" si="1"/>
        <v>46</v>
      </c>
      <c r="B47" s="88" t="e">
        <f>#REF!</f>
        <v>#REF!</v>
      </c>
      <c r="C47" s="89" t="e">
        <f>#REF!</f>
        <v>#REF!</v>
      </c>
      <c r="D47" s="202" t="e">
        <f>#REF!</f>
        <v>#REF!</v>
      </c>
      <c r="E47" s="124" t="e">
        <f>ROUND(#REF!,0)</f>
        <v>#REF!</v>
      </c>
      <c r="F47" s="88" t="e">
        <f>#REF!</f>
        <v>#REF!</v>
      </c>
      <c r="G47" s="88" t="e">
        <f>#REF!</f>
        <v>#REF!</v>
      </c>
      <c r="H47" s="88" t="e">
        <f>#REF!</f>
        <v>#REF!</v>
      </c>
      <c r="I47" s="90"/>
      <c r="J47" s="90"/>
      <c r="K47" s="91"/>
      <c r="L47" s="90"/>
    </row>
    <row r="48" spans="1:12" ht="20.100000000000001" customHeight="1">
      <c r="A48" s="87">
        <f t="shared" si="1"/>
        <v>47</v>
      </c>
      <c r="B48" s="88" t="e">
        <f>#REF!</f>
        <v>#REF!</v>
      </c>
      <c r="C48" s="89" t="e">
        <f>#REF!</f>
        <v>#REF!</v>
      </c>
      <c r="D48" s="202" t="e">
        <f>#REF!</f>
        <v>#REF!</v>
      </c>
      <c r="E48" s="124" t="e">
        <f>ROUND(#REF!,0)</f>
        <v>#REF!</v>
      </c>
      <c r="F48" s="88" t="e">
        <f>#REF!</f>
        <v>#REF!</v>
      </c>
      <c r="G48" s="88" t="e">
        <f>#REF!</f>
        <v>#REF!</v>
      </c>
      <c r="H48" s="88" t="e">
        <f>#REF!</f>
        <v>#REF!</v>
      </c>
      <c r="I48" s="90"/>
      <c r="J48" s="90"/>
      <c r="K48" s="91"/>
      <c r="L48" s="90"/>
    </row>
    <row r="49" spans="1:12" ht="20.100000000000001" customHeight="1">
      <c r="A49" s="87">
        <f t="shared" si="1"/>
        <v>48</v>
      </c>
      <c r="B49" s="88" t="e">
        <f>#REF!</f>
        <v>#REF!</v>
      </c>
      <c r="C49" s="89" t="e">
        <f>#REF!</f>
        <v>#REF!</v>
      </c>
      <c r="D49" s="202" t="e">
        <f>#REF!</f>
        <v>#REF!</v>
      </c>
      <c r="E49" s="124" t="e">
        <f>ROUND(#REF!,0)</f>
        <v>#REF!</v>
      </c>
      <c r="F49" s="88" t="e">
        <f>#REF!</f>
        <v>#REF!</v>
      </c>
      <c r="G49" s="88" t="e">
        <f>#REF!</f>
        <v>#REF!</v>
      </c>
      <c r="H49" s="88" t="e">
        <f>#REF!</f>
        <v>#REF!</v>
      </c>
      <c r="I49" s="90"/>
      <c r="J49" s="90"/>
      <c r="K49" s="91"/>
      <c r="L49" s="90"/>
    </row>
    <row r="50" spans="1:12" ht="20.100000000000001" customHeight="1">
      <c r="A50" s="87">
        <f t="shared" si="1"/>
        <v>49</v>
      </c>
      <c r="B50" s="88" t="e">
        <f>#REF!</f>
        <v>#REF!</v>
      </c>
      <c r="C50" s="89" t="e">
        <f>#REF!</f>
        <v>#REF!</v>
      </c>
      <c r="D50" s="202" t="e">
        <f>#REF!</f>
        <v>#REF!</v>
      </c>
      <c r="E50" s="124" t="e">
        <f>ROUND(#REF!,0)</f>
        <v>#REF!</v>
      </c>
      <c r="F50" s="88" t="e">
        <f>#REF!</f>
        <v>#REF!</v>
      </c>
      <c r="G50" s="88" t="e">
        <f>#REF!</f>
        <v>#REF!</v>
      </c>
      <c r="H50" s="88" t="e">
        <f>#REF!</f>
        <v>#REF!</v>
      </c>
      <c r="I50" s="90"/>
      <c r="J50" s="90"/>
      <c r="K50" s="91"/>
      <c r="L50" s="90"/>
    </row>
    <row r="51" spans="1:12" ht="20.100000000000001" customHeight="1">
      <c r="A51" s="87">
        <f t="shared" si="1"/>
        <v>50</v>
      </c>
      <c r="B51" s="88" t="e">
        <f>#REF!</f>
        <v>#REF!</v>
      </c>
      <c r="C51" s="89" t="e">
        <f>#REF!</f>
        <v>#REF!</v>
      </c>
      <c r="D51" s="202" t="e">
        <f>#REF!</f>
        <v>#REF!</v>
      </c>
      <c r="E51" s="124" t="e">
        <f>ROUND(#REF!,0)</f>
        <v>#REF!</v>
      </c>
      <c r="F51" s="88" t="e">
        <f>#REF!</f>
        <v>#REF!</v>
      </c>
      <c r="G51" s="88" t="e">
        <f>#REF!</f>
        <v>#REF!</v>
      </c>
      <c r="H51" s="88" t="e">
        <f>#REF!</f>
        <v>#REF!</v>
      </c>
      <c r="I51" s="90"/>
      <c r="J51" s="90"/>
      <c r="K51" s="91"/>
      <c r="L51" s="90"/>
    </row>
    <row r="52" spans="1:12" ht="20.100000000000001" customHeight="1">
      <c r="A52" s="87">
        <f t="shared" si="1"/>
        <v>51</v>
      </c>
      <c r="B52" s="88" t="e">
        <f>#REF!</f>
        <v>#REF!</v>
      </c>
      <c r="C52" s="89" t="e">
        <f>#REF!</f>
        <v>#REF!</v>
      </c>
      <c r="D52" s="202" t="e">
        <f>#REF!</f>
        <v>#REF!</v>
      </c>
      <c r="E52" s="124" t="e">
        <f>ROUND(#REF!,0)</f>
        <v>#REF!</v>
      </c>
      <c r="F52" s="88" t="e">
        <f>#REF!</f>
        <v>#REF!</v>
      </c>
      <c r="G52" s="88" t="e">
        <f>#REF!</f>
        <v>#REF!</v>
      </c>
      <c r="H52" s="88" t="e">
        <f>#REF!</f>
        <v>#REF!</v>
      </c>
      <c r="I52" s="90"/>
      <c r="J52" s="90"/>
      <c r="K52" s="91"/>
      <c r="L52" s="90"/>
    </row>
    <row r="53" spans="1:12" ht="20.100000000000001" customHeight="1">
      <c r="A53" s="87">
        <f t="shared" si="1"/>
        <v>52</v>
      </c>
      <c r="B53" s="88" t="e">
        <f>#REF!</f>
        <v>#REF!</v>
      </c>
      <c r="C53" s="89" t="e">
        <f>#REF!</f>
        <v>#REF!</v>
      </c>
      <c r="D53" s="202" t="e">
        <f>#REF!</f>
        <v>#REF!</v>
      </c>
      <c r="E53" s="124" t="e">
        <f>ROUND(#REF!,0)</f>
        <v>#REF!</v>
      </c>
      <c r="F53" s="88" t="e">
        <f>#REF!</f>
        <v>#REF!</v>
      </c>
      <c r="G53" s="88" t="e">
        <f>#REF!</f>
        <v>#REF!</v>
      </c>
      <c r="H53" s="88" t="e">
        <f>#REF!</f>
        <v>#REF!</v>
      </c>
      <c r="I53" s="90"/>
      <c r="J53" s="90"/>
      <c r="K53" s="91"/>
      <c r="L53" s="90"/>
    </row>
    <row r="54" spans="1:12" ht="20.100000000000001" customHeight="1">
      <c r="A54" s="87">
        <f t="shared" si="1"/>
        <v>53</v>
      </c>
      <c r="B54" s="88" t="e">
        <f>#REF!</f>
        <v>#REF!</v>
      </c>
      <c r="C54" s="89" t="e">
        <f>#REF!</f>
        <v>#REF!</v>
      </c>
      <c r="D54" s="202" t="e">
        <f>#REF!</f>
        <v>#REF!</v>
      </c>
      <c r="E54" s="124" t="e">
        <f>ROUND(#REF!,0)</f>
        <v>#REF!</v>
      </c>
      <c r="F54" s="88" t="e">
        <f>#REF!</f>
        <v>#REF!</v>
      </c>
      <c r="G54" s="88" t="e">
        <f>#REF!</f>
        <v>#REF!</v>
      </c>
      <c r="H54" s="88" t="e">
        <f>#REF!</f>
        <v>#REF!</v>
      </c>
      <c r="I54" s="90"/>
      <c r="J54" s="90"/>
      <c r="K54" s="91"/>
      <c r="L54" s="90"/>
    </row>
    <row r="55" spans="1:12" ht="20.100000000000001" customHeight="1">
      <c r="A55" s="87">
        <f t="shared" si="1"/>
        <v>54</v>
      </c>
      <c r="B55" s="88" t="e">
        <f>#REF!</f>
        <v>#REF!</v>
      </c>
      <c r="C55" s="89" t="e">
        <f>#REF!</f>
        <v>#REF!</v>
      </c>
      <c r="D55" s="202" t="e">
        <f>#REF!</f>
        <v>#REF!</v>
      </c>
      <c r="E55" s="124" t="e">
        <f>ROUND(#REF!,0)</f>
        <v>#REF!</v>
      </c>
      <c r="F55" s="88" t="e">
        <f>#REF!</f>
        <v>#REF!</v>
      </c>
      <c r="G55" s="88" t="e">
        <f>#REF!</f>
        <v>#REF!</v>
      </c>
      <c r="H55" s="88" t="e">
        <f>#REF!</f>
        <v>#REF!</v>
      </c>
      <c r="I55" s="90"/>
      <c r="J55" s="90"/>
      <c r="K55" s="91"/>
      <c r="L55" s="90"/>
    </row>
    <row r="56" spans="1:12" ht="20.100000000000001" customHeight="1">
      <c r="A56" s="87">
        <f t="shared" si="1"/>
        <v>55</v>
      </c>
      <c r="B56" s="88" t="e">
        <f>#REF!</f>
        <v>#REF!</v>
      </c>
      <c r="C56" s="89" t="e">
        <f>#REF!</f>
        <v>#REF!</v>
      </c>
      <c r="D56" s="202" t="e">
        <f>#REF!</f>
        <v>#REF!</v>
      </c>
      <c r="E56" s="124" t="e">
        <f>ROUND(#REF!,0)</f>
        <v>#REF!</v>
      </c>
      <c r="F56" s="88" t="e">
        <f>#REF!</f>
        <v>#REF!</v>
      </c>
      <c r="G56" s="88" t="e">
        <f>#REF!</f>
        <v>#REF!</v>
      </c>
      <c r="H56" s="88" t="e">
        <f>#REF!</f>
        <v>#REF!</v>
      </c>
      <c r="I56" s="90"/>
      <c r="J56" s="90"/>
      <c r="K56" s="91"/>
      <c r="L56" s="90"/>
    </row>
    <row r="57" spans="1:12" ht="20.100000000000001" customHeight="1">
      <c r="A57" s="87">
        <f t="shared" si="1"/>
        <v>56</v>
      </c>
      <c r="B57" s="88" t="e">
        <f>#REF!</f>
        <v>#REF!</v>
      </c>
      <c r="C57" s="89" t="e">
        <f>#REF!</f>
        <v>#REF!</v>
      </c>
      <c r="D57" s="202" t="e">
        <f>#REF!</f>
        <v>#REF!</v>
      </c>
      <c r="E57" s="124" t="e">
        <f>ROUND(#REF!,0)</f>
        <v>#REF!</v>
      </c>
      <c r="F57" s="88" t="e">
        <f>#REF!</f>
        <v>#REF!</v>
      </c>
      <c r="G57" s="88" t="e">
        <f>#REF!</f>
        <v>#REF!</v>
      </c>
      <c r="H57" s="88" t="e">
        <f>#REF!</f>
        <v>#REF!</v>
      </c>
      <c r="I57" s="90"/>
      <c r="J57" s="90"/>
      <c r="K57" s="91"/>
      <c r="L57" s="90"/>
    </row>
    <row r="58" spans="1:12" ht="20.100000000000001" customHeight="1">
      <c r="A58" s="87">
        <f t="shared" si="1"/>
        <v>57</v>
      </c>
      <c r="B58" s="88" t="e">
        <f>#REF!</f>
        <v>#REF!</v>
      </c>
      <c r="C58" s="89" t="e">
        <f>#REF!</f>
        <v>#REF!</v>
      </c>
      <c r="D58" s="202" t="e">
        <f>#REF!</f>
        <v>#REF!</v>
      </c>
      <c r="E58" s="124" t="e">
        <f>ROUND(#REF!,0)</f>
        <v>#REF!</v>
      </c>
      <c r="F58" s="88" t="e">
        <f>#REF!</f>
        <v>#REF!</v>
      </c>
      <c r="G58" s="88" t="e">
        <f>#REF!</f>
        <v>#REF!</v>
      </c>
      <c r="H58" s="88" t="e">
        <f>#REF!</f>
        <v>#REF!</v>
      </c>
      <c r="I58" s="90"/>
      <c r="J58" s="90"/>
      <c r="K58" s="91"/>
      <c r="L58" s="90"/>
    </row>
    <row r="59" spans="1:12" ht="20.100000000000001" customHeight="1">
      <c r="A59" s="87">
        <f t="shared" si="1"/>
        <v>58</v>
      </c>
      <c r="B59" s="88" t="e">
        <f>#REF!</f>
        <v>#REF!</v>
      </c>
      <c r="C59" s="89" t="e">
        <f>#REF!</f>
        <v>#REF!</v>
      </c>
      <c r="D59" s="202" t="e">
        <f>#REF!</f>
        <v>#REF!</v>
      </c>
      <c r="E59" s="124" t="e">
        <f>ROUND(#REF!,0)</f>
        <v>#REF!</v>
      </c>
      <c r="F59" s="88" t="e">
        <f>#REF!</f>
        <v>#REF!</v>
      </c>
      <c r="G59" s="88" t="e">
        <f>#REF!</f>
        <v>#REF!</v>
      </c>
      <c r="H59" s="88" t="e">
        <f>#REF!</f>
        <v>#REF!</v>
      </c>
      <c r="I59" s="90"/>
      <c r="J59" s="90"/>
      <c r="K59" s="91"/>
      <c r="L59" s="90"/>
    </row>
    <row r="60" spans="1:12" ht="20.100000000000001" customHeight="1">
      <c r="A60" s="87">
        <f t="shared" si="1"/>
        <v>59</v>
      </c>
      <c r="B60" s="88" t="e">
        <f>#REF!</f>
        <v>#REF!</v>
      </c>
      <c r="C60" s="89" t="e">
        <f>#REF!</f>
        <v>#REF!</v>
      </c>
      <c r="D60" s="202" t="e">
        <f>#REF!</f>
        <v>#REF!</v>
      </c>
      <c r="E60" s="124" t="e">
        <f>ROUND(#REF!,0)</f>
        <v>#REF!</v>
      </c>
      <c r="F60" s="88" t="e">
        <f>#REF!</f>
        <v>#REF!</v>
      </c>
      <c r="G60" s="88" t="e">
        <f>#REF!</f>
        <v>#REF!</v>
      </c>
      <c r="H60" s="88" t="e">
        <f>#REF!</f>
        <v>#REF!</v>
      </c>
      <c r="I60" s="90"/>
      <c r="J60" s="90"/>
      <c r="K60" s="91"/>
      <c r="L60" s="90"/>
    </row>
    <row r="61" spans="1:12" ht="20.100000000000001" customHeight="1">
      <c r="A61" s="87">
        <f t="shared" si="1"/>
        <v>60</v>
      </c>
      <c r="B61" s="88" t="e">
        <f>#REF!</f>
        <v>#REF!</v>
      </c>
      <c r="C61" s="89" t="e">
        <f>#REF!</f>
        <v>#REF!</v>
      </c>
      <c r="D61" s="202" t="e">
        <f>#REF!</f>
        <v>#REF!</v>
      </c>
      <c r="E61" s="124" t="e">
        <f>ROUND(#REF!,0)</f>
        <v>#REF!</v>
      </c>
      <c r="F61" s="88" t="e">
        <f>#REF!</f>
        <v>#REF!</v>
      </c>
      <c r="G61" s="88" t="e">
        <f>#REF!</f>
        <v>#REF!</v>
      </c>
      <c r="H61" s="88" t="e">
        <f>#REF!</f>
        <v>#REF!</v>
      </c>
      <c r="I61" s="90"/>
      <c r="J61" s="90"/>
      <c r="K61" s="91"/>
      <c r="L61" s="90"/>
    </row>
    <row r="62" spans="1:12" ht="20.100000000000001" customHeight="1">
      <c r="A62" s="87">
        <f t="shared" si="1"/>
        <v>61</v>
      </c>
      <c r="B62" s="88" t="e">
        <f>#REF!</f>
        <v>#REF!</v>
      </c>
      <c r="C62" s="89" t="e">
        <f>#REF!</f>
        <v>#REF!</v>
      </c>
      <c r="D62" s="202" t="e">
        <f>#REF!</f>
        <v>#REF!</v>
      </c>
      <c r="E62" s="124" t="e">
        <f>ROUND(#REF!,0)</f>
        <v>#REF!</v>
      </c>
      <c r="F62" s="88" t="e">
        <f>#REF!</f>
        <v>#REF!</v>
      </c>
      <c r="G62" s="88" t="e">
        <f>#REF!</f>
        <v>#REF!</v>
      </c>
      <c r="H62" s="88" t="e">
        <f>#REF!</f>
        <v>#REF!</v>
      </c>
      <c r="I62" s="90"/>
      <c r="J62" s="90"/>
      <c r="K62" s="91"/>
      <c r="L62" s="90"/>
    </row>
    <row r="63" spans="1:12" ht="20.100000000000001" customHeight="1">
      <c r="A63" s="87">
        <f t="shared" si="1"/>
        <v>62</v>
      </c>
      <c r="B63" s="88" t="e">
        <f>#REF!</f>
        <v>#REF!</v>
      </c>
      <c r="C63" s="89" t="e">
        <f>#REF!</f>
        <v>#REF!</v>
      </c>
      <c r="D63" s="202" t="e">
        <f>#REF!</f>
        <v>#REF!</v>
      </c>
      <c r="E63" s="124" t="e">
        <f>ROUND(#REF!,0)</f>
        <v>#REF!</v>
      </c>
      <c r="F63" s="88" t="e">
        <f>#REF!</f>
        <v>#REF!</v>
      </c>
      <c r="G63" s="88" t="e">
        <f>#REF!</f>
        <v>#REF!</v>
      </c>
      <c r="H63" s="88" t="e">
        <f>#REF!</f>
        <v>#REF!</v>
      </c>
      <c r="I63" s="90"/>
      <c r="J63" s="90"/>
      <c r="K63" s="91"/>
      <c r="L63" s="90"/>
    </row>
    <row r="64" spans="1:12" ht="20.100000000000001" customHeight="1">
      <c r="A64" s="87">
        <f t="shared" si="1"/>
        <v>63</v>
      </c>
      <c r="B64" s="88" t="e">
        <f>#REF!</f>
        <v>#REF!</v>
      </c>
      <c r="C64" s="89" t="e">
        <f>#REF!</f>
        <v>#REF!</v>
      </c>
      <c r="D64" s="202" t="e">
        <f>#REF!</f>
        <v>#REF!</v>
      </c>
      <c r="E64" s="124" t="e">
        <f>ROUND(#REF!,0)</f>
        <v>#REF!</v>
      </c>
      <c r="F64" s="88" t="e">
        <f>#REF!</f>
        <v>#REF!</v>
      </c>
      <c r="G64" s="88" t="e">
        <f>#REF!</f>
        <v>#REF!</v>
      </c>
      <c r="H64" s="88" t="e">
        <f>#REF!</f>
        <v>#REF!</v>
      </c>
      <c r="I64" s="90"/>
      <c r="J64" s="90"/>
      <c r="K64" s="91"/>
      <c r="L64" s="90"/>
    </row>
    <row r="65" spans="1:12" ht="20.100000000000001" customHeight="1">
      <c r="A65" s="87">
        <f t="shared" si="1"/>
        <v>64</v>
      </c>
      <c r="B65" s="88" t="e">
        <f>#REF!</f>
        <v>#REF!</v>
      </c>
      <c r="C65" s="89" t="e">
        <f>#REF!</f>
        <v>#REF!</v>
      </c>
      <c r="D65" s="202" t="e">
        <f>#REF!</f>
        <v>#REF!</v>
      </c>
      <c r="E65" s="124" t="e">
        <f>ROUND(#REF!,0)</f>
        <v>#REF!</v>
      </c>
      <c r="F65" s="88" t="e">
        <f>#REF!</f>
        <v>#REF!</v>
      </c>
      <c r="G65" s="88" t="e">
        <f>#REF!</f>
        <v>#REF!</v>
      </c>
      <c r="H65" s="88" t="e">
        <f>#REF!</f>
        <v>#REF!</v>
      </c>
      <c r="I65" s="90"/>
      <c r="J65" s="90"/>
      <c r="K65" s="91"/>
      <c r="L65" s="90"/>
    </row>
    <row r="66" spans="1:12" ht="20.100000000000001" customHeight="1">
      <c r="A66" s="87">
        <f t="shared" si="1"/>
        <v>65</v>
      </c>
      <c r="B66" s="88" t="e">
        <f>#REF!</f>
        <v>#REF!</v>
      </c>
      <c r="C66" s="89" t="e">
        <f>#REF!</f>
        <v>#REF!</v>
      </c>
      <c r="D66" s="202" t="e">
        <f>#REF!</f>
        <v>#REF!</v>
      </c>
      <c r="E66" s="124" t="e">
        <f>ROUND(#REF!,0)</f>
        <v>#REF!</v>
      </c>
      <c r="F66" s="88" t="e">
        <f>#REF!</f>
        <v>#REF!</v>
      </c>
      <c r="G66" s="88" t="e">
        <f>#REF!</f>
        <v>#REF!</v>
      </c>
      <c r="H66" s="88" t="e">
        <f>#REF!</f>
        <v>#REF!</v>
      </c>
      <c r="I66" s="90"/>
      <c r="J66" s="90"/>
      <c r="K66" s="91"/>
      <c r="L66" s="90"/>
    </row>
    <row r="67" spans="1:12" ht="20.100000000000001" customHeight="1">
      <c r="A67" s="87">
        <f t="shared" ref="A67:A74" si="2">A66+1</f>
        <v>66</v>
      </c>
      <c r="B67" s="88" t="e">
        <f>#REF!</f>
        <v>#REF!</v>
      </c>
      <c r="C67" s="89" t="e">
        <f>#REF!</f>
        <v>#REF!</v>
      </c>
      <c r="D67" s="202" t="e">
        <f>#REF!</f>
        <v>#REF!</v>
      </c>
      <c r="E67" s="124" t="e">
        <f>ROUND(#REF!,0)</f>
        <v>#REF!</v>
      </c>
      <c r="F67" s="88" t="e">
        <f>#REF!</f>
        <v>#REF!</v>
      </c>
      <c r="G67" s="88" t="e">
        <f>#REF!</f>
        <v>#REF!</v>
      </c>
      <c r="H67" s="88" t="e">
        <f>#REF!</f>
        <v>#REF!</v>
      </c>
      <c r="I67" s="90"/>
      <c r="J67" s="90"/>
      <c r="K67" s="91"/>
      <c r="L67" s="90"/>
    </row>
    <row r="68" spans="1:12" ht="20.100000000000001" customHeight="1">
      <c r="A68" s="87">
        <f t="shared" si="2"/>
        <v>67</v>
      </c>
      <c r="B68" s="88" t="e">
        <f>#REF!</f>
        <v>#REF!</v>
      </c>
      <c r="C68" s="89" t="e">
        <f>#REF!</f>
        <v>#REF!</v>
      </c>
      <c r="D68" s="202" t="e">
        <f>#REF!</f>
        <v>#REF!</v>
      </c>
      <c r="E68" s="124" t="e">
        <f>ROUND(#REF!,0)</f>
        <v>#REF!</v>
      </c>
      <c r="F68" s="88" t="e">
        <f>#REF!</f>
        <v>#REF!</v>
      </c>
      <c r="G68" s="88" t="e">
        <f>#REF!</f>
        <v>#REF!</v>
      </c>
      <c r="H68" s="88" t="e">
        <f>#REF!</f>
        <v>#REF!</v>
      </c>
      <c r="I68" s="90"/>
      <c r="J68" s="90"/>
      <c r="K68" s="91"/>
      <c r="L68" s="90"/>
    </row>
    <row r="69" spans="1:12" ht="20.100000000000001" customHeight="1">
      <c r="A69" s="87">
        <f t="shared" si="2"/>
        <v>68</v>
      </c>
      <c r="B69" s="88" t="e">
        <f>#REF!</f>
        <v>#REF!</v>
      </c>
      <c r="C69" s="89" t="e">
        <f>#REF!</f>
        <v>#REF!</v>
      </c>
      <c r="D69" s="202" t="e">
        <f>#REF!</f>
        <v>#REF!</v>
      </c>
      <c r="E69" s="124" t="e">
        <f>ROUND(#REF!,0)</f>
        <v>#REF!</v>
      </c>
      <c r="F69" s="88" t="e">
        <f>#REF!</f>
        <v>#REF!</v>
      </c>
      <c r="G69" s="88" t="e">
        <f>#REF!</f>
        <v>#REF!</v>
      </c>
      <c r="H69" s="88" t="e">
        <f>#REF!</f>
        <v>#REF!</v>
      </c>
      <c r="I69" s="90"/>
      <c r="J69" s="90"/>
      <c r="K69" s="91"/>
      <c r="L69" s="90"/>
    </row>
    <row r="70" spans="1:12" ht="20.100000000000001" customHeight="1">
      <c r="A70" s="87">
        <f t="shared" si="2"/>
        <v>69</v>
      </c>
      <c r="B70" s="88" t="e">
        <f>#REF!</f>
        <v>#REF!</v>
      </c>
      <c r="C70" s="89" t="e">
        <f>#REF!</f>
        <v>#REF!</v>
      </c>
      <c r="D70" s="202" t="e">
        <f>#REF!</f>
        <v>#REF!</v>
      </c>
      <c r="E70" s="124" t="e">
        <f>ROUND(#REF!,0)</f>
        <v>#REF!</v>
      </c>
      <c r="F70" s="88" t="e">
        <f>#REF!</f>
        <v>#REF!</v>
      </c>
      <c r="G70" s="88" t="e">
        <f>#REF!</f>
        <v>#REF!</v>
      </c>
      <c r="H70" s="88" t="e">
        <f>#REF!</f>
        <v>#REF!</v>
      </c>
      <c r="I70" s="90"/>
      <c r="J70" s="90"/>
      <c r="K70" s="91"/>
      <c r="L70" s="90"/>
    </row>
    <row r="71" spans="1:12" ht="20.100000000000001" customHeight="1">
      <c r="A71" s="87">
        <f t="shared" si="2"/>
        <v>70</v>
      </c>
      <c r="B71" s="88" t="e">
        <f>#REF!</f>
        <v>#REF!</v>
      </c>
      <c r="C71" s="89" t="e">
        <f>#REF!</f>
        <v>#REF!</v>
      </c>
      <c r="D71" s="202" t="e">
        <f>#REF!</f>
        <v>#REF!</v>
      </c>
      <c r="E71" s="124" t="e">
        <f>ROUND(#REF!,0)</f>
        <v>#REF!</v>
      </c>
      <c r="F71" s="88" t="e">
        <f>#REF!</f>
        <v>#REF!</v>
      </c>
      <c r="G71" s="88" t="e">
        <f>#REF!</f>
        <v>#REF!</v>
      </c>
      <c r="H71" s="88" t="e">
        <f>#REF!</f>
        <v>#REF!</v>
      </c>
      <c r="I71" s="90"/>
      <c r="J71" s="90"/>
      <c r="K71" s="91"/>
      <c r="L71" s="90"/>
    </row>
    <row r="72" spans="1:12" ht="20.100000000000001" customHeight="1">
      <c r="A72" s="87">
        <f t="shared" si="2"/>
        <v>71</v>
      </c>
      <c r="B72" s="88" t="e">
        <f>#REF!</f>
        <v>#REF!</v>
      </c>
      <c r="C72" s="89" t="e">
        <f>#REF!</f>
        <v>#REF!</v>
      </c>
      <c r="D72" s="202" t="e">
        <f>#REF!</f>
        <v>#REF!</v>
      </c>
      <c r="E72" s="124" t="e">
        <f>ROUND(#REF!,0)</f>
        <v>#REF!</v>
      </c>
      <c r="F72" s="88" t="e">
        <f>#REF!</f>
        <v>#REF!</v>
      </c>
      <c r="G72" s="88" t="e">
        <f>#REF!</f>
        <v>#REF!</v>
      </c>
      <c r="H72" s="88" t="e">
        <f>#REF!</f>
        <v>#REF!</v>
      </c>
      <c r="I72" s="90"/>
      <c r="J72" s="90"/>
      <c r="K72" s="91"/>
      <c r="L72" s="90"/>
    </row>
    <row r="73" spans="1:12" ht="20.100000000000001" customHeight="1">
      <c r="A73" s="87">
        <f t="shared" si="2"/>
        <v>72</v>
      </c>
      <c r="B73" s="88" t="e">
        <f>#REF!</f>
        <v>#REF!</v>
      </c>
      <c r="C73" s="89" t="e">
        <f>#REF!</f>
        <v>#REF!</v>
      </c>
      <c r="D73" s="202" t="e">
        <f>#REF!</f>
        <v>#REF!</v>
      </c>
      <c r="E73" s="124" t="e">
        <f>ROUND(#REF!,0)</f>
        <v>#REF!</v>
      </c>
      <c r="F73" s="88" t="e">
        <f>#REF!</f>
        <v>#REF!</v>
      </c>
      <c r="G73" s="88" t="e">
        <f>#REF!</f>
        <v>#REF!</v>
      </c>
      <c r="H73" s="88" t="e">
        <f>#REF!</f>
        <v>#REF!</v>
      </c>
      <c r="I73" s="90"/>
      <c r="J73" s="90"/>
      <c r="K73" s="91"/>
      <c r="L73" s="90"/>
    </row>
    <row r="74" spans="1:12" ht="20.100000000000001" customHeight="1">
      <c r="A74" s="87">
        <f t="shared" si="2"/>
        <v>73</v>
      </c>
      <c r="B74" s="88" t="e">
        <f>#REF!</f>
        <v>#REF!</v>
      </c>
      <c r="C74" s="89" t="e">
        <f>#REF!</f>
        <v>#REF!</v>
      </c>
      <c r="D74" s="202" t="e">
        <f>#REF!</f>
        <v>#REF!</v>
      </c>
      <c r="E74" s="124" t="e">
        <f>ROUND(#REF!,0)</f>
        <v>#REF!</v>
      </c>
      <c r="F74" s="88" t="e">
        <f>#REF!</f>
        <v>#REF!</v>
      </c>
      <c r="G74" s="88" t="e">
        <f>#REF!</f>
        <v>#REF!</v>
      </c>
      <c r="H74" s="88" t="e">
        <f>#REF!</f>
        <v>#REF!</v>
      </c>
      <c r="I74" s="90"/>
      <c r="J74" s="90"/>
      <c r="K74" s="91"/>
      <c r="L74" s="90"/>
    </row>
    <row r="75" spans="1:12" ht="27" customHeight="1">
      <c r="E75" s="125" t="e">
        <f>SUM(E2:E74)</f>
        <v>#REF!</v>
      </c>
    </row>
  </sheetData>
  <sheetProtection insertRows="0" insertHyperlinks="0" deleteRows="0" sort="0" autoFilter="0" pivotTables="0"/>
  <protectedRanges>
    <protectedRange sqref="M1:IU65282" name="범위2"/>
    <protectedRange sqref="E2:L65282 A2:C65282" name="범위1"/>
    <protectedRange sqref="D2:D65281" name="범위1_1"/>
  </protectedRanges>
  <phoneticPr fontId="40" type="noConversion"/>
  <dataValidations count="2">
    <dataValidation type="whole" allowBlank="1" showErrorMessage="1" errorTitle="정수만 입력" error="45 이하 정수로만 입력가능합니다." sqref="E2:E74" xr:uid="{00000000-0002-0000-1800-000000000000}">
      <formula1>-45</formula1>
      <formula2>45</formula2>
    </dataValidation>
    <dataValidation type="textLength" operator="equal" allowBlank="1" showErrorMessage="1" errorTitle="14자리로 입력" error="&quot;-&quot; 포함하여 14자리로 입력" sqref="C2:C74" xr:uid="{00000000-0002-0000-1800-000001000000}">
      <formula1>14</formula1>
    </dataValidation>
  </dataValidations>
  <pageMargins left="0.19685039370078741" right="0.15748031496062992" top="0.59055118110236227" bottom="0.31496062992125984" header="0.51181102362204722" footer="0.35433070866141736"/>
  <pageSetup paperSize="9" scale="88"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7"/>
  <dimension ref="A1:P76"/>
  <sheetViews>
    <sheetView showGridLines="0" workbookViewId="0">
      <pane ySplit="2" topLeftCell="A3" activePane="bottomLeft" state="frozen"/>
      <selection activeCell="K2" sqref="A1:XFD1048576"/>
      <selection pane="bottomLeft" activeCell="J9" sqref="J9"/>
    </sheetView>
  </sheetViews>
  <sheetFormatPr defaultColWidth="9" defaultRowHeight="12"/>
  <cols>
    <col min="1" max="1" width="11.25" style="170" customWidth="1"/>
    <col min="2" max="2" width="11.625" style="94" customWidth="1"/>
    <col min="3" max="3" width="16.875" style="104" customWidth="1"/>
    <col min="4" max="7" width="13.375" style="105" customWidth="1"/>
    <col min="8" max="8" width="23.125" style="94" bestFit="1" customWidth="1"/>
    <col min="9" max="9" width="12.375" style="94" customWidth="1"/>
    <col min="10" max="10" width="20.25" style="94" customWidth="1"/>
    <col min="11" max="11" width="15.25" style="94" customWidth="1"/>
    <col min="12" max="12" width="11" style="109" customWidth="1"/>
    <col min="13" max="13" width="15.75" style="94" customWidth="1"/>
    <col min="14" max="14" width="2.625" style="94" customWidth="1"/>
    <col min="15" max="15" width="15" style="94" bestFit="1" customWidth="1"/>
    <col min="16" max="16" width="9" style="94"/>
    <col min="17" max="17" width="2.375" style="94" customWidth="1"/>
    <col min="18" max="16384" width="9" style="94"/>
  </cols>
  <sheetData>
    <row r="1" spans="1:16" ht="24.95" customHeight="1">
      <c r="A1" s="900" t="s">
        <v>488</v>
      </c>
      <c r="B1" s="901"/>
      <c r="C1" s="901"/>
      <c r="D1" s="901"/>
      <c r="E1" s="901"/>
      <c r="F1" s="901"/>
      <c r="G1" s="901"/>
      <c r="H1" s="901"/>
      <c r="I1" s="901"/>
      <c r="J1" s="901"/>
      <c r="K1" s="901"/>
      <c r="L1" s="901"/>
      <c r="M1" s="901"/>
    </row>
    <row r="2" spans="1:16" ht="46.5" customHeight="1">
      <c r="A2" s="168" t="s">
        <v>474</v>
      </c>
      <c r="B2" s="96" t="s">
        <v>475</v>
      </c>
      <c r="C2" s="96" t="s">
        <v>476</v>
      </c>
      <c r="D2" s="97" t="s">
        <v>477</v>
      </c>
      <c r="E2" s="98" t="s">
        <v>478</v>
      </c>
      <c r="F2" s="98" t="s">
        <v>479</v>
      </c>
      <c r="G2" s="98" t="s">
        <v>480</v>
      </c>
      <c r="H2" s="96" t="s">
        <v>481</v>
      </c>
      <c r="I2" s="99" t="s">
        <v>482</v>
      </c>
      <c r="J2" s="95" t="s">
        <v>7</v>
      </c>
      <c r="K2" s="96" t="s">
        <v>483</v>
      </c>
      <c r="L2" s="107" t="s">
        <v>484</v>
      </c>
      <c r="M2" s="99" t="s">
        <v>485</v>
      </c>
      <c r="O2" s="106"/>
      <c r="P2" s="77"/>
    </row>
    <row r="3" spans="1:16" ht="15.95" customHeight="1">
      <c r="A3" s="169" t="e">
        <f>#REF!</f>
        <v>#REF!</v>
      </c>
      <c r="B3" s="169" t="e">
        <f>IF(OR(MID(#REF!,8,1)&lt;"3",AND(MID(#REF!,8,1)&gt;="5",MID(#REF!,8,1)&lt;="6")),TEXT(TEXT(LEFT(#REF!,6),"1900-00-00"),"yyyy/mm/dd"),TEXT(TEXT(LEFT(#REF!,6),"2000-00-00"),"yyyy/mm/dd"))</f>
        <v>#REF!</v>
      </c>
      <c r="C3" s="100" t="e">
        <f>#REF!</f>
        <v>#REF!</v>
      </c>
      <c r="D3" s="101" t="e">
        <f t="shared" ref="D3:D34" si="0">SUM(E3:G3)</f>
        <v>#REF!</v>
      </c>
      <c r="E3" s="102" t="e">
        <f>#REF!*10%</f>
        <v>#REF!</v>
      </c>
      <c r="F3" s="102" t="e">
        <f>#REF!</f>
        <v>#REF!</v>
      </c>
      <c r="G3" s="102" t="e">
        <f>#REF!</f>
        <v>#REF!</v>
      </c>
      <c r="H3" s="100" t="e">
        <f>#REF!</f>
        <v>#REF!</v>
      </c>
      <c r="I3" s="103" t="e">
        <f t="shared" ref="I3:I34" si="1">IF(LEN(TRIM(H3))&gt;0,VLOOKUP(H3,$O$3:$P$75,2,0),"")</f>
        <v>#REF!</v>
      </c>
      <c r="J3" s="100" t="e">
        <f>#REF!</f>
        <v>#REF!</v>
      </c>
      <c r="K3" s="100" t="e">
        <f>IF(A3=#REF!,"",#REF!)</f>
        <v>#REF!</v>
      </c>
      <c r="L3" s="108" t="e">
        <f>#REF!</f>
        <v>#REF!</v>
      </c>
      <c r="M3" s="103" t="s">
        <v>486</v>
      </c>
      <c r="O3" s="106" t="s">
        <v>507</v>
      </c>
      <c r="P3" s="77"/>
    </row>
    <row r="4" spans="1:16" ht="15.95" customHeight="1">
      <c r="A4" s="169" t="e">
        <f>#REF!</f>
        <v>#REF!</v>
      </c>
      <c r="B4" s="169" t="e">
        <f>IF(OR(MID(#REF!,8,1)&lt;"3",AND(MID(#REF!,8,1)&gt;="5",MID(#REF!,8,1)&lt;="6")),TEXT(TEXT(LEFT(#REF!,6),"1900-00-00"),"yyyy/mm/dd"),TEXT(TEXT(LEFT(#REF!,6),"2000-00-00"),"yyyy/mm/dd"))</f>
        <v>#REF!</v>
      </c>
      <c r="C4" s="100" t="e">
        <f>#REF!</f>
        <v>#REF!</v>
      </c>
      <c r="D4" s="101" t="e">
        <f t="shared" si="0"/>
        <v>#REF!</v>
      </c>
      <c r="E4" s="102" t="e">
        <f>#REF!*10%</f>
        <v>#REF!</v>
      </c>
      <c r="F4" s="102" t="e">
        <f>#REF!</f>
        <v>#REF!</v>
      </c>
      <c r="G4" s="102" t="e">
        <f>#REF!</f>
        <v>#REF!</v>
      </c>
      <c r="H4" s="100" t="e">
        <f>#REF!</f>
        <v>#REF!</v>
      </c>
      <c r="I4" s="103" t="e">
        <f t="shared" si="1"/>
        <v>#REF!</v>
      </c>
      <c r="J4" s="100" t="e">
        <f>#REF!</f>
        <v>#REF!</v>
      </c>
      <c r="K4" s="100" t="e">
        <f>IF(A4=#REF!,"",#REF!)</f>
        <v>#REF!</v>
      </c>
      <c r="L4" s="108" t="e">
        <f>#REF!</f>
        <v>#REF!</v>
      </c>
      <c r="M4" s="103" t="s">
        <v>486</v>
      </c>
      <c r="O4" s="106" t="s">
        <v>91</v>
      </c>
      <c r="P4" s="77" t="s">
        <v>160</v>
      </c>
    </row>
    <row r="5" spans="1:16" ht="15.95" customHeight="1">
      <c r="A5" s="169" t="e">
        <f>#REF!</f>
        <v>#REF!</v>
      </c>
      <c r="B5" s="169" t="e">
        <f>IF(OR(MID(#REF!,8,1)&lt;"3",AND(MID(#REF!,8,1)&gt;="5",MID(#REF!,8,1)&lt;="6")),TEXT(TEXT(LEFT(#REF!,6),"1900-00-00"),"yyyy/mm/dd"),TEXT(TEXT(LEFT(#REF!,6),"2000-00-00"),"yyyy/mm/dd"))</f>
        <v>#REF!</v>
      </c>
      <c r="C5" s="100" t="e">
        <f>#REF!</f>
        <v>#REF!</v>
      </c>
      <c r="D5" s="101" t="e">
        <f t="shared" si="0"/>
        <v>#REF!</v>
      </c>
      <c r="E5" s="102" t="e">
        <f>#REF!*10%</f>
        <v>#REF!</v>
      </c>
      <c r="F5" s="102" t="e">
        <f>#REF!</f>
        <v>#REF!</v>
      </c>
      <c r="G5" s="102" t="e">
        <f>#REF!</f>
        <v>#REF!</v>
      </c>
      <c r="H5" s="100" t="e">
        <f>#REF!</f>
        <v>#REF!</v>
      </c>
      <c r="I5" s="103" t="e">
        <f t="shared" si="1"/>
        <v>#REF!</v>
      </c>
      <c r="J5" s="100" t="e">
        <f>#REF!</f>
        <v>#REF!</v>
      </c>
      <c r="K5" s="100" t="e">
        <f>IF(A5=#REF!,"",#REF!)</f>
        <v>#REF!</v>
      </c>
      <c r="L5" s="108" t="e">
        <f>#REF!</f>
        <v>#REF!</v>
      </c>
      <c r="M5" s="103" t="s">
        <v>486</v>
      </c>
      <c r="O5" s="106" t="s">
        <v>162</v>
      </c>
      <c r="P5" s="77" t="s">
        <v>163</v>
      </c>
    </row>
    <row r="6" spans="1:16" ht="15.95" customHeight="1">
      <c r="A6" s="169" t="e">
        <f>#REF!</f>
        <v>#REF!</v>
      </c>
      <c r="B6" s="169" t="e">
        <f>IF(OR(MID(#REF!,8,1)&lt;"3",AND(MID(#REF!,8,1)&gt;="5",MID(#REF!,8,1)&lt;="6")),TEXT(TEXT(LEFT(#REF!,6),"1900-00-00"),"yyyy/mm/dd"),TEXT(TEXT(LEFT(#REF!,6),"2000-00-00"),"yyyy/mm/dd"))</f>
        <v>#REF!</v>
      </c>
      <c r="C6" s="100" t="e">
        <f>#REF!</f>
        <v>#REF!</v>
      </c>
      <c r="D6" s="101" t="e">
        <f t="shared" si="0"/>
        <v>#REF!</v>
      </c>
      <c r="E6" s="102" t="e">
        <f>#REF!*10%</f>
        <v>#REF!</v>
      </c>
      <c r="F6" s="102" t="e">
        <f>#REF!</f>
        <v>#REF!</v>
      </c>
      <c r="G6" s="102" t="e">
        <f>#REF!</f>
        <v>#REF!</v>
      </c>
      <c r="H6" s="100" t="e">
        <f>#REF!</f>
        <v>#REF!</v>
      </c>
      <c r="I6" s="103" t="e">
        <f t="shared" si="1"/>
        <v>#REF!</v>
      </c>
      <c r="J6" s="100" t="e">
        <f>#REF!</f>
        <v>#REF!</v>
      </c>
      <c r="K6" s="100" t="e">
        <f>IF(A6=#REF!,"",#REF!)</f>
        <v>#REF!</v>
      </c>
      <c r="L6" s="108" t="e">
        <f>#REF!</f>
        <v>#REF!</v>
      </c>
      <c r="M6" s="103" t="s">
        <v>486</v>
      </c>
      <c r="O6" s="106" t="s">
        <v>165</v>
      </c>
      <c r="P6" s="77" t="s">
        <v>166</v>
      </c>
    </row>
    <row r="7" spans="1:16" ht="15.95" customHeight="1">
      <c r="A7" s="169" t="e">
        <f>#REF!</f>
        <v>#REF!</v>
      </c>
      <c r="B7" s="169" t="e">
        <f>IF(OR(MID(#REF!,8,1)&lt;"3",AND(MID(#REF!,8,1)&gt;="5",MID(#REF!,8,1)&lt;="6")),TEXT(TEXT(LEFT(#REF!,6),"1900-00-00"),"yyyy/mm/dd"),TEXT(TEXT(LEFT(#REF!,6),"2000-00-00"),"yyyy/mm/dd"))</f>
        <v>#REF!</v>
      </c>
      <c r="C7" s="100" t="e">
        <f>#REF!</f>
        <v>#REF!</v>
      </c>
      <c r="D7" s="101" t="e">
        <f t="shared" si="0"/>
        <v>#REF!</v>
      </c>
      <c r="E7" s="102" t="e">
        <f>#REF!*10%</f>
        <v>#REF!</v>
      </c>
      <c r="F7" s="102" t="e">
        <f>#REF!</f>
        <v>#REF!</v>
      </c>
      <c r="G7" s="102" t="e">
        <f>#REF!</f>
        <v>#REF!</v>
      </c>
      <c r="H7" s="100" t="e">
        <f>#REF!</f>
        <v>#REF!</v>
      </c>
      <c r="I7" s="103" t="e">
        <f t="shared" si="1"/>
        <v>#REF!</v>
      </c>
      <c r="J7" s="100" t="e">
        <f>#REF!</f>
        <v>#REF!</v>
      </c>
      <c r="K7" s="100" t="e">
        <f>IF(A7=#REF!,"",#REF!)</f>
        <v>#REF!</v>
      </c>
      <c r="L7" s="108" t="e">
        <f>#REF!</f>
        <v>#REF!</v>
      </c>
      <c r="M7" s="103" t="s">
        <v>486</v>
      </c>
      <c r="O7" s="106" t="s">
        <v>85</v>
      </c>
      <c r="P7" s="77" t="s">
        <v>168</v>
      </c>
    </row>
    <row r="8" spans="1:16" ht="15.95" customHeight="1">
      <c r="A8" s="169" t="e">
        <f>#REF!</f>
        <v>#REF!</v>
      </c>
      <c r="B8" s="169" t="e">
        <f>IF(OR(MID(#REF!,8,1)&lt;"3",AND(MID(#REF!,8,1)&gt;="5",MID(#REF!,8,1)&lt;="6")),TEXT(TEXT(LEFT(#REF!,6),"1900-00-00"),"yyyy/mm/dd"),TEXT(TEXT(LEFT(#REF!,6),"2000-00-00"),"yyyy/mm/dd"))</f>
        <v>#REF!</v>
      </c>
      <c r="C8" s="100" t="e">
        <f>#REF!</f>
        <v>#REF!</v>
      </c>
      <c r="D8" s="101" t="e">
        <f t="shared" si="0"/>
        <v>#REF!</v>
      </c>
      <c r="E8" s="102" t="e">
        <f>#REF!*10%</f>
        <v>#REF!</v>
      </c>
      <c r="F8" s="102" t="e">
        <f>#REF!</f>
        <v>#REF!</v>
      </c>
      <c r="G8" s="102" t="e">
        <f>#REF!</f>
        <v>#REF!</v>
      </c>
      <c r="H8" s="100" t="e">
        <f>#REF!</f>
        <v>#REF!</v>
      </c>
      <c r="I8" s="103" t="e">
        <f t="shared" si="1"/>
        <v>#REF!</v>
      </c>
      <c r="J8" s="100" t="e">
        <f>#REF!</f>
        <v>#REF!</v>
      </c>
      <c r="K8" s="100" t="e">
        <f>IF(A8=#REF!,"",#REF!)</f>
        <v>#REF!</v>
      </c>
      <c r="L8" s="108" t="e">
        <f>#REF!</f>
        <v>#REF!</v>
      </c>
      <c r="M8" s="103" t="s">
        <v>486</v>
      </c>
      <c r="O8" s="106" t="s">
        <v>152</v>
      </c>
      <c r="P8" s="77" t="s">
        <v>170</v>
      </c>
    </row>
    <row r="9" spans="1:16" ht="15.95" customHeight="1">
      <c r="A9" s="169" t="e">
        <f>#REF!</f>
        <v>#REF!</v>
      </c>
      <c r="B9" s="169" t="e">
        <f>IF(OR(MID(#REF!,8,1)&lt;"3",AND(MID(#REF!,8,1)&gt;="5",MID(#REF!,8,1)&lt;="6")),TEXT(TEXT(LEFT(#REF!,6),"1900-00-00"),"yyyy/mm/dd"),TEXT(TEXT(LEFT(#REF!,6),"2000-00-00"),"yyyy/mm/dd"))</f>
        <v>#REF!</v>
      </c>
      <c r="C9" s="100" t="e">
        <f>#REF!</f>
        <v>#REF!</v>
      </c>
      <c r="D9" s="101" t="e">
        <f t="shared" si="0"/>
        <v>#REF!</v>
      </c>
      <c r="E9" s="102" t="e">
        <f>#REF!*10%</f>
        <v>#REF!</v>
      </c>
      <c r="F9" s="102" t="e">
        <f>#REF!</f>
        <v>#REF!</v>
      </c>
      <c r="G9" s="102" t="e">
        <f>#REF!</f>
        <v>#REF!</v>
      </c>
      <c r="H9" s="100" t="e">
        <f>#REF!</f>
        <v>#REF!</v>
      </c>
      <c r="I9" s="103" t="e">
        <f t="shared" si="1"/>
        <v>#REF!</v>
      </c>
      <c r="J9" s="100" t="e">
        <f>#REF!</f>
        <v>#REF!</v>
      </c>
      <c r="K9" s="100" t="e">
        <f>IF(A9=#REF!,"",#REF!)</f>
        <v>#REF!</v>
      </c>
      <c r="L9" s="108" t="e">
        <f>#REF!</f>
        <v>#REF!</v>
      </c>
      <c r="M9" s="103" t="s">
        <v>486</v>
      </c>
      <c r="O9" s="106" t="s">
        <v>92</v>
      </c>
      <c r="P9" s="77" t="s">
        <v>171</v>
      </c>
    </row>
    <row r="10" spans="1:16" ht="15.95" customHeight="1">
      <c r="A10" s="169" t="e">
        <f>#REF!</f>
        <v>#REF!</v>
      </c>
      <c r="B10" s="169" t="e">
        <f>IF(OR(MID(#REF!,8,1)&lt;"3",AND(MID(#REF!,8,1)&gt;="5",MID(#REF!,8,1)&lt;="6")),TEXT(TEXT(LEFT(#REF!,6),"1900-00-00"),"yyyy/mm/dd"),TEXT(TEXT(LEFT(#REF!,6),"2000-00-00"),"yyyy/mm/dd"))</f>
        <v>#REF!</v>
      </c>
      <c r="C10" s="100" t="e">
        <f>#REF!</f>
        <v>#REF!</v>
      </c>
      <c r="D10" s="101" t="e">
        <f t="shared" si="0"/>
        <v>#REF!</v>
      </c>
      <c r="E10" s="102" t="e">
        <f>#REF!*10%</f>
        <v>#REF!</v>
      </c>
      <c r="F10" s="102" t="e">
        <f>#REF!</f>
        <v>#REF!</v>
      </c>
      <c r="G10" s="102" t="e">
        <f>#REF!</f>
        <v>#REF!</v>
      </c>
      <c r="H10" s="100" t="e">
        <f>#REF!</f>
        <v>#REF!</v>
      </c>
      <c r="I10" s="103" t="e">
        <f t="shared" si="1"/>
        <v>#REF!</v>
      </c>
      <c r="J10" s="100" t="e">
        <f>#REF!</f>
        <v>#REF!</v>
      </c>
      <c r="K10" s="100" t="e">
        <f>IF(A10=#REF!,"",#REF!)</f>
        <v>#REF!</v>
      </c>
      <c r="L10" s="108" t="e">
        <f>#REF!</f>
        <v>#REF!</v>
      </c>
      <c r="M10" s="103" t="s">
        <v>486</v>
      </c>
      <c r="O10" s="106" t="s">
        <v>93</v>
      </c>
      <c r="P10" s="77" t="s">
        <v>173</v>
      </c>
    </row>
    <row r="11" spans="1:16" ht="15.95" customHeight="1">
      <c r="A11" s="169" t="e">
        <f>#REF!</f>
        <v>#REF!</v>
      </c>
      <c r="B11" s="169" t="e">
        <f>IF(OR(MID(#REF!,8,1)&lt;"3",AND(MID(#REF!,8,1)&gt;="5",MID(#REF!,8,1)&lt;="6")),TEXT(TEXT(LEFT(#REF!,6),"1900-00-00"),"yyyy/mm/dd"),TEXT(TEXT(LEFT(#REF!,6),"2000-00-00"),"yyyy/mm/dd"))</f>
        <v>#REF!</v>
      </c>
      <c r="C11" s="100" t="e">
        <f>#REF!</f>
        <v>#REF!</v>
      </c>
      <c r="D11" s="101" t="e">
        <f t="shared" si="0"/>
        <v>#REF!</v>
      </c>
      <c r="E11" s="102" t="e">
        <f>#REF!*10%</f>
        <v>#REF!</v>
      </c>
      <c r="F11" s="102" t="e">
        <f>#REF!</f>
        <v>#REF!</v>
      </c>
      <c r="G11" s="102" t="e">
        <f>#REF!</f>
        <v>#REF!</v>
      </c>
      <c r="H11" s="100" t="e">
        <f>#REF!</f>
        <v>#REF!</v>
      </c>
      <c r="I11" s="103" t="e">
        <f t="shared" si="1"/>
        <v>#REF!</v>
      </c>
      <c r="J11" s="100" t="e">
        <f>#REF!</f>
        <v>#REF!</v>
      </c>
      <c r="K11" s="100" t="e">
        <f>IF(A11=#REF!,"",#REF!)</f>
        <v>#REF!</v>
      </c>
      <c r="L11" s="108" t="e">
        <f>#REF!</f>
        <v>#REF!</v>
      </c>
      <c r="M11" s="103" t="s">
        <v>486</v>
      </c>
      <c r="O11" s="106" t="s">
        <v>81</v>
      </c>
      <c r="P11" s="77" t="s">
        <v>175</v>
      </c>
    </row>
    <row r="12" spans="1:16" ht="15.95" customHeight="1">
      <c r="A12" s="169" t="e">
        <f>#REF!</f>
        <v>#REF!</v>
      </c>
      <c r="B12" s="169" t="e">
        <f>IF(OR(MID(#REF!,8,1)&lt;"3",AND(MID(#REF!,8,1)&gt;="5",MID(#REF!,8,1)&lt;="6")),TEXT(TEXT(LEFT(#REF!,6),"1900-00-00"),"yyyy/mm/dd"),TEXT(TEXT(LEFT(#REF!,6),"2000-00-00"),"yyyy/mm/dd"))</f>
        <v>#REF!</v>
      </c>
      <c r="C12" s="100" t="e">
        <f>#REF!</f>
        <v>#REF!</v>
      </c>
      <c r="D12" s="101" t="e">
        <f t="shared" si="0"/>
        <v>#REF!</v>
      </c>
      <c r="E12" s="102" t="e">
        <f>#REF!*10%</f>
        <v>#REF!</v>
      </c>
      <c r="F12" s="102" t="e">
        <f>#REF!</f>
        <v>#REF!</v>
      </c>
      <c r="G12" s="102" t="e">
        <f>#REF!</f>
        <v>#REF!</v>
      </c>
      <c r="H12" s="100" t="e">
        <f>#REF!</f>
        <v>#REF!</v>
      </c>
      <c r="I12" s="103" t="e">
        <f t="shared" si="1"/>
        <v>#REF!</v>
      </c>
      <c r="J12" s="100" t="e">
        <f>#REF!</f>
        <v>#REF!</v>
      </c>
      <c r="K12" s="100" t="e">
        <f>IF(A12=#REF!,"",#REF!)</f>
        <v>#REF!</v>
      </c>
      <c r="L12" s="108" t="e">
        <f>#REF!</f>
        <v>#REF!</v>
      </c>
      <c r="M12" s="103" t="s">
        <v>486</v>
      </c>
      <c r="O12" s="106" t="s">
        <v>177</v>
      </c>
      <c r="P12" s="77" t="s">
        <v>178</v>
      </c>
    </row>
    <row r="13" spans="1:16" ht="15.95" customHeight="1">
      <c r="A13" s="169" t="e">
        <f>#REF!</f>
        <v>#REF!</v>
      </c>
      <c r="B13" s="169" t="e">
        <f>IF(OR(MID(#REF!,8,1)&lt;"3",AND(MID(#REF!,8,1)&gt;="5",MID(#REF!,8,1)&lt;="6")),TEXT(TEXT(LEFT(#REF!,6),"1900-00-00"),"yyyy/mm/dd"),TEXT(TEXT(LEFT(#REF!,6),"2000-00-00"),"yyyy/mm/dd"))</f>
        <v>#REF!</v>
      </c>
      <c r="C13" s="100" t="e">
        <f>#REF!</f>
        <v>#REF!</v>
      </c>
      <c r="D13" s="101" t="e">
        <f t="shared" si="0"/>
        <v>#REF!</v>
      </c>
      <c r="E13" s="102" t="e">
        <f>#REF!*10%</f>
        <v>#REF!</v>
      </c>
      <c r="F13" s="102" t="e">
        <f>#REF!</f>
        <v>#REF!</v>
      </c>
      <c r="G13" s="102" t="e">
        <f>#REF!</f>
        <v>#REF!</v>
      </c>
      <c r="H13" s="100" t="e">
        <f>#REF!</f>
        <v>#REF!</v>
      </c>
      <c r="I13" s="103" t="e">
        <f t="shared" si="1"/>
        <v>#REF!</v>
      </c>
      <c r="J13" s="100" t="e">
        <f>#REF!</f>
        <v>#REF!</v>
      </c>
      <c r="K13" s="100" t="e">
        <f>IF(A13=#REF!,"",#REF!)</f>
        <v>#REF!</v>
      </c>
      <c r="L13" s="108" t="e">
        <f>#REF!</f>
        <v>#REF!</v>
      </c>
      <c r="M13" s="103" t="s">
        <v>486</v>
      </c>
      <c r="O13" s="106" t="s">
        <v>87</v>
      </c>
      <c r="P13" s="77" t="s">
        <v>180</v>
      </c>
    </row>
    <row r="14" spans="1:16" ht="15.95" customHeight="1">
      <c r="A14" s="169" t="e">
        <f>#REF!</f>
        <v>#REF!</v>
      </c>
      <c r="B14" s="169" t="e">
        <f>IF(OR(MID(#REF!,8,1)&lt;"3",AND(MID(#REF!,8,1)&gt;="5",MID(#REF!,8,1)&lt;="6")),TEXT(TEXT(LEFT(#REF!,6),"1900-00-00"),"yyyy/mm/dd"),TEXT(TEXT(LEFT(#REF!,6),"2000-00-00"),"yyyy/mm/dd"))</f>
        <v>#REF!</v>
      </c>
      <c r="C14" s="100" t="e">
        <f>#REF!</f>
        <v>#REF!</v>
      </c>
      <c r="D14" s="101" t="e">
        <f t="shared" si="0"/>
        <v>#REF!</v>
      </c>
      <c r="E14" s="102" t="e">
        <f>#REF!*10%</f>
        <v>#REF!</v>
      </c>
      <c r="F14" s="102" t="e">
        <f>#REF!</f>
        <v>#REF!</v>
      </c>
      <c r="G14" s="102" t="e">
        <f>#REF!</f>
        <v>#REF!</v>
      </c>
      <c r="H14" s="100" t="e">
        <f>#REF!</f>
        <v>#REF!</v>
      </c>
      <c r="I14" s="103" t="e">
        <f t="shared" si="1"/>
        <v>#REF!</v>
      </c>
      <c r="J14" s="100" t="e">
        <f>#REF!</f>
        <v>#REF!</v>
      </c>
      <c r="K14" s="100" t="e">
        <f>IF(A14=#REF!,"",#REF!)</f>
        <v>#REF!</v>
      </c>
      <c r="L14" s="108" t="e">
        <f>#REF!</f>
        <v>#REF!</v>
      </c>
      <c r="M14" s="103" t="s">
        <v>486</v>
      </c>
      <c r="O14" s="106" t="s">
        <v>182</v>
      </c>
      <c r="P14" s="77" t="s">
        <v>183</v>
      </c>
    </row>
    <row r="15" spans="1:16" ht="15.95" customHeight="1">
      <c r="A15" s="169" t="e">
        <f>#REF!</f>
        <v>#REF!</v>
      </c>
      <c r="B15" s="169" t="e">
        <f>IF(OR(MID(#REF!,8,1)&lt;"3",AND(MID(#REF!,8,1)&gt;="5",MID(#REF!,8,1)&lt;="6")),TEXT(TEXT(LEFT(#REF!,6),"1900-00-00"),"yyyy/mm/dd"),TEXT(TEXT(LEFT(#REF!,6),"2000-00-00"),"yyyy/mm/dd"))</f>
        <v>#REF!</v>
      </c>
      <c r="C15" s="100" t="e">
        <f>#REF!</f>
        <v>#REF!</v>
      </c>
      <c r="D15" s="101" t="e">
        <f t="shared" si="0"/>
        <v>#REF!</v>
      </c>
      <c r="E15" s="102" t="e">
        <f>#REF!*10%</f>
        <v>#REF!</v>
      </c>
      <c r="F15" s="102" t="e">
        <f>#REF!</f>
        <v>#REF!</v>
      </c>
      <c r="G15" s="102" t="e">
        <f>#REF!</f>
        <v>#REF!</v>
      </c>
      <c r="H15" s="100" t="e">
        <f>#REF!</f>
        <v>#REF!</v>
      </c>
      <c r="I15" s="103" t="e">
        <f t="shared" si="1"/>
        <v>#REF!</v>
      </c>
      <c r="J15" s="100" t="e">
        <f>#REF!</f>
        <v>#REF!</v>
      </c>
      <c r="K15" s="100" t="e">
        <f>IF(A15=#REF!,"",#REF!)</f>
        <v>#REF!</v>
      </c>
      <c r="L15" s="108" t="e">
        <f>#REF!</f>
        <v>#REF!</v>
      </c>
      <c r="M15" s="103" t="s">
        <v>486</v>
      </c>
      <c r="O15" s="106" t="s">
        <v>88</v>
      </c>
      <c r="P15" s="77" t="s">
        <v>184</v>
      </c>
    </row>
    <row r="16" spans="1:16" ht="15.95" customHeight="1">
      <c r="A16" s="169" t="e">
        <f>#REF!</f>
        <v>#REF!</v>
      </c>
      <c r="B16" s="169" t="e">
        <f>IF(OR(MID(#REF!,8,1)&lt;"3",AND(MID(#REF!,8,1)&gt;="5",MID(#REF!,8,1)&lt;="6")),TEXT(TEXT(LEFT(#REF!,6),"1900-00-00"),"yyyy/mm/dd"),TEXT(TEXT(LEFT(#REF!,6),"2000-00-00"),"yyyy/mm/dd"))</f>
        <v>#REF!</v>
      </c>
      <c r="C16" s="100" t="e">
        <f>#REF!</f>
        <v>#REF!</v>
      </c>
      <c r="D16" s="101" t="e">
        <f t="shared" si="0"/>
        <v>#REF!</v>
      </c>
      <c r="E16" s="102" t="e">
        <f>#REF!*10%</f>
        <v>#REF!</v>
      </c>
      <c r="F16" s="102" t="e">
        <f>#REF!</f>
        <v>#REF!</v>
      </c>
      <c r="G16" s="102" t="e">
        <f>#REF!</f>
        <v>#REF!</v>
      </c>
      <c r="H16" s="100" t="e">
        <f>#REF!</f>
        <v>#REF!</v>
      </c>
      <c r="I16" s="103" t="e">
        <f t="shared" si="1"/>
        <v>#REF!</v>
      </c>
      <c r="J16" s="100" t="e">
        <f>#REF!</f>
        <v>#REF!</v>
      </c>
      <c r="K16" s="100" t="e">
        <f>IF(A16=#REF!,"",#REF!)</f>
        <v>#REF!</v>
      </c>
      <c r="L16" s="108" t="e">
        <f>#REF!</f>
        <v>#REF!</v>
      </c>
      <c r="M16" s="103" t="s">
        <v>486</v>
      </c>
      <c r="O16" s="106" t="s">
        <v>186</v>
      </c>
      <c r="P16" s="77" t="s">
        <v>187</v>
      </c>
    </row>
    <row r="17" spans="1:16" ht="15.95" customHeight="1">
      <c r="A17" s="169" t="e">
        <f>#REF!</f>
        <v>#REF!</v>
      </c>
      <c r="B17" s="169" t="e">
        <f>IF(OR(MID(#REF!,8,1)&lt;"3",AND(MID(#REF!,8,1)&gt;="5",MID(#REF!,8,1)&lt;="6")),TEXT(TEXT(LEFT(#REF!,6),"1900-00-00"),"yyyy/mm/dd"),TEXT(TEXT(LEFT(#REF!,6),"2000-00-00"),"yyyy/mm/dd"))</f>
        <v>#REF!</v>
      </c>
      <c r="C17" s="100" t="e">
        <f>#REF!</f>
        <v>#REF!</v>
      </c>
      <c r="D17" s="101" t="e">
        <f t="shared" si="0"/>
        <v>#REF!</v>
      </c>
      <c r="E17" s="102" t="e">
        <f>#REF!*10%</f>
        <v>#REF!</v>
      </c>
      <c r="F17" s="102" t="e">
        <f>#REF!</f>
        <v>#REF!</v>
      </c>
      <c r="G17" s="102" t="e">
        <f>#REF!</f>
        <v>#REF!</v>
      </c>
      <c r="H17" s="100" t="e">
        <f>#REF!</f>
        <v>#REF!</v>
      </c>
      <c r="I17" s="103" t="e">
        <f t="shared" si="1"/>
        <v>#REF!</v>
      </c>
      <c r="J17" s="100" t="e">
        <f>#REF!</f>
        <v>#REF!</v>
      </c>
      <c r="K17" s="100" t="e">
        <f>IF(A17=#REF!,"",#REF!)</f>
        <v>#REF!</v>
      </c>
      <c r="L17" s="108" t="e">
        <f>#REF!</f>
        <v>#REF!</v>
      </c>
      <c r="M17" s="103" t="s">
        <v>486</v>
      </c>
      <c r="O17" s="106" t="s">
        <v>78</v>
      </c>
      <c r="P17" s="77" t="s">
        <v>189</v>
      </c>
    </row>
    <row r="18" spans="1:16" ht="15.95" customHeight="1">
      <c r="A18" s="169" t="e">
        <f>#REF!</f>
        <v>#REF!</v>
      </c>
      <c r="B18" s="169" t="e">
        <f>IF(OR(MID(#REF!,8,1)&lt;"3",AND(MID(#REF!,8,1)&gt;="5",MID(#REF!,8,1)&lt;="6")),TEXT(TEXT(LEFT(#REF!,6),"1900-00-00"),"yyyy/mm/dd"),TEXT(TEXT(LEFT(#REF!,6),"2000-00-00"),"yyyy/mm/dd"))</f>
        <v>#REF!</v>
      </c>
      <c r="C18" s="100" t="e">
        <f>#REF!</f>
        <v>#REF!</v>
      </c>
      <c r="D18" s="101" t="e">
        <f t="shared" si="0"/>
        <v>#REF!</v>
      </c>
      <c r="E18" s="102" t="e">
        <f>#REF!*10%</f>
        <v>#REF!</v>
      </c>
      <c r="F18" s="102" t="e">
        <f>#REF!</f>
        <v>#REF!</v>
      </c>
      <c r="G18" s="102" t="e">
        <f>#REF!</f>
        <v>#REF!</v>
      </c>
      <c r="H18" s="100" t="e">
        <f>#REF!</f>
        <v>#REF!</v>
      </c>
      <c r="I18" s="103" t="e">
        <f t="shared" si="1"/>
        <v>#REF!</v>
      </c>
      <c r="J18" s="100" t="e">
        <f>#REF!</f>
        <v>#REF!</v>
      </c>
      <c r="K18" s="100" t="e">
        <f>IF(A18=#REF!,"",#REF!)</f>
        <v>#REF!</v>
      </c>
      <c r="L18" s="108" t="e">
        <f>#REF!</f>
        <v>#REF!</v>
      </c>
      <c r="M18" s="103" t="s">
        <v>486</v>
      </c>
      <c r="O18" s="106" t="s">
        <v>89</v>
      </c>
      <c r="P18" s="77" t="s">
        <v>191</v>
      </c>
    </row>
    <row r="19" spans="1:16" ht="15.95" customHeight="1">
      <c r="A19" s="169" t="e">
        <f>#REF!</f>
        <v>#REF!</v>
      </c>
      <c r="B19" s="169" t="e">
        <f>IF(OR(MID(#REF!,8,1)&lt;"3",AND(MID(#REF!,8,1)&gt;="5",MID(#REF!,8,1)&lt;="6")),TEXT(TEXT(LEFT(#REF!,6),"1900-00-00"),"yyyy/mm/dd"),TEXT(TEXT(LEFT(#REF!,6),"2000-00-00"),"yyyy/mm/dd"))</f>
        <v>#REF!</v>
      </c>
      <c r="C19" s="100" t="e">
        <f>#REF!</f>
        <v>#REF!</v>
      </c>
      <c r="D19" s="101" t="e">
        <f t="shared" si="0"/>
        <v>#REF!</v>
      </c>
      <c r="E19" s="102" t="e">
        <f>#REF!*10%</f>
        <v>#REF!</v>
      </c>
      <c r="F19" s="102" t="e">
        <f>#REF!</f>
        <v>#REF!</v>
      </c>
      <c r="G19" s="102" t="e">
        <f>#REF!</f>
        <v>#REF!</v>
      </c>
      <c r="H19" s="100" t="e">
        <f>#REF!</f>
        <v>#REF!</v>
      </c>
      <c r="I19" s="103" t="e">
        <f t="shared" si="1"/>
        <v>#REF!</v>
      </c>
      <c r="J19" s="100" t="e">
        <f>#REF!</f>
        <v>#REF!</v>
      </c>
      <c r="K19" s="100" t="e">
        <f>IF(A19=#REF!,"",#REF!)</f>
        <v>#REF!</v>
      </c>
      <c r="L19" s="108" t="e">
        <f>#REF!</f>
        <v>#REF!</v>
      </c>
      <c r="M19" s="103" t="s">
        <v>486</v>
      </c>
      <c r="O19" s="106" t="s">
        <v>77</v>
      </c>
      <c r="P19" s="77" t="s">
        <v>193</v>
      </c>
    </row>
    <row r="20" spans="1:16" ht="15.95" customHeight="1">
      <c r="A20" s="169" t="e">
        <f>#REF!</f>
        <v>#REF!</v>
      </c>
      <c r="B20" s="169" t="e">
        <f>IF(OR(MID(#REF!,8,1)&lt;"3",AND(MID(#REF!,8,1)&gt;="5",MID(#REF!,8,1)&lt;="6")),TEXT(TEXT(LEFT(#REF!,6),"1900-00-00"),"yyyy/mm/dd"),TEXT(TEXT(LEFT(#REF!,6),"2000-00-00"),"yyyy/mm/dd"))</f>
        <v>#REF!</v>
      </c>
      <c r="C20" s="100" t="e">
        <f>#REF!</f>
        <v>#REF!</v>
      </c>
      <c r="D20" s="101" t="e">
        <f t="shared" si="0"/>
        <v>#REF!</v>
      </c>
      <c r="E20" s="102" t="e">
        <f>#REF!*10%</f>
        <v>#REF!</v>
      </c>
      <c r="F20" s="102" t="e">
        <f>#REF!</f>
        <v>#REF!</v>
      </c>
      <c r="G20" s="102" t="e">
        <f>#REF!</f>
        <v>#REF!</v>
      </c>
      <c r="H20" s="100" t="e">
        <f>#REF!</f>
        <v>#REF!</v>
      </c>
      <c r="I20" s="103" t="e">
        <f t="shared" si="1"/>
        <v>#REF!</v>
      </c>
      <c r="J20" s="100" t="e">
        <f>#REF!</f>
        <v>#REF!</v>
      </c>
      <c r="K20" s="100" t="e">
        <f>IF(A20=#REF!,"",#REF!)</f>
        <v>#REF!</v>
      </c>
      <c r="L20" s="108" t="e">
        <f>#REF!</f>
        <v>#REF!</v>
      </c>
      <c r="M20" s="103" t="s">
        <v>486</v>
      </c>
      <c r="O20" s="106" t="s">
        <v>79</v>
      </c>
      <c r="P20" s="77" t="s">
        <v>195</v>
      </c>
    </row>
    <row r="21" spans="1:16" ht="15.95" customHeight="1">
      <c r="A21" s="169" t="e">
        <f>#REF!</f>
        <v>#REF!</v>
      </c>
      <c r="B21" s="169" t="e">
        <f>IF(OR(MID(#REF!,8,1)&lt;"3",AND(MID(#REF!,8,1)&gt;="5",MID(#REF!,8,1)&lt;="6")),TEXT(TEXT(LEFT(#REF!,6),"1900-00-00"),"yyyy/mm/dd"),TEXT(TEXT(LEFT(#REF!,6),"2000-00-00"),"yyyy/mm/dd"))</f>
        <v>#REF!</v>
      </c>
      <c r="C21" s="100" t="e">
        <f>#REF!</f>
        <v>#REF!</v>
      </c>
      <c r="D21" s="101" t="e">
        <f t="shared" si="0"/>
        <v>#REF!</v>
      </c>
      <c r="E21" s="102" t="e">
        <f>#REF!*10%</f>
        <v>#REF!</v>
      </c>
      <c r="F21" s="102" t="e">
        <f>#REF!</f>
        <v>#REF!</v>
      </c>
      <c r="G21" s="102" t="e">
        <f>#REF!</f>
        <v>#REF!</v>
      </c>
      <c r="H21" s="100" t="e">
        <f>#REF!</f>
        <v>#REF!</v>
      </c>
      <c r="I21" s="103" t="e">
        <f t="shared" si="1"/>
        <v>#REF!</v>
      </c>
      <c r="J21" s="100" t="e">
        <f>#REF!</f>
        <v>#REF!</v>
      </c>
      <c r="K21" s="100" t="e">
        <f>IF(A21=#REF!,"",#REF!)</f>
        <v>#REF!</v>
      </c>
      <c r="L21" s="108" t="e">
        <f>#REF!</f>
        <v>#REF!</v>
      </c>
      <c r="M21" s="103" t="s">
        <v>486</v>
      </c>
      <c r="O21" s="106" t="s">
        <v>197</v>
      </c>
      <c r="P21" s="77" t="s">
        <v>198</v>
      </c>
    </row>
    <row r="22" spans="1:16" ht="15.95" customHeight="1">
      <c r="A22" s="169" t="e">
        <f>#REF!</f>
        <v>#REF!</v>
      </c>
      <c r="B22" s="169" t="e">
        <f>IF(OR(MID(#REF!,8,1)&lt;"3",AND(MID(#REF!,8,1)&gt;="5",MID(#REF!,8,1)&lt;="6")),TEXT(TEXT(LEFT(#REF!,6),"1900-00-00"),"yyyy/mm/dd"),TEXT(TEXT(LEFT(#REF!,6),"2000-00-00"),"yyyy/mm/dd"))</f>
        <v>#REF!</v>
      </c>
      <c r="C22" s="100" t="e">
        <f>#REF!</f>
        <v>#REF!</v>
      </c>
      <c r="D22" s="101" t="e">
        <f t="shared" si="0"/>
        <v>#REF!</v>
      </c>
      <c r="E22" s="102" t="e">
        <f>#REF!*10%</f>
        <v>#REF!</v>
      </c>
      <c r="F22" s="102" t="e">
        <f>#REF!</f>
        <v>#REF!</v>
      </c>
      <c r="G22" s="102" t="e">
        <f>#REF!</f>
        <v>#REF!</v>
      </c>
      <c r="H22" s="100" t="e">
        <f>#REF!</f>
        <v>#REF!</v>
      </c>
      <c r="I22" s="103" t="e">
        <f t="shared" si="1"/>
        <v>#REF!</v>
      </c>
      <c r="J22" s="100" t="e">
        <f>#REF!</f>
        <v>#REF!</v>
      </c>
      <c r="K22" s="100" t="e">
        <f>IF(A22=#REF!,"",#REF!)</f>
        <v>#REF!</v>
      </c>
      <c r="L22" s="108" t="e">
        <f>#REF!</f>
        <v>#REF!</v>
      </c>
      <c r="M22" s="103" t="s">
        <v>486</v>
      </c>
      <c r="O22" s="106" t="s">
        <v>200</v>
      </c>
      <c r="P22" s="77" t="s">
        <v>201</v>
      </c>
    </row>
    <row r="23" spans="1:16" ht="15.95" customHeight="1">
      <c r="A23" s="169" t="e">
        <f>#REF!</f>
        <v>#REF!</v>
      </c>
      <c r="B23" s="169" t="e">
        <f>IF(OR(MID(#REF!,8,1)&lt;"3",AND(MID(#REF!,8,1)&gt;="5",MID(#REF!,8,1)&lt;="6")),TEXT(TEXT(LEFT(#REF!,6),"1900-00-00"),"yyyy/mm/dd"),TEXT(TEXT(LEFT(#REF!,6),"2000-00-00"),"yyyy/mm/dd"))</f>
        <v>#REF!</v>
      </c>
      <c r="C23" s="100" t="e">
        <f>#REF!</f>
        <v>#REF!</v>
      </c>
      <c r="D23" s="101" t="e">
        <f t="shared" si="0"/>
        <v>#REF!</v>
      </c>
      <c r="E23" s="102" t="e">
        <f>#REF!*10%</f>
        <v>#REF!</v>
      </c>
      <c r="F23" s="102" t="e">
        <f>#REF!</f>
        <v>#REF!</v>
      </c>
      <c r="G23" s="102" t="e">
        <f>#REF!</f>
        <v>#REF!</v>
      </c>
      <c r="H23" s="100" t="e">
        <f>#REF!</f>
        <v>#REF!</v>
      </c>
      <c r="I23" s="103" t="e">
        <f t="shared" si="1"/>
        <v>#REF!</v>
      </c>
      <c r="J23" s="100" t="e">
        <f>#REF!</f>
        <v>#REF!</v>
      </c>
      <c r="K23" s="100" t="e">
        <f>IF(A23=#REF!,"",#REF!)</f>
        <v>#REF!</v>
      </c>
      <c r="L23" s="108" t="e">
        <f>#REF!</f>
        <v>#REF!</v>
      </c>
      <c r="M23" s="103" t="s">
        <v>486</v>
      </c>
      <c r="O23" s="106" t="s">
        <v>203</v>
      </c>
      <c r="P23" s="77" t="s">
        <v>204</v>
      </c>
    </row>
    <row r="24" spans="1:16" ht="15.95" customHeight="1">
      <c r="A24" s="169" t="e">
        <f>#REF!</f>
        <v>#REF!</v>
      </c>
      <c r="B24" s="169" t="e">
        <f>IF(OR(MID(#REF!,8,1)&lt;"3",AND(MID(#REF!,8,1)&gt;="5",MID(#REF!,8,1)&lt;="6")),TEXT(TEXT(LEFT(#REF!,6),"1900-00-00"),"yyyy/mm/dd"),TEXT(TEXT(LEFT(#REF!,6),"2000-00-00"),"yyyy/mm/dd"))</f>
        <v>#REF!</v>
      </c>
      <c r="C24" s="100" t="e">
        <f>#REF!</f>
        <v>#REF!</v>
      </c>
      <c r="D24" s="101" t="e">
        <f t="shared" si="0"/>
        <v>#REF!</v>
      </c>
      <c r="E24" s="102" t="e">
        <f>#REF!*10%</f>
        <v>#REF!</v>
      </c>
      <c r="F24" s="102" t="e">
        <f>#REF!</f>
        <v>#REF!</v>
      </c>
      <c r="G24" s="102" t="e">
        <f>#REF!</f>
        <v>#REF!</v>
      </c>
      <c r="H24" s="100" t="e">
        <f>#REF!</f>
        <v>#REF!</v>
      </c>
      <c r="I24" s="103" t="e">
        <f t="shared" si="1"/>
        <v>#REF!</v>
      </c>
      <c r="J24" s="100" t="e">
        <f>#REF!</f>
        <v>#REF!</v>
      </c>
      <c r="K24" s="100" t="e">
        <f>IF(A24=#REF!,"",#REF!)</f>
        <v>#REF!</v>
      </c>
      <c r="L24" s="108" t="e">
        <f>#REF!</f>
        <v>#REF!</v>
      </c>
      <c r="M24" s="103" t="s">
        <v>486</v>
      </c>
      <c r="O24" s="106" t="s">
        <v>90</v>
      </c>
      <c r="P24" s="77" t="s">
        <v>206</v>
      </c>
    </row>
    <row r="25" spans="1:16" ht="15.95" customHeight="1">
      <c r="A25" s="169" t="e">
        <f>#REF!</f>
        <v>#REF!</v>
      </c>
      <c r="B25" s="169" t="e">
        <f>IF(OR(MID(#REF!,8,1)&lt;"3",AND(MID(#REF!,8,1)&gt;="5",MID(#REF!,8,1)&lt;="6")),TEXT(TEXT(LEFT(#REF!,6),"1900-00-00"),"yyyy/mm/dd"),TEXT(TEXT(LEFT(#REF!,6),"2000-00-00"),"yyyy/mm/dd"))</f>
        <v>#REF!</v>
      </c>
      <c r="C25" s="100" t="e">
        <f>#REF!</f>
        <v>#REF!</v>
      </c>
      <c r="D25" s="101" t="e">
        <f t="shared" si="0"/>
        <v>#REF!</v>
      </c>
      <c r="E25" s="102" t="e">
        <f>#REF!*10%</f>
        <v>#REF!</v>
      </c>
      <c r="F25" s="102" t="e">
        <f>#REF!</f>
        <v>#REF!</v>
      </c>
      <c r="G25" s="102" t="e">
        <f>#REF!</f>
        <v>#REF!</v>
      </c>
      <c r="H25" s="100" t="e">
        <f>#REF!</f>
        <v>#REF!</v>
      </c>
      <c r="I25" s="103" t="e">
        <f t="shared" si="1"/>
        <v>#REF!</v>
      </c>
      <c r="J25" s="100" t="e">
        <f>#REF!</f>
        <v>#REF!</v>
      </c>
      <c r="K25" s="100" t="e">
        <f>IF(A25=#REF!,"",#REF!)</f>
        <v>#REF!</v>
      </c>
      <c r="L25" s="108" t="e">
        <f>#REF!</f>
        <v>#REF!</v>
      </c>
      <c r="M25" s="103" t="s">
        <v>486</v>
      </c>
      <c r="O25" s="106" t="s">
        <v>208</v>
      </c>
      <c r="P25" s="77" t="s">
        <v>209</v>
      </c>
    </row>
    <row r="26" spans="1:16" ht="15.95" customHeight="1">
      <c r="A26" s="169" t="e">
        <f>#REF!</f>
        <v>#REF!</v>
      </c>
      <c r="B26" s="169" t="e">
        <f>IF(OR(MID(#REF!,8,1)&lt;"3",AND(MID(#REF!,8,1)&gt;="5",MID(#REF!,8,1)&lt;="6")),TEXT(TEXT(LEFT(#REF!,6),"1900-00-00"),"yyyy/mm/dd"),TEXT(TEXT(LEFT(#REF!,6),"2000-00-00"),"yyyy/mm/dd"))</f>
        <v>#REF!</v>
      </c>
      <c r="C26" s="100" t="e">
        <f>#REF!</f>
        <v>#REF!</v>
      </c>
      <c r="D26" s="101" t="e">
        <f t="shared" si="0"/>
        <v>#REF!</v>
      </c>
      <c r="E26" s="102" t="e">
        <f>#REF!*10%</f>
        <v>#REF!</v>
      </c>
      <c r="F26" s="102" t="e">
        <f>#REF!</f>
        <v>#REF!</v>
      </c>
      <c r="G26" s="102" t="e">
        <f>#REF!</f>
        <v>#REF!</v>
      </c>
      <c r="H26" s="100" t="e">
        <f>#REF!</f>
        <v>#REF!</v>
      </c>
      <c r="I26" s="103" t="e">
        <f t="shared" si="1"/>
        <v>#REF!</v>
      </c>
      <c r="J26" s="100" t="e">
        <f>#REF!</f>
        <v>#REF!</v>
      </c>
      <c r="K26" s="100" t="e">
        <f>IF(A26=#REF!,"",#REF!)</f>
        <v>#REF!</v>
      </c>
      <c r="L26" s="108" t="e">
        <f>#REF!</f>
        <v>#REF!</v>
      </c>
      <c r="M26" s="103" t="s">
        <v>486</v>
      </c>
      <c r="O26" s="106" t="s">
        <v>211</v>
      </c>
      <c r="P26" s="77" t="s">
        <v>212</v>
      </c>
    </row>
    <row r="27" spans="1:16" ht="15.95" customHeight="1">
      <c r="A27" s="169" t="e">
        <f>#REF!</f>
        <v>#REF!</v>
      </c>
      <c r="B27" s="169" t="e">
        <f>IF(OR(MID(#REF!,8,1)&lt;"3",AND(MID(#REF!,8,1)&gt;="5",MID(#REF!,8,1)&lt;="6")),TEXT(TEXT(LEFT(#REF!,6),"1900-00-00"),"yyyy/mm/dd"),TEXT(TEXT(LEFT(#REF!,6),"2000-00-00"),"yyyy/mm/dd"))</f>
        <v>#REF!</v>
      </c>
      <c r="C27" s="100" t="e">
        <f>#REF!</f>
        <v>#REF!</v>
      </c>
      <c r="D27" s="101" t="e">
        <f t="shared" si="0"/>
        <v>#REF!</v>
      </c>
      <c r="E27" s="102" t="e">
        <f>#REF!*10%</f>
        <v>#REF!</v>
      </c>
      <c r="F27" s="102" t="e">
        <f>#REF!</f>
        <v>#REF!</v>
      </c>
      <c r="G27" s="102" t="e">
        <f>#REF!</f>
        <v>#REF!</v>
      </c>
      <c r="H27" s="100" t="e">
        <f>#REF!</f>
        <v>#REF!</v>
      </c>
      <c r="I27" s="103" t="e">
        <f t="shared" si="1"/>
        <v>#REF!</v>
      </c>
      <c r="J27" s="100" t="e">
        <f>#REF!</f>
        <v>#REF!</v>
      </c>
      <c r="K27" s="100" t="e">
        <f>IF(A27=#REF!,"",#REF!)</f>
        <v>#REF!</v>
      </c>
      <c r="L27" s="108" t="e">
        <f>#REF!</f>
        <v>#REF!</v>
      </c>
      <c r="M27" s="103" t="s">
        <v>486</v>
      </c>
      <c r="O27" s="106"/>
      <c r="P27" s="77"/>
    </row>
    <row r="28" spans="1:16" ht="15.95" customHeight="1">
      <c r="A28" s="169" t="e">
        <f>#REF!</f>
        <v>#REF!</v>
      </c>
      <c r="B28" s="169" t="e">
        <f>IF(OR(MID(#REF!,8,1)&lt;"3",AND(MID(#REF!,8,1)&gt;="5",MID(#REF!,8,1)&lt;="6")),TEXT(TEXT(LEFT(#REF!,6),"1900-00-00"),"yyyy/mm/dd"),TEXT(TEXT(LEFT(#REF!,6),"2000-00-00"),"yyyy/mm/dd"))</f>
        <v>#REF!</v>
      </c>
      <c r="C28" s="100" t="e">
        <f>#REF!</f>
        <v>#REF!</v>
      </c>
      <c r="D28" s="101" t="e">
        <f t="shared" si="0"/>
        <v>#REF!</v>
      </c>
      <c r="E28" s="102" t="e">
        <f>#REF!*10%</f>
        <v>#REF!</v>
      </c>
      <c r="F28" s="102" t="e">
        <f>#REF!</f>
        <v>#REF!</v>
      </c>
      <c r="G28" s="102" t="e">
        <f>#REF!</f>
        <v>#REF!</v>
      </c>
      <c r="H28" s="100" t="e">
        <f>#REF!</f>
        <v>#REF!</v>
      </c>
      <c r="I28" s="103" t="e">
        <f t="shared" si="1"/>
        <v>#REF!</v>
      </c>
      <c r="J28" s="100" t="e">
        <f>#REF!</f>
        <v>#REF!</v>
      </c>
      <c r="K28" s="100" t="e">
        <f>IF(A28=#REF!,"",#REF!)</f>
        <v>#REF!</v>
      </c>
      <c r="L28" s="108" t="e">
        <f>#REF!</f>
        <v>#REF!</v>
      </c>
      <c r="M28" s="103" t="s">
        <v>486</v>
      </c>
      <c r="O28" s="106"/>
      <c r="P28" s="77"/>
    </row>
    <row r="29" spans="1:16" ht="15.95" customHeight="1">
      <c r="A29" s="169" t="e">
        <f>#REF!</f>
        <v>#REF!</v>
      </c>
      <c r="B29" s="169" t="e">
        <f>IF(OR(MID(#REF!,8,1)&lt;"3",AND(MID(#REF!,8,1)&gt;="5",MID(#REF!,8,1)&lt;="6")),TEXT(TEXT(LEFT(#REF!,6),"1900-00-00"),"yyyy/mm/dd"),TEXT(TEXT(LEFT(#REF!,6),"2000-00-00"),"yyyy/mm/dd"))</f>
        <v>#REF!</v>
      </c>
      <c r="C29" s="100" t="e">
        <f>#REF!</f>
        <v>#REF!</v>
      </c>
      <c r="D29" s="101" t="e">
        <f t="shared" si="0"/>
        <v>#REF!</v>
      </c>
      <c r="E29" s="102" t="e">
        <f>#REF!*10%</f>
        <v>#REF!</v>
      </c>
      <c r="F29" s="102" t="e">
        <f>#REF!</f>
        <v>#REF!</v>
      </c>
      <c r="G29" s="102" t="e">
        <f>#REF!</f>
        <v>#REF!</v>
      </c>
      <c r="H29" s="100" t="e">
        <f>#REF!</f>
        <v>#REF!</v>
      </c>
      <c r="I29" s="103" t="e">
        <f t="shared" si="1"/>
        <v>#REF!</v>
      </c>
      <c r="J29" s="100" t="e">
        <f>#REF!</f>
        <v>#REF!</v>
      </c>
      <c r="K29" s="100" t="e">
        <f>IF(A29=#REF!,"",#REF!)</f>
        <v>#REF!</v>
      </c>
      <c r="L29" s="108" t="e">
        <f>#REF!</f>
        <v>#REF!</v>
      </c>
      <c r="M29" s="103" t="s">
        <v>486</v>
      </c>
      <c r="O29" s="106"/>
      <c r="P29" s="77"/>
    </row>
    <row r="30" spans="1:16" ht="15.95" customHeight="1">
      <c r="A30" s="169" t="e">
        <f>#REF!</f>
        <v>#REF!</v>
      </c>
      <c r="B30" s="169" t="e">
        <f>IF(OR(MID(#REF!,8,1)&lt;"3",AND(MID(#REF!,8,1)&gt;="5",MID(#REF!,8,1)&lt;="6")),TEXT(TEXT(LEFT(#REF!,6),"1900-00-00"),"yyyy/mm/dd"),TEXT(TEXT(LEFT(#REF!,6),"2000-00-00"),"yyyy/mm/dd"))</f>
        <v>#REF!</v>
      </c>
      <c r="C30" s="100" t="e">
        <f>#REF!</f>
        <v>#REF!</v>
      </c>
      <c r="D30" s="101" t="e">
        <f t="shared" si="0"/>
        <v>#REF!</v>
      </c>
      <c r="E30" s="102" t="e">
        <f>#REF!*10%</f>
        <v>#REF!</v>
      </c>
      <c r="F30" s="102" t="e">
        <f>#REF!</f>
        <v>#REF!</v>
      </c>
      <c r="G30" s="102" t="e">
        <f>#REF!</f>
        <v>#REF!</v>
      </c>
      <c r="H30" s="100" t="e">
        <f>#REF!</f>
        <v>#REF!</v>
      </c>
      <c r="I30" s="103" t="e">
        <f t="shared" si="1"/>
        <v>#REF!</v>
      </c>
      <c r="J30" s="100" t="e">
        <f>#REF!</f>
        <v>#REF!</v>
      </c>
      <c r="K30" s="100" t="e">
        <f>IF(A30=#REF!,"",#REF!)</f>
        <v>#REF!</v>
      </c>
      <c r="L30" s="108" t="e">
        <f>#REF!</f>
        <v>#REF!</v>
      </c>
      <c r="M30" s="103" t="s">
        <v>486</v>
      </c>
      <c r="O30" s="106"/>
      <c r="P30" s="77"/>
    </row>
    <row r="31" spans="1:16" ht="15.95" customHeight="1">
      <c r="A31" s="169" t="e">
        <f>#REF!</f>
        <v>#REF!</v>
      </c>
      <c r="B31" s="169" t="e">
        <f>IF(OR(MID(#REF!,8,1)&lt;"3",AND(MID(#REF!,8,1)&gt;="5",MID(#REF!,8,1)&lt;="6")),TEXT(TEXT(LEFT(#REF!,6),"1900-00-00"),"yyyy/mm/dd"),TEXT(TEXT(LEFT(#REF!,6),"2000-00-00"),"yyyy/mm/dd"))</f>
        <v>#REF!</v>
      </c>
      <c r="C31" s="100" t="e">
        <f>#REF!</f>
        <v>#REF!</v>
      </c>
      <c r="D31" s="101" t="e">
        <f t="shared" si="0"/>
        <v>#REF!</v>
      </c>
      <c r="E31" s="102" t="e">
        <f>#REF!*10%</f>
        <v>#REF!</v>
      </c>
      <c r="F31" s="102" t="e">
        <f>#REF!</f>
        <v>#REF!</v>
      </c>
      <c r="G31" s="102" t="e">
        <f>#REF!</f>
        <v>#REF!</v>
      </c>
      <c r="H31" s="100" t="e">
        <f>#REF!</f>
        <v>#REF!</v>
      </c>
      <c r="I31" s="103" t="e">
        <f t="shared" si="1"/>
        <v>#REF!</v>
      </c>
      <c r="J31" s="100" t="e">
        <f>#REF!</f>
        <v>#REF!</v>
      </c>
      <c r="K31" s="100" t="e">
        <f>IF(A31=#REF!,"",#REF!)</f>
        <v>#REF!</v>
      </c>
      <c r="L31" s="108" t="e">
        <f>#REF!</f>
        <v>#REF!</v>
      </c>
      <c r="M31" s="103" t="s">
        <v>486</v>
      </c>
      <c r="O31" s="106"/>
      <c r="P31" s="77"/>
    </row>
    <row r="32" spans="1:16" ht="15.95" customHeight="1">
      <c r="A32" s="169" t="e">
        <f>#REF!</f>
        <v>#REF!</v>
      </c>
      <c r="B32" s="169" t="e">
        <f>IF(OR(MID(#REF!,8,1)&lt;"3",AND(MID(#REF!,8,1)&gt;="5",MID(#REF!,8,1)&lt;="6")),TEXT(TEXT(LEFT(#REF!,6),"1900-00-00"),"yyyy/mm/dd"),TEXT(TEXT(LEFT(#REF!,6),"2000-00-00"),"yyyy/mm/dd"))</f>
        <v>#REF!</v>
      </c>
      <c r="C32" s="100" t="e">
        <f>#REF!</f>
        <v>#REF!</v>
      </c>
      <c r="D32" s="101" t="e">
        <f t="shared" si="0"/>
        <v>#REF!</v>
      </c>
      <c r="E32" s="102" t="e">
        <f>#REF!*10%</f>
        <v>#REF!</v>
      </c>
      <c r="F32" s="102" t="e">
        <f>#REF!</f>
        <v>#REF!</v>
      </c>
      <c r="G32" s="102" t="e">
        <f>#REF!</f>
        <v>#REF!</v>
      </c>
      <c r="H32" s="100" t="e">
        <f>#REF!</f>
        <v>#REF!</v>
      </c>
      <c r="I32" s="103" t="e">
        <f t="shared" si="1"/>
        <v>#REF!</v>
      </c>
      <c r="J32" s="100" t="e">
        <f>#REF!</f>
        <v>#REF!</v>
      </c>
      <c r="K32" s="100" t="e">
        <f>IF(A32=#REF!,"",#REF!)</f>
        <v>#REF!</v>
      </c>
      <c r="L32" s="108" t="e">
        <f>#REF!</f>
        <v>#REF!</v>
      </c>
      <c r="M32" s="103" t="s">
        <v>486</v>
      </c>
      <c r="O32" s="106"/>
      <c r="P32" s="77"/>
    </row>
    <row r="33" spans="1:16" ht="15.95" customHeight="1">
      <c r="A33" s="169" t="e">
        <f>#REF!</f>
        <v>#REF!</v>
      </c>
      <c r="B33" s="169" t="e">
        <f>IF(OR(MID(#REF!,8,1)&lt;"3",AND(MID(#REF!,8,1)&gt;="5",MID(#REF!,8,1)&lt;="6")),TEXT(TEXT(LEFT(#REF!,6),"1900-00-00"),"yyyy/mm/dd"),TEXT(TEXT(LEFT(#REF!,6),"2000-00-00"),"yyyy/mm/dd"))</f>
        <v>#REF!</v>
      </c>
      <c r="C33" s="100" t="e">
        <f>#REF!</f>
        <v>#REF!</v>
      </c>
      <c r="D33" s="101" t="e">
        <f t="shared" si="0"/>
        <v>#REF!</v>
      </c>
      <c r="E33" s="102" t="e">
        <f>#REF!*10%</f>
        <v>#REF!</v>
      </c>
      <c r="F33" s="102" t="e">
        <f>#REF!</f>
        <v>#REF!</v>
      </c>
      <c r="G33" s="102" t="e">
        <f>#REF!</f>
        <v>#REF!</v>
      </c>
      <c r="H33" s="100" t="e">
        <f>#REF!</f>
        <v>#REF!</v>
      </c>
      <c r="I33" s="103" t="e">
        <f t="shared" si="1"/>
        <v>#REF!</v>
      </c>
      <c r="J33" s="100" t="e">
        <f>#REF!</f>
        <v>#REF!</v>
      </c>
      <c r="K33" s="100" t="e">
        <f>IF(A33=#REF!,"",#REF!)</f>
        <v>#REF!</v>
      </c>
      <c r="L33" s="108" t="e">
        <f>#REF!</f>
        <v>#REF!</v>
      </c>
      <c r="M33" s="103" t="s">
        <v>486</v>
      </c>
      <c r="O33" s="106"/>
      <c r="P33" s="77"/>
    </row>
    <row r="34" spans="1:16" ht="15.95" customHeight="1">
      <c r="A34" s="169" t="e">
        <f>#REF!</f>
        <v>#REF!</v>
      </c>
      <c r="B34" s="169" t="e">
        <f>IF(OR(MID(#REF!,8,1)&lt;"3",AND(MID(#REF!,8,1)&gt;="5",MID(#REF!,8,1)&lt;="6")),TEXT(TEXT(LEFT(#REF!,6),"1900-00-00"),"yyyy/mm/dd"),TEXT(TEXT(LEFT(#REF!,6),"2000-00-00"),"yyyy/mm/dd"))</f>
        <v>#REF!</v>
      </c>
      <c r="C34" s="100" t="e">
        <f>#REF!</f>
        <v>#REF!</v>
      </c>
      <c r="D34" s="101" t="e">
        <f t="shared" si="0"/>
        <v>#REF!</v>
      </c>
      <c r="E34" s="102" t="e">
        <f>#REF!*10%</f>
        <v>#REF!</v>
      </c>
      <c r="F34" s="102" t="e">
        <f>#REF!</f>
        <v>#REF!</v>
      </c>
      <c r="G34" s="102" t="e">
        <f>#REF!</f>
        <v>#REF!</v>
      </c>
      <c r="H34" s="100" t="e">
        <f>#REF!</f>
        <v>#REF!</v>
      </c>
      <c r="I34" s="103" t="e">
        <f t="shared" si="1"/>
        <v>#REF!</v>
      </c>
      <c r="J34" s="100" t="e">
        <f>#REF!</f>
        <v>#REF!</v>
      </c>
      <c r="K34" s="100" t="e">
        <f>IF(A34=#REF!,"",#REF!)</f>
        <v>#REF!</v>
      </c>
      <c r="L34" s="108" t="e">
        <f>#REF!</f>
        <v>#REF!</v>
      </c>
      <c r="M34" s="103" t="s">
        <v>486</v>
      </c>
      <c r="O34" s="106"/>
      <c r="P34" s="77"/>
    </row>
    <row r="35" spans="1:16" ht="15.95" customHeight="1">
      <c r="A35" s="169" t="e">
        <f>#REF!</f>
        <v>#REF!</v>
      </c>
      <c r="B35" s="169" t="e">
        <f>IF(OR(MID(#REF!,8,1)&lt;"3",AND(MID(#REF!,8,1)&gt;="5",MID(#REF!,8,1)&lt;="6")),TEXT(TEXT(LEFT(#REF!,6),"1900-00-00"),"yyyy/mm/dd"),TEXT(TEXT(LEFT(#REF!,6),"2000-00-00"),"yyyy/mm/dd"))</f>
        <v>#REF!</v>
      </c>
      <c r="C35" s="100" t="e">
        <f>#REF!</f>
        <v>#REF!</v>
      </c>
      <c r="D35" s="101" t="e">
        <f t="shared" ref="D35:D66" si="2">SUM(E35:G35)</f>
        <v>#REF!</v>
      </c>
      <c r="E35" s="102" t="e">
        <f>#REF!*10%</f>
        <v>#REF!</v>
      </c>
      <c r="F35" s="102" t="e">
        <f>#REF!</f>
        <v>#REF!</v>
      </c>
      <c r="G35" s="102" t="e">
        <f>#REF!</f>
        <v>#REF!</v>
      </c>
      <c r="H35" s="100" t="e">
        <f>#REF!</f>
        <v>#REF!</v>
      </c>
      <c r="I35" s="103" t="e">
        <f t="shared" ref="I35:I66" si="3">IF(LEN(TRIM(H35))&gt;0,VLOOKUP(H35,$O$3:$P$75,2,0),"")</f>
        <v>#REF!</v>
      </c>
      <c r="J35" s="100" t="e">
        <f>#REF!</f>
        <v>#REF!</v>
      </c>
      <c r="K35" s="100" t="e">
        <f>IF(A35=#REF!,"",#REF!)</f>
        <v>#REF!</v>
      </c>
      <c r="L35" s="108" t="e">
        <f>#REF!</f>
        <v>#REF!</v>
      </c>
      <c r="M35" s="103" t="s">
        <v>486</v>
      </c>
      <c r="O35" s="106"/>
      <c r="P35" s="77"/>
    </row>
    <row r="36" spans="1:16" ht="15.95" customHeight="1">
      <c r="A36" s="169" t="e">
        <f>#REF!</f>
        <v>#REF!</v>
      </c>
      <c r="B36" s="169" t="e">
        <f>IF(OR(MID(#REF!,8,1)&lt;"3",AND(MID(#REF!,8,1)&gt;="5",MID(#REF!,8,1)&lt;="6")),TEXT(TEXT(LEFT(#REF!,6),"1900-00-00"),"yyyy/mm/dd"),TEXT(TEXT(LEFT(#REF!,6),"2000-00-00"),"yyyy/mm/dd"))</f>
        <v>#REF!</v>
      </c>
      <c r="C36" s="100" t="e">
        <f>#REF!</f>
        <v>#REF!</v>
      </c>
      <c r="D36" s="101" t="e">
        <f t="shared" si="2"/>
        <v>#REF!</v>
      </c>
      <c r="E36" s="102" t="e">
        <f>#REF!*10%</f>
        <v>#REF!</v>
      </c>
      <c r="F36" s="102" t="e">
        <f>#REF!</f>
        <v>#REF!</v>
      </c>
      <c r="G36" s="102" t="e">
        <f>#REF!</f>
        <v>#REF!</v>
      </c>
      <c r="H36" s="100" t="e">
        <f>#REF!</f>
        <v>#REF!</v>
      </c>
      <c r="I36" s="103" t="e">
        <f t="shared" si="3"/>
        <v>#REF!</v>
      </c>
      <c r="J36" s="100" t="e">
        <f>#REF!</f>
        <v>#REF!</v>
      </c>
      <c r="K36" s="100" t="e">
        <f>IF(A36=#REF!,"",#REF!)</f>
        <v>#REF!</v>
      </c>
      <c r="L36" s="108" t="e">
        <f>#REF!</f>
        <v>#REF!</v>
      </c>
      <c r="M36" s="103" t="s">
        <v>486</v>
      </c>
      <c r="O36" s="106"/>
      <c r="P36" s="77"/>
    </row>
    <row r="37" spans="1:16" ht="15.95" customHeight="1">
      <c r="A37" s="169" t="e">
        <f>#REF!</f>
        <v>#REF!</v>
      </c>
      <c r="B37" s="169" t="e">
        <f>IF(OR(MID(#REF!,8,1)&lt;"3",AND(MID(#REF!,8,1)&gt;="5",MID(#REF!,8,1)&lt;="6")),TEXT(TEXT(LEFT(#REF!,6),"1900-00-00"),"yyyy/mm/dd"),TEXT(TEXT(LEFT(#REF!,6),"2000-00-00"),"yyyy/mm/dd"))</f>
        <v>#REF!</v>
      </c>
      <c r="C37" s="100" t="e">
        <f>#REF!</f>
        <v>#REF!</v>
      </c>
      <c r="D37" s="101" t="e">
        <f t="shared" si="2"/>
        <v>#REF!</v>
      </c>
      <c r="E37" s="102" t="e">
        <f>#REF!*10%</f>
        <v>#REF!</v>
      </c>
      <c r="F37" s="102" t="e">
        <f>#REF!</f>
        <v>#REF!</v>
      </c>
      <c r="G37" s="102" t="e">
        <f>#REF!</f>
        <v>#REF!</v>
      </c>
      <c r="H37" s="100" t="e">
        <f>#REF!</f>
        <v>#REF!</v>
      </c>
      <c r="I37" s="103" t="e">
        <f t="shared" si="3"/>
        <v>#REF!</v>
      </c>
      <c r="J37" s="100" t="e">
        <f>#REF!</f>
        <v>#REF!</v>
      </c>
      <c r="K37" s="100" t="e">
        <f>IF(A37=#REF!,"",#REF!)</f>
        <v>#REF!</v>
      </c>
      <c r="L37" s="108" t="e">
        <f>#REF!</f>
        <v>#REF!</v>
      </c>
      <c r="M37" s="103" t="s">
        <v>486</v>
      </c>
      <c r="O37" s="106"/>
      <c r="P37" s="77"/>
    </row>
    <row r="38" spans="1:16" ht="15.95" customHeight="1">
      <c r="A38" s="169" t="e">
        <f>#REF!</f>
        <v>#REF!</v>
      </c>
      <c r="B38" s="169" t="e">
        <f>IF(OR(MID(#REF!,8,1)&lt;"3",AND(MID(#REF!,8,1)&gt;="5",MID(#REF!,8,1)&lt;="6")),TEXT(TEXT(LEFT(#REF!,6),"1900-00-00"),"yyyy/mm/dd"),TEXT(TEXT(LEFT(#REF!,6),"2000-00-00"),"yyyy/mm/dd"))</f>
        <v>#REF!</v>
      </c>
      <c r="C38" s="100" t="e">
        <f>#REF!</f>
        <v>#REF!</v>
      </c>
      <c r="D38" s="101" t="e">
        <f t="shared" si="2"/>
        <v>#REF!</v>
      </c>
      <c r="E38" s="102" t="e">
        <f>#REF!*10%</f>
        <v>#REF!</v>
      </c>
      <c r="F38" s="102" t="e">
        <f>#REF!</f>
        <v>#REF!</v>
      </c>
      <c r="G38" s="102" t="e">
        <f>#REF!</f>
        <v>#REF!</v>
      </c>
      <c r="H38" s="100" t="e">
        <f>#REF!</f>
        <v>#REF!</v>
      </c>
      <c r="I38" s="103" t="e">
        <f t="shared" si="3"/>
        <v>#REF!</v>
      </c>
      <c r="J38" s="100" t="e">
        <f>#REF!</f>
        <v>#REF!</v>
      </c>
      <c r="K38" s="100" t="e">
        <f>IF(A38=#REF!,"",#REF!)</f>
        <v>#REF!</v>
      </c>
      <c r="L38" s="108" t="e">
        <f>#REF!</f>
        <v>#REF!</v>
      </c>
      <c r="M38" s="103" t="s">
        <v>486</v>
      </c>
      <c r="O38" s="106"/>
      <c r="P38" s="77"/>
    </row>
    <row r="39" spans="1:16" ht="15.95" customHeight="1">
      <c r="A39" s="169" t="e">
        <f>#REF!</f>
        <v>#REF!</v>
      </c>
      <c r="B39" s="169" t="e">
        <f>IF(OR(MID(#REF!,8,1)&lt;"3",AND(MID(#REF!,8,1)&gt;="5",MID(#REF!,8,1)&lt;="6")),TEXT(TEXT(LEFT(#REF!,6),"1900-00-00"),"yyyy/mm/dd"),TEXT(TEXT(LEFT(#REF!,6),"2000-00-00"),"yyyy/mm/dd"))</f>
        <v>#REF!</v>
      </c>
      <c r="C39" s="100" t="e">
        <f>#REF!</f>
        <v>#REF!</v>
      </c>
      <c r="D39" s="101" t="e">
        <f t="shared" si="2"/>
        <v>#REF!</v>
      </c>
      <c r="E39" s="102" t="e">
        <f>#REF!*10%</f>
        <v>#REF!</v>
      </c>
      <c r="F39" s="102" t="e">
        <f>#REF!</f>
        <v>#REF!</v>
      </c>
      <c r="G39" s="102" t="e">
        <f>#REF!</f>
        <v>#REF!</v>
      </c>
      <c r="H39" s="100" t="e">
        <f>#REF!</f>
        <v>#REF!</v>
      </c>
      <c r="I39" s="103" t="e">
        <f t="shared" si="3"/>
        <v>#REF!</v>
      </c>
      <c r="J39" s="100" t="e">
        <f>#REF!</f>
        <v>#REF!</v>
      </c>
      <c r="K39" s="100" t="e">
        <f>IF(A39=#REF!,"",#REF!)</f>
        <v>#REF!</v>
      </c>
      <c r="L39" s="108" t="e">
        <f>#REF!</f>
        <v>#REF!</v>
      </c>
      <c r="M39" s="103" t="s">
        <v>486</v>
      </c>
      <c r="O39" s="106"/>
      <c r="P39" s="77"/>
    </row>
    <row r="40" spans="1:16" ht="15.95" customHeight="1">
      <c r="A40" s="169" t="e">
        <f>#REF!</f>
        <v>#REF!</v>
      </c>
      <c r="B40" s="169" t="e">
        <f>IF(OR(MID(#REF!,8,1)&lt;"3",AND(MID(#REF!,8,1)&gt;="5",MID(#REF!,8,1)&lt;="6")),TEXT(TEXT(LEFT(#REF!,6),"1900-00-00"),"yyyy/mm/dd"),TEXT(TEXT(LEFT(#REF!,6),"2000-00-00"),"yyyy/mm/dd"))</f>
        <v>#REF!</v>
      </c>
      <c r="C40" s="100" t="e">
        <f>#REF!</f>
        <v>#REF!</v>
      </c>
      <c r="D40" s="101" t="e">
        <f t="shared" si="2"/>
        <v>#REF!</v>
      </c>
      <c r="E40" s="102" t="e">
        <f>#REF!*10%</f>
        <v>#REF!</v>
      </c>
      <c r="F40" s="102" t="e">
        <f>#REF!</f>
        <v>#REF!</v>
      </c>
      <c r="G40" s="102" t="e">
        <f>#REF!</f>
        <v>#REF!</v>
      </c>
      <c r="H40" s="100" t="e">
        <f>#REF!</f>
        <v>#REF!</v>
      </c>
      <c r="I40" s="103" t="e">
        <f t="shared" si="3"/>
        <v>#REF!</v>
      </c>
      <c r="J40" s="100" t="e">
        <f>#REF!</f>
        <v>#REF!</v>
      </c>
      <c r="K40" s="100" t="e">
        <f>IF(A40=#REF!,"",#REF!)</f>
        <v>#REF!</v>
      </c>
      <c r="L40" s="108" t="e">
        <f>#REF!</f>
        <v>#REF!</v>
      </c>
      <c r="M40" s="103" t="s">
        <v>486</v>
      </c>
      <c r="O40" s="106"/>
      <c r="P40" s="77"/>
    </row>
    <row r="41" spans="1:16" ht="15.95" customHeight="1">
      <c r="A41" s="169" t="e">
        <f>#REF!</f>
        <v>#REF!</v>
      </c>
      <c r="B41" s="169" t="e">
        <f>IF(OR(MID(#REF!,8,1)&lt;"3",AND(MID(#REF!,8,1)&gt;="5",MID(#REF!,8,1)&lt;="6")),TEXT(TEXT(LEFT(#REF!,6),"1900-00-00"),"yyyy/mm/dd"),TEXT(TEXT(LEFT(#REF!,6),"2000-00-00"),"yyyy/mm/dd"))</f>
        <v>#REF!</v>
      </c>
      <c r="C41" s="100" t="e">
        <f>#REF!</f>
        <v>#REF!</v>
      </c>
      <c r="D41" s="101" t="e">
        <f t="shared" si="2"/>
        <v>#REF!</v>
      </c>
      <c r="E41" s="102" t="e">
        <f>#REF!*10%</f>
        <v>#REF!</v>
      </c>
      <c r="F41" s="102" t="e">
        <f>#REF!</f>
        <v>#REF!</v>
      </c>
      <c r="G41" s="102" t="e">
        <f>#REF!</f>
        <v>#REF!</v>
      </c>
      <c r="H41" s="100" t="e">
        <f>#REF!</f>
        <v>#REF!</v>
      </c>
      <c r="I41" s="103" t="e">
        <f t="shared" si="3"/>
        <v>#REF!</v>
      </c>
      <c r="J41" s="100" t="e">
        <f>#REF!</f>
        <v>#REF!</v>
      </c>
      <c r="K41" s="100" t="e">
        <f>IF(A41=#REF!,"",#REF!)</f>
        <v>#REF!</v>
      </c>
      <c r="L41" s="108" t="e">
        <f>#REF!</f>
        <v>#REF!</v>
      </c>
      <c r="M41" s="103" t="s">
        <v>486</v>
      </c>
      <c r="O41" s="106"/>
      <c r="P41" s="77"/>
    </row>
    <row r="42" spans="1:16" ht="15.95" customHeight="1">
      <c r="A42" s="169" t="e">
        <f>#REF!</f>
        <v>#REF!</v>
      </c>
      <c r="B42" s="169" t="e">
        <f>IF(OR(MID(#REF!,8,1)&lt;"3",AND(MID(#REF!,8,1)&gt;="5",MID(#REF!,8,1)&lt;="6")),TEXT(TEXT(LEFT(#REF!,6),"1900-00-00"),"yyyy/mm/dd"),TEXT(TEXT(LEFT(#REF!,6),"2000-00-00"),"yyyy/mm/dd"))</f>
        <v>#REF!</v>
      </c>
      <c r="C42" s="100" t="e">
        <f>#REF!</f>
        <v>#REF!</v>
      </c>
      <c r="D42" s="101" t="e">
        <f t="shared" si="2"/>
        <v>#REF!</v>
      </c>
      <c r="E42" s="102" t="e">
        <f>#REF!*10%</f>
        <v>#REF!</v>
      </c>
      <c r="F42" s="102" t="e">
        <f>#REF!</f>
        <v>#REF!</v>
      </c>
      <c r="G42" s="102" t="e">
        <f>#REF!</f>
        <v>#REF!</v>
      </c>
      <c r="H42" s="100" t="e">
        <f>#REF!</f>
        <v>#REF!</v>
      </c>
      <c r="I42" s="103" t="e">
        <f t="shared" si="3"/>
        <v>#REF!</v>
      </c>
      <c r="J42" s="100" t="e">
        <f>#REF!</f>
        <v>#REF!</v>
      </c>
      <c r="K42" s="100" t="e">
        <f>IF(A42=#REF!,"",#REF!)</f>
        <v>#REF!</v>
      </c>
      <c r="L42" s="108" t="e">
        <f>#REF!</f>
        <v>#REF!</v>
      </c>
      <c r="M42" s="103" t="s">
        <v>486</v>
      </c>
      <c r="O42" s="106"/>
      <c r="P42" s="77"/>
    </row>
    <row r="43" spans="1:16" ht="15.95" customHeight="1">
      <c r="A43" s="169" t="e">
        <f>#REF!</f>
        <v>#REF!</v>
      </c>
      <c r="B43" s="169" t="e">
        <f>IF(OR(MID(#REF!,8,1)&lt;"3",AND(MID(#REF!,8,1)&gt;="5",MID(#REF!,8,1)&lt;="6")),TEXT(TEXT(LEFT(#REF!,6),"1900-00-00"),"yyyy/mm/dd"),TEXT(TEXT(LEFT(#REF!,6),"2000-00-00"),"yyyy/mm/dd"))</f>
        <v>#REF!</v>
      </c>
      <c r="C43" s="100" t="e">
        <f>#REF!</f>
        <v>#REF!</v>
      </c>
      <c r="D43" s="101" t="e">
        <f t="shared" si="2"/>
        <v>#REF!</v>
      </c>
      <c r="E43" s="102" t="e">
        <f>#REF!*10%</f>
        <v>#REF!</v>
      </c>
      <c r="F43" s="102" t="e">
        <f>#REF!</f>
        <v>#REF!</v>
      </c>
      <c r="G43" s="102" t="e">
        <f>#REF!</f>
        <v>#REF!</v>
      </c>
      <c r="H43" s="100" t="e">
        <f>#REF!</f>
        <v>#REF!</v>
      </c>
      <c r="I43" s="103" t="e">
        <f t="shared" si="3"/>
        <v>#REF!</v>
      </c>
      <c r="J43" s="100" t="e">
        <f>#REF!</f>
        <v>#REF!</v>
      </c>
      <c r="K43" s="100" t="e">
        <f>IF(A43=#REF!,"",#REF!)</f>
        <v>#REF!</v>
      </c>
      <c r="L43" s="108" t="e">
        <f>#REF!</f>
        <v>#REF!</v>
      </c>
      <c r="M43" s="103" t="s">
        <v>486</v>
      </c>
      <c r="O43" s="106"/>
      <c r="P43" s="77"/>
    </row>
    <row r="44" spans="1:16" ht="15.95" customHeight="1">
      <c r="A44" s="169" t="e">
        <f>#REF!</f>
        <v>#REF!</v>
      </c>
      <c r="B44" s="169" t="e">
        <f>IF(OR(MID(#REF!,8,1)&lt;"3",AND(MID(#REF!,8,1)&gt;="5",MID(#REF!,8,1)&lt;="6")),TEXT(TEXT(LEFT(#REF!,6),"1900-00-00"),"yyyy/mm/dd"),TEXT(TEXT(LEFT(#REF!,6),"2000-00-00"),"yyyy/mm/dd"))</f>
        <v>#REF!</v>
      </c>
      <c r="C44" s="100" t="e">
        <f>#REF!</f>
        <v>#REF!</v>
      </c>
      <c r="D44" s="101" t="e">
        <f t="shared" si="2"/>
        <v>#REF!</v>
      </c>
      <c r="E44" s="102" t="e">
        <f>#REF!*10%</f>
        <v>#REF!</v>
      </c>
      <c r="F44" s="102" t="e">
        <f>#REF!</f>
        <v>#REF!</v>
      </c>
      <c r="G44" s="102" t="e">
        <f>#REF!</f>
        <v>#REF!</v>
      </c>
      <c r="H44" s="100" t="e">
        <f>#REF!</f>
        <v>#REF!</v>
      </c>
      <c r="I44" s="103" t="e">
        <f t="shared" si="3"/>
        <v>#REF!</v>
      </c>
      <c r="J44" s="100" t="e">
        <f>#REF!</f>
        <v>#REF!</v>
      </c>
      <c r="K44" s="100" t="e">
        <f>IF(A44=#REF!,"",#REF!)</f>
        <v>#REF!</v>
      </c>
      <c r="L44" s="108" t="e">
        <f>#REF!</f>
        <v>#REF!</v>
      </c>
      <c r="M44" s="103" t="s">
        <v>486</v>
      </c>
      <c r="O44" s="106"/>
      <c r="P44" s="77"/>
    </row>
    <row r="45" spans="1:16" ht="15.95" customHeight="1">
      <c r="A45" s="169" t="e">
        <f>#REF!</f>
        <v>#REF!</v>
      </c>
      <c r="B45" s="169" t="e">
        <f>IF(OR(MID(#REF!,8,1)&lt;"3",AND(MID(#REF!,8,1)&gt;="5",MID(#REF!,8,1)&lt;="6")),TEXT(TEXT(LEFT(#REF!,6),"1900-00-00"),"yyyy/mm/dd"),TEXT(TEXT(LEFT(#REF!,6),"2000-00-00"),"yyyy/mm/dd"))</f>
        <v>#REF!</v>
      </c>
      <c r="C45" s="100" t="e">
        <f>#REF!</f>
        <v>#REF!</v>
      </c>
      <c r="D45" s="101" t="e">
        <f t="shared" si="2"/>
        <v>#REF!</v>
      </c>
      <c r="E45" s="102" t="e">
        <f>#REF!*10%</f>
        <v>#REF!</v>
      </c>
      <c r="F45" s="102" t="e">
        <f>#REF!</f>
        <v>#REF!</v>
      </c>
      <c r="G45" s="102" t="e">
        <f>#REF!</f>
        <v>#REF!</v>
      </c>
      <c r="H45" s="100" t="e">
        <f>#REF!</f>
        <v>#REF!</v>
      </c>
      <c r="I45" s="103" t="e">
        <f t="shared" si="3"/>
        <v>#REF!</v>
      </c>
      <c r="J45" s="100" t="e">
        <f>#REF!</f>
        <v>#REF!</v>
      </c>
      <c r="K45" s="100" t="e">
        <f>IF(A45=#REF!,"",#REF!)</f>
        <v>#REF!</v>
      </c>
      <c r="L45" s="108" t="e">
        <f>#REF!</f>
        <v>#REF!</v>
      </c>
      <c r="M45" s="103" t="s">
        <v>486</v>
      </c>
      <c r="O45" s="106"/>
      <c r="P45" s="77"/>
    </row>
    <row r="46" spans="1:16" ht="15.95" customHeight="1">
      <c r="A46" s="169" t="e">
        <f>#REF!</f>
        <v>#REF!</v>
      </c>
      <c r="B46" s="169" t="e">
        <f>IF(OR(MID(#REF!,8,1)&lt;"3",AND(MID(#REF!,8,1)&gt;="5",MID(#REF!,8,1)&lt;="6")),TEXT(TEXT(LEFT(#REF!,6),"1900-00-00"),"yyyy/mm/dd"),TEXT(TEXT(LEFT(#REF!,6),"2000-00-00"),"yyyy/mm/dd"))</f>
        <v>#REF!</v>
      </c>
      <c r="C46" s="100" t="e">
        <f>#REF!</f>
        <v>#REF!</v>
      </c>
      <c r="D46" s="101" t="e">
        <f t="shared" si="2"/>
        <v>#REF!</v>
      </c>
      <c r="E46" s="102" t="e">
        <f>#REF!*10%</f>
        <v>#REF!</v>
      </c>
      <c r="F46" s="102" t="e">
        <f>#REF!</f>
        <v>#REF!</v>
      </c>
      <c r="G46" s="102" t="e">
        <f>#REF!</f>
        <v>#REF!</v>
      </c>
      <c r="H46" s="100" t="e">
        <f>#REF!</f>
        <v>#REF!</v>
      </c>
      <c r="I46" s="103" t="e">
        <f t="shared" si="3"/>
        <v>#REF!</v>
      </c>
      <c r="J46" s="100" t="e">
        <f>#REF!</f>
        <v>#REF!</v>
      </c>
      <c r="K46" s="100" t="e">
        <f>IF(A46=#REF!,"",#REF!)</f>
        <v>#REF!</v>
      </c>
      <c r="L46" s="108" t="e">
        <f>#REF!</f>
        <v>#REF!</v>
      </c>
      <c r="M46" s="103" t="s">
        <v>486</v>
      </c>
      <c r="O46" s="106"/>
      <c r="P46" s="77"/>
    </row>
    <row r="47" spans="1:16" ht="15.95" customHeight="1">
      <c r="A47" s="169" t="e">
        <f>#REF!</f>
        <v>#REF!</v>
      </c>
      <c r="B47" s="169" t="e">
        <f>IF(OR(MID(#REF!,8,1)&lt;"3",AND(MID(#REF!,8,1)&gt;="5",MID(#REF!,8,1)&lt;="6")),TEXT(TEXT(LEFT(#REF!,6),"1900-00-00"),"yyyy/mm/dd"),TEXT(TEXT(LEFT(#REF!,6),"2000-00-00"),"yyyy/mm/dd"))</f>
        <v>#REF!</v>
      </c>
      <c r="C47" s="100" t="e">
        <f>#REF!</f>
        <v>#REF!</v>
      </c>
      <c r="D47" s="101" t="e">
        <f t="shared" si="2"/>
        <v>#REF!</v>
      </c>
      <c r="E47" s="102" t="e">
        <f>#REF!*10%</f>
        <v>#REF!</v>
      </c>
      <c r="F47" s="102" t="e">
        <f>#REF!</f>
        <v>#REF!</v>
      </c>
      <c r="G47" s="102" t="e">
        <f>#REF!</f>
        <v>#REF!</v>
      </c>
      <c r="H47" s="100" t="e">
        <f>#REF!</f>
        <v>#REF!</v>
      </c>
      <c r="I47" s="103" t="e">
        <f t="shared" si="3"/>
        <v>#REF!</v>
      </c>
      <c r="J47" s="100" t="e">
        <f>#REF!</f>
        <v>#REF!</v>
      </c>
      <c r="K47" s="100" t="e">
        <f>IF(A47=#REF!,"",#REF!)</f>
        <v>#REF!</v>
      </c>
      <c r="L47" s="108" t="e">
        <f>#REF!</f>
        <v>#REF!</v>
      </c>
      <c r="M47" s="103" t="s">
        <v>486</v>
      </c>
      <c r="O47" s="106"/>
      <c r="P47" s="77"/>
    </row>
    <row r="48" spans="1:16" ht="15.95" customHeight="1">
      <c r="A48" s="169" t="e">
        <f>#REF!</f>
        <v>#REF!</v>
      </c>
      <c r="B48" s="169" t="e">
        <f>IF(OR(MID(#REF!,8,1)&lt;"3",AND(MID(#REF!,8,1)&gt;="5",MID(#REF!,8,1)&lt;="6")),TEXT(TEXT(LEFT(#REF!,6),"1900-00-00"),"yyyy/mm/dd"),TEXT(TEXT(LEFT(#REF!,6),"2000-00-00"),"yyyy/mm/dd"))</f>
        <v>#REF!</v>
      </c>
      <c r="C48" s="100" t="e">
        <f>#REF!</f>
        <v>#REF!</v>
      </c>
      <c r="D48" s="101" t="e">
        <f t="shared" si="2"/>
        <v>#REF!</v>
      </c>
      <c r="E48" s="102" t="e">
        <f>#REF!*10%</f>
        <v>#REF!</v>
      </c>
      <c r="F48" s="102" t="e">
        <f>#REF!</f>
        <v>#REF!</v>
      </c>
      <c r="G48" s="102" t="e">
        <f>#REF!</f>
        <v>#REF!</v>
      </c>
      <c r="H48" s="100" t="e">
        <f>#REF!</f>
        <v>#REF!</v>
      </c>
      <c r="I48" s="103" t="e">
        <f t="shared" si="3"/>
        <v>#REF!</v>
      </c>
      <c r="J48" s="100" t="e">
        <f>#REF!</f>
        <v>#REF!</v>
      </c>
      <c r="K48" s="100" t="e">
        <f>IF(A48=#REF!,"",#REF!)</f>
        <v>#REF!</v>
      </c>
      <c r="L48" s="108" t="e">
        <f>#REF!</f>
        <v>#REF!</v>
      </c>
      <c r="M48" s="103" t="s">
        <v>486</v>
      </c>
      <c r="O48" s="106"/>
      <c r="P48" s="77"/>
    </row>
    <row r="49" spans="1:16" ht="15.95" customHeight="1">
      <c r="A49" s="169" t="e">
        <f>#REF!</f>
        <v>#REF!</v>
      </c>
      <c r="B49" s="169" t="e">
        <f>IF(OR(MID(#REF!,8,1)&lt;"3",AND(MID(#REF!,8,1)&gt;="5",MID(#REF!,8,1)&lt;="6")),TEXT(TEXT(LEFT(#REF!,6),"1900-00-00"),"yyyy/mm/dd"),TEXT(TEXT(LEFT(#REF!,6),"2000-00-00"),"yyyy/mm/dd"))</f>
        <v>#REF!</v>
      </c>
      <c r="C49" s="100" t="e">
        <f>#REF!</f>
        <v>#REF!</v>
      </c>
      <c r="D49" s="101" t="e">
        <f t="shared" si="2"/>
        <v>#REF!</v>
      </c>
      <c r="E49" s="102" t="e">
        <f>#REF!*10%</f>
        <v>#REF!</v>
      </c>
      <c r="F49" s="102" t="e">
        <f>#REF!</f>
        <v>#REF!</v>
      </c>
      <c r="G49" s="102" t="e">
        <f>#REF!</f>
        <v>#REF!</v>
      </c>
      <c r="H49" s="100" t="e">
        <f>#REF!</f>
        <v>#REF!</v>
      </c>
      <c r="I49" s="103" t="e">
        <f t="shared" si="3"/>
        <v>#REF!</v>
      </c>
      <c r="J49" s="100" t="e">
        <f>#REF!</f>
        <v>#REF!</v>
      </c>
      <c r="K49" s="100" t="e">
        <f>IF(A49=#REF!,"",#REF!)</f>
        <v>#REF!</v>
      </c>
      <c r="L49" s="108" t="e">
        <f>#REF!</f>
        <v>#REF!</v>
      </c>
      <c r="M49" s="103" t="s">
        <v>486</v>
      </c>
      <c r="O49" s="106"/>
      <c r="P49" s="77"/>
    </row>
    <row r="50" spans="1:16" ht="15.95" customHeight="1">
      <c r="A50" s="169" t="e">
        <f>#REF!</f>
        <v>#REF!</v>
      </c>
      <c r="B50" s="169" t="e">
        <f>IF(OR(MID(#REF!,8,1)&lt;"3",AND(MID(#REF!,8,1)&gt;="5",MID(#REF!,8,1)&lt;="6")),TEXT(TEXT(LEFT(#REF!,6),"1900-00-00"),"yyyy/mm/dd"),TEXT(TEXT(LEFT(#REF!,6),"2000-00-00"),"yyyy/mm/dd"))</f>
        <v>#REF!</v>
      </c>
      <c r="C50" s="100" t="e">
        <f>#REF!</f>
        <v>#REF!</v>
      </c>
      <c r="D50" s="101" t="e">
        <f t="shared" si="2"/>
        <v>#REF!</v>
      </c>
      <c r="E50" s="102" t="e">
        <f>#REF!*10%</f>
        <v>#REF!</v>
      </c>
      <c r="F50" s="102" t="e">
        <f>#REF!</f>
        <v>#REF!</v>
      </c>
      <c r="G50" s="102" t="e">
        <f>#REF!</f>
        <v>#REF!</v>
      </c>
      <c r="H50" s="100" t="e">
        <f>#REF!</f>
        <v>#REF!</v>
      </c>
      <c r="I50" s="103" t="e">
        <f t="shared" si="3"/>
        <v>#REF!</v>
      </c>
      <c r="J50" s="100" t="e">
        <f>#REF!</f>
        <v>#REF!</v>
      </c>
      <c r="K50" s="100" t="e">
        <f>IF(A50=#REF!,"",#REF!)</f>
        <v>#REF!</v>
      </c>
      <c r="L50" s="108" t="e">
        <f>#REF!</f>
        <v>#REF!</v>
      </c>
      <c r="M50" s="103" t="s">
        <v>486</v>
      </c>
      <c r="O50" s="106"/>
      <c r="P50" s="77"/>
    </row>
    <row r="51" spans="1:16" ht="15.95" customHeight="1">
      <c r="A51" s="169" t="e">
        <f>#REF!</f>
        <v>#REF!</v>
      </c>
      <c r="B51" s="169" t="e">
        <f>IF(OR(MID(#REF!,8,1)&lt;"3",AND(MID(#REF!,8,1)&gt;="5",MID(#REF!,8,1)&lt;="6")),TEXT(TEXT(LEFT(#REF!,6),"1900-00-00"),"yyyy/mm/dd"),TEXT(TEXT(LEFT(#REF!,6),"2000-00-00"),"yyyy/mm/dd"))</f>
        <v>#REF!</v>
      </c>
      <c r="C51" s="100" t="e">
        <f>#REF!</f>
        <v>#REF!</v>
      </c>
      <c r="D51" s="101" t="e">
        <f t="shared" si="2"/>
        <v>#REF!</v>
      </c>
      <c r="E51" s="102" t="e">
        <f>#REF!*10%</f>
        <v>#REF!</v>
      </c>
      <c r="F51" s="102" t="e">
        <f>#REF!</f>
        <v>#REF!</v>
      </c>
      <c r="G51" s="102" t="e">
        <f>#REF!</f>
        <v>#REF!</v>
      </c>
      <c r="H51" s="100" t="e">
        <f>#REF!</f>
        <v>#REF!</v>
      </c>
      <c r="I51" s="103" t="e">
        <f t="shared" si="3"/>
        <v>#REF!</v>
      </c>
      <c r="J51" s="100" t="e">
        <f>#REF!</f>
        <v>#REF!</v>
      </c>
      <c r="K51" s="100" t="e">
        <f>IF(A51=#REF!,"",#REF!)</f>
        <v>#REF!</v>
      </c>
      <c r="L51" s="108" t="e">
        <f>#REF!</f>
        <v>#REF!</v>
      </c>
      <c r="M51" s="103" t="s">
        <v>486</v>
      </c>
      <c r="O51" s="106"/>
      <c r="P51" s="77"/>
    </row>
    <row r="52" spans="1:16" ht="15.95" customHeight="1">
      <c r="A52" s="169" t="e">
        <f>#REF!</f>
        <v>#REF!</v>
      </c>
      <c r="B52" s="169" t="e">
        <f>IF(OR(MID(#REF!,8,1)&lt;"3",AND(MID(#REF!,8,1)&gt;="5",MID(#REF!,8,1)&lt;="6")),TEXT(TEXT(LEFT(#REF!,6),"1900-00-00"),"yyyy/mm/dd"),TEXT(TEXT(LEFT(#REF!,6),"2000-00-00"),"yyyy/mm/dd"))</f>
        <v>#REF!</v>
      </c>
      <c r="C52" s="100" t="e">
        <f>#REF!</f>
        <v>#REF!</v>
      </c>
      <c r="D52" s="101" t="e">
        <f t="shared" si="2"/>
        <v>#REF!</v>
      </c>
      <c r="E52" s="102" t="e">
        <f>#REF!*10%</f>
        <v>#REF!</v>
      </c>
      <c r="F52" s="102" t="e">
        <f>#REF!</f>
        <v>#REF!</v>
      </c>
      <c r="G52" s="102" t="e">
        <f>#REF!</f>
        <v>#REF!</v>
      </c>
      <c r="H52" s="100" t="e">
        <f>#REF!</f>
        <v>#REF!</v>
      </c>
      <c r="I52" s="103" t="e">
        <f t="shared" si="3"/>
        <v>#REF!</v>
      </c>
      <c r="J52" s="100" t="e">
        <f>#REF!</f>
        <v>#REF!</v>
      </c>
      <c r="K52" s="100" t="e">
        <f>IF(A52=#REF!,"",#REF!)</f>
        <v>#REF!</v>
      </c>
      <c r="L52" s="108" t="e">
        <f>#REF!</f>
        <v>#REF!</v>
      </c>
      <c r="M52" s="103" t="s">
        <v>486</v>
      </c>
      <c r="O52" s="106"/>
      <c r="P52" s="77"/>
    </row>
    <row r="53" spans="1:16" ht="15.95" customHeight="1">
      <c r="A53" s="169" t="e">
        <f>#REF!</f>
        <v>#REF!</v>
      </c>
      <c r="B53" s="169" t="e">
        <f>IF(OR(MID(#REF!,8,1)&lt;"3",AND(MID(#REF!,8,1)&gt;="5",MID(#REF!,8,1)&lt;="6")),TEXT(TEXT(LEFT(#REF!,6),"1900-00-00"),"yyyy/mm/dd"),TEXT(TEXT(LEFT(#REF!,6),"2000-00-00"),"yyyy/mm/dd"))</f>
        <v>#REF!</v>
      </c>
      <c r="C53" s="100" t="e">
        <f>#REF!</f>
        <v>#REF!</v>
      </c>
      <c r="D53" s="101" t="e">
        <f t="shared" si="2"/>
        <v>#REF!</v>
      </c>
      <c r="E53" s="102" t="e">
        <f>#REF!*10%</f>
        <v>#REF!</v>
      </c>
      <c r="F53" s="102" t="e">
        <f>#REF!</f>
        <v>#REF!</v>
      </c>
      <c r="G53" s="102" t="e">
        <f>#REF!</f>
        <v>#REF!</v>
      </c>
      <c r="H53" s="100" t="e">
        <f>#REF!</f>
        <v>#REF!</v>
      </c>
      <c r="I53" s="103" t="e">
        <f t="shared" si="3"/>
        <v>#REF!</v>
      </c>
      <c r="J53" s="100" t="e">
        <f>#REF!</f>
        <v>#REF!</v>
      </c>
      <c r="K53" s="100" t="e">
        <f>IF(A53=#REF!,"",#REF!)</f>
        <v>#REF!</v>
      </c>
      <c r="L53" s="108" t="e">
        <f>#REF!</f>
        <v>#REF!</v>
      </c>
      <c r="M53" s="103" t="s">
        <v>486</v>
      </c>
      <c r="O53" s="106"/>
      <c r="P53" s="77"/>
    </row>
    <row r="54" spans="1:16" ht="15.95" customHeight="1">
      <c r="A54" s="169" t="e">
        <f>#REF!</f>
        <v>#REF!</v>
      </c>
      <c r="B54" s="169" t="e">
        <f>IF(OR(MID(#REF!,8,1)&lt;"3",AND(MID(#REF!,8,1)&gt;="5",MID(#REF!,8,1)&lt;="6")),TEXT(TEXT(LEFT(#REF!,6),"1900-00-00"),"yyyy/mm/dd"),TEXT(TEXT(LEFT(#REF!,6),"2000-00-00"),"yyyy/mm/dd"))</f>
        <v>#REF!</v>
      </c>
      <c r="C54" s="100" t="e">
        <f>#REF!</f>
        <v>#REF!</v>
      </c>
      <c r="D54" s="101" t="e">
        <f t="shared" si="2"/>
        <v>#REF!</v>
      </c>
      <c r="E54" s="102" t="e">
        <f>#REF!*10%</f>
        <v>#REF!</v>
      </c>
      <c r="F54" s="102" t="e">
        <f>#REF!</f>
        <v>#REF!</v>
      </c>
      <c r="G54" s="102" t="e">
        <f>#REF!</f>
        <v>#REF!</v>
      </c>
      <c r="H54" s="100" t="e">
        <f>#REF!</f>
        <v>#REF!</v>
      </c>
      <c r="I54" s="103" t="e">
        <f t="shared" si="3"/>
        <v>#REF!</v>
      </c>
      <c r="J54" s="100" t="e">
        <f>#REF!</f>
        <v>#REF!</v>
      </c>
      <c r="K54" s="100" t="e">
        <f>IF(A54=#REF!,"",#REF!)</f>
        <v>#REF!</v>
      </c>
      <c r="L54" s="108" t="e">
        <f>#REF!</f>
        <v>#REF!</v>
      </c>
      <c r="M54" s="103" t="s">
        <v>486</v>
      </c>
      <c r="O54" s="106"/>
      <c r="P54" s="77"/>
    </row>
    <row r="55" spans="1:16" ht="15.95" customHeight="1">
      <c r="A55" s="169" t="e">
        <f>#REF!</f>
        <v>#REF!</v>
      </c>
      <c r="B55" s="169" t="e">
        <f>IF(OR(MID(#REF!,8,1)&lt;"3",AND(MID(#REF!,8,1)&gt;="5",MID(#REF!,8,1)&lt;="6")),TEXT(TEXT(LEFT(#REF!,6),"1900-00-00"),"yyyy/mm/dd"),TEXT(TEXT(LEFT(#REF!,6),"2000-00-00"),"yyyy/mm/dd"))</f>
        <v>#REF!</v>
      </c>
      <c r="C55" s="100" t="e">
        <f>#REF!</f>
        <v>#REF!</v>
      </c>
      <c r="D55" s="101" t="e">
        <f t="shared" si="2"/>
        <v>#REF!</v>
      </c>
      <c r="E55" s="102" t="e">
        <f>#REF!*10%</f>
        <v>#REF!</v>
      </c>
      <c r="F55" s="102" t="e">
        <f>#REF!</f>
        <v>#REF!</v>
      </c>
      <c r="G55" s="102" t="e">
        <f>#REF!</f>
        <v>#REF!</v>
      </c>
      <c r="H55" s="100" t="e">
        <f>#REF!</f>
        <v>#REF!</v>
      </c>
      <c r="I55" s="103" t="e">
        <f t="shared" si="3"/>
        <v>#REF!</v>
      </c>
      <c r="J55" s="100" t="e">
        <f>#REF!</f>
        <v>#REF!</v>
      </c>
      <c r="K55" s="100" t="e">
        <f>IF(A55=#REF!,"",#REF!)</f>
        <v>#REF!</v>
      </c>
      <c r="L55" s="108" t="e">
        <f>#REF!</f>
        <v>#REF!</v>
      </c>
      <c r="M55" s="103" t="s">
        <v>486</v>
      </c>
      <c r="O55" s="106"/>
      <c r="P55" s="77"/>
    </row>
    <row r="56" spans="1:16" ht="15.95" customHeight="1">
      <c r="A56" s="169" t="e">
        <f>#REF!</f>
        <v>#REF!</v>
      </c>
      <c r="B56" s="169" t="e">
        <f>IF(OR(MID(#REF!,8,1)&lt;"3",AND(MID(#REF!,8,1)&gt;="5",MID(#REF!,8,1)&lt;="6")),TEXT(TEXT(LEFT(#REF!,6),"1900-00-00"),"yyyy/mm/dd"),TEXT(TEXT(LEFT(#REF!,6),"2000-00-00"),"yyyy/mm/dd"))</f>
        <v>#REF!</v>
      </c>
      <c r="C56" s="100" t="e">
        <f>#REF!</f>
        <v>#REF!</v>
      </c>
      <c r="D56" s="101" t="e">
        <f t="shared" si="2"/>
        <v>#REF!</v>
      </c>
      <c r="E56" s="102" t="e">
        <f>#REF!*10%</f>
        <v>#REF!</v>
      </c>
      <c r="F56" s="102" t="e">
        <f>#REF!</f>
        <v>#REF!</v>
      </c>
      <c r="G56" s="102" t="e">
        <f>#REF!</f>
        <v>#REF!</v>
      </c>
      <c r="H56" s="100" t="e">
        <f>#REF!</f>
        <v>#REF!</v>
      </c>
      <c r="I56" s="103" t="e">
        <f t="shared" si="3"/>
        <v>#REF!</v>
      </c>
      <c r="J56" s="100" t="e">
        <f>#REF!</f>
        <v>#REF!</v>
      </c>
      <c r="K56" s="100" t="e">
        <f>IF(A56=#REF!,"",#REF!)</f>
        <v>#REF!</v>
      </c>
      <c r="L56" s="108" t="e">
        <f>#REF!</f>
        <v>#REF!</v>
      </c>
      <c r="M56" s="103" t="s">
        <v>486</v>
      </c>
      <c r="O56" s="106"/>
      <c r="P56" s="77"/>
    </row>
    <row r="57" spans="1:16" ht="15.95" customHeight="1">
      <c r="A57" s="169" t="e">
        <f>#REF!</f>
        <v>#REF!</v>
      </c>
      <c r="B57" s="169" t="e">
        <f>IF(OR(MID(#REF!,8,1)&lt;"3",AND(MID(#REF!,8,1)&gt;="5",MID(#REF!,8,1)&lt;="6")),TEXT(TEXT(LEFT(#REF!,6),"1900-00-00"),"yyyy/mm/dd"),TEXT(TEXT(LEFT(#REF!,6),"2000-00-00"),"yyyy/mm/dd"))</f>
        <v>#REF!</v>
      </c>
      <c r="C57" s="100" t="e">
        <f>#REF!</f>
        <v>#REF!</v>
      </c>
      <c r="D57" s="101" t="e">
        <f t="shared" si="2"/>
        <v>#REF!</v>
      </c>
      <c r="E57" s="102" t="e">
        <f>#REF!*10%</f>
        <v>#REF!</v>
      </c>
      <c r="F57" s="102" t="e">
        <f>#REF!</f>
        <v>#REF!</v>
      </c>
      <c r="G57" s="102" t="e">
        <f>#REF!</f>
        <v>#REF!</v>
      </c>
      <c r="H57" s="100" t="e">
        <f>#REF!</f>
        <v>#REF!</v>
      </c>
      <c r="I57" s="103" t="e">
        <f t="shared" si="3"/>
        <v>#REF!</v>
      </c>
      <c r="J57" s="100" t="e">
        <f>#REF!</f>
        <v>#REF!</v>
      </c>
      <c r="K57" s="100" t="e">
        <f>IF(A57=#REF!,"",#REF!)</f>
        <v>#REF!</v>
      </c>
      <c r="L57" s="108" t="e">
        <f>#REF!</f>
        <v>#REF!</v>
      </c>
      <c r="M57" s="103" t="s">
        <v>486</v>
      </c>
      <c r="O57" s="106"/>
      <c r="P57" s="77"/>
    </row>
    <row r="58" spans="1:16" ht="15.95" customHeight="1">
      <c r="A58" s="169" t="e">
        <f>#REF!</f>
        <v>#REF!</v>
      </c>
      <c r="B58" s="169" t="e">
        <f>IF(OR(MID(#REF!,8,1)&lt;"3",AND(MID(#REF!,8,1)&gt;="5",MID(#REF!,8,1)&lt;="6")),TEXT(TEXT(LEFT(#REF!,6),"1900-00-00"),"yyyy/mm/dd"),TEXT(TEXT(LEFT(#REF!,6),"2000-00-00"),"yyyy/mm/dd"))</f>
        <v>#REF!</v>
      </c>
      <c r="C58" s="100" t="e">
        <f>#REF!</f>
        <v>#REF!</v>
      </c>
      <c r="D58" s="101" t="e">
        <f t="shared" si="2"/>
        <v>#REF!</v>
      </c>
      <c r="E58" s="102" t="e">
        <f>#REF!*10%</f>
        <v>#REF!</v>
      </c>
      <c r="F58" s="102" t="e">
        <f>#REF!</f>
        <v>#REF!</v>
      </c>
      <c r="G58" s="102" t="e">
        <f>#REF!</f>
        <v>#REF!</v>
      </c>
      <c r="H58" s="100" t="e">
        <f>#REF!</f>
        <v>#REF!</v>
      </c>
      <c r="I58" s="103" t="e">
        <f t="shared" si="3"/>
        <v>#REF!</v>
      </c>
      <c r="J58" s="100" t="e">
        <f>#REF!</f>
        <v>#REF!</v>
      </c>
      <c r="K58" s="100" t="e">
        <f>IF(A58=#REF!,"",#REF!)</f>
        <v>#REF!</v>
      </c>
      <c r="L58" s="108" t="e">
        <f>#REF!</f>
        <v>#REF!</v>
      </c>
      <c r="M58" s="103" t="s">
        <v>486</v>
      </c>
      <c r="O58" s="106"/>
      <c r="P58" s="77"/>
    </row>
    <row r="59" spans="1:16" ht="15.95" customHeight="1">
      <c r="A59" s="169" t="e">
        <f>#REF!</f>
        <v>#REF!</v>
      </c>
      <c r="B59" s="169" t="e">
        <f>IF(OR(MID(#REF!,8,1)&lt;"3",AND(MID(#REF!,8,1)&gt;="5",MID(#REF!,8,1)&lt;="6")),TEXT(TEXT(LEFT(#REF!,6),"1900-00-00"),"yyyy/mm/dd"),TEXT(TEXT(LEFT(#REF!,6),"2000-00-00"),"yyyy/mm/dd"))</f>
        <v>#REF!</v>
      </c>
      <c r="C59" s="100" t="e">
        <f>#REF!</f>
        <v>#REF!</v>
      </c>
      <c r="D59" s="101" t="e">
        <f t="shared" si="2"/>
        <v>#REF!</v>
      </c>
      <c r="E59" s="102" t="e">
        <f>#REF!*10%</f>
        <v>#REF!</v>
      </c>
      <c r="F59" s="102" t="e">
        <f>#REF!</f>
        <v>#REF!</v>
      </c>
      <c r="G59" s="102" t="e">
        <f>#REF!</f>
        <v>#REF!</v>
      </c>
      <c r="H59" s="100" t="e">
        <f>#REF!</f>
        <v>#REF!</v>
      </c>
      <c r="I59" s="103" t="e">
        <f t="shared" si="3"/>
        <v>#REF!</v>
      </c>
      <c r="J59" s="100" t="e">
        <f>#REF!</f>
        <v>#REF!</v>
      </c>
      <c r="K59" s="100" t="e">
        <f>IF(A59=#REF!,"",#REF!)</f>
        <v>#REF!</v>
      </c>
      <c r="L59" s="108" t="e">
        <f>#REF!</f>
        <v>#REF!</v>
      </c>
      <c r="M59" s="103" t="s">
        <v>486</v>
      </c>
      <c r="O59" s="106"/>
      <c r="P59" s="77"/>
    </row>
    <row r="60" spans="1:16" ht="15.95" customHeight="1">
      <c r="A60" s="169" t="e">
        <f>#REF!</f>
        <v>#REF!</v>
      </c>
      <c r="B60" s="169" t="e">
        <f>IF(OR(MID(#REF!,8,1)&lt;"3",AND(MID(#REF!,8,1)&gt;="5",MID(#REF!,8,1)&lt;="6")),TEXT(TEXT(LEFT(#REF!,6),"1900-00-00"),"yyyy/mm/dd"),TEXT(TEXT(LEFT(#REF!,6),"2000-00-00"),"yyyy/mm/dd"))</f>
        <v>#REF!</v>
      </c>
      <c r="C60" s="100" t="e">
        <f>#REF!</f>
        <v>#REF!</v>
      </c>
      <c r="D60" s="101" t="e">
        <f t="shared" si="2"/>
        <v>#REF!</v>
      </c>
      <c r="E60" s="102" t="e">
        <f>#REF!*10%</f>
        <v>#REF!</v>
      </c>
      <c r="F60" s="102" t="e">
        <f>#REF!</f>
        <v>#REF!</v>
      </c>
      <c r="G60" s="102" t="e">
        <f>#REF!</f>
        <v>#REF!</v>
      </c>
      <c r="H60" s="100" t="e">
        <f>#REF!</f>
        <v>#REF!</v>
      </c>
      <c r="I60" s="103" t="e">
        <f t="shared" si="3"/>
        <v>#REF!</v>
      </c>
      <c r="J60" s="100" t="e">
        <f>#REF!</f>
        <v>#REF!</v>
      </c>
      <c r="K60" s="100" t="e">
        <f>IF(A60=#REF!,"",#REF!)</f>
        <v>#REF!</v>
      </c>
      <c r="L60" s="108" t="e">
        <f>#REF!</f>
        <v>#REF!</v>
      </c>
      <c r="M60" s="103" t="s">
        <v>486</v>
      </c>
      <c r="O60" s="106"/>
      <c r="P60" s="77"/>
    </row>
    <row r="61" spans="1:16" ht="15.95" customHeight="1">
      <c r="A61" s="169" t="e">
        <f>#REF!</f>
        <v>#REF!</v>
      </c>
      <c r="B61" s="169" t="e">
        <f>IF(OR(MID(#REF!,8,1)&lt;"3",AND(MID(#REF!,8,1)&gt;="5",MID(#REF!,8,1)&lt;="6")),TEXT(TEXT(LEFT(#REF!,6),"1900-00-00"),"yyyy/mm/dd"),TEXT(TEXT(LEFT(#REF!,6),"2000-00-00"),"yyyy/mm/dd"))</f>
        <v>#REF!</v>
      </c>
      <c r="C61" s="100" t="e">
        <f>#REF!</f>
        <v>#REF!</v>
      </c>
      <c r="D61" s="101" t="e">
        <f t="shared" si="2"/>
        <v>#REF!</v>
      </c>
      <c r="E61" s="102" t="e">
        <f>#REF!*10%</f>
        <v>#REF!</v>
      </c>
      <c r="F61" s="102" t="e">
        <f>#REF!</f>
        <v>#REF!</v>
      </c>
      <c r="G61" s="102" t="e">
        <f>#REF!</f>
        <v>#REF!</v>
      </c>
      <c r="H61" s="100" t="e">
        <f>#REF!</f>
        <v>#REF!</v>
      </c>
      <c r="I61" s="103" t="e">
        <f t="shared" si="3"/>
        <v>#REF!</v>
      </c>
      <c r="J61" s="100" t="e">
        <f>#REF!</f>
        <v>#REF!</v>
      </c>
      <c r="K61" s="100" t="e">
        <f>IF(A61=#REF!,"",#REF!)</f>
        <v>#REF!</v>
      </c>
      <c r="L61" s="108" t="e">
        <f>#REF!</f>
        <v>#REF!</v>
      </c>
      <c r="M61" s="103" t="s">
        <v>486</v>
      </c>
      <c r="O61" s="106"/>
      <c r="P61" s="77"/>
    </row>
    <row r="62" spans="1:16" ht="15.95" customHeight="1">
      <c r="A62" s="169" t="e">
        <f>#REF!</f>
        <v>#REF!</v>
      </c>
      <c r="B62" s="169" t="e">
        <f>IF(OR(MID(#REF!,8,1)&lt;"3",AND(MID(#REF!,8,1)&gt;="5",MID(#REF!,8,1)&lt;="6")),TEXT(TEXT(LEFT(#REF!,6),"1900-00-00"),"yyyy/mm/dd"),TEXT(TEXT(LEFT(#REF!,6),"2000-00-00"),"yyyy/mm/dd"))</f>
        <v>#REF!</v>
      </c>
      <c r="C62" s="100" t="e">
        <f>#REF!</f>
        <v>#REF!</v>
      </c>
      <c r="D62" s="101" t="e">
        <f t="shared" si="2"/>
        <v>#REF!</v>
      </c>
      <c r="E62" s="102" t="e">
        <f>#REF!*10%</f>
        <v>#REF!</v>
      </c>
      <c r="F62" s="102" t="e">
        <f>#REF!</f>
        <v>#REF!</v>
      </c>
      <c r="G62" s="102" t="e">
        <f>#REF!</f>
        <v>#REF!</v>
      </c>
      <c r="H62" s="100" t="e">
        <f>#REF!</f>
        <v>#REF!</v>
      </c>
      <c r="I62" s="103" t="e">
        <f t="shared" si="3"/>
        <v>#REF!</v>
      </c>
      <c r="J62" s="100" t="e">
        <f>#REF!</f>
        <v>#REF!</v>
      </c>
      <c r="K62" s="100" t="e">
        <f>IF(A62=#REF!,"",#REF!)</f>
        <v>#REF!</v>
      </c>
      <c r="L62" s="108" t="e">
        <f>#REF!</f>
        <v>#REF!</v>
      </c>
      <c r="M62" s="103" t="s">
        <v>486</v>
      </c>
      <c r="O62" s="106"/>
      <c r="P62" s="77"/>
    </row>
    <row r="63" spans="1:16" ht="15.95" customHeight="1">
      <c r="A63" s="169" t="e">
        <f>#REF!</f>
        <v>#REF!</v>
      </c>
      <c r="B63" s="169" t="e">
        <f>IF(OR(MID(#REF!,8,1)&lt;"3",AND(MID(#REF!,8,1)&gt;="5",MID(#REF!,8,1)&lt;="6")),TEXT(TEXT(LEFT(#REF!,6),"1900-00-00"),"yyyy/mm/dd"),TEXT(TEXT(LEFT(#REF!,6),"2000-00-00"),"yyyy/mm/dd"))</f>
        <v>#REF!</v>
      </c>
      <c r="C63" s="100" t="e">
        <f>#REF!</f>
        <v>#REF!</v>
      </c>
      <c r="D63" s="101" t="e">
        <f t="shared" si="2"/>
        <v>#REF!</v>
      </c>
      <c r="E63" s="102" t="e">
        <f>#REF!*10%</f>
        <v>#REF!</v>
      </c>
      <c r="F63" s="102" t="e">
        <f>#REF!</f>
        <v>#REF!</v>
      </c>
      <c r="G63" s="102" t="e">
        <f>#REF!</f>
        <v>#REF!</v>
      </c>
      <c r="H63" s="100" t="e">
        <f>#REF!</f>
        <v>#REF!</v>
      </c>
      <c r="I63" s="103" t="e">
        <f t="shared" si="3"/>
        <v>#REF!</v>
      </c>
      <c r="J63" s="100" t="e">
        <f>#REF!</f>
        <v>#REF!</v>
      </c>
      <c r="K63" s="100" t="e">
        <f>IF(A63=#REF!,"",#REF!)</f>
        <v>#REF!</v>
      </c>
      <c r="L63" s="108" t="e">
        <f>#REF!</f>
        <v>#REF!</v>
      </c>
      <c r="M63" s="103" t="s">
        <v>486</v>
      </c>
      <c r="O63" s="106"/>
      <c r="P63" s="77"/>
    </row>
    <row r="64" spans="1:16" ht="15.95" customHeight="1">
      <c r="A64" s="169" t="e">
        <f>#REF!</f>
        <v>#REF!</v>
      </c>
      <c r="B64" s="169" t="e">
        <f>IF(OR(MID(#REF!,8,1)&lt;"3",AND(MID(#REF!,8,1)&gt;="5",MID(#REF!,8,1)&lt;="6")),TEXT(TEXT(LEFT(#REF!,6),"1900-00-00"),"yyyy/mm/dd"),TEXT(TEXT(LEFT(#REF!,6),"2000-00-00"),"yyyy/mm/dd"))</f>
        <v>#REF!</v>
      </c>
      <c r="C64" s="100" t="e">
        <f>#REF!</f>
        <v>#REF!</v>
      </c>
      <c r="D64" s="101" t="e">
        <f t="shared" si="2"/>
        <v>#REF!</v>
      </c>
      <c r="E64" s="102" t="e">
        <f>#REF!*10%</f>
        <v>#REF!</v>
      </c>
      <c r="F64" s="102" t="e">
        <f>#REF!</f>
        <v>#REF!</v>
      </c>
      <c r="G64" s="102" t="e">
        <f>#REF!</f>
        <v>#REF!</v>
      </c>
      <c r="H64" s="100" t="e">
        <f>#REF!</f>
        <v>#REF!</v>
      </c>
      <c r="I64" s="103" t="e">
        <f t="shared" si="3"/>
        <v>#REF!</v>
      </c>
      <c r="J64" s="100" t="e">
        <f>#REF!</f>
        <v>#REF!</v>
      </c>
      <c r="K64" s="100" t="e">
        <f>IF(A64=#REF!,"",#REF!)</f>
        <v>#REF!</v>
      </c>
      <c r="L64" s="108" t="e">
        <f>#REF!</f>
        <v>#REF!</v>
      </c>
      <c r="M64" s="103" t="s">
        <v>486</v>
      </c>
      <c r="O64" s="106"/>
      <c r="P64" s="77"/>
    </row>
    <row r="65" spans="1:16" ht="15.95" customHeight="1">
      <c r="A65" s="169" t="e">
        <f>#REF!</f>
        <v>#REF!</v>
      </c>
      <c r="B65" s="169" t="e">
        <f>IF(OR(MID(#REF!,8,1)&lt;"3",AND(MID(#REF!,8,1)&gt;="5",MID(#REF!,8,1)&lt;="6")),TEXT(TEXT(LEFT(#REF!,6),"1900-00-00"),"yyyy/mm/dd"),TEXT(TEXT(LEFT(#REF!,6),"2000-00-00"),"yyyy/mm/dd"))</f>
        <v>#REF!</v>
      </c>
      <c r="C65" s="100" t="e">
        <f>#REF!</f>
        <v>#REF!</v>
      </c>
      <c r="D65" s="101" t="e">
        <f t="shared" si="2"/>
        <v>#REF!</v>
      </c>
      <c r="E65" s="102" t="e">
        <f>#REF!*10%</f>
        <v>#REF!</v>
      </c>
      <c r="F65" s="102" t="e">
        <f>#REF!</f>
        <v>#REF!</v>
      </c>
      <c r="G65" s="102" t="e">
        <f>#REF!</f>
        <v>#REF!</v>
      </c>
      <c r="H65" s="100" t="e">
        <f>#REF!</f>
        <v>#REF!</v>
      </c>
      <c r="I65" s="103" t="e">
        <f t="shared" si="3"/>
        <v>#REF!</v>
      </c>
      <c r="J65" s="100" t="e">
        <f>#REF!</f>
        <v>#REF!</v>
      </c>
      <c r="K65" s="100" t="e">
        <f>IF(A65=#REF!,"",#REF!)</f>
        <v>#REF!</v>
      </c>
      <c r="L65" s="108" t="e">
        <f>#REF!</f>
        <v>#REF!</v>
      </c>
      <c r="M65" s="103" t="s">
        <v>486</v>
      </c>
      <c r="O65" s="106"/>
      <c r="P65" s="77"/>
    </row>
    <row r="66" spans="1:16" ht="15.95" customHeight="1">
      <c r="A66" s="169" t="e">
        <f>#REF!</f>
        <v>#REF!</v>
      </c>
      <c r="B66" s="169" t="e">
        <f>IF(OR(MID(#REF!,8,1)&lt;"3",AND(MID(#REF!,8,1)&gt;="5",MID(#REF!,8,1)&lt;="6")),TEXT(TEXT(LEFT(#REF!,6),"1900-00-00"),"yyyy/mm/dd"),TEXT(TEXT(LEFT(#REF!,6),"2000-00-00"),"yyyy/mm/dd"))</f>
        <v>#REF!</v>
      </c>
      <c r="C66" s="100" t="e">
        <f>#REF!</f>
        <v>#REF!</v>
      </c>
      <c r="D66" s="101" t="e">
        <f t="shared" si="2"/>
        <v>#REF!</v>
      </c>
      <c r="E66" s="102" t="e">
        <f>#REF!*10%</f>
        <v>#REF!</v>
      </c>
      <c r="F66" s="102" t="e">
        <f>#REF!</f>
        <v>#REF!</v>
      </c>
      <c r="G66" s="102" t="e">
        <f>#REF!</f>
        <v>#REF!</v>
      </c>
      <c r="H66" s="100" t="e">
        <f>#REF!</f>
        <v>#REF!</v>
      </c>
      <c r="I66" s="103" t="e">
        <f t="shared" si="3"/>
        <v>#REF!</v>
      </c>
      <c r="J66" s="100" t="e">
        <f>#REF!</f>
        <v>#REF!</v>
      </c>
      <c r="K66" s="100" t="e">
        <f>IF(A66=#REF!,"",#REF!)</f>
        <v>#REF!</v>
      </c>
      <c r="L66" s="108" t="e">
        <f>#REF!</f>
        <v>#REF!</v>
      </c>
      <c r="M66" s="103" t="s">
        <v>486</v>
      </c>
      <c r="O66" s="106"/>
      <c r="P66" s="77"/>
    </row>
    <row r="67" spans="1:16" ht="15.95" customHeight="1">
      <c r="A67" s="169" t="e">
        <f>#REF!</f>
        <v>#REF!</v>
      </c>
      <c r="B67" s="169" t="e">
        <f>IF(OR(MID(#REF!,8,1)&lt;"3",AND(MID(#REF!,8,1)&gt;="5",MID(#REF!,8,1)&lt;="6")),TEXT(TEXT(LEFT(#REF!,6),"1900-00-00"),"yyyy/mm/dd"),TEXT(TEXT(LEFT(#REF!,6),"2000-00-00"),"yyyy/mm/dd"))</f>
        <v>#REF!</v>
      </c>
      <c r="C67" s="100" t="e">
        <f>#REF!</f>
        <v>#REF!</v>
      </c>
      <c r="D67" s="101" t="e">
        <f t="shared" ref="D67:D76" si="4">SUM(E67:G67)</f>
        <v>#REF!</v>
      </c>
      <c r="E67" s="102" t="e">
        <f>#REF!*10%</f>
        <v>#REF!</v>
      </c>
      <c r="F67" s="102" t="e">
        <f>#REF!</f>
        <v>#REF!</v>
      </c>
      <c r="G67" s="102" t="e">
        <f>#REF!</f>
        <v>#REF!</v>
      </c>
      <c r="H67" s="100" t="e">
        <f>#REF!</f>
        <v>#REF!</v>
      </c>
      <c r="I67" s="103" t="e">
        <f t="shared" ref="I67:I75" si="5">IF(LEN(TRIM(H67))&gt;0,VLOOKUP(H67,$O$3:$P$75,2,0),"")</f>
        <v>#REF!</v>
      </c>
      <c r="J67" s="100" t="e">
        <f>#REF!</f>
        <v>#REF!</v>
      </c>
      <c r="K67" s="100" t="e">
        <f>IF(A67=#REF!,"",#REF!)</f>
        <v>#REF!</v>
      </c>
      <c r="L67" s="108" t="e">
        <f>#REF!</f>
        <v>#REF!</v>
      </c>
      <c r="M67" s="103" t="s">
        <v>486</v>
      </c>
      <c r="O67" s="106"/>
      <c r="P67" s="77"/>
    </row>
    <row r="68" spans="1:16" ht="15.95" customHeight="1">
      <c r="A68" s="169" t="e">
        <f>#REF!</f>
        <v>#REF!</v>
      </c>
      <c r="B68" s="169" t="e">
        <f>IF(OR(MID(#REF!,8,1)&lt;"3",AND(MID(#REF!,8,1)&gt;="5",MID(#REF!,8,1)&lt;="6")),TEXT(TEXT(LEFT(#REF!,6),"1900-00-00"),"yyyy/mm/dd"),TEXT(TEXT(LEFT(#REF!,6),"2000-00-00"),"yyyy/mm/dd"))</f>
        <v>#REF!</v>
      </c>
      <c r="C68" s="100" t="e">
        <f>#REF!</f>
        <v>#REF!</v>
      </c>
      <c r="D68" s="101" t="e">
        <f t="shared" si="4"/>
        <v>#REF!</v>
      </c>
      <c r="E68" s="102" t="e">
        <f>#REF!*10%</f>
        <v>#REF!</v>
      </c>
      <c r="F68" s="102" t="e">
        <f>#REF!</f>
        <v>#REF!</v>
      </c>
      <c r="G68" s="102" t="e">
        <f>#REF!</f>
        <v>#REF!</v>
      </c>
      <c r="H68" s="100" t="e">
        <f>#REF!</f>
        <v>#REF!</v>
      </c>
      <c r="I68" s="103" t="e">
        <f t="shared" si="5"/>
        <v>#REF!</v>
      </c>
      <c r="J68" s="100" t="e">
        <f>#REF!</f>
        <v>#REF!</v>
      </c>
      <c r="K68" s="100" t="e">
        <f>IF(A68=#REF!,"",#REF!)</f>
        <v>#REF!</v>
      </c>
      <c r="L68" s="108" t="e">
        <f>#REF!</f>
        <v>#REF!</v>
      </c>
      <c r="M68" s="103" t="s">
        <v>486</v>
      </c>
      <c r="O68" s="106"/>
      <c r="P68" s="77"/>
    </row>
    <row r="69" spans="1:16" ht="15.95" customHeight="1">
      <c r="A69" s="169" t="e">
        <f>#REF!</f>
        <v>#REF!</v>
      </c>
      <c r="B69" s="169" t="e">
        <f>IF(OR(MID(#REF!,8,1)&lt;"3",AND(MID(#REF!,8,1)&gt;="5",MID(#REF!,8,1)&lt;="6")),TEXT(TEXT(LEFT(#REF!,6),"1900-00-00"),"yyyy/mm/dd"),TEXT(TEXT(LEFT(#REF!,6),"2000-00-00"),"yyyy/mm/dd"))</f>
        <v>#REF!</v>
      </c>
      <c r="C69" s="100" t="e">
        <f>#REF!</f>
        <v>#REF!</v>
      </c>
      <c r="D69" s="101" t="e">
        <f t="shared" si="4"/>
        <v>#REF!</v>
      </c>
      <c r="E69" s="102" t="e">
        <f>#REF!*10%</f>
        <v>#REF!</v>
      </c>
      <c r="F69" s="102" t="e">
        <f>#REF!</f>
        <v>#REF!</v>
      </c>
      <c r="G69" s="102" t="e">
        <f>#REF!</f>
        <v>#REF!</v>
      </c>
      <c r="H69" s="100" t="e">
        <f>#REF!</f>
        <v>#REF!</v>
      </c>
      <c r="I69" s="103" t="e">
        <f t="shared" si="5"/>
        <v>#REF!</v>
      </c>
      <c r="J69" s="100" t="e">
        <f>#REF!</f>
        <v>#REF!</v>
      </c>
      <c r="K69" s="100" t="e">
        <f>IF(A69=#REF!,"",#REF!)</f>
        <v>#REF!</v>
      </c>
      <c r="L69" s="108" t="e">
        <f>#REF!</f>
        <v>#REF!</v>
      </c>
      <c r="M69" s="103" t="s">
        <v>486</v>
      </c>
      <c r="O69" s="106"/>
      <c r="P69" s="77"/>
    </row>
    <row r="70" spans="1:16" ht="15.95" customHeight="1">
      <c r="A70" s="169" t="e">
        <f>#REF!</f>
        <v>#REF!</v>
      </c>
      <c r="B70" s="169" t="e">
        <f>IF(OR(MID(#REF!,8,1)&lt;"3",AND(MID(#REF!,8,1)&gt;="5",MID(#REF!,8,1)&lt;="6")),TEXT(TEXT(LEFT(#REF!,6),"1900-00-00"),"yyyy/mm/dd"),TEXT(TEXT(LEFT(#REF!,6),"2000-00-00"),"yyyy/mm/dd"))</f>
        <v>#REF!</v>
      </c>
      <c r="C70" s="100" t="e">
        <f>#REF!</f>
        <v>#REF!</v>
      </c>
      <c r="D70" s="101" t="e">
        <f t="shared" si="4"/>
        <v>#REF!</v>
      </c>
      <c r="E70" s="102" t="e">
        <f>#REF!*10%</f>
        <v>#REF!</v>
      </c>
      <c r="F70" s="102" t="e">
        <f>#REF!</f>
        <v>#REF!</v>
      </c>
      <c r="G70" s="102" t="e">
        <f>#REF!</f>
        <v>#REF!</v>
      </c>
      <c r="H70" s="100" t="e">
        <f>#REF!</f>
        <v>#REF!</v>
      </c>
      <c r="I70" s="103" t="e">
        <f t="shared" si="5"/>
        <v>#REF!</v>
      </c>
      <c r="J70" s="100" t="e">
        <f>#REF!</f>
        <v>#REF!</v>
      </c>
      <c r="K70" s="100" t="e">
        <f>IF(A70=#REF!,"",#REF!)</f>
        <v>#REF!</v>
      </c>
      <c r="L70" s="108" t="e">
        <f>#REF!</f>
        <v>#REF!</v>
      </c>
      <c r="M70" s="103" t="s">
        <v>486</v>
      </c>
      <c r="O70" s="106"/>
      <c r="P70" s="77"/>
    </row>
    <row r="71" spans="1:16" ht="15.95" customHeight="1">
      <c r="A71" s="169" t="e">
        <f>#REF!</f>
        <v>#REF!</v>
      </c>
      <c r="B71" s="169" t="e">
        <f>IF(OR(MID(#REF!,8,1)&lt;"3",AND(MID(#REF!,8,1)&gt;="5",MID(#REF!,8,1)&lt;="6")),TEXT(TEXT(LEFT(#REF!,6),"1900-00-00"),"yyyy/mm/dd"),TEXT(TEXT(LEFT(#REF!,6),"2000-00-00"),"yyyy/mm/dd"))</f>
        <v>#REF!</v>
      </c>
      <c r="C71" s="100" t="e">
        <f>#REF!</f>
        <v>#REF!</v>
      </c>
      <c r="D71" s="101" t="e">
        <f t="shared" si="4"/>
        <v>#REF!</v>
      </c>
      <c r="E71" s="102" t="e">
        <f>#REF!*10%</f>
        <v>#REF!</v>
      </c>
      <c r="F71" s="102" t="e">
        <f>#REF!</f>
        <v>#REF!</v>
      </c>
      <c r="G71" s="102" t="e">
        <f>#REF!</f>
        <v>#REF!</v>
      </c>
      <c r="H71" s="100" t="e">
        <f>#REF!</f>
        <v>#REF!</v>
      </c>
      <c r="I71" s="103" t="e">
        <f t="shared" si="5"/>
        <v>#REF!</v>
      </c>
      <c r="J71" s="100" t="e">
        <f>#REF!</f>
        <v>#REF!</v>
      </c>
      <c r="K71" s="100" t="e">
        <f>IF(A71=#REF!,"",#REF!)</f>
        <v>#REF!</v>
      </c>
      <c r="L71" s="108" t="e">
        <f>#REF!</f>
        <v>#REF!</v>
      </c>
      <c r="M71" s="103" t="s">
        <v>486</v>
      </c>
      <c r="O71" s="106"/>
      <c r="P71" s="77"/>
    </row>
    <row r="72" spans="1:16" ht="15.95" customHeight="1">
      <c r="A72" s="169" t="e">
        <f>#REF!</f>
        <v>#REF!</v>
      </c>
      <c r="B72" s="169" t="e">
        <f>IF(OR(MID(#REF!,8,1)&lt;"3",AND(MID(#REF!,8,1)&gt;="5",MID(#REF!,8,1)&lt;="6")),TEXT(TEXT(LEFT(#REF!,6),"1900-00-00"),"yyyy/mm/dd"),TEXT(TEXT(LEFT(#REF!,6),"2000-00-00"),"yyyy/mm/dd"))</f>
        <v>#REF!</v>
      </c>
      <c r="C72" s="100" t="e">
        <f>#REF!</f>
        <v>#REF!</v>
      </c>
      <c r="D72" s="101" t="e">
        <f t="shared" si="4"/>
        <v>#REF!</v>
      </c>
      <c r="E72" s="102" t="e">
        <f>#REF!*10%</f>
        <v>#REF!</v>
      </c>
      <c r="F72" s="102" t="e">
        <f>#REF!</f>
        <v>#REF!</v>
      </c>
      <c r="G72" s="102" t="e">
        <f>#REF!</f>
        <v>#REF!</v>
      </c>
      <c r="H72" s="100" t="e">
        <f>#REF!</f>
        <v>#REF!</v>
      </c>
      <c r="I72" s="103" t="e">
        <f t="shared" si="5"/>
        <v>#REF!</v>
      </c>
      <c r="J72" s="100" t="e">
        <f>#REF!</f>
        <v>#REF!</v>
      </c>
      <c r="K72" s="100" t="e">
        <f>IF(A72=#REF!,"",#REF!)</f>
        <v>#REF!</v>
      </c>
      <c r="L72" s="108" t="e">
        <f>#REF!</f>
        <v>#REF!</v>
      </c>
      <c r="M72" s="103" t="s">
        <v>486</v>
      </c>
      <c r="O72" s="106"/>
      <c r="P72" s="77"/>
    </row>
    <row r="73" spans="1:16" ht="15.95" customHeight="1">
      <c r="A73" s="169" t="e">
        <f>#REF!</f>
        <v>#REF!</v>
      </c>
      <c r="B73" s="169" t="e">
        <f>IF(OR(MID(#REF!,8,1)&lt;"3",AND(MID(#REF!,8,1)&gt;="5",MID(#REF!,8,1)&lt;="6")),TEXT(TEXT(LEFT(#REF!,6),"1900-00-00"),"yyyy/mm/dd"),TEXT(TEXT(LEFT(#REF!,6),"2000-00-00"),"yyyy/mm/dd"))</f>
        <v>#REF!</v>
      </c>
      <c r="C73" s="100" t="e">
        <f>#REF!</f>
        <v>#REF!</v>
      </c>
      <c r="D73" s="101" t="e">
        <f t="shared" si="4"/>
        <v>#REF!</v>
      </c>
      <c r="E73" s="102" t="e">
        <f>#REF!*10%</f>
        <v>#REF!</v>
      </c>
      <c r="F73" s="102" t="e">
        <f>#REF!</f>
        <v>#REF!</v>
      </c>
      <c r="G73" s="102" t="e">
        <f>#REF!</f>
        <v>#REF!</v>
      </c>
      <c r="H73" s="100" t="e">
        <f>#REF!</f>
        <v>#REF!</v>
      </c>
      <c r="I73" s="103" t="e">
        <f t="shared" si="5"/>
        <v>#REF!</v>
      </c>
      <c r="J73" s="100" t="e">
        <f>#REF!</f>
        <v>#REF!</v>
      </c>
      <c r="K73" s="100" t="e">
        <f>IF(A73=#REF!,"",#REF!)</f>
        <v>#REF!</v>
      </c>
      <c r="L73" s="108" t="e">
        <f>#REF!</f>
        <v>#REF!</v>
      </c>
      <c r="M73" s="103" t="s">
        <v>486</v>
      </c>
      <c r="O73" s="106"/>
      <c r="P73" s="77"/>
    </row>
    <row r="74" spans="1:16" ht="15.95" customHeight="1">
      <c r="A74" s="169" t="e">
        <f>#REF!</f>
        <v>#REF!</v>
      </c>
      <c r="B74" s="169" t="e">
        <f>IF(OR(MID(#REF!,8,1)&lt;"3",AND(MID(#REF!,8,1)&gt;="5",MID(#REF!,8,1)&lt;="6")),TEXT(TEXT(LEFT(#REF!,6),"1900-00-00"),"yyyy/mm/dd"),TEXT(TEXT(LEFT(#REF!,6),"2000-00-00"),"yyyy/mm/dd"))</f>
        <v>#REF!</v>
      </c>
      <c r="C74" s="100" t="e">
        <f>#REF!</f>
        <v>#REF!</v>
      </c>
      <c r="D74" s="101" t="e">
        <f t="shared" si="4"/>
        <v>#REF!</v>
      </c>
      <c r="E74" s="102" t="e">
        <f>#REF!*10%</f>
        <v>#REF!</v>
      </c>
      <c r="F74" s="102" t="e">
        <f>#REF!</f>
        <v>#REF!</v>
      </c>
      <c r="G74" s="102" t="e">
        <f>#REF!</f>
        <v>#REF!</v>
      </c>
      <c r="H74" s="100" t="e">
        <f>#REF!</f>
        <v>#REF!</v>
      </c>
      <c r="I74" s="103" t="e">
        <f t="shared" si="5"/>
        <v>#REF!</v>
      </c>
      <c r="J74" s="100" t="e">
        <f>#REF!</f>
        <v>#REF!</v>
      </c>
      <c r="K74" s="100" t="e">
        <f>IF(A74=#REF!,"",#REF!)</f>
        <v>#REF!</v>
      </c>
      <c r="L74" s="108" t="e">
        <f>#REF!</f>
        <v>#REF!</v>
      </c>
      <c r="M74" s="103" t="s">
        <v>486</v>
      </c>
      <c r="O74" s="106"/>
      <c r="P74" s="77"/>
    </row>
    <row r="75" spans="1:16" ht="15.95" customHeight="1">
      <c r="A75" s="169" t="e">
        <f>#REF!</f>
        <v>#REF!</v>
      </c>
      <c r="B75" s="169" t="e">
        <f>IF(OR(MID(#REF!,8,1)&lt;"3",AND(MID(#REF!,8,1)&gt;="5",MID(#REF!,8,1)&lt;="6")),TEXT(TEXT(LEFT(#REF!,6),"1900-00-00"),"yyyy/mm/dd"),TEXT(TEXT(LEFT(#REF!,6),"2000-00-00"),"yyyy/mm/dd"))</f>
        <v>#REF!</v>
      </c>
      <c r="C75" s="100" t="e">
        <f>#REF!</f>
        <v>#REF!</v>
      </c>
      <c r="D75" s="101" t="e">
        <f t="shared" si="4"/>
        <v>#REF!</v>
      </c>
      <c r="E75" s="102" t="e">
        <f>#REF!*10%</f>
        <v>#REF!</v>
      </c>
      <c r="F75" s="102" t="e">
        <f>#REF!</f>
        <v>#REF!</v>
      </c>
      <c r="G75" s="102" t="e">
        <f>#REF!</f>
        <v>#REF!</v>
      </c>
      <c r="H75" s="100" t="e">
        <f>#REF!</f>
        <v>#REF!</v>
      </c>
      <c r="I75" s="103" t="e">
        <f t="shared" si="5"/>
        <v>#REF!</v>
      </c>
      <c r="J75" s="100" t="e">
        <f>#REF!</f>
        <v>#REF!</v>
      </c>
      <c r="K75" s="100" t="e">
        <f>IF(A75=#REF!,"",#REF!)</f>
        <v>#REF!</v>
      </c>
      <c r="L75" s="108" t="e">
        <f>#REF!</f>
        <v>#REF!</v>
      </c>
      <c r="M75" s="103" t="s">
        <v>486</v>
      </c>
      <c r="O75" s="106"/>
      <c r="P75" s="77"/>
    </row>
    <row r="76" spans="1:16" ht="18" customHeight="1">
      <c r="D76" s="101" t="e">
        <f t="shared" si="4"/>
        <v>#REF!</v>
      </c>
      <c r="E76" s="122" t="e">
        <f>SUM(E3:E75)</f>
        <v>#REF!</v>
      </c>
      <c r="F76" s="122" t="e">
        <f>SUM(F3:F75)</f>
        <v>#REF!</v>
      </c>
      <c r="G76" s="122" t="e">
        <f>SUM(G3:G75)</f>
        <v>#REF!</v>
      </c>
      <c r="L76" s="156"/>
    </row>
  </sheetData>
  <autoFilter ref="A2:M75" xr:uid="{00000000-0009-0000-0000-000019000000}"/>
  <mergeCells count="1">
    <mergeCell ref="A1:M1"/>
  </mergeCells>
  <phoneticPr fontId="4" type="noConversion"/>
  <dataValidations disablePrompts="1" count="1">
    <dataValidation type="list" allowBlank="1" showInputMessage="1" showErrorMessage="1" sqref="M3:M75" xr:uid="{00000000-0002-0000-1900-000000000000}">
      <formula1>"일반지급, 선지급"</formula1>
    </dataValidation>
  </dataValidations>
  <pageMargins left="0.75" right="0.75" top="1" bottom="1" header="0.5" footer="0.5"/>
  <pageSetup orientation="portrait" horizontalDpi="300" verticalDpi="300"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9"/>
  <dimension ref="B1:BA131"/>
  <sheetViews>
    <sheetView showGridLines="0" zoomScaleNormal="100" zoomScaleSheetLayoutView="90" workbookViewId="0">
      <selection activeCell="AB15" sqref="AB15"/>
    </sheetView>
  </sheetViews>
  <sheetFormatPr defaultRowHeight="16.5"/>
  <cols>
    <col min="1" max="1" width="0.875" customWidth="1"/>
    <col min="3" max="4" width="1.125" customWidth="1"/>
    <col min="5" max="6" width="2.125" customWidth="1"/>
    <col min="7" max="7" width="3.875" customWidth="1"/>
    <col min="8" max="8" width="3.125" customWidth="1"/>
    <col min="9" max="9" width="0.5" customWidth="1"/>
    <col min="10" max="11" width="3.125" customWidth="1"/>
    <col min="12" max="12" width="4.875" customWidth="1"/>
    <col min="13" max="13" width="2.125" customWidth="1"/>
    <col min="14" max="18" width="3.125" customWidth="1"/>
    <col min="19" max="22" width="2.125" customWidth="1"/>
    <col min="23" max="23" width="3.5" customWidth="1"/>
    <col min="24" max="37" width="2.125" customWidth="1"/>
    <col min="38" max="38" width="5.625" customWidth="1"/>
    <col min="39" max="41" width="3.5" customWidth="1"/>
    <col min="42" max="42" width="0.875" customWidth="1"/>
    <col min="43" max="43" width="11.875" customWidth="1"/>
    <col min="44" max="49" width="1.125" customWidth="1"/>
    <col min="50" max="50" width="5.375" bestFit="1" customWidth="1"/>
    <col min="51" max="51" width="6" style="150" bestFit="1" customWidth="1"/>
    <col min="52" max="52" width="42.25" customWidth="1"/>
  </cols>
  <sheetData>
    <row r="1" spans="2:53" ht="6.95" customHeight="1"/>
    <row r="2" spans="2:53" ht="30" customHeight="1">
      <c r="B2" s="151"/>
      <c r="C2" s="152"/>
      <c r="D2" s="152"/>
      <c r="E2" s="152"/>
      <c r="F2" s="152"/>
      <c r="G2" s="152"/>
      <c r="H2" s="152"/>
      <c r="I2" s="152"/>
      <c r="J2" s="152"/>
      <c r="K2" s="152"/>
      <c r="L2" s="1043" t="s">
        <v>529</v>
      </c>
      <c r="M2" s="1043"/>
      <c r="N2" s="1043"/>
      <c r="O2" s="1043"/>
      <c r="P2" s="1043"/>
      <c r="Q2" s="1043"/>
      <c r="R2" s="1043"/>
      <c r="S2" s="1043"/>
      <c r="T2" s="1043"/>
      <c r="U2" s="1043"/>
      <c r="V2" s="1043"/>
      <c r="W2" s="1043"/>
      <c r="X2" s="1043"/>
      <c r="Y2" s="1043"/>
      <c r="Z2" s="1043"/>
      <c r="AA2" s="1043"/>
      <c r="AB2" s="1043"/>
      <c r="AC2" s="1043"/>
      <c r="AD2" s="1043"/>
      <c r="AE2" s="1043"/>
      <c r="AF2" s="1043"/>
      <c r="AG2" s="1043"/>
      <c r="AH2" s="1043"/>
      <c r="AI2" s="1043"/>
      <c r="AJ2" s="152"/>
      <c r="AK2" s="152"/>
      <c r="AL2" s="152"/>
      <c r="AM2" s="152"/>
      <c r="AN2" s="152"/>
      <c r="AO2" s="152"/>
      <c r="AZ2" s="153" t="e">
        <f>IF(X15&lt;9620,"최저임금 위반, 일당을 올리십시오.","")</f>
        <v>#REF!</v>
      </c>
      <c r="BA2" s="154" t="s">
        <v>635</v>
      </c>
    </row>
    <row r="3" spans="2:53" ht="15" customHeight="1" thickBot="1">
      <c r="B3" s="151"/>
      <c r="C3" s="152"/>
      <c r="D3" s="152"/>
      <c r="E3" s="152"/>
      <c r="F3" s="152"/>
      <c r="G3" s="152"/>
      <c r="H3" s="152"/>
      <c r="I3" s="152"/>
      <c r="J3" s="152"/>
      <c r="K3" s="152"/>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2"/>
      <c r="AK3" s="152"/>
      <c r="AL3" s="152"/>
      <c r="AM3" s="152"/>
      <c r="AN3" s="152"/>
      <c r="AO3" s="152"/>
      <c r="AR3" s="156"/>
    </row>
    <row r="4" spans="2:53" ht="16.5" customHeight="1">
      <c r="B4" s="1044" t="s">
        <v>530</v>
      </c>
      <c r="C4" s="1045"/>
      <c r="D4" s="1045"/>
      <c r="E4" s="1045" t="s">
        <v>531</v>
      </c>
      <c r="F4" s="1045"/>
      <c r="G4" s="1045"/>
      <c r="H4" s="1040" t="s">
        <v>630</v>
      </c>
      <c r="I4" s="1041"/>
      <c r="J4" s="1041"/>
      <c r="K4" s="1041"/>
      <c r="L4" s="1041"/>
      <c r="M4" s="1041"/>
      <c r="N4" s="1041"/>
      <c r="O4" s="1041"/>
      <c r="P4" s="1041"/>
      <c r="Q4" s="1041"/>
      <c r="R4" s="1041"/>
      <c r="S4" s="1041"/>
      <c r="T4" s="1041"/>
      <c r="U4" s="1041"/>
      <c r="V4" s="1041"/>
      <c r="W4" s="1041"/>
      <c r="X4" s="1041"/>
      <c r="Y4" s="1041"/>
      <c r="Z4" s="1041"/>
      <c r="AA4" s="1046"/>
      <c r="AB4" s="1047" t="s">
        <v>532</v>
      </c>
      <c r="AC4" s="1048"/>
      <c r="AD4" s="1048"/>
      <c r="AE4" s="1048"/>
      <c r="AF4" s="1048"/>
      <c r="AG4" s="1033"/>
      <c r="AH4" s="1041" t="s">
        <v>634</v>
      </c>
      <c r="AI4" s="1041"/>
      <c r="AJ4" s="1041"/>
      <c r="AK4" s="1041"/>
      <c r="AL4" s="1041"/>
      <c r="AM4" s="1041"/>
      <c r="AN4" s="1041"/>
      <c r="AO4" s="1042"/>
    </row>
    <row r="5" spans="2:53" ht="16.5" customHeight="1">
      <c r="B5" s="980"/>
      <c r="C5" s="981"/>
      <c r="D5" s="981"/>
      <c r="E5" s="981" t="s">
        <v>533</v>
      </c>
      <c r="F5" s="981"/>
      <c r="G5" s="981"/>
      <c r="H5" s="1049" t="s">
        <v>633</v>
      </c>
      <c r="I5" s="1050"/>
      <c r="J5" s="1050"/>
      <c r="K5" s="1050"/>
      <c r="L5" s="1050"/>
      <c r="M5" s="1050"/>
      <c r="N5" s="1050"/>
      <c r="O5" s="1050"/>
      <c r="P5" s="1050"/>
      <c r="Q5" s="1050"/>
      <c r="R5" s="1050"/>
      <c r="S5" s="1050"/>
      <c r="T5" s="1050"/>
      <c r="U5" s="1050"/>
      <c r="V5" s="1050"/>
      <c r="W5" s="1050"/>
      <c r="X5" s="1050"/>
      <c r="Y5" s="1050"/>
      <c r="Z5" s="1050"/>
      <c r="AA5" s="1050"/>
      <c r="AB5" s="1050"/>
      <c r="AC5" s="1050"/>
      <c r="AD5" s="1050"/>
      <c r="AE5" s="1050"/>
      <c r="AF5" s="1050"/>
      <c r="AG5" s="1050"/>
      <c r="AH5" s="1050"/>
      <c r="AI5" s="1050"/>
      <c r="AJ5" s="1050"/>
      <c r="AK5" s="1050"/>
      <c r="AL5" s="1050"/>
      <c r="AM5" s="1050"/>
      <c r="AN5" s="1050"/>
      <c r="AO5" s="1051"/>
    </row>
    <row r="6" spans="2:53" ht="17.25" customHeight="1">
      <c r="B6" s="980" t="s">
        <v>534</v>
      </c>
      <c r="C6" s="981"/>
      <c r="D6" s="981"/>
      <c r="E6" s="981" t="s">
        <v>535</v>
      </c>
      <c r="F6" s="981"/>
      <c r="G6" s="981"/>
      <c r="H6" s="1054" t="s">
        <v>638</v>
      </c>
      <c r="I6" s="1055"/>
      <c r="J6" s="1055"/>
      <c r="K6" s="1055"/>
      <c r="L6" s="157"/>
      <c r="M6" s="157"/>
      <c r="N6" s="157"/>
      <c r="O6" s="157"/>
      <c r="P6" s="157"/>
      <c r="Q6" s="157"/>
      <c r="R6" s="157"/>
      <c r="S6" s="157"/>
      <c r="T6" s="157"/>
      <c r="U6" s="157"/>
      <c r="V6" s="158"/>
      <c r="W6" s="1056" t="s">
        <v>2</v>
      </c>
      <c r="X6" s="1057"/>
      <c r="Y6" s="1057"/>
      <c r="Z6" s="1057"/>
      <c r="AA6" s="1057"/>
      <c r="AB6" s="1049" t="e">
        <f>VLOOKUP(H6,#REF!,2,FALSE)</f>
        <v>#REF!</v>
      </c>
      <c r="AC6" s="1050"/>
      <c r="AD6" s="1050"/>
      <c r="AE6" s="1050"/>
      <c r="AF6" s="1050"/>
      <c r="AG6" s="1050"/>
      <c r="AH6" s="1050"/>
      <c r="AI6" s="1050"/>
      <c r="AJ6" s="1050"/>
      <c r="AK6" s="1050"/>
      <c r="AL6" s="1050"/>
      <c r="AM6" s="1050"/>
      <c r="AN6" s="1050"/>
      <c r="AO6" s="1051"/>
    </row>
    <row r="7" spans="2:53" ht="17.25" thickBot="1">
      <c r="B7" s="1052"/>
      <c r="C7" s="1053"/>
      <c r="D7" s="1053"/>
      <c r="E7" s="1053" t="s">
        <v>533</v>
      </c>
      <c r="F7" s="1053"/>
      <c r="G7" s="1053"/>
      <c r="H7" s="1058" t="e">
        <f>VLOOKUP(AB6,주소록!C3:L522,2,FALSE)</f>
        <v>#REF!</v>
      </c>
      <c r="I7" s="1059"/>
      <c r="J7" s="1059"/>
      <c r="K7" s="1059"/>
      <c r="L7" s="1059"/>
      <c r="M7" s="1059"/>
      <c r="N7" s="1059"/>
      <c r="O7" s="1059"/>
      <c r="P7" s="1059"/>
      <c r="Q7" s="1059"/>
      <c r="R7" s="1059"/>
      <c r="S7" s="1059"/>
      <c r="T7" s="1059"/>
      <c r="U7" s="1059"/>
      <c r="V7" s="1059"/>
      <c r="W7" s="1059"/>
      <c r="X7" s="1059"/>
      <c r="Y7" s="1059"/>
      <c r="Z7" s="1059"/>
      <c r="AA7" s="1060"/>
      <c r="AB7" s="1061" t="s">
        <v>536</v>
      </c>
      <c r="AC7" s="1062"/>
      <c r="AD7" s="1062"/>
      <c r="AE7" s="1062"/>
      <c r="AF7" s="1062"/>
      <c r="AG7" s="1063"/>
      <c r="AH7" s="1058" t="e">
        <f>VLOOKUP(AB6,주소록!C3:L522,3,FALSE)</f>
        <v>#REF!</v>
      </c>
      <c r="AI7" s="1059"/>
      <c r="AJ7" s="1059"/>
      <c r="AK7" s="1059"/>
      <c r="AL7" s="1059"/>
      <c r="AM7" s="1059"/>
      <c r="AN7" s="1059"/>
      <c r="AO7" s="1064"/>
    </row>
    <row r="8" spans="2:53" ht="30" customHeight="1" thickBot="1">
      <c r="B8" s="1029" t="s">
        <v>537</v>
      </c>
      <c r="C8" s="1030"/>
      <c r="D8" s="1030"/>
      <c r="E8" s="1030"/>
      <c r="F8" s="1030"/>
      <c r="G8" s="1030"/>
      <c r="H8" s="1030"/>
      <c r="I8" s="1030"/>
      <c r="J8" s="1030"/>
      <c r="K8" s="1030"/>
      <c r="L8" s="1030"/>
      <c r="M8" s="1030"/>
      <c r="N8" s="1030"/>
      <c r="O8" s="1030"/>
      <c r="P8" s="1030"/>
      <c r="Q8" s="1030"/>
      <c r="R8" s="1030"/>
      <c r="S8" s="1030"/>
      <c r="T8" s="1030"/>
      <c r="U8" s="1030"/>
      <c r="V8" s="1030"/>
      <c r="W8" s="1030"/>
      <c r="X8" s="1030"/>
      <c r="Y8" s="1030"/>
      <c r="Z8" s="1030"/>
      <c r="AA8" s="1030"/>
      <c r="AB8" s="1030"/>
      <c r="AC8" s="1030"/>
      <c r="AD8" s="1030"/>
      <c r="AE8" s="1030"/>
      <c r="AF8" s="1030"/>
      <c r="AG8" s="1030"/>
      <c r="AH8" s="1030"/>
      <c r="AI8" s="1030"/>
      <c r="AJ8" s="1030"/>
      <c r="AK8" s="1030"/>
      <c r="AL8" s="1030"/>
      <c r="AM8" s="1030"/>
      <c r="AN8" s="1030"/>
      <c r="AO8" s="1031"/>
    </row>
    <row r="9" spans="2:53">
      <c r="B9" s="1032" t="s">
        <v>538</v>
      </c>
      <c r="C9" s="1033"/>
      <c r="D9" s="1034" t="e">
        <f>#REF!</f>
        <v>#REF!</v>
      </c>
      <c r="E9" s="1035"/>
      <c r="F9" s="1035"/>
      <c r="G9" s="1035"/>
      <c r="H9" s="1035"/>
      <c r="I9" s="1035"/>
      <c r="J9" s="1035"/>
      <c r="K9" s="1035"/>
      <c r="L9" s="1035"/>
      <c r="M9" s="1035"/>
      <c r="N9" s="1035"/>
      <c r="O9" s="1035"/>
      <c r="P9" s="1035"/>
      <c r="Q9" s="1035"/>
      <c r="R9" s="1035"/>
      <c r="S9" s="1035"/>
      <c r="T9" s="1035"/>
      <c r="U9" s="1035"/>
      <c r="V9" s="1035"/>
      <c r="W9" s="1035"/>
      <c r="X9" s="1035"/>
      <c r="Y9" s="1035"/>
      <c r="Z9" s="1036"/>
      <c r="AA9" s="1037" t="s">
        <v>539</v>
      </c>
      <c r="AB9" s="1038"/>
      <c r="AC9" s="1038"/>
      <c r="AD9" s="1038"/>
      <c r="AE9" s="1038"/>
      <c r="AF9" s="1038"/>
      <c r="AG9" s="1038"/>
      <c r="AH9" s="1039"/>
      <c r="AI9" s="1040" t="e">
        <f>VLOOKUP(H6,#REF!,52,FALSE)</f>
        <v>#REF!</v>
      </c>
      <c r="AJ9" s="1041"/>
      <c r="AK9" s="1041"/>
      <c r="AL9" s="1041"/>
      <c r="AM9" s="1041"/>
      <c r="AN9" s="1041"/>
      <c r="AO9" s="1042"/>
    </row>
    <row r="10" spans="2:53" ht="15.6" customHeight="1">
      <c r="B10" s="928" t="s">
        <v>540</v>
      </c>
      <c r="C10" s="929"/>
      <c r="D10" s="1024" t="e">
        <f>#REF!</f>
        <v>#REF!</v>
      </c>
      <c r="E10" s="1025"/>
      <c r="F10" s="1025"/>
      <c r="G10" s="1025"/>
      <c r="H10" s="1026" t="s">
        <v>541</v>
      </c>
      <c r="I10" s="1026"/>
      <c r="J10" s="1027" t="e">
        <f>#REF!</f>
        <v>#REF!</v>
      </c>
      <c r="K10" s="1027"/>
      <c r="L10" s="1027"/>
      <c r="M10" s="1027"/>
      <c r="N10" s="1028" t="s">
        <v>542</v>
      </c>
      <c r="O10" s="1028"/>
      <c r="P10" s="1028"/>
      <c r="Q10" s="1028"/>
      <c r="R10" s="1028"/>
      <c r="S10" s="988" t="s">
        <v>622</v>
      </c>
      <c r="T10" s="988"/>
      <c r="U10" s="988"/>
      <c r="V10" s="988"/>
      <c r="W10" s="988"/>
      <c r="X10" s="988"/>
      <c r="Y10" s="988"/>
      <c r="Z10" s="988"/>
      <c r="AA10" s="988"/>
      <c r="AB10" s="988"/>
      <c r="AC10" s="988"/>
      <c r="AD10" s="988"/>
      <c r="AE10" s="988"/>
      <c r="AF10" s="988"/>
      <c r="AG10" s="988"/>
      <c r="AH10" s="988"/>
      <c r="AI10" s="988"/>
      <c r="AJ10" s="988"/>
      <c r="AK10" s="988"/>
      <c r="AL10" s="988"/>
      <c r="AM10" s="988"/>
      <c r="AN10" s="988"/>
      <c r="AO10" s="989"/>
    </row>
    <row r="11" spans="2:53" ht="15.6" customHeight="1">
      <c r="B11" s="930"/>
      <c r="C11" s="931"/>
      <c r="D11" s="1016" t="s">
        <v>623</v>
      </c>
      <c r="E11" s="1017"/>
      <c r="F11" s="1017"/>
      <c r="G11" s="1017"/>
      <c r="H11" s="1017"/>
      <c r="I11" s="1017"/>
      <c r="J11" s="1017"/>
      <c r="K11" s="1017"/>
      <c r="L11" s="1017"/>
      <c r="M11" s="1017"/>
      <c r="N11" s="1017"/>
      <c r="O11" s="1017"/>
      <c r="P11" s="1017"/>
      <c r="Q11" s="1017"/>
      <c r="R11" s="1017"/>
      <c r="S11" s="1017"/>
      <c r="T11" s="1017"/>
      <c r="U11" s="1017"/>
      <c r="V11" s="1017"/>
      <c r="W11" s="1017"/>
      <c r="X11" s="1017"/>
      <c r="Y11" s="1017"/>
      <c r="Z11" s="1017"/>
      <c r="AA11" s="1017"/>
      <c r="AB11" s="1017"/>
      <c r="AC11" s="1017"/>
      <c r="AD11" s="1017"/>
      <c r="AE11" s="1017"/>
      <c r="AF11" s="1017"/>
      <c r="AG11" s="1017"/>
      <c r="AH11" s="1017"/>
      <c r="AI11" s="1017"/>
      <c r="AJ11" s="1017"/>
      <c r="AK11" s="1017"/>
      <c r="AL11" s="1017"/>
      <c r="AM11" s="1017"/>
      <c r="AN11" s="1017"/>
      <c r="AO11" s="1018"/>
    </row>
    <row r="12" spans="2:53" ht="15.6" customHeight="1">
      <c r="B12" s="930"/>
      <c r="C12" s="931"/>
      <c r="D12" s="937" t="s">
        <v>624</v>
      </c>
      <c r="E12" s="937"/>
      <c r="F12" s="937"/>
      <c r="G12" s="937"/>
      <c r="H12" s="937"/>
      <c r="I12" s="937"/>
      <c r="J12" s="937"/>
      <c r="K12" s="937"/>
      <c r="L12" s="937"/>
      <c r="M12" s="937"/>
      <c r="N12" s="937"/>
      <c r="O12" s="937"/>
      <c r="P12" s="937"/>
      <c r="Q12" s="937"/>
      <c r="R12" s="937"/>
      <c r="S12" s="937"/>
      <c r="T12" s="937"/>
      <c r="U12" s="937"/>
      <c r="V12" s="937"/>
      <c r="W12" s="937"/>
      <c r="X12" s="937"/>
      <c r="Y12" s="937"/>
      <c r="Z12" s="937"/>
      <c r="AA12" s="937"/>
      <c r="AB12" s="937"/>
      <c r="AC12" s="937"/>
      <c r="AD12" s="937"/>
      <c r="AE12" s="937"/>
      <c r="AF12" s="937"/>
      <c r="AG12" s="937"/>
      <c r="AH12" s="937"/>
      <c r="AI12" s="937"/>
      <c r="AJ12" s="937"/>
      <c r="AK12" s="937"/>
      <c r="AL12" s="937"/>
      <c r="AM12" s="937"/>
      <c r="AN12" s="937"/>
      <c r="AO12" s="938"/>
    </row>
    <row r="13" spans="2:53" ht="15.6" customHeight="1">
      <c r="B13" s="930"/>
      <c r="C13" s="931"/>
      <c r="D13" s="936" t="s">
        <v>625</v>
      </c>
      <c r="E13" s="937"/>
      <c r="F13" s="937"/>
      <c r="G13" s="937"/>
      <c r="H13" s="937"/>
      <c r="I13" s="937"/>
      <c r="J13" s="937"/>
      <c r="K13" s="937"/>
      <c r="L13" s="937"/>
      <c r="M13" s="937"/>
      <c r="N13" s="937"/>
      <c r="O13" s="937"/>
      <c r="P13" s="937"/>
      <c r="Q13" s="937"/>
      <c r="R13" s="937"/>
      <c r="S13" s="937"/>
      <c r="T13" s="937"/>
      <c r="U13" s="937"/>
      <c r="V13" s="937"/>
      <c r="W13" s="937"/>
      <c r="X13" s="937"/>
      <c r="Y13" s="937"/>
      <c r="Z13" s="937"/>
      <c r="AA13" s="937"/>
      <c r="AB13" s="937"/>
      <c r="AC13" s="937"/>
      <c r="AD13" s="937"/>
      <c r="AE13" s="937"/>
      <c r="AF13" s="937"/>
      <c r="AG13" s="937"/>
      <c r="AH13" s="937"/>
      <c r="AI13" s="937"/>
      <c r="AJ13" s="937"/>
      <c r="AK13" s="937"/>
      <c r="AL13" s="937"/>
      <c r="AM13" s="937"/>
      <c r="AN13" s="937"/>
      <c r="AO13" s="938"/>
    </row>
    <row r="14" spans="2:53">
      <c r="B14" s="932"/>
      <c r="C14" s="933"/>
      <c r="D14" s="1019" t="s">
        <v>621</v>
      </c>
      <c r="E14" s="1020"/>
      <c r="F14" s="1020"/>
      <c r="G14" s="1020"/>
      <c r="H14" s="1020"/>
      <c r="I14" s="1020"/>
      <c r="J14" s="1020"/>
      <c r="K14" s="1020"/>
      <c r="L14" s="1020"/>
      <c r="M14" s="1020"/>
      <c r="N14" s="1020"/>
      <c r="O14" s="1020"/>
      <c r="P14" s="1020"/>
      <c r="Q14" s="1020"/>
      <c r="R14" s="1020"/>
      <c r="S14" s="1020"/>
      <c r="T14" s="1020"/>
      <c r="U14" s="1020"/>
      <c r="V14" s="1020"/>
      <c r="W14" s="1020"/>
      <c r="X14" s="1020"/>
      <c r="Y14" s="1020"/>
      <c r="Z14" s="1020"/>
      <c r="AA14" s="1020"/>
      <c r="AB14" s="1020"/>
      <c r="AC14" s="1020"/>
      <c r="AD14" s="1020"/>
      <c r="AE14" s="1020"/>
      <c r="AF14" s="1020"/>
      <c r="AG14" s="1020"/>
      <c r="AH14" s="1020"/>
      <c r="AI14" s="1020"/>
      <c r="AJ14" s="1020"/>
      <c r="AK14" s="1020"/>
      <c r="AL14" s="1020"/>
      <c r="AM14" s="1020"/>
      <c r="AN14" s="1020"/>
      <c r="AO14" s="1021"/>
    </row>
    <row r="15" spans="2:53" ht="15.6" customHeight="1">
      <c r="B15" s="980" t="s">
        <v>543</v>
      </c>
      <c r="C15" s="981"/>
      <c r="D15" s="987" t="s">
        <v>544</v>
      </c>
      <c r="E15" s="987"/>
      <c r="F15" s="987"/>
      <c r="G15" s="987"/>
      <c r="H15" s="987"/>
      <c r="I15" s="987"/>
      <c r="J15" s="987"/>
      <c r="K15" s="987"/>
      <c r="L15" s="987"/>
      <c r="M15" s="987"/>
      <c r="N15" s="987"/>
      <c r="O15" s="1022" t="e">
        <f>AD25</f>
        <v>#REF!</v>
      </c>
      <c r="P15" s="1022"/>
      <c r="Q15" s="1022"/>
      <c r="R15" s="1022"/>
      <c r="S15" s="1023" t="s">
        <v>545</v>
      </c>
      <c r="T15" s="1023"/>
      <c r="U15" s="1023"/>
      <c r="V15" s="1023"/>
      <c r="W15" s="159" t="s">
        <v>546</v>
      </c>
      <c r="X15" s="1022" t="e">
        <f>O15/8</f>
        <v>#REF!</v>
      </c>
      <c r="Y15" s="1022"/>
      <c r="Z15" s="1022"/>
      <c r="AA15" s="1022"/>
      <c r="AB15" s="160" t="s">
        <v>547</v>
      </c>
      <c r="AC15" s="988" t="s">
        <v>548</v>
      </c>
      <c r="AD15" s="988"/>
      <c r="AE15" s="988"/>
      <c r="AF15" s="988"/>
      <c r="AG15" s="988"/>
      <c r="AH15" s="988"/>
      <c r="AI15" s="988"/>
      <c r="AJ15" s="988"/>
      <c r="AK15" s="988"/>
      <c r="AL15" s="988"/>
      <c r="AM15" s="988"/>
      <c r="AN15" s="988"/>
      <c r="AO15" s="989"/>
    </row>
    <row r="16" spans="2:53" ht="15.6" customHeight="1">
      <c r="B16" s="980"/>
      <c r="C16" s="981"/>
      <c r="D16" s="939" t="s">
        <v>549</v>
      </c>
      <c r="E16" s="940"/>
      <c r="F16" s="940"/>
      <c r="G16" s="940"/>
      <c r="H16" s="940"/>
      <c r="I16" s="940"/>
      <c r="J16" s="940"/>
      <c r="K16" s="940"/>
      <c r="L16" s="940"/>
      <c r="M16" s="940"/>
      <c r="N16" s="940"/>
      <c r="O16" s="940"/>
      <c r="P16" s="940"/>
      <c r="Q16" s="940"/>
      <c r="R16" s="940"/>
      <c r="S16" s="940"/>
      <c r="T16" s="940"/>
      <c r="U16" s="940"/>
      <c r="V16" s="940"/>
      <c r="W16" s="940"/>
      <c r="X16" s="940"/>
      <c r="Y16" s="940"/>
      <c r="Z16" s="940"/>
      <c r="AA16" s="940"/>
      <c r="AB16" s="940"/>
      <c r="AC16" s="940"/>
      <c r="AD16" s="940"/>
      <c r="AE16" s="940"/>
      <c r="AF16" s="940"/>
      <c r="AG16" s="940"/>
      <c r="AH16" s="940"/>
      <c r="AI16" s="940"/>
      <c r="AJ16" s="940"/>
      <c r="AK16" s="940"/>
      <c r="AL16" s="940"/>
      <c r="AM16" s="940"/>
      <c r="AN16" s="940"/>
      <c r="AO16" s="941"/>
    </row>
    <row r="17" spans="2:52" ht="15.6" customHeight="1">
      <c r="B17" s="980"/>
      <c r="C17" s="981"/>
      <c r="D17" s="939" t="s">
        <v>550</v>
      </c>
      <c r="E17" s="940"/>
      <c r="F17" s="940"/>
      <c r="G17" s="940"/>
      <c r="H17" s="940"/>
      <c r="I17" s="940"/>
      <c r="J17" s="940"/>
      <c r="K17" s="940"/>
      <c r="L17" s="940"/>
      <c r="M17" s="940"/>
      <c r="N17" s="940"/>
      <c r="O17" s="940"/>
      <c r="P17" s="940"/>
      <c r="Q17" s="940"/>
      <c r="R17" s="940"/>
      <c r="S17" s="940"/>
      <c r="T17" s="940"/>
      <c r="U17" s="940"/>
      <c r="V17" s="940"/>
      <c r="W17" s="940"/>
      <c r="X17" s="940"/>
      <c r="Y17" s="940"/>
      <c r="Z17" s="940"/>
      <c r="AA17" s="940"/>
      <c r="AB17" s="940"/>
      <c r="AC17" s="940"/>
      <c r="AD17" s="940"/>
      <c r="AE17" s="940"/>
      <c r="AF17" s="940"/>
      <c r="AG17" s="940"/>
      <c r="AH17" s="940"/>
      <c r="AI17" s="940"/>
      <c r="AJ17" s="940"/>
      <c r="AK17" s="940"/>
      <c r="AL17" s="940"/>
      <c r="AM17" s="940"/>
      <c r="AN17" s="940"/>
      <c r="AO17" s="941"/>
    </row>
    <row r="18" spans="2:52" ht="15.6" customHeight="1">
      <c r="B18" s="980"/>
      <c r="C18" s="981"/>
      <c r="D18" s="939" t="s">
        <v>551</v>
      </c>
      <c r="E18" s="940"/>
      <c r="F18" s="940"/>
      <c r="G18" s="940"/>
      <c r="H18" s="940"/>
      <c r="I18" s="940"/>
      <c r="J18" s="940"/>
      <c r="K18" s="940"/>
      <c r="L18" s="940"/>
      <c r="M18" s="940"/>
      <c r="N18" s="940"/>
      <c r="O18" s="940"/>
      <c r="P18" s="940"/>
      <c r="Q18" s="940"/>
      <c r="R18" s="940"/>
      <c r="S18" s="940"/>
      <c r="T18" s="940"/>
      <c r="U18" s="940"/>
      <c r="V18" s="940"/>
      <c r="W18" s="940"/>
      <c r="X18" s="940"/>
      <c r="Y18" s="940"/>
      <c r="Z18" s="940"/>
      <c r="AA18" s="940"/>
      <c r="AB18" s="940"/>
      <c r="AC18" s="940"/>
      <c r="AD18" s="940"/>
      <c r="AE18" s="940"/>
      <c r="AF18" s="940"/>
      <c r="AG18" s="940"/>
      <c r="AH18" s="940"/>
      <c r="AI18" s="940"/>
      <c r="AJ18" s="940"/>
      <c r="AK18" s="940"/>
      <c r="AL18" s="940"/>
      <c r="AM18" s="940"/>
      <c r="AN18" s="940"/>
      <c r="AO18" s="941"/>
    </row>
    <row r="19" spans="2:52" ht="15.6" customHeight="1">
      <c r="B19" s="980"/>
      <c r="C19" s="981"/>
      <c r="D19" s="939" t="s">
        <v>552</v>
      </c>
      <c r="E19" s="940"/>
      <c r="F19" s="940"/>
      <c r="G19" s="940"/>
      <c r="H19" s="940"/>
      <c r="I19" s="940"/>
      <c r="J19" s="940"/>
      <c r="K19" s="940"/>
      <c r="L19" s="940"/>
      <c r="M19" s="940"/>
      <c r="N19" s="940"/>
      <c r="O19" s="940"/>
      <c r="P19" s="940"/>
      <c r="Q19" s="940"/>
      <c r="R19" s="940"/>
      <c r="S19" s="940"/>
      <c r="T19" s="940"/>
      <c r="U19" s="940"/>
      <c r="V19" s="940"/>
      <c r="W19" s="940"/>
      <c r="X19" s="940"/>
      <c r="Y19" s="940"/>
      <c r="Z19" s="940"/>
      <c r="AA19" s="940"/>
      <c r="AB19" s="940"/>
      <c r="AC19" s="940"/>
      <c r="AD19" s="940"/>
      <c r="AE19" s="940"/>
      <c r="AF19" s="940"/>
      <c r="AG19" s="940"/>
      <c r="AH19" s="940"/>
      <c r="AI19" s="940"/>
      <c r="AJ19" s="940"/>
      <c r="AK19" s="940"/>
      <c r="AL19" s="940"/>
      <c r="AM19" s="940"/>
      <c r="AN19" s="940"/>
      <c r="AO19" s="941"/>
    </row>
    <row r="20" spans="2:52" ht="15.6" customHeight="1">
      <c r="B20" s="980"/>
      <c r="C20" s="981"/>
      <c r="D20" s="939" t="s">
        <v>553</v>
      </c>
      <c r="E20" s="940"/>
      <c r="F20" s="940"/>
      <c r="G20" s="940"/>
      <c r="H20" s="940"/>
      <c r="I20" s="940"/>
      <c r="J20" s="940"/>
      <c r="K20" s="940"/>
      <c r="L20" s="940"/>
      <c r="M20" s="940"/>
      <c r="N20" s="940"/>
      <c r="O20" s="940"/>
      <c r="P20" s="940"/>
      <c r="Q20" s="940"/>
      <c r="R20" s="940"/>
      <c r="S20" s="940"/>
      <c r="T20" s="940"/>
      <c r="U20" s="940"/>
      <c r="V20" s="940"/>
      <c r="W20" s="940"/>
      <c r="X20" s="940"/>
      <c r="Y20" s="940"/>
      <c r="Z20" s="940"/>
      <c r="AA20" s="940"/>
      <c r="AB20" s="940"/>
      <c r="AC20" s="940"/>
      <c r="AD20" s="940"/>
      <c r="AE20" s="940"/>
      <c r="AF20" s="940"/>
      <c r="AG20" s="940"/>
      <c r="AH20" s="940"/>
      <c r="AI20" s="940"/>
      <c r="AJ20" s="940"/>
      <c r="AK20" s="940"/>
      <c r="AL20" s="940"/>
      <c r="AM20" s="940"/>
      <c r="AN20" s="940"/>
      <c r="AO20" s="941"/>
      <c r="AV20" s="161"/>
    </row>
    <row r="21" spans="2:52" ht="15.6" customHeight="1">
      <c r="B21" s="980"/>
      <c r="C21" s="981"/>
      <c r="D21" s="939" t="s">
        <v>554</v>
      </c>
      <c r="E21" s="940"/>
      <c r="F21" s="940"/>
      <c r="G21" s="940"/>
      <c r="H21" s="940"/>
      <c r="I21" s="940"/>
      <c r="J21" s="940"/>
      <c r="K21" s="940"/>
      <c r="L21" s="940"/>
      <c r="M21" s="940"/>
      <c r="N21" s="940"/>
      <c r="O21" s="940"/>
      <c r="P21" s="940"/>
      <c r="Q21" s="940"/>
      <c r="R21" s="940"/>
      <c r="S21" s="940"/>
      <c r="T21" s="940"/>
      <c r="U21" s="940"/>
      <c r="V21" s="940"/>
      <c r="W21" s="940"/>
      <c r="X21" s="940"/>
      <c r="Y21" s="940"/>
      <c r="Z21" s="940"/>
      <c r="AA21" s="940"/>
      <c r="AB21" s="940"/>
      <c r="AC21" s="940"/>
      <c r="AD21" s="940"/>
      <c r="AE21" s="940"/>
      <c r="AF21" s="940"/>
      <c r="AG21" s="940"/>
      <c r="AH21" s="940"/>
      <c r="AI21" s="940"/>
      <c r="AJ21" s="940"/>
      <c r="AK21" s="940"/>
      <c r="AL21" s="940"/>
      <c r="AM21" s="940"/>
      <c r="AN21" s="940"/>
      <c r="AO21" s="941"/>
    </row>
    <row r="22" spans="2:52" ht="15.6" customHeight="1">
      <c r="B22" s="980"/>
      <c r="C22" s="981"/>
      <c r="D22" s="939" t="s">
        <v>555</v>
      </c>
      <c r="E22" s="940"/>
      <c r="F22" s="940"/>
      <c r="G22" s="940"/>
      <c r="H22" s="940"/>
      <c r="I22" s="940"/>
      <c r="J22" s="940"/>
      <c r="K22" s="940"/>
      <c r="L22" s="940"/>
      <c r="M22" s="940"/>
      <c r="N22" s="940"/>
      <c r="O22" s="940"/>
      <c r="P22" s="940"/>
      <c r="Q22" s="940"/>
      <c r="R22" s="940"/>
      <c r="S22" s="940"/>
      <c r="T22" s="940"/>
      <c r="U22" s="940"/>
      <c r="V22" s="940"/>
      <c r="W22" s="940"/>
      <c r="X22" s="940"/>
      <c r="Y22" s="940"/>
      <c r="Z22" s="940"/>
      <c r="AA22" s="940"/>
      <c r="AB22" s="940"/>
      <c r="AC22" s="940"/>
      <c r="AD22" s="940"/>
      <c r="AE22" s="940"/>
      <c r="AF22" s="940"/>
      <c r="AG22" s="940"/>
      <c r="AH22" s="940"/>
      <c r="AI22" s="940"/>
      <c r="AJ22" s="940"/>
      <c r="AK22" s="940"/>
      <c r="AL22" s="940"/>
      <c r="AM22" s="940"/>
      <c r="AN22" s="940"/>
      <c r="AO22" s="941"/>
    </row>
    <row r="23" spans="2:52" ht="15.6" customHeight="1">
      <c r="B23" s="980"/>
      <c r="C23" s="981"/>
      <c r="D23" s="939" t="s">
        <v>610</v>
      </c>
      <c r="E23" s="940"/>
      <c r="F23" s="940"/>
      <c r="G23" s="940"/>
      <c r="H23" s="940"/>
      <c r="I23" s="940"/>
      <c r="J23" s="940"/>
      <c r="K23" s="940"/>
      <c r="L23" s="940"/>
      <c r="M23" s="940"/>
      <c r="N23" s="940"/>
      <c r="O23" s="940"/>
      <c r="P23" s="940"/>
      <c r="Q23" s="940"/>
      <c r="R23" s="940"/>
      <c r="S23" s="940"/>
      <c r="T23" s="940"/>
      <c r="U23" s="940"/>
      <c r="V23" s="940"/>
      <c r="W23" s="940"/>
      <c r="X23" s="940"/>
      <c r="Y23" s="940"/>
      <c r="Z23" s="940"/>
      <c r="AA23" s="940"/>
      <c r="AB23" s="940"/>
      <c r="AC23" s="940"/>
      <c r="AD23" s="940"/>
      <c r="AE23" s="940"/>
      <c r="AF23" s="940"/>
      <c r="AG23" s="940"/>
      <c r="AH23" s="940"/>
      <c r="AI23" s="1014" t="e">
        <f>VLOOKUP(H6,#REF!,32,FALSE)</f>
        <v>#REF!</v>
      </c>
      <c r="AJ23" s="1014"/>
      <c r="AK23" s="1014"/>
      <c r="AL23" s="1014"/>
      <c r="AM23" s="1014"/>
      <c r="AN23" s="1014"/>
      <c r="AO23" s="1015"/>
    </row>
    <row r="24" spans="2:52" ht="15.6" customHeight="1">
      <c r="B24" s="980"/>
      <c r="C24" s="981"/>
      <c r="D24" s="993" t="s">
        <v>611</v>
      </c>
      <c r="E24" s="994"/>
      <c r="F24" s="994"/>
      <c r="G24" s="994"/>
      <c r="H24" s="994"/>
      <c r="I24" s="994"/>
      <c r="J24" s="994"/>
      <c r="K24" s="994"/>
      <c r="L24" s="994"/>
      <c r="M24" s="994"/>
      <c r="N24" s="994"/>
      <c r="O24" s="994"/>
      <c r="P24" s="994"/>
      <c r="Q24" s="994"/>
      <c r="R24" s="994"/>
      <c r="S24" s="994"/>
      <c r="T24" s="994"/>
      <c r="U24" s="994"/>
      <c r="V24" s="994"/>
      <c r="W24" s="994"/>
      <c r="X24" s="994"/>
      <c r="Y24" s="994"/>
      <c r="Z24" s="994"/>
      <c r="AA24" s="994"/>
      <c r="AB24" s="994"/>
      <c r="AC24" s="994"/>
      <c r="AD24" s="994"/>
      <c r="AE24" s="994"/>
      <c r="AF24" s="994"/>
      <c r="AG24" s="994"/>
      <c r="AH24" s="994"/>
      <c r="AI24" s="994"/>
      <c r="AJ24" s="994"/>
      <c r="AK24" s="994"/>
      <c r="AL24" s="994"/>
      <c r="AM24" s="994"/>
      <c r="AN24" s="994"/>
      <c r="AO24" s="995"/>
      <c r="AX24" s="986" t="s">
        <v>607</v>
      </c>
      <c r="AY24" s="986"/>
      <c r="AZ24" s="986"/>
    </row>
    <row r="25" spans="2:52">
      <c r="B25" s="980"/>
      <c r="C25" s="981"/>
      <c r="D25" s="996" t="s">
        <v>612</v>
      </c>
      <c r="E25" s="997"/>
      <c r="F25" s="997"/>
      <c r="G25" s="971" t="s">
        <v>556</v>
      </c>
      <c r="H25" s="972"/>
      <c r="I25" s="972"/>
      <c r="J25" s="972"/>
      <c r="K25" s="972"/>
      <c r="L25" s="973"/>
      <c r="M25" s="1002">
        <v>40</v>
      </c>
      <c r="N25" s="1003"/>
      <c r="O25" s="1003"/>
      <c r="P25" s="952" t="s">
        <v>557</v>
      </c>
      <c r="Q25" s="952"/>
      <c r="R25" s="1004" t="s">
        <v>558</v>
      </c>
      <c r="S25" s="1005"/>
      <c r="T25" s="1005"/>
      <c r="U25" s="951"/>
      <c r="V25" s="959">
        <f>8*5*4.345</f>
        <v>173.79999999999998</v>
      </c>
      <c r="W25" s="959"/>
      <c r="X25" s="952" t="s">
        <v>559</v>
      </c>
      <c r="Y25" s="952"/>
      <c r="Z25" s="952"/>
      <c r="AA25" s="958">
        <f t="shared" ref="AA25:AA30" si="0">V25/($V$25+$V$26+$V$27+$V$28+$V$29+$V$30)*100</f>
        <v>58.563871011220812</v>
      </c>
      <c r="AB25" s="959"/>
      <c r="AC25" s="162" t="s">
        <v>560</v>
      </c>
      <c r="AD25" s="960" t="e">
        <f t="shared" ref="AD25:AD30" si="1">ROUND($AI$23*AA25%,-1)</f>
        <v>#REF!</v>
      </c>
      <c r="AE25" s="961"/>
      <c r="AF25" s="961"/>
      <c r="AG25" s="961"/>
      <c r="AH25" s="961"/>
      <c r="AI25" s="961"/>
      <c r="AJ25" s="961"/>
      <c r="AK25" s="163" t="s">
        <v>561</v>
      </c>
      <c r="AL25" s="1006"/>
      <c r="AM25" s="1007"/>
      <c r="AN25" s="1007"/>
      <c r="AO25" s="1008"/>
      <c r="AX25" s="233" t="s">
        <v>563</v>
      </c>
      <c r="AY25" s="234">
        <v>3</v>
      </c>
      <c r="AZ25" s="235" t="s">
        <v>606</v>
      </c>
    </row>
    <row r="26" spans="2:52">
      <c r="B26" s="980"/>
      <c r="C26" s="981"/>
      <c r="D26" s="998"/>
      <c r="E26" s="999"/>
      <c r="F26" s="999"/>
      <c r="G26" s="971" t="s">
        <v>562</v>
      </c>
      <c r="H26" s="972"/>
      <c r="I26" s="972"/>
      <c r="J26" s="972"/>
      <c r="K26" s="972"/>
      <c r="L26" s="973"/>
      <c r="M26" s="974">
        <v>12</v>
      </c>
      <c r="N26" s="975"/>
      <c r="O26" s="975"/>
      <c r="P26" s="976" t="s">
        <v>557</v>
      </c>
      <c r="Q26" s="976"/>
      <c r="R26" s="977" t="s">
        <v>558</v>
      </c>
      <c r="S26" s="948"/>
      <c r="T26" s="948"/>
      <c r="U26" s="978"/>
      <c r="V26" s="979">
        <f>M26*4.345*1.5</f>
        <v>78.210000000000008</v>
      </c>
      <c r="W26" s="979"/>
      <c r="X26" s="976" t="s">
        <v>559</v>
      </c>
      <c r="Y26" s="976"/>
      <c r="Z26" s="976"/>
      <c r="AA26" s="958">
        <f t="shared" si="0"/>
        <v>26.353741955049369</v>
      </c>
      <c r="AB26" s="959"/>
      <c r="AC26" s="164" t="s">
        <v>560</v>
      </c>
      <c r="AD26" s="960" t="e">
        <f t="shared" si="1"/>
        <v>#REF!</v>
      </c>
      <c r="AE26" s="961"/>
      <c r="AF26" s="961"/>
      <c r="AG26" s="961"/>
      <c r="AH26" s="961"/>
      <c r="AI26" s="961"/>
      <c r="AJ26" s="961"/>
      <c r="AK26" s="165" t="s">
        <v>561</v>
      </c>
      <c r="AL26" s="1009"/>
      <c r="AM26" s="1010"/>
      <c r="AN26" s="1010"/>
      <c r="AO26" s="1011"/>
      <c r="AX26" s="236" t="s">
        <v>505</v>
      </c>
      <c r="AY26" s="237" t="s">
        <v>569</v>
      </c>
      <c r="AZ26" s="238"/>
    </row>
    <row r="27" spans="2:52">
      <c r="B27" s="980"/>
      <c r="C27" s="981"/>
      <c r="D27" s="998"/>
      <c r="E27" s="999"/>
      <c r="F27" s="999"/>
      <c r="G27" s="971" t="s">
        <v>564</v>
      </c>
      <c r="H27" s="972"/>
      <c r="I27" s="972"/>
      <c r="J27" s="972"/>
      <c r="K27" s="972"/>
      <c r="L27" s="973"/>
      <c r="M27" s="974">
        <v>8</v>
      </c>
      <c r="N27" s="975"/>
      <c r="O27" s="975"/>
      <c r="P27" s="976" t="s">
        <v>557</v>
      </c>
      <c r="Q27" s="976"/>
      <c r="R27" s="977" t="s">
        <v>558</v>
      </c>
      <c r="S27" s="948"/>
      <c r="T27" s="948"/>
      <c r="U27" s="978"/>
      <c r="V27" s="979">
        <f>8*4.345</f>
        <v>34.76</v>
      </c>
      <c r="W27" s="979"/>
      <c r="X27" s="976" t="s">
        <v>559</v>
      </c>
      <c r="Y27" s="976"/>
      <c r="Z27" s="976"/>
      <c r="AA27" s="958">
        <f t="shared" si="0"/>
        <v>11.712774202244162</v>
      </c>
      <c r="AB27" s="959"/>
      <c r="AC27" s="164" t="s">
        <v>560</v>
      </c>
      <c r="AD27" s="960" t="e">
        <f t="shared" si="1"/>
        <v>#REF!</v>
      </c>
      <c r="AE27" s="961"/>
      <c r="AF27" s="961"/>
      <c r="AG27" s="961"/>
      <c r="AH27" s="961"/>
      <c r="AI27" s="961"/>
      <c r="AJ27" s="961"/>
      <c r="AK27" s="165" t="s">
        <v>561</v>
      </c>
      <c r="AL27" s="1009"/>
      <c r="AM27" s="1010"/>
      <c r="AN27" s="1010"/>
      <c r="AO27" s="1011"/>
      <c r="AX27" s="236" t="s">
        <v>491</v>
      </c>
      <c r="AY27" s="237">
        <v>1</v>
      </c>
      <c r="AZ27" s="238" t="s">
        <v>600</v>
      </c>
    </row>
    <row r="28" spans="2:52">
      <c r="B28" s="980"/>
      <c r="C28" s="981"/>
      <c r="D28" s="998"/>
      <c r="E28" s="999"/>
      <c r="F28" s="999"/>
      <c r="G28" s="971" t="s">
        <v>565</v>
      </c>
      <c r="H28" s="972"/>
      <c r="I28" s="972"/>
      <c r="J28" s="972"/>
      <c r="K28" s="972"/>
      <c r="L28" s="973"/>
      <c r="M28" s="982">
        <v>0</v>
      </c>
      <c r="N28" s="983"/>
      <c r="O28" s="983"/>
      <c r="P28" s="976" t="s">
        <v>566</v>
      </c>
      <c r="Q28" s="976"/>
      <c r="R28" s="977" t="s">
        <v>567</v>
      </c>
      <c r="S28" s="948"/>
      <c r="T28" s="948"/>
      <c r="U28" s="978"/>
      <c r="V28" s="979">
        <f>M28*8*1.5</f>
        <v>0</v>
      </c>
      <c r="W28" s="979"/>
      <c r="X28" s="976" t="s">
        <v>559</v>
      </c>
      <c r="Y28" s="976"/>
      <c r="Z28" s="976"/>
      <c r="AA28" s="958">
        <f t="shared" si="0"/>
        <v>0</v>
      </c>
      <c r="AB28" s="959"/>
      <c r="AC28" s="164" t="s">
        <v>560</v>
      </c>
      <c r="AD28" s="960" t="e">
        <f t="shared" si="1"/>
        <v>#REF!</v>
      </c>
      <c r="AE28" s="961"/>
      <c r="AF28" s="961"/>
      <c r="AG28" s="961"/>
      <c r="AH28" s="961"/>
      <c r="AI28" s="961"/>
      <c r="AJ28" s="961"/>
      <c r="AK28" s="165" t="s">
        <v>561</v>
      </c>
      <c r="AL28" s="1009"/>
      <c r="AM28" s="1010"/>
      <c r="AN28" s="1010"/>
      <c r="AO28" s="1011"/>
      <c r="AX28" s="236" t="s">
        <v>492</v>
      </c>
      <c r="AY28" s="239" t="s">
        <v>569</v>
      </c>
      <c r="AZ28" s="240"/>
    </row>
    <row r="29" spans="2:52">
      <c r="B29" s="980"/>
      <c r="C29" s="981"/>
      <c r="D29" s="998"/>
      <c r="E29" s="999"/>
      <c r="F29" s="999"/>
      <c r="G29" s="971" t="s">
        <v>568</v>
      </c>
      <c r="H29" s="972"/>
      <c r="I29" s="972"/>
      <c r="J29" s="972"/>
      <c r="K29" s="972"/>
      <c r="L29" s="973"/>
      <c r="M29" s="982">
        <v>0</v>
      </c>
      <c r="N29" s="983"/>
      <c r="O29" s="983"/>
      <c r="P29" s="976" t="s">
        <v>566</v>
      </c>
      <c r="Q29" s="976"/>
      <c r="R29" s="977" t="s">
        <v>567</v>
      </c>
      <c r="S29" s="948"/>
      <c r="T29" s="948"/>
      <c r="U29" s="978"/>
      <c r="V29" s="979">
        <f>M29*8*1</f>
        <v>0</v>
      </c>
      <c r="W29" s="979"/>
      <c r="X29" s="976" t="s">
        <v>559</v>
      </c>
      <c r="Y29" s="976"/>
      <c r="Z29" s="976"/>
      <c r="AA29" s="958">
        <f t="shared" si="0"/>
        <v>0</v>
      </c>
      <c r="AB29" s="959"/>
      <c r="AC29" s="164" t="s">
        <v>560</v>
      </c>
      <c r="AD29" s="960" t="e">
        <f t="shared" si="1"/>
        <v>#REF!</v>
      </c>
      <c r="AE29" s="961"/>
      <c r="AF29" s="961"/>
      <c r="AG29" s="961"/>
      <c r="AH29" s="961"/>
      <c r="AI29" s="961"/>
      <c r="AJ29" s="961"/>
      <c r="AK29" s="165" t="s">
        <v>561</v>
      </c>
      <c r="AL29" s="1009"/>
      <c r="AM29" s="1010"/>
      <c r="AN29" s="1010"/>
      <c r="AO29" s="1011"/>
      <c r="AX29" s="236" t="s">
        <v>493</v>
      </c>
      <c r="AY29" s="239">
        <v>2</v>
      </c>
      <c r="AZ29" s="238" t="s">
        <v>604</v>
      </c>
    </row>
    <row r="30" spans="2:52">
      <c r="B30" s="980"/>
      <c r="C30" s="981"/>
      <c r="D30" s="1000"/>
      <c r="E30" s="1001"/>
      <c r="F30" s="1001"/>
      <c r="G30" s="971" t="s">
        <v>570</v>
      </c>
      <c r="H30" s="972"/>
      <c r="I30" s="972"/>
      <c r="J30" s="972"/>
      <c r="K30" s="972"/>
      <c r="L30" s="973"/>
      <c r="M30" s="974">
        <v>10</v>
      </c>
      <c r="N30" s="975"/>
      <c r="O30" s="975"/>
      <c r="P30" s="976" t="s">
        <v>557</v>
      </c>
      <c r="Q30" s="976"/>
      <c r="R30" s="977" t="s">
        <v>558</v>
      </c>
      <c r="S30" s="948"/>
      <c r="T30" s="948"/>
      <c r="U30" s="978"/>
      <c r="V30" s="979">
        <v>10</v>
      </c>
      <c r="W30" s="979"/>
      <c r="X30" s="976" t="s">
        <v>559</v>
      </c>
      <c r="Y30" s="976"/>
      <c r="Z30" s="976"/>
      <c r="AA30" s="958">
        <f t="shared" si="0"/>
        <v>3.3696128314856626</v>
      </c>
      <c r="AB30" s="959"/>
      <c r="AC30" s="164" t="s">
        <v>560</v>
      </c>
      <c r="AD30" s="960" t="e">
        <f t="shared" si="1"/>
        <v>#REF!</v>
      </c>
      <c r="AE30" s="961"/>
      <c r="AF30" s="961"/>
      <c r="AG30" s="961"/>
      <c r="AH30" s="961"/>
      <c r="AI30" s="961"/>
      <c r="AJ30" s="961"/>
      <c r="AK30" s="165" t="s">
        <v>561</v>
      </c>
      <c r="AL30" s="1012"/>
      <c r="AM30" s="961"/>
      <c r="AN30" s="961"/>
      <c r="AO30" s="1013"/>
      <c r="AX30" s="236" t="s">
        <v>494</v>
      </c>
      <c r="AY30" s="239">
        <v>1</v>
      </c>
      <c r="AZ30" s="241" t="s">
        <v>603</v>
      </c>
    </row>
    <row r="31" spans="2:52" ht="15" customHeight="1">
      <c r="B31" s="980"/>
      <c r="C31" s="981"/>
      <c r="D31" s="987" t="s">
        <v>597</v>
      </c>
      <c r="E31" s="988"/>
      <c r="F31" s="988"/>
      <c r="G31" s="988"/>
      <c r="H31" s="988"/>
      <c r="I31" s="988"/>
      <c r="J31" s="988"/>
      <c r="K31" s="988"/>
      <c r="L31" s="988"/>
      <c r="M31" s="988"/>
      <c r="N31" s="988"/>
      <c r="O31" s="988"/>
      <c r="P31" s="988"/>
      <c r="Q31" s="988"/>
      <c r="R31" s="988"/>
      <c r="S31" s="988"/>
      <c r="T31" s="988"/>
      <c r="U31" s="988"/>
      <c r="V31" s="988"/>
      <c r="W31" s="988"/>
      <c r="X31" s="988"/>
      <c r="Y31" s="988"/>
      <c r="Z31" s="988"/>
      <c r="AA31" s="988"/>
      <c r="AB31" s="988"/>
      <c r="AC31" s="988"/>
      <c r="AD31" s="988"/>
      <c r="AE31" s="988"/>
      <c r="AF31" s="988"/>
      <c r="AG31" s="988"/>
      <c r="AH31" s="988"/>
      <c r="AI31" s="988"/>
      <c r="AJ31" s="988"/>
      <c r="AK31" s="988"/>
      <c r="AL31" s="988"/>
      <c r="AM31" s="988"/>
      <c r="AN31" s="988"/>
      <c r="AO31" s="989"/>
      <c r="AX31" s="236" t="s">
        <v>495</v>
      </c>
      <c r="AY31" s="239" t="s">
        <v>569</v>
      </c>
      <c r="AZ31" s="241"/>
    </row>
    <row r="32" spans="2:52" ht="15" customHeight="1">
      <c r="B32" s="980"/>
      <c r="C32" s="981"/>
      <c r="D32" s="951" t="s">
        <v>626</v>
      </c>
      <c r="E32" s="952"/>
      <c r="F32" s="952"/>
      <c r="G32" s="952"/>
      <c r="H32" s="952"/>
      <c r="I32" s="952"/>
      <c r="J32" s="952"/>
      <c r="K32" s="952"/>
      <c r="L32" s="952"/>
      <c r="M32" s="952"/>
      <c r="N32" s="952"/>
      <c r="O32" s="952"/>
      <c r="P32" s="952"/>
      <c r="Q32" s="952"/>
      <c r="R32" s="990" t="s">
        <v>598</v>
      </c>
      <c r="S32" s="990"/>
      <c r="T32" s="990"/>
      <c r="U32" s="990"/>
      <c r="V32" s="990"/>
      <c r="W32" s="990"/>
      <c r="X32" s="990"/>
      <c r="Y32" s="990"/>
      <c r="Z32" s="990"/>
      <c r="AA32" s="991" t="e">
        <f>VLOOKUP(AB6,주소록!C3:I1039,5,FALSE)&amp;"  "&amp;VLOOKUP(AB6,주소록!C3:I1039,6,FALSE)&amp;", 예금주  "&amp;VLOOKUP(AB6,주소록!C3:I1039,7,FALSE)</f>
        <v>#REF!</v>
      </c>
      <c r="AB32" s="991"/>
      <c r="AC32" s="991"/>
      <c r="AD32" s="991"/>
      <c r="AE32" s="991"/>
      <c r="AF32" s="991"/>
      <c r="AG32" s="991"/>
      <c r="AH32" s="991"/>
      <c r="AI32" s="991"/>
      <c r="AJ32" s="991"/>
      <c r="AK32" s="991"/>
      <c r="AL32" s="991"/>
      <c r="AM32" s="991"/>
      <c r="AN32" s="991"/>
      <c r="AO32" s="992"/>
      <c r="AX32" s="236" t="s">
        <v>496</v>
      </c>
      <c r="AY32" s="239">
        <v>1</v>
      </c>
      <c r="AZ32" s="241" t="s">
        <v>608</v>
      </c>
    </row>
    <row r="33" spans="2:52" ht="14.1" customHeight="1">
      <c r="B33" s="928" t="s">
        <v>571</v>
      </c>
      <c r="C33" s="929"/>
      <c r="D33" s="962" t="s">
        <v>615</v>
      </c>
      <c r="E33" s="963"/>
      <c r="F33" s="963"/>
      <c r="G33" s="963"/>
      <c r="H33" s="963"/>
      <c r="I33" s="963"/>
      <c r="J33" s="963"/>
      <c r="K33" s="963"/>
      <c r="L33" s="963"/>
      <c r="M33" s="963"/>
      <c r="N33" s="963"/>
      <c r="O33" s="963"/>
      <c r="P33" s="963"/>
      <c r="Q33" s="963"/>
      <c r="R33" s="963"/>
      <c r="S33" s="963"/>
      <c r="T33" s="963"/>
      <c r="U33" s="963"/>
      <c r="V33" s="963"/>
      <c r="W33" s="963"/>
      <c r="X33" s="963"/>
      <c r="Y33" s="963"/>
      <c r="Z33" s="963"/>
      <c r="AA33" s="963"/>
      <c r="AB33" s="963"/>
      <c r="AC33" s="963"/>
      <c r="AD33" s="963"/>
      <c r="AE33" s="963"/>
      <c r="AF33" s="963"/>
      <c r="AG33" s="963"/>
      <c r="AH33" s="963"/>
      <c r="AI33" s="963"/>
      <c r="AJ33" s="963"/>
      <c r="AK33" s="963"/>
      <c r="AL33" s="963"/>
      <c r="AM33" s="963"/>
      <c r="AN33" s="963"/>
      <c r="AO33" s="964"/>
      <c r="AX33" s="236" t="s">
        <v>497</v>
      </c>
      <c r="AY33" s="237" t="s">
        <v>572</v>
      </c>
      <c r="AZ33" s="241" t="s">
        <v>601</v>
      </c>
    </row>
    <row r="34" spans="2:52" ht="14.1" customHeight="1">
      <c r="B34" s="930"/>
      <c r="C34" s="931"/>
      <c r="D34" s="965"/>
      <c r="E34" s="966"/>
      <c r="F34" s="966"/>
      <c r="G34" s="966"/>
      <c r="H34" s="966"/>
      <c r="I34" s="966"/>
      <c r="J34" s="966"/>
      <c r="K34" s="966"/>
      <c r="L34" s="966"/>
      <c r="M34" s="966"/>
      <c r="N34" s="966"/>
      <c r="O34" s="966"/>
      <c r="P34" s="966"/>
      <c r="Q34" s="966"/>
      <c r="R34" s="966"/>
      <c r="S34" s="966"/>
      <c r="T34" s="966"/>
      <c r="U34" s="966"/>
      <c r="V34" s="966"/>
      <c r="W34" s="966"/>
      <c r="X34" s="966"/>
      <c r="Y34" s="966"/>
      <c r="Z34" s="966"/>
      <c r="AA34" s="966"/>
      <c r="AB34" s="966"/>
      <c r="AC34" s="966"/>
      <c r="AD34" s="966"/>
      <c r="AE34" s="966"/>
      <c r="AF34" s="966"/>
      <c r="AG34" s="966"/>
      <c r="AH34" s="966"/>
      <c r="AI34" s="966"/>
      <c r="AJ34" s="966"/>
      <c r="AK34" s="966"/>
      <c r="AL34" s="966"/>
      <c r="AM34" s="966"/>
      <c r="AN34" s="966"/>
      <c r="AO34" s="967"/>
      <c r="AX34" s="236" t="s">
        <v>498</v>
      </c>
      <c r="AY34" s="239">
        <v>3</v>
      </c>
      <c r="AZ34" s="241" t="s">
        <v>605</v>
      </c>
    </row>
    <row r="35" spans="2:52" ht="14.1" customHeight="1">
      <c r="B35" s="930"/>
      <c r="C35" s="931"/>
      <c r="D35" s="965"/>
      <c r="E35" s="966"/>
      <c r="F35" s="966"/>
      <c r="G35" s="966"/>
      <c r="H35" s="966"/>
      <c r="I35" s="966"/>
      <c r="J35" s="966"/>
      <c r="K35" s="966"/>
      <c r="L35" s="966"/>
      <c r="M35" s="966"/>
      <c r="N35" s="966"/>
      <c r="O35" s="966"/>
      <c r="P35" s="966"/>
      <c r="Q35" s="966"/>
      <c r="R35" s="966"/>
      <c r="S35" s="966"/>
      <c r="T35" s="966"/>
      <c r="U35" s="966"/>
      <c r="V35" s="966"/>
      <c r="W35" s="966"/>
      <c r="X35" s="966"/>
      <c r="Y35" s="966"/>
      <c r="Z35" s="966"/>
      <c r="AA35" s="966"/>
      <c r="AB35" s="966"/>
      <c r="AC35" s="966"/>
      <c r="AD35" s="966"/>
      <c r="AE35" s="966"/>
      <c r="AF35" s="966"/>
      <c r="AG35" s="966"/>
      <c r="AH35" s="966"/>
      <c r="AI35" s="966"/>
      <c r="AJ35" s="966"/>
      <c r="AK35" s="966"/>
      <c r="AL35" s="966"/>
      <c r="AM35" s="966"/>
      <c r="AN35" s="966"/>
      <c r="AO35" s="967"/>
      <c r="AX35" s="236" t="s">
        <v>499</v>
      </c>
      <c r="AY35" s="239" t="s">
        <v>569</v>
      </c>
      <c r="AZ35" s="241"/>
    </row>
    <row r="36" spans="2:52" ht="14.1" customHeight="1" thickBot="1">
      <c r="B36" s="932"/>
      <c r="C36" s="933"/>
      <c r="D36" s="968"/>
      <c r="E36" s="969"/>
      <c r="F36" s="969"/>
      <c r="G36" s="969"/>
      <c r="H36" s="969"/>
      <c r="I36" s="969"/>
      <c r="J36" s="969"/>
      <c r="K36" s="969"/>
      <c r="L36" s="969"/>
      <c r="M36" s="969"/>
      <c r="N36" s="969"/>
      <c r="O36" s="969"/>
      <c r="P36" s="969"/>
      <c r="Q36" s="969"/>
      <c r="R36" s="969"/>
      <c r="S36" s="969"/>
      <c r="T36" s="969"/>
      <c r="U36" s="969"/>
      <c r="V36" s="969"/>
      <c r="W36" s="969"/>
      <c r="X36" s="969"/>
      <c r="Y36" s="969"/>
      <c r="Z36" s="969"/>
      <c r="AA36" s="969"/>
      <c r="AB36" s="969"/>
      <c r="AC36" s="969"/>
      <c r="AD36" s="969"/>
      <c r="AE36" s="969"/>
      <c r="AF36" s="969"/>
      <c r="AG36" s="969"/>
      <c r="AH36" s="969"/>
      <c r="AI36" s="969"/>
      <c r="AJ36" s="969"/>
      <c r="AK36" s="969"/>
      <c r="AL36" s="969"/>
      <c r="AM36" s="969"/>
      <c r="AN36" s="969"/>
      <c r="AO36" s="970"/>
      <c r="AX36" s="242" t="s">
        <v>500</v>
      </c>
      <c r="AY36" s="243">
        <v>2</v>
      </c>
      <c r="AZ36" s="244" t="s">
        <v>602</v>
      </c>
    </row>
    <row r="37" spans="2:52" ht="30" customHeight="1" thickTop="1">
      <c r="B37" s="956" t="s">
        <v>573</v>
      </c>
      <c r="C37" s="957"/>
      <c r="D37" s="948" t="s">
        <v>574</v>
      </c>
      <c r="E37" s="948"/>
      <c r="F37" s="948"/>
      <c r="G37" s="948"/>
      <c r="H37" s="948"/>
      <c r="I37" s="948"/>
      <c r="J37" s="948"/>
      <c r="K37" s="948"/>
      <c r="L37" s="948"/>
      <c r="M37" s="948"/>
      <c r="N37" s="948"/>
      <c r="O37" s="948"/>
      <c r="P37" s="948"/>
      <c r="Q37" s="948"/>
      <c r="R37" s="948"/>
      <c r="S37" s="948"/>
      <c r="T37" s="948"/>
      <c r="U37" s="948"/>
      <c r="V37" s="948"/>
      <c r="W37" s="948"/>
      <c r="X37" s="948"/>
      <c r="Y37" s="948"/>
      <c r="Z37" s="948"/>
      <c r="AA37" s="948"/>
      <c r="AB37" s="948"/>
      <c r="AC37" s="948"/>
      <c r="AD37" s="948"/>
      <c r="AE37" s="948"/>
      <c r="AF37" s="948"/>
      <c r="AG37" s="948"/>
      <c r="AH37" s="948"/>
      <c r="AI37" s="948"/>
      <c r="AJ37" s="948"/>
      <c r="AK37" s="948"/>
      <c r="AL37" s="948"/>
      <c r="AM37" s="948"/>
      <c r="AN37" s="948"/>
      <c r="AO37" s="949"/>
      <c r="AX37" s="245" t="s">
        <v>576</v>
      </c>
      <c r="AY37" s="246">
        <f>SUM(AY25:AY36)</f>
        <v>13</v>
      </c>
      <c r="AZ37" s="247"/>
    </row>
    <row r="38" spans="2:52" ht="39.950000000000003" customHeight="1">
      <c r="B38" s="956" t="s">
        <v>575</v>
      </c>
      <c r="C38" s="957"/>
      <c r="D38" s="984" t="s">
        <v>613</v>
      </c>
      <c r="E38" s="984"/>
      <c r="F38" s="984"/>
      <c r="G38" s="984"/>
      <c r="H38" s="984"/>
      <c r="I38" s="984"/>
      <c r="J38" s="984"/>
      <c r="K38" s="984"/>
      <c r="L38" s="984"/>
      <c r="M38" s="984"/>
      <c r="N38" s="984"/>
      <c r="O38" s="984"/>
      <c r="P38" s="984"/>
      <c r="Q38" s="984"/>
      <c r="R38" s="984"/>
      <c r="S38" s="984"/>
      <c r="T38" s="984"/>
      <c r="U38" s="984"/>
      <c r="V38" s="984"/>
      <c r="W38" s="984"/>
      <c r="X38" s="984"/>
      <c r="Y38" s="984"/>
      <c r="Z38" s="984"/>
      <c r="AA38" s="984"/>
      <c r="AB38" s="984"/>
      <c r="AC38" s="984"/>
      <c r="AD38" s="984"/>
      <c r="AE38" s="984"/>
      <c r="AF38" s="984"/>
      <c r="AG38" s="984"/>
      <c r="AH38" s="984"/>
      <c r="AI38" s="984"/>
      <c r="AJ38" s="984"/>
      <c r="AK38" s="984"/>
      <c r="AL38" s="984"/>
      <c r="AM38" s="984"/>
      <c r="AN38" s="984"/>
      <c r="AO38" s="985"/>
      <c r="AX38" s="231"/>
      <c r="AY38" s="232"/>
      <c r="AZ38" s="231"/>
    </row>
    <row r="39" spans="2:52" ht="105" customHeight="1">
      <c r="B39" s="956" t="s">
        <v>577</v>
      </c>
      <c r="C39" s="957"/>
      <c r="D39" s="948" t="s">
        <v>578</v>
      </c>
      <c r="E39" s="948"/>
      <c r="F39" s="948"/>
      <c r="G39" s="948"/>
      <c r="H39" s="948"/>
      <c r="I39" s="948"/>
      <c r="J39" s="948"/>
      <c r="K39" s="948"/>
      <c r="L39" s="948"/>
      <c r="M39" s="948"/>
      <c r="N39" s="948"/>
      <c r="O39" s="948"/>
      <c r="P39" s="948"/>
      <c r="Q39" s="948"/>
      <c r="R39" s="948"/>
      <c r="S39" s="948"/>
      <c r="T39" s="948"/>
      <c r="U39" s="948"/>
      <c r="V39" s="948"/>
      <c r="W39" s="948"/>
      <c r="X39" s="948"/>
      <c r="Y39" s="948"/>
      <c r="Z39" s="948"/>
      <c r="AA39" s="948"/>
      <c r="AB39" s="948"/>
      <c r="AC39" s="948"/>
      <c r="AD39" s="948"/>
      <c r="AE39" s="948"/>
      <c r="AF39" s="948"/>
      <c r="AG39" s="948"/>
      <c r="AH39" s="948"/>
      <c r="AI39" s="948"/>
      <c r="AJ39" s="948"/>
      <c r="AK39" s="948"/>
      <c r="AL39" s="948"/>
      <c r="AM39" s="948"/>
      <c r="AN39" s="948"/>
      <c r="AO39" s="949"/>
    </row>
    <row r="40" spans="2:52" ht="30.75" customHeight="1">
      <c r="B40" s="956" t="s">
        <v>579</v>
      </c>
      <c r="C40" s="957"/>
      <c r="D40" s="948" t="s">
        <v>580</v>
      </c>
      <c r="E40" s="948"/>
      <c r="F40" s="948"/>
      <c r="G40" s="948"/>
      <c r="H40" s="948"/>
      <c r="I40" s="948"/>
      <c r="J40" s="948"/>
      <c r="K40" s="948"/>
      <c r="L40" s="948"/>
      <c r="M40" s="948"/>
      <c r="N40" s="948"/>
      <c r="O40" s="948"/>
      <c r="P40" s="948"/>
      <c r="Q40" s="948"/>
      <c r="R40" s="948"/>
      <c r="S40" s="948"/>
      <c r="T40" s="948"/>
      <c r="U40" s="948"/>
      <c r="V40" s="948"/>
      <c r="W40" s="948"/>
      <c r="X40" s="948"/>
      <c r="Y40" s="948"/>
      <c r="Z40" s="948"/>
      <c r="AA40" s="948"/>
      <c r="AB40" s="948"/>
      <c r="AC40" s="948"/>
      <c r="AD40" s="948"/>
      <c r="AE40" s="948"/>
      <c r="AF40" s="948"/>
      <c r="AG40" s="948"/>
      <c r="AH40" s="948"/>
      <c r="AI40" s="948"/>
      <c r="AJ40" s="948"/>
      <c r="AK40" s="948"/>
      <c r="AL40" s="948"/>
      <c r="AM40" s="948"/>
      <c r="AN40" s="948"/>
      <c r="AO40" s="949"/>
    </row>
    <row r="41" spans="2:52" ht="15.6" customHeight="1">
      <c r="B41" s="928" t="s">
        <v>581</v>
      </c>
      <c r="C41" s="929"/>
      <c r="D41" s="934" t="s">
        <v>582</v>
      </c>
      <c r="E41" s="934"/>
      <c r="F41" s="934"/>
      <c r="G41" s="934"/>
      <c r="H41" s="934"/>
      <c r="I41" s="934"/>
      <c r="J41" s="934"/>
      <c r="K41" s="934"/>
      <c r="L41" s="934"/>
      <c r="M41" s="934"/>
      <c r="N41" s="934"/>
      <c r="O41" s="934"/>
      <c r="P41" s="934"/>
      <c r="Q41" s="934"/>
      <c r="R41" s="934"/>
      <c r="S41" s="934"/>
      <c r="T41" s="934"/>
      <c r="U41" s="934"/>
      <c r="V41" s="934"/>
      <c r="W41" s="934"/>
      <c r="X41" s="934"/>
      <c r="Y41" s="934"/>
      <c r="Z41" s="934"/>
      <c r="AA41" s="934"/>
      <c r="AB41" s="934"/>
      <c r="AC41" s="934"/>
      <c r="AD41" s="934"/>
      <c r="AE41" s="934"/>
      <c r="AF41" s="934"/>
      <c r="AG41" s="934"/>
      <c r="AH41" s="934"/>
      <c r="AI41" s="934"/>
      <c r="AJ41" s="934"/>
      <c r="AK41" s="934"/>
      <c r="AL41" s="934"/>
      <c r="AM41" s="934"/>
      <c r="AN41" s="934"/>
      <c r="AO41" s="935"/>
    </row>
    <row r="42" spans="2:52" ht="15.6" customHeight="1">
      <c r="B42" s="930"/>
      <c r="C42" s="931"/>
      <c r="D42" s="936" t="s">
        <v>583</v>
      </c>
      <c r="E42" s="937"/>
      <c r="F42" s="937"/>
      <c r="G42" s="937"/>
      <c r="H42" s="937"/>
      <c r="I42" s="937"/>
      <c r="J42" s="937"/>
      <c r="K42" s="937"/>
      <c r="L42" s="937"/>
      <c r="M42" s="937"/>
      <c r="N42" s="937"/>
      <c r="O42" s="937"/>
      <c r="P42" s="937"/>
      <c r="Q42" s="937"/>
      <c r="R42" s="937"/>
      <c r="S42" s="937"/>
      <c r="T42" s="937"/>
      <c r="U42" s="937"/>
      <c r="V42" s="937"/>
      <c r="W42" s="937"/>
      <c r="X42" s="937"/>
      <c r="Y42" s="937"/>
      <c r="Z42" s="937"/>
      <c r="AA42" s="937"/>
      <c r="AB42" s="937"/>
      <c r="AC42" s="937"/>
      <c r="AD42" s="937"/>
      <c r="AE42" s="937"/>
      <c r="AF42" s="937"/>
      <c r="AG42" s="937"/>
      <c r="AH42" s="937"/>
      <c r="AI42" s="937"/>
      <c r="AJ42" s="937"/>
      <c r="AK42" s="937"/>
      <c r="AL42" s="937"/>
      <c r="AM42" s="937"/>
      <c r="AN42" s="937"/>
      <c r="AO42" s="938"/>
    </row>
    <row r="43" spans="2:52" ht="15.6" customHeight="1">
      <c r="B43" s="930"/>
      <c r="C43" s="931"/>
      <c r="D43" s="939" t="s">
        <v>614</v>
      </c>
      <c r="E43" s="940"/>
      <c r="F43" s="940"/>
      <c r="G43" s="940"/>
      <c r="H43" s="940"/>
      <c r="I43" s="940"/>
      <c r="J43" s="940"/>
      <c r="K43" s="940"/>
      <c r="L43" s="940"/>
      <c r="M43" s="940"/>
      <c r="N43" s="940"/>
      <c r="O43" s="940"/>
      <c r="P43" s="940"/>
      <c r="Q43" s="940"/>
      <c r="R43" s="940"/>
      <c r="S43" s="940"/>
      <c r="T43" s="940"/>
      <c r="U43" s="940"/>
      <c r="V43" s="940"/>
      <c r="W43" s="940"/>
      <c r="X43" s="940"/>
      <c r="Y43" s="940"/>
      <c r="Z43" s="940"/>
      <c r="AA43" s="940"/>
      <c r="AB43" s="940"/>
      <c r="AC43" s="940"/>
      <c r="AD43" s="940"/>
      <c r="AE43" s="940"/>
      <c r="AF43" s="940"/>
      <c r="AG43" s="940"/>
      <c r="AH43" s="940"/>
      <c r="AI43" s="940"/>
      <c r="AJ43" s="940"/>
      <c r="AK43" s="940"/>
      <c r="AL43" s="940"/>
      <c r="AM43" s="940"/>
      <c r="AN43" s="940"/>
      <c r="AO43" s="941"/>
    </row>
    <row r="44" spans="2:52">
      <c r="B44" s="932"/>
      <c r="C44" s="933"/>
      <c r="D44" s="942" t="s">
        <v>617</v>
      </c>
      <c r="E44" s="943"/>
      <c r="F44" s="943"/>
      <c r="G44" s="943"/>
      <c r="H44" s="943"/>
      <c r="I44" s="943"/>
      <c r="J44" s="943"/>
      <c r="K44" s="943"/>
      <c r="L44" s="943"/>
      <c r="M44" s="943"/>
      <c r="N44" s="943"/>
      <c r="O44" s="943"/>
      <c r="P44" s="943"/>
      <c r="Q44" s="943"/>
      <c r="R44" s="943"/>
      <c r="S44" s="943"/>
      <c r="T44" s="943"/>
      <c r="U44" s="943"/>
      <c r="V44" s="943"/>
      <c r="W44" s="943"/>
      <c r="X44" s="943"/>
      <c r="Y44" s="943"/>
      <c r="Z44" s="943"/>
      <c r="AA44" s="943"/>
      <c r="AB44" s="943"/>
      <c r="AC44" s="943"/>
      <c r="AD44" s="943"/>
      <c r="AE44" s="943"/>
      <c r="AF44" s="943"/>
      <c r="AG44" s="943"/>
      <c r="AH44" s="943"/>
      <c r="AI44" s="943"/>
      <c r="AJ44" s="943"/>
      <c r="AK44" s="943"/>
      <c r="AL44" s="943"/>
      <c r="AM44" s="943"/>
      <c r="AN44" s="943"/>
      <c r="AO44" s="944"/>
    </row>
    <row r="45" spans="2:52" ht="15" customHeight="1">
      <c r="B45" s="928" t="s">
        <v>584</v>
      </c>
      <c r="C45" s="929"/>
      <c r="D45" s="948" t="s">
        <v>585</v>
      </c>
      <c r="E45" s="948"/>
      <c r="F45" s="948"/>
      <c r="G45" s="948"/>
      <c r="H45" s="948"/>
      <c r="I45" s="948"/>
      <c r="J45" s="948"/>
      <c r="K45" s="948"/>
      <c r="L45" s="948"/>
      <c r="M45" s="948"/>
      <c r="N45" s="948"/>
      <c r="O45" s="948"/>
      <c r="P45" s="948"/>
      <c r="Q45" s="948"/>
      <c r="R45" s="948"/>
      <c r="S45" s="948"/>
      <c r="T45" s="948"/>
      <c r="U45" s="948"/>
      <c r="V45" s="948"/>
      <c r="W45" s="948"/>
      <c r="X45" s="948"/>
      <c r="Y45" s="948"/>
      <c r="Z45" s="948"/>
      <c r="AA45" s="948"/>
      <c r="AB45" s="948"/>
      <c r="AC45" s="948"/>
      <c r="AD45" s="948"/>
      <c r="AE45" s="948"/>
      <c r="AF45" s="948"/>
      <c r="AG45" s="948"/>
      <c r="AH45" s="948"/>
      <c r="AI45" s="948"/>
      <c r="AJ45" s="948"/>
      <c r="AK45" s="948"/>
      <c r="AL45" s="948"/>
      <c r="AM45" s="948"/>
      <c r="AN45" s="948"/>
      <c r="AO45" s="949"/>
    </row>
    <row r="46" spans="2:52">
      <c r="B46" s="930"/>
      <c r="C46" s="931"/>
      <c r="D46" s="950" t="s">
        <v>586</v>
      </c>
      <c r="E46" s="922"/>
      <c r="F46" s="922"/>
      <c r="G46" s="922"/>
      <c r="H46" s="922"/>
      <c r="I46" s="922"/>
      <c r="J46" s="922"/>
      <c r="K46" s="922" t="s">
        <v>587</v>
      </c>
      <c r="L46" s="922"/>
      <c r="M46" s="922"/>
      <c r="N46" s="922"/>
      <c r="O46" s="922"/>
      <c r="P46" s="922"/>
      <c r="Q46" s="922"/>
      <c r="R46" s="922" t="s">
        <v>588</v>
      </c>
      <c r="S46" s="922"/>
      <c r="T46" s="922"/>
      <c r="U46" s="922"/>
      <c r="V46" s="922"/>
      <c r="W46" s="922"/>
      <c r="X46" s="922"/>
      <c r="Y46" s="922"/>
      <c r="Z46" s="922" t="s">
        <v>589</v>
      </c>
      <c r="AA46" s="922"/>
      <c r="AB46" s="922"/>
      <c r="AC46" s="922"/>
      <c r="AD46" s="922"/>
      <c r="AE46" s="922"/>
      <c r="AF46" s="922"/>
      <c r="AG46" s="922"/>
      <c r="AH46" s="922" t="s">
        <v>590</v>
      </c>
      <c r="AI46" s="922"/>
      <c r="AJ46" s="922"/>
      <c r="AK46" s="922"/>
      <c r="AL46" s="922"/>
      <c r="AM46" s="922" t="s">
        <v>591</v>
      </c>
      <c r="AN46" s="922"/>
      <c r="AO46" s="923"/>
    </row>
    <row r="47" spans="2:52">
      <c r="B47" s="930"/>
      <c r="C47" s="931"/>
      <c r="D47" s="924" t="s">
        <v>24</v>
      </c>
      <c r="E47" s="925"/>
      <c r="F47" s="925"/>
      <c r="G47" s="925"/>
      <c r="H47" s="925"/>
      <c r="I47" s="925"/>
      <c r="J47" s="925"/>
      <c r="K47" s="926" t="s">
        <v>24</v>
      </c>
      <c r="L47" s="926"/>
      <c r="M47" s="926"/>
      <c r="N47" s="926"/>
      <c r="O47" s="926"/>
      <c r="P47" s="926"/>
      <c r="Q47" s="926"/>
      <c r="R47" s="926" t="s">
        <v>24</v>
      </c>
      <c r="S47" s="926"/>
      <c r="T47" s="926"/>
      <c r="U47" s="926"/>
      <c r="V47" s="926"/>
      <c r="W47" s="926"/>
      <c r="X47" s="926"/>
      <c r="Y47" s="926"/>
      <c r="Z47" s="926" t="s">
        <v>24</v>
      </c>
      <c r="AA47" s="926"/>
      <c r="AB47" s="926"/>
      <c r="AC47" s="926"/>
      <c r="AD47" s="926"/>
      <c r="AE47" s="926"/>
      <c r="AF47" s="926"/>
      <c r="AG47" s="926"/>
      <c r="AH47" s="926" t="s">
        <v>24</v>
      </c>
      <c r="AI47" s="926"/>
      <c r="AJ47" s="926"/>
      <c r="AK47" s="926"/>
      <c r="AL47" s="926"/>
      <c r="AM47" s="926" t="s">
        <v>24</v>
      </c>
      <c r="AN47" s="926"/>
      <c r="AO47" s="927"/>
    </row>
    <row r="48" spans="2:52" ht="15.6" customHeight="1">
      <c r="B48" s="930"/>
      <c r="C48" s="945"/>
      <c r="D48" s="934" t="s">
        <v>592</v>
      </c>
      <c r="E48" s="934"/>
      <c r="F48" s="934"/>
      <c r="G48" s="934"/>
      <c r="H48" s="934"/>
      <c r="I48" s="934"/>
      <c r="J48" s="934"/>
      <c r="K48" s="934"/>
      <c r="L48" s="934"/>
      <c r="M48" s="934"/>
      <c r="N48" s="934"/>
      <c r="O48" s="934"/>
      <c r="P48" s="934"/>
      <c r="Q48" s="934"/>
      <c r="R48" s="934"/>
      <c r="S48" s="934"/>
      <c r="T48" s="934"/>
      <c r="U48" s="934"/>
      <c r="V48" s="934"/>
      <c r="W48" s="934"/>
      <c r="X48" s="934"/>
      <c r="Y48" s="934"/>
      <c r="Z48" s="934"/>
      <c r="AA48" s="934"/>
      <c r="AB48" s="934"/>
      <c r="AC48" s="934"/>
      <c r="AD48" s="934"/>
      <c r="AE48" s="934"/>
      <c r="AF48" s="934"/>
      <c r="AG48" s="934"/>
      <c r="AH48" s="934"/>
      <c r="AI48" s="934"/>
      <c r="AJ48" s="934"/>
      <c r="AK48" s="934"/>
      <c r="AL48" s="934"/>
      <c r="AM48" s="934"/>
      <c r="AN48" s="934"/>
      <c r="AO48" s="935"/>
    </row>
    <row r="49" spans="2:41" ht="15.6" customHeight="1">
      <c r="B49" s="930"/>
      <c r="C49" s="945"/>
      <c r="D49" s="939" t="s">
        <v>618</v>
      </c>
      <c r="E49" s="940"/>
      <c r="F49" s="940"/>
      <c r="G49" s="940"/>
      <c r="H49" s="940"/>
      <c r="I49" s="940"/>
      <c r="J49" s="940"/>
      <c r="K49" s="940"/>
      <c r="L49" s="940"/>
      <c r="M49" s="940"/>
      <c r="N49" s="940"/>
      <c r="O49" s="940"/>
      <c r="P49" s="940"/>
      <c r="Q49" s="940"/>
      <c r="R49" s="940"/>
      <c r="S49" s="940"/>
      <c r="T49" s="940"/>
      <c r="U49" s="940"/>
      <c r="V49" s="940"/>
      <c r="W49" s="940"/>
      <c r="X49" s="940"/>
      <c r="Y49" s="940"/>
      <c r="Z49" s="940"/>
      <c r="AA49" s="940"/>
      <c r="AB49" s="940"/>
      <c r="AC49" s="940"/>
      <c r="AD49" s="940"/>
      <c r="AE49" s="940"/>
      <c r="AF49" s="940"/>
      <c r="AG49" s="940"/>
      <c r="AH49" s="940"/>
      <c r="AI49" s="940"/>
      <c r="AJ49" s="940"/>
      <c r="AK49" s="940"/>
      <c r="AL49" s="940"/>
      <c r="AM49" s="940"/>
      <c r="AN49" s="940"/>
      <c r="AO49" s="941"/>
    </row>
    <row r="50" spans="2:41" ht="15.6" customHeight="1">
      <c r="B50" s="930"/>
      <c r="C50" s="945"/>
      <c r="D50" s="951" t="s">
        <v>619</v>
      </c>
      <c r="E50" s="952"/>
      <c r="F50" s="952"/>
      <c r="G50" s="952"/>
      <c r="H50" s="952"/>
      <c r="I50" s="952"/>
      <c r="J50" s="952"/>
      <c r="K50" s="952"/>
      <c r="L50" s="952"/>
      <c r="M50" s="952"/>
      <c r="N50" s="952"/>
      <c r="O50" s="952"/>
      <c r="P50" s="952"/>
      <c r="Q50" s="952"/>
      <c r="R50" s="952"/>
      <c r="S50" s="952"/>
      <c r="T50" s="952"/>
      <c r="U50" s="952"/>
      <c r="V50" s="952"/>
      <c r="W50" s="952"/>
      <c r="X50" s="952"/>
      <c r="Y50" s="952"/>
      <c r="Z50" s="952"/>
      <c r="AA50" s="952"/>
      <c r="AB50" s="952"/>
      <c r="AC50" s="952"/>
      <c r="AD50" s="952"/>
      <c r="AE50" s="952"/>
      <c r="AF50" s="952"/>
      <c r="AG50" s="952"/>
      <c r="AH50" s="952"/>
      <c r="AI50" s="952"/>
      <c r="AJ50" s="952"/>
      <c r="AK50" s="952"/>
      <c r="AL50" s="952"/>
      <c r="AM50" s="952"/>
      <c r="AN50" s="952"/>
      <c r="AO50" s="953"/>
    </row>
    <row r="51" spans="2:41" ht="24.95" customHeight="1" thickBot="1">
      <c r="B51" s="946"/>
      <c r="C51" s="947"/>
      <c r="D51" s="954" t="s">
        <v>616</v>
      </c>
      <c r="E51" s="954"/>
      <c r="F51" s="954"/>
      <c r="G51" s="954"/>
      <c r="H51" s="954"/>
      <c r="I51" s="954"/>
      <c r="J51" s="954"/>
      <c r="K51" s="954"/>
      <c r="L51" s="954"/>
      <c r="M51" s="954"/>
      <c r="N51" s="954"/>
      <c r="O51" s="954"/>
      <c r="P51" s="954"/>
      <c r="Q51" s="954"/>
      <c r="R51" s="954"/>
      <c r="S51" s="954"/>
      <c r="T51" s="954"/>
      <c r="U51" s="954"/>
      <c r="V51" s="954"/>
      <c r="W51" s="954"/>
      <c r="X51" s="954"/>
      <c r="Y51" s="954"/>
      <c r="Z51" s="954"/>
      <c r="AA51" s="954"/>
      <c r="AB51" s="954"/>
      <c r="AC51" s="954"/>
      <c r="AD51" s="954"/>
      <c r="AE51" s="954"/>
      <c r="AF51" s="954"/>
      <c r="AG51" s="954"/>
      <c r="AH51" s="954"/>
      <c r="AI51" s="954"/>
      <c r="AJ51" s="954"/>
      <c r="AK51" s="954"/>
      <c r="AL51" s="954"/>
      <c r="AM51" s="954"/>
      <c r="AN51" s="954"/>
      <c r="AO51" s="955"/>
    </row>
    <row r="52" spans="2:41">
      <c r="B52" s="915" t="s">
        <v>599</v>
      </c>
      <c r="C52" s="916"/>
      <c r="D52" s="916"/>
      <c r="E52" s="916"/>
      <c r="F52" s="916"/>
      <c r="G52" s="916"/>
      <c r="H52" s="916"/>
      <c r="I52" s="916"/>
      <c r="J52" s="916"/>
      <c r="K52" s="916"/>
      <c r="L52" s="916"/>
      <c r="M52" s="916"/>
      <c r="N52" s="916"/>
      <c r="O52" s="916"/>
      <c r="P52" s="916"/>
      <c r="Q52" s="916"/>
      <c r="R52" s="916"/>
      <c r="S52" s="916"/>
      <c r="T52" s="916"/>
      <c r="U52" s="916"/>
      <c r="V52" s="916"/>
      <c r="W52" s="916"/>
      <c r="X52" s="916"/>
      <c r="Y52" s="916"/>
      <c r="Z52" s="916"/>
      <c r="AA52" s="916"/>
      <c r="AB52" s="916"/>
      <c r="AC52" s="916"/>
      <c r="AD52" s="916"/>
      <c r="AE52" s="916"/>
      <c r="AF52" s="916"/>
      <c r="AG52" s="916"/>
      <c r="AH52" s="916"/>
      <c r="AI52" s="916"/>
      <c r="AJ52" s="916"/>
      <c r="AK52" s="916"/>
      <c r="AL52" s="916"/>
      <c r="AM52" s="916"/>
      <c r="AN52" s="916"/>
      <c r="AO52" s="917"/>
    </row>
    <row r="53" spans="2:41" ht="14.1" customHeight="1">
      <c r="B53" s="918" t="s">
        <v>620</v>
      </c>
      <c r="C53" s="919"/>
      <c r="D53" s="919"/>
      <c r="E53" s="919"/>
      <c r="F53" s="919"/>
      <c r="G53" s="919"/>
      <c r="H53" s="919"/>
      <c r="I53" s="919"/>
      <c r="J53" s="919"/>
      <c r="K53" s="919"/>
      <c r="L53" s="919"/>
      <c r="M53" s="919"/>
      <c r="N53" s="919"/>
      <c r="O53" s="919"/>
      <c r="P53" s="919"/>
      <c r="Q53" s="919"/>
      <c r="R53" s="919"/>
      <c r="S53" s="919"/>
      <c r="T53" s="919"/>
      <c r="U53" s="920" t="s">
        <v>593</v>
      </c>
      <c r="V53" s="920"/>
      <c r="W53" s="920"/>
      <c r="X53" s="920"/>
      <c r="Y53" s="920"/>
      <c r="Z53" s="920"/>
      <c r="AA53" s="920"/>
      <c r="AB53" s="920"/>
      <c r="AC53" s="920"/>
      <c r="AD53" s="920"/>
      <c r="AE53" s="920"/>
      <c r="AF53" s="920"/>
      <c r="AG53" s="920"/>
      <c r="AH53" s="920"/>
      <c r="AI53" s="920"/>
      <c r="AJ53" s="920"/>
      <c r="AK53" s="920"/>
      <c r="AL53" s="920"/>
      <c r="AM53" s="920"/>
      <c r="AN53" s="920"/>
      <c r="AO53" s="921"/>
    </row>
    <row r="54" spans="2:41" ht="16.5" customHeight="1">
      <c r="B54" s="908" t="s">
        <v>594</v>
      </c>
      <c r="C54" s="909"/>
      <c r="D54" s="909"/>
      <c r="E54" s="909"/>
      <c r="F54" s="909"/>
      <c r="G54" s="910" t="str">
        <f>H4</f>
        <v>아름다운건설㈜</v>
      </c>
      <c r="H54" s="910"/>
      <c r="I54" s="910"/>
      <c r="J54" s="910"/>
      <c r="K54" s="910"/>
      <c r="L54" s="910"/>
      <c r="M54" s="910"/>
      <c r="N54" s="910"/>
      <c r="O54" s="910"/>
      <c r="P54" s="910"/>
      <c r="Q54" s="911"/>
      <c r="R54" s="911"/>
      <c r="S54" s="911"/>
      <c r="T54" s="911"/>
      <c r="U54" s="909" t="s">
        <v>628</v>
      </c>
      <c r="V54" s="909"/>
      <c r="W54" s="909"/>
      <c r="X54" s="909"/>
      <c r="Y54" s="909"/>
      <c r="Z54" s="912" t="e">
        <f>H7</f>
        <v>#REF!</v>
      </c>
      <c r="AA54" s="912"/>
      <c r="AB54" s="912"/>
      <c r="AC54" s="912"/>
      <c r="AD54" s="912"/>
      <c r="AE54" s="912"/>
      <c r="AF54" s="912"/>
      <c r="AG54" s="912"/>
      <c r="AH54" s="912"/>
      <c r="AI54" s="912"/>
      <c r="AJ54" s="912"/>
      <c r="AK54" s="912"/>
      <c r="AL54" s="912"/>
      <c r="AM54" s="912"/>
      <c r="AN54" s="912"/>
      <c r="AO54" s="913"/>
    </row>
    <row r="55" spans="2:41" ht="16.5" customHeight="1">
      <c r="B55" s="908" t="s">
        <v>595</v>
      </c>
      <c r="C55" s="909"/>
      <c r="D55" s="909"/>
      <c r="E55" s="909"/>
      <c r="F55" s="909"/>
      <c r="G55" s="910" t="str">
        <f>AH4&amp;"                  (인)"</f>
        <v>김  대  표                  (인)</v>
      </c>
      <c r="H55" s="910"/>
      <c r="I55" s="910"/>
      <c r="J55" s="910"/>
      <c r="K55" s="910"/>
      <c r="L55" s="910"/>
      <c r="M55" s="910"/>
      <c r="N55" s="910"/>
      <c r="O55" s="910"/>
      <c r="P55" s="910"/>
      <c r="Q55" s="911"/>
      <c r="R55" s="911"/>
      <c r="S55" s="911"/>
      <c r="T55" s="911"/>
      <c r="U55" s="909" t="s">
        <v>596</v>
      </c>
      <c r="V55" s="909"/>
      <c r="W55" s="909"/>
      <c r="X55" s="909"/>
      <c r="Y55" s="909"/>
      <c r="Z55" s="914" t="e">
        <f>AB6</f>
        <v>#REF!</v>
      </c>
      <c r="AA55" s="914"/>
      <c r="AB55" s="914"/>
      <c r="AC55" s="914"/>
      <c r="AD55" s="914"/>
      <c r="AE55" s="914"/>
      <c r="AF55" s="914"/>
      <c r="AG55" s="914"/>
      <c r="AH55" s="914"/>
      <c r="AI55" s="914"/>
      <c r="AJ55" s="914"/>
      <c r="AK55" s="914"/>
      <c r="AL55" s="914"/>
      <c r="AM55" s="914"/>
      <c r="AN55" s="914"/>
      <c r="AO55" s="913"/>
    </row>
    <row r="56" spans="2:41" ht="17.25" customHeight="1" thickBot="1">
      <c r="B56" s="902" t="s">
        <v>627</v>
      </c>
      <c r="C56" s="903"/>
      <c r="D56" s="903"/>
      <c r="E56" s="903"/>
      <c r="F56" s="903"/>
      <c r="G56" s="904" t="str">
        <f>H5</f>
        <v>서울 대전 대구 부산 찍고</v>
      </c>
      <c r="H56" s="904"/>
      <c r="I56" s="904"/>
      <c r="J56" s="904"/>
      <c r="K56" s="904"/>
      <c r="L56" s="904"/>
      <c r="M56" s="904"/>
      <c r="N56" s="904"/>
      <c r="O56" s="904"/>
      <c r="P56" s="904"/>
      <c r="Q56" s="905"/>
      <c r="R56" s="905"/>
      <c r="S56" s="905"/>
      <c r="T56" s="905"/>
      <c r="U56" s="903" t="s">
        <v>629</v>
      </c>
      <c r="V56" s="903"/>
      <c r="W56" s="903"/>
      <c r="X56" s="903"/>
      <c r="Y56" s="903"/>
      <c r="Z56" s="906" t="str">
        <f>H6&amp;"                  (인)"</f>
        <v>A                  (인)</v>
      </c>
      <c r="AA56" s="906"/>
      <c r="AB56" s="906"/>
      <c r="AC56" s="906"/>
      <c r="AD56" s="906"/>
      <c r="AE56" s="906"/>
      <c r="AF56" s="906"/>
      <c r="AG56" s="906"/>
      <c r="AH56" s="906"/>
      <c r="AI56" s="906"/>
      <c r="AJ56" s="906"/>
      <c r="AK56" s="906"/>
      <c r="AL56" s="906"/>
      <c r="AM56" s="907"/>
      <c r="AN56" s="907"/>
      <c r="AO56" s="166"/>
    </row>
    <row r="57" spans="2:41" ht="4.5" customHeight="1">
      <c r="G57" s="167"/>
      <c r="H57" s="167"/>
      <c r="I57" s="167"/>
      <c r="J57" s="167"/>
      <c r="K57" s="167"/>
      <c r="L57" s="167"/>
      <c r="M57" s="167"/>
      <c r="N57" s="167"/>
      <c r="O57" s="167"/>
      <c r="P57" s="167"/>
    </row>
    <row r="59" spans="2:41" hidden="1">
      <c r="B59" s="111" t="e">
        <f>#REF!</f>
        <v>#REF!</v>
      </c>
    </row>
    <row r="60" spans="2:41" hidden="1">
      <c r="B60" s="111" t="e">
        <f>#REF!</f>
        <v>#REF!</v>
      </c>
    </row>
    <row r="61" spans="2:41" hidden="1">
      <c r="B61" s="111" t="e">
        <f>#REF!</f>
        <v>#REF!</v>
      </c>
    </row>
    <row r="62" spans="2:41" hidden="1">
      <c r="B62" s="111" t="e">
        <f>#REF!</f>
        <v>#REF!</v>
      </c>
    </row>
    <row r="63" spans="2:41" hidden="1">
      <c r="B63" s="111" t="e">
        <f>#REF!</f>
        <v>#REF!</v>
      </c>
    </row>
    <row r="64" spans="2:41" hidden="1">
      <c r="B64" s="111" t="e">
        <f>#REF!</f>
        <v>#REF!</v>
      </c>
    </row>
    <row r="65" spans="2:2" hidden="1">
      <c r="B65" s="111" t="e">
        <f>#REF!</f>
        <v>#REF!</v>
      </c>
    </row>
    <row r="66" spans="2:2" hidden="1">
      <c r="B66" s="111" t="e">
        <f>#REF!</f>
        <v>#REF!</v>
      </c>
    </row>
    <row r="67" spans="2:2" hidden="1">
      <c r="B67" s="111" t="e">
        <f>#REF!</f>
        <v>#REF!</v>
      </c>
    </row>
    <row r="68" spans="2:2" hidden="1">
      <c r="B68" s="111" t="e">
        <f>#REF!</f>
        <v>#REF!</v>
      </c>
    </row>
    <row r="69" spans="2:2" hidden="1">
      <c r="B69" s="111" t="e">
        <f>#REF!</f>
        <v>#REF!</v>
      </c>
    </row>
    <row r="70" spans="2:2" hidden="1">
      <c r="B70" s="111" t="e">
        <f>#REF!</f>
        <v>#REF!</v>
      </c>
    </row>
    <row r="71" spans="2:2" hidden="1">
      <c r="B71" s="111" t="e">
        <f>#REF!</f>
        <v>#REF!</v>
      </c>
    </row>
    <row r="72" spans="2:2" hidden="1">
      <c r="B72" s="111" t="e">
        <f>#REF!</f>
        <v>#REF!</v>
      </c>
    </row>
    <row r="73" spans="2:2" hidden="1">
      <c r="B73" s="111" t="e">
        <f>#REF!</f>
        <v>#REF!</v>
      </c>
    </row>
    <row r="74" spans="2:2" hidden="1">
      <c r="B74" s="111" t="e">
        <f>#REF!</f>
        <v>#REF!</v>
      </c>
    </row>
    <row r="75" spans="2:2" hidden="1">
      <c r="B75" s="111" t="e">
        <f>#REF!</f>
        <v>#REF!</v>
      </c>
    </row>
    <row r="76" spans="2:2" hidden="1">
      <c r="B76" s="111" t="e">
        <f>#REF!</f>
        <v>#REF!</v>
      </c>
    </row>
    <row r="77" spans="2:2" hidden="1">
      <c r="B77" s="111" t="e">
        <f>#REF!</f>
        <v>#REF!</v>
      </c>
    </row>
    <row r="78" spans="2:2" hidden="1">
      <c r="B78" s="111" t="e">
        <f>#REF!</f>
        <v>#REF!</v>
      </c>
    </row>
    <row r="79" spans="2:2" hidden="1">
      <c r="B79" s="111" t="e">
        <f>#REF!</f>
        <v>#REF!</v>
      </c>
    </row>
    <row r="80" spans="2:2" hidden="1">
      <c r="B80" s="111" t="e">
        <f>#REF!</f>
        <v>#REF!</v>
      </c>
    </row>
    <row r="81" spans="2:2" hidden="1">
      <c r="B81" s="111" t="e">
        <f>#REF!</f>
        <v>#REF!</v>
      </c>
    </row>
    <row r="82" spans="2:2" hidden="1">
      <c r="B82" s="111" t="e">
        <f>#REF!</f>
        <v>#REF!</v>
      </c>
    </row>
    <row r="83" spans="2:2" hidden="1">
      <c r="B83" s="111" t="e">
        <f>#REF!</f>
        <v>#REF!</v>
      </c>
    </row>
    <row r="84" spans="2:2" hidden="1">
      <c r="B84" s="111" t="e">
        <f>#REF!</f>
        <v>#REF!</v>
      </c>
    </row>
    <row r="85" spans="2:2" hidden="1">
      <c r="B85" s="111" t="e">
        <f>#REF!</f>
        <v>#REF!</v>
      </c>
    </row>
    <row r="86" spans="2:2" hidden="1">
      <c r="B86" s="111" t="e">
        <f>#REF!</f>
        <v>#REF!</v>
      </c>
    </row>
    <row r="87" spans="2:2" hidden="1">
      <c r="B87" s="111" t="e">
        <f>#REF!</f>
        <v>#REF!</v>
      </c>
    </row>
    <row r="88" spans="2:2" hidden="1">
      <c r="B88" s="111" t="e">
        <f>#REF!</f>
        <v>#REF!</v>
      </c>
    </row>
    <row r="89" spans="2:2" hidden="1">
      <c r="B89" s="111" t="e">
        <f>#REF!</f>
        <v>#REF!</v>
      </c>
    </row>
    <row r="90" spans="2:2" hidden="1">
      <c r="B90" s="111" t="e">
        <f>#REF!</f>
        <v>#REF!</v>
      </c>
    </row>
    <row r="91" spans="2:2" hidden="1">
      <c r="B91" s="111" t="e">
        <f>#REF!</f>
        <v>#REF!</v>
      </c>
    </row>
    <row r="92" spans="2:2" hidden="1">
      <c r="B92" s="111" t="e">
        <f>#REF!</f>
        <v>#REF!</v>
      </c>
    </row>
    <row r="93" spans="2:2" hidden="1">
      <c r="B93" s="111" t="e">
        <f>#REF!</f>
        <v>#REF!</v>
      </c>
    </row>
    <row r="94" spans="2:2" hidden="1">
      <c r="B94" s="111" t="e">
        <f>#REF!</f>
        <v>#REF!</v>
      </c>
    </row>
    <row r="95" spans="2:2" hidden="1">
      <c r="B95" s="111" t="e">
        <f>#REF!</f>
        <v>#REF!</v>
      </c>
    </row>
    <row r="96" spans="2:2" hidden="1">
      <c r="B96" s="111" t="e">
        <f>#REF!</f>
        <v>#REF!</v>
      </c>
    </row>
    <row r="97" spans="2:2" hidden="1">
      <c r="B97" s="111" t="e">
        <f>#REF!</f>
        <v>#REF!</v>
      </c>
    </row>
    <row r="98" spans="2:2" hidden="1">
      <c r="B98" s="111" t="e">
        <f>#REF!</f>
        <v>#REF!</v>
      </c>
    </row>
    <row r="99" spans="2:2" hidden="1">
      <c r="B99" s="111" t="e">
        <f>#REF!</f>
        <v>#REF!</v>
      </c>
    </row>
    <row r="100" spans="2:2" hidden="1">
      <c r="B100" s="111" t="e">
        <f>#REF!</f>
        <v>#REF!</v>
      </c>
    </row>
    <row r="101" spans="2:2" hidden="1">
      <c r="B101" s="111" t="e">
        <f>#REF!</f>
        <v>#REF!</v>
      </c>
    </row>
    <row r="102" spans="2:2" hidden="1">
      <c r="B102" s="111" t="e">
        <f>#REF!</f>
        <v>#REF!</v>
      </c>
    </row>
    <row r="103" spans="2:2" hidden="1">
      <c r="B103" s="111" t="e">
        <f>#REF!</f>
        <v>#REF!</v>
      </c>
    </row>
    <row r="104" spans="2:2" hidden="1">
      <c r="B104" s="111" t="e">
        <f>#REF!</f>
        <v>#REF!</v>
      </c>
    </row>
    <row r="105" spans="2:2" hidden="1">
      <c r="B105" s="111" t="e">
        <f>#REF!</f>
        <v>#REF!</v>
      </c>
    </row>
    <row r="106" spans="2:2" hidden="1">
      <c r="B106" s="111" t="e">
        <f>#REF!</f>
        <v>#REF!</v>
      </c>
    </row>
    <row r="107" spans="2:2" hidden="1">
      <c r="B107" s="111" t="e">
        <f>#REF!</f>
        <v>#REF!</v>
      </c>
    </row>
    <row r="108" spans="2:2" hidden="1">
      <c r="B108" s="111" t="e">
        <f>#REF!</f>
        <v>#REF!</v>
      </c>
    </row>
    <row r="109" spans="2:2" hidden="1">
      <c r="B109" s="111" t="e">
        <f>#REF!</f>
        <v>#REF!</v>
      </c>
    </row>
    <row r="110" spans="2:2" hidden="1">
      <c r="B110" s="111" t="e">
        <f>#REF!</f>
        <v>#REF!</v>
      </c>
    </row>
    <row r="111" spans="2:2" hidden="1">
      <c r="B111" s="111" t="e">
        <f>#REF!</f>
        <v>#REF!</v>
      </c>
    </row>
    <row r="112" spans="2:2" hidden="1">
      <c r="B112" s="111" t="e">
        <f>#REF!</f>
        <v>#REF!</v>
      </c>
    </row>
    <row r="113" spans="2:2" hidden="1">
      <c r="B113" s="111" t="e">
        <f>#REF!</f>
        <v>#REF!</v>
      </c>
    </row>
    <row r="114" spans="2:2" hidden="1">
      <c r="B114" s="111" t="e">
        <f>#REF!</f>
        <v>#REF!</v>
      </c>
    </row>
    <row r="115" spans="2:2" hidden="1">
      <c r="B115" s="111" t="e">
        <f>#REF!</f>
        <v>#REF!</v>
      </c>
    </row>
    <row r="116" spans="2:2" hidden="1">
      <c r="B116" s="111" t="e">
        <f>#REF!</f>
        <v>#REF!</v>
      </c>
    </row>
    <row r="117" spans="2:2" hidden="1">
      <c r="B117" s="111" t="e">
        <f>#REF!</f>
        <v>#REF!</v>
      </c>
    </row>
    <row r="118" spans="2:2" hidden="1">
      <c r="B118" s="111" t="e">
        <f>#REF!</f>
        <v>#REF!</v>
      </c>
    </row>
    <row r="119" spans="2:2" hidden="1">
      <c r="B119" s="111" t="e">
        <f>#REF!</f>
        <v>#REF!</v>
      </c>
    </row>
    <row r="120" spans="2:2" hidden="1">
      <c r="B120" s="111" t="e">
        <f>#REF!</f>
        <v>#REF!</v>
      </c>
    </row>
    <row r="121" spans="2:2" hidden="1">
      <c r="B121" s="111" t="e">
        <f>#REF!</f>
        <v>#REF!</v>
      </c>
    </row>
    <row r="122" spans="2:2" hidden="1">
      <c r="B122" s="111" t="e">
        <f>#REF!</f>
        <v>#REF!</v>
      </c>
    </row>
    <row r="123" spans="2:2" hidden="1">
      <c r="B123" s="111" t="e">
        <f>#REF!</f>
        <v>#REF!</v>
      </c>
    </row>
    <row r="124" spans="2:2" hidden="1">
      <c r="B124" s="111" t="e">
        <f>#REF!</f>
        <v>#REF!</v>
      </c>
    </row>
    <row r="125" spans="2:2" hidden="1">
      <c r="B125" s="111" t="e">
        <f>#REF!</f>
        <v>#REF!</v>
      </c>
    </row>
    <row r="126" spans="2:2" hidden="1">
      <c r="B126" s="111" t="e">
        <f>#REF!</f>
        <v>#REF!</v>
      </c>
    </row>
    <row r="127" spans="2:2" hidden="1">
      <c r="B127" s="111" t="e">
        <f>#REF!</f>
        <v>#REF!</v>
      </c>
    </row>
    <row r="128" spans="2:2" hidden="1">
      <c r="B128" s="111" t="e">
        <f>#REF!</f>
        <v>#REF!</v>
      </c>
    </row>
    <row r="129" spans="2:2" hidden="1">
      <c r="B129" s="111" t="e">
        <f>#REF!</f>
        <v>#REF!</v>
      </c>
    </row>
    <row r="130" spans="2:2" hidden="1">
      <c r="B130" s="111" t="e">
        <f>#REF!</f>
        <v>#REF!</v>
      </c>
    </row>
    <row r="131" spans="2:2" hidden="1">
      <c r="B131" s="111" t="e">
        <f>#REF!</f>
        <v>#REF!</v>
      </c>
    </row>
  </sheetData>
  <mergeCells count="155">
    <mergeCell ref="B8:AO8"/>
    <mergeCell ref="B9:C9"/>
    <mergeCell ref="D9:Z9"/>
    <mergeCell ref="AA9:AH9"/>
    <mergeCell ref="AI9:AO9"/>
    <mergeCell ref="L2:AI2"/>
    <mergeCell ref="B4:D5"/>
    <mergeCell ref="E4:G4"/>
    <mergeCell ref="H4:AA4"/>
    <mergeCell ref="AB4:AG4"/>
    <mergeCell ref="AH4:AO4"/>
    <mergeCell ref="E5:G5"/>
    <mergeCell ref="H5:AO5"/>
    <mergeCell ref="B6:D7"/>
    <mergeCell ref="E6:G6"/>
    <mergeCell ref="H6:K6"/>
    <mergeCell ref="W6:AA6"/>
    <mergeCell ref="AB6:AO6"/>
    <mergeCell ref="E7:G7"/>
    <mergeCell ref="H7:AA7"/>
    <mergeCell ref="AB7:AG7"/>
    <mergeCell ref="AH7:AO7"/>
    <mergeCell ref="B10:C14"/>
    <mergeCell ref="D10:G10"/>
    <mergeCell ref="H10:I10"/>
    <mergeCell ref="J10:M10"/>
    <mergeCell ref="N10:R10"/>
    <mergeCell ref="AC15:AO15"/>
    <mergeCell ref="D16:AO16"/>
    <mergeCell ref="D17:AO17"/>
    <mergeCell ref="D18:AO18"/>
    <mergeCell ref="D19:AO19"/>
    <mergeCell ref="D20:AO20"/>
    <mergeCell ref="S10:AO10"/>
    <mergeCell ref="D11:AO11"/>
    <mergeCell ref="D12:AO12"/>
    <mergeCell ref="D13:AO13"/>
    <mergeCell ref="D14:AO14"/>
    <mergeCell ref="D15:N15"/>
    <mergeCell ref="O15:R15"/>
    <mergeCell ref="S15:V15"/>
    <mergeCell ref="X15:AA15"/>
    <mergeCell ref="D21:AO21"/>
    <mergeCell ref="D22:AO22"/>
    <mergeCell ref="D24:AO24"/>
    <mergeCell ref="D25:F30"/>
    <mergeCell ref="G25:L25"/>
    <mergeCell ref="M25:O25"/>
    <mergeCell ref="P25:Q25"/>
    <mergeCell ref="R25:U25"/>
    <mergeCell ref="V25:W25"/>
    <mergeCell ref="X25:Z25"/>
    <mergeCell ref="AA25:AB25"/>
    <mergeCell ref="AD25:AJ25"/>
    <mergeCell ref="AL25:AO30"/>
    <mergeCell ref="AA28:AB28"/>
    <mergeCell ref="AD28:AJ28"/>
    <mergeCell ref="G29:L29"/>
    <mergeCell ref="M29:O29"/>
    <mergeCell ref="P29:Q29"/>
    <mergeCell ref="R29:U29"/>
    <mergeCell ref="V29:W29"/>
    <mergeCell ref="X29:Z29"/>
    <mergeCell ref="AA29:AB29"/>
    <mergeCell ref="D23:AH23"/>
    <mergeCell ref="AI23:AO23"/>
    <mergeCell ref="B38:C38"/>
    <mergeCell ref="D38:AO38"/>
    <mergeCell ref="AX24:AZ24"/>
    <mergeCell ref="AA26:AB26"/>
    <mergeCell ref="AD26:AJ26"/>
    <mergeCell ref="AA27:AB27"/>
    <mergeCell ref="AD27:AJ27"/>
    <mergeCell ref="G27:L27"/>
    <mergeCell ref="M27:O27"/>
    <mergeCell ref="P27:Q27"/>
    <mergeCell ref="R27:U27"/>
    <mergeCell ref="V27:W27"/>
    <mergeCell ref="X27:Z27"/>
    <mergeCell ref="G26:L26"/>
    <mergeCell ref="M26:O26"/>
    <mergeCell ref="P26:Q26"/>
    <mergeCell ref="R26:U26"/>
    <mergeCell ref="V26:W26"/>
    <mergeCell ref="X26:Z26"/>
    <mergeCell ref="D31:AO31"/>
    <mergeCell ref="D32:Q32"/>
    <mergeCell ref="R32:Z32"/>
    <mergeCell ref="AA32:AO32"/>
    <mergeCell ref="B39:C39"/>
    <mergeCell ref="D39:AO39"/>
    <mergeCell ref="B40:C40"/>
    <mergeCell ref="D40:AO40"/>
    <mergeCell ref="AA30:AB30"/>
    <mergeCell ref="AD30:AJ30"/>
    <mergeCell ref="B33:C36"/>
    <mergeCell ref="D33:AO36"/>
    <mergeCell ref="B37:C37"/>
    <mergeCell ref="D37:AO37"/>
    <mergeCell ref="G30:L30"/>
    <mergeCell ref="M30:O30"/>
    <mergeCell ref="P30:Q30"/>
    <mergeCell ref="R30:U30"/>
    <mergeCell ref="V30:W30"/>
    <mergeCell ref="X30:Z30"/>
    <mergeCell ref="B15:C32"/>
    <mergeCell ref="AD29:AJ29"/>
    <mergeCell ref="G28:L28"/>
    <mergeCell ref="M28:O28"/>
    <mergeCell ref="P28:Q28"/>
    <mergeCell ref="R28:U28"/>
    <mergeCell ref="V28:W28"/>
    <mergeCell ref="X28:Z28"/>
    <mergeCell ref="B41:C44"/>
    <mergeCell ref="D41:AO41"/>
    <mergeCell ref="D42:AO42"/>
    <mergeCell ref="D43:AO43"/>
    <mergeCell ref="D44:AO44"/>
    <mergeCell ref="B45:C51"/>
    <mergeCell ref="D45:AO45"/>
    <mergeCell ref="D46:J46"/>
    <mergeCell ref="K46:Q46"/>
    <mergeCell ref="R46:Y46"/>
    <mergeCell ref="D48:AO48"/>
    <mergeCell ref="D49:AO49"/>
    <mergeCell ref="D50:AO50"/>
    <mergeCell ref="D51:AO51"/>
    <mergeCell ref="B52:AO52"/>
    <mergeCell ref="B53:T53"/>
    <mergeCell ref="U53:AO53"/>
    <mergeCell ref="Z46:AG46"/>
    <mergeCell ref="AH46:AL46"/>
    <mergeCell ref="AM46:AO46"/>
    <mergeCell ref="D47:J47"/>
    <mergeCell ref="K47:Q47"/>
    <mergeCell ref="R47:Y47"/>
    <mergeCell ref="Z47:AG47"/>
    <mergeCell ref="AH47:AL47"/>
    <mergeCell ref="AM47:AO47"/>
    <mergeCell ref="B56:F56"/>
    <mergeCell ref="G56:P56"/>
    <mergeCell ref="Q56:T56"/>
    <mergeCell ref="U56:Y56"/>
    <mergeCell ref="Z56:AL56"/>
    <mergeCell ref="AM56:AN56"/>
    <mergeCell ref="B54:F54"/>
    <mergeCell ref="G54:P54"/>
    <mergeCell ref="Q54:T54"/>
    <mergeCell ref="U54:Y54"/>
    <mergeCell ref="Z54:AO54"/>
    <mergeCell ref="B55:F55"/>
    <mergeCell ref="G55:P55"/>
    <mergeCell ref="Q55:T55"/>
    <mergeCell ref="U55:Y55"/>
    <mergeCell ref="Z55:AO55"/>
  </mergeCells>
  <phoneticPr fontId="4" type="noConversion"/>
  <conditionalFormatting sqref="AZ2 AR3">
    <cfRule type="containsText" dxfId="0" priority="1" operator="containsText" text="최저임금">
      <formula>NOT(ISERROR(SEARCH("최저임금",AR2)))</formula>
    </cfRule>
  </conditionalFormatting>
  <dataValidations count="1">
    <dataValidation type="list" allowBlank="1" showInputMessage="1" showErrorMessage="1" sqref="H6:K6" xr:uid="{00000000-0002-0000-1A00-000000000000}">
      <formula1>근로계약서명단</formula1>
    </dataValidation>
  </dataValidations>
  <printOptions horizontalCentered="1"/>
  <pageMargins left="0.19685039370078741" right="0.19685039370078741" top="0.51181102362204722" bottom="0.31496062992125984" header="0.31496062992125984" footer="0.31496062992125984"/>
  <pageSetup paperSize="9" scale="73" orientation="portrait" r:id="rId1"/>
  <colBreaks count="1" manualBreakCount="1">
    <brk id="41" max="56" man="1"/>
  </colBreaks>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0"/>
  <dimension ref="A1:M75"/>
  <sheetViews>
    <sheetView showGridLines="0" zoomScaleNormal="100" workbookViewId="0">
      <selection activeCell="A3" sqref="A3"/>
    </sheetView>
  </sheetViews>
  <sheetFormatPr defaultRowHeight="16.5" customHeight="1"/>
  <cols>
    <col min="1" max="3" width="15.875" style="217" customWidth="1"/>
    <col min="4" max="4" width="15.875" style="211" customWidth="1"/>
    <col min="5" max="13" width="15.875" style="221" customWidth="1"/>
    <col min="14" max="16384" width="9" style="217"/>
  </cols>
  <sheetData>
    <row r="1" spans="1:13" ht="16.5" customHeight="1">
      <c r="A1" s="209" t="s">
        <v>508</v>
      </c>
      <c r="B1" s="210" t="s">
        <v>24</v>
      </c>
      <c r="C1" s="210" t="s">
        <v>24</v>
      </c>
      <c r="D1" s="211" t="s">
        <v>24</v>
      </c>
      <c r="E1" s="212" t="s">
        <v>24</v>
      </c>
      <c r="F1" s="213" t="s">
        <v>509</v>
      </c>
      <c r="G1" s="214" t="s">
        <v>510</v>
      </c>
      <c r="H1" s="215" t="s">
        <v>24</v>
      </c>
      <c r="I1" s="215" t="s">
        <v>24</v>
      </c>
      <c r="J1" s="215" t="s">
        <v>24</v>
      </c>
      <c r="K1" s="215" t="s">
        <v>24</v>
      </c>
      <c r="L1" s="216" t="s">
        <v>511</v>
      </c>
      <c r="M1" s="216" t="s">
        <v>24</v>
      </c>
    </row>
    <row r="2" spans="1:13" ht="16.5" customHeight="1">
      <c r="A2" s="209" t="s">
        <v>512</v>
      </c>
      <c r="B2" s="209" t="s">
        <v>513</v>
      </c>
      <c r="C2" s="209" t="s">
        <v>514</v>
      </c>
      <c r="D2" s="218" t="s">
        <v>515</v>
      </c>
      <c r="E2" s="219" t="s">
        <v>522</v>
      </c>
      <c r="F2" s="220" t="s">
        <v>516</v>
      </c>
      <c r="G2" s="215" t="s">
        <v>517</v>
      </c>
      <c r="H2" s="215" t="s">
        <v>61</v>
      </c>
      <c r="I2" s="215" t="s">
        <v>518</v>
      </c>
      <c r="J2" s="215" t="s">
        <v>519</v>
      </c>
      <c r="K2" s="215" t="s">
        <v>520</v>
      </c>
      <c r="L2" s="216" t="s">
        <v>523</v>
      </c>
      <c r="M2" s="216" t="s">
        <v>521</v>
      </c>
    </row>
    <row r="3" spans="1:13" ht="16.5" customHeight="1">
      <c r="A3" s="217" t="e">
        <f>#REF!</f>
        <v>#REF!</v>
      </c>
      <c r="B3" s="217" t="e">
        <f>#REF!</f>
        <v>#REF!</v>
      </c>
      <c r="C3" s="217" t="e">
        <f>LEFT(#REF!,6)</f>
        <v>#REF!</v>
      </c>
      <c r="D3" s="211" t="s">
        <v>632</v>
      </c>
      <c r="E3" s="221" t="s">
        <v>631</v>
      </c>
      <c r="F3" s="221" t="e">
        <f>#REF!</f>
        <v>#REF!</v>
      </c>
      <c r="G3" s="221" t="e">
        <f>#REF!</f>
        <v>#REF!</v>
      </c>
      <c r="H3" s="221" t="e">
        <f>#REF!</f>
        <v>#REF!</v>
      </c>
      <c r="I3" s="221" t="e">
        <f>IF(#REF!="60세이상",0,#REF!)</f>
        <v>#REF!</v>
      </c>
      <c r="J3" s="221" t="e">
        <f>#REF!+#REF!</f>
        <v>#REF!</v>
      </c>
      <c r="K3" s="221" t="e">
        <f>IF(#REF!="65세이상",0,#REF!)</f>
        <v>#REF!</v>
      </c>
      <c r="L3" s="222" t="e">
        <f>#REF!&amp;"일"</f>
        <v>#REF!</v>
      </c>
      <c r="M3" s="221" t="e">
        <f>#REF!&amp;"원"</f>
        <v>#REF!</v>
      </c>
    </row>
    <row r="4" spans="1:13" ht="16.5" customHeight="1">
      <c r="A4" s="217" t="e">
        <f>#REF!</f>
        <v>#REF!</v>
      </c>
      <c r="B4" s="217" t="e">
        <f>#REF!</f>
        <v>#REF!</v>
      </c>
      <c r="C4" s="217" t="e">
        <f>LEFT(#REF!,6)</f>
        <v>#REF!</v>
      </c>
      <c r="D4" s="211" t="s">
        <v>632</v>
      </c>
      <c r="E4" s="221" t="s">
        <v>631</v>
      </c>
      <c r="F4" s="221" t="e">
        <f>#REF!</f>
        <v>#REF!</v>
      </c>
      <c r="G4" s="221" t="e">
        <f>#REF!</f>
        <v>#REF!</v>
      </c>
      <c r="H4" s="221" t="e">
        <f>#REF!</f>
        <v>#REF!</v>
      </c>
      <c r="I4" s="221" t="e">
        <f>IF(#REF!="60세이상",0,#REF!)</f>
        <v>#REF!</v>
      </c>
      <c r="J4" s="221" t="e">
        <f>#REF!+#REF!</f>
        <v>#REF!</v>
      </c>
      <c r="K4" s="221" t="e">
        <f>IF(#REF!="65세이상",0,#REF!)</f>
        <v>#REF!</v>
      </c>
      <c r="L4" s="222" t="e">
        <f>#REF!&amp;"일"</f>
        <v>#REF!</v>
      </c>
      <c r="M4" s="221" t="e">
        <f>#REF!&amp;"원"</f>
        <v>#REF!</v>
      </c>
    </row>
    <row r="5" spans="1:13" ht="16.5" customHeight="1">
      <c r="A5" s="217" t="e">
        <f>#REF!</f>
        <v>#REF!</v>
      </c>
      <c r="B5" s="217" t="e">
        <f>#REF!</f>
        <v>#REF!</v>
      </c>
      <c r="C5" s="217" t="e">
        <f>LEFT(#REF!,6)</f>
        <v>#REF!</v>
      </c>
      <c r="D5" s="211" t="s">
        <v>632</v>
      </c>
      <c r="E5" s="221" t="s">
        <v>631</v>
      </c>
      <c r="F5" s="221" t="e">
        <f>#REF!</f>
        <v>#REF!</v>
      </c>
      <c r="G5" s="221" t="e">
        <f>#REF!</f>
        <v>#REF!</v>
      </c>
      <c r="H5" s="221" t="e">
        <f>#REF!</f>
        <v>#REF!</v>
      </c>
      <c r="I5" s="221" t="e">
        <f>IF(#REF!="60세이상",0,#REF!)</f>
        <v>#REF!</v>
      </c>
      <c r="J5" s="221" t="e">
        <f>#REF!+#REF!</f>
        <v>#REF!</v>
      </c>
      <c r="K5" s="221" t="e">
        <f>IF(#REF!="65세이상",0,#REF!)</f>
        <v>#REF!</v>
      </c>
      <c r="L5" s="222" t="e">
        <f>#REF!&amp;"일"</f>
        <v>#REF!</v>
      </c>
      <c r="M5" s="221" t="e">
        <f>#REF!&amp;"원"</f>
        <v>#REF!</v>
      </c>
    </row>
    <row r="6" spans="1:13" ht="16.5" customHeight="1">
      <c r="A6" s="217" t="e">
        <f>#REF!</f>
        <v>#REF!</v>
      </c>
      <c r="B6" s="217" t="e">
        <f>#REF!</f>
        <v>#REF!</v>
      </c>
      <c r="C6" s="217" t="e">
        <f>LEFT(#REF!,6)</f>
        <v>#REF!</v>
      </c>
      <c r="D6" s="211" t="s">
        <v>632</v>
      </c>
      <c r="E6" s="221" t="s">
        <v>631</v>
      </c>
      <c r="F6" s="221" t="e">
        <f>#REF!</f>
        <v>#REF!</v>
      </c>
      <c r="G6" s="221" t="e">
        <f>#REF!</f>
        <v>#REF!</v>
      </c>
      <c r="H6" s="221" t="e">
        <f>#REF!</f>
        <v>#REF!</v>
      </c>
      <c r="I6" s="221" t="e">
        <f>IF(#REF!="60세이상",0,#REF!)</f>
        <v>#REF!</v>
      </c>
      <c r="J6" s="221" t="e">
        <f>#REF!+#REF!</f>
        <v>#REF!</v>
      </c>
      <c r="K6" s="221" t="e">
        <f>IF(#REF!="65세이상",0,#REF!)</f>
        <v>#REF!</v>
      </c>
      <c r="L6" s="222" t="e">
        <f>#REF!&amp;"일"</f>
        <v>#REF!</v>
      </c>
      <c r="M6" s="221" t="e">
        <f>#REF!&amp;"원"</f>
        <v>#REF!</v>
      </c>
    </row>
    <row r="7" spans="1:13" ht="16.5" customHeight="1">
      <c r="A7" s="217" t="e">
        <f>#REF!</f>
        <v>#REF!</v>
      </c>
      <c r="B7" s="217" t="e">
        <f>#REF!</f>
        <v>#REF!</v>
      </c>
      <c r="C7" s="217" t="e">
        <f>LEFT(#REF!,6)</f>
        <v>#REF!</v>
      </c>
      <c r="D7" s="211" t="s">
        <v>632</v>
      </c>
      <c r="E7" s="221" t="s">
        <v>631</v>
      </c>
      <c r="F7" s="221" t="e">
        <f>#REF!</f>
        <v>#REF!</v>
      </c>
      <c r="G7" s="221" t="e">
        <f>#REF!</f>
        <v>#REF!</v>
      </c>
      <c r="H7" s="221" t="e">
        <f>#REF!</f>
        <v>#REF!</v>
      </c>
      <c r="I7" s="221" t="e">
        <f>IF(#REF!="60세이상",0,#REF!)</f>
        <v>#REF!</v>
      </c>
      <c r="J7" s="221" t="e">
        <f>#REF!+#REF!</f>
        <v>#REF!</v>
      </c>
      <c r="K7" s="221" t="e">
        <f>IF(#REF!="65세이상",0,#REF!)</f>
        <v>#REF!</v>
      </c>
      <c r="L7" s="222" t="e">
        <f>#REF!&amp;"일"</f>
        <v>#REF!</v>
      </c>
      <c r="M7" s="221" t="e">
        <f>#REF!&amp;"원"</f>
        <v>#REF!</v>
      </c>
    </row>
    <row r="8" spans="1:13" ht="16.5" customHeight="1">
      <c r="A8" s="217" t="e">
        <f>#REF!</f>
        <v>#REF!</v>
      </c>
      <c r="B8" s="217" t="e">
        <f>#REF!</f>
        <v>#REF!</v>
      </c>
      <c r="C8" s="217" t="e">
        <f>LEFT(#REF!,6)</f>
        <v>#REF!</v>
      </c>
      <c r="D8" s="211" t="s">
        <v>632</v>
      </c>
      <c r="E8" s="221" t="s">
        <v>631</v>
      </c>
      <c r="F8" s="221" t="e">
        <f>#REF!</f>
        <v>#REF!</v>
      </c>
      <c r="G8" s="221" t="e">
        <f>#REF!</f>
        <v>#REF!</v>
      </c>
      <c r="H8" s="221" t="e">
        <f>#REF!</f>
        <v>#REF!</v>
      </c>
      <c r="I8" s="221" t="e">
        <f>IF(#REF!="60세이상",0,#REF!)</f>
        <v>#REF!</v>
      </c>
      <c r="J8" s="221" t="e">
        <f>#REF!+#REF!</f>
        <v>#REF!</v>
      </c>
      <c r="K8" s="221" t="e">
        <f>IF(#REF!="65세이상",0,#REF!)</f>
        <v>#REF!</v>
      </c>
      <c r="L8" s="222" t="e">
        <f>#REF!&amp;"일"</f>
        <v>#REF!</v>
      </c>
      <c r="M8" s="221" t="e">
        <f>#REF!&amp;"원"</f>
        <v>#REF!</v>
      </c>
    </row>
    <row r="9" spans="1:13" ht="16.5" customHeight="1">
      <c r="A9" s="217" t="e">
        <f>#REF!</f>
        <v>#REF!</v>
      </c>
      <c r="B9" s="217" t="e">
        <f>#REF!</f>
        <v>#REF!</v>
      </c>
      <c r="C9" s="217" t="e">
        <f>LEFT(#REF!,6)</f>
        <v>#REF!</v>
      </c>
      <c r="D9" s="211" t="s">
        <v>632</v>
      </c>
      <c r="E9" s="221" t="s">
        <v>631</v>
      </c>
      <c r="F9" s="221" t="e">
        <f>#REF!</f>
        <v>#REF!</v>
      </c>
      <c r="G9" s="221" t="e">
        <f>#REF!</f>
        <v>#REF!</v>
      </c>
      <c r="H9" s="221" t="e">
        <f>#REF!</f>
        <v>#REF!</v>
      </c>
      <c r="I9" s="221" t="e">
        <f>IF(#REF!="60세이상",0,#REF!)</f>
        <v>#REF!</v>
      </c>
      <c r="J9" s="221" t="e">
        <f>#REF!+#REF!</f>
        <v>#REF!</v>
      </c>
      <c r="K9" s="221" t="e">
        <f>IF(#REF!="65세이상",0,#REF!)</f>
        <v>#REF!</v>
      </c>
      <c r="L9" s="222" t="e">
        <f>#REF!&amp;"일"</f>
        <v>#REF!</v>
      </c>
      <c r="M9" s="221" t="e">
        <f>#REF!&amp;"원"</f>
        <v>#REF!</v>
      </c>
    </row>
    <row r="10" spans="1:13" ht="16.5" customHeight="1">
      <c r="A10" s="217" t="e">
        <f>#REF!</f>
        <v>#REF!</v>
      </c>
      <c r="B10" s="217" t="e">
        <f>#REF!</f>
        <v>#REF!</v>
      </c>
      <c r="C10" s="217" t="e">
        <f>LEFT(#REF!,6)</f>
        <v>#REF!</v>
      </c>
      <c r="D10" s="211" t="s">
        <v>632</v>
      </c>
      <c r="E10" s="221" t="s">
        <v>631</v>
      </c>
      <c r="F10" s="221" t="e">
        <f>#REF!</f>
        <v>#REF!</v>
      </c>
      <c r="G10" s="221" t="e">
        <f>#REF!</f>
        <v>#REF!</v>
      </c>
      <c r="H10" s="221" t="e">
        <f>#REF!</f>
        <v>#REF!</v>
      </c>
      <c r="I10" s="221" t="e">
        <f>IF(#REF!="60세이상",0,#REF!)</f>
        <v>#REF!</v>
      </c>
      <c r="J10" s="221" t="e">
        <f>#REF!+#REF!</f>
        <v>#REF!</v>
      </c>
      <c r="K10" s="221" t="e">
        <f>IF(#REF!="65세이상",0,#REF!)</f>
        <v>#REF!</v>
      </c>
      <c r="L10" s="222" t="e">
        <f>#REF!&amp;"일"</f>
        <v>#REF!</v>
      </c>
      <c r="M10" s="221" t="e">
        <f>#REF!&amp;"원"</f>
        <v>#REF!</v>
      </c>
    </row>
    <row r="11" spans="1:13" ht="16.5" customHeight="1">
      <c r="A11" s="217" t="e">
        <f>#REF!</f>
        <v>#REF!</v>
      </c>
      <c r="B11" s="217" t="e">
        <f>#REF!</f>
        <v>#REF!</v>
      </c>
      <c r="C11" s="217" t="e">
        <f>LEFT(#REF!,6)</f>
        <v>#REF!</v>
      </c>
      <c r="D11" s="211" t="s">
        <v>632</v>
      </c>
      <c r="E11" s="221" t="s">
        <v>631</v>
      </c>
      <c r="F11" s="221" t="e">
        <f>#REF!</f>
        <v>#REF!</v>
      </c>
      <c r="G11" s="221" t="e">
        <f>#REF!</f>
        <v>#REF!</v>
      </c>
      <c r="H11" s="221" t="e">
        <f>#REF!</f>
        <v>#REF!</v>
      </c>
      <c r="I11" s="221" t="e">
        <f>IF(#REF!="60세이상",0,#REF!)</f>
        <v>#REF!</v>
      </c>
      <c r="J11" s="221" t="e">
        <f>#REF!+#REF!</f>
        <v>#REF!</v>
      </c>
      <c r="K11" s="221" t="e">
        <f>IF(#REF!="65세이상",0,#REF!)</f>
        <v>#REF!</v>
      </c>
      <c r="L11" s="222" t="e">
        <f>#REF!&amp;"일"</f>
        <v>#REF!</v>
      </c>
      <c r="M11" s="221" t="e">
        <f>#REF!&amp;"원"</f>
        <v>#REF!</v>
      </c>
    </row>
    <row r="12" spans="1:13" ht="16.5" customHeight="1">
      <c r="A12" s="217" t="e">
        <f>#REF!</f>
        <v>#REF!</v>
      </c>
      <c r="B12" s="217" t="e">
        <f>#REF!</f>
        <v>#REF!</v>
      </c>
      <c r="C12" s="217" t="e">
        <f>LEFT(#REF!,6)</f>
        <v>#REF!</v>
      </c>
      <c r="D12" s="211" t="s">
        <v>632</v>
      </c>
      <c r="E12" s="221" t="s">
        <v>631</v>
      </c>
      <c r="F12" s="221" t="e">
        <f>#REF!</f>
        <v>#REF!</v>
      </c>
      <c r="G12" s="221" t="e">
        <f>#REF!</f>
        <v>#REF!</v>
      </c>
      <c r="H12" s="221" t="e">
        <f>#REF!</f>
        <v>#REF!</v>
      </c>
      <c r="I12" s="221" t="e">
        <f>IF(#REF!="60세이상",0,#REF!)</f>
        <v>#REF!</v>
      </c>
      <c r="J12" s="221" t="e">
        <f>#REF!+#REF!</f>
        <v>#REF!</v>
      </c>
      <c r="K12" s="221" t="e">
        <f>IF(#REF!="65세이상",0,#REF!)</f>
        <v>#REF!</v>
      </c>
      <c r="L12" s="222" t="e">
        <f>#REF!&amp;"일"</f>
        <v>#REF!</v>
      </c>
      <c r="M12" s="221" t="e">
        <f>#REF!&amp;"원"</f>
        <v>#REF!</v>
      </c>
    </row>
    <row r="13" spans="1:13" ht="16.5" customHeight="1">
      <c r="A13" s="217" t="e">
        <f>#REF!</f>
        <v>#REF!</v>
      </c>
      <c r="B13" s="217" t="e">
        <f>#REF!</f>
        <v>#REF!</v>
      </c>
      <c r="C13" s="217" t="e">
        <f>LEFT(#REF!,6)</f>
        <v>#REF!</v>
      </c>
      <c r="D13" s="211" t="s">
        <v>632</v>
      </c>
      <c r="E13" s="221" t="s">
        <v>631</v>
      </c>
      <c r="F13" s="221" t="e">
        <f>#REF!</f>
        <v>#REF!</v>
      </c>
      <c r="G13" s="221" t="e">
        <f>#REF!</f>
        <v>#REF!</v>
      </c>
      <c r="H13" s="221" t="e">
        <f>#REF!</f>
        <v>#REF!</v>
      </c>
      <c r="I13" s="221" t="e">
        <f>IF(#REF!="60세이상",0,#REF!)</f>
        <v>#REF!</v>
      </c>
      <c r="J13" s="221" t="e">
        <f>#REF!+#REF!</f>
        <v>#REF!</v>
      </c>
      <c r="K13" s="221" t="e">
        <f>IF(#REF!="65세이상",0,#REF!)</f>
        <v>#REF!</v>
      </c>
      <c r="L13" s="222" t="e">
        <f>#REF!&amp;"일"</f>
        <v>#REF!</v>
      </c>
      <c r="M13" s="221" t="e">
        <f>#REF!&amp;"원"</f>
        <v>#REF!</v>
      </c>
    </row>
    <row r="14" spans="1:13" ht="16.5" customHeight="1">
      <c r="A14" s="217" t="e">
        <f>#REF!</f>
        <v>#REF!</v>
      </c>
      <c r="B14" s="217" t="e">
        <f>#REF!</f>
        <v>#REF!</v>
      </c>
      <c r="C14" s="217" t="e">
        <f>LEFT(#REF!,6)</f>
        <v>#REF!</v>
      </c>
      <c r="D14" s="211" t="s">
        <v>632</v>
      </c>
      <c r="E14" s="221" t="s">
        <v>631</v>
      </c>
      <c r="F14" s="221" t="e">
        <f>#REF!</f>
        <v>#REF!</v>
      </c>
      <c r="G14" s="221" t="e">
        <f>#REF!</f>
        <v>#REF!</v>
      </c>
      <c r="H14" s="221" t="e">
        <f>#REF!</f>
        <v>#REF!</v>
      </c>
      <c r="I14" s="221" t="e">
        <f>IF(#REF!="60세이상",0,#REF!)</f>
        <v>#REF!</v>
      </c>
      <c r="J14" s="221" t="e">
        <f>#REF!+#REF!</f>
        <v>#REF!</v>
      </c>
      <c r="K14" s="221" t="e">
        <f>IF(#REF!="65세이상",0,#REF!)</f>
        <v>#REF!</v>
      </c>
      <c r="L14" s="222" t="e">
        <f>#REF!&amp;"일"</f>
        <v>#REF!</v>
      </c>
      <c r="M14" s="221" t="e">
        <f>#REF!&amp;"원"</f>
        <v>#REF!</v>
      </c>
    </row>
    <row r="15" spans="1:13" ht="16.5" customHeight="1">
      <c r="A15" s="217" t="e">
        <f>#REF!</f>
        <v>#REF!</v>
      </c>
      <c r="B15" s="217" t="e">
        <f>#REF!</f>
        <v>#REF!</v>
      </c>
      <c r="C15" s="217" t="e">
        <f>LEFT(#REF!,6)</f>
        <v>#REF!</v>
      </c>
      <c r="D15" s="211" t="s">
        <v>632</v>
      </c>
      <c r="E15" s="221" t="s">
        <v>631</v>
      </c>
      <c r="F15" s="221" t="e">
        <f>#REF!</f>
        <v>#REF!</v>
      </c>
      <c r="G15" s="221" t="e">
        <f>#REF!</f>
        <v>#REF!</v>
      </c>
      <c r="H15" s="221" t="e">
        <f>#REF!</f>
        <v>#REF!</v>
      </c>
      <c r="I15" s="221" t="e">
        <f>IF(#REF!="60세이상",0,#REF!)</f>
        <v>#REF!</v>
      </c>
      <c r="J15" s="221" t="e">
        <f>#REF!+#REF!</f>
        <v>#REF!</v>
      </c>
      <c r="K15" s="221" t="e">
        <f>IF(#REF!="65세이상",0,#REF!)</f>
        <v>#REF!</v>
      </c>
      <c r="L15" s="222" t="e">
        <f>#REF!&amp;"일"</f>
        <v>#REF!</v>
      </c>
      <c r="M15" s="221" t="e">
        <f>#REF!&amp;"원"</f>
        <v>#REF!</v>
      </c>
    </row>
    <row r="16" spans="1:13" ht="16.5" customHeight="1">
      <c r="A16" s="217" t="e">
        <f>#REF!</f>
        <v>#REF!</v>
      </c>
      <c r="B16" s="217" t="e">
        <f>#REF!</f>
        <v>#REF!</v>
      </c>
      <c r="C16" s="217" t="e">
        <f>LEFT(#REF!,6)</f>
        <v>#REF!</v>
      </c>
      <c r="D16" s="211" t="s">
        <v>632</v>
      </c>
      <c r="E16" s="221" t="s">
        <v>631</v>
      </c>
      <c r="F16" s="221" t="e">
        <f>#REF!</f>
        <v>#REF!</v>
      </c>
      <c r="G16" s="221" t="e">
        <f>#REF!</f>
        <v>#REF!</v>
      </c>
      <c r="H16" s="221" t="e">
        <f>#REF!</f>
        <v>#REF!</v>
      </c>
      <c r="I16" s="221" t="e">
        <f>IF(#REF!="60세이상",0,#REF!)</f>
        <v>#REF!</v>
      </c>
      <c r="J16" s="221" t="e">
        <f>#REF!+#REF!</f>
        <v>#REF!</v>
      </c>
      <c r="K16" s="221" t="e">
        <f>IF(#REF!="65세이상",0,#REF!)</f>
        <v>#REF!</v>
      </c>
      <c r="L16" s="222" t="e">
        <f>#REF!&amp;"일"</f>
        <v>#REF!</v>
      </c>
      <c r="M16" s="221" t="e">
        <f>#REF!&amp;"원"</f>
        <v>#REF!</v>
      </c>
    </row>
    <row r="17" spans="1:13" ht="16.5" customHeight="1">
      <c r="A17" s="217" t="e">
        <f>#REF!</f>
        <v>#REF!</v>
      </c>
      <c r="B17" s="217" t="e">
        <f>#REF!</f>
        <v>#REF!</v>
      </c>
      <c r="C17" s="217" t="e">
        <f>LEFT(#REF!,6)</f>
        <v>#REF!</v>
      </c>
      <c r="D17" s="211" t="s">
        <v>632</v>
      </c>
      <c r="E17" s="221" t="s">
        <v>631</v>
      </c>
      <c r="F17" s="221" t="e">
        <f>#REF!</f>
        <v>#REF!</v>
      </c>
      <c r="G17" s="221" t="e">
        <f>#REF!</f>
        <v>#REF!</v>
      </c>
      <c r="H17" s="221" t="e">
        <f>#REF!</f>
        <v>#REF!</v>
      </c>
      <c r="I17" s="221" t="e">
        <f>IF(#REF!="60세이상",0,#REF!)</f>
        <v>#REF!</v>
      </c>
      <c r="J17" s="221" t="e">
        <f>#REF!+#REF!</f>
        <v>#REF!</v>
      </c>
      <c r="K17" s="221" t="e">
        <f>IF(#REF!="65세이상",0,#REF!)</f>
        <v>#REF!</v>
      </c>
      <c r="L17" s="222" t="e">
        <f>#REF!&amp;"일"</f>
        <v>#REF!</v>
      </c>
      <c r="M17" s="221" t="e">
        <f>#REF!&amp;"원"</f>
        <v>#REF!</v>
      </c>
    </row>
    <row r="18" spans="1:13" ht="16.5" customHeight="1">
      <c r="A18" s="217" t="e">
        <f>#REF!</f>
        <v>#REF!</v>
      </c>
      <c r="B18" s="217" t="e">
        <f>#REF!</f>
        <v>#REF!</v>
      </c>
      <c r="C18" s="217" t="e">
        <f>LEFT(#REF!,6)</f>
        <v>#REF!</v>
      </c>
      <c r="D18" s="211" t="s">
        <v>632</v>
      </c>
      <c r="E18" s="221" t="s">
        <v>631</v>
      </c>
      <c r="F18" s="221" t="e">
        <f>#REF!</f>
        <v>#REF!</v>
      </c>
      <c r="G18" s="221" t="e">
        <f>#REF!</f>
        <v>#REF!</v>
      </c>
      <c r="H18" s="221" t="e">
        <f>#REF!</f>
        <v>#REF!</v>
      </c>
      <c r="I18" s="221" t="e">
        <f>IF(#REF!="60세이상",0,#REF!)</f>
        <v>#REF!</v>
      </c>
      <c r="J18" s="221" t="e">
        <f>#REF!+#REF!</f>
        <v>#REF!</v>
      </c>
      <c r="K18" s="221" t="e">
        <f>IF(#REF!="65세이상",0,#REF!)</f>
        <v>#REF!</v>
      </c>
      <c r="L18" s="222" t="e">
        <f>#REF!&amp;"일"</f>
        <v>#REF!</v>
      </c>
      <c r="M18" s="221" t="e">
        <f>#REF!&amp;"원"</f>
        <v>#REF!</v>
      </c>
    </row>
    <row r="19" spans="1:13" ht="16.5" customHeight="1">
      <c r="A19" s="217" t="e">
        <f>#REF!</f>
        <v>#REF!</v>
      </c>
      <c r="B19" s="217" t="e">
        <f>#REF!</f>
        <v>#REF!</v>
      </c>
      <c r="C19" s="217" t="e">
        <f>LEFT(#REF!,6)</f>
        <v>#REF!</v>
      </c>
      <c r="D19" s="211" t="s">
        <v>632</v>
      </c>
      <c r="E19" s="221" t="s">
        <v>631</v>
      </c>
      <c r="F19" s="221" t="e">
        <f>#REF!</f>
        <v>#REF!</v>
      </c>
      <c r="G19" s="221" t="e">
        <f>#REF!</f>
        <v>#REF!</v>
      </c>
      <c r="H19" s="221" t="e">
        <f>#REF!</f>
        <v>#REF!</v>
      </c>
      <c r="I19" s="221" t="e">
        <f>IF(#REF!="60세이상",0,#REF!)</f>
        <v>#REF!</v>
      </c>
      <c r="J19" s="221" t="e">
        <f>#REF!+#REF!</f>
        <v>#REF!</v>
      </c>
      <c r="K19" s="221" t="e">
        <f>IF(#REF!="65세이상",0,#REF!)</f>
        <v>#REF!</v>
      </c>
      <c r="L19" s="222" t="e">
        <f>#REF!&amp;"일"</f>
        <v>#REF!</v>
      </c>
      <c r="M19" s="221" t="e">
        <f>#REF!&amp;"원"</f>
        <v>#REF!</v>
      </c>
    </row>
    <row r="20" spans="1:13" ht="16.5" customHeight="1">
      <c r="A20" s="217" t="e">
        <f>#REF!</f>
        <v>#REF!</v>
      </c>
      <c r="B20" s="217" t="e">
        <f>#REF!</f>
        <v>#REF!</v>
      </c>
      <c r="C20" s="217" t="e">
        <f>LEFT(#REF!,6)</f>
        <v>#REF!</v>
      </c>
      <c r="D20" s="211" t="s">
        <v>632</v>
      </c>
      <c r="E20" s="221" t="s">
        <v>631</v>
      </c>
      <c r="F20" s="221" t="e">
        <f>#REF!</f>
        <v>#REF!</v>
      </c>
      <c r="G20" s="221" t="e">
        <f>#REF!</f>
        <v>#REF!</v>
      </c>
      <c r="H20" s="221" t="e">
        <f>#REF!</f>
        <v>#REF!</v>
      </c>
      <c r="I20" s="221" t="e">
        <f>IF(#REF!="60세이상",0,#REF!)</f>
        <v>#REF!</v>
      </c>
      <c r="J20" s="221" t="e">
        <f>#REF!+#REF!</f>
        <v>#REF!</v>
      </c>
      <c r="K20" s="221" t="e">
        <f>IF(#REF!="65세이상",0,#REF!)</f>
        <v>#REF!</v>
      </c>
      <c r="L20" s="222" t="e">
        <f>#REF!&amp;"일"</f>
        <v>#REF!</v>
      </c>
      <c r="M20" s="221" t="e">
        <f>#REF!&amp;"원"</f>
        <v>#REF!</v>
      </c>
    </row>
    <row r="21" spans="1:13" ht="16.5" customHeight="1">
      <c r="A21" s="217" t="e">
        <f>#REF!</f>
        <v>#REF!</v>
      </c>
      <c r="B21" s="217" t="e">
        <f>#REF!</f>
        <v>#REF!</v>
      </c>
      <c r="C21" s="217" t="e">
        <f>LEFT(#REF!,6)</f>
        <v>#REF!</v>
      </c>
      <c r="D21" s="211" t="s">
        <v>632</v>
      </c>
      <c r="E21" s="221" t="s">
        <v>631</v>
      </c>
      <c r="F21" s="221" t="e">
        <f>#REF!</f>
        <v>#REF!</v>
      </c>
      <c r="G21" s="221" t="e">
        <f>#REF!</f>
        <v>#REF!</v>
      </c>
      <c r="H21" s="221" t="e">
        <f>#REF!</f>
        <v>#REF!</v>
      </c>
      <c r="I21" s="221" t="e">
        <f>IF(#REF!="60세이상",0,#REF!)</f>
        <v>#REF!</v>
      </c>
      <c r="J21" s="221" t="e">
        <f>#REF!+#REF!</f>
        <v>#REF!</v>
      </c>
      <c r="K21" s="221" t="e">
        <f>IF(#REF!="65세이상",0,#REF!)</f>
        <v>#REF!</v>
      </c>
      <c r="L21" s="222" t="e">
        <f>#REF!&amp;"일"</f>
        <v>#REF!</v>
      </c>
      <c r="M21" s="221" t="e">
        <f>#REF!&amp;"원"</f>
        <v>#REF!</v>
      </c>
    </row>
    <row r="22" spans="1:13" ht="16.5" customHeight="1">
      <c r="A22" s="217" t="e">
        <f>#REF!</f>
        <v>#REF!</v>
      </c>
      <c r="B22" s="217" t="e">
        <f>#REF!</f>
        <v>#REF!</v>
      </c>
      <c r="C22" s="217" t="e">
        <f>LEFT(#REF!,6)</f>
        <v>#REF!</v>
      </c>
      <c r="D22" s="211" t="s">
        <v>632</v>
      </c>
      <c r="E22" s="221" t="s">
        <v>631</v>
      </c>
      <c r="F22" s="221" t="e">
        <f>#REF!</f>
        <v>#REF!</v>
      </c>
      <c r="G22" s="221" t="e">
        <f>#REF!</f>
        <v>#REF!</v>
      </c>
      <c r="H22" s="221" t="e">
        <f>#REF!</f>
        <v>#REF!</v>
      </c>
      <c r="I22" s="221" t="e">
        <f>IF(#REF!="60세이상",0,#REF!)</f>
        <v>#REF!</v>
      </c>
      <c r="J22" s="221" t="e">
        <f>#REF!+#REF!</f>
        <v>#REF!</v>
      </c>
      <c r="K22" s="221" t="e">
        <f>IF(#REF!="65세이상",0,#REF!)</f>
        <v>#REF!</v>
      </c>
      <c r="L22" s="222" t="e">
        <f>#REF!&amp;"일"</f>
        <v>#REF!</v>
      </c>
      <c r="M22" s="221" t="e">
        <f>#REF!&amp;"원"</f>
        <v>#REF!</v>
      </c>
    </row>
    <row r="23" spans="1:13" ht="16.5" customHeight="1">
      <c r="A23" s="217" t="e">
        <f>#REF!</f>
        <v>#REF!</v>
      </c>
      <c r="B23" s="217" t="e">
        <f>#REF!</f>
        <v>#REF!</v>
      </c>
      <c r="C23" s="217" t="e">
        <f>LEFT(#REF!,6)</f>
        <v>#REF!</v>
      </c>
      <c r="D23" s="211" t="s">
        <v>632</v>
      </c>
      <c r="E23" s="221" t="s">
        <v>631</v>
      </c>
      <c r="F23" s="221" t="e">
        <f>#REF!</f>
        <v>#REF!</v>
      </c>
      <c r="G23" s="221" t="e">
        <f>#REF!</f>
        <v>#REF!</v>
      </c>
      <c r="H23" s="221" t="e">
        <f>#REF!</f>
        <v>#REF!</v>
      </c>
      <c r="I23" s="221" t="e">
        <f>IF(#REF!="60세이상",0,#REF!)</f>
        <v>#REF!</v>
      </c>
      <c r="J23" s="221" t="e">
        <f>#REF!+#REF!</f>
        <v>#REF!</v>
      </c>
      <c r="K23" s="221" t="e">
        <f>IF(#REF!="65세이상",0,#REF!)</f>
        <v>#REF!</v>
      </c>
      <c r="L23" s="222" t="e">
        <f>#REF!&amp;"일"</f>
        <v>#REF!</v>
      </c>
      <c r="M23" s="221" t="e">
        <f>#REF!&amp;"원"</f>
        <v>#REF!</v>
      </c>
    </row>
    <row r="24" spans="1:13" ht="16.5" customHeight="1">
      <c r="A24" s="217" t="e">
        <f>#REF!</f>
        <v>#REF!</v>
      </c>
      <c r="B24" s="217" t="e">
        <f>#REF!</f>
        <v>#REF!</v>
      </c>
      <c r="C24" s="217" t="e">
        <f>LEFT(#REF!,6)</f>
        <v>#REF!</v>
      </c>
      <c r="D24" s="211" t="s">
        <v>632</v>
      </c>
      <c r="E24" s="221" t="s">
        <v>631</v>
      </c>
      <c r="F24" s="221" t="e">
        <f>#REF!</f>
        <v>#REF!</v>
      </c>
      <c r="G24" s="221" t="e">
        <f>#REF!</f>
        <v>#REF!</v>
      </c>
      <c r="H24" s="221" t="e">
        <f>#REF!</f>
        <v>#REF!</v>
      </c>
      <c r="I24" s="221" t="e">
        <f>IF(#REF!="60세이상",0,#REF!)</f>
        <v>#REF!</v>
      </c>
      <c r="J24" s="221" t="e">
        <f>#REF!+#REF!</f>
        <v>#REF!</v>
      </c>
      <c r="K24" s="221" t="e">
        <f>IF(#REF!="65세이상",0,#REF!)</f>
        <v>#REF!</v>
      </c>
      <c r="L24" s="222" t="e">
        <f>#REF!&amp;"일"</f>
        <v>#REF!</v>
      </c>
      <c r="M24" s="221" t="e">
        <f>#REF!&amp;"원"</f>
        <v>#REF!</v>
      </c>
    </row>
    <row r="25" spans="1:13" ht="16.5" customHeight="1">
      <c r="A25" s="217" t="e">
        <f>#REF!</f>
        <v>#REF!</v>
      </c>
      <c r="B25" s="217" t="e">
        <f>#REF!</f>
        <v>#REF!</v>
      </c>
      <c r="C25" s="217" t="e">
        <f>LEFT(#REF!,6)</f>
        <v>#REF!</v>
      </c>
      <c r="D25" s="211" t="s">
        <v>632</v>
      </c>
      <c r="E25" s="221" t="s">
        <v>631</v>
      </c>
      <c r="F25" s="221" t="e">
        <f>#REF!</f>
        <v>#REF!</v>
      </c>
      <c r="G25" s="221" t="e">
        <f>#REF!</f>
        <v>#REF!</v>
      </c>
      <c r="H25" s="221" t="e">
        <f>#REF!</f>
        <v>#REF!</v>
      </c>
      <c r="I25" s="221" t="e">
        <f>IF(#REF!="60세이상",0,#REF!)</f>
        <v>#REF!</v>
      </c>
      <c r="J25" s="221" t="e">
        <f>#REF!+#REF!</f>
        <v>#REF!</v>
      </c>
      <c r="K25" s="221" t="e">
        <f>IF(#REF!="65세이상",0,#REF!)</f>
        <v>#REF!</v>
      </c>
      <c r="L25" s="222" t="e">
        <f>#REF!&amp;"일"</f>
        <v>#REF!</v>
      </c>
      <c r="M25" s="221" t="e">
        <f>#REF!&amp;"원"</f>
        <v>#REF!</v>
      </c>
    </row>
    <row r="26" spans="1:13" ht="16.5" customHeight="1">
      <c r="A26" s="217" t="e">
        <f>#REF!</f>
        <v>#REF!</v>
      </c>
      <c r="B26" s="217" t="e">
        <f>#REF!</f>
        <v>#REF!</v>
      </c>
      <c r="C26" s="217" t="e">
        <f>LEFT(#REF!,6)</f>
        <v>#REF!</v>
      </c>
      <c r="D26" s="211" t="s">
        <v>632</v>
      </c>
      <c r="E26" s="221" t="s">
        <v>631</v>
      </c>
      <c r="F26" s="221" t="e">
        <f>#REF!</f>
        <v>#REF!</v>
      </c>
      <c r="G26" s="221" t="e">
        <f>#REF!</f>
        <v>#REF!</v>
      </c>
      <c r="H26" s="221" t="e">
        <f>#REF!</f>
        <v>#REF!</v>
      </c>
      <c r="I26" s="221" t="e">
        <f>IF(#REF!="60세이상",0,#REF!)</f>
        <v>#REF!</v>
      </c>
      <c r="J26" s="221" t="e">
        <f>#REF!+#REF!</f>
        <v>#REF!</v>
      </c>
      <c r="K26" s="221" t="e">
        <f>IF(#REF!="65세이상",0,#REF!)</f>
        <v>#REF!</v>
      </c>
      <c r="L26" s="222" t="e">
        <f>#REF!&amp;"일"</f>
        <v>#REF!</v>
      </c>
      <c r="M26" s="221" t="e">
        <f>#REF!&amp;"원"</f>
        <v>#REF!</v>
      </c>
    </row>
    <row r="27" spans="1:13" ht="16.5" customHeight="1">
      <c r="A27" s="217" t="e">
        <f>#REF!</f>
        <v>#REF!</v>
      </c>
      <c r="B27" s="217" t="e">
        <f>#REF!</f>
        <v>#REF!</v>
      </c>
      <c r="C27" s="217" t="e">
        <f>LEFT(#REF!,6)</f>
        <v>#REF!</v>
      </c>
      <c r="D27" s="211" t="s">
        <v>632</v>
      </c>
      <c r="E27" s="221" t="s">
        <v>631</v>
      </c>
      <c r="F27" s="221" t="e">
        <f>#REF!</f>
        <v>#REF!</v>
      </c>
      <c r="G27" s="221" t="e">
        <f>#REF!</f>
        <v>#REF!</v>
      </c>
      <c r="H27" s="221" t="e">
        <f>#REF!</f>
        <v>#REF!</v>
      </c>
      <c r="I27" s="221" t="e">
        <f>IF(#REF!="60세이상",0,#REF!)</f>
        <v>#REF!</v>
      </c>
      <c r="J27" s="221" t="e">
        <f>#REF!+#REF!</f>
        <v>#REF!</v>
      </c>
      <c r="K27" s="221" t="e">
        <f>IF(#REF!="65세이상",0,#REF!)</f>
        <v>#REF!</v>
      </c>
      <c r="L27" s="222" t="e">
        <f>#REF!&amp;"일"</f>
        <v>#REF!</v>
      </c>
      <c r="M27" s="221" t="e">
        <f>#REF!&amp;"원"</f>
        <v>#REF!</v>
      </c>
    </row>
    <row r="28" spans="1:13" ht="16.5" customHeight="1">
      <c r="A28" s="217" t="e">
        <f>#REF!</f>
        <v>#REF!</v>
      </c>
      <c r="B28" s="217" t="e">
        <f>#REF!</f>
        <v>#REF!</v>
      </c>
      <c r="C28" s="217" t="e">
        <f>LEFT(#REF!,6)</f>
        <v>#REF!</v>
      </c>
      <c r="D28" s="211" t="s">
        <v>632</v>
      </c>
      <c r="E28" s="221" t="s">
        <v>631</v>
      </c>
      <c r="F28" s="221" t="e">
        <f>#REF!</f>
        <v>#REF!</v>
      </c>
      <c r="G28" s="221" t="e">
        <f>#REF!</f>
        <v>#REF!</v>
      </c>
      <c r="H28" s="221" t="e">
        <f>#REF!</f>
        <v>#REF!</v>
      </c>
      <c r="I28" s="221" t="e">
        <f>IF(#REF!="60세이상",0,#REF!)</f>
        <v>#REF!</v>
      </c>
      <c r="J28" s="221" t="e">
        <f>#REF!+#REF!</f>
        <v>#REF!</v>
      </c>
      <c r="K28" s="221" t="e">
        <f>IF(#REF!="65세이상",0,#REF!)</f>
        <v>#REF!</v>
      </c>
      <c r="L28" s="222" t="e">
        <f>#REF!&amp;"일"</f>
        <v>#REF!</v>
      </c>
      <c r="M28" s="221" t="e">
        <f>#REF!&amp;"원"</f>
        <v>#REF!</v>
      </c>
    </row>
    <row r="29" spans="1:13" ht="16.5" customHeight="1">
      <c r="A29" s="217" t="e">
        <f>#REF!</f>
        <v>#REF!</v>
      </c>
      <c r="B29" s="217" t="e">
        <f>#REF!</f>
        <v>#REF!</v>
      </c>
      <c r="C29" s="217" t="e">
        <f>LEFT(#REF!,6)</f>
        <v>#REF!</v>
      </c>
      <c r="D29" s="211" t="s">
        <v>632</v>
      </c>
      <c r="E29" s="221" t="s">
        <v>631</v>
      </c>
      <c r="F29" s="221" t="e">
        <f>#REF!</f>
        <v>#REF!</v>
      </c>
      <c r="G29" s="221" t="e">
        <f>#REF!</f>
        <v>#REF!</v>
      </c>
      <c r="H29" s="221" t="e">
        <f>#REF!</f>
        <v>#REF!</v>
      </c>
      <c r="I29" s="221" t="e">
        <f>IF(#REF!="60세이상",0,#REF!)</f>
        <v>#REF!</v>
      </c>
      <c r="J29" s="221" t="e">
        <f>#REF!+#REF!</f>
        <v>#REF!</v>
      </c>
      <c r="K29" s="221" t="e">
        <f>IF(#REF!="65세이상",0,#REF!)</f>
        <v>#REF!</v>
      </c>
      <c r="L29" s="222" t="e">
        <f>#REF!&amp;"일"</f>
        <v>#REF!</v>
      </c>
      <c r="M29" s="221" t="e">
        <f>#REF!&amp;"원"</f>
        <v>#REF!</v>
      </c>
    </row>
    <row r="30" spans="1:13" ht="16.5" customHeight="1">
      <c r="A30" s="217" t="e">
        <f>#REF!</f>
        <v>#REF!</v>
      </c>
      <c r="B30" s="217" t="e">
        <f>#REF!</f>
        <v>#REF!</v>
      </c>
      <c r="C30" s="217" t="e">
        <f>LEFT(#REF!,6)</f>
        <v>#REF!</v>
      </c>
      <c r="D30" s="211" t="s">
        <v>632</v>
      </c>
      <c r="E30" s="221" t="s">
        <v>631</v>
      </c>
      <c r="F30" s="221" t="e">
        <f>#REF!</f>
        <v>#REF!</v>
      </c>
      <c r="G30" s="221" t="e">
        <f>#REF!</f>
        <v>#REF!</v>
      </c>
      <c r="H30" s="221" t="e">
        <f>#REF!</f>
        <v>#REF!</v>
      </c>
      <c r="I30" s="221" t="e">
        <f>IF(#REF!="60세이상",0,#REF!)</f>
        <v>#REF!</v>
      </c>
      <c r="J30" s="221" t="e">
        <f>#REF!+#REF!</f>
        <v>#REF!</v>
      </c>
      <c r="K30" s="221" t="e">
        <f>IF(#REF!="65세이상",0,#REF!)</f>
        <v>#REF!</v>
      </c>
      <c r="L30" s="222" t="e">
        <f>#REF!&amp;"일"</f>
        <v>#REF!</v>
      </c>
      <c r="M30" s="221" t="e">
        <f>#REF!&amp;"원"</f>
        <v>#REF!</v>
      </c>
    </row>
    <row r="31" spans="1:13" ht="16.5" customHeight="1">
      <c r="A31" s="217" t="e">
        <f>#REF!</f>
        <v>#REF!</v>
      </c>
      <c r="B31" s="217" t="e">
        <f>#REF!</f>
        <v>#REF!</v>
      </c>
      <c r="C31" s="217" t="e">
        <f>LEFT(#REF!,6)</f>
        <v>#REF!</v>
      </c>
      <c r="D31" s="211" t="s">
        <v>632</v>
      </c>
      <c r="E31" s="221" t="s">
        <v>631</v>
      </c>
      <c r="F31" s="221" t="e">
        <f>#REF!</f>
        <v>#REF!</v>
      </c>
      <c r="G31" s="221" t="e">
        <f>#REF!</f>
        <v>#REF!</v>
      </c>
      <c r="H31" s="221" t="e">
        <f>#REF!</f>
        <v>#REF!</v>
      </c>
      <c r="I31" s="221" t="e">
        <f>IF(#REF!="60세이상",0,#REF!)</f>
        <v>#REF!</v>
      </c>
      <c r="J31" s="221" t="e">
        <f>#REF!+#REF!</f>
        <v>#REF!</v>
      </c>
      <c r="K31" s="221" t="e">
        <f>IF(#REF!="65세이상",0,#REF!)</f>
        <v>#REF!</v>
      </c>
      <c r="L31" s="222" t="e">
        <f>#REF!&amp;"일"</f>
        <v>#REF!</v>
      </c>
      <c r="M31" s="221" t="e">
        <f>#REF!&amp;"원"</f>
        <v>#REF!</v>
      </c>
    </row>
    <row r="32" spans="1:13" ht="16.5" customHeight="1">
      <c r="A32" s="217" t="e">
        <f>#REF!</f>
        <v>#REF!</v>
      </c>
      <c r="B32" s="217" t="e">
        <f>#REF!</f>
        <v>#REF!</v>
      </c>
      <c r="C32" s="217" t="e">
        <f>LEFT(#REF!,6)</f>
        <v>#REF!</v>
      </c>
      <c r="D32" s="211" t="s">
        <v>632</v>
      </c>
      <c r="E32" s="221" t="s">
        <v>631</v>
      </c>
      <c r="F32" s="221" t="e">
        <f>#REF!</f>
        <v>#REF!</v>
      </c>
      <c r="G32" s="221" t="e">
        <f>#REF!</f>
        <v>#REF!</v>
      </c>
      <c r="H32" s="221" t="e">
        <f>#REF!</f>
        <v>#REF!</v>
      </c>
      <c r="I32" s="221" t="e">
        <f>IF(#REF!="60세이상",0,#REF!)</f>
        <v>#REF!</v>
      </c>
      <c r="J32" s="221" t="e">
        <f>#REF!+#REF!</f>
        <v>#REF!</v>
      </c>
      <c r="K32" s="221" t="e">
        <f>IF(#REF!="65세이상",0,#REF!)</f>
        <v>#REF!</v>
      </c>
      <c r="L32" s="222" t="e">
        <f>#REF!&amp;"일"</f>
        <v>#REF!</v>
      </c>
      <c r="M32" s="221" t="e">
        <f>#REF!&amp;"원"</f>
        <v>#REF!</v>
      </c>
    </row>
    <row r="33" spans="1:13" ht="16.5" customHeight="1">
      <c r="A33" s="217" t="e">
        <f>#REF!</f>
        <v>#REF!</v>
      </c>
      <c r="B33" s="217" t="e">
        <f>#REF!</f>
        <v>#REF!</v>
      </c>
      <c r="C33" s="217" t="e">
        <f>LEFT(#REF!,6)</f>
        <v>#REF!</v>
      </c>
      <c r="D33" s="211" t="s">
        <v>632</v>
      </c>
      <c r="E33" s="221" t="s">
        <v>631</v>
      </c>
      <c r="F33" s="221" t="e">
        <f>#REF!</f>
        <v>#REF!</v>
      </c>
      <c r="G33" s="221" t="e">
        <f>#REF!</f>
        <v>#REF!</v>
      </c>
      <c r="H33" s="221" t="e">
        <f>#REF!</f>
        <v>#REF!</v>
      </c>
      <c r="I33" s="221" t="e">
        <f>IF(#REF!="60세이상",0,#REF!)</f>
        <v>#REF!</v>
      </c>
      <c r="J33" s="221" t="e">
        <f>#REF!+#REF!</f>
        <v>#REF!</v>
      </c>
      <c r="K33" s="221" t="e">
        <f>IF(#REF!="65세이상",0,#REF!)</f>
        <v>#REF!</v>
      </c>
      <c r="L33" s="222" t="e">
        <f>#REF!&amp;"일"</f>
        <v>#REF!</v>
      </c>
      <c r="M33" s="221" t="e">
        <f>#REF!&amp;"원"</f>
        <v>#REF!</v>
      </c>
    </row>
    <row r="34" spans="1:13" ht="16.5" customHeight="1">
      <c r="A34" s="217" t="e">
        <f>#REF!</f>
        <v>#REF!</v>
      </c>
      <c r="B34" s="217" t="e">
        <f>#REF!</f>
        <v>#REF!</v>
      </c>
      <c r="C34" s="217" t="e">
        <f>LEFT(#REF!,6)</f>
        <v>#REF!</v>
      </c>
      <c r="D34" s="211" t="s">
        <v>632</v>
      </c>
      <c r="E34" s="221" t="s">
        <v>631</v>
      </c>
      <c r="F34" s="221" t="e">
        <f>#REF!</f>
        <v>#REF!</v>
      </c>
      <c r="G34" s="221" t="e">
        <f>#REF!</f>
        <v>#REF!</v>
      </c>
      <c r="H34" s="221" t="e">
        <f>#REF!</f>
        <v>#REF!</v>
      </c>
      <c r="I34" s="221" t="e">
        <f>IF(#REF!="60세이상",0,#REF!)</f>
        <v>#REF!</v>
      </c>
      <c r="J34" s="221" t="e">
        <f>#REF!+#REF!</f>
        <v>#REF!</v>
      </c>
      <c r="K34" s="221" t="e">
        <f>IF(#REF!="65세이상",0,#REF!)</f>
        <v>#REF!</v>
      </c>
      <c r="L34" s="222" t="e">
        <f>#REF!&amp;"일"</f>
        <v>#REF!</v>
      </c>
      <c r="M34" s="221" t="e">
        <f>#REF!&amp;"원"</f>
        <v>#REF!</v>
      </c>
    </row>
    <row r="35" spans="1:13" ht="16.5" customHeight="1">
      <c r="A35" s="217" t="e">
        <f>#REF!</f>
        <v>#REF!</v>
      </c>
      <c r="B35" s="217" t="e">
        <f>#REF!</f>
        <v>#REF!</v>
      </c>
      <c r="C35" s="217" t="e">
        <f>LEFT(#REF!,6)</f>
        <v>#REF!</v>
      </c>
      <c r="D35" s="211" t="s">
        <v>632</v>
      </c>
      <c r="E35" s="221" t="s">
        <v>631</v>
      </c>
      <c r="F35" s="221" t="e">
        <f>#REF!</f>
        <v>#REF!</v>
      </c>
      <c r="G35" s="221" t="e">
        <f>#REF!</f>
        <v>#REF!</v>
      </c>
      <c r="H35" s="221" t="e">
        <f>#REF!</f>
        <v>#REF!</v>
      </c>
      <c r="I35" s="221" t="e">
        <f>IF(#REF!="60세이상",0,#REF!)</f>
        <v>#REF!</v>
      </c>
      <c r="J35" s="221" t="e">
        <f>#REF!+#REF!</f>
        <v>#REF!</v>
      </c>
      <c r="K35" s="221" t="e">
        <f>IF(#REF!="65세이상",0,#REF!)</f>
        <v>#REF!</v>
      </c>
      <c r="L35" s="222" t="e">
        <f>#REF!&amp;"일"</f>
        <v>#REF!</v>
      </c>
      <c r="M35" s="221" t="e">
        <f>#REF!&amp;"원"</f>
        <v>#REF!</v>
      </c>
    </row>
    <row r="36" spans="1:13" ht="16.5" customHeight="1">
      <c r="A36" s="217" t="e">
        <f>#REF!</f>
        <v>#REF!</v>
      </c>
      <c r="B36" s="217" t="e">
        <f>#REF!</f>
        <v>#REF!</v>
      </c>
      <c r="C36" s="217" t="e">
        <f>LEFT(#REF!,6)</f>
        <v>#REF!</v>
      </c>
      <c r="D36" s="211" t="s">
        <v>632</v>
      </c>
      <c r="E36" s="221" t="s">
        <v>631</v>
      </c>
      <c r="F36" s="221" t="e">
        <f>#REF!</f>
        <v>#REF!</v>
      </c>
      <c r="G36" s="221" t="e">
        <f>#REF!</f>
        <v>#REF!</v>
      </c>
      <c r="H36" s="221" t="e">
        <f>#REF!</f>
        <v>#REF!</v>
      </c>
      <c r="I36" s="221" t="e">
        <f>IF(#REF!="60세이상",0,#REF!)</f>
        <v>#REF!</v>
      </c>
      <c r="J36" s="221" t="e">
        <f>#REF!+#REF!</f>
        <v>#REF!</v>
      </c>
      <c r="K36" s="221" t="e">
        <f>IF(#REF!="65세이상",0,#REF!)</f>
        <v>#REF!</v>
      </c>
      <c r="L36" s="222" t="e">
        <f>#REF!&amp;"일"</f>
        <v>#REF!</v>
      </c>
      <c r="M36" s="221" t="e">
        <f>#REF!&amp;"원"</f>
        <v>#REF!</v>
      </c>
    </row>
    <row r="37" spans="1:13" ht="16.5" customHeight="1">
      <c r="A37" s="217" t="e">
        <f>#REF!</f>
        <v>#REF!</v>
      </c>
      <c r="B37" s="217" t="e">
        <f>#REF!</f>
        <v>#REF!</v>
      </c>
      <c r="C37" s="217" t="e">
        <f>LEFT(#REF!,6)</f>
        <v>#REF!</v>
      </c>
      <c r="D37" s="211" t="s">
        <v>632</v>
      </c>
      <c r="E37" s="221" t="s">
        <v>631</v>
      </c>
      <c r="F37" s="221" t="e">
        <f>#REF!</f>
        <v>#REF!</v>
      </c>
      <c r="G37" s="221" t="e">
        <f>#REF!</f>
        <v>#REF!</v>
      </c>
      <c r="H37" s="221" t="e">
        <f>#REF!</f>
        <v>#REF!</v>
      </c>
      <c r="I37" s="221" t="e">
        <f>IF(#REF!="60세이상",0,#REF!)</f>
        <v>#REF!</v>
      </c>
      <c r="J37" s="221" t="e">
        <f>#REF!+#REF!</f>
        <v>#REF!</v>
      </c>
      <c r="K37" s="221" t="e">
        <f>IF(#REF!="65세이상",0,#REF!)</f>
        <v>#REF!</v>
      </c>
      <c r="L37" s="222" t="e">
        <f>#REF!&amp;"일"</f>
        <v>#REF!</v>
      </c>
      <c r="M37" s="221" t="e">
        <f>#REF!&amp;"원"</f>
        <v>#REF!</v>
      </c>
    </row>
    <row r="38" spans="1:13" ht="16.5" customHeight="1">
      <c r="A38" s="217" t="e">
        <f>#REF!</f>
        <v>#REF!</v>
      </c>
      <c r="B38" s="217" t="e">
        <f>#REF!</f>
        <v>#REF!</v>
      </c>
      <c r="C38" s="217" t="e">
        <f>LEFT(#REF!,6)</f>
        <v>#REF!</v>
      </c>
      <c r="D38" s="211" t="s">
        <v>632</v>
      </c>
      <c r="E38" s="221" t="s">
        <v>631</v>
      </c>
      <c r="F38" s="221" t="e">
        <f>#REF!</f>
        <v>#REF!</v>
      </c>
      <c r="G38" s="221" t="e">
        <f>#REF!</f>
        <v>#REF!</v>
      </c>
      <c r="H38" s="221" t="e">
        <f>#REF!</f>
        <v>#REF!</v>
      </c>
      <c r="I38" s="221" t="e">
        <f>IF(#REF!="60세이상",0,#REF!)</f>
        <v>#REF!</v>
      </c>
      <c r="J38" s="221" t="e">
        <f>#REF!+#REF!</f>
        <v>#REF!</v>
      </c>
      <c r="K38" s="221" t="e">
        <f>IF(#REF!="65세이상",0,#REF!)</f>
        <v>#REF!</v>
      </c>
      <c r="L38" s="222" t="e">
        <f>#REF!&amp;"일"</f>
        <v>#REF!</v>
      </c>
      <c r="M38" s="221" t="e">
        <f>#REF!&amp;"원"</f>
        <v>#REF!</v>
      </c>
    </row>
    <row r="39" spans="1:13" ht="16.5" customHeight="1">
      <c r="A39" s="217" t="e">
        <f>#REF!</f>
        <v>#REF!</v>
      </c>
      <c r="B39" s="217" t="e">
        <f>#REF!</f>
        <v>#REF!</v>
      </c>
      <c r="C39" s="217" t="e">
        <f>LEFT(#REF!,6)</f>
        <v>#REF!</v>
      </c>
      <c r="D39" s="211" t="s">
        <v>632</v>
      </c>
      <c r="E39" s="221" t="s">
        <v>631</v>
      </c>
      <c r="F39" s="221" t="e">
        <f>#REF!</f>
        <v>#REF!</v>
      </c>
      <c r="G39" s="221" t="e">
        <f>#REF!</f>
        <v>#REF!</v>
      </c>
      <c r="H39" s="221" t="e">
        <f>#REF!</f>
        <v>#REF!</v>
      </c>
      <c r="I39" s="221" t="e">
        <f>IF(#REF!="60세이상",0,#REF!)</f>
        <v>#REF!</v>
      </c>
      <c r="J39" s="221" t="e">
        <f>#REF!+#REF!</f>
        <v>#REF!</v>
      </c>
      <c r="K39" s="221" t="e">
        <f>IF(#REF!="65세이상",0,#REF!)</f>
        <v>#REF!</v>
      </c>
      <c r="L39" s="222" t="e">
        <f>#REF!&amp;"일"</f>
        <v>#REF!</v>
      </c>
      <c r="M39" s="221" t="e">
        <f>#REF!&amp;"원"</f>
        <v>#REF!</v>
      </c>
    </row>
    <row r="40" spans="1:13" ht="16.5" customHeight="1">
      <c r="A40" s="217" t="e">
        <f>#REF!</f>
        <v>#REF!</v>
      </c>
      <c r="B40" s="217" t="e">
        <f>#REF!</f>
        <v>#REF!</v>
      </c>
      <c r="C40" s="217" t="e">
        <f>LEFT(#REF!,6)</f>
        <v>#REF!</v>
      </c>
      <c r="D40" s="211" t="s">
        <v>632</v>
      </c>
      <c r="E40" s="221" t="s">
        <v>631</v>
      </c>
      <c r="F40" s="221" t="e">
        <f>#REF!</f>
        <v>#REF!</v>
      </c>
      <c r="G40" s="221" t="e">
        <f>#REF!</f>
        <v>#REF!</v>
      </c>
      <c r="H40" s="221" t="e">
        <f>#REF!</f>
        <v>#REF!</v>
      </c>
      <c r="I40" s="221" t="e">
        <f>IF(#REF!="60세이상",0,#REF!)</f>
        <v>#REF!</v>
      </c>
      <c r="J40" s="221" t="e">
        <f>#REF!+#REF!</f>
        <v>#REF!</v>
      </c>
      <c r="K40" s="221" t="e">
        <f>IF(#REF!="65세이상",0,#REF!)</f>
        <v>#REF!</v>
      </c>
      <c r="L40" s="222" t="e">
        <f>#REF!&amp;"일"</f>
        <v>#REF!</v>
      </c>
      <c r="M40" s="221" t="e">
        <f>#REF!&amp;"원"</f>
        <v>#REF!</v>
      </c>
    </row>
    <row r="41" spans="1:13" ht="16.5" customHeight="1">
      <c r="A41" s="217" t="e">
        <f>#REF!</f>
        <v>#REF!</v>
      </c>
      <c r="B41" s="217" t="e">
        <f>#REF!</f>
        <v>#REF!</v>
      </c>
      <c r="C41" s="217" t="e">
        <f>LEFT(#REF!,6)</f>
        <v>#REF!</v>
      </c>
      <c r="D41" s="211" t="s">
        <v>632</v>
      </c>
      <c r="E41" s="221" t="s">
        <v>631</v>
      </c>
      <c r="F41" s="221" t="e">
        <f>#REF!</f>
        <v>#REF!</v>
      </c>
      <c r="G41" s="221" t="e">
        <f>#REF!</f>
        <v>#REF!</v>
      </c>
      <c r="H41" s="221" t="e">
        <f>#REF!</f>
        <v>#REF!</v>
      </c>
      <c r="I41" s="221" t="e">
        <f>IF(#REF!="60세이상",0,#REF!)</f>
        <v>#REF!</v>
      </c>
      <c r="J41" s="221" t="e">
        <f>#REF!+#REF!</f>
        <v>#REF!</v>
      </c>
      <c r="K41" s="221" t="e">
        <f>IF(#REF!="65세이상",0,#REF!)</f>
        <v>#REF!</v>
      </c>
      <c r="L41" s="222" t="e">
        <f>#REF!&amp;"일"</f>
        <v>#REF!</v>
      </c>
      <c r="M41" s="221" t="e">
        <f>#REF!&amp;"원"</f>
        <v>#REF!</v>
      </c>
    </row>
    <row r="42" spans="1:13" ht="16.5" customHeight="1">
      <c r="A42" s="217" t="e">
        <f>#REF!</f>
        <v>#REF!</v>
      </c>
      <c r="B42" s="217" t="e">
        <f>#REF!</f>
        <v>#REF!</v>
      </c>
      <c r="C42" s="217" t="e">
        <f>LEFT(#REF!,6)</f>
        <v>#REF!</v>
      </c>
      <c r="D42" s="211" t="s">
        <v>632</v>
      </c>
      <c r="E42" s="221" t="s">
        <v>631</v>
      </c>
      <c r="F42" s="221" t="e">
        <f>#REF!</f>
        <v>#REF!</v>
      </c>
      <c r="G42" s="221" t="e">
        <f>#REF!</f>
        <v>#REF!</v>
      </c>
      <c r="H42" s="221" t="e">
        <f>#REF!</f>
        <v>#REF!</v>
      </c>
      <c r="I42" s="221" t="e">
        <f>IF(#REF!="60세이상",0,#REF!)</f>
        <v>#REF!</v>
      </c>
      <c r="J42" s="221" t="e">
        <f>#REF!+#REF!</f>
        <v>#REF!</v>
      </c>
      <c r="K42" s="221" t="e">
        <f>IF(#REF!="65세이상",0,#REF!)</f>
        <v>#REF!</v>
      </c>
      <c r="L42" s="222" t="e">
        <f>#REF!&amp;"일"</f>
        <v>#REF!</v>
      </c>
      <c r="M42" s="221" t="e">
        <f>#REF!&amp;"원"</f>
        <v>#REF!</v>
      </c>
    </row>
    <row r="43" spans="1:13" ht="16.5" customHeight="1">
      <c r="A43" s="217" t="e">
        <f>#REF!</f>
        <v>#REF!</v>
      </c>
      <c r="B43" s="217" t="e">
        <f>#REF!</f>
        <v>#REF!</v>
      </c>
      <c r="C43" s="217" t="e">
        <f>LEFT(#REF!,6)</f>
        <v>#REF!</v>
      </c>
      <c r="D43" s="211" t="s">
        <v>632</v>
      </c>
      <c r="E43" s="221" t="s">
        <v>631</v>
      </c>
      <c r="F43" s="221" t="e">
        <f>#REF!</f>
        <v>#REF!</v>
      </c>
      <c r="G43" s="221" t="e">
        <f>#REF!</f>
        <v>#REF!</v>
      </c>
      <c r="H43" s="221" t="e">
        <f>#REF!</f>
        <v>#REF!</v>
      </c>
      <c r="I43" s="221" t="e">
        <f>IF(#REF!="60세이상",0,#REF!)</f>
        <v>#REF!</v>
      </c>
      <c r="J43" s="221" t="e">
        <f>#REF!+#REF!</f>
        <v>#REF!</v>
      </c>
      <c r="K43" s="221" t="e">
        <f>IF(#REF!="65세이상",0,#REF!)</f>
        <v>#REF!</v>
      </c>
      <c r="L43" s="222" t="e">
        <f>#REF!&amp;"일"</f>
        <v>#REF!</v>
      </c>
      <c r="M43" s="221" t="e">
        <f>#REF!&amp;"원"</f>
        <v>#REF!</v>
      </c>
    </row>
    <row r="44" spans="1:13" ht="16.5" customHeight="1">
      <c r="A44" s="217" t="e">
        <f>#REF!</f>
        <v>#REF!</v>
      </c>
      <c r="B44" s="217" t="e">
        <f>#REF!</f>
        <v>#REF!</v>
      </c>
      <c r="C44" s="217" t="e">
        <f>LEFT(#REF!,6)</f>
        <v>#REF!</v>
      </c>
      <c r="D44" s="211" t="s">
        <v>632</v>
      </c>
      <c r="E44" s="221" t="s">
        <v>631</v>
      </c>
      <c r="F44" s="221" t="e">
        <f>#REF!</f>
        <v>#REF!</v>
      </c>
      <c r="G44" s="221" t="e">
        <f>#REF!</f>
        <v>#REF!</v>
      </c>
      <c r="H44" s="221" t="e">
        <f>#REF!</f>
        <v>#REF!</v>
      </c>
      <c r="I44" s="221" t="e">
        <f>IF(#REF!="60세이상",0,#REF!)</f>
        <v>#REF!</v>
      </c>
      <c r="J44" s="221" t="e">
        <f>#REF!+#REF!</f>
        <v>#REF!</v>
      </c>
      <c r="K44" s="221" t="e">
        <f>IF(#REF!="65세이상",0,#REF!)</f>
        <v>#REF!</v>
      </c>
      <c r="L44" s="222" t="e">
        <f>#REF!&amp;"일"</f>
        <v>#REF!</v>
      </c>
      <c r="M44" s="221" t="e">
        <f>#REF!&amp;"원"</f>
        <v>#REF!</v>
      </c>
    </row>
    <row r="45" spans="1:13" ht="16.5" customHeight="1">
      <c r="A45" s="217" t="e">
        <f>#REF!</f>
        <v>#REF!</v>
      </c>
      <c r="B45" s="217" t="e">
        <f>#REF!</f>
        <v>#REF!</v>
      </c>
      <c r="C45" s="217" t="e">
        <f>LEFT(#REF!,6)</f>
        <v>#REF!</v>
      </c>
      <c r="D45" s="211" t="s">
        <v>632</v>
      </c>
      <c r="E45" s="221" t="s">
        <v>631</v>
      </c>
      <c r="F45" s="221" t="e">
        <f>#REF!</f>
        <v>#REF!</v>
      </c>
      <c r="G45" s="221" t="e">
        <f>#REF!</f>
        <v>#REF!</v>
      </c>
      <c r="H45" s="221" t="e">
        <f>#REF!</f>
        <v>#REF!</v>
      </c>
      <c r="I45" s="221" t="e">
        <f>IF(#REF!="60세이상",0,#REF!)</f>
        <v>#REF!</v>
      </c>
      <c r="J45" s="221" t="e">
        <f>#REF!+#REF!</f>
        <v>#REF!</v>
      </c>
      <c r="K45" s="221" t="e">
        <f>IF(#REF!="65세이상",0,#REF!)</f>
        <v>#REF!</v>
      </c>
      <c r="L45" s="222" t="e">
        <f>#REF!&amp;"일"</f>
        <v>#REF!</v>
      </c>
      <c r="M45" s="221" t="e">
        <f>#REF!&amp;"원"</f>
        <v>#REF!</v>
      </c>
    </row>
    <row r="46" spans="1:13" ht="16.5" customHeight="1">
      <c r="A46" s="217" t="e">
        <f>#REF!</f>
        <v>#REF!</v>
      </c>
      <c r="B46" s="217" t="e">
        <f>#REF!</f>
        <v>#REF!</v>
      </c>
      <c r="C46" s="217" t="e">
        <f>LEFT(#REF!,6)</f>
        <v>#REF!</v>
      </c>
      <c r="D46" s="211" t="s">
        <v>632</v>
      </c>
      <c r="E46" s="221" t="s">
        <v>631</v>
      </c>
      <c r="F46" s="221" t="e">
        <f>#REF!</f>
        <v>#REF!</v>
      </c>
      <c r="G46" s="221" t="e">
        <f>#REF!</f>
        <v>#REF!</v>
      </c>
      <c r="H46" s="221" t="e">
        <f>#REF!</f>
        <v>#REF!</v>
      </c>
      <c r="I46" s="221" t="e">
        <f>IF(#REF!="60세이상",0,#REF!)</f>
        <v>#REF!</v>
      </c>
      <c r="J46" s="221" t="e">
        <f>#REF!+#REF!</f>
        <v>#REF!</v>
      </c>
      <c r="K46" s="221" t="e">
        <f>IF(#REF!="65세이상",0,#REF!)</f>
        <v>#REF!</v>
      </c>
      <c r="L46" s="222" t="e">
        <f>#REF!&amp;"일"</f>
        <v>#REF!</v>
      </c>
      <c r="M46" s="221" t="e">
        <f>#REF!&amp;"원"</f>
        <v>#REF!</v>
      </c>
    </row>
    <row r="47" spans="1:13" ht="16.5" customHeight="1">
      <c r="A47" s="217" t="e">
        <f>#REF!</f>
        <v>#REF!</v>
      </c>
      <c r="B47" s="217" t="e">
        <f>#REF!</f>
        <v>#REF!</v>
      </c>
      <c r="C47" s="217" t="e">
        <f>LEFT(#REF!,6)</f>
        <v>#REF!</v>
      </c>
      <c r="D47" s="211" t="s">
        <v>632</v>
      </c>
      <c r="E47" s="221" t="s">
        <v>631</v>
      </c>
      <c r="F47" s="221" t="e">
        <f>#REF!</f>
        <v>#REF!</v>
      </c>
      <c r="G47" s="221" t="e">
        <f>#REF!</f>
        <v>#REF!</v>
      </c>
      <c r="H47" s="221" t="e">
        <f>#REF!</f>
        <v>#REF!</v>
      </c>
      <c r="I47" s="221" t="e">
        <f>IF(#REF!="60세이상",0,#REF!)</f>
        <v>#REF!</v>
      </c>
      <c r="J47" s="221" t="e">
        <f>#REF!+#REF!</f>
        <v>#REF!</v>
      </c>
      <c r="K47" s="221" t="e">
        <f>IF(#REF!="65세이상",0,#REF!)</f>
        <v>#REF!</v>
      </c>
      <c r="L47" s="222" t="e">
        <f>#REF!&amp;"일"</f>
        <v>#REF!</v>
      </c>
      <c r="M47" s="221" t="e">
        <f>#REF!&amp;"원"</f>
        <v>#REF!</v>
      </c>
    </row>
    <row r="48" spans="1:13" ht="16.5" customHeight="1">
      <c r="A48" s="217" t="e">
        <f>#REF!</f>
        <v>#REF!</v>
      </c>
      <c r="B48" s="217" t="e">
        <f>#REF!</f>
        <v>#REF!</v>
      </c>
      <c r="C48" s="217" t="e">
        <f>LEFT(#REF!,6)</f>
        <v>#REF!</v>
      </c>
      <c r="D48" s="211" t="s">
        <v>632</v>
      </c>
      <c r="E48" s="221" t="s">
        <v>631</v>
      </c>
      <c r="F48" s="221" t="e">
        <f>#REF!</f>
        <v>#REF!</v>
      </c>
      <c r="G48" s="221" t="e">
        <f>#REF!</f>
        <v>#REF!</v>
      </c>
      <c r="H48" s="221" t="e">
        <f>#REF!</f>
        <v>#REF!</v>
      </c>
      <c r="I48" s="221" t="e">
        <f>IF(#REF!="60세이상",0,#REF!)</f>
        <v>#REF!</v>
      </c>
      <c r="J48" s="221" t="e">
        <f>#REF!+#REF!</f>
        <v>#REF!</v>
      </c>
      <c r="K48" s="221" t="e">
        <f>IF(#REF!="65세이상",0,#REF!)</f>
        <v>#REF!</v>
      </c>
      <c r="L48" s="222" t="e">
        <f>#REF!&amp;"일"</f>
        <v>#REF!</v>
      </c>
      <c r="M48" s="221" t="e">
        <f>#REF!&amp;"원"</f>
        <v>#REF!</v>
      </c>
    </row>
    <row r="49" spans="1:13" ht="16.5" customHeight="1">
      <c r="A49" s="217" t="e">
        <f>#REF!</f>
        <v>#REF!</v>
      </c>
      <c r="B49" s="217" t="e">
        <f>#REF!</f>
        <v>#REF!</v>
      </c>
      <c r="C49" s="217" t="e">
        <f>LEFT(#REF!,6)</f>
        <v>#REF!</v>
      </c>
      <c r="D49" s="211" t="s">
        <v>632</v>
      </c>
      <c r="E49" s="221" t="s">
        <v>631</v>
      </c>
      <c r="F49" s="221" t="e">
        <f>#REF!</f>
        <v>#REF!</v>
      </c>
      <c r="G49" s="221" t="e">
        <f>#REF!</f>
        <v>#REF!</v>
      </c>
      <c r="H49" s="221" t="e">
        <f>#REF!</f>
        <v>#REF!</v>
      </c>
      <c r="I49" s="221" t="e">
        <f>IF(#REF!="60세이상",0,#REF!)</f>
        <v>#REF!</v>
      </c>
      <c r="J49" s="221" t="e">
        <f>#REF!+#REF!</f>
        <v>#REF!</v>
      </c>
      <c r="K49" s="221" t="e">
        <f>IF(#REF!="65세이상",0,#REF!)</f>
        <v>#REF!</v>
      </c>
      <c r="L49" s="222" t="e">
        <f>#REF!&amp;"일"</f>
        <v>#REF!</v>
      </c>
      <c r="M49" s="221" t="e">
        <f>#REF!&amp;"원"</f>
        <v>#REF!</v>
      </c>
    </row>
    <row r="50" spans="1:13" ht="16.5" customHeight="1">
      <c r="A50" s="217" t="e">
        <f>#REF!</f>
        <v>#REF!</v>
      </c>
      <c r="B50" s="217" t="e">
        <f>#REF!</f>
        <v>#REF!</v>
      </c>
      <c r="C50" s="217" t="e">
        <f>LEFT(#REF!,6)</f>
        <v>#REF!</v>
      </c>
      <c r="D50" s="211" t="s">
        <v>632</v>
      </c>
      <c r="E50" s="221" t="s">
        <v>631</v>
      </c>
      <c r="F50" s="221" t="e">
        <f>#REF!</f>
        <v>#REF!</v>
      </c>
      <c r="G50" s="221" t="e">
        <f>#REF!</f>
        <v>#REF!</v>
      </c>
      <c r="H50" s="221" t="e">
        <f>#REF!</f>
        <v>#REF!</v>
      </c>
      <c r="I50" s="221" t="e">
        <f>IF(#REF!="60세이상",0,#REF!)</f>
        <v>#REF!</v>
      </c>
      <c r="J50" s="221" t="e">
        <f>#REF!+#REF!</f>
        <v>#REF!</v>
      </c>
      <c r="K50" s="221" t="e">
        <f>IF(#REF!="65세이상",0,#REF!)</f>
        <v>#REF!</v>
      </c>
      <c r="L50" s="222" t="e">
        <f>#REF!&amp;"일"</f>
        <v>#REF!</v>
      </c>
      <c r="M50" s="221" t="e">
        <f>#REF!&amp;"원"</f>
        <v>#REF!</v>
      </c>
    </row>
    <row r="51" spans="1:13" ht="16.5" customHeight="1">
      <c r="A51" s="217" t="e">
        <f>#REF!</f>
        <v>#REF!</v>
      </c>
      <c r="B51" s="217" t="e">
        <f>#REF!</f>
        <v>#REF!</v>
      </c>
      <c r="C51" s="217" t="e">
        <f>LEFT(#REF!,6)</f>
        <v>#REF!</v>
      </c>
      <c r="D51" s="211" t="s">
        <v>632</v>
      </c>
      <c r="E51" s="221" t="s">
        <v>631</v>
      </c>
      <c r="F51" s="221" t="e">
        <f>#REF!</f>
        <v>#REF!</v>
      </c>
      <c r="G51" s="221" t="e">
        <f>#REF!</f>
        <v>#REF!</v>
      </c>
      <c r="H51" s="221" t="e">
        <f>#REF!</f>
        <v>#REF!</v>
      </c>
      <c r="I51" s="221" t="e">
        <f>IF(#REF!="60세이상",0,#REF!)</f>
        <v>#REF!</v>
      </c>
      <c r="J51" s="221" t="e">
        <f>#REF!+#REF!</f>
        <v>#REF!</v>
      </c>
      <c r="K51" s="221" t="e">
        <f>IF(#REF!="65세이상",0,#REF!)</f>
        <v>#REF!</v>
      </c>
      <c r="L51" s="222" t="e">
        <f>#REF!&amp;"일"</f>
        <v>#REF!</v>
      </c>
      <c r="M51" s="221" t="e">
        <f>#REF!&amp;"원"</f>
        <v>#REF!</v>
      </c>
    </row>
    <row r="52" spans="1:13" ht="16.5" customHeight="1">
      <c r="A52" s="217" t="e">
        <f>#REF!</f>
        <v>#REF!</v>
      </c>
      <c r="B52" s="217" t="e">
        <f>#REF!</f>
        <v>#REF!</v>
      </c>
      <c r="C52" s="217" t="e">
        <f>LEFT(#REF!,6)</f>
        <v>#REF!</v>
      </c>
      <c r="D52" s="211" t="s">
        <v>632</v>
      </c>
      <c r="E52" s="221" t="s">
        <v>631</v>
      </c>
      <c r="F52" s="221" t="e">
        <f>#REF!</f>
        <v>#REF!</v>
      </c>
      <c r="G52" s="221" t="e">
        <f>#REF!</f>
        <v>#REF!</v>
      </c>
      <c r="H52" s="221" t="e">
        <f>#REF!</f>
        <v>#REF!</v>
      </c>
      <c r="I52" s="221" t="e">
        <f>IF(#REF!="60세이상",0,#REF!)</f>
        <v>#REF!</v>
      </c>
      <c r="J52" s="221" t="e">
        <f>#REF!+#REF!</f>
        <v>#REF!</v>
      </c>
      <c r="K52" s="221" t="e">
        <f>IF(#REF!="65세이상",0,#REF!)</f>
        <v>#REF!</v>
      </c>
      <c r="L52" s="222" t="e">
        <f>#REF!&amp;"일"</f>
        <v>#REF!</v>
      </c>
      <c r="M52" s="221" t="e">
        <f>#REF!&amp;"원"</f>
        <v>#REF!</v>
      </c>
    </row>
    <row r="53" spans="1:13" ht="16.5" customHeight="1">
      <c r="A53" s="217" t="e">
        <f>#REF!</f>
        <v>#REF!</v>
      </c>
      <c r="B53" s="217" t="e">
        <f>#REF!</f>
        <v>#REF!</v>
      </c>
      <c r="C53" s="217" t="e">
        <f>LEFT(#REF!,6)</f>
        <v>#REF!</v>
      </c>
      <c r="D53" s="211" t="s">
        <v>632</v>
      </c>
      <c r="E53" s="221" t="s">
        <v>631</v>
      </c>
      <c r="F53" s="221" t="e">
        <f>#REF!</f>
        <v>#REF!</v>
      </c>
      <c r="G53" s="221" t="e">
        <f>#REF!</f>
        <v>#REF!</v>
      </c>
      <c r="H53" s="221" t="e">
        <f>#REF!</f>
        <v>#REF!</v>
      </c>
      <c r="I53" s="221" t="e">
        <f>IF(#REF!="60세이상",0,#REF!)</f>
        <v>#REF!</v>
      </c>
      <c r="J53" s="221" t="e">
        <f>#REF!+#REF!</f>
        <v>#REF!</v>
      </c>
      <c r="K53" s="221" t="e">
        <f>IF(#REF!="65세이상",0,#REF!)</f>
        <v>#REF!</v>
      </c>
      <c r="L53" s="222" t="e">
        <f>#REF!&amp;"일"</f>
        <v>#REF!</v>
      </c>
      <c r="M53" s="221" t="e">
        <f>#REF!&amp;"원"</f>
        <v>#REF!</v>
      </c>
    </row>
    <row r="54" spans="1:13" ht="16.5" customHeight="1">
      <c r="A54" s="217" t="e">
        <f>#REF!</f>
        <v>#REF!</v>
      </c>
      <c r="B54" s="217" t="e">
        <f>#REF!</f>
        <v>#REF!</v>
      </c>
      <c r="C54" s="217" t="e">
        <f>LEFT(#REF!,6)</f>
        <v>#REF!</v>
      </c>
      <c r="D54" s="211" t="s">
        <v>632</v>
      </c>
      <c r="E54" s="221" t="s">
        <v>631</v>
      </c>
      <c r="F54" s="221" t="e">
        <f>#REF!</f>
        <v>#REF!</v>
      </c>
      <c r="G54" s="221" t="e">
        <f>#REF!</f>
        <v>#REF!</v>
      </c>
      <c r="H54" s="221" t="e">
        <f>#REF!</f>
        <v>#REF!</v>
      </c>
      <c r="I54" s="221" t="e">
        <f>IF(#REF!="60세이상",0,#REF!)</f>
        <v>#REF!</v>
      </c>
      <c r="J54" s="221" t="e">
        <f>#REF!+#REF!</f>
        <v>#REF!</v>
      </c>
      <c r="K54" s="221" t="e">
        <f>IF(#REF!="65세이상",0,#REF!)</f>
        <v>#REF!</v>
      </c>
      <c r="L54" s="222" t="e">
        <f>#REF!&amp;"일"</f>
        <v>#REF!</v>
      </c>
      <c r="M54" s="221" t="e">
        <f>#REF!&amp;"원"</f>
        <v>#REF!</v>
      </c>
    </row>
    <row r="55" spans="1:13" ht="16.5" customHeight="1">
      <c r="A55" s="217" t="e">
        <f>#REF!</f>
        <v>#REF!</v>
      </c>
      <c r="B55" s="217" t="e">
        <f>#REF!</f>
        <v>#REF!</v>
      </c>
      <c r="C55" s="217" t="e">
        <f>LEFT(#REF!,6)</f>
        <v>#REF!</v>
      </c>
      <c r="D55" s="211" t="s">
        <v>632</v>
      </c>
      <c r="E55" s="221" t="s">
        <v>631</v>
      </c>
      <c r="F55" s="221" t="e">
        <f>#REF!</f>
        <v>#REF!</v>
      </c>
      <c r="G55" s="221" t="e">
        <f>#REF!</f>
        <v>#REF!</v>
      </c>
      <c r="H55" s="221" t="e">
        <f>#REF!</f>
        <v>#REF!</v>
      </c>
      <c r="I55" s="221" t="e">
        <f>IF(#REF!="60세이상",0,#REF!)</f>
        <v>#REF!</v>
      </c>
      <c r="J55" s="221" t="e">
        <f>#REF!+#REF!</f>
        <v>#REF!</v>
      </c>
      <c r="K55" s="221" t="e">
        <f>IF(#REF!="65세이상",0,#REF!)</f>
        <v>#REF!</v>
      </c>
      <c r="L55" s="222" t="e">
        <f>#REF!&amp;"일"</f>
        <v>#REF!</v>
      </c>
      <c r="M55" s="221" t="e">
        <f>#REF!&amp;"원"</f>
        <v>#REF!</v>
      </c>
    </row>
    <row r="56" spans="1:13" ht="16.5" customHeight="1">
      <c r="A56" s="217" t="e">
        <f>#REF!</f>
        <v>#REF!</v>
      </c>
      <c r="B56" s="217" t="e">
        <f>#REF!</f>
        <v>#REF!</v>
      </c>
      <c r="C56" s="217" t="e">
        <f>LEFT(#REF!,6)</f>
        <v>#REF!</v>
      </c>
      <c r="D56" s="211" t="s">
        <v>632</v>
      </c>
      <c r="E56" s="221" t="s">
        <v>631</v>
      </c>
      <c r="F56" s="221" t="e">
        <f>#REF!</f>
        <v>#REF!</v>
      </c>
      <c r="G56" s="221" t="e">
        <f>#REF!</f>
        <v>#REF!</v>
      </c>
      <c r="H56" s="221" t="e">
        <f>#REF!</f>
        <v>#REF!</v>
      </c>
      <c r="I56" s="221" t="e">
        <f>IF(#REF!="60세이상",0,#REF!)</f>
        <v>#REF!</v>
      </c>
      <c r="J56" s="221" t="e">
        <f>#REF!+#REF!</f>
        <v>#REF!</v>
      </c>
      <c r="K56" s="221" t="e">
        <f>IF(#REF!="65세이상",0,#REF!)</f>
        <v>#REF!</v>
      </c>
      <c r="L56" s="222" t="e">
        <f>#REF!&amp;"일"</f>
        <v>#REF!</v>
      </c>
      <c r="M56" s="221" t="e">
        <f>#REF!&amp;"원"</f>
        <v>#REF!</v>
      </c>
    </row>
    <row r="57" spans="1:13" ht="16.5" customHeight="1">
      <c r="A57" s="217" t="e">
        <f>#REF!</f>
        <v>#REF!</v>
      </c>
      <c r="B57" s="217" t="e">
        <f>#REF!</f>
        <v>#REF!</v>
      </c>
      <c r="C57" s="217" t="e">
        <f>LEFT(#REF!,6)</f>
        <v>#REF!</v>
      </c>
      <c r="D57" s="211" t="s">
        <v>632</v>
      </c>
      <c r="E57" s="221" t="s">
        <v>631</v>
      </c>
      <c r="F57" s="221" t="e">
        <f>#REF!</f>
        <v>#REF!</v>
      </c>
      <c r="G57" s="221" t="e">
        <f>#REF!</f>
        <v>#REF!</v>
      </c>
      <c r="H57" s="221" t="e">
        <f>#REF!</f>
        <v>#REF!</v>
      </c>
      <c r="I57" s="221" t="e">
        <f>IF(#REF!="60세이상",0,#REF!)</f>
        <v>#REF!</v>
      </c>
      <c r="J57" s="221" t="e">
        <f>#REF!+#REF!</f>
        <v>#REF!</v>
      </c>
      <c r="K57" s="221" t="e">
        <f>IF(#REF!="65세이상",0,#REF!)</f>
        <v>#REF!</v>
      </c>
      <c r="L57" s="222" t="e">
        <f>#REF!&amp;"일"</f>
        <v>#REF!</v>
      </c>
      <c r="M57" s="221" t="e">
        <f>#REF!&amp;"원"</f>
        <v>#REF!</v>
      </c>
    </row>
    <row r="58" spans="1:13" ht="16.5" customHeight="1">
      <c r="A58" s="217" t="e">
        <f>#REF!</f>
        <v>#REF!</v>
      </c>
      <c r="B58" s="217" t="e">
        <f>#REF!</f>
        <v>#REF!</v>
      </c>
      <c r="C58" s="217" t="e">
        <f>LEFT(#REF!,6)</f>
        <v>#REF!</v>
      </c>
      <c r="D58" s="211" t="s">
        <v>632</v>
      </c>
      <c r="E58" s="221" t="s">
        <v>631</v>
      </c>
      <c r="F58" s="221" t="e">
        <f>#REF!</f>
        <v>#REF!</v>
      </c>
      <c r="G58" s="221" t="e">
        <f>#REF!</f>
        <v>#REF!</v>
      </c>
      <c r="H58" s="221" t="e">
        <f>#REF!</f>
        <v>#REF!</v>
      </c>
      <c r="I58" s="221" t="e">
        <f>IF(#REF!="60세이상",0,#REF!)</f>
        <v>#REF!</v>
      </c>
      <c r="J58" s="221" t="e">
        <f>#REF!+#REF!</f>
        <v>#REF!</v>
      </c>
      <c r="K58" s="221" t="e">
        <f>IF(#REF!="65세이상",0,#REF!)</f>
        <v>#REF!</v>
      </c>
      <c r="L58" s="222" t="e">
        <f>#REF!&amp;"일"</f>
        <v>#REF!</v>
      </c>
      <c r="M58" s="221" t="e">
        <f>#REF!&amp;"원"</f>
        <v>#REF!</v>
      </c>
    </row>
    <row r="59" spans="1:13" ht="16.5" customHeight="1">
      <c r="A59" s="217" t="e">
        <f>#REF!</f>
        <v>#REF!</v>
      </c>
      <c r="B59" s="217" t="e">
        <f>#REF!</f>
        <v>#REF!</v>
      </c>
      <c r="C59" s="217" t="e">
        <f>LEFT(#REF!,6)</f>
        <v>#REF!</v>
      </c>
      <c r="D59" s="211" t="s">
        <v>632</v>
      </c>
      <c r="E59" s="221" t="s">
        <v>631</v>
      </c>
      <c r="F59" s="221" t="e">
        <f>#REF!</f>
        <v>#REF!</v>
      </c>
      <c r="G59" s="221" t="e">
        <f>#REF!</f>
        <v>#REF!</v>
      </c>
      <c r="H59" s="221" t="e">
        <f>#REF!</f>
        <v>#REF!</v>
      </c>
      <c r="I59" s="221" t="e">
        <f>IF(#REF!="60세이상",0,#REF!)</f>
        <v>#REF!</v>
      </c>
      <c r="J59" s="221" t="e">
        <f>#REF!+#REF!</f>
        <v>#REF!</v>
      </c>
      <c r="K59" s="221" t="e">
        <f>IF(#REF!="65세이상",0,#REF!)</f>
        <v>#REF!</v>
      </c>
      <c r="L59" s="222" t="e">
        <f>#REF!&amp;"일"</f>
        <v>#REF!</v>
      </c>
      <c r="M59" s="221" t="e">
        <f>#REF!&amp;"원"</f>
        <v>#REF!</v>
      </c>
    </row>
    <row r="60" spans="1:13" ht="16.5" customHeight="1">
      <c r="A60" s="217" t="e">
        <f>#REF!</f>
        <v>#REF!</v>
      </c>
      <c r="B60" s="217" t="e">
        <f>#REF!</f>
        <v>#REF!</v>
      </c>
      <c r="C60" s="217" t="e">
        <f>LEFT(#REF!,6)</f>
        <v>#REF!</v>
      </c>
      <c r="D60" s="211" t="s">
        <v>632</v>
      </c>
      <c r="E60" s="221" t="s">
        <v>631</v>
      </c>
      <c r="F60" s="221" t="e">
        <f>#REF!</f>
        <v>#REF!</v>
      </c>
      <c r="G60" s="221" t="e">
        <f>#REF!</f>
        <v>#REF!</v>
      </c>
      <c r="H60" s="221" t="e">
        <f>#REF!</f>
        <v>#REF!</v>
      </c>
      <c r="I60" s="221" t="e">
        <f>IF(#REF!="60세이상",0,#REF!)</f>
        <v>#REF!</v>
      </c>
      <c r="J60" s="221" t="e">
        <f>#REF!+#REF!</f>
        <v>#REF!</v>
      </c>
      <c r="K60" s="221" t="e">
        <f>IF(#REF!="65세이상",0,#REF!)</f>
        <v>#REF!</v>
      </c>
      <c r="L60" s="222" t="e">
        <f>#REF!&amp;"일"</f>
        <v>#REF!</v>
      </c>
      <c r="M60" s="221" t="e">
        <f>#REF!&amp;"원"</f>
        <v>#REF!</v>
      </c>
    </row>
    <row r="61" spans="1:13" ht="16.5" customHeight="1">
      <c r="A61" s="217" t="e">
        <f>#REF!</f>
        <v>#REF!</v>
      </c>
      <c r="B61" s="217" t="e">
        <f>#REF!</f>
        <v>#REF!</v>
      </c>
      <c r="C61" s="217" t="e">
        <f>LEFT(#REF!,6)</f>
        <v>#REF!</v>
      </c>
      <c r="D61" s="211" t="s">
        <v>632</v>
      </c>
      <c r="E61" s="221" t="s">
        <v>631</v>
      </c>
      <c r="F61" s="221" t="e">
        <f>#REF!</f>
        <v>#REF!</v>
      </c>
      <c r="G61" s="221" t="e">
        <f>#REF!</f>
        <v>#REF!</v>
      </c>
      <c r="H61" s="221" t="e">
        <f>#REF!</f>
        <v>#REF!</v>
      </c>
      <c r="I61" s="221" t="e">
        <f>IF(#REF!="60세이상",0,#REF!)</f>
        <v>#REF!</v>
      </c>
      <c r="J61" s="221" t="e">
        <f>#REF!+#REF!</f>
        <v>#REF!</v>
      </c>
      <c r="K61" s="221" t="e">
        <f>IF(#REF!="65세이상",0,#REF!)</f>
        <v>#REF!</v>
      </c>
      <c r="L61" s="222" t="e">
        <f>#REF!&amp;"일"</f>
        <v>#REF!</v>
      </c>
      <c r="M61" s="221" t="e">
        <f>#REF!&amp;"원"</f>
        <v>#REF!</v>
      </c>
    </row>
    <row r="62" spans="1:13" ht="16.5" customHeight="1">
      <c r="A62" s="217" t="e">
        <f>#REF!</f>
        <v>#REF!</v>
      </c>
      <c r="B62" s="217" t="e">
        <f>#REF!</f>
        <v>#REF!</v>
      </c>
      <c r="C62" s="217" t="e">
        <f>LEFT(#REF!,6)</f>
        <v>#REF!</v>
      </c>
      <c r="D62" s="211" t="s">
        <v>632</v>
      </c>
      <c r="E62" s="221" t="s">
        <v>631</v>
      </c>
      <c r="F62" s="221" t="e">
        <f>#REF!</f>
        <v>#REF!</v>
      </c>
      <c r="G62" s="221" t="e">
        <f>#REF!</f>
        <v>#REF!</v>
      </c>
      <c r="H62" s="221" t="e">
        <f>#REF!</f>
        <v>#REF!</v>
      </c>
      <c r="I62" s="221" t="e">
        <f>IF(#REF!="60세이상",0,#REF!)</f>
        <v>#REF!</v>
      </c>
      <c r="J62" s="221" t="e">
        <f>#REF!+#REF!</f>
        <v>#REF!</v>
      </c>
      <c r="K62" s="221" t="e">
        <f>IF(#REF!="65세이상",0,#REF!)</f>
        <v>#REF!</v>
      </c>
      <c r="L62" s="222" t="e">
        <f>#REF!&amp;"일"</f>
        <v>#REF!</v>
      </c>
      <c r="M62" s="221" t="e">
        <f>#REF!&amp;"원"</f>
        <v>#REF!</v>
      </c>
    </row>
    <row r="63" spans="1:13" ht="16.5" customHeight="1">
      <c r="A63" s="217" t="e">
        <f>#REF!</f>
        <v>#REF!</v>
      </c>
      <c r="B63" s="217" t="e">
        <f>#REF!</f>
        <v>#REF!</v>
      </c>
      <c r="C63" s="217" t="e">
        <f>LEFT(#REF!,6)</f>
        <v>#REF!</v>
      </c>
      <c r="D63" s="211" t="s">
        <v>632</v>
      </c>
      <c r="E63" s="221" t="s">
        <v>631</v>
      </c>
      <c r="F63" s="221" t="e">
        <f>#REF!</f>
        <v>#REF!</v>
      </c>
      <c r="G63" s="221" t="e">
        <f>#REF!</f>
        <v>#REF!</v>
      </c>
      <c r="H63" s="221" t="e">
        <f>#REF!</f>
        <v>#REF!</v>
      </c>
      <c r="I63" s="221" t="e">
        <f>IF(#REF!="60세이상",0,#REF!)</f>
        <v>#REF!</v>
      </c>
      <c r="J63" s="221" t="e">
        <f>#REF!+#REF!</f>
        <v>#REF!</v>
      </c>
      <c r="K63" s="221" t="e">
        <f>IF(#REF!="65세이상",0,#REF!)</f>
        <v>#REF!</v>
      </c>
      <c r="L63" s="222" t="e">
        <f>#REF!&amp;"일"</f>
        <v>#REF!</v>
      </c>
      <c r="M63" s="221" t="e">
        <f>#REF!&amp;"원"</f>
        <v>#REF!</v>
      </c>
    </row>
    <row r="64" spans="1:13" ht="16.5" customHeight="1">
      <c r="A64" s="217" t="e">
        <f>#REF!</f>
        <v>#REF!</v>
      </c>
      <c r="B64" s="217" t="e">
        <f>#REF!</f>
        <v>#REF!</v>
      </c>
      <c r="C64" s="217" t="e">
        <f>LEFT(#REF!,6)</f>
        <v>#REF!</v>
      </c>
      <c r="D64" s="211" t="s">
        <v>632</v>
      </c>
      <c r="E64" s="221" t="s">
        <v>631</v>
      </c>
      <c r="F64" s="221" t="e">
        <f>#REF!</f>
        <v>#REF!</v>
      </c>
      <c r="G64" s="221" t="e">
        <f>#REF!</f>
        <v>#REF!</v>
      </c>
      <c r="H64" s="221" t="e">
        <f>#REF!</f>
        <v>#REF!</v>
      </c>
      <c r="I64" s="221" t="e">
        <f>IF(#REF!="60세이상",0,#REF!)</f>
        <v>#REF!</v>
      </c>
      <c r="J64" s="221" t="e">
        <f>#REF!+#REF!</f>
        <v>#REF!</v>
      </c>
      <c r="K64" s="221" t="e">
        <f>IF(#REF!="65세이상",0,#REF!)</f>
        <v>#REF!</v>
      </c>
      <c r="L64" s="222" t="e">
        <f>#REF!&amp;"일"</f>
        <v>#REF!</v>
      </c>
      <c r="M64" s="221" t="e">
        <f>#REF!&amp;"원"</f>
        <v>#REF!</v>
      </c>
    </row>
    <row r="65" spans="1:13" ht="16.5" customHeight="1">
      <c r="A65" s="217" t="e">
        <f>#REF!</f>
        <v>#REF!</v>
      </c>
      <c r="B65" s="217" t="e">
        <f>#REF!</f>
        <v>#REF!</v>
      </c>
      <c r="C65" s="217" t="e">
        <f>LEFT(#REF!,6)</f>
        <v>#REF!</v>
      </c>
      <c r="D65" s="211" t="s">
        <v>632</v>
      </c>
      <c r="E65" s="221" t="s">
        <v>631</v>
      </c>
      <c r="F65" s="221" t="e">
        <f>#REF!</f>
        <v>#REF!</v>
      </c>
      <c r="G65" s="221" t="e">
        <f>#REF!</f>
        <v>#REF!</v>
      </c>
      <c r="H65" s="221" t="e">
        <f>#REF!</f>
        <v>#REF!</v>
      </c>
      <c r="I65" s="221" t="e">
        <f>IF(#REF!="60세이상",0,#REF!)</f>
        <v>#REF!</v>
      </c>
      <c r="J65" s="221" t="e">
        <f>#REF!+#REF!</f>
        <v>#REF!</v>
      </c>
      <c r="K65" s="221" t="e">
        <f>IF(#REF!="65세이상",0,#REF!)</f>
        <v>#REF!</v>
      </c>
      <c r="L65" s="222" t="e">
        <f>#REF!&amp;"일"</f>
        <v>#REF!</v>
      </c>
      <c r="M65" s="221" t="e">
        <f>#REF!&amp;"원"</f>
        <v>#REF!</v>
      </c>
    </row>
    <row r="66" spans="1:13" ht="16.5" customHeight="1">
      <c r="A66" s="217" t="e">
        <f>#REF!</f>
        <v>#REF!</v>
      </c>
      <c r="B66" s="217" t="e">
        <f>#REF!</f>
        <v>#REF!</v>
      </c>
      <c r="C66" s="217" t="e">
        <f>LEFT(#REF!,6)</f>
        <v>#REF!</v>
      </c>
      <c r="D66" s="211" t="s">
        <v>632</v>
      </c>
      <c r="E66" s="221" t="s">
        <v>631</v>
      </c>
      <c r="F66" s="221" t="e">
        <f>#REF!</f>
        <v>#REF!</v>
      </c>
      <c r="G66" s="221" t="e">
        <f>#REF!</f>
        <v>#REF!</v>
      </c>
      <c r="H66" s="221" t="e">
        <f>#REF!</f>
        <v>#REF!</v>
      </c>
      <c r="I66" s="221" t="e">
        <f>IF(#REF!="60세이상",0,#REF!)</f>
        <v>#REF!</v>
      </c>
      <c r="J66" s="221" t="e">
        <f>#REF!+#REF!</f>
        <v>#REF!</v>
      </c>
      <c r="K66" s="221" t="e">
        <f>IF(#REF!="65세이상",0,#REF!)</f>
        <v>#REF!</v>
      </c>
      <c r="L66" s="222" t="e">
        <f>#REF!&amp;"일"</f>
        <v>#REF!</v>
      </c>
      <c r="M66" s="221" t="e">
        <f>#REF!&amp;"원"</f>
        <v>#REF!</v>
      </c>
    </row>
    <row r="67" spans="1:13" ht="16.5" customHeight="1">
      <c r="A67" s="217" t="e">
        <f>#REF!</f>
        <v>#REF!</v>
      </c>
      <c r="B67" s="217" t="e">
        <f>#REF!</f>
        <v>#REF!</v>
      </c>
      <c r="C67" s="217" t="e">
        <f>LEFT(#REF!,6)</f>
        <v>#REF!</v>
      </c>
      <c r="D67" s="211" t="s">
        <v>632</v>
      </c>
      <c r="E67" s="221" t="s">
        <v>631</v>
      </c>
      <c r="F67" s="221" t="e">
        <f>#REF!</f>
        <v>#REF!</v>
      </c>
      <c r="G67" s="221" t="e">
        <f>#REF!</f>
        <v>#REF!</v>
      </c>
      <c r="H67" s="221" t="e">
        <f>#REF!</f>
        <v>#REF!</v>
      </c>
      <c r="I67" s="221" t="e">
        <f>IF(#REF!="60세이상",0,#REF!)</f>
        <v>#REF!</v>
      </c>
      <c r="J67" s="221" t="e">
        <f>#REF!+#REF!</f>
        <v>#REF!</v>
      </c>
      <c r="K67" s="221" t="e">
        <f>IF(#REF!="65세이상",0,#REF!)</f>
        <v>#REF!</v>
      </c>
      <c r="L67" s="222" t="e">
        <f>#REF!&amp;"일"</f>
        <v>#REF!</v>
      </c>
      <c r="M67" s="221" t="e">
        <f>#REF!&amp;"원"</f>
        <v>#REF!</v>
      </c>
    </row>
    <row r="68" spans="1:13" ht="16.5" customHeight="1">
      <c r="A68" s="217" t="e">
        <f>#REF!</f>
        <v>#REF!</v>
      </c>
      <c r="B68" s="217" t="e">
        <f>#REF!</f>
        <v>#REF!</v>
      </c>
      <c r="C68" s="217" t="e">
        <f>LEFT(#REF!,6)</f>
        <v>#REF!</v>
      </c>
      <c r="D68" s="211" t="s">
        <v>632</v>
      </c>
      <c r="E68" s="221" t="s">
        <v>631</v>
      </c>
      <c r="F68" s="221" t="e">
        <f>#REF!</f>
        <v>#REF!</v>
      </c>
      <c r="G68" s="221" t="e">
        <f>#REF!</f>
        <v>#REF!</v>
      </c>
      <c r="H68" s="221" t="e">
        <f>#REF!</f>
        <v>#REF!</v>
      </c>
      <c r="I68" s="221" t="e">
        <f>IF(#REF!="60세이상",0,#REF!)</f>
        <v>#REF!</v>
      </c>
      <c r="J68" s="221" t="e">
        <f>#REF!+#REF!</f>
        <v>#REF!</v>
      </c>
      <c r="K68" s="221" t="e">
        <f>IF(#REF!="65세이상",0,#REF!)</f>
        <v>#REF!</v>
      </c>
      <c r="L68" s="222" t="e">
        <f>#REF!&amp;"일"</f>
        <v>#REF!</v>
      </c>
      <c r="M68" s="221" t="e">
        <f>#REF!&amp;"원"</f>
        <v>#REF!</v>
      </c>
    </row>
    <row r="69" spans="1:13" ht="16.5" customHeight="1">
      <c r="A69" s="217" t="e">
        <f>#REF!</f>
        <v>#REF!</v>
      </c>
      <c r="B69" s="217" t="e">
        <f>#REF!</f>
        <v>#REF!</v>
      </c>
      <c r="C69" s="217" t="e">
        <f>LEFT(#REF!,6)</f>
        <v>#REF!</v>
      </c>
      <c r="D69" s="211" t="s">
        <v>632</v>
      </c>
      <c r="E69" s="221" t="s">
        <v>631</v>
      </c>
      <c r="F69" s="221" t="e">
        <f>#REF!</f>
        <v>#REF!</v>
      </c>
      <c r="G69" s="221" t="e">
        <f>#REF!</f>
        <v>#REF!</v>
      </c>
      <c r="H69" s="221" t="e">
        <f>#REF!</f>
        <v>#REF!</v>
      </c>
      <c r="I69" s="221" t="e">
        <f>IF(#REF!="60세이상",0,#REF!)</f>
        <v>#REF!</v>
      </c>
      <c r="J69" s="221" t="e">
        <f>#REF!+#REF!</f>
        <v>#REF!</v>
      </c>
      <c r="K69" s="221" t="e">
        <f>IF(#REF!="65세이상",0,#REF!)</f>
        <v>#REF!</v>
      </c>
      <c r="L69" s="222" t="e">
        <f>#REF!&amp;"일"</f>
        <v>#REF!</v>
      </c>
      <c r="M69" s="221" t="e">
        <f>#REF!&amp;"원"</f>
        <v>#REF!</v>
      </c>
    </row>
    <row r="70" spans="1:13" ht="16.5" customHeight="1">
      <c r="A70" s="217" t="e">
        <f>#REF!</f>
        <v>#REF!</v>
      </c>
      <c r="B70" s="217" t="e">
        <f>#REF!</f>
        <v>#REF!</v>
      </c>
      <c r="C70" s="217" t="e">
        <f>LEFT(#REF!,6)</f>
        <v>#REF!</v>
      </c>
      <c r="D70" s="211" t="s">
        <v>632</v>
      </c>
      <c r="E70" s="221" t="s">
        <v>631</v>
      </c>
      <c r="F70" s="221" t="e">
        <f>#REF!</f>
        <v>#REF!</v>
      </c>
      <c r="G70" s="221" t="e">
        <f>#REF!</f>
        <v>#REF!</v>
      </c>
      <c r="H70" s="221" t="e">
        <f>#REF!</f>
        <v>#REF!</v>
      </c>
      <c r="I70" s="221" t="e">
        <f>IF(#REF!="60세이상",0,#REF!)</f>
        <v>#REF!</v>
      </c>
      <c r="J70" s="221" t="e">
        <f>#REF!+#REF!</f>
        <v>#REF!</v>
      </c>
      <c r="K70" s="221" t="e">
        <f>IF(#REF!="65세이상",0,#REF!)</f>
        <v>#REF!</v>
      </c>
      <c r="L70" s="222" t="e">
        <f>#REF!&amp;"일"</f>
        <v>#REF!</v>
      </c>
      <c r="M70" s="221" t="e">
        <f>#REF!&amp;"원"</f>
        <v>#REF!</v>
      </c>
    </row>
    <row r="71" spans="1:13" ht="16.5" customHeight="1">
      <c r="A71" s="217" t="e">
        <f>#REF!</f>
        <v>#REF!</v>
      </c>
      <c r="B71" s="217" t="e">
        <f>#REF!</f>
        <v>#REF!</v>
      </c>
      <c r="C71" s="217" t="e">
        <f>LEFT(#REF!,6)</f>
        <v>#REF!</v>
      </c>
      <c r="D71" s="211" t="s">
        <v>632</v>
      </c>
      <c r="E71" s="221" t="s">
        <v>631</v>
      </c>
      <c r="F71" s="221" t="e">
        <f>#REF!</f>
        <v>#REF!</v>
      </c>
      <c r="G71" s="221" t="e">
        <f>#REF!</f>
        <v>#REF!</v>
      </c>
      <c r="H71" s="221" t="e">
        <f>#REF!</f>
        <v>#REF!</v>
      </c>
      <c r="I71" s="221" t="e">
        <f>IF(#REF!="60세이상",0,#REF!)</f>
        <v>#REF!</v>
      </c>
      <c r="J71" s="221" t="e">
        <f>#REF!+#REF!</f>
        <v>#REF!</v>
      </c>
      <c r="K71" s="221" t="e">
        <f>IF(#REF!="65세이상",0,#REF!)</f>
        <v>#REF!</v>
      </c>
      <c r="L71" s="222" t="e">
        <f>#REF!&amp;"일"</f>
        <v>#REF!</v>
      </c>
      <c r="M71" s="221" t="e">
        <f>#REF!&amp;"원"</f>
        <v>#REF!</v>
      </c>
    </row>
    <row r="72" spans="1:13" ht="16.5" customHeight="1">
      <c r="A72" s="217" t="e">
        <f>#REF!</f>
        <v>#REF!</v>
      </c>
      <c r="B72" s="217" t="e">
        <f>#REF!</f>
        <v>#REF!</v>
      </c>
      <c r="C72" s="217" t="e">
        <f>LEFT(#REF!,6)</f>
        <v>#REF!</v>
      </c>
      <c r="D72" s="211" t="s">
        <v>632</v>
      </c>
      <c r="E72" s="221" t="s">
        <v>631</v>
      </c>
      <c r="F72" s="221" t="e">
        <f>#REF!</f>
        <v>#REF!</v>
      </c>
      <c r="G72" s="221" t="e">
        <f>#REF!</f>
        <v>#REF!</v>
      </c>
      <c r="H72" s="221" t="e">
        <f>#REF!</f>
        <v>#REF!</v>
      </c>
      <c r="I72" s="221" t="e">
        <f>IF(#REF!="60세이상",0,#REF!)</f>
        <v>#REF!</v>
      </c>
      <c r="J72" s="221" t="e">
        <f>#REF!+#REF!</f>
        <v>#REF!</v>
      </c>
      <c r="K72" s="221" t="e">
        <f>IF(#REF!="65세이상",0,#REF!)</f>
        <v>#REF!</v>
      </c>
      <c r="L72" s="222" t="e">
        <f>#REF!&amp;"일"</f>
        <v>#REF!</v>
      </c>
      <c r="M72" s="221" t="e">
        <f>#REF!&amp;"원"</f>
        <v>#REF!</v>
      </c>
    </row>
    <row r="73" spans="1:13" ht="16.5" customHeight="1">
      <c r="A73" s="217" t="e">
        <f>#REF!</f>
        <v>#REF!</v>
      </c>
      <c r="B73" s="217" t="e">
        <f>#REF!</f>
        <v>#REF!</v>
      </c>
      <c r="C73" s="217" t="e">
        <f>LEFT(#REF!,6)</f>
        <v>#REF!</v>
      </c>
      <c r="D73" s="211" t="s">
        <v>632</v>
      </c>
      <c r="E73" s="221" t="s">
        <v>631</v>
      </c>
      <c r="F73" s="221" t="e">
        <f>#REF!</f>
        <v>#REF!</v>
      </c>
      <c r="G73" s="221" t="e">
        <f>#REF!</f>
        <v>#REF!</v>
      </c>
      <c r="H73" s="221" t="e">
        <f>#REF!</f>
        <v>#REF!</v>
      </c>
      <c r="I73" s="221" t="e">
        <f>IF(#REF!="60세이상",0,#REF!)</f>
        <v>#REF!</v>
      </c>
      <c r="J73" s="221" t="e">
        <f>#REF!+#REF!</f>
        <v>#REF!</v>
      </c>
      <c r="K73" s="221" t="e">
        <f>IF(#REF!="65세이상",0,#REF!)</f>
        <v>#REF!</v>
      </c>
      <c r="L73" s="222" t="e">
        <f>#REF!&amp;"일"</f>
        <v>#REF!</v>
      </c>
      <c r="M73" s="221" t="e">
        <f>#REF!&amp;"원"</f>
        <v>#REF!</v>
      </c>
    </row>
    <row r="74" spans="1:13" ht="16.5" customHeight="1">
      <c r="A74" s="217" t="e">
        <f>#REF!</f>
        <v>#REF!</v>
      </c>
      <c r="B74" s="217" t="e">
        <f>#REF!</f>
        <v>#REF!</v>
      </c>
      <c r="C74" s="217" t="e">
        <f>LEFT(#REF!,6)</f>
        <v>#REF!</v>
      </c>
      <c r="D74" s="211" t="s">
        <v>632</v>
      </c>
      <c r="E74" s="221" t="s">
        <v>631</v>
      </c>
      <c r="F74" s="221" t="e">
        <f>#REF!</f>
        <v>#REF!</v>
      </c>
      <c r="G74" s="221" t="e">
        <f>#REF!</f>
        <v>#REF!</v>
      </c>
      <c r="H74" s="221" t="e">
        <f>#REF!</f>
        <v>#REF!</v>
      </c>
      <c r="I74" s="221" t="e">
        <f>IF(#REF!="60세이상",0,#REF!)</f>
        <v>#REF!</v>
      </c>
      <c r="J74" s="221" t="e">
        <f>#REF!+#REF!</f>
        <v>#REF!</v>
      </c>
      <c r="K74" s="221" t="e">
        <f>IF(#REF!="65세이상",0,#REF!)</f>
        <v>#REF!</v>
      </c>
      <c r="L74" s="222" t="e">
        <f>#REF!&amp;"일"</f>
        <v>#REF!</v>
      </c>
      <c r="M74" s="221" t="e">
        <f>#REF!&amp;"원"</f>
        <v>#REF!</v>
      </c>
    </row>
    <row r="75" spans="1:13" ht="16.5" customHeight="1">
      <c r="A75" s="217" t="e">
        <f>#REF!</f>
        <v>#REF!</v>
      </c>
      <c r="B75" s="217" t="e">
        <f>#REF!</f>
        <v>#REF!</v>
      </c>
      <c r="C75" s="217" t="e">
        <f>LEFT(#REF!,6)</f>
        <v>#REF!</v>
      </c>
      <c r="D75" s="211" t="s">
        <v>632</v>
      </c>
      <c r="E75" s="221" t="s">
        <v>631</v>
      </c>
      <c r="F75" s="221" t="e">
        <f>#REF!</f>
        <v>#REF!</v>
      </c>
      <c r="G75" s="221" t="e">
        <f>#REF!</f>
        <v>#REF!</v>
      </c>
      <c r="H75" s="221" t="e">
        <f>#REF!</f>
        <v>#REF!</v>
      </c>
      <c r="I75" s="221" t="e">
        <f>IF(#REF!="60세이상",0,#REF!)</f>
        <v>#REF!</v>
      </c>
      <c r="J75" s="221" t="e">
        <f>#REF!+#REF!</f>
        <v>#REF!</v>
      </c>
      <c r="K75" s="221" t="e">
        <f>IF(#REF!="65세이상",0,#REF!)</f>
        <v>#REF!</v>
      </c>
      <c r="L75" s="222" t="e">
        <f>#REF!&amp;"일"</f>
        <v>#REF!</v>
      </c>
      <c r="M75" s="221" t="e">
        <f>#REF!&amp;"원"</f>
        <v>#REF!</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16</vt:i4>
      </vt:variant>
      <vt:variant>
        <vt:lpstr>이름 지정된 범위</vt:lpstr>
      </vt:variant>
      <vt:variant>
        <vt:i4>8</vt:i4>
      </vt:variant>
    </vt:vector>
  </HeadingPairs>
  <TitlesOfParts>
    <vt:vector size="24" baseType="lpstr">
      <vt:lpstr>★확인요망★</vt:lpstr>
      <vt:lpstr>요율</vt:lpstr>
      <vt:lpstr>청구서</vt:lpstr>
      <vt:lpstr>집계표</vt:lpstr>
      <vt:lpstr>내역서</vt:lpstr>
      <vt:lpstr>주소록</vt:lpstr>
      <vt:lpstr>위임장</vt:lpstr>
      <vt:lpstr>4월</vt:lpstr>
      <vt:lpstr>계</vt:lpstr>
      <vt:lpstr>각서</vt:lpstr>
      <vt:lpstr>계좌입금의뢰신고서</vt:lpstr>
      <vt:lpstr>★근로내역</vt:lpstr>
      <vt:lpstr>★퇴직공제</vt:lpstr>
      <vt:lpstr>★하도급지킴이</vt:lpstr>
      <vt:lpstr>근로계약서</vt:lpstr>
      <vt:lpstr>급여</vt:lpstr>
      <vt:lpstr>'4월'!Print_Area</vt:lpstr>
      <vt:lpstr>각서!Print_Area</vt:lpstr>
      <vt:lpstr>계좌입금의뢰신고서!Print_Area</vt:lpstr>
      <vt:lpstr>근로계약서!Print_Area</vt:lpstr>
      <vt:lpstr>내역서!Print_Area</vt:lpstr>
      <vt:lpstr>위임장!Print_Area</vt:lpstr>
      <vt:lpstr>집계표!Print_Area</vt:lpstr>
      <vt:lpstr>청구서!Print_Area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Jeonghun Lee</cp:lastModifiedBy>
  <cp:lastPrinted>2026-05-04T06:42:35Z</cp:lastPrinted>
  <dcterms:created xsi:type="dcterms:W3CDTF">2019-01-28T03:57:02Z</dcterms:created>
  <dcterms:modified xsi:type="dcterms:W3CDTF">2026-05-20T03:02:16Z</dcterms:modified>
  <cp:contentStatus/>
</cp:coreProperties>
</file>