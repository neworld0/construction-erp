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mmo\회사\ERP_Development\참고자료\"/>
    </mc:Choice>
  </mc:AlternateContent>
  <xr:revisionPtr revIDLastSave="0" documentId="13_ncr:1_{50DB9491-4CCE-46CC-B1C6-7886AC29CFAD}" xr6:coauthVersionLast="47" xr6:coauthVersionMax="47" xr10:uidLastSave="{00000000-0000-0000-0000-000000000000}"/>
  <bookViews>
    <workbookView xWindow="-120" yWindow="-120" windowWidth="29040" windowHeight="15720" firstSheet="1" activeTab="4" xr2:uid="{907250F9-0ED8-426C-AABB-C1FFAFE0EAD9}"/>
  </bookViews>
  <sheets>
    <sheet name="표지" sheetId="1" state="hidden" r:id="rId1"/>
    <sheet name="갑지(도급)" sheetId="2" r:id="rId2"/>
    <sheet name="원가계산서" sheetId="3" state="hidden" r:id="rId3"/>
    <sheet name="내역서총괄표(도급)" sheetId="4" r:id="rId4"/>
    <sheet name="도급계약내역서" sheetId="5" r:id="rId5"/>
    <sheet name="제경비산출서(전체)" sheetId="16" r:id="rId6"/>
    <sheet name="적용제경비산출서" sheetId="17" r:id="rId7"/>
    <sheet name="설계내역서" sheetId="15" r:id="rId8"/>
    <sheet name="일위대가총괄표" sheetId="6" r:id="rId9"/>
    <sheet name="일위대가" sheetId="7" r:id="rId10"/>
    <sheet name="단가산출총괄표" sheetId="8" state="hidden" r:id="rId11"/>
    <sheet name="단가산출" sheetId="9" state="hidden" r:id="rId12"/>
    <sheet name="기계경비총괄표" sheetId="10" state="hidden" r:id="rId13"/>
    <sheet name="기계경비" sheetId="11" state="hidden" r:id="rId14"/>
    <sheet name="기계경비적용기준" sheetId="12" state="hidden" r:id="rId15"/>
    <sheet name="자재단가" sheetId="13" state="hidden" r:id="rId16"/>
    <sheet name="노임단가" sheetId="14" state="hidden" r:id="rId17"/>
  </sheets>
  <definedNames>
    <definedName name="_xlnm.Print_Area" localSheetId="13">기계경비!$B$1:$AD$117</definedName>
    <definedName name="_xlnm.Print_Area" localSheetId="12">기계경비총괄표!$B$1:$I$22</definedName>
    <definedName name="_xlnm.Print_Area" localSheetId="3">'내역서총괄표(도급)'!$A$1:$J$28</definedName>
    <definedName name="_xlnm.Print_Area" localSheetId="16">노임단가!$B$1:$G$33</definedName>
    <definedName name="_xlnm.Print_Area" localSheetId="11">단가산출!$B$2:$DA$538</definedName>
    <definedName name="_xlnm.Print_Area" localSheetId="10">단가산출총괄표!$B$1:$J$13</definedName>
    <definedName name="_xlnm.Print_Area" localSheetId="4">도급계약내역서!$A$1:$N$215</definedName>
    <definedName name="_xlnm.Print_Area" localSheetId="7">설계내역서!$B$2:$O$236</definedName>
    <definedName name="_xlnm.Print_Area" localSheetId="2">원가계산서!$B$1:$H$34</definedName>
    <definedName name="_xlnm.Print_Area" localSheetId="9">일위대가!$B$2:$O$207</definedName>
    <definedName name="_xlnm.Print_Area" localSheetId="8">일위대가총괄표!$B$1:$J$36</definedName>
    <definedName name="_xlnm.Print_Area" localSheetId="15">자재단가!$B$2:$S$36</definedName>
    <definedName name="_xlnm.Print_Area" localSheetId="6">적용제경비산출서!$A$1:$N$24</definedName>
    <definedName name="_xlnm.Print_Area" localSheetId="5">'제경비산출서(전체)'!$A$1:$O$24</definedName>
    <definedName name="_xlnm.Print_Titles" localSheetId="13">기계경비!$1:$3</definedName>
    <definedName name="_xlnm.Print_Titles" localSheetId="12">기계경비총괄표!$1:$3</definedName>
    <definedName name="_xlnm.Print_Titles" localSheetId="3">'내역서총괄표(도급)'!$1:$3</definedName>
    <definedName name="_xlnm.Print_Titles" localSheetId="16">노임단가!$1:$3</definedName>
    <definedName name="_xlnm.Print_Titles" localSheetId="11">단가산출!$1:$3</definedName>
    <definedName name="_xlnm.Print_Titles" localSheetId="10">단가산출총괄표!$1:$3</definedName>
    <definedName name="_xlnm.Print_Titles" localSheetId="4">도급계약내역서!$1:$4</definedName>
    <definedName name="_xlnm.Print_Titles" localSheetId="7">설계내역서!$1:$4</definedName>
    <definedName name="_xlnm.Print_Titles" localSheetId="2">원가계산서!$1:$3</definedName>
    <definedName name="_xlnm.Print_Titles" localSheetId="9">일위대가!$1:$4</definedName>
    <definedName name="_xlnm.Print_Titles" localSheetId="8">일위대가총괄표!$1:$3</definedName>
    <definedName name="_xlnm.Print_Titles" localSheetId="15">자재단가!$1:$4</definedName>
  </definedNames>
  <calcPr calcId="191029"/>
</workbook>
</file>

<file path=xl/calcChain.xml><?xml version="1.0" encoding="utf-8"?>
<calcChain xmlns="http://schemas.openxmlformats.org/spreadsheetml/2006/main">
  <c r="AC5" i="11" l="1"/>
  <c r="AC4" i="11" s="1"/>
  <c r="I4" i="10" s="1"/>
  <c r="P38" i="9" s="1"/>
  <c r="I8" i="11"/>
  <c r="AC11" i="11"/>
  <c r="AC12" i="11"/>
  <c r="Z12" i="11" s="1"/>
  <c r="I15" i="11"/>
  <c r="AC18" i="11"/>
  <c r="Z18" i="11" s="1"/>
  <c r="I21" i="11"/>
  <c r="AA21" i="11"/>
  <c r="AC24" i="11"/>
  <c r="AC23" i="11" s="1"/>
  <c r="I7" i="10" s="1"/>
  <c r="P59" i="9" s="1"/>
  <c r="Z24" i="11"/>
  <c r="I27" i="11"/>
  <c r="AC30" i="11"/>
  <c r="Z30" i="11" s="1"/>
  <c r="AC29" i="11"/>
  <c r="I8" i="10" s="1"/>
  <c r="P66" i="9" s="1"/>
  <c r="I33" i="11"/>
  <c r="AC36" i="11"/>
  <c r="I39" i="11"/>
  <c r="AC42" i="11"/>
  <c r="I45" i="11"/>
  <c r="AC48" i="11"/>
  <c r="AC47" i="11"/>
  <c r="I11" i="10" s="1"/>
  <c r="P445" i="9" s="1"/>
  <c r="I51" i="11"/>
  <c r="AC54" i="11"/>
  <c r="Z54" i="11" s="1"/>
  <c r="I57" i="11"/>
  <c r="AC60" i="11"/>
  <c r="AC59" i="11"/>
  <c r="I13" i="10"/>
  <c r="Z60" i="11"/>
  <c r="I63" i="11"/>
  <c r="AC66" i="11"/>
  <c r="AC65" i="11"/>
  <c r="I14" i="10" s="1"/>
  <c r="Q161" i="9" s="1"/>
  <c r="AL161" i="9" s="1"/>
  <c r="DA162" i="9" s="1"/>
  <c r="I69" i="11"/>
  <c r="AC72" i="11"/>
  <c r="AC71" i="11" s="1"/>
  <c r="I15" i="10" s="1"/>
  <c r="P321" i="9" s="1"/>
  <c r="AT321" i="9" s="1"/>
  <c r="DA322" i="9" s="1"/>
  <c r="Q352" i="9" s="1"/>
  <c r="I75" i="11"/>
  <c r="AA75" i="11"/>
  <c r="Z78" i="11"/>
  <c r="AC78" i="11"/>
  <c r="AC77" i="11"/>
  <c r="I81" i="11"/>
  <c r="AC84" i="11"/>
  <c r="AC83" i="11" s="1"/>
  <c r="I17" i="10" s="1"/>
  <c r="P432" i="9" s="1"/>
  <c r="AJ432" i="9" s="1"/>
  <c r="DA433" i="9" s="1"/>
  <c r="I87" i="11"/>
  <c r="AB89" i="11"/>
  <c r="H18" i="10"/>
  <c r="AC90" i="11"/>
  <c r="Z90" i="11" s="1"/>
  <c r="AC94" i="11"/>
  <c r="AC93" i="11" s="1"/>
  <c r="I19" i="10" s="1"/>
  <c r="AB95" i="11"/>
  <c r="I97" i="11"/>
  <c r="AC100" i="11"/>
  <c r="I103" i="11"/>
  <c r="I104" i="11"/>
  <c r="AC107" i="11"/>
  <c r="I110" i="11"/>
  <c r="Z113" i="11"/>
  <c r="AC113" i="11"/>
  <c r="AC112" i="11"/>
  <c r="I22" i="10" s="1"/>
  <c r="I116" i="11"/>
  <c r="E21" i="12"/>
  <c r="E22" i="12"/>
  <c r="E23" i="12"/>
  <c r="E24" i="12"/>
  <c r="E25" i="12"/>
  <c r="I16" i="10"/>
  <c r="P417" i="9" s="1"/>
  <c r="Z15" i="9"/>
  <c r="BZ22" i="9" s="1"/>
  <c r="AH16" i="9"/>
  <c r="AW16" i="9" s="1"/>
  <c r="T20" i="9"/>
  <c r="BD20" i="9"/>
  <c r="AG20" i="9"/>
  <c r="AP20" i="9"/>
  <c r="BT20" i="9" s="1"/>
  <c r="T22" i="9"/>
  <c r="BC22" i="9" s="1"/>
  <c r="AG22" i="9"/>
  <c r="BN22" i="9" s="1"/>
  <c r="AP22" i="9"/>
  <c r="BS22" i="9" s="1"/>
  <c r="AQ30" i="9"/>
  <c r="BA30" i="9"/>
  <c r="AK36" i="9"/>
  <c r="AR36" i="9"/>
  <c r="AK37" i="9"/>
  <c r="AK38" i="9"/>
  <c r="AK43" i="9"/>
  <c r="AJ50" i="9"/>
  <c r="AQ50" i="9"/>
  <c r="AJ51" i="9"/>
  <c r="AJ52" i="9"/>
  <c r="AK57" i="9"/>
  <c r="AK64" i="9"/>
  <c r="AK71" i="9"/>
  <c r="AK78" i="9"/>
  <c r="AK85" i="9"/>
  <c r="AK92" i="9"/>
  <c r="AD116" i="9"/>
  <c r="BM120" i="9"/>
  <c r="AP122" i="9"/>
  <c r="BA124" i="9"/>
  <c r="AO126" i="9"/>
  <c r="T132" i="9"/>
  <c r="AS132" i="9"/>
  <c r="AG132" i="9"/>
  <c r="BD132" i="9" s="1"/>
  <c r="U134" i="9"/>
  <c r="AU134" i="9"/>
  <c r="AH134" i="9"/>
  <c r="BF134" i="9"/>
  <c r="BK134" i="9"/>
  <c r="U140" i="9"/>
  <c r="T144" i="9"/>
  <c r="Q150" i="9"/>
  <c r="AD150" i="9" s="1"/>
  <c r="Q154" i="9"/>
  <c r="AD183" i="9"/>
  <c r="W217" i="9" s="1"/>
  <c r="BM187" i="9"/>
  <c r="AP189" i="9"/>
  <c r="BB191" i="9"/>
  <c r="AO193" i="9"/>
  <c r="T199" i="9"/>
  <c r="AG199" i="9"/>
  <c r="BD199" i="9"/>
  <c r="U201" i="9"/>
  <c r="AH201" i="9"/>
  <c r="BF201" i="9"/>
  <c r="BK201" i="9"/>
  <c r="U207" i="9"/>
  <c r="T211" i="9"/>
  <c r="Q217" i="9"/>
  <c r="AD217" i="9" s="1"/>
  <c r="Q221" i="9"/>
  <c r="Y251" i="9"/>
  <c r="BM255" i="9"/>
  <c r="AP257" i="9"/>
  <c r="BB259" i="9"/>
  <c r="AO261" i="9"/>
  <c r="T267" i="9"/>
  <c r="AS267" i="9"/>
  <c r="AG267" i="9"/>
  <c r="BD267" i="9" s="1"/>
  <c r="U269" i="9"/>
  <c r="AH269" i="9"/>
  <c r="BF269" i="9"/>
  <c r="U275" i="9"/>
  <c r="T279" i="9"/>
  <c r="Q285" i="9"/>
  <c r="AC285" i="9"/>
  <c r="Q289" i="9"/>
  <c r="Q296" i="9"/>
  <c r="AM296" i="9" s="1"/>
  <c r="DA297" i="9" s="1"/>
  <c r="Y303" i="9" s="1"/>
  <c r="AC319" i="9"/>
  <c r="AE319" i="9"/>
  <c r="AM319" i="9"/>
  <c r="AT319" i="9"/>
  <c r="AA320" i="9"/>
  <c r="AH320" i="9"/>
  <c r="AN320" i="9"/>
  <c r="AA321" i="9"/>
  <c r="AH321" i="9"/>
  <c r="AN321" i="9"/>
  <c r="BB326" i="9"/>
  <c r="BH326" i="9"/>
  <c r="BB328" i="9"/>
  <c r="BH328" i="9"/>
  <c r="BP330" i="9"/>
  <c r="BV330" i="9"/>
  <c r="AG332" i="9"/>
  <c r="AM332" i="9"/>
  <c r="AT334" i="9"/>
  <c r="BB334" i="9"/>
  <c r="AW336" i="9"/>
  <c r="BE336" i="9"/>
  <c r="W341" i="9"/>
  <c r="T346" i="9"/>
  <c r="AG346" i="9"/>
  <c r="AN346" i="9"/>
  <c r="AT346" i="9" s="1"/>
  <c r="CY346" i="9" s="1"/>
  <c r="CX346" i="9" s="1"/>
  <c r="DA355" i="9"/>
  <c r="I9" i="8" s="1"/>
  <c r="BT359" i="9"/>
  <c r="AL361" i="9"/>
  <c r="S367" i="9"/>
  <c r="V378" i="9"/>
  <c r="AL390" i="9"/>
  <c r="BJ417" i="9" s="1"/>
  <c r="AL398" i="9"/>
  <c r="K403" i="9"/>
  <c r="AT405" i="9" s="1"/>
  <c r="Z403" i="9"/>
  <c r="AB411" i="9"/>
  <c r="L405" i="9"/>
  <c r="AH405" i="9"/>
  <c r="AY405" i="9" s="1"/>
  <c r="AK405" i="9"/>
  <c r="L407" i="9"/>
  <c r="AQ409" i="9" s="1"/>
  <c r="AA407" i="9"/>
  <c r="AV409" i="9"/>
  <c r="AG409" i="9"/>
  <c r="K411" i="9"/>
  <c r="AN413" i="9"/>
  <c r="AQ413" i="9"/>
  <c r="AN415" i="9"/>
  <c r="BM415" i="9"/>
  <c r="AR416" i="9"/>
  <c r="BW416" i="9" s="1"/>
  <c r="AN417" i="9"/>
  <c r="BM417" i="9"/>
  <c r="K424" i="9"/>
  <c r="AE426" i="9" s="1"/>
  <c r="Z424" i="9"/>
  <c r="AE428" i="9" s="1"/>
  <c r="S426" i="9"/>
  <c r="AR426" i="9" s="1"/>
  <c r="AL428" i="9" s="1"/>
  <c r="V426" i="9"/>
  <c r="AM426" i="9" s="1"/>
  <c r="L428" i="9"/>
  <c r="AA428" i="9"/>
  <c r="K437" i="9"/>
  <c r="AE439" i="9"/>
  <c r="Z437" i="9"/>
  <c r="AE441" i="9"/>
  <c r="S439" i="9"/>
  <c r="AJ439" i="9"/>
  <c r="V439" i="9"/>
  <c r="AM439" i="9" s="1"/>
  <c r="L441" i="9"/>
  <c r="K450" i="9"/>
  <c r="Z450" i="9"/>
  <c r="AE454" i="9"/>
  <c r="S452" i="9"/>
  <c r="AJ452" i="9"/>
  <c r="V452" i="9"/>
  <c r="AM452" i="9" s="1"/>
  <c r="L454" i="9"/>
  <c r="K479" i="9"/>
  <c r="AC482" i="9" s="1"/>
  <c r="K499" i="9"/>
  <c r="AC502" i="9" s="1"/>
  <c r="AI501" i="9"/>
  <c r="K517" i="9"/>
  <c r="X517" i="9"/>
  <c r="AH517" i="9" s="1"/>
  <c r="AB517" i="9"/>
  <c r="AW517" i="9"/>
  <c r="K519" i="9"/>
  <c r="BG521" i="9"/>
  <c r="Y519" i="9"/>
  <c r="AV523" i="9"/>
  <c r="L521" i="9"/>
  <c r="AI521" i="9" s="1"/>
  <c r="AP521" i="9"/>
  <c r="P527" i="9"/>
  <c r="R5" i="13"/>
  <c r="AF30" i="9" s="1"/>
  <c r="BH30" i="9" s="1"/>
  <c r="CZ30" i="9" s="1"/>
  <c r="Q107" i="9" s="1"/>
  <c r="R6" i="13"/>
  <c r="K7" i="12"/>
  <c r="R7" i="13"/>
  <c r="R8" i="13"/>
  <c r="R9" i="13"/>
  <c r="R10" i="13"/>
  <c r="R11" i="13"/>
  <c r="R12" i="13"/>
  <c r="R13" i="13"/>
  <c r="BB120" i="9" s="1"/>
  <c r="BV120" i="9" s="1"/>
  <c r="R14" i="13"/>
  <c r="R15" i="13"/>
  <c r="AQ259" i="9" s="1"/>
  <c r="BK259" i="9" s="1"/>
  <c r="R16" i="13"/>
  <c r="AD193" i="9" s="1"/>
  <c r="AX193" i="9" s="1"/>
  <c r="R17" i="13"/>
  <c r="AQ326" i="9"/>
  <c r="BO326" i="9" s="1"/>
  <c r="R18" i="13"/>
  <c r="AQ328" i="9" s="1"/>
  <c r="BO328" i="9" s="1"/>
  <c r="R19" i="13"/>
  <c r="BE330" i="9"/>
  <c r="R20" i="13"/>
  <c r="V332" i="9" s="1"/>
  <c r="AT332" i="9" s="1"/>
  <c r="R21" i="13"/>
  <c r="AI334" i="9"/>
  <c r="R22" i="13"/>
  <c r="AL336" i="9" s="1"/>
  <c r="BK336" i="9" s="1"/>
  <c r="R23" i="13"/>
  <c r="BG359" i="9" s="1"/>
  <c r="R24" i="13"/>
  <c r="Z361" i="9" s="1"/>
  <c r="AS361" i="9" s="1"/>
  <c r="R25" i="13"/>
  <c r="R26" i="13"/>
  <c r="R27" i="13"/>
  <c r="R28" i="13"/>
  <c r="R29" i="13"/>
  <c r="R30" i="13"/>
  <c r="R31" i="13"/>
  <c r="R32" i="13"/>
  <c r="R33" i="13"/>
  <c r="R34" i="13"/>
  <c r="R35" i="13"/>
  <c r="R36" i="13"/>
  <c r="J49" i="11"/>
  <c r="AB49" i="11" s="1"/>
  <c r="J73" i="11"/>
  <c r="AB73" i="11"/>
  <c r="Z73" i="11"/>
  <c r="J85" i="11"/>
  <c r="AB85" i="11" s="1"/>
  <c r="J31" i="11"/>
  <c r="AB31" i="11"/>
  <c r="J55" i="11"/>
  <c r="AB55" i="11"/>
  <c r="J79" i="11"/>
  <c r="AB79" i="11" s="1"/>
  <c r="Z79" i="11" s="1"/>
  <c r="J108" i="11"/>
  <c r="AB108" i="11"/>
  <c r="Z108" i="11" s="1"/>
  <c r="J6" i="11"/>
  <c r="AB6" i="11" s="1"/>
  <c r="CX30" i="9"/>
  <c r="AP124" i="9"/>
  <c r="BJ124" i="9" s="1"/>
  <c r="AQ191" i="9"/>
  <c r="BK191" i="9" s="1"/>
  <c r="AE189" i="9"/>
  <c r="AY189" i="9" s="1"/>
  <c r="AE122" i="9"/>
  <c r="AY122" i="9" s="1"/>
  <c r="AE257" i="9"/>
  <c r="AY257" i="9"/>
  <c r="AC503" i="9"/>
  <c r="AA454" i="9"/>
  <c r="AE452" i="9"/>
  <c r="BJ415" i="9"/>
  <c r="X411" i="9"/>
  <c r="BB405" i="9"/>
  <c r="BG405" i="9"/>
  <c r="AL409" i="9" s="1"/>
  <c r="AU269" i="9"/>
  <c r="BT416" i="9"/>
  <c r="AH150" i="9"/>
  <c r="BQ134" i="9"/>
  <c r="CH22" i="9"/>
  <c r="AC41" i="11"/>
  <c r="I10" i="10"/>
  <c r="Q80" i="9"/>
  <c r="Z42" i="11"/>
  <c r="AC10" i="11"/>
  <c r="I5" i="10" s="1"/>
  <c r="P45" i="9" s="1"/>
  <c r="Z11" i="11"/>
  <c r="AA51" i="11"/>
  <c r="AA63" i="11"/>
  <c r="Z63" i="11"/>
  <c r="AA45" i="11"/>
  <c r="Z45" i="11" s="1"/>
  <c r="AA41" i="11"/>
  <c r="G10" i="10" s="1"/>
  <c r="P78" i="9" s="1"/>
  <c r="AA27" i="11"/>
  <c r="AA23" i="11" s="1"/>
  <c r="G7" i="10" s="1"/>
  <c r="AA39" i="11"/>
  <c r="Z39" i="11"/>
  <c r="Z66" i="11"/>
  <c r="AA35" i="11"/>
  <c r="Z35" i="11" s="1"/>
  <c r="J74" i="11"/>
  <c r="AB74" i="11" s="1"/>
  <c r="Z74" i="11" s="1"/>
  <c r="Z6" i="11"/>
  <c r="J56" i="11"/>
  <c r="AB56" i="11"/>
  <c r="Z56" i="11" s="1"/>
  <c r="AA59" i="11"/>
  <c r="G13" i="10" s="1"/>
  <c r="P152" i="9" s="1"/>
  <c r="AL152" i="9" s="1"/>
  <c r="CY155" i="9" s="1"/>
  <c r="Q166" i="9" s="1"/>
  <c r="Z85" i="11"/>
  <c r="J96" i="11"/>
  <c r="AB96" i="11"/>
  <c r="Z95" i="11"/>
  <c r="Z51" i="11"/>
  <c r="AA47" i="11"/>
  <c r="AD261" i="9"/>
  <c r="AX261" i="9" s="1"/>
  <c r="AD126" i="9"/>
  <c r="AX126" i="9" s="1"/>
  <c r="BI267" i="9"/>
  <c r="BK269" i="9"/>
  <c r="BP269" i="9"/>
  <c r="AG285" i="9"/>
  <c r="W285" i="9"/>
  <c r="AB426" i="9"/>
  <c r="AQ405" i="9"/>
  <c r="AB452" i="9"/>
  <c r="AR452" i="9"/>
  <c r="AL454" i="9" s="1"/>
  <c r="AB439" i="9"/>
  <c r="P87" i="9"/>
  <c r="BO20" i="9"/>
  <c r="CJ20" i="9"/>
  <c r="R24" i="9" s="1"/>
  <c r="CY24" i="9" s="1"/>
  <c r="AU521" i="9"/>
  <c r="AT417" i="9"/>
  <c r="AB152" i="9"/>
  <c r="AB153" i="9"/>
  <c r="AB160" i="9"/>
  <c r="AB161" i="9"/>
  <c r="Y168" i="9"/>
  <c r="Z27" i="11"/>
  <c r="Z55" i="11"/>
  <c r="AA441" i="9"/>
  <c r="Z21" i="11"/>
  <c r="AA17" i="11"/>
  <c r="G6" i="10" s="1"/>
  <c r="P50" i="9" s="1"/>
  <c r="J7" i="11"/>
  <c r="AB7" i="11" s="1"/>
  <c r="Z7" i="11"/>
  <c r="BI334" i="9"/>
  <c r="Z75" i="11"/>
  <c r="AA71" i="11"/>
  <c r="J101" i="11"/>
  <c r="AB101" i="11"/>
  <c r="Z36" i="11"/>
  <c r="AC35" i="11"/>
  <c r="I9" i="10"/>
  <c r="P73" i="9" s="1"/>
  <c r="AA110" i="11"/>
  <c r="AA91" i="11"/>
  <c r="AA116" i="11"/>
  <c r="AA112" i="11" s="1"/>
  <c r="AA8" i="11"/>
  <c r="AA69" i="11"/>
  <c r="AA65" i="11" s="1"/>
  <c r="AA103" i="11"/>
  <c r="Z103" i="11" s="1"/>
  <c r="AA57" i="11"/>
  <c r="AA53" i="11" s="1"/>
  <c r="G12" i="10" s="1"/>
  <c r="AA97" i="11"/>
  <c r="Z97" i="11" s="1"/>
  <c r="AA33" i="11"/>
  <c r="AA87" i="11"/>
  <c r="AA15" i="11"/>
  <c r="AA81" i="11"/>
  <c r="AB481" i="9"/>
  <c r="AC483" i="9"/>
  <c r="J61" i="11"/>
  <c r="AB61" i="11" s="1"/>
  <c r="J43" i="11"/>
  <c r="AB43" i="11" s="1"/>
  <c r="J67" i="11"/>
  <c r="AB67" i="11" s="1"/>
  <c r="J13" i="11"/>
  <c r="AB13" i="11"/>
  <c r="J25" i="11"/>
  <c r="AB25" i="11" s="1"/>
  <c r="J37" i="11"/>
  <c r="AB37" i="11" s="1"/>
  <c r="J38" i="11" s="1"/>
  <c r="J19" i="11"/>
  <c r="AB19" i="11"/>
  <c r="J20" i="11" s="1"/>
  <c r="CC330" i="9"/>
  <c r="BN267" i="9"/>
  <c r="J114" i="11"/>
  <c r="AB114" i="11"/>
  <c r="BC409" i="9"/>
  <c r="AX413" i="9" s="1"/>
  <c r="Z107" i="11"/>
  <c r="AC106" i="11"/>
  <c r="I21" i="10" s="1"/>
  <c r="BI199" i="9"/>
  <c r="AH217" i="9"/>
  <c r="AA104" i="11"/>
  <c r="Z104" i="11" s="1"/>
  <c r="BI132" i="9"/>
  <c r="W150" i="9"/>
  <c r="AS199" i="9"/>
  <c r="BO199" i="9"/>
  <c r="AC99" i="11"/>
  <c r="I20" i="10"/>
  <c r="Z100" i="11"/>
  <c r="Z48" i="11"/>
  <c r="Z84" i="11"/>
  <c r="Z5" i="11"/>
  <c r="AA29" i="11"/>
  <c r="Z33" i="11"/>
  <c r="AB20" i="11"/>
  <c r="Z20" i="11" s="1"/>
  <c r="Z19" i="11"/>
  <c r="AB38" i="11"/>
  <c r="AB35" i="11" s="1"/>
  <c r="H9" i="10" s="1"/>
  <c r="P72" i="9" s="1"/>
  <c r="Z38" i="11"/>
  <c r="Z37" i="11"/>
  <c r="Z101" i="11"/>
  <c r="J102" i="11"/>
  <c r="AB102" i="11"/>
  <c r="Z102" i="11"/>
  <c r="G15" i="10"/>
  <c r="AA10" i="11"/>
  <c r="Z15" i="11"/>
  <c r="Z96" i="11"/>
  <c r="AB93" i="11"/>
  <c r="H19" i="10"/>
  <c r="AA83" i="11"/>
  <c r="Z87" i="11"/>
  <c r="P287" i="9"/>
  <c r="AL287" i="9"/>
  <c r="P219" i="9"/>
  <c r="AM219" i="9" s="1"/>
  <c r="Z13" i="11"/>
  <c r="Z57" i="11"/>
  <c r="AA93" i="11"/>
  <c r="AA4" i="11"/>
  <c r="Z8" i="11"/>
  <c r="AB296" i="9"/>
  <c r="AB294" i="9"/>
  <c r="AB288" i="9"/>
  <c r="AB289" i="9"/>
  <c r="AB287" i="9"/>
  <c r="AB295" i="9"/>
  <c r="AN289" i="9"/>
  <c r="DA290" i="9"/>
  <c r="Q303" i="9" s="1"/>
  <c r="Z116" i="11"/>
  <c r="AS428" i="9"/>
  <c r="AB432" i="9" s="1"/>
  <c r="BF413" i="9"/>
  <c r="BN416" i="9" s="1"/>
  <c r="AP411" i="9"/>
  <c r="BD415" i="9" s="1"/>
  <c r="Z25" i="11"/>
  <c r="AQ454" i="9"/>
  <c r="AB227" i="9"/>
  <c r="AB219" i="9"/>
  <c r="AB221" i="9"/>
  <c r="AB220" i="9"/>
  <c r="AB228" i="9"/>
  <c r="AM221" i="9"/>
  <c r="DA222" i="9"/>
  <c r="AB226" i="9"/>
  <c r="Z91" i="11"/>
  <c r="AA89" i="11"/>
  <c r="AB4" i="11"/>
  <c r="H4" i="10" s="1"/>
  <c r="Q37" i="9" s="1"/>
  <c r="Z110" i="11"/>
  <c r="AA106" i="11"/>
  <c r="G11" i="10"/>
  <c r="R271" i="9"/>
  <c r="CY271" i="9" s="1"/>
  <c r="Q235" i="9"/>
  <c r="AB99" i="11"/>
  <c r="H20" i="10"/>
  <c r="G5" i="10"/>
  <c r="P43" i="9" s="1"/>
  <c r="AB17" i="11"/>
  <c r="H6" i="10" s="1"/>
  <c r="CY290" i="9"/>
  <c r="Q301" i="9" s="1"/>
  <c r="P319" i="9"/>
  <c r="AZ319" i="9"/>
  <c r="CY322" i="9" s="1"/>
  <c r="CY222" i="9"/>
  <c r="G14" i="10"/>
  <c r="G8" i="10"/>
  <c r="G21" i="10"/>
  <c r="AB430" i="9"/>
  <c r="G4" i="10"/>
  <c r="Q36" i="9" s="1"/>
  <c r="Q308" i="9"/>
  <c r="F4" i="10"/>
  <c r="P159" i="9"/>
  <c r="AK159" i="9" s="1"/>
  <c r="P294" i="9"/>
  <c r="AL294" i="9" s="1"/>
  <c r="P226" i="9"/>
  <c r="AL226" i="9" s="1"/>
  <c r="P456" i="9"/>
  <c r="AK456" i="9"/>
  <c r="P92" i="9"/>
  <c r="Q233" i="9"/>
  <c r="CY459" i="9"/>
  <c r="AU201" i="9" l="1"/>
  <c r="BQ201" i="9"/>
  <c r="Q465" i="9"/>
  <c r="Q106" i="9"/>
  <c r="AK463" i="9"/>
  <c r="AB59" i="11"/>
  <c r="Z61" i="11"/>
  <c r="J62" i="11"/>
  <c r="AB62" i="11" s="1"/>
  <c r="Z62" i="11" s="1"/>
  <c r="Z43" i="11"/>
  <c r="J44" i="11"/>
  <c r="AB44" i="11" s="1"/>
  <c r="Z44" i="11" s="1"/>
  <c r="R203" i="9"/>
  <c r="AH303" i="9"/>
  <c r="DA304" i="9" s="1"/>
  <c r="Y310" i="9" s="1"/>
  <c r="Z67" i="11"/>
  <c r="J68" i="11"/>
  <c r="AB68" i="11" s="1"/>
  <c r="Z68" i="11" s="1"/>
  <c r="R128" i="9"/>
  <c r="P85" i="9"/>
  <c r="AR85" i="9" s="1"/>
  <c r="Q482" i="9"/>
  <c r="AI482" i="9" s="1"/>
  <c r="CZ484" i="9" s="1"/>
  <c r="Q489" i="9" s="1"/>
  <c r="CZ491" i="9" s="1"/>
  <c r="CZ475" i="9" s="1"/>
  <c r="H11" i="8" s="1"/>
  <c r="Q502" i="9"/>
  <c r="AI502" i="9" s="1"/>
  <c r="CZ504" i="9" s="1"/>
  <c r="Q509" i="9" s="1"/>
  <c r="CZ511" i="9" s="1"/>
  <c r="CZ493" i="9" s="1"/>
  <c r="H12" i="8" s="1"/>
  <c r="CY229" i="9"/>
  <c r="G19" i="10"/>
  <c r="Z93" i="11"/>
  <c r="CY297" i="9"/>
  <c r="CY162" i="9"/>
  <c r="AB458" i="9"/>
  <c r="AB456" i="9"/>
  <c r="AB457" i="9"/>
  <c r="P57" i="9"/>
  <c r="Q51" i="9"/>
  <c r="P338" i="9"/>
  <c r="G22" i="10"/>
  <c r="G9" i="10"/>
  <c r="P443" i="9"/>
  <c r="AL233" i="9"/>
  <c r="G17" i="10"/>
  <c r="AJ426" i="9"/>
  <c r="Z81" i="11"/>
  <c r="AA77" i="11"/>
  <c r="Z4" i="11"/>
  <c r="BA521" i="9"/>
  <c r="BO522" i="9"/>
  <c r="P483" i="9"/>
  <c r="AI483" i="9" s="1"/>
  <c r="DA484" i="9" s="1"/>
  <c r="Q490" i="9" s="1"/>
  <c r="DA491" i="9" s="1"/>
  <c r="DA475" i="9" s="1"/>
  <c r="I11" i="8" s="1"/>
  <c r="P503" i="9"/>
  <c r="AI503" i="9" s="1"/>
  <c r="DA504" i="9" s="1"/>
  <c r="Q510" i="9" s="1"/>
  <c r="DA511" i="9" s="1"/>
  <c r="DA493" i="9" s="1"/>
  <c r="I12" i="8" s="1"/>
  <c r="AB431" i="9"/>
  <c r="CA359" i="9"/>
  <c r="R363" i="9" s="1"/>
  <c r="J86" i="11"/>
  <c r="AB86" i="11" s="1"/>
  <c r="Z86" i="11" s="1"/>
  <c r="AB83" i="11"/>
  <c r="H17" i="10" s="1"/>
  <c r="P431" i="9" s="1"/>
  <c r="AJ431" i="9" s="1"/>
  <c r="CZ433" i="9" s="1"/>
  <c r="BR417" i="9"/>
  <c r="DA418" i="9" s="1"/>
  <c r="G279" i="9"/>
  <c r="J115" i="11"/>
  <c r="AB115" i="11" s="1"/>
  <c r="Z115" i="11" s="1"/>
  <c r="Q350" i="9"/>
  <c r="AB416" i="9"/>
  <c r="AQ37" i="9"/>
  <c r="CZ39" i="9" s="1"/>
  <c r="AB71" i="11"/>
  <c r="AK350" i="9"/>
  <c r="AB415" i="9"/>
  <c r="Z279" i="9"/>
  <c r="DA279" i="9" s="1"/>
  <c r="G18" i="10"/>
  <c r="Z17" i="11"/>
  <c r="BD417" i="9"/>
  <c r="P64" i="9"/>
  <c r="AR64" i="9" s="1"/>
  <c r="AA99" i="11"/>
  <c r="Z49" i="11"/>
  <c r="J50" i="11"/>
  <c r="AB50" i="11" s="1"/>
  <c r="AB417" i="9"/>
  <c r="Z114" i="11"/>
  <c r="Z350" i="9"/>
  <c r="BH416" i="9"/>
  <c r="AR43" i="9"/>
  <c r="J80" i="11"/>
  <c r="AB80" i="11" s="1"/>
  <c r="Z69" i="11"/>
  <c r="J26" i="11"/>
  <c r="AB26" i="11" s="1"/>
  <c r="Z26" i="11" s="1"/>
  <c r="J14" i="11"/>
  <c r="AB14" i="11" s="1"/>
  <c r="Z14" i="11" s="1"/>
  <c r="AB501" i="9"/>
  <c r="AB53" i="11"/>
  <c r="BB255" i="9"/>
  <c r="BV255" i="9" s="1"/>
  <c r="R263" i="9" s="1"/>
  <c r="BB187" i="9"/>
  <c r="BV187" i="9" s="1"/>
  <c r="R195" i="9" s="1"/>
  <c r="J109" i="11"/>
  <c r="AB109" i="11" s="1"/>
  <c r="Z31" i="11"/>
  <c r="J32" i="11"/>
  <c r="AB32" i="11" s="1"/>
  <c r="AH411" i="9"/>
  <c r="AB154" i="9"/>
  <c r="AB159" i="9"/>
  <c r="AL154" i="9"/>
  <c r="DA155" i="9" s="1"/>
  <c r="AG413" i="9"/>
  <c r="AR439" i="9"/>
  <c r="BO132" i="9"/>
  <c r="R136" i="9" s="1"/>
  <c r="Q228" i="9"/>
  <c r="AM228" i="9" s="1"/>
  <c r="DA229" i="9" s="1"/>
  <c r="Y235" i="9" s="1"/>
  <c r="AN16" i="9"/>
  <c r="AC89" i="11"/>
  <c r="I18" i="10" s="1"/>
  <c r="BB16" i="9"/>
  <c r="AX50" i="9" s="1"/>
  <c r="CB20" i="9"/>
  <c r="AC53" i="11"/>
  <c r="I12" i="10" s="1"/>
  <c r="AC17" i="11"/>
  <c r="I6" i="10" s="1"/>
  <c r="Q52" i="9" s="1"/>
  <c r="Z72" i="11"/>
  <c r="Z94" i="11"/>
  <c r="CY53" i="9" l="1"/>
  <c r="AH235" i="9"/>
  <c r="DA236" i="9" s="1"/>
  <c r="Y242" i="9" s="1"/>
  <c r="Z32" i="11"/>
  <c r="AB29" i="11"/>
  <c r="Y166" i="9"/>
  <c r="AH166" i="9"/>
  <c r="Q464" i="9"/>
  <c r="CY236" i="9"/>
  <c r="Z140" i="9"/>
  <c r="CZ140" i="9" s="1"/>
  <c r="CZ128" i="9"/>
  <c r="G140" i="9"/>
  <c r="P525" i="9"/>
  <c r="AL525" i="9" s="1"/>
  <c r="AB65" i="11"/>
  <c r="CY88" i="9"/>
  <c r="AB41" i="11"/>
  <c r="Z50" i="11"/>
  <c r="AB47" i="11"/>
  <c r="AJ59" i="9"/>
  <c r="DA60" i="9" s="1"/>
  <c r="AO101" i="9" s="1"/>
  <c r="Q100" i="9"/>
  <c r="Q472" i="9"/>
  <c r="AQ52" i="9"/>
  <c r="DA53" i="9" s="1"/>
  <c r="AH101" i="9" s="1"/>
  <c r="AB10" i="11"/>
  <c r="AR92" i="9"/>
  <c r="Z80" i="11"/>
  <c r="AB77" i="11"/>
  <c r="H16" i="10" s="1"/>
  <c r="P416" i="9" s="1"/>
  <c r="AQ38" i="9"/>
  <c r="DA39" i="9" s="1"/>
  <c r="P458" i="9"/>
  <c r="AK458" i="9" s="1"/>
  <c r="DA459" i="9" s="1"/>
  <c r="AK465" i="9" s="1"/>
  <c r="P94" i="9"/>
  <c r="AK94" i="9" s="1"/>
  <c r="DA95" i="9" s="1"/>
  <c r="BY101" i="9" s="1"/>
  <c r="AK73" i="9"/>
  <c r="DA74" i="9" s="1"/>
  <c r="BD101" i="9" s="1"/>
  <c r="AK87" i="9"/>
  <c r="DA88" i="9" s="1"/>
  <c r="BR101" i="9" s="1"/>
  <c r="AL301" i="9"/>
  <c r="AA301" i="9"/>
  <c r="G20" i="10"/>
  <c r="Z99" i="11"/>
  <c r="CY67" i="9"/>
  <c r="AB66" i="9"/>
  <c r="AB71" i="9"/>
  <c r="AB93" i="9"/>
  <c r="AC38" i="9"/>
  <c r="AB92" i="9"/>
  <c r="AB52" i="9"/>
  <c r="AC36" i="9"/>
  <c r="AB58" i="9"/>
  <c r="AB86" i="9"/>
  <c r="AB59" i="9"/>
  <c r="AB50" i="9"/>
  <c r="AB94" i="9"/>
  <c r="AB65" i="9"/>
  <c r="AB78" i="9"/>
  <c r="AC37" i="9"/>
  <c r="AB85" i="9"/>
  <c r="AB51" i="9"/>
  <c r="AB87" i="9"/>
  <c r="AB64" i="9"/>
  <c r="AB73" i="9"/>
  <c r="AB79" i="9"/>
  <c r="AB80" i="9"/>
  <c r="AB57" i="9"/>
  <c r="AB43" i="9"/>
  <c r="AB44" i="9"/>
  <c r="AB45" i="9"/>
  <c r="AB72" i="9"/>
  <c r="CY136" i="9"/>
  <c r="G144" i="9"/>
  <c r="Z144" i="9"/>
  <c r="DA144" i="9" s="1"/>
  <c r="F9" i="10"/>
  <c r="P71" i="9"/>
  <c r="AR71" i="9" s="1"/>
  <c r="Z109" i="11"/>
  <c r="AB106" i="11"/>
  <c r="AB112" i="11"/>
  <c r="G16" i="10"/>
  <c r="Z77" i="11"/>
  <c r="Z211" i="9"/>
  <c r="DA211" i="9" s="1"/>
  <c r="G211" i="9"/>
  <c r="CY203" i="9"/>
  <c r="AB23" i="11"/>
  <c r="CZ342" i="9"/>
  <c r="AB341" i="9"/>
  <c r="DA342" i="9" s="1"/>
  <c r="J341" i="9"/>
  <c r="AK72" i="9"/>
  <c r="CZ74" i="9" s="1"/>
  <c r="AY100" i="9" s="1"/>
  <c r="CZ195" i="9"/>
  <c r="Z207" i="9"/>
  <c r="CZ207" i="9" s="1"/>
  <c r="G207" i="9"/>
  <c r="Y367" i="9"/>
  <c r="CY367" i="9" s="1"/>
  <c r="CZ363" i="9"/>
  <c r="Q372" i="9" s="1"/>
  <c r="CZ374" i="9" s="1"/>
  <c r="CZ355" i="9" s="1"/>
  <c r="H9" i="8" s="1"/>
  <c r="G367" i="9"/>
  <c r="F19" i="10"/>
  <c r="AL441" i="9"/>
  <c r="AQ441" i="9"/>
  <c r="AR78" i="9"/>
  <c r="Z275" i="9"/>
  <c r="CZ275" i="9" s="1"/>
  <c r="G275" i="9"/>
  <c r="CZ263" i="9"/>
  <c r="Z53" i="11"/>
  <c r="H12" i="10"/>
  <c r="Z89" i="11"/>
  <c r="F6" i="10"/>
  <c r="AA233" i="9"/>
  <c r="AB525" i="9"/>
  <c r="AB527" i="9"/>
  <c r="AB526" i="9"/>
  <c r="AL527" i="9"/>
  <c r="DA528" i="9" s="1"/>
  <c r="Q534" i="9" s="1"/>
  <c r="DA535" i="9" s="1"/>
  <c r="DA513" i="9" s="1"/>
  <c r="I13" i="8" s="1"/>
  <c r="AK80" i="9"/>
  <c r="DA81" i="9" s="1"/>
  <c r="BK101" i="9" s="1"/>
  <c r="AK66" i="9"/>
  <c r="DA67" i="9" s="1"/>
  <c r="AW101" i="9" s="1"/>
  <c r="F18" i="10"/>
  <c r="AQ51" i="9"/>
  <c r="CZ53" i="9" s="1"/>
  <c r="AF100" i="9" s="1"/>
  <c r="Q168" i="9"/>
  <c r="AH168" i="9"/>
  <c r="DA169" i="9" s="1"/>
  <c r="Y175" i="9" s="1"/>
  <c r="CX279" i="9"/>
  <c r="Q310" i="9"/>
  <c r="AJ310" i="9"/>
  <c r="DA311" i="9" s="1"/>
  <c r="DA245" i="9" s="1"/>
  <c r="I7" i="8" s="1"/>
  <c r="Z83" i="11"/>
  <c r="AR57" i="9"/>
  <c r="H13" i="10"/>
  <c r="Z59" i="11"/>
  <c r="F17" i="10"/>
  <c r="P430" i="9"/>
  <c r="AJ430" i="9" s="1"/>
  <c r="AZ36" i="9"/>
  <c r="Z71" i="11"/>
  <c r="H15" i="10"/>
  <c r="CY46" i="9"/>
  <c r="AJ45" i="9"/>
  <c r="DA46" i="9" s="1"/>
  <c r="AA101" i="9" s="1"/>
  <c r="CY353" i="9"/>
  <c r="Q101" i="9" l="1"/>
  <c r="CG101" i="9"/>
  <c r="DA102" i="9" s="1"/>
  <c r="Q108" i="9" s="1"/>
  <c r="DA109" i="9" s="1"/>
  <c r="DA4" i="9" s="1"/>
  <c r="I4" i="8" s="1"/>
  <c r="CY169" i="9"/>
  <c r="H21" i="10"/>
  <c r="F21" i="10" s="1"/>
  <c r="Z106" i="11"/>
  <c r="AW99" i="9"/>
  <c r="Z23" i="11"/>
  <c r="H7" i="10"/>
  <c r="CY60" i="9"/>
  <c r="F20" i="10"/>
  <c r="P501" i="9"/>
  <c r="AP501" i="9" s="1"/>
  <c r="P481" i="9"/>
  <c r="AH481" i="9" s="1"/>
  <c r="AX416" i="9"/>
  <c r="CA416" i="9"/>
  <c r="CZ418" i="9" s="1"/>
  <c r="Z41" i="11"/>
  <c r="H10" i="10"/>
  <c r="Y99" i="9"/>
  <c r="AF74" i="9"/>
  <c r="CY74" i="9"/>
  <c r="H8" i="10"/>
  <c r="Z29" i="11"/>
  <c r="Q241" i="9"/>
  <c r="BU99" i="9"/>
  <c r="Q242" i="9"/>
  <c r="AH242" i="9"/>
  <c r="DA243" i="9" s="1"/>
  <c r="DA178" i="9" s="1"/>
  <c r="I6" i="8" s="1"/>
  <c r="CX211" i="9"/>
  <c r="H22" i="10"/>
  <c r="Z112" i="11"/>
  <c r="CX207" i="9"/>
  <c r="AB241" i="9"/>
  <c r="H14" i="10"/>
  <c r="Z65" i="11"/>
  <c r="CY313" i="9"/>
  <c r="G8" i="8" s="1"/>
  <c r="H11" i="10"/>
  <c r="Z47" i="11"/>
  <c r="S342" i="9"/>
  <c r="CY528" i="9"/>
  <c r="AA352" i="9"/>
  <c r="AL352" i="9"/>
  <c r="DA353" i="9" s="1"/>
  <c r="DA313" i="9" s="1"/>
  <c r="I8" i="8" s="1"/>
  <c r="Q173" i="9"/>
  <c r="F13" i="10"/>
  <c r="Q220" i="9"/>
  <c r="AM220" i="9" s="1"/>
  <c r="Q153" i="9"/>
  <c r="AL153" i="9" s="1"/>
  <c r="Q288" i="9"/>
  <c r="AN288" i="9" s="1"/>
  <c r="Z10" i="11"/>
  <c r="H5" i="10"/>
  <c r="Q175" i="9"/>
  <c r="CX144" i="9"/>
  <c r="AH175" i="9"/>
  <c r="DA176" i="9" s="1"/>
  <c r="DA111" i="9" s="1"/>
  <c r="I5" i="8" s="1"/>
  <c r="P93" i="9"/>
  <c r="AK93" i="9" s="1"/>
  <c r="CZ95" i="9" s="1"/>
  <c r="BT100" i="9" s="1"/>
  <c r="P457" i="9"/>
  <c r="AK457" i="9" s="1"/>
  <c r="F12" i="10"/>
  <c r="CX275" i="9"/>
  <c r="AB309" i="9"/>
  <c r="CX367" i="9"/>
  <c r="Q371" i="9"/>
  <c r="Q240" i="9"/>
  <c r="AL240" i="9"/>
  <c r="F15" i="10"/>
  <c r="P320" i="9"/>
  <c r="AT320" i="9" s="1"/>
  <c r="Q174" i="9"/>
  <c r="AF433" i="9"/>
  <c r="CY433" i="9"/>
  <c r="CX140" i="9"/>
  <c r="AB174" i="9"/>
  <c r="AL53" i="9"/>
  <c r="CX53" i="9"/>
  <c r="AG99" i="9"/>
  <c r="CY304" i="9"/>
  <c r="AA240" i="9"/>
  <c r="AM39" i="9"/>
  <c r="CY39" i="9"/>
  <c r="AA351" i="9"/>
  <c r="CX342" i="9"/>
  <c r="CY95" i="9"/>
  <c r="AF95" i="9"/>
  <c r="F16" i="10"/>
  <c r="P415" i="9"/>
  <c r="CY81" i="9"/>
  <c r="AK445" i="9"/>
  <c r="DA446" i="9" s="1"/>
  <c r="AB443" i="9"/>
  <c r="AB445" i="9"/>
  <c r="AB444" i="9"/>
  <c r="Q309" i="9"/>
  <c r="AK443" i="9"/>
  <c r="AA308" i="9" l="1"/>
  <c r="AL308" i="9"/>
  <c r="CY243" i="9"/>
  <c r="P44" i="9"/>
  <c r="AJ44" i="9" s="1"/>
  <c r="F5" i="10"/>
  <c r="BE99" i="9"/>
  <c r="CX74" i="9"/>
  <c r="AA173" i="9"/>
  <c r="CY446" i="9"/>
  <c r="Q471" i="9"/>
  <c r="AC484" i="9"/>
  <c r="CY484" i="9"/>
  <c r="CZ155" i="9"/>
  <c r="AH155" i="9"/>
  <c r="Z465" i="9"/>
  <c r="AW465" i="9"/>
  <c r="DA466" i="9" s="1"/>
  <c r="AC504" i="9"/>
  <c r="CY504" i="9"/>
  <c r="CZ222" i="9"/>
  <c r="AH222" i="9"/>
  <c r="AO99" i="9"/>
  <c r="CZ322" i="9"/>
  <c r="AC322" i="9"/>
  <c r="CX95" i="9"/>
  <c r="CC99" i="9"/>
  <c r="Q532" i="9"/>
  <c r="CX433" i="9"/>
  <c r="AW463" i="9"/>
  <c r="Q463" i="9"/>
  <c r="P58" i="9"/>
  <c r="AK58" i="9" s="1"/>
  <c r="F7" i="10"/>
  <c r="P526" i="9"/>
  <c r="AN526" i="9" s="1"/>
  <c r="F22" i="10"/>
  <c r="CZ290" i="9"/>
  <c r="AH290" i="9"/>
  <c r="F29" i="3"/>
  <c r="L29" i="3"/>
  <c r="Q99" i="9"/>
  <c r="CL99" i="9"/>
  <c r="CX39" i="9"/>
  <c r="P444" i="9"/>
  <c r="AK444" i="9" s="1"/>
  <c r="CZ446" i="9" s="1"/>
  <c r="P86" i="9"/>
  <c r="AK86" i="9" s="1"/>
  <c r="F11" i="10"/>
  <c r="BQ415" i="9"/>
  <c r="AT415" i="9"/>
  <c r="CZ459" i="9"/>
  <c r="AF459" i="9"/>
  <c r="AL173" i="9"/>
  <c r="BM99" i="9"/>
  <c r="Q160" i="9"/>
  <c r="AL160" i="9" s="1"/>
  <c r="Q227" i="9"/>
  <c r="AM227" i="9" s="1"/>
  <c r="Q295" i="9"/>
  <c r="AM295" i="9" s="1"/>
  <c r="F14" i="10"/>
  <c r="Q79" i="9"/>
  <c r="AK79" i="9" s="1"/>
  <c r="F10" i="10"/>
  <c r="R374" i="9"/>
  <c r="CY374" i="9"/>
  <c r="P65" i="9"/>
  <c r="AK65" i="9" s="1"/>
  <c r="F8" i="10"/>
  <c r="CZ60" i="9" l="1"/>
  <c r="AF60" i="9"/>
  <c r="CY176" i="9"/>
  <c r="Q302" i="9"/>
  <c r="AH302" i="9"/>
  <c r="CX290" i="9"/>
  <c r="CY178" i="9"/>
  <c r="G6" i="8" s="1"/>
  <c r="CZ162" i="9"/>
  <c r="AG162" i="9"/>
  <c r="CY535" i="9"/>
  <c r="AH234" i="9"/>
  <c r="Q234" i="9"/>
  <c r="CX222" i="9"/>
  <c r="CY102" i="9"/>
  <c r="BL418" i="9"/>
  <c r="CY418" i="9"/>
  <c r="Q508" i="9"/>
  <c r="CX504" i="9"/>
  <c r="AM464" i="9"/>
  <c r="CX459" i="9"/>
  <c r="AC472" i="9"/>
  <c r="AO472" i="9"/>
  <c r="DA473" i="9" s="1"/>
  <c r="DA376" i="9" s="1"/>
  <c r="I10" i="8" s="1"/>
  <c r="CZ67" i="9"/>
  <c r="AF67" i="9"/>
  <c r="CY311" i="9"/>
  <c r="CZ229" i="9"/>
  <c r="AG229" i="9"/>
  <c r="CZ46" i="9"/>
  <c r="AE46" i="9"/>
  <c r="CY466" i="9"/>
  <c r="R466" i="9"/>
  <c r="CX484" i="9"/>
  <c r="Q488" i="9"/>
  <c r="AB464" i="9"/>
  <c r="AY464" i="9"/>
  <c r="CZ466" i="9" s="1"/>
  <c r="AB463" i="9"/>
  <c r="CX446" i="9"/>
  <c r="Q351" i="9"/>
  <c r="AL351" i="9"/>
  <c r="CX322" i="9"/>
  <c r="CZ528" i="9"/>
  <c r="AH528" i="9"/>
  <c r="AF446" i="9"/>
  <c r="Q167" i="9"/>
  <c r="CX155" i="9"/>
  <c r="CY355" i="9"/>
  <c r="G9" i="8" s="1"/>
  <c r="CX374" i="9"/>
  <c r="CX355" i="9" s="1"/>
  <c r="CZ297" i="9"/>
  <c r="AG297" i="9"/>
  <c r="CZ88" i="9"/>
  <c r="AF88" i="9"/>
  <c r="CZ81" i="9"/>
  <c r="AF81" i="9"/>
  <c r="AR100" i="9" l="1"/>
  <c r="CX67" i="9"/>
  <c r="BF100" i="9"/>
  <c r="CX81" i="9"/>
  <c r="CZ304" i="9"/>
  <c r="R304" i="9"/>
  <c r="CZ236" i="9"/>
  <c r="R236" i="9"/>
  <c r="CY491" i="9"/>
  <c r="R491" i="9"/>
  <c r="AK100" i="9"/>
  <c r="CX60" i="9"/>
  <c r="BM100" i="9"/>
  <c r="CX88" i="9"/>
  <c r="Y100" i="9"/>
  <c r="BZ100" i="9"/>
  <c r="CX46" i="9"/>
  <c r="Y167" i="9"/>
  <c r="CX162" i="9"/>
  <c r="Q533" i="9"/>
  <c r="CX528" i="9"/>
  <c r="AE167" i="9"/>
  <c r="Y234" i="9"/>
  <c r="CX229" i="9"/>
  <c r="F33" i="3"/>
  <c r="L33" i="3"/>
  <c r="Y302" i="9"/>
  <c r="CX297" i="9"/>
  <c r="R511" i="9"/>
  <c r="CY511" i="9"/>
  <c r="CX466" i="9"/>
  <c r="AE470" i="9"/>
  <c r="Q470" i="9"/>
  <c r="CX418" i="9"/>
  <c r="AR470" i="9"/>
  <c r="CZ353" i="9"/>
  <c r="R353" i="9"/>
  <c r="CY245" i="9"/>
  <c r="G7" i="8" s="1"/>
  <c r="F9" i="8"/>
  <c r="AC471" i="9"/>
  <c r="AO471" i="9"/>
  <c r="CZ473" i="9" s="1"/>
  <c r="CZ376" i="9" s="1"/>
  <c r="H10" i="8" s="1"/>
  <c r="Y106" i="9"/>
  <c r="AJ106" i="9"/>
  <c r="CY111" i="9"/>
  <c r="G5" i="8" s="1"/>
  <c r="CY513" i="9"/>
  <c r="G13" i="8" s="1"/>
  <c r="CX491" i="9" l="1"/>
  <c r="CX475" i="9" s="1"/>
  <c r="CY475" i="9"/>
  <c r="G11" i="8" s="1"/>
  <c r="F11" i="8" s="1"/>
  <c r="CZ535" i="9"/>
  <c r="R535" i="9"/>
  <c r="CZ313" i="9"/>
  <c r="H8" i="8" s="1"/>
  <c r="CX353" i="9"/>
  <c r="CX313" i="9" s="1"/>
  <c r="AJ241" i="9"/>
  <c r="AS241" i="9"/>
  <c r="CX236" i="9"/>
  <c r="CZ102" i="9"/>
  <c r="R102" i="9"/>
  <c r="AJ309" i="9"/>
  <c r="AU309" i="9"/>
  <c r="CX304" i="9"/>
  <c r="CY473" i="9"/>
  <c r="R473" i="9"/>
  <c r="CZ169" i="9"/>
  <c r="R169" i="9"/>
  <c r="CY109" i="9"/>
  <c r="CY493" i="9"/>
  <c r="G12" i="8" s="1"/>
  <c r="CX511" i="9"/>
  <c r="CX493" i="9" s="1"/>
  <c r="AJ174" i="9" l="1"/>
  <c r="AS174" i="9"/>
  <c r="CX169" i="9"/>
  <c r="CZ243" i="9"/>
  <c r="R243" i="9"/>
  <c r="W107" i="9"/>
  <c r="AF107" i="9"/>
  <c r="CX102" i="9"/>
  <c r="CY4" i="9"/>
  <c r="G4" i="8" s="1"/>
  <c r="F8" i="8"/>
  <c r="CY376" i="9"/>
  <c r="G10" i="8" s="1"/>
  <c r="CX473" i="9"/>
  <c r="CX376" i="9" s="1"/>
  <c r="F12" i="8"/>
  <c r="CZ311" i="9"/>
  <c r="R311" i="9"/>
  <c r="CZ513" i="9"/>
  <c r="H13" i="8" s="1"/>
  <c r="CX535" i="9"/>
  <c r="CX513" i="9" s="1"/>
  <c r="CZ176" i="9" l="1"/>
  <c r="R176" i="9"/>
  <c r="CZ178" i="9"/>
  <c r="H6" i="8" s="1"/>
  <c r="CX243" i="9"/>
  <c r="CX178" i="9" s="1"/>
  <c r="CZ109" i="9"/>
  <c r="R109" i="9"/>
  <c r="F13" i="8"/>
  <c r="F10" i="8"/>
  <c r="CZ245" i="9"/>
  <c r="H7" i="8" s="1"/>
  <c r="CX311" i="9"/>
  <c r="CX245" i="9" s="1"/>
  <c r="CZ111" i="9" l="1"/>
  <c r="H5" i="8" s="1"/>
  <c r="CX176" i="9"/>
  <c r="CX111" i="9" s="1"/>
  <c r="F7" i="8"/>
  <c r="CZ4" i="9"/>
  <c r="H4" i="8" s="1"/>
  <c r="CX109" i="9"/>
  <c r="CX4" i="9" s="1"/>
  <c r="F6" i="8"/>
  <c r="F28" i="3"/>
  <c r="L28" i="3"/>
  <c r="F5" i="8" l="1"/>
  <c r="F4" i="8"/>
  <c r="F11" i="3" l="1"/>
  <c r="F5" i="3" l="1"/>
  <c r="F7" i="3" s="1"/>
  <c r="F8" i="3" l="1"/>
  <c r="F22" i="3"/>
  <c r="F19" i="3"/>
  <c r="F18" i="3"/>
  <c r="F20" i="3"/>
  <c r="F9" i="3" l="1"/>
  <c r="F10" i="3" s="1"/>
  <c r="F15" i="3"/>
  <c r="F14" i="3"/>
  <c r="F17" i="3"/>
  <c r="F13" i="3" l="1"/>
  <c r="F12" i="3"/>
  <c r="F23" i="3"/>
  <c r="F16" i="3"/>
  <c r="F24" i="3" l="1"/>
  <c r="F25" i="3" l="1"/>
  <c r="F26" i="3" l="1"/>
  <c r="F27" i="3" l="1"/>
  <c r="F30" i="3"/>
  <c r="L52" i="3" l="1"/>
  <c r="F31" i="3" s="1"/>
  <c r="F32" i="3" l="1"/>
  <c r="F34" i="3" l="1"/>
</calcChain>
</file>

<file path=xl/sharedStrings.xml><?xml version="1.0" encoding="utf-8"?>
<sst xmlns="http://schemas.openxmlformats.org/spreadsheetml/2006/main" count="7532" uniqueCount="1263">
  <si>
    <t>보수용 모르타르</t>
  </si>
  <si>
    <t>시공구간이</t>
  </si>
  <si>
    <t>규  격</t>
  </si>
  <si>
    <t>단  가</t>
  </si>
  <si>
    <t>4 × 0.03595</t>
  </si>
  <si>
    <t>◈</t>
  </si>
  <si>
    <t>年</t>
  </si>
  <si>
    <t>(일반용)</t>
  </si>
  <si>
    <t>물탱크</t>
  </si>
  <si>
    <t>17. 교량점검차</t>
  </si>
  <si>
    <t>비     고</t>
  </si>
  <si>
    <t>모터 그레이더</t>
  </si>
  <si>
    <t>방 수 공</t>
  </si>
  <si>
    <t>I × 0.1</t>
  </si>
  <si>
    <t>2.53%</t>
  </si>
  <si>
    <t>일위17참조</t>
  </si>
  <si>
    <t>주입공법, 주간</t>
  </si>
  <si>
    <t>2.차선도색(융착식,일반형)-운행도로,차량부분통제(수동식,백색실선) [㎡]</t>
  </si>
  <si>
    <t>628(24.11)</t>
  </si>
  <si>
    <t>제13호표</t>
  </si>
  <si>
    <t>BA-ARA</t>
  </si>
  <si>
    <t>4 × 0.0475</t>
  </si>
  <si>
    <t>(8~15Ton)</t>
  </si>
  <si>
    <t>-</t>
  </si>
  <si>
    <t>잡  품</t>
  </si>
  <si>
    <t>228(26.2)</t>
  </si>
  <si>
    <t>14</t>
  </si>
  <si>
    <t>수 량</t>
  </si>
  <si>
    <t>자</t>
  </si>
  <si>
    <t>호평IC교(하)</t>
  </si>
  <si>
    <t>시공량</t>
  </si>
  <si>
    <t>31</t>
  </si>
  <si>
    <t>단면처리</t>
  </si>
  <si>
    <t>벽체T=50mm (야간)</t>
  </si>
  <si>
    <t>N2</t>
  </si>
  <si>
    <t>로우더</t>
  </si>
  <si>
    <t>재료비 소수 1 미만 절하</t>
  </si>
  <si>
    <t>조합공통품목, WC-6, 가열, 1등급</t>
  </si>
  <si>
    <t>일반용</t>
  </si>
  <si>
    <t>고정테이프</t>
  </si>
  <si>
    <t>벽체T=10mm (야간)</t>
  </si>
  <si>
    <t>제11호표</t>
  </si>
  <si>
    <t>용해기</t>
  </si>
  <si>
    <t>특별인부</t>
  </si>
  <si>
    <t>일위15참조</t>
  </si>
  <si>
    <t>mm</t>
  </si>
  <si>
    <t>0.7㎥</t>
  </si>
  <si>
    <t>2-6-1</t>
  </si>
  <si>
    <t>제17호표</t>
  </si>
  <si>
    <t>Q</t>
  </si>
  <si>
    <t>교통안전표지판</t>
  </si>
  <si>
    <t>9 × 0.1314</t>
  </si>
  <si>
    <t>0.57</t>
  </si>
  <si>
    <t>경유</t>
  </si>
  <si>
    <t>보통인부</t>
  </si>
  <si>
    <t>경    비</t>
  </si>
  <si>
    <t>일위13참조</t>
  </si>
  <si>
    <t>(2.5Ton)</t>
  </si>
  <si>
    <t>본품은</t>
  </si>
  <si>
    <t>같이</t>
  </si>
  <si>
    <t>화물차운전사</t>
  </si>
  <si>
    <t>잡    품</t>
  </si>
  <si>
    <t>267(26.2)</t>
  </si>
  <si>
    <t>부가가치세</t>
  </si>
  <si>
    <t>운반대수</t>
  </si>
  <si>
    <t>100</t>
  </si>
  <si>
    <t>7. 탠덤 로울러(자주식)</t>
  </si>
  <si>
    <t>구분</t>
  </si>
  <si>
    <t>90</t>
  </si>
  <si>
    <t>㎡임</t>
  </si>
  <si>
    <t>중급기술자</t>
  </si>
  <si>
    <t>이                  윤</t>
  </si>
  <si>
    <t>0.4%</t>
  </si>
  <si>
    <t>13.14%</t>
  </si>
  <si>
    <t>일위11참조</t>
  </si>
  <si>
    <t>경장비</t>
  </si>
  <si>
    <t>6.로봇신호수 설치 및 철거(한팔용)[조]</t>
  </si>
  <si>
    <t>B × 0.0356</t>
  </si>
  <si>
    <t>50</t>
  </si>
  <si>
    <t>설치비의</t>
  </si>
  <si>
    <t>발전기</t>
  </si>
  <si>
    <t>제15호표</t>
  </si>
  <si>
    <t>경비성단가</t>
  </si>
  <si>
    <t>&lt; 유리알 살포량은 '2022 교통노면표시 설치관리 업무편람(경찰청)' p.138 참조 &gt;</t>
  </si>
  <si>
    <t>(16000ℓ)</t>
  </si>
  <si>
    <t>12V60A</t>
  </si>
  <si>
    <t>일위대가</t>
  </si>
  <si>
    <t>2025년도</t>
  </si>
  <si>
    <t>단수정리</t>
  </si>
  <si>
    <t>)</t>
  </si>
  <si>
    <t>10</t>
  </si>
  <si>
    <t>f</t>
  </si>
  <si>
    <t>재포장하는</t>
  </si>
  <si>
    <t>PE드럼(분리형)</t>
  </si>
  <si>
    <t>도   급   예   정   액</t>
  </si>
  <si>
    <t>아스팔트페이버(피니셔)</t>
  </si>
  <si>
    <t>1/8*16/12*25/20*12/10</t>
  </si>
  <si>
    <t>균열 주입제(에폭시)</t>
  </si>
  <si>
    <t>553(19.8)</t>
  </si>
  <si>
    <t>제9호표</t>
  </si>
  <si>
    <t>운반</t>
  </si>
  <si>
    <t>물가정보</t>
  </si>
  <si>
    <t>보수공</t>
  </si>
  <si>
    <t>Cm</t>
  </si>
  <si>
    <t>라바콘</t>
  </si>
  <si>
    <t>사능1교(상)</t>
  </si>
  <si>
    <t>기계경비</t>
  </si>
  <si>
    <t>4. 아스팔트페이버(피니셔)</t>
  </si>
  <si>
    <t>단산3참조</t>
  </si>
  <si>
    <t>제28호표</t>
  </si>
  <si>
    <t>노무비의</t>
  </si>
  <si>
    <t>실선</t>
  </si>
  <si>
    <t>기본재료비</t>
  </si>
  <si>
    <t>2-7-1</t>
  </si>
  <si>
    <t>화   폐</t>
  </si>
  <si>
    <t>탱</t>
  </si>
  <si>
    <t>(4.5Ton)</t>
  </si>
  <si>
    <t>라인마커</t>
  </si>
  <si>
    <t>유로(E)</t>
  </si>
  <si>
    <t>폐기물운반비(상차제외)</t>
  </si>
  <si>
    <t>비            목</t>
  </si>
  <si>
    <t>퇴 직  공 제  부 금 비</t>
  </si>
  <si>
    <t>경    유</t>
  </si>
  <si>
    <t>/</t>
  </si>
  <si>
    <t>환  율</t>
  </si>
  <si>
    <t>16</t>
  </si>
  <si>
    <t>없는</t>
  </si>
  <si>
    <t>18</t>
  </si>
  <si>
    <t>단산1참조</t>
  </si>
  <si>
    <t>n</t>
  </si>
  <si>
    <t>주재료비의</t>
  </si>
  <si>
    <t>융착식프라이머</t>
  </si>
  <si>
    <t>can</t>
  </si>
  <si>
    <t>비   고</t>
  </si>
  <si>
    <t>휘</t>
  </si>
  <si>
    <t>2-1-2</t>
  </si>
  <si>
    <t>min</t>
  </si>
  <si>
    <t>팁</t>
  </si>
  <si>
    <t>엔(100￥)</t>
  </si>
  <si>
    <t>1102(26.2)</t>
  </si>
  <si>
    <t>단산7참조</t>
  </si>
  <si>
    <t>적용한다</t>
  </si>
  <si>
    <t>천정 붗칠2회</t>
  </si>
  <si>
    <t>0.95</t>
  </si>
  <si>
    <t>(1호,고휘도)</t>
  </si>
  <si>
    <t>차</t>
  </si>
  <si>
    <t>1호,고휘도</t>
  </si>
  <si>
    <t>퇴직공제부금비</t>
  </si>
  <si>
    <t>+</t>
  </si>
  <si>
    <t>￦×</t>
  </si>
  <si>
    <t>노임계수</t>
  </si>
  <si>
    <t>12</t>
  </si>
  <si>
    <t>일위28참조</t>
  </si>
  <si>
    <t>배치인원</t>
  </si>
  <si>
    <t>부   가   가   치   세</t>
  </si>
  <si>
    <t>0.7㎥(발파)</t>
  </si>
  <si>
    <t>교면복합시트</t>
  </si>
  <si>
    <t>%</t>
  </si>
  <si>
    <t>2.0m</t>
  </si>
  <si>
    <t>(A + B + C)</t>
  </si>
  <si>
    <t>경</t>
  </si>
  <si>
    <t>대</t>
  </si>
  <si>
    <t>1112(24.11)</t>
  </si>
  <si>
    <t>(A + 4 + 6) ×0.00081</t>
  </si>
  <si>
    <t>탠</t>
  </si>
  <si>
    <t>4.</t>
  </si>
  <si>
    <t>회절삭후</t>
  </si>
  <si>
    <t>4 × 0.165</t>
  </si>
  <si>
    <t>신구운교(춘천)</t>
  </si>
  <si>
    <t>운</t>
  </si>
  <si>
    <t>mm기준시</t>
  </si>
  <si>
    <t>16000ℓ</t>
  </si>
  <si>
    <t>초급기술자</t>
  </si>
  <si>
    <t>남양주시청</t>
  </si>
  <si>
    <t>471(26.2)</t>
  </si>
  <si>
    <t>공</t>
  </si>
  <si>
    <t>단산5참조</t>
  </si>
  <si>
    <t>건설기계운전사</t>
  </si>
  <si>
    <t>비    고</t>
  </si>
  <si>
    <t>타이어</t>
  </si>
  <si>
    <t>기준</t>
  </si>
  <si>
    <t>총     공    사     비</t>
  </si>
  <si>
    <t>(D + E + F + G + H)</t>
  </si>
  <si>
    <t>9.굴절차(22M (야간))[일] (야간)</t>
  </si>
  <si>
    <t>연결되어있는</t>
  </si>
  <si>
    <t>SSR-COAT-C</t>
  </si>
  <si>
    <t>차량</t>
  </si>
  <si>
    <t>아</t>
  </si>
  <si>
    <t>일위8참조</t>
  </si>
  <si>
    <t>폐콘크리트</t>
  </si>
  <si>
    <t>단산9참조</t>
  </si>
  <si>
    <t>벽체 (야간)</t>
  </si>
  <si>
    <t>제22호표</t>
  </si>
  <si>
    <t>G</t>
  </si>
  <si>
    <t>2-3-2</t>
  </si>
  <si>
    <t>자재소계</t>
  </si>
  <si>
    <t>3.6m(일반용)</t>
  </si>
  <si>
    <t>No</t>
  </si>
  <si>
    <t>5-1</t>
  </si>
  <si>
    <t>일위26참조</t>
  </si>
  <si>
    <t>잡재료비</t>
  </si>
  <si>
    <t>교대</t>
  </si>
  <si>
    <t>제3호표</t>
  </si>
  <si>
    <t>일위4참조</t>
  </si>
  <si>
    <t>(360×360×700mm)</t>
  </si>
  <si>
    <t>5. 교통안전관리비(주간)[일]</t>
  </si>
  <si>
    <t>아스팔트유제</t>
  </si>
  <si>
    <t>1-1-1</t>
  </si>
  <si>
    <t>622(26.2)</t>
  </si>
  <si>
    <t>I</t>
  </si>
  <si>
    <t>국도46호선 신구운교 등</t>
  </si>
  <si>
    <t>아스콘포장</t>
  </si>
  <si>
    <t>EA</t>
  </si>
  <si>
    <t>조달청</t>
  </si>
  <si>
    <t>견적가1</t>
  </si>
  <si>
    <t>3.595%</t>
  </si>
  <si>
    <t>산     출     경    비</t>
  </si>
  <si>
    <t>천정T=30mm (야간)</t>
  </si>
  <si>
    <t>─</t>
  </si>
  <si>
    <t>t4</t>
  </si>
  <si>
    <t>노무비 소수 1 미만 절하</t>
  </si>
  <si>
    <t>일위24참조</t>
  </si>
  <si>
    <t>다</t>
  </si>
  <si>
    <t>18. 굴착기(무한궤도)</t>
  </si>
  <si>
    <t>JJ교면복합시트 T=0.5mm</t>
  </si>
  <si>
    <t>1</t>
  </si>
  <si>
    <t>2-5-1</t>
  </si>
  <si>
    <t>2-4</t>
  </si>
  <si>
    <t>~</t>
  </si>
  <si>
    <t>㎥당</t>
  </si>
  <si>
    <t>바닥판 하면</t>
  </si>
  <si>
    <t>(3.0m)</t>
  </si>
  <si>
    <t>4.5Ton</t>
  </si>
  <si>
    <t>제20호표</t>
  </si>
  <si>
    <t>멀티코트B</t>
  </si>
  <si>
    <t>21</t>
  </si>
  <si>
    <t>4 × 0.023</t>
  </si>
  <si>
    <t>4.75%</t>
  </si>
  <si>
    <t>천정</t>
  </si>
  <si>
    <t>손    료</t>
  </si>
  <si>
    <t>VAT별도(경비)</t>
  </si>
  <si>
    <t>JJ교면도막방수제 t=2.0mm</t>
  </si>
  <si>
    <t>일위6참조</t>
  </si>
  <si>
    <t>제1호표</t>
  </si>
  <si>
    <t>22M</t>
  </si>
  <si>
    <t>의</t>
  </si>
  <si>
    <t>굴삭기(무한궤도)</t>
  </si>
  <si>
    <t>177(26.2)</t>
  </si>
  <si>
    <t>포 장 공</t>
  </si>
  <si>
    <t>150</t>
  </si>
  <si>
    <t>3.0m</t>
  </si>
  <si>
    <t>적성교</t>
  </si>
  <si>
    <t>일반도로</t>
  </si>
  <si>
    <t>5</t>
  </si>
  <si>
    <t>거래가격</t>
  </si>
  <si>
    <t>제7호표</t>
  </si>
  <si>
    <t>,공구및</t>
  </si>
  <si>
    <t>300×900×900×2T,오각(고휘도)</t>
  </si>
  <si>
    <t>25</t>
  </si>
  <si>
    <t>부대공</t>
  </si>
  <si>
    <t>KSM-6080(백색,R5)</t>
  </si>
  <si>
    <t>2.3%</t>
  </si>
  <si>
    <t>Qd</t>
  </si>
  <si>
    <t>0.9%</t>
  </si>
  <si>
    <t>( 4 + 5 )</t>
  </si>
  <si>
    <t>일위22참조</t>
  </si>
  <si>
    <t>문자</t>
  </si>
  <si>
    <t>114(26.2)</t>
  </si>
  <si>
    <t>2026년(건설)</t>
  </si>
  <si>
    <t>사</t>
  </si>
  <si>
    <t>제26호표</t>
  </si>
  <si>
    <t>자재단가</t>
  </si>
  <si>
    <t>시설물</t>
  </si>
  <si>
    <t>2.5Ton</t>
  </si>
  <si>
    <t>C</t>
  </si>
  <si>
    <t>호평IC교 (상)</t>
  </si>
  <si>
    <t>이윤</t>
  </si>
  <si>
    <t>10.폐기물상차 (백호0.7㎥) [㎥]</t>
  </si>
  <si>
    <t>제5호표</t>
  </si>
  <si>
    <t>일위2참조</t>
  </si>
  <si>
    <t>백호0.7㎥</t>
  </si>
  <si>
    <t>1585(26.3)</t>
  </si>
  <si>
    <t>로봇신호수(한팔형)</t>
  </si>
  <si>
    <t>품질시험비</t>
  </si>
  <si>
    <t>확장공사등의</t>
  </si>
  <si>
    <t>머캐덤로울러(자주식)</t>
  </si>
  <si>
    <t>소형노면파쇄기(0.95㎥) 손료</t>
  </si>
  <si>
    <t>2026.1.6</t>
  </si>
  <si>
    <t>고급기술자</t>
  </si>
  <si>
    <t>요율</t>
  </si>
  <si>
    <t>고용보험료</t>
  </si>
  <si>
    <t>제24호표</t>
  </si>
  <si>
    <t>수동식,백색실선</t>
  </si>
  <si>
    <t>하32(26.2)</t>
  </si>
  <si>
    <t>단위</t>
  </si>
  <si>
    <t>일위20참조</t>
  </si>
  <si>
    <t>M</t>
  </si>
  <si>
    <t>규    격</t>
  </si>
  <si>
    <t>제19호표</t>
  </si>
  <si>
    <t>또는</t>
  </si>
  <si>
    <t>자동차전용도로</t>
  </si>
  <si>
    <t>싸인카</t>
  </si>
  <si>
    <t>1189(26.2)</t>
  </si>
  <si>
    <t>Φ15mm,그물망형, 야간</t>
  </si>
  <si>
    <t>%적용</t>
  </si>
  <si>
    <t>소</t>
  </si>
  <si>
    <t>549(25.12)</t>
  </si>
  <si>
    <t>미 장 공</t>
  </si>
  <si>
    <t>&lt; 유리알 살포량은 '교통노면표시 설치관리매뉴얼(경찰청)' 기준 &gt;</t>
  </si>
  <si>
    <t>=</t>
  </si>
  <si>
    <t>1/8*16/12*25/20*24/5</t>
  </si>
  <si>
    <t>단가산출총괄표</t>
  </si>
  <si>
    <t>3</t>
  </si>
  <si>
    <t>일위31참조</t>
  </si>
  <si>
    <t>2-6</t>
  </si>
  <si>
    <t>수동식,문자.기호</t>
  </si>
  <si>
    <t>날</t>
  </si>
  <si>
    <t>유공관</t>
  </si>
  <si>
    <t>합  계</t>
  </si>
  <si>
    <t>표면보수(SSR공법)</t>
  </si>
  <si>
    <t>JJ 시트식 복합 교면방수 (야간)</t>
  </si>
  <si>
    <t>16000</t>
  </si>
  <si>
    <t>1.아스팔트 포장 절삭후 아스팔트 덧씌우기 (A-Type (1회절삭,2회포장)-야간작업) [㎡]</t>
  </si>
  <si>
    <t>철근방청제</t>
  </si>
  <si>
    <t>23</t>
  </si>
  <si>
    <t>노 무 비</t>
  </si>
  <si>
    <t>12. 싸인카</t>
  </si>
  <si>
    <t>및</t>
  </si>
  <si>
    <t>1-1-3</t>
  </si>
  <si>
    <t>머</t>
  </si>
  <si>
    <t>0.57㎥</t>
  </si>
  <si>
    <t>247(26.2)</t>
  </si>
  <si>
    <t>도로용 접착제</t>
  </si>
  <si>
    <t>등</t>
  </si>
  <si>
    <t>기     타     경    비</t>
  </si>
  <si>
    <t>K</t>
  </si>
  <si>
    <t>(K + L)</t>
  </si>
  <si>
    <t>15. 혼합.압송 일체형 뿜칠기계</t>
  </si>
  <si>
    <t>디스트리뷰터</t>
  </si>
  <si>
    <t>신호수</t>
  </si>
  <si>
    <t>작업설.부산물등(△)</t>
  </si>
  <si>
    <t>총공사비</t>
  </si>
  <si>
    <t>E</t>
  </si>
  <si>
    <t>16. 발전기</t>
  </si>
  <si>
    <t>일위33참조</t>
  </si>
  <si>
    <t>8.굴절차(22M)[일]</t>
  </si>
  <si>
    <t>마</t>
  </si>
  <si>
    <t>트럭트랙터및평판트레일러</t>
  </si>
  <si>
    <t>9. 물탱크</t>
  </si>
  <si>
    <t>안전 관리 계획서 작성</t>
  </si>
  <si>
    <t>방호벽 및 중분대</t>
  </si>
  <si>
    <t>제경비</t>
  </si>
  <si>
    <t>제31호표</t>
  </si>
  <si>
    <t>덤프트럭</t>
  </si>
  <si>
    <t>4.차선도색(융착식,일반형)-운행도로,차량부분통제(수동식,문자.기호) [㎡]</t>
  </si>
  <si>
    <t>부412(26.3)</t>
  </si>
  <si>
    <t>597(26.2)</t>
  </si>
  <si>
    <t>철근방청처리</t>
  </si>
  <si>
    <t>t2</t>
  </si>
  <si>
    <t>SSR코트 - 하도</t>
  </si>
  <si>
    <t>Φ15mm,그물망형</t>
  </si>
  <si>
    <t>(3800ℓ)</t>
  </si>
  <si>
    <t>단수조정</t>
  </si>
  <si>
    <t>자재</t>
  </si>
  <si>
    <t>(10~12Ton)</t>
  </si>
  <si>
    <t>A</t>
  </si>
  <si>
    <t>조</t>
  </si>
  <si>
    <t>산재보험료</t>
  </si>
  <si>
    <t>일위19참조</t>
  </si>
  <si>
    <t>두께</t>
  </si>
  <si>
    <t>재료비의</t>
  </si>
  <si>
    <t>DNS-7500</t>
  </si>
  <si>
    <t>탄성퍼티</t>
  </si>
  <si>
    <t>도로표지용페인트(융착식)</t>
  </si>
  <si>
    <t>팁(날)</t>
  </si>
  <si>
    <t>관급</t>
  </si>
  <si>
    <t>2-2-2</t>
  </si>
  <si>
    <t>차선도색(융착식,일반형)-운행도로,차량부분통제</t>
  </si>
  <si>
    <t>셔</t>
  </si>
  <si>
    <t>가격정보</t>
  </si>
  <si>
    <t>관   급   자   재   대</t>
  </si>
  <si>
    <t>조종교</t>
  </si>
  <si>
    <t>노면파쇄기</t>
  </si>
  <si>
    <t>30km이하,덤프15톤</t>
  </si>
  <si>
    <t>금    액</t>
  </si>
  <si>
    <t>차선도색</t>
  </si>
  <si>
    <t>경  비</t>
  </si>
  <si>
    <t>산    출    근    거</t>
  </si>
  <si>
    <t>하도급대금지급보증수수료</t>
  </si>
  <si>
    <t>5.</t>
  </si>
  <si>
    <t>29</t>
  </si>
  <si>
    <t>÷</t>
  </si>
  <si>
    <t>9</t>
  </si>
  <si>
    <t>제33호표</t>
  </si>
  <si>
    <t>기계경비총괄표</t>
  </si>
  <si>
    <t>보수공사</t>
  </si>
  <si>
    <t>(A + 4 + 6) × 0.004</t>
  </si>
  <si>
    <t>2-2</t>
  </si>
  <si>
    <t>교통안전관리비</t>
  </si>
  <si>
    <t>한팔용</t>
  </si>
  <si>
    <t>부분통제시</t>
  </si>
  <si>
    <t>1.</t>
  </si>
  <si>
    <t>7</t>
  </si>
  <si>
    <t>2-4-1</t>
  </si>
  <si>
    <t>천정할증</t>
  </si>
  <si>
    <t>트레일러</t>
  </si>
  <si>
    <t>인건비</t>
  </si>
  <si>
    <t>고속도로</t>
  </si>
  <si>
    <t>에폭시주입기구부품</t>
  </si>
  <si>
    <t>Φ15mm, 그물망형</t>
  </si>
  <si>
    <t>27</t>
  </si>
  <si>
    <t>야간할증</t>
  </si>
  <si>
    <t>크</t>
  </si>
  <si>
    <t>건설기계대여금지급보증서발급액</t>
  </si>
  <si>
    <t>일반기계운전사</t>
  </si>
  <si>
    <t>의정부국토관리사무소</t>
  </si>
  <si>
    <t>환   경   보   전   비</t>
  </si>
  <si>
    <t>611(21.2)</t>
  </si>
  <si>
    <t>단산2참조</t>
  </si>
  <si>
    <t>제29호표</t>
  </si>
  <si>
    <t>자주식운반</t>
  </si>
  <si>
    <t>로봇신호수</t>
  </si>
  <si>
    <t>2020</t>
  </si>
  <si>
    <t>금   액</t>
  </si>
  <si>
    <t>30×5000</t>
  </si>
  <si>
    <t>연   금   보   험   료</t>
  </si>
  <si>
    <t>1. 노면파쇄기</t>
  </si>
  <si>
    <t>계산결과값 자리수</t>
  </si>
  <si>
    <t>제8호표</t>
  </si>
  <si>
    <t>멀티코트 B</t>
  </si>
  <si>
    <t>도급예정액</t>
  </si>
  <si>
    <t>(</t>
  </si>
  <si>
    <t>노면파쇄기용</t>
  </si>
  <si>
    <t>11</t>
  </si>
  <si>
    <t>km</t>
  </si>
  <si>
    <t>손율</t>
  </si>
  <si>
    <t>계</t>
  </si>
  <si>
    <t>총        원        가</t>
  </si>
  <si>
    <t>철근방청단면보수(SSR공법)</t>
  </si>
  <si>
    <t>굴절차</t>
  </si>
  <si>
    <t>비</t>
  </si>
  <si>
    <t>수  량</t>
  </si>
  <si>
    <t>14.88%</t>
  </si>
  <si>
    <t>국도46호선 호평IC교(상)</t>
  </si>
  <si>
    <t>6-1-1바탕처리</t>
  </si>
  <si>
    <t>프라이머 바름</t>
  </si>
  <si>
    <t>공구손료</t>
  </si>
  <si>
    <t>품   명</t>
  </si>
  <si>
    <t>7.중기운반(아스콘포장)[식]</t>
  </si>
  <si>
    <t>탠덤로울러(자주식)</t>
  </si>
  <si>
    <t>원가계산서</t>
  </si>
  <si>
    <t>건강보험료</t>
  </si>
  <si>
    <t>일   반   관   리   비</t>
  </si>
  <si>
    <t>벽체T=30mm (야간)</t>
  </si>
  <si>
    <t>배터리</t>
  </si>
  <si>
    <t>콘크리트면처리(치핑)</t>
  </si>
  <si>
    <t>소모량</t>
  </si>
  <si>
    <t>8. 아스팔트 디스트리뷰터</t>
  </si>
  <si>
    <t>사능1교(하)</t>
  </si>
  <si>
    <t>혼합물의 포설(아스팔트)</t>
  </si>
  <si>
    <t>인력품의</t>
  </si>
  <si>
    <t>,</t>
  </si>
  <si>
    <t>15</t>
  </si>
  <si>
    <t>(A + 4 + 6) ×0.009</t>
  </si>
  <si>
    <t>건   강   보   험   료</t>
  </si>
  <si>
    <t>노인장기요양  보 험 료</t>
  </si>
  <si>
    <t>콘크리트 균열보수</t>
  </si>
  <si>
    <t>주연료의</t>
  </si>
  <si>
    <t>2-1-1</t>
  </si>
  <si>
    <t>단산6참조</t>
  </si>
  <si>
    <t>Multy Coat B</t>
  </si>
  <si>
    <t>덤</t>
  </si>
  <si>
    <t>건설기계조장</t>
  </si>
  <si>
    <t>일위29참조</t>
  </si>
  <si>
    <t>(300×900×900×2T,오각(고휘도)</t>
  </si>
  <si>
    <t>(노면파쇄기용)</t>
  </si>
  <si>
    <t>m</t>
  </si>
  <si>
    <t>kg</t>
  </si>
  <si>
    <t>교면방수</t>
  </si>
  <si>
    <t>To</t>
  </si>
  <si>
    <t>0.95㎥</t>
  </si>
  <si>
    <t>1451(26.2)</t>
  </si>
  <si>
    <t>원</t>
  </si>
  <si>
    <t>직   접   재   료   비</t>
  </si>
  <si>
    <t>일위9참조</t>
  </si>
  <si>
    <t>설치비</t>
  </si>
  <si>
    <t>유지보수</t>
  </si>
  <si>
    <t>(12V60A)</t>
  </si>
  <si>
    <t>조달 26.2</t>
  </si>
  <si>
    <t>호평 IC교 (상)</t>
  </si>
  <si>
    <t>30</t>
  </si>
  <si>
    <t>2-7-2</t>
  </si>
  <si>
    <t>경우</t>
  </si>
  <si>
    <t>755(19.8)</t>
  </si>
  <si>
    <t>단가산출</t>
  </si>
  <si>
    <t>단산4참조</t>
  </si>
  <si>
    <t>나</t>
  </si>
  <si>
    <t>개</t>
  </si>
  <si>
    <t>재료비</t>
  </si>
  <si>
    <t>1-1</t>
  </si>
  <si>
    <t>천정 (야간)</t>
  </si>
  <si>
    <t>등과</t>
  </si>
  <si>
    <t>일위16참조</t>
  </si>
  <si>
    <t>(자주식)</t>
  </si>
  <si>
    <t>일당시공량</t>
  </si>
  <si>
    <t>순   공  사    원   가</t>
  </si>
  <si>
    <t>산 업 안 전 보건관리비</t>
  </si>
  <si>
    <t>소                  계</t>
  </si>
  <si>
    <t>개소</t>
  </si>
  <si>
    <t>머캐덤 로울러(자주식)</t>
  </si>
  <si>
    <t>1/8*16/12*25/20*24/15</t>
  </si>
  <si>
    <t>당초합계</t>
  </si>
  <si>
    <t>제12호표</t>
  </si>
  <si>
    <t>㎥는</t>
  </si>
  <si>
    <t>계산값</t>
  </si>
  <si>
    <t>몰탈바르기</t>
  </si>
  <si>
    <t>3.0</t>
  </si>
  <si>
    <t>13</t>
  </si>
  <si>
    <t>일위대가총괄표</t>
  </si>
  <si>
    <t>공사에서</t>
  </si>
  <si>
    <t>품    명</t>
  </si>
  <si>
    <t>회</t>
  </si>
  <si>
    <t>178(26.2)</t>
  </si>
  <si>
    <t>제10호표</t>
  </si>
  <si>
    <t>(0.57㎥)</t>
  </si>
  <si>
    <t>기계경비적용기준</t>
  </si>
  <si>
    <t>하150(26.3)</t>
  </si>
  <si>
    <t>2-6-2</t>
  </si>
  <si>
    <t>일위14참조</t>
  </si>
  <si>
    <t>교통표지판</t>
  </si>
  <si>
    <t>야간</t>
  </si>
  <si>
    <t>5.2%</t>
  </si>
  <si>
    <t>개소모</t>
  </si>
  <si>
    <t>프로판가스</t>
  </si>
  <si>
    <t>캐</t>
  </si>
  <si>
    <t>5. 머캐덤 로울러(자주식)</t>
  </si>
  <si>
    <t>(설치시1,500×1,850×800본체)</t>
  </si>
  <si>
    <t>톤</t>
  </si>
  <si>
    <t>재 료 비</t>
  </si>
  <si>
    <t>32</t>
  </si>
  <si>
    <t>당초경비</t>
  </si>
  <si>
    <t>N1</t>
  </si>
  <si>
    <t>D/M</t>
  </si>
  <si>
    <t>16.5%</t>
  </si>
  <si>
    <t>모터그레이더</t>
  </si>
  <si>
    <t>폐기물상차</t>
  </si>
  <si>
    <t>V</t>
  </si>
  <si>
    <t>(600,원형(고휘도)</t>
  </si>
  <si>
    <t>에폭시계신너</t>
  </si>
  <si>
    <t>229(26.2)</t>
  </si>
  <si>
    <t>아스팔트 프라이머</t>
  </si>
  <si>
    <t>안전관리책임자</t>
  </si>
  <si>
    <t>시간당</t>
  </si>
  <si>
    <t>달러($)</t>
  </si>
  <si>
    <t>폐기물처리비</t>
  </si>
  <si>
    <t>명    칭</t>
  </si>
  <si>
    <t>제16호표</t>
  </si>
  <si>
    <t>합</t>
  </si>
  <si>
    <t>유리알</t>
  </si>
  <si>
    <t>포장</t>
  </si>
  <si>
    <t>직   접   노   무   비</t>
  </si>
  <si>
    <t>주입공법</t>
  </si>
  <si>
    <t>일위12참조</t>
  </si>
  <si>
    <t>아스팔트 포장 절삭후 아스팔트 덧씌우기</t>
  </si>
  <si>
    <t>파선</t>
  </si>
  <si>
    <t>인부소계</t>
  </si>
  <si>
    <t>Ton</t>
  </si>
  <si>
    <t>22M (야간)</t>
  </si>
  <si>
    <t>600,원형(고휘도)</t>
  </si>
  <si>
    <t>1권555(19.8)</t>
  </si>
  <si>
    <t>1/8*16/12*25/20</t>
  </si>
  <si>
    <t>압축강도, 부착강도</t>
  </si>
  <si>
    <t>˚</t>
  </si>
  <si>
    <t xml:space="preserve"> </t>
  </si>
  <si>
    <t>㎥</t>
  </si>
  <si>
    <t>6.</t>
  </si>
  <si>
    <t>3800ℓ</t>
  </si>
  <si>
    <t>19</t>
  </si>
  <si>
    <t>당초노무비</t>
  </si>
  <si>
    <t>8%</t>
  </si>
  <si>
    <t>1.01%</t>
  </si>
  <si>
    <t>노면표시</t>
  </si>
  <si>
    <t>10. 덤프트럭</t>
  </si>
  <si>
    <t>호  표</t>
  </si>
  <si>
    <t>일위10참조</t>
  </si>
  <si>
    <t>(도로용접착제)</t>
  </si>
  <si>
    <t>운행도로</t>
  </si>
  <si>
    <t>.</t>
  </si>
  <si>
    <t>마르크(M)</t>
  </si>
  <si>
    <t>17</t>
  </si>
  <si>
    <t>((A + 4 + L/1.1) × 0.0253) + 3,300,000</t>
  </si>
  <si>
    <t>공사기간(투입일 정산)</t>
  </si>
  <si>
    <t>제14호표</t>
  </si>
  <si>
    <t>코아채취</t>
  </si>
  <si>
    <t>2.</t>
  </si>
  <si>
    <t>균열보수용</t>
  </si>
  <si>
    <t>㎡</t>
  </si>
  <si>
    <t>로봇신호수 설치 및 철거</t>
  </si>
  <si>
    <t>hr</t>
  </si>
  <si>
    <t>장</t>
  </si>
  <si>
    <t>호평IC교(상)</t>
  </si>
  <si>
    <t>일위30참조</t>
  </si>
  <si>
    <t>고압물청소</t>
  </si>
  <si>
    <t>,기호</t>
  </si>
  <si>
    <t>:</t>
  </si>
  <si>
    <t>산   재   보   험   료</t>
  </si>
  <si>
    <t>순</t>
  </si>
  <si>
    <t>3. 로우더(타이어)</t>
  </si>
  <si>
    <t>유통물가</t>
  </si>
  <si>
    <t>천정T=50mm (야간)</t>
  </si>
  <si>
    <t>로우더(타이어)+소형노면파쇄기</t>
  </si>
  <si>
    <t>2. 로우더(타이어)+소형노면파쇄기</t>
  </si>
  <si>
    <t>콘크리트 균열보수(야간)</t>
  </si>
  <si>
    <t>주간</t>
  </si>
  <si>
    <t>가</t>
  </si>
  <si>
    <t>469(26.2)</t>
  </si>
  <si>
    <t>2-4-2</t>
  </si>
  <si>
    <t>천정T=10mm (야간)</t>
  </si>
  <si>
    <t>단면보수(SSR공법)</t>
  </si>
  <si>
    <t>타이어로울러(자주식)</t>
  </si>
  <si>
    <t>1586(26.3)</t>
  </si>
  <si>
    <t>24</t>
  </si>
  <si>
    <t>제18호표</t>
  </si>
  <si>
    <t>연성포장</t>
  </si>
  <si>
    <t>A-Type (1회절삭,2회포장)-야간작업</t>
  </si>
  <si>
    <t>&lt; 2024년 품셈신설. 유지보수 2-1-4 &gt;</t>
  </si>
  <si>
    <t>23734488</t>
  </si>
  <si>
    <t>국도46호선</t>
  </si>
  <si>
    <t>(B + C + E)  ×0.1488</t>
  </si>
  <si>
    <t>2-1</t>
  </si>
  <si>
    <t>아스팔트프라이머</t>
  </si>
  <si>
    <t>내황산염단면복구재</t>
  </si>
  <si>
    <t>RSC-4</t>
  </si>
  <si>
    <t>225(26.2)</t>
  </si>
  <si>
    <t>아스팔트 디스트리뷰터</t>
  </si>
  <si>
    <t>'26年 개정</t>
  </si>
  <si>
    <t>504(26.2)</t>
  </si>
  <si>
    <t>SSR코트 - 상도</t>
  </si>
  <si>
    <t>안전관리계획서작성</t>
  </si>
  <si>
    <t>교량점검차</t>
  </si>
  <si>
    <t>도막방수제,시트 시공</t>
  </si>
  <si>
    <t>4</t>
  </si>
  <si>
    <t>1035(23.10)</t>
  </si>
  <si>
    <t>SSR코트 - 상도</t>
  </si>
  <si>
    <t>4</t>
  </si>
  <si>
    <t>t1</t>
  </si>
  <si>
    <t>잡품</t>
  </si>
  <si>
    <t>SSR-M100</t>
  </si>
  <si>
    <t>노임단가</t>
  </si>
  <si>
    <t>규   격</t>
  </si>
  <si>
    <t>개정품셈</t>
  </si>
  <si>
    <t>손   료</t>
  </si>
  <si>
    <t>L</t>
  </si>
  <si>
    <t>(0.7㎥)</t>
  </si>
  <si>
    <t>11. 덤프트럭</t>
  </si>
  <si>
    <t>일위32참조</t>
  </si>
  <si>
    <t>아스팔트디스트리뷰터</t>
  </si>
  <si>
    <t>내역서총괄표</t>
  </si>
  <si>
    <t>2-2-1</t>
  </si>
  <si>
    <t>손료</t>
  </si>
  <si>
    <t>ℓ</t>
  </si>
  <si>
    <t>수동식,백색파선</t>
  </si>
  <si>
    <t>(KSM-6080(백색,R5)</t>
  </si>
  <si>
    <t>1438(26.2)</t>
  </si>
  <si>
    <t>B</t>
  </si>
  <si>
    <t>식</t>
  </si>
  <si>
    <t>242(26.2)</t>
  </si>
  <si>
    <t>도 장 공</t>
  </si>
  <si>
    <t>H</t>
  </si>
  <si>
    <t>일위18참조</t>
  </si>
  <si>
    <t>회전식경광등</t>
  </si>
  <si>
    <t>경     비</t>
  </si>
  <si>
    <t>혼합.압송 일체형 뿜칠기계</t>
  </si>
  <si>
    <t>10~12Ton</t>
  </si>
  <si>
    <t>1/8*16/12*25/20*14/12</t>
  </si>
  <si>
    <t>SSR코트 - 중도</t>
  </si>
  <si>
    <t>167(26.2)</t>
  </si>
  <si>
    <t>평면교차로가</t>
  </si>
  <si>
    <t>14. 모터 그레이더</t>
  </si>
  <si>
    <t>공 사 이 행 보증수수료</t>
  </si>
  <si>
    <t>고   용   보   험   료</t>
  </si>
  <si>
    <t>(1 + 2 + 3 )</t>
  </si>
  <si>
    <t>아스팔트 포장 절삭 후 덧씌우기</t>
  </si>
  <si>
    <t>안전관리계획서작성비</t>
  </si>
  <si>
    <t>토목</t>
  </si>
  <si>
    <t>60Lmin(7.5KW)</t>
  </si>
  <si>
    <t>적용단가</t>
  </si>
  <si>
    <t>(6:18)</t>
  </si>
  <si>
    <t>주연료</t>
  </si>
  <si>
    <t>환경보전비</t>
  </si>
  <si>
    <t>제30호표</t>
  </si>
  <si>
    <t>라</t>
  </si>
  <si>
    <t>0.69</t>
  </si>
  <si>
    <t>폐  기  물  처  리  비</t>
  </si>
  <si>
    <t>F</t>
  </si>
  <si>
    <t>간접노무비</t>
  </si>
  <si>
    <t>설치시 1,500×1,850×800 본체</t>
  </si>
  <si>
    <t>q</t>
  </si>
  <si>
    <t>굴착기(무한궤도)</t>
  </si>
  <si>
    <t>×</t>
  </si>
  <si>
    <t>노무비</t>
  </si>
  <si>
    <t>연금보험료</t>
  </si>
  <si>
    <t>360×360×700mm</t>
  </si>
  <si>
    <t>900,삼각(고휘도)</t>
  </si>
  <si>
    <t>총원가</t>
  </si>
  <si>
    <t>일반관리비</t>
  </si>
  <si>
    <t>3800</t>
  </si>
  <si>
    <t>(5~8Ton)</t>
  </si>
  <si>
    <t>50kW</t>
  </si>
  <si>
    <t>13. 트럭트랙터및평판트레일러</t>
  </si>
  <si>
    <t>합     계</t>
  </si>
  <si>
    <t>D × 0.08</t>
  </si>
  <si>
    <t>간   접   노   무   비</t>
  </si>
  <si>
    <t>20</t>
  </si>
  <si>
    <t>제32호표</t>
  </si>
  <si>
    <t>(900,삼각(고휘도)</t>
  </si>
  <si>
    <t>,용해기</t>
  </si>
  <si>
    <t>경  비 소수 1 미만 절하</t>
  </si>
  <si>
    <t>하151(26.3)</t>
  </si>
  <si>
    <t>2-5</t>
  </si>
  <si>
    <t>교면복합씰</t>
  </si>
  <si>
    <t>page</t>
  </si>
  <si>
    <t>중기운반</t>
  </si>
  <si>
    <t>일위5참조</t>
  </si>
  <si>
    <t>제2호표</t>
  </si>
  <si>
    <t>(A + B) × 0.052</t>
  </si>
  <si>
    <t>3.차선도색(융착식,일반형)-운행도로,차량부분통제(수동식,백색파선) [㎡]</t>
  </si>
  <si>
    <t>마감재도포</t>
  </si>
  <si>
    <t>SSR-COAT-P</t>
  </si>
  <si>
    <t>B × 0.0101</t>
  </si>
  <si>
    <t>노</t>
  </si>
  <si>
    <t>sec</t>
  </si>
  <si>
    <t>t3</t>
  </si>
  <si>
    <t>밀링깊이</t>
  </si>
  <si>
    <t>산업안전보건관리비</t>
  </si>
  <si>
    <t>단산10참조</t>
  </si>
  <si>
    <t>제23호표</t>
  </si>
  <si>
    <t>현</t>
  </si>
  <si>
    <t>환 율 (/￦)</t>
  </si>
  <si>
    <t>(I + J)</t>
  </si>
  <si>
    <t>일위27참조</t>
  </si>
  <si>
    <t>니</t>
  </si>
  <si>
    <t>0.081%</t>
  </si>
  <si>
    <t>철근녹제거</t>
  </si>
  <si>
    <t>Type</t>
  </si>
  <si>
    <t>10(-7)</t>
  </si>
  <si>
    <t>172(26.2)</t>
  </si>
  <si>
    <t>26</t>
  </si>
  <si>
    <t>일</t>
  </si>
  <si>
    <t>792(21.2)</t>
  </si>
  <si>
    <t>2-3</t>
  </si>
  <si>
    <t>일위7참조</t>
  </si>
  <si>
    <t>기술료</t>
  </si>
  <si>
    <t>아스팔트스프레이어</t>
  </si>
  <si>
    <t>이하</t>
  </si>
  <si>
    <t>로우더(타이어)</t>
  </si>
  <si>
    <t>2026년(상)</t>
  </si>
  <si>
    <t>밀도</t>
  </si>
  <si>
    <t>노임</t>
  </si>
  <si>
    <t>2025년(하)-노임증가율반영</t>
  </si>
  <si>
    <t>6</t>
  </si>
  <si>
    <t>관급자재대</t>
  </si>
  <si>
    <t>(0.95㎥)</t>
  </si>
  <si>
    <t>2026.2.2. 매매기준율</t>
  </si>
  <si>
    <t>8</t>
  </si>
  <si>
    <t>일위25참조</t>
  </si>
  <si>
    <t>234(26.2)</t>
  </si>
  <si>
    <t>인</t>
  </si>
  <si>
    <t>제21호표</t>
  </si>
  <si>
    <t>벽체 붗칠2회</t>
  </si>
  <si>
    <t>6. 타이어 로울러(자주식)</t>
  </si>
  <si>
    <t>Φ550×850</t>
  </si>
  <si>
    <t>28</t>
  </si>
  <si>
    <t>3.56%</t>
  </si>
  <si>
    <t>노인장기요양보험료</t>
  </si>
  <si>
    <t>일위23참조</t>
  </si>
  <si>
    <t>교각</t>
  </si>
  <si>
    <t>※</t>
  </si>
  <si>
    <t>간   접   재   료   비</t>
  </si>
  <si>
    <t>기구손료</t>
  </si>
  <si>
    <t>22</t>
  </si>
  <si>
    <t>바</t>
  </si>
  <si>
    <t>2</t>
  </si>
  <si>
    <t>무</t>
  </si>
  <si>
    <t>순공사원가</t>
  </si>
  <si>
    <t>2-7</t>
  </si>
  <si>
    <t>2-5-2</t>
  </si>
  <si>
    <t>제27호표</t>
  </si>
  <si>
    <t>교면물빼기 유공관</t>
  </si>
  <si>
    <t>바탕처리</t>
  </si>
  <si>
    <t>아스콘(관급)-서울,인천,경기(강북,노원,도봉구 제외)</t>
  </si>
  <si>
    <t>244(26.2)</t>
  </si>
  <si>
    <t>물가자료</t>
  </si>
  <si>
    <t>재</t>
  </si>
  <si>
    <t>로우더(0.95㎥) 손료</t>
  </si>
  <si>
    <t>품     명</t>
  </si>
  <si>
    <t>일위1참조</t>
  </si>
  <si>
    <t>벽체</t>
  </si>
  <si>
    <t>제6호표</t>
  </si>
  <si>
    <t>(20Ton)</t>
  </si>
  <si>
    <t>철거</t>
  </si>
  <si>
    <t>합    계</t>
  </si>
  <si>
    <t>제25호표</t>
  </si>
  <si>
    <t>19. 굴삭기(무한궤도)</t>
  </si>
  <si>
    <t>5-2</t>
  </si>
  <si>
    <t>탠덤 로울러(자주식)</t>
  </si>
  <si>
    <t>5~8Ton</t>
  </si>
  <si>
    <t>(2.0m)</t>
  </si>
  <si>
    <t>타이어 로울러(자주식)</t>
  </si>
  <si>
    <t>SSR-COAT-T</t>
  </si>
  <si>
    <t>D</t>
  </si>
  <si>
    <t>2-3-1</t>
  </si>
  <si>
    <t>일위21참조</t>
  </si>
  <si>
    <t>물</t>
  </si>
  <si>
    <t>8~15Ton</t>
  </si>
  <si>
    <t>J</t>
  </si>
  <si>
    <t>료</t>
  </si>
  <si>
    <t>기타경비</t>
  </si>
  <si>
    <t>공구및잡재료비</t>
  </si>
  <si>
    <t>제4호표</t>
  </si>
  <si>
    <t>일위3참조</t>
  </si>
  <si>
    <t>산   출   근   거</t>
  </si>
  <si>
    <t>합계의</t>
  </si>
  <si>
    <t>자주식</t>
  </si>
  <si>
    <t>당초재료비</t>
  </si>
  <si>
    <t>10%</t>
  </si>
  <si>
    <t>반</t>
  </si>
  <si>
    <t>20Ton</t>
  </si>
  <si>
    <t>융착식 프라이머</t>
  </si>
  <si>
    <t>공종</t>
  </si>
  <si>
    <t>순 공 사 비</t>
  </si>
  <si>
    <t>(Φ550×850)</t>
  </si>
  <si>
    <t>3.</t>
  </si>
  <si>
    <t>파운드(L)</t>
  </si>
  <si>
    <t/>
  </si>
  <si>
    <t>계   약   내   역   서</t>
    <phoneticPr fontId="8" type="noConversion"/>
  </si>
  <si>
    <t>공사명</t>
    <phoneticPr fontId="8" type="noConversion"/>
  </si>
  <si>
    <t>:</t>
    <phoneticPr fontId="8" type="noConversion"/>
  </si>
  <si>
    <t>전체계약금액</t>
    <phoneticPr fontId="8" type="noConversion"/>
  </si>
  <si>
    <t>(</t>
    <phoneticPr fontId="8" type="noConversion"/>
  </si>
  <si>
    <t>\</t>
    <phoneticPr fontId="8" type="noConversion"/>
  </si>
  <si>
    <t>)</t>
    <phoneticPr fontId="8" type="noConversion"/>
  </si>
  <si>
    <t>공사개요</t>
    <phoneticPr fontId="8" type="noConversion"/>
  </si>
  <si>
    <r>
      <t>위 공사에 대하여 붙임과 같이</t>
    </r>
    <r>
      <rPr>
        <b/>
        <sz val="16"/>
        <rFont val="굴림"/>
        <family val="3"/>
        <charset val="129"/>
      </rPr>
      <t xml:space="preserve"> 계약내역서</t>
    </r>
    <r>
      <rPr>
        <sz val="16"/>
        <rFont val="굴림"/>
        <family val="3"/>
        <charset val="129"/>
      </rPr>
      <t>를 제출합니다.</t>
    </r>
    <phoneticPr fontId="8" type="noConversion"/>
  </si>
  <si>
    <t>상호</t>
    <phoneticPr fontId="8" type="noConversion"/>
  </si>
  <si>
    <t>대표자</t>
    <phoneticPr fontId="8" type="noConversion"/>
  </si>
  <si>
    <t>( 인 )</t>
    <phoneticPr fontId="16" type="noConversion"/>
  </si>
  <si>
    <t>주소</t>
    <phoneticPr fontId="8" type="noConversion"/>
  </si>
  <si>
    <t>의정부국토관리사무소장 귀하</t>
    <phoneticPr fontId="8" type="noConversion"/>
  </si>
  <si>
    <t>국도46호선 호평ic교(상) 등 포장 및 시설물 보수공사</t>
    <phoneticPr fontId="8" type="noConversion"/>
  </si>
  <si>
    <t>2026년   03 월   27 일</t>
    <phoneticPr fontId="8" type="noConversion"/>
  </si>
  <si>
    <t>호평 ic교(상) : 아스팔트 포장 절삭 후 덧씌우기, 국도46호선 신구운교 외 5개소 : 단면보수</t>
    <phoneticPr fontId="8" type="noConversion"/>
  </si>
  <si>
    <t>주식회사 아 산</t>
    <phoneticPr fontId="8" type="noConversion"/>
  </si>
  <si>
    <t>진 익 주</t>
    <phoneticPr fontId="8" type="noConversion"/>
  </si>
  <si>
    <t xml:space="preserve">경기도 남양주시 다산중앙로146번길 70-123, 2층                                 </t>
    <phoneticPr fontId="8" type="noConversion"/>
  </si>
  <si>
    <t>설계내역서</t>
    <phoneticPr fontId="8" type="noConversion"/>
  </si>
  <si>
    <t>도 급 금 액</t>
    <phoneticPr fontId="8" type="noConversion"/>
  </si>
  <si>
    <t>계약내역서</t>
    <phoneticPr fontId="8" type="noConversion"/>
  </si>
  <si>
    <t>투찰율</t>
    <phoneticPr fontId="8" type="noConversion"/>
  </si>
  <si>
    <t>제 경 비 산 출 내 역 서</t>
    <phoneticPr fontId="8" type="noConversion"/>
  </si>
  <si>
    <t>공 종 명</t>
  </si>
  <si>
    <t>설계금액</t>
    <phoneticPr fontId="8" type="noConversion"/>
  </si>
  <si>
    <t>도급금액</t>
    <phoneticPr fontId="8" type="noConversion"/>
  </si>
  <si>
    <t>산 출 근 거</t>
    <phoneticPr fontId="8" type="noConversion"/>
  </si>
  <si>
    <t>비 고</t>
    <phoneticPr fontId="8" type="noConversion"/>
  </si>
  <si>
    <t xml:space="preserve"> 가. 직접공사비</t>
    <phoneticPr fontId="8" type="noConversion"/>
  </si>
  <si>
    <t xml:space="preserve">   1.간 접 노 무 비</t>
    <phoneticPr fontId="8" type="noConversion"/>
  </si>
  <si>
    <t>÷</t>
    <phoneticPr fontId="8" type="noConversion"/>
  </si>
  <si>
    <t>×</t>
    <phoneticPr fontId="8" type="noConversion"/>
  </si>
  <si>
    <t>=</t>
    <phoneticPr fontId="8" type="noConversion"/>
  </si>
  <si>
    <t>≒</t>
    <phoneticPr fontId="8" type="noConversion"/>
  </si>
  <si>
    <t xml:space="preserve">   2.산 재 보 험 료</t>
    <phoneticPr fontId="8" type="noConversion"/>
  </si>
  <si>
    <t xml:space="preserve">   3.고 용 보 험 료</t>
    <phoneticPr fontId="8" type="noConversion"/>
  </si>
  <si>
    <t xml:space="preserve">   4.건 강 보 험 료</t>
    <phoneticPr fontId="8" type="noConversion"/>
  </si>
  <si>
    <t>설계가 반영</t>
    <phoneticPr fontId="8" type="noConversion"/>
  </si>
  <si>
    <t xml:space="preserve">   5.연 금 보 험 료</t>
    <phoneticPr fontId="8" type="noConversion"/>
  </si>
  <si>
    <t xml:space="preserve">   6.노인장기요양보험료</t>
    <phoneticPr fontId="8" type="noConversion"/>
  </si>
  <si>
    <t xml:space="preserve">   7.퇴직공제부금비</t>
    <phoneticPr fontId="8" type="noConversion"/>
  </si>
  <si>
    <t xml:space="preserve">   8.건설기계대여대금</t>
    <phoneticPr fontId="8" type="noConversion"/>
  </si>
  <si>
    <t xml:space="preserve">   10.환 경 보 전 비</t>
    <phoneticPr fontId="8" type="noConversion"/>
  </si>
  <si>
    <t xml:space="preserve">   11.하도급대금지급보증수수료</t>
    <phoneticPr fontId="8" type="noConversion"/>
  </si>
  <si>
    <t xml:space="preserve">   12.기  타  경  비</t>
    <phoneticPr fontId="8" type="noConversion"/>
  </si>
  <si>
    <t xml:space="preserve"> 나. 소         계</t>
    <phoneticPr fontId="8" type="noConversion"/>
  </si>
  <si>
    <t xml:space="preserve">   13.일 반 관 리 비</t>
    <phoneticPr fontId="8" type="noConversion"/>
  </si>
  <si>
    <t xml:space="preserve">   14.이          윤</t>
    <phoneticPr fontId="8" type="noConversion"/>
  </si>
  <si>
    <t>이윤조정</t>
    <phoneticPr fontId="8" type="noConversion"/>
  </si>
  <si>
    <t xml:space="preserve">   15.안전관리계획서작성</t>
    <phoneticPr fontId="8" type="noConversion"/>
  </si>
  <si>
    <t xml:space="preserve">   16.폐기물처리비</t>
    <phoneticPr fontId="8" type="noConversion"/>
  </si>
  <si>
    <t xml:space="preserve"> 라. 공  급  가  액</t>
    <phoneticPr fontId="8" type="noConversion"/>
  </si>
  <si>
    <t xml:space="preserve">   17.부 가 가 치 세</t>
    <phoneticPr fontId="8" type="noConversion"/>
  </si>
  <si>
    <t xml:space="preserve"> 마. 도 급 공 사 비</t>
    <phoneticPr fontId="8" type="noConversion"/>
  </si>
  <si>
    <t>공사명 : 국도46호선 호평ic교(상) 등 포장 및 시설물 보수공사</t>
    <phoneticPr fontId="8" type="noConversion"/>
  </si>
  <si>
    <t>적 용 제 경 비 산 출 서</t>
    <phoneticPr fontId="30" type="noConversion"/>
  </si>
  <si>
    <t>구 분</t>
    <phoneticPr fontId="30" type="noConversion"/>
  </si>
  <si>
    <t>도급금액</t>
    <phoneticPr fontId="30" type="noConversion"/>
  </si>
  <si>
    <t>산 출 근 거</t>
    <phoneticPr fontId="30" type="noConversion"/>
  </si>
  <si>
    <t>적용 제경비율</t>
    <phoneticPr fontId="8" type="noConversion"/>
  </si>
  <si>
    <t>- 순공사비 = 직접공사비</t>
    <phoneticPr fontId="30" type="noConversion"/>
  </si>
  <si>
    <t>가. 간접노무비</t>
    <phoneticPr fontId="8" type="noConversion"/>
  </si>
  <si>
    <t>순공사비</t>
    <phoneticPr fontId="8" type="noConversion"/>
  </si>
  <si>
    <t>나. 산재보험료</t>
    <phoneticPr fontId="8" type="noConversion"/>
  </si>
  <si>
    <t>다. 고용보험료</t>
    <phoneticPr fontId="8" type="noConversion"/>
  </si>
  <si>
    <t>라. 건강보험료</t>
    <phoneticPr fontId="8" type="noConversion"/>
  </si>
  <si>
    <t>마. 연금보험료</t>
    <phoneticPr fontId="8" type="noConversion"/>
  </si>
  <si>
    <t>바. 노인장기요양보험료</t>
    <phoneticPr fontId="8" type="noConversion"/>
  </si>
  <si>
    <t>사. 퇴직공제부금비</t>
    <phoneticPr fontId="8" type="noConversion"/>
  </si>
  <si>
    <t>아. 건설기계대여대금지급보증서</t>
    <phoneticPr fontId="8" type="noConversion"/>
  </si>
  <si>
    <t>자. 산업안전보건관리비</t>
    <phoneticPr fontId="8" type="noConversion"/>
  </si>
  <si>
    <t>차. 환경보전비</t>
    <phoneticPr fontId="8" type="noConversion"/>
  </si>
  <si>
    <t>카. 하도급대금지급보증수수료</t>
    <phoneticPr fontId="8" type="noConversion"/>
  </si>
  <si>
    <t>타. 기타경비</t>
    <phoneticPr fontId="8" type="noConversion"/>
  </si>
  <si>
    <t xml:space="preserve">  1. 순공사원가</t>
    <phoneticPr fontId="8" type="noConversion"/>
  </si>
  <si>
    <t xml:space="preserve">  2. 일반관리비</t>
    <phoneticPr fontId="8" type="noConversion"/>
  </si>
  <si>
    <t>순공사원가</t>
    <phoneticPr fontId="8" type="noConversion"/>
  </si>
  <si>
    <t xml:space="preserve">  3. 이        윤</t>
    <phoneticPr fontId="8" type="noConversion"/>
  </si>
  <si>
    <t xml:space="preserve">  4. 안전관리계획서작성</t>
    <phoneticPr fontId="8" type="noConversion"/>
  </si>
  <si>
    <t xml:space="preserve">  5. 폐기물처리비</t>
    <phoneticPr fontId="8" type="noConversion"/>
  </si>
  <si>
    <t xml:space="preserve"> 공 급 가 액</t>
    <phoneticPr fontId="8" type="noConversion"/>
  </si>
  <si>
    <t xml:space="preserve">  6. 부가가치세</t>
    <phoneticPr fontId="8" type="noConversion"/>
  </si>
  <si>
    <t xml:space="preserve"> Ⅰ.도 급 액</t>
    <phoneticPr fontId="8" type="noConversion"/>
  </si>
  <si>
    <t>관급자재대</t>
    <phoneticPr fontId="8" type="noConversion"/>
  </si>
  <si>
    <t>안전관리계획서 작성</t>
    <phoneticPr fontId="8" type="noConversion"/>
  </si>
  <si>
    <t>폐기물처리비</t>
    <phoneticPr fontId="8" type="noConversion"/>
  </si>
  <si>
    <t>식</t>
    <phoneticPr fontId="8" type="noConversion"/>
  </si>
  <si>
    <t xml:space="preserve">   9.산 업 안 전 보 건 관 리 비</t>
    <phoneticPr fontId="8" type="noConversion"/>
  </si>
  <si>
    <t>일금 오억칠천일백이만이천칠백원정</t>
  </si>
  <si>
    <t>110,285,258</t>
  </si>
  <si>
    <t>64,798,890</t>
  </si>
  <si>
    <t>6,099,788</t>
  </si>
  <si>
    <t>77,210,481</t>
  </si>
  <si>
    <t>42,523,522</t>
  </si>
  <si>
    <t>21,844,583</t>
  </si>
  <si>
    <t>187,495,739</t>
  </si>
  <si>
    <t>107,322,412</t>
  </si>
  <si>
    <t>27,944,371</t>
  </si>
  <si>
    <t>37,700,000</t>
  </si>
  <si>
    <t>108,354,908</t>
  </si>
  <si>
    <t>61,266,379</t>
  </si>
  <si>
    <t>3,565,702</t>
  </si>
  <si>
    <t>1,930,350</t>
  </si>
  <si>
    <t>3,532,511</t>
  </si>
  <si>
    <t>2,534,086</t>
  </si>
  <si>
    <t>2,999,433</t>
  </si>
  <si>
    <t>1,482,225</t>
  </si>
  <si>
    <t>1,714,539</t>
  </si>
  <si>
    <t>1,703,281</t>
  </si>
  <si>
    <t>1,063,453</t>
  </si>
  <si>
    <t>27,998</t>
  </si>
  <si>
    <t>279,280</t>
  </si>
  <si>
    <t>519,510</t>
  </si>
  <si>
    <t>6,350</t>
  </si>
  <si>
    <t>791,502</t>
  </si>
  <si>
    <t>225,394</t>
  </si>
  <si>
    <t>11,085</t>
  </si>
  <si>
    <t>57,403</t>
  </si>
  <si>
    <t>18,714</t>
  </si>
  <si>
    <t>876</t>
  </si>
  <si>
    <t>575,096</t>
  </si>
  <si>
    <t>299,835</t>
  </si>
  <si>
    <t>9,687</t>
  </si>
  <si>
    <t>1,296,152</t>
  </si>
  <si>
    <t>418,772</t>
  </si>
  <si>
    <t>1,686,541</t>
  </si>
  <si>
    <t>13,034,608</t>
  </si>
  <si>
    <t>5,467,202</t>
  </si>
  <si>
    <t>3,531,721</t>
  </si>
  <si>
    <t>10,502,040</t>
  </si>
  <si>
    <t>4,706,996</t>
  </si>
  <si>
    <t>159,596</t>
  </si>
  <si>
    <t>7,320,758</t>
  </si>
  <si>
    <t>3,441,056</t>
  </si>
  <si>
    <t>106,032</t>
  </si>
  <si>
    <t>1,585,580</t>
  </si>
  <si>
    <t>715,884</t>
  </si>
  <si>
    <t>28,374</t>
  </si>
  <si>
    <t>1,595,702</t>
  </si>
  <si>
    <t>550,056</t>
  </si>
  <si>
    <t>25,190</t>
  </si>
  <si>
    <t>2,532,568</t>
  </si>
  <si>
    <t>760,206</t>
  </si>
  <si>
    <t>3,372,125</t>
  </si>
  <si>
    <t>24,351,330</t>
  </si>
  <si>
    <t>14,307,594</t>
  </si>
  <si>
    <t>5,661,091</t>
  </si>
  <si>
    <t>20,078,391</t>
  </si>
  <si>
    <t>12,983,533</t>
  </si>
  <si>
    <t>344,072</t>
  </si>
  <si>
    <t>5,976,182</t>
  </si>
  <si>
    <t>2,714,304</t>
  </si>
  <si>
    <t>97,225</t>
  </si>
  <si>
    <t>6,199,699</t>
  </si>
  <si>
    <t>5,962,294</t>
  </si>
  <si>
    <t>110,033</t>
  </si>
  <si>
    <t>3,228,454</t>
  </si>
  <si>
    <t>1,138,287</t>
  </si>
  <si>
    <t>51,319</t>
  </si>
  <si>
    <t>4,674,056</t>
  </si>
  <si>
    <t>3,168,648</t>
  </si>
  <si>
    <t>85,495</t>
  </si>
  <si>
    <t>4,272,939</t>
  </si>
  <si>
    <t>1,324,061</t>
  </si>
  <si>
    <t>5,317,019</t>
  </si>
  <si>
    <t>12,815,681</t>
  </si>
  <si>
    <t>8,242,449</t>
  </si>
  <si>
    <t>3,708,903</t>
  </si>
  <si>
    <t>9,781,460</t>
  </si>
  <si>
    <t>7,260,581</t>
  </si>
  <si>
    <t>177,425</t>
  </si>
  <si>
    <t>3,494,612</t>
  </si>
  <si>
    <t>3,362,481</t>
  </si>
  <si>
    <t>71,337</t>
  </si>
  <si>
    <t>3,378,925</t>
  </si>
  <si>
    <t>2,510,660</t>
  </si>
  <si>
    <t>57,641</t>
  </si>
  <si>
    <t>1,007,221</t>
  </si>
  <si>
    <t>437,391</t>
  </si>
  <si>
    <t>16,424</t>
  </si>
  <si>
    <t>1,900,702</t>
  </si>
  <si>
    <t>950,049</t>
  </si>
  <si>
    <t>32,023</t>
  </si>
  <si>
    <t>3,034,221</t>
  </si>
  <si>
    <t>981,868</t>
  </si>
  <si>
    <t>3,531,478</t>
  </si>
  <si>
    <t>3,852,197</t>
  </si>
  <si>
    <t>1,979,830</t>
  </si>
  <si>
    <t>1,730,011</t>
  </si>
  <si>
    <t>2,556,045</t>
  </si>
  <si>
    <t>1,561,058</t>
  </si>
  <si>
    <t>43,470</t>
  </si>
  <si>
    <t>370,318</t>
  </si>
  <si>
    <t>447,306</t>
  </si>
  <si>
    <t>7,606</t>
  </si>
  <si>
    <t>1,167,825</t>
  </si>
  <si>
    <t>580,460</t>
  </si>
  <si>
    <t>17,511</t>
  </si>
  <si>
    <t>345,484</t>
  </si>
  <si>
    <t>224,979</t>
  </si>
  <si>
    <t>6,183</t>
  </si>
  <si>
    <t>672,418</t>
  </si>
  <si>
    <t>308,313</t>
  </si>
  <si>
    <t>12,170</t>
  </si>
  <si>
    <t>9,186,294</t>
  </si>
  <si>
    <t>6,329,001</t>
  </si>
  <si>
    <t>1,985,402</t>
  </si>
  <si>
    <t>7,388,489</t>
  </si>
  <si>
    <t>5,688,567</t>
  </si>
  <si>
    <t>139,508</t>
  </si>
  <si>
    <t>3,383,010</t>
  </si>
  <si>
    <t>3,775,422</t>
  </si>
  <si>
    <t>77,622</t>
  </si>
  <si>
    <t>1,765,696</t>
  </si>
  <si>
    <t>1,070,604</t>
  </si>
  <si>
    <t>26,795</t>
  </si>
  <si>
    <t>1,952,768</t>
  </si>
  <si>
    <t>748,971</t>
  </si>
  <si>
    <t>30,711</t>
  </si>
  <si>
    <t>287,015</t>
  </si>
  <si>
    <t>93,570</t>
  </si>
  <si>
    <t>4,380</t>
  </si>
  <si>
    <t>1,797,805</t>
  </si>
  <si>
    <t>640,434</t>
  </si>
  <si>
    <t>1,845,894</t>
  </si>
  <si>
    <t>10,970,938</t>
  </si>
  <si>
    <t>4,715,221</t>
  </si>
  <si>
    <t>3,512,916</t>
  </si>
  <si>
    <t>8,438,370</t>
  </si>
  <si>
    <t>3,955,015</t>
  </si>
  <si>
    <t>140,791</t>
  </si>
  <si>
    <t>2,252,470</t>
  </si>
  <si>
    <t>1,255,710</t>
  </si>
  <si>
    <t>39,433</t>
  </si>
  <si>
    <t>948,341</t>
  </si>
  <si>
    <t>906,028</t>
  </si>
  <si>
    <t>19,379</t>
  </si>
  <si>
    <t>2,728,245</t>
  </si>
  <si>
    <t>886,116</t>
  </si>
  <si>
    <t>41,777</t>
  </si>
  <si>
    <t>2,509,314</t>
  </si>
  <si>
    <t>907,161</t>
  </si>
  <si>
    <t>40,202</t>
  </si>
  <si>
    <t>15,618,976</t>
  </si>
  <si>
    <t>0</t>
  </si>
  <si>
    <t>2,265,627</t>
  </si>
  <si>
    <t>454,308</t>
  </si>
  <si>
    <t>37,645,120</t>
  </si>
  <si>
    <t>공사명 : 국도46호선 호평ic교(상) 등 포장 및 시설물 보수공사</t>
  </si>
  <si>
    <t>121,695,188</t>
  </si>
  <si>
    <t>71,502,290</t>
  </si>
  <si>
    <t>6,710,835</t>
  </si>
  <si>
    <t>119,565,140</t>
  </si>
  <si>
    <t>67,604,336</t>
  </si>
  <si>
    <t>3,936,499</t>
  </si>
  <si>
    <t>4,055</t>
  </si>
  <si>
    <t>1,333</t>
  </si>
  <si>
    <t>1,640</t>
  </si>
  <si>
    <t>2,130,048</t>
  </si>
  <si>
    <t>3,897,954</t>
  </si>
  <si>
    <t>2,774,336</t>
  </si>
  <si>
    <t>3,185</t>
  </si>
  <si>
    <t>23,913</t>
  </si>
  <si>
    <t>385</t>
  </si>
  <si>
    <t>6,371</t>
  </si>
  <si>
    <t>25,365</t>
  </si>
  <si>
    <t>770</t>
  </si>
  <si>
    <t>17,698</t>
  </si>
  <si>
    <t>26,218</t>
  </si>
  <si>
    <t>2,141</t>
  </si>
  <si>
    <t>85,196,231</t>
  </si>
  <si>
    <t>46,921,986</t>
  </si>
  <si>
    <t>24,093,958</t>
  </si>
  <si>
    <t>3,309,659</t>
  </si>
  <si>
    <t>1,635,537</t>
  </si>
  <si>
    <t>1,891,873</t>
  </si>
  <si>
    <t>1,879,450</t>
  </si>
  <si>
    <t>1,173,451</t>
  </si>
  <si>
    <t>30,902</t>
  </si>
  <si>
    <t>308,166</t>
  </si>
  <si>
    <t>573,240</t>
  </si>
  <si>
    <t>7,008</t>
  </si>
  <si>
    <t>873,367</t>
  </si>
  <si>
    <t>248,711</t>
  </si>
  <si>
    <t>12,234</t>
  </si>
  <si>
    <t>63,340</t>
  </si>
  <si>
    <t>20,650</t>
  </si>
  <si>
    <t>967</t>
  </si>
  <si>
    <t>634,577</t>
  </si>
  <si>
    <t>330,850</t>
  </si>
  <si>
    <t>10,693</t>
  </si>
  <si>
    <t>1,430,209</t>
  </si>
  <si>
    <t>462,086</t>
  </si>
  <si>
    <t>1,860,971</t>
  </si>
  <si>
    <t>810,756</t>
  </si>
  <si>
    <t>132,160</t>
  </si>
  <si>
    <t>1,684,080</t>
  </si>
  <si>
    <t>2,541</t>
  </si>
  <si>
    <t>838</t>
  </si>
  <si>
    <t>1,057</t>
  </si>
  <si>
    <t>14,382,759</t>
  </si>
  <si>
    <t>6,032,719</t>
  </si>
  <si>
    <t>3,897,026</t>
  </si>
  <si>
    <t>11,588,257</t>
  </si>
  <si>
    <t>5,193,885</t>
  </si>
  <si>
    <t>176,141</t>
  </si>
  <si>
    <t>8,077,930</t>
  </si>
  <si>
    <t>3,796,980</t>
  </si>
  <si>
    <t>117,012</t>
  </si>
  <si>
    <t>1,749,584</t>
  </si>
  <si>
    <t>789,944</t>
  </si>
  <si>
    <t>31,322</t>
  </si>
  <si>
    <t>1,760,743</t>
  </si>
  <si>
    <t>606,961</t>
  </si>
  <si>
    <t>27,807</t>
  </si>
  <si>
    <t>2,794,502</t>
  </si>
  <si>
    <t>838,834</t>
  </si>
  <si>
    <t>3,720,885</t>
  </si>
  <si>
    <t>26,869,937</t>
  </si>
  <si>
    <t>15,787,515</t>
  </si>
  <si>
    <t>6,236,468</t>
  </si>
  <si>
    <t>22,155,064</t>
  </si>
  <si>
    <t>14,326,507</t>
  </si>
  <si>
    <t>379,778</t>
  </si>
  <si>
    <t>6,594,285</t>
  </si>
  <si>
    <t>2,995,081</t>
  </si>
  <si>
    <t>107,323</t>
  </si>
  <si>
    <t>6,840,915</t>
  </si>
  <si>
    <t>6,578,977</t>
  </si>
  <si>
    <t>121,431</t>
  </si>
  <si>
    <t>3,562,369</t>
  </si>
  <si>
    <t>1,256,046</t>
  </si>
  <si>
    <t>56,651</t>
  </si>
  <si>
    <t>5,157,495</t>
  </si>
  <si>
    <t>3,496,403</t>
  </si>
  <si>
    <t>94,373</t>
  </si>
  <si>
    <t>4,714,873</t>
  </si>
  <si>
    <t>1,461,008</t>
  </si>
  <si>
    <t>5,856,690</t>
  </si>
  <si>
    <t>14,141,184</t>
  </si>
  <si>
    <t>9,094,995</t>
  </si>
  <si>
    <t>4,092,554</t>
  </si>
  <si>
    <t>10,793,145</t>
  </si>
  <si>
    <t>8,011,573</t>
  </si>
  <si>
    <t>195,835</t>
  </si>
  <si>
    <t>3,856,065</t>
  </si>
  <si>
    <t>3,710,268</t>
  </si>
  <si>
    <t>78,742</t>
  </si>
  <si>
    <t>3,728,395</t>
  </si>
  <si>
    <t>2,770,344</t>
  </si>
  <si>
    <t>63,614</t>
  </si>
  <si>
    <t>1,111,396</t>
  </si>
  <si>
    <t>482,637</t>
  </si>
  <si>
    <t>18,130</t>
  </si>
  <si>
    <t>2,097,289</t>
  </si>
  <si>
    <t>1,048,324</t>
  </si>
  <si>
    <t>35,349</t>
  </si>
  <si>
    <t>3,348,039</t>
  </si>
  <si>
    <t>1,083,422</t>
  </si>
  <si>
    <t>3,896,719</t>
  </si>
  <si>
    <t>4,250,625</t>
  </si>
  <si>
    <t>2,184,615</t>
  </si>
  <si>
    <t>1,908,951</t>
  </si>
  <si>
    <t>2,820,416</t>
  </si>
  <si>
    <t>1,722,529</t>
  </si>
  <si>
    <t>47,980</t>
  </si>
  <si>
    <t>408,620</t>
  </si>
  <si>
    <t>493,570</t>
  </si>
  <si>
    <t>8,395</t>
  </si>
  <si>
    <t>1,288,609</t>
  </si>
  <si>
    <t>640,500</t>
  </si>
  <si>
    <t>19,325</t>
  </si>
  <si>
    <t>381,217</t>
  </si>
  <si>
    <t>248,250</t>
  </si>
  <si>
    <t>6,825</t>
  </si>
  <si>
    <t>741,970</t>
  </si>
  <si>
    <t>340,209</t>
  </si>
  <si>
    <t>13,435</t>
  </si>
  <si>
    <t>10,136,422</t>
  </si>
  <si>
    <t>6,983,632</t>
  </si>
  <si>
    <t>2,190,790</t>
  </si>
  <si>
    <t>8,152,676</t>
  </si>
  <si>
    <t>6,276,958</t>
  </si>
  <si>
    <t>153,985</t>
  </si>
  <si>
    <t>3,732,922</t>
  </si>
  <si>
    <t>4,165,918</t>
  </si>
  <si>
    <t>85,679</t>
  </si>
  <si>
    <t>1,948,317</t>
  </si>
  <si>
    <t>1,181,340</t>
  </si>
  <si>
    <t>29,570</t>
  </si>
  <si>
    <t>2,154,737</t>
  </si>
  <si>
    <t>826,450</t>
  </si>
  <si>
    <t>33,901</t>
  </si>
  <si>
    <t>316,700</t>
  </si>
  <si>
    <t>103,250</t>
  </si>
  <si>
    <t>4,835</t>
  </si>
  <si>
    <t>1,983,746</t>
  </si>
  <si>
    <t>706,674</t>
  </si>
  <si>
    <t>2,036,805</t>
  </si>
  <si>
    <t>12,105,645</t>
  </si>
  <si>
    <t>5,202,973</t>
  </si>
  <si>
    <t>3,876,296</t>
  </si>
  <si>
    <t>9,311,143</t>
  </si>
  <si>
    <t>4,364,139</t>
  </si>
  <si>
    <t>155,411</t>
  </si>
  <si>
    <t>2,485,445</t>
  </si>
  <si>
    <t>1,385,603</t>
  </si>
  <si>
    <t>43,529</t>
  </si>
  <si>
    <t>1,046,429</t>
  </si>
  <si>
    <t>999,740</t>
  </si>
  <si>
    <t>21,386</t>
  </si>
  <si>
    <t>3,010,419</t>
  </si>
  <si>
    <t>977,787</t>
  </si>
  <si>
    <t>46,117</t>
  </si>
  <si>
    <t>2,768,850</t>
  </si>
  <si>
    <t>1,001,009</t>
  </si>
  <si>
    <t>44,379</t>
  </si>
  <si>
    <t>206,891,419</t>
  </si>
  <si>
    <t>118,424,276</t>
  </si>
  <si>
    <t>30,804,793</t>
  </si>
  <si>
    <t>501,302</t>
  </si>
  <si>
    <t>369,025</t>
  </si>
  <si>
    <t>244,588</t>
  </si>
  <si>
    <t>175,834</t>
  </si>
  <si>
    <t>42,250</t>
  </si>
  <si>
    <t>84,500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</si>
</sst>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#,##0.0########"/>
    <numFmt numFmtId="178" formatCode="#,##0.##"/>
    <numFmt numFmtId="179" formatCode="#,##0.#######"/>
    <numFmt numFmtId="180" formatCode="&quot;₩&quot;#,##0"/>
    <numFmt numFmtId="181" formatCode="yyyy&quot;년&quot;\ m&quot;월&quot;\ d&quot;일&quot;;@"/>
    <numFmt numFmtId="182" formatCode="0.0000%"/>
    <numFmt numFmtId="183" formatCode="#,##0_);[Red]\(#,##0\)"/>
    <numFmt numFmtId="184" formatCode="General;\-General\,&quot;&quot;;@"/>
    <numFmt numFmtId="185" formatCode="0.000%"/>
    <numFmt numFmtId="186" formatCode="0.000000%"/>
    <numFmt numFmtId="187" formatCode="_(* #,##0_);_(* \(#,##0\);_(* &quot;-&quot;??_);_(@_)"/>
    <numFmt numFmtId="188" formatCode="#,##0.00_);[Red]\(#,##0.00\)"/>
    <numFmt numFmtId="189" formatCode="#,##0.00000000;[Red]\-#,##0.00000000"/>
    <numFmt numFmtId="190" formatCode="#,##0_ "/>
  </numFmts>
  <fonts count="56">
    <font>
      <sz val="10"/>
      <color indexed="8"/>
      <name val="Arial"/>
      <family val="2"/>
    </font>
    <font>
      <b/>
      <sz val="18"/>
      <color indexed="8"/>
      <name val="굴림체"/>
      <family val="3"/>
    </font>
    <font>
      <b/>
      <sz val="25"/>
      <color indexed="8"/>
      <name val="굴림체"/>
      <family val="3"/>
    </font>
    <font>
      <b/>
      <sz val="20"/>
      <color indexed="8"/>
      <name val="Arial"/>
      <family val="2"/>
    </font>
    <font>
      <b/>
      <sz val="9"/>
      <color indexed="8"/>
      <name val="굴림체"/>
      <family val="3"/>
    </font>
    <font>
      <sz val="9"/>
      <color indexed="8"/>
      <name val="굴림체"/>
      <family val="3"/>
    </font>
    <font>
      <b/>
      <sz val="13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2"/>
      <name val="굴림"/>
      <family val="3"/>
      <charset val="129"/>
    </font>
    <font>
      <b/>
      <sz val="24"/>
      <name val="굴림"/>
      <family val="3"/>
      <charset val="129"/>
    </font>
    <font>
      <sz val="18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6"/>
      <name val="굴림"/>
      <family val="3"/>
      <charset val="129"/>
    </font>
    <font>
      <b/>
      <sz val="16"/>
      <name val="굴림"/>
      <family val="3"/>
      <charset val="129"/>
    </font>
    <font>
      <sz val="8"/>
      <name val="굴림체"/>
      <family val="3"/>
    </font>
    <font>
      <b/>
      <u/>
      <sz val="13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20"/>
      <color indexed="8"/>
      <name val="굴림체"/>
      <family val="3"/>
    </font>
    <font>
      <sz val="10"/>
      <color indexed="8"/>
      <name val="굴림체"/>
      <family val="3"/>
    </font>
    <font>
      <b/>
      <sz val="20"/>
      <color indexed="8"/>
      <name val="굴림"/>
      <family val="3"/>
      <charset val="129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name val="굴림체"/>
      <family val="3"/>
    </font>
    <font>
      <sz val="11"/>
      <name val="돋움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"/>
      <family val="3"/>
      <charset val="129"/>
    </font>
    <font>
      <sz val="11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20"/>
      <color rgb="FF000000"/>
      <name val="굴림체"/>
      <family val="3"/>
      <charset val="129"/>
    </font>
    <font>
      <b/>
      <sz val="20"/>
      <color rgb="FF00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0"/>
      </bottom>
      <diagonal/>
    </border>
    <border>
      <left style="hair">
        <color indexed="64"/>
      </left>
      <right style="hair">
        <color indexed="64"/>
      </right>
      <top/>
      <bottom style="thin">
        <color indexed="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9" fontId="7" fillId="0" borderId="0"/>
    <xf numFmtId="176" fontId="7" fillId="0" borderId="0"/>
    <xf numFmtId="41" fontId="31" fillId="0" borderId="0" applyFont="0" applyFill="0" applyBorder="0" applyAlignment="0" applyProtection="0"/>
    <xf numFmtId="0" fontId="7" fillId="0" borderId="0"/>
    <xf numFmtId="0" fontId="39" fillId="0" borderId="0">
      <alignment vertical="center"/>
    </xf>
    <xf numFmtId="0" fontId="29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vertical="center"/>
    </xf>
    <xf numFmtId="3" fontId="5" fillId="0" borderId="1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0" fillId="0" borderId="0" xfId="0" applyNumberFormat="1"/>
    <xf numFmtId="3" fontId="5" fillId="0" borderId="23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left" vertical="center"/>
    </xf>
    <xf numFmtId="3" fontId="5" fillId="0" borderId="24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left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left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9" xfId="0" applyBorder="1"/>
    <xf numFmtId="177" fontId="0" fillId="0" borderId="29" xfId="0" applyNumberFormat="1" applyBorder="1"/>
    <xf numFmtId="0" fontId="0" fillId="0" borderId="30" xfId="0" applyBorder="1"/>
    <xf numFmtId="0" fontId="0" fillId="0" borderId="29" xfId="0" applyBorder="1" applyAlignment="1">
      <alignment horizontal="center"/>
    </xf>
    <xf numFmtId="3" fontId="0" fillId="0" borderId="29" xfId="0" applyNumberFormat="1" applyBorder="1" applyAlignment="1">
      <alignment horizontal="right"/>
    </xf>
    <xf numFmtId="3" fontId="0" fillId="0" borderId="29" xfId="0" applyNumberFormat="1" applyBorder="1"/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3" fontId="4" fillId="0" borderId="23" xfId="0" applyNumberFormat="1" applyFont="1" applyBorder="1" applyAlignment="1">
      <alignment horizontal="left" vertical="center"/>
    </xf>
    <xf numFmtId="3" fontId="4" fillId="0" borderId="24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horizontal="right" vertical="center"/>
    </xf>
    <xf numFmtId="3" fontId="5" fillId="0" borderId="24" xfId="0" applyNumberFormat="1" applyFont="1" applyBorder="1" applyAlignment="1">
      <alignment horizontal="right" vertical="center"/>
    </xf>
    <xf numFmtId="3" fontId="5" fillId="0" borderId="25" xfId="0" applyNumberFormat="1" applyFont="1" applyBorder="1" applyAlignment="1">
      <alignment vertical="center"/>
    </xf>
    <xf numFmtId="3" fontId="5" fillId="0" borderId="23" xfId="0" applyNumberFormat="1" applyFont="1" applyBorder="1" applyAlignment="1">
      <alignment horizontal="left" vertical="center"/>
    </xf>
    <xf numFmtId="178" fontId="5" fillId="0" borderId="24" xfId="0" applyNumberFormat="1" applyFont="1" applyBorder="1" applyAlignment="1">
      <alignment vertical="center"/>
    </xf>
    <xf numFmtId="3" fontId="5" fillId="0" borderId="26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right" vertical="center"/>
    </xf>
    <xf numFmtId="178" fontId="5" fillId="0" borderId="19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right" vertical="center"/>
    </xf>
    <xf numFmtId="3" fontId="5" fillId="0" borderId="19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179" fontId="4" fillId="0" borderId="14" xfId="0" applyNumberFormat="1" applyFont="1" applyBorder="1" applyAlignment="1">
      <alignment horizontal="center" vertical="center"/>
    </xf>
    <xf numFmtId="179" fontId="4" fillId="0" borderId="39" xfId="0" applyNumberFormat="1" applyFont="1" applyBorder="1" applyAlignment="1">
      <alignment horizontal="center" vertical="center"/>
    </xf>
    <xf numFmtId="179" fontId="5" fillId="0" borderId="12" xfId="0" applyNumberFormat="1" applyFont="1" applyBorder="1" applyAlignment="1">
      <alignment vertical="center"/>
    </xf>
    <xf numFmtId="179" fontId="5" fillId="0" borderId="0" xfId="0" applyNumberFormat="1" applyFont="1" applyAlignment="1">
      <alignment vertical="center"/>
    </xf>
    <xf numFmtId="179" fontId="5" fillId="0" borderId="13" xfId="0" applyNumberFormat="1" applyFont="1" applyBorder="1" applyAlignment="1">
      <alignment vertical="center"/>
    </xf>
    <xf numFmtId="179" fontId="4" fillId="0" borderId="12" xfId="0" applyNumberFormat="1" applyFont="1" applyBorder="1" applyAlignment="1">
      <alignment horizontal="left" vertical="center"/>
    </xf>
    <xf numFmtId="3" fontId="4" fillId="0" borderId="40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9" fontId="5" fillId="0" borderId="40" xfId="0" applyNumberFormat="1" applyFont="1" applyBorder="1" applyAlignment="1">
      <alignment horizontal="right" vertical="center"/>
    </xf>
    <xf numFmtId="179" fontId="5" fillId="0" borderId="37" xfId="0" applyNumberFormat="1" applyFont="1" applyBorder="1" applyAlignment="1">
      <alignment horizontal="right" vertical="center"/>
    </xf>
    <xf numFmtId="179" fontId="5" fillId="0" borderId="18" xfId="0" applyNumberFormat="1" applyFont="1" applyBorder="1" applyAlignment="1">
      <alignment horizontal="right" vertical="center"/>
    </xf>
    <xf numFmtId="179" fontId="5" fillId="0" borderId="41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right" vertical="center"/>
    </xf>
    <xf numFmtId="3" fontId="4" fillId="0" borderId="25" xfId="0" applyNumberFormat="1" applyFont="1" applyBorder="1" applyAlignment="1">
      <alignment horizontal="left" vertical="center"/>
    </xf>
    <xf numFmtId="177" fontId="5" fillId="0" borderId="24" xfId="0" applyNumberFormat="1" applyFont="1" applyBorder="1" applyAlignment="1">
      <alignment vertical="center"/>
    </xf>
    <xf numFmtId="3" fontId="4" fillId="0" borderId="24" xfId="0" applyNumberFormat="1" applyFont="1" applyBorder="1" applyAlignment="1">
      <alignment vertical="center"/>
    </xf>
    <xf numFmtId="177" fontId="5" fillId="0" borderId="19" xfId="0" applyNumberFormat="1" applyFont="1" applyBorder="1" applyAlignment="1">
      <alignment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left" vertical="center"/>
    </xf>
    <xf numFmtId="3" fontId="4" fillId="0" borderId="19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left" vertical="center"/>
    </xf>
    <xf numFmtId="3" fontId="4" fillId="0" borderId="26" xfId="0" applyNumberFormat="1" applyFont="1" applyBorder="1" applyAlignment="1">
      <alignment horizontal="left" vertical="center"/>
    </xf>
    <xf numFmtId="3" fontId="4" fillId="0" borderId="27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5" fillId="0" borderId="40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horizontal="left" vertical="center"/>
    </xf>
    <xf numFmtId="3" fontId="5" fillId="0" borderId="43" xfId="0" applyNumberFormat="1" applyFont="1" applyBorder="1" applyAlignment="1">
      <alignment horizontal="left" vertical="center"/>
    </xf>
    <xf numFmtId="3" fontId="5" fillId="0" borderId="13" xfId="0" applyNumberFormat="1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left" vertical="center"/>
    </xf>
    <xf numFmtId="0" fontId="9" fillId="0" borderId="35" xfId="5" applyFont="1" applyBorder="1">
      <alignment vertical="center"/>
    </xf>
    <xf numFmtId="0" fontId="9" fillId="0" borderId="34" xfId="5" applyFont="1" applyBorder="1">
      <alignment vertical="center"/>
    </xf>
    <xf numFmtId="0" fontId="9" fillId="0" borderId="34" xfId="5" applyFont="1" applyBorder="1" applyAlignment="1">
      <alignment horizontal="center" vertical="center"/>
    </xf>
    <xf numFmtId="0" fontId="9" fillId="0" borderId="36" xfId="5" applyFont="1" applyBorder="1">
      <alignment vertical="center"/>
    </xf>
    <xf numFmtId="0" fontId="9" fillId="0" borderId="0" xfId="5" applyFont="1">
      <alignment vertical="center"/>
    </xf>
    <xf numFmtId="0" fontId="10" fillId="0" borderId="12" xfId="5" applyFont="1" applyBorder="1">
      <alignment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2" xfId="5" applyFont="1" applyBorder="1">
      <alignment vertical="center"/>
    </xf>
    <xf numFmtId="0" fontId="9" fillId="0" borderId="0" xfId="5" applyFont="1" applyAlignment="1">
      <alignment horizontal="center" vertical="center"/>
    </xf>
    <xf numFmtId="0" fontId="11" fillId="0" borderId="0" xfId="5" applyFont="1" applyAlignment="1">
      <alignment horizontal="distributed" vertical="center"/>
    </xf>
    <xf numFmtId="0" fontId="9" fillId="0" borderId="10" xfId="5" applyFont="1" applyBorder="1">
      <alignment vertical="center"/>
    </xf>
    <xf numFmtId="0" fontId="9" fillId="0" borderId="33" xfId="5" applyFont="1" applyBorder="1" applyAlignment="1">
      <alignment horizontal="center" vertical="center"/>
    </xf>
    <xf numFmtId="3" fontId="12" fillId="0" borderId="33" xfId="5" applyNumberFormat="1" applyFont="1" applyBorder="1">
      <alignment vertical="center"/>
    </xf>
    <xf numFmtId="0" fontId="9" fillId="0" borderId="33" xfId="5" applyFont="1" applyBorder="1">
      <alignment vertical="center"/>
    </xf>
    <xf numFmtId="0" fontId="9" fillId="0" borderId="0" xfId="5" applyFont="1" applyAlignment="1">
      <alignment horizontal="distributed" vertical="center"/>
    </xf>
    <xf numFmtId="0" fontId="12" fillId="0" borderId="33" xfId="5" applyFont="1" applyBorder="1">
      <alignment vertical="center"/>
    </xf>
    <xf numFmtId="41" fontId="12" fillId="0" borderId="33" xfId="5" applyNumberFormat="1" applyFont="1" applyBorder="1" applyAlignment="1">
      <alignment horizontal="center" vertical="center" wrapText="1"/>
    </xf>
    <xf numFmtId="180" fontId="12" fillId="0" borderId="33" xfId="5" applyNumberFormat="1" applyFont="1" applyBorder="1">
      <alignment vertical="center"/>
    </xf>
    <xf numFmtId="0" fontId="12" fillId="0" borderId="0" xfId="5" applyFont="1" applyAlignment="1">
      <alignment horizontal="distributed" vertical="center"/>
    </xf>
    <xf numFmtId="0" fontId="12" fillId="0" borderId="0" xfId="5" applyFont="1">
      <alignment vertical="center"/>
    </xf>
    <xf numFmtId="41" fontId="12" fillId="0" borderId="0" xfId="5" applyNumberFormat="1" applyFont="1" applyAlignment="1">
      <alignment horizontal="center" vertical="center" wrapText="1"/>
    </xf>
    <xf numFmtId="41" fontId="12" fillId="0" borderId="0" xfId="5" applyNumberFormat="1" applyFont="1" applyAlignment="1">
      <alignment horizontal="left" vertical="center" wrapText="1"/>
    </xf>
    <xf numFmtId="180" fontId="12" fillId="0" borderId="0" xfId="5" applyNumberFormat="1" applyFont="1">
      <alignment vertical="center"/>
    </xf>
    <xf numFmtId="41" fontId="12" fillId="0" borderId="33" xfId="5" applyNumberFormat="1" applyFont="1" applyBorder="1" applyAlignment="1">
      <alignment vertical="center" wrapText="1"/>
    </xf>
    <xf numFmtId="0" fontId="13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9" fillId="0" borderId="10" xfId="5" applyFont="1" applyBorder="1" applyAlignment="1">
      <alignment horizontal="left" vertical="center"/>
    </xf>
    <xf numFmtId="0" fontId="13" fillId="0" borderId="0" xfId="5" applyFont="1">
      <alignment vertical="center"/>
    </xf>
    <xf numFmtId="0" fontId="12" fillId="0" borderId="12" xfId="5" applyFont="1" applyBorder="1">
      <alignment vertical="center"/>
    </xf>
    <xf numFmtId="0" fontId="12" fillId="0" borderId="0" xfId="5" applyFont="1" applyAlignment="1">
      <alignment horizontal="center" vertical="center"/>
    </xf>
    <xf numFmtId="0" fontId="12" fillId="0" borderId="10" xfId="5" applyFont="1" applyBorder="1">
      <alignment vertical="center"/>
    </xf>
    <xf numFmtId="0" fontId="18" fillId="0" borderId="0" xfId="5" applyFont="1">
      <alignment vertical="center"/>
    </xf>
    <xf numFmtId="0" fontId="19" fillId="0" borderId="0" xfId="5" applyFont="1" applyAlignment="1">
      <alignment horizontal="center" vertical="center"/>
    </xf>
    <xf numFmtId="0" fontId="9" fillId="0" borderId="13" xfId="5" applyFont="1" applyBorder="1">
      <alignment vertical="center"/>
    </xf>
    <xf numFmtId="0" fontId="9" fillId="0" borderId="9" xfId="5" applyFont="1" applyBorder="1">
      <alignment vertical="center"/>
    </xf>
    <xf numFmtId="0" fontId="9" fillId="0" borderId="9" xfId="5" applyFont="1" applyBorder="1" applyAlignment="1">
      <alignment horizontal="center" vertical="center"/>
    </xf>
    <xf numFmtId="0" fontId="9" fillId="0" borderId="11" xfId="5" applyFont="1" applyBorder="1">
      <alignment vertical="center"/>
    </xf>
    <xf numFmtId="0" fontId="40" fillId="0" borderId="0" xfId="0" applyFont="1" applyAlignment="1">
      <alignment horizontal="right"/>
    </xf>
    <xf numFmtId="41" fontId="7" fillId="0" borderId="0" xfId="2" applyNumberFormat="1"/>
    <xf numFmtId="0" fontId="4" fillId="0" borderId="0" xfId="0" applyFont="1" applyAlignment="1">
      <alignment horizontal="left" vertical="center"/>
    </xf>
    <xf numFmtId="183" fontId="23" fillId="0" borderId="0" xfId="0" applyNumberFormat="1" applyFont="1"/>
    <xf numFmtId="0" fontId="41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24" fillId="0" borderId="0" xfId="0" applyFont="1"/>
    <xf numFmtId="41" fontId="24" fillId="0" borderId="0" xfId="2" applyNumberFormat="1" applyFont="1"/>
    <xf numFmtId="0" fontId="26" fillId="0" borderId="0" xfId="0" applyFont="1" applyAlignment="1">
      <alignment vertical="center"/>
    </xf>
    <xf numFmtId="185" fontId="7" fillId="0" borderId="0" xfId="1" applyNumberFormat="1"/>
    <xf numFmtId="186" fontId="7" fillId="0" borderId="0" xfId="1" applyNumberFormat="1"/>
    <xf numFmtId="43" fontId="2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41" fontId="24" fillId="0" borderId="0" xfId="2" applyNumberFormat="1" applyFont="1" applyAlignment="1">
      <alignment vertical="center"/>
    </xf>
    <xf numFmtId="43" fontId="25" fillId="0" borderId="0" xfId="0" applyNumberFormat="1" applyFont="1" applyAlignment="1">
      <alignment vertical="center"/>
    </xf>
    <xf numFmtId="41" fontId="25" fillId="0" borderId="0" xfId="2" applyNumberFormat="1" applyFont="1" applyAlignment="1">
      <alignment vertical="center"/>
    </xf>
    <xf numFmtId="0" fontId="0" fillId="0" borderId="0" xfId="0" applyAlignment="1">
      <alignment horizontal="right"/>
    </xf>
    <xf numFmtId="0" fontId="27" fillId="0" borderId="0" xfId="0" applyFont="1"/>
    <xf numFmtId="183" fontId="27" fillId="0" borderId="0" xfId="0" applyNumberFormat="1" applyFont="1"/>
    <xf numFmtId="41" fontId="28" fillId="0" borderId="0" xfId="0" applyNumberFormat="1" applyFont="1"/>
    <xf numFmtId="0" fontId="27" fillId="0" borderId="0" xfId="0" applyFont="1" applyAlignment="1">
      <alignment horizontal="right"/>
    </xf>
    <xf numFmtId="41" fontId="27" fillId="0" borderId="0" xfId="2" applyNumberFormat="1" applyFont="1"/>
    <xf numFmtId="183" fontId="0" fillId="0" borderId="0" xfId="0" applyNumberFormat="1"/>
    <xf numFmtId="0" fontId="42" fillId="0" borderId="0" xfId="0" applyFont="1"/>
    <xf numFmtId="0" fontId="43" fillId="0" borderId="0" xfId="0" applyFont="1"/>
    <xf numFmtId="0" fontId="44" fillId="0" borderId="0" xfId="0" applyFont="1"/>
    <xf numFmtId="187" fontId="7" fillId="0" borderId="0" xfId="2" applyNumberFormat="1"/>
    <xf numFmtId="41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188" fontId="45" fillId="0" borderId="0" xfId="6" applyNumberFormat="1" applyFont="1" applyAlignment="1">
      <alignment vertical="center"/>
    </xf>
    <xf numFmtId="40" fontId="45" fillId="0" borderId="0" xfId="6" applyNumberFormat="1" applyFont="1" applyAlignment="1">
      <alignment vertical="center"/>
    </xf>
    <xf numFmtId="0" fontId="45" fillId="0" borderId="0" xfId="6" applyFont="1" applyAlignment="1">
      <alignment vertical="center"/>
    </xf>
    <xf numFmtId="0" fontId="46" fillId="2" borderId="9" xfId="6" applyFont="1" applyFill="1" applyBorder="1" applyAlignment="1">
      <alignment horizontal="center" vertical="center"/>
    </xf>
    <xf numFmtId="40" fontId="47" fillId="0" borderId="0" xfId="6" applyNumberFormat="1" applyFont="1" applyAlignment="1">
      <alignment horizontal="right" vertical="center"/>
    </xf>
    <xf numFmtId="0" fontId="47" fillId="0" borderId="0" xfId="6" applyFont="1" applyAlignment="1">
      <alignment horizontal="right" vertical="center"/>
    </xf>
    <xf numFmtId="188" fontId="47" fillId="0" borderId="0" xfId="6" applyNumberFormat="1" applyFont="1" applyAlignment="1">
      <alignment vertical="center"/>
    </xf>
    <xf numFmtId="40" fontId="47" fillId="0" borderId="0" xfId="6" applyNumberFormat="1" applyFont="1" applyAlignment="1">
      <alignment vertical="center"/>
    </xf>
    <xf numFmtId="41" fontId="47" fillId="0" borderId="0" xfId="6" applyNumberFormat="1" applyFont="1" applyAlignment="1">
      <alignment vertical="center"/>
    </xf>
    <xf numFmtId="0" fontId="47" fillId="0" borderId="0" xfId="6" applyFont="1" applyAlignment="1">
      <alignment vertical="center"/>
    </xf>
    <xf numFmtId="188" fontId="48" fillId="0" borderId="0" xfId="6" applyNumberFormat="1" applyFont="1" applyAlignment="1">
      <alignment vertical="center"/>
    </xf>
    <xf numFmtId="189" fontId="48" fillId="0" borderId="0" xfId="6" applyNumberFormat="1" applyFont="1" applyAlignment="1">
      <alignment vertical="center"/>
    </xf>
    <xf numFmtId="0" fontId="48" fillId="0" borderId="0" xfId="6" applyFont="1" applyAlignment="1">
      <alignment horizontal="right" vertical="center"/>
    </xf>
    <xf numFmtId="187" fontId="49" fillId="0" borderId="0" xfId="2" applyNumberFormat="1" applyFont="1" applyAlignment="1">
      <alignment vertical="center"/>
    </xf>
    <xf numFmtId="0" fontId="47" fillId="0" borderId="0" xfId="6" applyFont="1" applyAlignment="1">
      <alignment horizontal="left" vertical="center"/>
    </xf>
    <xf numFmtId="0" fontId="48" fillId="0" borderId="44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190" fontId="48" fillId="0" borderId="44" xfId="0" applyNumberFormat="1" applyFont="1" applyBorder="1" applyAlignment="1">
      <alignment vertical="center"/>
    </xf>
    <xf numFmtId="0" fontId="48" fillId="0" borderId="0" xfId="0" applyFont="1" applyAlignment="1">
      <alignment horizontal="left" vertical="center"/>
    </xf>
    <xf numFmtId="190" fontId="47" fillId="0" borderId="44" xfId="0" applyNumberFormat="1" applyFont="1" applyBorder="1" applyAlignment="1">
      <alignment vertical="center"/>
    </xf>
    <xf numFmtId="0" fontId="45" fillId="0" borderId="0" xfId="6" applyFont="1" applyAlignment="1">
      <alignment horizontal="right" vertical="center"/>
    </xf>
    <xf numFmtId="190" fontId="0" fillId="0" borderId="0" xfId="0" applyNumberFormat="1"/>
    <xf numFmtId="3" fontId="24" fillId="0" borderId="0" xfId="0" applyNumberFormat="1" applyFont="1"/>
    <xf numFmtId="185" fontId="50" fillId="0" borderId="0" xfId="0" applyNumberFormat="1" applyFont="1" applyAlignment="1">
      <alignment horizontal="center"/>
    </xf>
    <xf numFmtId="3" fontId="32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center" vertical="center"/>
    </xf>
    <xf numFmtId="3" fontId="34" fillId="0" borderId="44" xfId="0" applyNumberFormat="1" applyFont="1" applyBorder="1" applyAlignment="1">
      <alignment horizontal="right" vertical="center"/>
    </xf>
    <xf numFmtId="3" fontId="33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right" vertical="center"/>
    </xf>
    <xf numFmtId="185" fontId="33" fillId="0" borderId="44" xfId="0" applyNumberFormat="1" applyFont="1" applyBorder="1" applyAlignment="1">
      <alignment horizontal="center" vertical="center"/>
    </xf>
    <xf numFmtId="185" fontId="34" fillId="0" borderId="44" xfId="0" applyNumberFormat="1" applyFont="1" applyBorder="1" applyAlignment="1">
      <alignment horizontal="center" vertical="center"/>
    </xf>
    <xf numFmtId="177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left" vertical="center"/>
    </xf>
    <xf numFmtId="185" fontId="33" fillId="0" borderId="44" xfId="0" applyNumberFormat="1" applyFont="1" applyBorder="1" applyAlignment="1">
      <alignment horizontal="left" vertical="center"/>
    </xf>
    <xf numFmtId="3" fontId="34" fillId="0" borderId="44" xfId="0" applyNumberFormat="1" applyFont="1" applyBorder="1" applyAlignment="1">
      <alignment vertical="center"/>
    </xf>
    <xf numFmtId="3" fontId="34" fillId="3" borderId="44" xfId="0" applyNumberFormat="1" applyFont="1" applyFill="1" applyBorder="1" applyAlignment="1">
      <alignment horizontal="center" vertical="center"/>
    </xf>
    <xf numFmtId="3" fontId="33" fillId="0" borderId="23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vertical="center"/>
    </xf>
    <xf numFmtId="3" fontId="33" fillId="0" borderId="24" xfId="0" applyNumberFormat="1" applyFont="1" applyBorder="1" applyAlignment="1">
      <alignment horizontal="center" vertical="center"/>
    </xf>
    <xf numFmtId="190" fontId="33" fillId="0" borderId="24" xfId="0" applyNumberFormat="1" applyFont="1" applyBorder="1" applyAlignment="1">
      <alignment horizontal="right" vertical="center"/>
    </xf>
    <xf numFmtId="3" fontId="33" fillId="0" borderId="25" xfId="0" applyNumberFormat="1" applyFont="1" applyBorder="1" applyAlignment="1">
      <alignment horizontal="left" vertical="center"/>
    </xf>
    <xf numFmtId="190" fontId="33" fillId="0" borderId="24" xfId="0" applyNumberFormat="1" applyFont="1" applyBorder="1" applyAlignment="1">
      <alignment vertical="center"/>
    </xf>
    <xf numFmtId="3" fontId="33" fillId="0" borderId="26" xfId="0" applyNumberFormat="1" applyFont="1" applyBorder="1" applyAlignment="1">
      <alignment horizontal="left" vertical="center"/>
    </xf>
    <xf numFmtId="3" fontId="33" fillId="0" borderId="19" xfId="0" applyNumberFormat="1" applyFont="1" applyBorder="1" applyAlignment="1">
      <alignment horizontal="left" vertical="center"/>
    </xf>
    <xf numFmtId="190" fontId="33" fillId="0" borderId="19" xfId="0" applyNumberFormat="1" applyFont="1" applyBorder="1" applyAlignment="1">
      <alignment vertical="center"/>
    </xf>
    <xf numFmtId="3" fontId="33" fillId="0" borderId="19" xfId="0" applyNumberFormat="1" applyFont="1" applyBorder="1" applyAlignment="1">
      <alignment horizontal="center" vertical="center"/>
    </xf>
    <xf numFmtId="190" fontId="33" fillId="0" borderId="19" xfId="0" applyNumberFormat="1" applyFont="1" applyBorder="1" applyAlignment="1">
      <alignment horizontal="right" vertical="center"/>
    </xf>
    <xf numFmtId="3" fontId="33" fillId="0" borderId="11" xfId="0" applyNumberFormat="1" applyFont="1" applyBorder="1" applyAlignment="1">
      <alignment horizontal="left" vertical="center"/>
    </xf>
    <xf numFmtId="3" fontId="34" fillId="0" borderId="23" xfId="0" applyNumberFormat="1" applyFont="1" applyBorder="1" applyAlignment="1">
      <alignment horizontal="left" vertical="center"/>
    </xf>
    <xf numFmtId="3" fontId="34" fillId="0" borderId="24" xfId="0" applyNumberFormat="1" applyFont="1" applyBorder="1" applyAlignment="1">
      <alignment horizontal="left" vertical="center"/>
    </xf>
    <xf numFmtId="190" fontId="34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horizontal="center" vertical="center"/>
    </xf>
    <xf numFmtId="190" fontId="34" fillId="0" borderId="24" xfId="0" applyNumberFormat="1" applyFont="1" applyBorder="1" applyAlignment="1">
      <alignment horizontal="right" vertical="center"/>
    </xf>
    <xf numFmtId="3" fontId="34" fillId="0" borderId="25" xfId="0" applyNumberFormat="1" applyFont="1" applyBorder="1" applyAlignment="1">
      <alignment horizontal="left" vertical="center"/>
    </xf>
    <xf numFmtId="177" fontId="33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vertical="center"/>
    </xf>
    <xf numFmtId="3" fontId="34" fillId="0" borderId="26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vertical="center"/>
    </xf>
    <xf numFmtId="3" fontId="34" fillId="0" borderId="19" xfId="0" applyNumberFormat="1" applyFont="1" applyBorder="1" applyAlignment="1">
      <alignment horizontal="center" vertical="center"/>
    </xf>
    <xf numFmtId="190" fontId="34" fillId="0" borderId="19" xfId="0" applyNumberFormat="1" applyFont="1" applyBorder="1" applyAlignment="1">
      <alignment horizontal="right" vertical="center"/>
    </xf>
    <xf numFmtId="190" fontId="34" fillId="0" borderId="19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horizontal="left" vertical="center"/>
    </xf>
    <xf numFmtId="3" fontId="32" fillId="3" borderId="20" xfId="0" applyNumberFormat="1" applyFont="1" applyFill="1" applyBorder="1" applyAlignment="1">
      <alignment horizontal="center" vertical="center"/>
    </xf>
    <xf numFmtId="3" fontId="34" fillId="3" borderId="15" xfId="0" applyNumberFormat="1" applyFont="1" applyFill="1" applyBorder="1" applyAlignment="1">
      <alignment horizontal="center" vertical="center"/>
    </xf>
    <xf numFmtId="3" fontId="34" fillId="3" borderId="16" xfId="0" applyNumberFormat="1" applyFont="1" applyFill="1" applyBorder="1" applyAlignment="1">
      <alignment horizontal="center" vertical="center"/>
    </xf>
    <xf numFmtId="184" fontId="35" fillId="3" borderId="44" xfId="0" applyNumberFormat="1" applyFont="1" applyFill="1" applyBorder="1" applyAlignment="1">
      <alignment horizontal="center" vertical="center"/>
    </xf>
    <xf numFmtId="183" fontId="35" fillId="3" borderId="44" xfId="0" applyNumberFormat="1" applyFont="1" applyFill="1" applyBorder="1" applyAlignment="1">
      <alignment horizontal="center" vertical="center"/>
    </xf>
    <xf numFmtId="184" fontId="13" fillId="3" borderId="44" xfId="0" applyNumberFormat="1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184" fontId="36" fillId="0" borderId="53" xfId="0" applyNumberFormat="1" applyFont="1" applyBorder="1" applyAlignment="1">
      <alignment vertical="center"/>
    </xf>
    <xf numFmtId="41" fontId="36" fillId="0" borderId="53" xfId="0" applyNumberFormat="1" applyFont="1" applyBorder="1" applyAlignment="1">
      <alignment vertical="center" shrinkToFit="1"/>
    </xf>
    <xf numFmtId="41" fontId="37" fillId="0" borderId="53" xfId="0" applyNumberFormat="1" applyFont="1" applyBorder="1" applyAlignment="1">
      <alignment vertical="center" shrinkToFit="1"/>
    </xf>
    <xf numFmtId="41" fontId="36" fillId="0" borderId="43" xfId="0" applyNumberFormat="1" applyFont="1" applyBorder="1" applyAlignment="1">
      <alignment vertical="center" shrinkToFit="1"/>
    </xf>
    <xf numFmtId="41" fontId="36" fillId="0" borderId="33" xfId="0" applyNumberFormat="1" applyFont="1" applyBorder="1" applyAlignment="1">
      <alignment horizontal="right" vertical="center" shrinkToFit="1"/>
    </xf>
    <xf numFmtId="41" fontId="36" fillId="0" borderId="33" xfId="0" applyNumberFormat="1" applyFont="1" applyBorder="1" applyAlignment="1">
      <alignment vertical="center" shrinkToFit="1"/>
    </xf>
    <xf numFmtId="41" fontId="36" fillId="0" borderId="25" xfId="0" applyNumberFormat="1" applyFont="1" applyBorder="1" applyAlignment="1">
      <alignment horizontal="right" vertical="center" shrinkToFit="1"/>
    </xf>
    <xf numFmtId="0" fontId="36" fillId="0" borderId="53" xfId="0" applyFont="1" applyBorder="1" applyAlignment="1">
      <alignment vertical="center"/>
    </xf>
    <xf numFmtId="184" fontId="36" fillId="0" borderId="54" xfId="0" applyNumberFormat="1" applyFont="1" applyBorder="1" applyAlignment="1">
      <alignment vertical="center"/>
    </xf>
    <xf numFmtId="41" fontId="36" fillId="0" borderId="54" xfId="0" applyNumberFormat="1" applyFont="1" applyBorder="1" applyAlignment="1">
      <alignment vertical="center" shrinkToFit="1"/>
    </xf>
    <xf numFmtId="41" fontId="37" fillId="0" borderId="54" xfId="0" applyNumberFormat="1" applyFont="1" applyBorder="1" applyAlignment="1">
      <alignment vertical="center" shrinkToFit="1"/>
    </xf>
    <xf numFmtId="41" fontId="36" fillId="0" borderId="55" xfId="0" applyNumberFormat="1" applyFont="1" applyBorder="1" applyAlignment="1">
      <alignment horizontal="center" vertical="center" shrinkToFit="1"/>
    </xf>
    <xf numFmtId="41" fontId="36" fillId="0" borderId="56" xfId="0" applyNumberFormat="1" applyFont="1" applyBorder="1" applyAlignment="1">
      <alignment horizontal="right" vertical="center" shrinkToFit="1"/>
    </xf>
    <xf numFmtId="41" fontId="36" fillId="0" borderId="56" xfId="0" applyNumberFormat="1" applyFont="1" applyBorder="1" applyAlignment="1">
      <alignment horizontal="center" vertical="center" shrinkToFit="1"/>
    </xf>
    <xf numFmtId="41" fontId="36" fillId="0" borderId="57" xfId="0" applyNumberFormat="1" applyFont="1" applyBorder="1" applyAlignment="1">
      <alignment horizontal="right" vertical="center" shrinkToFit="1"/>
    </xf>
    <xf numFmtId="10" fontId="38" fillId="0" borderId="54" xfId="1" applyNumberFormat="1" applyFont="1" applyBorder="1" applyAlignment="1">
      <alignment vertical="center"/>
    </xf>
    <xf numFmtId="10" fontId="38" fillId="0" borderId="54" xfId="1" applyNumberFormat="1" applyFont="1" applyBorder="1" applyAlignment="1">
      <alignment horizontal="center" vertical="center"/>
    </xf>
    <xf numFmtId="41" fontId="36" fillId="0" borderId="55" xfId="0" applyNumberFormat="1" applyFont="1" applyBorder="1" applyAlignment="1">
      <alignment vertical="center" shrinkToFit="1"/>
    </xf>
    <xf numFmtId="41" fontId="36" fillId="0" borderId="56" xfId="0" applyNumberFormat="1" applyFont="1" applyBorder="1" applyAlignment="1">
      <alignment vertical="center" shrinkToFit="1"/>
    </xf>
    <xf numFmtId="0" fontId="36" fillId="0" borderId="54" xfId="0" applyFont="1" applyBorder="1" applyAlignment="1">
      <alignment vertical="center"/>
    </xf>
    <xf numFmtId="184" fontId="35" fillId="0" borderId="58" xfId="0" applyNumberFormat="1" applyFont="1" applyBorder="1" applyAlignment="1">
      <alignment vertical="center"/>
    </xf>
    <xf numFmtId="41" fontId="35" fillId="0" borderId="58" xfId="0" applyNumberFormat="1" applyFont="1" applyBorder="1" applyAlignment="1">
      <alignment vertical="center" shrinkToFit="1"/>
    </xf>
    <xf numFmtId="41" fontId="35" fillId="0" borderId="59" xfId="0" applyNumberFormat="1" applyFont="1" applyBorder="1" applyAlignment="1">
      <alignment vertical="center" shrinkToFit="1"/>
    </xf>
    <xf numFmtId="41" fontId="35" fillId="0" borderId="38" xfId="0" applyNumberFormat="1" applyFont="1" applyBorder="1" applyAlignment="1">
      <alignment horizontal="right" vertical="center" shrinkToFit="1"/>
    </xf>
    <xf numFmtId="41" fontId="35" fillId="0" borderId="38" xfId="0" applyNumberFormat="1" applyFont="1" applyBorder="1" applyAlignment="1">
      <alignment vertical="center" shrinkToFit="1"/>
    </xf>
    <xf numFmtId="41" fontId="35" fillId="0" borderId="60" xfId="0" applyNumberFormat="1" applyFont="1" applyBorder="1" applyAlignment="1">
      <alignment horizontal="right" vertical="center" shrinkToFit="1"/>
    </xf>
    <xf numFmtId="0" fontId="35" fillId="0" borderId="58" xfId="0" applyFont="1" applyBorder="1" applyAlignment="1">
      <alignment vertical="center"/>
    </xf>
    <xf numFmtId="0" fontId="53" fillId="3" borderId="35" xfId="6" applyFont="1" applyFill="1" applyBorder="1" applyAlignment="1">
      <alignment horizontal="center" vertical="center"/>
    </xf>
    <xf numFmtId="0" fontId="53" fillId="3" borderId="61" xfId="6" applyFont="1" applyFill="1" applyBorder="1" applyAlignment="1">
      <alignment horizontal="center" vertical="center"/>
    </xf>
    <xf numFmtId="0" fontId="53" fillId="3" borderId="44" xfId="6" applyFont="1" applyFill="1" applyBorder="1" applyAlignment="1">
      <alignment horizontal="center" vertical="center"/>
    </xf>
    <xf numFmtId="0" fontId="54" fillId="2" borderId="62" xfId="6" quotePrefix="1" applyFont="1" applyFill="1" applyBorder="1" applyAlignment="1">
      <alignment horizontal="left" vertical="center" indent="1"/>
    </xf>
    <xf numFmtId="41" fontId="54" fillId="2" borderId="63" xfId="3" applyFont="1" applyFill="1" applyBorder="1" applyAlignment="1">
      <alignment vertical="center"/>
    </xf>
    <xf numFmtId="41" fontId="54" fillId="2" borderId="62" xfId="3" applyFont="1" applyFill="1" applyBorder="1" applyAlignment="1">
      <alignment vertical="center"/>
    </xf>
    <xf numFmtId="3" fontId="53" fillId="2" borderId="63" xfId="6" applyNumberFormat="1" applyFont="1" applyFill="1" applyBorder="1" applyAlignment="1">
      <alignment horizontal="center" vertical="center"/>
    </xf>
    <xf numFmtId="0" fontId="37" fillId="0" borderId="55" xfId="0" applyFont="1" applyBorder="1" applyAlignment="1">
      <alignment horizontal="left" vertical="center" indent="1"/>
    </xf>
    <xf numFmtId="41" fontId="54" fillId="2" borderId="54" xfId="3" applyFont="1" applyFill="1" applyBorder="1" applyAlignment="1">
      <alignment vertical="center"/>
    </xf>
    <xf numFmtId="183" fontId="54" fillId="2" borderId="55" xfId="3" applyNumberFormat="1" applyFont="1" applyFill="1" applyBorder="1" applyAlignment="1">
      <alignment horizontal="right" vertical="center"/>
    </xf>
    <xf numFmtId="0" fontId="54" fillId="2" borderId="56" xfId="6" applyFont="1" applyFill="1" applyBorder="1" applyAlignment="1">
      <alignment horizontal="center" vertical="center"/>
    </xf>
    <xf numFmtId="183" fontId="54" fillId="2" borderId="56" xfId="3" applyNumberFormat="1" applyFont="1" applyFill="1" applyBorder="1" applyAlignment="1">
      <alignment horizontal="right" vertical="center"/>
    </xf>
    <xf numFmtId="41" fontId="54" fillId="2" borderId="56" xfId="6" applyNumberFormat="1" applyFont="1" applyFill="1" applyBorder="1" applyAlignment="1">
      <alignment horizontal="center" vertical="center"/>
    </xf>
    <xf numFmtId="183" fontId="54" fillId="2" borderId="56" xfId="6" applyNumberFormat="1" applyFont="1" applyFill="1" applyBorder="1" applyAlignment="1">
      <alignment horizontal="right" vertical="center"/>
    </xf>
    <xf numFmtId="3" fontId="54" fillId="2" borderId="56" xfId="6" applyNumberFormat="1" applyFont="1" applyFill="1" applyBorder="1" applyAlignment="1">
      <alignment horizontal="center" vertical="center"/>
    </xf>
    <xf numFmtId="182" fontId="55" fillId="2" borderId="56" xfId="1" applyNumberFormat="1" applyFont="1" applyFill="1" applyBorder="1" applyAlignment="1">
      <alignment horizontal="center" vertical="center"/>
    </xf>
    <xf numFmtId="186" fontId="55" fillId="0" borderId="57" xfId="1" applyNumberFormat="1" applyFont="1" applyBorder="1" applyAlignment="1">
      <alignment horizontal="center" vertical="center"/>
    </xf>
    <xf numFmtId="183" fontId="54" fillId="2" borderId="56" xfId="6" applyNumberFormat="1" applyFont="1" applyFill="1" applyBorder="1" applyAlignment="1">
      <alignment horizontal="center" vertical="center"/>
    </xf>
    <xf numFmtId="0" fontId="54" fillId="2" borderId="54" xfId="6" applyFont="1" applyFill="1" applyBorder="1" applyAlignment="1">
      <alignment horizontal="center" vertical="center"/>
    </xf>
    <xf numFmtId="41" fontId="54" fillId="2" borderId="54" xfId="6" applyNumberFormat="1" applyFont="1" applyFill="1" applyBorder="1" applyAlignment="1">
      <alignment horizontal="center" vertical="center"/>
    </xf>
    <xf numFmtId="0" fontId="37" fillId="0" borderId="55" xfId="0" applyFont="1" applyBorder="1" applyAlignment="1">
      <alignment horizontal="left" vertical="center"/>
    </xf>
    <xf numFmtId="41" fontId="53" fillId="2" borderId="56" xfId="6" applyNumberFormat="1" applyFont="1" applyFill="1" applyBorder="1" applyAlignment="1">
      <alignment horizontal="right" vertical="center"/>
    </xf>
    <xf numFmtId="0" fontId="53" fillId="2" borderId="56" xfId="6" applyFont="1" applyFill="1" applyBorder="1" applyAlignment="1">
      <alignment horizontal="center" vertical="center"/>
    </xf>
    <xf numFmtId="41" fontId="53" fillId="2" borderId="56" xfId="6" applyNumberFormat="1" applyFont="1" applyFill="1" applyBorder="1" applyAlignment="1">
      <alignment horizontal="center" vertical="center"/>
    </xf>
    <xf numFmtId="0" fontId="53" fillId="2" borderId="57" xfId="6" applyFont="1" applyFill="1" applyBorder="1" applyAlignment="1">
      <alignment horizontal="right" vertical="center"/>
    </xf>
    <xf numFmtId="0" fontId="53" fillId="2" borderId="54" xfId="6" applyFont="1" applyFill="1" applyBorder="1" applyAlignment="1">
      <alignment horizontal="center" vertical="center"/>
    </xf>
    <xf numFmtId="0" fontId="13" fillId="0" borderId="59" xfId="0" applyFont="1" applyBorder="1" applyAlignment="1">
      <alignment horizontal="left" vertical="center"/>
    </xf>
    <xf numFmtId="41" fontId="54" fillId="2" borderId="58" xfId="3" applyFont="1" applyFill="1" applyBorder="1" applyAlignment="1">
      <alignment vertical="center"/>
    </xf>
    <xf numFmtId="41" fontId="53" fillId="2" borderId="38" xfId="6" applyNumberFormat="1" applyFont="1" applyFill="1" applyBorder="1" applyAlignment="1">
      <alignment horizontal="right" vertical="center"/>
    </xf>
    <xf numFmtId="0" fontId="53" fillId="2" borderId="38" xfId="6" applyFont="1" applyFill="1" applyBorder="1" applyAlignment="1">
      <alignment horizontal="center" vertical="center"/>
    </xf>
    <xf numFmtId="41" fontId="53" fillId="2" borderId="38" xfId="6" applyNumberFormat="1" applyFont="1" applyFill="1" applyBorder="1" applyAlignment="1">
      <alignment horizontal="center" vertical="center"/>
    </xf>
    <xf numFmtId="0" fontId="53" fillId="2" borderId="60" xfId="6" applyFont="1" applyFill="1" applyBorder="1" applyAlignment="1">
      <alignment horizontal="right" vertical="center"/>
    </xf>
    <xf numFmtId="0" fontId="53" fillId="2" borderId="58" xfId="6" applyFont="1" applyFill="1" applyBorder="1" applyAlignment="1">
      <alignment horizontal="center" vertical="center"/>
    </xf>
    <xf numFmtId="0" fontId="12" fillId="0" borderId="0" xfId="5" applyFont="1" applyAlignment="1">
      <alignment horizontal="distributed" vertical="center"/>
    </xf>
    <xf numFmtId="0" fontId="12" fillId="0" borderId="0" xfId="5" applyFont="1" applyAlignment="1">
      <alignment horizontal="left" vertical="center" wrapText="1" indent="1"/>
    </xf>
    <xf numFmtId="0" fontId="12" fillId="0" borderId="10" xfId="5" applyFont="1" applyBorder="1" applyAlignment="1">
      <alignment horizontal="left" vertical="center" wrapText="1" indent="1"/>
    </xf>
    <xf numFmtId="0" fontId="17" fillId="0" borderId="0" xfId="5" applyFont="1" applyAlignment="1">
      <alignment horizontal="center" vertical="center"/>
    </xf>
    <xf numFmtId="41" fontId="12" fillId="0" borderId="0" xfId="5" applyNumberFormat="1" applyFont="1" applyAlignment="1">
      <alignment horizontal="left" vertical="center" wrapText="1"/>
    </xf>
    <xf numFmtId="0" fontId="12" fillId="0" borderId="33" xfId="5" applyFont="1" applyBorder="1" applyAlignment="1">
      <alignment horizontal="distributed" vertical="center"/>
    </xf>
    <xf numFmtId="0" fontId="14" fillId="0" borderId="0" xfId="5" applyFont="1" applyAlignment="1">
      <alignment horizontal="center" vertical="center"/>
    </xf>
    <xf numFmtId="181" fontId="12" fillId="0" borderId="0" xfId="5" applyNumberFormat="1" applyFont="1" applyAlignment="1">
      <alignment horizontal="right" vertical="center"/>
    </xf>
    <xf numFmtId="0" fontId="12" fillId="0" borderId="0" xfId="5" applyFont="1" applyAlignment="1">
      <alignment horizontal="center" vertical="center"/>
    </xf>
    <xf numFmtId="0" fontId="10" fillId="0" borderId="12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9" fillId="0" borderId="0" xfId="5" applyFont="1" applyAlignment="1">
      <alignment horizontal="distributed" vertical="center"/>
    </xf>
    <xf numFmtId="41" fontId="12" fillId="0" borderId="33" xfId="5" applyNumberFormat="1" applyFont="1" applyBorder="1" applyAlignment="1">
      <alignment horizontal="left" vertical="center" wrapText="1"/>
    </xf>
    <xf numFmtId="3" fontId="4" fillId="0" borderId="45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3" fontId="32" fillId="3" borderId="44" xfId="0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41" fontId="36" fillId="0" borderId="55" xfId="0" applyNumberFormat="1" applyFont="1" applyBorder="1" applyAlignment="1">
      <alignment horizontal="center" vertical="center"/>
    </xf>
    <xf numFmtId="41" fontId="36" fillId="0" borderId="56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0" fontId="46" fillId="2" borderId="0" xfId="6" applyFont="1" applyFill="1" applyAlignment="1">
      <alignment horizontal="center" vertical="center"/>
    </xf>
    <xf numFmtId="0" fontId="53" fillId="3" borderId="45" xfId="6" applyFont="1" applyFill="1" applyBorder="1" applyAlignment="1">
      <alignment horizontal="center" vertical="center"/>
    </xf>
    <xf numFmtId="0" fontId="53" fillId="3" borderId="46" xfId="6" applyFont="1" applyFill="1" applyBorder="1" applyAlignment="1">
      <alignment horizontal="center" vertical="center"/>
    </xf>
    <xf numFmtId="0" fontId="53" fillId="3" borderId="16" xfId="6" applyFont="1" applyFill="1" applyBorder="1" applyAlignment="1">
      <alignment horizontal="center" vertical="center"/>
    </xf>
    <xf numFmtId="3" fontId="53" fillId="2" borderId="64" xfId="6" applyNumberFormat="1" applyFont="1" applyFill="1" applyBorder="1" applyAlignment="1">
      <alignment horizontal="center" vertical="center"/>
    </xf>
    <xf numFmtId="0" fontId="55" fillId="2" borderId="64" xfId="4" applyFont="1" applyFill="1" applyBorder="1" applyAlignment="1">
      <alignment horizontal="center" vertical="center"/>
    </xf>
    <xf numFmtId="0" fontId="55" fillId="2" borderId="65" xfId="4" applyFont="1" applyFill="1" applyBorder="1" applyAlignment="1">
      <alignment horizontal="center" vertical="center"/>
    </xf>
    <xf numFmtId="0" fontId="55" fillId="2" borderId="62" xfId="4" applyFont="1" applyFill="1" applyBorder="1" applyAlignment="1">
      <alignment horizontal="center" vertical="center"/>
    </xf>
    <xf numFmtId="3" fontId="4" fillId="0" borderId="50" xfId="0" applyNumberFormat="1" applyFont="1" applyBorder="1" applyAlignment="1">
      <alignment horizontal="center" vertical="center"/>
    </xf>
    <xf numFmtId="3" fontId="4" fillId="0" borderId="51" xfId="0" applyNumberFormat="1" applyFont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/>
    </xf>
    <xf numFmtId="3" fontId="4" fillId="0" borderId="52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3" fontId="4" fillId="0" borderId="47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3" fontId="4" fillId="0" borderId="49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179" fontId="4" fillId="0" borderId="45" xfId="0" applyNumberFormat="1" applyFont="1" applyBorder="1" applyAlignment="1">
      <alignment horizontal="center" vertical="center"/>
    </xf>
    <xf numFmtId="179" fontId="4" fillId="0" borderId="46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vertical="center"/>
    </xf>
    <xf numFmtId="179" fontId="5" fillId="0" borderId="33" xfId="0" applyNumberFormat="1" applyFont="1" applyBorder="1" applyAlignment="1">
      <alignment vertical="center"/>
    </xf>
    <xf numFmtId="178" fontId="5" fillId="0" borderId="33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7">
    <cellStyle name="백분율" xfId="1" builtinId="5"/>
    <cellStyle name="쉼표 [0]" xfId="2" builtinId="6"/>
    <cellStyle name="쉼표 [0]_금성검문소내역(덧씌우기제외)" xfId="3" xr:uid="{ABC12083-77E6-497D-BEC0-42976F6DACEB}"/>
    <cellStyle name="표준" xfId="0" builtinId="0"/>
    <cellStyle name="표준 189" xfId="4" xr:uid="{AC9D5377-E8BC-4014-817F-D18E035FADBD}"/>
    <cellStyle name="표준 3 3" xfId="5" xr:uid="{0F49780E-0A1E-49F2-8B79-831FE34B1C0A}"/>
    <cellStyle name="표준_화순 람덕과선교 보수" xfId="6" xr:uid="{D3D40BCF-F5EA-4025-911D-829952BAE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3407-9E41-4C57-8100-FAE6D8E3876C}">
  <dimension ref="B1:DM41"/>
  <sheetViews>
    <sheetView showGridLines="0" workbookViewId="0"/>
  </sheetViews>
  <sheetFormatPr defaultRowHeight="12.75"/>
  <cols>
    <col min="1" max="141" width="1.140625" customWidth="1"/>
    <col min="142" max="163" width="0.85546875" customWidth="1"/>
  </cols>
  <sheetData>
    <row r="1" spans="2:117" ht="12.6" customHeight="1"/>
    <row r="2" spans="2:117" ht="12.6" customHeight="1"/>
    <row r="3" spans="2:117" ht="12.6" customHeight="1"/>
    <row r="4" spans="2:117" ht="12.6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8"/>
    </row>
    <row r="5" spans="2:117" ht="12.6" customHeight="1">
      <c r="B5" s="6"/>
      <c r="DM5" s="9"/>
    </row>
    <row r="6" spans="2:117" ht="20.100000000000001" customHeight="1">
      <c r="B6" s="6"/>
      <c r="F6" s="1" t="s">
        <v>87</v>
      </c>
      <c r="DM6" s="9"/>
    </row>
    <row r="7" spans="2:117" ht="12.6" customHeight="1">
      <c r="B7" s="6"/>
      <c r="DM7" s="9"/>
    </row>
    <row r="8" spans="2:117" ht="12.6" customHeight="1">
      <c r="B8" s="6"/>
      <c r="DM8" s="9"/>
    </row>
    <row r="9" spans="2:117" ht="12.6" customHeight="1">
      <c r="B9" s="6"/>
      <c r="DM9" s="9"/>
    </row>
    <row r="10" spans="2:117" ht="12.6" customHeight="1">
      <c r="B10" s="6"/>
      <c r="DM10" s="9"/>
    </row>
    <row r="11" spans="2:117" ht="12.6" customHeight="1">
      <c r="B11" s="6"/>
      <c r="DM11" s="9"/>
    </row>
    <row r="12" spans="2:117" ht="12.6" customHeight="1">
      <c r="B12" s="6"/>
      <c r="DM12" s="9"/>
    </row>
    <row r="13" spans="2:117" ht="12.6" customHeight="1">
      <c r="B13" s="6"/>
      <c r="DM13" s="9"/>
    </row>
    <row r="14" spans="2:117" ht="12.6" customHeight="1">
      <c r="B14" s="6"/>
      <c r="DM14" s="9"/>
    </row>
    <row r="15" spans="2:117" ht="12.6" customHeight="1">
      <c r="B15" s="6"/>
      <c r="DM15" s="9"/>
    </row>
    <row r="16" spans="2:117" ht="27.95" customHeight="1">
      <c r="B16" s="6"/>
      <c r="D16" s="2" t="s">
        <v>627</v>
      </c>
      <c r="AC16" s="2" t="s">
        <v>600</v>
      </c>
      <c r="BE16" s="2" t="s">
        <v>333</v>
      </c>
      <c r="BL16" s="2" t="s">
        <v>559</v>
      </c>
      <c r="BW16" s="2" t="s">
        <v>327</v>
      </c>
      <c r="CC16" s="2" t="s">
        <v>272</v>
      </c>
      <c r="CS16" s="2" t="s">
        <v>395</v>
      </c>
      <c r="DM16" s="9"/>
    </row>
    <row r="17" spans="2:117" ht="12.6" customHeight="1">
      <c r="B17" s="6"/>
      <c r="DM17" s="9"/>
    </row>
    <row r="18" spans="2:117" ht="12.6" customHeight="1">
      <c r="B18" s="6"/>
      <c r="DM18" s="9"/>
    </row>
    <row r="19" spans="2:117" ht="12.6" customHeight="1">
      <c r="B19" s="6"/>
      <c r="DM19" s="9"/>
    </row>
    <row r="20" spans="2:117" ht="12.6" customHeight="1">
      <c r="B20" s="6"/>
      <c r="DM20" s="9"/>
    </row>
    <row r="21" spans="2:117" ht="12.6" customHeight="1">
      <c r="B21" s="6"/>
      <c r="DM21" s="9"/>
    </row>
    <row r="22" spans="2:117" ht="12.6" customHeight="1">
      <c r="B22" s="6"/>
      <c r="DM22" s="9"/>
    </row>
    <row r="23" spans="2:117" ht="12.6" customHeight="1">
      <c r="B23" s="6"/>
      <c r="DM23" s="9"/>
    </row>
    <row r="24" spans="2:117" ht="12.6" customHeight="1">
      <c r="B24" s="6"/>
      <c r="DM24" s="9"/>
    </row>
    <row r="25" spans="2:117" ht="12.6" customHeight="1">
      <c r="B25" s="6"/>
      <c r="DM25" s="9"/>
    </row>
    <row r="26" spans="2:117" ht="12.6" customHeight="1">
      <c r="B26" s="6"/>
      <c r="DM26" s="9"/>
    </row>
    <row r="27" spans="2:117" ht="12.6" customHeight="1">
      <c r="B27" s="6"/>
      <c r="DM27" s="9"/>
    </row>
    <row r="28" spans="2:117" ht="12.6" customHeight="1">
      <c r="B28" s="6"/>
      <c r="DM28" s="9"/>
    </row>
    <row r="29" spans="2:117" ht="12.6" customHeight="1">
      <c r="B29" s="6"/>
      <c r="DM29" s="9"/>
    </row>
    <row r="30" spans="2:117" ht="12.6" customHeight="1">
      <c r="B30" s="6"/>
      <c r="DM30" s="9"/>
    </row>
    <row r="31" spans="2:117" ht="12.6" customHeight="1">
      <c r="B31" s="6"/>
      <c r="DM31" s="9"/>
    </row>
    <row r="32" spans="2:117" ht="12.6" customHeight="1">
      <c r="B32" s="6"/>
      <c r="DM32" s="9"/>
    </row>
    <row r="33" spans="2:117" ht="20.100000000000001" customHeight="1">
      <c r="B33" s="6"/>
      <c r="AR33" s="1" t="s">
        <v>415</v>
      </c>
      <c r="DM33" s="9"/>
    </row>
    <row r="34" spans="2:117" ht="12.6" customHeight="1">
      <c r="B34" s="6"/>
      <c r="DM34" s="9"/>
    </row>
    <row r="35" spans="2:117" ht="12.6" customHeight="1">
      <c r="B35" s="6"/>
      <c r="DM35" s="9"/>
    </row>
    <row r="36" spans="2:117" ht="12.6" customHeight="1">
      <c r="B36" s="6"/>
      <c r="DM36" s="9"/>
    </row>
    <row r="37" spans="2:117" ht="12.6" customHeight="1">
      <c r="B37" s="6"/>
      <c r="DM37" s="9"/>
    </row>
    <row r="38" spans="2:117" ht="12.6" customHeight="1">
      <c r="B38" s="6"/>
      <c r="DM38" s="9"/>
    </row>
    <row r="39" spans="2:117" ht="12.6" customHeight="1">
      <c r="B39" s="6"/>
      <c r="DM39" s="9"/>
    </row>
    <row r="40" spans="2:117" ht="12.6" customHeight="1"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10"/>
    </row>
    <row r="41" spans="2:117" ht="12.6" customHeight="1"/>
  </sheetData>
  <phoneticPr fontId="8" type="noConversion"/>
  <pageMargins left="0.98425196850393704" right="7.874015748031496E-2" top="0.27559055118110237" bottom="0.78740157480314965" header="0.5" footer="0.5"/>
  <pageSetup paperSize="9" orientation="landscape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2C83-AFC6-46C4-BB5C-F78DD5A253BF}">
  <sheetPr>
    <tabColor rgb="FF00B0F0"/>
  </sheetPr>
  <dimension ref="A1:AV21"/>
  <sheetViews>
    <sheetView showGridLines="0" view="pageBreakPreview" zoomScaleNormal="100" zoomScaleSheetLayoutView="100" workbookViewId="0">
      <selection sqref="A1:XFD1048576"/>
    </sheetView>
  </sheetViews>
  <sheetFormatPr defaultRowHeight="14.25"/>
  <cols>
    <col min="1" max="4" width="2.28515625" style="120" customWidth="1"/>
    <col min="5" max="10" width="3.42578125" style="120" customWidth="1"/>
    <col min="11" max="11" width="2.28515625" style="125" customWidth="1"/>
    <col min="12" max="27" width="3.28515625" style="120" customWidth="1"/>
    <col min="28" max="29" width="2.140625" style="120" customWidth="1"/>
    <col min="30" max="39" width="2.7109375" style="120" customWidth="1"/>
    <col min="40" max="48" width="2.28515625" style="120" customWidth="1"/>
  </cols>
  <sheetData>
    <row r="1" spans="1:48" s="120" customFormat="1" ht="30" customHeight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9"/>
    </row>
    <row r="2" spans="1:48" s="120" customFormat="1" ht="34.5" customHeight="1">
      <c r="A2" s="326" t="s">
        <v>835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8"/>
    </row>
    <row r="3" spans="1:48" s="120" customFormat="1" ht="30" customHeight="1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3"/>
    </row>
    <row r="4" spans="1:48" s="120" customFormat="1" ht="21" customHeight="1">
      <c r="A4" s="124"/>
      <c r="K4" s="125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V4" s="127"/>
    </row>
    <row r="5" spans="1:48" s="120" customFormat="1" ht="21" customHeight="1">
      <c r="A5" s="124"/>
      <c r="K5" s="125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V5" s="127"/>
    </row>
    <row r="6" spans="1:48" s="120" customFormat="1" ht="28.5" customHeight="1">
      <c r="A6" s="124"/>
      <c r="E6" s="322" t="s">
        <v>836</v>
      </c>
      <c r="F6" s="322"/>
      <c r="G6" s="322"/>
      <c r="H6" s="322"/>
      <c r="I6" s="322"/>
      <c r="J6" s="322"/>
      <c r="K6" s="128" t="s">
        <v>837</v>
      </c>
      <c r="L6" s="129" t="s">
        <v>849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V6" s="127"/>
    </row>
    <row r="7" spans="1:48" s="120" customFormat="1" ht="19.5" customHeight="1">
      <c r="A7" s="124"/>
      <c r="E7" s="329"/>
      <c r="F7" s="329"/>
      <c r="G7" s="329"/>
      <c r="H7" s="329"/>
      <c r="I7" s="329"/>
      <c r="J7" s="329"/>
      <c r="K7" s="125"/>
      <c r="AV7" s="127"/>
    </row>
    <row r="8" spans="1:48" s="120" customFormat="1" ht="24.75" customHeight="1">
      <c r="A8" s="124"/>
      <c r="E8" s="322" t="s">
        <v>838</v>
      </c>
      <c r="F8" s="322"/>
      <c r="G8" s="322"/>
      <c r="H8" s="322"/>
      <c r="I8" s="322"/>
      <c r="J8" s="322"/>
      <c r="K8" s="128" t="s">
        <v>837</v>
      </c>
      <c r="L8" s="132" t="s">
        <v>925</v>
      </c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3"/>
      <c r="AB8" s="130"/>
      <c r="AC8" s="130"/>
      <c r="AD8" s="132" t="s">
        <v>839</v>
      </c>
      <c r="AE8" s="132" t="s">
        <v>840</v>
      </c>
      <c r="AF8" s="330">
        <v>571022700</v>
      </c>
      <c r="AG8" s="330"/>
      <c r="AH8" s="330"/>
      <c r="AI8" s="330"/>
      <c r="AJ8" s="330"/>
      <c r="AK8" s="330"/>
      <c r="AL8" s="330"/>
      <c r="AM8" s="134" t="s">
        <v>841</v>
      </c>
      <c r="AV8" s="127"/>
    </row>
    <row r="9" spans="1:48" s="120" customFormat="1" ht="24.75" customHeight="1">
      <c r="A9" s="124"/>
      <c r="E9" s="317"/>
      <c r="F9" s="317"/>
      <c r="G9" s="317"/>
      <c r="H9" s="317"/>
      <c r="I9" s="317"/>
      <c r="J9" s="317"/>
      <c r="K9" s="125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7"/>
      <c r="AD9" s="136"/>
      <c r="AE9" s="136"/>
      <c r="AF9" s="321"/>
      <c r="AG9" s="321"/>
      <c r="AH9" s="321"/>
      <c r="AI9" s="321"/>
      <c r="AJ9" s="321"/>
      <c r="AK9" s="321"/>
      <c r="AL9" s="321"/>
      <c r="AM9" s="139"/>
      <c r="AV9" s="127"/>
    </row>
    <row r="10" spans="1:48" s="120" customFormat="1" ht="27.75" customHeight="1">
      <c r="A10" s="124"/>
      <c r="E10" s="135"/>
      <c r="F10" s="135"/>
      <c r="G10" s="135"/>
      <c r="H10" s="135"/>
      <c r="I10" s="135"/>
      <c r="J10" s="135"/>
      <c r="K10" s="125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7"/>
      <c r="AD10" s="136"/>
      <c r="AE10" s="136"/>
      <c r="AF10" s="138"/>
      <c r="AG10" s="138"/>
      <c r="AH10" s="138"/>
      <c r="AI10" s="138"/>
      <c r="AJ10" s="138"/>
      <c r="AK10" s="138"/>
      <c r="AL10" s="138"/>
      <c r="AM10" s="139"/>
      <c r="AV10" s="127"/>
    </row>
    <row r="11" spans="1:48" s="120" customFormat="1" ht="28.5" customHeight="1">
      <c r="A11" s="124"/>
      <c r="E11" s="322" t="s">
        <v>842</v>
      </c>
      <c r="F11" s="322"/>
      <c r="G11" s="322"/>
      <c r="H11" s="322"/>
      <c r="I11" s="322"/>
      <c r="J11" s="322"/>
      <c r="K11" s="128" t="s">
        <v>837</v>
      </c>
      <c r="L11" s="132" t="s">
        <v>851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3"/>
      <c r="AB11" s="130"/>
      <c r="AC11" s="130"/>
      <c r="AD11" s="132"/>
      <c r="AE11" s="132"/>
      <c r="AF11" s="140"/>
      <c r="AG11" s="140"/>
      <c r="AH11" s="140"/>
      <c r="AI11" s="140"/>
      <c r="AJ11" s="140"/>
      <c r="AK11" s="140"/>
      <c r="AL11" s="140"/>
      <c r="AM11" s="134"/>
      <c r="AN11" s="141"/>
      <c r="AO11" s="141"/>
      <c r="AP11" s="141"/>
      <c r="AQ11" s="141"/>
      <c r="AR11" s="141"/>
      <c r="AS11" s="141"/>
      <c r="AT11" s="141"/>
      <c r="AU11" s="142"/>
      <c r="AV11" s="143"/>
    </row>
    <row r="12" spans="1:48" s="120" customFormat="1" ht="14.25" customHeight="1">
      <c r="A12" s="124"/>
      <c r="E12" s="131"/>
      <c r="F12" s="131"/>
      <c r="G12" s="131"/>
      <c r="H12" s="131"/>
      <c r="I12" s="131"/>
      <c r="J12" s="131"/>
      <c r="K12" s="125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V12" s="127"/>
    </row>
    <row r="13" spans="1:48" s="120" customFormat="1" ht="14.25" customHeight="1">
      <c r="A13" s="124"/>
      <c r="E13" s="125"/>
      <c r="F13" s="125"/>
      <c r="G13" s="125"/>
      <c r="H13" s="125"/>
      <c r="I13" s="125"/>
      <c r="K13" s="125"/>
      <c r="AV13" s="127"/>
    </row>
    <row r="14" spans="1:48" s="120" customFormat="1" ht="30" customHeight="1">
      <c r="A14" s="124"/>
      <c r="E14" s="125"/>
      <c r="F14" s="125"/>
      <c r="G14" s="125"/>
      <c r="H14" s="125"/>
      <c r="I14" s="125"/>
      <c r="J14" s="323" t="s">
        <v>843</v>
      </c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23"/>
      <c r="AC14" s="323"/>
      <c r="AD14" s="323"/>
      <c r="AE14" s="323"/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V14" s="127"/>
    </row>
    <row r="15" spans="1:48" s="120" customFormat="1" ht="14.25" customHeight="1">
      <c r="A15" s="124"/>
      <c r="E15" s="125"/>
      <c r="F15" s="125"/>
      <c r="G15" s="125"/>
      <c r="H15" s="125"/>
      <c r="I15" s="125"/>
      <c r="K15" s="125"/>
      <c r="AV15" s="127"/>
    </row>
    <row r="16" spans="1:48" s="120" customFormat="1" ht="24.75" customHeight="1">
      <c r="A16" s="124"/>
      <c r="E16" s="125"/>
      <c r="F16" s="125"/>
      <c r="G16" s="125"/>
      <c r="H16" s="125"/>
      <c r="I16" s="125"/>
      <c r="K16" s="125"/>
      <c r="X16" s="324" t="s">
        <v>850</v>
      </c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V16" s="127"/>
    </row>
    <row r="17" spans="1:48" s="120" customFormat="1" ht="24.75" customHeight="1">
      <c r="A17" s="124"/>
      <c r="E17" s="125"/>
      <c r="F17" s="125"/>
      <c r="G17" s="125"/>
      <c r="H17" s="125"/>
      <c r="I17" s="125"/>
      <c r="K17" s="125"/>
      <c r="AV17" s="127"/>
    </row>
    <row r="18" spans="1:48" s="136" customFormat="1" ht="37.5" customHeight="1">
      <c r="A18" s="145"/>
      <c r="K18" s="146"/>
      <c r="T18" s="317" t="s">
        <v>844</v>
      </c>
      <c r="U18" s="317"/>
      <c r="V18" s="317"/>
      <c r="W18" s="317"/>
      <c r="X18" s="146" t="s">
        <v>837</v>
      </c>
      <c r="Y18" s="325" t="s">
        <v>852</v>
      </c>
      <c r="Z18" s="325"/>
      <c r="AA18" s="325"/>
      <c r="AB18" s="325"/>
      <c r="AC18" s="325"/>
      <c r="AD18" s="325"/>
      <c r="AE18" s="325"/>
      <c r="AF18" s="325"/>
      <c r="AG18" s="325"/>
      <c r="AI18" s="317" t="s">
        <v>845</v>
      </c>
      <c r="AJ18" s="317"/>
      <c r="AK18" s="317"/>
      <c r="AL18" s="317"/>
      <c r="AM18" s="146" t="s">
        <v>837</v>
      </c>
      <c r="AN18" s="325" t="s">
        <v>853</v>
      </c>
      <c r="AO18" s="325"/>
      <c r="AP18" s="325"/>
      <c r="AQ18" s="325"/>
      <c r="AR18" s="325"/>
      <c r="AS18" s="325" t="s">
        <v>846</v>
      </c>
      <c r="AT18" s="325"/>
      <c r="AU18" s="325"/>
      <c r="AV18" s="147"/>
    </row>
    <row r="19" spans="1:48" s="136" customFormat="1" ht="37.5" customHeight="1">
      <c r="A19" s="145"/>
      <c r="K19" s="146"/>
      <c r="T19" s="317" t="s">
        <v>847</v>
      </c>
      <c r="U19" s="317"/>
      <c r="V19" s="317"/>
      <c r="W19" s="317"/>
      <c r="X19" s="146" t="s">
        <v>837</v>
      </c>
      <c r="Y19" s="318" t="s">
        <v>854</v>
      </c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9"/>
    </row>
    <row r="20" spans="1:48" s="120" customFormat="1" ht="30" customHeight="1">
      <c r="A20" s="124"/>
      <c r="D20" s="320" t="s">
        <v>848</v>
      </c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148"/>
      <c r="S20" s="149"/>
      <c r="AV20" s="127"/>
    </row>
    <row r="21" spans="1:48" s="120" customFormat="1" ht="15" customHeight="1">
      <c r="A21" s="150"/>
      <c r="B21" s="151"/>
      <c r="C21" s="151"/>
      <c r="D21" s="151"/>
      <c r="E21" s="151"/>
      <c r="F21" s="151"/>
      <c r="G21" s="151"/>
      <c r="H21" s="151"/>
      <c r="I21" s="151"/>
      <c r="J21" s="151"/>
      <c r="K21" s="152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3"/>
    </row>
  </sheetData>
  <mergeCells count="18">
    <mergeCell ref="A2:AV2"/>
    <mergeCell ref="E6:J6"/>
    <mergeCell ref="E7:J7"/>
    <mergeCell ref="E8:J8"/>
    <mergeCell ref="AF8:AL8"/>
    <mergeCell ref="T19:W19"/>
    <mergeCell ref="Y19:AV19"/>
    <mergeCell ref="D20:Q20"/>
    <mergeCell ref="E9:J9"/>
    <mergeCell ref="AF9:AL9"/>
    <mergeCell ref="E11:J11"/>
    <mergeCell ref="J14:AP14"/>
    <mergeCell ref="X16:AI16"/>
    <mergeCell ref="T18:W18"/>
    <mergeCell ref="Y18:AG18"/>
    <mergeCell ref="AI18:AL18"/>
    <mergeCell ref="AN18:AR18"/>
    <mergeCell ref="AS18:AU18"/>
  </mergeCells>
  <phoneticPr fontId="8" type="noConversion"/>
  <pageMargins left="0.78740157480314965" right="7.874015748031496E-2" top="0.27559055118110237" bottom="0.78740157480314965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4DD3-E499-440C-B31F-AAD9C3515A69}">
  <dimension ref="B1:L52"/>
  <sheetViews>
    <sheetView workbookViewId="0">
      <pane ySplit="3" topLeftCell="A16" activePane="bottomLeft" state="frozen"/>
      <selection pane="bottomLeft" activeCell="F12" sqref="F12"/>
    </sheetView>
  </sheetViews>
  <sheetFormatPr defaultRowHeight="12.75"/>
  <cols>
    <col min="1" max="1" width="0.7109375" customWidth="1"/>
    <col min="2" max="3" width="2.7109375" customWidth="1"/>
    <col min="4" max="4" width="19.28515625" customWidth="1"/>
    <col min="5" max="5" width="4.7109375" customWidth="1"/>
    <col min="6" max="6" width="19.140625" customWidth="1"/>
    <col min="7" max="7" width="5.42578125" customWidth="1"/>
    <col min="8" max="8" width="35.5703125" customWidth="1"/>
  </cols>
  <sheetData>
    <row r="1" spans="2:8" ht="24.95" customHeight="1">
      <c r="B1" s="333" t="s">
        <v>450</v>
      </c>
      <c r="C1" s="333"/>
      <c r="D1" s="333"/>
      <c r="E1" s="333"/>
      <c r="F1" s="333"/>
      <c r="G1" s="333"/>
      <c r="H1" s="333"/>
    </row>
    <row r="2" spans="2:8" ht="9.9499999999999993" customHeight="1">
      <c r="B2" s="334"/>
      <c r="C2" s="334"/>
      <c r="D2" s="334"/>
      <c r="E2" s="334"/>
      <c r="F2" s="334"/>
      <c r="G2" s="334"/>
      <c r="H2" s="334"/>
    </row>
    <row r="3" spans="2:8" ht="33.6" customHeight="1">
      <c r="B3" s="331" t="s">
        <v>120</v>
      </c>
      <c r="C3" s="332"/>
      <c r="D3" s="332"/>
      <c r="E3" s="16" t="s">
        <v>67</v>
      </c>
      <c r="F3" s="17" t="s">
        <v>384</v>
      </c>
      <c r="G3" s="17" t="s">
        <v>289</v>
      </c>
      <c r="H3" s="18" t="s">
        <v>821</v>
      </c>
    </row>
    <row r="4" spans="2:8" ht="22.35" customHeight="1">
      <c r="B4" s="104" t="s">
        <v>834</v>
      </c>
      <c r="C4" s="105" t="s">
        <v>793</v>
      </c>
      <c r="D4" s="106" t="s">
        <v>483</v>
      </c>
      <c r="E4" s="107" t="s">
        <v>225</v>
      </c>
      <c r="F4" s="19"/>
      <c r="G4" s="108" t="s">
        <v>834</v>
      </c>
      <c r="H4" s="109" t="s">
        <v>834</v>
      </c>
    </row>
    <row r="5" spans="2:8" ht="22.35" customHeight="1">
      <c r="B5" s="104" t="s">
        <v>834</v>
      </c>
      <c r="C5" s="105" t="s">
        <v>816</v>
      </c>
      <c r="D5" s="106" t="s">
        <v>778</v>
      </c>
      <c r="E5" s="107" t="s">
        <v>782</v>
      </c>
      <c r="F5" s="108" t="str">
        <f>도급계약내역서!K182</f>
        <v>107,322,412</v>
      </c>
      <c r="G5" s="108" t="s">
        <v>834</v>
      </c>
      <c r="H5" s="109" t="s">
        <v>834</v>
      </c>
    </row>
    <row r="6" spans="2:8" ht="22.35" customHeight="1">
      <c r="B6" s="104" t="s">
        <v>834</v>
      </c>
      <c r="C6" s="105" t="s">
        <v>440</v>
      </c>
      <c r="D6" s="110" t="s">
        <v>340</v>
      </c>
      <c r="E6" s="111" t="s">
        <v>312</v>
      </c>
      <c r="F6" s="31"/>
      <c r="G6" s="65" t="s">
        <v>834</v>
      </c>
      <c r="H6" s="32" t="s">
        <v>834</v>
      </c>
    </row>
    <row r="7" spans="2:8" ht="22.35" customHeight="1">
      <c r="B7" s="104" t="s">
        <v>834</v>
      </c>
      <c r="C7" s="29" t="s">
        <v>834</v>
      </c>
      <c r="D7" s="110" t="s">
        <v>507</v>
      </c>
      <c r="E7" s="111" t="s">
        <v>365</v>
      </c>
      <c r="F7" s="31">
        <f>TRUNC((F4+F5+F6),0)</f>
        <v>107322412</v>
      </c>
      <c r="G7" s="65" t="s">
        <v>834</v>
      </c>
      <c r="H7" s="32" t="s">
        <v>681</v>
      </c>
    </row>
    <row r="8" spans="2:8" ht="22.35" customHeight="1">
      <c r="B8" s="104" t="s">
        <v>573</v>
      </c>
      <c r="C8" s="105" t="s">
        <v>730</v>
      </c>
      <c r="D8" s="106" t="s">
        <v>560</v>
      </c>
      <c r="E8" s="107" t="s">
        <v>641</v>
      </c>
      <c r="F8" s="108" t="str">
        <f>도급계약내역서!I182</f>
        <v>187,495,739</v>
      </c>
      <c r="G8" s="108" t="s">
        <v>834</v>
      </c>
      <c r="H8" s="109" t="s">
        <v>834</v>
      </c>
    </row>
    <row r="9" spans="2:8" ht="22.35" customHeight="1">
      <c r="B9" s="104" t="s">
        <v>606</v>
      </c>
      <c r="C9" s="105" t="s">
        <v>783</v>
      </c>
      <c r="D9" s="110" t="s">
        <v>712</v>
      </c>
      <c r="E9" s="111" t="s">
        <v>253</v>
      </c>
      <c r="F9" s="31">
        <f>TRUNC(F8*0.165,0)</f>
        <v>30936796</v>
      </c>
      <c r="G9" s="65" t="s">
        <v>543</v>
      </c>
      <c r="H9" s="32" t="s">
        <v>167</v>
      </c>
    </row>
    <row r="10" spans="2:8" ht="22.35" customHeight="1">
      <c r="B10" s="104" t="s">
        <v>573</v>
      </c>
      <c r="C10" s="29" t="s">
        <v>440</v>
      </c>
      <c r="D10" s="110" t="s">
        <v>507</v>
      </c>
      <c r="E10" s="111" t="s">
        <v>664</v>
      </c>
      <c r="F10" s="31">
        <f>TRUNC((F8+F9),0)</f>
        <v>218432535</v>
      </c>
      <c r="G10" s="65" t="s">
        <v>834</v>
      </c>
      <c r="H10" s="32" t="s">
        <v>264</v>
      </c>
    </row>
    <row r="11" spans="2:8" ht="22.35" customHeight="1">
      <c r="B11" s="104" t="s">
        <v>175</v>
      </c>
      <c r="C11" s="105" t="s">
        <v>834</v>
      </c>
      <c r="D11" s="106" t="s">
        <v>216</v>
      </c>
      <c r="E11" s="107" t="s">
        <v>760</v>
      </c>
      <c r="F11" s="108" t="str">
        <f>도급계약내역서!M182</f>
        <v>27,944,371</v>
      </c>
      <c r="G11" s="108" t="s">
        <v>834</v>
      </c>
      <c r="H11" s="109" t="s">
        <v>834</v>
      </c>
    </row>
    <row r="12" spans="2:8" ht="22.35" customHeight="1">
      <c r="B12" s="104" t="s">
        <v>573</v>
      </c>
      <c r="C12" s="105" t="s">
        <v>834</v>
      </c>
      <c r="D12" s="106" t="s">
        <v>605</v>
      </c>
      <c r="E12" s="107" t="s">
        <v>402</v>
      </c>
      <c r="F12" s="19">
        <f>TRUNC(F10*0.0356,0)</f>
        <v>7776198</v>
      </c>
      <c r="G12" s="108" t="s">
        <v>773</v>
      </c>
      <c r="H12" s="109" t="s">
        <v>77</v>
      </c>
    </row>
    <row r="13" spans="2:8" ht="22.35" customHeight="1">
      <c r="B13" s="104" t="s">
        <v>269</v>
      </c>
      <c r="C13" s="105" t="s">
        <v>834</v>
      </c>
      <c r="D13" s="106" t="s">
        <v>680</v>
      </c>
      <c r="E13" s="107" t="s">
        <v>764</v>
      </c>
      <c r="F13" s="19">
        <f>TRUNC(F10*0.0101,0)</f>
        <v>2206168</v>
      </c>
      <c r="G13" s="108" t="s">
        <v>580</v>
      </c>
      <c r="H13" s="109" t="s">
        <v>729</v>
      </c>
    </row>
    <row r="14" spans="2:8" ht="22.35" customHeight="1">
      <c r="B14" s="104" t="s">
        <v>573</v>
      </c>
      <c r="C14" s="105" t="s">
        <v>160</v>
      </c>
      <c r="D14" s="106" t="s">
        <v>464</v>
      </c>
      <c r="E14" s="107" t="s">
        <v>392</v>
      </c>
      <c r="F14" s="19">
        <f>TRUNC(F8*0.03595,0)</f>
        <v>6740471</v>
      </c>
      <c r="G14" s="108" t="s">
        <v>215</v>
      </c>
      <c r="H14" s="109" t="s">
        <v>4</v>
      </c>
    </row>
    <row r="15" spans="2:8" ht="22.35" customHeight="1">
      <c r="B15" s="104" t="s">
        <v>482</v>
      </c>
      <c r="C15" s="105" t="s">
        <v>834</v>
      </c>
      <c r="D15" s="106" t="s">
        <v>425</v>
      </c>
      <c r="E15" s="107" t="s">
        <v>90</v>
      </c>
      <c r="F15" s="19">
        <f>TRUNC(F8*0.0475,0)</f>
        <v>8906047</v>
      </c>
      <c r="G15" s="108" t="s">
        <v>237</v>
      </c>
      <c r="H15" s="109" t="s">
        <v>21</v>
      </c>
    </row>
    <row r="16" spans="2:8" ht="22.35" customHeight="1">
      <c r="B16" s="104" t="s">
        <v>834</v>
      </c>
      <c r="C16" s="105" t="s">
        <v>834</v>
      </c>
      <c r="D16" s="106" t="s">
        <v>465</v>
      </c>
      <c r="E16" s="107" t="s">
        <v>433</v>
      </c>
      <c r="F16" s="19">
        <f>TRUNC(F14*0.1314,0)</f>
        <v>885697</v>
      </c>
      <c r="G16" s="108" t="s">
        <v>73</v>
      </c>
      <c r="H16" s="109" t="s">
        <v>51</v>
      </c>
    </row>
    <row r="17" spans="2:12" ht="22.35" customHeight="1">
      <c r="B17" s="104" t="s">
        <v>614</v>
      </c>
      <c r="C17" s="105" t="s">
        <v>834</v>
      </c>
      <c r="D17" s="106" t="s">
        <v>121</v>
      </c>
      <c r="E17" s="107" t="s">
        <v>151</v>
      </c>
      <c r="F17" s="19">
        <f>TRUNC(F8*0.023,0)</f>
        <v>4312401</v>
      </c>
      <c r="G17" s="108" t="s">
        <v>261</v>
      </c>
      <c r="H17" s="109" t="s">
        <v>236</v>
      </c>
    </row>
    <row r="18" spans="2:12" ht="22.35" customHeight="1">
      <c r="B18" s="104" t="s">
        <v>834</v>
      </c>
      <c r="C18" s="105" t="s">
        <v>834</v>
      </c>
      <c r="D18" s="106" t="s">
        <v>413</v>
      </c>
      <c r="E18" s="107" t="s">
        <v>517</v>
      </c>
      <c r="F18" s="19">
        <f>TRUNC((F7+F8+F11)*0.004,0)</f>
        <v>1291050</v>
      </c>
      <c r="G18" s="108" t="s">
        <v>72</v>
      </c>
      <c r="H18" s="109" t="s">
        <v>396</v>
      </c>
    </row>
    <row r="19" spans="2:12" ht="22.35" customHeight="1">
      <c r="B19" s="104" t="s">
        <v>573</v>
      </c>
      <c r="C19" s="105" t="s">
        <v>834</v>
      </c>
      <c r="D19" s="106" t="s">
        <v>506</v>
      </c>
      <c r="E19" s="107" t="s">
        <v>26</v>
      </c>
      <c r="F19" s="19">
        <f>TRUNC(((F7+F8+F33/1.1)*0.0253)+3300000,0)</f>
        <v>11625999</v>
      </c>
      <c r="G19" s="108" t="s">
        <v>14</v>
      </c>
      <c r="H19" s="109" t="s">
        <v>590</v>
      </c>
    </row>
    <row r="20" spans="2:12" ht="22.35" customHeight="1">
      <c r="B20" s="104" t="s">
        <v>834</v>
      </c>
      <c r="C20" s="105" t="s">
        <v>834</v>
      </c>
      <c r="D20" s="106" t="s">
        <v>416</v>
      </c>
      <c r="E20" s="107" t="s">
        <v>462</v>
      </c>
      <c r="F20" s="19">
        <f>TRUNC((F7+F8+F11)*0.009,0)</f>
        <v>2904862</v>
      </c>
      <c r="G20" s="108" t="s">
        <v>263</v>
      </c>
      <c r="H20" s="109" t="s">
        <v>463</v>
      </c>
    </row>
    <row r="21" spans="2:12" ht="22.35" customHeight="1">
      <c r="B21" s="104" t="s">
        <v>834</v>
      </c>
      <c r="C21" s="105" t="s">
        <v>834</v>
      </c>
      <c r="D21" s="106" t="s">
        <v>679</v>
      </c>
      <c r="E21" s="107" t="s">
        <v>125</v>
      </c>
      <c r="F21" s="19"/>
      <c r="G21" s="108" t="s">
        <v>834</v>
      </c>
      <c r="H21" s="109" t="s">
        <v>834</v>
      </c>
    </row>
    <row r="22" spans="2:12" ht="22.35" customHeight="1">
      <c r="B22" s="104" t="s">
        <v>834</v>
      </c>
      <c r="C22" s="105" t="s">
        <v>440</v>
      </c>
      <c r="D22" s="106" t="s">
        <v>388</v>
      </c>
      <c r="E22" s="107" t="s">
        <v>589</v>
      </c>
      <c r="F22" s="19">
        <f>TRUNC((F7+F8+F11)*0.00081,0)</f>
        <v>261437</v>
      </c>
      <c r="G22" s="108" t="s">
        <v>742</v>
      </c>
      <c r="H22" s="109" t="s">
        <v>163</v>
      </c>
    </row>
    <row r="23" spans="2:12" ht="22.35" customHeight="1">
      <c r="B23" s="104" t="s">
        <v>834</v>
      </c>
      <c r="C23" s="105" t="s">
        <v>834</v>
      </c>
      <c r="D23" s="110" t="s">
        <v>334</v>
      </c>
      <c r="E23" s="111" t="s">
        <v>127</v>
      </c>
      <c r="F23" s="31">
        <f>TRUNC((F7+F10)*0.052,0)</f>
        <v>16939257</v>
      </c>
      <c r="G23" s="65" t="s">
        <v>531</v>
      </c>
      <c r="H23" s="32" t="s">
        <v>725</v>
      </c>
    </row>
    <row r="24" spans="2:12" ht="22.35" customHeight="1">
      <c r="B24" s="67" t="s">
        <v>834</v>
      </c>
      <c r="C24" s="29" t="s">
        <v>834</v>
      </c>
      <c r="D24" s="110" t="s">
        <v>507</v>
      </c>
      <c r="E24" s="111" t="s">
        <v>274</v>
      </c>
      <c r="F24" s="31">
        <f>TRUNC((F11+F12+F13+F14+F15+F16+F17+F18+F19+F20+F21+F22+F23),0)</f>
        <v>91793958</v>
      </c>
      <c r="G24" s="65" t="s">
        <v>834</v>
      </c>
      <c r="H24" s="32" t="s">
        <v>687</v>
      </c>
    </row>
    <row r="25" spans="2:12" ht="22.35" customHeight="1">
      <c r="B25" s="112" t="s">
        <v>834</v>
      </c>
      <c r="C25" s="110" t="s">
        <v>834</v>
      </c>
      <c r="D25" s="110" t="s">
        <v>505</v>
      </c>
      <c r="E25" s="111" t="s">
        <v>810</v>
      </c>
      <c r="F25" s="31">
        <f>TRUNC((F7+F10+F24),0)</f>
        <v>417548905</v>
      </c>
      <c r="G25" s="65" t="s">
        <v>834</v>
      </c>
      <c r="H25" s="32" t="s">
        <v>159</v>
      </c>
    </row>
    <row r="26" spans="2:12" ht="22.35" customHeight="1">
      <c r="B26" s="112" t="s">
        <v>834</v>
      </c>
      <c r="C26" s="110" t="s">
        <v>834</v>
      </c>
      <c r="D26" s="110" t="s">
        <v>452</v>
      </c>
      <c r="E26" s="111" t="s">
        <v>342</v>
      </c>
      <c r="F26" s="31">
        <f>TRUNC(F25*0.08,0)</f>
        <v>33403912</v>
      </c>
      <c r="G26" s="65" t="s">
        <v>579</v>
      </c>
      <c r="H26" s="32" t="s">
        <v>711</v>
      </c>
    </row>
    <row r="27" spans="2:12" ht="22.35" customHeight="1">
      <c r="B27" s="112" t="s">
        <v>834</v>
      </c>
      <c r="C27" s="110" t="s">
        <v>834</v>
      </c>
      <c r="D27" s="110" t="s">
        <v>71</v>
      </c>
      <c r="E27" s="111" t="s">
        <v>694</v>
      </c>
      <c r="F27" s="31">
        <f>TRUNC((F10+F24+F26)*0.1488,0)-18214</f>
        <v>51113990</v>
      </c>
      <c r="G27" s="65" t="s">
        <v>442</v>
      </c>
      <c r="H27" s="32" t="s">
        <v>628</v>
      </c>
    </row>
    <row r="28" spans="2:12" ht="22.35" customHeight="1">
      <c r="B28" s="112" t="s">
        <v>834</v>
      </c>
      <c r="C28" s="110" t="s">
        <v>834</v>
      </c>
      <c r="D28" s="110" t="s">
        <v>349</v>
      </c>
      <c r="E28" s="111" t="s">
        <v>193</v>
      </c>
      <c r="F28" s="65">
        <f>도급계약내역서!G203</f>
        <v>17884603</v>
      </c>
      <c r="G28" s="65" t="s">
        <v>834</v>
      </c>
      <c r="H28" s="32" t="s">
        <v>834</v>
      </c>
      <c r="L28">
        <f>도급계약내역서!G203</f>
        <v>17884603</v>
      </c>
    </row>
    <row r="29" spans="2:12" ht="22.35" customHeight="1">
      <c r="B29" s="112" t="s">
        <v>834</v>
      </c>
      <c r="C29" s="110" t="s">
        <v>834</v>
      </c>
      <c r="D29" s="110" t="s">
        <v>693</v>
      </c>
      <c r="E29" s="111" t="s">
        <v>668</v>
      </c>
      <c r="F29" s="65">
        <f>도급계약내역서!G207</f>
        <v>454308</v>
      </c>
      <c r="G29" s="65" t="s">
        <v>834</v>
      </c>
      <c r="H29" s="32" t="s">
        <v>834</v>
      </c>
      <c r="L29">
        <f>도급계약내역서!G207</f>
        <v>454308</v>
      </c>
    </row>
    <row r="30" spans="2:12" ht="22.35" customHeight="1">
      <c r="B30" s="112" t="s">
        <v>834</v>
      </c>
      <c r="C30" s="110" t="s">
        <v>834</v>
      </c>
      <c r="D30" s="110" t="s">
        <v>437</v>
      </c>
      <c r="E30" s="111" t="s">
        <v>209</v>
      </c>
      <c r="F30" s="31">
        <f>TRUNC((F25+F26+F27+F28+F29),0)</f>
        <v>520405718</v>
      </c>
      <c r="G30" s="65" t="s">
        <v>834</v>
      </c>
      <c r="H30" s="32" t="s">
        <v>182</v>
      </c>
    </row>
    <row r="31" spans="2:12" ht="22.35" customHeight="1">
      <c r="B31" s="112" t="s">
        <v>834</v>
      </c>
      <c r="C31" s="110" t="s">
        <v>834</v>
      </c>
      <c r="D31" s="110" t="s">
        <v>154</v>
      </c>
      <c r="E31" s="111" t="s">
        <v>815</v>
      </c>
      <c r="F31" s="31">
        <f>IF(L52&lt;&gt; "0.9",TRUNC(F30*0.1,0),TRUNC(F30*0.1,0)+1)</f>
        <v>52040571</v>
      </c>
      <c r="G31" s="65" t="s">
        <v>825</v>
      </c>
      <c r="H31" s="32" t="s">
        <v>13</v>
      </c>
    </row>
    <row r="32" spans="2:12" ht="22.35" customHeight="1">
      <c r="B32" s="112" t="s">
        <v>834</v>
      </c>
      <c r="C32" s="110" t="s">
        <v>834</v>
      </c>
      <c r="D32" s="110" t="s">
        <v>94</v>
      </c>
      <c r="E32" s="111" t="s">
        <v>335</v>
      </c>
      <c r="F32" s="31">
        <f>TRUNC((F30+F31),5)</f>
        <v>572446289</v>
      </c>
      <c r="G32" s="65" t="s">
        <v>834</v>
      </c>
      <c r="H32" s="32" t="s">
        <v>739</v>
      </c>
    </row>
    <row r="33" spans="2:12" ht="22.35" customHeight="1">
      <c r="B33" s="112" t="s">
        <v>834</v>
      </c>
      <c r="C33" s="110" t="s">
        <v>834</v>
      </c>
      <c r="D33" s="110" t="s">
        <v>380</v>
      </c>
      <c r="E33" s="111" t="s">
        <v>652</v>
      </c>
      <c r="F33" s="65">
        <f>도급계약내역서!G212</f>
        <v>37700000</v>
      </c>
      <c r="G33" s="65" t="s">
        <v>834</v>
      </c>
      <c r="H33" s="32" t="s">
        <v>834</v>
      </c>
      <c r="L33">
        <f>도급계약내역서!G212</f>
        <v>37700000</v>
      </c>
    </row>
    <row r="34" spans="2:12" ht="22.35" customHeight="1">
      <c r="B34" s="113" t="s">
        <v>834</v>
      </c>
      <c r="C34" s="114" t="s">
        <v>834</v>
      </c>
      <c r="D34" s="114" t="s">
        <v>181</v>
      </c>
      <c r="E34" s="115" t="s">
        <v>296</v>
      </c>
      <c r="F34" s="22">
        <f>TRUNC((F32+F33),0)</f>
        <v>610146289</v>
      </c>
      <c r="G34" s="74" t="s">
        <v>834</v>
      </c>
      <c r="H34" s="36" t="s">
        <v>336</v>
      </c>
    </row>
    <row r="35" spans="2:12">
      <c r="B35" s="23"/>
      <c r="C35" s="23"/>
      <c r="D35" s="23"/>
      <c r="E35" s="23"/>
      <c r="F35" s="23"/>
      <c r="G35" s="23"/>
      <c r="H35" s="23"/>
    </row>
    <row r="52" spans="12:12">
      <c r="L52" t="str">
        <f>RIGHT(F30*0.1,3)</f>
        <v>1.8</v>
      </c>
    </row>
  </sheetData>
  <mergeCells count="2">
    <mergeCell ref="B3:D3"/>
    <mergeCell ref="B1:H2"/>
  </mergeCells>
  <phoneticPr fontId="8" type="noConversion"/>
  <pageMargins left="0.78740157480314965" right="7.874015748031496E-2" top="0.94488188976377963" bottom="0.59055118110236215" header="0.5" footer="0.5"/>
  <pageSetup paperSize="9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3E14-870A-42C1-AFD8-D4FE97CF1206}">
  <sheetPr>
    <tabColor rgb="FF00B0F0"/>
  </sheetPr>
  <dimension ref="A1:L29"/>
  <sheetViews>
    <sheetView view="pageBreakPreview" zoomScaleNormal="100" zoomScaleSheetLayoutView="100" workbookViewId="0">
      <pane ySplit="3" topLeftCell="A4" activePane="bottomLeft" state="frozen"/>
      <selection activeCell="BA9" sqref="BA9"/>
      <selection pane="bottomLeft" sqref="A1:XFD1048576"/>
    </sheetView>
  </sheetViews>
  <sheetFormatPr defaultRowHeight="12.75"/>
  <cols>
    <col min="1" max="1" width="7.42578125" customWidth="1"/>
    <col min="2" max="2" width="37" customWidth="1"/>
    <col min="3" max="3" width="32.85546875" customWidth="1"/>
    <col min="4" max="4" width="12.85546875" customWidth="1"/>
    <col min="5" max="5" width="7.42578125" customWidth="1"/>
    <col min="6" max="6" width="35" customWidth="1"/>
    <col min="7" max="7" width="15.28515625" hidden="1" customWidth="1"/>
    <col min="8" max="8" width="14.7109375" hidden="1" customWidth="1"/>
    <col min="9" max="9" width="15.42578125" hidden="1" customWidth="1"/>
    <col min="10" max="10" width="12.85546875" customWidth="1"/>
    <col min="12" max="12" width="12.7109375" bestFit="1" customWidth="1"/>
  </cols>
  <sheetData>
    <row r="1" spans="1:12" ht="28.5" customHeight="1">
      <c r="A1" s="333" t="s">
        <v>657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2" ht="23.25" customHeight="1">
      <c r="A2" s="179" t="s">
        <v>891</v>
      </c>
      <c r="B2" s="180"/>
    </row>
    <row r="3" spans="1:12" ht="30.75" customHeight="1">
      <c r="A3" s="250" t="s">
        <v>829</v>
      </c>
      <c r="B3" s="251" t="s">
        <v>520</v>
      </c>
      <c r="C3" s="251" t="s">
        <v>649</v>
      </c>
      <c r="D3" s="251" t="s">
        <v>27</v>
      </c>
      <c r="E3" s="251" t="s">
        <v>294</v>
      </c>
      <c r="F3" s="251" t="s">
        <v>856</v>
      </c>
      <c r="G3" s="251" t="s">
        <v>700</v>
      </c>
      <c r="H3" s="251" t="s">
        <v>498</v>
      </c>
      <c r="I3" s="251" t="s">
        <v>55</v>
      </c>
      <c r="J3" s="252" t="s">
        <v>178</v>
      </c>
    </row>
    <row r="4" spans="1:12" ht="21" customHeight="1">
      <c r="A4" s="222" t="s">
        <v>401</v>
      </c>
      <c r="B4" s="223" t="s">
        <v>443</v>
      </c>
      <c r="C4" s="223" t="s">
        <v>834</v>
      </c>
      <c r="D4" s="224"/>
      <c r="E4" s="225" t="s">
        <v>834</v>
      </c>
      <c r="F4" s="226">
        <v>181183936</v>
      </c>
      <c r="G4" s="226" t="s">
        <v>926</v>
      </c>
      <c r="H4" s="226" t="s">
        <v>927</v>
      </c>
      <c r="I4" s="226" t="s">
        <v>928</v>
      </c>
      <c r="J4" s="227" t="s">
        <v>834</v>
      </c>
    </row>
    <row r="5" spans="1:12" ht="21" customHeight="1">
      <c r="A5" s="222" t="s">
        <v>594</v>
      </c>
      <c r="B5" s="223" t="s">
        <v>210</v>
      </c>
      <c r="C5" s="223" t="s">
        <v>834</v>
      </c>
      <c r="D5" s="224"/>
      <c r="E5" s="225" t="s">
        <v>834</v>
      </c>
      <c r="F5" s="226">
        <v>141578586</v>
      </c>
      <c r="G5" s="226" t="s">
        <v>929</v>
      </c>
      <c r="H5" s="226" t="s">
        <v>930</v>
      </c>
      <c r="I5" s="226" t="s">
        <v>931</v>
      </c>
      <c r="J5" s="227" t="s">
        <v>834</v>
      </c>
    </row>
    <row r="6" spans="1:12" ht="21" customHeight="1">
      <c r="A6" s="222" t="s">
        <v>834</v>
      </c>
      <c r="B6" s="223" t="s">
        <v>830</v>
      </c>
      <c r="C6" s="223" t="s">
        <v>834</v>
      </c>
      <c r="D6" s="224"/>
      <c r="E6" s="225" t="s">
        <v>834</v>
      </c>
      <c r="F6" s="226">
        <v>322762522</v>
      </c>
      <c r="G6" s="226" t="s">
        <v>932</v>
      </c>
      <c r="H6" s="226" t="s">
        <v>933</v>
      </c>
      <c r="I6" s="226" t="s">
        <v>934</v>
      </c>
      <c r="J6" s="227" t="s">
        <v>834</v>
      </c>
      <c r="L6" s="205"/>
    </row>
    <row r="7" spans="1:12" ht="21" customHeight="1">
      <c r="A7" s="222" t="s">
        <v>834</v>
      </c>
      <c r="B7" s="223" t="s">
        <v>695</v>
      </c>
      <c r="C7" s="223" t="s">
        <v>834</v>
      </c>
      <c r="D7" s="228">
        <v>1</v>
      </c>
      <c r="E7" s="225" t="s">
        <v>923</v>
      </c>
      <c r="F7" s="226">
        <v>30939448</v>
      </c>
      <c r="G7" s="228">
        <v>30939448</v>
      </c>
      <c r="H7" s="228"/>
      <c r="I7" s="228"/>
      <c r="J7" s="227" t="s">
        <v>834</v>
      </c>
    </row>
    <row r="8" spans="1:12" ht="21" customHeight="1">
      <c r="A8" s="222" t="s">
        <v>834</v>
      </c>
      <c r="B8" s="223" t="s">
        <v>367</v>
      </c>
      <c r="C8" s="223" t="s">
        <v>834</v>
      </c>
      <c r="D8" s="228">
        <v>1</v>
      </c>
      <c r="E8" s="225" t="s">
        <v>923</v>
      </c>
      <c r="F8" s="226">
        <v>7776864</v>
      </c>
      <c r="G8" s="228"/>
      <c r="H8" s="228"/>
      <c r="I8" s="228">
        <v>7776864</v>
      </c>
      <c r="J8" s="227" t="s">
        <v>834</v>
      </c>
    </row>
    <row r="9" spans="1:12" ht="21" customHeight="1">
      <c r="A9" s="222" t="s">
        <v>834</v>
      </c>
      <c r="B9" s="223" t="s">
        <v>290</v>
      </c>
      <c r="C9" s="223" t="s">
        <v>834</v>
      </c>
      <c r="D9" s="228">
        <v>1</v>
      </c>
      <c r="E9" s="225" t="s">
        <v>665</v>
      </c>
      <c r="F9" s="226">
        <v>2206356</v>
      </c>
      <c r="G9" s="228"/>
      <c r="H9" s="228"/>
      <c r="I9" s="228">
        <v>2206356</v>
      </c>
      <c r="J9" s="227" t="s">
        <v>834</v>
      </c>
    </row>
    <row r="10" spans="1:12" ht="21" customHeight="1">
      <c r="A10" s="222" t="s">
        <v>834</v>
      </c>
      <c r="B10" s="223" t="s">
        <v>451</v>
      </c>
      <c r="C10" s="223" t="s">
        <v>834</v>
      </c>
      <c r="D10" s="228">
        <v>1</v>
      </c>
      <c r="E10" s="225" t="s">
        <v>665</v>
      </c>
      <c r="F10" s="226">
        <v>7437746</v>
      </c>
      <c r="G10" s="228"/>
      <c r="H10" s="228"/>
      <c r="I10" s="228">
        <v>7437746</v>
      </c>
      <c r="J10" s="227" t="s">
        <v>834</v>
      </c>
    </row>
    <row r="11" spans="1:12" ht="21" customHeight="1">
      <c r="A11" s="222" t="s">
        <v>834</v>
      </c>
      <c r="B11" s="223" t="s">
        <v>701</v>
      </c>
      <c r="C11" s="223" t="s">
        <v>834</v>
      </c>
      <c r="D11" s="228">
        <v>1</v>
      </c>
      <c r="E11" s="225" t="s">
        <v>665</v>
      </c>
      <c r="F11" s="226">
        <v>9827342</v>
      </c>
      <c r="G11" s="228"/>
      <c r="H11" s="228"/>
      <c r="I11" s="228">
        <v>9827342</v>
      </c>
      <c r="J11" s="227" t="s">
        <v>834</v>
      </c>
    </row>
    <row r="12" spans="1:12" ht="21" customHeight="1">
      <c r="A12" s="222" t="s">
        <v>834</v>
      </c>
      <c r="B12" s="223" t="s">
        <v>774</v>
      </c>
      <c r="C12" s="223" t="s">
        <v>834</v>
      </c>
      <c r="D12" s="228">
        <v>1</v>
      </c>
      <c r="E12" s="225" t="s">
        <v>665</v>
      </c>
      <c r="F12" s="226">
        <v>977319</v>
      </c>
      <c r="G12" s="228"/>
      <c r="H12" s="228"/>
      <c r="I12" s="228">
        <v>977319</v>
      </c>
      <c r="J12" s="227" t="s">
        <v>834</v>
      </c>
    </row>
    <row r="13" spans="1:12" ht="21" customHeight="1">
      <c r="A13" s="222" t="s">
        <v>834</v>
      </c>
      <c r="B13" s="223" t="s">
        <v>147</v>
      </c>
      <c r="C13" s="223" t="s">
        <v>834</v>
      </c>
      <c r="D13" s="228">
        <v>1</v>
      </c>
      <c r="E13" s="225" t="s">
        <v>665</v>
      </c>
      <c r="F13" s="226">
        <v>4758502</v>
      </c>
      <c r="G13" s="228"/>
      <c r="H13" s="228"/>
      <c r="I13" s="228">
        <v>4758502</v>
      </c>
      <c r="J13" s="227" t="s">
        <v>834</v>
      </c>
    </row>
    <row r="14" spans="1:12" ht="21" customHeight="1">
      <c r="A14" s="222" t="s">
        <v>834</v>
      </c>
      <c r="B14" s="223" t="s">
        <v>413</v>
      </c>
      <c r="C14" s="223" t="s">
        <v>834</v>
      </c>
      <c r="D14" s="228">
        <v>1</v>
      </c>
      <c r="E14" s="225" t="s">
        <v>665</v>
      </c>
      <c r="F14" s="226">
        <v>1291049</v>
      </c>
      <c r="G14" s="228"/>
      <c r="H14" s="228"/>
      <c r="I14" s="228">
        <v>1291049</v>
      </c>
      <c r="J14" s="227" t="s">
        <v>834</v>
      </c>
    </row>
    <row r="15" spans="1:12" ht="21" customHeight="1">
      <c r="A15" s="229" t="s">
        <v>834</v>
      </c>
      <c r="B15" s="230" t="s">
        <v>734</v>
      </c>
      <c r="C15" s="230" t="s">
        <v>834</v>
      </c>
      <c r="D15" s="231">
        <v>1</v>
      </c>
      <c r="E15" s="232" t="s">
        <v>665</v>
      </c>
      <c r="F15" s="233">
        <v>12397587</v>
      </c>
      <c r="G15" s="231"/>
      <c r="H15" s="231"/>
      <c r="I15" s="231">
        <v>12397587</v>
      </c>
      <c r="J15" s="234" t="s">
        <v>834</v>
      </c>
    </row>
    <row r="16" spans="1:12" ht="21" customHeight="1">
      <c r="A16" s="222" t="s">
        <v>834</v>
      </c>
      <c r="B16" s="223" t="s">
        <v>689</v>
      </c>
      <c r="C16" s="223" t="s">
        <v>834</v>
      </c>
      <c r="D16" s="228">
        <v>1</v>
      </c>
      <c r="E16" s="225" t="s">
        <v>665</v>
      </c>
      <c r="F16" s="226">
        <v>2904862</v>
      </c>
      <c r="G16" s="228"/>
      <c r="H16" s="228"/>
      <c r="I16" s="228">
        <v>2904862</v>
      </c>
      <c r="J16" s="227" t="s">
        <v>834</v>
      </c>
    </row>
    <row r="17" spans="1:11" ht="21" customHeight="1">
      <c r="A17" s="222" t="s">
        <v>834</v>
      </c>
      <c r="B17" s="223" t="s">
        <v>388</v>
      </c>
      <c r="C17" s="223" t="s">
        <v>834</v>
      </c>
      <c r="D17" s="228">
        <v>1</v>
      </c>
      <c r="E17" s="225" t="s">
        <v>665</v>
      </c>
      <c r="F17" s="226">
        <v>261437</v>
      </c>
      <c r="G17" s="228"/>
      <c r="H17" s="228"/>
      <c r="I17" s="228">
        <v>261437</v>
      </c>
      <c r="J17" s="227" t="s">
        <v>834</v>
      </c>
    </row>
    <row r="18" spans="1:11" ht="21" customHeight="1">
      <c r="A18" s="222" t="s">
        <v>834</v>
      </c>
      <c r="B18" s="223" t="s">
        <v>817</v>
      </c>
      <c r="C18" s="223" t="s">
        <v>834</v>
      </c>
      <c r="D18" s="228">
        <v>1</v>
      </c>
      <c r="E18" s="225" t="s">
        <v>665</v>
      </c>
      <c r="F18" s="226">
        <v>16940698</v>
      </c>
      <c r="G18" s="228"/>
      <c r="H18" s="228"/>
      <c r="I18" s="228">
        <v>16940698</v>
      </c>
      <c r="J18" s="227" t="s">
        <v>834</v>
      </c>
    </row>
    <row r="19" spans="1:11" s="161" customFormat="1" ht="21" customHeight="1">
      <c r="A19" s="235" t="s">
        <v>834</v>
      </c>
      <c r="B19" s="236" t="s">
        <v>784</v>
      </c>
      <c r="C19" s="236" t="s">
        <v>834</v>
      </c>
      <c r="D19" s="237">
        <v>1</v>
      </c>
      <c r="E19" s="238" t="s">
        <v>665</v>
      </c>
      <c r="F19" s="239">
        <v>420481732</v>
      </c>
      <c r="G19" s="237">
        <v>218435187</v>
      </c>
      <c r="H19" s="237">
        <v>107322412</v>
      </c>
      <c r="I19" s="237">
        <v>94724133</v>
      </c>
      <c r="J19" s="240" t="s">
        <v>834</v>
      </c>
      <c r="K19" s="206"/>
    </row>
    <row r="20" spans="1:11" ht="21" customHeight="1">
      <c r="A20" s="222" t="s">
        <v>834</v>
      </c>
      <c r="B20" s="223" t="s">
        <v>705</v>
      </c>
      <c r="C20" s="223" t="s">
        <v>834</v>
      </c>
      <c r="D20" s="228">
        <v>1</v>
      </c>
      <c r="E20" s="225" t="s">
        <v>665</v>
      </c>
      <c r="F20" s="226">
        <v>33638537</v>
      </c>
      <c r="G20" s="228"/>
      <c r="H20" s="228"/>
      <c r="I20" s="228">
        <v>33638537</v>
      </c>
      <c r="J20" s="227" t="s">
        <v>834</v>
      </c>
    </row>
    <row r="21" spans="1:11" ht="21" customHeight="1">
      <c r="A21" s="222" t="s">
        <v>834</v>
      </c>
      <c r="B21" s="223" t="s">
        <v>276</v>
      </c>
      <c r="C21" s="223" t="s">
        <v>834</v>
      </c>
      <c r="D21" s="228">
        <v>1</v>
      </c>
      <c r="E21" s="225" t="s">
        <v>665</v>
      </c>
      <c r="F21" s="226">
        <v>46652366</v>
      </c>
      <c r="G21" s="228"/>
      <c r="H21" s="228"/>
      <c r="I21" s="228">
        <v>46652366</v>
      </c>
      <c r="J21" s="227" t="s">
        <v>834</v>
      </c>
    </row>
    <row r="22" spans="1:11" ht="21" customHeight="1">
      <c r="A22" s="222"/>
      <c r="B22" s="223" t="s">
        <v>921</v>
      </c>
      <c r="C22" s="223"/>
      <c r="D22" s="241"/>
      <c r="E22" s="225"/>
      <c r="F22" s="226">
        <v>17884603</v>
      </c>
      <c r="G22" s="228"/>
      <c r="H22" s="228"/>
      <c r="I22" s="228">
        <v>17884603</v>
      </c>
      <c r="J22" s="227"/>
    </row>
    <row r="23" spans="1:11" ht="21" customHeight="1">
      <c r="A23" s="222"/>
      <c r="B23" s="223" t="s">
        <v>922</v>
      </c>
      <c r="C23" s="223"/>
      <c r="D23" s="241"/>
      <c r="E23" s="225"/>
      <c r="F23" s="226">
        <v>454308</v>
      </c>
      <c r="G23" s="228"/>
      <c r="H23" s="228"/>
      <c r="I23" s="228">
        <v>454308</v>
      </c>
      <c r="J23" s="227"/>
    </row>
    <row r="24" spans="1:11" s="161" customFormat="1" ht="21" customHeight="1">
      <c r="A24" s="235" t="s">
        <v>834</v>
      </c>
      <c r="B24" s="236" t="s">
        <v>704</v>
      </c>
      <c r="C24" s="236" t="s">
        <v>834</v>
      </c>
      <c r="D24" s="242"/>
      <c r="E24" s="238" t="s">
        <v>834</v>
      </c>
      <c r="F24" s="239">
        <v>519111546</v>
      </c>
      <c r="G24" s="237">
        <v>218435187</v>
      </c>
      <c r="H24" s="237">
        <v>107322412</v>
      </c>
      <c r="I24" s="237">
        <v>193353947</v>
      </c>
      <c r="J24" s="240" t="s">
        <v>834</v>
      </c>
    </row>
    <row r="25" spans="1:11" ht="21" customHeight="1">
      <c r="A25" s="222" t="s">
        <v>834</v>
      </c>
      <c r="B25" s="223" t="s">
        <v>63</v>
      </c>
      <c r="C25" s="223" t="s">
        <v>834</v>
      </c>
      <c r="D25" s="224">
        <v>10</v>
      </c>
      <c r="E25" s="225" t="s">
        <v>157</v>
      </c>
      <c r="F25" s="226">
        <v>51911154</v>
      </c>
      <c r="G25" s="228"/>
      <c r="H25" s="228"/>
      <c r="I25" s="228">
        <v>51911154</v>
      </c>
      <c r="J25" s="227" t="s">
        <v>834</v>
      </c>
    </row>
    <row r="26" spans="1:11" s="161" customFormat="1" ht="21" customHeight="1">
      <c r="A26" s="235" t="s">
        <v>834</v>
      </c>
      <c r="B26" s="236" t="s">
        <v>430</v>
      </c>
      <c r="C26" s="236" t="s">
        <v>834</v>
      </c>
      <c r="D26" s="242"/>
      <c r="E26" s="238" t="s">
        <v>834</v>
      </c>
      <c r="F26" s="239">
        <v>571022700</v>
      </c>
      <c r="G26" s="237">
        <v>218435187</v>
      </c>
      <c r="H26" s="237">
        <v>107322412</v>
      </c>
      <c r="I26" s="237">
        <v>245265101</v>
      </c>
      <c r="J26" s="240" t="s">
        <v>834</v>
      </c>
    </row>
    <row r="27" spans="1:11" s="161" customFormat="1" ht="21" customHeight="1">
      <c r="A27" s="235"/>
      <c r="B27" s="236" t="s">
        <v>920</v>
      </c>
      <c r="C27" s="236"/>
      <c r="D27" s="242"/>
      <c r="E27" s="238"/>
      <c r="F27" s="239">
        <v>37700000</v>
      </c>
      <c r="G27" s="237"/>
      <c r="H27" s="239" t="s">
        <v>935</v>
      </c>
      <c r="I27" s="237"/>
      <c r="J27" s="240"/>
    </row>
    <row r="28" spans="1:11" s="161" customFormat="1" ht="21" customHeight="1">
      <c r="A28" s="243" t="s">
        <v>834</v>
      </c>
      <c r="B28" s="244" t="s">
        <v>341</v>
      </c>
      <c r="C28" s="244" t="s">
        <v>834</v>
      </c>
      <c r="D28" s="245"/>
      <c r="E28" s="246" t="s">
        <v>834</v>
      </c>
      <c r="F28" s="247">
        <v>608722700</v>
      </c>
      <c r="G28" s="248">
        <v>218435187</v>
      </c>
      <c r="H28" s="248">
        <v>145022412</v>
      </c>
      <c r="I28" s="248">
        <v>245265101</v>
      </c>
      <c r="J28" s="249" t="s">
        <v>834</v>
      </c>
    </row>
    <row r="29" spans="1:11">
      <c r="A29" s="23"/>
      <c r="B29" s="23"/>
      <c r="C29" s="23"/>
      <c r="D29" s="23"/>
      <c r="E29" s="23"/>
      <c r="F29" s="23"/>
      <c r="G29" s="23"/>
      <c r="H29" s="23"/>
      <c r="I29" s="23"/>
      <c r="J29" s="23"/>
    </row>
  </sheetData>
  <mergeCells count="1">
    <mergeCell ref="A1:J1"/>
  </mergeCells>
  <phoneticPr fontId="8" type="noConversion"/>
  <printOptions horizontalCentered="1"/>
  <pageMargins left="0.19685039370078741" right="7.874015748031496E-2" top="0.39370078740157483" bottom="0.19685039370078741" header="0.51181102362204722" footer="0.51181102362204722"/>
  <pageSetup paperSize="9"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DF45-D1ED-4DBA-93FE-5FEE8C65012A}">
  <sheetPr>
    <tabColor rgb="FF00B0F0"/>
  </sheetPr>
  <dimension ref="A1:Q237"/>
  <sheetViews>
    <sheetView showZeros="0" tabSelected="1"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N2"/>
    </sheetView>
  </sheetViews>
  <sheetFormatPr defaultRowHeight="12.75" outlineLevelCol="1"/>
  <cols>
    <col min="1" max="1" width="6.7109375" customWidth="1"/>
    <col min="2" max="2" width="48.28515625" customWidth="1"/>
    <col min="3" max="3" width="33.140625" customWidth="1"/>
    <col min="4" max="4" width="7.5703125" customWidth="1"/>
    <col min="5" max="5" width="9.5703125" customWidth="1"/>
    <col min="6" max="6" width="23" customWidth="1"/>
    <col min="7" max="7" width="26.140625" customWidth="1"/>
    <col min="8" max="8" width="11.7109375" hidden="1" customWidth="1" outlineLevel="1"/>
    <col min="9" max="9" width="14.7109375" hidden="1" customWidth="1" outlineLevel="1"/>
    <col min="10" max="10" width="11.7109375" hidden="1" customWidth="1" outlineLevel="1"/>
    <col min="11" max="11" width="14.7109375" hidden="1" customWidth="1" outlineLevel="1"/>
    <col min="12" max="12" width="11.7109375" hidden="1" customWidth="1" outlineLevel="1"/>
    <col min="13" max="13" width="14.7109375" hidden="1" customWidth="1" outlineLevel="1"/>
    <col min="14" max="14" width="12" customWidth="1" collapsed="1"/>
    <col min="16" max="16" width="12.28515625" bestFit="1" customWidth="1"/>
    <col min="17" max="17" width="12" bestFit="1" customWidth="1"/>
  </cols>
  <sheetData>
    <row r="1" spans="1:17" ht="24.95" customHeight="1">
      <c r="A1" s="336" t="s">
        <v>857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</row>
    <row r="2" spans="1:17" ht="9.9499999999999993" customHeight="1">
      <c r="A2" s="338"/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1:17" ht="24" customHeight="1">
      <c r="A3" s="335" t="s">
        <v>829</v>
      </c>
      <c r="B3" s="335" t="s">
        <v>520</v>
      </c>
      <c r="C3" s="335" t="s">
        <v>649</v>
      </c>
      <c r="D3" s="335" t="s">
        <v>441</v>
      </c>
      <c r="E3" s="335" t="s">
        <v>294</v>
      </c>
      <c r="F3" s="335" t="s">
        <v>856</v>
      </c>
      <c r="G3" s="335"/>
      <c r="H3" s="335" t="s">
        <v>325</v>
      </c>
      <c r="I3" s="335"/>
      <c r="J3" s="335" t="s">
        <v>538</v>
      </c>
      <c r="K3" s="335"/>
      <c r="L3" s="335" t="s">
        <v>671</v>
      </c>
      <c r="M3" s="335"/>
      <c r="N3" s="335" t="s">
        <v>178</v>
      </c>
      <c r="O3" s="154" t="s">
        <v>858</v>
      </c>
      <c r="P3" s="207">
        <v>0.90627000000000002</v>
      </c>
    </row>
    <row r="4" spans="1:17" ht="19.7" customHeight="1">
      <c r="A4" s="335"/>
      <c r="B4" s="335"/>
      <c r="C4" s="335"/>
      <c r="D4" s="335"/>
      <c r="E4" s="335"/>
      <c r="F4" s="221" t="s">
        <v>3</v>
      </c>
      <c r="G4" s="221" t="s">
        <v>423</v>
      </c>
      <c r="H4" s="221" t="s">
        <v>3</v>
      </c>
      <c r="I4" s="221" t="s">
        <v>423</v>
      </c>
      <c r="J4" s="221" t="s">
        <v>3</v>
      </c>
      <c r="K4" s="221" t="s">
        <v>423</v>
      </c>
      <c r="L4" s="221" t="s">
        <v>3</v>
      </c>
      <c r="M4" s="221" t="s">
        <v>423</v>
      </c>
      <c r="N4" s="335"/>
    </row>
    <row r="5" spans="1:17" ht="19.7" customHeight="1">
      <c r="A5" s="208" t="s">
        <v>401</v>
      </c>
      <c r="B5" s="208" t="s">
        <v>443</v>
      </c>
      <c r="C5" s="208" t="s">
        <v>834</v>
      </c>
      <c r="D5" s="209"/>
      <c r="E5" s="210" t="s">
        <v>834</v>
      </c>
      <c r="F5" s="209">
        <v>0</v>
      </c>
      <c r="G5" s="211">
        <v>181183936</v>
      </c>
      <c r="H5" s="209"/>
      <c r="I5" s="211" t="s">
        <v>926</v>
      </c>
      <c r="J5" s="209"/>
      <c r="K5" s="211" t="s">
        <v>927</v>
      </c>
      <c r="L5" s="209"/>
      <c r="M5" s="211" t="s">
        <v>928</v>
      </c>
      <c r="N5" s="208"/>
      <c r="P5" s="27">
        <v>187495739</v>
      </c>
    </row>
    <row r="6" spans="1:17" ht="19.7" customHeight="1">
      <c r="A6" s="208" t="s">
        <v>499</v>
      </c>
      <c r="B6" s="208" t="s">
        <v>489</v>
      </c>
      <c r="C6" s="208" t="s">
        <v>834</v>
      </c>
      <c r="D6" s="209"/>
      <c r="E6" s="210" t="s">
        <v>834</v>
      </c>
      <c r="F6" s="209">
        <v>0</v>
      </c>
      <c r="G6" s="211">
        <v>181183936</v>
      </c>
      <c r="H6" s="209"/>
      <c r="I6" s="211" t="s">
        <v>926</v>
      </c>
      <c r="J6" s="209"/>
      <c r="K6" s="211" t="s">
        <v>927</v>
      </c>
      <c r="L6" s="209"/>
      <c r="M6" s="211" t="s">
        <v>928</v>
      </c>
      <c r="N6" s="208"/>
      <c r="P6" s="27"/>
    </row>
    <row r="7" spans="1:17" ht="19.7" customHeight="1">
      <c r="A7" s="208" t="s">
        <v>207</v>
      </c>
      <c r="B7" s="208" t="s">
        <v>682</v>
      </c>
      <c r="C7" s="208" t="s">
        <v>834</v>
      </c>
      <c r="D7" s="209"/>
      <c r="E7" s="210" t="s">
        <v>834</v>
      </c>
      <c r="F7" s="209">
        <v>0</v>
      </c>
      <c r="G7" s="211">
        <v>173186989</v>
      </c>
      <c r="H7" s="209"/>
      <c r="I7" s="211" t="s">
        <v>936</v>
      </c>
      <c r="J7" s="209"/>
      <c r="K7" s="211" t="s">
        <v>937</v>
      </c>
      <c r="L7" s="209"/>
      <c r="M7" s="211" t="s">
        <v>938</v>
      </c>
      <c r="N7" s="208"/>
    </row>
    <row r="8" spans="1:17" ht="19.7" customHeight="1">
      <c r="A8" s="212" t="s">
        <v>834</v>
      </c>
      <c r="B8" s="212" t="s">
        <v>563</v>
      </c>
      <c r="C8" s="212" t="s">
        <v>624</v>
      </c>
      <c r="D8" s="209">
        <v>1969</v>
      </c>
      <c r="E8" s="213" t="s">
        <v>596</v>
      </c>
      <c r="F8" s="209">
        <v>6368</v>
      </c>
      <c r="G8" s="214">
        <v>12538592</v>
      </c>
      <c r="H8" s="214">
        <v>3674</v>
      </c>
      <c r="I8" s="214">
        <v>7234106</v>
      </c>
      <c r="J8" s="214">
        <v>1208</v>
      </c>
      <c r="K8" s="214">
        <v>2378552</v>
      </c>
      <c r="L8" s="214">
        <v>1486</v>
      </c>
      <c r="M8" s="214">
        <v>2925934</v>
      </c>
      <c r="N8" s="215">
        <v>0.90627000000000002</v>
      </c>
      <c r="Q8" s="27">
        <v>187495739</v>
      </c>
    </row>
    <row r="9" spans="1:17" ht="19.7" customHeight="1">
      <c r="A9" s="212" t="s">
        <v>834</v>
      </c>
      <c r="B9" s="212" t="s">
        <v>478</v>
      </c>
      <c r="C9" s="212" t="s">
        <v>320</v>
      </c>
      <c r="D9" s="209">
        <v>1969</v>
      </c>
      <c r="E9" s="213" t="s">
        <v>596</v>
      </c>
      <c r="F9" s="209">
        <v>80540</v>
      </c>
      <c r="G9" s="214">
        <v>158583260</v>
      </c>
      <c r="H9" s="214">
        <v>51208</v>
      </c>
      <c r="I9" s="214">
        <v>100828552</v>
      </c>
      <c r="J9" s="214">
        <v>29010</v>
      </c>
      <c r="K9" s="214">
        <v>57120690</v>
      </c>
      <c r="L9" s="214">
        <v>322</v>
      </c>
      <c r="M9" s="214">
        <v>634018</v>
      </c>
      <c r="N9" s="215">
        <v>0.90627000000000002</v>
      </c>
    </row>
    <row r="10" spans="1:17" ht="19.7" customHeight="1">
      <c r="A10" s="212" t="s">
        <v>834</v>
      </c>
      <c r="B10" s="212" t="s">
        <v>788</v>
      </c>
      <c r="C10" s="212" t="s">
        <v>303</v>
      </c>
      <c r="D10" s="209">
        <v>125</v>
      </c>
      <c r="E10" s="213" t="s">
        <v>296</v>
      </c>
      <c r="F10" s="209">
        <v>11301</v>
      </c>
      <c r="G10" s="214">
        <v>1412625</v>
      </c>
      <c r="H10" s="214">
        <v>2338</v>
      </c>
      <c r="I10" s="214">
        <v>292250</v>
      </c>
      <c r="J10" s="214">
        <v>8917</v>
      </c>
      <c r="K10" s="214">
        <v>1114625</v>
      </c>
      <c r="L10" s="214">
        <v>46</v>
      </c>
      <c r="M10" s="214">
        <v>5750</v>
      </c>
      <c r="N10" s="215">
        <v>0.90627000000000002</v>
      </c>
    </row>
    <row r="11" spans="1:17" ht="19.7" customHeight="1">
      <c r="A11" s="212" t="s">
        <v>834</v>
      </c>
      <c r="B11" s="212" t="s">
        <v>206</v>
      </c>
      <c r="C11" s="212" t="s">
        <v>632</v>
      </c>
      <c r="D11" s="209">
        <v>4</v>
      </c>
      <c r="E11" s="213" t="s">
        <v>542</v>
      </c>
      <c r="F11" s="209">
        <v>163128</v>
      </c>
      <c r="G11" s="214">
        <v>652512</v>
      </c>
      <c r="H11" s="214">
        <v>0</v>
      </c>
      <c r="I11" s="214">
        <v>0</v>
      </c>
      <c r="J11" s="214">
        <v>163128</v>
      </c>
      <c r="K11" s="214">
        <v>652512</v>
      </c>
      <c r="L11" s="214">
        <v>0</v>
      </c>
      <c r="M11" s="214">
        <v>0</v>
      </c>
      <c r="N11" s="215">
        <v>0.90627000000000002</v>
      </c>
    </row>
    <row r="12" spans="1:17" ht="19.7" customHeight="1">
      <c r="A12" s="208" t="s">
        <v>328</v>
      </c>
      <c r="B12" s="208" t="s">
        <v>259</v>
      </c>
      <c r="C12" s="208" t="s">
        <v>834</v>
      </c>
      <c r="D12" s="209"/>
      <c r="E12" s="210" t="s">
        <v>834</v>
      </c>
      <c r="F12" s="209">
        <v>0</v>
      </c>
      <c r="G12" s="211">
        <v>7996947</v>
      </c>
      <c r="H12" s="209">
        <v>0</v>
      </c>
      <c r="I12" s="211" t="s">
        <v>939</v>
      </c>
      <c r="J12" s="209">
        <v>0</v>
      </c>
      <c r="K12" s="211" t="s">
        <v>940</v>
      </c>
      <c r="L12" s="209">
        <v>0</v>
      </c>
      <c r="M12" s="211" t="s">
        <v>941</v>
      </c>
      <c r="N12" s="216"/>
    </row>
    <row r="13" spans="1:17" ht="19.7" customHeight="1">
      <c r="A13" s="212" t="s">
        <v>834</v>
      </c>
      <c r="B13" s="212" t="s">
        <v>377</v>
      </c>
      <c r="C13" s="212" t="s">
        <v>292</v>
      </c>
      <c r="D13" s="209">
        <v>65</v>
      </c>
      <c r="E13" s="213" t="s">
        <v>596</v>
      </c>
      <c r="F13" s="209">
        <v>24905</v>
      </c>
      <c r="G13" s="214">
        <v>1618825</v>
      </c>
      <c r="H13" s="214">
        <v>2886</v>
      </c>
      <c r="I13" s="214">
        <v>187590</v>
      </c>
      <c r="J13" s="214">
        <v>21671</v>
      </c>
      <c r="K13" s="214">
        <v>1408615</v>
      </c>
      <c r="L13" s="214">
        <v>348</v>
      </c>
      <c r="M13" s="214">
        <v>22620</v>
      </c>
      <c r="N13" s="215">
        <v>0.90627000000000002</v>
      </c>
    </row>
    <row r="14" spans="1:17" ht="19.7" customHeight="1">
      <c r="A14" s="212" t="s">
        <v>834</v>
      </c>
      <c r="B14" s="212" t="s">
        <v>377</v>
      </c>
      <c r="C14" s="212" t="s">
        <v>661</v>
      </c>
      <c r="D14" s="209">
        <v>5</v>
      </c>
      <c r="E14" s="213" t="s">
        <v>596</v>
      </c>
      <c r="F14" s="209">
        <v>29457</v>
      </c>
      <c r="G14" s="214">
        <v>147285</v>
      </c>
      <c r="H14" s="214">
        <v>5773</v>
      </c>
      <c r="I14" s="214">
        <v>28865</v>
      </c>
      <c r="J14" s="214">
        <v>22987</v>
      </c>
      <c r="K14" s="214">
        <v>114935</v>
      </c>
      <c r="L14" s="214">
        <v>697</v>
      </c>
      <c r="M14" s="214">
        <v>3485</v>
      </c>
      <c r="N14" s="215">
        <v>0.90627000000000002</v>
      </c>
    </row>
    <row r="15" spans="1:17" ht="19.7" customHeight="1">
      <c r="A15" s="212" t="s">
        <v>834</v>
      </c>
      <c r="B15" s="212" t="s">
        <v>377</v>
      </c>
      <c r="C15" s="212" t="s">
        <v>315</v>
      </c>
      <c r="D15" s="209">
        <v>72</v>
      </c>
      <c r="E15" s="213" t="s">
        <v>596</v>
      </c>
      <c r="F15" s="209">
        <v>41739</v>
      </c>
      <c r="G15" s="214">
        <v>3005208</v>
      </c>
      <c r="H15" s="214">
        <v>16039</v>
      </c>
      <c r="I15" s="214">
        <v>1154808</v>
      </c>
      <c r="J15" s="214">
        <v>23760</v>
      </c>
      <c r="K15" s="214">
        <v>1710720</v>
      </c>
      <c r="L15" s="214">
        <v>1940</v>
      </c>
      <c r="M15" s="214">
        <v>139680</v>
      </c>
      <c r="N15" s="215">
        <v>0.90627000000000002</v>
      </c>
    </row>
    <row r="16" spans="1:17" ht="19.7" customHeight="1">
      <c r="A16" s="212" t="s">
        <v>834</v>
      </c>
      <c r="B16" s="212" t="s">
        <v>398</v>
      </c>
      <c r="C16" s="212" t="s">
        <v>530</v>
      </c>
      <c r="D16" s="209">
        <v>1</v>
      </c>
      <c r="E16" s="213" t="s">
        <v>748</v>
      </c>
      <c r="F16" s="209">
        <v>882668</v>
      </c>
      <c r="G16" s="214">
        <v>882668</v>
      </c>
      <c r="H16" s="214">
        <v>501653</v>
      </c>
      <c r="I16" s="214">
        <v>501653</v>
      </c>
      <c r="J16" s="214">
        <v>221662</v>
      </c>
      <c r="K16" s="214">
        <v>221662</v>
      </c>
      <c r="L16" s="214">
        <v>159353</v>
      </c>
      <c r="M16" s="214">
        <v>159353</v>
      </c>
      <c r="N16" s="215">
        <v>0.90627000000000002</v>
      </c>
    </row>
    <row r="17" spans="1:14" ht="19.7" customHeight="1">
      <c r="A17" s="212" t="s">
        <v>834</v>
      </c>
      <c r="B17" s="212" t="s">
        <v>597</v>
      </c>
      <c r="C17" s="212" t="s">
        <v>530</v>
      </c>
      <c r="D17" s="209">
        <v>1</v>
      </c>
      <c r="E17" s="213" t="s">
        <v>366</v>
      </c>
      <c r="F17" s="209">
        <v>134013</v>
      </c>
      <c r="G17" s="214">
        <v>134013</v>
      </c>
      <c r="H17" s="214">
        <v>57434</v>
      </c>
      <c r="I17" s="214">
        <v>57434</v>
      </c>
      <c r="J17" s="214">
        <v>76579</v>
      </c>
      <c r="K17" s="214">
        <v>76579</v>
      </c>
      <c r="L17" s="214">
        <v>0</v>
      </c>
      <c r="M17" s="214">
        <v>0</v>
      </c>
      <c r="N17" s="215">
        <v>0.90627000000000002</v>
      </c>
    </row>
    <row r="18" spans="1:14" ht="19.7" customHeight="1">
      <c r="A18" s="212" t="s">
        <v>834</v>
      </c>
      <c r="B18" s="212" t="s">
        <v>722</v>
      </c>
      <c r="C18" s="212" t="s">
        <v>211</v>
      </c>
      <c r="D18" s="209">
        <v>1</v>
      </c>
      <c r="E18" s="213" t="s">
        <v>665</v>
      </c>
      <c r="F18" s="209">
        <v>1996896</v>
      </c>
      <c r="G18" s="214">
        <v>1996896</v>
      </c>
      <c r="H18" s="214">
        <v>0</v>
      </c>
      <c r="I18" s="214">
        <v>0</v>
      </c>
      <c r="J18" s="214">
        <v>0</v>
      </c>
      <c r="K18" s="214">
        <v>0</v>
      </c>
      <c r="L18" s="214">
        <v>1996896</v>
      </c>
      <c r="M18" s="214">
        <v>1996896</v>
      </c>
      <c r="N18" s="215">
        <v>0.90627000000000002</v>
      </c>
    </row>
    <row r="19" spans="1:14" ht="19.7" customHeight="1">
      <c r="A19" s="212" t="s">
        <v>834</v>
      </c>
      <c r="B19" s="212" t="s">
        <v>283</v>
      </c>
      <c r="C19" s="212" t="s">
        <v>623</v>
      </c>
      <c r="D19" s="209">
        <v>1</v>
      </c>
      <c r="E19" s="213" t="s">
        <v>665</v>
      </c>
      <c r="F19" s="209">
        <v>212052</v>
      </c>
      <c r="G19" s="214">
        <v>212052</v>
      </c>
      <c r="H19" s="214">
        <v>0</v>
      </c>
      <c r="I19" s="214">
        <v>0</v>
      </c>
      <c r="J19" s="214">
        <v>0</v>
      </c>
      <c r="K19" s="214">
        <v>0</v>
      </c>
      <c r="L19" s="214">
        <v>212052</v>
      </c>
      <c r="M19" s="214">
        <v>212052</v>
      </c>
      <c r="N19" s="215"/>
    </row>
    <row r="20" spans="1:14" ht="19.7" customHeight="1">
      <c r="A20" s="212" t="s">
        <v>834</v>
      </c>
      <c r="B20" s="212" t="s">
        <v>834</v>
      </c>
      <c r="C20" s="212" t="s">
        <v>834</v>
      </c>
      <c r="D20" s="209"/>
      <c r="E20" s="213" t="s">
        <v>834</v>
      </c>
      <c r="F20" s="209">
        <v>0</v>
      </c>
      <c r="G20" s="214">
        <v>0</v>
      </c>
      <c r="H20" s="209">
        <v>0</v>
      </c>
      <c r="I20" s="209"/>
      <c r="J20" s="209">
        <v>0</v>
      </c>
      <c r="K20" s="209"/>
      <c r="L20" s="209">
        <v>0</v>
      </c>
      <c r="M20" s="209"/>
      <c r="N20" s="215"/>
    </row>
    <row r="21" spans="1:14" ht="19.7" customHeight="1">
      <c r="A21" s="208" t="s">
        <v>594</v>
      </c>
      <c r="B21" s="208" t="s">
        <v>210</v>
      </c>
      <c r="C21" s="208" t="s">
        <v>834</v>
      </c>
      <c r="D21" s="209"/>
      <c r="E21" s="210" t="s">
        <v>834</v>
      </c>
      <c r="F21" s="209">
        <v>0</v>
      </c>
      <c r="G21" s="211">
        <v>141578586</v>
      </c>
      <c r="H21" s="209">
        <v>0</v>
      </c>
      <c r="I21" s="211" t="s">
        <v>929</v>
      </c>
      <c r="J21" s="209">
        <v>0</v>
      </c>
      <c r="K21" s="211" t="s">
        <v>930</v>
      </c>
      <c r="L21" s="209">
        <v>0</v>
      </c>
      <c r="M21" s="211" t="s">
        <v>931</v>
      </c>
      <c r="N21" s="216"/>
    </row>
    <row r="22" spans="1:14" ht="19.7" customHeight="1">
      <c r="A22" s="208" t="s">
        <v>629</v>
      </c>
      <c r="B22" s="208" t="s">
        <v>168</v>
      </c>
      <c r="C22" s="208" t="s">
        <v>834</v>
      </c>
      <c r="D22" s="209"/>
      <c r="E22" s="210" t="s">
        <v>834</v>
      </c>
      <c r="F22" s="209">
        <v>0</v>
      </c>
      <c r="G22" s="211">
        <v>6196197</v>
      </c>
      <c r="H22" s="209">
        <v>0</v>
      </c>
      <c r="I22" s="211" t="s">
        <v>942</v>
      </c>
      <c r="J22" s="209">
        <v>0</v>
      </c>
      <c r="K22" s="211" t="s">
        <v>943</v>
      </c>
      <c r="L22" s="209">
        <v>0</v>
      </c>
      <c r="M22" s="211" t="s">
        <v>944</v>
      </c>
      <c r="N22" s="216"/>
    </row>
    <row r="23" spans="1:14" ht="19.7" customHeight="1">
      <c r="A23" s="208" t="s">
        <v>468</v>
      </c>
      <c r="B23" s="208" t="s">
        <v>102</v>
      </c>
      <c r="C23" s="208" t="s">
        <v>834</v>
      </c>
      <c r="D23" s="209"/>
      <c r="E23" s="210" t="s">
        <v>834</v>
      </c>
      <c r="F23" s="209">
        <v>0</v>
      </c>
      <c r="G23" s="211">
        <v>2794732</v>
      </c>
      <c r="H23" s="209">
        <v>0</v>
      </c>
      <c r="I23" s="211" t="s">
        <v>945</v>
      </c>
      <c r="J23" s="209">
        <v>0</v>
      </c>
      <c r="K23" s="211" t="s">
        <v>946</v>
      </c>
      <c r="L23" s="209">
        <v>0</v>
      </c>
      <c r="M23" s="211" t="s">
        <v>947</v>
      </c>
      <c r="N23" s="216"/>
    </row>
    <row r="24" spans="1:14" ht="19.7" customHeight="1">
      <c r="A24" s="208" t="s">
        <v>834</v>
      </c>
      <c r="B24" s="208" t="s">
        <v>350</v>
      </c>
      <c r="C24" s="208" t="s">
        <v>834</v>
      </c>
      <c r="D24" s="209"/>
      <c r="E24" s="210" t="s">
        <v>834</v>
      </c>
      <c r="F24" s="209">
        <v>0</v>
      </c>
      <c r="G24" s="211">
        <v>805140</v>
      </c>
      <c r="H24" s="209">
        <v>0</v>
      </c>
      <c r="I24" s="211" t="s">
        <v>948</v>
      </c>
      <c r="J24" s="209">
        <v>0</v>
      </c>
      <c r="K24" s="211" t="s">
        <v>949</v>
      </c>
      <c r="L24" s="209">
        <v>0</v>
      </c>
      <c r="M24" s="211" t="s">
        <v>950</v>
      </c>
      <c r="N24" s="216"/>
    </row>
    <row r="25" spans="1:14" ht="19.7" customHeight="1">
      <c r="A25" s="212" t="s">
        <v>834</v>
      </c>
      <c r="B25" s="212" t="s">
        <v>438</v>
      </c>
      <c r="C25" s="212" t="s">
        <v>33</v>
      </c>
      <c r="D25" s="209">
        <v>2</v>
      </c>
      <c r="E25" s="213" t="s">
        <v>596</v>
      </c>
      <c r="F25" s="209">
        <v>402570</v>
      </c>
      <c r="G25" s="214">
        <v>805140</v>
      </c>
      <c r="H25" s="214">
        <v>139640</v>
      </c>
      <c r="I25" s="214">
        <v>279280</v>
      </c>
      <c r="J25" s="214">
        <v>259755</v>
      </c>
      <c r="K25" s="214">
        <v>519510</v>
      </c>
      <c r="L25" s="214">
        <v>3175</v>
      </c>
      <c r="M25" s="214">
        <v>6350</v>
      </c>
      <c r="N25" s="215">
        <v>0.90627000000000002</v>
      </c>
    </row>
    <row r="26" spans="1:14" ht="19.7" customHeight="1">
      <c r="A26" s="208" t="s">
        <v>834</v>
      </c>
      <c r="B26" s="208" t="s">
        <v>230</v>
      </c>
      <c r="C26" s="208" t="s">
        <v>834</v>
      </c>
      <c r="D26" s="209"/>
      <c r="E26" s="210" t="s">
        <v>834</v>
      </c>
      <c r="F26" s="209">
        <v>0</v>
      </c>
      <c r="G26" s="211">
        <v>1027981</v>
      </c>
      <c r="H26" s="209">
        <v>0</v>
      </c>
      <c r="I26" s="211" t="s">
        <v>951</v>
      </c>
      <c r="J26" s="209">
        <v>0</v>
      </c>
      <c r="K26" s="211" t="s">
        <v>952</v>
      </c>
      <c r="L26" s="209">
        <v>0</v>
      </c>
      <c r="M26" s="211" t="s">
        <v>953</v>
      </c>
      <c r="N26" s="216"/>
    </row>
    <row r="27" spans="1:14" ht="19.7" customHeight="1">
      <c r="A27" s="212" t="s">
        <v>834</v>
      </c>
      <c r="B27" s="212" t="s">
        <v>319</v>
      </c>
      <c r="C27" s="212" t="s">
        <v>500</v>
      </c>
      <c r="D27" s="209">
        <v>10</v>
      </c>
      <c r="E27" s="213" t="s">
        <v>596</v>
      </c>
      <c r="F27" s="209">
        <v>91558</v>
      </c>
      <c r="G27" s="214">
        <v>915580</v>
      </c>
      <c r="H27" s="214">
        <v>70059</v>
      </c>
      <c r="I27" s="214">
        <v>700590</v>
      </c>
      <c r="J27" s="214">
        <v>20572</v>
      </c>
      <c r="K27" s="214">
        <v>205720</v>
      </c>
      <c r="L27" s="214">
        <v>927</v>
      </c>
      <c r="M27" s="214">
        <v>9270</v>
      </c>
      <c r="N27" s="215">
        <v>0.90627000000000002</v>
      </c>
    </row>
    <row r="28" spans="1:14" ht="19.7" customHeight="1">
      <c r="A28" s="212" t="s">
        <v>834</v>
      </c>
      <c r="B28" s="212" t="s">
        <v>612</v>
      </c>
      <c r="C28" s="212" t="s">
        <v>561</v>
      </c>
      <c r="D28" s="209">
        <v>3</v>
      </c>
      <c r="E28" s="213" t="s">
        <v>476</v>
      </c>
      <c r="F28" s="209">
        <v>37467</v>
      </c>
      <c r="G28" s="214">
        <v>112401</v>
      </c>
      <c r="H28" s="214">
        <v>30304</v>
      </c>
      <c r="I28" s="214">
        <v>90912</v>
      </c>
      <c r="J28" s="214">
        <v>6558</v>
      </c>
      <c r="K28" s="214">
        <v>19674</v>
      </c>
      <c r="L28" s="214">
        <v>605</v>
      </c>
      <c r="M28" s="214">
        <v>1815</v>
      </c>
      <c r="N28" s="215">
        <v>0.90627000000000002</v>
      </c>
    </row>
    <row r="29" spans="1:14" ht="19.7" customHeight="1">
      <c r="A29" s="208" t="s">
        <v>834</v>
      </c>
      <c r="B29" s="208" t="s">
        <v>201</v>
      </c>
      <c r="C29" s="208" t="s">
        <v>834</v>
      </c>
      <c r="D29" s="209"/>
      <c r="E29" s="210" t="s">
        <v>834</v>
      </c>
      <c r="F29" s="209">
        <v>0</v>
      </c>
      <c r="G29" s="211">
        <v>76993</v>
      </c>
      <c r="H29" s="209">
        <v>0</v>
      </c>
      <c r="I29" s="211" t="s">
        <v>954</v>
      </c>
      <c r="J29" s="209">
        <v>0</v>
      </c>
      <c r="K29" s="211" t="s">
        <v>955</v>
      </c>
      <c r="L29" s="209">
        <v>0</v>
      </c>
      <c r="M29" s="211" t="s">
        <v>956</v>
      </c>
      <c r="N29" s="216"/>
    </row>
    <row r="30" spans="1:14" ht="19.7" customHeight="1">
      <c r="A30" s="212" t="s">
        <v>834</v>
      </c>
      <c r="B30" s="212" t="s">
        <v>319</v>
      </c>
      <c r="C30" s="212" t="s">
        <v>191</v>
      </c>
      <c r="D30" s="209">
        <v>1</v>
      </c>
      <c r="E30" s="213" t="s">
        <v>596</v>
      </c>
      <c r="F30" s="209">
        <v>76993</v>
      </c>
      <c r="G30" s="214">
        <v>76993</v>
      </c>
      <c r="H30" s="214">
        <v>57403</v>
      </c>
      <c r="I30" s="214">
        <v>57403</v>
      </c>
      <c r="J30" s="214">
        <v>18714</v>
      </c>
      <c r="K30" s="214">
        <v>18714</v>
      </c>
      <c r="L30" s="214">
        <v>876</v>
      </c>
      <c r="M30" s="214">
        <v>876</v>
      </c>
      <c r="N30" s="215">
        <v>0.90627000000000002</v>
      </c>
    </row>
    <row r="31" spans="1:14" ht="19.7" customHeight="1">
      <c r="A31" s="208" t="s">
        <v>834</v>
      </c>
      <c r="B31" s="208" t="s">
        <v>776</v>
      </c>
      <c r="C31" s="208" t="s">
        <v>834</v>
      </c>
      <c r="D31" s="209"/>
      <c r="E31" s="210" t="s">
        <v>834</v>
      </c>
      <c r="F31" s="209">
        <v>0</v>
      </c>
      <c r="G31" s="211">
        <v>884618</v>
      </c>
      <c r="H31" s="209">
        <v>0</v>
      </c>
      <c r="I31" s="211" t="s">
        <v>957</v>
      </c>
      <c r="J31" s="209">
        <v>0</v>
      </c>
      <c r="K31" s="211" t="s">
        <v>958</v>
      </c>
      <c r="L31" s="209">
        <v>0</v>
      </c>
      <c r="M31" s="211" t="s">
        <v>959</v>
      </c>
      <c r="N31" s="216"/>
    </row>
    <row r="32" spans="1:14" ht="19.7" customHeight="1">
      <c r="A32" s="212" t="s">
        <v>834</v>
      </c>
      <c r="B32" s="212" t="s">
        <v>319</v>
      </c>
      <c r="C32" s="212" t="s">
        <v>191</v>
      </c>
      <c r="D32" s="209">
        <v>8</v>
      </c>
      <c r="E32" s="213" t="s">
        <v>596</v>
      </c>
      <c r="F32" s="209">
        <v>76993</v>
      </c>
      <c r="G32" s="214">
        <v>615944</v>
      </c>
      <c r="H32" s="214">
        <v>57403</v>
      </c>
      <c r="I32" s="214">
        <v>459224</v>
      </c>
      <c r="J32" s="214">
        <v>18714</v>
      </c>
      <c r="K32" s="214">
        <v>149712</v>
      </c>
      <c r="L32" s="214">
        <v>876</v>
      </c>
      <c r="M32" s="214">
        <v>7008</v>
      </c>
      <c r="N32" s="215">
        <v>0.90627000000000002</v>
      </c>
    </row>
    <row r="33" spans="1:14" ht="19.7" customHeight="1">
      <c r="A33" s="212" t="s">
        <v>834</v>
      </c>
      <c r="B33" s="212" t="s">
        <v>618</v>
      </c>
      <c r="C33" s="212" t="s">
        <v>453</v>
      </c>
      <c r="D33" s="209">
        <v>1</v>
      </c>
      <c r="E33" s="213" t="s">
        <v>596</v>
      </c>
      <c r="F33" s="209">
        <v>268674</v>
      </c>
      <c r="G33" s="214">
        <v>268674</v>
      </c>
      <c r="H33" s="214">
        <v>115872</v>
      </c>
      <c r="I33" s="214">
        <v>115872</v>
      </c>
      <c r="J33" s="214">
        <v>150123</v>
      </c>
      <c r="K33" s="214">
        <v>150123</v>
      </c>
      <c r="L33" s="214">
        <v>2679</v>
      </c>
      <c r="M33" s="214">
        <v>2679</v>
      </c>
      <c r="N33" s="215">
        <v>0.90627000000000002</v>
      </c>
    </row>
    <row r="34" spans="1:14" ht="19.7" customHeight="1">
      <c r="A34" s="208" t="s">
        <v>135</v>
      </c>
      <c r="B34" s="208" t="s">
        <v>259</v>
      </c>
      <c r="C34" s="208" t="s">
        <v>834</v>
      </c>
      <c r="D34" s="209"/>
      <c r="E34" s="210" t="s">
        <v>834</v>
      </c>
      <c r="F34" s="209">
        <v>0</v>
      </c>
      <c r="G34" s="211">
        <v>3401465</v>
      </c>
      <c r="H34" s="209">
        <v>0</v>
      </c>
      <c r="I34" s="211" t="s">
        <v>960</v>
      </c>
      <c r="J34" s="209">
        <v>0</v>
      </c>
      <c r="K34" s="211" t="s">
        <v>961</v>
      </c>
      <c r="L34" s="209">
        <v>0</v>
      </c>
      <c r="M34" s="211" t="s">
        <v>962</v>
      </c>
      <c r="N34" s="216"/>
    </row>
    <row r="35" spans="1:14" ht="19.7" customHeight="1">
      <c r="A35" s="212" t="s">
        <v>834</v>
      </c>
      <c r="B35" s="212" t="s">
        <v>439</v>
      </c>
      <c r="C35" s="212" t="s">
        <v>567</v>
      </c>
      <c r="D35" s="209">
        <v>1</v>
      </c>
      <c r="E35" s="213" t="s">
        <v>748</v>
      </c>
      <c r="F35" s="209">
        <v>2380766</v>
      </c>
      <c r="G35" s="214">
        <v>2380766</v>
      </c>
      <c r="H35" s="214">
        <v>734763</v>
      </c>
      <c r="I35" s="214">
        <v>734763</v>
      </c>
      <c r="J35" s="214">
        <v>119772</v>
      </c>
      <c r="K35" s="214">
        <v>119772</v>
      </c>
      <c r="L35" s="214">
        <v>1526231</v>
      </c>
      <c r="M35" s="214">
        <v>1526231</v>
      </c>
      <c r="N35" s="215">
        <v>0.90627000000000002</v>
      </c>
    </row>
    <row r="36" spans="1:14" ht="19.7" customHeight="1">
      <c r="A36" s="212" t="s">
        <v>834</v>
      </c>
      <c r="B36" s="212" t="s">
        <v>398</v>
      </c>
      <c r="C36" s="212" t="s">
        <v>530</v>
      </c>
      <c r="D36" s="209">
        <v>1</v>
      </c>
      <c r="E36" s="213" t="s">
        <v>748</v>
      </c>
      <c r="F36" s="209">
        <v>882668</v>
      </c>
      <c r="G36" s="214">
        <v>882668</v>
      </c>
      <c r="H36" s="214">
        <v>501653</v>
      </c>
      <c r="I36" s="214">
        <v>501653</v>
      </c>
      <c r="J36" s="214">
        <v>221662</v>
      </c>
      <c r="K36" s="214">
        <v>221662</v>
      </c>
      <c r="L36" s="214">
        <v>159353</v>
      </c>
      <c r="M36" s="214">
        <v>159353</v>
      </c>
      <c r="N36" s="215">
        <v>0.90627000000000002</v>
      </c>
    </row>
    <row r="37" spans="1:14" ht="19.7" customHeight="1">
      <c r="A37" s="212" t="s">
        <v>834</v>
      </c>
      <c r="B37" s="212" t="s">
        <v>597</v>
      </c>
      <c r="C37" s="212" t="s">
        <v>530</v>
      </c>
      <c r="D37" s="209">
        <v>1</v>
      </c>
      <c r="E37" s="213" t="s">
        <v>366</v>
      </c>
      <c r="F37" s="209">
        <v>134013</v>
      </c>
      <c r="G37" s="214">
        <v>134013</v>
      </c>
      <c r="H37" s="214">
        <v>57434</v>
      </c>
      <c r="I37" s="214">
        <v>57434</v>
      </c>
      <c r="J37" s="214">
        <v>76579</v>
      </c>
      <c r="K37" s="214">
        <v>76579</v>
      </c>
      <c r="L37" s="214">
        <v>0</v>
      </c>
      <c r="M37" s="214">
        <v>0</v>
      </c>
      <c r="N37" s="215">
        <v>0.90627000000000002</v>
      </c>
    </row>
    <row r="38" spans="1:14" ht="19.7" customHeight="1">
      <c r="A38" s="212" t="s">
        <v>834</v>
      </c>
      <c r="B38" s="212" t="s">
        <v>545</v>
      </c>
      <c r="C38" s="212" t="s">
        <v>280</v>
      </c>
      <c r="D38" s="209">
        <v>1</v>
      </c>
      <c r="E38" s="213" t="s">
        <v>574</v>
      </c>
      <c r="F38" s="209">
        <v>4018</v>
      </c>
      <c r="G38" s="214">
        <v>4018</v>
      </c>
      <c r="H38" s="214">
        <v>2302</v>
      </c>
      <c r="I38" s="214">
        <v>2302</v>
      </c>
      <c r="J38" s="214">
        <v>759</v>
      </c>
      <c r="K38" s="214">
        <v>759</v>
      </c>
      <c r="L38" s="214">
        <v>957</v>
      </c>
      <c r="M38" s="214">
        <v>957</v>
      </c>
      <c r="N38" s="215">
        <v>0.90627000000000002</v>
      </c>
    </row>
    <row r="39" spans="1:14" ht="19.7" customHeight="1">
      <c r="A39" s="212" t="s">
        <v>834</v>
      </c>
      <c r="B39" s="212" t="s">
        <v>834</v>
      </c>
      <c r="C39" s="212" t="s">
        <v>834</v>
      </c>
      <c r="D39" s="209"/>
      <c r="E39" s="213" t="s">
        <v>834</v>
      </c>
      <c r="F39" s="209">
        <v>0</v>
      </c>
      <c r="G39" s="214">
        <v>0</v>
      </c>
      <c r="H39" s="209">
        <v>0</v>
      </c>
      <c r="I39" s="209"/>
      <c r="J39" s="209">
        <v>0</v>
      </c>
      <c r="K39" s="209"/>
      <c r="L39" s="209">
        <v>0</v>
      </c>
      <c r="M39" s="209"/>
      <c r="N39" s="215"/>
    </row>
    <row r="40" spans="1:14" ht="19.7" customHeight="1">
      <c r="A40" s="208" t="s">
        <v>397</v>
      </c>
      <c r="B40" s="208" t="s">
        <v>381</v>
      </c>
      <c r="C40" s="208" t="s">
        <v>834</v>
      </c>
      <c r="D40" s="209"/>
      <c r="E40" s="210" t="s">
        <v>834</v>
      </c>
      <c r="F40" s="209">
        <v>0</v>
      </c>
      <c r="G40" s="211">
        <v>22033531</v>
      </c>
      <c r="H40" s="209">
        <v>0</v>
      </c>
      <c r="I40" s="211" t="s">
        <v>963</v>
      </c>
      <c r="J40" s="209">
        <v>0</v>
      </c>
      <c r="K40" s="211" t="s">
        <v>964</v>
      </c>
      <c r="L40" s="209">
        <v>0</v>
      </c>
      <c r="M40" s="211" t="s">
        <v>965</v>
      </c>
      <c r="N40" s="216"/>
    </row>
    <row r="41" spans="1:14" ht="19.7" customHeight="1">
      <c r="A41" s="208" t="s">
        <v>658</v>
      </c>
      <c r="B41" s="208" t="s">
        <v>102</v>
      </c>
      <c r="C41" s="208" t="s">
        <v>834</v>
      </c>
      <c r="D41" s="209"/>
      <c r="E41" s="210" t="s">
        <v>834</v>
      </c>
      <c r="F41" s="209">
        <v>0</v>
      </c>
      <c r="G41" s="211">
        <v>15368632</v>
      </c>
      <c r="H41" s="209">
        <v>0</v>
      </c>
      <c r="I41" s="211" t="s">
        <v>966</v>
      </c>
      <c r="J41" s="209">
        <v>0</v>
      </c>
      <c r="K41" s="211" t="s">
        <v>967</v>
      </c>
      <c r="L41" s="209">
        <v>0</v>
      </c>
      <c r="M41" s="211" t="s">
        <v>968</v>
      </c>
      <c r="N41" s="216"/>
    </row>
    <row r="42" spans="1:14" ht="19.7" customHeight="1">
      <c r="A42" s="208" t="s">
        <v>834</v>
      </c>
      <c r="B42" s="208" t="s">
        <v>230</v>
      </c>
      <c r="C42" s="208" t="s">
        <v>834</v>
      </c>
      <c r="D42" s="209"/>
      <c r="E42" s="210" t="s">
        <v>834</v>
      </c>
      <c r="F42" s="209">
        <v>0</v>
      </c>
      <c r="G42" s="211">
        <v>10867846</v>
      </c>
      <c r="H42" s="209">
        <v>0</v>
      </c>
      <c r="I42" s="211" t="s">
        <v>969</v>
      </c>
      <c r="J42" s="209">
        <v>0</v>
      </c>
      <c r="K42" s="211" t="s">
        <v>970</v>
      </c>
      <c r="L42" s="209">
        <v>0</v>
      </c>
      <c r="M42" s="211" t="s">
        <v>971</v>
      </c>
      <c r="N42" s="216"/>
    </row>
    <row r="43" spans="1:14" ht="19.7" customHeight="1">
      <c r="A43" s="212" t="s">
        <v>834</v>
      </c>
      <c r="B43" s="212" t="s">
        <v>319</v>
      </c>
      <c r="C43" s="212" t="s">
        <v>500</v>
      </c>
      <c r="D43" s="209">
        <v>84</v>
      </c>
      <c r="E43" s="213" t="s">
        <v>596</v>
      </c>
      <c r="F43" s="209">
        <v>91558</v>
      </c>
      <c r="G43" s="214">
        <v>7690872</v>
      </c>
      <c r="H43" s="214">
        <v>70059</v>
      </c>
      <c r="I43" s="214">
        <v>5884956</v>
      </c>
      <c r="J43" s="214">
        <v>20572</v>
      </c>
      <c r="K43" s="214">
        <v>1728048</v>
      </c>
      <c r="L43" s="214">
        <v>927</v>
      </c>
      <c r="M43" s="214">
        <v>77868</v>
      </c>
      <c r="N43" s="215">
        <v>0.90627000000000002</v>
      </c>
    </row>
    <row r="44" spans="1:14" ht="19.7" customHeight="1">
      <c r="A44" s="212" t="s">
        <v>834</v>
      </c>
      <c r="B44" s="212" t="s">
        <v>618</v>
      </c>
      <c r="C44" s="212" t="s">
        <v>617</v>
      </c>
      <c r="D44" s="209">
        <v>10</v>
      </c>
      <c r="E44" s="213" t="s">
        <v>596</v>
      </c>
      <c r="F44" s="209">
        <v>150553</v>
      </c>
      <c r="G44" s="214">
        <v>1505530</v>
      </c>
      <c r="H44" s="214">
        <v>82371</v>
      </c>
      <c r="I44" s="214">
        <v>823710</v>
      </c>
      <c r="J44" s="214">
        <v>66656</v>
      </c>
      <c r="K44" s="214">
        <v>666560</v>
      </c>
      <c r="L44" s="214">
        <v>1526</v>
      </c>
      <c r="M44" s="214">
        <v>15260</v>
      </c>
      <c r="N44" s="215">
        <v>0.90627000000000002</v>
      </c>
    </row>
    <row r="45" spans="1:14" ht="19.7" customHeight="1">
      <c r="A45" s="212" t="s">
        <v>834</v>
      </c>
      <c r="B45" s="212" t="s">
        <v>438</v>
      </c>
      <c r="C45" s="212" t="s">
        <v>609</v>
      </c>
      <c r="D45" s="209">
        <v>4</v>
      </c>
      <c r="E45" s="213" t="s">
        <v>596</v>
      </c>
      <c r="F45" s="209">
        <v>417861</v>
      </c>
      <c r="G45" s="214">
        <v>1671444</v>
      </c>
      <c r="H45" s="214">
        <v>153023</v>
      </c>
      <c r="I45" s="214">
        <v>612092</v>
      </c>
      <c r="J45" s="214">
        <v>261612</v>
      </c>
      <c r="K45" s="214">
        <v>1046448</v>
      </c>
      <c r="L45" s="214">
        <v>3226</v>
      </c>
      <c r="M45" s="214">
        <v>12904</v>
      </c>
      <c r="N45" s="215">
        <v>0.90627000000000002</v>
      </c>
    </row>
    <row r="46" spans="1:14" ht="19.7" customHeight="1">
      <c r="A46" s="208" t="s">
        <v>834</v>
      </c>
      <c r="B46" s="208" t="s">
        <v>201</v>
      </c>
      <c r="C46" s="208" t="s">
        <v>834</v>
      </c>
      <c r="D46" s="209"/>
      <c r="E46" s="210" t="s">
        <v>834</v>
      </c>
      <c r="F46" s="209">
        <v>0</v>
      </c>
      <c r="G46" s="211">
        <v>2329838</v>
      </c>
      <c r="H46" s="209">
        <v>0</v>
      </c>
      <c r="I46" s="211" t="s">
        <v>972</v>
      </c>
      <c r="J46" s="209">
        <v>0</v>
      </c>
      <c r="K46" s="211" t="s">
        <v>973</v>
      </c>
      <c r="L46" s="209">
        <v>0</v>
      </c>
      <c r="M46" s="211" t="s">
        <v>974</v>
      </c>
      <c r="N46" s="216"/>
    </row>
    <row r="47" spans="1:14" ht="19.7" customHeight="1">
      <c r="A47" s="212" t="s">
        <v>834</v>
      </c>
      <c r="B47" s="212" t="s">
        <v>319</v>
      </c>
      <c r="C47" s="212" t="s">
        <v>191</v>
      </c>
      <c r="D47" s="209">
        <v>14</v>
      </c>
      <c r="E47" s="213" t="s">
        <v>596</v>
      </c>
      <c r="F47" s="209">
        <v>76993</v>
      </c>
      <c r="G47" s="214">
        <v>1077902</v>
      </c>
      <c r="H47" s="214">
        <v>57403</v>
      </c>
      <c r="I47" s="214">
        <v>803642</v>
      </c>
      <c r="J47" s="214">
        <v>18714</v>
      </c>
      <c r="K47" s="214">
        <v>261996</v>
      </c>
      <c r="L47" s="214">
        <v>876</v>
      </c>
      <c r="M47" s="214">
        <v>12264</v>
      </c>
      <c r="N47" s="215">
        <v>0.90627000000000002</v>
      </c>
    </row>
    <row r="48" spans="1:14" ht="19.7" customHeight="1">
      <c r="A48" s="212" t="s">
        <v>834</v>
      </c>
      <c r="B48" s="212" t="s">
        <v>618</v>
      </c>
      <c r="C48" s="212" t="s">
        <v>40</v>
      </c>
      <c r="D48" s="209">
        <v>6</v>
      </c>
      <c r="E48" s="213" t="s">
        <v>596</v>
      </c>
      <c r="F48" s="209">
        <v>133722</v>
      </c>
      <c r="G48" s="214">
        <v>802332</v>
      </c>
      <c r="H48" s="214">
        <v>69715</v>
      </c>
      <c r="I48" s="214">
        <v>418290</v>
      </c>
      <c r="J48" s="214">
        <v>62532</v>
      </c>
      <c r="K48" s="214">
        <v>375192</v>
      </c>
      <c r="L48" s="214">
        <v>1475</v>
      </c>
      <c r="M48" s="214">
        <v>8850</v>
      </c>
      <c r="N48" s="215">
        <v>0.90627000000000002</v>
      </c>
    </row>
    <row r="49" spans="1:14" ht="19.7" customHeight="1">
      <c r="A49" s="212" t="s">
        <v>834</v>
      </c>
      <c r="B49" s="212" t="s">
        <v>612</v>
      </c>
      <c r="C49" s="212" t="s">
        <v>561</v>
      </c>
      <c r="D49" s="209">
        <v>12</v>
      </c>
      <c r="E49" s="213" t="s">
        <v>476</v>
      </c>
      <c r="F49" s="209">
        <v>37467</v>
      </c>
      <c r="G49" s="214">
        <v>449604</v>
      </c>
      <c r="H49" s="214">
        <v>30304</v>
      </c>
      <c r="I49" s="214">
        <v>363648</v>
      </c>
      <c r="J49" s="214">
        <v>6558</v>
      </c>
      <c r="K49" s="214">
        <v>78696</v>
      </c>
      <c r="L49" s="214">
        <v>605</v>
      </c>
      <c r="M49" s="214">
        <v>7260</v>
      </c>
      <c r="N49" s="215">
        <v>0.90627000000000002</v>
      </c>
    </row>
    <row r="50" spans="1:14" ht="19.7" customHeight="1">
      <c r="A50" s="208" t="s">
        <v>834</v>
      </c>
      <c r="B50" s="208" t="s">
        <v>776</v>
      </c>
      <c r="C50" s="208" t="s">
        <v>834</v>
      </c>
      <c r="D50" s="209"/>
      <c r="E50" s="210" t="s">
        <v>834</v>
      </c>
      <c r="F50" s="209">
        <v>0</v>
      </c>
      <c r="G50" s="211">
        <v>2170948</v>
      </c>
      <c r="H50" s="209">
        <v>0</v>
      </c>
      <c r="I50" s="211" t="s">
        <v>975</v>
      </c>
      <c r="J50" s="209">
        <v>0</v>
      </c>
      <c r="K50" s="211" t="s">
        <v>976</v>
      </c>
      <c r="L50" s="209">
        <v>0</v>
      </c>
      <c r="M50" s="211" t="s">
        <v>977</v>
      </c>
      <c r="N50" s="216"/>
    </row>
    <row r="51" spans="1:14" ht="19.7" customHeight="1">
      <c r="A51" s="212" t="s">
        <v>834</v>
      </c>
      <c r="B51" s="212" t="s">
        <v>319</v>
      </c>
      <c r="C51" s="212" t="s">
        <v>191</v>
      </c>
      <c r="D51" s="209">
        <v>25</v>
      </c>
      <c r="E51" s="213" t="s">
        <v>596</v>
      </c>
      <c r="F51" s="209">
        <v>76993</v>
      </c>
      <c r="G51" s="214">
        <v>1924825</v>
      </c>
      <c r="H51" s="214">
        <v>57403</v>
      </c>
      <c r="I51" s="214">
        <v>1435075</v>
      </c>
      <c r="J51" s="214">
        <v>18714</v>
      </c>
      <c r="K51" s="214">
        <v>467850</v>
      </c>
      <c r="L51" s="214">
        <v>876</v>
      </c>
      <c r="M51" s="214">
        <v>21900</v>
      </c>
      <c r="N51" s="215">
        <v>0.90627000000000002</v>
      </c>
    </row>
    <row r="52" spans="1:14" ht="19.7" customHeight="1">
      <c r="A52" s="212" t="s">
        <v>834</v>
      </c>
      <c r="B52" s="212" t="s">
        <v>618</v>
      </c>
      <c r="C52" s="212" t="s">
        <v>40</v>
      </c>
      <c r="D52" s="209">
        <v>1</v>
      </c>
      <c r="E52" s="213" t="s">
        <v>596</v>
      </c>
      <c r="F52" s="209">
        <v>133722</v>
      </c>
      <c r="G52" s="214">
        <v>133722</v>
      </c>
      <c r="H52" s="214">
        <v>69715</v>
      </c>
      <c r="I52" s="214">
        <v>69715</v>
      </c>
      <c r="J52" s="214">
        <v>62532</v>
      </c>
      <c r="K52" s="214">
        <v>62532</v>
      </c>
      <c r="L52" s="214">
        <v>1475</v>
      </c>
      <c r="M52" s="214">
        <v>1475</v>
      </c>
      <c r="N52" s="215">
        <v>0.90627000000000002</v>
      </c>
    </row>
    <row r="53" spans="1:14" ht="19.7" customHeight="1">
      <c r="A53" s="212" t="s">
        <v>834</v>
      </c>
      <c r="B53" s="212" t="s">
        <v>612</v>
      </c>
      <c r="C53" s="212" t="s">
        <v>561</v>
      </c>
      <c r="D53" s="209">
        <v>3</v>
      </c>
      <c r="E53" s="213" t="s">
        <v>476</v>
      </c>
      <c r="F53" s="209">
        <v>37467</v>
      </c>
      <c r="G53" s="214">
        <v>112401</v>
      </c>
      <c r="H53" s="214">
        <v>30304</v>
      </c>
      <c r="I53" s="214">
        <v>90912</v>
      </c>
      <c r="J53" s="214">
        <v>6558</v>
      </c>
      <c r="K53" s="214">
        <v>19674</v>
      </c>
      <c r="L53" s="214">
        <v>605</v>
      </c>
      <c r="M53" s="214">
        <v>1815</v>
      </c>
      <c r="N53" s="215">
        <v>0.90627000000000002</v>
      </c>
    </row>
    <row r="54" spans="1:14" ht="19.7" customHeight="1">
      <c r="A54" s="208" t="s">
        <v>376</v>
      </c>
      <c r="B54" s="208" t="s">
        <v>259</v>
      </c>
      <c r="C54" s="208" t="s">
        <v>834</v>
      </c>
      <c r="D54" s="209"/>
      <c r="E54" s="210" t="s">
        <v>834</v>
      </c>
      <c r="F54" s="209">
        <v>0</v>
      </c>
      <c r="G54" s="211">
        <v>6664899</v>
      </c>
      <c r="H54" s="209">
        <v>0</v>
      </c>
      <c r="I54" s="211" t="s">
        <v>978</v>
      </c>
      <c r="J54" s="209">
        <v>0</v>
      </c>
      <c r="K54" s="211" t="s">
        <v>979</v>
      </c>
      <c r="L54" s="209">
        <v>0</v>
      </c>
      <c r="M54" s="211" t="s">
        <v>980</v>
      </c>
      <c r="N54" s="216"/>
    </row>
    <row r="55" spans="1:14" ht="19.7" customHeight="1">
      <c r="A55" s="212" t="s">
        <v>834</v>
      </c>
      <c r="B55" s="212" t="s">
        <v>439</v>
      </c>
      <c r="C55" s="212" t="s">
        <v>567</v>
      </c>
      <c r="D55" s="209">
        <v>2</v>
      </c>
      <c r="E55" s="213" t="s">
        <v>748</v>
      </c>
      <c r="F55" s="209">
        <v>2380766</v>
      </c>
      <c r="G55" s="214">
        <v>4761532</v>
      </c>
      <c r="H55" s="214">
        <v>734763</v>
      </c>
      <c r="I55" s="214">
        <v>1469526</v>
      </c>
      <c r="J55" s="214">
        <v>119772</v>
      </c>
      <c r="K55" s="214">
        <v>239544</v>
      </c>
      <c r="L55" s="214">
        <v>1526231</v>
      </c>
      <c r="M55" s="214">
        <v>3052462</v>
      </c>
      <c r="N55" s="215">
        <v>0.90627000000000002</v>
      </c>
    </row>
    <row r="56" spans="1:14" ht="19.7" customHeight="1">
      <c r="A56" s="212" t="s">
        <v>834</v>
      </c>
      <c r="B56" s="212" t="s">
        <v>398</v>
      </c>
      <c r="C56" s="212" t="s">
        <v>530</v>
      </c>
      <c r="D56" s="209">
        <v>2</v>
      </c>
      <c r="E56" s="213" t="s">
        <v>748</v>
      </c>
      <c r="F56" s="209">
        <v>882668</v>
      </c>
      <c r="G56" s="214">
        <v>1765336</v>
      </c>
      <c r="H56" s="214">
        <v>501653</v>
      </c>
      <c r="I56" s="214">
        <v>1003306</v>
      </c>
      <c r="J56" s="214">
        <v>221662</v>
      </c>
      <c r="K56" s="214">
        <v>443324</v>
      </c>
      <c r="L56" s="214">
        <v>159353</v>
      </c>
      <c r="M56" s="214">
        <v>318706</v>
      </c>
      <c r="N56" s="215">
        <v>0.90627000000000002</v>
      </c>
    </row>
    <row r="57" spans="1:14" ht="19.7" customHeight="1">
      <c r="A57" s="212" t="s">
        <v>834</v>
      </c>
      <c r="B57" s="212" t="s">
        <v>597</v>
      </c>
      <c r="C57" s="212" t="s">
        <v>530</v>
      </c>
      <c r="D57" s="209">
        <v>1</v>
      </c>
      <c r="E57" s="213" t="s">
        <v>366</v>
      </c>
      <c r="F57" s="209">
        <v>134013</v>
      </c>
      <c r="G57" s="214">
        <v>134013</v>
      </c>
      <c r="H57" s="214">
        <v>57434</v>
      </c>
      <c r="I57" s="214">
        <v>57434</v>
      </c>
      <c r="J57" s="214">
        <v>76579</v>
      </c>
      <c r="K57" s="214">
        <v>76579</v>
      </c>
      <c r="L57" s="214">
        <v>0</v>
      </c>
      <c r="M57" s="214">
        <v>0</v>
      </c>
      <c r="N57" s="215">
        <v>0.90627000000000002</v>
      </c>
    </row>
    <row r="58" spans="1:14" ht="19.7" customHeight="1">
      <c r="A58" s="212" t="s">
        <v>834</v>
      </c>
      <c r="B58" s="212" t="s">
        <v>545</v>
      </c>
      <c r="C58" s="212" t="s">
        <v>280</v>
      </c>
      <c r="D58" s="209">
        <v>1</v>
      </c>
      <c r="E58" s="213" t="s">
        <v>574</v>
      </c>
      <c r="F58" s="209">
        <v>4018</v>
      </c>
      <c r="G58" s="214">
        <v>4018</v>
      </c>
      <c r="H58" s="214">
        <v>2302</v>
      </c>
      <c r="I58" s="214">
        <v>2302</v>
      </c>
      <c r="J58" s="214">
        <v>759</v>
      </c>
      <c r="K58" s="214">
        <v>759</v>
      </c>
      <c r="L58" s="214">
        <v>957</v>
      </c>
      <c r="M58" s="214">
        <v>957</v>
      </c>
      <c r="N58" s="215">
        <v>0.90627000000000002</v>
      </c>
    </row>
    <row r="59" spans="1:14" ht="19.7" customHeight="1">
      <c r="A59" s="212" t="s">
        <v>834</v>
      </c>
      <c r="B59" s="212" t="s">
        <v>834</v>
      </c>
      <c r="C59" s="212" t="s">
        <v>834</v>
      </c>
      <c r="D59" s="209"/>
      <c r="E59" s="213" t="s">
        <v>834</v>
      </c>
      <c r="F59" s="209">
        <v>0</v>
      </c>
      <c r="G59" s="214">
        <v>0</v>
      </c>
      <c r="H59" s="209">
        <v>0</v>
      </c>
      <c r="I59" s="209"/>
      <c r="J59" s="209">
        <v>0</v>
      </c>
      <c r="K59" s="209"/>
      <c r="L59" s="209">
        <v>0</v>
      </c>
      <c r="M59" s="209"/>
      <c r="N59" s="215"/>
    </row>
    <row r="60" spans="1:14" ht="19.7" customHeight="1">
      <c r="A60" s="208" t="s">
        <v>750</v>
      </c>
      <c r="B60" s="208" t="s">
        <v>105</v>
      </c>
      <c r="C60" s="208" t="s">
        <v>834</v>
      </c>
      <c r="D60" s="209"/>
      <c r="E60" s="210" t="s">
        <v>834</v>
      </c>
      <c r="F60" s="209">
        <v>0</v>
      </c>
      <c r="G60" s="211">
        <v>44320015</v>
      </c>
      <c r="H60" s="209">
        <v>0</v>
      </c>
      <c r="I60" s="211" t="s">
        <v>981</v>
      </c>
      <c r="J60" s="209">
        <v>0</v>
      </c>
      <c r="K60" s="211" t="s">
        <v>982</v>
      </c>
      <c r="L60" s="209">
        <v>0</v>
      </c>
      <c r="M60" s="211" t="s">
        <v>983</v>
      </c>
      <c r="N60" s="216"/>
    </row>
    <row r="61" spans="1:14" ht="19.7" customHeight="1">
      <c r="A61" s="208" t="s">
        <v>811</v>
      </c>
      <c r="B61" s="208" t="s">
        <v>102</v>
      </c>
      <c r="C61" s="208" t="s">
        <v>834</v>
      </c>
      <c r="D61" s="209"/>
      <c r="E61" s="210" t="s">
        <v>834</v>
      </c>
      <c r="F61" s="209">
        <v>0</v>
      </c>
      <c r="G61" s="211">
        <v>33405996</v>
      </c>
      <c r="H61" s="209">
        <v>0</v>
      </c>
      <c r="I61" s="211" t="s">
        <v>984</v>
      </c>
      <c r="J61" s="209">
        <v>0</v>
      </c>
      <c r="K61" s="211" t="s">
        <v>985</v>
      </c>
      <c r="L61" s="209">
        <v>0</v>
      </c>
      <c r="M61" s="211" t="s">
        <v>986</v>
      </c>
      <c r="N61" s="216"/>
    </row>
    <row r="62" spans="1:14" ht="19.7" customHeight="1">
      <c r="A62" s="208" t="s">
        <v>834</v>
      </c>
      <c r="B62" s="208" t="s">
        <v>350</v>
      </c>
      <c r="C62" s="208" t="s">
        <v>834</v>
      </c>
      <c r="D62" s="209"/>
      <c r="E62" s="210" t="s">
        <v>834</v>
      </c>
      <c r="F62" s="209">
        <v>0</v>
      </c>
      <c r="G62" s="211">
        <v>8787711</v>
      </c>
      <c r="H62" s="209">
        <v>0</v>
      </c>
      <c r="I62" s="211" t="s">
        <v>987</v>
      </c>
      <c r="J62" s="209">
        <v>0</v>
      </c>
      <c r="K62" s="211" t="s">
        <v>988</v>
      </c>
      <c r="L62" s="209">
        <v>0</v>
      </c>
      <c r="M62" s="211" t="s">
        <v>989</v>
      </c>
      <c r="N62" s="216"/>
    </row>
    <row r="63" spans="1:14" ht="19.7" customHeight="1">
      <c r="A63" s="212" t="s">
        <v>834</v>
      </c>
      <c r="B63" s="212" t="s">
        <v>319</v>
      </c>
      <c r="C63" s="212" t="s">
        <v>191</v>
      </c>
      <c r="D63" s="209">
        <v>90</v>
      </c>
      <c r="E63" s="213" t="s">
        <v>596</v>
      </c>
      <c r="F63" s="209">
        <v>76993</v>
      </c>
      <c r="G63" s="214">
        <v>6929370</v>
      </c>
      <c r="H63" s="214">
        <v>57403</v>
      </c>
      <c r="I63" s="214">
        <v>5166270</v>
      </c>
      <c r="J63" s="214">
        <v>18714</v>
      </c>
      <c r="K63" s="214">
        <v>1684260</v>
      </c>
      <c r="L63" s="214">
        <v>876</v>
      </c>
      <c r="M63" s="214">
        <v>78840</v>
      </c>
      <c r="N63" s="215">
        <v>0.90627000000000002</v>
      </c>
    </row>
    <row r="64" spans="1:14" ht="19.7" customHeight="1">
      <c r="A64" s="212" t="s">
        <v>834</v>
      </c>
      <c r="B64" s="212" t="s">
        <v>618</v>
      </c>
      <c r="C64" s="212" t="s">
        <v>453</v>
      </c>
      <c r="D64" s="209">
        <v>5</v>
      </c>
      <c r="E64" s="213" t="s">
        <v>596</v>
      </c>
      <c r="F64" s="209">
        <v>268674</v>
      </c>
      <c r="G64" s="214">
        <v>1343370</v>
      </c>
      <c r="H64" s="214">
        <v>115872</v>
      </c>
      <c r="I64" s="214">
        <v>579360</v>
      </c>
      <c r="J64" s="214">
        <v>150123</v>
      </c>
      <c r="K64" s="214">
        <v>750615</v>
      </c>
      <c r="L64" s="214">
        <v>2679</v>
      </c>
      <c r="M64" s="214">
        <v>13395</v>
      </c>
      <c r="N64" s="215">
        <v>0.90627000000000002</v>
      </c>
    </row>
    <row r="65" spans="1:14" ht="19.7" customHeight="1">
      <c r="A65" s="212" t="s">
        <v>834</v>
      </c>
      <c r="B65" s="212" t="s">
        <v>438</v>
      </c>
      <c r="C65" s="212" t="s">
        <v>33</v>
      </c>
      <c r="D65" s="209">
        <v>1</v>
      </c>
      <c r="E65" s="213" t="s">
        <v>596</v>
      </c>
      <c r="F65" s="209">
        <v>402570</v>
      </c>
      <c r="G65" s="214">
        <v>402570</v>
      </c>
      <c r="H65" s="214">
        <v>139640</v>
      </c>
      <c r="I65" s="214">
        <v>139640</v>
      </c>
      <c r="J65" s="214">
        <v>259755</v>
      </c>
      <c r="K65" s="214">
        <v>259755</v>
      </c>
      <c r="L65" s="214">
        <v>3175</v>
      </c>
      <c r="M65" s="214">
        <v>3175</v>
      </c>
      <c r="N65" s="215">
        <v>0.90627000000000002</v>
      </c>
    </row>
    <row r="66" spans="1:14" ht="19.7" customHeight="1">
      <c r="A66" s="212" t="s">
        <v>834</v>
      </c>
      <c r="B66" s="212" t="s">
        <v>612</v>
      </c>
      <c r="C66" s="212" t="s">
        <v>561</v>
      </c>
      <c r="D66" s="209">
        <v>3</v>
      </c>
      <c r="E66" s="213" t="s">
        <v>476</v>
      </c>
      <c r="F66" s="209">
        <v>37467</v>
      </c>
      <c r="G66" s="214">
        <v>112401</v>
      </c>
      <c r="H66" s="214">
        <v>30304</v>
      </c>
      <c r="I66" s="214">
        <v>90912</v>
      </c>
      <c r="J66" s="214">
        <v>6558</v>
      </c>
      <c r="K66" s="214">
        <v>19674</v>
      </c>
      <c r="L66" s="214">
        <v>605</v>
      </c>
      <c r="M66" s="214">
        <v>1815</v>
      </c>
      <c r="N66" s="215">
        <v>0.90627000000000002</v>
      </c>
    </row>
    <row r="67" spans="1:14" ht="19.7" customHeight="1">
      <c r="A67" s="208" t="s">
        <v>834</v>
      </c>
      <c r="B67" s="208" t="s">
        <v>230</v>
      </c>
      <c r="C67" s="208" t="s">
        <v>834</v>
      </c>
      <c r="D67" s="209"/>
      <c r="E67" s="210" t="s">
        <v>834</v>
      </c>
      <c r="F67" s="209">
        <v>0</v>
      </c>
      <c r="G67" s="211">
        <v>12272026</v>
      </c>
      <c r="H67" s="209">
        <v>0</v>
      </c>
      <c r="I67" s="211" t="s">
        <v>990</v>
      </c>
      <c r="J67" s="209">
        <v>0</v>
      </c>
      <c r="K67" s="211" t="s">
        <v>991</v>
      </c>
      <c r="L67" s="209">
        <v>0</v>
      </c>
      <c r="M67" s="211" t="s">
        <v>992</v>
      </c>
      <c r="N67" s="216"/>
    </row>
    <row r="68" spans="1:14" ht="19.7" customHeight="1">
      <c r="A68" s="212" t="s">
        <v>834</v>
      </c>
      <c r="B68" s="212" t="s">
        <v>319</v>
      </c>
      <c r="C68" s="212" t="s">
        <v>500</v>
      </c>
      <c r="D68" s="209">
        <v>38</v>
      </c>
      <c r="E68" s="213" t="s">
        <v>596</v>
      </c>
      <c r="F68" s="209">
        <v>91558</v>
      </c>
      <c r="G68" s="214">
        <v>3479204</v>
      </c>
      <c r="H68" s="214">
        <v>70059</v>
      </c>
      <c r="I68" s="214">
        <v>2662242</v>
      </c>
      <c r="J68" s="214">
        <v>20572</v>
      </c>
      <c r="K68" s="214">
        <v>781736</v>
      </c>
      <c r="L68" s="214">
        <v>927</v>
      </c>
      <c r="M68" s="214">
        <v>35226</v>
      </c>
      <c r="N68" s="215">
        <v>0.90627000000000002</v>
      </c>
    </row>
    <row r="69" spans="1:14" ht="19.7" customHeight="1">
      <c r="A69" s="212" t="s">
        <v>834</v>
      </c>
      <c r="B69" s="212" t="s">
        <v>618</v>
      </c>
      <c r="C69" s="212" t="s">
        <v>217</v>
      </c>
      <c r="D69" s="209">
        <v>13</v>
      </c>
      <c r="E69" s="213" t="s">
        <v>596</v>
      </c>
      <c r="F69" s="209">
        <v>287771</v>
      </c>
      <c r="G69" s="214">
        <v>3741023</v>
      </c>
      <c r="H69" s="214">
        <v>128529</v>
      </c>
      <c r="I69" s="214">
        <v>1670877</v>
      </c>
      <c r="J69" s="214">
        <v>156512</v>
      </c>
      <c r="K69" s="214">
        <v>2034656</v>
      </c>
      <c r="L69" s="214">
        <v>2730</v>
      </c>
      <c r="M69" s="214">
        <v>35490</v>
      </c>
      <c r="N69" s="215">
        <v>0.90627000000000002</v>
      </c>
    </row>
    <row r="70" spans="1:14" ht="19.7" customHeight="1">
      <c r="A70" s="212" t="s">
        <v>834</v>
      </c>
      <c r="B70" s="212" t="s">
        <v>438</v>
      </c>
      <c r="C70" s="212" t="s">
        <v>609</v>
      </c>
      <c r="D70" s="209">
        <v>12</v>
      </c>
      <c r="E70" s="213" t="s">
        <v>596</v>
      </c>
      <c r="F70" s="209">
        <v>417861</v>
      </c>
      <c r="G70" s="214">
        <v>5014332</v>
      </c>
      <c r="H70" s="214">
        <v>153023</v>
      </c>
      <c r="I70" s="214">
        <v>1836276</v>
      </c>
      <c r="J70" s="214">
        <v>261612</v>
      </c>
      <c r="K70" s="214">
        <v>3139344</v>
      </c>
      <c r="L70" s="214">
        <v>3226</v>
      </c>
      <c r="M70" s="214">
        <v>38712</v>
      </c>
      <c r="N70" s="215">
        <v>0.90627000000000002</v>
      </c>
    </row>
    <row r="71" spans="1:14" ht="19.7" customHeight="1">
      <c r="A71" s="212" t="s">
        <v>834</v>
      </c>
      <c r="B71" s="212" t="s">
        <v>612</v>
      </c>
      <c r="C71" s="212" t="s">
        <v>561</v>
      </c>
      <c r="D71" s="209">
        <v>1</v>
      </c>
      <c r="E71" s="213" t="s">
        <v>476</v>
      </c>
      <c r="F71" s="209">
        <v>37467</v>
      </c>
      <c r="G71" s="214">
        <v>37467</v>
      </c>
      <c r="H71" s="214">
        <v>30304</v>
      </c>
      <c r="I71" s="214">
        <v>30304</v>
      </c>
      <c r="J71" s="214">
        <v>6558</v>
      </c>
      <c r="K71" s="214">
        <v>6558</v>
      </c>
      <c r="L71" s="214">
        <v>605</v>
      </c>
      <c r="M71" s="214">
        <v>605</v>
      </c>
      <c r="N71" s="215">
        <v>0.90627000000000002</v>
      </c>
    </row>
    <row r="72" spans="1:14" ht="19.7" customHeight="1">
      <c r="A72" s="208" t="s">
        <v>834</v>
      </c>
      <c r="B72" s="208" t="s">
        <v>201</v>
      </c>
      <c r="C72" s="208" t="s">
        <v>834</v>
      </c>
      <c r="D72" s="209"/>
      <c r="E72" s="210" t="s">
        <v>834</v>
      </c>
      <c r="F72" s="209">
        <v>0</v>
      </c>
      <c r="G72" s="211">
        <v>4418060</v>
      </c>
      <c r="H72" s="209">
        <v>0</v>
      </c>
      <c r="I72" s="211" t="s">
        <v>993</v>
      </c>
      <c r="J72" s="209">
        <v>0</v>
      </c>
      <c r="K72" s="211" t="s">
        <v>994</v>
      </c>
      <c r="L72" s="209">
        <v>0</v>
      </c>
      <c r="M72" s="211" t="s">
        <v>995</v>
      </c>
      <c r="N72" s="216"/>
    </row>
    <row r="73" spans="1:14" ht="19.7" customHeight="1">
      <c r="A73" s="212" t="s">
        <v>834</v>
      </c>
      <c r="B73" s="212" t="s">
        <v>319</v>
      </c>
      <c r="C73" s="212" t="s">
        <v>191</v>
      </c>
      <c r="D73" s="209">
        <v>50</v>
      </c>
      <c r="E73" s="213" t="s">
        <v>596</v>
      </c>
      <c r="F73" s="209">
        <v>76993</v>
      </c>
      <c r="G73" s="214">
        <v>3849650</v>
      </c>
      <c r="H73" s="214">
        <v>57403</v>
      </c>
      <c r="I73" s="214">
        <v>2870150</v>
      </c>
      <c r="J73" s="214">
        <v>18714</v>
      </c>
      <c r="K73" s="214">
        <v>935700</v>
      </c>
      <c r="L73" s="214">
        <v>876</v>
      </c>
      <c r="M73" s="214">
        <v>43800</v>
      </c>
      <c r="N73" s="215">
        <v>0.90627000000000002</v>
      </c>
    </row>
    <row r="74" spans="1:14" ht="19.7" customHeight="1">
      <c r="A74" s="212" t="s">
        <v>834</v>
      </c>
      <c r="B74" s="212" t="s">
        <v>618</v>
      </c>
      <c r="C74" s="212" t="s">
        <v>453</v>
      </c>
      <c r="D74" s="209">
        <v>1</v>
      </c>
      <c r="E74" s="213" t="s">
        <v>596</v>
      </c>
      <c r="F74" s="209">
        <v>268674</v>
      </c>
      <c r="G74" s="214">
        <v>268674</v>
      </c>
      <c r="H74" s="214">
        <v>115872</v>
      </c>
      <c r="I74" s="214">
        <v>115872</v>
      </c>
      <c r="J74" s="214">
        <v>150123</v>
      </c>
      <c r="K74" s="214">
        <v>150123</v>
      </c>
      <c r="L74" s="214">
        <v>2679</v>
      </c>
      <c r="M74" s="214">
        <v>2679</v>
      </c>
      <c r="N74" s="215">
        <v>0.90627000000000002</v>
      </c>
    </row>
    <row r="75" spans="1:14" ht="19.7" customHeight="1">
      <c r="A75" s="212" t="s">
        <v>834</v>
      </c>
      <c r="B75" s="212" t="s">
        <v>612</v>
      </c>
      <c r="C75" s="212" t="s">
        <v>561</v>
      </c>
      <c r="D75" s="209">
        <v>8</v>
      </c>
      <c r="E75" s="213" t="s">
        <v>476</v>
      </c>
      <c r="F75" s="209">
        <v>37467</v>
      </c>
      <c r="G75" s="214">
        <v>299736</v>
      </c>
      <c r="H75" s="214">
        <v>30304</v>
      </c>
      <c r="I75" s="214">
        <v>242432</v>
      </c>
      <c r="J75" s="214">
        <v>6558</v>
      </c>
      <c r="K75" s="214">
        <v>52464</v>
      </c>
      <c r="L75" s="214">
        <v>605</v>
      </c>
      <c r="M75" s="214">
        <v>4840</v>
      </c>
      <c r="N75" s="215">
        <v>0.90627000000000002</v>
      </c>
    </row>
    <row r="76" spans="1:14" ht="19.7" customHeight="1">
      <c r="A76" s="208" t="s">
        <v>834</v>
      </c>
      <c r="B76" s="208" t="s">
        <v>776</v>
      </c>
      <c r="C76" s="208" t="s">
        <v>834</v>
      </c>
      <c r="D76" s="209"/>
      <c r="E76" s="210" t="s">
        <v>834</v>
      </c>
      <c r="F76" s="209">
        <v>0</v>
      </c>
      <c r="G76" s="211">
        <v>7928199</v>
      </c>
      <c r="H76" s="209">
        <v>0</v>
      </c>
      <c r="I76" s="211" t="s">
        <v>996</v>
      </c>
      <c r="J76" s="209">
        <v>0</v>
      </c>
      <c r="K76" s="211" t="s">
        <v>997</v>
      </c>
      <c r="L76" s="209">
        <v>0</v>
      </c>
      <c r="M76" s="211" t="s">
        <v>998</v>
      </c>
      <c r="N76" s="216"/>
    </row>
    <row r="77" spans="1:14" ht="19.7" customHeight="1">
      <c r="A77" s="212" t="s">
        <v>834</v>
      </c>
      <c r="B77" s="212" t="s">
        <v>319</v>
      </c>
      <c r="C77" s="212" t="s">
        <v>191</v>
      </c>
      <c r="D77" s="209">
        <v>48</v>
      </c>
      <c r="E77" s="213" t="s">
        <v>596</v>
      </c>
      <c r="F77" s="209">
        <v>76993</v>
      </c>
      <c r="G77" s="214">
        <v>3695664</v>
      </c>
      <c r="H77" s="214">
        <v>57403</v>
      </c>
      <c r="I77" s="214">
        <v>2755344</v>
      </c>
      <c r="J77" s="214">
        <v>18714</v>
      </c>
      <c r="K77" s="214">
        <v>898272</v>
      </c>
      <c r="L77" s="214">
        <v>876</v>
      </c>
      <c r="M77" s="214">
        <v>42048</v>
      </c>
      <c r="N77" s="215">
        <v>0.90627000000000002</v>
      </c>
    </row>
    <row r="78" spans="1:14" ht="19.7" customHeight="1">
      <c r="A78" s="212" t="s">
        <v>834</v>
      </c>
      <c r="B78" s="212" t="s">
        <v>618</v>
      </c>
      <c r="C78" s="212" t="s">
        <v>453</v>
      </c>
      <c r="D78" s="209">
        <v>13</v>
      </c>
      <c r="E78" s="213" t="s">
        <v>596</v>
      </c>
      <c r="F78" s="209">
        <v>268674</v>
      </c>
      <c r="G78" s="214">
        <v>3492762</v>
      </c>
      <c r="H78" s="214">
        <v>115872</v>
      </c>
      <c r="I78" s="214">
        <v>1506336</v>
      </c>
      <c r="J78" s="214">
        <v>150123</v>
      </c>
      <c r="K78" s="214">
        <v>1951599</v>
      </c>
      <c r="L78" s="214">
        <v>2679</v>
      </c>
      <c r="M78" s="214">
        <v>34827</v>
      </c>
      <c r="N78" s="215">
        <v>0.90627000000000002</v>
      </c>
    </row>
    <row r="79" spans="1:14" ht="19.7" customHeight="1">
      <c r="A79" s="212" t="s">
        <v>834</v>
      </c>
      <c r="B79" s="212" t="s">
        <v>438</v>
      </c>
      <c r="C79" s="212" t="s">
        <v>33</v>
      </c>
      <c r="D79" s="209">
        <v>1</v>
      </c>
      <c r="E79" s="213" t="s">
        <v>596</v>
      </c>
      <c r="F79" s="209">
        <v>402570</v>
      </c>
      <c r="G79" s="214">
        <v>402570</v>
      </c>
      <c r="H79" s="214">
        <v>139640</v>
      </c>
      <c r="I79" s="214">
        <v>139640</v>
      </c>
      <c r="J79" s="214">
        <v>259755</v>
      </c>
      <c r="K79" s="214">
        <v>259755</v>
      </c>
      <c r="L79" s="214">
        <v>3175</v>
      </c>
      <c r="M79" s="214">
        <v>3175</v>
      </c>
      <c r="N79" s="215">
        <v>0.90627000000000002</v>
      </c>
    </row>
    <row r="80" spans="1:14" ht="19.7" customHeight="1">
      <c r="A80" s="212" t="s">
        <v>834</v>
      </c>
      <c r="B80" s="212" t="s">
        <v>612</v>
      </c>
      <c r="C80" s="212" t="s">
        <v>561</v>
      </c>
      <c r="D80" s="209">
        <v>9</v>
      </c>
      <c r="E80" s="213" t="s">
        <v>476</v>
      </c>
      <c r="F80" s="209">
        <v>37467</v>
      </c>
      <c r="G80" s="214">
        <v>337203</v>
      </c>
      <c r="H80" s="214">
        <v>30304</v>
      </c>
      <c r="I80" s="214">
        <v>272736</v>
      </c>
      <c r="J80" s="214">
        <v>6558</v>
      </c>
      <c r="K80" s="214">
        <v>59022</v>
      </c>
      <c r="L80" s="214">
        <v>605</v>
      </c>
      <c r="M80" s="214">
        <v>5445</v>
      </c>
      <c r="N80" s="215">
        <v>0.90627000000000002</v>
      </c>
    </row>
    <row r="81" spans="1:14" ht="19.7" customHeight="1">
      <c r="A81" s="208" t="s">
        <v>194</v>
      </c>
      <c r="B81" s="208" t="s">
        <v>259</v>
      </c>
      <c r="C81" s="208" t="s">
        <v>834</v>
      </c>
      <c r="D81" s="209"/>
      <c r="E81" s="210" t="s">
        <v>834</v>
      </c>
      <c r="F81" s="209">
        <v>0</v>
      </c>
      <c r="G81" s="211">
        <v>10914019</v>
      </c>
      <c r="H81" s="209">
        <v>0</v>
      </c>
      <c r="I81" s="211" t="s">
        <v>999</v>
      </c>
      <c r="J81" s="209">
        <v>0</v>
      </c>
      <c r="K81" s="211" t="s">
        <v>1000</v>
      </c>
      <c r="L81" s="209">
        <v>0</v>
      </c>
      <c r="M81" s="211" t="s">
        <v>1001</v>
      </c>
      <c r="N81" s="216"/>
    </row>
    <row r="82" spans="1:14" ht="19.7" customHeight="1">
      <c r="A82" s="212" t="s">
        <v>834</v>
      </c>
      <c r="B82" s="212" t="s">
        <v>439</v>
      </c>
      <c r="C82" s="212" t="s">
        <v>567</v>
      </c>
      <c r="D82" s="209">
        <v>3</v>
      </c>
      <c r="E82" s="213" t="s">
        <v>748</v>
      </c>
      <c r="F82" s="209">
        <v>2380766</v>
      </c>
      <c r="G82" s="214">
        <v>7142298</v>
      </c>
      <c r="H82" s="214">
        <v>734763</v>
      </c>
      <c r="I82" s="214">
        <v>2204289</v>
      </c>
      <c r="J82" s="214">
        <v>119772</v>
      </c>
      <c r="K82" s="214">
        <v>359316</v>
      </c>
      <c r="L82" s="214">
        <v>1526231</v>
      </c>
      <c r="M82" s="214">
        <v>4578693</v>
      </c>
      <c r="N82" s="215">
        <v>0.90627000000000002</v>
      </c>
    </row>
    <row r="83" spans="1:14" ht="19.7" customHeight="1">
      <c r="A83" s="212" t="s">
        <v>834</v>
      </c>
      <c r="B83" s="212" t="s">
        <v>398</v>
      </c>
      <c r="C83" s="212" t="s">
        <v>530</v>
      </c>
      <c r="D83" s="209">
        <v>4</v>
      </c>
      <c r="E83" s="213" t="s">
        <v>748</v>
      </c>
      <c r="F83" s="209">
        <v>882668</v>
      </c>
      <c r="G83" s="214">
        <v>3530672</v>
      </c>
      <c r="H83" s="214">
        <v>501653</v>
      </c>
      <c r="I83" s="214">
        <v>2006612</v>
      </c>
      <c r="J83" s="214">
        <v>221662</v>
      </c>
      <c r="K83" s="214">
        <v>886648</v>
      </c>
      <c r="L83" s="214">
        <v>159353</v>
      </c>
      <c r="M83" s="214">
        <v>637412</v>
      </c>
      <c r="N83" s="215">
        <v>0.90627000000000002</v>
      </c>
    </row>
    <row r="84" spans="1:14" ht="19.7" customHeight="1">
      <c r="A84" s="212" t="s">
        <v>834</v>
      </c>
      <c r="B84" s="212" t="s">
        <v>597</v>
      </c>
      <c r="C84" s="212" t="s">
        <v>530</v>
      </c>
      <c r="D84" s="209">
        <v>1</v>
      </c>
      <c r="E84" s="213" t="s">
        <v>366</v>
      </c>
      <c r="F84" s="209">
        <v>134013</v>
      </c>
      <c r="G84" s="214">
        <v>134013</v>
      </c>
      <c r="H84" s="214">
        <v>57434</v>
      </c>
      <c r="I84" s="214">
        <v>57434</v>
      </c>
      <c r="J84" s="214">
        <v>76579</v>
      </c>
      <c r="K84" s="214">
        <v>76579</v>
      </c>
      <c r="L84" s="214">
        <v>0</v>
      </c>
      <c r="M84" s="214">
        <v>0</v>
      </c>
      <c r="N84" s="215">
        <v>0.90627000000000002</v>
      </c>
    </row>
    <row r="85" spans="1:14" ht="19.7" customHeight="1">
      <c r="A85" s="212" t="s">
        <v>834</v>
      </c>
      <c r="B85" s="212" t="s">
        <v>545</v>
      </c>
      <c r="C85" s="212" t="s">
        <v>280</v>
      </c>
      <c r="D85" s="209">
        <v>2</v>
      </c>
      <c r="E85" s="213" t="s">
        <v>574</v>
      </c>
      <c r="F85" s="209">
        <v>4018</v>
      </c>
      <c r="G85" s="214">
        <v>8036</v>
      </c>
      <c r="H85" s="214">
        <v>2302</v>
      </c>
      <c r="I85" s="214">
        <v>4604</v>
      </c>
      <c r="J85" s="214">
        <v>759</v>
      </c>
      <c r="K85" s="214">
        <v>1518</v>
      </c>
      <c r="L85" s="214">
        <v>957</v>
      </c>
      <c r="M85" s="214">
        <v>1914</v>
      </c>
      <c r="N85" s="215">
        <v>0.90627000000000002</v>
      </c>
    </row>
    <row r="86" spans="1:14" ht="19.7" customHeight="1">
      <c r="A86" s="212" t="s">
        <v>834</v>
      </c>
      <c r="B86" s="212" t="s">
        <v>283</v>
      </c>
      <c r="C86" s="212" t="s">
        <v>571</v>
      </c>
      <c r="D86" s="209">
        <v>1</v>
      </c>
      <c r="E86" s="213" t="s">
        <v>665</v>
      </c>
      <c r="F86" s="209">
        <v>99000</v>
      </c>
      <c r="G86" s="214">
        <v>99000</v>
      </c>
      <c r="H86" s="214">
        <v>0</v>
      </c>
      <c r="I86" s="214">
        <v>0</v>
      </c>
      <c r="J86" s="214">
        <v>0</v>
      </c>
      <c r="K86" s="214">
        <v>0</v>
      </c>
      <c r="L86" s="214">
        <v>99000</v>
      </c>
      <c r="M86" s="214">
        <v>99000</v>
      </c>
      <c r="N86" s="215"/>
    </row>
    <row r="87" spans="1:14" ht="19.7" customHeight="1">
      <c r="A87" s="212" t="s">
        <v>834</v>
      </c>
      <c r="B87" s="212" t="s">
        <v>834</v>
      </c>
      <c r="C87" s="212" t="s">
        <v>834</v>
      </c>
      <c r="D87" s="209"/>
      <c r="E87" s="213" t="s">
        <v>834</v>
      </c>
      <c r="F87" s="209">
        <v>0</v>
      </c>
      <c r="G87" s="214">
        <v>0</v>
      </c>
      <c r="H87" s="209">
        <v>0</v>
      </c>
      <c r="I87" s="209"/>
      <c r="J87" s="209">
        <v>0</v>
      </c>
      <c r="K87" s="209"/>
      <c r="L87" s="209">
        <v>0</v>
      </c>
      <c r="M87" s="209"/>
      <c r="N87" s="215"/>
    </row>
    <row r="88" spans="1:14" ht="19.7" customHeight="1">
      <c r="A88" s="208" t="s">
        <v>227</v>
      </c>
      <c r="B88" s="208" t="s">
        <v>458</v>
      </c>
      <c r="C88" s="208" t="s">
        <v>834</v>
      </c>
      <c r="D88" s="209"/>
      <c r="E88" s="210" t="s">
        <v>834</v>
      </c>
      <c r="F88" s="209">
        <v>0</v>
      </c>
      <c r="G88" s="211">
        <v>24767033</v>
      </c>
      <c r="H88" s="209">
        <v>0</v>
      </c>
      <c r="I88" s="211" t="s">
        <v>1002</v>
      </c>
      <c r="J88" s="209">
        <v>0</v>
      </c>
      <c r="K88" s="211" t="s">
        <v>1003</v>
      </c>
      <c r="L88" s="209">
        <v>0</v>
      </c>
      <c r="M88" s="211" t="s">
        <v>1004</v>
      </c>
      <c r="N88" s="216"/>
    </row>
    <row r="89" spans="1:14" ht="19.7" customHeight="1">
      <c r="A89" s="208" t="s">
        <v>403</v>
      </c>
      <c r="B89" s="208" t="s">
        <v>102</v>
      </c>
      <c r="C89" s="208" t="s">
        <v>834</v>
      </c>
      <c r="D89" s="209"/>
      <c r="E89" s="210" t="s">
        <v>834</v>
      </c>
      <c r="F89" s="209">
        <v>0</v>
      </c>
      <c r="G89" s="211">
        <v>17219466</v>
      </c>
      <c r="H89" s="209">
        <v>0</v>
      </c>
      <c r="I89" s="211" t="s">
        <v>1005</v>
      </c>
      <c r="J89" s="209">
        <v>0</v>
      </c>
      <c r="K89" s="211" t="s">
        <v>1006</v>
      </c>
      <c r="L89" s="209">
        <v>0</v>
      </c>
      <c r="M89" s="211" t="s">
        <v>1007</v>
      </c>
      <c r="N89" s="216"/>
    </row>
    <row r="90" spans="1:14" ht="19.7" customHeight="1">
      <c r="A90" s="208" t="s">
        <v>834</v>
      </c>
      <c r="B90" s="208" t="s">
        <v>350</v>
      </c>
      <c r="C90" s="208" t="s">
        <v>834</v>
      </c>
      <c r="D90" s="209"/>
      <c r="E90" s="210" t="s">
        <v>834</v>
      </c>
      <c r="F90" s="209">
        <v>0</v>
      </c>
      <c r="G90" s="211">
        <v>6928430</v>
      </c>
      <c r="H90" s="209">
        <v>0</v>
      </c>
      <c r="I90" s="211" t="s">
        <v>1008</v>
      </c>
      <c r="J90" s="209">
        <v>0</v>
      </c>
      <c r="K90" s="211" t="s">
        <v>1009</v>
      </c>
      <c r="L90" s="209">
        <v>0</v>
      </c>
      <c r="M90" s="211" t="s">
        <v>1010</v>
      </c>
      <c r="N90" s="216"/>
    </row>
    <row r="91" spans="1:14" ht="19.7" customHeight="1">
      <c r="A91" s="212" t="s">
        <v>834</v>
      </c>
      <c r="B91" s="212" t="s">
        <v>319</v>
      </c>
      <c r="C91" s="212" t="s">
        <v>191</v>
      </c>
      <c r="D91" s="209">
        <v>20</v>
      </c>
      <c r="E91" s="213" t="s">
        <v>596</v>
      </c>
      <c r="F91" s="209">
        <v>76993</v>
      </c>
      <c r="G91" s="214">
        <v>1539860</v>
      </c>
      <c r="H91" s="214">
        <v>57403</v>
      </c>
      <c r="I91" s="214">
        <v>1148060</v>
      </c>
      <c r="J91" s="214">
        <v>18714</v>
      </c>
      <c r="K91" s="214">
        <v>374280</v>
      </c>
      <c r="L91" s="214">
        <v>876</v>
      </c>
      <c r="M91" s="214">
        <v>17520</v>
      </c>
      <c r="N91" s="215">
        <v>0.90627000000000002</v>
      </c>
    </row>
    <row r="92" spans="1:14" ht="19.7" customHeight="1">
      <c r="A92" s="212" t="s">
        <v>834</v>
      </c>
      <c r="B92" s="212" t="s">
        <v>618</v>
      </c>
      <c r="C92" s="212" t="s">
        <v>453</v>
      </c>
      <c r="D92" s="209">
        <v>18</v>
      </c>
      <c r="E92" s="213" t="s">
        <v>596</v>
      </c>
      <c r="F92" s="209">
        <v>268674</v>
      </c>
      <c r="G92" s="214">
        <v>4836132</v>
      </c>
      <c r="H92" s="214">
        <v>115872</v>
      </c>
      <c r="I92" s="214">
        <v>2085696</v>
      </c>
      <c r="J92" s="214">
        <v>150123</v>
      </c>
      <c r="K92" s="214">
        <v>2702214</v>
      </c>
      <c r="L92" s="214">
        <v>2679</v>
      </c>
      <c r="M92" s="214">
        <v>48222</v>
      </c>
      <c r="N92" s="215">
        <v>0.90627000000000002</v>
      </c>
    </row>
    <row r="93" spans="1:14" ht="19.7" customHeight="1">
      <c r="A93" s="212" t="s">
        <v>834</v>
      </c>
      <c r="B93" s="212" t="s">
        <v>438</v>
      </c>
      <c r="C93" s="212" t="s">
        <v>33</v>
      </c>
      <c r="D93" s="209">
        <v>1</v>
      </c>
      <c r="E93" s="213" t="s">
        <v>596</v>
      </c>
      <c r="F93" s="209">
        <v>402570</v>
      </c>
      <c r="G93" s="214">
        <v>402570</v>
      </c>
      <c r="H93" s="214">
        <v>139640</v>
      </c>
      <c r="I93" s="214">
        <v>139640</v>
      </c>
      <c r="J93" s="214">
        <v>259755</v>
      </c>
      <c r="K93" s="214">
        <v>259755</v>
      </c>
      <c r="L93" s="214">
        <v>3175</v>
      </c>
      <c r="M93" s="214">
        <v>3175</v>
      </c>
      <c r="N93" s="215">
        <v>0.90627000000000002</v>
      </c>
    </row>
    <row r="94" spans="1:14" ht="19.7" customHeight="1">
      <c r="A94" s="212" t="s">
        <v>834</v>
      </c>
      <c r="B94" s="212" t="s">
        <v>612</v>
      </c>
      <c r="C94" s="212" t="s">
        <v>561</v>
      </c>
      <c r="D94" s="209">
        <v>4</v>
      </c>
      <c r="E94" s="213" t="s">
        <v>476</v>
      </c>
      <c r="F94" s="209">
        <v>37467</v>
      </c>
      <c r="G94" s="214">
        <v>149868</v>
      </c>
      <c r="H94" s="214">
        <v>30304</v>
      </c>
      <c r="I94" s="214">
        <v>121216</v>
      </c>
      <c r="J94" s="214">
        <v>6558</v>
      </c>
      <c r="K94" s="214">
        <v>26232</v>
      </c>
      <c r="L94" s="214">
        <v>605</v>
      </c>
      <c r="M94" s="214">
        <v>2420</v>
      </c>
      <c r="N94" s="215">
        <v>0.90627000000000002</v>
      </c>
    </row>
    <row r="95" spans="1:14" ht="19.7" customHeight="1">
      <c r="A95" s="208" t="s">
        <v>834</v>
      </c>
      <c r="B95" s="208" t="s">
        <v>230</v>
      </c>
      <c r="C95" s="208" t="s">
        <v>834</v>
      </c>
      <c r="D95" s="209"/>
      <c r="E95" s="210" t="s">
        <v>834</v>
      </c>
      <c r="F95" s="209">
        <v>0</v>
      </c>
      <c r="G95" s="211">
        <v>5947226</v>
      </c>
      <c r="H95" s="209">
        <v>0</v>
      </c>
      <c r="I95" s="211" t="s">
        <v>1011</v>
      </c>
      <c r="J95" s="209">
        <v>0</v>
      </c>
      <c r="K95" s="211" t="s">
        <v>1012</v>
      </c>
      <c r="L95" s="209">
        <v>0</v>
      </c>
      <c r="M95" s="211" t="s">
        <v>1013</v>
      </c>
      <c r="N95" s="216"/>
    </row>
    <row r="96" spans="1:14" ht="19.7" customHeight="1">
      <c r="A96" s="212" t="s">
        <v>834</v>
      </c>
      <c r="B96" s="212" t="s">
        <v>319</v>
      </c>
      <c r="C96" s="212" t="s">
        <v>500</v>
      </c>
      <c r="D96" s="209">
        <v>25</v>
      </c>
      <c r="E96" s="213" t="s">
        <v>596</v>
      </c>
      <c r="F96" s="209">
        <v>91558</v>
      </c>
      <c r="G96" s="214">
        <v>2288950</v>
      </c>
      <c r="H96" s="214">
        <v>70059</v>
      </c>
      <c r="I96" s="214">
        <v>1751475</v>
      </c>
      <c r="J96" s="214">
        <v>20572</v>
      </c>
      <c r="K96" s="214">
        <v>514300</v>
      </c>
      <c r="L96" s="214">
        <v>927</v>
      </c>
      <c r="M96" s="214">
        <v>23175</v>
      </c>
      <c r="N96" s="215">
        <v>0.90627000000000002</v>
      </c>
    </row>
    <row r="97" spans="1:14" ht="19.7" customHeight="1">
      <c r="A97" s="212" t="s">
        <v>834</v>
      </c>
      <c r="B97" s="212" t="s">
        <v>618</v>
      </c>
      <c r="C97" s="212" t="s">
        <v>217</v>
      </c>
      <c r="D97" s="209">
        <v>11</v>
      </c>
      <c r="E97" s="213" t="s">
        <v>596</v>
      </c>
      <c r="F97" s="209">
        <v>287771</v>
      </c>
      <c r="G97" s="214">
        <v>3165481</v>
      </c>
      <c r="H97" s="214">
        <v>128529</v>
      </c>
      <c r="I97" s="214">
        <v>1413819</v>
      </c>
      <c r="J97" s="214">
        <v>156512</v>
      </c>
      <c r="K97" s="214">
        <v>1721632</v>
      </c>
      <c r="L97" s="214">
        <v>2730</v>
      </c>
      <c r="M97" s="214">
        <v>30030</v>
      </c>
      <c r="N97" s="215">
        <v>0.90627000000000002</v>
      </c>
    </row>
    <row r="98" spans="1:14" ht="19.7" customHeight="1">
      <c r="A98" s="212" t="s">
        <v>834</v>
      </c>
      <c r="B98" s="212" t="s">
        <v>438</v>
      </c>
      <c r="C98" s="212" t="s">
        <v>609</v>
      </c>
      <c r="D98" s="209">
        <v>1</v>
      </c>
      <c r="E98" s="213" t="s">
        <v>596</v>
      </c>
      <c r="F98" s="209">
        <v>417861</v>
      </c>
      <c r="G98" s="214">
        <v>417861</v>
      </c>
      <c r="H98" s="214">
        <v>153023</v>
      </c>
      <c r="I98" s="214">
        <v>153023</v>
      </c>
      <c r="J98" s="214">
        <v>261612</v>
      </c>
      <c r="K98" s="214">
        <v>261612</v>
      </c>
      <c r="L98" s="214">
        <v>3226</v>
      </c>
      <c r="M98" s="214">
        <v>3226</v>
      </c>
      <c r="N98" s="215">
        <v>0.90627000000000002</v>
      </c>
    </row>
    <row r="99" spans="1:14" ht="19.7" customHeight="1">
      <c r="A99" s="212" t="s">
        <v>834</v>
      </c>
      <c r="B99" s="212" t="s">
        <v>612</v>
      </c>
      <c r="C99" s="212" t="s">
        <v>561</v>
      </c>
      <c r="D99" s="209">
        <v>2</v>
      </c>
      <c r="E99" s="213" t="s">
        <v>476</v>
      </c>
      <c r="F99" s="209">
        <v>37467</v>
      </c>
      <c r="G99" s="214">
        <v>74934</v>
      </c>
      <c r="H99" s="214">
        <v>30304</v>
      </c>
      <c r="I99" s="214">
        <v>60608</v>
      </c>
      <c r="J99" s="214">
        <v>6558</v>
      </c>
      <c r="K99" s="214">
        <v>13116</v>
      </c>
      <c r="L99" s="214">
        <v>605</v>
      </c>
      <c r="M99" s="214">
        <v>1210</v>
      </c>
      <c r="N99" s="215">
        <v>0.90627000000000002</v>
      </c>
    </row>
    <row r="100" spans="1:14" ht="19.7" customHeight="1">
      <c r="A100" s="208" t="s">
        <v>834</v>
      </c>
      <c r="B100" s="208" t="s">
        <v>201</v>
      </c>
      <c r="C100" s="208" t="s">
        <v>834</v>
      </c>
      <c r="D100" s="209"/>
      <c r="E100" s="210" t="s">
        <v>834</v>
      </c>
      <c r="F100" s="209">
        <v>0</v>
      </c>
      <c r="G100" s="211">
        <v>1461036</v>
      </c>
      <c r="H100" s="209">
        <v>0</v>
      </c>
      <c r="I100" s="211" t="s">
        <v>1014</v>
      </c>
      <c r="J100" s="209">
        <v>0</v>
      </c>
      <c r="K100" s="211" t="s">
        <v>1015</v>
      </c>
      <c r="L100" s="209">
        <v>0</v>
      </c>
      <c r="M100" s="211" t="s">
        <v>1016</v>
      </c>
      <c r="N100" s="216"/>
    </row>
    <row r="101" spans="1:14" ht="19.7" customHeight="1">
      <c r="A101" s="212" t="s">
        <v>834</v>
      </c>
      <c r="B101" s="212" t="s">
        <v>319</v>
      </c>
      <c r="C101" s="212" t="s">
        <v>191</v>
      </c>
      <c r="D101" s="209">
        <v>15</v>
      </c>
      <c r="E101" s="213" t="s">
        <v>596</v>
      </c>
      <c r="F101" s="209">
        <v>76993</v>
      </c>
      <c r="G101" s="214">
        <v>1154895</v>
      </c>
      <c r="H101" s="214">
        <v>57403</v>
      </c>
      <c r="I101" s="214">
        <v>861045</v>
      </c>
      <c r="J101" s="214">
        <v>18714</v>
      </c>
      <c r="K101" s="214">
        <v>280710</v>
      </c>
      <c r="L101" s="214">
        <v>876</v>
      </c>
      <c r="M101" s="214">
        <v>13140</v>
      </c>
      <c r="N101" s="215">
        <v>0.90627000000000002</v>
      </c>
    </row>
    <row r="102" spans="1:14" ht="19.7" customHeight="1">
      <c r="A102" s="212" t="s">
        <v>834</v>
      </c>
      <c r="B102" s="212" t="s">
        <v>618</v>
      </c>
      <c r="C102" s="212" t="s">
        <v>453</v>
      </c>
      <c r="D102" s="209">
        <v>1</v>
      </c>
      <c r="E102" s="213" t="s">
        <v>596</v>
      </c>
      <c r="F102" s="209">
        <v>268674</v>
      </c>
      <c r="G102" s="214">
        <v>268674</v>
      </c>
      <c r="H102" s="214">
        <v>115872</v>
      </c>
      <c r="I102" s="214">
        <v>115872</v>
      </c>
      <c r="J102" s="214">
        <v>150123</v>
      </c>
      <c r="K102" s="214">
        <v>150123</v>
      </c>
      <c r="L102" s="214">
        <v>2679</v>
      </c>
      <c r="M102" s="214">
        <v>2679</v>
      </c>
      <c r="N102" s="215">
        <v>0.90627000000000002</v>
      </c>
    </row>
    <row r="103" spans="1:14" ht="19.7" customHeight="1">
      <c r="A103" s="212" t="s">
        <v>834</v>
      </c>
      <c r="B103" s="212" t="s">
        <v>612</v>
      </c>
      <c r="C103" s="212" t="s">
        <v>561</v>
      </c>
      <c r="D103" s="209">
        <v>1</v>
      </c>
      <c r="E103" s="213" t="s">
        <v>476</v>
      </c>
      <c r="F103" s="209">
        <v>37467</v>
      </c>
      <c r="G103" s="214">
        <v>37467</v>
      </c>
      <c r="H103" s="214">
        <v>30304</v>
      </c>
      <c r="I103" s="214">
        <v>30304</v>
      </c>
      <c r="J103" s="214">
        <v>6558</v>
      </c>
      <c r="K103" s="214">
        <v>6558</v>
      </c>
      <c r="L103" s="214">
        <v>605</v>
      </c>
      <c r="M103" s="214">
        <v>605</v>
      </c>
      <c r="N103" s="215">
        <v>0.90627000000000002</v>
      </c>
    </row>
    <row r="104" spans="1:14" ht="19.7" customHeight="1">
      <c r="A104" s="208" t="s">
        <v>834</v>
      </c>
      <c r="B104" s="208" t="s">
        <v>776</v>
      </c>
      <c r="C104" s="208" t="s">
        <v>834</v>
      </c>
      <c r="D104" s="209"/>
      <c r="E104" s="210" t="s">
        <v>834</v>
      </c>
      <c r="F104" s="209">
        <v>0</v>
      </c>
      <c r="G104" s="211">
        <v>2882774</v>
      </c>
      <c r="H104" s="209">
        <v>0</v>
      </c>
      <c r="I104" s="211" t="s">
        <v>1017</v>
      </c>
      <c r="J104" s="209">
        <v>0</v>
      </c>
      <c r="K104" s="211" t="s">
        <v>1018</v>
      </c>
      <c r="L104" s="209">
        <v>0</v>
      </c>
      <c r="M104" s="211" t="s">
        <v>1019</v>
      </c>
      <c r="N104" s="216"/>
    </row>
    <row r="105" spans="1:14" ht="19.7" customHeight="1">
      <c r="A105" s="212" t="s">
        <v>834</v>
      </c>
      <c r="B105" s="212" t="s">
        <v>319</v>
      </c>
      <c r="C105" s="212" t="s">
        <v>191</v>
      </c>
      <c r="D105" s="209">
        <v>26</v>
      </c>
      <c r="E105" s="213" t="s">
        <v>596</v>
      </c>
      <c r="F105" s="209">
        <v>76993</v>
      </c>
      <c r="G105" s="214">
        <v>2001818</v>
      </c>
      <c r="H105" s="214">
        <v>57403</v>
      </c>
      <c r="I105" s="214">
        <v>1492478</v>
      </c>
      <c r="J105" s="214">
        <v>18714</v>
      </c>
      <c r="K105" s="214">
        <v>486564</v>
      </c>
      <c r="L105" s="214">
        <v>876</v>
      </c>
      <c r="M105" s="214">
        <v>22776</v>
      </c>
      <c r="N105" s="215">
        <v>0.90627000000000002</v>
      </c>
    </row>
    <row r="106" spans="1:14" ht="19.7" customHeight="1">
      <c r="A106" s="212" t="s">
        <v>834</v>
      </c>
      <c r="B106" s="212" t="s">
        <v>618</v>
      </c>
      <c r="C106" s="212" t="s">
        <v>453</v>
      </c>
      <c r="D106" s="209">
        <v>3</v>
      </c>
      <c r="E106" s="213" t="s">
        <v>596</v>
      </c>
      <c r="F106" s="209">
        <v>268674</v>
      </c>
      <c r="G106" s="214">
        <v>806022</v>
      </c>
      <c r="H106" s="214">
        <v>115872</v>
      </c>
      <c r="I106" s="214">
        <v>347616</v>
      </c>
      <c r="J106" s="214">
        <v>150123</v>
      </c>
      <c r="K106" s="214">
        <v>450369</v>
      </c>
      <c r="L106" s="214">
        <v>2679</v>
      </c>
      <c r="M106" s="214">
        <v>8037</v>
      </c>
      <c r="N106" s="215">
        <v>0.90627000000000002</v>
      </c>
    </row>
    <row r="107" spans="1:14" ht="19.7" customHeight="1">
      <c r="A107" s="212" t="s">
        <v>834</v>
      </c>
      <c r="B107" s="212" t="s">
        <v>612</v>
      </c>
      <c r="C107" s="212" t="s">
        <v>561</v>
      </c>
      <c r="D107" s="209">
        <v>2</v>
      </c>
      <c r="E107" s="213" t="s">
        <v>476</v>
      </c>
      <c r="F107" s="209">
        <v>37467</v>
      </c>
      <c r="G107" s="214">
        <v>74934</v>
      </c>
      <c r="H107" s="214">
        <v>30304</v>
      </c>
      <c r="I107" s="214">
        <v>60608</v>
      </c>
      <c r="J107" s="214">
        <v>6558</v>
      </c>
      <c r="K107" s="214">
        <v>13116</v>
      </c>
      <c r="L107" s="214">
        <v>605</v>
      </c>
      <c r="M107" s="214">
        <v>1210</v>
      </c>
      <c r="N107" s="215">
        <v>0.90627000000000002</v>
      </c>
    </row>
    <row r="108" spans="1:14" ht="19.7" customHeight="1">
      <c r="A108" s="208" t="s">
        <v>616</v>
      </c>
      <c r="B108" s="208" t="s">
        <v>259</v>
      </c>
      <c r="C108" s="208" t="s">
        <v>834</v>
      </c>
      <c r="D108" s="209"/>
      <c r="E108" s="210" t="s">
        <v>834</v>
      </c>
      <c r="F108" s="209">
        <v>0</v>
      </c>
      <c r="G108" s="211">
        <v>7547567</v>
      </c>
      <c r="H108" s="209">
        <v>0</v>
      </c>
      <c r="I108" s="211" t="s">
        <v>1020</v>
      </c>
      <c r="J108" s="209">
        <v>0</v>
      </c>
      <c r="K108" s="211" t="s">
        <v>1021</v>
      </c>
      <c r="L108" s="209">
        <v>0</v>
      </c>
      <c r="M108" s="211" t="s">
        <v>1022</v>
      </c>
      <c r="N108" s="216"/>
    </row>
    <row r="109" spans="1:14" ht="19.7" customHeight="1">
      <c r="A109" s="212" t="s">
        <v>834</v>
      </c>
      <c r="B109" s="212" t="s">
        <v>439</v>
      </c>
      <c r="C109" s="212" t="s">
        <v>567</v>
      </c>
      <c r="D109" s="209">
        <v>2</v>
      </c>
      <c r="E109" s="213" t="s">
        <v>748</v>
      </c>
      <c r="F109" s="209">
        <v>2380766</v>
      </c>
      <c r="G109" s="214">
        <v>4761532</v>
      </c>
      <c r="H109" s="214">
        <v>734763</v>
      </c>
      <c r="I109" s="214">
        <v>1469526</v>
      </c>
      <c r="J109" s="214">
        <v>119772</v>
      </c>
      <c r="K109" s="214">
        <v>239544</v>
      </c>
      <c r="L109" s="214">
        <v>1526231</v>
      </c>
      <c r="M109" s="214">
        <v>3052462</v>
      </c>
      <c r="N109" s="215">
        <v>0.90627000000000002</v>
      </c>
    </row>
    <row r="110" spans="1:14" ht="19.7" customHeight="1">
      <c r="A110" s="212" t="s">
        <v>834</v>
      </c>
      <c r="B110" s="212" t="s">
        <v>398</v>
      </c>
      <c r="C110" s="212" t="s">
        <v>530</v>
      </c>
      <c r="D110" s="209">
        <v>3</v>
      </c>
      <c r="E110" s="213" t="s">
        <v>748</v>
      </c>
      <c r="F110" s="209">
        <v>882668</v>
      </c>
      <c r="G110" s="214">
        <v>2648004</v>
      </c>
      <c r="H110" s="214">
        <v>501653</v>
      </c>
      <c r="I110" s="214">
        <v>1504959</v>
      </c>
      <c r="J110" s="214">
        <v>221662</v>
      </c>
      <c r="K110" s="214">
        <v>664986</v>
      </c>
      <c r="L110" s="214">
        <v>159353</v>
      </c>
      <c r="M110" s="214">
        <v>478059</v>
      </c>
      <c r="N110" s="215">
        <v>0.90627000000000002</v>
      </c>
    </row>
    <row r="111" spans="1:14" ht="19.7" customHeight="1">
      <c r="A111" s="212" t="s">
        <v>834</v>
      </c>
      <c r="B111" s="212" t="s">
        <v>597</v>
      </c>
      <c r="C111" s="212" t="s">
        <v>530</v>
      </c>
      <c r="D111" s="209">
        <v>1</v>
      </c>
      <c r="E111" s="213" t="s">
        <v>366</v>
      </c>
      <c r="F111" s="209">
        <v>134013</v>
      </c>
      <c r="G111" s="214">
        <v>134013</v>
      </c>
      <c r="H111" s="214">
        <v>57434</v>
      </c>
      <c r="I111" s="214">
        <v>57434</v>
      </c>
      <c r="J111" s="214">
        <v>76579</v>
      </c>
      <c r="K111" s="214">
        <v>76579</v>
      </c>
      <c r="L111" s="214">
        <v>0</v>
      </c>
      <c r="M111" s="214">
        <v>0</v>
      </c>
      <c r="N111" s="215">
        <v>0.90627000000000002</v>
      </c>
    </row>
    <row r="112" spans="1:14" ht="19.7" customHeight="1">
      <c r="A112" s="212" t="s">
        <v>834</v>
      </c>
      <c r="B112" s="212" t="s">
        <v>545</v>
      </c>
      <c r="C112" s="212" t="s">
        <v>280</v>
      </c>
      <c r="D112" s="209">
        <v>1</v>
      </c>
      <c r="E112" s="213" t="s">
        <v>574</v>
      </c>
      <c r="F112" s="209">
        <v>4018</v>
      </c>
      <c r="G112" s="214">
        <v>4018</v>
      </c>
      <c r="H112" s="214">
        <v>2302</v>
      </c>
      <c r="I112" s="214">
        <v>2302</v>
      </c>
      <c r="J112" s="214">
        <v>759</v>
      </c>
      <c r="K112" s="214">
        <v>759</v>
      </c>
      <c r="L112" s="214">
        <v>957</v>
      </c>
      <c r="M112" s="214">
        <v>957</v>
      </c>
      <c r="N112" s="215">
        <v>0.90627000000000002</v>
      </c>
    </row>
    <row r="113" spans="1:14" ht="19.7" customHeight="1">
      <c r="A113" s="212" t="s">
        <v>834</v>
      </c>
      <c r="B113" s="212" t="s">
        <v>834</v>
      </c>
      <c r="C113" s="212" t="s">
        <v>834</v>
      </c>
      <c r="D113" s="209"/>
      <c r="E113" s="213" t="s">
        <v>834</v>
      </c>
      <c r="F113" s="209">
        <v>0</v>
      </c>
      <c r="G113" s="214">
        <v>0</v>
      </c>
      <c r="H113" s="209">
        <v>0</v>
      </c>
      <c r="I113" s="209"/>
      <c r="J113" s="209">
        <v>0</v>
      </c>
      <c r="K113" s="209"/>
      <c r="L113" s="209">
        <v>0</v>
      </c>
      <c r="M113" s="209"/>
      <c r="N113" s="215"/>
    </row>
    <row r="114" spans="1:14" ht="19.7" customHeight="1">
      <c r="A114" s="208" t="s">
        <v>719</v>
      </c>
      <c r="B114" s="208" t="s">
        <v>251</v>
      </c>
      <c r="C114" s="208" t="s">
        <v>834</v>
      </c>
      <c r="D114" s="209"/>
      <c r="E114" s="210" t="s">
        <v>834</v>
      </c>
      <c r="F114" s="209">
        <v>0</v>
      </c>
      <c r="G114" s="211">
        <v>7562038</v>
      </c>
      <c r="H114" s="209">
        <v>0</v>
      </c>
      <c r="I114" s="211" t="s">
        <v>1023</v>
      </c>
      <c r="J114" s="209">
        <v>0</v>
      </c>
      <c r="K114" s="211" t="s">
        <v>1024</v>
      </c>
      <c r="L114" s="209">
        <v>0</v>
      </c>
      <c r="M114" s="211" t="s">
        <v>1025</v>
      </c>
      <c r="N114" s="216"/>
    </row>
    <row r="115" spans="1:14" ht="19.7" customHeight="1">
      <c r="A115" s="208" t="s">
        <v>226</v>
      </c>
      <c r="B115" s="208" t="s">
        <v>102</v>
      </c>
      <c r="C115" s="208" t="s">
        <v>834</v>
      </c>
      <c r="D115" s="209"/>
      <c r="E115" s="210" t="s">
        <v>834</v>
      </c>
      <c r="F115" s="209">
        <v>0</v>
      </c>
      <c r="G115" s="211">
        <v>4160573</v>
      </c>
      <c r="H115" s="209">
        <v>0</v>
      </c>
      <c r="I115" s="211" t="s">
        <v>1026</v>
      </c>
      <c r="J115" s="209">
        <v>0</v>
      </c>
      <c r="K115" s="211" t="s">
        <v>1027</v>
      </c>
      <c r="L115" s="209">
        <v>0</v>
      </c>
      <c r="M115" s="211" t="s">
        <v>1028</v>
      </c>
      <c r="N115" s="216"/>
    </row>
    <row r="116" spans="1:14" ht="19.7" customHeight="1">
      <c r="A116" s="208" t="s">
        <v>834</v>
      </c>
      <c r="B116" s="208" t="s">
        <v>350</v>
      </c>
      <c r="C116" s="208" t="s">
        <v>834</v>
      </c>
      <c r="D116" s="209"/>
      <c r="E116" s="210" t="s">
        <v>834</v>
      </c>
      <c r="F116" s="209">
        <v>0</v>
      </c>
      <c r="G116" s="211">
        <v>825230</v>
      </c>
      <c r="H116" s="209">
        <v>0</v>
      </c>
      <c r="I116" s="211" t="s">
        <v>1029</v>
      </c>
      <c r="J116" s="209">
        <v>0</v>
      </c>
      <c r="K116" s="211" t="s">
        <v>1030</v>
      </c>
      <c r="L116" s="209">
        <v>0</v>
      </c>
      <c r="M116" s="211" t="s">
        <v>1031</v>
      </c>
      <c r="N116" s="216"/>
    </row>
    <row r="117" spans="1:14" ht="19.7" customHeight="1">
      <c r="A117" s="212" t="s">
        <v>834</v>
      </c>
      <c r="B117" s="212" t="s">
        <v>319</v>
      </c>
      <c r="C117" s="212" t="s">
        <v>191</v>
      </c>
      <c r="D117" s="209">
        <v>2</v>
      </c>
      <c r="E117" s="213" t="s">
        <v>596</v>
      </c>
      <c r="F117" s="209">
        <v>76993</v>
      </c>
      <c r="G117" s="214">
        <v>153986</v>
      </c>
      <c r="H117" s="214">
        <v>57403</v>
      </c>
      <c r="I117" s="214">
        <v>114806</v>
      </c>
      <c r="J117" s="214">
        <v>18714</v>
      </c>
      <c r="K117" s="214">
        <v>37428</v>
      </c>
      <c r="L117" s="214">
        <v>876</v>
      </c>
      <c r="M117" s="214">
        <v>1752</v>
      </c>
      <c r="N117" s="215">
        <v>0.90627000000000002</v>
      </c>
    </row>
    <row r="118" spans="1:14" ht="19.7" customHeight="1">
      <c r="A118" s="212" t="s">
        <v>834</v>
      </c>
      <c r="B118" s="212" t="s">
        <v>618</v>
      </c>
      <c r="C118" s="212" t="s">
        <v>453</v>
      </c>
      <c r="D118" s="209">
        <v>1</v>
      </c>
      <c r="E118" s="213" t="s">
        <v>596</v>
      </c>
      <c r="F118" s="209">
        <v>268674</v>
      </c>
      <c r="G118" s="214">
        <v>268674</v>
      </c>
      <c r="H118" s="214">
        <v>115872</v>
      </c>
      <c r="I118" s="214">
        <v>115872</v>
      </c>
      <c r="J118" s="214">
        <v>150123</v>
      </c>
      <c r="K118" s="214">
        <v>150123</v>
      </c>
      <c r="L118" s="214">
        <v>2679</v>
      </c>
      <c r="M118" s="214">
        <v>2679</v>
      </c>
      <c r="N118" s="215">
        <v>0.90627000000000002</v>
      </c>
    </row>
    <row r="119" spans="1:14" ht="19.7" customHeight="1">
      <c r="A119" s="212" t="s">
        <v>834</v>
      </c>
      <c r="B119" s="212" t="s">
        <v>438</v>
      </c>
      <c r="C119" s="212" t="s">
        <v>33</v>
      </c>
      <c r="D119" s="209">
        <v>1</v>
      </c>
      <c r="E119" s="213" t="s">
        <v>596</v>
      </c>
      <c r="F119" s="209">
        <v>402570</v>
      </c>
      <c r="G119" s="214">
        <v>402570</v>
      </c>
      <c r="H119" s="214">
        <v>139640</v>
      </c>
      <c r="I119" s="214">
        <v>139640</v>
      </c>
      <c r="J119" s="214">
        <v>259755</v>
      </c>
      <c r="K119" s="214">
        <v>259755</v>
      </c>
      <c r="L119" s="214">
        <v>3175</v>
      </c>
      <c r="M119" s="214">
        <v>3175</v>
      </c>
      <c r="N119" s="215">
        <v>0.90627000000000002</v>
      </c>
    </row>
    <row r="120" spans="1:14" ht="19.7" customHeight="1">
      <c r="A120" s="208" t="s">
        <v>834</v>
      </c>
      <c r="B120" s="208" t="s">
        <v>230</v>
      </c>
      <c r="C120" s="208" t="s">
        <v>834</v>
      </c>
      <c r="D120" s="209"/>
      <c r="E120" s="210" t="s">
        <v>834</v>
      </c>
      <c r="F120" s="209">
        <v>0</v>
      </c>
      <c r="G120" s="211">
        <v>1765796</v>
      </c>
      <c r="H120" s="209">
        <v>0</v>
      </c>
      <c r="I120" s="211" t="s">
        <v>1032</v>
      </c>
      <c r="J120" s="209">
        <v>0</v>
      </c>
      <c r="K120" s="211" t="s">
        <v>1033</v>
      </c>
      <c r="L120" s="209">
        <v>0</v>
      </c>
      <c r="M120" s="211" t="s">
        <v>1034</v>
      </c>
      <c r="N120" s="216"/>
    </row>
    <row r="121" spans="1:14" ht="19.7" customHeight="1">
      <c r="A121" s="212" t="s">
        <v>834</v>
      </c>
      <c r="B121" s="212" t="s">
        <v>319</v>
      </c>
      <c r="C121" s="212" t="s">
        <v>500</v>
      </c>
      <c r="D121" s="209">
        <v>13</v>
      </c>
      <c r="E121" s="213" t="s">
        <v>596</v>
      </c>
      <c r="F121" s="209">
        <v>91558</v>
      </c>
      <c r="G121" s="214">
        <v>1190254</v>
      </c>
      <c r="H121" s="214">
        <v>70059</v>
      </c>
      <c r="I121" s="214">
        <v>910767</v>
      </c>
      <c r="J121" s="214">
        <v>20572</v>
      </c>
      <c r="K121" s="214">
        <v>267436</v>
      </c>
      <c r="L121" s="214">
        <v>927</v>
      </c>
      <c r="M121" s="214">
        <v>12051</v>
      </c>
      <c r="N121" s="215">
        <v>0.90627000000000002</v>
      </c>
    </row>
    <row r="122" spans="1:14" ht="19.7" customHeight="1">
      <c r="A122" s="212" t="s">
        <v>834</v>
      </c>
      <c r="B122" s="212" t="s">
        <v>618</v>
      </c>
      <c r="C122" s="212" t="s">
        <v>217</v>
      </c>
      <c r="D122" s="209">
        <v>2</v>
      </c>
      <c r="E122" s="213" t="s">
        <v>596</v>
      </c>
      <c r="F122" s="209">
        <v>287771</v>
      </c>
      <c r="G122" s="214">
        <v>575542</v>
      </c>
      <c r="H122" s="214">
        <v>128529</v>
      </c>
      <c r="I122" s="214">
        <v>257058</v>
      </c>
      <c r="J122" s="214">
        <v>156512</v>
      </c>
      <c r="K122" s="214">
        <v>313024</v>
      </c>
      <c r="L122" s="214">
        <v>2730</v>
      </c>
      <c r="M122" s="214">
        <v>5460</v>
      </c>
      <c r="N122" s="215">
        <v>0.90627000000000002</v>
      </c>
    </row>
    <row r="123" spans="1:14" ht="19.7" customHeight="1">
      <c r="A123" s="208" t="s">
        <v>834</v>
      </c>
      <c r="B123" s="208" t="s">
        <v>201</v>
      </c>
      <c r="C123" s="208" t="s">
        <v>834</v>
      </c>
      <c r="D123" s="209"/>
      <c r="E123" s="210" t="s">
        <v>834</v>
      </c>
      <c r="F123" s="209">
        <v>0</v>
      </c>
      <c r="G123" s="211">
        <v>576646</v>
      </c>
      <c r="H123" s="209">
        <v>0</v>
      </c>
      <c r="I123" s="211" t="s">
        <v>1035</v>
      </c>
      <c r="J123" s="209">
        <v>0</v>
      </c>
      <c r="K123" s="211" t="s">
        <v>1036</v>
      </c>
      <c r="L123" s="209">
        <v>0</v>
      </c>
      <c r="M123" s="211" t="s">
        <v>1037</v>
      </c>
      <c r="N123" s="216"/>
    </row>
    <row r="124" spans="1:14" ht="19.7" customHeight="1">
      <c r="A124" s="212" t="s">
        <v>834</v>
      </c>
      <c r="B124" s="212" t="s">
        <v>319</v>
      </c>
      <c r="C124" s="212" t="s">
        <v>191</v>
      </c>
      <c r="D124" s="209">
        <v>4</v>
      </c>
      <c r="E124" s="213" t="s">
        <v>596</v>
      </c>
      <c r="F124" s="209">
        <v>76993</v>
      </c>
      <c r="G124" s="214">
        <v>307972</v>
      </c>
      <c r="H124" s="214">
        <v>57403</v>
      </c>
      <c r="I124" s="214">
        <v>229612</v>
      </c>
      <c r="J124" s="214">
        <v>18714</v>
      </c>
      <c r="K124" s="214">
        <v>74856</v>
      </c>
      <c r="L124" s="214">
        <v>876</v>
      </c>
      <c r="M124" s="214">
        <v>3504</v>
      </c>
      <c r="N124" s="215">
        <v>0.90627000000000002</v>
      </c>
    </row>
    <row r="125" spans="1:14" ht="19.7" customHeight="1">
      <c r="A125" s="212" t="s">
        <v>834</v>
      </c>
      <c r="B125" s="212" t="s">
        <v>618</v>
      </c>
      <c r="C125" s="212" t="s">
        <v>453</v>
      </c>
      <c r="D125" s="209">
        <v>1</v>
      </c>
      <c r="E125" s="213" t="s">
        <v>596</v>
      </c>
      <c r="F125" s="209">
        <v>268674</v>
      </c>
      <c r="G125" s="214">
        <v>268674</v>
      </c>
      <c r="H125" s="214">
        <v>115872</v>
      </c>
      <c r="I125" s="214">
        <v>115872</v>
      </c>
      <c r="J125" s="214">
        <v>150123</v>
      </c>
      <c r="K125" s="214">
        <v>150123</v>
      </c>
      <c r="L125" s="214">
        <v>2679</v>
      </c>
      <c r="M125" s="214">
        <v>2679</v>
      </c>
      <c r="N125" s="215">
        <v>0.90627000000000002</v>
      </c>
    </row>
    <row r="126" spans="1:14" ht="19.7" customHeight="1">
      <c r="A126" s="208" t="s">
        <v>834</v>
      </c>
      <c r="B126" s="208" t="s">
        <v>776</v>
      </c>
      <c r="C126" s="208" t="s">
        <v>834</v>
      </c>
      <c r="D126" s="209"/>
      <c r="E126" s="210" t="s">
        <v>834</v>
      </c>
      <c r="F126" s="209">
        <v>0</v>
      </c>
      <c r="G126" s="211">
        <v>992901</v>
      </c>
      <c r="H126" s="209">
        <v>0</v>
      </c>
      <c r="I126" s="211" t="s">
        <v>1038</v>
      </c>
      <c r="J126" s="209">
        <v>0</v>
      </c>
      <c r="K126" s="211" t="s">
        <v>1039</v>
      </c>
      <c r="L126" s="209">
        <v>0</v>
      </c>
      <c r="M126" s="211" t="s">
        <v>1040</v>
      </c>
      <c r="N126" s="216"/>
    </row>
    <row r="127" spans="1:14" ht="19.7" customHeight="1">
      <c r="A127" s="212" t="s">
        <v>834</v>
      </c>
      <c r="B127" s="212" t="s">
        <v>319</v>
      </c>
      <c r="C127" s="212" t="s">
        <v>191</v>
      </c>
      <c r="D127" s="209">
        <v>6</v>
      </c>
      <c r="E127" s="213" t="s">
        <v>596</v>
      </c>
      <c r="F127" s="209">
        <v>76993</v>
      </c>
      <c r="G127" s="214">
        <v>461958</v>
      </c>
      <c r="H127" s="214">
        <v>57403</v>
      </c>
      <c r="I127" s="214">
        <v>344418</v>
      </c>
      <c r="J127" s="214">
        <v>18714</v>
      </c>
      <c r="K127" s="214">
        <v>112284</v>
      </c>
      <c r="L127" s="214">
        <v>876</v>
      </c>
      <c r="M127" s="214">
        <v>5256</v>
      </c>
      <c r="N127" s="215">
        <v>0.90627000000000002</v>
      </c>
    </row>
    <row r="128" spans="1:14" ht="19.7" customHeight="1">
      <c r="A128" s="212" t="s">
        <v>834</v>
      </c>
      <c r="B128" s="212" t="s">
        <v>618</v>
      </c>
      <c r="C128" s="212" t="s">
        <v>453</v>
      </c>
      <c r="D128" s="209">
        <v>1</v>
      </c>
      <c r="E128" s="213" t="s">
        <v>596</v>
      </c>
      <c r="F128" s="209">
        <v>268674</v>
      </c>
      <c r="G128" s="214">
        <v>268674</v>
      </c>
      <c r="H128" s="214">
        <v>115872</v>
      </c>
      <c r="I128" s="214">
        <v>115872</v>
      </c>
      <c r="J128" s="214">
        <v>150123</v>
      </c>
      <c r="K128" s="214">
        <v>150123</v>
      </c>
      <c r="L128" s="214">
        <v>2679</v>
      </c>
      <c r="M128" s="214">
        <v>2679</v>
      </c>
      <c r="N128" s="215">
        <v>0.90627000000000002</v>
      </c>
    </row>
    <row r="129" spans="1:14" ht="19.7" customHeight="1">
      <c r="A129" s="212" t="s">
        <v>834</v>
      </c>
      <c r="B129" s="212" t="s">
        <v>612</v>
      </c>
      <c r="C129" s="212" t="s">
        <v>561</v>
      </c>
      <c r="D129" s="209">
        <v>7</v>
      </c>
      <c r="E129" s="213" t="s">
        <v>476</v>
      </c>
      <c r="F129" s="209">
        <v>37467</v>
      </c>
      <c r="G129" s="214">
        <v>262269</v>
      </c>
      <c r="H129" s="214">
        <v>30304</v>
      </c>
      <c r="I129" s="214">
        <v>212128</v>
      </c>
      <c r="J129" s="214">
        <v>6558</v>
      </c>
      <c r="K129" s="214">
        <v>45906</v>
      </c>
      <c r="L129" s="214">
        <v>605</v>
      </c>
      <c r="M129" s="214">
        <v>4235</v>
      </c>
      <c r="N129" s="215">
        <v>0.90627000000000002</v>
      </c>
    </row>
    <row r="130" spans="1:14" ht="19.7" customHeight="1">
      <c r="A130" s="208" t="s">
        <v>786</v>
      </c>
      <c r="B130" s="208" t="s">
        <v>259</v>
      </c>
      <c r="C130" s="208" t="s">
        <v>834</v>
      </c>
      <c r="D130" s="209"/>
      <c r="E130" s="210" t="s">
        <v>834</v>
      </c>
      <c r="F130" s="209">
        <v>0</v>
      </c>
      <c r="G130" s="211">
        <v>3401465</v>
      </c>
      <c r="H130" s="209">
        <v>0</v>
      </c>
      <c r="I130" s="211" t="s">
        <v>960</v>
      </c>
      <c r="J130" s="209">
        <v>0</v>
      </c>
      <c r="K130" s="211" t="s">
        <v>961</v>
      </c>
      <c r="L130" s="209">
        <v>0</v>
      </c>
      <c r="M130" s="211" t="s">
        <v>962</v>
      </c>
      <c r="N130" s="216"/>
    </row>
    <row r="131" spans="1:14" ht="19.7" customHeight="1">
      <c r="A131" s="212" t="s">
        <v>834</v>
      </c>
      <c r="B131" s="212" t="s">
        <v>439</v>
      </c>
      <c r="C131" s="212" t="s">
        <v>567</v>
      </c>
      <c r="D131" s="209">
        <v>1</v>
      </c>
      <c r="E131" s="213" t="s">
        <v>748</v>
      </c>
      <c r="F131" s="209">
        <v>2380766</v>
      </c>
      <c r="G131" s="214">
        <v>2380766</v>
      </c>
      <c r="H131" s="214">
        <v>734763</v>
      </c>
      <c r="I131" s="214">
        <v>734763</v>
      </c>
      <c r="J131" s="214">
        <v>119772</v>
      </c>
      <c r="K131" s="214">
        <v>119772</v>
      </c>
      <c r="L131" s="214">
        <v>1526231</v>
      </c>
      <c r="M131" s="214">
        <v>1526231</v>
      </c>
      <c r="N131" s="215">
        <v>0.90627000000000002</v>
      </c>
    </row>
    <row r="132" spans="1:14" ht="19.7" customHeight="1">
      <c r="A132" s="212" t="s">
        <v>834</v>
      </c>
      <c r="B132" s="212" t="s">
        <v>398</v>
      </c>
      <c r="C132" s="212" t="s">
        <v>530</v>
      </c>
      <c r="D132" s="209">
        <v>1</v>
      </c>
      <c r="E132" s="213" t="s">
        <v>748</v>
      </c>
      <c r="F132" s="209">
        <v>882668</v>
      </c>
      <c r="G132" s="214">
        <v>882668</v>
      </c>
      <c r="H132" s="214">
        <v>501653</v>
      </c>
      <c r="I132" s="214">
        <v>501653</v>
      </c>
      <c r="J132" s="214">
        <v>221662</v>
      </c>
      <c r="K132" s="214">
        <v>221662</v>
      </c>
      <c r="L132" s="214">
        <v>159353</v>
      </c>
      <c r="M132" s="214">
        <v>159353</v>
      </c>
      <c r="N132" s="215">
        <v>0.90627000000000002</v>
      </c>
    </row>
    <row r="133" spans="1:14" ht="19.7" customHeight="1">
      <c r="A133" s="212" t="s">
        <v>834</v>
      </c>
      <c r="B133" s="212" t="s">
        <v>597</v>
      </c>
      <c r="C133" s="212" t="s">
        <v>530</v>
      </c>
      <c r="D133" s="209">
        <v>1</v>
      </c>
      <c r="E133" s="213" t="s">
        <v>366</v>
      </c>
      <c r="F133" s="209">
        <v>134013</v>
      </c>
      <c r="G133" s="214">
        <v>134013</v>
      </c>
      <c r="H133" s="214">
        <v>57434</v>
      </c>
      <c r="I133" s="214">
        <v>57434</v>
      </c>
      <c r="J133" s="214">
        <v>76579</v>
      </c>
      <c r="K133" s="214">
        <v>76579</v>
      </c>
      <c r="L133" s="214">
        <v>0</v>
      </c>
      <c r="M133" s="214">
        <v>0</v>
      </c>
      <c r="N133" s="215">
        <v>0.90627000000000002</v>
      </c>
    </row>
    <row r="134" spans="1:14" ht="19.7" customHeight="1">
      <c r="A134" s="212" t="s">
        <v>834</v>
      </c>
      <c r="B134" s="212" t="s">
        <v>545</v>
      </c>
      <c r="C134" s="212" t="s">
        <v>280</v>
      </c>
      <c r="D134" s="209">
        <v>1</v>
      </c>
      <c r="E134" s="213" t="s">
        <v>574</v>
      </c>
      <c r="F134" s="209">
        <v>4018</v>
      </c>
      <c r="G134" s="214">
        <v>4018</v>
      </c>
      <c r="H134" s="214">
        <v>2302</v>
      </c>
      <c r="I134" s="214">
        <v>2302</v>
      </c>
      <c r="J134" s="214">
        <v>759</v>
      </c>
      <c r="K134" s="214">
        <v>759</v>
      </c>
      <c r="L134" s="214">
        <v>957</v>
      </c>
      <c r="M134" s="214">
        <v>957</v>
      </c>
      <c r="N134" s="215">
        <v>0.90627000000000002</v>
      </c>
    </row>
    <row r="135" spans="1:14" ht="19.7" customHeight="1">
      <c r="A135" s="212" t="s">
        <v>834</v>
      </c>
      <c r="B135" s="212" t="s">
        <v>834</v>
      </c>
      <c r="C135" s="212" t="s">
        <v>834</v>
      </c>
      <c r="D135" s="209"/>
      <c r="E135" s="213" t="s">
        <v>834</v>
      </c>
      <c r="F135" s="209">
        <v>0</v>
      </c>
      <c r="G135" s="214">
        <v>0</v>
      </c>
      <c r="H135" s="209">
        <v>0</v>
      </c>
      <c r="I135" s="209"/>
      <c r="J135" s="209">
        <v>0</v>
      </c>
      <c r="K135" s="209"/>
      <c r="L135" s="209">
        <v>0</v>
      </c>
      <c r="M135" s="209"/>
      <c r="N135" s="215"/>
    </row>
    <row r="136" spans="1:14" ht="19.7" customHeight="1">
      <c r="A136" s="208" t="s">
        <v>314</v>
      </c>
      <c r="B136" s="208" t="s">
        <v>600</v>
      </c>
      <c r="C136" s="208" t="s">
        <v>834</v>
      </c>
      <c r="D136" s="209"/>
      <c r="E136" s="210" t="s">
        <v>834</v>
      </c>
      <c r="F136" s="209">
        <v>0</v>
      </c>
      <c r="G136" s="211">
        <v>17500697</v>
      </c>
      <c r="H136" s="209">
        <v>0</v>
      </c>
      <c r="I136" s="211" t="s">
        <v>1041</v>
      </c>
      <c r="J136" s="209">
        <v>0</v>
      </c>
      <c r="K136" s="211" t="s">
        <v>1042</v>
      </c>
      <c r="L136" s="209">
        <v>0</v>
      </c>
      <c r="M136" s="211" t="s">
        <v>1043</v>
      </c>
      <c r="N136" s="216"/>
    </row>
    <row r="137" spans="1:14" ht="19.7" customHeight="1">
      <c r="A137" s="208" t="s">
        <v>47</v>
      </c>
      <c r="B137" s="208" t="s">
        <v>102</v>
      </c>
      <c r="C137" s="208" t="s">
        <v>834</v>
      </c>
      <c r="D137" s="209"/>
      <c r="E137" s="210" t="s">
        <v>834</v>
      </c>
      <c r="F137" s="209">
        <v>0</v>
      </c>
      <c r="G137" s="211">
        <v>13216564</v>
      </c>
      <c r="H137" s="209">
        <v>0</v>
      </c>
      <c r="I137" s="211" t="s">
        <v>1044</v>
      </c>
      <c r="J137" s="209">
        <v>0</v>
      </c>
      <c r="K137" s="211" t="s">
        <v>1045</v>
      </c>
      <c r="L137" s="209">
        <v>0</v>
      </c>
      <c r="M137" s="211" t="s">
        <v>1046</v>
      </c>
      <c r="N137" s="216"/>
    </row>
    <row r="138" spans="1:14" ht="19.7" customHeight="1">
      <c r="A138" s="208" t="s">
        <v>834</v>
      </c>
      <c r="B138" s="208" t="s">
        <v>350</v>
      </c>
      <c r="C138" s="208" t="s">
        <v>834</v>
      </c>
      <c r="D138" s="209"/>
      <c r="E138" s="210" t="s">
        <v>834</v>
      </c>
      <c r="F138" s="209">
        <v>0</v>
      </c>
      <c r="G138" s="211">
        <v>7236054</v>
      </c>
      <c r="H138" s="209">
        <v>0</v>
      </c>
      <c r="I138" s="211" t="s">
        <v>1047</v>
      </c>
      <c r="J138" s="209">
        <v>0</v>
      </c>
      <c r="K138" s="211" t="s">
        <v>1048</v>
      </c>
      <c r="L138" s="209">
        <v>0</v>
      </c>
      <c r="M138" s="211" t="s">
        <v>1049</v>
      </c>
      <c r="N138" s="216"/>
    </row>
    <row r="139" spans="1:14" ht="19.7" customHeight="1">
      <c r="A139" s="212" t="s">
        <v>834</v>
      </c>
      <c r="B139" s="212" t="s">
        <v>319</v>
      </c>
      <c r="C139" s="212" t="s">
        <v>797</v>
      </c>
      <c r="D139" s="209">
        <v>18</v>
      </c>
      <c r="E139" s="213" t="s">
        <v>596</v>
      </c>
      <c r="F139" s="209">
        <v>57859</v>
      </c>
      <c r="G139" s="214">
        <v>1041462</v>
      </c>
      <c r="H139" s="214">
        <v>38269</v>
      </c>
      <c r="I139" s="214">
        <v>688842</v>
      </c>
      <c r="J139" s="214">
        <v>18714</v>
      </c>
      <c r="K139" s="214">
        <v>336852</v>
      </c>
      <c r="L139" s="214">
        <v>876</v>
      </c>
      <c r="M139" s="214">
        <v>15768</v>
      </c>
      <c r="N139" s="215">
        <v>0.90627000000000002</v>
      </c>
    </row>
    <row r="140" spans="1:14" ht="19.7" customHeight="1">
      <c r="A140" s="212" t="s">
        <v>834</v>
      </c>
      <c r="B140" s="212" t="s">
        <v>618</v>
      </c>
      <c r="C140" s="212" t="s">
        <v>453</v>
      </c>
      <c r="D140" s="209">
        <v>21</v>
      </c>
      <c r="E140" s="213" t="s">
        <v>596</v>
      </c>
      <c r="F140" s="209">
        <v>268674</v>
      </c>
      <c r="G140" s="214">
        <v>5642154</v>
      </c>
      <c r="H140" s="214">
        <v>115872</v>
      </c>
      <c r="I140" s="214">
        <v>2433312</v>
      </c>
      <c r="J140" s="214">
        <v>150123</v>
      </c>
      <c r="K140" s="214">
        <v>3152583</v>
      </c>
      <c r="L140" s="214">
        <v>2679</v>
      </c>
      <c r="M140" s="214">
        <v>56259</v>
      </c>
      <c r="N140" s="215">
        <v>0.90627000000000002</v>
      </c>
    </row>
    <row r="141" spans="1:14" ht="19.7" customHeight="1">
      <c r="A141" s="212" t="s">
        <v>834</v>
      </c>
      <c r="B141" s="212" t="s">
        <v>438</v>
      </c>
      <c r="C141" s="212" t="s">
        <v>33</v>
      </c>
      <c r="D141" s="209">
        <v>1</v>
      </c>
      <c r="E141" s="213" t="s">
        <v>596</v>
      </c>
      <c r="F141" s="209">
        <v>402570</v>
      </c>
      <c r="G141" s="214">
        <v>402570</v>
      </c>
      <c r="H141" s="214">
        <v>139640</v>
      </c>
      <c r="I141" s="214">
        <v>139640</v>
      </c>
      <c r="J141" s="214">
        <v>259755</v>
      </c>
      <c r="K141" s="214">
        <v>259755</v>
      </c>
      <c r="L141" s="214">
        <v>3175</v>
      </c>
      <c r="M141" s="214">
        <v>3175</v>
      </c>
      <c r="N141" s="215">
        <v>0.90627000000000002</v>
      </c>
    </row>
    <row r="142" spans="1:14" ht="19.7" customHeight="1">
      <c r="A142" s="212" t="s">
        <v>834</v>
      </c>
      <c r="B142" s="212" t="s">
        <v>612</v>
      </c>
      <c r="C142" s="212" t="s">
        <v>561</v>
      </c>
      <c r="D142" s="209">
        <v>4</v>
      </c>
      <c r="E142" s="213" t="s">
        <v>476</v>
      </c>
      <c r="F142" s="209">
        <v>37467</v>
      </c>
      <c r="G142" s="214">
        <v>149868</v>
      </c>
      <c r="H142" s="214">
        <v>30304</v>
      </c>
      <c r="I142" s="214">
        <v>121216</v>
      </c>
      <c r="J142" s="214">
        <v>6558</v>
      </c>
      <c r="K142" s="214">
        <v>26232</v>
      </c>
      <c r="L142" s="214">
        <v>605</v>
      </c>
      <c r="M142" s="214">
        <v>2420</v>
      </c>
      <c r="N142" s="215">
        <v>0.90627000000000002</v>
      </c>
    </row>
    <row r="143" spans="1:14" ht="19.7" customHeight="1">
      <c r="A143" s="208" t="s">
        <v>834</v>
      </c>
      <c r="B143" s="208" t="s">
        <v>230</v>
      </c>
      <c r="C143" s="208" t="s">
        <v>834</v>
      </c>
      <c r="D143" s="209"/>
      <c r="E143" s="210" t="s">
        <v>834</v>
      </c>
      <c r="F143" s="209">
        <v>0</v>
      </c>
      <c r="G143" s="211">
        <v>2863095</v>
      </c>
      <c r="H143" s="209">
        <v>0</v>
      </c>
      <c r="I143" s="211" t="s">
        <v>1050</v>
      </c>
      <c r="J143" s="209">
        <v>0</v>
      </c>
      <c r="K143" s="211" t="s">
        <v>1051</v>
      </c>
      <c r="L143" s="209">
        <v>0</v>
      </c>
      <c r="M143" s="211" t="s">
        <v>1052</v>
      </c>
      <c r="N143" s="216"/>
    </row>
    <row r="144" spans="1:14" ht="19.7" customHeight="1">
      <c r="A144" s="212" t="s">
        <v>834</v>
      </c>
      <c r="B144" s="212" t="s">
        <v>319</v>
      </c>
      <c r="C144" s="212" t="s">
        <v>500</v>
      </c>
      <c r="D144" s="209">
        <v>19</v>
      </c>
      <c r="E144" s="213" t="s">
        <v>596</v>
      </c>
      <c r="F144" s="209">
        <v>91558</v>
      </c>
      <c r="G144" s="214">
        <v>1739602</v>
      </c>
      <c r="H144" s="214">
        <v>70059</v>
      </c>
      <c r="I144" s="214">
        <v>1331121</v>
      </c>
      <c r="J144" s="214">
        <v>20572</v>
      </c>
      <c r="K144" s="214">
        <v>390868</v>
      </c>
      <c r="L144" s="214">
        <v>927</v>
      </c>
      <c r="M144" s="214">
        <v>17613</v>
      </c>
      <c r="N144" s="215">
        <v>0.90627000000000002</v>
      </c>
    </row>
    <row r="145" spans="1:14" ht="19.7" customHeight="1">
      <c r="A145" s="212" t="s">
        <v>834</v>
      </c>
      <c r="B145" s="212" t="s">
        <v>618</v>
      </c>
      <c r="C145" s="212" t="s">
        <v>217</v>
      </c>
      <c r="D145" s="209">
        <v>1</v>
      </c>
      <c r="E145" s="213" t="s">
        <v>596</v>
      </c>
      <c r="F145" s="209">
        <v>287771</v>
      </c>
      <c r="G145" s="214">
        <v>287771</v>
      </c>
      <c r="H145" s="214">
        <v>128529</v>
      </c>
      <c r="I145" s="214">
        <v>128529</v>
      </c>
      <c r="J145" s="214">
        <v>156512</v>
      </c>
      <c r="K145" s="214">
        <v>156512</v>
      </c>
      <c r="L145" s="214">
        <v>2730</v>
      </c>
      <c r="M145" s="214">
        <v>2730</v>
      </c>
      <c r="N145" s="215">
        <v>0.90627000000000002</v>
      </c>
    </row>
    <row r="146" spans="1:14" ht="19.7" customHeight="1">
      <c r="A146" s="212" t="s">
        <v>834</v>
      </c>
      <c r="B146" s="212" t="s">
        <v>438</v>
      </c>
      <c r="C146" s="212" t="s">
        <v>609</v>
      </c>
      <c r="D146" s="209">
        <v>2</v>
      </c>
      <c r="E146" s="213" t="s">
        <v>596</v>
      </c>
      <c r="F146" s="209">
        <v>417861</v>
      </c>
      <c r="G146" s="214">
        <v>835722</v>
      </c>
      <c r="H146" s="214">
        <v>153023</v>
      </c>
      <c r="I146" s="214">
        <v>306046</v>
      </c>
      <c r="J146" s="214">
        <v>261612</v>
      </c>
      <c r="K146" s="214">
        <v>523224</v>
      </c>
      <c r="L146" s="214">
        <v>3226</v>
      </c>
      <c r="M146" s="214">
        <v>6452</v>
      </c>
      <c r="N146" s="215">
        <v>0.90627000000000002</v>
      </c>
    </row>
    <row r="147" spans="1:14" ht="19.7" customHeight="1">
      <c r="A147" s="208" t="s">
        <v>834</v>
      </c>
      <c r="B147" s="208" t="s">
        <v>201</v>
      </c>
      <c r="C147" s="208" t="s">
        <v>834</v>
      </c>
      <c r="D147" s="209"/>
      <c r="E147" s="210" t="s">
        <v>834</v>
      </c>
      <c r="F147" s="209">
        <v>0</v>
      </c>
      <c r="G147" s="211">
        <v>2732450</v>
      </c>
      <c r="H147" s="209">
        <v>0</v>
      </c>
      <c r="I147" s="211" t="s">
        <v>1053</v>
      </c>
      <c r="J147" s="209">
        <v>0</v>
      </c>
      <c r="K147" s="211" t="s">
        <v>1054</v>
      </c>
      <c r="L147" s="209">
        <v>0</v>
      </c>
      <c r="M147" s="211" t="s">
        <v>1055</v>
      </c>
      <c r="N147" s="216"/>
    </row>
    <row r="148" spans="1:14" ht="19.7" customHeight="1">
      <c r="A148" s="212" t="s">
        <v>834</v>
      </c>
      <c r="B148" s="212" t="s">
        <v>319</v>
      </c>
      <c r="C148" s="212" t="s">
        <v>191</v>
      </c>
      <c r="D148" s="209">
        <v>32</v>
      </c>
      <c r="E148" s="213" t="s">
        <v>596</v>
      </c>
      <c r="F148" s="209">
        <v>76993</v>
      </c>
      <c r="G148" s="214">
        <v>2463776</v>
      </c>
      <c r="H148" s="214">
        <v>57403</v>
      </c>
      <c r="I148" s="214">
        <v>1836896</v>
      </c>
      <c r="J148" s="214">
        <v>18714</v>
      </c>
      <c r="K148" s="214">
        <v>598848</v>
      </c>
      <c r="L148" s="214">
        <v>876</v>
      </c>
      <c r="M148" s="214">
        <v>28032</v>
      </c>
      <c r="N148" s="215">
        <v>0.90627000000000002</v>
      </c>
    </row>
    <row r="149" spans="1:14" ht="19.7" customHeight="1">
      <c r="A149" s="212" t="s">
        <v>834</v>
      </c>
      <c r="B149" s="212" t="s">
        <v>618</v>
      </c>
      <c r="C149" s="212" t="s">
        <v>453</v>
      </c>
      <c r="D149" s="209">
        <v>1</v>
      </c>
      <c r="E149" s="213" t="s">
        <v>596</v>
      </c>
      <c r="F149" s="209">
        <v>268674</v>
      </c>
      <c r="G149" s="214">
        <v>268674</v>
      </c>
      <c r="H149" s="214">
        <v>115872</v>
      </c>
      <c r="I149" s="214">
        <v>115872</v>
      </c>
      <c r="J149" s="214">
        <v>150123</v>
      </c>
      <c r="K149" s="214">
        <v>150123</v>
      </c>
      <c r="L149" s="214">
        <v>2679</v>
      </c>
      <c r="M149" s="214">
        <v>2679</v>
      </c>
      <c r="N149" s="215">
        <v>0.90627000000000002</v>
      </c>
    </row>
    <row r="150" spans="1:14" ht="19.7" customHeight="1">
      <c r="A150" s="208" t="s">
        <v>834</v>
      </c>
      <c r="B150" s="208" t="s">
        <v>776</v>
      </c>
      <c r="C150" s="208" t="s">
        <v>834</v>
      </c>
      <c r="D150" s="209"/>
      <c r="E150" s="210" t="s">
        <v>834</v>
      </c>
      <c r="F150" s="209">
        <v>0</v>
      </c>
      <c r="G150" s="211">
        <v>384965</v>
      </c>
      <c r="H150" s="209">
        <v>0</v>
      </c>
      <c r="I150" s="211" t="s">
        <v>1056</v>
      </c>
      <c r="J150" s="209">
        <v>0</v>
      </c>
      <c r="K150" s="211" t="s">
        <v>1057</v>
      </c>
      <c r="L150" s="209">
        <v>0</v>
      </c>
      <c r="M150" s="211" t="s">
        <v>1058</v>
      </c>
      <c r="N150" s="216"/>
    </row>
    <row r="151" spans="1:14" ht="19.7" customHeight="1">
      <c r="A151" s="212" t="s">
        <v>834</v>
      </c>
      <c r="B151" s="212" t="s">
        <v>319</v>
      </c>
      <c r="C151" s="212" t="s">
        <v>191</v>
      </c>
      <c r="D151" s="209">
        <v>5</v>
      </c>
      <c r="E151" s="213" t="s">
        <v>596</v>
      </c>
      <c r="F151" s="209">
        <v>76993</v>
      </c>
      <c r="G151" s="214">
        <v>384965</v>
      </c>
      <c r="H151" s="214">
        <v>57403</v>
      </c>
      <c r="I151" s="214">
        <v>287015</v>
      </c>
      <c r="J151" s="214">
        <v>18714</v>
      </c>
      <c r="K151" s="214">
        <v>93570</v>
      </c>
      <c r="L151" s="214">
        <v>876</v>
      </c>
      <c r="M151" s="214">
        <v>4380</v>
      </c>
      <c r="N151" s="215">
        <v>0.90627000000000002</v>
      </c>
    </row>
    <row r="152" spans="1:14" ht="19.7" customHeight="1">
      <c r="A152" s="208" t="s">
        <v>527</v>
      </c>
      <c r="B152" s="208" t="s">
        <v>259</v>
      </c>
      <c r="C152" s="208" t="s">
        <v>834</v>
      </c>
      <c r="D152" s="209"/>
      <c r="E152" s="210" t="s">
        <v>834</v>
      </c>
      <c r="F152" s="209">
        <v>0</v>
      </c>
      <c r="G152" s="211">
        <v>4284133</v>
      </c>
      <c r="H152" s="209">
        <v>0</v>
      </c>
      <c r="I152" s="211" t="s">
        <v>1059</v>
      </c>
      <c r="J152" s="209">
        <v>0</v>
      </c>
      <c r="K152" s="211" t="s">
        <v>1060</v>
      </c>
      <c r="L152" s="209">
        <v>0</v>
      </c>
      <c r="M152" s="211" t="s">
        <v>1061</v>
      </c>
      <c r="N152" s="216"/>
    </row>
    <row r="153" spans="1:14" ht="19.7" customHeight="1">
      <c r="A153" s="212" t="s">
        <v>834</v>
      </c>
      <c r="B153" s="212" t="s">
        <v>439</v>
      </c>
      <c r="C153" s="212" t="s">
        <v>567</v>
      </c>
      <c r="D153" s="209">
        <v>1</v>
      </c>
      <c r="E153" s="213" t="s">
        <v>748</v>
      </c>
      <c r="F153" s="209">
        <v>2380766</v>
      </c>
      <c r="G153" s="214">
        <v>2380766</v>
      </c>
      <c r="H153" s="214">
        <v>734763</v>
      </c>
      <c r="I153" s="214">
        <v>734763</v>
      </c>
      <c r="J153" s="214">
        <v>119772</v>
      </c>
      <c r="K153" s="214">
        <v>119772</v>
      </c>
      <c r="L153" s="214">
        <v>1526231</v>
      </c>
      <c r="M153" s="214">
        <v>1526231</v>
      </c>
      <c r="N153" s="215">
        <v>0.90627000000000002</v>
      </c>
    </row>
    <row r="154" spans="1:14" ht="19.7" customHeight="1">
      <c r="A154" s="212" t="s">
        <v>834</v>
      </c>
      <c r="B154" s="212" t="s">
        <v>398</v>
      </c>
      <c r="C154" s="212" t="s">
        <v>530</v>
      </c>
      <c r="D154" s="209">
        <v>2</v>
      </c>
      <c r="E154" s="213" t="s">
        <v>748</v>
      </c>
      <c r="F154" s="209">
        <v>882668</v>
      </c>
      <c r="G154" s="214">
        <v>1765336</v>
      </c>
      <c r="H154" s="214">
        <v>501653</v>
      </c>
      <c r="I154" s="214">
        <v>1003306</v>
      </c>
      <c r="J154" s="214">
        <v>221662</v>
      </c>
      <c r="K154" s="214">
        <v>443324</v>
      </c>
      <c r="L154" s="214">
        <v>159353</v>
      </c>
      <c r="M154" s="214">
        <v>318706</v>
      </c>
      <c r="N154" s="215">
        <v>0.90627000000000002</v>
      </c>
    </row>
    <row r="155" spans="1:14" ht="19.7" customHeight="1">
      <c r="A155" s="212" t="s">
        <v>834</v>
      </c>
      <c r="B155" s="212" t="s">
        <v>597</v>
      </c>
      <c r="C155" s="212" t="s">
        <v>530</v>
      </c>
      <c r="D155" s="209">
        <v>1</v>
      </c>
      <c r="E155" s="213" t="s">
        <v>366</v>
      </c>
      <c r="F155" s="209">
        <v>134013</v>
      </c>
      <c r="G155" s="214">
        <v>134013</v>
      </c>
      <c r="H155" s="214">
        <v>57434</v>
      </c>
      <c r="I155" s="214">
        <v>57434</v>
      </c>
      <c r="J155" s="214">
        <v>76579</v>
      </c>
      <c r="K155" s="214">
        <v>76579</v>
      </c>
      <c r="L155" s="214">
        <v>0</v>
      </c>
      <c r="M155" s="214">
        <v>0</v>
      </c>
      <c r="N155" s="215">
        <v>0.90627000000000002</v>
      </c>
    </row>
    <row r="156" spans="1:14" ht="19.7" customHeight="1">
      <c r="A156" s="212" t="s">
        <v>834</v>
      </c>
      <c r="B156" s="212" t="s">
        <v>545</v>
      </c>
      <c r="C156" s="212" t="s">
        <v>280</v>
      </c>
      <c r="D156" s="209">
        <v>1</v>
      </c>
      <c r="E156" s="213" t="s">
        <v>574</v>
      </c>
      <c r="F156" s="209">
        <v>4018</v>
      </c>
      <c r="G156" s="214">
        <v>4018</v>
      </c>
      <c r="H156" s="214">
        <v>2302</v>
      </c>
      <c r="I156" s="214">
        <v>2302</v>
      </c>
      <c r="J156" s="214">
        <v>759</v>
      </c>
      <c r="K156" s="214">
        <v>759</v>
      </c>
      <c r="L156" s="214">
        <v>957</v>
      </c>
      <c r="M156" s="214">
        <v>957</v>
      </c>
      <c r="N156" s="215">
        <v>0.90627000000000002</v>
      </c>
    </row>
    <row r="157" spans="1:14" ht="19.7" customHeight="1">
      <c r="A157" s="212" t="s">
        <v>834</v>
      </c>
      <c r="B157" s="212" t="s">
        <v>834</v>
      </c>
      <c r="C157" s="212" t="s">
        <v>834</v>
      </c>
      <c r="D157" s="209"/>
      <c r="E157" s="213" t="s">
        <v>834</v>
      </c>
      <c r="F157" s="209">
        <v>0</v>
      </c>
      <c r="G157" s="214">
        <v>0</v>
      </c>
      <c r="H157" s="209">
        <v>0</v>
      </c>
      <c r="I157" s="209"/>
      <c r="J157" s="209">
        <v>0</v>
      </c>
      <c r="K157" s="209"/>
      <c r="L157" s="209">
        <v>0</v>
      </c>
      <c r="M157" s="209"/>
      <c r="N157" s="215"/>
    </row>
    <row r="158" spans="1:14" ht="19.7" customHeight="1">
      <c r="A158" s="208" t="s">
        <v>785</v>
      </c>
      <c r="B158" s="208" t="s">
        <v>29</v>
      </c>
      <c r="C158" s="208" t="s">
        <v>834</v>
      </c>
      <c r="D158" s="209"/>
      <c r="E158" s="210" t="s">
        <v>834</v>
      </c>
      <c r="F158" s="209">
        <v>0</v>
      </c>
      <c r="G158" s="211">
        <v>19199075</v>
      </c>
      <c r="H158" s="209">
        <v>0</v>
      </c>
      <c r="I158" s="211" t="s">
        <v>1062</v>
      </c>
      <c r="J158" s="209">
        <v>0</v>
      </c>
      <c r="K158" s="211" t="s">
        <v>1063</v>
      </c>
      <c r="L158" s="209">
        <v>0</v>
      </c>
      <c r="M158" s="211" t="s">
        <v>1064</v>
      </c>
      <c r="N158" s="216"/>
    </row>
    <row r="159" spans="1:14" ht="19.7" customHeight="1">
      <c r="A159" s="208" t="s">
        <v>113</v>
      </c>
      <c r="B159" s="208" t="s">
        <v>102</v>
      </c>
      <c r="C159" s="208" t="s">
        <v>834</v>
      </c>
      <c r="D159" s="209"/>
      <c r="E159" s="210" t="s">
        <v>834</v>
      </c>
      <c r="F159" s="209">
        <v>0</v>
      </c>
      <c r="G159" s="211">
        <v>12534176</v>
      </c>
      <c r="H159" s="209">
        <v>0</v>
      </c>
      <c r="I159" s="211" t="s">
        <v>1065</v>
      </c>
      <c r="J159" s="209">
        <v>0</v>
      </c>
      <c r="K159" s="211" t="s">
        <v>1066</v>
      </c>
      <c r="L159" s="209">
        <v>0</v>
      </c>
      <c r="M159" s="211" t="s">
        <v>1067</v>
      </c>
      <c r="N159" s="216"/>
    </row>
    <row r="160" spans="1:14" ht="19.7" customHeight="1">
      <c r="A160" s="208" t="s">
        <v>834</v>
      </c>
      <c r="B160" s="208" t="s">
        <v>350</v>
      </c>
      <c r="C160" s="208" t="s">
        <v>834</v>
      </c>
      <c r="D160" s="209"/>
      <c r="E160" s="210" t="s">
        <v>834</v>
      </c>
      <c r="F160" s="209">
        <v>0</v>
      </c>
      <c r="G160" s="211">
        <v>3547613</v>
      </c>
      <c r="H160" s="209">
        <v>0</v>
      </c>
      <c r="I160" s="211" t="s">
        <v>1068</v>
      </c>
      <c r="J160" s="209">
        <v>0</v>
      </c>
      <c r="K160" s="211" t="s">
        <v>1069</v>
      </c>
      <c r="L160" s="209">
        <v>0</v>
      </c>
      <c r="M160" s="211" t="s">
        <v>1070</v>
      </c>
      <c r="N160" s="216"/>
    </row>
    <row r="161" spans="1:14" ht="19.7" customHeight="1">
      <c r="A161" s="212" t="s">
        <v>834</v>
      </c>
      <c r="B161" s="212" t="s">
        <v>319</v>
      </c>
      <c r="C161" s="212" t="s">
        <v>191</v>
      </c>
      <c r="D161" s="209">
        <v>26</v>
      </c>
      <c r="E161" s="213" t="s">
        <v>596</v>
      </c>
      <c r="F161" s="209">
        <v>76993</v>
      </c>
      <c r="G161" s="214">
        <v>2001818</v>
      </c>
      <c r="H161" s="214">
        <v>57403</v>
      </c>
      <c r="I161" s="214">
        <v>1492478</v>
      </c>
      <c r="J161" s="214">
        <v>18714</v>
      </c>
      <c r="K161" s="214">
        <v>486564</v>
      </c>
      <c r="L161" s="214">
        <v>876</v>
      </c>
      <c r="M161" s="214">
        <v>22776</v>
      </c>
      <c r="N161" s="215">
        <v>0.90627000000000002</v>
      </c>
    </row>
    <row r="162" spans="1:14" ht="19.7" customHeight="1">
      <c r="A162" s="212" t="s">
        <v>834</v>
      </c>
      <c r="B162" s="212" t="s">
        <v>618</v>
      </c>
      <c r="C162" s="212" t="s">
        <v>453</v>
      </c>
      <c r="D162" s="209">
        <v>3</v>
      </c>
      <c r="E162" s="213" t="s">
        <v>596</v>
      </c>
      <c r="F162" s="209">
        <v>268674</v>
      </c>
      <c r="G162" s="214">
        <v>806022</v>
      </c>
      <c r="H162" s="214">
        <v>115872</v>
      </c>
      <c r="I162" s="214">
        <v>347616</v>
      </c>
      <c r="J162" s="214">
        <v>150123</v>
      </c>
      <c r="K162" s="214">
        <v>450369</v>
      </c>
      <c r="L162" s="214">
        <v>2679</v>
      </c>
      <c r="M162" s="214">
        <v>8037</v>
      </c>
      <c r="N162" s="215">
        <v>0.90627000000000002</v>
      </c>
    </row>
    <row r="163" spans="1:14" ht="19.7" customHeight="1">
      <c r="A163" s="212" t="s">
        <v>834</v>
      </c>
      <c r="B163" s="212" t="s">
        <v>438</v>
      </c>
      <c r="C163" s="212" t="s">
        <v>33</v>
      </c>
      <c r="D163" s="209">
        <v>1</v>
      </c>
      <c r="E163" s="213" t="s">
        <v>596</v>
      </c>
      <c r="F163" s="209">
        <v>402570</v>
      </c>
      <c r="G163" s="214">
        <v>402570</v>
      </c>
      <c r="H163" s="214">
        <v>139640</v>
      </c>
      <c r="I163" s="214">
        <v>139640</v>
      </c>
      <c r="J163" s="214">
        <v>259755</v>
      </c>
      <c r="K163" s="214">
        <v>259755</v>
      </c>
      <c r="L163" s="214">
        <v>3175</v>
      </c>
      <c r="M163" s="214">
        <v>3175</v>
      </c>
      <c r="N163" s="215">
        <v>0.90627000000000002</v>
      </c>
    </row>
    <row r="164" spans="1:14" ht="19.7" customHeight="1">
      <c r="A164" s="212" t="s">
        <v>834</v>
      </c>
      <c r="B164" s="212" t="s">
        <v>612</v>
      </c>
      <c r="C164" s="212" t="s">
        <v>561</v>
      </c>
      <c r="D164" s="209">
        <v>9</v>
      </c>
      <c r="E164" s="213" t="s">
        <v>476</v>
      </c>
      <c r="F164" s="209">
        <v>37467</v>
      </c>
      <c r="G164" s="214">
        <v>337203</v>
      </c>
      <c r="H164" s="214">
        <v>30304</v>
      </c>
      <c r="I164" s="214">
        <v>272736</v>
      </c>
      <c r="J164" s="214">
        <v>6558</v>
      </c>
      <c r="K164" s="214">
        <v>59022</v>
      </c>
      <c r="L164" s="214">
        <v>605</v>
      </c>
      <c r="M164" s="214">
        <v>5445</v>
      </c>
      <c r="N164" s="215">
        <v>0.90627000000000002</v>
      </c>
    </row>
    <row r="165" spans="1:14" ht="19.7" customHeight="1">
      <c r="A165" s="208" t="s">
        <v>834</v>
      </c>
      <c r="B165" s="208" t="s">
        <v>230</v>
      </c>
      <c r="C165" s="208" t="s">
        <v>834</v>
      </c>
      <c r="D165" s="209"/>
      <c r="E165" s="210" t="s">
        <v>834</v>
      </c>
      <c r="F165" s="209">
        <v>0</v>
      </c>
      <c r="G165" s="211">
        <v>1873748</v>
      </c>
      <c r="H165" s="209">
        <v>0</v>
      </c>
      <c r="I165" s="211" t="s">
        <v>1071</v>
      </c>
      <c r="J165" s="209">
        <v>0</v>
      </c>
      <c r="K165" s="211" t="s">
        <v>1072</v>
      </c>
      <c r="L165" s="209">
        <v>0</v>
      </c>
      <c r="M165" s="211" t="s">
        <v>1073</v>
      </c>
      <c r="N165" s="216"/>
    </row>
    <row r="166" spans="1:14" ht="19.7" customHeight="1">
      <c r="A166" s="212" t="s">
        <v>834</v>
      </c>
      <c r="B166" s="212" t="s">
        <v>319</v>
      </c>
      <c r="C166" s="212" t="s">
        <v>238</v>
      </c>
      <c r="D166" s="209">
        <v>11</v>
      </c>
      <c r="E166" s="213" t="s">
        <v>596</v>
      </c>
      <c r="F166" s="209">
        <v>68205</v>
      </c>
      <c r="G166" s="214">
        <v>750255</v>
      </c>
      <c r="H166" s="214">
        <v>46706</v>
      </c>
      <c r="I166" s="214">
        <v>513766</v>
      </c>
      <c r="J166" s="214">
        <v>20572</v>
      </c>
      <c r="K166" s="214">
        <v>226292</v>
      </c>
      <c r="L166" s="214">
        <v>927</v>
      </c>
      <c r="M166" s="214">
        <v>10197</v>
      </c>
      <c r="N166" s="215">
        <v>0.90627000000000002</v>
      </c>
    </row>
    <row r="167" spans="1:14" ht="19.7" customHeight="1">
      <c r="A167" s="212" t="s">
        <v>834</v>
      </c>
      <c r="B167" s="212" t="s">
        <v>618</v>
      </c>
      <c r="C167" s="212" t="s">
        <v>217</v>
      </c>
      <c r="D167" s="209">
        <v>1</v>
      </c>
      <c r="E167" s="213" t="s">
        <v>596</v>
      </c>
      <c r="F167" s="209">
        <v>287771</v>
      </c>
      <c r="G167" s="214">
        <v>287771</v>
      </c>
      <c r="H167" s="214">
        <v>128529</v>
      </c>
      <c r="I167" s="214">
        <v>128529</v>
      </c>
      <c r="J167" s="214">
        <v>156512</v>
      </c>
      <c r="K167" s="214">
        <v>156512</v>
      </c>
      <c r="L167" s="214">
        <v>2730</v>
      </c>
      <c r="M167" s="214">
        <v>2730</v>
      </c>
      <c r="N167" s="215">
        <v>0.90627000000000002</v>
      </c>
    </row>
    <row r="168" spans="1:14" ht="19.7" customHeight="1">
      <c r="A168" s="212" t="s">
        <v>834</v>
      </c>
      <c r="B168" s="212" t="s">
        <v>438</v>
      </c>
      <c r="C168" s="212" t="s">
        <v>609</v>
      </c>
      <c r="D168" s="209">
        <v>2</v>
      </c>
      <c r="E168" s="213" t="s">
        <v>596</v>
      </c>
      <c r="F168" s="209">
        <v>417861</v>
      </c>
      <c r="G168" s="214">
        <v>835722</v>
      </c>
      <c r="H168" s="214">
        <v>153023</v>
      </c>
      <c r="I168" s="214">
        <v>306046</v>
      </c>
      <c r="J168" s="214">
        <v>261612</v>
      </c>
      <c r="K168" s="214">
        <v>523224</v>
      </c>
      <c r="L168" s="214">
        <v>3226</v>
      </c>
      <c r="M168" s="214">
        <v>6452</v>
      </c>
      <c r="N168" s="215">
        <v>0.90627000000000002</v>
      </c>
    </row>
    <row r="169" spans="1:14" ht="19.7" customHeight="1">
      <c r="A169" s="208" t="s">
        <v>834</v>
      </c>
      <c r="B169" s="208" t="s">
        <v>201</v>
      </c>
      <c r="C169" s="208" t="s">
        <v>834</v>
      </c>
      <c r="D169" s="209"/>
      <c r="E169" s="210" t="s">
        <v>834</v>
      </c>
      <c r="F169" s="209">
        <v>0</v>
      </c>
      <c r="G169" s="211">
        <v>3656138</v>
      </c>
      <c r="H169" s="209">
        <v>0</v>
      </c>
      <c r="I169" s="211" t="s">
        <v>1074</v>
      </c>
      <c r="J169" s="209">
        <v>0</v>
      </c>
      <c r="K169" s="211" t="s">
        <v>1075</v>
      </c>
      <c r="L169" s="209">
        <v>0</v>
      </c>
      <c r="M169" s="211" t="s">
        <v>1076</v>
      </c>
      <c r="N169" s="216"/>
    </row>
    <row r="170" spans="1:14" ht="19.7" customHeight="1">
      <c r="A170" s="212" t="s">
        <v>834</v>
      </c>
      <c r="B170" s="212" t="s">
        <v>319</v>
      </c>
      <c r="C170" s="212" t="s">
        <v>191</v>
      </c>
      <c r="D170" s="209">
        <v>47</v>
      </c>
      <c r="E170" s="213" t="s">
        <v>596</v>
      </c>
      <c r="F170" s="209">
        <v>76993</v>
      </c>
      <c r="G170" s="214">
        <v>3618671</v>
      </c>
      <c r="H170" s="214">
        <v>57403</v>
      </c>
      <c r="I170" s="214">
        <v>2697941</v>
      </c>
      <c r="J170" s="214">
        <v>18714</v>
      </c>
      <c r="K170" s="214">
        <v>879558</v>
      </c>
      <c r="L170" s="214">
        <v>876</v>
      </c>
      <c r="M170" s="214">
        <v>41172</v>
      </c>
      <c r="N170" s="215">
        <v>0.90627000000000002</v>
      </c>
    </row>
    <row r="171" spans="1:14" ht="19.7" customHeight="1">
      <c r="A171" s="212" t="s">
        <v>834</v>
      </c>
      <c r="B171" s="212" t="s">
        <v>612</v>
      </c>
      <c r="C171" s="212" t="s">
        <v>561</v>
      </c>
      <c r="D171" s="209">
        <v>1</v>
      </c>
      <c r="E171" s="213" t="s">
        <v>476</v>
      </c>
      <c r="F171" s="209">
        <v>37467</v>
      </c>
      <c r="G171" s="214">
        <v>37467</v>
      </c>
      <c r="H171" s="214">
        <v>30304</v>
      </c>
      <c r="I171" s="214">
        <v>30304</v>
      </c>
      <c r="J171" s="214">
        <v>6558</v>
      </c>
      <c r="K171" s="214">
        <v>6558</v>
      </c>
      <c r="L171" s="214">
        <v>605</v>
      </c>
      <c r="M171" s="214">
        <v>605</v>
      </c>
      <c r="N171" s="215">
        <v>0.90627000000000002</v>
      </c>
    </row>
    <row r="172" spans="1:14" ht="19.7" customHeight="1">
      <c r="A172" s="208" t="s">
        <v>834</v>
      </c>
      <c r="B172" s="208" t="s">
        <v>776</v>
      </c>
      <c r="C172" s="208" t="s">
        <v>834</v>
      </c>
      <c r="D172" s="209"/>
      <c r="E172" s="210" t="s">
        <v>834</v>
      </c>
      <c r="F172" s="209">
        <v>0</v>
      </c>
      <c r="G172" s="211">
        <v>3456677</v>
      </c>
      <c r="H172" s="209">
        <v>0</v>
      </c>
      <c r="I172" s="211" t="s">
        <v>1077</v>
      </c>
      <c r="J172" s="209">
        <v>0</v>
      </c>
      <c r="K172" s="211" t="s">
        <v>1078</v>
      </c>
      <c r="L172" s="209">
        <v>0</v>
      </c>
      <c r="M172" s="211" t="s">
        <v>1079</v>
      </c>
      <c r="N172" s="216"/>
    </row>
    <row r="173" spans="1:14" ht="19.7" customHeight="1">
      <c r="A173" s="212" t="s">
        <v>834</v>
      </c>
      <c r="B173" s="212" t="s">
        <v>319</v>
      </c>
      <c r="C173" s="212" t="s">
        <v>191</v>
      </c>
      <c r="D173" s="209">
        <v>38</v>
      </c>
      <c r="E173" s="213" t="s">
        <v>596</v>
      </c>
      <c r="F173" s="209">
        <v>76993</v>
      </c>
      <c r="G173" s="214">
        <v>2925734</v>
      </c>
      <c r="H173" s="214">
        <v>57403</v>
      </c>
      <c r="I173" s="214">
        <v>2181314</v>
      </c>
      <c r="J173" s="214">
        <v>18714</v>
      </c>
      <c r="K173" s="214">
        <v>711132</v>
      </c>
      <c r="L173" s="214">
        <v>876</v>
      </c>
      <c r="M173" s="214">
        <v>33288</v>
      </c>
      <c r="N173" s="215">
        <v>0.90627000000000002</v>
      </c>
    </row>
    <row r="174" spans="1:14" ht="19.7" customHeight="1">
      <c r="A174" s="212" t="s">
        <v>834</v>
      </c>
      <c r="B174" s="212" t="s">
        <v>618</v>
      </c>
      <c r="C174" s="212" t="s">
        <v>453</v>
      </c>
      <c r="D174" s="209">
        <v>1</v>
      </c>
      <c r="E174" s="213" t="s">
        <v>596</v>
      </c>
      <c r="F174" s="209">
        <v>268674</v>
      </c>
      <c r="G174" s="214">
        <v>268674</v>
      </c>
      <c r="H174" s="214">
        <v>115872</v>
      </c>
      <c r="I174" s="214">
        <v>115872</v>
      </c>
      <c r="J174" s="214">
        <v>150123</v>
      </c>
      <c r="K174" s="214">
        <v>150123</v>
      </c>
      <c r="L174" s="214">
        <v>2679</v>
      </c>
      <c r="M174" s="214">
        <v>2679</v>
      </c>
      <c r="N174" s="215">
        <v>0.90627000000000002</v>
      </c>
    </row>
    <row r="175" spans="1:14" ht="19.7" customHeight="1">
      <c r="A175" s="212" t="s">
        <v>834</v>
      </c>
      <c r="B175" s="212" t="s">
        <v>612</v>
      </c>
      <c r="C175" s="212" t="s">
        <v>561</v>
      </c>
      <c r="D175" s="209">
        <v>7</v>
      </c>
      <c r="E175" s="213" t="s">
        <v>476</v>
      </c>
      <c r="F175" s="209">
        <v>37467</v>
      </c>
      <c r="G175" s="214">
        <v>262269</v>
      </c>
      <c r="H175" s="214">
        <v>30304</v>
      </c>
      <c r="I175" s="214">
        <v>212128</v>
      </c>
      <c r="J175" s="214">
        <v>6558</v>
      </c>
      <c r="K175" s="214">
        <v>45906</v>
      </c>
      <c r="L175" s="214">
        <v>605</v>
      </c>
      <c r="M175" s="214">
        <v>4235</v>
      </c>
      <c r="N175" s="215">
        <v>0.90627000000000002</v>
      </c>
    </row>
    <row r="176" spans="1:14" ht="19.7" customHeight="1">
      <c r="A176" s="208" t="s">
        <v>491</v>
      </c>
      <c r="B176" s="208" t="s">
        <v>259</v>
      </c>
      <c r="C176" s="208" t="s">
        <v>834</v>
      </c>
      <c r="D176" s="209"/>
      <c r="E176" s="210" t="s">
        <v>834</v>
      </c>
      <c r="F176" s="209">
        <v>0</v>
      </c>
      <c r="G176" s="211">
        <v>6664899</v>
      </c>
      <c r="H176" s="209">
        <v>0</v>
      </c>
      <c r="I176" s="211" t="s">
        <v>978</v>
      </c>
      <c r="J176" s="209">
        <v>0</v>
      </c>
      <c r="K176" s="211" t="s">
        <v>979</v>
      </c>
      <c r="L176" s="209">
        <v>0</v>
      </c>
      <c r="M176" s="211" t="s">
        <v>980</v>
      </c>
      <c r="N176" s="216"/>
    </row>
    <row r="177" spans="1:14" ht="19.7" customHeight="1">
      <c r="A177" s="212" t="s">
        <v>834</v>
      </c>
      <c r="B177" s="212" t="s">
        <v>439</v>
      </c>
      <c r="C177" s="212" t="s">
        <v>567</v>
      </c>
      <c r="D177" s="209">
        <v>2</v>
      </c>
      <c r="E177" s="213" t="s">
        <v>748</v>
      </c>
      <c r="F177" s="209">
        <v>2380766</v>
      </c>
      <c r="G177" s="214">
        <v>4761532</v>
      </c>
      <c r="H177" s="214">
        <v>734763</v>
      </c>
      <c r="I177" s="214">
        <v>1469526</v>
      </c>
      <c r="J177" s="214">
        <v>119772</v>
      </c>
      <c r="K177" s="214">
        <v>239544</v>
      </c>
      <c r="L177" s="214">
        <v>1526231</v>
      </c>
      <c r="M177" s="214">
        <v>3052462</v>
      </c>
      <c r="N177" s="215">
        <v>0.90627000000000002</v>
      </c>
    </row>
    <row r="178" spans="1:14" ht="19.7" customHeight="1">
      <c r="A178" s="212" t="s">
        <v>834</v>
      </c>
      <c r="B178" s="212" t="s">
        <v>398</v>
      </c>
      <c r="C178" s="212" t="s">
        <v>530</v>
      </c>
      <c r="D178" s="209">
        <v>2</v>
      </c>
      <c r="E178" s="213" t="s">
        <v>748</v>
      </c>
      <c r="F178" s="209">
        <v>882668</v>
      </c>
      <c r="G178" s="214">
        <v>1765336</v>
      </c>
      <c r="H178" s="214">
        <v>501653</v>
      </c>
      <c r="I178" s="214">
        <v>1003306</v>
      </c>
      <c r="J178" s="214">
        <v>221662</v>
      </c>
      <c r="K178" s="214">
        <v>443324</v>
      </c>
      <c r="L178" s="214">
        <v>159353</v>
      </c>
      <c r="M178" s="214">
        <v>318706</v>
      </c>
      <c r="N178" s="215">
        <v>0.90627000000000002</v>
      </c>
    </row>
    <row r="179" spans="1:14" ht="19.7" customHeight="1">
      <c r="A179" s="212" t="s">
        <v>834</v>
      </c>
      <c r="B179" s="212" t="s">
        <v>597</v>
      </c>
      <c r="C179" s="212" t="s">
        <v>530</v>
      </c>
      <c r="D179" s="209">
        <v>1</v>
      </c>
      <c r="E179" s="213" t="s">
        <v>366</v>
      </c>
      <c r="F179" s="209">
        <v>134013</v>
      </c>
      <c r="G179" s="214">
        <v>134013</v>
      </c>
      <c r="H179" s="214">
        <v>57434</v>
      </c>
      <c r="I179" s="214">
        <v>57434</v>
      </c>
      <c r="J179" s="214">
        <v>76579</v>
      </c>
      <c r="K179" s="214">
        <v>76579</v>
      </c>
      <c r="L179" s="214">
        <v>0</v>
      </c>
      <c r="M179" s="214">
        <v>0</v>
      </c>
      <c r="N179" s="215">
        <v>0.90627000000000002</v>
      </c>
    </row>
    <row r="180" spans="1:14" ht="19.7" customHeight="1">
      <c r="A180" s="212" t="s">
        <v>834</v>
      </c>
      <c r="B180" s="212" t="s">
        <v>545</v>
      </c>
      <c r="C180" s="212" t="s">
        <v>280</v>
      </c>
      <c r="D180" s="209">
        <v>1</v>
      </c>
      <c r="E180" s="213" t="s">
        <v>574</v>
      </c>
      <c r="F180" s="209">
        <v>4018</v>
      </c>
      <c r="G180" s="214">
        <v>4018</v>
      </c>
      <c r="H180" s="214">
        <v>2302</v>
      </c>
      <c r="I180" s="214">
        <v>2302</v>
      </c>
      <c r="J180" s="214">
        <v>759</v>
      </c>
      <c r="K180" s="214">
        <v>759</v>
      </c>
      <c r="L180" s="214">
        <v>957</v>
      </c>
      <c r="M180" s="214">
        <v>957</v>
      </c>
      <c r="N180" s="215">
        <v>0.90627000000000002</v>
      </c>
    </row>
    <row r="181" spans="1:14" ht="19.7" customHeight="1">
      <c r="A181" s="212" t="s">
        <v>834</v>
      </c>
      <c r="B181" s="212" t="s">
        <v>834</v>
      </c>
      <c r="C181" s="212" t="s">
        <v>834</v>
      </c>
      <c r="D181" s="209"/>
      <c r="E181" s="213" t="s">
        <v>834</v>
      </c>
      <c r="F181" s="209">
        <v>0</v>
      </c>
      <c r="G181" s="214">
        <v>0</v>
      </c>
      <c r="H181" s="209">
        <v>0</v>
      </c>
      <c r="I181" s="209"/>
      <c r="J181" s="209"/>
      <c r="K181" s="209"/>
      <c r="L181" s="209"/>
      <c r="M181" s="209"/>
      <c r="N181" s="215"/>
    </row>
    <row r="182" spans="1:14" ht="19.7" customHeight="1">
      <c r="A182" s="208" t="s">
        <v>834</v>
      </c>
      <c r="B182" s="208" t="s">
        <v>830</v>
      </c>
      <c r="C182" s="208" t="s">
        <v>834</v>
      </c>
      <c r="D182" s="209"/>
      <c r="E182" s="210" t="s">
        <v>834</v>
      </c>
      <c r="F182" s="209">
        <v>0</v>
      </c>
      <c r="G182" s="211">
        <v>322762522</v>
      </c>
      <c r="H182" s="209"/>
      <c r="I182" s="211" t="s">
        <v>932</v>
      </c>
      <c r="J182" s="209"/>
      <c r="K182" s="211" t="s">
        <v>933</v>
      </c>
      <c r="L182" s="209"/>
      <c r="M182" s="211" t="s">
        <v>934</v>
      </c>
      <c r="N182" s="208"/>
    </row>
    <row r="183" spans="1:14" ht="19.7" customHeight="1">
      <c r="A183" s="212" t="s">
        <v>834</v>
      </c>
      <c r="B183" s="212" t="s">
        <v>695</v>
      </c>
      <c r="C183" s="212" t="s">
        <v>834</v>
      </c>
      <c r="D183" s="217">
        <v>16.5</v>
      </c>
      <c r="E183" s="213" t="s">
        <v>157</v>
      </c>
      <c r="F183" s="209">
        <v>0</v>
      </c>
      <c r="G183" s="214">
        <v>30936796</v>
      </c>
      <c r="H183" s="209"/>
      <c r="I183" s="209"/>
      <c r="J183" s="209"/>
      <c r="K183" s="209"/>
      <c r="L183" s="209"/>
      <c r="M183" s="209"/>
      <c r="N183" s="212"/>
    </row>
    <row r="184" spans="1:14" ht="19.7" customHeight="1">
      <c r="A184" s="212" t="s">
        <v>834</v>
      </c>
      <c r="B184" s="212" t="s">
        <v>367</v>
      </c>
      <c r="C184" s="212" t="s">
        <v>834</v>
      </c>
      <c r="D184" s="217">
        <v>3.56</v>
      </c>
      <c r="E184" s="213" t="s">
        <v>157</v>
      </c>
      <c r="F184" s="209">
        <v>0</v>
      </c>
      <c r="G184" s="214">
        <v>7776198</v>
      </c>
      <c r="H184" s="209"/>
      <c r="I184" s="209"/>
      <c r="J184" s="209"/>
      <c r="K184" s="209"/>
      <c r="L184" s="209"/>
      <c r="M184" s="209"/>
      <c r="N184" s="212"/>
    </row>
    <row r="185" spans="1:14" ht="19.7" customHeight="1">
      <c r="A185" s="212" t="s">
        <v>834</v>
      </c>
      <c r="B185" s="212" t="s">
        <v>290</v>
      </c>
      <c r="C185" s="212" t="s">
        <v>834</v>
      </c>
      <c r="D185" s="217">
        <v>1.01</v>
      </c>
      <c r="E185" s="213" t="s">
        <v>157</v>
      </c>
      <c r="F185" s="209">
        <v>0</v>
      </c>
      <c r="G185" s="214">
        <v>2206168</v>
      </c>
      <c r="H185" s="209"/>
      <c r="I185" s="209"/>
      <c r="J185" s="209"/>
      <c r="K185" s="209"/>
      <c r="L185" s="209"/>
      <c r="M185" s="209"/>
      <c r="N185" s="212"/>
    </row>
    <row r="186" spans="1:14" ht="19.7" customHeight="1">
      <c r="A186" s="212" t="s">
        <v>834</v>
      </c>
      <c r="B186" s="212" t="s">
        <v>451</v>
      </c>
      <c r="C186" s="212" t="s">
        <v>834</v>
      </c>
      <c r="D186" s="217">
        <v>3.5950000000000002</v>
      </c>
      <c r="E186" s="213" t="s">
        <v>157</v>
      </c>
      <c r="F186" s="209">
        <v>0</v>
      </c>
      <c r="G186" s="214">
        <v>6740471</v>
      </c>
      <c r="H186" s="209"/>
      <c r="I186" s="209"/>
      <c r="J186" s="209"/>
      <c r="K186" s="209"/>
      <c r="L186" s="209"/>
      <c r="M186" s="209"/>
      <c r="N186" s="212"/>
    </row>
    <row r="187" spans="1:14" ht="19.7" customHeight="1">
      <c r="A187" s="212" t="s">
        <v>834</v>
      </c>
      <c r="B187" s="212" t="s">
        <v>701</v>
      </c>
      <c r="C187" s="212" t="s">
        <v>834</v>
      </c>
      <c r="D187" s="217">
        <v>4.75</v>
      </c>
      <c r="E187" s="213" t="s">
        <v>157</v>
      </c>
      <c r="F187" s="209">
        <v>0</v>
      </c>
      <c r="G187" s="214">
        <v>8906047</v>
      </c>
      <c r="H187" s="209"/>
      <c r="I187" s="209"/>
      <c r="J187" s="209"/>
      <c r="K187" s="209"/>
      <c r="L187" s="209"/>
      <c r="M187" s="209"/>
      <c r="N187" s="212"/>
    </row>
    <row r="188" spans="1:14" ht="19.7" customHeight="1">
      <c r="A188" s="212" t="s">
        <v>834</v>
      </c>
      <c r="B188" s="212" t="s">
        <v>774</v>
      </c>
      <c r="C188" s="212" t="s">
        <v>834</v>
      </c>
      <c r="D188" s="217">
        <v>13.14</v>
      </c>
      <c r="E188" s="213" t="s">
        <v>157</v>
      </c>
      <c r="F188" s="209">
        <v>0</v>
      </c>
      <c r="G188" s="214">
        <v>885697</v>
      </c>
      <c r="H188" s="209"/>
      <c r="I188" s="209"/>
      <c r="J188" s="209"/>
      <c r="K188" s="209"/>
      <c r="L188" s="209"/>
      <c r="M188" s="209"/>
      <c r="N188" s="212"/>
    </row>
    <row r="189" spans="1:14" ht="19.7" customHeight="1">
      <c r="A189" s="212" t="s">
        <v>834</v>
      </c>
      <c r="B189" s="212" t="s">
        <v>147</v>
      </c>
      <c r="C189" s="212" t="s">
        <v>834</v>
      </c>
      <c r="D189" s="217">
        <v>2.2999999999999998</v>
      </c>
      <c r="E189" s="213" t="s">
        <v>157</v>
      </c>
      <c r="F189" s="209">
        <v>0</v>
      </c>
      <c r="G189" s="214">
        <v>4312401</v>
      </c>
      <c r="H189" s="209"/>
      <c r="I189" s="209"/>
      <c r="J189" s="209"/>
      <c r="K189" s="209"/>
      <c r="L189" s="209"/>
      <c r="M189" s="209"/>
      <c r="N189" s="212"/>
    </row>
    <row r="190" spans="1:14" ht="19.7" customHeight="1">
      <c r="A190" s="212" t="s">
        <v>834</v>
      </c>
      <c r="B190" s="212" t="s">
        <v>413</v>
      </c>
      <c r="C190" s="212" t="s">
        <v>834</v>
      </c>
      <c r="D190" s="217">
        <v>0.4</v>
      </c>
      <c r="E190" s="213" t="s">
        <v>157</v>
      </c>
      <c r="F190" s="209">
        <v>0</v>
      </c>
      <c r="G190" s="214">
        <v>1291050</v>
      </c>
      <c r="H190" s="209"/>
      <c r="I190" s="209"/>
      <c r="J190" s="209"/>
      <c r="K190" s="209"/>
      <c r="L190" s="209"/>
      <c r="M190" s="209"/>
      <c r="N190" s="212"/>
    </row>
    <row r="191" spans="1:14" ht="19.7" customHeight="1">
      <c r="A191" s="212" t="s">
        <v>834</v>
      </c>
      <c r="B191" s="212" t="s">
        <v>734</v>
      </c>
      <c r="C191" s="212" t="s">
        <v>834</v>
      </c>
      <c r="D191" s="217">
        <v>2.5299999999999998</v>
      </c>
      <c r="E191" s="213" t="s">
        <v>157</v>
      </c>
      <c r="F191" s="209">
        <v>0</v>
      </c>
      <c r="G191" s="214">
        <v>11625999</v>
      </c>
      <c r="H191" s="209"/>
      <c r="I191" s="209"/>
      <c r="J191" s="209"/>
      <c r="K191" s="209"/>
      <c r="L191" s="209"/>
      <c r="M191" s="209"/>
      <c r="N191" s="212"/>
    </row>
    <row r="192" spans="1:14" ht="19.7" customHeight="1">
      <c r="A192" s="212" t="s">
        <v>834</v>
      </c>
      <c r="B192" s="212" t="s">
        <v>689</v>
      </c>
      <c r="C192" s="212" t="s">
        <v>834</v>
      </c>
      <c r="D192" s="217">
        <v>0.9</v>
      </c>
      <c r="E192" s="213" t="s">
        <v>157</v>
      </c>
      <c r="F192" s="209">
        <v>0</v>
      </c>
      <c r="G192" s="214">
        <v>2904862</v>
      </c>
      <c r="H192" s="209"/>
      <c r="I192" s="209"/>
      <c r="J192" s="209"/>
      <c r="K192" s="209"/>
      <c r="L192" s="209"/>
      <c r="M192" s="209"/>
      <c r="N192" s="212"/>
    </row>
    <row r="193" spans="1:14" ht="19.7" customHeight="1">
      <c r="A193" s="212" t="s">
        <v>834</v>
      </c>
      <c r="B193" s="212" t="s">
        <v>388</v>
      </c>
      <c r="C193" s="212" t="s">
        <v>834</v>
      </c>
      <c r="D193" s="217">
        <v>8.1000000000000003E-2</v>
      </c>
      <c r="E193" s="213" t="s">
        <v>157</v>
      </c>
      <c r="F193" s="209">
        <v>0</v>
      </c>
      <c r="G193" s="214">
        <v>261437</v>
      </c>
      <c r="H193" s="209"/>
      <c r="I193" s="209"/>
      <c r="J193" s="209"/>
      <c r="K193" s="209"/>
      <c r="L193" s="209"/>
      <c r="M193" s="209"/>
      <c r="N193" s="212"/>
    </row>
    <row r="194" spans="1:14" ht="19.7" customHeight="1">
      <c r="A194" s="212" t="s">
        <v>834</v>
      </c>
      <c r="B194" s="212" t="s">
        <v>817</v>
      </c>
      <c r="C194" s="212" t="s">
        <v>834</v>
      </c>
      <c r="D194" s="217">
        <v>5.2</v>
      </c>
      <c r="E194" s="213" t="s">
        <v>157</v>
      </c>
      <c r="F194" s="209">
        <v>0</v>
      </c>
      <c r="G194" s="214">
        <v>16939257</v>
      </c>
      <c r="H194" s="209"/>
      <c r="I194" s="209"/>
      <c r="J194" s="209"/>
      <c r="K194" s="209"/>
      <c r="L194" s="209"/>
      <c r="M194" s="209"/>
      <c r="N194" s="212"/>
    </row>
    <row r="195" spans="1:14" ht="19.7" customHeight="1">
      <c r="A195" s="212" t="s">
        <v>834</v>
      </c>
      <c r="B195" s="212" t="s">
        <v>784</v>
      </c>
      <c r="C195" s="212" t="s">
        <v>834</v>
      </c>
      <c r="D195" s="209"/>
      <c r="E195" s="213" t="s">
        <v>834</v>
      </c>
      <c r="F195" s="209">
        <v>0</v>
      </c>
      <c r="G195" s="214">
        <v>417548905</v>
      </c>
      <c r="H195" s="209"/>
      <c r="I195" s="209"/>
      <c r="J195" s="209"/>
      <c r="K195" s="209"/>
      <c r="L195" s="209"/>
      <c r="M195" s="209"/>
      <c r="N195" s="212"/>
    </row>
    <row r="196" spans="1:14" ht="19.7" customHeight="1">
      <c r="A196" s="212" t="s">
        <v>834</v>
      </c>
      <c r="B196" s="212" t="s">
        <v>705</v>
      </c>
      <c r="C196" s="212" t="s">
        <v>834</v>
      </c>
      <c r="D196" s="209">
        <v>8</v>
      </c>
      <c r="E196" s="213" t="s">
        <v>157</v>
      </c>
      <c r="F196" s="209">
        <v>0</v>
      </c>
      <c r="G196" s="214">
        <v>33403912</v>
      </c>
      <c r="H196" s="209"/>
      <c r="I196" s="209"/>
      <c r="J196" s="209"/>
      <c r="K196" s="209"/>
      <c r="L196" s="209"/>
      <c r="M196" s="209"/>
      <c r="N196" s="212"/>
    </row>
    <row r="197" spans="1:14" ht="19.7" customHeight="1">
      <c r="A197" s="212" t="s">
        <v>834</v>
      </c>
      <c r="B197" s="212" t="s">
        <v>276</v>
      </c>
      <c r="C197" s="212" t="s">
        <v>834</v>
      </c>
      <c r="D197" s="217">
        <v>14.88</v>
      </c>
      <c r="E197" s="213" t="s">
        <v>157</v>
      </c>
      <c r="F197" s="209">
        <v>0</v>
      </c>
      <c r="G197" s="214">
        <v>51113990</v>
      </c>
      <c r="H197" s="209"/>
      <c r="I197" s="209"/>
      <c r="J197" s="209"/>
      <c r="K197" s="209"/>
      <c r="L197" s="209"/>
      <c r="M197" s="209"/>
      <c r="N197" s="212"/>
    </row>
    <row r="198" spans="1:14" ht="19.7" customHeight="1">
      <c r="A198" s="212" t="s">
        <v>834</v>
      </c>
      <c r="B198" s="212" t="s">
        <v>704</v>
      </c>
      <c r="C198" s="212" t="s">
        <v>834</v>
      </c>
      <c r="D198" s="209"/>
      <c r="E198" s="213" t="s">
        <v>834</v>
      </c>
      <c r="F198" s="209">
        <v>0</v>
      </c>
      <c r="G198" s="214">
        <v>520405718</v>
      </c>
      <c r="H198" s="209"/>
      <c r="I198" s="209"/>
      <c r="J198" s="209"/>
      <c r="K198" s="209"/>
      <c r="L198" s="209"/>
      <c r="M198" s="209"/>
      <c r="N198" s="212"/>
    </row>
    <row r="199" spans="1:14" ht="19.7" customHeight="1">
      <c r="A199" s="212" t="s">
        <v>834</v>
      </c>
      <c r="B199" s="212" t="s">
        <v>63</v>
      </c>
      <c r="C199" s="212" t="s">
        <v>834</v>
      </c>
      <c r="D199" s="209">
        <v>10</v>
      </c>
      <c r="E199" s="213" t="s">
        <v>157</v>
      </c>
      <c r="F199" s="209">
        <v>0</v>
      </c>
      <c r="G199" s="214">
        <v>52040571</v>
      </c>
      <c r="H199" s="209"/>
      <c r="I199" s="209"/>
      <c r="J199" s="209"/>
      <c r="K199" s="209"/>
      <c r="L199" s="209"/>
      <c r="M199" s="209"/>
      <c r="N199" s="212"/>
    </row>
    <row r="200" spans="1:14" ht="19.7" customHeight="1">
      <c r="A200" s="212" t="s">
        <v>834</v>
      </c>
      <c r="B200" s="212" t="s">
        <v>430</v>
      </c>
      <c r="C200" s="212" t="s">
        <v>834</v>
      </c>
      <c r="D200" s="209"/>
      <c r="E200" s="213" t="s">
        <v>834</v>
      </c>
      <c r="F200" s="209">
        <v>0</v>
      </c>
      <c r="G200" s="214">
        <v>572446289</v>
      </c>
      <c r="H200" s="209"/>
      <c r="I200" s="209"/>
      <c r="J200" s="209"/>
      <c r="K200" s="209"/>
      <c r="L200" s="209"/>
      <c r="M200" s="209"/>
      <c r="N200" s="212"/>
    </row>
    <row r="201" spans="1:14" ht="19.7" customHeight="1">
      <c r="A201" s="212" t="s">
        <v>834</v>
      </c>
      <c r="B201" s="212" t="s">
        <v>341</v>
      </c>
      <c r="C201" s="212" t="s">
        <v>834</v>
      </c>
      <c r="D201" s="209"/>
      <c r="E201" s="213" t="s">
        <v>834</v>
      </c>
      <c r="F201" s="209">
        <v>0</v>
      </c>
      <c r="G201" s="214">
        <v>610146289</v>
      </c>
      <c r="H201" s="209"/>
      <c r="I201" s="209"/>
      <c r="J201" s="209"/>
      <c r="K201" s="209"/>
      <c r="L201" s="209"/>
      <c r="M201" s="209"/>
      <c r="N201" s="212"/>
    </row>
    <row r="202" spans="1:14" ht="19.7" customHeight="1">
      <c r="A202" s="212" t="s">
        <v>834</v>
      </c>
      <c r="B202" s="212" t="s">
        <v>834</v>
      </c>
      <c r="C202" s="212" t="s">
        <v>834</v>
      </c>
      <c r="D202" s="209"/>
      <c r="E202" s="213" t="s">
        <v>834</v>
      </c>
      <c r="F202" s="209">
        <v>0</v>
      </c>
      <c r="G202" s="214">
        <v>0</v>
      </c>
      <c r="H202" s="209">
        <v>0</v>
      </c>
      <c r="I202" s="209"/>
      <c r="J202" s="209"/>
      <c r="K202" s="209"/>
      <c r="L202" s="209"/>
      <c r="M202" s="209"/>
      <c r="N202" s="212"/>
    </row>
    <row r="203" spans="1:14" ht="19.7" customHeight="1">
      <c r="A203" s="218" t="s">
        <v>832</v>
      </c>
      <c r="B203" s="218" t="s">
        <v>638</v>
      </c>
      <c r="C203" s="218" t="s">
        <v>834</v>
      </c>
      <c r="D203" s="209"/>
      <c r="E203" s="210" t="s">
        <v>834</v>
      </c>
      <c r="F203" s="209">
        <v>0</v>
      </c>
      <c r="G203" s="211">
        <v>17884603</v>
      </c>
      <c r="H203" s="209">
        <v>0</v>
      </c>
      <c r="I203" s="211" t="s">
        <v>1080</v>
      </c>
      <c r="J203" s="209"/>
      <c r="K203" s="214" t="s">
        <v>1081</v>
      </c>
      <c r="L203" s="209"/>
      <c r="M203" s="211" t="s">
        <v>1082</v>
      </c>
      <c r="N203" s="218"/>
    </row>
    <row r="204" spans="1:14" ht="19.7" customHeight="1">
      <c r="A204" s="212" t="s">
        <v>834</v>
      </c>
      <c r="B204" s="212" t="s">
        <v>551</v>
      </c>
      <c r="C204" s="212" t="s">
        <v>591</v>
      </c>
      <c r="D204" s="209">
        <v>60</v>
      </c>
      <c r="E204" s="213" t="s">
        <v>748</v>
      </c>
      <c r="F204" s="209">
        <v>235459</v>
      </c>
      <c r="G204" s="214">
        <v>14127540</v>
      </c>
      <c r="H204" s="214">
        <v>235459</v>
      </c>
      <c r="I204" s="214">
        <v>14127540</v>
      </c>
      <c r="J204" s="214">
        <v>0</v>
      </c>
      <c r="K204" s="214">
        <v>0</v>
      </c>
      <c r="L204" s="214">
        <v>0</v>
      </c>
      <c r="M204" s="214">
        <v>0</v>
      </c>
      <c r="N204" s="212"/>
    </row>
    <row r="205" spans="1:14" ht="19.7" customHeight="1">
      <c r="A205" s="212" t="s">
        <v>834</v>
      </c>
      <c r="B205" s="212" t="s">
        <v>683</v>
      </c>
      <c r="C205" s="212" t="s">
        <v>834</v>
      </c>
      <c r="D205" s="209">
        <v>1</v>
      </c>
      <c r="E205" s="213" t="s">
        <v>665</v>
      </c>
      <c r="F205" s="209">
        <v>3757063</v>
      </c>
      <c r="G205" s="214">
        <v>3757063</v>
      </c>
      <c r="H205" s="214">
        <v>1491436</v>
      </c>
      <c r="I205" s="214">
        <v>1491436</v>
      </c>
      <c r="J205" s="214">
        <v>0</v>
      </c>
      <c r="K205" s="214">
        <v>0</v>
      </c>
      <c r="L205" s="214">
        <v>2265627</v>
      </c>
      <c r="M205" s="214">
        <v>2265627</v>
      </c>
      <c r="N205" s="212"/>
    </row>
    <row r="206" spans="1:14" ht="19.7" customHeight="1">
      <c r="A206" s="212" t="s">
        <v>834</v>
      </c>
      <c r="B206" s="212" t="s">
        <v>834</v>
      </c>
      <c r="C206" s="212" t="s">
        <v>834</v>
      </c>
      <c r="D206" s="209"/>
      <c r="E206" s="213" t="s">
        <v>834</v>
      </c>
      <c r="F206" s="209">
        <v>0</v>
      </c>
      <c r="G206" s="214">
        <v>0</v>
      </c>
      <c r="H206" s="209">
        <v>0</v>
      </c>
      <c r="I206" s="209"/>
      <c r="J206" s="209"/>
      <c r="K206" s="209"/>
      <c r="L206" s="209"/>
      <c r="M206" s="209"/>
      <c r="N206" s="212" t="s">
        <v>834</v>
      </c>
    </row>
    <row r="207" spans="1:14" ht="19.7" customHeight="1">
      <c r="A207" s="208" t="s">
        <v>165</v>
      </c>
      <c r="B207" s="208" t="s">
        <v>554</v>
      </c>
      <c r="C207" s="208" t="s">
        <v>834</v>
      </c>
      <c r="D207" s="209"/>
      <c r="E207" s="210" t="s">
        <v>834</v>
      </c>
      <c r="F207" s="209">
        <v>0</v>
      </c>
      <c r="G207" s="211">
        <v>454308</v>
      </c>
      <c r="H207" s="209">
        <v>0</v>
      </c>
      <c r="I207" s="214" t="s">
        <v>1081</v>
      </c>
      <c r="J207" s="209"/>
      <c r="K207" s="214" t="s">
        <v>1081</v>
      </c>
      <c r="L207" s="209"/>
      <c r="M207" s="211" t="s">
        <v>1083</v>
      </c>
      <c r="N207" s="208" t="s">
        <v>834</v>
      </c>
    </row>
    <row r="208" spans="1:14" ht="19.7" customHeight="1">
      <c r="A208" s="212" t="s">
        <v>834</v>
      </c>
      <c r="B208" s="212" t="s">
        <v>554</v>
      </c>
      <c r="C208" s="212" t="s">
        <v>189</v>
      </c>
      <c r="D208" s="217">
        <v>9.86</v>
      </c>
      <c r="E208" s="213" t="s">
        <v>566</v>
      </c>
      <c r="F208" s="209">
        <v>28223</v>
      </c>
      <c r="G208" s="214">
        <v>278278</v>
      </c>
      <c r="H208" s="214">
        <v>0</v>
      </c>
      <c r="I208" s="214">
        <v>0</v>
      </c>
      <c r="J208" s="214">
        <v>0</v>
      </c>
      <c r="K208" s="214">
        <v>0</v>
      </c>
      <c r="L208" s="214">
        <v>28223</v>
      </c>
      <c r="M208" s="214">
        <v>278278</v>
      </c>
      <c r="N208" s="219">
        <v>0.90627000000000002</v>
      </c>
    </row>
    <row r="209" spans="1:14" ht="19.7" customHeight="1">
      <c r="A209" s="212" t="s">
        <v>834</v>
      </c>
      <c r="B209" s="212" t="s">
        <v>119</v>
      </c>
      <c r="C209" s="212" t="s">
        <v>383</v>
      </c>
      <c r="D209" s="217">
        <v>9.86</v>
      </c>
      <c r="E209" s="213" t="s">
        <v>566</v>
      </c>
      <c r="F209" s="209">
        <v>17853</v>
      </c>
      <c r="G209" s="214">
        <v>176030</v>
      </c>
      <c r="H209" s="214">
        <v>0</v>
      </c>
      <c r="I209" s="214">
        <v>0</v>
      </c>
      <c r="J209" s="214">
        <v>0</v>
      </c>
      <c r="K209" s="214">
        <v>0</v>
      </c>
      <c r="L209" s="214">
        <v>17853</v>
      </c>
      <c r="M209" s="214">
        <v>176030</v>
      </c>
      <c r="N209" s="219">
        <v>0.90627000000000002</v>
      </c>
    </row>
    <row r="210" spans="1:14" ht="19.7" customHeight="1">
      <c r="A210" s="212" t="s">
        <v>834</v>
      </c>
      <c r="B210" s="212" t="s">
        <v>834</v>
      </c>
      <c r="C210" s="212" t="s">
        <v>834</v>
      </c>
      <c r="D210" s="209"/>
      <c r="E210" s="213" t="s">
        <v>834</v>
      </c>
      <c r="F210" s="209">
        <v>0</v>
      </c>
      <c r="G210" s="214">
        <v>0</v>
      </c>
      <c r="H210" s="209"/>
      <c r="I210" s="209"/>
      <c r="J210" s="209"/>
      <c r="K210" s="209"/>
      <c r="L210" s="209"/>
      <c r="M210" s="209"/>
      <c r="N210" s="212" t="s">
        <v>834</v>
      </c>
    </row>
    <row r="211" spans="1:14" ht="19.7" customHeight="1">
      <c r="A211" s="212" t="s">
        <v>834</v>
      </c>
      <c r="B211" s="212" t="s">
        <v>834</v>
      </c>
      <c r="C211" s="212" t="s">
        <v>834</v>
      </c>
      <c r="D211" s="209"/>
      <c r="E211" s="213" t="s">
        <v>834</v>
      </c>
      <c r="F211" s="209">
        <v>0</v>
      </c>
      <c r="G211" s="214">
        <v>0</v>
      </c>
      <c r="H211" s="209"/>
      <c r="I211" s="209"/>
      <c r="J211" s="209"/>
      <c r="K211" s="209"/>
      <c r="L211" s="209"/>
      <c r="M211" s="209"/>
      <c r="N211" s="212" t="s">
        <v>834</v>
      </c>
    </row>
    <row r="212" spans="1:14" ht="19.7" customHeight="1">
      <c r="A212" s="218" t="s">
        <v>389</v>
      </c>
      <c r="B212" s="218" t="s">
        <v>761</v>
      </c>
      <c r="C212" s="218" t="s">
        <v>834</v>
      </c>
      <c r="D212" s="209"/>
      <c r="E212" s="210" t="s">
        <v>834</v>
      </c>
      <c r="F212" s="209">
        <v>0</v>
      </c>
      <c r="G212" s="211">
        <v>37700000</v>
      </c>
      <c r="H212" s="209"/>
      <c r="I212" s="214" t="s">
        <v>1081</v>
      </c>
      <c r="J212" s="209"/>
      <c r="K212" s="211" t="s">
        <v>935</v>
      </c>
      <c r="L212" s="209"/>
      <c r="M212" s="214" t="s">
        <v>1081</v>
      </c>
      <c r="N212" s="218" t="s">
        <v>834</v>
      </c>
    </row>
    <row r="213" spans="1:14" ht="19.7" customHeight="1">
      <c r="A213" s="208" t="s">
        <v>198</v>
      </c>
      <c r="B213" s="208" t="s">
        <v>275</v>
      </c>
      <c r="C213" s="208" t="s">
        <v>834</v>
      </c>
      <c r="D213" s="209"/>
      <c r="E213" s="210" t="s">
        <v>834</v>
      </c>
      <c r="F213" s="209">
        <v>0</v>
      </c>
      <c r="G213" s="211">
        <v>37645120</v>
      </c>
      <c r="H213" s="209"/>
      <c r="I213" s="214" t="s">
        <v>1081</v>
      </c>
      <c r="J213" s="209"/>
      <c r="K213" s="211" t="s">
        <v>1084</v>
      </c>
      <c r="L213" s="209"/>
      <c r="M213" s="214" t="s">
        <v>1081</v>
      </c>
      <c r="N213" s="208" t="s">
        <v>834</v>
      </c>
    </row>
    <row r="214" spans="1:14" ht="19.7" customHeight="1">
      <c r="A214" s="212" t="s">
        <v>834</v>
      </c>
      <c r="B214" s="212" t="s">
        <v>790</v>
      </c>
      <c r="C214" s="212" t="s">
        <v>37</v>
      </c>
      <c r="D214" s="209">
        <v>376</v>
      </c>
      <c r="E214" s="213" t="s">
        <v>537</v>
      </c>
      <c r="F214" s="209">
        <v>100120</v>
      </c>
      <c r="G214" s="214">
        <v>37645120</v>
      </c>
      <c r="H214" s="214"/>
      <c r="I214" s="214">
        <v>0</v>
      </c>
      <c r="J214" s="214">
        <v>100120</v>
      </c>
      <c r="K214" s="214">
        <v>37645120</v>
      </c>
      <c r="L214" s="214">
        <v>0</v>
      </c>
      <c r="M214" s="214">
        <v>0</v>
      </c>
      <c r="N214" s="212" t="s">
        <v>375</v>
      </c>
    </row>
    <row r="215" spans="1:14" ht="19.7" customHeight="1">
      <c r="A215" s="208" t="s">
        <v>804</v>
      </c>
      <c r="B215" s="208" t="s">
        <v>362</v>
      </c>
      <c r="C215" s="208" t="s">
        <v>834</v>
      </c>
      <c r="D215" s="220">
        <v>1</v>
      </c>
      <c r="E215" s="210" t="s">
        <v>665</v>
      </c>
      <c r="F215" s="220">
        <v>54880</v>
      </c>
      <c r="G215" s="211">
        <v>54880</v>
      </c>
      <c r="H215" s="209"/>
      <c r="I215" s="214">
        <v>0</v>
      </c>
      <c r="J215" s="220">
        <v>54880</v>
      </c>
      <c r="K215" s="211">
        <v>54880</v>
      </c>
      <c r="L215" s="209"/>
      <c r="M215" s="214">
        <v>0</v>
      </c>
      <c r="N215" s="208" t="s">
        <v>834</v>
      </c>
    </row>
    <row r="216" spans="1:14" ht="19.7" customHeight="1">
      <c r="A216" s="67" t="s">
        <v>834</v>
      </c>
      <c r="B216" s="29" t="s">
        <v>834</v>
      </c>
      <c r="C216" s="29" t="s">
        <v>834</v>
      </c>
      <c r="D216" s="31"/>
      <c r="E216" s="30" t="s">
        <v>834</v>
      </c>
      <c r="F216" s="37">
        <v>0</v>
      </c>
      <c r="G216" s="65">
        <v>0</v>
      </c>
      <c r="H216" s="37"/>
      <c r="I216" s="31"/>
      <c r="J216" s="37"/>
      <c r="K216" s="31"/>
      <c r="L216" s="37"/>
      <c r="M216" s="31"/>
      <c r="N216" s="32" t="s">
        <v>834</v>
      </c>
    </row>
    <row r="217" spans="1:14" ht="19.7" customHeight="1">
      <c r="A217" s="67" t="s">
        <v>834</v>
      </c>
      <c r="B217" s="29" t="s">
        <v>834</v>
      </c>
      <c r="C217" s="29" t="s">
        <v>834</v>
      </c>
      <c r="D217" s="31"/>
      <c r="E217" s="30" t="s">
        <v>834</v>
      </c>
      <c r="F217" s="37">
        <v>0</v>
      </c>
      <c r="G217" s="65">
        <v>0</v>
      </c>
      <c r="H217" s="37"/>
      <c r="I217" s="31"/>
      <c r="J217" s="37"/>
      <c r="K217" s="31"/>
      <c r="L217" s="37"/>
      <c r="M217" s="31"/>
      <c r="N217" s="32" t="s">
        <v>834</v>
      </c>
    </row>
    <row r="218" spans="1:14" ht="19.7" customHeight="1">
      <c r="A218" s="67" t="s">
        <v>834</v>
      </c>
      <c r="B218" s="29" t="s">
        <v>834</v>
      </c>
      <c r="C218" s="29" t="s">
        <v>834</v>
      </c>
      <c r="D218" s="31"/>
      <c r="E218" s="30" t="s">
        <v>834</v>
      </c>
      <c r="F218" s="37">
        <v>0</v>
      </c>
      <c r="G218" s="65">
        <v>0</v>
      </c>
      <c r="H218" s="37"/>
      <c r="I218" s="31"/>
      <c r="J218" s="37"/>
      <c r="K218" s="31"/>
      <c r="L218" s="37"/>
      <c r="M218" s="31"/>
      <c r="N218" s="32" t="s">
        <v>834</v>
      </c>
    </row>
    <row r="219" spans="1:14" ht="19.7" customHeight="1">
      <c r="A219" s="67" t="s">
        <v>834</v>
      </c>
      <c r="B219" s="29" t="s">
        <v>834</v>
      </c>
      <c r="C219" s="29" t="s">
        <v>834</v>
      </c>
      <c r="D219" s="31"/>
      <c r="E219" s="30" t="s">
        <v>834</v>
      </c>
      <c r="F219" s="37">
        <v>0</v>
      </c>
      <c r="G219" s="65">
        <v>0</v>
      </c>
      <c r="H219" s="37"/>
      <c r="I219" s="31"/>
      <c r="J219" s="37"/>
      <c r="K219" s="31"/>
      <c r="L219" s="37"/>
      <c r="M219" s="31"/>
      <c r="N219" s="32" t="s">
        <v>834</v>
      </c>
    </row>
    <row r="220" spans="1:14" ht="19.7" customHeight="1">
      <c r="A220" s="67" t="s">
        <v>834</v>
      </c>
      <c r="B220" s="29" t="s">
        <v>834</v>
      </c>
      <c r="C220" s="29" t="s">
        <v>834</v>
      </c>
      <c r="D220" s="31"/>
      <c r="E220" s="30" t="s">
        <v>834</v>
      </c>
      <c r="F220" s="37">
        <v>0</v>
      </c>
      <c r="G220" s="65">
        <v>0</v>
      </c>
      <c r="H220" s="37"/>
      <c r="I220" s="31"/>
      <c r="J220" s="37"/>
      <c r="K220" s="31"/>
      <c r="L220" s="37"/>
      <c r="M220" s="31"/>
      <c r="N220" s="32" t="s">
        <v>834</v>
      </c>
    </row>
    <row r="221" spans="1:14" ht="19.7" customHeight="1">
      <c r="A221" s="67" t="s">
        <v>834</v>
      </c>
      <c r="B221" s="29" t="s">
        <v>834</v>
      </c>
      <c r="C221" s="29" t="s">
        <v>834</v>
      </c>
      <c r="D221" s="31"/>
      <c r="E221" s="30" t="s">
        <v>834</v>
      </c>
      <c r="F221" s="37">
        <v>0</v>
      </c>
      <c r="G221" s="65">
        <v>0</v>
      </c>
      <c r="H221" s="37"/>
      <c r="I221" s="31"/>
      <c r="J221" s="37"/>
      <c r="K221" s="31"/>
      <c r="L221" s="37"/>
      <c r="M221" s="31"/>
      <c r="N221" s="32" t="s">
        <v>834</v>
      </c>
    </row>
    <row r="222" spans="1:14" ht="19.7" customHeight="1">
      <c r="A222" s="67" t="s">
        <v>834</v>
      </c>
      <c r="B222" s="29" t="s">
        <v>834</v>
      </c>
      <c r="C222" s="29" t="s">
        <v>834</v>
      </c>
      <c r="D222" s="31"/>
      <c r="E222" s="30" t="s">
        <v>834</v>
      </c>
      <c r="F222" s="37">
        <v>0</v>
      </c>
      <c r="G222" s="65">
        <v>0</v>
      </c>
      <c r="H222" s="37"/>
      <c r="I222" s="31"/>
      <c r="J222" s="37"/>
      <c r="K222" s="31"/>
      <c r="L222" s="37"/>
      <c r="M222" s="31"/>
      <c r="N222" s="32" t="s">
        <v>834</v>
      </c>
    </row>
    <row r="223" spans="1:14" ht="19.7" customHeight="1">
      <c r="A223" s="67" t="s">
        <v>834</v>
      </c>
      <c r="B223" s="29" t="s">
        <v>834</v>
      </c>
      <c r="C223" s="29" t="s">
        <v>834</v>
      </c>
      <c r="D223" s="31"/>
      <c r="E223" s="30" t="s">
        <v>834</v>
      </c>
      <c r="F223" s="37">
        <v>0</v>
      </c>
      <c r="G223" s="65">
        <v>0</v>
      </c>
      <c r="H223" s="37"/>
      <c r="I223" s="31"/>
      <c r="J223" s="37"/>
      <c r="K223" s="31"/>
      <c r="L223" s="37"/>
      <c r="M223" s="31"/>
      <c r="N223" s="32" t="s">
        <v>834</v>
      </c>
    </row>
    <row r="224" spans="1:14" ht="19.7" customHeight="1">
      <c r="A224" s="67" t="s">
        <v>834</v>
      </c>
      <c r="B224" s="29" t="s">
        <v>834</v>
      </c>
      <c r="C224" s="29" t="s">
        <v>834</v>
      </c>
      <c r="D224" s="31"/>
      <c r="E224" s="30" t="s">
        <v>834</v>
      </c>
      <c r="F224" s="37">
        <v>0</v>
      </c>
      <c r="G224" s="65">
        <v>0</v>
      </c>
      <c r="H224" s="37"/>
      <c r="I224" s="31"/>
      <c r="J224" s="37"/>
      <c r="K224" s="31"/>
      <c r="L224" s="37"/>
      <c r="M224" s="31"/>
      <c r="N224" s="32" t="s">
        <v>834</v>
      </c>
    </row>
    <row r="225" spans="1:14" ht="19.7" customHeight="1">
      <c r="A225" s="67" t="s">
        <v>834</v>
      </c>
      <c r="B225" s="29" t="s">
        <v>834</v>
      </c>
      <c r="C225" s="29" t="s">
        <v>834</v>
      </c>
      <c r="D225" s="31"/>
      <c r="E225" s="30" t="s">
        <v>834</v>
      </c>
      <c r="F225" s="37">
        <v>0</v>
      </c>
      <c r="G225" s="65">
        <v>0</v>
      </c>
      <c r="H225" s="37"/>
      <c r="I225" s="31"/>
      <c r="J225" s="37"/>
      <c r="K225" s="31"/>
      <c r="L225" s="37"/>
      <c r="M225" s="31"/>
      <c r="N225" s="32" t="s">
        <v>834</v>
      </c>
    </row>
    <row r="226" spans="1:14" ht="19.7" customHeight="1">
      <c r="A226" s="67" t="s">
        <v>834</v>
      </c>
      <c r="B226" s="29" t="s">
        <v>834</v>
      </c>
      <c r="C226" s="29" t="s">
        <v>834</v>
      </c>
      <c r="D226" s="31"/>
      <c r="E226" s="30" t="s">
        <v>834</v>
      </c>
      <c r="F226" s="37">
        <v>0</v>
      </c>
      <c r="G226" s="65">
        <v>0</v>
      </c>
      <c r="H226" s="37"/>
      <c r="I226" s="31"/>
      <c r="J226" s="37"/>
      <c r="K226" s="31"/>
      <c r="L226" s="37"/>
      <c r="M226" s="31"/>
      <c r="N226" s="32" t="s">
        <v>834</v>
      </c>
    </row>
    <row r="227" spans="1:14" ht="19.7" customHeight="1">
      <c r="A227" s="67" t="s">
        <v>834</v>
      </c>
      <c r="B227" s="29" t="s">
        <v>834</v>
      </c>
      <c r="C227" s="29" t="s">
        <v>834</v>
      </c>
      <c r="D227" s="31"/>
      <c r="E227" s="30" t="s">
        <v>834</v>
      </c>
      <c r="F227" s="37">
        <v>0</v>
      </c>
      <c r="G227" s="65">
        <v>0</v>
      </c>
      <c r="H227" s="37"/>
      <c r="I227" s="31"/>
      <c r="J227" s="37"/>
      <c r="K227" s="31"/>
      <c r="L227" s="37"/>
      <c r="M227" s="31"/>
      <c r="N227" s="32" t="s">
        <v>834</v>
      </c>
    </row>
    <row r="228" spans="1:14" ht="19.7" customHeight="1">
      <c r="A228" s="67" t="s">
        <v>834</v>
      </c>
      <c r="B228" s="29" t="s">
        <v>834</v>
      </c>
      <c r="C228" s="29" t="s">
        <v>834</v>
      </c>
      <c r="D228" s="31"/>
      <c r="E228" s="30" t="s">
        <v>834</v>
      </c>
      <c r="F228" s="37">
        <v>0</v>
      </c>
      <c r="G228" s="65">
        <v>0</v>
      </c>
      <c r="H228" s="37"/>
      <c r="I228" s="31"/>
      <c r="J228" s="37"/>
      <c r="K228" s="31"/>
      <c r="L228" s="37"/>
      <c r="M228" s="31"/>
      <c r="N228" s="32" t="s">
        <v>834</v>
      </c>
    </row>
    <row r="229" spans="1:14" ht="19.7" customHeight="1">
      <c r="A229" s="67" t="s">
        <v>834</v>
      </c>
      <c r="B229" s="29" t="s">
        <v>834</v>
      </c>
      <c r="C229" s="29" t="s">
        <v>834</v>
      </c>
      <c r="D229" s="31"/>
      <c r="E229" s="30" t="s">
        <v>834</v>
      </c>
      <c r="F229" s="37">
        <v>0</v>
      </c>
      <c r="G229" s="65">
        <v>0</v>
      </c>
      <c r="H229" s="37"/>
      <c r="I229" s="31"/>
      <c r="J229" s="37"/>
      <c r="K229" s="31"/>
      <c r="L229" s="37"/>
      <c r="M229" s="31"/>
      <c r="N229" s="32" t="s">
        <v>834</v>
      </c>
    </row>
    <row r="230" spans="1:14" ht="19.7" customHeight="1">
      <c r="A230" s="67" t="s">
        <v>834</v>
      </c>
      <c r="B230" s="29" t="s">
        <v>834</v>
      </c>
      <c r="C230" s="29" t="s">
        <v>834</v>
      </c>
      <c r="D230" s="31"/>
      <c r="E230" s="30" t="s">
        <v>834</v>
      </c>
      <c r="F230" s="37">
        <v>0</v>
      </c>
      <c r="G230" s="65">
        <v>0</v>
      </c>
      <c r="H230" s="37"/>
      <c r="I230" s="31"/>
      <c r="J230" s="37"/>
      <c r="K230" s="31"/>
      <c r="L230" s="37"/>
      <c r="M230" s="31"/>
      <c r="N230" s="32" t="s">
        <v>834</v>
      </c>
    </row>
    <row r="231" spans="1:14" ht="19.7" customHeight="1">
      <c r="A231" s="67" t="s">
        <v>834</v>
      </c>
      <c r="B231" s="29" t="s">
        <v>834</v>
      </c>
      <c r="C231" s="29" t="s">
        <v>834</v>
      </c>
      <c r="D231" s="31"/>
      <c r="E231" s="30" t="s">
        <v>834</v>
      </c>
      <c r="F231" s="37">
        <v>0</v>
      </c>
      <c r="G231" s="65">
        <v>0</v>
      </c>
      <c r="H231" s="37"/>
      <c r="I231" s="31"/>
      <c r="J231" s="37"/>
      <c r="K231" s="31"/>
      <c r="L231" s="37"/>
      <c r="M231" s="31"/>
      <c r="N231" s="32" t="s">
        <v>834</v>
      </c>
    </row>
    <row r="232" spans="1:14" ht="19.7" customHeight="1">
      <c r="A232" s="67" t="s">
        <v>834</v>
      </c>
      <c r="B232" s="29" t="s">
        <v>834</v>
      </c>
      <c r="C232" s="29" t="s">
        <v>834</v>
      </c>
      <c r="D232" s="31"/>
      <c r="E232" s="30" t="s">
        <v>834</v>
      </c>
      <c r="F232" s="37">
        <v>0</v>
      </c>
      <c r="G232" s="65">
        <v>0</v>
      </c>
      <c r="H232" s="37"/>
      <c r="I232" s="31"/>
      <c r="J232" s="37"/>
      <c r="K232" s="31"/>
      <c r="L232" s="37"/>
      <c r="M232" s="31"/>
      <c r="N232" s="32" t="s">
        <v>834</v>
      </c>
    </row>
    <row r="233" spans="1:14" ht="19.7" customHeight="1">
      <c r="A233" s="67" t="s">
        <v>834</v>
      </c>
      <c r="B233" s="29" t="s">
        <v>834</v>
      </c>
      <c r="C233" s="29" t="s">
        <v>834</v>
      </c>
      <c r="D233" s="31"/>
      <c r="E233" s="30" t="s">
        <v>834</v>
      </c>
      <c r="F233" s="37">
        <v>0</v>
      </c>
      <c r="G233" s="65">
        <v>0</v>
      </c>
      <c r="H233" s="37"/>
      <c r="I233" s="31"/>
      <c r="J233" s="37"/>
      <c r="K233" s="31"/>
      <c r="L233" s="37"/>
      <c r="M233" s="31"/>
      <c r="N233" s="32" t="s">
        <v>834</v>
      </c>
    </row>
    <row r="234" spans="1:14" ht="19.7" customHeight="1">
      <c r="A234" s="67" t="s">
        <v>834</v>
      </c>
      <c r="B234" s="29" t="s">
        <v>834</v>
      </c>
      <c r="C234" s="29" t="s">
        <v>834</v>
      </c>
      <c r="D234" s="31"/>
      <c r="E234" s="30" t="s">
        <v>834</v>
      </c>
      <c r="F234" s="37">
        <v>0</v>
      </c>
      <c r="G234" s="65">
        <v>0</v>
      </c>
      <c r="H234" s="37"/>
      <c r="I234" s="31"/>
      <c r="J234" s="37"/>
      <c r="K234" s="31"/>
      <c r="L234" s="37"/>
      <c r="M234" s="31"/>
      <c r="N234" s="32" t="s">
        <v>834</v>
      </c>
    </row>
    <row r="235" spans="1:14" ht="19.7" customHeight="1">
      <c r="A235" s="67" t="s">
        <v>834</v>
      </c>
      <c r="B235" s="29" t="s">
        <v>834</v>
      </c>
      <c r="C235" s="29" t="s">
        <v>834</v>
      </c>
      <c r="D235" s="31"/>
      <c r="E235" s="30" t="s">
        <v>834</v>
      </c>
      <c r="F235" s="37">
        <v>0</v>
      </c>
      <c r="G235" s="65">
        <v>0</v>
      </c>
      <c r="H235" s="37"/>
      <c r="I235" s="31"/>
      <c r="J235" s="37"/>
      <c r="K235" s="31"/>
      <c r="L235" s="37"/>
      <c r="M235" s="31"/>
      <c r="N235" s="32" t="s">
        <v>834</v>
      </c>
    </row>
    <row r="236" spans="1:14">
      <c r="A236" s="69" t="s">
        <v>834</v>
      </c>
      <c r="B236" s="34" t="s">
        <v>834</v>
      </c>
      <c r="C236" s="34" t="s">
        <v>834</v>
      </c>
      <c r="D236" s="22"/>
      <c r="E236" s="35" t="s">
        <v>834</v>
      </c>
      <c r="F236" s="21">
        <v>0</v>
      </c>
      <c r="G236" s="74">
        <v>0</v>
      </c>
      <c r="H236" s="21"/>
      <c r="I236" s="22"/>
      <c r="J236" s="21"/>
      <c r="K236" s="22"/>
      <c r="L236" s="21"/>
      <c r="M236" s="22"/>
      <c r="N236" s="36" t="s">
        <v>834</v>
      </c>
    </row>
    <row r="237" spans="1:1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</sheetData>
  <mergeCells count="11">
    <mergeCell ref="N3:N4"/>
    <mergeCell ref="A1:N2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8" type="noConversion"/>
  <printOptions horizontalCentered="1"/>
  <pageMargins left="0.19685039370078741" right="7.874015748031496E-2" top="0.6692913385826772" bottom="0.19685039370078741" header="0.51181102362204722" footer="0.51181102362204722"/>
  <pageSetup paperSize="9" scale="86" fitToHeight="0" orientation="landscape" r:id="rId1"/>
  <headerFooter alignWithMargins="0"/>
  <rowBreaks count="8" manualBreakCount="8">
    <brk id="32" max="13" man="1"/>
    <brk id="58" max="13" man="1"/>
    <brk id="78" max="13" man="1"/>
    <brk id="103" max="13" man="1"/>
    <brk id="128" max="13" man="1"/>
    <brk id="153" max="13" man="1"/>
    <brk id="178" max="13" man="1"/>
    <brk id="202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C148-3DCC-42C8-90ED-9AEAFE76ADAC}">
  <sheetPr>
    <tabColor rgb="FF00B0F0"/>
  </sheetPr>
  <dimension ref="A1:S31"/>
  <sheetViews>
    <sheetView view="pageBreakPreview" zoomScaleNormal="100" zoomScaleSheetLayoutView="100" workbookViewId="0">
      <selection sqref="A1:XFD1048576"/>
    </sheetView>
  </sheetViews>
  <sheetFormatPr defaultRowHeight="12.75"/>
  <cols>
    <col min="1" max="1" width="25.7109375" customWidth="1"/>
    <col min="2" max="2" width="18.42578125" style="177" customWidth="1"/>
    <col min="3" max="3" width="17.28515625" style="178" customWidth="1"/>
    <col min="4" max="4" width="3.28515625" customWidth="1"/>
    <col min="5" max="5" width="13.5703125" style="171" customWidth="1"/>
    <col min="6" max="6" width="3.5703125" customWidth="1"/>
    <col min="7" max="7" width="13.5703125" style="171" customWidth="1"/>
    <col min="8" max="9" width="3.28515625" customWidth="1"/>
    <col min="10" max="10" width="13.5703125" style="171" customWidth="1"/>
    <col min="11" max="11" width="3.28515625" customWidth="1"/>
    <col min="12" max="12" width="13.5703125" style="171" customWidth="1"/>
    <col min="13" max="13" width="3.28515625" customWidth="1"/>
    <col min="14" max="14" width="13.5703125" style="171" customWidth="1"/>
    <col min="15" max="15" width="10.7109375" customWidth="1"/>
    <col min="17" max="17" width="16.28515625" style="155" bestFit="1" customWidth="1"/>
    <col min="18" max="18" width="17.28515625" bestFit="1" customWidth="1"/>
    <col min="19" max="19" width="17.28515625" style="181" bestFit="1" customWidth="1"/>
  </cols>
  <sheetData>
    <row r="1" spans="1:19" ht="37.5" customHeight="1">
      <c r="A1" s="341" t="s">
        <v>859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</row>
    <row r="2" spans="1:19" s="161" customFormat="1" ht="25.5" customHeight="1">
      <c r="A2" s="156" t="s">
        <v>1085</v>
      </c>
      <c r="B2" s="157"/>
      <c r="C2" s="158"/>
      <c r="D2" s="159"/>
      <c r="E2" s="160"/>
      <c r="F2" s="159"/>
      <c r="G2" s="160"/>
      <c r="H2" s="159"/>
      <c r="I2" s="159"/>
      <c r="J2" s="160"/>
      <c r="K2" s="159"/>
      <c r="L2" s="160"/>
      <c r="M2" s="159"/>
      <c r="N2" s="160"/>
      <c r="O2" s="159"/>
      <c r="Q2" s="162"/>
      <c r="S2" s="181"/>
    </row>
    <row r="3" spans="1:19" s="163" customFormat="1" ht="22.5" customHeight="1">
      <c r="A3" s="253" t="s">
        <v>860</v>
      </c>
      <c r="B3" s="254" t="s">
        <v>861</v>
      </c>
      <c r="C3" s="255" t="s">
        <v>862</v>
      </c>
      <c r="D3" s="342" t="s">
        <v>863</v>
      </c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256" t="s">
        <v>864</v>
      </c>
      <c r="Q3" s="155"/>
      <c r="S3" s="181"/>
    </row>
    <row r="4" spans="1:19" s="163" customFormat="1" ht="22.5" customHeight="1">
      <c r="A4" s="257" t="s">
        <v>865</v>
      </c>
      <c r="B4" s="258">
        <v>356120488</v>
      </c>
      <c r="C4" s="259">
        <v>322762522</v>
      </c>
      <c r="D4" s="260"/>
      <c r="E4" s="261"/>
      <c r="F4" s="262"/>
      <c r="G4" s="261"/>
      <c r="H4" s="262"/>
      <c r="I4" s="262"/>
      <c r="J4" s="261"/>
      <c r="K4" s="262"/>
      <c r="L4" s="261"/>
      <c r="M4" s="262"/>
      <c r="N4" s="263"/>
      <c r="O4" s="264"/>
      <c r="Q4" s="164"/>
      <c r="S4" s="181"/>
    </row>
    <row r="5" spans="1:19" s="163" customFormat="1" ht="22.5" customHeight="1">
      <c r="A5" s="265" t="s">
        <v>866</v>
      </c>
      <c r="B5" s="266">
        <v>34137084</v>
      </c>
      <c r="C5" s="267">
        <v>30939448</v>
      </c>
      <c r="D5" s="268" t="s">
        <v>839</v>
      </c>
      <c r="E5" s="269">
        <v>322762522</v>
      </c>
      <c r="F5" s="270" t="s">
        <v>867</v>
      </c>
      <c r="G5" s="269">
        <v>356120488</v>
      </c>
      <c r="H5" s="270" t="s">
        <v>841</v>
      </c>
      <c r="I5" s="270" t="s">
        <v>868</v>
      </c>
      <c r="J5" s="269">
        <v>34137084</v>
      </c>
      <c r="K5" s="270" t="s">
        <v>869</v>
      </c>
      <c r="L5" s="269">
        <v>30939448</v>
      </c>
      <c r="M5" s="270" t="s">
        <v>870</v>
      </c>
      <c r="N5" s="271">
        <v>30939448</v>
      </c>
      <c r="O5" s="272"/>
      <c r="Q5" s="155"/>
      <c r="R5" s="165">
        <v>9.5858239999999997E-2</v>
      </c>
      <c r="S5" s="181"/>
    </row>
    <row r="6" spans="1:19" s="163" customFormat="1" ht="22.5" customHeight="1">
      <c r="A6" s="265" t="s">
        <v>871</v>
      </c>
      <c r="B6" s="266">
        <v>8580614</v>
      </c>
      <c r="C6" s="267">
        <v>7776864</v>
      </c>
      <c r="D6" s="268" t="s">
        <v>839</v>
      </c>
      <c r="E6" s="269">
        <v>322762522</v>
      </c>
      <c r="F6" s="270" t="s">
        <v>867</v>
      </c>
      <c r="G6" s="269">
        <v>356120488</v>
      </c>
      <c r="H6" s="270" t="s">
        <v>841</v>
      </c>
      <c r="I6" s="270" t="s">
        <v>868</v>
      </c>
      <c r="J6" s="269">
        <v>8580614</v>
      </c>
      <c r="K6" s="270" t="s">
        <v>869</v>
      </c>
      <c r="L6" s="269">
        <v>7776864</v>
      </c>
      <c r="M6" s="270" t="s">
        <v>870</v>
      </c>
      <c r="N6" s="271">
        <v>7776864</v>
      </c>
      <c r="O6" s="272"/>
      <c r="Q6" s="155"/>
      <c r="R6" s="165">
        <v>2.4094689999999998E-2</v>
      </c>
      <c r="S6" s="181"/>
    </row>
    <row r="7" spans="1:19" s="163" customFormat="1" ht="22.5" customHeight="1">
      <c r="A7" s="265" t="s">
        <v>872</v>
      </c>
      <c r="B7" s="266">
        <v>2434387</v>
      </c>
      <c r="C7" s="267">
        <v>2206356</v>
      </c>
      <c r="D7" s="268" t="s">
        <v>839</v>
      </c>
      <c r="E7" s="269">
        <v>322762522</v>
      </c>
      <c r="F7" s="270" t="s">
        <v>867</v>
      </c>
      <c r="G7" s="269">
        <v>356120488</v>
      </c>
      <c r="H7" s="270" t="s">
        <v>841</v>
      </c>
      <c r="I7" s="270" t="s">
        <v>868</v>
      </c>
      <c r="J7" s="269">
        <v>2434387</v>
      </c>
      <c r="K7" s="270" t="s">
        <v>869</v>
      </c>
      <c r="L7" s="269">
        <v>2206356</v>
      </c>
      <c r="M7" s="270" t="s">
        <v>870</v>
      </c>
      <c r="N7" s="271">
        <v>2206356</v>
      </c>
      <c r="O7" s="272"/>
      <c r="Q7" s="155"/>
      <c r="R7" s="165">
        <v>6.8358400000000001E-3</v>
      </c>
      <c r="S7" s="181"/>
    </row>
    <row r="8" spans="1:19" s="163" customFormat="1" ht="22.5" customHeight="1">
      <c r="A8" s="265" t="s">
        <v>873</v>
      </c>
      <c r="B8" s="266">
        <v>7437746</v>
      </c>
      <c r="C8" s="267">
        <v>7437746</v>
      </c>
      <c r="D8" s="339" t="s">
        <v>874</v>
      </c>
      <c r="E8" s="340"/>
      <c r="F8" s="340"/>
      <c r="G8" s="340"/>
      <c r="H8" s="340"/>
      <c r="I8" s="340"/>
      <c r="J8" s="340"/>
      <c r="K8" s="340"/>
      <c r="L8" s="340"/>
      <c r="M8" s="270" t="s">
        <v>870</v>
      </c>
      <c r="N8" s="271">
        <v>7437746</v>
      </c>
      <c r="O8" s="272"/>
      <c r="Q8" s="155"/>
      <c r="R8" s="165">
        <v>2.304401E-2</v>
      </c>
      <c r="S8" s="181"/>
    </row>
    <row r="9" spans="1:19" s="163" customFormat="1" ht="22.5" customHeight="1">
      <c r="A9" s="265" t="s">
        <v>875</v>
      </c>
      <c r="B9" s="266">
        <v>9827342</v>
      </c>
      <c r="C9" s="267">
        <v>9827342</v>
      </c>
      <c r="D9" s="339" t="s">
        <v>874</v>
      </c>
      <c r="E9" s="340"/>
      <c r="F9" s="340"/>
      <c r="G9" s="340"/>
      <c r="H9" s="340"/>
      <c r="I9" s="340"/>
      <c r="J9" s="340"/>
      <c r="K9" s="340"/>
      <c r="L9" s="340"/>
      <c r="M9" s="270" t="s">
        <v>870</v>
      </c>
      <c r="N9" s="271">
        <v>9827342</v>
      </c>
      <c r="O9" s="272"/>
      <c r="Q9" s="155"/>
      <c r="R9" s="165">
        <v>3.044759E-2</v>
      </c>
      <c r="S9" s="181"/>
    </row>
    <row r="10" spans="1:19" s="163" customFormat="1" ht="22.5" customHeight="1">
      <c r="A10" s="265" t="s">
        <v>876</v>
      </c>
      <c r="B10" s="266">
        <v>977319</v>
      </c>
      <c r="C10" s="267">
        <v>977319</v>
      </c>
      <c r="D10" s="339" t="s">
        <v>874</v>
      </c>
      <c r="E10" s="340"/>
      <c r="F10" s="340"/>
      <c r="G10" s="340"/>
      <c r="H10" s="340"/>
      <c r="I10" s="340"/>
      <c r="J10" s="340"/>
      <c r="K10" s="340"/>
      <c r="L10" s="340"/>
      <c r="M10" s="270" t="s">
        <v>870</v>
      </c>
      <c r="N10" s="271">
        <v>977319</v>
      </c>
      <c r="O10" s="272"/>
      <c r="Q10" s="155"/>
      <c r="R10" s="165">
        <v>3.02798E-3</v>
      </c>
      <c r="S10" s="181"/>
    </row>
    <row r="11" spans="1:19" s="163" customFormat="1" ht="22.5" customHeight="1">
      <c r="A11" s="265" t="s">
        <v>877</v>
      </c>
      <c r="B11" s="266">
        <v>4758502</v>
      </c>
      <c r="C11" s="267">
        <v>4758502</v>
      </c>
      <c r="D11" s="339" t="s">
        <v>874</v>
      </c>
      <c r="E11" s="340"/>
      <c r="F11" s="340"/>
      <c r="G11" s="340"/>
      <c r="H11" s="340"/>
      <c r="I11" s="340"/>
      <c r="J11" s="340"/>
      <c r="K11" s="340"/>
      <c r="L11" s="340"/>
      <c r="M11" s="270" t="s">
        <v>870</v>
      </c>
      <c r="N11" s="271">
        <v>4758502</v>
      </c>
      <c r="O11" s="272"/>
      <c r="Q11" s="155"/>
      <c r="R11" s="165">
        <v>1.4743040000000001E-2</v>
      </c>
      <c r="S11" s="181"/>
    </row>
    <row r="12" spans="1:19" s="163" customFormat="1" ht="22.5" customHeight="1">
      <c r="A12" s="265" t="s">
        <v>878</v>
      </c>
      <c r="B12" s="266">
        <v>1424481</v>
      </c>
      <c r="C12" s="267">
        <v>1291049</v>
      </c>
      <c r="D12" s="268" t="s">
        <v>839</v>
      </c>
      <c r="E12" s="269">
        <v>322762522</v>
      </c>
      <c r="F12" s="270" t="s">
        <v>867</v>
      </c>
      <c r="G12" s="269">
        <v>356120488</v>
      </c>
      <c r="H12" s="270" t="s">
        <v>841</v>
      </c>
      <c r="I12" s="270" t="s">
        <v>868</v>
      </c>
      <c r="J12" s="269">
        <v>1424481</v>
      </c>
      <c r="K12" s="270" t="s">
        <v>869</v>
      </c>
      <c r="L12" s="269">
        <v>1291049</v>
      </c>
      <c r="M12" s="270" t="s">
        <v>870</v>
      </c>
      <c r="N12" s="271">
        <v>1291049</v>
      </c>
      <c r="O12" s="272"/>
      <c r="Q12" s="155"/>
      <c r="R12" s="165">
        <v>3.9999900000000001E-3</v>
      </c>
      <c r="S12" s="181"/>
    </row>
    <row r="13" spans="1:19" s="163" customFormat="1" ht="22.5" customHeight="1">
      <c r="A13" s="265" t="s">
        <v>924</v>
      </c>
      <c r="B13" s="266">
        <v>12397587</v>
      </c>
      <c r="C13" s="267">
        <v>12397587</v>
      </c>
      <c r="D13" s="339" t="s">
        <v>874</v>
      </c>
      <c r="E13" s="340"/>
      <c r="F13" s="340"/>
      <c r="G13" s="340"/>
      <c r="H13" s="340"/>
      <c r="I13" s="340"/>
      <c r="J13" s="340"/>
      <c r="K13" s="340"/>
      <c r="L13" s="340"/>
      <c r="M13" s="270" t="s">
        <v>870</v>
      </c>
      <c r="N13" s="271">
        <v>12397587</v>
      </c>
      <c r="O13" s="272"/>
      <c r="Q13" s="155"/>
      <c r="R13" s="165">
        <v>3.8410859999999998E-2</v>
      </c>
      <c r="S13" s="181"/>
    </row>
    <row r="14" spans="1:19" s="163" customFormat="1" ht="22.5" customHeight="1">
      <c r="A14" s="265" t="s">
        <v>879</v>
      </c>
      <c r="B14" s="266">
        <v>3205084</v>
      </c>
      <c r="C14" s="267">
        <v>2904862</v>
      </c>
      <c r="D14" s="268" t="s">
        <v>839</v>
      </c>
      <c r="E14" s="269">
        <v>322762522</v>
      </c>
      <c r="F14" s="270" t="s">
        <v>867</v>
      </c>
      <c r="G14" s="269">
        <v>356120488</v>
      </c>
      <c r="H14" s="270" t="s">
        <v>841</v>
      </c>
      <c r="I14" s="270" t="s">
        <v>868</v>
      </c>
      <c r="J14" s="269">
        <v>3205084</v>
      </c>
      <c r="K14" s="270" t="s">
        <v>869</v>
      </c>
      <c r="L14" s="269">
        <v>2904862</v>
      </c>
      <c r="M14" s="270" t="s">
        <v>870</v>
      </c>
      <c r="N14" s="271">
        <v>2904862</v>
      </c>
      <c r="O14" s="272"/>
      <c r="Q14" s="155"/>
      <c r="R14" s="165">
        <v>8.9999899999999994E-3</v>
      </c>
      <c r="S14" s="181"/>
    </row>
    <row r="15" spans="1:19" s="163" customFormat="1" ht="22.5" customHeight="1">
      <c r="A15" s="265" t="s">
        <v>880</v>
      </c>
      <c r="B15" s="266">
        <v>288457</v>
      </c>
      <c r="C15" s="267">
        <v>261437</v>
      </c>
      <c r="D15" s="268" t="s">
        <v>839</v>
      </c>
      <c r="E15" s="269">
        <v>322762522</v>
      </c>
      <c r="F15" s="270" t="s">
        <v>867</v>
      </c>
      <c r="G15" s="269">
        <v>356120488</v>
      </c>
      <c r="H15" s="270" t="s">
        <v>841</v>
      </c>
      <c r="I15" s="270" t="s">
        <v>868</v>
      </c>
      <c r="J15" s="269">
        <v>288457</v>
      </c>
      <c r="K15" s="270" t="s">
        <v>869</v>
      </c>
      <c r="L15" s="269">
        <v>261437</v>
      </c>
      <c r="M15" s="270" t="s">
        <v>870</v>
      </c>
      <c r="N15" s="271">
        <v>261437</v>
      </c>
      <c r="O15" s="272"/>
      <c r="Q15" s="155"/>
      <c r="R15" s="165">
        <v>8.0999000000000002E-4</v>
      </c>
      <c r="S15" s="181"/>
    </row>
    <row r="16" spans="1:19" s="163" customFormat="1" ht="22.5" customHeight="1">
      <c r="A16" s="265" t="s">
        <v>881</v>
      </c>
      <c r="B16" s="266">
        <v>18691544</v>
      </c>
      <c r="C16" s="267">
        <v>16940698</v>
      </c>
      <c r="D16" s="268" t="s">
        <v>839</v>
      </c>
      <c r="E16" s="269">
        <v>322762522</v>
      </c>
      <c r="F16" s="270" t="s">
        <v>867</v>
      </c>
      <c r="G16" s="269">
        <v>356120488</v>
      </c>
      <c r="H16" s="270" t="s">
        <v>841</v>
      </c>
      <c r="I16" s="270" t="s">
        <v>868</v>
      </c>
      <c r="J16" s="269">
        <v>18691544</v>
      </c>
      <c r="K16" s="270" t="s">
        <v>869</v>
      </c>
      <c r="L16" s="269">
        <v>16940698</v>
      </c>
      <c r="M16" s="270" t="s">
        <v>870</v>
      </c>
      <c r="N16" s="271">
        <v>16940698</v>
      </c>
      <c r="O16" s="272"/>
      <c r="Q16" s="155"/>
      <c r="R16" s="165">
        <v>5.2486570000000003E-2</v>
      </c>
      <c r="S16" s="181"/>
    </row>
    <row r="17" spans="1:19" s="163" customFormat="1" ht="22.5" customHeight="1">
      <c r="A17" s="265" t="s">
        <v>882</v>
      </c>
      <c r="B17" s="266">
        <v>460280635</v>
      </c>
      <c r="C17" s="267">
        <v>420481732</v>
      </c>
      <c r="D17" s="268"/>
      <c r="E17" s="269"/>
      <c r="F17" s="270"/>
      <c r="G17" s="269"/>
      <c r="H17" s="270"/>
      <c r="I17" s="270"/>
      <c r="J17" s="269"/>
      <c r="K17" s="270"/>
      <c r="L17" s="269"/>
      <c r="M17" s="270"/>
      <c r="N17" s="271"/>
      <c r="O17" s="272"/>
      <c r="Q17" s="155"/>
      <c r="R17" s="165"/>
      <c r="S17" s="181"/>
    </row>
    <row r="18" spans="1:19" s="163" customFormat="1" ht="22.5" customHeight="1">
      <c r="A18" s="265" t="s">
        <v>883</v>
      </c>
      <c r="B18" s="266">
        <v>36822450</v>
      </c>
      <c r="C18" s="267">
        <v>33638537</v>
      </c>
      <c r="D18" s="268" t="s">
        <v>839</v>
      </c>
      <c r="E18" s="269">
        <v>420481732</v>
      </c>
      <c r="F18" s="270" t="s">
        <v>867</v>
      </c>
      <c r="G18" s="269">
        <v>460280635</v>
      </c>
      <c r="H18" s="270" t="s">
        <v>841</v>
      </c>
      <c r="I18" s="270" t="s">
        <v>868</v>
      </c>
      <c r="J18" s="269">
        <v>36822450</v>
      </c>
      <c r="K18" s="270" t="s">
        <v>869</v>
      </c>
      <c r="L18" s="269">
        <v>33638537</v>
      </c>
      <c r="M18" s="270" t="s">
        <v>870</v>
      </c>
      <c r="N18" s="271">
        <v>33638537</v>
      </c>
      <c r="O18" s="272"/>
      <c r="Q18" s="155"/>
      <c r="R18" s="165">
        <v>7.9999990000000007E-2</v>
      </c>
      <c r="S18" s="181"/>
    </row>
    <row r="19" spans="1:19" s="163" customFormat="1" ht="22.5" customHeight="1">
      <c r="A19" s="265" t="s">
        <v>884</v>
      </c>
      <c r="B19" s="266">
        <v>56329192</v>
      </c>
      <c r="C19" s="267">
        <v>46652366</v>
      </c>
      <c r="D19" s="268" t="s">
        <v>839</v>
      </c>
      <c r="E19" s="269">
        <v>420481732</v>
      </c>
      <c r="F19" s="270" t="s">
        <v>867</v>
      </c>
      <c r="G19" s="269">
        <v>460280635</v>
      </c>
      <c r="H19" s="270" t="s">
        <v>841</v>
      </c>
      <c r="I19" s="270" t="s">
        <v>868</v>
      </c>
      <c r="J19" s="269">
        <v>56329192</v>
      </c>
      <c r="K19" s="270" t="s">
        <v>869</v>
      </c>
      <c r="L19" s="269">
        <v>51458598</v>
      </c>
      <c r="M19" s="270" t="s">
        <v>870</v>
      </c>
      <c r="N19" s="271">
        <v>46652366</v>
      </c>
      <c r="O19" s="273" t="s">
        <v>885</v>
      </c>
      <c r="Q19" s="155">
        <v>0</v>
      </c>
      <c r="R19" s="165">
        <v>0.1109498</v>
      </c>
      <c r="S19" s="181"/>
    </row>
    <row r="20" spans="1:19" s="163" customFormat="1" ht="22.5" customHeight="1">
      <c r="A20" s="265" t="s">
        <v>886</v>
      </c>
      <c r="B20" s="266">
        <v>17884603</v>
      </c>
      <c r="C20" s="267">
        <v>17884603</v>
      </c>
      <c r="D20" s="339" t="s">
        <v>874</v>
      </c>
      <c r="E20" s="340"/>
      <c r="F20" s="340"/>
      <c r="G20" s="340"/>
      <c r="H20" s="340"/>
      <c r="I20" s="340"/>
      <c r="J20" s="340"/>
      <c r="K20" s="340"/>
      <c r="L20" s="340"/>
      <c r="M20" s="270" t="s">
        <v>870</v>
      </c>
      <c r="N20" s="271">
        <v>17884603</v>
      </c>
      <c r="O20" s="272"/>
      <c r="Q20" s="155"/>
      <c r="R20" s="165"/>
      <c r="S20" s="181"/>
    </row>
    <row r="21" spans="1:19" s="163" customFormat="1" ht="22.5" customHeight="1">
      <c r="A21" s="265" t="s">
        <v>887</v>
      </c>
      <c r="B21" s="266">
        <v>501302</v>
      </c>
      <c r="C21" s="267">
        <v>454308</v>
      </c>
      <c r="D21" s="274"/>
      <c r="E21" s="269"/>
      <c r="F21" s="275"/>
      <c r="G21" s="269"/>
      <c r="H21" s="275"/>
      <c r="I21" s="275"/>
      <c r="J21" s="269"/>
      <c r="K21" s="275"/>
      <c r="L21" s="269"/>
      <c r="M21" s="275"/>
      <c r="N21" s="271"/>
      <c r="O21" s="276"/>
      <c r="Q21" s="155"/>
      <c r="R21" s="165"/>
      <c r="S21" s="181"/>
    </row>
    <row r="22" spans="1:19" s="163" customFormat="1" ht="22.5" customHeight="1">
      <c r="A22" s="265" t="s">
        <v>888</v>
      </c>
      <c r="B22" s="266">
        <v>571818182</v>
      </c>
      <c r="C22" s="266">
        <v>519111546</v>
      </c>
      <c r="D22" s="274"/>
      <c r="E22" s="269"/>
      <c r="F22" s="275"/>
      <c r="G22" s="269"/>
      <c r="H22" s="275"/>
      <c r="I22" s="275"/>
      <c r="J22" s="269"/>
      <c r="K22" s="275"/>
      <c r="L22" s="269"/>
      <c r="M22" s="275"/>
      <c r="N22" s="271"/>
      <c r="O22" s="276"/>
      <c r="Q22" s="155"/>
      <c r="R22" s="166"/>
      <c r="S22" s="181"/>
    </row>
    <row r="23" spans="1:19" s="163" customFormat="1" ht="22.5" customHeight="1">
      <c r="A23" s="265" t="s">
        <v>889</v>
      </c>
      <c r="B23" s="266">
        <v>57181818</v>
      </c>
      <c r="C23" s="266">
        <v>51911154</v>
      </c>
      <c r="D23" s="274"/>
      <c r="E23" s="269"/>
      <c r="F23" s="275"/>
      <c r="G23" s="269"/>
      <c r="H23" s="275"/>
      <c r="I23" s="275"/>
      <c r="J23" s="269"/>
      <c r="K23" s="275"/>
      <c r="L23" s="269"/>
      <c r="M23" s="275"/>
      <c r="N23" s="271"/>
      <c r="O23" s="276"/>
      <c r="Q23" s="155">
        <v>0</v>
      </c>
      <c r="R23" s="166"/>
      <c r="S23" s="181"/>
    </row>
    <row r="24" spans="1:19" s="167" customFormat="1" ht="22.5" customHeight="1">
      <c r="A24" s="277" t="s">
        <v>890</v>
      </c>
      <c r="B24" s="278">
        <v>629000000</v>
      </c>
      <c r="C24" s="278">
        <v>571022700</v>
      </c>
      <c r="D24" s="279"/>
      <c r="E24" s="280"/>
      <c r="F24" s="281"/>
      <c r="G24" s="280"/>
      <c r="H24" s="281"/>
      <c r="I24" s="281"/>
      <c r="J24" s="280"/>
      <c r="K24" s="281"/>
      <c r="L24" s="280"/>
      <c r="M24" s="281"/>
      <c r="N24" s="282"/>
      <c r="O24" s="283"/>
      <c r="Q24" s="168">
        <v>571022700</v>
      </c>
      <c r="R24" s="169"/>
      <c r="S24" s="181"/>
    </row>
    <row r="25" spans="1:19" ht="34.5" customHeight="1">
      <c r="B25" s="164"/>
      <c r="C25" s="170"/>
    </row>
    <row r="26" spans="1:19" s="172" customFormat="1" ht="34.5" customHeight="1">
      <c r="B26" s="173"/>
      <c r="C26" s="174">
        <v>571022700</v>
      </c>
      <c r="E26" s="175"/>
      <c r="G26" s="175"/>
      <c r="J26" s="175"/>
      <c r="L26" s="175"/>
      <c r="N26" s="175"/>
      <c r="Q26" s="176"/>
      <c r="S26" s="181"/>
    </row>
    <row r="27" spans="1:19">
      <c r="Q27" s="155">
        <v>0</v>
      </c>
    </row>
    <row r="29" spans="1:19">
      <c r="C29" s="181">
        <v>571022700</v>
      </c>
      <c r="N29" s="182">
        <v>0</v>
      </c>
    </row>
    <row r="31" spans="1:19">
      <c r="N31" s="183">
        <v>0</v>
      </c>
    </row>
  </sheetData>
  <mergeCells count="8">
    <mergeCell ref="D13:L13"/>
    <mergeCell ref="D20:L20"/>
    <mergeCell ref="A1:O1"/>
    <mergeCell ref="D3:N3"/>
    <mergeCell ref="D8:L8"/>
    <mergeCell ref="D9:L9"/>
    <mergeCell ref="D10:L10"/>
    <mergeCell ref="D11:L11"/>
  </mergeCells>
  <phoneticPr fontId="8" type="noConversion"/>
  <printOptions horizontalCentered="1"/>
  <pageMargins left="0.31496062992125984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4FF1-2C74-4ED2-A043-7E2723CF2801}">
  <sheetPr>
    <tabColor rgb="FF00B0F0"/>
  </sheetPr>
  <dimension ref="A1:Q60"/>
  <sheetViews>
    <sheetView view="pageBreakPreview" zoomScaleNormal="100" zoomScaleSheetLayoutView="100" workbookViewId="0">
      <selection sqref="A1:XFD1048576"/>
    </sheetView>
  </sheetViews>
  <sheetFormatPr defaultColWidth="8.85546875" defaultRowHeight="20.25"/>
  <cols>
    <col min="1" max="1" width="30.5703125" style="186" customWidth="1"/>
    <col min="2" max="2" width="21.42578125" style="186" customWidth="1"/>
    <col min="3" max="3" width="2.7109375" style="204" customWidth="1"/>
    <col min="4" max="4" width="2.28515625" style="186" customWidth="1"/>
    <col min="5" max="5" width="13.85546875" style="204" customWidth="1"/>
    <col min="6" max="6" width="3.85546875" style="186" customWidth="1"/>
    <col min="7" max="7" width="16.7109375" style="204" customWidth="1"/>
    <col min="8" max="8" width="4.7109375" style="186" customWidth="1"/>
    <col min="9" max="9" width="2.28515625" style="186" customWidth="1"/>
    <col min="10" max="10" width="14.140625" style="204" customWidth="1"/>
    <col min="11" max="11" width="13.140625" style="204" customWidth="1"/>
    <col min="12" max="12" width="3.85546875" style="186" customWidth="1"/>
    <col min="13" max="13" width="13.140625" style="204" customWidth="1"/>
    <col min="14" max="14" width="10" style="186" customWidth="1"/>
    <col min="15" max="15" width="17.28515625" style="184" bestFit="1" customWidth="1"/>
    <col min="16" max="16" width="14.28515625" style="185" bestFit="1" customWidth="1"/>
    <col min="17" max="17" width="14.28515625" style="186" bestFit="1" customWidth="1"/>
    <col min="18" max="16384" width="8.85546875" style="186"/>
  </cols>
  <sheetData>
    <row r="1" spans="1:17" ht="35.25" customHeight="1">
      <c r="A1" s="343" t="s">
        <v>892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</row>
    <row r="2" spans="1:17" ht="9.7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17" ht="24" customHeight="1">
      <c r="A3" s="284" t="s">
        <v>893</v>
      </c>
      <c r="B3" s="285" t="s">
        <v>894</v>
      </c>
      <c r="C3" s="344" t="s">
        <v>895</v>
      </c>
      <c r="D3" s="345"/>
      <c r="E3" s="345"/>
      <c r="F3" s="345"/>
      <c r="G3" s="345"/>
      <c r="H3" s="345"/>
      <c r="I3" s="345"/>
      <c r="J3" s="346"/>
      <c r="K3" s="344" t="s">
        <v>896</v>
      </c>
      <c r="L3" s="345"/>
      <c r="M3" s="346"/>
      <c r="N3" s="286" t="s">
        <v>864</v>
      </c>
      <c r="P3" s="188"/>
      <c r="Q3" s="189"/>
    </row>
    <row r="4" spans="1:17" s="193" customFormat="1" ht="24" customHeight="1">
      <c r="A4" s="287" t="s">
        <v>897</v>
      </c>
      <c r="B4" s="288">
        <v>322762522</v>
      </c>
      <c r="C4" s="289"/>
      <c r="D4" s="347"/>
      <c r="E4" s="347"/>
      <c r="F4" s="347"/>
      <c r="G4" s="347"/>
      <c r="H4" s="347"/>
      <c r="I4" s="348"/>
      <c r="J4" s="349"/>
      <c r="K4" s="350"/>
      <c r="L4" s="348"/>
      <c r="M4" s="349"/>
      <c r="N4" s="290"/>
      <c r="O4" s="190"/>
      <c r="P4" s="191"/>
      <c r="Q4" s="192"/>
    </row>
    <row r="5" spans="1:17" s="193" customFormat="1" ht="24" customHeight="1">
      <c r="A5" s="291" t="s">
        <v>898</v>
      </c>
      <c r="B5" s="292">
        <v>30939448</v>
      </c>
      <c r="C5" s="293"/>
      <c r="D5" s="294" t="s">
        <v>839</v>
      </c>
      <c r="E5" s="295">
        <v>30939448</v>
      </c>
      <c r="F5" s="296" t="s">
        <v>867</v>
      </c>
      <c r="G5" s="297">
        <v>322762522</v>
      </c>
      <c r="H5" s="298" t="s">
        <v>841</v>
      </c>
      <c r="I5" s="299" t="s">
        <v>869</v>
      </c>
      <c r="J5" s="300">
        <v>9.5858239999999997E-2</v>
      </c>
      <c r="K5" s="301" t="s">
        <v>899</v>
      </c>
      <c r="L5" s="296" t="s">
        <v>868</v>
      </c>
      <c r="M5" s="300">
        <v>9.5858239999999997E-2</v>
      </c>
      <c r="N5" s="302"/>
      <c r="O5" s="194"/>
      <c r="P5" s="195">
        <v>9.5858239999999997E-2</v>
      </c>
      <c r="Q5" s="192"/>
    </row>
    <row r="6" spans="1:17" s="193" customFormat="1" ht="24" customHeight="1">
      <c r="A6" s="291" t="s">
        <v>900</v>
      </c>
      <c r="B6" s="292">
        <v>7776864</v>
      </c>
      <c r="C6" s="293"/>
      <c r="D6" s="294" t="s">
        <v>839</v>
      </c>
      <c r="E6" s="295">
        <v>7776864</v>
      </c>
      <c r="F6" s="296" t="s">
        <v>867</v>
      </c>
      <c r="G6" s="297">
        <v>322762522</v>
      </c>
      <c r="H6" s="298" t="s">
        <v>841</v>
      </c>
      <c r="I6" s="299" t="s">
        <v>869</v>
      </c>
      <c r="J6" s="300">
        <v>2.4094689999999998E-2</v>
      </c>
      <c r="K6" s="301" t="s">
        <v>899</v>
      </c>
      <c r="L6" s="296" t="s">
        <v>868</v>
      </c>
      <c r="M6" s="300">
        <v>2.4094689999999998E-2</v>
      </c>
      <c r="N6" s="302"/>
      <c r="O6" s="194"/>
      <c r="P6" s="195">
        <v>2.4094689999999998E-2</v>
      </c>
      <c r="Q6" s="192"/>
    </row>
    <row r="7" spans="1:17" s="193" customFormat="1" ht="24" customHeight="1">
      <c r="A7" s="291" t="s">
        <v>901</v>
      </c>
      <c r="B7" s="292">
        <v>2206356</v>
      </c>
      <c r="C7" s="293"/>
      <c r="D7" s="294" t="s">
        <v>839</v>
      </c>
      <c r="E7" s="295">
        <v>2206356</v>
      </c>
      <c r="F7" s="296" t="s">
        <v>867</v>
      </c>
      <c r="G7" s="297">
        <v>322762522</v>
      </c>
      <c r="H7" s="298" t="s">
        <v>841</v>
      </c>
      <c r="I7" s="299" t="s">
        <v>869</v>
      </c>
      <c r="J7" s="300">
        <v>6.8358400000000001E-3</v>
      </c>
      <c r="K7" s="301" t="s">
        <v>899</v>
      </c>
      <c r="L7" s="296" t="s">
        <v>868</v>
      </c>
      <c r="M7" s="300">
        <v>6.8358400000000001E-3</v>
      </c>
      <c r="N7" s="302"/>
      <c r="O7" s="194"/>
      <c r="P7" s="195">
        <v>6.8358400000000001E-3</v>
      </c>
      <c r="Q7" s="192"/>
    </row>
    <row r="8" spans="1:17" s="193" customFormat="1" ht="24" customHeight="1">
      <c r="A8" s="291" t="s">
        <v>902</v>
      </c>
      <c r="B8" s="292">
        <v>7437746</v>
      </c>
      <c r="C8" s="293"/>
      <c r="D8" s="294" t="s">
        <v>839</v>
      </c>
      <c r="E8" s="295">
        <v>7437746</v>
      </c>
      <c r="F8" s="296" t="s">
        <v>867</v>
      </c>
      <c r="G8" s="297">
        <v>322762522</v>
      </c>
      <c r="H8" s="298" t="s">
        <v>841</v>
      </c>
      <c r="I8" s="299" t="s">
        <v>869</v>
      </c>
      <c r="J8" s="300">
        <v>2.304401E-2</v>
      </c>
      <c r="K8" s="301" t="s">
        <v>899</v>
      </c>
      <c r="L8" s="296" t="s">
        <v>868</v>
      </c>
      <c r="M8" s="300">
        <v>2.304401E-2</v>
      </c>
      <c r="N8" s="302"/>
      <c r="O8" s="194"/>
      <c r="P8" s="195">
        <v>2.304401E-2</v>
      </c>
      <c r="Q8" s="192"/>
    </row>
    <row r="9" spans="1:17" s="193" customFormat="1" ht="24" customHeight="1">
      <c r="A9" s="291" t="s">
        <v>903</v>
      </c>
      <c r="B9" s="292">
        <v>9827342</v>
      </c>
      <c r="C9" s="293"/>
      <c r="D9" s="294" t="s">
        <v>839</v>
      </c>
      <c r="E9" s="295">
        <v>9827342</v>
      </c>
      <c r="F9" s="296" t="s">
        <v>867</v>
      </c>
      <c r="G9" s="297">
        <v>322762522</v>
      </c>
      <c r="H9" s="298" t="s">
        <v>841</v>
      </c>
      <c r="I9" s="299" t="s">
        <v>869</v>
      </c>
      <c r="J9" s="300">
        <v>3.044759E-2</v>
      </c>
      <c r="K9" s="301" t="s">
        <v>899</v>
      </c>
      <c r="L9" s="296" t="s">
        <v>868</v>
      </c>
      <c r="M9" s="300">
        <v>3.044759E-2</v>
      </c>
      <c r="N9" s="302"/>
      <c r="O9" s="194"/>
      <c r="P9" s="195">
        <v>3.044759E-2</v>
      </c>
      <c r="Q9" s="192"/>
    </row>
    <row r="10" spans="1:17" s="193" customFormat="1" ht="24" customHeight="1">
      <c r="A10" s="291" t="s">
        <v>904</v>
      </c>
      <c r="B10" s="292">
        <v>977319</v>
      </c>
      <c r="C10" s="293"/>
      <c r="D10" s="294" t="s">
        <v>839</v>
      </c>
      <c r="E10" s="295">
        <v>977319</v>
      </c>
      <c r="F10" s="296" t="s">
        <v>867</v>
      </c>
      <c r="G10" s="297">
        <v>322762522</v>
      </c>
      <c r="H10" s="298" t="s">
        <v>841</v>
      </c>
      <c r="I10" s="299" t="s">
        <v>869</v>
      </c>
      <c r="J10" s="300">
        <v>3.02798E-3</v>
      </c>
      <c r="K10" s="301" t="s">
        <v>899</v>
      </c>
      <c r="L10" s="296" t="s">
        <v>868</v>
      </c>
      <c r="M10" s="300">
        <v>3.02798E-3</v>
      </c>
      <c r="N10" s="302"/>
      <c r="O10" s="194"/>
      <c r="P10" s="195">
        <v>3.02798E-3</v>
      </c>
      <c r="Q10" s="192"/>
    </row>
    <row r="11" spans="1:17" s="193" customFormat="1" ht="24" customHeight="1">
      <c r="A11" s="291" t="s">
        <v>905</v>
      </c>
      <c r="B11" s="292">
        <v>4758502</v>
      </c>
      <c r="C11" s="293"/>
      <c r="D11" s="294" t="s">
        <v>839</v>
      </c>
      <c r="E11" s="295">
        <v>4758502</v>
      </c>
      <c r="F11" s="296" t="s">
        <v>867</v>
      </c>
      <c r="G11" s="297">
        <v>322762522</v>
      </c>
      <c r="H11" s="298" t="s">
        <v>841</v>
      </c>
      <c r="I11" s="299" t="s">
        <v>869</v>
      </c>
      <c r="J11" s="300">
        <v>1.4743040000000001E-2</v>
      </c>
      <c r="K11" s="301" t="s">
        <v>899</v>
      </c>
      <c r="L11" s="296" t="s">
        <v>868</v>
      </c>
      <c r="M11" s="300">
        <v>1.4743040000000001E-2</v>
      </c>
      <c r="N11" s="302"/>
      <c r="O11" s="194"/>
      <c r="P11" s="195">
        <v>1.4743040000000001E-2</v>
      </c>
      <c r="Q11" s="192"/>
    </row>
    <row r="12" spans="1:17" s="193" customFormat="1" ht="24" customHeight="1">
      <c r="A12" s="291" t="s">
        <v>906</v>
      </c>
      <c r="B12" s="292">
        <v>1291049</v>
      </c>
      <c r="C12" s="293"/>
      <c r="D12" s="294" t="s">
        <v>839</v>
      </c>
      <c r="E12" s="295">
        <v>1291049</v>
      </c>
      <c r="F12" s="296" t="s">
        <v>867</v>
      </c>
      <c r="G12" s="297">
        <v>322762522</v>
      </c>
      <c r="H12" s="298" t="s">
        <v>841</v>
      </c>
      <c r="I12" s="299" t="s">
        <v>869</v>
      </c>
      <c r="J12" s="300">
        <v>3.9999900000000001E-3</v>
      </c>
      <c r="K12" s="301" t="s">
        <v>899</v>
      </c>
      <c r="L12" s="296" t="s">
        <v>868</v>
      </c>
      <c r="M12" s="300">
        <v>3.9999900000000001E-3</v>
      </c>
      <c r="N12" s="302"/>
      <c r="O12" s="194"/>
      <c r="P12" s="195">
        <v>3.9999900000000001E-3</v>
      </c>
      <c r="Q12" s="192"/>
    </row>
    <row r="13" spans="1:17" s="193" customFormat="1" ht="24" customHeight="1">
      <c r="A13" s="291" t="s">
        <v>907</v>
      </c>
      <c r="B13" s="292">
        <v>12397587</v>
      </c>
      <c r="C13" s="293"/>
      <c r="D13" s="294" t="s">
        <v>839</v>
      </c>
      <c r="E13" s="295">
        <v>12397587</v>
      </c>
      <c r="F13" s="296" t="s">
        <v>867</v>
      </c>
      <c r="G13" s="297">
        <v>322762522</v>
      </c>
      <c r="H13" s="298" t="s">
        <v>841</v>
      </c>
      <c r="I13" s="299" t="s">
        <v>869</v>
      </c>
      <c r="J13" s="300">
        <v>3.8410859999999998E-2</v>
      </c>
      <c r="K13" s="301" t="s">
        <v>899</v>
      </c>
      <c r="L13" s="296" t="s">
        <v>868</v>
      </c>
      <c r="M13" s="300">
        <v>3.8410859999999998E-2</v>
      </c>
      <c r="N13" s="302"/>
      <c r="O13" s="194"/>
      <c r="P13" s="195">
        <v>3.8410859999999998E-2</v>
      </c>
      <c r="Q13" s="192"/>
    </row>
    <row r="14" spans="1:17" s="193" customFormat="1" ht="24" customHeight="1">
      <c r="A14" s="291" t="s">
        <v>908</v>
      </c>
      <c r="B14" s="292">
        <v>2904862</v>
      </c>
      <c r="C14" s="293"/>
      <c r="D14" s="294" t="s">
        <v>839</v>
      </c>
      <c r="E14" s="295">
        <v>2904862</v>
      </c>
      <c r="F14" s="296" t="s">
        <v>867</v>
      </c>
      <c r="G14" s="297">
        <v>322762522</v>
      </c>
      <c r="H14" s="298" t="s">
        <v>841</v>
      </c>
      <c r="I14" s="299" t="s">
        <v>869</v>
      </c>
      <c r="J14" s="300">
        <v>8.9999899999999994E-3</v>
      </c>
      <c r="K14" s="301" t="s">
        <v>899</v>
      </c>
      <c r="L14" s="296" t="s">
        <v>868</v>
      </c>
      <c r="M14" s="300">
        <v>8.9999899999999994E-3</v>
      </c>
      <c r="N14" s="302"/>
      <c r="O14" s="194"/>
      <c r="P14" s="195">
        <v>8.9999899999999994E-3</v>
      </c>
      <c r="Q14" s="192"/>
    </row>
    <row r="15" spans="1:17" s="193" customFormat="1" ht="24" customHeight="1">
      <c r="A15" s="291" t="s">
        <v>909</v>
      </c>
      <c r="B15" s="292">
        <v>261437</v>
      </c>
      <c r="C15" s="293"/>
      <c r="D15" s="294" t="s">
        <v>839</v>
      </c>
      <c r="E15" s="295">
        <v>261437</v>
      </c>
      <c r="F15" s="296" t="s">
        <v>867</v>
      </c>
      <c r="G15" s="297">
        <v>322762522</v>
      </c>
      <c r="H15" s="298" t="s">
        <v>841</v>
      </c>
      <c r="I15" s="299" t="s">
        <v>869</v>
      </c>
      <c r="J15" s="300">
        <v>8.0999000000000002E-4</v>
      </c>
      <c r="K15" s="301" t="s">
        <v>899</v>
      </c>
      <c r="L15" s="296" t="s">
        <v>868</v>
      </c>
      <c r="M15" s="300">
        <v>8.0999000000000002E-4</v>
      </c>
      <c r="N15" s="303"/>
      <c r="O15" s="194"/>
      <c r="P15" s="195">
        <v>8.0999000000000002E-4</v>
      </c>
      <c r="Q15" s="192"/>
    </row>
    <row r="16" spans="1:17" s="193" customFormat="1" ht="24" customHeight="1">
      <c r="A16" s="291" t="s">
        <v>910</v>
      </c>
      <c r="B16" s="292">
        <v>16940698</v>
      </c>
      <c r="C16" s="293"/>
      <c r="D16" s="294" t="s">
        <v>839</v>
      </c>
      <c r="E16" s="295">
        <v>16940698</v>
      </c>
      <c r="F16" s="296" t="s">
        <v>867</v>
      </c>
      <c r="G16" s="297">
        <v>322762522</v>
      </c>
      <c r="H16" s="298" t="s">
        <v>841</v>
      </c>
      <c r="I16" s="299" t="s">
        <v>869</v>
      </c>
      <c r="J16" s="300">
        <v>5.2486570000000003E-2</v>
      </c>
      <c r="K16" s="301" t="s">
        <v>899</v>
      </c>
      <c r="L16" s="296" t="s">
        <v>868</v>
      </c>
      <c r="M16" s="300">
        <v>5.2486570000000003E-2</v>
      </c>
      <c r="N16" s="302"/>
      <c r="O16" s="194"/>
      <c r="P16" s="195">
        <v>5.2486570000000003E-2</v>
      </c>
      <c r="Q16" s="192"/>
    </row>
    <row r="17" spans="1:17" s="193" customFormat="1" ht="24" customHeight="1">
      <c r="A17" s="304" t="s">
        <v>911</v>
      </c>
      <c r="B17" s="292">
        <v>420481732</v>
      </c>
      <c r="C17" s="293"/>
      <c r="D17" s="294"/>
      <c r="E17" s="295"/>
      <c r="F17" s="296"/>
      <c r="G17" s="297"/>
      <c r="H17" s="298"/>
      <c r="I17" s="299"/>
      <c r="J17" s="300"/>
      <c r="K17" s="301"/>
      <c r="L17" s="296"/>
      <c r="M17" s="300"/>
      <c r="N17" s="302"/>
      <c r="O17" s="190"/>
      <c r="P17" s="191"/>
      <c r="Q17" s="192"/>
    </row>
    <row r="18" spans="1:17" s="193" customFormat="1" ht="24" customHeight="1">
      <c r="A18" s="304" t="s">
        <v>912</v>
      </c>
      <c r="B18" s="292">
        <v>33638537</v>
      </c>
      <c r="C18" s="293"/>
      <c r="D18" s="294" t="s">
        <v>839</v>
      </c>
      <c r="E18" s="295">
        <v>33638537</v>
      </c>
      <c r="F18" s="296" t="s">
        <v>867</v>
      </c>
      <c r="G18" s="297">
        <v>420481732</v>
      </c>
      <c r="H18" s="298" t="s">
        <v>841</v>
      </c>
      <c r="I18" s="299" t="s">
        <v>869</v>
      </c>
      <c r="J18" s="300">
        <v>7.9999990000000007E-2</v>
      </c>
      <c r="K18" s="301" t="s">
        <v>913</v>
      </c>
      <c r="L18" s="296" t="s">
        <v>868</v>
      </c>
      <c r="M18" s="300">
        <v>7.9999990000000007E-2</v>
      </c>
      <c r="N18" s="302"/>
      <c r="O18" s="194"/>
      <c r="P18" s="195">
        <v>7.9999990000000007E-2</v>
      </c>
      <c r="Q18" s="192"/>
    </row>
    <row r="19" spans="1:17" s="193" customFormat="1" ht="24" customHeight="1">
      <c r="A19" s="304" t="s">
        <v>914</v>
      </c>
      <c r="B19" s="292">
        <v>46652366</v>
      </c>
      <c r="C19" s="293"/>
      <c r="D19" s="294" t="s">
        <v>839</v>
      </c>
      <c r="E19" s="295">
        <v>46652366</v>
      </c>
      <c r="F19" s="296" t="s">
        <v>867</v>
      </c>
      <c r="G19" s="297">
        <v>420481732</v>
      </c>
      <c r="H19" s="298" t="s">
        <v>841</v>
      </c>
      <c r="I19" s="299" t="s">
        <v>869</v>
      </c>
      <c r="J19" s="300">
        <v>0.1109498</v>
      </c>
      <c r="K19" s="301" t="s">
        <v>913</v>
      </c>
      <c r="L19" s="296" t="s">
        <v>868</v>
      </c>
      <c r="M19" s="300">
        <v>0.1109498</v>
      </c>
      <c r="N19" s="302"/>
      <c r="O19" s="194"/>
      <c r="P19" s="195">
        <v>0.1109498</v>
      </c>
      <c r="Q19" s="192"/>
    </row>
    <row r="20" spans="1:17" s="193" customFormat="1" ht="24" customHeight="1">
      <c r="A20" s="304" t="s">
        <v>915</v>
      </c>
      <c r="B20" s="292">
        <v>17884603</v>
      </c>
      <c r="C20" s="293"/>
      <c r="D20" s="294"/>
      <c r="E20" s="295"/>
      <c r="F20" s="296"/>
      <c r="G20" s="297"/>
      <c r="H20" s="298"/>
      <c r="I20" s="299"/>
      <c r="J20" s="300"/>
      <c r="K20" s="301"/>
      <c r="L20" s="296"/>
      <c r="M20" s="300"/>
      <c r="N20" s="302"/>
      <c r="O20" s="194"/>
      <c r="P20" s="195"/>
      <c r="Q20" s="192"/>
    </row>
    <row r="21" spans="1:17" s="193" customFormat="1" ht="24" customHeight="1">
      <c r="A21" s="304" t="s">
        <v>916</v>
      </c>
      <c r="B21" s="292">
        <v>454308</v>
      </c>
      <c r="C21" s="293"/>
      <c r="D21" s="294"/>
      <c r="E21" s="295"/>
      <c r="F21" s="296"/>
      <c r="G21" s="297"/>
      <c r="H21" s="298"/>
      <c r="I21" s="299"/>
      <c r="J21" s="300"/>
      <c r="K21" s="301"/>
      <c r="L21" s="296"/>
      <c r="M21" s="300"/>
      <c r="N21" s="302"/>
      <c r="O21" s="194"/>
      <c r="P21" s="195"/>
      <c r="Q21" s="192"/>
    </row>
    <row r="22" spans="1:17" s="193" customFormat="1" ht="24" customHeight="1">
      <c r="A22" s="291" t="s">
        <v>917</v>
      </c>
      <c r="B22" s="292">
        <v>519111546</v>
      </c>
      <c r="C22" s="305"/>
      <c r="D22" s="306"/>
      <c r="E22" s="305"/>
      <c r="F22" s="307"/>
      <c r="G22" s="305"/>
      <c r="H22" s="307"/>
      <c r="I22" s="307"/>
      <c r="J22" s="308"/>
      <c r="K22" s="305"/>
      <c r="L22" s="307"/>
      <c r="M22" s="308"/>
      <c r="N22" s="309"/>
      <c r="O22" s="190"/>
      <c r="P22" s="191"/>
      <c r="Q22" s="192"/>
    </row>
    <row r="23" spans="1:17" s="193" customFormat="1" ht="24" customHeight="1">
      <c r="A23" s="304" t="s">
        <v>918</v>
      </c>
      <c r="B23" s="292">
        <v>51911154</v>
      </c>
      <c r="C23" s="305"/>
      <c r="D23" s="306"/>
      <c r="E23" s="305"/>
      <c r="F23" s="307"/>
      <c r="G23" s="305"/>
      <c r="H23" s="307"/>
      <c r="I23" s="307"/>
      <c r="J23" s="308"/>
      <c r="K23" s="305"/>
      <c r="L23" s="307"/>
      <c r="M23" s="308"/>
      <c r="N23" s="309"/>
      <c r="O23" s="190"/>
      <c r="P23" s="191"/>
      <c r="Q23" s="192"/>
    </row>
    <row r="24" spans="1:17" s="193" customFormat="1" ht="24" customHeight="1">
      <c r="A24" s="310" t="s">
        <v>919</v>
      </c>
      <c r="B24" s="311">
        <v>571022700</v>
      </c>
      <c r="C24" s="312"/>
      <c r="D24" s="313"/>
      <c r="E24" s="312"/>
      <c r="F24" s="314"/>
      <c r="G24" s="312"/>
      <c r="H24" s="314"/>
      <c r="I24" s="314"/>
      <c r="J24" s="315"/>
      <c r="K24" s="312"/>
      <c r="L24" s="314"/>
      <c r="M24" s="315"/>
      <c r="N24" s="316"/>
      <c r="O24" s="190"/>
      <c r="P24" s="191"/>
      <c r="Q24" s="192"/>
    </row>
    <row r="25" spans="1:17" s="193" customFormat="1" ht="24.95" customHeight="1">
      <c r="A25" s="196"/>
      <c r="B25" s="197"/>
      <c r="C25" s="189"/>
      <c r="E25" s="189"/>
      <c r="G25" s="198"/>
      <c r="J25" s="189"/>
      <c r="K25" s="189"/>
      <c r="M25" s="189"/>
      <c r="O25" s="190"/>
      <c r="P25" s="191"/>
    </row>
    <row r="26" spans="1:17" s="193" customFormat="1" ht="24.95" customHeight="1">
      <c r="A26" s="189"/>
      <c r="B26" s="192"/>
      <c r="C26" s="189"/>
      <c r="E26" s="189"/>
      <c r="G26" s="189"/>
      <c r="J26" s="189"/>
      <c r="K26" s="189"/>
      <c r="M26" s="189"/>
      <c r="O26" s="190"/>
      <c r="P26" s="191"/>
    </row>
    <row r="27" spans="1:17" s="193" customFormat="1" ht="24.95" customHeight="1">
      <c r="B27" s="199"/>
      <c r="C27" s="189"/>
      <c r="D27" s="200"/>
      <c r="E27" s="189"/>
      <c r="G27" s="189"/>
      <c r="J27" s="189"/>
      <c r="K27" s="189"/>
      <c r="M27" s="189"/>
      <c r="O27" s="190"/>
      <c r="P27" s="191"/>
    </row>
    <row r="28" spans="1:17" s="193" customFormat="1" ht="24.95" customHeight="1">
      <c r="B28" s="201"/>
      <c r="C28" s="189"/>
      <c r="D28" s="202"/>
      <c r="E28" s="189"/>
      <c r="G28" s="189"/>
      <c r="J28" s="189"/>
      <c r="K28" s="189"/>
      <c r="M28" s="189"/>
      <c r="O28" s="190"/>
      <c r="P28" s="191"/>
    </row>
    <row r="29" spans="1:17" s="193" customFormat="1" ht="24.95" customHeight="1">
      <c r="B29" s="203"/>
      <c r="C29" s="189"/>
      <c r="D29" s="202"/>
      <c r="E29" s="189"/>
      <c r="G29" s="189"/>
      <c r="J29" s="189"/>
      <c r="K29" s="189"/>
      <c r="M29" s="189"/>
      <c r="O29" s="190"/>
      <c r="P29" s="191"/>
    </row>
    <row r="30" spans="1:17" s="193" customFormat="1" ht="24.95" customHeight="1">
      <c r="C30" s="189"/>
      <c r="E30" s="189"/>
      <c r="G30" s="189"/>
      <c r="J30" s="189"/>
      <c r="K30" s="189"/>
      <c r="M30" s="189"/>
      <c r="O30" s="190"/>
      <c r="P30" s="191"/>
    </row>
    <row r="31" spans="1:17" s="193" customFormat="1" ht="24.95" customHeight="1">
      <c r="C31" s="189"/>
      <c r="E31" s="189"/>
      <c r="G31" s="189"/>
      <c r="J31" s="189"/>
      <c r="K31" s="189"/>
      <c r="M31" s="189"/>
      <c r="O31" s="190"/>
      <c r="P31" s="191"/>
    </row>
    <row r="32" spans="1:17" s="193" customFormat="1" ht="24.95" customHeight="1">
      <c r="C32" s="189"/>
      <c r="E32" s="189"/>
      <c r="G32" s="189"/>
      <c r="J32" s="189"/>
      <c r="K32" s="189"/>
      <c r="M32" s="189"/>
      <c r="O32" s="190"/>
      <c r="P32" s="191"/>
    </row>
    <row r="33" spans="3:16" s="193" customFormat="1" ht="24.95" customHeight="1">
      <c r="C33" s="189"/>
      <c r="E33" s="189"/>
      <c r="G33" s="189"/>
      <c r="J33" s="189"/>
      <c r="K33" s="189"/>
      <c r="M33" s="189"/>
      <c r="O33" s="190"/>
      <c r="P33" s="191"/>
    </row>
    <row r="34" spans="3:16" s="193" customFormat="1" ht="24.95" customHeight="1">
      <c r="C34" s="189"/>
      <c r="E34" s="189"/>
      <c r="G34" s="189"/>
      <c r="J34" s="189"/>
      <c r="K34" s="189"/>
      <c r="M34" s="189"/>
      <c r="O34" s="190"/>
      <c r="P34" s="191"/>
    </row>
    <row r="35" spans="3:16" s="193" customFormat="1" ht="24.95" customHeight="1">
      <c r="C35" s="189"/>
      <c r="E35" s="189"/>
      <c r="G35" s="189"/>
      <c r="J35" s="189"/>
      <c r="K35" s="189"/>
      <c r="M35" s="189"/>
      <c r="O35" s="190"/>
      <c r="P35" s="191"/>
    </row>
    <row r="36" spans="3:16" s="193" customFormat="1" ht="24.95" customHeight="1">
      <c r="C36" s="189"/>
      <c r="E36" s="189"/>
      <c r="G36" s="189"/>
      <c r="J36" s="189"/>
      <c r="K36" s="189"/>
      <c r="M36" s="189"/>
      <c r="O36" s="190"/>
      <c r="P36" s="191"/>
    </row>
    <row r="37" spans="3:16" s="193" customFormat="1" ht="24.95" customHeight="1">
      <c r="C37" s="189"/>
      <c r="E37" s="189"/>
      <c r="G37" s="189"/>
      <c r="J37" s="189"/>
      <c r="K37" s="189"/>
      <c r="M37" s="189"/>
      <c r="O37" s="190"/>
      <c r="P37" s="191"/>
    </row>
    <row r="38" spans="3:16" s="193" customFormat="1" ht="24.95" customHeight="1">
      <c r="C38" s="189"/>
      <c r="E38" s="189"/>
      <c r="G38" s="189"/>
      <c r="J38" s="189"/>
      <c r="K38" s="189"/>
      <c r="M38" s="189"/>
      <c r="O38" s="190"/>
      <c r="P38" s="191"/>
    </row>
    <row r="39" spans="3:16" s="193" customFormat="1" ht="24.95" customHeight="1">
      <c r="C39" s="189"/>
      <c r="E39" s="189"/>
      <c r="G39" s="189"/>
      <c r="J39" s="189"/>
      <c r="K39" s="189"/>
      <c r="M39" s="189"/>
      <c r="O39" s="190"/>
      <c r="P39" s="191"/>
    </row>
    <row r="40" spans="3:16" s="193" customFormat="1" ht="24.95" customHeight="1">
      <c r="C40" s="189"/>
      <c r="E40" s="189"/>
      <c r="G40" s="189"/>
      <c r="J40" s="189"/>
      <c r="K40" s="189"/>
      <c r="M40" s="189"/>
      <c r="O40" s="190"/>
      <c r="P40" s="191"/>
    </row>
    <row r="41" spans="3:16" s="193" customFormat="1" ht="24.95" customHeight="1">
      <c r="C41" s="189"/>
      <c r="E41" s="189"/>
      <c r="G41" s="189"/>
      <c r="J41" s="189"/>
      <c r="K41" s="189"/>
      <c r="M41" s="189"/>
      <c r="O41" s="190"/>
      <c r="P41" s="191"/>
    </row>
    <row r="42" spans="3:16" s="193" customFormat="1" ht="24.95" customHeight="1">
      <c r="C42" s="189"/>
      <c r="E42" s="189"/>
      <c r="G42" s="189"/>
      <c r="J42" s="189"/>
      <c r="K42" s="189"/>
      <c r="M42" s="189"/>
      <c r="O42" s="190"/>
      <c r="P42" s="191"/>
    </row>
    <row r="43" spans="3:16" s="193" customFormat="1" ht="24.95" customHeight="1">
      <c r="C43" s="189"/>
      <c r="E43" s="189"/>
      <c r="G43" s="189"/>
      <c r="J43" s="189"/>
      <c r="K43" s="189"/>
      <c r="M43" s="189"/>
      <c r="O43" s="190"/>
      <c r="P43" s="191"/>
    </row>
    <row r="44" spans="3:16" s="193" customFormat="1" ht="24.95" customHeight="1">
      <c r="C44" s="189"/>
      <c r="E44" s="189"/>
      <c r="G44" s="189"/>
      <c r="J44" s="189"/>
      <c r="K44" s="189"/>
      <c r="M44" s="189"/>
      <c r="O44" s="190"/>
      <c r="P44" s="191"/>
    </row>
    <row r="45" spans="3:16" s="193" customFormat="1" ht="24.95" customHeight="1">
      <c r="C45" s="189"/>
      <c r="E45" s="189"/>
      <c r="G45" s="189"/>
      <c r="J45" s="189"/>
      <c r="K45" s="189"/>
      <c r="M45" s="189"/>
      <c r="O45" s="190"/>
      <c r="P45" s="191"/>
    </row>
    <row r="46" spans="3:16" s="193" customFormat="1" ht="24.95" customHeight="1">
      <c r="C46" s="189"/>
      <c r="E46" s="189"/>
      <c r="G46" s="189"/>
      <c r="J46" s="189"/>
      <c r="K46" s="189"/>
      <c r="M46" s="189"/>
      <c r="O46" s="190"/>
      <c r="P46" s="191"/>
    </row>
    <row r="47" spans="3:16" s="193" customFormat="1" ht="24.95" customHeight="1">
      <c r="C47" s="189"/>
      <c r="E47" s="189"/>
      <c r="G47" s="189"/>
      <c r="J47" s="189"/>
      <c r="K47" s="189"/>
      <c r="M47" s="189"/>
      <c r="O47" s="190"/>
      <c r="P47" s="191"/>
    </row>
    <row r="48" spans="3:16" s="193" customFormat="1" ht="24.95" customHeight="1">
      <c r="C48" s="189"/>
      <c r="E48" s="189"/>
      <c r="G48" s="189"/>
      <c r="J48" s="189"/>
      <c r="K48" s="189"/>
      <c r="M48" s="189"/>
      <c r="O48" s="190"/>
      <c r="P48" s="191"/>
    </row>
    <row r="49" spans="3:16" s="193" customFormat="1" ht="24.95" customHeight="1">
      <c r="C49" s="189"/>
      <c r="E49" s="189"/>
      <c r="G49" s="189"/>
      <c r="J49" s="189"/>
      <c r="K49" s="189"/>
      <c r="M49" s="189"/>
      <c r="O49" s="190"/>
      <c r="P49" s="191"/>
    </row>
    <row r="50" spans="3:16" s="193" customFormat="1" ht="24.95" customHeight="1">
      <c r="C50" s="189"/>
      <c r="E50" s="189"/>
      <c r="G50" s="189"/>
      <c r="J50" s="189"/>
      <c r="K50" s="189"/>
      <c r="M50" s="189"/>
      <c r="O50" s="190"/>
      <c r="P50" s="191"/>
    </row>
    <row r="51" spans="3:16" s="193" customFormat="1" ht="24.95" customHeight="1">
      <c r="C51" s="189"/>
      <c r="E51" s="189"/>
      <c r="G51" s="189"/>
      <c r="J51" s="189"/>
      <c r="K51" s="189"/>
      <c r="M51" s="189"/>
      <c r="O51" s="190"/>
      <c r="P51" s="191"/>
    </row>
    <row r="52" spans="3:16" s="193" customFormat="1" ht="24.95" customHeight="1">
      <c r="C52" s="189"/>
      <c r="E52" s="189"/>
      <c r="G52" s="189"/>
      <c r="J52" s="189"/>
      <c r="K52" s="189"/>
      <c r="M52" s="189"/>
      <c r="O52" s="190"/>
      <c r="P52" s="191"/>
    </row>
    <row r="53" spans="3:16" s="193" customFormat="1" ht="24.95" customHeight="1">
      <c r="C53" s="189"/>
      <c r="E53" s="189"/>
      <c r="G53" s="189"/>
      <c r="J53" s="189"/>
      <c r="K53" s="189"/>
      <c r="M53" s="189"/>
      <c r="O53" s="190"/>
      <c r="P53" s="191"/>
    </row>
    <row r="54" spans="3:16" s="193" customFormat="1" ht="24.95" customHeight="1">
      <c r="C54" s="189"/>
      <c r="E54" s="189"/>
      <c r="G54" s="189"/>
      <c r="J54" s="189"/>
      <c r="K54" s="189"/>
      <c r="M54" s="189"/>
      <c r="O54" s="190"/>
      <c r="P54" s="191"/>
    </row>
    <row r="55" spans="3:16" s="193" customFormat="1" ht="24.95" customHeight="1">
      <c r="C55" s="189"/>
      <c r="E55" s="189"/>
      <c r="G55" s="189"/>
      <c r="J55" s="189"/>
      <c r="K55" s="189"/>
      <c r="M55" s="189"/>
      <c r="O55" s="190"/>
      <c r="P55" s="191"/>
    </row>
    <row r="56" spans="3:16" s="193" customFormat="1" ht="24.95" customHeight="1">
      <c r="C56" s="189"/>
      <c r="E56" s="189"/>
      <c r="G56" s="189"/>
      <c r="J56" s="189"/>
      <c r="K56" s="189"/>
      <c r="M56" s="189"/>
      <c r="O56" s="190"/>
      <c r="P56" s="191"/>
    </row>
    <row r="57" spans="3:16" s="193" customFormat="1" ht="24.95" customHeight="1">
      <c r="C57" s="189"/>
      <c r="E57" s="189"/>
      <c r="G57" s="189"/>
      <c r="J57" s="189"/>
      <c r="K57" s="189"/>
      <c r="M57" s="189"/>
      <c r="O57" s="190"/>
      <c r="P57" s="191"/>
    </row>
    <row r="58" spans="3:16" s="193" customFormat="1" ht="24.95" customHeight="1">
      <c r="C58" s="189"/>
      <c r="E58" s="189"/>
      <c r="G58" s="189"/>
      <c r="J58" s="189"/>
      <c r="K58" s="189"/>
      <c r="M58" s="189"/>
      <c r="O58" s="190"/>
      <c r="P58" s="191"/>
    </row>
    <row r="59" spans="3:16" s="193" customFormat="1" ht="24.95" customHeight="1">
      <c r="C59" s="189"/>
      <c r="E59" s="189"/>
      <c r="G59" s="189"/>
      <c r="J59" s="189"/>
      <c r="K59" s="189"/>
      <c r="M59" s="189"/>
      <c r="O59" s="190"/>
      <c r="P59" s="191"/>
    </row>
    <row r="60" spans="3:16" ht="24.95" customHeight="1"/>
  </sheetData>
  <mergeCells count="5">
    <mergeCell ref="A1:N1"/>
    <mergeCell ref="C3:J3"/>
    <mergeCell ref="K3:M3"/>
    <mergeCell ref="D4:J4"/>
    <mergeCell ref="K4:M4"/>
  </mergeCells>
  <phoneticPr fontId="8" type="noConversion"/>
  <printOptions horizontalCentered="1"/>
  <pageMargins left="0.11811023622047245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476A-F937-4181-A218-D1556631EC79}">
  <sheetPr>
    <tabColor rgb="FF00B0F0"/>
  </sheetPr>
  <dimension ref="B1:Q237"/>
  <sheetViews>
    <sheetView view="pageBreakPreview" zoomScale="115" zoomScaleNormal="100" zoomScaleSheetLayoutView="115" workbookViewId="0">
      <pane ySplit="4" topLeftCell="A5" activePane="bottomLeft" state="frozen"/>
      <selection activeCell="BA14" sqref="BA14"/>
      <selection pane="bottomLeft" sqref="A1:XFD1048576"/>
    </sheetView>
  </sheetViews>
  <sheetFormatPr defaultRowHeight="12.75"/>
  <cols>
    <col min="1" max="1" width="0.7109375" customWidth="1"/>
    <col min="2" max="2" width="5" customWidth="1"/>
    <col min="3" max="3" width="35.7109375" customWidth="1"/>
    <col min="4" max="4" width="21.42578125" customWidth="1"/>
    <col min="5" max="5" width="5.85546875" customWidth="1"/>
    <col min="6" max="6" width="3.28515625" customWidth="1"/>
    <col min="7" max="7" width="9.28515625" customWidth="1"/>
    <col min="8" max="8" width="13.7109375" customWidth="1"/>
    <col min="9" max="9" width="9" customWidth="1"/>
    <col min="10" max="10" width="13.7109375" customWidth="1"/>
    <col min="11" max="11" width="8.85546875" customWidth="1"/>
    <col min="12" max="12" width="13.7109375" customWidth="1"/>
    <col min="13" max="13" width="9.140625" customWidth="1"/>
    <col min="14" max="14" width="13.7109375" customWidth="1"/>
    <col min="15" max="15" width="6.42578125" customWidth="1"/>
    <col min="17" max="17" width="12" bestFit="1" customWidth="1"/>
  </cols>
  <sheetData>
    <row r="1" spans="2:17" ht="24.95" customHeight="1">
      <c r="B1" s="355" t="s">
        <v>855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</row>
    <row r="2" spans="2:17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</row>
    <row r="3" spans="2:17" ht="15.4" customHeight="1">
      <c r="B3" s="356" t="s">
        <v>829</v>
      </c>
      <c r="C3" s="358" t="s">
        <v>520</v>
      </c>
      <c r="D3" s="358" t="s">
        <v>649</v>
      </c>
      <c r="E3" s="358" t="s">
        <v>441</v>
      </c>
      <c r="F3" s="358" t="s">
        <v>294</v>
      </c>
      <c r="G3" s="351" t="s">
        <v>710</v>
      </c>
      <c r="H3" s="352"/>
      <c r="I3" s="351" t="s">
        <v>325</v>
      </c>
      <c r="J3" s="352"/>
      <c r="K3" s="351" t="s">
        <v>538</v>
      </c>
      <c r="L3" s="352"/>
      <c r="M3" s="351" t="s">
        <v>671</v>
      </c>
      <c r="N3" s="352"/>
      <c r="O3" s="353" t="s">
        <v>178</v>
      </c>
    </row>
    <row r="4" spans="2:17" ht="19.7" customHeight="1">
      <c r="B4" s="357"/>
      <c r="C4" s="359"/>
      <c r="D4" s="359"/>
      <c r="E4" s="359"/>
      <c r="F4" s="35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54"/>
    </row>
    <row r="5" spans="2:17" ht="19.7" customHeight="1">
      <c r="B5" s="61" t="s">
        <v>401</v>
      </c>
      <c r="C5" s="62" t="s">
        <v>443</v>
      </c>
      <c r="D5" s="62" t="s">
        <v>834</v>
      </c>
      <c r="E5" s="31"/>
      <c r="F5" s="91" t="s">
        <v>834</v>
      </c>
      <c r="G5" s="37">
        <v>0</v>
      </c>
      <c r="H5" s="92">
        <v>199908313</v>
      </c>
      <c r="I5" s="37"/>
      <c r="J5" s="92" t="s">
        <v>1086</v>
      </c>
      <c r="K5" s="37"/>
      <c r="L5" s="92" t="s">
        <v>1087</v>
      </c>
      <c r="M5" s="37"/>
      <c r="N5" s="92" t="s">
        <v>1088</v>
      </c>
      <c r="O5" s="93" t="s">
        <v>834</v>
      </c>
      <c r="Q5" s="27">
        <v>30804793</v>
      </c>
    </row>
    <row r="6" spans="2:17" ht="19.7" customHeight="1">
      <c r="B6" s="61" t="s">
        <v>499</v>
      </c>
      <c r="C6" s="62" t="s">
        <v>489</v>
      </c>
      <c r="D6" s="62" t="s">
        <v>834</v>
      </c>
      <c r="E6" s="31"/>
      <c r="F6" s="91" t="s">
        <v>834</v>
      </c>
      <c r="G6" s="37">
        <v>0</v>
      </c>
      <c r="H6" s="92">
        <v>199908313</v>
      </c>
      <c r="I6" s="37"/>
      <c r="J6" s="92" t="s">
        <v>1086</v>
      </c>
      <c r="K6" s="37"/>
      <c r="L6" s="92" t="s">
        <v>1087</v>
      </c>
      <c r="M6" s="37"/>
      <c r="N6" s="92" t="s">
        <v>1088</v>
      </c>
      <c r="O6" s="93" t="s">
        <v>834</v>
      </c>
      <c r="Q6" s="27">
        <v>118424276</v>
      </c>
    </row>
    <row r="7" spans="2:17" ht="19.7" customHeight="1">
      <c r="B7" s="61" t="s">
        <v>207</v>
      </c>
      <c r="C7" s="62" t="s">
        <v>682</v>
      </c>
      <c r="D7" s="62" t="s">
        <v>834</v>
      </c>
      <c r="E7" s="31"/>
      <c r="F7" s="91" t="s">
        <v>834</v>
      </c>
      <c r="G7" s="37">
        <v>0</v>
      </c>
      <c r="H7" s="92">
        <v>191105975</v>
      </c>
      <c r="I7" s="37"/>
      <c r="J7" s="92" t="s">
        <v>1089</v>
      </c>
      <c r="K7" s="37"/>
      <c r="L7" s="92" t="s">
        <v>1090</v>
      </c>
      <c r="M7" s="37"/>
      <c r="N7" s="92" t="s">
        <v>1091</v>
      </c>
      <c r="O7" s="93" t="s">
        <v>834</v>
      </c>
    </row>
    <row r="8" spans="2:17" ht="19.7" customHeight="1">
      <c r="B8" s="67" t="s">
        <v>834</v>
      </c>
      <c r="C8" s="29" t="s">
        <v>563</v>
      </c>
      <c r="D8" s="29" t="s">
        <v>624</v>
      </c>
      <c r="E8" s="31">
        <v>1969</v>
      </c>
      <c r="F8" s="30" t="s">
        <v>596</v>
      </c>
      <c r="G8" s="37">
        <v>7028</v>
      </c>
      <c r="H8" s="65">
        <v>13838132</v>
      </c>
      <c r="I8" s="64" t="s">
        <v>1092</v>
      </c>
      <c r="J8" s="65">
        <v>7984295</v>
      </c>
      <c r="K8" s="64" t="s">
        <v>1093</v>
      </c>
      <c r="L8" s="65">
        <v>2624677</v>
      </c>
      <c r="M8" s="64" t="s">
        <v>1094</v>
      </c>
      <c r="N8" s="65">
        <v>3229160</v>
      </c>
      <c r="O8" s="32" t="s">
        <v>128</v>
      </c>
    </row>
    <row r="9" spans="2:17" ht="19.7" customHeight="1">
      <c r="B9" s="67" t="s">
        <v>834</v>
      </c>
      <c r="C9" s="29" t="s">
        <v>478</v>
      </c>
      <c r="D9" s="29" t="s">
        <v>320</v>
      </c>
      <c r="E9" s="31">
        <v>1969</v>
      </c>
      <c r="F9" s="30" t="s">
        <v>596</v>
      </c>
      <c r="G9" s="37">
        <v>88872</v>
      </c>
      <c r="H9" s="65">
        <v>174988968</v>
      </c>
      <c r="I9" s="64">
        <v>56505</v>
      </c>
      <c r="J9" s="65">
        <v>111258345</v>
      </c>
      <c r="K9" s="64">
        <v>32011</v>
      </c>
      <c r="L9" s="65">
        <v>63029659</v>
      </c>
      <c r="M9" s="64">
        <v>356</v>
      </c>
      <c r="N9" s="65">
        <v>700964</v>
      </c>
      <c r="O9" s="32" t="s">
        <v>796</v>
      </c>
    </row>
    <row r="10" spans="2:17" ht="19.7" customHeight="1">
      <c r="B10" s="67" t="s">
        <v>834</v>
      </c>
      <c r="C10" s="29" t="s">
        <v>788</v>
      </c>
      <c r="D10" s="29" t="s">
        <v>303</v>
      </c>
      <c r="E10" s="31">
        <v>125</v>
      </c>
      <c r="F10" s="30" t="s">
        <v>296</v>
      </c>
      <c r="G10" s="37">
        <v>12471</v>
      </c>
      <c r="H10" s="65">
        <v>1558875</v>
      </c>
      <c r="I10" s="64">
        <v>2580</v>
      </c>
      <c r="J10" s="65">
        <v>322500</v>
      </c>
      <c r="K10" s="64">
        <v>9840</v>
      </c>
      <c r="L10" s="65">
        <v>1230000</v>
      </c>
      <c r="M10" s="64">
        <v>51</v>
      </c>
      <c r="N10" s="65">
        <v>6375</v>
      </c>
      <c r="O10" s="32" t="s">
        <v>723</v>
      </c>
    </row>
    <row r="11" spans="2:17" ht="19.7" customHeight="1">
      <c r="B11" s="67" t="s">
        <v>834</v>
      </c>
      <c r="C11" s="29" t="s">
        <v>206</v>
      </c>
      <c r="D11" s="29" t="s">
        <v>632</v>
      </c>
      <c r="E11" s="31">
        <v>4</v>
      </c>
      <c r="F11" s="30" t="s">
        <v>542</v>
      </c>
      <c r="G11" s="37">
        <v>180000</v>
      </c>
      <c r="H11" s="65">
        <v>720000</v>
      </c>
      <c r="I11" s="64">
        <v>0</v>
      </c>
      <c r="J11" s="65">
        <v>0</v>
      </c>
      <c r="K11" s="64">
        <v>180000</v>
      </c>
      <c r="L11" s="65">
        <v>720000</v>
      </c>
      <c r="M11" s="64">
        <v>0</v>
      </c>
      <c r="N11" s="65">
        <v>0</v>
      </c>
      <c r="O11" s="32" t="s">
        <v>834</v>
      </c>
    </row>
    <row r="12" spans="2:17" ht="19.7" customHeight="1">
      <c r="B12" s="61" t="s">
        <v>328</v>
      </c>
      <c r="C12" s="62" t="s">
        <v>259</v>
      </c>
      <c r="D12" s="62" t="s">
        <v>834</v>
      </c>
      <c r="E12" s="31"/>
      <c r="F12" s="91" t="s">
        <v>834</v>
      </c>
      <c r="G12" s="37">
        <v>0</v>
      </c>
      <c r="H12" s="92">
        <v>8802338</v>
      </c>
      <c r="I12" s="37"/>
      <c r="J12" s="92" t="s">
        <v>1095</v>
      </c>
      <c r="K12" s="37"/>
      <c r="L12" s="92" t="s">
        <v>1096</v>
      </c>
      <c r="M12" s="37"/>
      <c r="N12" s="92" t="s">
        <v>1097</v>
      </c>
      <c r="O12" s="93" t="s">
        <v>834</v>
      </c>
    </row>
    <row r="13" spans="2:17" ht="19.7" customHeight="1">
      <c r="B13" s="67" t="s">
        <v>834</v>
      </c>
      <c r="C13" s="29" t="s">
        <v>377</v>
      </c>
      <c r="D13" s="29" t="s">
        <v>292</v>
      </c>
      <c r="E13" s="31">
        <v>65</v>
      </c>
      <c r="F13" s="30" t="s">
        <v>596</v>
      </c>
      <c r="G13" s="37">
        <v>27483</v>
      </c>
      <c r="H13" s="65">
        <v>1786395</v>
      </c>
      <c r="I13" s="64" t="s">
        <v>1098</v>
      </c>
      <c r="J13" s="65">
        <v>207025</v>
      </c>
      <c r="K13" s="64" t="s">
        <v>1099</v>
      </c>
      <c r="L13" s="65">
        <v>1554345</v>
      </c>
      <c r="M13" s="64" t="s">
        <v>1100</v>
      </c>
      <c r="N13" s="65">
        <v>25025</v>
      </c>
      <c r="O13" s="32" t="s">
        <v>418</v>
      </c>
    </row>
    <row r="14" spans="2:17" ht="19.7" customHeight="1">
      <c r="B14" s="67" t="s">
        <v>834</v>
      </c>
      <c r="C14" s="29" t="s">
        <v>377</v>
      </c>
      <c r="D14" s="29" t="s">
        <v>661</v>
      </c>
      <c r="E14" s="31">
        <v>5</v>
      </c>
      <c r="F14" s="30" t="s">
        <v>596</v>
      </c>
      <c r="G14" s="37">
        <v>32506</v>
      </c>
      <c r="H14" s="65">
        <v>162530</v>
      </c>
      <c r="I14" s="64" t="s">
        <v>1101</v>
      </c>
      <c r="J14" s="65">
        <v>31855</v>
      </c>
      <c r="K14" s="64" t="s">
        <v>1102</v>
      </c>
      <c r="L14" s="65">
        <v>126825</v>
      </c>
      <c r="M14" s="64" t="s">
        <v>1103</v>
      </c>
      <c r="N14" s="65">
        <v>3850</v>
      </c>
      <c r="O14" s="32" t="s">
        <v>108</v>
      </c>
    </row>
    <row r="15" spans="2:17" ht="19.7" customHeight="1">
      <c r="B15" s="67" t="s">
        <v>834</v>
      </c>
      <c r="C15" s="29" t="s">
        <v>377</v>
      </c>
      <c r="D15" s="29" t="s">
        <v>315</v>
      </c>
      <c r="E15" s="31">
        <v>72</v>
      </c>
      <c r="F15" s="30" t="s">
        <v>596</v>
      </c>
      <c r="G15" s="37">
        <v>46057</v>
      </c>
      <c r="H15" s="65">
        <v>3316104</v>
      </c>
      <c r="I15" s="64" t="s">
        <v>1104</v>
      </c>
      <c r="J15" s="65">
        <v>1274256</v>
      </c>
      <c r="K15" s="64" t="s">
        <v>1105</v>
      </c>
      <c r="L15" s="65">
        <v>1887696</v>
      </c>
      <c r="M15" s="64" t="s">
        <v>1106</v>
      </c>
      <c r="N15" s="65">
        <v>154152</v>
      </c>
      <c r="O15" s="32" t="s">
        <v>495</v>
      </c>
    </row>
    <row r="16" spans="2:17" ht="19.7" customHeight="1">
      <c r="B16" s="67" t="s">
        <v>834</v>
      </c>
      <c r="C16" s="29" t="s">
        <v>398</v>
      </c>
      <c r="D16" s="29" t="s">
        <v>530</v>
      </c>
      <c r="E16" s="31">
        <v>1</v>
      </c>
      <c r="F16" s="30" t="s">
        <v>748</v>
      </c>
      <c r="G16" s="37">
        <v>973959</v>
      </c>
      <c r="H16" s="65">
        <v>973959</v>
      </c>
      <c r="I16" s="64">
        <v>553537</v>
      </c>
      <c r="J16" s="65">
        <v>553537</v>
      </c>
      <c r="K16" s="64">
        <v>244588</v>
      </c>
      <c r="L16" s="65">
        <v>244588</v>
      </c>
      <c r="M16" s="64">
        <v>175834</v>
      </c>
      <c r="N16" s="65">
        <v>175834</v>
      </c>
      <c r="O16" s="32" t="s">
        <v>751</v>
      </c>
    </row>
    <row r="17" spans="2:15" ht="19.7" customHeight="1">
      <c r="B17" s="67" t="s">
        <v>834</v>
      </c>
      <c r="C17" s="29" t="s">
        <v>597</v>
      </c>
      <c r="D17" s="29" t="s">
        <v>530</v>
      </c>
      <c r="E17" s="31">
        <v>1</v>
      </c>
      <c r="F17" s="30" t="s">
        <v>366</v>
      </c>
      <c r="G17" s="37">
        <v>147875</v>
      </c>
      <c r="H17" s="65">
        <v>147875</v>
      </c>
      <c r="I17" s="64">
        <v>63375</v>
      </c>
      <c r="J17" s="65">
        <v>63375</v>
      </c>
      <c r="K17" s="64">
        <v>84500</v>
      </c>
      <c r="L17" s="65">
        <v>84500</v>
      </c>
      <c r="M17" s="64">
        <v>0</v>
      </c>
      <c r="N17" s="65">
        <v>0</v>
      </c>
      <c r="O17" s="32" t="s">
        <v>188</v>
      </c>
    </row>
    <row r="18" spans="2:15" ht="19.7" customHeight="1">
      <c r="B18" s="67" t="s">
        <v>834</v>
      </c>
      <c r="C18" s="29" t="s">
        <v>722</v>
      </c>
      <c r="D18" s="29" t="s">
        <v>211</v>
      </c>
      <c r="E18" s="31">
        <v>1</v>
      </c>
      <c r="F18" s="30" t="s">
        <v>665</v>
      </c>
      <c r="G18" s="37">
        <v>2203423</v>
      </c>
      <c r="H18" s="65">
        <v>2203423</v>
      </c>
      <c r="I18" s="64"/>
      <c r="J18" s="65">
        <v>0</v>
      </c>
      <c r="K18" s="64"/>
      <c r="L18" s="65">
        <v>0</v>
      </c>
      <c r="M18" s="64">
        <v>2203423</v>
      </c>
      <c r="N18" s="65">
        <v>2203423</v>
      </c>
      <c r="O18" s="32" t="s">
        <v>140</v>
      </c>
    </row>
    <row r="19" spans="2:15" ht="19.7" customHeight="1">
      <c r="B19" s="67" t="s">
        <v>834</v>
      </c>
      <c r="C19" s="29" t="s">
        <v>283</v>
      </c>
      <c r="D19" s="29" t="s">
        <v>623</v>
      </c>
      <c r="E19" s="31">
        <v>1</v>
      </c>
      <c r="F19" s="30" t="s">
        <v>665</v>
      </c>
      <c r="G19" s="37">
        <v>212052</v>
      </c>
      <c r="H19" s="65">
        <v>212052</v>
      </c>
      <c r="I19" s="64">
        <v>0</v>
      </c>
      <c r="J19" s="65">
        <v>0</v>
      </c>
      <c r="K19" s="64">
        <v>0</v>
      </c>
      <c r="L19" s="65">
        <v>0</v>
      </c>
      <c r="M19" s="64">
        <v>212052</v>
      </c>
      <c r="N19" s="65">
        <v>212052</v>
      </c>
      <c r="O19" s="32" t="s">
        <v>484</v>
      </c>
    </row>
    <row r="20" spans="2:15" ht="19.7" customHeight="1">
      <c r="B20" s="67" t="s">
        <v>834</v>
      </c>
      <c r="C20" s="29" t="s">
        <v>834</v>
      </c>
      <c r="D20" s="29" t="s">
        <v>834</v>
      </c>
      <c r="E20" s="31"/>
      <c r="F20" s="30" t="s">
        <v>834</v>
      </c>
      <c r="G20" s="37">
        <v>0</v>
      </c>
      <c r="H20" s="65">
        <v>0</v>
      </c>
      <c r="I20" s="37"/>
      <c r="J20" s="31"/>
      <c r="K20" s="37"/>
      <c r="L20" s="31"/>
      <c r="M20" s="37"/>
      <c r="N20" s="31"/>
      <c r="O20" s="32" t="s">
        <v>834</v>
      </c>
    </row>
    <row r="21" spans="2:15" ht="19.7" customHeight="1">
      <c r="B21" s="61" t="s">
        <v>594</v>
      </c>
      <c r="C21" s="62" t="s">
        <v>210</v>
      </c>
      <c r="D21" s="62" t="s">
        <v>834</v>
      </c>
      <c r="E21" s="31"/>
      <c r="F21" s="91" t="s">
        <v>834</v>
      </c>
      <c r="G21" s="37">
        <v>0</v>
      </c>
      <c r="H21" s="92">
        <v>156212175</v>
      </c>
      <c r="I21" s="37"/>
      <c r="J21" s="92" t="s">
        <v>1107</v>
      </c>
      <c r="K21" s="37"/>
      <c r="L21" s="92" t="s">
        <v>1108</v>
      </c>
      <c r="M21" s="37"/>
      <c r="N21" s="92" t="s">
        <v>1109</v>
      </c>
      <c r="O21" s="93" t="s">
        <v>834</v>
      </c>
    </row>
    <row r="22" spans="2:15" ht="19.7" customHeight="1">
      <c r="B22" s="61" t="s">
        <v>629</v>
      </c>
      <c r="C22" s="62" t="s">
        <v>168</v>
      </c>
      <c r="D22" s="62" t="s">
        <v>834</v>
      </c>
      <c r="E22" s="31"/>
      <c r="F22" s="91" t="s">
        <v>834</v>
      </c>
      <c r="G22" s="37">
        <v>0</v>
      </c>
      <c r="H22" s="92">
        <v>6837069</v>
      </c>
      <c r="I22" s="37"/>
      <c r="J22" s="92" t="s">
        <v>1110</v>
      </c>
      <c r="K22" s="37"/>
      <c r="L22" s="92" t="s">
        <v>1111</v>
      </c>
      <c r="M22" s="37"/>
      <c r="N22" s="92" t="s">
        <v>1112</v>
      </c>
      <c r="O22" s="93" t="s">
        <v>834</v>
      </c>
    </row>
    <row r="23" spans="2:15" ht="19.7" customHeight="1">
      <c r="B23" s="61" t="s">
        <v>468</v>
      </c>
      <c r="C23" s="62" t="s">
        <v>102</v>
      </c>
      <c r="D23" s="62" t="s">
        <v>834</v>
      </c>
      <c r="E23" s="31"/>
      <c r="F23" s="91" t="s">
        <v>834</v>
      </c>
      <c r="G23" s="37">
        <v>0</v>
      </c>
      <c r="H23" s="92">
        <v>3083803</v>
      </c>
      <c r="I23" s="37"/>
      <c r="J23" s="92" t="s">
        <v>1113</v>
      </c>
      <c r="K23" s="37"/>
      <c r="L23" s="92" t="s">
        <v>1114</v>
      </c>
      <c r="M23" s="37"/>
      <c r="N23" s="92" t="s">
        <v>1115</v>
      </c>
      <c r="O23" s="93" t="s">
        <v>834</v>
      </c>
    </row>
    <row r="24" spans="2:15" ht="19.7" customHeight="1">
      <c r="B24" s="61" t="s">
        <v>834</v>
      </c>
      <c r="C24" s="62" t="s">
        <v>350</v>
      </c>
      <c r="D24" s="62" t="s">
        <v>834</v>
      </c>
      <c r="E24" s="31"/>
      <c r="F24" s="91" t="s">
        <v>834</v>
      </c>
      <c r="G24" s="37">
        <v>0</v>
      </c>
      <c r="H24" s="92">
        <v>888414</v>
      </c>
      <c r="I24" s="37"/>
      <c r="J24" s="92" t="s">
        <v>1116</v>
      </c>
      <c r="K24" s="37"/>
      <c r="L24" s="92" t="s">
        <v>1117</v>
      </c>
      <c r="M24" s="37"/>
      <c r="N24" s="92" t="s">
        <v>1118</v>
      </c>
      <c r="O24" s="93" t="s">
        <v>834</v>
      </c>
    </row>
    <row r="25" spans="2:15" ht="19.7" customHeight="1">
      <c r="B25" s="67" t="s">
        <v>834</v>
      </c>
      <c r="C25" s="29" t="s">
        <v>438</v>
      </c>
      <c r="D25" s="29" t="s">
        <v>33</v>
      </c>
      <c r="E25" s="31">
        <v>2</v>
      </c>
      <c r="F25" s="30" t="s">
        <v>596</v>
      </c>
      <c r="G25" s="37">
        <v>444207</v>
      </c>
      <c r="H25" s="65">
        <v>888414</v>
      </c>
      <c r="I25" s="64">
        <v>154083</v>
      </c>
      <c r="J25" s="65">
        <v>308166</v>
      </c>
      <c r="K25" s="64">
        <v>286620</v>
      </c>
      <c r="L25" s="65">
        <v>573240</v>
      </c>
      <c r="M25" s="64">
        <v>3504</v>
      </c>
      <c r="N25" s="65">
        <v>7008</v>
      </c>
      <c r="O25" s="32" t="s">
        <v>584</v>
      </c>
    </row>
    <row r="26" spans="2:15" ht="19.7" customHeight="1">
      <c r="B26" s="61" t="s">
        <v>834</v>
      </c>
      <c r="C26" s="62" t="s">
        <v>230</v>
      </c>
      <c r="D26" s="62" t="s">
        <v>834</v>
      </c>
      <c r="E26" s="31"/>
      <c r="F26" s="91" t="s">
        <v>834</v>
      </c>
      <c r="G26" s="37">
        <v>0</v>
      </c>
      <c r="H26" s="92">
        <v>1134312</v>
      </c>
      <c r="I26" s="37"/>
      <c r="J26" s="92" t="s">
        <v>1119</v>
      </c>
      <c r="K26" s="37"/>
      <c r="L26" s="92" t="s">
        <v>1120</v>
      </c>
      <c r="M26" s="37"/>
      <c r="N26" s="92" t="s">
        <v>1121</v>
      </c>
      <c r="O26" s="93" t="s">
        <v>834</v>
      </c>
    </row>
    <row r="27" spans="2:15" ht="19.7" customHeight="1">
      <c r="B27" s="67" t="s">
        <v>834</v>
      </c>
      <c r="C27" s="29" t="s">
        <v>319</v>
      </c>
      <c r="D27" s="29" t="s">
        <v>500</v>
      </c>
      <c r="E27" s="31">
        <v>10</v>
      </c>
      <c r="F27" s="30" t="s">
        <v>596</v>
      </c>
      <c r="G27" s="37">
        <v>101028</v>
      </c>
      <c r="H27" s="65">
        <v>1010280</v>
      </c>
      <c r="I27" s="64">
        <v>77305</v>
      </c>
      <c r="J27" s="65">
        <v>773050</v>
      </c>
      <c r="K27" s="64">
        <v>22700</v>
      </c>
      <c r="L27" s="65">
        <v>227000</v>
      </c>
      <c r="M27" s="64">
        <v>1023</v>
      </c>
      <c r="N27" s="65">
        <v>10230</v>
      </c>
      <c r="O27" s="32" t="s">
        <v>15</v>
      </c>
    </row>
    <row r="28" spans="2:15" ht="19.7" customHeight="1">
      <c r="B28" s="67" t="s">
        <v>834</v>
      </c>
      <c r="C28" s="29" t="s">
        <v>612</v>
      </c>
      <c r="D28" s="29" t="s">
        <v>561</v>
      </c>
      <c r="E28" s="31">
        <v>3</v>
      </c>
      <c r="F28" s="30" t="s">
        <v>476</v>
      </c>
      <c r="G28" s="37">
        <v>41344</v>
      </c>
      <c r="H28" s="65">
        <v>124032</v>
      </c>
      <c r="I28" s="64">
        <v>33439</v>
      </c>
      <c r="J28" s="65">
        <v>100317</v>
      </c>
      <c r="K28" s="64">
        <v>7237</v>
      </c>
      <c r="L28" s="65">
        <v>21711</v>
      </c>
      <c r="M28" s="64">
        <v>668</v>
      </c>
      <c r="N28" s="65">
        <v>2004</v>
      </c>
      <c r="O28" s="32" t="s">
        <v>295</v>
      </c>
    </row>
    <row r="29" spans="2:15" ht="19.7" customHeight="1">
      <c r="B29" s="61" t="s">
        <v>834</v>
      </c>
      <c r="C29" s="62" t="s">
        <v>201</v>
      </c>
      <c r="D29" s="62" t="s">
        <v>834</v>
      </c>
      <c r="E29" s="31"/>
      <c r="F29" s="91" t="s">
        <v>834</v>
      </c>
      <c r="G29" s="37">
        <v>0</v>
      </c>
      <c r="H29" s="92">
        <v>84957</v>
      </c>
      <c r="I29" s="37"/>
      <c r="J29" s="92" t="s">
        <v>1122</v>
      </c>
      <c r="K29" s="37"/>
      <c r="L29" s="92" t="s">
        <v>1123</v>
      </c>
      <c r="M29" s="37"/>
      <c r="N29" s="92" t="s">
        <v>1124</v>
      </c>
      <c r="O29" s="93" t="s">
        <v>834</v>
      </c>
    </row>
    <row r="30" spans="2:15" ht="19.7" customHeight="1">
      <c r="B30" s="69" t="s">
        <v>834</v>
      </c>
      <c r="C30" s="34" t="s">
        <v>319</v>
      </c>
      <c r="D30" s="34" t="s">
        <v>191</v>
      </c>
      <c r="E30" s="22">
        <v>1</v>
      </c>
      <c r="F30" s="35" t="s">
        <v>596</v>
      </c>
      <c r="G30" s="21">
        <v>84957</v>
      </c>
      <c r="H30" s="74">
        <v>84957</v>
      </c>
      <c r="I30" s="70">
        <v>63340</v>
      </c>
      <c r="J30" s="74">
        <v>63340</v>
      </c>
      <c r="K30" s="70">
        <v>20650</v>
      </c>
      <c r="L30" s="74">
        <v>20650</v>
      </c>
      <c r="M30" s="70">
        <v>967</v>
      </c>
      <c r="N30" s="74">
        <v>967</v>
      </c>
      <c r="O30" s="36" t="s">
        <v>265</v>
      </c>
    </row>
    <row r="31" spans="2:15" ht="19.7" customHeight="1">
      <c r="B31" s="61" t="s">
        <v>834</v>
      </c>
      <c r="C31" s="62" t="s">
        <v>776</v>
      </c>
      <c r="D31" s="62" t="s">
        <v>834</v>
      </c>
      <c r="E31" s="31"/>
      <c r="F31" s="91" t="s">
        <v>834</v>
      </c>
      <c r="G31" s="37">
        <v>0</v>
      </c>
      <c r="H31" s="92">
        <v>976120</v>
      </c>
      <c r="I31" s="37"/>
      <c r="J31" s="92" t="s">
        <v>1125</v>
      </c>
      <c r="K31" s="37"/>
      <c r="L31" s="92" t="s">
        <v>1126</v>
      </c>
      <c r="M31" s="37"/>
      <c r="N31" s="92" t="s">
        <v>1127</v>
      </c>
      <c r="O31" s="93" t="s">
        <v>834</v>
      </c>
    </row>
    <row r="32" spans="2:15" ht="19.7" customHeight="1">
      <c r="B32" s="67" t="s">
        <v>834</v>
      </c>
      <c r="C32" s="29" t="s">
        <v>319</v>
      </c>
      <c r="D32" s="29" t="s">
        <v>191</v>
      </c>
      <c r="E32" s="31">
        <v>8</v>
      </c>
      <c r="F32" s="30" t="s">
        <v>596</v>
      </c>
      <c r="G32" s="37">
        <v>84957</v>
      </c>
      <c r="H32" s="65">
        <v>679656</v>
      </c>
      <c r="I32" s="64">
        <v>63340</v>
      </c>
      <c r="J32" s="65">
        <v>506720</v>
      </c>
      <c r="K32" s="64">
        <v>20650</v>
      </c>
      <c r="L32" s="65">
        <v>165200</v>
      </c>
      <c r="M32" s="64">
        <v>967</v>
      </c>
      <c r="N32" s="65">
        <v>7736</v>
      </c>
      <c r="O32" s="32" t="s">
        <v>265</v>
      </c>
    </row>
    <row r="33" spans="2:15" ht="19.7" customHeight="1">
      <c r="B33" s="67" t="s">
        <v>834</v>
      </c>
      <c r="C33" s="29" t="s">
        <v>618</v>
      </c>
      <c r="D33" s="29" t="s">
        <v>453</v>
      </c>
      <c r="E33" s="31">
        <v>1</v>
      </c>
      <c r="F33" s="30" t="s">
        <v>596</v>
      </c>
      <c r="G33" s="37">
        <v>296464</v>
      </c>
      <c r="H33" s="65">
        <v>296464</v>
      </c>
      <c r="I33" s="64">
        <v>127857</v>
      </c>
      <c r="J33" s="65">
        <v>127857</v>
      </c>
      <c r="K33" s="64">
        <v>165650</v>
      </c>
      <c r="L33" s="65">
        <v>165650</v>
      </c>
      <c r="M33" s="64">
        <v>2957</v>
      </c>
      <c r="N33" s="65">
        <v>2957</v>
      </c>
      <c r="O33" s="32" t="s">
        <v>775</v>
      </c>
    </row>
    <row r="34" spans="2:15" ht="19.7" customHeight="1">
      <c r="B34" s="61" t="s">
        <v>135</v>
      </c>
      <c r="C34" s="62" t="s">
        <v>259</v>
      </c>
      <c r="D34" s="62" t="s">
        <v>834</v>
      </c>
      <c r="E34" s="31"/>
      <c r="F34" s="91" t="s">
        <v>834</v>
      </c>
      <c r="G34" s="37">
        <v>0</v>
      </c>
      <c r="H34" s="92">
        <v>3753266</v>
      </c>
      <c r="I34" s="37"/>
      <c r="J34" s="92" t="s">
        <v>1128</v>
      </c>
      <c r="K34" s="37"/>
      <c r="L34" s="92" t="s">
        <v>1129</v>
      </c>
      <c r="M34" s="37"/>
      <c r="N34" s="92" t="s">
        <v>1130</v>
      </c>
      <c r="O34" s="93" t="s">
        <v>834</v>
      </c>
    </row>
    <row r="35" spans="2:15" ht="19.7" customHeight="1">
      <c r="B35" s="67" t="s">
        <v>834</v>
      </c>
      <c r="C35" s="29" t="s">
        <v>439</v>
      </c>
      <c r="D35" s="29" t="s">
        <v>567</v>
      </c>
      <c r="E35" s="31">
        <v>1</v>
      </c>
      <c r="F35" s="30" t="s">
        <v>748</v>
      </c>
      <c r="G35" s="37">
        <v>2626996</v>
      </c>
      <c r="H35" s="65">
        <v>2626996</v>
      </c>
      <c r="I35" s="64" t="s">
        <v>1131</v>
      </c>
      <c r="J35" s="65">
        <v>810756</v>
      </c>
      <c r="K35" s="64" t="s">
        <v>1132</v>
      </c>
      <c r="L35" s="65">
        <v>132160</v>
      </c>
      <c r="M35" s="64" t="s">
        <v>1133</v>
      </c>
      <c r="N35" s="65">
        <v>1684080</v>
      </c>
      <c r="O35" s="32" t="s">
        <v>190</v>
      </c>
    </row>
    <row r="36" spans="2:15" ht="19.7" customHeight="1">
      <c r="B36" s="67" t="s">
        <v>834</v>
      </c>
      <c r="C36" s="29" t="s">
        <v>398</v>
      </c>
      <c r="D36" s="29" t="s">
        <v>530</v>
      </c>
      <c r="E36" s="31">
        <v>1</v>
      </c>
      <c r="F36" s="30" t="s">
        <v>748</v>
      </c>
      <c r="G36" s="37">
        <v>973959</v>
      </c>
      <c r="H36" s="65">
        <v>973959</v>
      </c>
      <c r="I36" s="64">
        <v>553537</v>
      </c>
      <c r="J36" s="65">
        <v>553537</v>
      </c>
      <c r="K36" s="64">
        <v>244588</v>
      </c>
      <c r="L36" s="65">
        <v>244588</v>
      </c>
      <c r="M36" s="64">
        <v>175834</v>
      </c>
      <c r="N36" s="65">
        <v>175834</v>
      </c>
      <c r="O36" s="32" t="s">
        <v>751</v>
      </c>
    </row>
    <row r="37" spans="2:15" ht="19.7" customHeight="1">
      <c r="B37" s="67" t="s">
        <v>834</v>
      </c>
      <c r="C37" s="29" t="s">
        <v>597</v>
      </c>
      <c r="D37" s="29" t="s">
        <v>530</v>
      </c>
      <c r="E37" s="31">
        <v>1</v>
      </c>
      <c r="F37" s="30" t="s">
        <v>366</v>
      </c>
      <c r="G37" s="37">
        <v>147875</v>
      </c>
      <c r="H37" s="65">
        <v>147875</v>
      </c>
      <c r="I37" s="64">
        <v>63375</v>
      </c>
      <c r="J37" s="65">
        <v>63375</v>
      </c>
      <c r="K37" s="64">
        <v>84500</v>
      </c>
      <c r="L37" s="65">
        <v>84500</v>
      </c>
      <c r="M37" s="64">
        <v>0</v>
      </c>
      <c r="N37" s="65">
        <v>0</v>
      </c>
      <c r="O37" s="32" t="s">
        <v>188</v>
      </c>
    </row>
    <row r="38" spans="2:15" ht="19.7" customHeight="1">
      <c r="B38" s="67" t="s">
        <v>834</v>
      </c>
      <c r="C38" s="29" t="s">
        <v>545</v>
      </c>
      <c r="D38" s="29" t="s">
        <v>280</v>
      </c>
      <c r="E38" s="31">
        <v>1</v>
      </c>
      <c r="F38" s="30" t="s">
        <v>574</v>
      </c>
      <c r="G38" s="37">
        <v>4436</v>
      </c>
      <c r="H38" s="65">
        <v>4436</v>
      </c>
      <c r="I38" s="64" t="s">
        <v>1134</v>
      </c>
      <c r="J38" s="65">
        <v>2541</v>
      </c>
      <c r="K38" s="64" t="s">
        <v>1135</v>
      </c>
      <c r="L38" s="65">
        <v>838</v>
      </c>
      <c r="M38" s="64" t="s">
        <v>1136</v>
      </c>
      <c r="N38" s="65">
        <v>1057</v>
      </c>
      <c r="O38" s="32" t="s">
        <v>735</v>
      </c>
    </row>
    <row r="39" spans="2:15" ht="19.7" customHeight="1">
      <c r="B39" s="67" t="s">
        <v>834</v>
      </c>
      <c r="C39" s="29" t="s">
        <v>834</v>
      </c>
      <c r="D39" s="29" t="s">
        <v>834</v>
      </c>
      <c r="E39" s="31"/>
      <c r="F39" s="30" t="s">
        <v>834</v>
      </c>
      <c r="G39" s="37">
        <v>0</v>
      </c>
      <c r="H39" s="65">
        <v>0</v>
      </c>
      <c r="I39" s="37"/>
      <c r="J39" s="31"/>
      <c r="K39" s="37"/>
      <c r="L39" s="31"/>
      <c r="M39" s="37"/>
      <c r="N39" s="31"/>
      <c r="O39" s="32" t="s">
        <v>834</v>
      </c>
    </row>
    <row r="40" spans="2:15" ht="19.7" customHeight="1">
      <c r="B40" s="61" t="s">
        <v>397</v>
      </c>
      <c r="C40" s="62" t="s">
        <v>381</v>
      </c>
      <c r="D40" s="62" t="s">
        <v>834</v>
      </c>
      <c r="E40" s="31"/>
      <c r="F40" s="91" t="s">
        <v>834</v>
      </c>
      <c r="G40" s="37">
        <v>0</v>
      </c>
      <c r="H40" s="92">
        <v>24312504</v>
      </c>
      <c r="I40" s="37"/>
      <c r="J40" s="92" t="s">
        <v>1137</v>
      </c>
      <c r="K40" s="37"/>
      <c r="L40" s="92" t="s">
        <v>1138</v>
      </c>
      <c r="M40" s="37"/>
      <c r="N40" s="92" t="s">
        <v>1139</v>
      </c>
      <c r="O40" s="93" t="s">
        <v>834</v>
      </c>
    </row>
    <row r="41" spans="2:15" ht="19.7" customHeight="1">
      <c r="B41" s="61" t="s">
        <v>658</v>
      </c>
      <c r="C41" s="62" t="s">
        <v>102</v>
      </c>
      <c r="D41" s="62" t="s">
        <v>834</v>
      </c>
      <c r="E41" s="31"/>
      <c r="F41" s="91" t="s">
        <v>834</v>
      </c>
      <c r="G41" s="37">
        <v>0</v>
      </c>
      <c r="H41" s="92">
        <v>16958283</v>
      </c>
      <c r="I41" s="37"/>
      <c r="J41" s="92" t="s">
        <v>1140</v>
      </c>
      <c r="K41" s="37"/>
      <c r="L41" s="92" t="s">
        <v>1141</v>
      </c>
      <c r="M41" s="37"/>
      <c r="N41" s="92" t="s">
        <v>1142</v>
      </c>
      <c r="O41" s="93" t="s">
        <v>834</v>
      </c>
    </row>
    <row r="42" spans="2:15" ht="19.7" customHeight="1">
      <c r="B42" s="61" t="s">
        <v>834</v>
      </c>
      <c r="C42" s="62" t="s">
        <v>230</v>
      </c>
      <c r="D42" s="62" t="s">
        <v>834</v>
      </c>
      <c r="E42" s="31"/>
      <c r="F42" s="91" t="s">
        <v>834</v>
      </c>
      <c r="G42" s="37">
        <v>0</v>
      </c>
      <c r="H42" s="92">
        <v>11991922</v>
      </c>
      <c r="I42" s="37"/>
      <c r="J42" s="92" t="s">
        <v>1143</v>
      </c>
      <c r="K42" s="37"/>
      <c r="L42" s="92" t="s">
        <v>1144</v>
      </c>
      <c r="M42" s="37"/>
      <c r="N42" s="92" t="s">
        <v>1145</v>
      </c>
      <c r="O42" s="93" t="s">
        <v>834</v>
      </c>
    </row>
    <row r="43" spans="2:15" ht="19.7" customHeight="1">
      <c r="B43" s="67" t="s">
        <v>834</v>
      </c>
      <c r="C43" s="29" t="s">
        <v>319</v>
      </c>
      <c r="D43" s="29" t="s">
        <v>500</v>
      </c>
      <c r="E43" s="31">
        <v>84</v>
      </c>
      <c r="F43" s="30" t="s">
        <v>596</v>
      </c>
      <c r="G43" s="37">
        <v>101028</v>
      </c>
      <c r="H43" s="65">
        <v>8486352</v>
      </c>
      <c r="I43" s="64">
        <v>77305</v>
      </c>
      <c r="J43" s="65">
        <v>6493620</v>
      </c>
      <c r="K43" s="64">
        <v>22700</v>
      </c>
      <c r="L43" s="65">
        <v>1906800</v>
      </c>
      <c r="M43" s="64">
        <v>1023</v>
      </c>
      <c r="N43" s="65">
        <v>85932</v>
      </c>
      <c r="O43" s="32" t="s">
        <v>15</v>
      </c>
    </row>
    <row r="44" spans="2:15" ht="19.7" customHeight="1">
      <c r="B44" s="67" t="s">
        <v>834</v>
      </c>
      <c r="C44" s="29" t="s">
        <v>618</v>
      </c>
      <c r="D44" s="29" t="s">
        <v>617</v>
      </c>
      <c r="E44" s="31">
        <v>10</v>
      </c>
      <c r="F44" s="30" t="s">
        <v>596</v>
      </c>
      <c r="G44" s="37">
        <v>166125</v>
      </c>
      <c r="H44" s="65">
        <v>1661250</v>
      </c>
      <c r="I44" s="64">
        <v>90891</v>
      </c>
      <c r="J44" s="65">
        <v>908910</v>
      </c>
      <c r="K44" s="64">
        <v>73550</v>
      </c>
      <c r="L44" s="65">
        <v>735500</v>
      </c>
      <c r="M44" s="64">
        <v>1684</v>
      </c>
      <c r="N44" s="65">
        <v>16840</v>
      </c>
      <c r="O44" s="32" t="s">
        <v>221</v>
      </c>
    </row>
    <row r="45" spans="2:15" ht="19.7" customHeight="1">
      <c r="B45" s="67" t="s">
        <v>834</v>
      </c>
      <c r="C45" s="29" t="s">
        <v>438</v>
      </c>
      <c r="D45" s="29" t="s">
        <v>609</v>
      </c>
      <c r="E45" s="31">
        <v>4</v>
      </c>
      <c r="F45" s="30" t="s">
        <v>596</v>
      </c>
      <c r="G45" s="37">
        <v>461080</v>
      </c>
      <c r="H45" s="65">
        <v>1844320</v>
      </c>
      <c r="I45" s="64">
        <v>168850</v>
      </c>
      <c r="J45" s="65">
        <v>675400</v>
      </c>
      <c r="K45" s="64">
        <v>288670</v>
      </c>
      <c r="L45" s="65">
        <v>1154680</v>
      </c>
      <c r="M45" s="64">
        <v>3560</v>
      </c>
      <c r="N45" s="65">
        <v>14240</v>
      </c>
      <c r="O45" s="32" t="s">
        <v>765</v>
      </c>
    </row>
    <row r="46" spans="2:15" ht="19.7" customHeight="1">
      <c r="B46" s="61" t="s">
        <v>834</v>
      </c>
      <c r="C46" s="62" t="s">
        <v>201</v>
      </c>
      <c r="D46" s="62" t="s">
        <v>834</v>
      </c>
      <c r="E46" s="31"/>
      <c r="F46" s="91" t="s">
        <v>834</v>
      </c>
      <c r="G46" s="37">
        <v>0</v>
      </c>
      <c r="H46" s="92">
        <v>2570850</v>
      </c>
      <c r="I46" s="37"/>
      <c r="J46" s="92" t="s">
        <v>1146</v>
      </c>
      <c r="K46" s="37"/>
      <c r="L46" s="92" t="s">
        <v>1147</v>
      </c>
      <c r="M46" s="37"/>
      <c r="N46" s="92" t="s">
        <v>1148</v>
      </c>
      <c r="O46" s="93" t="s">
        <v>834</v>
      </c>
    </row>
    <row r="47" spans="2:15" ht="19.7" customHeight="1">
      <c r="B47" s="67" t="s">
        <v>834</v>
      </c>
      <c r="C47" s="29" t="s">
        <v>319</v>
      </c>
      <c r="D47" s="29" t="s">
        <v>191</v>
      </c>
      <c r="E47" s="31">
        <v>14</v>
      </c>
      <c r="F47" s="30" t="s">
        <v>596</v>
      </c>
      <c r="G47" s="37">
        <v>84957</v>
      </c>
      <c r="H47" s="65">
        <v>1189398</v>
      </c>
      <c r="I47" s="64">
        <v>63340</v>
      </c>
      <c r="J47" s="65">
        <v>886760</v>
      </c>
      <c r="K47" s="64">
        <v>20650</v>
      </c>
      <c r="L47" s="65">
        <v>289100</v>
      </c>
      <c r="M47" s="64">
        <v>967</v>
      </c>
      <c r="N47" s="65">
        <v>13538</v>
      </c>
      <c r="O47" s="32" t="s">
        <v>265</v>
      </c>
    </row>
    <row r="48" spans="2:15" ht="19.7" customHeight="1">
      <c r="B48" s="67" t="s">
        <v>834</v>
      </c>
      <c r="C48" s="29" t="s">
        <v>618</v>
      </c>
      <c r="D48" s="29" t="s">
        <v>40</v>
      </c>
      <c r="E48" s="31">
        <v>6</v>
      </c>
      <c r="F48" s="30" t="s">
        <v>596</v>
      </c>
      <c r="G48" s="37">
        <v>147554</v>
      </c>
      <c r="H48" s="65">
        <v>885324</v>
      </c>
      <c r="I48" s="64">
        <v>76926</v>
      </c>
      <c r="J48" s="65">
        <v>461556</v>
      </c>
      <c r="K48" s="64">
        <v>69000</v>
      </c>
      <c r="L48" s="65">
        <v>414000</v>
      </c>
      <c r="M48" s="64">
        <v>1628</v>
      </c>
      <c r="N48" s="65">
        <v>9768</v>
      </c>
      <c r="O48" s="32" t="s">
        <v>740</v>
      </c>
    </row>
    <row r="49" spans="2:15" ht="19.7" customHeight="1">
      <c r="B49" s="67" t="s">
        <v>834</v>
      </c>
      <c r="C49" s="29" t="s">
        <v>612</v>
      </c>
      <c r="D49" s="29" t="s">
        <v>561</v>
      </c>
      <c r="E49" s="31">
        <v>12</v>
      </c>
      <c r="F49" s="30" t="s">
        <v>476</v>
      </c>
      <c r="G49" s="37">
        <v>41344</v>
      </c>
      <c r="H49" s="65">
        <v>496128</v>
      </c>
      <c r="I49" s="64">
        <v>33439</v>
      </c>
      <c r="J49" s="65">
        <v>401268</v>
      </c>
      <c r="K49" s="64">
        <v>7237</v>
      </c>
      <c r="L49" s="65">
        <v>86844</v>
      </c>
      <c r="M49" s="64">
        <v>668</v>
      </c>
      <c r="N49" s="65">
        <v>8016</v>
      </c>
      <c r="O49" s="32" t="s">
        <v>295</v>
      </c>
    </row>
    <row r="50" spans="2:15" ht="19.7" customHeight="1">
      <c r="B50" s="61" t="s">
        <v>834</v>
      </c>
      <c r="C50" s="62" t="s">
        <v>776</v>
      </c>
      <c r="D50" s="62" t="s">
        <v>834</v>
      </c>
      <c r="E50" s="31"/>
      <c r="F50" s="91" t="s">
        <v>834</v>
      </c>
      <c r="G50" s="37">
        <v>0</v>
      </c>
      <c r="H50" s="92">
        <v>2395511</v>
      </c>
      <c r="I50" s="37"/>
      <c r="J50" s="92" t="s">
        <v>1149</v>
      </c>
      <c r="K50" s="37"/>
      <c r="L50" s="92" t="s">
        <v>1150</v>
      </c>
      <c r="M50" s="37"/>
      <c r="N50" s="92" t="s">
        <v>1151</v>
      </c>
      <c r="O50" s="93" t="s">
        <v>834</v>
      </c>
    </row>
    <row r="51" spans="2:15" ht="19.7" customHeight="1">
      <c r="B51" s="67" t="s">
        <v>834</v>
      </c>
      <c r="C51" s="29" t="s">
        <v>319</v>
      </c>
      <c r="D51" s="29" t="s">
        <v>191</v>
      </c>
      <c r="E51" s="31">
        <v>25</v>
      </c>
      <c r="F51" s="30" t="s">
        <v>596</v>
      </c>
      <c r="G51" s="37">
        <v>84957</v>
      </c>
      <c r="H51" s="65">
        <v>2123925</v>
      </c>
      <c r="I51" s="64">
        <v>63340</v>
      </c>
      <c r="J51" s="65">
        <v>1583500</v>
      </c>
      <c r="K51" s="64">
        <v>20650</v>
      </c>
      <c r="L51" s="65">
        <v>516250</v>
      </c>
      <c r="M51" s="64">
        <v>967</v>
      </c>
      <c r="N51" s="65">
        <v>24175</v>
      </c>
      <c r="O51" s="32" t="s">
        <v>265</v>
      </c>
    </row>
    <row r="52" spans="2:15" ht="19.7" customHeight="1">
      <c r="B52" s="67" t="s">
        <v>834</v>
      </c>
      <c r="C52" s="29" t="s">
        <v>618</v>
      </c>
      <c r="D52" s="29" t="s">
        <v>40</v>
      </c>
      <c r="E52" s="31">
        <v>1</v>
      </c>
      <c r="F52" s="30" t="s">
        <v>596</v>
      </c>
      <c r="G52" s="37">
        <v>147554</v>
      </c>
      <c r="H52" s="65">
        <v>147554</v>
      </c>
      <c r="I52" s="64">
        <v>76926</v>
      </c>
      <c r="J52" s="65">
        <v>76926</v>
      </c>
      <c r="K52" s="64">
        <v>69000</v>
      </c>
      <c r="L52" s="65">
        <v>69000</v>
      </c>
      <c r="M52" s="64">
        <v>1628</v>
      </c>
      <c r="N52" s="65">
        <v>1628</v>
      </c>
      <c r="O52" s="32" t="s">
        <v>740</v>
      </c>
    </row>
    <row r="53" spans="2:15" ht="19.7" customHeight="1">
      <c r="B53" s="67" t="s">
        <v>834</v>
      </c>
      <c r="C53" s="29" t="s">
        <v>612</v>
      </c>
      <c r="D53" s="29" t="s">
        <v>561</v>
      </c>
      <c r="E53" s="31">
        <v>3</v>
      </c>
      <c r="F53" s="30" t="s">
        <v>476</v>
      </c>
      <c r="G53" s="37">
        <v>41344</v>
      </c>
      <c r="H53" s="65">
        <v>124032</v>
      </c>
      <c r="I53" s="64">
        <v>33439</v>
      </c>
      <c r="J53" s="65">
        <v>100317</v>
      </c>
      <c r="K53" s="64">
        <v>7237</v>
      </c>
      <c r="L53" s="65">
        <v>21711</v>
      </c>
      <c r="M53" s="64">
        <v>668</v>
      </c>
      <c r="N53" s="65">
        <v>2004</v>
      </c>
      <c r="O53" s="32" t="s">
        <v>295</v>
      </c>
    </row>
    <row r="54" spans="2:15" ht="19.7" customHeight="1">
      <c r="B54" s="61" t="s">
        <v>376</v>
      </c>
      <c r="C54" s="62" t="s">
        <v>259</v>
      </c>
      <c r="D54" s="62" t="s">
        <v>834</v>
      </c>
      <c r="E54" s="31"/>
      <c r="F54" s="91" t="s">
        <v>834</v>
      </c>
      <c r="G54" s="37">
        <v>0</v>
      </c>
      <c r="H54" s="92">
        <v>7354221</v>
      </c>
      <c r="I54" s="37"/>
      <c r="J54" s="92" t="s">
        <v>1152</v>
      </c>
      <c r="K54" s="37"/>
      <c r="L54" s="92" t="s">
        <v>1153</v>
      </c>
      <c r="M54" s="37"/>
      <c r="N54" s="92" t="s">
        <v>1154</v>
      </c>
      <c r="O54" s="93" t="s">
        <v>834</v>
      </c>
    </row>
    <row r="55" spans="2:15" ht="19.7" customHeight="1">
      <c r="B55" s="67" t="s">
        <v>834</v>
      </c>
      <c r="C55" s="29" t="s">
        <v>439</v>
      </c>
      <c r="D55" s="29" t="s">
        <v>567</v>
      </c>
      <c r="E55" s="31">
        <v>2</v>
      </c>
      <c r="F55" s="30" t="s">
        <v>748</v>
      </c>
      <c r="G55" s="37">
        <v>2626996</v>
      </c>
      <c r="H55" s="65">
        <v>5253992</v>
      </c>
      <c r="I55" s="64" t="s">
        <v>1131</v>
      </c>
      <c r="J55" s="65">
        <v>1621512</v>
      </c>
      <c r="K55" s="64" t="s">
        <v>1132</v>
      </c>
      <c r="L55" s="65">
        <v>264320</v>
      </c>
      <c r="M55" s="64" t="s">
        <v>1133</v>
      </c>
      <c r="N55" s="65">
        <v>3368160</v>
      </c>
      <c r="O55" s="32" t="s">
        <v>190</v>
      </c>
    </row>
    <row r="56" spans="2:15" ht="19.7" customHeight="1">
      <c r="B56" s="69" t="s">
        <v>834</v>
      </c>
      <c r="C56" s="34" t="s">
        <v>398</v>
      </c>
      <c r="D56" s="34" t="s">
        <v>530</v>
      </c>
      <c r="E56" s="22">
        <v>2</v>
      </c>
      <c r="F56" s="35" t="s">
        <v>748</v>
      </c>
      <c r="G56" s="21">
        <v>973959</v>
      </c>
      <c r="H56" s="74">
        <v>1947918</v>
      </c>
      <c r="I56" s="70">
        <v>553537</v>
      </c>
      <c r="J56" s="74">
        <v>1107074</v>
      </c>
      <c r="K56" s="70">
        <v>244588</v>
      </c>
      <c r="L56" s="74">
        <v>489176</v>
      </c>
      <c r="M56" s="70">
        <v>175834</v>
      </c>
      <c r="N56" s="74">
        <v>351668</v>
      </c>
      <c r="O56" s="36" t="s">
        <v>751</v>
      </c>
    </row>
    <row r="57" spans="2:15" ht="19.7" customHeight="1">
      <c r="B57" s="67" t="s">
        <v>834</v>
      </c>
      <c r="C57" s="29" t="s">
        <v>597</v>
      </c>
      <c r="D57" s="29" t="s">
        <v>530</v>
      </c>
      <c r="E57" s="31">
        <v>1</v>
      </c>
      <c r="F57" s="30" t="s">
        <v>366</v>
      </c>
      <c r="G57" s="37">
        <v>147875</v>
      </c>
      <c r="H57" s="65">
        <v>147875</v>
      </c>
      <c r="I57" s="64">
        <v>63375</v>
      </c>
      <c r="J57" s="65">
        <v>63375</v>
      </c>
      <c r="K57" s="64">
        <v>84500</v>
      </c>
      <c r="L57" s="65">
        <v>84500</v>
      </c>
      <c r="M57" s="64">
        <v>0</v>
      </c>
      <c r="N57" s="65">
        <v>0</v>
      </c>
      <c r="O57" s="32" t="s">
        <v>188</v>
      </c>
    </row>
    <row r="58" spans="2:15" ht="19.7" customHeight="1">
      <c r="B58" s="67" t="s">
        <v>834</v>
      </c>
      <c r="C58" s="29" t="s">
        <v>545</v>
      </c>
      <c r="D58" s="29" t="s">
        <v>280</v>
      </c>
      <c r="E58" s="31">
        <v>1</v>
      </c>
      <c r="F58" s="30" t="s">
        <v>574</v>
      </c>
      <c r="G58" s="37">
        <v>4436</v>
      </c>
      <c r="H58" s="65">
        <v>4436</v>
      </c>
      <c r="I58" s="64" t="s">
        <v>1134</v>
      </c>
      <c r="J58" s="65">
        <v>2541</v>
      </c>
      <c r="K58" s="64" t="s">
        <v>1135</v>
      </c>
      <c r="L58" s="65">
        <v>838</v>
      </c>
      <c r="M58" s="64" t="s">
        <v>1136</v>
      </c>
      <c r="N58" s="65">
        <v>1057</v>
      </c>
      <c r="O58" s="32" t="s">
        <v>735</v>
      </c>
    </row>
    <row r="59" spans="2:15" ht="19.7" customHeight="1">
      <c r="B59" s="67" t="s">
        <v>834</v>
      </c>
      <c r="C59" s="29" t="s">
        <v>834</v>
      </c>
      <c r="D59" s="29" t="s">
        <v>834</v>
      </c>
      <c r="E59" s="31"/>
      <c r="F59" s="30" t="s">
        <v>834</v>
      </c>
      <c r="G59" s="37">
        <v>0</v>
      </c>
      <c r="H59" s="65">
        <v>0</v>
      </c>
      <c r="I59" s="37"/>
      <c r="J59" s="31"/>
      <c r="K59" s="37"/>
      <c r="L59" s="31"/>
      <c r="M59" s="37"/>
      <c r="N59" s="31"/>
      <c r="O59" s="32" t="s">
        <v>834</v>
      </c>
    </row>
    <row r="60" spans="2:15" ht="19.7" customHeight="1">
      <c r="B60" s="61" t="s">
        <v>750</v>
      </c>
      <c r="C60" s="62" t="s">
        <v>105</v>
      </c>
      <c r="D60" s="62" t="s">
        <v>834</v>
      </c>
      <c r="E60" s="31"/>
      <c r="F60" s="91" t="s">
        <v>834</v>
      </c>
      <c r="G60" s="37">
        <v>0</v>
      </c>
      <c r="H60" s="92">
        <v>48893920</v>
      </c>
      <c r="I60" s="37"/>
      <c r="J60" s="92" t="s">
        <v>1155</v>
      </c>
      <c r="K60" s="37"/>
      <c r="L60" s="92" t="s">
        <v>1156</v>
      </c>
      <c r="M60" s="37"/>
      <c r="N60" s="92" t="s">
        <v>1157</v>
      </c>
      <c r="O60" s="93" t="s">
        <v>834</v>
      </c>
    </row>
    <row r="61" spans="2:15" ht="19.7" customHeight="1">
      <c r="B61" s="61" t="s">
        <v>811</v>
      </c>
      <c r="C61" s="62" t="s">
        <v>102</v>
      </c>
      <c r="D61" s="62" t="s">
        <v>834</v>
      </c>
      <c r="E61" s="31"/>
      <c r="F61" s="91" t="s">
        <v>834</v>
      </c>
      <c r="G61" s="37">
        <v>0</v>
      </c>
      <c r="H61" s="92">
        <v>36861349</v>
      </c>
      <c r="I61" s="37"/>
      <c r="J61" s="92" t="s">
        <v>1158</v>
      </c>
      <c r="K61" s="37"/>
      <c r="L61" s="92" t="s">
        <v>1159</v>
      </c>
      <c r="M61" s="37"/>
      <c r="N61" s="92" t="s">
        <v>1160</v>
      </c>
      <c r="O61" s="93" t="s">
        <v>834</v>
      </c>
    </row>
    <row r="62" spans="2:15" ht="19.7" customHeight="1">
      <c r="B62" s="61" t="s">
        <v>834</v>
      </c>
      <c r="C62" s="62" t="s">
        <v>350</v>
      </c>
      <c r="D62" s="62" t="s">
        <v>834</v>
      </c>
      <c r="E62" s="31"/>
      <c r="F62" s="91" t="s">
        <v>834</v>
      </c>
      <c r="G62" s="37">
        <v>0</v>
      </c>
      <c r="H62" s="92">
        <v>9696689</v>
      </c>
      <c r="I62" s="37"/>
      <c r="J62" s="92" t="s">
        <v>1161</v>
      </c>
      <c r="K62" s="37"/>
      <c r="L62" s="92" t="s">
        <v>1162</v>
      </c>
      <c r="M62" s="37"/>
      <c r="N62" s="92" t="s">
        <v>1163</v>
      </c>
      <c r="O62" s="93" t="s">
        <v>834</v>
      </c>
    </row>
    <row r="63" spans="2:15" ht="19.7" customHeight="1">
      <c r="B63" s="67" t="s">
        <v>834</v>
      </c>
      <c r="C63" s="29" t="s">
        <v>319</v>
      </c>
      <c r="D63" s="29" t="s">
        <v>191</v>
      </c>
      <c r="E63" s="31">
        <v>90</v>
      </c>
      <c r="F63" s="30" t="s">
        <v>596</v>
      </c>
      <c r="G63" s="37">
        <v>84957</v>
      </c>
      <c r="H63" s="65">
        <v>7646130</v>
      </c>
      <c r="I63" s="64">
        <v>63340</v>
      </c>
      <c r="J63" s="65">
        <v>5700600</v>
      </c>
      <c r="K63" s="64">
        <v>20650</v>
      </c>
      <c r="L63" s="65">
        <v>1858500</v>
      </c>
      <c r="M63" s="64">
        <v>967</v>
      </c>
      <c r="N63" s="65">
        <v>87030</v>
      </c>
      <c r="O63" s="32" t="s">
        <v>265</v>
      </c>
    </row>
    <row r="64" spans="2:15" ht="19.7" customHeight="1">
      <c r="B64" s="67" t="s">
        <v>834</v>
      </c>
      <c r="C64" s="29" t="s">
        <v>618</v>
      </c>
      <c r="D64" s="29" t="s">
        <v>453</v>
      </c>
      <c r="E64" s="31">
        <v>5</v>
      </c>
      <c r="F64" s="30" t="s">
        <v>596</v>
      </c>
      <c r="G64" s="37">
        <v>296464</v>
      </c>
      <c r="H64" s="65">
        <v>1482320</v>
      </c>
      <c r="I64" s="64">
        <v>127857</v>
      </c>
      <c r="J64" s="65">
        <v>639285</v>
      </c>
      <c r="K64" s="64">
        <v>165650</v>
      </c>
      <c r="L64" s="65">
        <v>828250</v>
      </c>
      <c r="M64" s="64">
        <v>2957</v>
      </c>
      <c r="N64" s="65">
        <v>14785</v>
      </c>
      <c r="O64" s="32" t="s">
        <v>775</v>
      </c>
    </row>
    <row r="65" spans="2:15" ht="19.7" customHeight="1">
      <c r="B65" s="67" t="s">
        <v>834</v>
      </c>
      <c r="C65" s="29" t="s">
        <v>438</v>
      </c>
      <c r="D65" s="29" t="s">
        <v>33</v>
      </c>
      <c r="E65" s="31">
        <v>1</v>
      </c>
      <c r="F65" s="30" t="s">
        <v>596</v>
      </c>
      <c r="G65" s="37">
        <v>444207</v>
      </c>
      <c r="H65" s="65">
        <v>444207</v>
      </c>
      <c r="I65" s="64">
        <v>154083</v>
      </c>
      <c r="J65" s="65">
        <v>154083</v>
      </c>
      <c r="K65" s="64">
        <v>286620</v>
      </c>
      <c r="L65" s="65">
        <v>286620</v>
      </c>
      <c r="M65" s="64">
        <v>3504</v>
      </c>
      <c r="N65" s="65">
        <v>3504</v>
      </c>
      <c r="O65" s="32" t="s">
        <v>584</v>
      </c>
    </row>
    <row r="66" spans="2:15" ht="19.7" customHeight="1">
      <c r="B66" s="67" t="s">
        <v>834</v>
      </c>
      <c r="C66" s="29" t="s">
        <v>612</v>
      </c>
      <c r="D66" s="29" t="s">
        <v>561</v>
      </c>
      <c r="E66" s="31">
        <v>3</v>
      </c>
      <c r="F66" s="30" t="s">
        <v>476</v>
      </c>
      <c r="G66" s="37">
        <v>41344</v>
      </c>
      <c r="H66" s="65">
        <v>124032</v>
      </c>
      <c r="I66" s="64">
        <v>33439</v>
      </c>
      <c r="J66" s="65">
        <v>100317</v>
      </c>
      <c r="K66" s="64">
        <v>7237</v>
      </c>
      <c r="L66" s="65">
        <v>21711</v>
      </c>
      <c r="M66" s="64">
        <v>668</v>
      </c>
      <c r="N66" s="65">
        <v>2004</v>
      </c>
      <c r="O66" s="32" t="s">
        <v>295</v>
      </c>
    </row>
    <row r="67" spans="2:15" ht="19.7" customHeight="1">
      <c r="B67" s="61" t="s">
        <v>834</v>
      </c>
      <c r="C67" s="62" t="s">
        <v>230</v>
      </c>
      <c r="D67" s="62" t="s">
        <v>834</v>
      </c>
      <c r="E67" s="31"/>
      <c r="F67" s="91" t="s">
        <v>834</v>
      </c>
      <c r="G67" s="37">
        <v>0</v>
      </c>
      <c r="H67" s="92">
        <v>13541323</v>
      </c>
      <c r="I67" s="37"/>
      <c r="J67" s="92" t="s">
        <v>1164</v>
      </c>
      <c r="K67" s="37"/>
      <c r="L67" s="92" t="s">
        <v>1165</v>
      </c>
      <c r="M67" s="37"/>
      <c r="N67" s="92" t="s">
        <v>1166</v>
      </c>
      <c r="O67" s="93" t="s">
        <v>834</v>
      </c>
    </row>
    <row r="68" spans="2:15" ht="19.7" customHeight="1">
      <c r="B68" s="67" t="s">
        <v>834</v>
      </c>
      <c r="C68" s="29" t="s">
        <v>319</v>
      </c>
      <c r="D68" s="29" t="s">
        <v>500</v>
      </c>
      <c r="E68" s="31">
        <v>38</v>
      </c>
      <c r="F68" s="30" t="s">
        <v>596</v>
      </c>
      <c r="G68" s="37">
        <v>101028</v>
      </c>
      <c r="H68" s="65">
        <v>3839064</v>
      </c>
      <c r="I68" s="64">
        <v>77305</v>
      </c>
      <c r="J68" s="65">
        <v>2937590</v>
      </c>
      <c r="K68" s="64">
        <v>22700</v>
      </c>
      <c r="L68" s="65">
        <v>862600</v>
      </c>
      <c r="M68" s="64">
        <v>1023</v>
      </c>
      <c r="N68" s="65">
        <v>38874</v>
      </c>
      <c r="O68" s="32" t="s">
        <v>15</v>
      </c>
    </row>
    <row r="69" spans="2:15" ht="19.7" customHeight="1">
      <c r="B69" s="67" t="s">
        <v>834</v>
      </c>
      <c r="C69" s="29" t="s">
        <v>618</v>
      </c>
      <c r="D69" s="29" t="s">
        <v>217</v>
      </c>
      <c r="E69" s="31">
        <v>13</v>
      </c>
      <c r="F69" s="30" t="s">
        <v>596</v>
      </c>
      <c r="G69" s="37">
        <v>317535</v>
      </c>
      <c r="H69" s="65">
        <v>4127955</v>
      </c>
      <c r="I69" s="64">
        <v>141822</v>
      </c>
      <c r="J69" s="65">
        <v>1843686</v>
      </c>
      <c r="K69" s="64">
        <v>172700</v>
      </c>
      <c r="L69" s="65">
        <v>2245100</v>
      </c>
      <c r="M69" s="64">
        <v>3013</v>
      </c>
      <c r="N69" s="65">
        <v>39169</v>
      </c>
      <c r="O69" s="32" t="s">
        <v>152</v>
      </c>
    </row>
    <row r="70" spans="2:15" ht="19.7" customHeight="1">
      <c r="B70" s="67" t="s">
        <v>834</v>
      </c>
      <c r="C70" s="29" t="s">
        <v>438</v>
      </c>
      <c r="D70" s="29" t="s">
        <v>609</v>
      </c>
      <c r="E70" s="31">
        <v>12</v>
      </c>
      <c r="F70" s="30" t="s">
        <v>596</v>
      </c>
      <c r="G70" s="37">
        <v>461080</v>
      </c>
      <c r="H70" s="65">
        <v>5532960</v>
      </c>
      <c r="I70" s="64">
        <v>168850</v>
      </c>
      <c r="J70" s="65">
        <v>2026200</v>
      </c>
      <c r="K70" s="64">
        <v>288670</v>
      </c>
      <c r="L70" s="65">
        <v>3464040</v>
      </c>
      <c r="M70" s="64">
        <v>3560</v>
      </c>
      <c r="N70" s="65">
        <v>42720</v>
      </c>
      <c r="O70" s="32" t="s">
        <v>765</v>
      </c>
    </row>
    <row r="71" spans="2:15" ht="19.7" customHeight="1">
      <c r="B71" s="67" t="s">
        <v>834</v>
      </c>
      <c r="C71" s="29" t="s">
        <v>612</v>
      </c>
      <c r="D71" s="29" t="s">
        <v>561</v>
      </c>
      <c r="E71" s="31">
        <v>1</v>
      </c>
      <c r="F71" s="30" t="s">
        <v>476</v>
      </c>
      <c r="G71" s="37">
        <v>41344</v>
      </c>
      <c r="H71" s="65">
        <v>41344</v>
      </c>
      <c r="I71" s="64">
        <v>33439</v>
      </c>
      <c r="J71" s="65">
        <v>33439</v>
      </c>
      <c r="K71" s="64">
        <v>7237</v>
      </c>
      <c r="L71" s="65">
        <v>7237</v>
      </c>
      <c r="M71" s="64">
        <v>668</v>
      </c>
      <c r="N71" s="65">
        <v>668</v>
      </c>
      <c r="O71" s="32" t="s">
        <v>295</v>
      </c>
    </row>
    <row r="72" spans="2:15" ht="19.7" customHeight="1">
      <c r="B72" s="61" t="s">
        <v>834</v>
      </c>
      <c r="C72" s="62" t="s">
        <v>201</v>
      </c>
      <c r="D72" s="62" t="s">
        <v>834</v>
      </c>
      <c r="E72" s="31"/>
      <c r="F72" s="91" t="s">
        <v>834</v>
      </c>
      <c r="G72" s="37">
        <v>0</v>
      </c>
      <c r="H72" s="92">
        <v>4875066</v>
      </c>
      <c r="I72" s="37"/>
      <c r="J72" s="92" t="s">
        <v>1167</v>
      </c>
      <c r="K72" s="37"/>
      <c r="L72" s="92" t="s">
        <v>1168</v>
      </c>
      <c r="M72" s="37"/>
      <c r="N72" s="92" t="s">
        <v>1169</v>
      </c>
      <c r="O72" s="93" t="s">
        <v>834</v>
      </c>
    </row>
    <row r="73" spans="2:15" ht="19.7" customHeight="1">
      <c r="B73" s="67" t="s">
        <v>834</v>
      </c>
      <c r="C73" s="29" t="s">
        <v>319</v>
      </c>
      <c r="D73" s="29" t="s">
        <v>191</v>
      </c>
      <c r="E73" s="31">
        <v>50</v>
      </c>
      <c r="F73" s="30" t="s">
        <v>596</v>
      </c>
      <c r="G73" s="37">
        <v>84957</v>
      </c>
      <c r="H73" s="65">
        <v>4247850</v>
      </c>
      <c r="I73" s="64">
        <v>63340</v>
      </c>
      <c r="J73" s="65">
        <v>3167000</v>
      </c>
      <c r="K73" s="64">
        <v>20650</v>
      </c>
      <c r="L73" s="65">
        <v>1032500</v>
      </c>
      <c r="M73" s="64">
        <v>967</v>
      </c>
      <c r="N73" s="65">
        <v>48350</v>
      </c>
      <c r="O73" s="32" t="s">
        <v>265</v>
      </c>
    </row>
    <row r="74" spans="2:15" ht="19.7" customHeight="1">
      <c r="B74" s="67" t="s">
        <v>834</v>
      </c>
      <c r="C74" s="29" t="s">
        <v>618</v>
      </c>
      <c r="D74" s="29" t="s">
        <v>453</v>
      </c>
      <c r="E74" s="31">
        <v>1</v>
      </c>
      <c r="F74" s="30" t="s">
        <v>596</v>
      </c>
      <c r="G74" s="37">
        <v>296464</v>
      </c>
      <c r="H74" s="65">
        <v>296464</v>
      </c>
      <c r="I74" s="64">
        <v>127857</v>
      </c>
      <c r="J74" s="65">
        <v>127857</v>
      </c>
      <c r="K74" s="64">
        <v>165650</v>
      </c>
      <c r="L74" s="65">
        <v>165650</v>
      </c>
      <c r="M74" s="64">
        <v>2957</v>
      </c>
      <c r="N74" s="65">
        <v>2957</v>
      </c>
      <c r="O74" s="32" t="s">
        <v>775</v>
      </c>
    </row>
    <row r="75" spans="2:15" ht="19.7" customHeight="1">
      <c r="B75" s="67" t="s">
        <v>834</v>
      </c>
      <c r="C75" s="29" t="s">
        <v>612</v>
      </c>
      <c r="D75" s="29" t="s">
        <v>561</v>
      </c>
      <c r="E75" s="31">
        <v>8</v>
      </c>
      <c r="F75" s="30" t="s">
        <v>476</v>
      </c>
      <c r="G75" s="37">
        <v>41344</v>
      </c>
      <c r="H75" s="65">
        <v>330752</v>
      </c>
      <c r="I75" s="64">
        <v>33439</v>
      </c>
      <c r="J75" s="65">
        <v>267512</v>
      </c>
      <c r="K75" s="64">
        <v>7237</v>
      </c>
      <c r="L75" s="65">
        <v>57896</v>
      </c>
      <c r="M75" s="64">
        <v>668</v>
      </c>
      <c r="N75" s="65">
        <v>5344</v>
      </c>
      <c r="O75" s="32" t="s">
        <v>295</v>
      </c>
    </row>
    <row r="76" spans="2:15" ht="19.7" customHeight="1">
      <c r="B76" s="61" t="s">
        <v>834</v>
      </c>
      <c r="C76" s="62" t="s">
        <v>776</v>
      </c>
      <c r="D76" s="62" t="s">
        <v>834</v>
      </c>
      <c r="E76" s="31"/>
      <c r="F76" s="91" t="s">
        <v>834</v>
      </c>
      <c r="G76" s="37">
        <v>0</v>
      </c>
      <c r="H76" s="92">
        <v>8748271</v>
      </c>
      <c r="I76" s="37"/>
      <c r="J76" s="92" t="s">
        <v>1170</v>
      </c>
      <c r="K76" s="37"/>
      <c r="L76" s="92" t="s">
        <v>1171</v>
      </c>
      <c r="M76" s="37"/>
      <c r="N76" s="92" t="s">
        <v>1172</v>
      </c>
      <c r="O76" s="93" t="s">
        <v>834</v>
      </c>
    </row>
    <row r="77" spans="2:15" ht="19.7" customHeight="1">
      <c r="B77" s="67" t="s">
        <v>834</v>
      </c>
      <c r="C77" s="29" t="s">
        <v>319</v>
      </c>
      <c r="D77" s="29" t="s">
        <v>191</v>
      </c>
      <c r="E77" s="31">
        <v>48</v>
      </c>
      <c r="F77" s="30" t="s">
        <v>596</v>
      </c>
      <c r="G77" s="37">
        <v>84957</v>
      </c>
      <c r="H77" s="65">
        <v>4077936</v>
      </c>
      <c r="I77" s="64">
        <v>63340</v>
      </c>
      <c r="J77" s="65">
        <v>3040320</v>
      </c>
      <c r="K77" s="64">
        <v>20650</v>
      </c>
      <c r="L77" s="65">
        <v>991200</v>
      </c>
      <c r="M77" s="64">
        <v>967</v>
      </c>
      <c r="N77" s="65">
        <v>46416</v>
      </c>
      <c r="O77" s="32" t="s">
        <v>265</v>
      </c>
    </row>
    <row r="78" spans="2:15" ht="19.7" customHeight="1">
      <c r="B78" s="67" t="s">
        <v>834</v>
      </c>
      <c r="C78" s="29" t="s">
        <v>618</v>
      </c>
      <c r="D78" s="29" t="s">
        <v>453</v>
      </c>
      <c r="E78" s="31">
        <v>13</v>
      </c>
      <c r="F78" s="30" t="s">
        <v>596</v>
      </c>
      <c r="G78" s="37">
        <v>296464</v>
      </c>
      <c r="H78" s="65">
        <v>3854032</v>
      </c>
      <c r="I78" s="64">
        <v>127857</v>
      </c>
      <c r="J78" s="65">
        <v>1662141</v>
      </c>
      <c r="K78" s="64">
        <v>165650</v>
      </c>
      <c r="L78" s="65">
        <v>2153450</v>
      </c>
      <c r="M78" s="64">
        <v>2957</v>
      </c>
      <c r="N78" s="65">
        <v>38441</v>
      </c>
      <c r="O78" s="32" t="s">
        <v>775</v>
      </c>
    </row>
    <row r="79" spans="2:15" ht="19.7" customHeight="1">
      <c r="B79" s="67" t="s">
        <v>834</v>
      </c>
      <c r="C79" s="29" t="s">
        <v>438</v>
      </c>
      <c r="D79" s="29" t="s">
        <v>33</v>
      </c>
      <c r="E79" s="31">
        <v>1</v>
      </c>
      <c r="F79" s="30" t="s">
        <v>596</v>
      </c>
      <c r="G79" s="37">
        <v>444207</v>
      </c>
      <c r="H79" s="65">
        <v>444207</v>
      </c>
      <c r="I79" s="64">
        <v>154083</v>
      </c>
      <c r="J79" s="65">
        <v>154083</v>
      </c>
      <c r="K79" s="64">
        <v>286620</v>
      </c>
      <c r="L79" s="65">
        <v>286620</v>
      </c>
      <c r="M79" s="64">
        <v>3504</v>
      </c>
      <c r="N79" s="65">
        <v>3504</v>
      </c>
      <c r="O79" s="32" t="s">
        <v>584</v>
      </c>
    </row>
    <row r="80" spans="2:15" ht="19.7" customHeight="1">
      <c r="B80" s="67" t="s">
        <v>834</v>
      </c>
      <c r="C80" s="29" t="s">
        <v>612</v>
      </c>
      <c r="D80" s="29" t="s">
        <v>561</v>
      </c>
      <c r="E80" s="31">
        <v>9</v>
      </c>
      <c r="F80" s="30" t="s">
        <v>476</v>
      </c>
      <c r="G80" s="37">
        <v>41344</v>
      </c>
      <c r="H80" s="65">
        <v>372096</v>
      </c>
      <c r="I80" s="64">
        <v>33439</v>
      </c>
      <c r="J80" s="65">
        <v>300951</v>
      </c>
      <c r="K80" s="64">
        <v>7237</v>
      </c>
      <c r="L80" s="65">
        <v>65133</v>
      </c>
      <c r="M80" s="64">
        <v>668</v>
      </c>
      <c r="N80" s="65">
        <v>6012</v>
      </c>
      <c r="O80" s="32" t="s">
        <v>295</v>
      </c>
    </row>
    <row r="81" spans="2:15" ht="19.7" customHeight="1">
      <c r="B81" s="61" t="s">
        <v>194</v>
      </c>
      <c r="C81" s="62" t="s">
        <v>259</v>
      </c>
      <c r="D81" s="62" t="s">
        <v>834</v>
      </c>
      <c r="E81" s="31"/>
      <c r="F81" s="91" t="s">
        <v>834</v>
      </c>
      <c r="G81" s="37">
        <v>0</v>
      </c>
      <c r="H81" s="92">
        <v>12032571</v>
      </c>
      <c r="I81" s="37"/>
      <c r="J81" s="92" t="s">
        <v>1173</v>
      </c>
      <c r="K81" s="37"/>
      <c r="L81" s="92" t="s">
        <v>1174</v>
      </c>
      <c r="M81" s="37"/>
      <c r="N81" s="92" t="s">
        <v>1175</v>
      </c>
      <c r="O81" s="93" t="s">
        <v>834</v>
      </c>
    </row>
    <row r="82" spans="2:15" ht="19.7" customHeight="1">
      <c r="B82" s="69" t="s">
        <v>834</v>
      </c>
      <c r="C82" s="34" t="s">
        <v>439</v>
      </c>
      <c r="D82" s="34" t="s">
        <v>567</v>
      </c>
      <c r="E82" s="22">
        <v>3</v>
      </c>
      <c r="F82" s="35" t="s">
        <v>748</v>
      </c>
      <c r="G82" s="21">
        <v>2626996</v>
      </c>
      <c r="H82" s="74">
        <v>7880988</v>
      </c>
      <c r="I82" s="70" t="s">
        <v>1131</v>
      </c>
      <c r="J82" s="74">
        <v>2432268</v>
      </c>
      <c r="K82" s="70" t="s">
        <v>1132</v>
      </c>
      <c r="L82" s="74">
        <v>396480</v>
      </c>
      <c r="M82" s="70" t="s">
        <v>1133</v>
      </c>
      <c r="N82" s="74">
        <v>5052240</v>
      </c>
      <c r="O82" s="36" t="s">
        <v>190</v>
      </c>
    </row>
    <row r="83" spans="2:15" ht="19.7" customHeight="1">
      <c r="B83" s="67" t="s">
        <v>834</v>
      </c>
      <c r="C83" s="29" t="s">
        <v>398</v>
      </c>
      <c r="D83" s="29" t="s">
        <v>530</v>
      </c>
      <c r="E83" s="31">
        <v>4</v>
      </c>
      <c r="F83" s="30" t="s">
        <v>748</v>
      </c>
      <c r="G83" s="37">
        <v>973959</v>
      </c>
      <c r="H83" s="65">
        <v>3895836</v>
      </c>
      <c r="I83" s="64">
        <v>553537</v>
      </c>
      <c r="J83" s="65">
        <v>2214148</v>
      </c>
      <c r="K83" s="64">
        <v>244588</v>
      </c>
      <c r="L83" s="65">
        <v>978352</v>
      </c>
      <c r="M83" s="64">
        <v>175834</v>
      </c>
      <c r="N83" s="65">
        <v>703336</v>
      </c>
      <c r="O83" s="32" t="s">
        <v>751</v>
      </c>
    </row>
    <row r="84" spans="2:15" ht="19.7" customHeight="1">
      <c r="B84" s="67" t="s">
        <v>834</v>
      </c>
      <c r="C84" s="29" t="s">
        <v>597</v>
      </c>
      <c r="D84" s="29" t="s">
        <v>530</v>
      </c>
      <c r="E84" s="31">
        <v>1</v>
      </c>
      <c r="F84" s="30" t="s">
        <v>366</v>
      </c>
      <c r="G84" s="37">
        <v>147875</v>
      </c>
      <c r="H84" s="65">
        <v>147875</v>
      </c>
      <c r="I84" s="64">
        <v>63375</v>
      </c>
      <c r="J84" s="65">
        <v>63375</v>
      </c>
      <c r="K84" s="64">
        <v>84500</v>
      </c>
      <c r="L84" s="65">
        <v>84500</v>
      </c>
      <c r="M84" s="64">
        <v>0</v>
      </c>
      <c r="N84" s="65">
        <v>0</v>
      </c>
      <c r="O84" s="32" t="s">
        <v>188</v>
      </c>
    </row>
    <row r="85" spans="2:15" ht="19.7" customHeight="1">
      <c r="B85" s="67" t="s">
        <v>834</v>
      </c>
      <c r="C85" s="29" t="s">
        <v>545</v>
      </c>
      <c r="D85" s="29" t="s">
        <v>280</v>
      </c>
      <c r="E85" s="31">
        <v>2</v>
      </c>
      <c r="F85" s="30" t="s">
        <v>574</v>
      </c>
      <c r="G85" s="37">
        <v>4436</v>
      </c>
      <c r="H85" s="65">
        <v>8872</v>
      </c>
      <c r="I85" s="64" t="s">
        <v>1134</v>
      </c>
      <c r="J85" s="65">
        <v>5082</v>
      </c>
      <c r="K85" s="64" t="s">
        <v>1135</v>
      </c>
      <c r="L85" s="65">
        <v>1676</v>
      </c>
      <c r="M85" s="64" t="s">
        <v>1136</v>
      </c>
      <c r="N85" s="65">
        <v>2114</v>
      </c>
      <c r="O85" s="32" t="s">
        <v>735</v>
      </c>
    </row>
    <row r="86" spans="2:15" ht="19.7" customHeight="1">
      <c r="B86" s="67" t="s">
        <v>834</v>
      </c>
      <c r="C86" s="29" t="s">
        <v>283</v>
      </c>
      <c r="D86" s="29" t="s">
        <v>571</v>
      </c>
      <c r="E86" s="31">
        <v>1</v>
      </c>
      <c r="F86" s="30" t="s">
        <v>665</v>
      </c>
      <c r="G86" s="37">
        <v>99000</v>
      </c>
      <c r="H86" s="65">
        <v>99000</v>
      </c>
      <c r="I86" s="64">
        <v>0</v>
      </c>
      <c r="J86" s="65">
        <v>0</v>
      </c>
      <c r="K86" s="64">
        <v>0</v>
      </c>
      <c r="L86" s="65">
        <v>0</v>
      </c>
      <c r="M86" s="64">
        <v>99000</v>
      </c>
      <c r="N86" s="65">
        <v>99000</v>
      </c>
      <c r="O86" s="32" t="s">
        <v>473</v>
      </c>
    </row>
    <row r="87" spans="2:15" ht="19.7" customHeight="1">
      <c r="B87" s="67" t="s">
        <v>834</v>
      </c>
      <c r="C87" s="29" t="s">
        <v>834</v>
      </c>
      <c r="D87" s="29" t="s">
        <v>834</v>
      </c>
      <c r="E87" s="31"/>
      <c r="F87" s="30" t="s">
        <v>834</v>
      </c>
      <c r="G87" s="37">
        <v>0</v>
      </c>
      <c r="H87" s="65">
        <v>0</v>
      </c>
      <c r="I87" s="37"/>
      <c r="J87" s="31"/>
      <c r="K87" s="37"/>
      <c r="L87" s="31"/>
      <c r="M87" s="37"/>
      <c r="N87" s="31"/>
      <c r="O87" s="32" t="s">
        <v>834</v>
      </c>
    </row>
    <row r="88" spans="2:15" ht="19.7" customHeight="1">
      <c r="B88" s="61" t="s">
        <v>227</v>
      </c>
      <c r="C88" s="62" t="s">
        <v>458</v>
      </c>
      <c r="D88" s="62" t="s">
        <v>834</v>
      </c>
      <c r="E88" s="31"/>
      <c r="F88" s="91" t="s">
        <v>834</v>
      </c>
      <c r="G88" s="37">
        <v>0</v>
      </c>
      <c r="H88" s="92">
        <v>27328733</v>
      </c>
      <c r="I88" s="37"/>
      <c r="J88" s="92" t="s">
        <v>1176</v>
      </c>
      <c r="K88" s="37"/>
      <c r="L88" s="92" t="s">
        <v>1177</v>
      </c>
      <c r="M88" s="37"/>
      <c r="N88" s="92" t="s">
        <v>1178</v>
      </c>
      <c r="O88" s="93" t="s">
        <v>834</v>
      </c>
    </row>
    <row r="89" spans="2:15" ht="19.7" customHeight="1">
      <c r="B89" s="61" t="s">
        <v>403</v>
      </c>
      <c r="C89" s="62" t="s">
        <v>102</v>
      </c>
      <c r="D89" s="62" t="s">
        <v>834</v>
      </c>
      <c r="E89" s="31"/>
      <c r="F89" s="91" t="s">
        <v>834</v>
      </c>
      <c r="G89" s="37">
        <v>0</v>
      </c>
      <c r="H89" s="92">
        <v>19000553</v>
      </c>
      <c r="I89" s="37"/>
      <c r="J89" s="92" t="s">
        <v>1179</v>
      </c>
      <c r="K89" s="37"/>
      <c r="L89" s="92" t="s">
        <v>1180</v>
      </c>
      <c r="M89" s="37"/>
      <c r="N89" s="92" t="s">
        <v>1181</v>
      </c>
      <c r="O89" s="93" t="s">
        <v>834</v>
      </c>
    </row>
    <row r="90" spans="2:15" ht="19.7" customHeight="1">
      <c r="B90" s="61" t="s">
        <v>834</v>
      </c>
      <c r="C90" s="62" t="s">
        <v>350</v>
      </c>
      <c r="D90" s="62" t="s">
        <v>834</v>
      </c>
      <c r="E90" s="31"/>
      <c r="F90" s="91" t="s">
        <v>834</v>
      </c>
      <c r="G90" s="37">
        <v>0</v>
      </c>
      <c r="H90" s="92">
        <v>7645075</v>
      </c>
      <c r="I90" s="37"/>
      <c r="J90" s="92" t="s">
        <v>1182</v>
      </c>
      <c r="K90" s="37"/>
      <c r="L90" s="92" t="s">
        <v>1183</v>
      </c>
      <c r="M90" s="37"/>
      <c r="N90" s="92" t="s">
        <v>1184</v>
      </c>
      <c r="O90" s="93" t="s">
        <v>834</v>
      </c>
    </row>
    <row r="91" spans="2:15" ht="19.7" customHeight="1">
      <c r="B91" s="67" t="s">
        <v>834</v>
      </c>
      <c r="C91" s="29" t="s">
        <v>319</v>
      </c>
      <c r="D91" s="29" t="s">
        <v>191</v>
      </c>
      <c r="E91" s="31">
        <v>20</v>
      </c>
      <c r="F91" s="30" t="s">
        <v>596</v>
      </c>
      <c r="G91" s="37">
        <v>84957</v>
      </c>
      <c r="H91" s="65">
        <v>1699140</v>
      </c>
      <c r="I91" s="64">
        <v>63340</v>
      </c>
      <c r="J91" s="65">
        <v>1266800</v>
      </c>
      <c r="K91" s="64">
        <v>20650</v>
      </c>
      <c r="L91" s="65">
        <v>413000</v>
      </c>
      <c r="M91" s="64">
        <v>967</v>
      </c>
      <c r="N91" s="65">
        <v>19340</v>
      </c>
      <c r="O91" s="32" t="s">
        <v>265</v>
      </c>
    </row>
    <row r="92" spans="2:15" ht="19.7" customHeight="1">
      <c r="B92" s="67" t="s">
        <v>834</v>
      </c>
      <c r="C92" s="29" t="s">
        <v>618</v>
      </c>
      <c r="D92" s="29" t="s">
        <v>453</v>
      </c>
      <c r="E92" s="31">
        <v>18</v>
      </c>
      <c r="F92" s="30" t="s">
        <v>596</v>
      </c>
      <c r="G92" s="37">
        <v>296464</v>
      </c>
      <c r="H92" s="65">
        <v>5336352</v>
      </c>
      <c r="I92" s="64">
        <v>127857</v>
      </c>
      <c r="J92" s="65">
        <v>2301426</v>
      </c>
      <c r="K92" s="64">
        <v>165650</v>
      </c>
      <c r="L92" s="65">
        <v>2981700</v>
      </c>
      <c r="M92" s="64">
        <v>2957</v>
      </c>
      <c r="N92" s="65">
        <v>53226</v>
      </c>
      <c r="O92" s="32" t="s">
        <v>775</v>
      </c>
    </row>
    <row r="93" spans="2:15" ht="19.7" customHeight="1">
      <c r="B93" s="67" t="s">
        <v>834</v>
      </c>
      <c r="C93" s="29" t="s">
        <v>438</v>
      </c>
      <c r="D93" s="29" t="s">
        <v>33</v>
      </c>
      <c r="E93" s="31">
        <v>1</v>
      </c>
      <c r="F93" s="30" t="s">
        <v>596</v>
      </c>
      <c r="G93" s="37">
        <v>444207</v>
      </c>
      <c r="H93" s="65">
        <v>444207</v>
      </c>
      <c r="I93" s="64">
        <v>154083</v>
      </c>
      <c r="J93" s="65">
        <v>154083</v>
      </c>
      <c r="K93" s="64">
        <v>286620</v>
      </c>
      <c r="L93" s="65">
        <v>286620</v>
      </c>
      <c r="M93" s="64">
        <v>3504</v>
      </c>
      <c r="N93" s="65">
        <v>3504</v>
      </c>
      <c r="O93" s="32" t="s">
        <v>584</v>
      </c>
    </row>
    <row r="94" spans="2:15" ht="19.7" customHeight="1">
      <c r="B94" s="67" t="s">
        <v>834</v>
      </c>
      <c r="C94" s="29" t="s">
        <v>612</v>
      </c>
      <c r="D94" s="29" t="s">
        <v>561</v>
      </c>
      <c r="E94" s="31">
        <v>4</v>
      </c>
      <c r="F94" s="30" t="s">
        <v>476</v>
      </c>
      <c r="G94" s="37">
        <v>41344</v>
      </c>
      <c r="H94" s="65">
        <v>165376</v>
      </c>
      <c r="I94" s="64">
        <v>33439</v>
      </c>
      <c r="J94" s="65">
        <v>133756</v>
      </c>
      <c r="K94" s="64">
        <v>7237</v>
      </c>
      <c r="L94" s="65">
        <v>28948</v>
      </c>
      <c r="M94" s="64">
        <v>668</v>
      </c>
      <c r="N94" s="65">
        <v>2672</v>
      </c>
      <c r="O94" s="32" t="s">
        <v>295</v>
      </c>
    </row>
    <row r="95" spans="2:15" ht="19.7" customHeight="1">
      <c r="B95" s="61" t="s">
        <v>834</v>
      </c>
      <c r="C95" s="62" t="s">
        <v>230</v>
      </c>
      <c r="D95" s="62" t="s">
        <v>834</v>
      </c>
      <c r="E95" s="31"/>
      <c r="F95" s="91" t="s">
        <v>834</v>
      </c>
      <c r="G95" s="37">
        <v>0</v>
      </c>
      <c r="H95" s="92">
        <v>6562353</v>
      </c>
      <c r="I95" s="37"/>
      <c r="J95" s="92" t="s">
        <v>1185</v>
      </c>
      <c r="K95" s="37"/>
      <c r="L95" s="92" t="s">
        <v>1186</v>
      </c>
      <c r="M95" s="37"/>
      <c r="N95" s="92" t="s">
        <v>1187</v>
      </c>
      <c r="O95" s="93" t="s">
        <v>834</v>
      </c>
    </row>
    <row r="96" spans="2:15" ht="19.7" customHeight="1">
      <c r="B96" s="67" t="s">
        <v>834</v>
      </c>
      <c r="C96" s="29" t="s">
        <v>319</v>
      </c>
      <c r="D96" s="29" t="s">
        <v>500</v>
      </c>
      <c r="E96" s="31">
        <v>25</v>
      </c>
      <c r="F96" s="30" t="s">
        <v>596</v>
      </c>
      <c r="G96" s="37">
        <v>101028</v>
      </c>
      <c r="H96" s="65">
        <v>2525700</v>
      </c>
      <c r="I96" s="64">
        <v>77305</v>
      </c>
      <c r="J96" s="65">
        <v>1932625</v>
      </c>
      <c r="K96" s="64">
        <v>22700</v>
      </c>
      <c r="L96" s="65">
        <v>567500</v>
      </c>
      <c r="M96" s="64">
        <v>1023</v>
      </c>
      <c r="N96" s="65">
        <v>25575</v>
      </c>
      <c r="O96" s="32" t="s">
        <v>15</v>
      </c>
    </row>
    <row r="97" spans="2:15" ht="19.7" customHeight="1">
      <c r="B97" s="67" t="s">
        <v>834</v>
      </c>
      <c r="C97" s="29" t="s">
        <v>618</v>
      </c>
      <c r="D97" s="29" t="s">
        <v>217</v>
      </c>
      <c r="E97" s="31">
        <v>11</v>
      </c>
      <c r="F97" s="30" t="s">
        <v>596</v>
      </c>
      <c r="G97" s="37">
        <v>317535</v>
      </c>
      <c r="H97" s="65">
        <v>3492885</v>
      </c>
      <c r="I97" s="64">
        <v>141822</v>
      </c>
      <c r="J97" s="65">
        <v>1560042</v>
      </c>
      <c r="K97" s="64">
        <v>172700</v>
      </c>
      <c r="L97" s="65">
        <v>1899700</v>
      </c>
      <c r="M97" s="64">
        <v>3013</v>
      </c>
      <c r="N97" s="65">
        <v>33143</v>
      </c>
      <c r="O97" s="32" t="s">
        <v>152</v>
      </c>
    </row>
    <row r="98" spans="2:15" ht="19.7" customHeight="1">
      <c r="B98" s="67" t="s">
        <v>834</v>
      </c>
      <c r="C98" s="29" t="s">
        <v>438</v>
      </c>
      <c r="D98" s="29" t="s">
        <v>609</v>
      </c>
      <c r="E98" s="31">
        <v>1</v>
      </c>
      <c r="F98" s="30" t="s">
        <v>596</v>
      </c>
      <c r="G98" s="37">
        <v>461080</v>
      </c>
      <c r="H98" s="65">
        <v>461080</v>
      </c>
      <c r="I98" s="64">
        <v>168850</v>
      </c>
      <c r="J98" s="65">
        <v>168850</v>
      </c>
      <c r="K98" s="64">
        <v>288670</v>
      </c>
      <c r="L98" s="65">
        <v>288670</v>
      </c>
      <c r="M98" s="64">
        <v>3560</v>
      </c>
      <c r="N98" s="65">
        <v>3560</v>
      </c>
      <c r="O98" s="32" t="s">
        <v>765</v>
      </c>
    </row>
    <row r="99" spans="2:15" ht="19.7" customHeight="1">
      <c r="B99" s="67" t="s">
        <v>834</v>
      </c>
      <c r="C99" s="29" t="s">
        <v>612</v>
      </c>
      <c r="D99" s="29" t="s">
        <v>561</v>
      </c>
      <c r="E99" s="31">
        <v>2</v>
      </c>
      <c r="F99" s="30" t="s">
        <v>476</v>
      </c>
      <c r="G99" s="37">
        <v>41344</v>
      </c>
      <c r="H99" s="65">
        <v>82688</v>
      </c>
      <c r="I99" s="64">
        <v>33439</v>
      </c>
      <c r="J99" s="65">
        <v>66878</v>
      </c>
      <c r="K99" s="64">
        <v>7237</v>
      </c>
      <c r="L99" s="65">
        <v>14474</v>
      </c>
      <c r="M99" s="64">
        <v>668</v>
      </c>
      <c r="N99" s="65">
        <v>1336</v>
      </c>
      <c r="O99" s="32" t="s">
        <v>295</v>
      </c>
    </row>
    <row r="100" spans="2:15" ht="19.7" customHeight="1">
      <c r="B100" s="61" t="s">
        <v>834</v>
      </c>
      <c r="C100" s="62" t="s">
        <v>201</v>
      </c>
      <c r="D100" s="62" t="s">
        <v>834</v>
      </c>
      <c r="E100" s="31"/>
      <c r="F100" s="91" t="s">
        <v>834</v>
      </c>
      <c r="G100" s="37">
        <v>0</v>
      </c>
      <c r="H100" s="92">
        <v>1612163</v>
      </c>
      <c r="I100" s="37"/>
      <c r="J100" s="92" t="s">
        <v>1188</v>
      </c>
      <c r="K100" s="37"/>
      <c r="L100" s="92" t="s">
        <v>1189</v>
      </c>
      <c r="M100" s="37"/>
      <c r="N100" s="92" t="s">
        <v>1190</v>
      </c>
      <c r="O100" s="93" t="s">
        <v>834</v>
      </c>
    </row>
    <row r="101" spans="2:15" ht="19.7" customHeight="1">
      <c r="B101" s="67" t="s">
        <v>834</v>
      </c>
      <c r="C101" s="29" t="s">
        <v>319</v>
      </c>
      <c r="D101" s="29" t="s">
        <v>191</v>
      </c>
      <c r="E101" s="31">
        <v>15</v>
      </c>
      <c r="F101" s="30" t="s">
        <v>596</v>
      </c>
      <c r="G101" s="37">
        <v>84957</v>
      </c>
      <c r="H101" s="65">
        <v>1274355</v>
      </c>
      <c r="I101" s="64">
        <v>63340</v>
      </c>
      <c r="J101" s="65">
        <v>950100</v>
      </c>
      <c r="K101" s="64">
        <v>20650</v>
      </c>
      <c r="L101" s="65">
        <v>309750</v>
      </c>
      <c r="M101" s="64">
        <v>967</v>
      </c>
      <c r="N101" s="65">
        <v>14505</v>
      </c>
      <c r="O101" s="32" t="s">
        <v>265</v>
      </c>
    </row>
    <row r="102" spans="2:15" ht="19.7" customHeight="1">
      <c r="B102" s="67" t="s">
        <v>834</v>
      </c>
      <c r="C102" s="29" t="s">
        <v>618</v>
      </c>
      <c r="D102" s="29" t="s">
        <v>453</v>
      </c>
      <c r="E102" s="31">
        <v>1</v>
      </c>
      <c r="F102" s="30" t="s">
        <v>596</v>
      </c>
      <c r="G102" s="37">
        <v>296464</v>
      </c>
      <c r="H102" s="65">
        <v>296464</v>
      </c>
      <c r="I102" s="64">
        <v>127857</v>
      </c>
      <c r="J102" s="65">
        <v>127857</v>
      </c>
      <c r="K102" s="64">
        <v>165650</v>
      </c>
      <c r="L102" s="65">
        <v>165650</v>
      </c>
      <c r="M102" s="64">
        <v>2957</v>
      </c>
      <c r="N102" s="65">
        <v>2957</v>
      </c>
      <c r="O102" s="32" t="s">
        <v>775</v>
      </c>
    </row>
    <row r="103" spans="2:15" ht="19.7" customHeight="1">
      <c r="B103" s="67" t="s">
        <v>834</v>
      </c>
      <c r="C103" s="29" t="s">
        <v>612</v>
      </c>
      <c r="D103" s="29" t="s">
        <v>561</v>
      </c>
      <c r="E103" s="31">
        <v>1</v>
      </c>
      <c r="F103" s="30" t="s">
        <v>476</v>
      </c>
      <c r="G103" s="37">
        <v>41344</v>
      </c>
      <c r="H103" s="65">
        <v>41344</v>
      </c>
      <c r="I103" s="64">
        <v>33439</v>
      </c>
      <c r="J103" s="65">
        <v>33439</v>
      </c>
      <c r="K103" s="64">
        <v>7237</v>
      </c>
      <c r="L103" s="65">
        <v>7237</v>
      </c>
      <c r="M103" s="64">
        <v>668</v>
      </c>
      <c r="N103" s="65">
        <v>668</v>
      </c>
      <c r="O103" s="32" t="s">
        <v>295</v>
      </c>
    </row>
    <row r="104" spans="2:15" ht="19.7" customHeight="1">
      <c r="B104" s="61" t="s">
        <v>834</v>
      </c>
      <c r="C104" s="62" t="s">
        <v>776</v>
      </c>
      <c r="D104" s="62" t="s">
        <v>834</v>
      </c>
      <c r="E104" s="31"/>
      <c r="F104" s="91" t="s">
        <v>834</v>
      </c>
      <c r="G104" s="37">
        <v>0</v>
      </c>
      <c r="H104" s="92">
        <v>3180962</v>
      </c>
      <c r="I104" s="37"/>
      <c r="J104" s="92" t="s">
        <v>1191</v>
      </c>
      <c r="K104" s="37"/>
      <c r="L104" s="92" t="s">
        <v>1192</v>
      </c>
      <c r="M104" s="37"/>
      <c r="N104" s="92" t="s">
        <v>1193</v>
      </c>
      <c r="O104" s="93" t="s">
        <v>834</v>
      </c>
    </row>
    <row r="105" spans="2:15" ht="19.7" customHeight="1">
      <c r="B105" s="67" t="s">
        <v>834</v>
      </c>
      <c r="C105" s="29" t="s">
        <v>319</v>
      </c>
      <c r="D105" s="29" t="s">
        <v>191</v>
      </c>
      <c r="E105" s="31">
        <v>26</v>
      </c>
      <c r="F105" s="30" t="s">
        <v>596</v>
      </c>
      <c r="G105" s="37">
        <v>84957</v>
      </c>
      <c r="H105" s="65">
        <v>2208882</v>
      </c>
      <c r="I105" s="64">
        <v>63340</v>
      </c>
      <c r="J105" s="65">
        <v>1646840</v>
      </c>
      <c r="K105" s="64">
        <v>20650</v>
      </c>
      <c r="L105" s="65">
        <v>536900</v>
      </c>
      <c r="M105" s="64">
        <v>967</v>
      </c>
      <c r="N105" s="65">
        <v>25142</v>
      </c>
      <c r="O105" s="32" t="s">
        <v>265</v>
      </c>
    </row>
    <row r="106" spans="2:15" ht="19.7" customHeight="1">
      <c r="B106" s="67" t="s">
        <v>834</v>
      </c>
      <c r="C106" s="29" t="s">
        <v>618</v>
      </c>
      <c r="D106" s="29" t="s">
        <v>453</v>
      </c>
      <c r="E106" s="31">
        <v>3</v>
      </c>
      <c r="F106" s="30" t="s">
        <v>596</v>
      </c>
      <c r="G106" s="37">
        <v>296464</v>
      </c>
      <c r="H106" s="65">
        <v>889392</v>
      </c>
      <c r="I106" s="64">
        <v>127857</v>
      </c>
      <c r="J106" s="65">
        <v>383571</v>
      </c>
      <c r="K106" s="64">
        <v>165650</v>
      </c>
      <c r="L106" s="65">
        <v>496950</v>
      </c>
      <c r="M106" s="64">
        <v>2957</v>
      </c>
      <c r="N106" s="65">
        <v>8871</v>
      </c>
      <c r="O106" s="32" t="s">
        <v>775</v>
      </c>
    </row>
    <row r="107" spans="2:15" ht="19.7" customHeight="1">
      <c r="B107" s="67" t="s">
        <v>834</v>
      </c>
      <c r="C107" s="29" t="s">
        <v>612</v>
      </c>
      <c r="D107" s="29" t="s">
        <v>561</v>
      </c>
      <c r="E107" s="31">
        <v>2</v>
      </c>
      <c r="F107" s="30" t="s">
        <v>476</v>
      </c>
      <c r="G107" s="37">
        <v>41344</v>
      </c>
      <c r="H107" s="65">
        <v>82688</v>
      </c>
      <c r="I107" s="64">
        <v>33439</v>
      </c>
      <c r="J107" s="65">
        <v>66878</v>
      </c>
      <c r="K107" s="64">
        <v>7237</v>
      </c>
      <c r="L107" s="65">
        <v>14474</v>
      </c>
      <c r="M107" s="64">
        <v>668</v>
      </c>
      <c r="N107" s="65">
        <v>1336</v>
      </c>
      <c r="O107" s="32" t="s">
        <v>295</v>
      </c>
    </row>
    <row r="108" spans="2:15" ht="19.7" customHeight="1">
      <c r="B108" s="102" t="s">
        <v>616</v>
      </c>
      <c r="C108" s="98" t="s">
        <v>259</v>
      </c>
      <c r="D108" s="98" t="s">
        <v>834</v>
      </c>
      <c r="E108" s="22"/>
      <c r="F108" s="99" t="s">
        <v>834</v>
      </c>
      <c r="G108" s="21">
        <v>0</v>
      </c>
      <c r="H108" s="100">
        <v>8328180</v>
      </c>
      <c r="I108" s="21"/>
      <c r="J108" s="100" t="s">
        <v>1194</v>
      </c>
      <c r="K108" s="21"/>
      <c r="L108" s="100" t="s">
        <v>1195</v>
      </c>
      <c r="M108" s="21"/>
      <c r="N108" s="100" t="s">
        <v>1196</v>
      </c>
      <c r="O108" s="101" t="s">
        <v>834</v>
      </c>
    </row>
    <row r="109" spans="2:15" ht="19.7" customHeight="1">
      <c r="B109" s="67" t="s">
        <v>834</v>
      </c>
      <c r="C109" s="29" t="s">
        <v>439</v>
      </c>
      <c r="D109" s="29" t="s">
        <v>567</v>
      </c>
      <c r="E109" s="31">
        <v>2</v>
      </c>
      <c r="F109" s="30" t="s">
        <v>748</v>
      </c>
      <c r="G109" s="37">
        <v>2626996</v>
      </c>
      <c r="H109" s="65">
        <v>5253992</v>
      </c>
      <c r="I109" s="64" t="s">
        <v>1131</v>
      </c>
      <c r="J109" s="65">
        <v>1621512</v>
      </c>
      <c r="K109" s="64" t="s">
        <v>1132</v>
      </c>
      <c r="L109" s="65">
        <v>264320</v>
      </c>
      <c r="M109" s="64" t="s">
        <v>1133</v>
      </c>
      <c r="N109" s="65">
        <v>3368160</v>
      </c>
      <c r="O109" s="32" t="s">
        <v>190</v>
      </c>
    </row>
    <row r="110" spans="2:15" ht="19.7" customHeight="1">
      <c r="B110" s="67" t="s">
        <v>834</v>
      </c>
      <c r="C110" s="29" t="s">
        <v>398</v>
      </c>
      <c r="D110" s="29" t="s">
        <v>530</v>
      </c>
      <c r="E110" s="31">
        <v>3</v>
      </c>
      <c r="F110" s="30" t="s">
        <v>748</v>
      </c>
      <c r="G110" s="37">
        <v>973959</v>
      </c>
      <c r="H110" s="65">
        <v>2921877</v>
      </c>
      <c r="I110" s="64">
        <v>553537</v>
      </c>
      <c r="J110" s="65">
        <v>1660611</v>
      </c>
      <c r="K110" s="64">
        <v>244588</v>
      </c>
      <c r="L110" s="65">
        <v>733764</v>
      </c>
      <c r="M110" s="64">
        <v>175834</v>
      </c>
      <c r="N110" s="65">
        <v>527502</v>
      </c>
      <c r="O110" s="32" t="s">
        <v>751</v>
      </c>
    </row>
    <row r="111" spans="2:15" ht="19.7" customHeight="1">
      <c r="B111" s="67" t="s">
        <v>834</v>
      </c>
      <c r="C111" s="29" t="s">
        <v>597</v>
      </c>
      <c r="D111" s="29" t="s">
        <v>530</v>
      </c>
      <c r="E111" s="31">
        <v>1</v>
      </c>
      <c r="F111" s="30" t="s">
        <v>366</v>
      </c>
      <c r="G111" s="37">
        <v>147875</v>
      </c>
      <c r="H111" s="65">
        <v>147875</v>
      </c>
      <c r="I111" s="64">
        <v>63375</v>
      </c>
      <c r="J111" s="65">
        <v>63375</v>
      </c>
      <c r="K111" s="64">
        <v>84500</v>
      </c>
      <c r="L111" s="65">
        <v>84500</v>
      </c>
      <c r="M111" s="64">
        <v>0</v>
      </c>
      <c r="N111" s="65">
        <v>0</v>
      </c>
      <c r="O111" s="32" t="s">
        <v>188</v>
      </c>
    </row>
    <row r="112" spans="2:15" ht="19.7" customHeight="1">
      <c r="B112" s="67" t="s">
        <v>834</v>
      </c>
      <c r="C112" s="29" t="s">
        <v>545</v>
      </c>
      <c r="D112" s="29" t="s">
        <v>280</v>
      </c>
      <c r="E112" s="31">
        <v>1</v>
      </c>
      <c r="F112" s="30" t="s">
        <v>574</v>
      </c>
      <c r="G112" s="37">
        <v>4436</v>
      </c>
      <c r="H112" s="65">
        <v>4436</v>
      </c>
      <c r="I112" s="64" t="s">
        <v>1134</v>
      </c>
      <c r="J112" s="65">
        <v>2541</v>
      </c>
      <c r="K112" s="64" t="s">
        <v>1135</v>
      </c>
      <c r="L112" s="65">
        <v>838</v>
      </c>
      <c r="M112" s="64" t="s">
        <v>1136</v>
      </c>
      <c r="N112" s="65">
        <v>1057</v>
      </c>
      <c r="O112" s="32" t="s">
        <v>735</v>
      </c>
    </row>
    <row r="113" spans="2:15" ht="19.7" customHeight="1">
      <c r="B113" s="67" t="s">
        <v>834</v>
      </c>
      <c r="C113" s="29" t="s">
        <v>834</v>
      </c>
      <c r="D113" s="29" t="s">
        <v>834</v>
      </c>
      <c r="E113" s="31"/>
      <c r="F113" s="30" t="s">
        <v>834</v>
      </c>
      <c r="G113" s="37">
        <v>0</v>
      </c>
      <c r="H113" s="65">
        <v>0</v>
      </c>
      <c r="I113" s="37"/>
      <c r="J113" s="31"/>
      <c r="K113" s="37"/>
      <c r="L113" s="31"/>
      <c r="M113" s="37"/>
      <c r="N113" s="31"/>
      <c r="O113" s="32" t="s">
        <v>834</v>
      </c>
    </row>
    <row r="114" spans="2:15" ht="19.7" customHeight="1">
      <c r="B114" s="61" t="s">
        <v>719</v>
      </c>
      <c r="C114" s="62" t="s">
        <v>251</v>
      </c>
      <c r="D114" s="62" t="s">
        <v>834</v>
      </c>
      <c r="E114" s="31"/>
      <c r="F114" s="91" t="s">
        <v>834</v>
      </c>
      <c r="G114" s="37">
        <v>0</v>
      </c>
      <c r="H114" s="92">
        <v>8344191</v>
      </c>
      <c r="I114" s="37"/>
      <c r="J114" s="92" t="s">
        <v>1197</v>
      </c>
      <c r="K114" s="37"/>
      <c r="L114" s="92" t="s">
        <v>1198</v>
      </c>
      <c r="M114" s="37"/>
      <c r="N114" s="92" t="s">
        <v>1199</v>
      </c>
      <c r="O114" s="93" t="s">
        <v>834</v>
      </c>
    </row>
    <row r="115" spans="2:15" ht="19.7" customHeight="1">
      <c r="B115" s="61" t="s">
        <v>226</v>
      </c>
      <c r="C115" s="62" t="s">
        <v>102</v>
      </c>
      <c r="D115" s="62" t="s">
        <v>834</v>
      </c>
      <c r="E115" s="31"/>
      <c r="F115" s="91" t="s">
        <v>834</v>
      </c>
      <c r="G115" s="37">
        <v>0</v>
      </c>
      <c r="H115" s="92">
        <v>4590925</v>
      </c>
      <c r="I115" s="37"/>
      <c r="J115" s="92" t="s">
        <v>1200</v>
      </c>
      <c r="K115" s="37"/>
      <c r="L115" s="92" t="s">
        <v>1201</v>
      </c>
      <c r="M115" s="37"/>
      <c r="N115" s="92" t="s">
        <v>1202</v>
      </c>
      <c r="O115" s="93" t="s">
        <v>834</v>
      </c>
    </row>
    <row r="116" spans="2:15" ht="19.7" customHeight="1">
      <c r="B116" s="61" t="s">
        <v>834</v>
      </c>
      <c r="C116" s="62" t="s">
        <v>350</v>
      </c>
      <c r="D116" s="62" t="s">
        <v>834</v>
      </c>
      <c r="E116" s="31"/>
      <c r="F116" s="91" t="s">
        <v>834</v>
      </c>
      <c r="G116" s="37">
        <v>0</v>
      </c>
      <c r="H116" s="92">
        <v>910585</v>
      </c>
      <c r="I116" s="37"/>
      <c r="J116" s="92" t="s">
        <v>1203</v>
      </c>
      <c r="K116" s="37"/>
      <c r="L116" s="92" t="s">
        <v>1204</v>
      </c>
      <c r="M116" s="37"/>
      <c r="N116" s="92" t="s">
        <v>1205</v>
      </c>
      <c r="O116" s="93" t="s">
        <v>834</v>
      </c>
    </row>
    <row r="117" spans="2:15" ht="19.7" customHeight="1">
      <c r="B117" s="67" t="s">
        <v>834</v>
      </c>
      <c r="C117" s="29" t="s">
        <v>319</v>
      </c>
      <c r="D117" s="29" t="s">
        <v>191</v>
      </c>
      <c r="E117" s="31">
        <v>2</v>
      </c>
      <c r="F117" s="30" t="s">
        <v>596</v>
      </c>
      <c r="G117" s="37">
        <v>84957</v>
      </c>
      <c r="H117" s="65">
        <v>169914</v>
      </c>
      <c r="I117" s="64">
        <v>63340</v>
      </c>
      <c r="J117" s="65">
        <v>126680</v>
      </c>
      <c r="K117" s="64">
        <v>20650</v>
      </c>
      <c r="L117" s="65">
        <v>41300</v>
      </c>
      <c r="M117" s="64">
        <v>967</v>
      </c>
      <c r="N117" s="65">
        <v>1934</v>
      </c>
      <c r="O117" s="32" t="s">
        <v>265</v>
      </c>
    </row>
    <row r="118" spans="2:15" ht="19.7" customHeight="1">
      <c r="B118" s="67" t="s">
        <v>834</v>
      </c>
      <c r="C118" s="29" t="s">
        <v>618</v>
      </c>
      <c r="D118" s="29" t="s">
        <v>453</v>
      </c>
      <c r="E118" s="31">
        <v>1</v>
      </c>
      <c r="F118" s="30" t="s">
        <v>596</v>
      </c>
      <c r="G118" s="37">
        <v>296464</v>
      </c>
      <c r="H118" s="65">
        <v>296464</v>
      </c>
      <c r="I118" s="64">
        <v>127857</v>
      </c>
      <c r="J118" s="65">
        <v>127857</v>
      </c>
      <c r="K118" s="64">
        <v>165650</v>
      </c>
      <c r="L118" s="65">
        <v>165650</v>
      </c>
      <c r="M118" s="64">
        <v>2957</v>
      </c>
      <c r="N118" s="65">
        <v>2957</v>
      </c>
      <c r="O118" s="32" t="s">
        <v>775</v>
      </c>
    </row>
    <row r="119" spans="2:15" ht="19.7" customHeight="1">
      <c r="B119" s="67" t="s">
        <v>834</v>
      </c>
      <c r="C119" s="29" t="s">
        <v>438</v>
      </c>
      <c r="D119" s="29" t="s">
        <v>33</v>
      </c>
      <c r="E119" s="31">
        <v>1</v>
      </c>
      <c r="F119" s="30" t="s">
        <v>596</v>
      </c>
      <c r="G119" s="37">
        <v>444207</v>
      </c>
      <c r="H119" s="65">
        <v>444207</v>
      </c>
      <c r="I119" s="64">
        <v>154083</v>
      </c>
      <c r="J119" s="65">
        <v>154083</v>
      </c>
      <c r="K119" s="64">
        <v>286620</v>
      </c>
      <c r="L119" s="65">
        <v>286620</v>
      </c>
      <c r="M119" s="64">
        <v>3504</v>
      </c>
      <c r="N119" s="65">
        <v>3504</v>
      </c>
      <c r="O119" s="32" t="s">
        <v>584</v>
      </c>
    </row>
    <row r="120" spans="2:15" ht="19.7" customHeight="1">
      <c r="B120" s="61" t="s">
        <v>834</v>
      </c>
      <c r="C120" s="62" t="s">
        <v>230</v>
      </c>
      <c r="D120" s="62" t="s">
        <v>834</v>
      </c>
      <c r="E120" s="31"/>
      <c r="F120" s="91" t="s">
        <v>834</v>
      </c>
      <c r="G120" s="37">
        <v>0</v>
      </c>
      <c r="H120" s="92">
        <v>1948434</v>
      </c>
      <c r="I120" s="37"/>
      <c r="J120" s="92" t="s">
        <v>1206</v>
      </c>
      <c r="K120" s="37"/>
      <c r="L120" s="92" t="s">
        <v>1207</v>
      </c>
      <c r="M120" s="37"/>
      <c r="N120" s="92" t="s">
        <v>1208</v>
      </c>
      <c r="O120" s="93" t="s">
        <v>834</v>
      </c>
    </row>
    <row r="121" spans="2:15" ht="19.7" customHeight="1">
      <c r="B121" s="67" t="s">
        <v>834</v>
      </c>
      <c r="C121" s="29" t="s">
        <v>319</v>
      </c>
      <c r="D121" s="29" t="s">
        <v>500</v>
      </c>
      <c r="E121" s="31">
        <v>13</v>
      </c>
      <c r="F121" s="30" t="s">
        <v>596</v>
      </c>
      <c r="G121" s="37">
        <v>101028</v>
      </c>
      <c r="H121" s="65">
        <v>1313364</v>
      </c>
      <c r="I121" s="64">
        <v>77305</v>
      </c>
      <c r="J121" s="65">
        <v>1004965</v>
      </c>
      <c r="K121" s="64">
        <v>22700</v>
      </c>
      <c r="L121" s="65">
        <v>295100</v>
      </c>
      <c r="M121" s="64">
        <v>1023</v>
      </c>
      <c r="N121" s="65">
        <v>13299</v>
      </c>
      <c r="O121" s="32" t="s">
        <v>15</v>
      </c>
    </row>
    <row r="122" spans="2:15" ht="19.7" customHeight="1">
      <c r="B122" s="67" t="s">
        <v>834</v>
      </c>
      <c r="C122" s="29" t="s">
        <v>618</v>
      </c>
      <c r="D122" s="29" t="s">
        <v>217</v>
      </c>
      <c r="E122" s="31">
        <v>2</v>
      </c>
      <c r="F122" s="30" t="s">
        <v>596</v>
      </c>
      <c r="G122" s="37">
        <v>317535</v>
      </c>
      <c r="H122" s="65">
        <v>635070</v>
      </c>
      <c r="I122" s="64">
        <v>141822</v>
      </c>
      <c r="J122" s="65">
        <v>283644</v>
      </c>
      <c r="K122" s="64">
        <v>172700</v>
      </c>
      <c r="L122" s="65">
        <v>345400</v>
      </c>
      <c r="M122" s="64">
        <v>3013</v>
      </c>
      <c r="N122" s="65">
        <v>6026</v>
      </c>
      <c r="O122" s="32" t="s">
        <v>152</v>
      </c>
    </row>
    <row r="123" spans="2:15" ht="19.7" customHeight="1">
      <c r="B123" s="61" t="s">
        <v>834</v>
      </c>
      <c r="C123" s="62" t="s">
        <v>201</v>
      </c>
      <c r="D123" s="62" t="s">
        <v>834</v>
      </c>
      <c r="E123" s="31"/>
      <c r="F123" s="91" t="s">
        <v>834</v>
      </c>
      <c r="G123" s="37">
        <v>0</v>
      </c>
      <c r="H123" s="92">
        <v>636292</v>
      </c>
      <c r="I123" s="37"/>
      <c r="J123" s="92" t="s">
        <v>1209</v>
      </c>
      <c r="K123" s="37"/>
      <c r="L123" s="92" t="s">
        <v>1210</v>
      </c>
      <c r="M123" s="37"/>
      <c r="N123" s="92" t="s">
        <v>1211</v>
      </c>
      <c r="O123" s="93" t="s">
        <v>834</v>
      </c>
    </row>
    <row r="124" spans="2:15" ht="19.7" customHeight="1">
      <c r="B124" s="67" t="s">
        <v>834</v>
      </c>
      <c r="C124" s="29" t="s">
        <v>319</v>
      </c>
      <c r="D124" s="29" t="s">
        <v>191</v>
      </c>
      <c r="E124" s="31">
        <v>4</v>
      </c>
      <c r="F124" s="30" t="s">
        <v>596</v>
      </c>
      <c r="G124" s="37">
        <v>84957</v>
      </c>
      <c r="H124" s="65">
        <v>339828</v>
      </c>
      <c r="I124" s="64">
        <v>63340</v>
      </c>
      <c r="J124" s="65">
        <v>253360</v>
      </c>
      <c r="K124" s="64">
        <v>20650</v>
      </c>
      <c r="L124" s="65">
        <v>82600</v>
      </c>
      <c r="M124" s="64">
        <v>967</v>
      </c>
      <c r="N124" s="65">
        <v>3868</v>
      </c>
      <c r="O124" s="32" t="s">
        <v>265</v>
      </c>
    </row>
    <row r="125" spans="2:15" ht="19.7" customHeight="1">
      <c r="B125" s="67" t="s">
        <v>834</v>
      </c>
      <c r="C125" s="29" t="s">
        <v>618</v>
      </c>
      <c r="D125" s="29" t="s">
        <v>453</v>
      </c>
      <c r="E125" s="31">
        <v>1</v>
      </c>
      <c r="F125" s="30" t="s">
        <v>596</v>
      </c>
      <c r="G125" s="37">
        <v>296464</v>
      </c>
      <c r="H125" s="65">
        <v>296464</v>
      </c>
      <c r="I125" s="64">
        <v>127857</v>
      </c>
      <c r="J125" s="65">
        <v>127857</v>
      </c>
      <c r="K125" s="64">
        <v>165650</v>
      </c>
      <c r="L125" s="65">
        <v>165650</v>
      </c>
      <c r="M125" s="64">
        <v>2957</v>
      </c>
      <c r="N125" s="65">
        <v>2957</v>
      </c>
      <c r="O125" s="32" t="s">
        <v>775</v>
      </c>
    </row>
    <row r="126" spans="2:15" ht="19.7" customHeight="1">
      <c r="B126" s="61" t="s">
        <v>834</v>
      </c>
      <c r="C126" s="62" t="s">
        <v>776</v>
      </c>
      <c r="D126" s="62" t="s">
        <v>834</v>
      </c>
      <c r="E126" s="31"/>
      <c r="F126" s="91" t="s">
        <v>834</v>
      </c>
      <c r="G126" s="37">
        <v>0</v>
      </c>
      <c r="H126" s="92">
        <v>1095614</v>
      </c>
      <c r="I126" s="37"/>
      <c r="J126" s="92" t="s">
        <v>1212</v>
      </c>
      <c r="K126" s="37"/>
      <c r="L126" s="92" t="s">
        <v>1213</v>
      </c>
      <c r="M126" s="37"/>
      <c r="N126" s="92" t="s">
        <v>1214</v>
      </c>
      <c r="O126" s="93" t="s">
        <v>834</v>
      </c>
    </row>
    <row r="127" spans="2:15" ht="19.7" customHeight="1">
      <c r="B127" s="67" t="s">
        <v>834</v>
      </c>
      <c r="C127" s="29" t="s">
        <v>319</v>
      </c>
      <c r="D127" s="29" t="s">
        <v>191</v>
      </c>
      <c r="E127" s="31">
        <v>6</v>
      </c>
      <c r="F127" s="30" t="s">
        <v>596</v>
      </c>
      <c r="G127" s="37">
        <v>84957</v>
      </c>
      <c r="H127" s="65">
        <v>509742</v>
      </c>
      <c r="I127" s="64">
        <v>63340</v>
      </c>
      <c r="J127" s="65">
        <v>380040</v>
      </c>
      <c r="K127" s="64">
        <v>20650</v>
      </c>
      <c r="L127" s="65">
        <v>123900</v>
      </c>
      <c r="M127" s="64">
        <v>967</v>
      </c>
      <c r="N127" s="65">
        <v>5802</v>
      </c>
      <c r="O127" s="32" t="s">
        <v>265</v>
      </c>
    </row>
    <row r="128" spans="2:15" ht="19.7" customHeight="1">
      <c r="B128" s="67" t="s">
        <v>834</v>
      </c>
      <c r="C128" s="29" t="s">
        <v>618</v>
      </c>
      <c r="D128" s="29" t="s">
        <v>453</v>
      </c>
      <c r="E128" s="31">
        <v>1</v>
      </c>
      <c r="F128" s="30" t="s">
        <v>596</v>
      </c>
      <c r="G128" s="37">
        <v>296464</v>
      </c>
      <c r="H128" s="65">
        <v>296464</v>
      </c>
      <c r="I128" s="64">
        <v>127857</v>
      </c>
      <c r="J128" s="65">
        <v>127857</v>
      </c>
      <c r="K128" s="64">
        <v>165650</v>
      </c>
      <c r="L128" s="65">
        <v>165650</v>
      </c>
      <c r="M128" s="64">
        <v>2957</v>
      </c>
      <c r="N128" s="65">
        <v>2957</v>
      </c>
      <c r="O128" s="32" t="s">
        <v>775</v>
      </c>
    </row>
    <row r="129" spans="2:15" ht="19.7" customHeight="1">
      <c r="B129" s="67" t="s">
        <v>834</v>
      </c>
      <c r="C129" s="29" t="s">
        <v>612</v>
      </c>
      <c r="D129" s="29" t="s">
        <v>561</v>
      </c>
      <c r="E129" s="31">
        <v>7</v>
      </c>
      <c r="F129" s="30" t="s">
        <v>476</v>
      </c>
      <c r="G129" s="37">
        <v>41344</v>
      </c>
      <c r="H129" s="65">
        <v>289408</v>
      </c>
      <c r="I129" s="64">
        <v>33439</v>
      </c>
      <c r="J129" s="65">
        <v>234073</v>
      </c>
      <c r="K129" s="64">
        <v>7237</v>
      </c>
      <c r="L129" s="65">
        <v>50659</v>
      </c>
      <c r="M129" s="64">
        <v>668</v>
      </c>
      <c r="N129" s="65">
        <v>4676</v>
      </c>
      <c r="O129" s="32" t="s">
        <v>295</v>
      </c>
    </row>
    <row r="130" spans="2:15" ht="19.7" customHeight="1">
      <c r="B130" s="61" t="s">
        <v>786</v>
      </c>
      <c r="C130" s="62" t="s">
        <v>259</v>
      </c>
      <c r="D130" s="62" t="s">
        <v>834</v>
      </c>
      <c r="E130" s="31"/>
      <c r="F130" s="91" t="s">
        <v>834</v>
      </c>
      <c r="G130" s="37">
        <v>0</v>
      </c>
      <c r="H130" s="92">
        <v>3753266</v>
      </c>
      <c r="I130" s="37"/>
      <c r="J130" s="92" t="s">
        <v>1128</v>
      </c>
      <c r="K130" s="37"/>
      <c r="L130" s="92" t="s">
        <v>1129</v>
      </c>
      <c r="M130" s="37"/>
      <c r="N130" s="92" t="s">
        <v>1130</v>
      </c>
      <c r="O130" s="93" t="s">
        <v>834</v>
      </c>
    </row>
    <row r="131" spans="2:15" ht="19.7" customHeight="1">
      <c r="B131" s="67" t="s">
        <v>834</v>
      </c>
      <c r="C131" s="29" t="s">
        <v>439</v>
      </c>
      <c r="D131" s="29" t="s">
        <v>567</v>
      </c>
      <c r="E131" s="31">
        <v>1</v>
      </c>
      <c r="F131" s="30" t="s">
        <v>748</v>
      </c>
      <c r="G131" s="37">
        <v>2626996</v>
      </c>
      <c r="H131" s="65">
        <v>2626996</v>
      </c>
      <c r="I131" s="64" t="s">
        <v>1131</v>
      </c>
      <c r="J131" s="65">
        <v>810756</v>
      </c>
      <c r="K131" s="64" t="s">
        <v>1132</v>
      </c>
      <c r="L131" s="65">
        <v>132160</v>
      </c>
      <c r="M131" s="64" t="s">
        <v>1133</v>
      </c>
      <c r="N131" s="65">
        <v>1684080</v>
      </c>
      <c r="O131" s="32" t="s">
        <v>190</v>
      </c>
    </row>
    <row r="132" spans="2:15" ht="19.7" customHeight="1">
      <c r="B132" s="67" t="s">
        <v>834</v>
      </c>
      <c r="C132" s="29" t="s">
        <v>398</v>
      </c>
      <c r="D132" s="29" t="s">
        <v>530</v>
      </c>
      <c r="E132" s="31">
        <v>1</v>
      </c>
      <c r="F132" s="30" t="s">
        <v>748</v>
      </c>
      <c r="G132" s="37">
        <v>973959</v>
      </c>
      <c r="H132" s="65">
        <v>973959</v>
      </c>
      <c r="I132" s="64">
        <v>553537</v>
      </c>
      <c r="J132" s="65">
        <v>553537</v>
      </c>
      <c r="K132" s="64">
        <v>244588</v>
      </c>
      <c r="L132" s="65">
        <v>244588</v>
      </c>
      <c r="M132" s="64">
        <v>175834</v>
      </c>
      <c r="N132" s="65">
        <v>175834</v>
      </c>
      <c r="O132" s="32" t="s">
        <v>751</v>
      </c>
    </row>
    <row r="133" spans="2:15" ht="19.7" customHeight="1">
      <c r="B133" s="67" t="s">
        <v>834</v>
      </c>
      <c r="C133" s="29" t="s">
        <v>597</v>
      </c>
      <c r="D133" s="29" t="s">
        <v>530</v>
      </c>
      <c r="E133" s="31">
        <v>1</v>
      </c>
      <c r="F133" s="30" t="s">
        <v>366</v>
      </c>
      <c r="G133" s="37">
        <v>147875</v>
      </c>
      <c r="H133" s="65">
        <v>147875</v>
      </c>
      <c r="I133" s="64">
        <v>63375</v>
      </c>
      <c r="J133" s="65">
        <v>63375</v>
      </c>
      <c r="K133" s="64">
        <v>84500</v>
      </c>
      <c r="L133" s="65">
        <v>84500</v>
      </c>
      <c r="M133" s="64">
        <v>0</v>
      </c>
      <c r="N133" s="65">
        <v>0</v>
      </c>
      <c r="O133" s="32" t="s">
        <v>188</v>
      </c>
    </row>
    <row r="134" spans="2:15" ht="19.7" customHeight="1">
      <c r="B134" s="69" t="s">
        <v>834</v>
      </c>
      <c r="C134" s="34" t="s">
        <v>545</v>
      </c>
      <c r="D134" s="34" t="s">
        <v>280</v>
      </c>
      <c r="E134" s="22">
        <v>1</v>
      </c>
      <c r="F134" s="35" t="s">
        <v>574</v>
      </c>
      <c r="G134" s="21">
        <v>4436</v>
      </c>
      <c r="H134" s="74">
        <v>4436</v>
      </c>
      <c r="I134" s="70" t="s">
        <v>1134</v>
      </c>
      <c r="J134" s="74">
        <v>2541</v>
      </c>
      <c r="K134" s="70" t="s">
        <v>1135</v>
      </c>
      <c r="L134" s="74">
        <v>838</v>
      </c>
      <c r="M134" s="70" t="s">
        <v>1136</v>
      </c>
      <c r="N134" s="74">
        <v>1057</v>
      </c>
      <c r="O134" s="36" t="s">
        <v>735</v>
      </c>
    </row>
    <row r="135" spans="2:15" ht="19.7" customHeight="1">
      <c r="B135" s="67" t="s">
        <v>834</v>
      </c>
      <c r="C135" s="29" t="s">
        <v>834</v>
      </c>
      <c r="D135" s="29" t="s">
        <v>834</v>
      </c>
      <c r="E135" s="31"/>
      <c r="F135" s="30" t="s">
        <v>834</v>
      </c>
      <c r="G135" s="37">
        <v>0</v>
      </c>
      <c r="H135" s="65">
        <v>0</v>
      </c>
      <c r="I135" s="37"/>
      <c r="J135" s="31"/>
      <c r="K135" s="37"/>
      <c r="L135" s="31"/>
      <c r="M135" s="37"/>
      <c r="N135" s="31"/>
      <c r="O135" s="32" t="s">
        <v>834</v>
      </c>
    </row>
    <row r="136" spans="2:15" ht="19.7" customHeight="1">
      <c r="B136" s="61" t="s">
        <v>314</v>
      </c>
      <c r="C136" s="62" t="s">
        <v>600</v>
      </c>
      <c r="D136" s="62" t="s">
        <v>834</v>
      </c>
      <c r="E136" s="31"/>
      <c r="F136" s="91" t="s">
        <v>834</v>
      </c>
      <c r="G136" s="37">
        <v>0</v>
      </c>
      <c r="H136" s="92">
        <v>19310844</v>
      </c>
      <c r="I136" s="37"/>
      <c r="J136" s="92" t="s">
        <v>1215</v>
      </c>
      <c r="K136" s="37"/>
      <c r="L136" s="92" t="s">
        <v>1216</v>
      </c>
      <c r="M136" s="37"/>
      <c r="N136" s="92" t="s">
        <v>1217</v>
      </c>
      <c r="O136" s="93" t="s">
        <v>834</v>
      </c>
    </row>
    <row r="137" spans="2:15" ht="19.7" customHeight="1">
      <c r="B137" s="61" t="s">
        <v>47</v>
      </c>
      <c r="C137" s="62" t="s">
        <v>102</v>
      </c>
      <c r="D137" s="62" t="s">
        <v>834</v>
      </c>
      <c r="E137" s="31"/>
      <c r="F137" s="91" t="s">
        <v>834</v>
      </c>
      <c r="G137" s="37">
        <v>0</v>
      </c>
      <c r="H137" s="92">
        <v>14583619</v>
      </c>
      <c r="I137" s="37"/>
      <c r="J137" s="92" t="s">
        <v>1218</v>
      </c>
      <c r="K137" s="37"/>
      <c r="L137" s="92" t="s">
        <v>1219</v>
      </c>
      <c r="M137" s="37"/>
      <c r="N137" s="92" t="s">
        <v>1220</v>
      </c>
      <c r="O137" s="93" t="s">
        <v>834</v>
      </c>
    </row>
    <row r="138" spans="2:15" ht="19.7" customHeight="1">
      <c r="B138" s="61" t="s">
        <v>834</v>
      </c>
      <c r="C138" s="62" t="s">
        <v>350</v>
      </c>
      <c r="D138" s="62" t="s">
        <v>834</v>
      </c>
      <c r="E138" s="31"/>
      <c r="F138" s="91" t="s">
        <v>834</v>
      </c>
      <c r="G138" s="37">
        <v>0</v>
      </c>
      <c r="H138" s="92">
        <v>7984519</v>
      </c>
      <c r="I138" s="37"/>
      <c r="J138" s="92" t="s">
        <v>1221</v>
      </c>
      <c r="K138" s="37"/>
      <c r="L138" s="92" t="s">
        <v>1222</v>
      </c>
      <c r="M138" s="37"/>
      <c r="N138" s="92" t="s">
        <v>1223</v>
      </c>
      <c r="O138" s="93" t="s">
        <v>834</v>
      </c>
    </row>
    <row r="139" spans="2:15" ht="19.7" customHeight="1">
      <c r="B139" s="67" t="s">
        <v>834</v>
      </c>
      <c r="C139" s="29" t="s">
        <v>319</v>
      </c>
      <c r="D139" s="29" t="s">
        <v>797</v>
      </c>
      <c r="E139" s="31">
        <v>18</v>
      </c>
      <c r="F139" s="30" t="s">
        <v>596</v>
      </c>
      <c r="G139" s="37">
        <v>63844</v>
      </c>
      <c r="H139" s="65">
        <v>1149192</v>
      </c>
      <c r="I139" s="64">
        <v>42227</v>
      </c>
      <c r="J139" s="65">
        <v>760086</v>
      </c>
      <c r="K139" s="64">
        <v>20650</v>
      </c>
      <c r="L139" s="65">
        <v>371700</v>
      </c>
      <c r="M139" s="64">
        <v>967</v>
      </c>
      <c r="N139" s="65">
        <v>17406</v>
      </c>
      <c r="O139" s="32" t="s">
        <v>601</v>
      </c>
    </row>
    <row r="140" spans="2:15" ht="19.7" customHeight="1">
      <c r="B140" s="67" t="s">
        <v>834</v>
      </c>
      <c r="C140" s="29" t="s">
        <v>618</v>
      </c>
      <c r="D140" s="29" t="s">
        <v>453</v>
      </c>
      <c r="E140" s="31">
        <v>21</v>
      </c>
      <c r="F140" s="30" t="s">
        <v>596</v>
      </c>
      <c r="G140" s="37">
        <v>296464</v>
      </c>
      <c r="H140" s="65">
        <v>6225744</v>
      </c>
      <c r="I140" s="64">
        <v>127857</v>
      </c>
      <c r="J140" s="65">
        <v>2684997</v>
      </c>
      <c r="K140" s="64">
        <v>165650</v>
      </c>
      <c r="L140" s="65">
        <v>3478650</v>
      </c>
      <c r="M140" s="64">
        <v>2957</v>
      </c>
      <c r="N140" s="65">
        <v>62097</v>
      </c>
      <c r="O140" s="32" t="s">
        <v>775</v>
      </c>
    </row>
    <row r="141" spans="2:15" ht="19.7" customHeight="1">
      <c r="B141" s="67" t="s">
        <v>834</v>
      </c>
      <c r="C141" s="29" t="s">
        <v>438</v>
      </c>
      <c r="D141" s="29" t="s">
        <v>33</v>
      </c>
      <c r="E141" s="31">
        <v>1</v>
      </c>
      <c r="F141" s="30" t="s">
        <v>596</v>
      </c>
      <c r="G141" s="37">
        <v>444207</v>
      </c>
      <c r="H141" s="65">
        <v>444207</v>
      </c>
      <c r="I141" s="64">
        <v>154083</v>
      </c>
      <c r="J141" s="65">
        <v>154083</v>
      </c>
      <c r="K141" s="64">
        <v>286620</v>
      </c>
      <c r="L141" s="65">
        <v>286620</v>
      </c>
      <c r="M141" s="64">
        <v>3504</v>
      </c>
      <c r="N141" s="65">
        <v>3504</v>
      </c>
      <c r="O141" s="32" t="s">
        <v>584</v>
      </c>
    </row>
    <row r="142" spans="2:15" ht="19.7" customHeight="1">
      <c r="B142" s="67" t="s">
        <v>834</v>
      </c>
      <c r="C142" s="29" t="s">
        <v>612</v>
      </c>
      <c r="D142" s="29" t="s">
        <v>561</v>
      </c>
      <c r="E142" s="31">
        <v>4</v>
      </c>
      <c r="F142" s="30" t="s">
        <v>476</v>
      </c>
      <c r="G142" s="37">
        <v>41344</v>
      </c>
      <c r="H142" s="65">
        <v>165376</v>
      </c>
      <c r="I142" s="64">
        <v>33439</v>
      </c>
      <c r="J142" s="65">
        <v>133756</v>
      </c>
      <c r="K142" s="64">
        <v>7237</v>
      </c>
      <c r="L142" s="65">
        <v>28948</v>
      </c>
      <c r="M142" s="64">
        <v>668</v>
      </c>
      <c r="N142" s="65">
        <v>2672</v>
      </c>
      <c r="O142" s="32" t="s">
        <v>295</v>
      </c>
    </row>
    <row r="143" spans="2:15" ht="19.7" customHeight="1">
      <c r="B143" s="61" t="s">
        <v>834</v>
      </c>
      <c r="C143" s="62" t="s">
        <v>230</v>
      </c>
      <c r="D143" s="62" t="s">
        <v>834</v>
      </c>
      <c r="E143" s="31"/>
      <c r="F143" s="91" t="s">
        <v>834</v>
      </c>
      <c r="G143" s="37">
        <v>0</v>
      </c>
      <c r="H143" s="92">
        <v>3159227</v>
      </c>
      <c r="I143" s="37"/>
      <c r="J143" s="92" t="s">
        <v>1224</v>
      </c>
      <c r="K143" s="37"/>
      <c r="L143" s="92" t="s">
        <v>1225</v>
      </c>
      <c r="M143" s="37"/>
      <c r="N143" s="92" t="s">
        <v>1226</v>
      </c>
      <c r="O143" s="93" t="s">
        <v>834</v>
      </c>
    </row>
    <row r="144" spans="2:15" ht="19.7" customHeight="1">
      <c r="B144" s="67" t="s">
        <v>834</v>
      </c>
      <c r="C144" s="29" t="s">
        <v>319</v>
      </c>
      <c r="D144" s="29" t="s">
        <v>500</v>
      </c>
      <c r="E144" s="31">
        <v>19</v>
      </c>
      <c r="F144" s="30" t="s">
        <v>596</v>
      </c>
      <c r="G144" s="37">
        <v>101028</v>
      </c>
      <c r="H144" s="65">
        <v>1919532</v>
      </c>
      <c r="I144" s="64">
        <v>77305</v>
      </c>
      <c r="J144" s="65">
        <v>1468795</v>
      </c>
      <c r="K144" s="64">
        <v>22700</v>
      </c>
      <c r="L144" s="65">
        <v>431300</v>
      </c>
      <c r="M144" s="64">
        <v>1023</v>
      </c>
      <c r="N144" s="65">
        <v>19437</v>
      </c>
      <c r="O144" s="32" t="s">
        <v>15</v>
      </c>
    </row>
    <row r="145" spans="2:15" ht="19.7" customHeight="1">
      <c r="B145" s="67" t="s">
        <v>834</v>
      </c>
      <c r="C145" s="29" t="s">
        <v>618</v>
      </c>
      <c r="D145" s="29" t="s">
        <v>217</v>
      </c>
      <c r="E145" s="31">
        <v>1</v>
      </c>
      <c r="F145" s="30" t="s">
        <v>596</v>
      </c>
      <c r="G145" s="37">
        <v>317535</v>
      </c>
      <c r="H145" s="65">
        <v>317535</v>
      </c>
      <c r="I145" s="64">
        <v>141822</v>
      </c>
      <c r="J145" s="65">
        <v>141822</v>
      </c>
      <c r="K145" s="64">
        <v>172700</v>
      </c>
      <c r="L145" s="65">
        <v>172700</v>
      </c>
      <c r="M145" s="64">
        <v>3013</v>
      </c>
      <c r="N145" s="65">
        <v>3013</v>
      </c>
      <c r="O145" s="32" t="s">
        <v>152</v>
      </c>
    </row>
    <row r="146" spans="2:15" ht="19.7" customHeight="1">
      <c r="B146" s="67" t="s">
        <v>834</v>
      </c>
      <c r="C146" s="29" t="s">
        <v>438</v>
      </c>
      <c r="D146" s="29" t="s">
        <v>609</v>
      </c>
      <c r="E146" s="31">
        <v>2</v>
      </c>
      <c r="F146" s="30" t="s">
        <v>596</v>
      </c>
      <c r="G146" s="37">
        <v>461080</v>
      </c>
      <c r="H146" s="65">
        <v>922160</v>
      </c>
      <c r="I146" s="64">
        <v>168850</v>
      </c>
      <c r="J146" s="65">
        <v>337700</v>
      </c>
      <c r="K146" s="64">
        <v>288670</v>
      </c>
      <c r="L146" s="65">
        <v>577340</v>
      </c>
      <c r="M146" s="64">
        <v>3560</v>
      </c>
      <c r="N146" s="65">
        <v>7120</v>
      </c>
      <c r="O146" s="32" t="s">
        <v>765</v>
      </c>
    </row>
    <row r="147" spans="2:15" ht="19.7" customHeight="1">
      <c r="B147" s="61" t="s">
        <v>834</v>
      </c>
      <c r="C147" s="62" t="s">
        <v>201</v>
      </c>
      <c r="D147" s="62" t="s">
        <v>834</v>
      </c>
      <c r="E147" s="31"/>
      <c r="F147" s="91" t="s">
        <v>834</v>
      </c>
      <c r="G147" s="37">
        <v>0</v>
      </c>
      <c r="H147" s="92">
        <v>3015088</v>
      </c>
      <c r="I147" s="37"/>
      <c r="J147" s="92" t="s">
        <v>1227</v>
      </c>
      <c r="K147" s="37"/>
      <c r="L147" s="92" t="s">
        <v>1228</v>
      </c>
      <c r="M147" s="37"/>
      <c r="N147" s="92" t="s">
        <v>1229</v>
      </c>
      <c r="O147" s="93" t="s">
        <v>834</v>
      </c>
    </row>
    <row r="148" spans="2:15" ht="19.7" customHeight="1">
      <c r="B148" s="67" t="s">
        <v>834</v>
      </c>
      <c r="C148" s="29" t="s">
        <v>319</v>
      </c>
      <c r="D148" s="29" t="s">
        <v>191</v>
      </c>
      <c r="E148" s="31">
        <v>32</v>
      </c>
      <c r="F148" s="30" t="s">
        <v>596</v>
      </c>
      <c r="G148" s="37">
        <v>84957</v>
      </c>
      <c r="H148" s="65">
        <v>2718624</v>
      </c>
      <c r="I148" s="64">
        <v>63340</v>
      </c>
      <c r="J148" s="65">
        <v>2026880</v>
      </c>
      <c r="K148" s="64">
        <v>20650</v>
      </c>
      <c r="L148" s="65">
        <v>660800</v>
      </c>
      <c r="M148" s="64">
        <v>967</v>
      </c>
      <c r="N148" s="65">
        <v>30944</v>
      </c>
      <c r="O148" s="32" t="s">
        <v>265</v>
      </c>
    </row>
    <row r="149" spans="2:15" ht="19.7" customHeight="1">
      <c r="B149" s="67" t="s">
        <v>834</v>
      </c>
      <c r="C149" s="29" t="s">
        <v>618</v>
      </c>
      <c r="D149" s="29" t="s">
        <v>453</v>
      </c>
      <c r="E149" s="31">
        <v>1</v>
      </c>
      <c r="F149" s="30" t="s">
        <v>596</v>
      </c>
      <c r="G149" s="37">
        <v>296464</v>
      </c>
      <c r="H149" s="65">
        <v>296464</v>
      </c>
      <c r="I149" s="64">
        <v>127857</v>
      </c>
      <c r="J149" s="65">
        <v>127857</v>
      </c>
      <c r="K149" s="64">
        <v>165650</v>
      </c>
      <c r="L149" s="65">
        <v>165650</v>
      </c>
      <c r="M149" s="64">
        <v>2957</v>
      </c>
      <c r="N149" s="65">
        <v>2957</v>
      </c>
      <c r="O149" s="32" t="s">
        <v>775</v>
      </c>
    </row>
    <row r="150" spans="2:15" ht="19.7" customHeight="1">
      <c r="B150" s="61" t="s">
        <v>834</v>
      </c>
      <c r="C150" s="62" t="s">
        <v>776</v>
      </c>
      <c r="D150" s="62" t="s">
        <v>834</v>
      </c>
      <c r="E150" s="31"/>
      <c r="F150" s="91" t="s">
        <v>834</v>
      </c>
      <c r="G150" s="37">
        <v>0</v>
      </c>
      <c r="H150" s="92">
        <v>424785</v>
      </c>
      <c r="I150" s="37"/>
      <c r="J150" s="92" t="s">
        <v>1230</v>
      </c>
      <c r="K150" s="37"/>
      <c r="L150" s="92" t="s">
        <v>1231</v>
      </c>
      <c r="M150" s="37"/>
      <c r="N150" s="92" t="s">
        <v>1232</v>
      </c>
      <c r="O150" s="93" t="s">
        <v>834</v>
      </c>
    </row>
    <row r="151" spans="2:15" ht="19.7" customHeight="1">
      <c r="B151" s="67" t="s">
        <v>834</v>
      </c>
      <c r="C151" s="29" t="s">
        <v>319</v>
      </c>
      <c r="D151" s="29" t="s">
        <v>191</v>
      </c>
      <c r="E151" s="31">
        <v>5</v>
      </c>
      <c r="F151" s="30" t="s">
        <v>596</v>
      </c>
      <c r="G151" s="37">
        <v>84957</v>
      </c>
      <c r="H151" s="65">
        <v>424785</v>
      </c>
      <c r="I151" s="64">
        <v>63340</v>
      </c>
      <c r="J151" s="65">
        <v>316700</v>
      </c>
      <c r="K151" s="64">
        <v>20650</v>
      </c>
      <c r="L151" s="65">
        <v>103250</v>
      </c>
      <c r="M151" s="64">
        <v>967</v>
      </c>
      <c r="N151" s="65">
        <v>4835</v>
      </c>
      <c r="O151" s="32" t="s">
        <v>265</v>
      </c>
    </row>
    <row r="152" spans="2:15" ht="19.7" customHeight="1">
      <c r="B152" s="61" t="s">
        <v>527</v>
      </c>
      <c r="C152" s="62" t="s">
        <v>259</v>
      </c>
      <c r="D152" s="62" t="s">
        <v>834</v>
      </c>
      <c r="E152" s="31"/>
      <c r="F152" s="91" t="s">
        <v>834</v>
      </c>
      <c r="G152" s="37">
        <v>0</v>
      </c>
      <c r="H152" s="92">
        <v>4727225</v>
      </c>
      <c r="I152" s="37"/>
      <c r="J152" s="92" t="s">
        <v>1233</v>
      </c>
      <c r="K152" s="37"/>
      <c r="L152" s="92" t="s">
        <v>1234</v>
      </c>
      <c r="M152" s="37"/>
      <c r="N152" s="92" t="s">
        <v>1235</v>
      </c>
      <c r="O152" s="93" t="s">
        <v>834</v>
      </c>
    </row>
    <row r="153" spans="2:15" ht="19.7" customHeight="1">
      <c r="B153" s="67" t="s">
        <v>834</v>
      </c>
      <c r="C153" s="29" t="s">
        <v>439</v>
      </c>
      <c r="D153" s="29" t="s">
        <v>567</v>
      </c>
      <c r="E153" s="31">
        <v>1</v>
      </c>
      <c r="F153" s="30" t="s">
        <v>748</v>
      </c>
      <c r="G153" s="37">
        <v>2626996</v>
      </c>
      <c r="H153" s="65">
        <v>2626996</v>
      </c>
      <c r="I153" s="64" t="s">
        <v>1131</v>
      </c>
      <c r="J153" s="65">
        <v>810756</v>
      </c>
      <c r="K153" s="64" t="s">
        <v>1132</v>
      </c>
      <c r="L153" s="65">
        <v>132160</v>
      </c>
      <c r="M153" s="64" t="s">
        <v>1133</v>
      </c>
      <c r="N153" s="65">
        <v>1684080</v>
      </c>
      <c r="O153" s="32" t="s">
        <v>190</v>
      </c>
    </row>
    <row r="154" spans="2:15" ht="19.7" customHeight="1">
      <c r="B154" s="67" t="s">
        <v>834</v>
      </c>
      <c r="C154" s="29" t="s">
        <v>398</v>
      </c>
      <c r="D154" s="29" t="s">
        <v>530</v>
      </c>
      <c r="E154" s="31">
        <v>2</v>
      </c>
      <c r="F154" s="30" t="s">
        <v>748</v>
      </c>
      <c r="G154" s="37">
        <v>973959</v>
      </c>
      <c r="H154" s="65">
        <v>1947918</v>
      </c>
      <c r="I154" s="64">
        <v>553537</v>
      </c>
      <c r="J154" s="65">
        <v>1107074</v>
      </c>
      <c r="K154" s="64">
        <v>244588</v>
      </c>
      <c r="L154" s="65">
        <v>489176</v>
      </c>
      <c r="M154" s="64">
        <v>175834</v>
      </c>
      <c r="N154" s="65">
        <v>351668</v>
      </c>
      <c r="O154" s="32" t="s">
        <v>751</v>
      </c>
    </row>
    <row r="155" spans="2:15" ht="19.7" customHeight="1">
      <c r="B155" s="67" t="s">
        <v>834</v>
      </c>
      <c r="C155" s="29" t="s">
        <v>597</v>
      </c>
      <c r="D155" s="29" t="s">
        <v>530</v>
      </c>
      <c r="E155" s="31">
        <v>1</v>
      </c>
      <c r="F155" s="30" t="s">
        <v>366</v>
      </c>
      <c r="G155" s="37">
        <v>147875</v>
      </c>
      <c r="H155" s="65">
        <v>147875</v>
      </c>
      <c r="I155" s="64">
        <v>63375</v>
      </c>
      <c r="J155" s="65">
        <v>63375</v>
      </c>
      <c r="K155" s="64">
        <v>84500</v>
      </c>
      <c r="L155" s="65">
        <v>84500</v>
      </c>
      <c r="M155" s="64">
        <v>0</v>
      </c>
      <c r="N155" s="65">
        <v>0</v>
      </c>
      <c r="O155" s="32" t="s">
        <v>188</v>
      </c>
    </row>
    <row r="156" spans="2:15" ht="19.7" customHeight="1">
      <c r="B156" s="67" t="s">
        <v>834</v>
      </c>
      <c r="C156" s="29" t="s">
        <v>545</v>
      </c>
      <c r="D156" s="29" t="s">
        <v>280</v>
      </c>
      <c r="E156" s="31">
        <v>1</v>
      </c>
      <c r="F156" s="30" t="s">
        <v>574</v>
      </c>
      <c r="G156" s="37">
        <v>4436</v>
      </c>
      <c r="H156" s="65">
        <v>4436</v>
      </c>
      <c r="I156" s="64" t="s">
        <v>1134</v>
      </c>
      <c r="J156" s="65">
        <v>2541</v>
      </c>
      <c r="K156" s="64" t="s">
        <v>1135</v>
      </c>
      <c r="L156" s="65">
        <v>838</v>
      </c>
      <c r="M156" s="64" t="s">
        <v>1136</v>
      </c>
      <c r="N156" s="65">
        <v>1057</v>
      </c>
      <c r="O156" s="32" t="s">
        <v>735</v>
      </c>
    </row>
    <row r="157" spans="2:15" ht="19.7" customHeight="1">
      <c r="B157" s="67" t="s">
        <v>834</v>
      </c>
      <c r="C157" s="29" t="s">
        <v>834</v>
      </c>
      <c r="D157" s="29" t="s">
        <v>834</v>
      </c>
      <c r="E157" s="31"/>
      <c r="F157" s="30" t="s">
        <v>834</v>
      </c>
      <c r="G157" s="37">
        <v>0</v>
      </c>
      <c r="H157" s="65">
        <v>0</v>
      </c>
      <c r="I157" s="37"/>
      <c r="J157" s="31"/>
      <c r="K157" s="37"/>
      <c r="L157" s="31"/>
      <c r="M157" s="37"/>
      <c r="N157" s="31"/>
      <c r="O157" s="32" t="s">
        <v>834</v>
      </c>
    </row>
    <row r="158" spans="2:15" ht="19.7" customHeight="1">
      <c r="B158" s="61" t="s">
        <v>785</v>
      </c>
      <c r="C158" s="62" t="s">
        <v>29</v>
      </c>
      <c r="D158" s="62" t="s">
        <v>834</v>
      </c>
      <c r="E158" s="31"/>
      <c r="F158" s="91" t="s">
        <v>834</v>
      </c>
      <c r="G158" s="37">
        <v>0</v>
      </c>
      <c r="H158" s="92">
        <v>21184914</v>
      </c>
      <c r="I158" s="37"/>
      <c r="J158" s="92" t="s">
        <v>1236</v>
      </c>
      <c r="K158" s="37"/>
      <c r="L158" s="92" t="s">
        <v>1237</v>
      </c>
      <c r="M158" s="37"/>
      <c r="N158" s="92" t="s">
        <v>1238</v>
      </c>
      <c r="O158" s="93" t="s">
        <v>834</v>
      </c>
    </row>
    <row r="159" spans="2:15" ht="19.7" customHeight="1">
      <c r="B159" s="61" t="s">
        <v>113</v>
      </c>
      <c r="C159" s="62" t="s">
        <v>102</v>
      </c>
      <c r="D159" s="62" t="s">
        <v>834</v>
      </c>
      <c r="E159" s="31"/>
      <c r="F159" s="91" t="s">
        <v>834</v>
      </c>
      <c r="G159" s="37">
        <v>0</v>
      </c>
      <c r="H159" s="92">
        <v>13830693</v>
      </c>
      <c r="I159" s="37"/>
      <c r="J159" s="92" t="s">
        <v>1239</v>
      </c>
      <c r="K159" s="37"/>
      <c r="L159" s="92" t="s">
        <v>1240</v>
      </c>
      <c r="M159" s="37"/>
      <c r="N159" s="92" t="s">
        <v>1241</v>
      </c>
      <c r="O159" s="93" t="s">
        <v>834</v>
      </c>
    </row>
    <row r="160" spans="2:15" ht="19.7" customHeight="1">
      <c r="B160" s="102" t="s">
        <v>834</v>
      </c>
      <c r="C160" s="98" t="s">
        <v>350</v>
      </c>
      <c r="D160" s="98" t="s">
        <v>834</v>
      </c>
      <c r="E160" s="22"/>
      <c r="F160" s="99" t="s">
        <v>834</v>
      </c>
      <c r="G160" s="21">
        <v>0</v>
      </c>
      <c r="H160" s="100">
        <v>3914577</v>
      </c>
      <c r="I160" s="21"/>
      <c r="J160" s="100" t="s">
        <v>1242</v>
      </c>
      <c r="K160" s="21"/>
      <c r="L160" s="100" t="s">
        <v>1243</v>
      </c>
      <c r="M160" s="21"/>
      <c r="N160" s="100" t="s">
        <v>1244</v>
      </c>
      <c r="O160" s="101" t="s">
        <v>834</v>
      </c>
    </row>
    <row r="161" spans="2:15" ht="19.7" customHeight="1">
      <c r="B161" s="67" t="s">
        <v>834</v>
      </c>
      <c r="C161" s="29" t="s">
        <v>319</v>
      </c>
      <c r="D161" s="29" t="s">
        <v>191</v>
      </c>
      <c r="E161" s="31">
        <v>26</v>
      </c>
      <c r="F161" s="30" t="s">
        <v>596</v>
      </c>
      <c r="G161" s="37">
        <v>84957</v>
      </c>
      <c r="H161" s="65">
        <v>2208882</v>
      </c>
      <c r="I161" s="64">
        <v>63340</v>
      </c>
      <c r="J161" s="65">
        <v>1646840</v>
      </c>
      <c r="K161" s="64">
        <v>20650</v>
      </c>
      <c r="L161" s="65">
        <v>536900</v>
      </c>
      <c r="M161" s="64">
        <v>967</v>
      </c>
      <c r="N161" s="65">
        <v>25142</v>
      </c>
      <c r="O161" s="32" t="s">
        <v>265</v>
      </c>
    </row>
    <row r="162" spans="2:15" ht="19.7" customHeight="1">
      <c r="B162" s="67" t="s">
        <v>834</v>
      </c>
      <c r="C162" s="29" t="s">
        <v>618</v>
      </c>
      <c r="D162" s="29" t="s">
        <v>453</v>
      </c>
      <c r="E162" s="31">
        <v>3</v>
      </c>
      <c r="F162" s="30" t="s">
        <v>596</v>
      </c>
      <c r="G162" s="37">
        <v>296464</v>
      </c>
      <c r="H162" s="65">
        <v>889392</v>
      </c>
      <c r="I162" s="64">
        <v>127857</v>
      </c>
      <c r="J162" s="65">
        <v>383571</v>
      </c>
      <c r="K162" s="64">
        <v>165650</v>
      </c>
      <c r="L162" s="65">
        <v>496950</v>
      </c>
      <c r="M162" s="64">
        <v>2957</v>
      </c>
      <c r="N162" s="65">
        <v>8871</v>
      </c>
      <c r="O162" s="32" t="s">
        <v>775</v>
      </c>
    </row>
    <row r="163" spans="2:15" ht="19.7" customHeight="1">
      <c r="B163" s="67" t="s">
        <v>834</v>
      </c>
      <c r="C163" s="29" t="s">
        <v>438</v>
      </c>
      <c r="D163" s="29" t="s">
        <v>33</v>
      </c>
      <c r="E163" s="31">
        <v>1</v>
      </c>
      <c r="F163" s="30" t="s">
        <v>596</v>
      </c>
      <c r="G163" s="37">
        <v>444207</v>
      </c>
      <c r="H163" s="65">
        <v>444207</v>
      </c>
      <c r="I163" s="64">
        <v>154083</v>
      </c>
      <c r="J163" s="65">
        <v>154083</v>
      </c>
      <c r="K163" s="64">
        <v>286620</v>
      </c>
      <c r="L163" s="65">
        <v>286620</v>
      </c>
      <c r="M163" s="64">
        <v>3504</v>
      </c>
      <c r="N163" s="65">
        <v>3504</v>
      </c>
      <c r="O163" s="32" t="s">
        <v>584</v>
      </c>
    </row>
    <row r="164" spans="2:15" ht="19.7" customHeight="1">
      <c r="B164" s="67" t="s">
        <v>834</v>
      </c>
      <c r="C164" s="29" t="s">
        <v>612</v>
      </c>
      <c r="D164" s="29" t="s">
        <v>561</v>
      </c>
      <c r="E164" s="31">
        <v>9</v>
      </c>
      <c r="F164" s="30" t="s">
        <v>476</v>
      </c>
      <c r="G164" s="37">
        <v>41344</v>
      </c>
      <c r="H164" s="65">
        <v>372096</v>
      </c>
      <c r="I164" s="64">
        <v>33439</v>
      </c>
      <c r="J164" s="65">
        <v>300951</v>
      </c>
      <c r="K164" s="64">
        <v>7237</v>
      </c>
      <c r="L164" s="65">
        <v>65133</v>
      </c>
      <c r="M164" s="64">
        <v>668</v>
      </c>
      <c r="N164" s="65">
        <v>6012</v>
      </c>
      <c r="O164" s="32" t="s">
        <v>295</v>
      </c>
    </row>
    <row r="165" spans="2:15" ht="19.7" customHeight="1">
      <c r="B165" s="61" t="s">
        <v>834</v>
      </c>
      <c r="C165" s="62" t="s">
        <v>230</v>
      </c>
      <c r="D165" s="62" t="s">
        <v>834</v>
      </c>
      <c r="E165" s="31"/>
      <c r="F165" s="91" t="s">
        <v>834</v>
      </c>
      <c r="G165" s="37">
        <v>0</v>
      </c>
      <c r="H165" s="92">
        <v>2067555</v>
      </c>
      <c r="I165" s="37"/>
      <c r="J165" s="92" t="s">
        <v>1245</v>
      </c>
      <c r="K165" s="37"/>
      <c r="L165" s="92" t="s">
        <v>1246</v>
      </c>
      <c r="M165" s="37"/>
      <c r="N165" s="92" t="s">
        <v>1247</v>
      </c>
      <c r="O165" s="93" t="s">
        <v>834</v>
      </c>
    </row>
    <row r="166" spans="2:15" ht="19.7" customHeight="1">
      <c r="B166" s="67" t="s">
        <v>834</v>
      </c>
      <c r="C166" s="29" t="s">
        <v>319</v>
      </c>
      <c r="D166" s="29" t="s">
        <v>238</v>
      </c>
      <c r="E166" s="31">
        <v>11</v>
      </c>
      <c r="F166" s="30" t="s">
        <v>596</v>
      </c>
      <c r="G166" s="37">
        <v>75260</v>
      </c>
      <c r="H166" s="65">
        <v>827860</v>
      </c>
      <c r="I166" s="64">
        <v>51537</v>
      </c>
      <c r="J166" s="65">
        <v>566907</v>
      </c>
      <c r="K166" s="64">
        <v>22700</v>
      </c>
      <c r="L166" s="65">
        <v>249700</v>
      </c>
      <c r="M166" s="64">
        <v>1023</v>
      </c>
      <c r="N166" s="65">
        <v>11253</v>
      </c>
      <c r="O166" s="32" t="s">
        <v>313</v>
      </c>
    </row>
    <row r="167" spans="2:15" ht="19.7" customHeight="1">
      <c r="B167" s="67" t="s">
        <v>834</v>
      </c>
      <c r="C167" s="29" t="s">
        <v>618</v>
      </c>
      <c r="D167" s="29" t="s">
        <v>217</v>
      </c>
      <c r="E167" s="31">
        <v>1</v>
      </c>
      <c r="F167" s="30" t="s">
        <v>596</v>
      </c>
      <c r="G167" s="37">
        <v>317535</v>
      </c>
      <c r="H167" s="65">
        <v>317535</v>
      </c>
      <c r="I167" s="64">
        <v>141822</v>
      </c>
      <c r="J167" s="65">
        <v>141822</v>
      </c>
      <c r="K167" s="64">
        <v>172700</v>
      </c>
      <c r="L167" s="65">
        <v>172700</v>
      </c>
      <c r="M167" s="64">
        <v>3013</v>
      </c>
      <c r="N167" s="65">
        <v>3013</v>
      </c>
      <c r="O167" s="32" t="s">
        <v>152</v>
      </c>
    </row>
    <row r="168" spans="2:15" ht="19.7" customHeight="1">
      <c r="B168" s="67" t="s">
        <v>834</v>
      </c>
      <c r="C168" s="29" t="s">
        <v>438</v>
      </c>
      <c r="D168" s="29" t="s">
        <v>609</v>
      </c>
      <c r="E168" s="31">
        <v>2</v>
      </c>
      <c r="F168" s="30" t="s">
        <v>596</v>
      </c>
      <c r="G168" s="37">
        <v>461080</v>
      </c>
      <c r="H168" s="65">
        <v>922160</v>
      </c>
      <c r="I168" s="64">
        <v>168850</v>
      </c>
      <c r="J168" s="65">
        <v>337700</v>
      </c>
      <c r="K168" s="64">
        <v>288670</v>
      </c>
      <c r="L168" s="65">
        <v>577340</v>
      </c>
      <c r="M168" s="64">
        <v>3560</v>
      </c>
      <c r="N168" s="65">
        <v>7120</v>
      </c>
      <c r="O168" s="32" t="s">
        <v>765</v>
      </c>
    </row>
    <row r="169" spans="2:15" ht="19.7" customHeight="1">
      <c r="B169" s="61" t="s">
        <v>834</v>
      </c>
      <c r="C169" s="62" t="s">
        <v>201</v>
      </c>
      <c r="D169" s="62" t="s">
        <v>834</v>
      </c>
      <c r="E169" s="31"/>
      <c r="F169" s="91" t="s">
        <v>834</v>
      </c>
      <c r="G169" s="37">
        <v>0</v>
      </c>
      <c r="H169" s="92">
        <v>4034323</v>
      </c>
      <c r="I169" s="37"/>
      <c r="J169" s="92" t="s">
        <v>1248</v>
      </c>
      <c r="K169" s="37"/>
      <c r="L169" s="92" t="s">
        <v>1249</v>
      </c>
      <c r="M169" s="37"/>
      <c r="N169" s="92" t="s">
        <v>1250</v>
      </c>
      <c r="O169" s="93" t="s">
        <v>834</v>
      </c>
    </row>
    <row r="170" spans="2:15" ht="19.7" customHeight="1">
      <c r="B170" s="67" t="s">
        <v>834</v>
      </c>
      <c r="C170" s="29" t="s">
        <v>319</v>
      </c>
      <c r="D170" s="29" t="s">
        <v>191</v>
      </c>
      <c r="E170" s="31">
        <v>47</v>
      </c>
      <c r="F170" s="30" t="s">
        <v>596</v>
      </c>
      <c r="G170" s="37">
        <v>84957</v>
      </c>
      <c r="H170" s="65">
        <v>3992979</v>
      </c>
      <c r="I170" s="64">
        <v>63340</v>
      </c>
      <c r="J170" s="65">
        <v>2976980</v>
      </c>
      <c r="K170" s="64">
        <v>20650</v>
      </c>
      <c r="L170" s="65">
        <v>970550</v>
      </c>
      <c r="M170" s="64">
        <v>967</v>
      </c>
      <c r="N170" s="65">
        <v>45449</v>
      </c>
      <c r="O170" s="32" t="s">
        <v>265</v>
      </c>
    </row>
    <row r="171" spans="2:15" ht="19.7" customHeight="1">
      <c r="B171" s="67" t="s">
        <v>834</v>
      </c>
      <c r="C171" s="29" t="s">
        <v>612</v>
      </c>
      <c r="D171" s="29" t="s">
        <v>561</v>
      </c>
      <c r="E171" s="31">
        <v>1</v>
      </c>
      <c r="F171" s="30" t="s">
        <v>476</v>
      </c>
      <c r="G171" s="37">
        <v>41344</v>
      </c>
      <c r="H171" s="65">
        <v>41344</v>
      </c>
      <c r="I171" s="64">
        <v>33439</v>
      </c>
      <c r="J171" s="65">
        <v>33439</v>
      </c>
      <c r="K171" s="64">
        <v>7237</v>
      </c>
      <c r="L171" s="65">
        <v>7237</v>
      </c>
      <c r="M171" s="64">
        <v>668</v>
      </c>
      <c r="N171" s="65">
        <v>668</v>
      </c>
      <c r="O171" s="32" t="s">
        <v>295</v>
      </c>
    </row>
    <row r="172" spans="2:15" ht="19.7" customHeight="1">
      <c r="B172" s="61" t="s">
        <v>834</v>
      </c>
      <c r="C172" s="62" t="s">
        <v>776</v>
      </c>
      <c r="D172" s="62" t="s">
        <v>834</v>
      </c>
      <c r="E172" s="31"/>
      <c r="F172" s="91" t="s">
        <v>834</v>
      </c>
      <c r="G172" s="37">
        <v>0</v>
      </c>
      <c r="H172" s="92">
        <v>3814238</v>
      </c>
      <c r="I172" s="37"/>
      <c r="J172" s="92" t="s">
        <v>1251</v>
      </c>
      <c r="K172" s="37"/>
      <c r="L172" s="92" t="s">
        <v>1252</v>
      </c>
      <c r="M172" s="37"/>
      <c r="N172" s="92" t="s">
        <v>1253</v>
      </c>
      <c r="O172" s="93" t="s">
        <v>834</v>
      </c>
    </row>
    <row r="173" spans="2:15" ht="19.7" customHeight="1">
      <c r="B173" s="67" t="s">
        <v>834</v>
      </c>
      <c r="C173" s="29" t="s">
        <v>319</v>
      </c>
      <c r="D173" s="29" t="s">
        <v>191</v>
      </c>
      <c r="E173" s="31">
        <v>38</v>
      </c>
      <c r="F173" s="30" t="s">
        <v>596</v>
      </c>
      <c r="G173" s="37">
        <v>84957</v>
      </c>
      <c r="H173" s="65">
        <v>3228366</v>
      </c>
      <c r="I173" s="64">
        <v>63340</v>
      </c>
      <c r="J173" s="65">
        <v>2406920</v>
      </c>
      <c r="K173" s="64">
        <v>20650</v>
      </c>
      <c r="L173" s="65">
        <v>784700</v>
      </c>
      <c r="M173" s="64">
        <v>967</v>
      </c>
      <c r="N173" s="65">
        <v>36746</v>
      </c>
      <c r="O173" s="32" t="s">
        <v>265</v>
      </c>
    </row>
    <row r="174" spans="2:15" ht="19.7" customHeight="1">
      <c r="B174" s="67" t="s">
        <v>834</v>
      </c>
      <c r="C174" s="29" t="s">
        <v>618</v>
      </c>
      <c r="D174" s="29" t="s">
        <v>453</v>
      </c>
      <c r="E174" s="31">
        <v>1</v>
      </c>
      <c r="F174" s="30" t="s">
        <v>596</v>
      </c>
      <c r="G174" s="37">
        <v>296464</v>
      </c>
      <c r="H174" s="65">
        <v>296464</v>
      </c>
      <c r="I174" s="64">
        <v>127857</v>
      </c>
      <c r="J174" s="65">
        <v>127857</v>
      </c>
      <c r="K174" s="64">
        <v>165650</v>
      </c>
      <c r="L174" s="65">
        <v>165650</v>
      </c>
      <c r="M174" s="64">
        <v>2957</v>
      </c>
      <c r="N174" s="65">
        <v>2957</v>
      </c>
      <c r="O174" s="32" t="s">
        <v>775</v>
      </c>
    </row>
    <row r="175" spans="2:15" ht="19.7" customHeight="1">
      <c r="B175" s="67" t="s">
        <v>834</v>
      </c>
      <c r="C175" s="29" t="s">
        <v>612</v>
      </c>
      <c r="D175" s="29" t="s">
        <v>561</v>
      </c>
      <c r="E175" s="31">
        <v>7</v>
      </c>
      <c r="F175" s="30" t="s">
        <v>476</v>
      </c>
      <c r="G175" s="37">
        <v>41344</v>
      </c>
      <c r="H175" s="65">
        <v>289408</v>
      </c>
      <c r="I175" s="64">
        <v>33439</v>
      </c>
      <c r="J175" s="65">
        <v>234073</v>
      </c>
      <c r="K175" s="64">
        <v>7237</v>
      </c>
      <c r="L175" s="65">
        <v>50659</v>
      </c>
      <c r="M175" s="64">
        <v>668</v>
      </c>
      <c r="N175" s="65">
        <v>4676</v>
      </c>
      <c r="O175" s="32" t="s">
        <v>295</v>
      </c>
    </row>
    <row r="176" spans="2:15" ht="19.7" customHeight="1">
      <c r="B176" s="61" t="s">
        <v>491</v>
      </c>
      <c r="C176" s="62" t="s">
        <v>259</v>
      </c>
      <c r="D176" s="62" t="s">
        <v>834</v>
      </c>
      <c r="E176" s="31"/>
      <c r="F176" s="91" t="s">
        <v>834</v>
      </c>
      <c r="G176" s="37">
        <v>0</v>
      </c>
      <c r="H176" s="92">
        <v>7354221</v>
      </c>
      <c r="I176" s="37"/>
      <c r="J176" s="92" t="s">
        <v>1152</v>
      </c>
      <c r="K176" s="37"/>
      <c r="L176" s="92" t="s">
        <v>1153</v>
      </c>
      <c r="M176" s="37"/>
      <c r="N176" s="92" t="s">
        <v>1154</v>
      </c>
      <c r="O176" s="93" t="s">
        <v>834</v>
      </c>
    </row>
    <row r="177" spans="2:15" ht="19.7" customHeight="1">
      <c r="B177" s="67" t="s">
        <v>834</v>
      </c>
      <c r="C177" s="29" t="s">
        <v>439</v>
      </c>
      <c r="D177" s="29" t="s">
        <v>567</v>
      </c>
      <c r="E177" s="31">
        <v>2</v>
      </c>
      <c r="F177" s="30" t="s">
        <v>748</v>
      </c>
      <c r="G177" s="37">
        <v>2626996</v>
      </c>
      <c r="H177" s="65">
        <v>5253992</v>
      </c>
      <c r="I177" s="64" t="s">
        <v>1131</v>
      </c>
      <c r="J177" s="65">
        <v>1621512</v>
      </c>
      <c r="K177" s="64" t="s">
        <v>1132</v>
      </c>
      <c r="L177" s="65">
        <v>264320</v>
      </c>
      <c r="M177" s="64" t="s">
        <v>1133</v>
      </c>
      <c r="N177" s="65">
        <v>3368160</v>
      </c>
      <c r="O177" s="32" t="s">
        <v>190</v>
      </c>
    </row>
    <row r="178" spans="2:15" ht="19.7" customHeight="1">
      <c r="B178" s="67" t="s">
        <v>834</v>
      </c>
      <c r="C178" s="29" t="s">
        <v>398</v>
      </c>
      <c r="D178" s="29" t="s">
        <v>530</v>
      </c>
      <c r="E178" s="31">
        <v>2</v>
      </c>
      <c r="F178" s="30" t="s">
        <v>748</v>
      </c>
      <c r="G178" s="37">
        <v>973959</v>
      </c>
      <c r="H178" s="65">
        <v>1947918</v>
      </c>
      <c r="I178" s="64">
        <v>553537</v>
      </c>
      <c r="J178" s="65">
        <v>1107074</v>
      </c>
      <c r="K178" s="64">
        <v>244588</v>
      </c>
      <c r="L178" s="65">
        <v>489176</v>
      </c>
      <c r="M178" s="64">
        <v>175834</v>
      </c>
      <c r="N178" s="65">
        <v>351668</v>
      </c>
      <c r="O178" s="32" t="s">
        <v>751</v>
      </c>
    </row>
    <row r="179" spans="2:15" ht="19.7" customHeight="1">
      <c r="B179" s="67" t="s">
        <v>834</v>
      </c>
      <c r="C179" s="29" t="s">
        <v>597</v>
      </c>
      <c r="D179" s="29" t="s">
        <v>530</v>
      </c>
      <c r="E179" s="31">
        <v>1</v>
      </c>
      <c r="F179" s="30" t="s">
        <v>366</v>
      </c>
      <c r="G179" s="37">
        <v>147875</v>
      </c>
      <c r="H179" s="65">
        <v>147875</v>
      </c>
      <c r="I179" s="64">
        <v>63375</v>
      </c>
      <c r="J179" s="65">
        <v>63375</v>
      </c>
      <c r="K179" s="64">
        <v>84500</v>
      </c>
      <c r="L179" s="65">
        <v>84500</v>
      </c>
      <c r="M179" s="64">
        <v>0</v>
      </c>
      <c r="N179" s="65">
        <v>0</v>
      </c>
      <c r="O179" s="32" t="s">
        <v>188</v>
      </c>
    </row>
    <row r="180" spans="2:15" ht="19.7" customHeight="1">
      <c r="B180" s="67" t="s">
        <v>834</v>
      </c>
      <c r="C180" s="29" t="s">
        <v>545</v>
      </c>
      <c r="D180" s="29" t="s">
        <v>280</v>
      </c>
      <c r="E180" s="31">
        <v>1</v>
      </c>
      <c r="F180" s="30" t="s">
        <v>574</v>
      </c>
      <c r="G180" s="37">
        <v>4436</v>
      </c>
      <c r="H180" s="65">
        <v>4436</v>
      </c>
      <c r="I180" s="64" t="s">
        <v>1134</v>
      </c>
      <c r="J180" s="65">
        <v>2541</v>
      </c>
      <c r="K180" s="64" t="s">
        <v>1135</v>
      </c>
      <c r="L180" s="65">
        <v>838</v>
      </c>
      <c r="M180" s="64" t="s">
        <v>1136</v>
      </c>
      <c r="N180" s="65">
        <v>1057</v>
      </c>
      <c r="O180" s="32" t="s">
        <v>735</v>
      </c>
    </row>
    <row r="181" spans="2:15" ht="19.7" customHeight="1">
      <c r="B181" s="67" t="s">
        <v>834</v>
      </c>
      <c r="C181" s="29" t="s">
        <v>834</v>
      </c>
      <c r="D181" s="29" t="s">
        <v>834</v>
      </c>
      <c r="E181" s="31"/>
      <c r="F181" s="30" t="s">
        <v>834</v>
      </c>
      <c r="G181" s="37">
        <v>0</v>
      </c>
      <c r="H181" s="65">
        <v>0</v>
      </c>
      <c r="I181" s="37"/>
      <c r="J181" s="31"/>
      <c r="K181" s="37"/>
      <c r="L181" s="31"/>
      <c r="M181" s="37"/>
      <c r="N181" s="31"/>
      <c r="O181" s="32" t="s">
        <v>834</v>
      </c>
    </row>
    <row r="182" spans="2:15" ht="19.7" customHeight="1">
      <c r="B182" s="61" t="s">
        <v>834</v>
      </c>
      <c r="C182" s="62" t="s">
        <v>830</v>
      </c>
      <c r="D182" s="62" t="s">
        <v>834</v>
      </c>
      <c r="E182" s="31"/>
      <c r="F182" s="91" t="s">
        <v>834</v>
      </c>
      <c r="G182" s="37">
        <v>0</v>
      </c>
      <c r="H182" s="92">
        <v>356120488</v>
      </c>
      <c r="I182" s="37"/>
      <c r="J182" s="92" t="s">
        <v>1254</v>
      </c>
      <c r="K182" s="37"/>
      <c r="L182" s="92" t="s">
        <v>1255</v>
      </c>
      <c r="M182" s="37"/>
      <c r="N182" s="92" t="s">
        <v>1256</v>
      </c>
      <c r="O182" s="93" t="s">
        <v>834</v>
      </c>
    </row>
    <row r="183" spans="2:15" ht="19.7" customHeight="1">
      <c r="B183" s="67" t="s">
        <v>834</v>
      </c>
      <c r="C183" s="29" t="s">
        <v>695</v>
      </c>
      <c r="D183" s="29" t="s">
        <v>834</v>
      </c>
      <c r="E183" s="94">
        <v>16.5</v>
      </c>
      <c r="F183" s="30" t="s">
        <v>157</v>
      </c>
      <c r="G183" s="37">
        <v>0</v>
      </c>
      <c r="H183" s="65">
        <v>30936796</v>
      </c>
      <c r="I183" s="37"/>
      <c r="J183" s="31"/>
      <c r="K183" s="37"/>
      <c r="L183" s="31"/>
      <c r="M183" s="37"/>
      <c r="N183" s="31"/>
      <c r="O183" s="32" t="s">
        <v>834</v>
      </c>
    </row>
    <row r="184" spans="2:15" ht="19.7" customHeight="1">
      <c r="B184" s="67" t="s">
        <v>834</v>
      </c>
      <c r="C184" s="29" t="s">
        <v>367</v>
      </c>
      <c r="D184" s="29" t="s">
        <v>834</v>
      </c>
      <c r="E184" s="94">
        <v>3.56</v>
      </c>
      <c r="F184" s="30" t="s">
        <v>157</v>
      </c>
      <c r="G184" s="37">
        <v>0</v>
      </c>
      <c r="H184" s="65">
        <v>7776198</v>
      </c>
      <c r="I184" s="37"/>
      <c r="J184" s="31"/>
      <c r="K184" s="37"/>
      <c r="L184" s="31"/>
      <c r="M184" s="37"/>
      <c r="N184" s="31"/>
      <c r="O184" s="32" t="s">
        <v>834</v>
      </c>
    </row>
    <row r="185" spans="2:15" ht="19.7" customHeight="1">
      <c r="B185" s="67" t="s">
        <v>834</v>
      </c>
      <c r="C185" s="29" t="s">
        <v>290</v>
      </c>
      <c r="D185" s="29" t="s">
        <v>834</v>
      </c>
      <c r="E185" s="94">
        <v>1.01</v>
      </c>
      <c r="F185" s="30" t="s">
        <v>157</v>
      </c>
      <c r="G185" s="37">
        <v>0</v>
      </c>
      <c r="H185" s="65">
        <v>2206168</v>
      </c>
      <c r="I185" s="37"/>
      <c r="J185" s="31"/>
      <c r="K185" s="37"/>
      <c r="L185" s="31"/>
      <c r="M185" s="37"/>
      <c r="N185" s="31"/>
      <c r="O185" s="32" t="s">
        <v>834</v>
      </c>
    </row>
    <row r="186" spans="2:15" ht="19.7" customHeight="1">
      <c r="B186" s="69" t="s">
        <v>834</v>
      </c>
      <c r="C186" s="34" t="s">
        <v>451</v>
      </c>
      <c r="D186" s="34" t="s">
        <v>834</v>
      </c>
      <c r="E186" s="96">
        <v>3.5950000000000002</v>
      </c>
      <c r="F186" s="35" t="s">
        <v>157</v>
      </c>
      <c r="G186" s="21">
        <v>0</v>
      </c>
      <c r="H186" s="74">
        <v>6740471</v>
      </c>
      <c r="I186" s="21"/>
      <c r="J186" s="22"/>
      <c r="K186" s="21"/>
      <c r="L186" s="22"/>
      <c r="M186" s="21"/>
      <c r="N186" s="22"/>
      <c r="O186" s="36" t="s">
        <v>834</v>
      </c>
    </row>
    <row r="187" spans="2:15" ht="19.7" customHeight="1">
      <c r="B187" s="67" t="s">
        <v>834</v>
      </c>
      <c r="C187" s="29" t="s">
        <v>701</v>
      </c>
      <c r="D187" s="29" t="s">
        <v>834</v>
      </c>
      <c r="E187" s="94">
        <v>4.75</v>
      </c>
      <c r="F187" s="30" t="s">
        <v>157</v>
      </c>
      <c r="G187" s="37">
        <v>0</v>
      </c>
      <c r="H187" s="65">
        <v>8906047</v>
      </c>
      <c r="I187" s="37"/>
      <c r="J187" s="31"/>
      <c r="K187" s="37"/>
      <c r="L187" s="31"/>
      <c r="M187" s="37"/>
      <c r="N187" s="31"/>
      <c r="O187" s="32" t="s">
        <v>834</v>
      </c>
    </row>
    <row r="188" spans="2:15" ht="19.7" customHeight="1">
      <c r="B188" s="67" t="s">
        <v>834</v>
      </c>
      <c r="C188" s="29" t="s">
        <v>774</v>
      </c>
      <c r="D188" s="29" t="s">
        <v>834</v>
      </c>
      <c r="E188" s="94">
        <v>13.14</v>
      </c>
      <c r="F188" s="30" t="s">
        <v>157</v>
      </c>
      <c r="G188" s="37">
        <v>0</v>
      </c>
      <c r="H188" s="65">
        <v>885697</v>
      </c>
      <c r="I188" s="37"/>
      <c r="J188" s="31"/>
      <c r="K188" s="37"/>
      <c r="L188" s="31"/>
      <c r="M188" s="37"/>
      <c r="N188" s="31"/>
      <c r="O188" s="32" t="s">
        <v>834</v>
      </c>
    </row>
    <row r="189" spans="2:15" ht="19.7" customHeight="1">
      <c r="B189" s="67" t="s">
        <v>834</v>
      </c>
      <c r="C189" s="29" t="s">
        <v>147</v>
      </c>
      <c r="D189" s="29" t="s">
        <v>834</v>
      </c>
      <c r="E189" s="94">
        <v>2.2999999999999998</v>
      </c>
      <c r="F189" s="30" t="s">
        <v>157</v>
      </c>
      <c r="G189" s="37">
        <v>0</v>
      </c>
      <c r="H189" s="65">
        <v>4312401</v>
      </c>
      <c r="I189" s="37"/>
      <c r="J189" s="31"/>
      <c r="K189" s="37"/>
      <c r="L189" s="31"/>
      <c r="M189" s="37"/>
      <c r="N189" s="31"/>
      <c r="O189" s="32" t="s">
        <v>834</v>
      </c>
    </row>
    <row r="190" spans="2:15" ht="19.7" customHeight="1">
      <c r="B190" s="67" t="s">
        <v>834</v>
      </c>
      <c r="C190" s="29" t="s">
        <v>413</v>
      </c>
      <c r="D190" s="29" t="s">
        <v>834</v>
      </c>
      <c r="E190" s="94">
        <v>0.4</v>
      </c>
      <c r="F190" s="30" t="s">
        <v>157</v>
      </c>
      <c r="G190" s="37">
        <v>0</v>
      </c>
      <c r="H190" s="65">
        <v>1291050</v>
      </c>
      <c r="I190" s="37"/>
      <c r="J190" s="31"/>
      <c r="K190" s="37"/>
      <c r="L190" s="31"/>
      <c r="M190" s="37"/>
      <c r="N190" s="31"/>
      <c r="O190" s="32" t="s">
        <v>834</v>
      </c>
    </row>
    <row r="191" spans="2:15" ht="19.7" customHeight="1">
      <c r="B191" s="67" t="s">
        <v>834</v>
      </c>
      <c r="C191" s="29" t="s">
        <v>734</v>
      </c>
      <c r="D191" s="29" t="s">
        <v>834</v>
      </c>
      <c r="E191" s="94">
        <v>2.5299999999999998</v>
      </c>
      <c r="F191" s="30" t="s">
        <v>157</v>
      </c>
      <c r="G191" s="37">
        <v>0</v>
      </c>
      <c r="H191" s="65">
        <v>11625999</v>
      </c>
      <c r="I191" s="37"/>
      <c r="J191" s="31"/>
      <c r="K191" s="37"/>
      <c r="L191" s="31"/>
      <c r="M191" s="37"/>
      <c r="N191" s="31"/>
      <c r="O191" s="32" t="s">
        <v>834</v>
      </c>
    </row>
    <row r="192" spans="2:15" ht="19.7" customHeight="1">
      <c r="B192" s="67" t="s">
        <v>834</v>
      </c>
      <c r="C192" s="29" t="s">
        <v>689</v>
      </c>
      <c r="D192" s="29" t="s">
        <v>834</v>
      </c>
      <c r="E192" s="94">
        <v>0.9</v>
      </c>
      <c r="F192" s="30" t="s">
        <v>157</v>
      </c>
      <c r="G192" s="37">
        <v>0</v>
      </c>
      <c r="H192" s="65">
        <v>2904862</v>
      </c>
      <c r="I192" s="37"/>
      <c r="J192" s="31"/>
      <c r="K192" s="37"/>
      <c r="L192" s="31"/>
      <c r="M192" s="37"/>
      <c r="N192" s="31"/>
      <c r="O192" s="32" t="s">
        <v>834</v>
      </c>
    </row>
    <row r="193" spans="2:15" ht="19.7" customHeight="1">
      <c r="B193" s="67" t="s">
        <v>834</v>
      </c>
      <c r="C193" s="29" t="s">
        <v>388</v>
      </c>
      <c r="D193" s="29" t="s">
        <v>834</v>
      </c>
      <c r="E193" s="94">
        <v>8.1000000000000003E-2</v>
      </c>
      <c r="F193" s="30" t="s">
        <v>157</v>
      </c>
      <c r="G193" s="37">
        <v>0</v>
      </c>
      <c r="H193" s="65">
        <v>261437</v>
      </c>
      <c r="I193" s="37"/>
      <c r="J193" s="31"/>
      <c r="K193" s="37"/>
      <c r="L193" s="31"/>
      <c r="M193" s="37"/>
      <c r="N193" s="31"/>
      <c r="O193" s="32" t="s">
        <v>834</v>
      </c>
    </row>
    <row r="194" spans="2:15" ht="19.7" customHeight="1">
      <c r="B194" s="67" t="s">
        <v>834</v>
      </c>
      <c r="C194" s="29" t="s">
        <v>817</v>
      </c>
      <c r="D194" s="29" t="s">
        <v>834</v>
      </c>
      <c r="E194" s="94">
        <v>5.2</v>
      </c>
      <c r="F194" s="30" t="s">
        <v>157</v>
      </c>
      <c r="G194" s="37">
        <v>0</v>
      </c>
      <c r="H194" s="65">
        <v>16939257</v>
      </c>
      <c r="I194" s="37"/>
      <c r="J194" s="31"/>
      <c r="K194" s="37"/>
      <c r="L194" s="31"/>
      <c r="M194" s="37"/>
      <c r="N194" s="31"/>
      <c r="O194" s="32" t="s">
        <v>834</v>
      </c>
    </row>
    <row r="195" spans="2:15" ht="19.7" customHeight="1">
      <c r="B195" s="67" t="s">
        <v>834</v>
      </c>
      <c r="C195" s="29" t="s">
        <v>784</v>
      </c>
      <c r="D195" s="29" t="s">
        <v>834</v>
      </c>
      <c r="E195" s="31"/>
      <c r="F195" s="30" t="s">
        <v>834</v>
      </c>
      <c r="G195" s="37">
        <v>0</v>
      </c>
      <c r="H195" s="65">
        <v>417548905</v>
      </c>
      <c r="I195" s="37"/>
      <c r="J195" s="31"/>
      <c r="K195" s="37"/>
      <c r="L195" s="31"/>
      <c r="M195" s="37"/>
      <c r="N195" s="31"/>
      <c r="O195" s="32" t="s">
        <v>834</v>
      </c>
    </row>
    <row r="196" spans="2:15" ht="19.7" customHeight="1">
      <c r="B196" s="67" t="s">
        <v>834</v>
      </c>
      <c r="C196" s="29" t="s">
        <v>705</v>
      </c>
      <c r="D196" s="29" t="s">
        <v>834</v>
      </c>
      <c r="E196" s="31">
        <v>8</v>
      </c>
      <c r="F196" s="30" t="s">
        <v>157</v>
      </c>
      <c r="G196" s="37">
        <v>0</v>
      </c>
      <c r="H196" s="65">
        <v>33403912</v>
      </c>
      <c r="I196" s="37"/>
      <c r="J196" s="31"/>
      <c r="K196" s="37"/>
      <c r="L196" s="31"/>
      <c r="M196" s="37"/>
      <c r="N196" s="31"/>
      <c r="O196" s="32" t="s">
        <v>834</v>
      </c>
    </row>
    <row r="197" spans="2:15" ht="19.7" customHeight="1">
      <c r="B197" s="67" t="s">
        <v>834</v>
      </c>
      <c r="C197" s="29" t="s">
        <v>276</v>
      </c>
      <c r="D197" s="29" t="s">
        <v>834</v>
      </c>
      <c r="E197" s="94">
        <v>14.88</v>
      </c>
      <c r="F197" s="30" t="s">
        <v>157</v>
      </c>
      <c r="G197" s="37">
        <v>0</v>
      </c>
      <c r="H197" s="65">
        <v>51113990</v>
      </c>
      <c r="I197" s="37"/>
      <c r="J197" s="31"/>
      <c r="K197" s="37"/>
      <c r="L197" s="31"/>
      <c r="M197" s="37"/>
      <c r="N197" s="31"/>
      <c r="O197" s="32" t="s">
        <v>834</v>
      </c>
    </row>
    <row r="198" spans="2:15" ht="19.7" customHeight="1">
      <c r="B198" s="67" t="s">
        <v>834</v>
      </c>
      <c r="C198" s="29" t="s">
        <v>704</v>
      </c>
      <c r="D198" s="29" t="s">
        <v>834</v>
      </c>
      <c r="E198" s="31"/>
      <c r="F198" s="30" t="s">
        <v>834</v>
      </c>
      <c r="G198" s="37">
        <v>0</v>
      </c>
      <c r="H198" s="65">
        <v>520405718</v>
      </c>
      <c r="I198" s="37"/>
      <c r="J198" s="31"/>
      <c r="K198" s="37"/>
      <c r="L198" s="31"/>
      <c r="M198" s="37"/>
      <c r="N198" s="31"/>
      <c r="O198" s="32" t="s">
        <v>834</v>
      </c>
    </row>
    <row r="199" spans="2:15" ht="19.7" customHeight="1">
      <c r="B199" s="67" t="s">
        <v>834</v>
      </c>
      <c r="C199" s="29" t="s">
        <v>63</v>
      </c>
      <c r="D199" s="29" t="s">
        <v>834</v>
      </c>
      <c r="E199" s="31">
        <v>10</v>
      </c>
      <c r="F199" s="30" t="s">
        <v>157</v>
      </c>
      <c r="G199" s="37">
        <v>0</v>
      </c>
      <c r="H199" s="65">
        <v>52040571</v>
      </c>
      <c r="I199" s="37"/>
      <c r="J199" s="31"/>
      <c r="K199" s="37"/>
      <c r="L199" s="31"/>
      <c r="M199" s="37"/>
      <c r="N199" s="31"/>
      <c r="O199" s="32" t="s">
        <v>834</v>
      </c>
    </row>
    <row r="200" spans="2:15" ht="19.7" customHeight="1">
      <c r="B200" s="67" t="s">
        <v>834</v>
      </c>
      <c r="C200" s="29" t="s">
        <v>430</v>
      </c>
      <c r="D200" s="29" t="s">
        <v>834</v>
      </c>
      <c r="E200" s="31"/>
      <c r="F200" s="30" t="s">
        <v>834</v>
      </c>
      <c r="G200" s="37">
        <v>0</v>
      </c>
      <c r="H200" s="65">
        <v>572446289</v>
      </c>
      <c r="I200" s="37"/>
      <c r="J200" s="31"/>
      <c r="K200" s="37"/>
      <c r="L200" s="31"/>
      <c r="M200" s="37"/>
      <c r="N200" s="31"/>
      <c r="O200" s="32" t="s">
        <v>834</v>
      </c>
    </row>
    <row r="201" spans="2:15" ht="19.7" customHeight="1">
      <c r="B201" s="67" t="s">
        <v>834</v>
      </c>
      <c r="C201" s="29" t="s">
        <v>341</v>
      </c>
      <c r="D201" s="29" t="s">
        <v>834</v>
      </c>
      <c r="E201" s="31"/>
      <c r="F201" s="30" t="s">
        <v>834</v>
      </c>
      <c r="G201" s="37">
        <v>0</v>
      </c>
      <c r="H201" s="65">
        <v>610146289</v>
      </c>
      <c r="I201" s="37"/>
      <c r="J201" s="31"/>
      <c r="K201" s="37"/>
      <c r="L201" s="31"/>
      <c r="M201" s="37"/>
      <c r="N201" s="31"/>
      <c r="O201" s="32" t="s">
        <v>834</v>
      </c>
    </row>
    <row r="202" spans="2:15" ht="19.7" customHeight="1">
      <c r="B202" s="67" t="s">
        <v>834</v>
      </c>
      <c r="C202" s="29" t="s">
        <v>834</v>
      </c>
      <c r="D202" s="29" t="s">
        <v>834</v>
      </c>
      <c r="E202" s="31"/>
      <c r="F202" s="30" t="s">
        <v>834</v>
      </c>
      <c r="G202" s="37">
        <v>0</v>
      </c>
      <c r="H202" s="65">
        <v>0</v>
      </c>
      <c r="I202" s="37"/>
      <c r="J202" s="31"/>
      <c r="K202" s="37"/>
      <c r="L202" s="31"/>
      <c r="M202" s="37"/>
      <c r="N202" s="31"/>
      <c r="O202" s="32" t="s">
        <v>834</v>
      </c>
    </row>
    <row r="203" spans="2:15" ht="19.7" customHeight="1">
      <c r="B203" s="61" t="s">
        <v>832</v>
      </c>
      <c r="C203" s="62" t="s">
        <v>638</v>
      </c>
      <c r="D203" s="62" t="s">
        <v>834</v>
      </c>
      <c r="E203" s="31"/>
      <c r="F203" s="91" t="s">
        <v>834</v>
      </c>
      <c r="G203" s="37">
        <v>0</v>
      </c>
      <c r="H203" s="92">
        <v>17884603</v>
      </c>
      <c r="I203" s="37"/>
      <c r="J203" s="92" t="s">
        <v>1080</v>
      </c>
      <c r="K203" s="37"/>
      <c r="L203" s="65" t="s">
        <v>1081</v>
      </c>
      <c r="M203" s="37"/>
      <c r="N203" s="92" t="s">
        <v>1082</v>
      </c>
      <c r="O203" s="93" t="s">
        <v>834</v>
      </c>
    </row>
    <row r="204" spans="2:15" ht="19.7" customHeight="1">
      <c r="B204" s="67" t="s">
        <v>834</v>
      </c>
      <c r="C204" s="29" t="s">
        <v>551</v>
      </c>
      <c r="D204" s="29" t="s">
        <v>591</v>
      </c>
      <c r="E204" s="31">
        <v>60</v>
      </c>
      <c r="F204" s="30" t="s">
        <v>748</v>
      </c>
      <c r="G204" s="37">
        <v>235459</v>
      </c>
      <c r="H204" s="65">
        <v>14127540</v>
      </c>
      <c r="I204" s="64">
        <v>235459</v>
      </c>
      <c r="J204" s="65">
        <v>14127540</v>
      </c>
      <c r="K204" s="64">
        <v>0</v>
      </c>
      <c r="L204" s="65">
        <v>0</v>
      </c>
      <c r="M204" s="64">
        <v>0</v>
      </c>
      <c r="N204" s="65">
        <v>0</v>
      </c>
      <c r="O204" s="32" t="s">
        <v>655</v>
      </c>
    </row>
    <row r="205" spans="2:15" ht="19.7" customHeight="1">
      <c r="B205" s="67" t="s">
        <v>834</v>
      </c>
      <c r="C205" s="29" t="s">
        <v>683</v>
      </c>
      <c r="D205" s="29" t="s">
        <v>834</v>
      </c>
      <c r="E205" s="31">
        <v>1</v>
      </c>
      <c r="F205" s="30" t="s">
        <v>665</v>
      </c>
      <c r="G205" s="37">
        <v>3757063</v>
      </c>
      <c r="H205" s="65">
        <v>3757063</v>
      </c>
      <c r="I205" s="64">
        <v>1491436</v>
      </c>
      <c r="J205" s="65">
        <v>1491436</v>
      </c>
      <c r="K205" s="64">
        <v>0</v>
      </c>
      <c r="L205" s="65">
        <v>0</v>
      </c>
      <c r="M205" s="64">
        <v>2265627</v>
      </c>
      <c r="N205" s="65">
        <v>2265627</v>
      </c>
      <c r="O205" s="32" t="s">
        <v>344</v>
      </c>
    </row>
    <row r="206" spans="2:15" ht="19.7" customHeight="1">
      <c r="B206" s="67" t="s">
        <v>834</v>
      </c>
      <c r="C206" s="29" t="s">
        <v>834</v>
      </c>
      <c r="D206" s="29" t="s">
        <v>834</v>
      </c>
      <c r="E206" s="31"/>
      <c r="F206" s="30" t="s">
        <v>834</v>
      </c>
      <c r="G206" s="37">
        <v>0</v>
      </c>
      <c r="H206" s="65">
        <v>0</v>
      </c>
      <c r="I206" s="37"/>
      <c r="J206" s="31"/>
      <c r="K206" s="37"/>
      <c r="L206" s="31"/>
      <c r="M206" s="37"/>
      <c r="N206" s="31"/>
      <c r="O206" s="32" t="s">
        <v>834</v>
      </c>
    </row>
    <row r="207" spans="2:15" ht="19.7" customHeight="1">
      <c r="B207" s="61" t="s">
        <v>165</v>
      </c>
      <c r="C207" s="62" t="s">
        <v>554</v>
      </c>
      <c r="D207" s="62" t="s">
        <v>834</v>
      </c>
      <c r="E207" s="31"/>
      <c r="F207" s="91" t="s">
        <v>834</v>
      </c>
      <c r="G207" s="37">
        <v>0</v>
      </c>
      <c r="H207" s="92">
        <v>501302</v>
      </c>
      <c r="I207" s="37"/>
      <c r="J207" s="65" t="s">
        <v>1081</v>
      </c>
      <c r="K207" s="37"/>
      <c r="L207" s="65" t="s">
        <v>1081</v>
      </c>
      <c r="M207" s="37"/>
      <c r="N207" s="92" t="s">
        <v>1257</v>
      </c>
      <c r="O207" s="93" t="s">
        <v>834</v>
      </c>
    </row>
    <row r="208" spans="2:15" ht="19.7" customHeight="1">
      <c r="B208" s="67" t="s">
        <v>834</v>
      </c>
      <c r="C208" s="29" t="s">
        <v>554</v>
      </c>
      <c r="D208" s="29" t="s">
        <v>189</v>
      </c>
      <c r="E208" s="94">
        <v>9.86</v>
      </c>
      <c r="F208" s="30" t="s">
        <v>566</v>
      </c>
      <c r="G208" s="37">
        <v>31142</v>
      </c>
      <c r="H208" s="65">
        <v>307060</v>
      </c>
      <c r="I208" s="64"/>
      <c r="J208" s="65">
        <v>0</v>
      </c>
      <c r="K208" s="64"/>
      <c r="L208" s="65">
        <v>0</v>
      </c>
      <c r="M208" s="64">
        <v>31142</v>
      </c>
      <c r="N208" s="65">
        <v>307060</v>
      </c>
      <c r="O208" s="32" t="s">
        <v>834</v>
      </c>
    </row>
    <row r="209" spans="2:15" ht="19.7" customHeight="1">
      <c r="B209" s="67" t="s">
        <v>834</v>
      </c>
      <c r="C209" s="29" t="s">
        <v>119</v>
      </c>
      <c r="D209" s="29" t="s">
        <v>383</v>
      </c>
      <c r="E209" s="94">
        <v>9.86</v>
      </c>
      <c r="F209" s="30" t="s">
        <v>566</v>
      </c>
      <c r="G209" s="37">
        <v>19700</v>
      </c>
      <c r="H209" s="65">
        <v>194242</v>
      </c>
      <c r="I209" s="64"/>
      <c r="J209" s="65">
        <v>0</v>
      </c>
      <c r="K209" s="64"/>
      <c r="L209" s="65">
        <v>0</v>
      </c>
      <c r="M209" s="64">
        <v>19700</v>
      </c>
      <c r="N209" s="65">
        <v>194242</v>
      </c>
      <c r="O209" s="32" t="s">
        <v>834</v>
      </c>
    </row>
    <row r="210" spans="2:15" ht="19.7" customHeight="1">
      <c r="B210" s="67" t="s">
        <v>834</v>
      </c>
      <c r="C210" s="29" t="s">
        <v>834</v>
      </c>
      <c r="D210" s="29" t="s">
        <v>834</v>
      </c>
      <c r="E210" s="31"/>
      <c r="F210" s="30" t="s">
        <v>834</v>
      </c>
      <c r="G210" s="37">
        <v>0</v>
      </c>
      <c r="H210" s="65">
        <v>0</v>
      </c>
      <c r="I210" s="37"/>
      <c r="J210" s="31"/>
      <c r="K210" s="37"/>
      <c r="L210" s="31"/>
      <c r="M210" s="37"/>
      <c r="N210" s="31"/>
      <c r="O210" s="32" t="s">
        <v>834</v>
      </c>
    </row>
    <row r="211" spans="2:15" ht="19.7" customHeight="1">
      <c r="B211" s="67" t="s">
        <v>834</v>
      </c>
      <c r="C211" s="29" t="s">
        <v>834</v>
      </c>
      <c r="D211" s="29" t="s">
        <v>834</v>
      </c>
      <c r="E211" s="31"/>
      <c r="F211" s="30" t="s">
        <v>834</v>
      </c>
      <c r="G211" s="37">
        <v>0</v>
      </c>
      <c r="H211" s="65">
        <v>0</v>
      </c>
      <c r="I211" s="37"/>
      <c r="J211" s="31"/>
      <c r="K211" s="37"/>
      <c r="L211" s="31"/>
      <c r="M211" s="37"/>
      <c r="N211" s="31"/>
      <c r="O211" s="32" t="s">
        <v>834</v>
      </c>
    </row>
    <row r="212" spans="2:15" ht="19.7" customHeight="1">
      <c r="B212" s="102" t="s">
        <v>389</v>
      </c>
      <c r="C212" s="98" t="s">
        <v>761</v>
      </c>
      <c r="D212" s="98" t="s">
        <v>834</v>
      </c>
      <c r="E212" s="22"/>
      <c r="F212" s="99" t="s">
        <v>834</v>
      </c>
      <c r="G212" s="21">
        <v>0</v>
      </c>
      <c r="H212" s="100">
        <v>37700000</v>
      </c>
      <c r="I212" s="21"/>
      <c r="J212" s="74" t="s">
        <v>1081</v>
      </c>
      <c r="K212" s="21"/>
      <c r="L212" s="100" t="s">
        <v>935</v>
      </c>
      <c r="M212" s="21"/>
      <c r="N212" s="74" t="s">
        <v>1081</v>
      </c>
      <c r="O212" s="101" t="s">
        <v>834</v>
      </c>
    </row>
    <row r="213" spans="2:15" ht="19.7" customHeight="1">
      <c r="B213" s="61" t="s">
        <v>198</v>
      </c>
      <c r="C213" s="62" t="s">
        <v>275</v>
      </c>
      <c r="D213" s="62" t="s">
        <v>834</v>
      </c>
      <c r="E213" s="31"/>
      <c r="F213" s="91" t="s">
        <v>834</v>
      </c>
      <c r="G213" s="37">
        <v>0</v>
      </c>
      <c r="H213" s="92">
        <v>37645120</v>
      </c>
      <c r="I213" s="37"/>
      <c r="J213" s="65" t="s">
        <v>1081</v>
      </c>
      <c r="K213" s="37"/>
      <c r="L213" s="92" t="s">
        <v>1084</v>
      </c>
      <c r="M213" s="37"/>
      <c r="N213" s="65" t="s">
        <v>1081</v>
      </c>
      <c r="O213" s="93" t="s">
        <v>834</v>
      </c>
    </row>
    <row r="214" spans="2:15" ht="19.7" customHeight="1">
      <c r="B214" s="67" t="s">
        <v>834</v>
      </c>
      <c r="C214" s="29" t="s">
        <v>790</v>
      </c>
      <c r="D214" s="29" t="s">
        <v>37</v>
      </c>
      <c r="E214" s="31">
        <v>376</v>
      </c>
      <c r="F214" s="30" t="s">
        <v>537</v>
      </c>
      <c r="G214" s="37">
        <v>100120</v>
      </c>
      <c r="H214" s="65">
        <v>37645120</v>
      </c>
      <c r="I214" s="64">
        <v>0</v>
      </c>
      <c r="J214" s="65">
        <v>0</v>
      </c>
      <c r="K214" s="64">
        <v>100120</v>
      </c>
      <c r="L214" s="65">
        <v>37645120</v>
      </c>
      <c r="M214" s="64">
        <v>0</v>
      </c>
      <c r="N214" s="65">
        <v>0</v>
      </c>
      <c r="O214" s="32" t="s">
        <v>375</v>
      </c>
    </row>
    <row r="215" spans="2:15" ht="19.7" customHeight="1">
      <c r="B215" s="61" t="s">
        <v>804</v>
      </c>
      <c r="C215" s="62" t="s">
        <v>362</v>
      </c>
      <c r="D215" s="62" t="s">
        <v>834</v>
      </c>
      <c r="E215" s="95">
        <v>1</v>
      </c>
      <c r="F215" s="91" t="s">
        <v>665</v>
      </c>
      <c r="G215" s="103">
        <v>54880</v>
      </c>
      <c r="H215" s="92">
        <v>54880</v>
      </c>
      <c r="I215" s="37"/>
      <c r="J215" s="65">
        <v>0</v>
      </c>
      <c r="K215" s="103">
        <v>54880</v>
      </c>
      <c r="L215" s="92">
        <v>54880</v>
      </c>
      <c r="M215" s="37"/>
      <c r="N215" s="65">
        <v>0</v>
      </c>
      <c r="O215" s="93" t="s">
        <v>834</v>
      </c>
    </row>
    <row r="216" spans="2:15" ht="19.7" customHeight="1">
      <c r="B216" s="67" t="s">
        <v>834</v>
      </c>
      <c r="C216" s="29" t="s">
        <v>834</v>
      </c>
      <c r="D216" s="29" t="s">
        <v>834</v>
      </c>
      <c r="E216" s="31"/>
      <c r="F216" s="30" t="s">
        <v>834</v>
      </c>
      <c r="G216" s="37">
        <v>0</v>
      </c>
      <c r="H216" s="65">
        <v>0</v>
      </c>
      <c r="I216" s="37"/>
      <c r="J216" s="31"/>
      <c r="K216" s="37"/>
      <c r="L216" s="31"/>
      <c r="M216" s="37"/>
      <c r="N216" s="31"/>
      <c r="O216" s="32" t="s">
        <v>834</v>
      </c>
    </row>
    <row r="217" spans="2:15" ht="19.7" customHeight="1">
      <c r="B217" s="67" t="s">
        <v>834</v>
      </c>
      <c r="C217" s="29" t="s">
        <v>834</v>
      </c>
      <c r="D217" s="29" t="s">
        <v>834</v>
      </c>
      <c r="E217" s="31"/>
      <c r="F217" s="30" t="s">
        <v>834</v>
      </c>
      <c r="G217" s="37">
        <v>0</v>
      </c>
      <c r="H217" s="65">
        <v>0</v>
      </c>
      <c r="I217" s="37"/>
      <c r="J217" s="31"/>
      <c r="K217" s="37"/>
      <c r="L217" s="31"/>
      <c r="M217" s="37"/>
      <c r="N217" s="31"/>
      <c r="O217" s="32" t="s">
        <v>834</v>
      </c>
    </row>
    <row r="218" spans="2:15" ht="19.7" customHeight="1">
      <c r="B218" s="67" t="s">
        <v>834</v>
      </c>
      <c r="C218" s="29" t="s">
        <v>834</v>
      </c>
      <c r="D218" s="29" t="s">
        <v>834</v>
      </c>
      <c r="E218" s="31"/>
      <c r="F218" s="30" t="s">
        <v>834</v>
      </c>
      <c r="G218" s="37">
        <v>0</v>
      </c>
      <c r="H218" s="65">
        <v>0</v>
      </c>
      <c r="I218" s="37"/>
      <c r="J218" s="31"/>
      <c r="K218" s="37"/>
      <c r="L218" s="31"/>
      <c r="M218" s="37"/>
      <c r="N218" s="31"/>
      <c r="O218" s="32" t="s">
        <v>834</v>
      </c>
    </row>
    <row r="219" spans="2:15" ht="19.7" customHeight="1">
      <c r="B219" s="67" t="s">
        <v>834</v>
      </c>
      <c r="C219" s="29" t="s">
        <v>834</v>
      </c>
      <c r="D219" s="29" t="s">
        <v>834</v>
      </c>
      <c r="E219" s="31"/>
      <c r="F219" s="30" t="s">
        <v>834</v>
      </c>
      <c r="G219" s="37">
        <v>0</v>
      </c>
      <c r="H219" s="65">
        <v>0</v>
      </c>
      <c r="I219" s="37"/>
      <c r="J219" s="31"/>
      <c r="K219" s="37"/>
      <c r="L219" s="31"/>
      <c r="M219" s="37"/>
      <c r="N219" s="31"/>
      <c r="O219" s="32" t="s">
        <v>834</v>
      </c>
    </row>
    <row r="220" spans="2:15" ht="19.7" customHeight="1">
      <c r="B220" s="67" t="s">
        <v>834</v>
      </c>
      <c r="C220" s="29" t="s">
        <v>834</v>
      </c>
      <c r="D220" s="29" t="s">
        <v>834</v>
      </c>
      <c r="E220" s="31"/>
      <c r="F220" s="30" t="s">
        <v>834</v>
      </c>
      <c r="G220" s="37">
        <v>0</v>
      </c>
      <c r="H220" s="65">
        <v>0</v>
      </c>
      <c r="I220" s="37"/>
      <c r="J220" s="31"/>
      <c r="K220" s="37"/>
      <c r="L220" s="31"/>
      <c r="M220" s="37"/>
      <c r="N220" s="31"/>
      <c r="O220" s="32" t="s">
        <v>834</v>
      </c>
    </row>
    <row r="221" spans="2:15" ht="19.7" customHeight="1">
      <c r="B221" s="67" t="s">
        <v>834</v>
      </c>
      <c r="C221" s="29" t="s">
        <v>834</v>
      </c>
      <c r="D221" s="29" t="s">
        <v>834</v>
      </c>
      <c r="E221" s="31"/>
      <c r="F221" s="30" t="s">
        <v>834</v>
      </c>
      <c r="G221" s="37">
        <v>0</v>
      </c>
      <c r="H221" s="65">
        <v>0</v>
      </c>
      <c r="I221" s="37"/>
      <c r="J221" s="31"/>
      <c r="K221" s="37"/>
      <c r="L221" s="31"/>
      <c r="M221" s="37"/>
      <c r="N221" s="31"/>
      <c r="O221" s="32" t="s">
        <v>834</v>
      </c>
    </row>
    <row r="222" spans="2:15" ht="19.7" customHeight="1">
      <c r="B222" s="67" t="s">
        <v>834</v>
      </c>
      <c r="C222" s="29" t="s">
        <v>834</v>
      </c>
      <c r="D222" s="29" t="s">
        <v>834</v>
      </c>
      <c r="E222" s="31"/>
      <c r="F222" s="30" t="s">
        <v>834</v>
      </c>
      <c r="G222" s="37">
        <v>0</v>
      </c>
      <c r="H222" s="65">
        <v>0</v>
      </c>
      <c r="I222" s="37"/>
      <c r="J222" s="31"/>
      <c r="K222" s="37"/>
      <c r="L222" s="31"/>
      <c r="M222" s="37"/>
      <c r="N222" s="31"/>
      <c r="O222" s="32" t="s">
        <v>834</v>
      </c>
    </row>
    <row r="223" spans="2:15" ht="19.7" customHeight="1">
      <c r="B223" s="67" t="s">
        <v>834</v>
      </c>
      <c r="C223" s="29" t="s">
        <v>834</v>
      </c>
      <c r="D223" s="29" t="s">
        <v>834</v>
      </c>
      <c r="E223" s="31"/>
      <c r="F223" s="30" t="s">
        <v>834</v>
      </c>
      <c r="G223" s="37">
        <v>0</v>
      </c>
      <c r="H223" s="65">
        <v>0</v>
      </c>
      <c r="I223" s="37"/>
      <c r="J223" s="31"/>
      <c r="K223" s="37"/>
      <c r="L223" s="31"/>
      <c r="M223" s="37"/>
      <c r="N223" s="31"/>
      <c r="O223" s="32" t="s">
        <v>834</v>
      </c>
    </row>
    <row r="224" spans="2:15" ht="19.7" customHeight="1">
      <c r="B224" s="67" t="s">
        <v>834</v>
      </c>
      <c r="C224" s="29" t="s">
        <v>834</v>
      </c>
      <c r="D224" s="29" t="s">
        <v>834</v>
      </c>
      <c r="E224" s="31"/>
      <c r="F224" s="30" t="s">
        <v>834</v>
      </c>
      <c r="G224" s="37">
        <v>0</v>
      </c>
      <c r="H224" s="65">
        <v>0</v>
      </c>
      <c r="I224" s="37"/>
      <c r="J224" s="31"/>
      <c r="K224" s="37"/>
      <c r="L224" s="31"/>
      <c r="M224" s="37"/>
      <c r="N224" s="31"/>
      <c r="O224" s="32" t="s">
        <v>834</v>
      </c>
    </row>
    <row r="225" spans="2:15" ht="19.7" customHeight="1">
      <c r="B225" s="67" t="s">
        <v>834</v>
      </c>
      <c r="C225" s="29" t="s">
        <v>834</v>
      </c>
      <c r="D225" s="29" t="s">
        <v>834</v>
      </c>
      <c r="E225" s="31"/>
      <c r="F225" s="30" t="s">
        <v>834</v>
      </c>
      <c r="G225" s="37">
        <v>0</v>
      </c>
      <c r="H225" s="65">
        <v>0</v>
      </c>
      <c r="I225" s="37"/>
      <c r="J225" s="31"/>
      <c r="K225" s="37"/>
      <c r="L225" s="31"/>
      <c r="M225" s="37"/>
      <c r="N225" s="31"/>
      <c r="O225" s="32" t="s">
        <v>834</v>
      </c>
    </row>
    <row r="226" spans="2:15" ht="19.7" customHeight="1">
      <c r="B226" s="67" t="s">
        <v>834</v>
      </c>
      <c r="C226" s="29" t="s">
        <v>834</v>
      </c>
      <c r="D226" s="29" t="s">
        <v>834</v>
      </c>
      <c r="E226" s="31"/>
      <c r="F226" s="30" t="s">
        <v>834</v>
      </c>
      <c r="G226" s="37">
        <v>0</v>
      </c>
      <c r="H226" s="65">
        <v>0</v>
      </c>
      <c r="I226" s="37"/>
      <c r="J226" s="31"/>
      <c r="K226" s="37"/>
      <c r="L226" s="31"/>
      <c r="M226" s="37"/>
      <c r="N226" s="31"/>
      <c r="O226" s="32" t="s">
        <v>834</v>
      </c>
    </row>
    <row r="227" spans="2:15" ht="19.7" customHeight="1">
      <c r="B227" s="67" t="s">
        <v>834</v>
      </c>
      <c r="C227" s="29" t="s">
        <v>834</v>
      </c>
      <c r="D227" s="29" t="s">
        <v>834</v>
      </c>
      <c r="E227" s="31"/>
      <c r="F227" s="30" t="s">
        <v>834</v>
      </c>
      <c r="G227" s="37">
        <v>0</v>
      </c>
      <c r="H227" s="65">
        <v>0</v>
      </c>
      <c r="I227" s="37"/>
      <c r="J227" s="31"/>
      <c r="K227" s="37"/>
      <c r="L227" s="31"/>
      <c r="M227" s="37"/>
      <c r="N227" s="31"/>
      <c r="O227" s="32" t="s">
        <v>834</v>
      </c>
    </row>
    <row r="228" spans="2:15" ht="19.7" customHeight="1">
      <c r="B228" s="67" t="s">
        <v>834</v>
      </c>
      <c r="C228" s="29" t="s">
        <v>834</v>
      </c>
      <c r="D228" s="29" t="s">
        <v>834</v>
      </c>
      <c r="E228" s="31"/>
      <c r="F228" s="30" t="s">
        <v>834</v>
      </c>
      <c r="G228" s="37">
        <v>0</v>
      </c>
      <c r="H228" s="65">
        <v>0</v>
      </c>
      <c r="I228" s="37"/>
      <c r="J228" s="31"/>
      <c r="K228" s="37"/>
      <c r="L228" s="31"/>
      <c r="M228" s="37"/>
      <c r="N228" s="31"/>
      <c r="O228" s="32" t="s">
        <v>834</v>
      </c>
    </row>
    <row r="229" spans="2:15" ht="19.7" customHeight="1">
      <c r="B229" s="67" t="s">
        <v>834</v>
      </c>
      <c r="C229" s="29" t="s">
        <v>834</v>
      </c>
      <c r="D229" s="29" t="s">
        <v>834</v>
      </c>
      <c r="E229" s="31"/>
      <c r="F229" s="30" t="s">
        <v>834</v>
      </c>
      <c r="G229" s="37">
        <v>0</v>
      </c>
      <c r="H229" s="65">
        <v>0</v>
      </c>
      <c r="I229" s="37"/>
      <c r="J229" s="31"/>
      <c r="K229" s="37"/>
      <c r="L229" s="31"/>
      <c r="M229" s="37"/>
      <c r="N229" s="31"/>
      <c r="O229" s="32" t="s">
        <v>834</v>
      </c>
    </row>
    <row r="230" spans="2:15" ht="19.7" customHeight="1">
      <c r="B230" s="67" t="s">
        <v>834</v>
      </c>
      <c r="C230" s="29" t="s">
        <v>834</v>
      </c>
      <c r="D230" s="29" t="s">
        <v>834</v>
      </c>
      <c r="E230" s="31"/>
      <c r="F230" s="30" t="s">
        <v>834</v>
      </c>
      <c r="G230" s="37">
        <v>0</v>
      </c>
      <c r="H230" s="65">
        <v>0</v>
      </c>
      <c r="I230" s="37"/>
      <c r="J230" s="31"/>
      <c r="K230" s="37"/>
      <c r="L230" s="31"/>
      <c r="M230" s="37"/>
      <c r="N230" s="31"/>
      <c r="O230" s="32" t="s">
        <v>834</v>
      </c>
    </row>
    <row r="231" spans="2:15" ht="19.7" customHeight="1">
      <c r="B231" s="67" t="s">
        <v>834</v>
      </c>
      <c r="C231" s="29" t="s">
        <v>834</v>
      </c>
      <c r="D231" s="29" t="s">
        <v>834</v>
      </c>
      <c r="E231" s="31"/>
      <c r="F231" s="30" t="s">
        <v>834</v>
      </c>
      <c r="G231" s="37">
        <v>0</v>
      </c>
      <c r="H231" s="65">
        <v>0</v>
      </c>
      <c r="I231" s="37"/>
      <c r="J231" s="31"/>
      <c r="K231" s="37"/>
      <c r="L231" s="31"/>
      <c r="M231" s="37"/>
      <c r="N231" s="31"/>
      <c r="O231" s="32" t="s">
        <v>834</v>
      </c>
    </row>
    <row r="232" spans="2:15" ht="19.7" customHeight="1">
      <c r="B232" s="67" t="s">
        <v>834</v>
      </c>
      <c r="C232" s="29" t="s">
        <v>834</v>
      </c>
      <c r="D232" s="29" t="s">
        <v>834</v>
      </c>
      <c r="E232" s="31"/>
      <c r="F232" s="30" t="s">
        <v>834</v>
      </c>
      <c r="G232" s="37">
        <v>0</v>
      </c>
      <c r="H232" s="65">
        <v>0</v>
      </c>
      <c r="I232" s="37"/>
      <c r="J232" s="31"/>
      <c r="K232" s="37"/>
      <c r="L232" s="31"/>
      <c r="M232" s="37"/>
      <c r="N232" s="31"/>
      <c r="O232" s="32" t="s">
        <v>834</v>
      </c>
    </row>
    <row r="233" spans="2:15" ht="19.7" customHeight="1">
      <c r="B233" s="67" t="s">
        <v>834</v>
      </c>
      <c r="C233" s="29" t="s">
        <v>834</v>
      </c>
      <c r="D233" s="29" t="s">
        <v>834</v>
      </c>
      <c r="E233" s="31"/>
      <c r="F233" s="30" t="s">
        <v>834</v>
      </c>
      <c r="G233" s="37">
        <v>0</v>
      </c>
      <c r="H233" s="65">
        <v>0</v>
      </c>
      <c r="I233" s="37"/>
      <c r="J233" s="31"/>
      <c r="K233" s="37"/>
      <c r="L233" s="31"/>
      <c r="M233" s="37"/>
      <c r="N233" s="31"/>
      <c r="O233" s="32" t="s">
        <v>834</v>
      </c>
    </row>
    <row r="234" spans="2:15" ht="19.7" customHeight="1">
      <c r="B234" s="67" t="s">
        <v>834</v>
      </c>
      <c r="C234" s="29" t="s">
        <v>834</v>
      </c>
      <c r="D234" s="29" t="s">
        <v>834</v>
      </c>
      <c r="E234" s="31"/>
      <c r="F234" s="30" t="s">
        <v>834</v>
      </c>
      <c r="G234" s="37">
        <v>0</v>
      </c>
      <c r="H234" s="65">
        <v>0</v>
      </c>
      <c r="I234" s="37"/>
      <c r="J234" s="31"/>
      <c r="K234" s="37"/>
      <c r="L234" s="31"/>
      <c r="M234" s="37"/>
      <c r="N234" s="31"/>
      <c r="O234" s="32" t="s">
        <v>834</v>
      </c>
    </row>
    <row r="235" spans="2:15" ht="19.7" customHeight="1">
      <c r="B235" s="67" t="s">
        <v>834</v>
      </c>
      <c r="C235" s="29" t="s">
        <v>834</v>
      </c>
      <c r="D235" s="29" t="s">
        <v>834</v>
      </c>
      <c r="E235" s="31"/>
      <c r="F235" s="30" t="s">
        <v>834</v>
      </c>
      <c r="G235" s="37">
        <v>0</v>
      </c>
      <c r="H235" s="65">
        <v>0</v>
      </c>
      <c r="I235" s="37"/>
      <c r="J235" s="31"/>
      <c r="K235" s="37"/>
      <c r="L235" s="31"/>
      <c r="M235" s="37"/>
      <c r="N235" s="31"/>
      <c r="O235" s="32" t="s">
        <v>834</v>
      </c>
    </row>
    <row r="236" spans="2:15">
      <c r="B236" s="69" t="s">
        <v>834</v>
      </c>
      <c r="C236" s="34" t="s">
        <v>834</v>
      </c>
      <c r="D236" s="34" t="s">
        <v>834</v>
      </c>
      <c r="E236" s="22"/>
      <c r="F236" s="35" t="s">
        <v>834</v>
      </c>
      <c r="G236" s="21">
        <v>0</v>
      </c>
      <c r="H236" s="74">
        <v>0</v>
      </c>
      <c r="I236" s="21"/>
      <c r="J236" s="22"/>
      <c r="K236" s="21"/>
      <c r="L236" s="22"/>
      <c r="M236" s="21"/>
      <c r="N236" s="22"/>
      <c r="O236" s="36" t="s">
        <v>834</v>
      </c>
    </row>
    <row r="237" spans="2:15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</sheetData>
  <mergeCells count="11">
    <mergeCell ref="M3:N3"/>
    <mergeCell ref="O3:O4"/>
    <mergeCell ref="B1:O2"/>
    <mergeCell ref="B3:B4"/>
    <mergeCell ref="C3:C4"/>
    <mergeCell ref="D3:D4"/>
    <mergeCell ref="E3:E4"/>
    <mergeCell ref="F3:F4"/>
    <mergeCell ref="G3:H3"/>
    <mergeCell ref="I3:J3"/>
    <mergeCell ref="K3:L3"/>
  </mergeCells>
  <phoneticPr fontId="8" type="noConversion"/>
  <printOptions horizontalCentered="1"/>
  <pageMargins left="0.19685039370078741" right="7.874015748031496E-2" top="0.6692913385826772" bottom="0.59055118110236227" header="0.51181102362204722" footer="0.51181102362204722"/>
  <pageSetup paperSize="9" scale="85" orientation="landscape" r:id="rId1"/>
  <headerFooter alignWithMargins="0"/>
  <rowBreaks count="8" manualBreakCount="8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  <brk id="212" min="2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E35F-93D8-43DE-B8FB-A408DDAC2803}">
  <dimension ref="B1:AC37"/>
  <sheetViews>
    <sheetView workbookViewId="0">
      <pane ySplit="3" topLeftCell="A7" activePane="bottomLeft" state="frozen"/>
      <selection activeCell="A4" sqref="A4"/>
      <selection pane="bottomLeft" sqref="A1:XFD1048576"/>
    </sheetView>
  </sheetViews>
  <sheetFormatPr defaultRowHeight="12.75"/>
  <cols>
    <col min="1" max="1" width="0.7109375" customWidth="1"/>
    <col min="2" max="2" width="10.42578125" customWidth="1"/>
    <col min="3" max="3" width="32.85546875" customWidth="1"/>
    <col min="4" max="4" width="39.85546875" customWidth="1"/>
    <col min="5" max="5" width="6.85546875" customWidth="1"/>
    <col min="6" max="9" width="13" customWidth="1"/>
    <col min="10" max="10" width="12.140625" customWidth="1"/>
  </cols>
  <sheetData>
    <row r="1" spans="2:29" ht="24.95" customHeight="1">
      <c r="B1" s="333" t="s">
        <v>518</v>
      </c>
      <c r="C1" s="333"/>
      <c r="D1" s="333"/>
      <c r="E1" s="333"/>
      <c r="F1" s="333"/>
      <c r="G1" s="333"/>
      <c r="H1" s="333"/>
      <c r="I1" s="333"/>
      <c r="J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</row>
    <row r="3" spans="2:29" ht="30.75" customHeight="1">
      <c r="B3" s="24" t="s">
        <v>583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243</v>
      </c>
      <c r="C4" s="29" t="s">
        <v>478</v>
      </c>
      <c r="D4" s="29" t="s">
        <v>320</v>
      </c>
      <c r="E4" s="30" t="s">
        <v>596</v>
      </c>
      <c r="F4" s="65">
        <v>88872</v>
      </c>
      <c r="G4" s="65">
        <v>56505</v>
      </c>
      <c r="H4" s="65">
        <v>32011</v>
      </c>
      <c r="I4" s="65">
        <v>356</v>
      </c>
      <c r="J4" s="32" t="s">
        <v>834</v>
      </c>
      <c r="Z4" s="27">
        <v>88872</v>
      </c>
      <c r="AA4" s="27">
        <v>56505</v>
      </c>
      <c r="AB4" s="27">
        <v>32011</v>
      </c>
      <c r="AC4" s="27">
        <v>356</v>
      </c>
    </row>
    <row r="5" spans="2:29" ht="19.7" customHeight="1">
      <c r="B5" s="28" t="s">
        <v>724</v>
      </c>
      <c r="C5" s="29" t="s">
        <v>789</v>
      </c>
      <c r="D5" s="29" t="s">
        <v>834</v>
      </c>
      <c r="E5" s="30" t="s">
        <v>596</v>
      </c>
      <c r="F5" s="65">
        <v>9268</v>
      </c>
      <c r="G5" s="65">
        <v>8912</v>
      </c>
      <c r="H5" s="65">
        <v>0</v>
      </c>
      <c r="I5" s="65">
        <v>356</v>
      </c>
      <c r="J5" s="32" t="s">
        <v>444</v>
      </c>
      <c r="Z5" s="27">
        <v>9268</v>
      </c>
      <c r="AA5" s="27">
        <v>8912</v>
      </c>
      <c r="AC5" s="27">
        <v>356</v>
      </c>
    </row>
    <row r="6" spans="2:29" ht="19.7" customHeight="1">
      <c r="B6" s="28" t="s">
        <v>202</v>
      </c>
      <c r="C6" s="29" t="s">
        <v>445</v>
      </c>
      <c r="D6" s="29" t="s">
        <v>470</v>
      </c>
      <c r="E6" s="30" t="s">
        <v>596</v>
      </c>
      <c r="F6" s="65">
        <v>20629</v>
      </c>
      <c r="G6" s="65">
        <v>14293</v>
      </c>
      <c r="H6" s="65">
        <v>6336</v>
      </c>
      <c r="I6" s="65">
        <v>0</v>
      </c>
      <c r="J6" s="32" t="s">
        <v>834</v>
      </c>
      <c r="Z6" s="27">
        <v>20629</v>
      </c>
      <c r="AA6" s="27">
        <v>14293</v>
      </c>
      <c r="AB6" s="27">
        <v>6336</v>
      </c>
    </row>
    <row r="7" spans="2:29" ht="19.7" customHeight="1">
      <c r="B7" s="28" t="s">
        <v>819</v>
      </c>
      <c r="C7" s="29" t="s">
        <v>640</v>
      </c>
      <c r="D7" s="29" t="s">
        <v>834</v>
      </c>
      <c r="E7" s="30" t="s">
        <v>596</v>
      </c>
      <c r="F7" s="65">
        <v>40140</v>
      </c>
      <c r="G7" s="65">
        <v>14465</v>
      </c>
      <c r="H7" s="65">
        <v>25675</v>
      </c>
      <c r="I7" s="65">
        <v>0</v>
      </c>
      <c r="J7" s="32" t="s">
        <v>834</v>
      </c>
      <c r="Z7" s="27">
        <v>40140</v>
      </c>
      <c r="AA7" s="27">
        <v>14465</v>
      </c>
      <c r="AB7" s="27">
        <v>25675</v>
      </c>
    </row>
    <row r="8" spans="2:29" ht="19.7" customHeight="1">
      <c r="B8" s="28" t="s">
        <v>278</v>
      </c>
      <c r="C8" s="29" t="s">
        <v>788</v>
      </c>
      <c r="D8" s="29" t="s">
        <v>303</v>
      </c>
      <c r="E8" s="30" t="s">
        <v>296</v>
      </c>
      <c r="F8" s="65">
        <v>12471</v>
      </c>
      <c r="G8" s="65">
        <v>2580</v>
      </c>
      <c r="H8" s="65">
        <v>9840</v>
      </c>
      <c r="I8" s="65">
        <v>51</v>
      </c>
      <c r="J8" s="32" t="s">
        <v>834</v>
      </c>
      <c r="Z8" s="27">
        <v>12471</v>
      </c>
      <c r="AA8" s="27">
        <v>2580</v>
      </c>
      <c r="AB8" s="27">
        <v>9840</v>
      </c>
      <c r="AC8" s="27">
        <v>51</v>
      </c>
    </row>
    <row r="9" spans="2:29" ht="19.7" customHeight="1">
      <c r="B9" s="28" t="s">
        <v>798</v>
      </c>
      <c r="C9" s="29" t="s">
        <v>788</v>
      </c>
      <c r="D9" s="29" t="s">
        <v>360</v>
      </c>
      <c r="E9" s="30" t="s">
        <v>296</v>
      </c>
      <c r="F9" s="65">
        <v>11611</v>
      </c>
      <c r="G9" s="65">
        <v>1720</v>
      </c>
      <c r="H9" s="65">
        <v>9840</v>
      </c>
      <c r="I9" s="65">
        <v>51</v>
      </c>
      <c r="J9" s="32" t="s">
        <v>834</v>
      </c>
      <c r="Z9" s="27">
        <v>11611</v>
      </c>
      <c r="AA9" s="27">
        <v>1720</v>
      </c>
      <c r="AB9" s="27">
        <v>9840</v>
      </c>
      <c r="AC9" s="27">
        <v>51</v>
      </c>
    </row>
    <row r="10" spans="2:29" ht="19.7" customHeight="1">
      <c r="B10" s="28" t="s">
        <v>255</v>
      </c>
      <c r="C10" s="29" t="s">
        <v>398</v>
      </c>
      <c r="D10" s="29" t="s">
        <v>530</v>
      </c>
      <c r="E10" s="30" t="s">
        <v>748</v>
      </c>
      <c r="F10" s="65">
        <v>973959</v>
      </c>
      <c r="G10" s="65">
        <v>553537</v>
      </c>
      <c r="H10" s="65">
        <v>244588</v>
      </c>
      <c r="I10" s="65">
        <v>175834</v>
      </c>
      <c r="J10" s="32" t="s">
        <v>834</v>
      </c>
      <c r="Z10" s="27">
        <v>973959</v>
      </c>
      <c r="AA10" s="27">
        <v>553537</v>
      </c>
      <c r="AB10" s="27">
        <v>244588</v>
      </c>
      <c r="AC10" s="27">
        <v>175834</v>
      </c>
    </row>
    <row r="11" spans="2:29" ht="19.7" customHeight="1">
      <c r="B11" s="28" t="s">
        <v>428</v>
      </c>
      <c r="C11" s="29" t="s">
        <v>597</v>
      </c>
      <c r="D11" s="29" t="s">
        <v>530</v>
      </c>
      <c r="E11" s="30" t="s">
        <v>366</v>
      </c>
      <c r="F11" s="65">
        <v>147875</v>
      </c>
      <c r="G11" s="65">
        <v>63375</v>
      </c>
      <c r="H11" s="65">
        <v>84500</v>
      </c>
      <c r="I11" s="65">
        <v>0</v>
      </c>
      <c r="J11" s="32" t="s">
        <v>834</v>
      </c>
      <c r="Z11" s="27">
        <v>147875</v>
      </c>
      <c r="AA11" s="27">
        <v>63375</v>
      </c>
      <c r="AB11" s="27">
        <v>84500</v>
      </c>
    </row>
    <row r="12" spans="2:29" ht="19.7" customHeight="1">
      <c r="B12" s="28" t="s">
        <v>99</v>
      </c>
      <c r="C12" s="29" t="s">
        <v>283</v>
      </c>
      <c r="D12" s="29" t="s">
        <v>623</v>
      </c>
      <c r="E12" s="30" t="s">
        <v>665</v>
      </c>
      <c r="F12" s="65">
        <v>212052</v>
      </c>
      <c r="G12" s="65">
        <v>0</v>
      </c>
      <c r="H12" s="65">
        <v>0</v>
      </c>
      <c r="I12" s="65">
        <v>212052</v>
      </c>
      <c r="J12" s="32" t="s">
        <v>834</v>
      </c>
      <c r="Z12" s="27">
        <v>212052</v>
      </c>
      <c r="AC12" s="27">
        <v>212052</v>
      </c>
    </row>
    <row r="13" spans="2:29" ht="19.7" customHeight="1">
      <c r="B13" s="28" t="s">
        <v>523</v>
      </c>
      <c r="C13" s="29" t="s">
        <v>438</v>
      </c>
      <c r="D13" s="29" t="s">
        <v>33</v>
      </c>
      <c r="E13" s="30" t="s">
        <v>596</v>
      </c>
      <c r="F13" s="65">
        <v>444207</v>
      </c>
      <c r="G13" s="65">
        <v>154083</v>
      </c>
      <c r="H13" s="65">
        <v>286620</v>
      </c>
      <c r="I13" s="65">
        <v>3504</v>
      </c>
      <c r="J13" s="32" t="s">
        <v>834</v>
      </c>
      <c r="Z13" s="27">
        <v>444207</v>
      </c>
      <c r="AA13" s="27">
        <v>154083</v>
      </c>
      <c r="AB13" s="27">
        <v>286620</v>
      </c>
      <c r="AC13" s="27">
        <v>3504</v>
      </c>
    </row>
    <row r="14" spans="2:29" ht="19.7" customHeight="1">
      <c r="B14" s="28" t="s">
        <v>41</v>
      </c>
      <c r="C14" s="29" t="s">
        <v>455</v>
      </c>
      <c r="D14" s="29" t="s">
        <v>834</v>
      </c>
      <c r="E14" s="30" t="s">
        <v>596</v>
      </c>
      <c r="F14" s="65">
        <v>6158</v>
      </c>
      <c r="G14" s="65">
        <v>5702</v>
      </c>
      <c r="H14" s="65">
        <v>0</v>
      </c>
      <c r="I14" s="65">
        <v>456</v>
      </c>
      <c r="J14" s="32" t="s">
        <v>834</v>
      </c>
      <c r="Z14" s="27">
        <v>6158</v>
      </c>
      <c r="AA14" s="27">
        <v>5702</v>
      </c>
      <c r="AC14" s="27">
        <v>456</v>
      </c>
    </row>
    <row r="15" spans="2:29" ht="19.7" customHeight="1">
      <c r="B15" s="28" t="s">
        <v>512</v>
      </c>
      <c r="C15" s="29" t="s">
        <v>602</v>
      </c>
      <c r="D15" s="29" t="s">
        <v>834</v>
      </c>
      <c r="E15" s="30" t="s">
        <v>596</v>
      </c>
      <c r="F15" s="65">
        <v>4657</v>
      </c>
      <c r="G15" s="65">
        <v>4522</v>
      </c>
      <c r="H15" s="65">
        <v>0</v>
      </c>
      <c r="I15" s="65">
        <v>135</v>
      </c>
      <c r="J15" s="32" t="s">
        <v>834</v>
      </c>
      <c r="Z15" s="27">
        <v>4657</v>
      </c>
      <c r="AA15" s="27">
        <v>4522</v>
      </c>
      <c r="AC15" s="27">
        <v>135</v>
      </c>
    </row>
    <row r="16" spans="2:29" ht="19.7" customHeight="1">
      <c r="B16" s="28" t="s">
        <v>19</v>
      </c>
      <c r="C16" s="29" t="s">
        <v>743</v>
      </c>
      <c r="D16" s="29" t="s">
        <v>834</v>
      </c>
      <c r="E16" s="30" t="s">
        <v>596</v>
      </c>
      <c r="F16" s="65">
        <v>3594</v>
      </c>
      <c r="G16" s="65">
        <v>3490</v>
      </c>
      <c r="H16" s="65">
        <v>0</v>
      </c>
      <c r="I16" s="65">
        <v>104</v>
      </c>
      <c r="J16" s="32" t="s">
        <v>834</v>
      </c>
      <c r="Z16" s="27">
        <v>3594</v>
      </c>
      <c r="AA16" s="27">
        <v>3490</v>
      </c>
      <c r="AC16" s="27">
        <v>104</v>
      </c>
    </row>
    <row r="17" spans="2:29" ht="19.7" customHeight="1">
      <c r="B17" s="28" t="s">
        <v>592</v>
      </c>
      <c r="C17" s="29" t="s">
        <v>357</v>
      </c>
      <c r="D17" s="29" t="s">
        <v>769</v>
      </c>
      <c r="E17" s="30" t="s">
        <v>596</v>
      </c>
      <c r="F17" s="65">
        <v>5596</v>
      </c>
      <c r="G17" s="65">
        <v>2676</v>
      </c>
      <c r="H17" s="65">
        <v>2920</v>
      </c>
      <c r="I17" s="65">
        <v>0</v>
      </c>
      <c r="J17" s="32" t="s">
        <v>834</v>
      </c>
      <c r="Z17" s="27">
        <v>5596</v>
      </c>
      <c r="AA17" s="27">
        <v>2676</v>
      </c>
      <c r="AB17" s="27">
        <v>2920</v>
      </c>
    </row>
    <row r="18" spans="2:29" ht="19.7" customHeight="1">
      <c r="B18" s="28" t="s">
        <v>81</v>
      </c>
      <c r="C18" s="29" t="s">
        <v>515</v>
      </c>
      <c r="D18" s="29" t="s">
        <v>834</v>
      </c>
      <c r="E18" s="30" t="s">
        <v>596</v>
      </c>
      <c r="F18" s="65">
        <v>1231145</v>
      </c>
      <c r="G18" s="65">
        <v>1131819</v>
      </c>
      <c r="H18" s="65">
        <v>55012</v>
      </c>
      <c r="I18" s="65">
        <v>44314</v>
      </c>
      <c r="J18" s="32" t="s">
        <v>834</v>
      </c>
      <c r="Z18" s="27">
        <v>1231145</v>
      </c>
      <c r="AA18" s="27">
        <v>1131819</v>
      </c>
      <c r="AB18" s="27">
        <v>55012</v>
      </c>
      <c r="AC18" s="27">
        <v>44314</v>
      </c>
    </row>
    <row r="19" spans="2:29" ht="19.7" customHeight="1">
      <c r="B19" s="28" t="s">
        <v>556</v>
      </c>
      <c r="C19" s="29" t="s">
        <v>727</v>
      </c>
      <c r="D19" s="29" t="s">
        <v>797</v>
      </c>
      <c r="E19" s="30" t="s">
        <v>596</v>
      </c>
      <c r="F19" s="65">
        <v>48786</v>
      </c>
      <c r="G19" s="65">
        <v>29742</v>
      </c>
      <c r="H19" s="65">
        <v>18450</v>
      </c>
      <c r="I19" s="65">
        <v>594</v>
      </c>
      <c r="J19" s="32" t="s">
        <v>834</v>
      </c>
      <c r="Z19" s="27">
        <v>48786</v>
      </c>
      <c r="AA19" s="27">
        <v>29742</v>
      </c>
      <c r="AB19" s="27">
        <v>18450</v>
      </c>
      <c r="AC19" s="27">
        <v>594</v>
      </c>
    </row>
    <row r="20" spans="2:29" ht="19.7" customHeight="1">
      <c r="B20" s="28" t="s">
        <v>48</v>
      </c>
      <c r="C20" s="29" t="s">
        <v>319</v>
      </c>
      <c r="D20" s="29" t="s">
        <v>500</v>
      </c>
      <c r="E20" s="30" t="s">
        <v>596</v>
      </c>
      <c r="F20" s="65">
        <v>101028</v>
      </c>
      <c r="G20" s="65">
        <v>77305</v>
      </c>
      <c r="H20" s="65">
        <v>22700</v>
      </c>
      <c r="I20" s="65">
        <v>1023</v>
      </c>
      <c r="J20" s="32" t="s">
        <v>834</v>
      </c>
      <c r="Z20" s="27">
        <v>101028</v>
      </c>
      <c r="AA20" s="27">
        <v>77305</v>
      </c>
      <c r="AB20" s="27">
        <v>22700</v>
      </c>
      <c r="AC20" s="27">
        <v>1023</v>
      </c>
    </row>
    <row r="21" spans="2:29" ht="19.7" customHeight="1">
      <c r="B21" s="28" t="s">
        <v>622</v>
      </c>
      <c r="C21" s="29" t="s">
        <v>32</v>
      </c>
      <c r="D21" s="29" t="s">
        <v>834</v>
      </c>
      <c r="E21" s="30" t="s">
        <v>596</v>
      </c>
      <c r="F21" s="65">
        <v>8201</v>
      </c>
      <c r="G21" s="65">
        <v>7963</v>
      </c>
      <c r="H21" s="65">
        <v>0</v>
      </c>
      <c r="I21" s="65">
        <v>238</v>
      </c>
      <c r="J21" s="32" t="s">
        <v>834</v>
      </c>
      <c r="Z21" s="27">
        <v>8201</v>
      </c>
      <c r="AA21" s="27">
        <v>7963</v>
      </c>
      <c r="AC21" s="27">
        <v>238</v>
      </c>
    </row>
    <row r="22" spans="2:29" ht="19.7" customHeight="1">
      <c r="B22" s="28" t="s">
        <v>298</v>
      </c>
      <c r="C22" s="29" t="s">
        <v>727</v>
      </c>
      <c r="D22" s="29" t="s">
        <v>238</v>
      </c>
      <c r="E22" s="30" t="s">
        <v>596</v>
      </c>
      <c r="F22" s="65">
        <v>60202</v>
      </c>
      <c r="G22" s="65">
        <v>39052</v>
      </c>
      <c r="H22" s="65">
        <v>20500</v>
      </c>
      <c r="I22" s="65">
        <v>650</v>
      </c>
      <c r="J22" s="32" t="s">
        <v>834</v>
      </c>
      <c r="Z22" s="27">
        <v>60202</v>
      </c>
      <c r="AA22" s="27">
        <v>39052</v>
      </c>
      <c r="AB22" s="27">
        <v>20500</v>
      </c>
      <c r="AC22" s="27">
        <v>650</v>
      </c>
    </row>
    <row r="23" spans="2:29" ht="19.7" customHeight="1">
      <c r="B23" s="28" t="s">
        <v>233</v>
      </c>
      <c r="C23" s="29" t="s">
        <v>612</v>
      </c>
      <c r="D23" s="29" t="s">
        <v>561</v>
      </c>
      <c r="E23" s="30" t="s">
        <v>476</v>
      </c>
      <c r="F23" s="65">
        <v>41344</v>
      </c>
      <c r="G23" s="65">
        <v>33439</v>
      </c>
      <c r="H23" s="65">
        <v>7237</v>
      </c>
      <c r="I23" s="65">
        <v>668</v>
      </c>
      <c r="J23" s="32" t="s">
        <v>834</v>
      </c>
      <c r="Z23" s="27">
        <v>41344</v>
      </c>
      <c r="AA23" s="27">
        <v>33439</v>
      </c>
      <c r="AB23" s="27">
        <v>7237</v>
      </c>
      <c r="AC23" s="27">
        <v>668</v>
      </c>
    </row>
    <row r="24" spans="2:29" ht="19.7" customHeight="1">
      <c r="B24" s="28" t="s">
        <v>768</v>
      </c>
      <c r="C24" s="29" t="s">
        <v>466</v>
      </c>
      <c r="D24" s="29" t="s">
        <v>16</v>
      </c>
      <c r="E24" s="30" t="s">
        <v>476</v>
      </c>
      <c r="F24" s="65">
        <v>30198</v>
      </c>
      <c r="G24" s="65">
        <v>22293</v>
      </c>
      <c r="H24" s="65">
        <v>7237</v>
      </c>
      <c r="I24" s="65">
        <v>668</v>
      </c>
      <c r="J24" s="32" t="s">
        <v>834</v>
      </c>
      <c r="Z24" s="27">
        <v>30198</v>
      </c>
      <c r="AA24" s="27">
        <v>22293</v>
      </c>
      <c r="AB24" s="27">
        <v>7237</v>
      </c>
      <c r="AC24" s="27">
        <v>668</v>
      </c>
    </row>
    <row r="25" spans="2:29" ht="19.7" customHeight="1">
      <c r="B25" s="28" t="s">
        <v>192</v>
      </c>
      <c r="C25" s="29" t="s">
        <v>319</v>
      </c>
      <c r="D25" s="29" t="s">
        <v>191</v>
      </c>
      <c r="E25" s="30" t="s">
        <v>596</v>
      </c>
      <c r="F25" s="65">
        <v>84957</v>
      </c>
      <c r="G25" s="65">
        <v>63340</v>
      </c>
      <c r="H25" s="65">
        <v>20650</v>
      </c>
      <c r="I25" s="65">
        <v>967</v>
      </c>
      <c r="J25" s="32" t="s">
        <v>834</v>
      </c>
      <c r="Z25" s="27">
        <v>84957</v>
      </c>
      <c r="AA25" s="27">
        <v>63340</v>
      </c>
      <c r="AB25" s="27">
        <v>20650</v>
      </c>
      <c r="AC25" s="27">
        <v>967</v>
      </c>
    </row>
    <row r="26" spans="2:29" ht="19.7" customHeight="1">
      <c r="B26" s="28" t="s">
        <v>736</v>
      </c>
      <c r="C26" s="29" t="s">
        <v>618</v>
      </c>
      <c r="D26" s="29" t="s">
        <v>453</v>
      </c>
      <c r="E26" s="30" t="s">
        <v>596</v>
      </c>
      <c r="F26" s="65">
        <v>296464</v>
      </c>
      <c r="G26" s="65">
        <v>127857</v>
      </c>
      <c r="H26" s="65">
        <v>165650</v>
      </c>
      <c r="I26" s="65">
        <v>2957</v>
      </c>
      <c r="J26" s="32" t="s">
        <v>834</v>
      </c>
      <c r="Z26" s="27">
        <v>296464</v>
      </c>
      <c r="AA26" s="27">
        <v>127857</v>
      </c>
      <c r="AB26" s="27">
        <v>165650</v>
      </c>
      <c r="AC26" s="27">
        <v>2957</v>
      </c>
    </row>
    <row r="27" spans="2:29" ht="19.7" customHeight="1">
      <c r="B27" s="28" t="s">
        <v>291</v>
      </c>
      <c r="C27" s="29" t="s">
        <v>618</v>
      </c>
      <c r="D27" s="29" t="s">
        <v>617</v>
      </c>
      <c r="E27" s="30" t="s">
        <v>596</v>
      </c>
      <c r="F27" s="65">
        <v>166125</v>
      </c>
      <c r="G27" s="65">
        <v>90891</v>
      </c>
      <c r="H27" s="65">
        <v>73550</v>
      </c>
      <c r="I27" s="65">
        <v>1684</v>
      </c>
      <c r="J27" s="32" t="s">
        <v>834</v>
      </c>
      <c r="Z27" s="27">
        <v>166125</v>
      </c>
      <c r="AA27" s="27">
        <v>90891</v>
      </c>
      <c r="AB27" s="27">
        <v>73550</v>
      </c>
      <c r="AC27" s="27">
        <v>1684</v>
      </c>
    </row>
    <row r="28" spans="2:29" ht="19.7" customHeight="1">
      <c r="B28" s="28" t="s">
        <v>802</v>
      </c>
      <c r="C28" s="29" t="s">
        <v>438</v>
      </c>
      <c r="D28" s="29" t="s">
        <v>609</v>
      </c>
      <c r="E28" s="30" t="s">
        <v>596</v>
      </c>
      <c r="F28" s="65">
        <v>461080</v>
      </c>
      <c r="G28" s="65">
        <v>168850</v>
      </c>
      <c r="H28" s="65">
        <v>288670</v>
      </c>
      <c r="I28" s="65">
        <v>3560</v>
      </c>
      <c r="J28" s="32" t="s">
        <v>834</v>
      </c>
      <c r="Z28" s="27">
        <v>461080</v>
      </c>
      <c r="AA28" s="27">
        <v>168850</v>
      </c>
      <c r="AB28" s="27">
        <v>288670</v>
      </c>
      <c r="AC28" s="27">
        <v>3560</v>
      </c>
    </row>
    <row r="29" spans="2:29" ht="19.7" customHeight="1">
      <c r="B29" s="28" t="s">
        <v>270</v>
      </c>
      <c r="C29" s="29" t="s">
        <v>357</v>
      </c>
      <c r="D29" s="29" t="s">
        <v>142</v>
      </c>
      <c r="E29" s="30" t="s">
        <v>596</v>
      </c>
      <c r="F29" s="65">
        <v>6131</v>
      </c>
      <c r="G29" s="65">
        <v>3211</v>
      </c>
      <c r="H29" s="65">
        <v>2920</v>
      </c>
      <c r="I29" s="65">
        <v>0</v>
      </c>
      <c r="J29" s="32" t="s">
        <v>834</v>
      </c>
      <c r="Z29" s="27">
        <v>6131</v>
      </c>
      <c r="AA29" s="27">
        <v>3211</v>
      </c>
      <c r="AB29" s="27">
        <v>2920</v>
      </c>
    </row>
    <row r="30" spans="2:29" ht="19.7" customHeight="1">
      <c r="B30" s="33" t="s">
        <v>787</v>
      </c>
      <c r="C30" s="34" t="s">
        <v>618</v>
      </c>
      <c r="D30" s="34" t="s">
        <v>40</v>
      </c>
      <c r="E30" s="35" t="s">
        <v>596</v>
      </c>
      <c r="F30" s="74">
        <v>147554</v>
      </c>
      <c r="G30" s="74">
        <v>76926</v>
      </c>
      <c r="H30" s="74">
        <v>69000</v>
      </c>
      <c r="I30" s="74">
        <v>1628</v>
      </c>
      <c r="J30" s="36" t="s">
        <v>834</v>
      </c>
      <c r="Z30" s="27">
        <v>147554</v>
      </c>
      <c r="AA30" s="27">
        <v>76926</v>
      </c>
      <c r="AB30" s="27">
        <v>69000</v>
      </c>
      <c r="AC30" s="27">
        <v>1628</v>
      </c>
    </row>
    <row r="31" spans="2:29" ht="19.7" customHeight="1">
      <c r="B31" s="28" t="s">
        <v>109</v>
      </c>
      <c r="C31" s="29" t="s">
        <v>618</v>
      </c>
      <c r="D31" s="29" t="s">
        <v>217</v>
      </c>
      <c r="E31" s="30" t="s">
        <v>596</v>
      </c>
      <c r="F31" s="65">
        <v>317535</v>
      </c>
      <c r="G31" s="65">
        <v>141822</v>
      </c>
      <c r="H31" s="65">
        <v>172700</v>
      </c>
      <c r="I31" s="65">
        <v>3013</v>
      </c>
      <c r="J31" s="32" t="s">
        <v>834</v>
      </c>
      <c r="Z31" s="27">
        <v>317535</v>
      </c>
      <c r="AA31" s="27">
        <v>141822</v>
      </c>
      <c r="AB31" s="27">
        <v>172700</v>
      </c>
      <c r="AC31" s="27">
        <v>3013</v>
      </c>
    </row>
    <row r="32" spans="2:29" ht="19.7" customHeight="1">
      <c r="B32" s="28" t="s">
        <v>419</v>
      </c>
      <c r="C32" s="29" t="s">
        <v>283</v>
      </c>
      <c r="D32" s="29" t="s">
        <v>571</v>
      </c>
      <c r="E32" s="30" t="s">
        <v>665</v>
      </c>
      <c r="F32" s="65">
        <v>99000</v>
      </c>
      <c r="G32" s="65">
        <v>0</v>
      </c>
      <c r="H32" s="65">
        <v>0</v>
      </c>
      <c r="I32" s="65">
        <v>99000</v>
      </c>
      <c r="J32" s="32" t="s">
        <v>834</v>
      </c>
      <c r="Z32" s="27">
        <v>99000</v>
      </c>
      <c r="AC32" s="27">
        <v>99000</v>
      </c>
    </row>
    <row r="33" spans="2:29" ht="19.7" customHeight="1">
      <c r="B33" s="28" t="s">
        <v>690</v>
      </c>
      <c r="C33" s="29" t="s">
        <v>319</v>
      </c>
      <c r="D33" s="29" t="s">
        <v>797</v>
      </c>
      <c r="E33" s="30" t="s">
        <v>596</v>
      </c>
      <c r="F33" s="65">
        <v>63844</v>
      </c>
      <c r="G33" s="65">
        <v>42227</v>
      </c>
      <c r="H33" s="65">
        <v>20650</v>
      </c>
      <c r="I33" s="65">
        <v>967</v>
      </c>
      <c r="J33" s="32" t="s">
        <v>834</v>
      </c>
      <c r="Z33" s="27">
        <v>63844</v>
      </c>
      <c r="AA33" s="27">
        <v>42227</v>
      </c>
      <c r="AB33" s="27">
        <v>20650</v>
      </c>
      <c r="AC33" s="27">
        <v>967</v>
      </c>
    </row>
    <row r="34" spans="2:29" ht="19.7" customHeight="1">
      <c r="B34" s="28" t="s">
        <v>352</v>
      </c>
      <c r="C34" s="29" t="s">
        <v>319</v>
      </c>
      <c r="D34" s="29" t="s">
        <v>238</v>
      </c>
      <c r="E34" s="30" t="s">
        <v>596</v>
      </c>
      <c r="F34" s="65">
        <v>75260</v>
      </c>
      <c r="G34" s="65">
        <v>51537</v>
      </c>
      <c r="H34" s="65">
        <v>22700</v>
      </c>
      <c r="I34" s="65">
        <v>1023</v>
      </c>
      <c r="J34" s="32" t="s">
        <v>834</v>
      </c>
      <c r="Z34" s="27">
        <v>75260</v>
      </c>
      <c r="AA34" s="27">
        <v>51537</v>
      </c>
      <c r="AB34" s="27">
        <v>22700</v>
      </c>
      <c r="AC34" s="27">
        <v>1023</v>
      </c>
    </row>
    <row r="35" spans="2:29" ht="19.7" customHeight="1">
      <c r="B35" s="28" t="s">
        <v>714</v>
      </c>
      <c r="C35" s="29" t="s">
        <v>551</v>
      </c>
      <c r="D35" s="29" t="s">
        <v>591</v>
      </c>
      <c r="E35" s="30" t="s">
        <v>748</v>
      </c>
      <c r="F35" s="65">
        <v>235459</v>
      </c>
      <c r="G35" s="65">
        <v>235459</v>
      </c>
      <c r="H35" s="65">
        <v>0</v>
      </c>
      <c r="I35" s="65">
        <v>0</v>
      </c>
      <c r="J35" s="32" t="s">
        <v>834</v>
      </c>
      <c r="Z35" s="27">
        <v>235459</v>
      </c>
      <c r="AA35" s="27">
        <v>235459</v>
      </c>
    </row>
    <row r="36" spans="2:29" ht="19.7" customHeight="1">
      <c r="B36" s="33" t="s">
        <v>393</v>
      </c>
      <c r="C36" s="34" t="s">
        <v>683</v>
      </c>
      <c r="D36" s="34" t="s">
        <v>834</v>
      </c>
      <c r="E36" s="35" t="s">
        <v>665</v>
      </c>
      <c r="F36" s="74">
        <v>3757063</v>
      </c>
      <c r="G36" s="74">
        <v>1491436</v>
      </c>
      <c r="H36" s="74">
        <v>0</v>
      </c>
      <c r="I36" s="74">
        <v>2265627</v>
      </c>
      <c r="J36" s="36" t="s">
        <v>834</v>
      </c>
      <c r="Z36" s="27">
        <v>3757063</v>
      </c>
      <c r="AA36" s="27">
        <v>1491436</v>
      </c>
      <c r="AC36" s="27">
        <v>2265627</v>
      </c>
    </row>
    <row r="37" spans="2:29">
      <c r="B37" s="23"/>
      <c r="C37" s="23"/>
      <c r="D37" s="23"/>
      <c r="E37" s="23"/>
      <c r="F37" s="23"/>
      <c r="G37" s="23"/>
      <c r="H37" s="23"/>
      <c r="I37" s="23"/>
      <c r="J37" s="23"/>
    </row>
  </sheetData>
  <mergeCells count="1">
    <mergeCell ref="B1:J2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6E39-C8B8-4825-8264-8B045AA99848}">
  <dimension ref="B1:O208"/>
  <sheetViews>
    <sheetView workbookViewId="0">
      <pane ySplit="4" topLeftCell="A35" activePane="bottomLeft" state="frozen"/>
      <selection activeCell="A4" sqref="A4"/>
      <selection pane="bottomLeft" sqref="A1:XFD1048576"/>
    </sheetView>
  </sheetViews>
  <sheetFormatPr defaultRowHeight="12.75"/>
  <cols>
    <col min="1" max="1" width="0.7109375" customWidth="1"/>
    <col min="2" max="2" width="7.28515625" customWidth="1"/>
    <col min="3" max="3" width="23.85546875" customWidth="1"/>
    <col min="4" max="4" width="24.85546875" customWidth="1"/>
    <col min="5" max="5" width="7.5703125" customWidth="1"/>
    <col min="6" max="6" width="3.7109375" customWidth="1"/>
    <col min="7" max="7" width="9.140625" customWidth="1"/>
    <col min="8" max="8" width="10.5703125" customWidth="1"/>
    <col min="9" max="9" width="9.140625" customWidth="1"/>
    <col min="10" max="10" width="10.5703125" customWidth="1"/>
    <col min="11" max="11" width="8.85546875" customWidth="1"/>
    <col min="12" max="12" width="10.28515625" customWidth="1"/>
    <col min="13" max="13" width="8.85546875" customWidth="1"/>
    <col min="14" max="14" width="10.28515625" customWidth="1"/>
    <col min="15" max="15" width="8.7109375" customWidth="1"/>
  </cols>
  <sheetData>
    <row r="1" spans="2:15" ht="24.95" customHeight="1">
      <c r="B1" s="333" t="s">
        <v>86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</row>
    <row r="2" spans="2:15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</row>
    <row r="3" spans="2:15" ht="15.4" customHeight="1">
      <c r="B3" s="356" t="s">
        <v>583</v>
      </c>
      <c r="C3" s="358" t="s">
        <v>520</v>
      </c>
      <c r="D3" s="358" t="s">
        <v>649</v>
      </c>
      <c r="E3" s="358" t="s">
        <v>441</v>
      </c>
      <c r="F3" s="358" t="s">
        <v>294</v>
      </c>
      <c r="G3" s="351" t="s">
        <v>710</v>
      </c>
      <c r="H3" s="352"/>
      <c r="I3" s="351" t="s">
        <v>325</v>
      </c>
      <c r="J3" s="352"/>
      <c r="K3" s="351" t="s">
        <v>538</v>
      </c>
      <c r="L3" s="352"/>
      <c r="M3" s="351" t="s">
        <v>671</v>
      </c>
      <c r="N3" s="352"/>
      <c r="O3" s="353" t="s">
        <v>178</v>
      </c>
    </row>
    <row r="4" spans="2:15" ht="19.7" customHeight="1">
      <c r="B4" s="357"/>
      <c r="C4" s="359"/>
      <c r="D4" s="359"/>
      <c r="E4" s="359"/>
      <c r="F4" s="35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54"/>
    </row>
    <row r="5" spans="2:15" ht="19.7" customHeight="1">
      <c r="B5" s="90" t="s">
        <v>243</v>
      </c>
      <c r="C5" s="62" t="s">
        <v>478</v>
      </c>
      <c r="D5" s="62" t="s">
        <v>320</v>
      </c>
      <c r="E5" s="31"/>
      <c r="F5" s="91" t="s">
        <v>596</v>
      </c>
      <c r="G5" s="37"/>
      <c r="H5" s="92">
        <v>88872</v>
      </c>
      <c r="I5" s="37"/>
      <c r="J5" s="92">
        <v>56505</v>
      </c>
      <c r="K5" s="37"/>
      <c r="L5" s="92">
        <v>32011</v>
      </c>
      <c r="M5" s="37"/>
      <c r="N5" s="92">
        <v>356</v>
      </c>
      <c r="O5" s="93" t="s">
        <v>834</v>
      </c>
    </row>
    <row r="6" spans="2:15" ht="19.7" customHeight="1">
      <c r="B6" s="28" t="s">
        <v>834</v>
      </c>
      <c r="C6" s="29" t="s">
        <v>789</v>
      </c>
      <c r="D6" s="29" t="s">
        <v>834</v>
      </c>
      <c r="E6" s="31">
        <v>1</v>
      </c>
      <c r="F6" s="30" t="s">
        <v>596</v>
      </c>
      <c r="G6" s="37">
        <v>9268</v>
      </c>
      <c r="H6" s="65">
        <v>9268</v>
      </c>
      <c r="I6" s="64">
        <v>8912</v>
      </c>
      <c r="J6" s="65">
        <v>8912</v>
      </c>
      <c r="K6" s="64">
        <v>0</v>
      </c>
      <c r="L6" s="65">
        <v>0</v>
      </c>
      <c r="M6" s="64">
        <v>356</v>
      </c>
      <c r="N6" s="65">
        <v>356</v>
      </c>
      <c r="O6" s="32" t="s">
        <v>279</v>
      </c>
    </row>
    <row r="7" spans="2:15" ht="19.7" customHeight="1">
      <c r="B7" s="28" t="s">
        <v>834</v>
      </c>
      <c r="C7" s="29" t="s">
        <v>445</v>
      </c>
      <c r="D7" s="29" t="s">
        <v>470</v>
      </c>
      <c r="E7" s="31">
        <v>1</v>
      </c>
      <c r="F7" s="30" t="s">
        <v>596</v>
      </c>
      <c r="G7" s="37">
        <v>20629</v>
      </c>
      <c r="H7" s="65">
        <v>20629</v>
      </c>
      <c r="I7" s="64">
        <v>14293</v>
      </c>
      <c r="J7" s="65">
        <v>14293</v>
      </c>
      <c r="K7" s="64">
        <v>6336</v>
      </c>
      <c r="L7" s="65">
        <v>6336</v>
      </c>
      <c r="M7" s="64">
        <v>0</v>
      </c>
      <c r="N7" s="65">
        <v>0</v>
      </c>
      <c r="O7" s="32" t="s">
        <v>820</v>
      </c>
    </row>
    <row r="8" spans="2:15" ht="19.7" customHeight="1">
      <c r="B8" s="28" t="s">
        <v>834</v>
      </c>
      <c r="C8" s="29" t="s">
        <v>640</v>
      </c>
      <c r="D8" s="29" t="s">
        <v>834</v>
      </c>
      <c r="E8" s="31">
        <v>1</v>
      </c>
      <c r="F8" s="30" t="s">
        <v>596</v>
      </c>
      <c r="G8" s="37">
        <v>40140</v>
      </c>
      <c r="H8" s="65">
        <v>40140</v>
      </c>
      <c r="I8" s="64">
        <v>14465</v>
      </c>
      <c r="J8" s="65">
        <v>14465</v>
      </c>
      <c r="K8" s="64">
        <v>25675</v>
      </c>
      <c r="L8" s="65">
        <v>25675</v>
      </c>
      <c r="M8" s="64">
        <v>0</v>
      </c>
      <c r="N8" s="65">
        <v>0</v>
      </c>
      <c r="O8" s="32" t="s">
        <v>203</v>
      </c>
    </row>
    <row r="9" spans="2:15" ht="19.7" customHeight="1">
      <c r="B9" s="28" t="s">
        <v>834</v>
      </c>
      <c r="C9" s="29" t="s">
        <v>411</v>
      </c>
      <c r="D9" s="29" t="s">
        <v>110</v>
      </c>
      <c r="E9" s="31">
        <v>50</v>
      </c>
      <c r="F9" s="30" t="s">
        <v>157</v>
      </c>
      <c r="G9" s="37">
        <v>37670</v>
      </c>
      <c r="H9" s="65">
        <v>18835</v>
      </c>
      <c r="I9" s="37">
        <v>37670</v>
      </c>
      <c r="J9" s="65">
        <v>18835</v>
      </c>
      <c r="K9" s="37"/>
      <c r="L9" s="65">
        <v>0</v>
      </c>
      <c r="M9" s="37"/>
      <c r="N9" s="65">
        <v>0</v>
      </c>
      <c r="O9" s="32" t="s">
        <v>834</v>
      </c>
    </row>
    <row r="10" spans="2:15" ht="19.7" customHeight="1">
      <c r="B10" s="28" t="s">
        <v>834</v>
      </c>
      <c r="C10" s="29" t="s">
        <v>834</v>
      </c>
      <c r="D10" s="29" t="s">
        <v>834</v>
      </c>
      <c r="E10" s="31"/>
      <c r="F10" s="30" t="s">
        <v>834</v>
      </c>
      <c r="G10" s="37"/>
      <c r="H10" s="31"/>
      <c r="I10" s="37"/>
      <c r="J10" s="65">
        <v>0</v>
      </c>
      <c r="K10" s="37"/>
      <c r="L10" s="65">
        <v>0</v>
      </c>
      <c r="M10" s="37"/>
      <c r="N10" s="65">
        <v>0</v>
      </c>
      <c r="O10" s="32" t="s">
        <v>834</v>
      </c>
    </row>
    <row r="11" spans="2:15" ht="19.7" customHeight="1">
      <c r="B11" s="90" t="s">
        <v>724</v>
      </c>
      <c r="C11" s="62" t="s">
        <v>789</v>
      </c>
      <c r="D11" s="62" t="s">
        <v>834</v>
      </c>
      <c r="E11" s="31"/>
      <c r="F11" s="91" t="s">
        <v>596</v>
      </c>
      <c r="G11" s="37"/>
      <c r="H11" s="92">
        <v>9268</v>
      </c>
      <c r="I11" s="37"/>
      <c r="J11" s="92">
        <v>8912</v>
      </c>
      <c r="K11" s="37"/>
      <c r="L11" s="65">
        <v>0</v>
      </c>
      <c r="M11" s="37"/>
      <c r="N11" s="92">
        <v>356</v>
      </c>
      <c r="O11" s="93" t="s">
        <v>444</v>
      </c>
    </row>
    <row r="12" spans="2:15" ht="19.7" customHeight="1">
      <c r="B12" s="28" t="s">
        <v>834</v>
      </c>
      <c r="C12" s="29" t="s">
        <v>12</v>
      </c>
      <c r="D12" s="29" t="s">
        <v>834</v>
      </c>
      <c r="E12" s="94">
        <v>0.03</v>
      </c>
      <c r="F12" s="30" t="s">
        <v>767</v>
      </c>
      <c r="G12" s="37">
        <v>228286</v>
      </c>
      <c r="H12" s="65">
        <v>6848</v>
      </c>
      <c r="I12" s="64">
        <v>228286</v>
      </c>
      <c r="J12" s="65">
        <v>6848</v>
      </c>
      <c r="K12" s="64">
        <v>0</v>
      </c>
      <c r="L12" s="65">
        <v>0</v>
      </c>
      <c r="M12" s="64">
        <v>0</v>
      </c>
      <c r="N12" s="65">
        <v>0</v>
      </c>
      <c r="O12" s="32" t="s">
        <v>834</v>
      </c>
    </row>
    <row r="13" spans="2:15" ht="19.7" customHeight="1">
      <c r="B13" s="28" t="s">
        <v>834</v>
      </c>
      <c r="C13" s="29" t="s">
        <v>54</v>
      </c>
      <c r="D13" s="29" t="s">
        <v>834</v>
      </c>
      <c r="E13" s="94">
        <v>1.2E-2</v>
      </c>
      <c r="F13" s="30" t="s">
        <v>767</v>
      </c>
      <c r="G13" s="37">
        <v>172068</v>
      </c>
      <c r="H13" s="65">
        <v>2064</v>
      </c>
      <c r="I13" s="64">
        <v>172068</v>
      </c>
      <c r="J13" s="65">
        <v>2064</v>
      </c>
      <c r="K13" s="64">
        <v>0</v>
      </c>
      <c r="L13" s="65">
        <v>0</v>
      </c>
      <c r="M13" s="64">
        <v>0</v>
      </c>
      <c r="N13" s="65">
        <v>0</v>
      </c>
      <c r="O13" s="32" t="s">
        <v>834</v>
      </c>
    </row>
    <row r="14" spans="2:15" ht="19.7" customHeight="1">
      <c r="B14" s="28" t="s">
        <v>834</v>
      </c>
      <c r="C14" s="29" t="s">
        <v>106</v>
      </c>
      <c r="D14" s="29" t="s">
        <v>110</v>
      </c>
      <c r="E14" s="31">
        <v>4</v>
      </c>
      <c r="F14" s="30" t="s">
        <v>157</v>
      </c>
      <c r="G14" s="37">
        <v>8912</v>
      </c>
      <c r="H14" s="65">
        <v>356</v>
      </c>
      <c r="I14" s="37"/>
      <c r="J14" s="65">
        <v>0</v>
      </c>
      <c r="K14" s="37"/>
      <c r="L14" s="65">
        <v>0</v>
      </c>
      <c r="M14" s="37">
        <v>8912</v>
      </c>
      <c r="N14" s="65">
        <v>356</v>
      </c>
      <c r="O14" s="32" t="s">
        <v>834</v>
      </c>
    </row>
    <row r="15" spans="2:15" ht="19.7" customHeight="1">
      <c r="B15" s="28" t="s">
        <v>834</v>
      </c>
      <c r="C15" s="29" t="s">
        <v>834</v>
      </c>
      <c r="D15" s="29" t="s">
        <v>834</v>
      </c>
      <c r="E15" s="31"/>
      <c r="F15" s="30" t="s">
        <v>834</v>
      </c>
      <c r="G15" s="37"/>
      <c r="H15" s="31"/>
      <c r="I15" s="37"/>
      <c r="J15" s="65">
        <v>0</v>
      </c>
      <c r="K15" s="37"/>
      <c r="L15" s="65">
        <v>0</v>
      </c>
      <c r="M15" s="37"/>
      <c r="N15" s="65">
        <v>0</v>
      </c>
      <c r="O15" s="32" t="s">
        <v>834</v>
      </c>
    </row>
    <row r="16" spans="2:15" ht="19.7" customHeight="1">
      <c r="B16" s="90" t="s">
        <v>202</v>
      </c>
      <c r="C16" s="62" t="s">
        <v>445</v>
      </c>
      <c r="D16" s="62" t="s">
        <v>470</v>
      </c>
      <c r="E16" s="31"/>
      <c r="F16" s="91" t="s">
        <v>596</v>
      </c>
      <c r="G16" s="37"/>
      <c r="H16" s="92">
        <v>20629</v>
      </c>
      <c r="I16" s="37"/>
      <c r="J16" s="92">
        <v>14293</v>
      </c>
      <c r="K16" s="37"/>
      <c r="L16" s="92">
        <v>6336</v>
      </c>
      <c r="M16" s="37"/>
      <c r="N16" s="65">
        <v>0</v>
      </c>
      <c r="O16" s="93" t="s">
        <v>834</v>
      </c>
    </row>
    <row r="17" spans="2:15" ht="19.7" customHeight="1">
      <c r="B17" s="28" t="s">
        <v>834</v>
      </c>
      <c r="C17" s="29" t="s">
        <v>234</v>
      </c>
      <c r="D17" s="29" t="s">
        <v>630</v>
      </c>
      <c r="E17" s="94">
        <v>0.08</v>
      </c>
      <c r="F17" s="30" t="s">
        <v>132</v>
      </c>
      <c r="G17" s="37">
        <v>79200</v>
      </c>
      <c r="H17" s="65">
        <v>6336</v>
      </c>
      <c r="I17" s="64">
        <v>0</v>
      </c>
      <c r="J17" s="65">
        <v>0</v>
      </c>
      <c r="K17" s="64">
        <v>79200</v>
      </c>
      <c r="L17" s="65">
        <v>6336</v>
      </c>
      <c r="M17" s="64">
        <v>0</v>
      </c>
      <c r="N17" s="65">
        <v>0</v>
      </c>
      <c r="O17" s="32" t="s">
        <v>834</v>
      </c>
    </row>
    <row r="18" spans="2:15" ht="19.7" customHeight="1">
      <c r="B18" s="28" t="s">
        <v>834</v>
      </c>
      <c r="C18" s="29" t="s">
        <v>12</v>
      </c>
      <c r="D18" s="29" t="s">
        <v>834</v>
      </c>
      <c r="E18" s="94">
        <v>0.04</v>
      </c>
      <c r="F18" s="30" t="s">
        <v>767</v>
      </c>
      <c r="G18" s="37">
        <v>228286</v>
      </c>
      <c r="H18" s="65">
        <v>9131</v>
      </c>
      <c r="I18" s="64">
        <v>228286</v>
      </c>
      <c r="J18" s="65">
        <v>9131</v>
      </c>
      <c r="K18" s="64">
        <v>0</v>
      </c>
      <c r="L18" s="65">
        <v>0</v>
      </c>
      <c r="M18" s="64">
        <v>0</v>
      </c>
      <c r="N18" s="65">
        <v>0</v>
      </c>
      <c r="O18" s="32" t="s">
        <v>834</v>
      </c>
    </row>
    <row r="19" spans="2:15" ht="19.7" customHeight="1">
      <c r="B19" s="28" t="s">
        <v>834</v>
      </c>
      <c r="C19" s="29" t="s">
        <v>54</v>
      </c>
      <c r="D19" s="29" t="s">
        <v>834</v>
      </c>
      <c r="E19" s="94">
        <v>0.03</v>
      </c>
      <c r="F19" s="30" t="s">
        <v>767</v>
      </c>
      <c r="G19" s="37">
        <v>172068</v>
      </c>
      <c r="H19" s="65">
        <v>5162</v>
      </c>
      <c r="I19" s="64">
        <v>172068</v>
      </c>
      <c r="J19" s="65">
        <v>5162</v>
      </c>
      <c r="K19" s="64">
        <v>0</v>
      </c>
      <c r="L19" s="65">
        <v>0</v>
      </c>
      <c r="M19" s="64">
        <v>0</v>
      </c>
      <c r="N19" s="65">
        <v>0</v>
      </c>
      <c r="O19" s="32" t="s">
        <v>834</v>
      </c>
    </row>
    <row r="20" spans="2:15" ht="19.7" customHeight="1">
      <c r="B20" s="28" t="s">
        <v>834</v>
      </c>
      <c r="C20" s="29" t="s">
        <v>834</v>
      </c>
      <c r="D20" s="29" t="s">
        <v>834</v>
      </c>
      <c r="E20" s="31"/>
      <c r="F20" s="30" t="s">
        <v>834</v>
      </c>
      <c r="G20" s="37"/>
      <c r="H20" s="31"/>
      <c r="I20" s="37"/>
      <c r="J20" s="65">
        <v>0</v>
      </c>
      <c r="K20" s="37"/>
      <c r="L20" s="65">
        <v>0</v>
      </c>
      <c r="M20" s="37"/>
      <c r="N20" s="65">
        <v>0</v>
      </c>
      <c r="O20" s="32" t="s">
        <v>834</v>
      </c>
    </row>
    <row r="21" spans="2:15" ht="19.7" customHeight="1">
      <c r="B21" s="90" t="s">
        <v>819</v>
      </c>
      <c r="C21" s="62" t="s">
        <v>640</v>
      </c>
      <c r="D21" s="62" t="s">
        <v>834</v>
      </c>
      <c r="E21" s="31"/>
      <c r="F21" s="91" t="s">
        <v>596</v>
      </c>
      <c r="G21" s="37"/>
      <c r="H21" s="92">
        <v>40140</v>
      </c>
      <c r="I21" s="37"/>
      <c r="J21" s="92">
        <v>14465</v>
      </c>
      <c r="K21" s="37"/>
      <c r="L21" s="92">
        <v>25675</v>
      </c>
      <c r="M21" s="37"/>
      <c r="N21" s="65">
        <v>0</v>
      </c>
      <c r="O21" s="93" t="s">
        <v>834</v>
      </c>
    </row>
    <row r="22" spans="2:15" ht="19.7" customHeight="1">
      <c r="B22" s="28" t="s">
        <v>834</v>
      </c>
      <c r="C22" s="29" t="s">
        <v>720</v>
      </c>
      <c r="D22" s="29" t="s">
        <v>241</v>
      </c>
      <c r="E22" s="94">
        <v>1.55</v>
      </c>
      <c r="F22" s="30" t="s">
        <v>477</v>
      </c>
      <c r="G22" s="37">
        <v>6500</v>
      </c>
      <c r="H22" s="65">
        <v>10075</v>
      </c>
      <c r="I22" s="64">
        <v>0</v>
      </c>
      <c r="J22" s="65">
        <v>0</v>
      </c>
      <c r="K22" s="64">
        <v>6500</v>
      </c>
      <c r="L22" s="65">
        <v>10075</v>
      </c>
      <c r="M22" s="64">
        <v>0</v>
      </c>
      <c r="N22" s="65">
        <v>0</v>
      </c>
      <c r="O22" s="32" t="s">
        <v>834</v>
      </c>
    </row>
    <row r="23" spans="2:15" ht="19.7" customHeight="1">
      <c r="B23" s="28" t="s">
        <v>834</v>
      </c>
      <c r="C23" s="29" t="s">
        <v>156</v>
      </c>
      <c r="D23" s="29" t="s">
        <v>224</v>
      </c>
      <c r="E23" s="94">
        <v>1.95</v>
      </c>
      <c r="F23" s="30" t="s">
        <v>596</v>
      </c>
      <c r="G23" s="37">
        <v>8000</v>
      </c>
      <c r="H23" s="65">
        <v>15600</v>
      </c>
      <c r="I23" s="64">
        <v>0</v>
      </c>
      <c r="J23" s="65">
        <v>0</v>
      </c>
      <c r="K23" s="64">
        <v>8000</v>
      </c>
      <c r="L23" s="65">
        <v>15600</v>
      </c>
      <c r="M23" s="64">
        <v>0</v>
      </c>
      <c r="N23" s="65">
        <v>0</v>
      </c>
      <c r="O23" s="32" t="s">
        <v>834</v>
      </c>
    </row>
    <row r="24" spans="2:15" ht="19.7" customHeight="1">
      <c r="B24" s="28" t="s">
        <v>834</v>
      </c>
      <c r="C24" s="29" t="s">
        <v>12</v>
      </c>
      <c r="D24" s="29" t="s">
        <v>834</v>
      </c>
      <c r="E24" s="94">
        <v>0.04</v>
      </c>
      <c r="F24" s="30" t="s">
        <v>767</v>
      </c>
      <c r="G24" s="37">
        <v>228286</v>
      </c>
      <c r="H24" s="65">
        <v>9131</v>
      </c>
      <c r="I24" s="64">
        <v>228286</v>
      </c>
      <c r="J24" s="65">
        <v>9131</v>
      </c>
      <c r="K24" s="64">
        <v>0</v>
      </c>
      <c r="L24" s="65">
        <v>0</v>
      </c>
      <c r="M24" s="64">
        <v>0</v>
      </c>
      <c r="N24" s="65">
        <v>0</v>
      </c>
      <c r="O24" s="32" t="s">
        <v>834</v>
      </c>
    </row>
    <row r="25" spans="2:15" ht="19.7" customHeight="1">
      <c r="B25" s="28" t="s">
        <v>834</v>
      </c>
      <c r="C25" s="29" t="s">
        <v>54</v>
      </c>
      <c r="D25" s="29" t="s">
        <v>834</v>
      </c>
      <c r="E25" s="94">
        <v>3.1E-2</v>
      </c>
      <c r="F25" s="30" t="s">
        <v>767</v>
      </c>
      <c r="G25" s="37">
        <v>172068</v>
      </c>
      <c r="H25" s="65">
        <v>5334</v>
      </c>
      <c r="I25" s="64">
        <v>172068</v>
      </c>
      <c r="J25" s="65">
        <v>5334</v>
      </c>
      <c r="K25" s="64">
        <v>0</v>
      </c>
      <c r="L25" s="65">
        <v>0</v>
      </c>
      <c r="M25" s="64">
        <v>0</v>
      </c>
      <c r="N25" s="65">
        <v>0</v>
      </c>
      <c r="O25" s="32" t="s">
        <v>834</v>
      </c>
    </row>
    <row r="26" spans="2:15" ht="19.7" customHeight="1">
      <c r="B26" s="28" t="s">
        <v>834</v>
      </c>
      <c r="C26" s="29" t="s">
        <v>834</v>
      </c>
      <c r="D26" s="29" t="s">
        <v>834</v>
      </c>
      <c r="E26" s="31"/>
      <c r="F26" s="30" t="s">
        <v>834</v>
      </c>
      <c r="G26" s="37"/>
      <c r="H26" s="31"/>
      <c r="I26" s="37"/>
      <c r="J26" s="65">
        <v>0</v>
      </c>
      <c r="K26" s="37"/>
      <c r="L26" s="65">
        <v>0</v>
      </c>
      <c r="M26" s="37"/>
      <c r="N26" s="65">
        <v>0</v>
      </c>
      <c r="O26" s="32" t="s">
        <v>834</v>
      </c>
    </row>
    <row r="27" spans="2:15" ht="19.7" customHeight="1">
      <c r="B27" s="90" t="s">
        <v>278</v>
      </c>
      <c r="C27" s="62" t="s">
        <v>788</v>
      </c>
      <c r="D27" s="62" t="s">
        <v>303</v>
      </c>
      <c r="E27" s="31"/>
      <c r="F27" s="91" t="s">
        <v>296</v>
      </c>
      <c r="G27" s="37"/>
      <c r="H27" s="92">
        <v>12471</v>
      </c>
      <c r="I27" s="37"/>
      <c r="J27" s="92">
        <v>2580</v>
      </c>
      <c r="K27" s="37"/>
      <c r="L27" s="92">
        <v>9840</v>
      </c>
      <c r="M27" s="37"/>
      <c r="N27" s="92">
        <v>51</v>
      </c>
      <c r="O27" s="93" t="s">
        <v>834</v>
      </c>
    </row>
    <row r="28" spans="2:15" ht="19.7" customHeight="1">
      <c r="B28" s="28" t="s">
        <v>834</v>
      </c>
      <c r="C28" s="29" t="s">
        <v>788</v>
      </c>
      <c r="D28" s="29" t="s">
        <v>360</v>
      </c>
      <c r="E28" s="31">
        <v>1</v>
      </c>
      <c r="F28" s="30" t="s">
        <v>296</v>
      </c>
      <c r="G28" s="37">
        <v>11611</v>
      </c>
      <c r="H28" s="65">
        <v>11611</v>
      </c>
      <c r="I28" s="64">
        <v>1720</v>
      </c>
      <c r="J28" s="65">
        <v>1720</v>
      </c>
      <c r="K28" s="64">
        <v>9840</v>
      </c>
      <c r="L28" s="65">
        <v>9840</v>
      </c>
      <c r="M28" s="64">
        <v>51</v>
      </c>
      <c r="N28" s="65">
        <v>51</v>
      </c>
      <c r="O28" s="32" t="s">
        <v>242</v>
      </c>
    </row>
    <row r="29" spans="2:15" ht="19.7" customHeight="1">
      <c r="B29" s="28" t="s">
        <v>834</v>
      </c>
      <c r="C29" s="29" t="s">
        <v>411</v>
      </c>
      <c r="D29" s="29" t="s">
        <v>110</v>
      </c>
      <c r="E29" s="31">
        <v>50</v>
      </c>
      <c r="F29" s="30" t="s">
        <v>157</v>
      </c>
      <c r="G29" s="37">
        <v>1720</v>
      </c>
      <c r="H29" s="65">
        <v>860</v>
      </c>
      <c r="I29" s="37">
        <v>1720</v>
      </c>
      <c r="J29" s="65">
        <v>860</v>
      </c>
      <c r="K29" s="37"/>
      <c r="L29" s="65">
        <v>0</v>
      </c>
      <c r="M29" s="37"/>
      <c r="N29" s="65">
        <v>0</v>
      </c>
      <c r="O29" s="32" t="s">
        <v>834</v>
      </c>
    </row>
    <row r="30" spans="2:15" ht="19.7" customHeight="1">
      <c r="B30" s="33" t="s">
        <v>834</v>
      </c>
      <c r="C30" s="34" t="s">
        <v>834</v>
      </c>
      <c r="D30" s="34" t="s">
        <v>834</v>
      </c>
      <c r="E30" s="22"/>
      <c r="F30" s="35" t="s">
        <v>834</v>
      </c>
      <c r="G30" s="21"/>
      <c r="H30" s="22"/>
      <c r="I30" s="21"/>
      <c r="J30" s="74">
        <v>0</v>
      </c>
      <c r="K30" s="21"/>
      <c r="L30" s="74">
        <v>0</v>
      </c>
      <c r="M30" s="21"/>
      <c r="N30" s="74">
        <v>0</v>
      </c>
      <c r="O30" s="36" t="s">
        <v>834</v>
      </c>
    </row>
    <row r="31" spans="2:15" ht="19.7" customHeight="1">
      <c r="B31" s="90" t="s">
        <v>798</v>
      </c>
      <c r="C31" s="62" t="s">
        <v>788</v>
      </c>
      <c r="D31" s="62" t="s">
        <v>360</v>
      </c>
      <c r="E31" s="31"/>
      <c r="F31" s="91" t="s">
        <v>296</v>
      </c>
      <c r="G31" s="37"/>
      <c r="H31" s="92">
        <v>11611</v>
      </c>
      <c r="I31" s="37"/>
      <c r="J31" s="92">
        <v>1720</v>
      </c>
      <c r="K31" s="37"/>
      <c r="L31" s="92">
        <v>9840</v>
      </c>
      <c r="M31" s="37"/>
      <c r="N31" s="92">
        <v>51</v>
      </c>
      <c r="O31" s="93" t="s">
        <v>834</v>
      </c>
    </row>
    <row r="32" spans="2:15" ht="19.7" customHeight="1">
      <c r="B32" s="28" t="s">
        <v>834</v>
      </c>
      <c r="C32" s="29" t="s">
        <v>317</v>
      </c>
      <c r="D32" s="29" t="s">
        <v>409</v>
      </c>
      <c r="E32" s="94">
        <v>1.05</v>
      </c>
      <c r="F32" s="30" t="s">
        <v>296</v>
      </c>
      <c r="G32" s="37">
        <v>9170</v>
      </c>
      <c r="H32" s="65">
        <v>9628</v>
      </c>
      <c r="I32" s="64">
        <v>0</v>
      </c>
      <c r="J32" s="65">
        <v>0</v>
      </c>
      <c r="K32" s="64">
        <v>9170</v>
      </c>
      <c r="L32" s="65">
        <v>9628</v>
      </c>
      <c r="M32" s="64">
        <v>0</v>
      </c>
      <c r="N32" s="65">
        <v>0</v>
      </c>
      <c r="O32" s="32" t="s">
        <v>834</v>
      </c>
    </row>
    <row r="33" spans="2:15" ht="19.7" customHeight="1">
      <c r="B33" s="28" t="s">
        <v>834</v>
      </c>
      <c r="C33" s="29" t="s">
        <v>39</v>
      </c>
      <c r="D33" s="29" t="s">
        <v>424</v>
      </c>
      <c r="E33" s="31">
        <v>2</v>
      </c>
      <c r="F33" s="30" t="s">
        <v>212</v>
      </c>
      <c r="G33" s="37">
        <v>106</v>
      </c>
      <c r="H33" s="65">
        <v>212</v>
      </c>
      <c r="I33" s="64">
        <v>0</v>
      </c>
      <c r="J33" s="65">
        <v>0</v>
      </c>
      <c r="K33" s="64">
        <v>106</v>
      </c>
      <c r="L33" s="65">
        <v>212</v>
      </c>
      <c r="M33" s="64">
        <v>0</v>
      </c>
      <c r="N33" s="65">
        <v>0</v>
      </c>
      <c r="O33" s="32" t="s">
        <v>834</v>
      </c>
    </row>
    <row r="34" spans="2:15" ht="19.7" customHeight="1">
      <c r="B34" s="28" t="s">
        <v>834</v>
      </c>
      <c r="C34" s="29" t="s">
        <v>54</v>
      </c>
      <c r="D34" s="29" t="s">
        <v>834</v>
      </c>
      <c r="E34" s="94">
        <v>0.01</v>
      </c>
      <c r="F34" s="30" t="s">
        <v>767</v>
      </c>
      <c r="G34" s="37">
        <v>172068</v>
      </c>
      <c r="H34" s="65">
        <v>1720</v>
      </c>
      <c r="I34" s="64">
        <v>172068</v>
      </c>
      <c r="J34" s="65">
        <v>1720</v>
      </c>
      <c r="K34" s="64">
        <v>0</v>
      </c>
      <c r="L34" s="65">
        <v>0</v>
      </c>
      <c r="M34" s="64">
        <v>0</v>
      </c>
      <c r="N34" s="65">
        <v>0</v>
      </c>
      <c r="O34" s="32" t="s">
        <v>834</v>
      </c>
    </row>
    <row r="35" spans="2:15" ht="19.7" customHeight="1">
      <c r="B35" s="28" t="s">
        <v>834</v>
      </c>
      <c r="C35" s="29" t="s">
        <v>779</v>
      </c>
      <c r="D35" s="29" t="s">
        <v>110</v>
      </c>
      <c r="E35" s="31">
        <v>3</v>
      </c>
      <c r="F35" s="30" t="s">
        <v>157</v>
      </c>
      <c r="G35" s="37">
        <v>1720</v>
      </c>
      <c r="H35" s="65">
        <v>51</v>
      </c>
      <c r="I35" s="37"/>
      <c r="J35" s="65">
        <v>0</v>
      </c>
      <c r="K35" s="37"/>
      <c r="L35" s="65">
        <v>0</v>
      </c>
      <c r="M35" s="37">
        <v>1720</v>
      </c>
      <c r="N35" s="65">
        <v>51</v>
      </c>
      <c r="O35" s="32" t="s">
        <v>834</v>
      </c>
    </row>
    <row r="36" spans="2:15" ht="19.7" customHeight="1">
      <c r="B36" s="28" t="s">
        <v>834</v>
      </c>
      <c r="C36" s="29" t="s">
        <v>834</v>
      </c>
      <c r="D36" s="29" t="s">
        <v>834</v>
      </c>
      <c r="E36" s="31"/>
      <c r="F36" s="30" t="s">
        <v>834</v>
      </c>
      <c r="G36" s="37"/>
      <c r="H36" s="31"/>
      <c r="I36" s="37"/>
      <c r="J36" s="65">
        <v>0</v>
      </c>
      <c r="K36" s="37"/>
      <c r="L36" s="65">
        <v>0</v>
      </c>
      <c r="M36" s="37"/>
      <c r="N36" s="65">
        <v>0</v>
      </c>
      <c r="O36" s="32" t="s">
        <v>834</v>
      </c>
    </row>
    <row r="37" spans="2:15" ht="19.7" customHeight="1">
      <c r="B37" s="90" t="s">
        <v>255</v>
      </c>
      <c r="C37" s="62" t="s">
        <v>398</v>
      </c>
      <c r="D37" s="62" t="s">
        <v>530</v>
      </c>
      <c r="E37" s="31"/>
      <c r="F37" s="91" t="s">
        <v>748</v>
      </c>
      <c r="G37" s="37"/>
      <c r="H37" s="92">
        <v>973959</v>
      </c>
      <c r="I37" s="37"/>
      <c r="J37" s="92">
        <v>553537</v>
      </c>
      <c r="K37" s="37"/>
      <c r="L37" s="92">
        <v>244588</v>
      </c>
      <c r="M37" s="37"/>
      <c r="N37" s="92">
        <v>175834</v>
      </c>
      <c r="O37" s="93" t="s">
        <v>834</v>
      </c>
    </row>
    <row r="38" spans="2:15" ht="19.7" customHeight="1">
      <c r="B38" s="28" t="s">
        <v>834</v>
      </c>
      <c r="C38" s="29" t="s">
        <v>398</v>
      </c>
      <c r="D38" s="29" t="s">
        <v>613</v>
      </c>
      <c r="E38" s="31">
        <v>1</v>
      </c>
      <c r="F38" s="30" t="s">
        <v>748</v>
      </c>
      <c r="G38" s="37">
        <v>789447</v>
      </c>
      <c r="H38" s="65">
        <v>789447</v>
      </c>
      <c r="I38" s="64" t="s">
        <v>1258</v>
      </c>
      <c r="J38" s="65">
        <v>369025</v>
      </c>
      <c r="K38" s="64" t="s">
        <v>1259</v>
      </c>
      <c r="L38" s="65">
        <v>244588</v>
      </c>
      <c r="M38" s="64" t="s">
        <v>1260</v>
      </c>
      <c r="N38" s="65">
        <v>175834</v>
      </c>
      <c r="O38" s="32" t="s">
        <v>176</v>
      </c>
    </row>
    <row r="39" spans="2:15" ht="19.7" customHeight="1">
      <c r="B39" s="28" t="s">
        <v>834</v>
      </c>
      <c r="C39" s="29" t="s">
        <v>411</v>
      </c>
      <c r="D39" s="29" t="s">
        <v>110</v>
      </c>
      <c r="E39" s="31">
        <v>50</v>
      </c>
      <c r="F39" s="30" t="s">
        <v>157</v>
      </c>
      <c r="G39" s="37">
        <v>369025</v>
      </c>
      <c r="H39" s="65">
        <v>184512</v>
      </c>
      <c r="I39" s="37">
        <v>369025</v>
      </c>
      <c r="J39" s="65">
        <v>184512</v>
      </c>
      <c r="K39" s="37"/>
      <c r="L39" s="65">
        <v>0</v>
      </c>
      <c r="M39" s="37"/>
      <c r="N39" s="65">
        <v>0</v>
      </c>
      <c r="O39" s="32" t="s">
        <v>834</v>
      </c>
    </row>
    <row r="40" spans="2:15" ht="19.7" customHeight="1">
      <c r="B40" s="28" t="s">
        <v>834</v>
      </c>
      <c r="C40" s="29" t="s">
        <v>834</v>
      </c>
      <c r="D40" s="29" t="s">
        <v>834</v>
      </c>
      <c r="E40" s="31"/>
      <c r="F40" s="30" t="s">
        <v>834</v>
      </c>
      <c r="G40" s="37"/>
      <c r="H40" s="31"/>
      <c r="I40" s="37"/>
      <c r="J40" s="65">
        <v>0</v>
      </c>
      <c r="K40" s="37"/>
      <c r="L40" s="65">
        <v>0</v>
      </c>
      <c r="M40" s="37"/>
      <c r="N40" s="65">
        <v>0</v>
      </c>
      <c r="O40" s="32" t="s">
        <v>834</v>
      </c>
    </row>
    <row r="41" spans="2:15" ht="19.7" customHeight="1">
      <c r="B41" s="90" t="s">
        <v>428</v>
      </c>
      <c r="C41" s="62" t="s">
        <v>597</v>
      </c>
      <c r="D41" s="62" t="s">
        <v>530</v>
      </c>
      <c r="E41" s="31"/>
      <c r="F41" s="91" t="s">
        <v>366</v>
      </c>
      <c r="G41" s="37"/>
      <c r="H41" s="92">
        <v>147875</v>
      </c>
      <c r="I41" s="37"/>
      <c r="J41" s="92">
        <v>63375</v>
      </c>
      <c r="K41" s="37"/>
      <c r="L41" s="92">
        <v>84500</v>
      </c>
      <c r="M41" s="37"/>
      <c r="N41" s="65">
        <v>0</v>
      </c>
      <c r="O41" s="93" t="s">
        <v>834</v>
      </c>
    </row>
    <row r="42" spans="2:15" ht="19.7" customHeight="1">
      <c r="B42" s="28" t="s">
        <v>834</v>
      </c>
      <c r="C42" s="29" t="s">
        <v>597</v>
      </c>
      <c r="D42" s="29" t="s">
        <v>399</v>
      </c>
      <c r="E42" s="31">
        <v>1</v>
      </c>
      <c r="F42" s="30" t="s">
        <v>366</v>
      </c>
      <c r="G42" s="37">
        <v>126750</v>
      </c>
      <c r="H42" s="65">
        <v>126750</v>
      </c>
      <c r="I42" s="64" t="s">
        <v>1261</v>
      </c>
      <c r="J42" s="65">
        <v>42250</v>
      </c>
      <c r="K42" s="64" t="s">
        <v>1262</v>
      </c>
      <c r="L42" s="65">
        <v>84500</v>
      </c>
      <c r="M42" s="64">
        <v>0</v>
      </c>
      <c r="N42" s="65">
        <v>0</v>
      </c>
      <c r="O42" s="32" t="s">
        <v>469</v>
      </c>
    </row>
    <row r="43" spans="2:15" ht="19.7" customHeight="1">
      <c r="B43" s="28" t="s">
        <v>834</v>
      </c>
      <c r="C43" s="29" t="s">
        <v>411</v>
      </c>
      <c r="D43" s="29" t="s">
        <v>110</v>
      </c>
      <c r="E43" s="31">
        <v>50</v>
      </c>
      <c r="F43" s="30" t="s">
        <v>157</v>
      </c>
      <c r="G43" s="37">
        <v>42250</v>
      </c>
      <c r="H43" s="65">
        <v>21125</v>
      </c>
      <c r="I43" s="37">
        <v>42250</v>
      </c>
      <c r="J43" s="65">
        <v>21125</v>
      </c>
      <c r="K43" s="37"/>
      <c r="L43" s="65">
        <v>0</v>
      </c>
      <c r="M43" s="37"/>
      <c r="N43" s="65">
        <v>0</v>
      </c>
      <c r="O43" s="32" t="s">
        <v>834</v>
      </c>
    </row>
    <row r="44" spans="2:15" ht="19.7" customHeight="1">
      <c r="B44" s="28" t="s">
        <v>834</v>
      </c>
      <c r="C44" s="29" t="s">
        <v>834</v>
      </c>
      <c r="D44" s="29" t="s">
        <v>834</v>
      </c>
      <c r="E44" s="31"/>
      <c r="F44" s="30" t="s">
        <v>834</v>
      </c>
      <c r="G44" s="37"/>
      <c r="H44" s="31"/>
      <c r="I44" s="37"/>
      <c r="J44" s="65">
        <v>0</v>
      </c>
      <c r="K44" s="37"/>
      <c r="L44" s="65">
        <v>0</v>
      </c>
      <c r="M44" s="37"/>
      <c r="N44" s="65">
        <v>0</v>
      </c>
      <c r="O44" s="32" t="s">
        <v>834</v>
      </c>
    </row>
    <row r="45" spans="2:15" ht="19.7" customHeight="1">
      <c r="B45" s="90" t="s">
        <v>99</v>
      </c>
      <c r="C45" s="62" t="s">
        <v>283</v>
      </c>
      <c r="D45" s="62" t="s">
        <v>623</v>
      </c>
      <c r="E45" s="95">
        <v>1</v>
      </c>
      <c r="F45" s="91" t="s">
        <v>665</v>
      </c>
      <c r="G45" s="37"/>
      <c r="H45" s="92">
        <v>212052</v>
      </c>
      <c r="I45" s="37"/>
      <c r="J45" s="65">
        <v>0</v>
      </c>
      <c r="K45" s="37"/>
      <c r="L45" s="65">
        <v>0</v>
      </c>
      <c r="M45" s="37"/>
      <c r="N45" s="92">
        <v>212052</v>
      </c>
      <c r="O45" s="93" t="s">
        <v>834</v>
      </c>
    </row>
    <row r="46" spans="2:15" ht="19.7" customHeight="1">
      <c r="B46" s="28" t="s">
        <v>834</v>
      </c>
      <c r="C46" s="29" t="s">
        <v>757</v>
      </c>
      <c r="D46" s="29" t="s">
        <v>459</v>
      </c>
      <c r="E46" s="31">
        <v>1</v>
      </c>
      <c r="F46" s="30" t="s">
        <v>521</v>
      </c>
      <c r="G46" s="37">
        <v>68390</v>
      </c>
      <c r="H46" s="65">
        <v>68390</v>
      </c>
      <c r="I46" s="37"/>
      <c r="J46" s="65">
        <v>0</v>
      </c>
      <c r="K46" s="37"/>
      <c r="L46" s="65">
        <v>0</v>
      </c>
      <c r="M46" s="37">
        <v>68390</v>
      </c>
      <c r="N46" s="65">
        <v>68390</v>
      </c>
      <c r="O46" s="32" t="s">
        <v>834</v>
      </c>
    </row>
    <row r="47" spans="2:15" ht="19.7" customHeight="1">
      <c r="B47" s="28" t="s">
        <v>834</v>
      </c>
      <c r="C47" s="29" t="s">
        <v>369</v>
      </c>
      <c r="D47" s="29" t="s">
        <v>459</v>
      </c>
      <c r="E47" s="31">
        <v>1</v>
      </c>
      <c r="F47" s="30" t="s">
        <v>521</v>
      </c>
      <c r="G47" s="37">
        <v>25062</v>
      </c>
      <c r="H47" s="65">
        <v>25062</v>
      </c>
      <c r="I47" s="37"/>
      <c r="J47" s="65">
        <v>0</v>
      </c>
      <c r="K47" s="37"/>
      <c r="L47" s="65">
        <v>0</v>
      </c>
      <c r="M47" s="37">
        <v>25062</v>
      </c>
      <c r="N47" s="65">
        <v>25062</v>
      </c>
      <c r="O47" s="32" t="s">
        <v>834</v>
      </c>
    </row>
    <row r="48" spans="2:15" ht="19.7" customHeight="1">
      <c r="B48" s="28" t="s">
        <v>834</v>
      </c>
      <c r="C48" s="29" t="s">
        <v>593</v>
      </c>
      <c r="D48" s="29" t="s">
        <v>459</v>
      </c>
      <c r="E48" s="31">
        <v>1</v>
      </c>
      <c r="F48" s="30" t="s">
        <v>521</v>
      </c>
      <c r="G48" s="37">
        <v>118600</v>
      </c>
      <c r="H48" s="65">
        <v>118600</v>
      </c>
      <c r="I48" s="37"/>
      <c r="J48" s="65">
        <v>0</v>
      </c>
      <c r="K48" s="37"/>
      <c r="L48" s="65">
        <v>0</v>
      </c>
      <c r="M48" s="37">
        <v>118600</v>
      </c>
      <c r="N48" s="65">
        <v>118600</v>
      </c>
      <c r="O48" s="32" t="s">
        <v>834</v>
      </c>
    </row>
    <row r="49" spans="2:15" ht="19.7" customHeight="1">
      <c r="B49" s="28" t="s">
        <v>834</v>
      </c>
      <c r="C49" s="29" t="s">
        <v>834</v>
      </c>
      <c r="D49" s="29" t="s">
        <v>834</v>
      </c>
      <c r="E49" s="31"/>
      <c r="F49" s="30" t="s">
        <v>834</v>
      </c>
      <c r="G49" s="37"/>
      <c r="H49" s="31"/>
      <c r="I49" s="37"/>
      <c r="J49" s="65">
        <v>0</v>
      </c>
      <c r="K49" s="37"/>
      <c r="L49" s="65">
        <v>0</v>
      </c>
      <c r="M49" s="37"/>
      <c r="N49" s="65">
        <v>0</v>
      </c>
      <c r="O49" s="32" t="s">
        <v>834</v>
      </c>
    </row>
    <row r="50" spans="2:15" ht="19.7" customHeight="1">
      <c r="B50" s="90" t="s">
        <v>523</v>
      </c>
      <c r="C50" s="62" t="s">
        <v>438</v>
      </c>
      <c r="D50" s="62" t="s">
        <v>33</v>
      </c>
      <c r="E50" s="31"/>
      <c r="F50" s="91" t="s">
        <v>596</v>
      </c>
      <c r="G50" s="37"/>
      <c r="H50" s="92">
        <v>444207</v>
      </c>
      <c r="I50" s="37"/>
      <c r="J50" s="92">
        <v>154083</v>
      </c>
      <c r="K50" s="37"/>
      <c r="L50" s="92">
        <v>286620</v>
      </c>
      <c r="M50" s="37"/>
      <c r="N50" s="92">
        <v>3504</v>
      </c>
      <c r="O50" s="93" t="s">
        <v>834</v>
      </c>
    </row>
    <row r="51" spans="2:15" ht="19.7" customHeight="1">
      <c r="B51" s="28" t="s">
        <v>834</v>
      </c>
      <c r="C51" s="29" t="s">
        <v>455</v>
      </c>
      <c r="D51" s="29" t="s">
        <v>834</v>
      </c>
      <c r="E51" s="31">
        <v>1</v>
      </c>
      <c r="F51" s="30" t="s">
        <v>596</v>
      </c>
      <c r="G51" s="37">
        <v>6158</v>
      </c>
      <c r="H51" s="65">
        <v>6158</v>
      </c>
      <c r="I51" s="64">
        <v>5702</v>
      </c>
      <c r="J51" s="65">
        <v>5702</v>
      </c>
      <c r="K51" s="64">
        <v>0</v>
      </c>
      <c r="L51" s="65">
        <v>0</v>
      </c>
      <c r="M51" s="64">
        <v>456</v>
      </c>
      <c r="N51" s="65">
        <v>456</v>
      </c>
      <c r="O51" s="32" t="s">
        <v>74</v>
      </c>
    </row>
    <row r="52" spans="2:15" ht="19.7" customHeight="1">
      <c r="B52" s="28" t="s">
        <v>834</v>
      </c>
      <c r="C52" s="29" t="s">
        <v>602</v>
      </c>
      <c r="D52" s="29" t="s">
        <v>834</v>
      </c>
      <c r="E52" s="31">
        <v>1</v>
      </c>
      <c r="F52" s="30" t="s">
        <v>596</v>
      </c>
      <c r="G52" s="37">
        <v>4657</v>
      </c>
      <c r="H52" s="65">
        <v>4657</v>
      </c>
      <c r="I52" s="64">
        <v>4522</v>
      </c>
      <c r="J52" s="65">
        <v>4522</v>
      </c>
      <c r="K52" s="64">
        <v>0</v>
      </c>
      <c r="L52" s="65">
        <v>0</v>
      </c>
      <c r="M52" s="64">
        <v>135</v>
      </c>
      <c r="N52" s="65">
        <v>135</v>
      </c>
      <c r="O52" s="32" t="s">
        <v>562</v>
      </c>
    </row>
    <row r="53" spans="2:15" ht="19.7" customHeight="1">
      <c r="B53" s="28" t="s">
        <v>834</v>
      </c>
      <c r="C53" s="29" t="s">
        <v>743</v>
      </c>
      <c r="D53" s="29" t="s">
        <v>834</v>
      </c>
      <c r="E53" s="31">
        <v>1</v>
      </c>
      <c r="F53" s="30" t="s">
        <v>596</v>
      </c>
      <c r="G53" s="37">
        <v>3594</v>
      </c>
      <c r="H53" s="65">
        <v>3594</v>
      </c>
      <c r="I53" s="64">
        <v>3490</v>
      </c>
      <c r="J53" s="65">
        <v>3490</v>
      </c>
      <c r="K53" s="64">
        <v>0</v>
      </c>
      <c r="L53" s="65">
        <v>0</v>
      </c>
      <c r="M53" s="64">
        <v>104</v>
      </c>
      <c r="N53" s="65">
        <v>104</v>
      </c>
      <c r="O53" s="32" t="s">
        <v>56</v>
      </c>
    </row>
    <row r="54" spans="2:15" ht="19.7" customHeight="1">
      <c r="B54" s="28" t="s">
        <v>834</v>
      </c>
      <c r="C54" s="29" t="s">
        <v>357</v>
      </c>
      <c r="D54" s="29" t="s">
        <v>769</v>
      </c>
      <c r="E54" s="31">
        <v>1</v>
      </c>
      <c r="F54" s="30" t="s">
        <v>596</v>
      </c>
      <c r="G54" s="37">
        <v>5596</v>
      </c>
      <c r="H54" s="65">
        <v>5596</v>
      </c>
      <c r="I54" s="64">
        <v>2676</v>
      </c>
      <c r="J54" s="65">
        <v>2676</v>
      </c>
      <c r="K54" s="64">
        <v>2920</v>
      </c>
      <c r="L54" s="65">
        <v>2920</v>
      </c>
      <c r="M54" s="64">
        <v>0</v>
      </c>
      <c r="N54" s="65">
        <v>0</v>
      </c>
      <c r="O54" s="32" t="s">
        <v>528</v>
      </c>
    </row>
    <row r="55" spans="2:15" ht="19.7" customHeight="1">
      <c r="B55" s="28" t="s">
        <v>834</v>
      </c>
      <c r="C55" s="29" t="s">
        <v>631</v>
      </c>
      <c r="D55" s="29" t="s">
        <v>647</v>
      </c>
      <c r="E55" s="31">
        <v>105</v>
      </c>
      <c r="F55" s="30" t="s">
        <v>477</v>
      </c>
      <c r="G55" s="37">
        <v>2500</v>
      </c>
      <c r="H55" s="65">
        <v>262500</v>
      </c>
      <c r="I55" s="64">
        <v>0</v>
      </c>
      <c r="J55" s="65">
        <v>0</v>
      </c>
      <c r="K55" s="64">
        <v>2500</v>
      </c>
      <c r="L55" s="65">
        <v>262500</v>
      </c>
      <c r="M55" s="64">
        <v>0</v>
      </c>
      <c r="N55" s="65">
        <v>0</v>
      </c>
      <c r="O55" s="32" t="s">
        <v>834</v>
      </c>
    </row>
    <row r="56" spans="2:15" ht="19.7" customHeight="1">
      <c r="B56" s="33" t="s">
        <v>834</v>
      </c>
      <c r="C56" s="34" t="s">
        <v>515</v>
      </c>
      <c r="D56" s="34" t="s">
        <v>834</v>
      </c>
      <c r="E56" s="96">
        <v>0.05</v>
      </c>
      <c r="F56" s="35" t="s">
        <v>596</v>
      </c>
      <c r="G56" s="21">
        <v>1231145</v>
      </c>
      <c r="H56" s="74">
        <v>61555</v>
      </c>
      <c r="I56" s="70">
        <v>1131819</v>
      </c>
      <c r="J56" s="74">
        <v>56590</v>
      </c>
      <c r="K56" s="70">
        <v>55012</v>
      </c>
      <c r="L56" s="74">
        <v>2750</v>
      </c>
      <c r="M56" s="70">
        <v>44314</v>
      </c>
      <c r="N56" s="74">
        <v>2215</v>
      </c>
      <c r="O56" s="36" t="s">
        <v>44</v>
      </c>
    </row>
    <row r="57" spans="2:15" ht="19.7" customHeight="1">
      <c r="B57" s="28" t="s">
        <v>834</v>
      </c>
      <c r="C57" s="29" t="s">
        <v>727</v>
      </c>
      <c r="D57" s="29" t="s">
        <v>797</v>
      </c>
      <c r="E57" s="31">
        <v>1</v>
      </c>
      <c r="F57" s="30" t="s">
        <v>596</v>
      </c>
      <c r="G57" s="37">
        <v>48786</v>
      </c>
      <c r="H57" s="65">
        <v>48786</v>
      </c>
      <c r="I57" s="64">
        <v>29742</v>
      </c>
      <c r="J57" s="65">
        <v>29742</v>
      </c>
      <c r="K57" s="64">
        <v>18450</v>
      </c>
      <c r="L57" s="65">
        <v>18450</v>
      </c>
      <c r="M57" s="64">
        <v>594</v>
      </c>
      <c r="N57" s="65">
        <v>594</v>
      </c>
      <c r="O57" s="32" t="s">
        <v>502</v>
      </c>
    </row>
    <row r="58" spans="2:15" ht="19.7" customHeight="1">
      <c r="B58" s="28" t="s">
        <v>834</v>
      </c>
      <c r="C58" s="29" t="s">
        <v>411</v>
      </c>
      <c r="D58" s="29" t="s">
        <v>110</v>
      </c>
      <c r="E58" s="31">
        <v>50</v>
      </c>
      <c r="F58" s="30" t="s">
        <v>157</v>
      </c>
      <c r="G58" s="37">
        <v>102722</v>
      </c>
      <c r="H58" s="65">
        <v>51361</v>
      </c>
      <c r="I58" s="37">
        <v>102722</v>
      </c>
      <c r="J58" s="65">
        <v>51361</v>
      </c>
      <c r="K58" s="37"/>
      <c r="L58" s="65">
        <v>0</v>
      </c>
      <c r="M58" s="37"/>
      <c r="N58" s="65">
        <v>0</v>
      </c>
      <c r="O58" s="32" t="s">
        <v>834</v>
      </c>
    </row>
    <row r="59" spans="2:15" ht="19.7" customHeight="1">
      <c r="B59" s="28" t="s">
        <v>834</v>
      </c>
      <c r="C59" s="29" t="s">
        <v>834</v>
      </c>
      <c r="D59" s="29" t="s">
        <v>834</v>
      </c>
      <c r="E59" s="31"/>
      <c r="F59" s="30" t="s">
        <v>834</v>
      </c>
      <c r="G59" s="37"/>
      <c r="H59" s="31"/>
      <c r="I59" s="37"/>
      <c r="J59" s="65">
        <v>0</v>
      </c>
      <c r="K59" s="37"/>
      <c r="L59" s="65">
        <v>0</v>
      </c>
      <c r="M59" s="37"/>
      <c r="N59" s="65">
        <v>0</v>
      </c>
      <c r="O59" s="32" t="s">
        <v>834</v>
      </c>
    </row>
    <row r="60" spans="2:15" ht="19.7" customHeight="1">
      <c r="B60" s="90" t="s">
        <v>41</v>
      </c>
      <c r="C60" s="62" t="s">
        <v>455</v>
      </c>
      <c r="D60" s="62" t="s">
        <v>834</v>
      </c>
      <c r="E60" s="31"/>
      <c r="F60" s="91" t="s">
        <v>596</v>
      </c>
      <c r="G60" s="37"/>
      <c r="H60" s="92">
        <v>6158</v>
      </c>
      <c r="I60" s="37"/>
      <c r="J60" s="92">
        <v>5702</v>
      </c>
      <c r="K60" s="37"/>
      <c r="L60" s="65">
        <v>0</v>
      </c>
      <c r="M60" s="37"/>
      <c r="N60" s="92">
        <v>456</v>
      </c>
      <c r="O60" s="93" t="s">
        <v>834</v>
      </c>
    </row>
    <row r="61" spans="2:15" ht="19.7" customHeight="1">
      <c r="B61" s="28" t="s">
        <v>834</v>
      </c>
      <c r="C61" s="29" t="s">
        <v>43</v>
      </c>
      <c r="D61" s="29" t="s">
        <v>834</v>
      </c>
      <c r="E61" s="94">
        <v>0.01</v>
      </c>
      <c r="F61" s="30" t="s">
        <v>767</v>
      </c>
      <c r="G61" s="37">
        <v>226122</v>
      </c>
      <c r="H61" s="65">
        <v>2261</v>
      </c>
      <c r="I61" s="64">
        <v>226122</v>
      </c>
      <c r="J61" s="65">
        <v>2261</v>
      </c>
      <c r="K61" s="64">
        <v>0</v>
      </c>
      <c r="L61" s="65">
        <v>0</v>
      </c>
      <c r="M61" s="64">
        <v>0</v>
      </c>
      <c r="N61" s="65">
        <v>0</v>
      </c>
      <c r="O61" s="32" t="s">
        <v>834</v>
      </c>
    </row>
    <row r="62" spans="2:15" ht="19.7" customHeight="1">
      <c r="B62" s="28" t="s">
        <v>834</v>
      </c>
      <c r="C62" s="29" t="s">
        <v>54</v>
      </c>
      <c r="D62" s="29" t="s">
        <v>834</v>
      </c>
      <c r="E62" s="94">
        <v>0.02</v>
      </c>
      <c r="F62" s="30" t="s">
        <v>767</v>
      </c>
      <c r="G62" s="37">
        <v>172068</v>
      </c>
      <c r="H62" s="65">
        <v>3441</v>
      </c>
      <c r="I62" s="64">
        <v>172068</v>
      </c>
      <c r="J62" s="65">
        <v>3441</v>
      </c>
      <c r="K62" s="64">
        <v>0</v>
      </c>
      <c r="L62" s="65">
        <v>0</v>
      </c>
      <c r="M62" s="64">
        <v>0</v>
      </c>
      <c r="N62" s="65">
        <v>0</v>
      </c>
      <c r="O62" s="32" t="s">
        <v>834</v>
      </c>
    </row>
    <row r="63" spans="2:15" ht="19.7" customHeight="1">
      <c r="B63" s="28" t="s">
        <v>834</v>
      </c>
      <c r="C63" s="29" t="s">
        <v>779</v>
      </c>
      <c r="D63" s="29" t="s">
        <v>110</v>
      </c>
      <c r="E63" s="31">
        <v>8</v>
      </c>
      <c r="F63" s="30" t="s">
        <v>157</v>
      </c>
      <c r="G63" s="37">
        <v>5702</v>
      </c>
      <c r="H63" s="65">
        <v>456</v>
      </c>
      <c r="I63" s="37"/>
      <c r="J63" s="65">
        <v>0</v>
      </c>
      <c r="K63" s="37"/>
      <c r="L63" s="65">
        <v>0</v>
      </c>
      <c r="M63" s="37">
        <v>5702</v>
      </c>
      <c r="N63" s="65">
        <v>456</v>
      </c>
      <c r="O63" s="32" t="s">
        <v>834</v>
      </c>
    </row>
    <row r="64" spans="2:15" ht="19.7" customHeight="1">
      <c r="B64" s="28" t="s">
        <v>834</v>
      </c>
      <c r="C64" s="29" t="s">
        <v>834</v>
      </c>
      <c r="D64" s="29" t="s">
        <v>834</v>
      </c>
      <c r="E64" s="31"/>
      <c r="F64" s="30" t="s">
        <v>834</v>
      </c>
      <c r="G64" s="37"/>
      <c r="H64" s="31"/>
      <c r="I64" s="37"/>
      <c r="J64" s="65">
        <v>0</v>
      </c>
      <c r="K64" s="37"/>
      <c r="L64" s="65">
        <v>0</v>
      </c>
      <c r="M64" s="37"/>
      <c r="N64" s="65">
        <v>0</v>
      </c>
      <c r="O64" s="32" t="s">
        <v>834</v>
      </c>
    </row>
    <row r="65" spans="2:15" ht="19.7" customHeight="1">
      <c r="B65" s="90" t="s">
        <v>512</v>
      </c>
      <c r="C65" s="62" t="s">
        <v>602</v>
      </c>
      <c r="D65" s="62" t="s">
        <v>834</v>
      </c>
      <c r="E65" s="31"/>
      <c r="F65" s="91" t="s">
        <v>596</v>
      </c>
      <c r="G65" s="37"/>
      <c r="H65" s="92">
        <v>4657</v>
      </c>
      <c r="I65" s="37"/>
      <c r="J65" s="92">
        <v>4522</v>
      </c>
      <c r="K65" s="37"/>
      <c r="L65" s="65">
        <v>0</v>
      </c>
      <c r="M65" s="37"/>
      <c r="N65" s="92">
        <v>135</v>
      </c>
      <c r="O65" s="93" t="s">
        <v>834</v>
      </c>
    </row>
    <row r="66" spans="2:15" ht="19.7" customHeight="1">
      <c r="B66" s="28" t="s">
        <v>834</v>
      </c>
      <c r="C66" s="29" t="s">
        <v>43</v>
      </c>
      <c r="D66" s="29" t="s">
        <v>834</v>
      </c>
      <c r="E66" s="94">
        <v>0.02</v>
      </c>
      <c r="F66" s="30" t="s">
        <v>767</v>
      </c>
      <c r="G66" s="37">
        <v>226122</v>
      </c>
      <c r="H66" s="65">
        <v>4522</v>
      </c>
      <c r="I66" s="64">
        <v>226122</v>
      </c>
      <c r="J66" s="65">
        <v>4522</v>
      </c>
      <c r="K66" s="64">
        <v>0</v>
      </c>
      <c r="L66" s="65">
        <v>0</v>
      </c>
      <c r="M66" s="64">
        <v>0</v>
      </c>
      <c r="N66" s="65">
        <v>0</v>
      </c>
      <c r="O66" s="32" t="s">
        <v>834</v>
      </c>
    </row>
    <row r="67" spans="2:15" ht="19.7" customHeight="1">
      <c r="B67" s="28" t="s">
        <v>834</v>
      </c>
      <c r="C67" s="29" t="s">
        <v>446</v>
      </c>
      <c r="D67" s="29" t="s">
        <v>110</v>
      </c>
      <c r="E67" s="31">
        <v>3</v>
      </c>
      <c r="F67" s="30" t="s">
        <v>157</v>
      </c>
      <c r="G67" s="37">
        <v>4522</v>
      </c>
      <c r="H67" s="65">
        <v>135</v>
      </c>
      <c r="I67" s="37"/>
      <c r="J67" s="65">
        <v>0</v>
      </c>
      <c r="K67" s="37"/>
      <c r="L67" s="65">
        <v>0</v>
      </c>
      <c r="M67" s="37">
        <v>4522</v>
      </c>
      <c r="N67" s="65">
        <v>135</v>
      </c>
      <c r="O67" s="32" t="s">
        <v>834</v>
      </c>
    </row>
    <row r="68" spans="2:15" ht="19.7" customHeight="1">
      <c r="B68" s="28" t="s">
        <v>834</v>
      </c>
      <c r="C68" s="29" t="s">
        <v>834</v>
      </c>
      <c r="D68" s="29" t="s">
        <v>834</v>
      </c>
      <c r="E68" s="31"/>
      <c r="F68" s="30" t="s">
        <v>834</v>
      </c>
      <c r="G68" s="37"/>
      <c r="H68" s="31"/>
      <c r="I68" s="37"/>
      <c r="J68" s="65">
        <v>0</v>
      </c>
      <c r="K68" s="37"/>
      <c r="L68" s="65">
        <v>0</v>
      </c>
      <c r="M68" s="37"/>
      <c r="N68" s="65">
        <v>0</v>
      </c>
      <c r="O68" s="32" t="s">
        <v>834</v>
      </c>
    </row>
    <row r="69" spans="2:15" ht="19.7" customHeight="1">
      <c r="B69" s="90" t="s">
        <v>19</v>
      </c>
      <c r="C69" s="62" t="s">
        <v>743</v>
      </c>
      <c r="D69" s="62" t="s">
        <v>834</v>
      </c>
      <c r="E69" s="31"/>
      <c r="F69" s="91" t="s">
        <v>596</v>
      </c>
      <c r="G69" s="37"/>
      <c r="H69" s="92">
        <v>3594</v>
      </c>
      <c r="I69" s="37"/>
      <c r="J69" s="92">
        <v>3490</v>
      </c>
      <c r="K69" s="37"/>
      <c r="L69" s="65">
        <v>0</v>
      </c>
      <c r="M69" s="37"/>
      <c r="N69" s="92">
        <v>104</v>
      </c>
      <c r="O69" s="93" t="s">
        <v>834</v>
      </c>
    </row>
    <row r="70" spans="2:15" ht="19.7" customHeight="1">
      <c r="B70" s="28" t="s">
        <v>834</v>
      </c>
      <c r="C70" s="29" t="s">
        <v>667</v>
      </c>
      <c r="D70" s="29" t="s">
        <v>834</v>
      </c>
      <c r="E70" s="94">
        <v>0.01</v>
      </c>
      <c r="F70" s="30" t="s">
        <v>767</v>
      </c>
      <c r="G70" s="37">
        <v>263017</v>
      </c>
      <c r="H70" s="65">
        <v>2630</v>
      </c>
      <c r="I70" s="64">
        <v>263017</v>
      </c>
      <c r="J70" s="65">
        <v>2630</v>
      </c>
      <c r="K70" s="64">
        <v>0</v>
      </c>
      <c r="L70" s="65">
        <v>0</v>
      </c>
      <c r="M70" s="64">
        <v>0</v>
      </c>
      <c r="N70" s="65">
        <v>0</v>
      </c>
      <c r="O70" s="32" t="s">
        <v>834</v>
      </c>
    </row>
    <row r="71" spans="2:15" ht="19.7" customHeight="1">
      <c r="B71" s="28" t="s">
        <v>834</v>
      </c>
      <c r="C71" s="29" t="s">
        <v>54</v>
      </c>
      <c r="D71" s="29" t="s">
        <v>834</v>
      </c>
      <c r="E71" s="94">
        <v>5.0000000000000001E-3</v>
      </c>
      <c r="F71" s="30" t="s">
        <v>767</v>
      </c>
      <c r="G71" s="37">
        <v>172068</v>
      </c>
      <c r="H71" s="65">
        <v>860</v>
      </c>
      <c r="I71" s="64">
        <v>172068</v>
      </c>
      <c r="J71" s="65">
        <v>860</v>
      </c>
      <c r="K71" s="64">
        <v>0</v>
      </c>
      <c r="L71" s="65">
        <v>0</v>
      </c>
      <c r="M71" s="64">
        <v>0</v>
      </c>
      <c r="N71" s="65">
        <v>0</v>
      </c>
      <c r="O71" s="32" t="s">
        <v>834</v>
      </c>
    </row>
    <row r="72" spans="2:15" ht="19.7" customHeight="1">
      <c r="B72" s="28" t="s">
        <v>834</v>
      </c>
      <c r="C72" s="29" t="s">
        <v>818</v>
      </c>
      <c r="D72" s="29" t="s">
        <v>110</v>
      </c>
      <c r="E72" s="31">
        <v>3</v>
      </c>
      <c r="F72" s="30" t="s">
        <v>157</v>
      </c>
      <c r="G72" s="37">
        <v>3490</v>
      </c>
      <c r="H72" s="65">
        <v>104</v>
      </c>
      <c r="I72" s="37"/>
      <c r="J72" s="65">
        <v>0</v>
      </c>
      <c r="K72" s="37"/>
      <c r="L72" s="65">
        <v>0</v>
      </c>
      <c r="M72" s="37">
        <v>3490</v>
      </c>
      <c r="N72" s="65">
        <v>104</v>
      </c>
      <c r="O72" s="32" t="s">
        <v>834</v>
      </c>
    </row>
    <row r="73" spans="2:15" ht="19.7" customHeight="1">
      <c r="B73" s="28" t="s">
        <v>834</v>
      </c>
      <c r="C73" s="29" t="s">
        <v>834</v>
      </c>
      <c r="D73" s="29" t="s">
        <v>834</v>
      </c>
      <c r="E73" s="31"/>
      <c r="F73" s="30" t="s">
        <v>834</v>
      </c>
      <c r="G73" s="37"/>
      <c r="H73" s="31"/>
      <c r="I73" s="37"/>
      <c r="J73" s="65">
        <v>0</v>
      </c>
      <c r="K73" s="37"/>
      <c r="L73" s="65">
        <v>0</v>
      </c>
      <c r="M73" s="37"/>
      <c r="N73" s="65">
        <v>0</v>
      </c>
      <c r="O73" s="32" t="s">
        <v>834</v>
      </c>
    </row>
    <row r="74" spans="2:15" ht="19.7" customHeight="1">
      <c r="B74" s="90" t="s">
        <v>592</v>
      </c>
      <c r="C74" s="62" t="s">
        <v>357</v>
      </c>
      <c r="D74" s="62" t="s">
        <v>769</v>
      </c>
      <c r="E74" s="31"/>
      <c r="F74" s="91" t="s">
        <v>596</v>
      </c>
      <c r="G74" s="37"/>
      <c r="H74" s="92">
        <v>5596</v>
      </c>
      <c r="I74" s="37"/>
      <c r="J74" s="92">
        <v>2676</v>
      </c>
      <c r="K74" s="37"/>
      <c r="L74" s="92">
        <v>2920</v>
      </c>
      <c r="M74" s="37"/>
      <c r="N74" s="65">
        <v>0</v>
      </c>
      <c r="O74" s="93" t="s">
        <v>834</v>
      </c>
    </row>
    <row r="75" spans="2:15" ht="19.7" customHeight="1">
      <c r="B75" s="28" t="s">
        <v>834</v>
      </c>
      <c r="C75" s="29" t="s">
        <v>323</v>
      </c>
      <c r="D75" s="29" t="s">
        <v>20</v>
      </c>
      <c r="E75" s="94">
        <v>0.1168</v>
      </c>
      <c r="F75" s="30" t="s">
        <v>477</v>
      </c>
      <c r="G75" s="37">
        <v>25000</v>
      </c>
      <c r="H75" s="65">
        <v>2920</v>
      </c>
      <c r="I75" s="64">
        <v>0</v>
      </c>
      <c r="J75" s="65">
        <v>0</v>
      </c>
      <c r="K75" s="64">
        <v>25000</v>
      </c>
      <c r="L75" s="65">
        <v>2920</v>
      </c>
      <c r="M75" s="64">
        <v>0</v>
      </c>
      <c r="N75" s="65">
        <v>0</v>
      </c>
      <c r="O75" s="32" t="s">
        <v>834</v>
      </c>
    </row>
    <row r="76" spans="2:15" ht="19.7" customHeight="1">
      <c r="B76" s="28" t="s">
        <v>834</v>
      </c>
      <c r="C76" s="29" t="s">
        <v>667</v>
      </c>
      <c r="D76" s="29" t="s">
        <v>834</v>
      </c>
      <c r="E76" s="94">
        <v>8.9999999999999993E-3</v>
      </c>
      <c r="F76" s="30" t="s">
        <v>767</v>
      </c>
      <c r="G76" s="37">
        <v>263017</v>
      </c>
      <c r="H76" s="65">
        <v>2367</v>
      </c>
      <c r="I76" s="64">
        <v>263017</v>
      </c>
      <c r="J76" s="65">
        <v>2367</v>
      </c>
      <c r="K76" s="64">
        <v>0</v>
      </c>
      <c r="L76" s="65">
        <v>0</v>
      </c>
      <c r="M76" s="64">
        <v>0</v>
      </c>
      <c r="N76" s="65">
        <v>0</v>
      </c>
      <c r="O76" s="32" t="s">
        <v>834</v>
      </c>
    </row>
    <row r="77" spans="2:15" ht="19.7" customHeight="1">
      <c r="B77" s="28" t="s">
        <v>834</v>
      </c>
      <c r="C77" s="29" t="s">
        <v>54</v>
      </c>
      <c r="D77" s="29" t="s">
        <v>834</v>
      </c>
      <c r="E77" s="94">
        <v>1.8E-3</v>
      </c>
      <c r="F77" s="30" t="s">
        <v>767</v>
      </c>
      <c r="G77" s="37">
        <v>172068</v>
      </c>
      <c r="H77" s="65">
        <v>309</v>
      </c>
      <c r="I77" s="64">
        <v>172068</v>
      </c>
      <c r="J77" s="65">
        <v>309</v>
      </c>
      <c r="K77" s="64">
        <v>0</v>
      </c>
      <c r="L77" s="65">
        <v>0</v>
      </c>
      <c r="M77" s="64">
        <v>0</v>
      </c>
      <c r="N77" s="65">
        <v>0</v>
      </c>
      <c r="O77" s="32" t="s">
        <v>834</v>
      </c>
    </row>
    <row r="78" spans="2:15" ht="19.7" customHeight="1">
      <c r="B78" s="28" t="s">
        <v>834</v>
      </c>
      <c r="C78" s="29" t="s">
        <v>834</v>
      </c>
      <c r="D78" s="29" t="s">
        <v>834</v>
      </c>
      <c r="E78" s="31"/>
      <c r="F78" s="30" t="s">
        <v>834</v>
      </c>
      <c r="G78" s="37"/>
      <c r="H78" s="31"/>
      <c r="I78" s="37"/>
      <c r="J78" s="65">
        <v>0</v>
      </c>
      <c r="K78" s="37"/>
      <c r="L78" s="65">
        <v>0</v>
      </c>
      <c r="M78" s="37"/>
      <c r="N78" s="65">
        <v>0</v>
      </c>
      <c r="O78" s="32" t="s">
        <v>834</v>
      </c>
    </row>
    <row r="79" spans="2:15" ht="19.7" customHeight="1">
      <c r="B79" s="90" t="s">
        <v>81</v>
      </c>
      <c r="C79" s="62" t="s">
        <v>515</v>
      </c>
      <c r="D79" s="62" t="s">
        <v>834</v>
      </c>
      <c r="E79" s="31"/>
      <c r="F79" s="91" t="s">
        <v>596</v>
      </c>
      <c r="G79" s="37"/>
      <c r="H79" s="92">
        <v>1231145</v>
      </c>
      <c r="I79" s="37"/>
      <c r="J79" s="92">
        <v>1131819</v>
      </c>
      <c r="K79" s="37"/>
      <c r="L79" s="92">
        <v>55012</v>
      </c>
      <c r="M79" s="37"/>
      <c r="N79" s="92">
        <v>44314</v>
      </c>
      <c r="O79" s="93" t="s">
        <v>834</v>
      </c>
    </row>
    <row r="80" spans="2:15" ht="19.7" customHeight="1">
      <c r="B80" s="28" t="s">
        <v>834</v>
      </c>
      <c r="C80" s="29" t="s">
        <v>672</v>
      </c>
      <c r="D80" s="29" t="s">
        <v>685</v>
      </c>
      <c r="E80" s="94">
        <v>3.8</v>
      </c>
      <c r="F80" s="30" t="s">
        <v>598</v>
      </c>
      <c r="G80" s="37">
        <v>43664</v>
      </c>
      <c r="H80" s="65">
        <v>165922</v>
      </c>
      <c r="I80" s="64">
        <v>36248</v>
      </c>
      <c r="J80" s="65">
        <v>137742</v>
      </c>
      <c r="K80" s="64">
        <v>0</v>
      </c>
      <c r="L80" s="65">
        <v>0</v>
      </c>
      <c r="M80" s="64">
        <v>7416</v>
      </c>
      <c r="N80" s="65">
        <v>28180</v>
      </c>
      <c r="O80" s="32" t="s">
        <v>834</v>
      </c>
    </row>
    <row r="81" spans="2:15" ht="19.7" customHeight="1">
      <c r="B81" s="28" t="s">
        <v>834</v>
      </c>
      <c r="C81" s="29" t="s">
        <v>80</v>
      </c>
      <c r="D81" s="29" t="s">
        <v>708</v>
      </c>
      <c r="E81" s="94">
        <v>3.8</v>
      </c>
      <c r="F81" s="30" t="s">
        <v>598</v>
      </c>
      <c r="G81" s="37">
        <v>54971</v>
      </c>
      <c r="H81" s="65">
        <v>208888</v>
      </c>
      <c r="I81" s="64">
        <v>36248</v>
      </c>
      <c r="J81" s="65">
        <v>137742</v>
      </c>
      <c r="K81" s="64">
        <v>14477</v>
      </c>
      <c r="L81" s="65">
        <v>55012</v>
      </c>
      <c r="M81" s="64">
        <v>4246</v>
      </c>
      <c r="N81" s="65">
        <v>16134</v>
      </c>
      <c r="O81" s="32" t="s">
        <v>834</v>
      </c>
    </row>
    <row r="82" spans="2:15" ht="19.7" customHeight="1">
      <c r="B82" s="33" t="s">
        <v>834</v>
      </c>
      <c r="C82" s="34" t="s">
        <v>43</v>
      </c>
      <c r="D82" s="34" t="s">
        <v>834</v>
      </c>
      <c r="E82" s="96">
        <v>0.48</v>
      </c>
      <c r="F82" s="35" t="s">
        <v>767</v>
      </c>
      <c r="G82" s="21">
        <v>226122</v>
      </c>
      <c r="H82" s="74">
        <v>108538</v>
      </c>
      <c r="I82" s="70">
        <v>226122</v>
      </c>
      <c r="J82" s="74">
        <v>108538</v>
      </c>
      <c r="K82" s="70">
        <v>0</v>
      </c>
      <c r="L82" s="74">
        <v>0</v>
      </c>
      <c r="M82" s="70">
        <v>0</v>
      </c>
      <c r="N82" s="74">
        <v>0</v>
      </c>
      <c r="O82" s="36" t="s">
        <v>834</v>
      </c>
    </row>
    <row r="83" spans="2:15" ht="19.7" customHeight="1">
      <c r="B83" s="28" t="s">
        <v>834</v>
      </c>
      <c r="C83" s="29" t="s">
        <v>54</v>
      </c>
      <c r="D83" s="29" t="s">
        <v>834</v>
      </c>
      <c r="E83" s="94">
        <v>0.96</v>
      </c>
      <c r="F83" s="30" t="s">
        <v>767</v>
      </c>
      <c r="G83" s="37">
        <v>172068</v>
      </c>
      <c r="H83" s="65">
        <v>165184</v>
      </c>
      <c r="I83" s="37">
        <v>172068</v>
      </c>
      <c r="J83" s="31">
        <v>165184</v>
      </c>
      <c r="K83" s="37"/>
      <c r="L83" s="31"/>
      <c r="M83" s="37"/>
      <c r="N83" s="31"/>
      <c r="O83" s="32" t="s">
        <v>834</v>
      </c>
    </row>
    <row r="84" spans="2:15" ht="19.7" customHeight="1">
      <c r="B84" s="28" t="s">
        <v>834</v>
      </c>
      <c r="C84" s="29" t="s">
        <v>414</v>
      </c>
      <c r="D84" s="29" t="s">
        <v>834</v>
      </c>
      <c r="E84" s="94">
        <v>0.48</v>
      </c>
      <c r="F84" s="30" t="s">
        <v>767</v>
      </c>
      <c r="G84" s="37">
        <v>173995</v>
      </c>
      <c r="H84" s="65">
        <v>83517</v>
      </c>
      <c r="I84" s="64">
        <v>173995</v>
      </c>
      <c r="J84" s="65">
        <v>83517</v>
      </c>
      <c r="K84" s="64">
        <v>0</v>
      </c>
      <c r="L84" s="65">
        <v>0</v>
      </c>
      <c r="M84" s="64">
        <v>0</v>
      </c>
      <c r="N84" s="65">
        <v>0</v>
      </c>
      <c r="O84" s="32" t="s">
        <v>834</v>
      </c>
    </row>
    <row r="85" spans="2:15" ht="19.7" customHeight="1">
      <c r="B85" s="28" t="s">
        <v>834</v>
      </c>
      <c r="C85" s="29" t="s">
        <v>307</v>
      </c>
      <c r="D85" s="29" t="s">
        <v>834</v>
      </c>
      <c r="E85" s="94">
        <v>1.8</v>
      </c>
      <c r="F85" s="30" t="s">
        <v>767</v>
      </c>
      <c r="G85" s="37">
        <v>277276</v>
      </c>
      <c r="H85" s="65">
        <v>499096</v>
      </c>
      <c r="I85" s="64">
        <v>277276</v>
      </c>
      <c r="J85" s="65">
        <v>499096</v>
      </c>
      <c r="K85" s="64">
        <v>0</v>
      </c>
      <c r="L85" s="65">
        <v>0</v>
      </c>
      <c r="M85" s="64">
        <v>0</v>
      </c>
      <c r="N85" s="65">
        <v>0</v>
      </c>
      <c r="O85" s="32" t="s">
        <v>834</v>
      </c>
    </row>
    <row r="86" spans="2:15" ht="19.7" customHeight="1">
      <c r="B86" s="28" t="s">
        <v>834</v>
      </c>
      <c r="C86" s="29" t="s">
        <v>834</v>
      </c>
      <c r="D86" s="29" t="s">
        <v>834</v>
      </c>
      <c r="E86" s="31"/>
      <c r="F86" s="30" t="s">
        <v>834</v>
      </c>
      <c r="G86" s="37"/>
      <c r="H86" s="31"/>
      <c r="I86" s="37"/>
      <c r="J86" s="65">
        <v>0</v>
      </c>
      <c r="K86" s="37"/>
      <c r="L86" s="65">
        <v>0</v>
      </c>
      <c r="M86" s="37"/>
      <c r="N86" s="65">
        <v>0</v>
      </c>
      <c r="O86" s="32" t="s">
        <v>834</v>
      </c>
    </row>
    <row r="87" spans="2:15" ht="19.7" customHeight="1">
      <c r="B87" s="90" t="s">
        <v>556</v>
      </c>
      <c r="C87" s="62" t="s">
        <v>727</v>
      </c>
      <c r="D87" s="62" t="s">
        <v>797</v>
      </c>
      <c r="E87" s="31"/>
      <c r="F87" s="91" t="s">
        <v>596</v>
      </c>
      <c r="G87" s="37"/>
      <c r="H87" s="92">
        <v>48786</v>
      </c>
      <c r="I87" s="37"/>
      <c r="J87" s="92">
        <v>29742</v>
      </c>
      <c r="K87" s="37"/>
      <c r="L87" s="92">
        <v>18450</v>
      </c>
      <c r="M87" s="37"/>
      <c r="N87" s="92">
        <v>594</v>
      </c>
      <c r="O87" s="93" t="s">
        <v>834</v>
      </c>
    </row>
    <row r="88" spans="2:15" ht="19.7" customHeight="1">
      <c r="B88" s="28" t="s">
        <v>834</v>
      </c>
      <c r="C88" s="29" t="s">
        <v>359</v>
      </c>
      <c r="D88" s="29" t="s">
        <v>728</v>
      </c>
      <c r="E88" s="94">
        <v>0.09</v>
      </c>
      <c r="F88" s="30" t="s">
        <v>477</v>
      </c>
      <c r="G88" s="37">
        <v>69000</v>
      </c>
      <c r="H88" s="65">
        <v>6210</v>
      </c>
      <c r="I88" s="64">
        <v>0</v>
      </c>
      <c r="J88" s="65">
        <v>0</v>
      </c>
      <c r="K88" s="64">
        <v>69000</v>
      </c>
      <c r="L88" s="65">
        <v>6210</v>
      </c>
      <c r="M88" s="64">
        <v>0</v>
      </c>
      <c r="N88" s="65">
        <v>0</v>
      </c>
      <c r="O88" s="32" t="s">
        <v>834</v>
      </c>
    </row>
    <row r="89" spans="2:15" ht="19.7" customHeight="1">
      <c r="B89" s="28" t="s">
        <v>834</v>
      </c>
      <c r="C89" s="29" t="s">
        <v>675</v>
      </c>
      <c r="D89" s="29" t="s">
        <v>185</v>
      </c>
      <c r="E89" s="94">
        <v>0.09</v>
      </c>
      <c r="F89" s="30" t="s">
        <v>477</v>
      </c>
      <c r="G89" s="37">
        <v>68000</v>
      </c>
      <c r="H89" s="65">
        <v>6120</v>
      </c>
      <c r="I89" s="64">
        <v>0</v>
      </c>
      <c r="J89" s="65">
        <v>0</v>
      </c>
      <c r="K89" s="64">
        <v>68000</v>
      </c>
      <c r="L89" s="65">
        <v>6120</v>
      </c>
      <c r="M89" s="64">
        <v>0</v>
      </c>
      <c r="N89" s="65">
        <v>0</v>
      </c>
      <c r="O89" s="32" t="s">
        <v>834</v>
      </c>
    </row>
    <row r="90" spans="2:15" ht="19.7" customHeight="1">
      <c r="B90" s="28" t="s">
        <v>834</v>
      </c>
      <c r="C90" s="29" t="s">
        <v>643</v>
      </c>
      <c r="D90" s="29" t="s">
        <v>809</v>
      </c>
      <c r="E90" s="94">
        <v>0.09</v>
      </c>
      <c r="F90" s="30" t="s">
        <v>477</v>
      </c>
      <c r="G90" s="37">
        <v>68000</v>
      </c>
      <c r="H90" s="65">
        <v>6120</v>
      </c>
      <c r="I90" s="64">
        <v>0</v>
      </c>
      <c r="J90" s="65">
        <v>0</v>
      </c>
      <c r="K90" s="64">
        <v>68000</v>
      </c>
      <c r="L90" s="65">
        <v>6120</v>
      </c>
      <c r="M90" s="64">
        <v>0</v>
      </c>
      <c r="N90" s="65">
        <v>0</v>
      </c>
      <c r="O90" s="32" t="s">
        <v>834</v>
      </c>
    </row>
    <row r="91" spans="2:15" ht="19.7" customHeight="1">
      <c r="B91" s="28" t="s">
        <v>834</v>
      </c>
      <c r="C91" s="29" t="s">
        <v>667</v>
      </c>
      <c r="D91" s="29" t="s">
        <v>834</v>
      </c>
      <c r="E91" s="94">
        <v>0.1</v>
      </c>
      <c r="F91" s="30" t="s">
        <v>767</v>
      </c>
      <c r="G91" s="37">
        <v>263017</v>
      </c>
      <c r="H91" s="65">
        <v>26301</v>
      </c>
      <c r="I91" s="64">
        <v>263017</v>
      </c>
      <c r="J91" s="65">
        <v>26301</v>
      </c>
      <c r="K91" s="64">
        <v>0</v>
      </c>
      <c r="L91" s="65">
        <v>0</v>
      </c>
      <c r="M91" s="64">
        <v>0</v>
      </c>
      <c r="N91" s="65">
        <v>0</v>
      </c>
      <c r="O91" s="32" t="s">
        <v>834</v>
      </c>
    </row>
    <row r="92" spans="2:15" ht="19.7" customHeight="1">
      <c r="B92" s="28" t="s">
        <v>834</v>
      </c>
      <c r="C92" s="29" t="s">
        <v>54</v>
      </c>
      <c r="D92" s="29" t="s">
        <v>834</v>
      </c>
      <c r="E92" s="94">
        <v>0.02</v>
      </c>
      <c r="F92" s="30" t="s">
        <v>767</v>
      </c>
      <c r="G92" s="37">
        <v>172068</v>
      </c>
      <c r="H92" s="65">
        <v>3441</v>
      </c>
      <c r="I92" s="64">
        <v>172068</v>
      </c>
      <c r="J92" s="65">
        <v>3441</v>
      </c>
      <c r="K92" s="64">
        <v>0</v>
      </c>
      <c r="L92" s="65">
        <v>0</v>
      </c>
      <c r="M92" s="64">
        <v>0</v>
      </c>
      <c r="N92" s="65">
        <v>0</v>
      </c>
      <c r="O92" s="32" t="s">
        <v>834</v>
      </c>
    </row>
    <row r="93" spans="2:15" ht="19.7" customHeight="1">
      <c r="B93" s="28" t="s">
        <v>834</v>
      </c>
      <c r="C93" s="29" t="s">
        <v>818</v>
      </c>
      <c r="D93" s="29" t="s">
        <v>110</v>
      </c>
      <c r="E93" s="31">
        <v>2</v>
      </c>
      <c r="F93" s="30" t="s">
        <v>157</v>
      </c>
      <c r="G93" s="37">
        <v>29742</v>
      </c>
      <c r="H93" s="65">
        <v>594</v>
      </c>
      <c r="I93" s="37"/>
      <c r="J93" s="65">
        <v>0</v>
      </c>
      <c r="K93" s="37"/>
      <c r="L93" s="65">
        <v>0</v>
      </c>
      <c r="M93" s="37">
        <v>29742</v>
      </c>
      <c r="N93" s="65">
        <v>594</v>
      </c>
      <c r="O93" s="32" t="s">
        <v>834</v>
      </c>
    </row>
    <row r="94" spans="2:15" ht="19.7" customHeight="1">
      <c r="B94" s="28" t="s">
        <v>834</v>
      </c>
      <c r="C94" s="29" t="s">
        <v>834</v>
      </c>
      <c r="D94" s="29" t="s">
        <v>834</v>
      </c>
      <c r="E94" s="31"/>
      <c r="F94" s="30" t="s">
        <v>834</v>
      </c>
      <c r="G94" s="37"/>
      <c r="H94" s="31"/>
      <c r="I94" s="37"/>
      <c r="J94" s="65">
        <v>0</v>
      </c>
      <c r="K94" s="37"/>
      <c r="L94" s="65">
        <v>0</v>
      </c>
      <c r="M94" s="37"/>
      <c r="N94" s="65">
        <v>0</v>
      </c>
      <c r="O94" s="32" t="s">
        <v>834</v>
      </c>
    </row>
    <row r="95" spans="2:15" ht="19.7" customHeight="1">
      <c r="B95" s="90" t="s">
        <v>48</v>
      </c>
      <c r="C95" s="62" t="s">
        <v>319</v>
      </c>
      <c r="D95" s="62" t="s">
        <v>500</v>
      </c>
      <c r="E95" s="31"/>
      <c r="F95" s="91" t="s">
        <v>596</v>
      </c>
      <c r="G95" s="37"/>
      <c r="H95" s="92">
        <v>101028</v>
      </c>
      <c r="I95" s="37"/>
      <c r="J95" s="92">
        <v>77305</v>
      </c>
      <c r="K95" s="37"/>
      <c r="L95" s="92">
        <v>22700</v>
      </c>
      <c r="M95" s="37"/>
      <c r="N95" s="92">
        <v>1023</v>
      </c>
      <c r="O95" s="93" t="s">
        <v>834</v>
      </c>
    </row>
    <row r="96" spans="2:15" ht="19.7" customHeight="1">
      <c r="B96" s="28" t="s">
        <v>834</v>
      </c>
      <c r="C96" s="29" t="s">
        <v>32</v>
      </c>
      <c r="D96" s="29" t="s">
        <v>834</v>
      </c>
      <c r="E96" s="31">
        <v>1</v>
      </c>
      <c r="F96" s="30" t="s">
        <v>596</v>
      </c>
      <c r="G96" s="37">
        <v>8201</v>
      </c>
      <c r="H96" s="65">
        <v>8201</v>
      </c>
      <c r="I96" s="64">
        <v>7963</v>
      </c>
      <c r="J96" s="65">
        <v>7963</v>
      </c>
      <c r="K96" s="64">
        <v>0</v>
      </c>
      <c r="L96" s="65">
        <v>0</v>
      </c>
      <c r="M96" s="64">
        <v>238</v>
      </c>
      <c r="N96" s="65">
        <v>238</v>
      </c>
      <c r="O96" s="32" t="s">
        <v>669</v>
      </c>
    </row>
    <row r="97" spans="2:15" ht="19.7" customHeight="1">
      <c r="B97" s="28" t="s">
        <v>834</v>
      </c>
      <c r="C97" s="29" t="s">
        <v>602</v>
      </c>
      <c r="D97" s="29" t="s">
        <v>834</v>
      </c>
      <c r="E97" s="31">
        <v>1</v>
      </c>
      <c r="F97" s="30" t="s">
        <v>596</v>
      </c>
      <c r="G97" s="37">
        <v>4657</v>
      </c>
      <c r="H97" s="65">
        <v>4657</v>
      </c>
      <c r="I97" s="64">
        <v>4522</v>
      </c>
      <c r="J97" s="65">
        <v>4522</v>
      </c>
      <c r="K97" s="64">
        <v>0</v>
      </c>
      <c r="L97" s="65">
        <v>0</v>
      </c>
      <c r="M97" s="64">
        <v>135</v>
      </c>
      <c r="N97" s="65">
        <v>135</v>
      </c>
      <c r="O97" s="32" t="s">
        <v>562</v>
      </c>
    </row>
    <row r="98" spans="2:15" ht="19.7" customHeight="1">
      <c r="B98" s="28" t="s">
        <v>834</v>
      </c>
      <c r="C98" s="29" t="s">
        <v>727</v>
      </c>
      <c r="D98" s="29" t="s">
        <v>238</v>
      </c>
      <c r="E98" s="31">
        <v>1</v>
      </c>
      <c r="F98" s="30" t="s">
        <v>596</v>
      </c>
      <c r="G98" s="37">
        <v>60202</v>
      </c>
      <c r="H98" s="65">
        <v>60202</v>
      </c>
      <c r="I98" s="64">
        <v>39052</v>
      </c>
      <c r="J98" s="65">
        <v>39052</v>
      </c>
      <c r="K98" s="64">
        <v>20500</v>
      </c>
      <c r="L98" s="65">
        <v>20500</v>
      </c>
      <c r="M98" s="64">
        <v>650</v>
      </c>
      <c r="N98" s="65">
        <v>650</v>
      </c>
      <c r="O98" s="32" t="s">
        <v>368</v>
      </c>
    </row>
    <row r="99" spans="2:15" ht="19.7" customHeight="1">
      <c r="B99" s="28" t="s">
        <v>834</v>
      </c>
      <c r="C99" s="29" t="s">
        <v>372</v>
      </c>
      <c r="D99" s="29" t="s">
        <v>371</v>
      </c>
      <c r="E99" s="94">
        <v>0.5</v>
      </c>
      <c r="F99" s="30" t="s">
        <v>477</v>
      </c>
      <c r="G99" s="37">
        <v>4400</v>
      </c>
      <c r="H99" s="65">
        <v>2200</v>
      </c>
      <c r="I99" s="64">
        <v>0</v>
      </c>
      <c r="J99" s="65">
        <v>0</v>
      </c>
      <c r="K99" s="64">
        <v>4400</v>
      </c>
      <c r="L99" s="65">
        <v>2200</v>
      </c>
      <c r="M99" s="64">
        <v>0</v>
      </c>
      <c r="N99" s="65">
        <v>0</v>
      </c>
      <c r="O99" s="32" t="s">
        <v>834</v>
      </c>
    </row>
    <row r="100" spans="2:15" ht="19.7" customHeight="1">
      <c r="B100" s="28" t="s">
        <v>834</v>
      </c>
      <c r="C100" s="29" t="s">
        <v>411</v>
      </c>
      <c r="D100" s="29" t="s">
        <v>110</v>
      </c>
      <c r="E100" s="31">
        <v>50</v>
      </c>
      <c r="F100" s="30" t="s">
        <v>157</v>
      </c>
      <c r="G100" s="37">
        <v>51537</v>
      </c>
      <c r="H100" s="65">
        <v>25768</v>
      </c>
      <c r="I100" s="37">
        <v>51537</v>
      </c>
      <c r="J100" s="65">
        <v>25768</v>
      </c>
      <c r="K100" s="37"/>
      <c r="L100" s="65">
        <v>0</v>
      </c>
      <c r="M100" s="37"/>
      <c r="N100" s="65">
        <v>0</v>
      </c>
      <c r="O100" s="32" t="s">
        <v>834</v>
      </c>
    </row>
    <row r="101" spans="2:15" ht="19.7" customHeight="1">
      <c r="B101" s="28" t="s">
        <v>834</v>
      </c>
      <c r="C101" s="29" t="s">
        <v>834</v>
      </c>
      <c r="D101" s="29" t="s">
        <v>834</v>
      </c>
      <c r="E101" s="31"/>
      <c r="F101" s="30" t="s">
        <v>834</v>
      </c>
      <c r="G101" s="37"/>
      <c r="H101" s="31"/>
      <c r="I101" s="37"/>
      <c r="J101" s="65">
        <v>0</v>
      </c>
      <c r="K101" s="37"/>
      <c r="L101" s="65">
        <v>0</v>
      </c>
      <c r="M101" s="37"/>
      <c r="N101" s="65">
        <v>0</v>
      </c>
      <c r="O101" s="32" t="s">
        <v>834</v>
      </c>
    </row>
    <row r="102" spans="2:15" ht="19.7" customHeight="1">
      <c r="B102" s="90" t="s">
        <v>622</v>
      </c>
      <c r="C102" s="62" t="s">
        <v>32</v>
      </c>
      <c r="D102" s="62" t="s">
        <v>834</v>
      </c>
      <c r="E102" s="31"/>
      <c r="F102" s="91" t="s">
        <v>596</v>
      </c>
      <c r="G102" s="37"/>
      <c r="H102" s="92">
        <v>8201</v>
      </c>
      <c r="I102" s="37"/>
      <c r="J102" s="92">
        <v>7963</v>
      </c>
      <c r="K102" s="37"/>
      <c r="L102" s="65">
        <v>0</v>
      </c>
      <c r="M102" s="37"/>
      <c r="N102" s="92">
        <v>238</v>
      </c>
      <c r="O102" s="93" t="s">
        <v>834</v>
      </c>
    </row>
    <row r="103" spans="2:15" ht="19.7" customHeight="1">
      <c r="B103" s="28" t="s">
        <v>834</v>
      </c>
      <c r="C103" s="29" t="s">
        <v>43</v>
      </c>
      <c r="D103" s="29" t="s">
        <v>834</v>
      </c>
      <c r="E103" s="94">
        <v>0.02</v>
      </c>
      <c r="F103" s="30" t="s">
        <v>767</v>
      </c>
      <c r="G103" s="37">
        <v>226122</v>
      </c>
      <c r="H103" s="65">
        <v>4522</v>
      </c>
      <c r="I103" s="64">
        <v>226122</v>
      </c>
      <c r="J103" s="65">
        <v>4522</v>
      </c>
      <c r="K103" s="64">
        <v>0</v>
      </c>
      <c r="L103" s="65">
        <v>0</v>
      </c>
      <c r="M103" s="64">
        <v>0</v>
      </c>
      <c r="N103" s="65">
        <v>0</v>
      </c>
      <c r="O103" s="32" t="s">
        <v>834</v>
      </c>
    </row>
    <row r="104" spans="2:15" ht="19.7" customHeight="1">
      <c r="B104" s="28" t="s">
        <v>834</v>
      </c>
      <c r="C104" s="29" t="s">
        <v>54</v>
      </c>
      <c r="D104" s="29" t="s">
        <v>834</v>
      </c>
      <c r="E104" s="94">
        <v>0.02</v>
      </c>
      <c r="F104" s="30" t="s">
        <v>767</v>
      </c>
      <c r="G104" s="37">
        <v>172068</v>
      </c>
      <c r="H104" s="65">
        <v>3441</v>
      </c>
      <c r="I104" s="64">
        <v>172068</v>
      </c>
      <c r="J104" s="65">
        <v>3441</v>
      </c>
      <c r="K104" s="64">
        <v>0</v>
      </c>
      <c r="L104" s="65">
        <v>0</v>
      </c>
      <c r="M104" s="64">
        <v>0</v>
      </c>
      <c r="N104" s="65">
        <v>0</v>
      </c>
      <c r="O104" s="32" t="s">
        <v>834</v>
      </c>
    </row>
    <row r="105" spans="2:15" ht="19.7" customHeight="1">
      <c r="B105" s="28" t="s">
        <v>834</v>
      </c>
      <c r="C105" s="29" t="s">
        <v>779</v>
      </c>
      <c r="D105" s="29" t="s">
        <v>110</v>
      </c>
      <c r="E105" s="31">
        <v>3</v>
      </c>
      <c r="F105" s="30" t="s">
        <v>157</v>
      </c>
      <c r="G105" s="37">
        <v>7963</v>
      </c>
      <c r="H105" s="65">
        <v>238</v>
      </c>
      <c r="I105" s="37"/>
      <c r="J105" s="65">
        <v>0</v>
      </c>
      <c r="K105" s="37"/>
      <c r="L105" s="65">
        <v>0</v>
      </c>
      <c r="M105" s="37">
        <v>7963</v>
      </c>
      <c r="N105" s="65">
        <v>238</v>
      </c>
      <c r="O105" s="32" t="s">
        <v>834</v>
      </c>
    </row>
    <row r="106" spans="2:15" ht="19.7" customHeight="1">
      <c r="B106" s="28" t="s">
        <v>834</v>
      </c>
      <c r="C106" s="29" t="s">
        <v>834</v>
      </c>
      <c r="D106" s="29" t="s">
        <v>834</v>
      </c>
      <c r="E106" s="31"/>
      <c r="F106" s="30" t="s">
        <v>834</v>
      </c>
      <c r="G106" s="37"/>
      <c r="H106" s="31"/>
      <c r="I106" s="37"/>
      <c r="J106" s="65">
        <v>0</v>
      </c>
      <c r="K106" s="37"/>
      <c r="L106" s="65">
        <v>0</v>
      </c>
      <c r="M106" s="37"/>
      <c r="N106" s="65">
        <v>0</v>
      </c>
      <c r="O106" s="32" t="s">
        <v>834</v>
      </c>
    </row>
    <row r="107" spans="2:15" ht="19.7" customHeight="1">
      <c r="B107" s="90" t="s">
        <v>298</v>
      </c>
      <c r="C107" s="62" t="s">
        <v>727</v>
      </c>
      <c r="D107" s="62" t="s">
        <v>238</v>
      </c>
      <c r="E107" s="31"/>
      <c r="F107" s="91" t="s">
        <v>596</v>
      </c>
      <c r="G107" s="37"/>
      <c r="H107" s="92">
        <v>60202</v>
      </c>
      <c r="I107" s="37"/>
      <c r="J107" s="92">
        <v>39052</v>
      </c>
      <c r="K107" s="37"/>
      <c r="L107" s="92">
        <v>20500</v>
      </c>
      <c r="M107" s="37"/>
      <c r="N107" s="92">
        <v>650</v>
      </c>
      <c r="O107" s="93" t="s">
        <v>834</v>
      </c>
    </row>
    <row r="108" spans="2:15" ht="19.7" customHeight="1">
      <c r="B108" s="33" t="s">
        <v>834</v>
      </c>
      <c r="C108" s="34" t="s">
        <v>359</v>
      </c>
      <c r="D108" s="34" t="s">
        <v>728</v>
      </c>
      <c r="E108" s="96">
        <v>0.1</v>
      </c>
      <c r="F108" s="35" t="s">
        <v>477</v>
      </c>
      <c r="G108" s="21">
        <v>69000</v>
      </c>
      <c r="H108" s="74">
        <v>6900</v>
      </c>
      <c r="I108" s="70">
        <v>0</v>
      </c>
      <c r="J108" s="74">
        <v>0</v>
      </c>
      <c r="K108" s="70">
        <v>69000</v>
      </c>
      <c r="L108" s="74">
        <v>6900</v>
      </c>
      <c r="M108" s="70">
        <v>0</v>
      </c>
      <c r="N108" s="74">
        <v>0</v>
      </c>
      <c r="O108" s="36" t="s">
        <v>834</v>
      </c>
    </row>
    <row r="109" spans="2:15" ht="19.7" customHeight="1">
      <c r="B109" s="28" t="s">
        <v>834</v>
      </c>
      <c r="C109" s="29" t="s">
        <v>675</v>
      </c>
      <c r="D109" s="29" t="s">
        <v>185</v>
      </c>
      <c r="E109" s="94">
        <v>0.1</v>
      </c>
      <c r="F109" s="30" t="s">
        <v>477</v>
      </c>
      <c r="G109" s="37">
        <v>68000</v>
      </c>
      <c r="H109" s="65">
        <v>6800</v>
      </c>
      <c r="I109" s="64">
        <v>0</v>
      </c>
      <c r="J109" s="65">
        <v>0</v>
      </c>
      <c r="K109" s="64">
        <v>68000</v>
      </c>
      <c r="L109" s="65">
        <v>6800</v>
      </c>
      <c r="M109" s="64">
        <v>0</v>
      </c>
      <c r="N109" s="65">
        <v>0</v>
      </c>
      <c r="O109" s="32" t="s">
        <v>834</v>
      </c>
    </row>
    <row r="110" spans="2:15" ht="19.7" customHeight="1">
      <c r="B110" s="28" t="s">
        <v>834</v>
      </c>
      <c r="C110" s="29" t="s">
        <v>643</v>
      </c>
      <c r="D110" s="29" t="s">
        <v>809</v>
      </c>
      <c r="E110" s="94">
        <v>0.1</v>
      </c>
      <c r="F110" s="30" t="s">
        <v>477</v>
      </c>
      <c r="G110" s="37">
        <v>68000</v>
      </c>
      <c r="H110" s="65">
        <v>6800</v>
      </c>
      <c r="I110" s="64">
        <v>0</v>
      </c>
      <c r="J110" s="65">
        <v>0</v>
      </c>
      <c r="K110" s="64">
        <v>68000</v>
      </c>
      <c r="L110" s="65">
        <v>6800</v>
      </c>
      <c r="M110" s="64">
        <v>0</v>
      </c>
      <c r="N110" s="65">
        <v>0</v>
      </c>
      <c r="O110" s="32" t="s">
        <v>834</v>
      </c>
    </row>
    <row r="111" spans="2:15" ht="19.7" customHeight="1">
      <c r="B111" s="28" t="s">
        <v>834</v>
      </c>
      <c r="C111" s="29" t="s">
        <v>667</v>
      </c>
      <c r="D111" s="29" t="s">
        <v>834</v>
      </c>
      <c r="E111" s="94">
        <v>0.11</v>
      </c>
      <c r="F111" s="30" t="s">
        <v>767</v>
      </c>
      <c r="G111" s="37">
        <v>263017</v>
      </c>
      <c r="H111" s="65">
        <v>28931</v>
      </c>
      <c r="I111" s="64">
        <v>263017</v>
      </c>
      <c r="J111" s="65">
        <v>28931</v>
      </c>
      <c r="K111" s="64">
        <v>0</v>
      </c>
      <c r="L111" s="65">
        <v>0</v>
      </c>
      <c r="M111" s="64">
        <v>0</v>
      </c>
      <c r="N111" s="65">
        <v>0</v>
      </c>
      <c r="O111" s="32" t="s">
        <v>834</v>
      </c>
    </row>
    <row r="112" spans="2:15" ht="19.7" customHeight="1">
      <c r="B112" s="28" t="s">
        <v>834</v>
      </c>
      <c r="C112" s="29" t="s">
        <v>54</v>
      </c>
      <c r="D112" s="29" t="s">
        <v>834</v>
      </c>
      <c r="E112" s="94">
        <v>2.1000000000000001E-2</v>
      </c>
      <c r="F112" s="30" t="s">
        <v>767</v>
      </c>
      <c r="G112" s="37">
        <v>172068</v>
      </c>
      <c r="H112" s="65">
        <v>3613</v>
      </c>
      <c r="I112" s="64">
        <v>172068</v>
      </c>
      <c r="J112" s="65">
        <v>3613</v>
      </c>
      <c r="K112" s="64">
        <v>0</v>
      </c>
      <c r="L112" s="65">
        <v>0</v>
      </c>
      <c r="M112" s="64">
        <v>0</v>
      </c>
      <c r="N112" s="65">
        <v>0</v>
      </c>
      <c r="O112" s="32" t="s">
        <v>834</v>
      </c>
    </row>
    <row r="113" spans="2:15" ht="19.7" customHeight="1">
      <c r="B113" s="28" t="s">
        <v>834</v>
      </c>
      <c r="C113" s="29" t="s">
        <v>818</v>
      </c>
      <c r="D113" s="29" t="s">
        <v>110</v>
      </c>
      <c r="E113" s="31">
        <v>2</v>
      </c>
      <c r="F113" s="30" t="s">
        <v>157</v>
      </c>
      <c r="G113" s="37">
        <v>32544</v>
      </c>
      <c r="H113" s="65">
        <v>650</v>
      </c>
      <c r="I113" s="37"/>
      <c r="J113" s="65">
        <v>0</v>
      </c>
      <c r="K113" s="37"/>
      <c r="L113" s="65">
        <v>0</v>
      </c>
      <c r="M113" s="37">
        <v>32544</v>
      </c>
      <c r="N113" s="65">
        <v>650</v>
      </c>
      <c r="O113" s="32" t="s">
        <v>834</v>
      </c>
    </row>
    <row r="114" spans="2:15" ht="19.7" customHeight="1">
      <c r="B114" s="28" t="s">
        <v>834</v>
      </c>
      <c r="C114" s="29" t="s">
        <v>404</v>
      </c>
      <c r="D114" s="29" t="s">
        <v>110</v>
      </c>
      <c r="E114" s="31">
        <v>20</v>
      </c>
      <c r="F114" s="30" t="s">
        <v>157</v>
      </c>
      <c r="G114" s="37">
        <v>32544</v>
      </c>
      <c r="H114" s="65">
        <v>6508</v>
      </c>
      <c r="I114" s="37">
        <v>32544</v>
      </c>
      <c r="J114" s="65">
        <v>6508</v>
      </c>
      <c r="K114" s="37"/>
      <c r="L114" s="65">
        <v>0</v>
      </c>
      <c r="M114" s="37"/>
      <c r="N114" s="65">
        <v>0</v>
      </c>
      <c r="O114" s="32" t="s">
        <v>834</v>
      </c>
    </row>
    <row r="115" spans="2:15" ht="19.7" customHeight="1">
      <c r="B115" s="28" t="s">
        <v>834</v>
      </c>
      <c r="C115" s="29" t="s">
        <v>834</v>
      </c>
      <c r="D115" s="29" t="s">
        <v>834</v>
      </c>
      <c r="E115" s="31"/>
      <c r="F115" s="30" t="s">
        <v>834</v>
      </c>
      <c r="G115" s="37"/>
      <c r="H115" s="31"/>
      <c r="I115" s="37"/>
      <c r="J115" s="65">
        <v>0</v>
      </c>
      <c r="K115" s="37"/>
      <c r="L115" s="65">
        <v>0</v>
      </c>
      <c r="M115" s="37"/>
      <c r="N115" s="65">
        <v>0</v>
      </c>
      <c r="O115" s="32" t="s">
        <v>834</v>
      </c>
    </row>
    <row r="116" spans="2:15" ht="19.7" customHeight="1">
      <c r="B116" s="90" t="s">
        <v>233</v>
      </c>
      <c r="C116" s="62" t="s">
        <v>612</v>
      </c>
      <c r="D116" s="62" t="s">
        <v>561</v>
      </c>
      <c r="E116" s="31"/>
      <c r="F116" s="91" t="s">
        <v>476</v>
      </c>
      <c r="G116" s="37"/>
      <c r="H116" s="92">
        <v>41344</v>
      </c>
      <c r="I116" s="37"/>
      <c r="J116" s="92">
        <v>33439</v>
      </c>
      <c r="K116" s="37"/>
      <c r="L116" s="92">
        <v>7237</v>
      </c>
      <c r="M116" s="37"/>
      <c r="N116" s="92">
        <v>668</v>
      </c>
      <c r="O116" s="93" t="s">
        <v>834</v>
      </c>
    </row>
    <row r="117" spans="2:15" ht="19.7" customHeight="1">
      <c r="B117" s="28" t="s">
        <v>834</v>
      </c>
      <c r="C117" s="29" t="s">
        <v>466</v>
      </c>
      <c r="D117" s="29" t="s">
        <v>16</v>
      </c>
      <c r="E117" s="31">
        <v>1</v>
      </c>
      <c r="F117" s="30" t="s">
        <v>476</v>
      </c>
      <c r="G117" s="37">
        <v>30198</v>
      </c>
      <c r="H117" s="65">
        <v>30198</v>
      </c>
      <c r="I117" s="64">
        <v>22293</v>
      </c>
      <c r="J117" s="65">
        <v>22293</v>
      </c>
      <c r="K117" s="64">
        <v>7237</v>
      </c>
      <c r="L117" s="65">
        <v>7237</v>
      </c>
      <c r="M117" s="64">
        <v>668</v>
      </c>
      <c r="N117" s="65">
        <v>668</v>
      </c>
      <c r="O117" s="32" t="s">
        <v>812</v>
      </c>
    </row>
    <row r="118" spans="2:15" ht="19.7" customHeight="1">
      <c r="B118" s="28" t="s">
        <v>834</v>
      </c>
      <c r="C118" s="29" t="s">
        <v>411</v>
      </c>
      <c r="D118" s="29" t="s">
        <v>110</v>
      </c>
      <c r="E118" s="31">
        <v>50</v>
      </c>
      <c r="F118" s="30" t="s">
        <v>157</v>
      </c>
      <c r="G118" s="37">
        <v>22293</v>
      </c>
      <c r="H118" s="65">
        <v>11146</v>
      </c>
      <c r="I118" s="37">
        <v>22293</v>
      </c>
      <c r="J118" s="65">
        <v>11146</v>
      </c>
      <c r="K118" s="37"/>
      <c r="L118" s="65">
        <v>0</v>
      </c>
      <c r="M118" s="37"/>
      <c r="N118" s="65">
        <v>0</v>
      </c>
      <c r="O118" s="32" t="s">
        <v>834</v>
      </c>
    </row>
    <row r="119" spans="2:15" ht="19.7" customHeight="1">
      <c r="B119" s="28" t="s">
        <v>834</v>
      </c>
      <c r="C119" s="29" t="s">
        <v>834</v>
      </c>
      <c r="D119" s="29" t="s">
        <v>834</v>
      </c>
      <c r="E119" s="31"/>
      <c r="F119" s="30" t="s">
        <v>834</v>
      </c>
      <c r="G119" s="37"/>
      <c r="H119" s="31"/>
      <c r="I119" s="37"/>
      <c r="J119" s="65">
        <v>0</v>
      </c>
      <c r="K119" s="37"/>
      <c r="L119" s="65">
        <v>0</v>
      </c>
      <c r="M119" s="37"/>
      <c r="N119" s="65">
        <v>0</v>
      </c>
      <c r="O119" s="32" t="s">
        <v>834</v>
      </c>
    </row>
    <row r="120" spans="2:15" ht="19.7" customHeight="1">
      <c r="B120" s="90" t="s">
        <v>768</v>
      </c>
      <c r="C120" s="62" t="s">
        <v>466</v>
      </c>
      <c r="D120" s="62" t="s">
        <v>16</v>
      </c>
      <c r="E120" s="31"/>
      <c r="F120" s="91" t="s">
        <v>476</v>
      </c>
      <c r="G120" s="37"/>
      <c r="H120" s="92">
        <v>30198</v>
      </c>
      <c r="I120" s="37"/>
      <c r="J120" s="92">
        <v>22293</v>
      </c>
      <c r="K120" s="37"/>
      <c r="L120" s="92">
        <v>7237</v>
      </c>
      <c r="M120" s="37"/>
      <c r="N120" s="92">
        <v>668</v>
      </c>
      <c r="O120" s="93" t="s">
        <v>834</v>
      </c>
    </row>
    <row r="121" spans="2:15" ht="19.7" customHeight="1">
      <c r="B121" s="28" t="s">
        <v>834</v>
      </c>
      <c r="C121" s="29" t="s">
        <v>97</v>
      </c>
      <c r="D121" s="29" t="s">
        <v>834</v>
      </c>
      <c r="E121" s="94">
        <v>8.2799999999999999E-2</v>
      </c>
      <c r="F121" s="30" t="s">
        <v>477</v>
      </c>
      <c r="G121" s="37">
        <v>22000</v>
      </c>
      <c r="H121" s="65">
        <v>1821</v>
      </c>
      <c r="I121" s="64">
        <v>0</v>
      </c>
      <c r="J121" s="65">
        <v>0</v>
      </c>
      <c r="K121" s="64">
        <v>22000</v>
      </c>
      <c r="L121" s="65">
        <v>1821</v>
      </c>
      <c r="M121" s="64">
        <v>0</v>
      </c>
      <c r="N121" s="65">
        <v>0</v>
      </c>
      <c r="O121" s="32" t="s">
        <v>834</v>
      </c>
    </row>
    <row r="122" spans="2:15" ht="19.7" customHeight="1">
      <c r="B122" s="28" t="s">
        <v>834</v>
      </c>
      <c r="C122" s="29" t="s">
        <v>548</v>
      </c>
      <c r="D122" s="29" t="s">
        <v>595</v>
      </c>
      <c r="E122" s="94">
        <v>6.1800000000000001E-2</v>
      </c>
      <c r="F122" s="30" t="s">
        <v>652</v>
      </c>
      <c r="G122" s="37">
        <v>6737</v>
      </c>
      <c r="H122" s="65">
        <v>416</v>
      </c>
      <c r="I122" s="64">
        <v>0</v>
      </c>
      <c r="J122" s="65">
        <v>0</v>
      </c>
      <c r="K122" s="64">
        <v>6737</v>
      </c>
      <c r="L122" s="65">
        <v>416</v>
      </c>
      <c r="M122" s="64">
        <v>0</v>
      </c>
      <c r="N122" s="65">
        <v>0</v>
      </c>
      <c r="O122" s="32" t="s">
        <v>834</v>
      </c>
    </row>
    <row r="123" spans="2:15" ht="19.7" customHeight="1">
      <c r="B123" s="28" t="s">
        <v>834</v>
      </c>
      <c r="C123" s="29" t="s">
        <v>408</v>
      </c>
      <c r="D123" s="29" t="s">
        <v>834</v>
      </c>
      <c r="E123" s="31">
        <v>5</v>
      </c>
      <c r="F123" s="30" t="s">
        <v>212</v>
      </c>
      <c r="G123" s="37">
        <v>1000</v>
      </c>
      <c r="H123" s="65">
        <v>5000</v>
      </c>
      <c r="I123" s="64">
        <v>0</v>
      </c>
      <c r="J123" s="65">
        <v>0</v>
      </c>
      <c r="K123" s="64">
        <v>1000</v>
      </c>
      <c r="L123" s="65">
        <v>5000</v>
      </c>
      <c r="M123" s="64">
        <v>0</v>
      </c>
      <c r="N123" s="65">
        <v>0</v>
      </c>
      <c r="O123" s="32" t="s">
        <v>834</v>
      </c>
    </row>
    <row r="124" spans="2:15" ht="19.7" customHeight="1">
      <c r="B124" s="28" t="s">
        <v>834</v>
      </c>
      <c r="C124" s="29" t="s">
        <v>43</v>
      </c>
      <c r="D124" s="29" t="s">
        <v>834</v>
      </c>
      <c r="E124" s="94">
        <v>7.1419999999999997E-2</v>
      </c>
      <c r="F124" s="30" t="s">
        <v>767</v>
      </c>
      <c r="G124" s="37">
        <v>226122</v>
      </c>
      <c r="H124" s="65">
        <v>16149</v>
      </c>
      <c r="I124" s="64">
        <v>226122</v>
      </c>
      <c r="J124" s="65">
        <v>16149</v>
      </c>
      <c r="K124" s="64">
        <v>0</v>
      </c>
      <c r="L124" s="65">
        <v>0</v>
      </c>
      <c r="M124" s="64">
        <v>0</v>
      </c>
      <c r="N124" s="65">
        <v>0</v>
      </c>
      <c r="O124" s="32" t="s">
        <v>834</v>
      </c>
    </row>
    <row r="125" spans="2:15" ht="19.7" customHeight="1">
      <c r="B125" s="28" t="s">
        <v>834</v>
      </c>
      <c r="C125" s="29" t="s">
        <v>54</v>
      </c>
      <c r="D125" s="29" t="s">
        <v>834</v>
      </c>
      <c r="E125" s="94">
        <v>3.5709999999999999E-2</v>
      </c>
      <c r="F125" s="30" t="s">
        <v>767</v>
      </c>
      <c r="G125" s="37">
        <v>172068</v>
      </c>
      <c r="H125" s="65">
        <v>6144</v>
      </c>
      <c r="I125" s="64">
        <v>172068</v>
      </c>
      <c r="J125" s="65">
        <v>6144</v>
      </c>
      <c r="K125" s="64">
        <v>0</v>
      </c>
      <c r="L125" s="65">
        <v>0</v>
      </c>
      <c r="M125" s="64">
        <v>0</v>
      </c>
      <c r="N125" s="65">
        <v>0</v>
      </c>
      <c r="O125" s="32" t="s">
        <v>834</v>
      </c>
    </row>
    <row r="126" spans="2:15" ht="19.7" customHeight="1">
      <c r="B126" s="28" t="s">
        <v>834</v>
      </c>
      <c r="C126" s="29" t="s">
        <v>779</v>
      </c>
      <c r="D126" s="29" t="s">
        <v>110</v>
      </c>
      <c r="E126" s="31">
        <v>3</v>
      </c>
      <c r="F126" s="30" t="s">
        <v>157</v>
      </c>
      <c r="G126" s="37">
        <v>22293</v>
      </c>
      <c r="H126" s="65">
        <v>668</v>
      </c>
      <c r="I126" s="37"/>
      <c r="J126" s="65">
        <v>0</v>
      </c>
      <c r="K126" s="37"/>
      <c r="L126" s="65">
        <v>0</v>
      </c>
      <c r="M126" s="37">
        <v>22293</v>
      </c>
      <c r="N126" s="65">
        <v>668</v>
      </c>
      <c r="O126" s="32" t="s">
        <v>834</v>
      </c>
    </row>
    <row r="127" spans="2:15" ht="19.7" customHeight="1">
      <c r="B127" s="28" t="s">
        <v>834</v>
      </c>
      <c r="C127" s="29" t="s">
        <v>834</v>
      </c>
      <c r="D127" s="29" t="s">
        <v>834</v>
      </c>
      <c r="E127" s="31"/>
      <c r="F127" s="30" t="s">
        <v>834</v>
      </c>
      <c r="G127" s="37"/>
      <c r="H127" s="31"/>
      <c r="I127" s="37"/>
      <c r="J127" s="65">
        <v>0</v>
      </c>
      <c r="K127" s="37"/>
      <c r="L127" s="65">
        <v>0</v>
      </c>
      <c r="M127" s="37"/>
      <c r="N127" s="65">
        <v>0</v>
      </c>
      <c r="O127" s="32" t="s">
        <v>834</v>
      </c>
    </row>
    <row r="128" spans="2:15" ht="19.7" customHeight="1">
      <c r="B128" s="90" t="s">
        <v>192</v>
      </c>
      <c r="C128" s="62" t="s">
        <v>319</v>
      </c>
      <c r="D128" s="62" t="s">
        <v>191</v>
      </c>
      <c r="E128" s="31"/>
      <c r="F128" s="91" t="s">
        <v>596</v>
      </c>
      <c r="G128" s="37"/>
      <c r="H128" s="92">
        <v>84957</v>
      </c>
      <c r="I128" s="37"/>
      <c r="J128" s="92">
        <v>63340</v>
      </c>
      <c r="K128" s="37"/>
      <c r="L128" s="92">
        <v>20650</v>
      </c>
      <c r="M128" s="37"/>
      <c r="N128" s="92">
        <v>967</v>
      </c>
      <c r="O128" s="93" t="s">
        <v>834</v>
      </c>
    </row>
    <row r="129" spans="2:15" ht="19.7" customHeight="1">
      <c r="B129" s="28" t="s">
        <v>834</v>
      </c>
      <c r="C129" s="29" t="s">
        <v>32</v>
      </c>
      <c r="D129" s="29" t="s">
        <v>834</v>
      </c>
      <c r="E129" s="31">
        <v>1</v>
      </c>
      <c r="F129" s="30" t="s">
        <v>596</v>
      </c>
      <c r="G129" s="37">
        <v>8201</v>
      </c>
      <c r="H129" s="65">
        <v>8201</v>
      </c>
      <c r="I129" s="64">
        <v>7963</v>
      </c>
      <c r="J129" s="65">
        <v>7963</v>
      </c>
      <c r="K129" s="64">
        <v>0</v>
      </c>
      <c r="L129" s="65">
        <v>0</v>
      </c>
      <c r="M129" s="64">
        <v>238</v>
      </c>
      <c r="N129" s="65">
        <v>238</v>
      </c>
      <c r="O129" s="32" t="s">
        <v>669</v>
      </c>
    </row>
    <row r="130" spans="2:15" ht="19.7" customHeight="1">
      <c r="B130" s="28" t="s">
        <v>834</v>
      </c>
      <c r="C130" s="29" t="s">
        <v>602</v>
      </c>
      <c r="D130" s="29" t="s">
        <v>834</v>
      </c>
      <c r="E130" s="31">
        <v>1</v>
      </c>
      <c r="F130" s="30" t="s">
        <v>596</v>
      </c>
      <c r="G130" s="37">
        <v>4657</v>
      </c>
      <c r="H130" s="65">
        <v>4657</v>
      </c>
      <c r="I130" s="64">
        <v>4522</v>
      </c>
      <c r="J130" s="65">
        <v>4522</v>
      </c>
      <c r="K130" s="64">
        <v>0</v>
      </c>
      <c r="L130" s="65">
        <v>0</v>
      </c>
      <c r="M130" s="64">
        <v>135</v>
      </c>
      <c r="N130" s="65">
        <v>135</v>
      </c>
      <c r="O130" s="32" t="s">
        <v>562</v>
      </c>
    </row>
    <row r="131" spans="2:15" ht="19.7" customHeight="1">
      <c r="B131" s="28" t="s">
        <v>834</v>
      </c>
      <c r="C131" s="29" t="s">
        <v>727</v>
      </c>
      <c r="D131" s="29" t="s">
        <v>797</v>
      </c>
      <c r="E131" s="31">
        <v>1</v>
      </c>
      <c r="F131" s="30" t="s">
        <v>596</v>
      </c>
      <c r="G131" s="37">
        <v>48786</v>
      </c>
      <c r="H131" s="65">
        <v>48786</v>
      </c>
      <c r="I131" s="64">
        <v>29742</v>
      </c>
      <c r="J131" s="65">
        <v>29742</v>
      </c>
      <c r="K131" s="64">
        <v>18450</v>
      </c>
      <c r="L131" s="65">
        <v>18450</v>
      </c>
      <c r="M131" s="64">
        <v>594</v>
      </c>
      <c r="N131" s="65">
        <v>594</v>
      </c>
      <c r="O131" s="32" t="s">
        <v>502</v>
      </c>
    </row>
    <row r="132" spans="2:15" ht="19.7" customHeight="1">
      <c r="B132" s="28" t="s">
        <v>834</v>
      </c>
      <c r="C132" s="29" t="s">
        <v>372</v>
      </c>
      <c r="D132" s="29" t="s">
        <v>371</v>
      </c>
      <c r="E132" s="94">
        <v>0.5</v>
      </c>
      <c r="F132" s="30" t="s">
        <v>477</v>
      </c>
      <c r="G132" s="37">
        <v>4400</v>
      </c>
      <c r="H132" s="65">
        <v>2200</v>
      </c>
      <c r="I132" s="64">
        <v>0</v>
      </c>
      <c r="J132" s="65">
        <v>0</v>
      </c>
      <c r="K132" s="64">
        <v>4400</v>
      </c>
      <c r="L132" s="65">
        <v>2200</v>
      </c>
      <c r="M132" s="64">
        <v>0</v>
      </c>
      <c r="N132" s="65">
        <v>0</v>
      </c>
      <c r="O132" s="32" t="s">
        <v>834</v>
      </c>
    </row>
    <row r="133" spans="2:15" ht="19.7" customHeight="1">
      <c r="B133" s="28" t="s">
        <v>834</v>
      </c>
      <c r="C133" s="29" t="s">
        <v>411</v>
      </c>
      <c r="D133" s="29" t="s">
        <v>110</v>
      </c>
      <c r="E133" s="31">
        <v>50</v>
      </c>
      <c r="F133" s="30" t="s">
        <v>157</v>
      </c>
      <c r="G133" s="37">
        <v>42227</v>
      </c>
      <c r="H133" s="65">
        <v>21113</v>
      </c>
      <c r="I133" s="37">
        <v>42227</v>
      </c>
      <c r="J133" s="65">
        <v>21113</v>
      </c>
      <c r="K133" s="37"/>
      <c r="L133" s="65">
        <v>0</v>
      </c>
      <c r="M133" s="37"/>
      <c r="N133" s="65">
        <v>0</v>
      </c>
      <c r="O133" s="32" t="s">
        <v>834</v>
      </c>
    </row>
    <row r="134" spans="2:15" ht="19.7" customHeight="1">
      <c r="B134" s="33" t="s">
        <v>834</v>
      </c>
      <c r="C134" s="34" t="s">
        <v>834</v>
      </c>
      <c r="D134" s="34" t="s">
        <v>834</v>
      </c>
      <c r="E134" s="22"/>
      <c r="F134" s="35" t="s">
        <v>834</v>
      </c>
      <c r="G134" s="21"/>
      <c r="H134" s="22"/>
      <c r="I134" s="21"/>
      <c r="J134" s="74">
        <v>0</v>
      </c>
      <c r="K134" s="21"/>
      <c r="L134" s="74">
        <v>0</v>
      </c>
      <c r="M134" s="21"/>
      <c r="N134" s="74">
        <v>0</v>
      </c>
      <c r="O134" s="36" t="s">
        <v>834</v>
      </c>
    </row>
    <row r="135" spans="2:15" ht="19.7" customHeight="1">
      <c r="B135" s="90" t="s">
        <v>736</v>
      </c>
      <c r="C135" s="62" t="s">
        <v>618</v>
      </c>
      <c r="D135" s="62" t="s">
        <v>453</v>
      </c>
      <c r="E135" s="31"/>
      <c r="F135" s="91" t="s">
        <v>596</v>
      </c>
      <c r="G135" s="37"/>
      <c r="H135" s="92">
        <v>296464</v>
      </c>
      <c r="I135" s="37"/>
      <c r="J135" s="92">
        <v>127857</v>
      </c>
      <c r="K135" s="37"/>
      <c r="L135" s="92">
        <v>165650</v>
      </c>
      <c r="M135" s="37"/>
      <c r="N135" s="92">
        <v>2957</v>
      </c>
      <c r="O135" s="93" t="s">
        <v>834</v>
      </c>
    </row>
    <row r="136" spans="2:15" ht="19.7" customHeight="1">
      <c r="B136" s="28" t="s">
        <v>834</v>
      </c>
      <c r="C136" s="29" t="s">
        <v>455</v>
      </c>
      <c r="D136" s="29" t="s">
        <v>834</v>
      </c>
      <c r="E136" s="31">
        <v>1</v>
      </c>
      <c r="F136" s="30" t="s">
        <v>596</v>
      </c>
      <c r="G136" s="37">
        <v>6158</v>
      </c>
      <c r="H136" s="65">
        <v>6158</v>
      </c>
      <c r="I136" s="64">
        <v>5702</v>
      </c>
      <c r="J136" s="65">
        <v>5702</v>
      </c>
      <c r="K136" s="64">
        <v>0</v>
      </c>
      <c r="L136" s="65">
        <v>0</v>
      </c>
      <c r="M136" s="64">
        <v>456</v>
      </c>
      <c r="N136" s="65">
        <v>456</v>
      </c>
      <c r="O136" s="32" t="s">
        <v>74</v>
      </c>
    </row>
    <row r="137" spans="2:15" ht="19.7" customHeight="1">
      <c r="B137" s="28" t="s">
        <v>834</v>
      </c>
      <c r="C137" s="29" t="s">
        <v>602</v>
      </c>
      <c r="D137" s="29" t="s">
        <v>834</v>
      </c>
      <c r="E137" s="31">
        <v>1</v>
      </c>
      <c r="F137" s="30" t="s">
        <v>596</v>
      </c>
      <c r="G137" s="37">
        <v>4657</v>
      </c>
      <c r="H137" s="65">
        <v>4657</v>
      </c>
      <c r="I137" s="64">
        <v>4522</v>
      </c>
      <c r="J137" s="65">
        <v>4522</v>
      </c>
      <c r="K137" s="64">
        <v>0</v>
      </c>
      <c r="L137" s="65">
        <v>0</v>
      </c>
      <c r="M137" s="64">
        <v>135</v>
      </c>
      <c r="N137" s="65">
        <v>135</v>
      </c>
      <c r="O137" s="32" t="s">
        <v>562</v>
      </c>
    </row>
    <row r="138" spans="2:15" ht="19.7" customHeight="1">
      <c r="B138" s="28" t="s">
        <v>834</v>
      </c>
      <c r="C138" s="29" t="s">
        <v>631</v>
      </c>
      <c r="D138" s="29" t="s">
        <v>647</v>
      </c>
      <c r="E138" s="31">
        <v>58</v>
      </c>
      <c r="F138" s="30" t="s">
        <v>477</v>
      </c>
      <c r="G138" s="37">
        <v>2500</v>
      </c>
      <c r="H138" s="65">
        <v>145000</v>
      </c>
      <c r="I138" s="64">
        <v>0</v>
      </c>
      <c r="J138" s="65">
        <v>0</v>
      </c>
      <c r="K138" s="64">
        <v>2500</v>
      </c>
      <c r="L138" s="65">
        <v>145000</v>
      </c>
      <c r="M138" s="64">
        <v>0</v>
      </c>
      <c r="N138" s="65">
        <v>0</v>
      </c>
      <c r="O138" s="32" t="s">
        <v>834</v>
      </c>
    </row>
    <row r="139" spans="2:15" ht="19.7" customHeight="1">
      <c r="B139" s="28" t="s">
        <v>834</v>
      </c>
      <c r="C139" s="29" t="s">
        <v>515</v>
      </c>
      <c r="D139" s="29" t="s">
        <v>834</v>
      </c>
      <c r="E139" s="94">
        <v>0.04</v>
      </c>
      <c r="F139" s="30" t="s">
        <v>596</v>
      </c>
      <c r="G139" s="37">
        <v>1231145</v>
      </c>
      <c r="H139" s="65">
        <v>49244</v>
      </c>
      <c r="I139" s="64">
        <v>1131819</v>
      </c>
      <c r="J139" s="65">
        <v>45272</v>
      </c>
      <c r="K139" s="64">
        <v>55012</v>
      </c>
      <c r="L139" s="65">
        <v>2200</v>
      </c>
      <c r="M139" s="64">
        <v>44314</v>
      </c>
      <c r="N139" s="65">
        <v>1772</v>
      </c>
      <c r="O139" s="32" t="s">
        <v>44</v>
      </c>
    </row>
    <row r="140" spans="2:15" ht="19.7" customHeight="1">
      <c r="B140" s="28" t="s">
        <v>834</v>
      </c>
      <c r="C140" s="29" t="s">
        <v>727</v>
      </c>
      <c r="D140" s="29" t="s">
        <v>797</v>
      </c>
      <c r="E140" s="31">
        <v>1</v>
      </c>
      <c r="F140" s="30" t="s">
        <v>596</v>
      </c>
      <c r="G140" s="37">
        <v>48786</v>
      </c>
      <c r="H140" s="65">
        <v>48786</v>
      </c>
      <c r="I140" s="64">
        <v>29742</v>
      </c>
      <c r="J140" s="65">
        <v>29742</v>
      </c>
      <c r="K140" s="64">
        <v>18450</v>
      </c>
      <c r="L140" s="65">
        <v>18450</v>
      </c>
      <c r="M140" s="64">
        <v>594</v>
      </c>
      <c r="N140" s="65">
        <v>594</v>
      </c>
      <c r="O140" s="32" t="s">
        <v>502</v>
      </c>
    </row>
    <row r="141" spans="2:15" ht="19.7" customHeight="1">
      <c r="B141" s="28" t="s">
        <v>834</v>
      </c>
      <c r="C141" s="29" t="s">
        <v>411</v>
      </c>
      <c r="D141" s="29" t="s">
        <v>110</v>
      </c>
      <c r="E141" s="31">
        <v>50</v>
      </c>
      <c r="F141" s="30" t="s">
        <v>157</v>
      </c>
      <c r="G141" s="37">
        <v>85238</v>
      </c>
      <c r="H141" s="65">
        <v>42619</v>
      </c>
      <c r="I141" s="37">
        <v>85238</v>
      </c>
      <c r="J141" s="65">
        <v>42619</v>
      </c>
      <c r="K141" s="37"/>
      <c r="L141" s="65">
        <v>0</v>
      </c>
      <c r="M141" s="37"/>
      <c r="N141" s="65">
        <v>0</v>
      </c>
      <c r="O141" s="32" t="s">
        <v>834</v>
      </c>
    </row>
    <row r="142" spans="2:15" ht="19.7" customHeight="1">
      <c r="B142" s="28" t="s">
        <v>834</v>
      </c>
      <c r="C142" s="29" t="s">
        <v>834</v>
      </c>
      <c r="D142" s="29" t="s">
        <v>834</v>
      </c>
      <c r="E142" s="31"/>
      <c r="F142" s="30" t="s">
        <v>834</v>
      </c>
      <c r="G142" s="37"/>
      <c r="H142" s="31"/>
      <c r="I142" s="37"/>
      <c r="J142" s="65">
        <v>0</v>
      </c>
      <c r="K142" s="37"/>
      <c r="L142" s="65">
        <v>0</v>
      </c>
      <c r="M142" s="37"/>
      <c r="N142" s="65">
        <v>0</v>
      </c>
      <c r="O142" s="32" t="s">
        <v>834</v>
      </c>
    </row>
    <row r="143" spans="2:15" ht="19.7" customHeight="1">
      <c r="B143" s="90" t="s">
        <v>291</v>
      </c>
      <c r="C143" s="62" t="s">
        <v>618</v>
      </c>
      <c r="D143" s="62" t="s">
        <v>617</v>
      </c>
      <c r="E143" s="31"/>
      <c r="F143" s="91" t="s">
        <v>596</v>
      </c>
      <c r="G143" s="37"/>
      <c r="H143" s="92">
        <v>166125</v>
      </c>
      <c r="I143" s="37"/>
      <c r="J143" s="92">
        <v>90891</v>
      </c>
      <c r="K143" s="37"/>
      <c r="L143" s="92">
        <v>73550</v>
      </c>
      <c r="M143" s="37"/>
      <c r="N143" s="92">
        <v>1684</v>
      </c>
      <c r="O143" s="93" t="s">
        <v>834</v>
      </c>
    </row>
    <row r="144" spans="2:15" ht="19.7" customHeight="1">
      <c r="B144" s="28" t="s">
        <v>834</v>
      </c>
      <c r="C144" s="29" t="s">
        <v>455</v>
      </c>
      <c r="D144" s="29" t="s">
        <v>834</v>
      </c>
      <c r="E144" s="31">
        <v>1</v>
      </c>
      <c r="F144" s="30" t="s">
        <v>596</v>
      </c>
      <c r="G144" s="37">
        <v>6158</v>
      </c>
      <c r="H144" s="65">
        <v>6158</v>
      </c>
      <c r="I144" s="64">
        <v>5702</v>
      </c>
      <c r="J144" s="65">
        <v>5702</v>
      </c>
      <c r="K144" s="64">
        <v>0</v>
      </c>
      <c r="L144" s="65">
        <v>0</v>
      </c>
      <c r="M144" s="64">
        <v>456</v>
      </c>
      <c r="N144" s="65">
        <v>456</v>
      </c>
      <c r="O144" s="32" t="s">
        <v>74</v>
      </c>
    </row>
    <row r="145" spans="2:15" ht="19.7" customHeight="1">
      <c r="B145" s="28" t="s">
        <v>834</v>
      </c>
      <c r="C145" s="29" t="s">
        <v>602</v>
      </c>
      <c r="D145" s="29" t="s">
        <v>834</v>
      </c>
      <c r="E145" s="31">
        <v>1</v>
      </c>
      <c r="F145" s="30" t="s">
        <v>596</v>
      </c>
      <c r="G145" s="37">
        <v>4657</v>
      </c>
      <c r="H145" s="65">
        <v>4657</v>
      </c>
      <c r="I145" s="64">
        <v>4522</v>
      </c>
      <c r="J145" s="65">
        <v>4522</v>
      </c>
      <c r="K145" s="64">
        <v>0</v>
      </c>
      <c r="L145" s="65">
        <v>0</v>
      </c>
      <c r="M145" s="64">
        <v>135</v>
      </c>
      <c r="N145" s="65">
        <v>135</v>
      </c>
      <c r="O145" s="32" t="s">
        <v>562</v>
      </c>
    </row>
    <row r="146" spans="2:15" ht="19.7" customHeight="1">
      <c r="B146" s="28" t="s">
        <v>834</v>
      </c>
      <c r="C146" s="29" t="s">
        <v>631</v>
      </c>
      <c r="D146" s="29" t="s">
        <v>647</v>
      </c>
      <c r="E146" s="31">
        <v>21</v>
      </c>
      <c r="F146" s="30" t="s">
        <v>477</v>
      </c>
      <c r="G146" s="37">
        <v>2500</v>
      </c>
      <c r="H146" s="65">
        <v>52500</v>
      </c>
      <c r="I146" s="64">
        <v>0</v>
      </c>
      <c r="J146" s="65">
        <v>0</v>
      </c>
      <c r="K146" s="64">
        <v>2500</v>
      </c>
      <c r="L146" s="65">
        <v>52500</v>
      </c>
      <c r="M146" s="64">
        <v>0</v>
      </c>
      <c r="N146" s="65">
        <v>0</v>
      </c>
      <c r="O146" s="32" t="s">
        <v>834</v>
      </c>
    </row>
    <row r="147" spans="2:15" ht="19.7" customHeight="1">
      <c r="B147" s="28" t="s">
        <v>834</v>
      </c>
      <c r="C147" s="29" t="s">
        <v>515</v>
      </c>
      <c r="D147" s="29" t="s">
        <v>834</v>
      </c>
      <c r="E147" s="94">
        <v>0.01</v>
      </c>
      <c r="F147" s="30" t="s">
        <v>596</v>
      </c>
      <c r="G147" s="37">
        <v>1231145</v>
      </c>
      <c r="H147" s="65">
        <v>12311</v>
      </c>
      <c r="I147" s="64">
        <v>1131819</v>
      </c>
      <c r="J147" s="65">
        <v>11318</v>
      </c>
      <c r="K147" s="64">
        <v>55012</v>
      </c>
      <c r="L147" s="65">
        <v>550</v>
      </c>
      <c r="M147" s="64">
        <v>44314</v>
      </c>
      <c r="N147" s="65">
        <v>443</v>
      </c>
      <c r="O147" s="32" t="s">
        <v>44</v>
      </c>
    </row>
    <row r="148" spans="2:15" ht="19.7" customHeight="1">
      <c r="B148" s="28" t="s">
        <v>834</v>
      </c>
      <c r="C148" s="29" t="s">
        <v>727</v>
      </c>
      <c r="D148" s="29" t="s">
        <v>238</v>
      </c>
      <c r="E148" s="31">
        <v>1</v>
      </c>
      <c r="F148" s="30" t="s">
        <v>596</v>
      </c>
      <c r="G148" s="37">
        <v>60202</v>
      </c>
      <c r="H148" s="65">
        <v>60202</v>
      </c>
      <c r="I148" s="64">
        <v>39052</v>
      </c>
      <c r="J148" s="65">
        <v>39052</v>
      </c>
      <c r="K148" s="64">
        <v>20500</v>
      </c>
      <c r="L148" s="65">
        <v>20500</v>
      </c>
      <c r="M148" s="64">
        <v>650</v>
      </c>
      <c r="N148" s="65">
        <v>650</v>
      </c>
      <c r="O148" s="32" t="s">
        <v>368</v>
      </c>
    </row>
    <row r="149" spans="2:15" ht="19.7" customHeight="1">
      <c r="B149" s="28" t="s">
        <v>834</v>
      </c>
      <c r="C149" s="29" t="s">
        <v>411</v>
      </c>
      <c r="D149" s="29" t="s">
        <v>110</v>
      </c>
      <c r="E149" s="31">
        <v>50</v>
      </c>
      <c r="F149" s="30" t="s">
        <v>157</v>
      </c>
      <c r="G149" s="37">
        <v>60594</v>
      </c>
      <c r="H149" s="65">
        <v>30297</v>
      </c>
      <c r="I149" s="37">
        <v>60594</v>
      </c>
      <c r="J149" s="65">
        <v>30297</v>
      </c>
      <c r="K149" s="37"/>
      <c r="L149" s="65">
        <v>0</v>
      </c>
      <c r="M149" s="37"/>
      <c r="N149" s="65">
        <v>0</v>
      </c>
      <c r="O149" s="32" t="s">
        <v>834</v>
      </c>
    </row>
    <row r="150" spans="2:15" ht="19.7" customHeight="1">
      <c r="B150" s="28" t="s">
        <v>834</v>
      </c>
      <c r="C150" s="29" t="s">
        <v>834</v>
      </c>
      <c r="D150" s="29" t="s">
        <v>834</v>
      </c>
      <c r="E150" s="31"/>
      <c r="F150" s="30" t="s">
        <v>834</v>
      </c>
      <c r="G150" s="37"/>
      <c r="H150" s="31"/>
      <c r="I150" s="37"/>
      <c r="J150" s="65">
        <v>0</v>
      </c>
      <c r="K150" s="37"/>
      <c r="L150" s="65">
        <v>0</v>
      </c>
      <c r="M150" s="37"/>
      <c r="N150" s="65">
        <v>0</v>
      </c>
      <c r="O150" s="32" t="s">
        <v>834</v>
      </c>
    </row>
    <row r="151" spans="2:15" ht="19.7" customHeight="1">
      <c r="B151" s="90" t="s">
        <v>802</v>
      </c>
      <c r="C151" s="62" t="s">
        <v>438</v>
      </c>
      <c r="D151" s="62" t="s">
        <v>609</v>
      </c>
      <c r="E151" s="31"/>
      <c r="F151" s="91" t="s">
        <v>596</v>
      </c>
      <c r="G151" s="37"/>
      <c r="H151" s="92">
        <v>461080</v>
      </c>
      <c r="I151" s="37"/>
      <c r="J151" s="92">
        <v>168850</v>
      </c>
      <c r="K151" s="37"/>
      <c r="L151" s="92">
        <v>288670</v>
      </c>
      <c r="M151" s="37"/>
      <c r="N151" s="92">
        <v>3560</v>
      </c>
      <c r="O151" s="93" t="s">
        <v>834</v>
      </c>
    </row>
    <row r="152" spans="2:15" ht="19.7" customHeight="1">
      <c r="B152" s="28" t="s">
        <v>834</v>
      </c>
      <c r="C152" s="29" t="s">
        <v>455</v>
      </c>
      <c r="D152" s="29" t="s">
        <v>834</v>
      </c>
      <c r="E152" s="31">
        <v>1</v>
      </c>
      <c r="F152" s="30" t="s">
        <v>596</v>
      </c>
      <c r="G152" s="37">
        <v>6158</v>
      </c>
      <c r="H152" s="65">
        <v>6158</v>
      </c>
      <c r="I152" s="64">
        <v>5702</v>
      </c>
      <c r="J152" s="65">
        <v>5702</v>
      </c>
      <c r="K152" s="64">
        <v>0</v>
      </c>
      <c r="L152" s="65">
        <v>0</v>
      </c>
      <c r="M152" s="64">
        <v>456</v>
      </c>
      <c r="N152" s="65">
        <v>456</v>
      </c>
      <c r="O152" s="32" t="s">
        <v>74</v>
      </c>
    </row>
    <row r="153" spans="2:15" ht="19.7" customHeight="1">
      <c r="B153" s="28" t="s">
        <v>834</v>
      </c>
      <c r="C153" s="29" t="s">
        <v>602</v>
      </c>
      <c r="D153" s="29" t="s">
        <v>834</v>
      </c>
      <c r="E153" s="31">
        <v>1</v>
      </c>
      <c r="F153" s="30" t="s">
        <v>596</v>
      </c>
      <c r="G153" s="37">
        <v>4657</v>
      </c>
      <c r="H153" s="65">
        <v>4657</v>
      </c>
      <c r="I153" s="64">
        <v>4522</v>
      </c>
      <c r="J153" s="65">
        <v>4522</v>
      </c>
      <c r="K153" s="64">
        <v>0</v>
      </c>
      <c r="L153" s="65">
        <v>0</v>
      </c>
      <c r="M153" s="64">
        <v>135</v>
      </c>
      <c r="N153" s="65">
        <v>135</v>
      </c>
      <c r="O153" s="32" t="s">
        <v>562</v>
      </c>
    </row>
    <row r="154" spans="2:15" ht="19.7" customHeight="1">
      <c r="B154" s="28" t="s">
        <v>834</v>
      </c>
      <c r="C154" s="29" t="s">
        <v>743</v>
      </c>
      <c r="D154" s="29" t="s">
        <v>834</v>
      </c>
      <c r="E154" s="31">
        <v>1</v>
      </c>
      <c r="F154" s="30" t="s">
        <v>596</v>
      </c>
      <c r="G154" s="37">
        <v>3594</v>
      </c>
      <c r="H154" s="65">
        <v>3594</v>
      </c>
      <c r="I154" s="64">
        <v>3490</v>
      </c>
      <c r="J154" s="65">
        <v>3490</v>
      </c>
      <c r="K154" s="64">
        <v>0</v>
      </c>
      <c r="L154" s="65">
        <v>0</v>
      </c>
      <c r="M154" s="64">
        <v>104</v>
      </c>
      <c r="N154" s="65">
        <v>104</v>
      </c>
      <c r="O154" s="32" t="s">
        <v>56</v>
      </c>
    </row>
    <row r="155" spans="2:15" ht="19.7" customHeight="1">
      <c r="B155" s="28" t="s">
        <v>834</v>
      </c>
      <c r="C155" s="29" t="s">
        <v>357</v>
      </c>
      <c r="D155" s="29" t="s">
        <v>142</v>
      </c>
      <c r="E155" s="31">
        <v>1</v>
      </c>
      <c r="F155" s="30" t="s">
        <v>596</v>
      </c>
      <c r="G155" s="37">
        <v>6131</v>
      </c>
      <c r="H155" s="65">
        <v>6131</v>
      </c>
      <c r="I155" s="64">
        <v>3211</v>
      </c>
      <c r="J155" s="65">
        <v>3211</v>
      </c>
      <c r="K155" s="64">
        <v>2920</v>
      </c>
      <c r="L155" s="65">
        <v>2920</v>
      </c>
      <c r="M155" s="64">
        <v>0</v>
      </c>
      <c r="N155" s="65">
        <v>0</v>
      </c>
      <c r="O155" s="32" t="s">
        <v>199</v>
      </c>
    </row>
    <row r="156" spans="2:15" ht="19.7" customHeight="1">
      <c r="B156" s="28" t="s">
        <v>834</v>
      </c>
      <c r="C156" s="29" t="s">
        <v>631</v>
      </c>
      <c r="D156" s="29" t="s">
        <v>647</v>
      </c>
      <c r="E156" s="31">
        <v>105</v>
      </c>
      <c r="F156" s="30" t="s">
        <v>477</v>
      </c>
      <c r="G156" s="37">
        <v>2500</v>
      </c>
      <c r="H156" s="65">
        <v>262500</v>
      </c>
      <c r="I156" s="64">
        <v>0</v>
      </c>
      <c r="J156" s="65">
        <v>0</v>
      </c>
      <c r="K156" s="64">
        <v>2500</v>
      </c>
      <c r="L156" s="65">
        <v>262500</v>
      </c>
      <c r="M156" s="64">
        <v>0</v>
      </c>
      <c r="N156" s="65">
        <v>0</v>
      </c>
      <c r="O156" s="32" t="s">
        <v>834</v>
      </c>
    </row>
    <row r="157" spans="2:15" ht="19.7" customHeight="1">
      <c r="B157" s="28" t="s">
        <v>834</v>
      </c>
      <c r="C157" s="29" t="s">
        <v>515</v>
      </c>
      <c r="D157" s="29" t="s">
        <v>834</v>
      </c>
      <c r="E157" s="94">
        <v>0.05</v>
      </c>
      <c r="F157" s="30" t="s">
        <v>596</v>
      </c>
      <c r="G157" s="37">
        <v>1231145</v>
      </c>
      <c r="H157" s="65">
        <v>61555</v>
      </c>
      <c r="I157" s="64">
        <v>1131819</v>
      </c>
      <c r="J157" s="65">
        <v>56590</v>
      </c>
      <c r="K157" s="64">
        <v>55012</v>
      </c>
      <c r="L157" s="65">
        <v>2750</v>
      </c>
      <c r="M157" s="64">
        <v>44314</v>
      </c>
      <c r="N157" s="65">
        <v>2215</v>
      </c>
      <c r="O157" s="32" t="s">
        <v>44</v>
      </c>
    </row>
    <row r="158" spans="2:15" ht="19.7" customHeight="1">
      <c r="B158" s="28" t="s">
        <v>834</v>
      </c>
      <c r="C158" s="29" t="s">
        <v>727</v>
      </c>
      <c r="D158" s="29" t="s">
        <v>238</v>
      </c>
      <c r="E158" s="31">
        <v>1</v>
      </c>
      <c r="F158" s="30" t="s">
        <v>596</v>
      </c>
      <c r="G158" s="37">
        <v>60202</v>
      </c>
      <c r="H158" s="65">
        <v>60202</v>
      </c>
      <c r="I158" s="64">
        <v>39052</v>
      </c>
      <c r="J158" s="65">
        <v>39052</v>
      </c>
      <c r="K158" s="64">
        <v>20500</v>
      </c>
      <c r="L158" s="65">
        <v>20500</v>
      </c>
      <c r="M158" s="64">
        <v>650</v>
      </c>
      <c r="N158" s="65">
        <v>650</v>
      </c>
      <c r="O158" s="32" t="s">
        <v>368</v>
      </c>
    </row>
    <row r="159" spans="2:15" ht="19.7" customHeight="1">
      <c r="B159" s="28" t="s">
        <v>834</v>
      </c>
      <c r="C159" s="29" t="s">
        <v>411</v>
      </c>
      <c r="D159" s="29" t="s">
        <v>110</v>
      </c>
      <c r="E159" s="31">
        <v>50</v>
      </c>
      <c r="F159" s="30" t="s">
        <v>157</v>
      </c>
      <c r="G159" s="37">
        <v>112567</v>
      </c>
      <c r="H159" s="65">
        <v>56283</v>
      </c>
      <c r="I159" s="37">
        <v>112567</v>
      </c>
      <c r="J159" s="65">
        <v>56283</v>
      </c>
      <c r="K159" s="37"/>
      <c r="L159" s="65">
        <v>0</v>
      </c>
      <c r="M159" s="37"/>
      <c r="N159" s="65">
        <v>0</v>
      </c>
      <c r="O159" s="32" t="s">
        <v>834</v>
      </c>
    </row>
    <row r="160" spans="2:15" ht="19.7" customHeight="1">
      <c r="B160" s="33" t="s">
        <v>834</v>
      </c>
      <c r="C160" s="34" t="s">
        <v>834</v>
      </c>
      <c r="D160" s="34" t="s">
        <v>834</v>
      </c>
      <c r="E160" s="22"/>
      <c r="F160" s="35" t="s">
        <v>834</v>
      </c>
      <c r="G160" s="21"/>
      <c r="H160" s="22"/>
      <c r="I160" s="21"/>
      <c r="J160" s="74">
        <v>0</v>
      </c>
      <c r="K160" s="21"/>
      <c r="L160" s="74">
        <v>0</v>
      </c>
      <c r="M160" s="21"/>
      <c r="N160" s="74">
        <v>0</v>
      </c>
      <c r="O160" s="36" t="s">
        <v>834</v>
      </c>
    </row>
    <row r="161" spans="2:15" ht="19.7" customHeight="1">
      <c r="B161" s="90" t="s">
        <v>270</v>
      </c>
      <c r="C161" s="62" t="s">
        <v>357</v>
      </c>
      <c r="D161" s="62" t="s">
        <v>142</v>
      </c>
      <c r="E161" s="31"/>
      <c r="F161" s="91" t="s">
        <v>596</v>
      </c>
      <c r="G161" s="37"/>
      <c r="H161" s="92">
        <v>6131</v>
      </c>
      <c r="I161" s="37"/>
      <c r="J161" s="92">
        <v>3211</v>
      </c>
      <c r="K161" s="37"/>
      <c r="L161" s="92">
        <v>2920</v>
      </c>
      <c r="M161" s="37"/>
      <c r="N161" s="65">
        <v>0</v>
      </c>
      <c r="O161" s="93" t="s">
        <v>834</v>
      </c>
    </row>
    <row r="162" spans="2:15" ht="19.7" customHeight="1">
      <c r="B162" s="28" t="s">
        <v>834</v>
      </c>
      <c r="C162" s="29" t="s">
        <v>323</v>
      </c>
      <c r="D162" s="29" t="s">
        <v>20</v>
      </c>
      <c r="E162" s="94">
        <v>0.1168</v>
      </c>
      <c r="F162" s="30" t="s">
        <v>477</v>
      </c>
      <c r="G162" s="37">
        <v>25000</v>
      </c>
      <c r="H162" s="65">
        <v>2920</v>
      </c>
      <c r="I162" s="64">
        <v>0</v>
      </c>
      <c r="J162" s="65">
        <v>0</v>
      </c>
      <c r="K162" s="64">
        <v>25000</v>
      </c>
      <c r="L162" s="65">
        <v>2920</v>
      </c>
      <c r="M162" s="64">
        <v>0</v>
      </c>
      <c r="N162" s="65">
        <v>0</v>
      </c>
      <c r="O162" s="32" t="s">
        <v>834</v>
      </c>
    </row>
    <row r="163" spans="2:15" ht="19.7" customHeight="1">
      <c r="B163" s="28" t="s">
        <v>834</v>
      </c>
      <c r="C163" s="29" t="s">
        <v>667</v>
      </c>
      <c r="D163" s="29" t="s">
        <v>834</v>
      </c>
      <c r="E163" s="94">
        <v>8.9999999999999993E-3</v>
      </c>
      <c r="F163" s="30" t="s">
        <v>767</v>
      </c>
      <c r="G163" s="37">
        <v>263017</v>
      </c>
      <c r="H163" s="65">
        <v>2367</v>
      </c>
      <c r="I163" s="64">
        <v>263017</v>
      </c>
      <c r="J163" s="65">
        <v>2367</v>
      </c>
      <c r="K163" s="64">
        <v>0</v>
      </c>
      <c r="L163" s="65">
        <v>0</v>
      </c>
      <c r="M163" s="64">
        <v>0</v>
      </c>
      <c r="N163" s="65">
        <v>0</v>
      </c>
      <c r="O163" s="32" t="s">
        <v>834</v>
      </c>
    </row>
    <row r="164" spans="2:15" ht="19.7" customHeight="1">
      <c r="B164" s="28" t="s">
        <v>834</v>
      </c>
      <c r="C164" s="29" t="s">
        <v>54</v>
      </c>
      <c r="D164" s="29" t="s">
        <v>834</v>
      </c>
      <c r="E164" s="94">
        <v>1.8E-3</v>
      </c>
      <c r="F164" s="30" t="s">
        <v>767</v>
      </c>
      <c r="G164" s="37">
        <v>172068</v>
      </c>
      <c r="H164" s="65">
        <v>309</v>
      </c>
      <c r="I164" s="64">
        <v>172068</v>
      </c>
      <c r="J164" s="65">
        <v>309</v>
      </c>
      <c r="K164" s="64">
        <v>0</v>
      </c>
      <c r="L164" s="65">
        <v>0</v>
      </c>
      <c r="M164" s="64">
        <v>0</v>
      </c>
      <c r="N164" s="65">
        <v>0</v>
      </c>
      <c r="O164" s="32" t="s">
        <v>834</v>
      </c>
    </row>
    <row r="165" spans="2:15" ht="19.7" customHeight="1">
      <c r="B165" s="28" t="s">
        <v>834</v>
      </c>
      <c r="C165" s="29" t="s">
        <v>404</v>
      </c>
      <c r="D165" s="29" t="s">
        <v>110</v>
      </c>
      <c r="E165" s="31">
        <v>20</v>
      </c>
      <c r="F165" s="30" t="s">
        <v>157</v>
      </c>
      <c r="G165" s="37">
        <v>2676</v>
      </c>
      <c r="H165" s="65">
        <v>535</v>
      </c>
      <c r="I165" s="37">
        <v>2676</v>
      </c>
      <c r="J165" s="65">
        <v>535</v>
      </c>
      <c r="K165" s="37"/>
      <c r="L165" s="65">
        <v>0</v>
      </c>
      <c r="M165" s="37"/>
      <c r="N165" s="65">
        <v>0</v>
      </c>
      <c r="O165" s="32" t="s">
        <v>834</v>
      </c>
    </row>
    <row r="166" spans="2:15" ht="19.7" customHeight="1">
      <c r="B166" s="28" t="s">
        <v>834</v>
      </c>
      <c r="C166" s="29" t="s">
        <v>834</v>
      </c>
      <c r="D166" s="29" t="s">
        <v>834</v>
      </c>
      <c r="E166" s="31"/>
      <c r="F166" s="30" t="s">
        <v>834</v>
      </c>
      <c r="G166" s="37"/>
      <c r="H166" s="31"/>
      <c r="I166" s="37"/>
      <c r="J166" s="65">
        <v>0</v>
      </c>
      <c r="K166" s="37"/>
      <c r="L166" s="65">
        <v>0</v>
      </c>
      <c r="M166" s="37"/>
      <c r="N166" s="65">
        <v>0</v>
      </c>
      <c r="O166" s="32" t="s">
        <v>834</v>
      </c>
    </row>
    <row r="167" spans="2:15" ht="19.7" customHeight="1">
      <c r="B167" s="90" t="s">
        <v>787</v>
      </c>
      <c r="C167" s="62" t="s">
        <v>618</v>
      </c>
      <c r="D167" s="62" t="s">
        <v>40</v>
      </c>
      <c r="E167" s="31"/>
      <c r="F167" s="91" t="s">
        <v>596</v>
      </c>
      <c r="G167" s="37"/>
      <c r="H167" s="92">
        <v>147554</v>
      </c>
      <c r="I167" s="37"/>
      <c r="J167" s="92">
        <v>76926</v>
      </c>
      <c r="K167" s="37"/>
      <c r="L167" s="92">
        <v>69000</v>
      </c>
      <c r="M167" s="37"/>
      <c r="N167" s="92">
        <v>1628</v>
      </c>
      <c r="O167" s="93" t="s">
        <v>834</v>
      </c>
    </row>
    <row r="168" spans="2:15" ht="19.7" customHeight="1">
      <c r="B168" s="28" t="s">
        <v>834</v>
      </c>
      <c r="C168" s="29" t="s">
        <v>455</v>
      </c>
      <c r="D168" s="29" t="s">
        <v>834</v>
      </c>
      <c r="E168" s="31">
        <v>1</v>
      </c>
      <c r="F168" s="30" t="s">
        <v>596</v>
      </c>
      <c r="G168" s="37">
        <v>6158</v>
      </c>
      <c r="H168" s="65">
        <v>6158</v>
      </c>
      <c r="I168" s="64">
        <v>5702</v>
      </c>
      <c r="J168" s="65">
        <v>5702</v>
      </c>
      <c r="K168" s="64">
        <v>0</v>
      </c>
      <c r="L168" s="65">
        <v>0</v>
      </c>
      <c r="M168" s="64">
        <v>456</v>
      </c>
      <c r="N168" s="65">
        <v>456</v>
      </c>
      <c r="O168" s="32" t="s">
        <v>74</v>
      </c>
    </row>
    <row r="169" spans="2:15" ht="19.7" customHeight="1">
      <c r="B169" s="28" t="s">
        <v>834</v>
      </c>
      <c r="C169" s="29" t="s">
        <v>602</v>
      </c>
      <c r="D169" s="29" t="s">
        <v>834</v>
      </c>
      <c r="E169" s="31">
        <v>1</v>
      </c>
      <c r="F169" s="30" t="s">
        <v>596</v>
      </c>
      <c r="G169" s="37">
        <v>4657</v>
      </c>
      <c r="H169" s="65">
        <v>4657</v>
      </c>
      <c r="I169" s="64">
        <v>4522</v>
      </c>
      <c r="J169" s="65">
        <v>4522</v>
      </c>
      <c r="K169" s="64">
        <v>0</v>
      </c>
      <c r="L169" s="65">
        <v>0</v>
      </c>
      <c r="M169" s="64">
        <v>135</v>
      </c>
      <c r="N169" s="65">
        <v>135</v>
      </c>
      <c r="O169" s="32" t="s">
        <v>562</v>
      </c>
    </row>
    <row r="170" spans="2:15" ht="19.7" customHeight="1">
      <c r="B170" s="28" t="s">
        <v>834</v>
      </c>
      <c r="C170" s="29" t="s">
        <v>631</v>
      </c>
      <c r="D170" s="29" t="s">
        <v>647</v>
      </c>
      <c r="E170" s="31">
        <v>20</v>
      </c>
      <c r="F170" s="30" t="s">
        <v>477</v>
      </c>
      <c r="G170" s="37">
        <v>2500</v>
      </c>
      <c r="H170" s="65">
        <v>50000</v>
      </c>
      <c r="I170" s="64">
        <v>0</v>
      </c>
      <c r="J170" s="65">
        <v>0</v>
      </c>
      <c r="K170" s="64">
        <v>2500</v>
      </c>
      <c r="L170" s="65">
        <v>50000</v>
      </c>
      <c r="M170" s="64">
        <v>0</v>
      </c>
      <c r="N170" s="65">
        <v>0</v>
      </c>
      <c r="O170" s="32" t="s">
        <v>834</v>
      </c>
    </row>
    <row r="171" spans="2:15" ht="19.7" customHeight="1">
      <c r="B171" s="28" t="s">
        <v>834</v>
      </c>
      <c r="C171" s="29" t="s">
        <v>515</v>
      </c>
      <c r="D171" s="29" t="s">
        <v>834</v>
      </c>
      <c r="E171" s="94">
        <v>0.01</v>
      </c>
      <c r="F171" s="30" t="s">
        <v>596</v>
      </c>
      <c r="G171" s="37">
        <v>1231145</v>
      </c>
      <c r="H171" s="65">
        <v>12311</v>
      </c>
      <c r="I171" s="64">
        <v>1131819</v>
      </c>
      <c r="J171" s="65">
        <v>11318</v>
      </c>
      <c r="K171" s="64">
        <v>55012</v>
      </c>
      <c r="L171" s="65">
        <v>550</v>
      </c>
      <c r="M171" s="64">
        <v>44314</v>
      </c>
      <c r="N171" s="65">
        <v>443</v>
      </c>
      <c r="O171" s="32" t="s">
        <v>44</v>
      </c>
    </row>
    <row r="172" spans="2:15" ht="19.7" customHeight="1">
      <c r="B172" s="28" t="s">
        <v>834</v>
      </c>
      <c r="C172" s="29" t="s">
        <v>727</v>
      </c>
      <c r="D172" s="29" t="s">
        <v>797</v>
      </c>
      <c r="E172" s="31">
        <v>1</v>
      </c>
      <c r="F172" s="30" t="s">
        <v>596</v>
      </c>
      <c r="G172" s="37">
        <v>48786</v>
      </c>
      <c r="H172" s="65">
        <v>48786</v>
      </c>
      <c r="I172" s="64">
        <v>29742</v>
      </c>
      <c r="J172" s="65">
        <v>29742</v>
      </c>
      <c r="K172" s="64">
        <v>18450</v>
      </c>
      <c r="L172" s="65">
        <v>18450</v>
      </c>
      <c r="M172" s="64">
        <v>594</v>
      </c>
      <c r="N172" s="65">
        <v>594</v>
      </c>
      <c r="O172" s="32" t="s">
        <v>502</v>
      </c>
    </row>
    <row r="173" spans="2:15" ht="19.7" customHeight="1">
      <c r="B173" s="28" t="s">
        <v>834</v>
      </c>
      <c r="C173" s="29" t="s">
        <v>411</v>
      </c>
      <c r="D173" s="29" t="s">
        <v>110</v>
      </c>
      <c r="E173" s="31">
        <v>50</v>
      </c>
      <c r="F173" s="30" t="s">
        <v>157</v>
      </c>
      <c r="G173" s="37">
        <v>51284</v>
      </c>
      <c r="H173" s="65">
        <v>25642</v>
      </c>
      <c r="I173" s="37">
        <v>51284</v>
      </c>
      <c r="J173" s="65">
        <v>25642</v>
      </c>
      <c r="K173" s="37"/>
      <c r="L173" s="65">
        <v>0</v>
      </c>
      <c r="M173" s="37"/>
      <c r="N173" s="65">
        <v>0</v>
      </c>
      <c r="O173" s="32" t="s">
        <v>834</v>
      </c>
    </row>
    <row r="174" spans="2:15" ht="19.7" customHeight="1">
      <c r="B174" s="28" t="s">
        <v>834</v>
      </c>
      <c r="C174" s="29" t="s">
        <v>834</v>
      </c>
      <c r="D174" s="29" t="s">
        <v>834</v>
      </c>
      <c r="E174" s="31"/>
      <c r="F174" s="30" t="s">
        <v>834</v>
      </c>
      <c r="G174" s="37"/>
      <c r="H174" s="31"/>
      <c r="I174" s="37"/>
      <c r="J174" s="65">
        <v>0</v>
      </c>
      <c r="K174" s="37"/>
      <c r="L174" s="65">
        <v>0</v>
      </c>
      <c r="M174" s="37"/>
      <c r="N174" s="65">
        <v>0</v>
      </c>
      <c r="O174" s="32" t="s">
        <v>834</v>
      </c>
    </row>
    <row r="175" spans="2:15" ht="19.7" customHeight="1">
      <c r="B175" s="90" t="s">
        <v>109</v>
      </c>
      <c r="C175" s="62" t="s">
        <v>618</v>
      </c>
      <c r="D175" s="62" t="s">
        <v>217</v>
      </c>
      <c r="E175" s="31"/>
      <c r="F175" s="91" t="s">
        <v>596</v>
      </c>
      <c r="G175" s="37"/>
      <c r="H175" s="92">
        <v>317535</v>
      </c>
      <c r="I175" s="37"/>
      <c r="J175" s="92">
        <v>141822</v>
      </c>
      <c r="K175" s="37"/>
      <c r="L175" s="92">
        <v>172700</v>
      </c>
      <c r="M175" s="37"/>
      <c r="N175" s="92">
        <v>3013</v>
      </c>
      <c r="O175" s="93" t="s">
        <v>834</v>
      </c>
    </row>
    <row r="176" spans="2:15" ht="19.7" customHeight="1">
      <c r="B176" s="28" t="s">
        <v>834</v>
      </c>
      <c r="C176" s="29" t="s">
        <v>455</v>
      </c>
      <c r="D176" s="29" t="s">
        <v>834</v>
      </c>
      <c r="E176" s="31">
        <v>1</v>
      </c>
      <c r="F176" s="30" t="s">
        <v>596</v>
      </c>
      <c r="G176" s="37">
        <v>6158</v>
      </c>
      <c r="H176" s="65">
        <v>6158</v>
      </c>
      <c r="I176" s="64">
        <v>5702</v>
      </c>
      <c r="J176" s="65">
        <v>5702</v>
      </c>
      <c r="K176" s="64">
        <v>0</v>
      </c>
      <c r="L176" s="65">
        <v>0</v>
      </c>
      <c r="M176" s="64">
        <v>456</v>
      </c>
      <c r="N176" s="65">
        <v>456</v>
      </c>
      <c r="O176" s="32" t="s">
        <v>74</v>
      </c>
    </row>
    <row r="177" spans="2:15" ht="19.7" customHeight="1">
      <c r="B177" s="28" t="s">
        <v>834</v>
      </c>
      <c r="C177" s="29" t="s">
        <v>602</v>
      </c>
      <c r="D177" s="29" t="s">
        <v>834</v>
      </c>
      <c r="E177" s="31">
        <v>1</v>
      </c>
      <c r="F177" s="30" t="s">
        <v>596</v>
      </c>
      <c r="G177" s="37">
        <v>4657</v>
      </c>
      <c r="H177" s="65">
        <v>4657</v>
      </c>
      <c r="I177" s="64">
        <v>4522</v>
      </c>
      <c r="J177" s="65">
        <v>4522</v>
      </c>
      <c r="K177" s="64">
        <v>0</v>
      </c>
      <c r="L177" s="65">
        <v>0</v>
      </c>
      <c r="M177" s="64">
        <v>135</v>
      </c>
      <c r="N177" s="65">
        <v>135</v>
      </c>
      <c r="O177" s="32" t="s">
        <v>562</v>
      </c>
    </row>
    <row r="178" spans="2:15" ht="19.7" customHeight="1">
      <c r="B178" s="28" t="s">
        <v>834</v>
      </c>
      <c r="C178" s="29" t="s">
        <v>631</v>
      </c>
      <c r="D178" s="29" t="s">
        <v>647</v>
      </c>
      <c r="E178" s="31">
        <v>60</v>
      </c>
      <c r="F178" s="30" t="s">
        <v>477</v>
      </c>
      <c r="G178" s="37">
        <v>2500</v>
      </c>
      <c r="H178" s="65">
        <v>150000</v>
      </c>
      <c r="I178" s="64">
        <v>0</v>
      </c>
      <c r="J178" s="65">
        <v>0</v>
      </c>
      <c r="K178" s="64">
        <v>2500</v>
      </c>
      <c r="L178" s="65">
        <v>150000</v>
      </c>
      <c r="M178" s="64">
        <v>0</v>
      </c>
      <c r="N178" s="65">
        <v>0</v>
      </c>
      <c r="O178" s="32" t="s">
        <v>834</v>
      </c>
    </row>
    <row r="179" spans="2:15" ht="19.7" customHeight="1">
      <c r="B179" s="28" t="s">
        <v>834</v>
      </c>
      <c r="C179" s="29" t="s">
        <v>515</v>
      </c>
      <c r="D179" s="29" t="s">
        <v>834</v>
      </c>
      <c r="E179" s="94">
        <v>0.04</v>
      </c>
      <c r="F179" s="30" t="s">
        <v>596</v>
      </c>
      <c r="G179" s="37">
        <v>1231145</v>
      </c>
      <c r="H179" s="65">
        <v>49244</v>
      </c>
      <c r="I179" s="64">
        <v>1131819</v>
      </c>
      <c r="J179" s="65">
        <v>45272</v>
      </c>
      <c r="K179" s="64">
        <v>55012</v>
      </c>
      <c r="L179" s="65">
        <v>2200</v>
      </c>
      <c r="M179" s="64">
        <v>44314</v>
      </c>
      <c r="N179" s="65">
        <v>1772</v>
      </c>
      <c r="O179" s="32" t="s">
        <v>44</v>
      </c>
    </row>
    <row r="180" spans="2:15" ht="19.7" customHeight="1">
      <c r="B180" s="28" t="s">
        <v>834</v>
      </c>
      <c r="C180" s="29" t="s">
        <v>727</v>
      </c>
      <c r="D180" s="29" t="s">
        <v>238</v>
      </c>
      <c r="E180" s="31">
        <v>1</v>
      </c>
      <c r="F180" s="30" t="s">
        <v>596</v>
      </c>
      <c r="G180" s="37">
        <v>60202</v>
      </c>
      <c r="H180" s="65">
        <v>60202</v>
      </c>
      <c r="I180" s="64">
        <v>39052</v>
      </c>
      <c r="J180" s="65">
        <v>39052</v>
      </c>
      <c r="K180" s="64">
        <v>20500</v>
      </c>
      <c r="L180" s="65">
        <v>20500</v>
      </c>
      <c r="M180" s="64">
        <v>650</v>
      </c>
      <c r="N180" s="65">
        <v>650</v>
      </c>
      <c r="O180" s="32" t="s">
        <v>368</v>
      </c>
    </row>
    <row r="181" spans="2:15" ht="19.7" customHeight="1">
      <c r="B181" s="28" t="s">
        <v>834</v>
      </c>
      <c r="C181" s="29" t="s">
        <v>411</v>
      </c>
      <c r="D181" s="29" t="s">
        <v>110</v>
      </c>
      <c r="E181" s="31">
        <v>50</v>
      </c>
      <c r="F181" s="30" t="s">
        <v>157</v>
      </c>
      <c r="G181" s="37">
        <v>94548</v>
      </c>
      <c r="H181" s="65">
        <v>47274</v>
      </c>
      <c r="I181" s="37">
        <v>94548</v>
      </c>
      <c r="J181" s="65">
        <v>47274</v>
      </c>
      <c r="K181" s="37"/>
      <c r="L181" s="65">
        <v>0</v>
      </c>
      <c r="M181" s="37"/>
      <c r="N181" s="65">
        <v>0</v>
      </c>
      <c r="O181" s="32" t="s">
        <v>834</v>
      </c>
    </row>
    <row r="182" spans="2:15" ht="19.7" customHeight="1">
      <c r="B182" s="28" t="s">
        <v>834</v>
      </c>
      <c r="C182" s="29" t="s">
        <v>834</v>
      </c>
      <c r="D182" s="29" t="s">
        <v>834</v>
      </c>
      <c r="E182" s="31"/>
      <c r="F182" s="30" t="s">
        <v>834</v>
      </c>
      <c r="G182" s="37"/>
      <c r="H182" s="31"/>
      <c r="I182" s="37"/>
      <c r="J182" s="65">
        <v>0</v>
      </c>
      <c r="K182" s="37"/>
      <c r="L182" s="65">
        <v>0</v>
      </c>
      <c r="M182" s="37"/>
      <c r="N182" s="65">
        <v>0</v>
      </c>
      <c r="O182" s="32" t="s">
        <v>834</v>
      </c>
    </row>
    <row r="183" spans="2:15" ht="19.7" customHeight="1">
      <c r="B183" s="90" t="s">
        <v>419</v>
      </c>
      <c r="C183" s="62" t="s">
        <v>283</v>
      </c>
      <c r="D183" s="62" t="s">
        <v>571</v>
      </c>
      <c r="E183" s="31"/>
      <c r="F183" s="91" t="s">
        <v>665</v>
      </c>
      <c r="G183" s="37"/>
      <c r="H183" s="92">
        <v>99000</v>
      </c>
      <c r="I183" s="37"/>
      <c r="J183" s="65">
        <v>0</v>
      </c>
      <c r="K183" s="37"/>
      <c r="L183" s="65">
        <v>0</v>
      </c>
      <c r="M183" s="37"/>
      <c r="N183" s="92">
        <v>99000</v>
      </c>
      <c r="O183" s="93" t="s">
        <v>834</v>
      </c>
    </row>
    <row r="184" spans="2:15" ht="19.7" customHeight="1">
      <c r="B184" s="28" t="s">
        <v>834</v>
      </c>
      <c r="C184" s="29" t="s">
        <v>0</v>
      </c>
      <c r="D184" s="29" t="s">
        <v>571</v>
      </c>
      <c r="E184" s="31">
        <v>1</v>
      </c>
      <c r="F184" s="30" t="s">
        <v>508</v>
      </c>
      <c r="G184" s="37">
        <v>99000</v>
      </c>
      <c r="H184" s="65">
        <v>99000</v>
      </c>
      <c r="I184" s="37"/>
      <c r="J184" s="65">
        <v>0</v>
      </c>
      <c r="K184" s="37"/>
      <c r="L184" s="65">
        <v>0</v>
      </c>
      <c r="M184" s="37">
        <v>99000</v>
      </c>
      <c r="N184" s="65">
        <v>99000</v>
      </c>
      <c r="O184" s="32" t="s">
        <v>834</v>
      </c>
    </row>
    <row r="185" spans="2:15" ht="19.7" customHeight="1">
      <c r="B185" s="28" t="s">
        <v>834</v>
      </c>
      <c r="C185" s="29" t="s">
        <v>834</v>
      </c>
      <c r="D185" s="29" t="s">
        <v>834</v>
      </c>
      <c r="E185" s="31"/>
      <c r="F185" s="30" t="s">
        <v>834</v>
      </c>
      <c r="G185" s="37"/>
      <c r="H185" s="31"/>
      <c r="I185" s="37"/>
      <c r="J185" s="65">
        <v>0</v>
      </c>
      <c r="K185" s="37"/>
      <c r="L185" s="65">
        <v>0</v>
      </c>
      <c r="M185" s="37"/>
      <c r="N185" s="65">
        <v>0</v>
      </c>
      <c r="O185" s="32" t="s">
        <v>834</v>
      </c>
    </row>
    <row r="186" spans="2:15" ht="19.7" customHeight="1">
      <c r="B186" s="97" t="s">
        <v>690</v>
      </c>
      <c r="C186" s="98" t="s">
        <v>319</v>
      </c>
      <c r="D186" s="98" t="s">
        <v>797</v>
      </c>
      <c r="E186" s="22"/>
      <c r="F186" s="99" t="s">
        <v>596</v>
      </c>
      <c r="G186" s="21"/>
      <c r="H186" s="100">
        <v>63844</v>
      </c>
      <c r="I186" s="21"/>
      <c r="J186" s="100">
        <v>42227</v>
      </c>
      <c r="K186" s="21"/>
      <c r="L186" s="100">
        <v>20650</v>
      </c>
      <c r="M186" s="21"/>
      <c r="N186" s="100">
        <v>967</v>
      </c>
      <c r="O186" s="101" t="s">
        <v>834</v>
      </c>
    </row>
    <row r="187" spans="2:15" ht="19.7" customHeight="1">
      <c r="B187" s="28" t="s">
        <v>834</v>
      </c>
      <c r="C187" s="29" t="s">
        <v>32</v>
      </c>
      <c r="D187" s="29" t="s">
        <v>834</v>
      </c>
      <c r="E187" s="31">
        <v>1</v>
      </c>
      <c r="F187" s="30" t="s">
        <v>596</v>
      </c>
      <c r="G187" s="37">
        <v>8201</v>
      </c>
      <c r="H187" s="65">
        <v>8201</v>
      </c>
      <c r="I187" s="64">
        <v>7963</v>
      </c>
      <c r="J187" s="65">
        <v>7963</v>
      </c>
      <c r="K187" s="64">
        <v>0</v>
      </c>
      <c r="L187" s="65">
        <v>0</v>
      </c>
      <c r="M187" s="64">
        <v>238</v>
      </c>
      <c r="N187" s="65">
        <v>238</v>
      </c>
      <c r="O187" s="32" t="s">
        <v>669</v>
      </c>
    </row>
    <row r="188" spans="2:15" ht="19.7" customHeight="1">
      <c r="B188" s="28" t="s">
        <v>834</v>
      </c>
      <c r="C188" s="29" t="s">
        <v>602</v>
      </c>
      <c r="D188" s="29" t="s">
        <v>834</v>
      </c>
      <c r="E188" s="31">
        <v>1</v>
      </c>
      <c r="F188" s="30" t="s">
        <v>596</v>
      </c>
      <c r="G188" s="37">
        <v>4657</v>
      </c>
      <c r="H188" s="65">
        <v>4657</v>
      </c>
      <c r="I188" s="64">
        <v>4522</v>
      </c>
      <c r="J188" s="65">
        <v>4522</v>
      </c>
      <c r="K188" s="64">
        <v>0</v>
      </c>
      <c r="L188" s="65">
        <v>0</v>
      </c>
      <c r="M188" s="64">
        <v>135</v>
      </c>
      <c r="N188" s="65">
        <v>135</v>
      </c>
      <c r="O188" s="32" t="s">
        <v>562</v>
      </c>
    </row>
    <row r="189" spans="2:15" ht="19.7" customHeight="1">
      <c r="B189" s="28" t="s">
        <v>834</v>
      </c>
      <c r="C189" s="29" t="s">
        <v>727</v>
      </c>
      <c r="D189" s="29" t="s">
        <v>797</v>
      </c>
      <c r="E189" s="31">
        <v>1</v>
      </c>
      <c r="F189" s="30" t="s">
        <v>596</v>
      </c>
      <c r="G189" s="37">
        <v>48786</v>
      </c>
      <c r="H189" s="65">
        <v>48786</v>
      </c>
      <c r="I189" s="64">
        <v>29742</v>
      </c>
      <c r="J189" s="65">
        <v>29742</v>
      </c>
      <c r="K189" s="64">
        <v>18450</v>
      </c>
      <c r="L189" s="65">
        <v>18450</v>
      </c>
      <c r="M189" s="64">
        <v>594</v>
      </c>
      <c r="N189" s="65">
        <v>594</v>
      </c>
      <c r="O189" s="32" t="s">
        <v>502</v>
      </c>
    </row>
    <row r="190" spans="2:15" ht="19.7" customHeight="1">
      <c r="B190" s="28" t="s">
        <v>834</v>
      </c>
      <c r="C190" s="29" t="s">
        <v>372</v>
      </c>
      <c r="D190" s="29" t="s">
        <v>371</v>
      </c>
      <c r="E190" s="94">
        <v>0.5</v>
      </c>
      <c r="F190" s="30" t="s">
        <v>477</v>
      </c>
      <c r="G190" s="37">
        <v>4400</v>
      </c>
      <c r="H190" s="65">
        <v>2200</v>
      </c>
      <c r="I190" s="64">
        <v>0</v>
      </c>
      <c r="J190" s="65">
        <v>0</v>
      </c>
      <c r="K190" s="64">
        <v>4400</v>
      </c>
      <c r="L190" s="65">
        <v>2200</v>
      </c>
      <c r="M190" s="64">
        <v>0</v>
      </c>
      <c r="N190" s="65">
        <v>0</v>
      </c>
      <c r="O190" s="32" t="s">
        <v>834</v>
      </c>
    </row>
    <row r="191" spans="2:15" ht="19.7" customHeight="1">
      <c r="B191" s="28" t="s">
        <v>834</v>
      </c>
      <c r="C191" s="29" t="s">
        <v>834</v>
      </c>
      <c r="D191" s="29" t="s">
        <v>834</v>
      </c>
      <c r="E191" s="31"/>
      <c r="F191" s="30" t="s">
        <v>834</v>
      </c>
      <c r="G191" s="37"/>
      <c r="H191" s="31"/>
      <c r="I191" s="37"/>
      <c r="J191" s="65">
        <v>0</v>
      </c>
      <c r="K191" s="37"/>
      <c r="L191" s="65">
        <v>0</v>
      </c>
      <c r="M191" s="37"/>
      <c r="N191" s="65">
        <v>0</v>
      </c>
      <c r="O191" s="32" t="s">
        <v>834</v>
      </c>
    </row>
    <row r="192" spans="2:15" ht="19.7" customHeight="1">
      <c r="B192" s="90" t="s">
        <v>352</v>
      </c>
      <c r="C192" s="62" t="s">
        <v>319</v>
      </c>
      <c r="D192" s="62" t="s">
        <v>238</v>
      </c>
      <c r="E192" s="31"/>
      <c r="F192" s="91" t="s">
        <v>596</v>
      </c>
      <c r="G192" s="37"/>
      <c r="H192" s="92">
        <v>75260</v>
      </c>
      <c r="I192" s="37"/>
      <c r="J192" s="92">
        <v>51537</v>
      </c>
      <c r="K192" s="37"/>
      <c r="L192" s="92">
        <v>22700</v>
      </c>
      <c r="M192" s="37"/>
      <c r="N192" s="92">
        <v>1023</v>
      </c>
      <c r="O192" s="93" t="s">
        <v>834</v>
      </c>
    </row>
    <row r="193" spans="2:15" ht="19.7" customHeight="1">
      <c r="B193" s="28" t="s">
        <v>834</v>
      </c>
      <c r="C193" s="29" t="s">
        <v>32</v>
      </c>
      <c r="D193" s="29" t="s">
        <v>834</v>
      </c>
      <c r="E193" s="31">
        <v>1</v>
      </c>
      <c r="F193" s="30" t="s">
        <v>596</v>
      </c>
      <c r="G193" s="37">
        <v>8201</v>
      </c>
      <c r="H193" s="65">
        <v>8201</v>
      </c>
      <c r="I193" s="64">
        <v>7963</v>
      </c>
      <c r="J193" s="65">
        <v>7963</v>
      </c>
      <c r="K193" s="64">
        <v>0</v>
      </c>
      <c r="L193" s="65">
        <v>0</v>
      </c>
      <c r="M193" s="64">
        <v>238</v>
      </c>
      <c r="N193" s="65">
        <v>238</v>
      </c>
      <c r="O193" s="32" t="s">
        <v>669</v>
      </c>
    </row>
    <row r="194" spans="2:15" ht="19.7" customHeight="1">
      <c r="B194" s="28" t="s">
        <v>834</v>
      </c>
      <c r="C194" s="29" t="s">
        <v>602</v>
      </c>
      <c r="D194" s="29" t="s">
        <v>834</v>
      </c>
      <c r="E194" s="31">
        <v>1</v>
      </c>
      <c r="F194" s="30" t="s">
        <v>596</v>
      </c>
      <c r="G194" s="37">
        <v>4657</v>
      </c>
      <c r="H194" s="65">
        <v>4657</v>
      </c>
      <c r="I194" s="64">
        <v>4522</v>
      </c>
      <c r="J194" s="65">
        <v>4522</v>
      </c>
      <c r="K194" s="64">
        <v>0</v>
      </c>
      <c r="L194" s="65">
        <v>0</v>
      </c>
      <c r="M194" s="64">
        <v>135</v>
      </c>
      <c r="N194" s="65">
        <v>135</v>
      </c>
      <c r="O194" s="32" t="s">
        <v>562</v>
      </c>
    </row>
    <row r="195" spans="2:15" ht="19.7" customHeight="1">
      <c r="B195" s="28" t="s">
        <v>834</v>
      </c>
      <c r="C195" s="29" t="s">
        <v>727</v>
      </c>
      <c r="D195" s="29" t="s">
        <v>238</v>
      </c>
      <c r="E195" s="31">
        <v>1</v>
      </c>
      <c r="F195" s="30" t="s">
        <v>596</v>
      </c>
      <c r="G195" s="37">
        <v>60202</v>
      </c>
      <c r="H195" s="65">
        <v>60202</v>
      </c>
      <c r="I195" s="64">
        <v>39052</v>
      </c>
      <c r="J195" s="65">
        <v>39052</v>
      </c>
      <c r="K195" s="64">
        <v>20500</v>
      </c>
      <c r="L195" s="65">
        <v>20500</v>
      </c>
      <c r="M195" s="64">
        <v>650</v>
      </c>
      <c r="N195" s="65">
        <v>650</v>
      </c>
      <c r="O195" s="32" t="s">
        <v>368</v>
      </c>
    </row>
    <row r="196" spans="2:15" ht="19.7" customHeight="1">
      <c r="B196" s="28" t="s">
        <v>834</v>
      </c>
      <c r="C196" s="29" t="s">
        <v>372</v>
      </c>
      <c r="D196" s="29" t="s">
        <v>371</v>
      </c>
      <c r="E196" s="94">
        <v>0.5</v>
      </c>
      <c r="F196" s="30" t="s">
        <v>477</v>
      </c>
      <c r="G196" s="37">
        <v>4400</v>
      </c>
      <c r="H196" s="65">
        <v>2200</v>
      </c>
      <c r="I196" s="64">
        <v>0</v>
      </c>
      <c r="J196" s="65">
        <v>0</v>
      </c>
      <c r="K196" s="64">
        <v>4400</v>
      </c>
      <c r="L196" s="65">
        <v>2200</v>
      </c>
      <c r="M196" s="64">
        <v>0</v>
      </c>
      <c r="N196" s="65">
        <v>0</v>
      </c>
      <c r="O196" s="32" t="s">
        <v>834</v>
      </c>
    </row>
    <row r="197" spans="2:15" ht="19.7" customHeight="1">
      <c r="B197" s="28" t="s">
        <v>834</v>
      </c>
      <c r="C197" s="29" t="s">
        <v>834</v>
      </c>
      <c r="D197" s="29" t="s">
        <v>834</v>
      </c>
      <c r="E197" s="31"/>
      <c r="F197" s="30" t="s">
        <v>834</v>
      </c>
      <c r="G197" s="37"/>
      <c r="H197" s="31"/>
      <c r="I197" s="37"/>
      <c r="J197" s="65">
        <v>0</v>
      </c>
      <c r="K197" s="37"/>
      <c r="L197" s="65">
        <v>0</v>
      </c>
      <c r="M197" s="37"/>
      <c r="N197" s="65">
        <v>0</v>
      </c>
      <c r="O197" s="32" t="s">
        <v>834</v>
      </c>
    </row>
    <row r="198" spans="2:15" ht="19.7" customHeight="1">
      <c r="B198" s="90" t="s">
        <v>714</v>
      </c>
      <c r="C198" s="62" t="s">
        <v>551</v>
      </c>
      <c r="D198" s="62" t="s">
        <v>591</v>
      </c>
      <c r="E198" s="31"/>
      <c r="F198" s="91" t="s">
        <v>748</v>
      </c>
      <c r="G198" s="37"/>
      <c r="H198" s="92">
        <v>235459</v>
      </c>
      <c r="I198" s="37"/>
      <c r="J198" s="92">
        <v>235459</v>
      </c>
      <c r="K198" s="37"/>
      <c r="L198" s="65">
        <v>0</v>
      </c>
      <c r="M198" s="37"/>
      <c r="N198" s="65">
        <v>0</v>
      </c>
      <c r="O198" s="93" t="s">
        <v>834</v>
      </c>
    </row>
    <row r="199" spans="2:15" ht="19.7" customHeight="1">
      <c r="B199" s="28" t="s">
        <v>834</v>
      </c>
      <c r="C199" s="29" t="s">
        <v>172</v>
      </c>
      <c r="D199" s="29" t="s">
        <v>834</v>
      </c>
      <c r="E199" s="31">
        <v>1</v>
      </c>
      <c r="F199" s="30" t="s">
        <v>767</v>
      </c>
      <c r="G199" s="37">
        <v>235459</v>
      </c>
      <c r="H199" s="65">
        <v>235459</v>
      </c>
      <c r="I199" s="64">
        <v>235459</v>
      </c>
      <c r="J199" s="65">
        <v>235459</v>
      </c>
      <c r="K199" s="64">
        <v>0</v>
      </c>
      <c r="L199" s="65">
        <v>0</v>
      </c>
      <c r="M199" s="64">
        <v>0</v>
      </c>
      <c r="N199" s="65">
        <v>0</v>
      </c>
      <c r="O199" s="32" t="s">
        <v>834</v>
      </c>
    </row>
    <row r="200" spans="2:15" ht="19.7" customHeight="1">
      <c r="B200" s="28" t="s">
        <v>834</v>
      </c>
      <c r="C200" s="29" t="s">
        <v>834</v>
      </c>
      <c r="D200" s="29" t="s">
        <v>834</v>
      </c>
      <c r="E200" s="31"/>
      <c r="F200" s="30" t="s">
        <v>834</v>
      </c>
      <c r="G200" s="37"/>
      <c r="H200" s="31"/>
      <c r="I200" s="37"/>
      <c r="J200" s="65">
        <v>0</v>
      </c>
      <c r="K200" s="37"/>
      <c r="L200" s="65">
        <v>0</v>
      </c>
      <c r="M200" s="37"/>
      <c r="N200" s="65">
        <v>0</v>
      </c>
      <c r="O200" s="32" t="s">
        <v>834</v>
      </c>
    </row>
    <row r="201" spans="2:15" ht="19.7" customHeight="1">
      <c r="B201" s="90" t="s">
        <v>393</v>
      </c>
      <c r="C201" s="62" t="s">
        <v>683</v>
      </c>
      <c r="D201" s="62" t="s">
        <v>834</v>
      </c>
      <c r="E201" s="31"/>
      <c r="F201" s="91" t="s">
        <v>665</v>
      </c>
      <c r="G201" s="37"/>
      <c r="H201" s="92">
        <v>3757063</v>
      </c>
      <c r="I201" s="37"/>
      <c r="J201" s="92">
        <v>1491436</v>
      </c>
      <c r="K201" s="37"/>
      <c r="L201" s="65">
        <v>0</v>
      </c>
      <c r="M201" s="37"/>
      <c r="N201" s="92">
        <v>2265627</v>
      </c>
      <c r="O201" s="93" t="s">
        <v>834</v>
      </c>
    </row>
    <row r="202" spans="2:15" ht="19.7" customHeight="1">
      <c r="B202" s="28" t="s">
        <v>834</v>
      </c>
      <c r="C202" s="29" t="s">
        <v>288</v>
      </c>
      <c r="D202" s="29" t="s">
        <v>834</v>
      </c>
      <c r="E202" s="31">
        <v>1</v>
      </c>
      <c r="F202" s="30" t="s">
        <v>767</v>
      </c>
      <c r="G202" s="37">
        <v>310884</v>
      </c>
      <c r="H202" s="65">
        <v>310884</v>
      </c>
      <c r="I202" s="64">
        <v>310884</v>
      </c>
      <c r="J202" s="65">
        <v>310884</v>
      </c>
      <c r="K202" s="64">
        <v>0</v>
      </c>
      <c r="L202" s="65">
        <v>0</v>
      </c>
      <c r="M202" s="64">
        <v>0</v>
      </c>
      <c r="N202" s="65">
        <v>0</v>
      </c>
      <c r="O202" s="32" t="s">
        <v>834</v>
      </c>
    </row>
    <row r="203" spans="2:15" ht="19.7" customHeight="1">
      <c r="B203" s="28" t="s">
        <v>834</v>
      </c>
      <c r="C203" s="29" t="s">
        <v>70</v>
      </c>
      <c r="D203" s="29" t="s">
        <v>834</v>
      </c>
      <c r="E203" s="31">
        <v>4</v>
      </c>
      <c r="F203" s="30" t="s">
        <v>767</v>
      </c>
      <c r="G203" s="37">
        <v>295138</v>
      </c>
      <c r="H203" s="65">
        <v>1180552</v>
      </c>
      <c r="I203" s="64">
        <v>295138</v>
      </c>
      <c r="J203" s="65">
        <v>1180552</v>
      </c>
      <c r="K203" s="64">
        <v>0</v>
      </c>
      <c r="L203" s="65">
        <v>0</v>
      </c>
      <c r="M203" s="64">
        <v>0</v>
      </c>
      <c r="N203" s="65">
        <v>0</v>
      </c>
      <c r="O203" s="32" t="s">
        <v>834</v>
      </c>
    </row>
    <row r="204" spans="2:15" ht="19.7" customHeight="1">
      <c r="B204" s="28" t="s">
        <v>834</v>
      </c>
      <c r="C204" s="29" t="s">
        <v>351</v>
      </c>
      <c r="D204" s="29" t="s">
        <v>110</v>
      </c>
      <c r="E204" s="31">
        <v>110</v>
      </c>
      <c r="F204" s="30" t="s">
        <v>157</v>
      </c>
      <c r="G204" s="37">
        <v>1491436</v>
      </c>
      <c r="H204" s="65">
        <v>1640579</v>
      </c>
      <c r="I204" s="37"/>
      <c r="J204" s="65">
        <v>0</v>
      </c>
      <c r="K204" s="37"/>
      <c r="L204" s="65">
        <v>0</v>
      </c>
      <c r="M204" s="37">
        <v>1491436</v>
      </c>
      <c r="N204" s="65">
        <v>1640579</v>
      </c>
      <c r="O204" s="32" t="s">
        <v>834</v>
      </c>
    </row>
    <row r="205" spans="2:15" ht="19.7" customHeight="1">
      <c r="B205" s="28" t="s">
        <v>834</v>
      </c>
      <c r="C205" s="29" t="s">
        <v>752</v>
      </c>
      <c r="D205" s="29" t="s">
        <v>822</v>
      </c>
      <c r="E205" s="31">
        <v>20</v>
      </c>
      <c r="F205" s="30" t="s">
        <v>157</v>
      </c>
      <c r="G205" s="37">
        <v>3132015</v>
      </c>
      <c r="H205" s="65">
        <v>626403</v>
      </c>
      <c r="I205" s="37"/>
      <c r="J205" s="65">
        <v>0</v>
      </c>
      <c r="K205" s="37"/>
      <c r="L205" s="65">
        <v>0</v>
      </c>
      <c r="M205" s="37">
        <v>3132015</v>
      </c>
      <c r="N205" s="65">
        <v>626403</v>
      </c>
      <c r="O205" s="32" t="s">
        <v>834</v>
      </c>
    </row>
    <row r="206" spans="2:15" ht="19.7" customHeight="1">
      <c r="B206" s="28" t="s">
        <v>834</v>
      </c>
      <c r="C206" s="29" t="s">
        <v>88</v>
      </c>
      <c r="D206" s="29" t="s">
        <v>834</v>
      </c>
      <c r="E206" s="31">
        <v>1</v>
      </c>
      <c r="F206" s="30" t="s">
        <v>665</v>
      </c>
      <c r="G206" s="37">
        <v>-1355</v>
      </c>
      <c r="H206" s="65">
        <v>-1355</v>
      </c>
      <c r="I206" s="37"/>
      <c r="J206" s="65">
        <v>0</v>
      </c>
      <c r="K206" s="37"/>
      <c r="L206" s="65">
        <v>0</v>
      </c>
      <c r="M206" s="37">
        <v>-1355</v>
      </c>
      <c r="N206" s="65">
        <v>-1355</v>
      </c>
      <c r="O206" s="32" t="s">
        <v>834</v>
      </c>
    </row>
    <row r="207" spans="2:15">
      <c r="B207" s="33" t="s">
        <v>834</v>
      </c>
      <c r="C207" s="34" t="s">
        <v>834</v>
      </c>
      <c r="D207" s="34" t="s">
        <v>834</v>
      </c>
      <c r="E207" s="22"/>
      <c r="F207" s="35" t="s">
        <v>834</v>
      </c>
      <c r="G207" s="21"/>
      <c r="H207" s="22"/>
      <c r="I207" s="21"/>
      <c r="J207" s="74">
        <v>0</v>
      </c>
      <c r="K207" s="21"/>
      <c r="L207" s="74">
        <v>0</v>
      </c>
      <c r="M207" s="21"/>
      <c r="N207" s="74">
        <v>0</v>
      </c>
      <c r="O207" s="36" t="s">
        <v>834</v>
      </c>
    </row>
    <row r="208" spans="2:15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</sheetData>
  <mergeCells count="11">
    <mergeCell ref="O3:O4"/>
    <mergeCell ref="B1:O2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7" manualBreakCount="7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E0B6-AE97-46C5-8B99-31CB801B5354}">
  <dimension ref="B1:AC1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140625" customWidth="1"/>
    <col min="3" max="3" width="33.140625" customWidth="1"/>
    <col min="4" max="4" width="18.85546875" customWidth="1"/>
    <col min="5" max="5" width="4.42578125" customWidth="1"/>
    <col min="6" max="9" width="8.42578125" customWidth="1"/>
    <col min="10" max="10" width="7.85546875" customWidth="1"/>
  </cols>
  <sheetData>
    <row r="1" spans="2:29" ht="24.95" customHeight="1">
      <c r="B1" s="333" t="s">
        <v>311</v>
      </c>
      <c r="C1" s="333"/>
      <c r="D1" s="333"/>
      <c r="E1" s="333"/>
      <c r="F1" s="333"/>
      <c r="G1" s="333"/>
      <c r="H1" s="333"/>
      <c r="I1" s="333"/>
      <c r="J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</row>
    <row r="3" spans="2:29" ht="27.95" customHeight="1">
      <c r="B3" s="24" t="s">
        <v>197</v>
      </c>
      <c r="C3" s="17" t="s">
        <v>795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563</v>
      </c>
      <c r="D4" s="29" t="s">
        <v>624</v>
      </c>
      <c r="E4" s="30" t="s">
        <v>596</v>
      </c>
      <c r="F4" s="65">
        <f t="shared" ref="F4:F13" si="0">G4+H4+I4</f>
        <v>7028</v>
      </c>
      <c r="G4" s="65" t="str">
        <f>단가산출!CY4</f>
        <v>4,055</v>
      </c>
      <c r="H4" s="65" t="str">
        <f>단가산출!CZ4</f>
        <v>1,333</v>
      </c>
      <c r="I4" s="65" t="str">
        <f>단가산출!DA4</f>
        <v>1,640</v>
      </c>
      <c r="J4" s="32" t="s">
        <v>834</v>
      </c>
      <c r="Z4" s="27">
        <v>7028</v>
      </c>
      <c r="AA4" s="27">
        <v>4055</v>
      </c>
      <c r="AB4" s="27">
        <v>1333</v>
      </c>
      <c r="AC4" s="27">
        <v>1640</v>
      </c>
    </row>
    <row r="5" spans="2:29" ht="22.35" customHeight="1">
      <c r="B5" s="28" t="s">
        <v>782</v>
      </c>
      <c r="C5" s="29" t="s">
        <v>377</v>
      </c>
      <c r="D5" s="29" t="s">
        <v>292</v>
      </c>
      <c r="E5" s="30" t="s">
        <v>596</v>
      </c>
      <c r="F5" s="65">
        <f t="shared" si="0"/>
        <v>27483</v>
      </c>
      <c r="G5" s="65" t="str">
        <f>단가산출!CY111</f>
        <v>3,185</v>
      </c>
      <c r="H5" s="65" t="str">
        <f>단가산출!CZ111</f>
        <v>23,913</v>
      </c>
      <c r="I5" s="65" t="str">
        <f>단가산출!DA111</f>
        <v>385</v>
      </c>
      <c r="J5" s="32" t="s">
        <v>834</v>
      </c>
      <c r="Z5" s="27">
        <v>27483</v>
      </c>
      <c r="AA5" s="27">
        <v>3185</v>
      </c>
      <c r="AB5" s="27">
        <v>23913</v>
      </c>
      <c r="AC5" s="27">
        <v>385</v>
      </c>
    </row>
    <row r="6" spans="2:29" ht="22.35" customHeight="1">
      <c r="B6" s="28" t="s">
        <v>312</v>
      </c>
      <c r="C6" s="29" t="s">
        <v>377</v>
      </c>
      <c r="D6" s="29" t="s">
        <v>661</v>
      </c>
      <c r="E6" s="30" t="s">
        <v>596</v>
      </c>
      <c r="F6" s="65">
        <f t="shared" si="0"/>
        <v>32506</v>
      </c>
      <c r="G6" s="65" t="str">
        <f>단가산출!CY178</f>
        <v>6,371</v>
      </c>
      <c r="H6" s="65" t="str">
        <f>단가산출!CZ178</f>
        <v>25,365</v>
      </c>
      <c r="I6" s="65" t="str">
        <f>단가산출!DA178</f>
        <v>770</v>
      </c>
      <c r="J6" s="32" t="s">
        <v>834</v>
      </c>
      <c r="Z6" s="27">
        <v>32506</v>
      </c>
      <c r="AA6" s="27">
        <v>6371</v>
      </c>
      <c r="AB6" s="27">
        <v>25365</v>
      </c>
      <c r="AC6" s="27">
        <v>770</v>
      </c>
    </row>
    <row r="7" spans="2:29" ht="22.35" customHeight="1">
      <c r="B7" s="28" t="s">
        <v>644</v>
      </c>
      <c r="C7" s="29" t="s">
        <v>377</v>
      </c>
      <c r="D7" s="29" t="s">
        <v>315</v>
      </c>
      <c r="E7" s="30" t="s">
        <v>596</v>
      </c>
      <c r="F7" s="65">
        <f t="shared" si="0"/>
        <v>46057</v>
      </c>
      <c r="G7" s="65" t="str">
        <f>단가산출!CY245</f>
        <v>17,698</v>
      </c>
      <c r="H7" s="65" t="str">
        <f>단가산출!CZ245</f>
        <v>26,218</v>
      </c>
      <c r="I7" s="65" t="str">
        <f>단가산출!DA245</f>
        <v>2,141</v>
      </c>
      <c r="J7" s="32" t="s">
        <v>573</v>
      </c>
      <c r="Z7" s="27">
        <v>46057</v>
      </c>
      <c r="AA7" s="27">
        <v>17698</v>
      </c>
      <c r="AB7" s="27">
        <v>26218</v>
      </c>
      <c r="AC7" s="27">
        <v>2141</v>
      </c>
    </row>
    <row r="8" spans="2:29" ht="22.35" customHeight="1">
      <c r="B8" s="28" t="s">
        <v>253</v>
      </c>
      <c r="C8" s="29" t="s">
        <v>398</v>
      </c>
      <c r="D8" s="29" t="s">
        <v>613</v>
      </c>
      <c r="E8" s="30" t="s">
        <v>748</v>
      </c>
      <c r="F8" s="65">
        <f t="shared" si="0"/>
        <v>789447</v>
      </c>
      <c r="G8" s="65" t="str">
        <f>단가산출!CY313</f>
        <v>369,025</v>
      </c>
      <c r="H8" s="65" t="str">
        <f>단가산출!CZ313</f>
        <v>244,588</v>
      </c>
      <c r="I8" s="65" t="str">
        <f>단가산출!DA313</f>
        <v>175,834</v>
      </c>
      <c r="J8" s="32" t="s">
        <v>834</v>
      </c>
      <c r="Z8" s="27">
        <v>789447</v>
      </c>
      <c r="AA8" s="27">
        <v>369025</v>
      </c>
      <c r="AB8" s="27">
        <v>244588</v>
      </c>
      <c r="AC8" s="27">
        <v>175834</v>
      </c>
    </row>
    <row r="9" spans="2:29" ht="22.35" customHeight="1">
      <c r="B9" s="28" t="s">
        <v>760</v>
      </c>
      <c r="C9" s="29" t="s">
        <v>597</v>
      </c>
      <c r="D9" s="29" t="s">
        <v>399</v>
      </c>
      <c r="E9" s="30" t="s">
        <v>366</v>
      </c>
      <c r="F9" s="65">
        <f t="shared" si="0"/>
        <v>126750</v>
      </c>
      <c r="G9" s="65" t="str">
        <f>단가산출!CY355</f>
        <v>42,250</v>
      </c>
      <c r="H9" s="65" t="str">
        <f>단가산출!CZ355</f>
        <v>84,500</v>
      </c>
      <c r="I9" s="65">
        <f>단가산출!DA355</f>
        <v>0</v>
      </c>
      <c r="J9" s="32" t="s">
        <v>834</v>
      </c>
      <c r="Z9" s="27">
        <v>126750</v>
      </c>
      <c r="AA9" s="27">
        <v>42250</v>
      </c>
      <c r="AB9" s="27">
        <v>84500</v>
      </c>
    </row>
    <row r="10" spans="2:29" ht="22.35" customHeight="1">
      <c r="B10" s="28" t="s">
        <v>402</v>
      </c>
      <c r="C10" s="29" t="s">
        <v>722</v>
      </c>
      <c r="D10" s="29" t="s">
        <v>211</v>
      </c>
      <c r="E10" s="30" t="s">
        <v>665</v>
      </c>
      <c r="F10" s="65">
        <f t="shared" si="0"/>
        <v>2203423</v>
      </c>
      <c r="G10" s="65" t="str">
        <f>단가산출!CY376</f>
        <v>1,341,644</v>
      </c>
      <c r="H10" s="65" t="str">
        <f>단가산출!CZ376</f>
        <v>422,721</v>
      </c>
      <c r="I10" s="65" t="str">
        <f>단가산출!DA376</f>
        <v>439,058</v>
      </c>
      <c r="J10" s="32" t="s">
        <v>82</v>
      </c>
      <c r="Z10" s="27">
        <v>2203423</v>
      </c>
      <c r="AA10" s="27">
        <v>1341644</v>
      </c>
      <c r="AB10" s="27">
        <v>422721</v>
      </c>
      <c r="AC10" s="27">
        <v>439058</v>
      </c>
    </row>
    <row r="11" spans="2:29" ht="22.35" customHeight="1">
      <c r="B11" s="28" t="s">
        <v>764</v>
      </c>
      <c r="C11" s="29" t="s">
        <v>439</v>
      </c>
      <c r="D11" s="29" t="s">
        <v>244</v>
      </c>
      <c r="E11" s="30" t="s">
        <v>748</v>
      </c>
      <c r="F11" s="65">
        <f t="shared" si="0"/>
        <v>2356744</v>
      </c>
      <c r="G11" s="65" t="str">
        <f>단가산출!CY475</f>
        <v>540,504</v>
      </c>
      <c r="H11" s="65" t="str">
        <f>단가산출!CZ475</f>
        <v>132,160</v>
      </c>
      <c r="I11" s="65" t="str">
        <f>단가산출!DA475</f>
        <v>1,684,080</v>
      </c>
      <c r="J11" s="32" t="s">
        <v>834</v>
      </c>
      <c r="Z11" s="27">
        <v>2356744</v>
      </c>
      <c r="AA11" s="27">
        <v>540504</v>
      </c>
      <c r="AB11" s="27">
        <v>132160</v>
      </c>
      <c r="AC11" s="27">
        <v>1684080</v>
      </c>
    </row>
    <row r="12" spans="2:29" ht="22.35" customHeight="1">
      <c r="B12" s="28" t="s">
        <v>392</v>
      </c>
      <c r="C12" s="29" t="s">
        <v>439</v>
      </c>
      <c r="D12" s="29" t="s">
        <v>567</v>
      </c>
      <c r="E12" s="30" t="s">
        <v>748</v>
      </c>
      <c r="F12" s="65">
        <f t="shared" si="0"/>
        <v>2626996</v>
      </c>
      <c r="G12" s="65" t="str">
        <f>단가산출!CY493</f>
        <v>810,756</v>
      </c>
      <c r="H12" s="65" t="str">
        <f>단가산출!CZ493</f>
        <v>132,160</v>
      </c>
      <c r="I12" s="65" t="str">
        <f>단가산출!DA493</f>
        <v>1,684,080</v>
      </c>
      <c r="J12" s="32" t="s">
        <v>834</v>
      </c>
      <c r="Z12" s="27">
        <v>2626996</v>
      </c>
      <c r="AA12" s="27">
        <v>810756</v>
      </c>
      <c r="AB12" s="27">
        <v>132160</v>
      </c>
      <c r="AC12" s="27">
        <v>1684080</v>
      </c>
    </row>
    <row r="13" spans="2:29" ht="22.35" customHeight="1">
      <c r="B13" s="33" t="s">
        <v>90</v>
      </c>
      <c r="C13" s="34" t="s">
        <v>545</v>
      </c>
      <c r="D13" s="34" t="s">
        <v>280</v>
      </c>
      <c r="E13" s="35" t="s">
        <v>574</v>
      </c>
      <c r="F13" s="74">
        <f t="shared" si="0"/>
        <v>4436</v>
      </c>
      <c r="G13" s="74" t="str">
        <f>단가산출!CY513</f>
        <v>2,541</v>
      </c>
      <c r="H13" s="74" t="str">
        <f>단가산출!CZ513</f>
        <v>838</v>
      </c>
      <c r="I13" s="74" t="str">
        <f>단가산출!DA513</f>
        <v>1,057</v>
      </c>
      <c r="J13" s="36" t="s">
        <v>834</v>
      </c>
      <c r="Z13" s="27">
        <v>4436</v>
      </c>
      <c r="AA13" s="27">
        <v>2541</v>
      </c>
      <c r="AB13" s="27">
        <v>838</v>
      </c>
      <c r="AC13" s="27">
        <v>1057</v>
      </c>
    </row>
    <row r="14" spans="2:29">
      <c r="B14" s="23"/>
      <c r="C14" s="23"/>
      <c r="D14" s="23"/>
      <c r="E14" s="23"/>
      <c r="F14" s="23"/>
      <c r="G14" s="23"/>
      <c r="H14" s="23"/>
      <c r="I14" s="23"/>
      <c r="J14" s="23"/>
    </row>
  </sheetData>
  <mergeCells count="1">
    <mergeCell ref="B1:J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62E2-70F9-4E54-B437-7658FBB3F25C}">
  <dimension ref="B1:DB539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101" width="1" customWidth="1"/>
    <col min="102" max="102" width="12" customWidth="1"/>
    <col min="103" max="103" width="10.5703125" customWidth="1"/>
    <col min="104" max="105" width="10.140625" customWidth="1"/>
  </cols>
  <sheetData>
    <row r="1" spans="2:106" ht="24.95" customHeight="1">
      <c r="B1" s="333" t="s">
        <v>494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  <c r="AZ1" s="333"/>
      <c r="BA1" s="333"/>
      <c r="BB1" s="333"/>
      <c r="BC1" s="333"/>
      <c r="BD1" s="333"/>
      <c r="BE1" s="333"/>
      <c r="BF1" s="333"/>
      <c r="BG1" s="333"/>
      <c r="BH1" s="333"/>
      <c r="BI1" s="333"/>
      <c r="BJ1" s="333"/>
      <c r="BK1" s="333"/>
      <c r="BL1" s="333"/>
      <c r="BM1" s="333"/>
      <c r="BN1" s="333"/>
      <c r="BO1" s="333"/>
      <c r="BP1" s="333"/>
      <c r="BQ1" s="333"/>
      <c r="BR1" s="333"/>
      <c r="BS1" s="333"/>
      <c r="BT1" s="333"/>
      <c r="BU1" s="333"/>
      <c r="BV1" s="333"/>
      <c r="BW1" s="333"/>
      <c r="BX1" s="333"/>
      <c r="BY1" s="333"/>
      <c r="BZ1" s="333"/>
      <c r="CA1" s="333"/>
      <c r="CB1" s="333"/>
      <c r="CC1" s="333"/>
      <c r="CD1" s="333"/>
      <c r="CE1" s="333"/>
      <c r="CF1" s="333"/>
      <c r="CG1" s="333"/>
      <c r="CH1" s="333"/>
      <c r="CI1" s="333"/>
      <c r="CJ1" s="333"/>
      <c r="CK1" s="333"/>
      <c r="CL1" s="333"/>
      <c r="CM1" s="333"/>
      <c r="CN1" s="333"/>
      <c r="CO1" s="333"/>
      <c r="CP1" s="333"/>
      <c r="CQ1" s="333"/>
      <c r="CR1" s="333"/>
      <c r="CS1" s="333"/>
      <c r="CT1" s="333"/>
      <c r="CU1" s="333"/>
      <c r="CV1" s="333"/>
      <c r="CW1" s="333"/>
      <c r="CX1" s="333"/>
      <c r="CY1" s="333"/>
      <c r="CZ1" s="333"/>
      <c r="DA1" s="333"/>
    </row>
    <row r="2" spans="2:106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4"/>
      <c r="AP2" s="334"/>
      <c r="AQ2" s="334"/>
      <c r="AR2" s="334"/>
      <c r="AS2" s="334"/>
      <c r="AT2" s="334"/>
      <c r="AU2" s="334"/>
      <c r="AV2" s="334"/>
      <c r="AW2" s="334"/>
      <c r="AX2" s="334"/>
      <c r="AY2" s="334"/>
      <c r="AZ2" s="334"/>
      <c r="BA2" s="334"/>
      <c r="BB2" s="334"/>
      <c r="BC2" s="334"/>
      <c r="BD2" s="334"/>
      <c r="BE2" s="334"/>
      <c r="BF2" s="334"/>
      <c r="BG2" s="334"/>
      <c r="BH2" s="334"/>
      <c r="BI2" s="334"/>
      <c r="BJ2" s="334"/>
      <c r="BK2" s="334"/>
      <c r="BL2" s="334"/>
      <c r="BM2" s="334"/>
      <c r="BN2" s="334"/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4"/>
      <c r="BZ2" s="334"/>
      <c r="CA2" s="334"/>
      <c r="CB2" s="334"/>
      <c r="CC2" s="334"/>
      <c r="CD2" s="334"/>
      <c r="CE2" s="334"/>
      <c r="CF2" s="334"/>
      <c r="CG2" s="334"/>
      <c r="CH2" s="334"/>
      <c r="CI2" s="334"/>
      <c r="CJ2" s="334"/>
      <c r="CK2" s="334"/>
      <c r="CL2" s="334"/>
      <c r="CM2" s="334"/>
      <c r="CN2" s="334"/>
      <c r="CO2" s="334"/>
      <c r="CP2" s="334"/>
      <c r="CQ2" s="334"/>
      <c r="CR2" s="334"/>
      <c r="CS2" s="334"/>
      <c r="CT2" s="334"/>
      <c r="CU2" s="334"/>
      <c r="CV2" s="334"/>
      <c r="CW2" s="334"/>
      <c r="CX2" s="334"/>
      <c r="CY2" s="334"/>
      <c r="CZ2" s="334"/>
      <c r="DA2" s="334"/>
    </row>
    <row r="3" spans="2:106" ht="27.95" customHeight="1">
      <c r="B3" s="360" t="s">
        <v>387</v>
      </c>
      <c r="C3" s="361" t="s">
        <v>318</v>
      </c>
      <c r="D3" s="361" t="s">
        <v>700</v>
      </c>
      <c r="E3" s="361" t="s">
        <v>498</v>
      </c>
      <c r="F3" s="361" t="s">
        <v>386</v>
      </c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1"/>
      <c r="BI3" s="361"/>
      <c r="BJ3" s="361"/>
      <c r="BK3" s="361"/>
      <c r="BL3" s="361"/>
      <c r="BM3" s="361"/>
      <c r="BN3" s="361"/>
      <c r="BO3" s="361"/>
      <c r="BP3" s="361"/>
      <c r="BQ3" s="361"/>
      <c r="BR3" s="361"/>
      <c r="BS3" s="361"/>
      <c r="BT3" s="361"/>
      <c r="BU3" s="361"/>
      <c r="BV3" s="361"/>
      <c r="BW3" s="361"/>
      <c r="BX3" s="361"/>
      <c r="BY3" s="361"/>
      <c r="BZ3" s="361"/>
      <c r="CA3" s="361"/>
      <c r="CB3" s="361"/>
      <c r="CC3" s="361"/>
      <c r="CD3" s="361"/>
      <c r="CE3" s="361"/>
      <c r="CF3" s="361"/>
      <c r="CG3" s="361"/>
      <c r="CH3" s="361"/>
      <c r="CI3" s="361"/>
      <c r="CJ3" s="361"/>
      <c r="CK3" s="361"/>
      <c r="CL3" s="361"/>
      <c r="CM3" s="361"/>
      <c r="CN3" s="361"/>
      <c r="CO3" s="361"/>
      <c r="CP3" s="361"/>
      <c r="CQ3" s="361"/>
      <c r="CR3" s="361"/>
      <c r="CS3" s="361"/>
      <c r="CT3" s="361"/>
      <c r="CU3" s="361"/>
      <c r="CV3" s="361"/>
      <c r="CW3" s="361"/>
      <c r="CX3" s="76" t="s">
        <v>318</v>
      </c>
      <c r="CY3" s="76" t="s">
        <v>700</v>
      </c>
      <c r="CZ3" s="76" t="s">
        <v>498</v>
      </c>
      <c r="DA3" s="77" t="s">
        <v>386</v>
      </c>
    </row>
    <row r="4" spans="2:106" ht="11.25" customHeight="1">
      <c r="B4" s="81" t="s">
        <v>322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82">
        <f>CX109</f>
        <v>7028</v>
      </c>
      <c r="CY4" s="82" t="str">
        <f>CY109</f>
        <v>4,055</v>
      </c>
      <c r="CZ4" s="82" t="str">
        <f>CZ109</f>
        <v>1,333</v>
      </c>
      <c r="DA4" s="83" t="str">
        <f>DA109</f>
        <v>1,640</v>
      </c>
      <c r="DB4" s="84"/>
    </row>
    <row r="5" spans="2:106" ht="11.25" customHeight="1">
      <c r="B5" s="78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85"/>
      <c r="CY5" s="85"/>
      <c r="CZ5" s="85"/>
      <c r="DA5" s="86"/>
      <c r="DB5" s="84"/>
    </row>
    <row r="6" spans="2:106" ht="11.25" customHeight="1">
      <c r="B6" s="78"/>
      <c r="C6" s="79"/>
      <c r="D6" s="79"/>
      <c r="E6" s="79" t="s">
        <v>625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85"/>
      <c r="CY6" s="85"/>
      <c r="CZ6" s="85"/>
      <c r="DA6" s="86"/>
      <c r="DB6" s="84"/>
    </row>
    <row r="7" spans="2:106" ht="11.25" customHeight="1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85"/>
      <c r="CY7" s="85"/>
      <c r="CZ7" s="85"/>
      <c r="DA7" s="86"/>
      <c r="DB7" s="84"/>
    </row>
    <row r="8" spans="2:106" ht="11.25" customHeight="1"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85"/>
      <c r="CY8" s="85"/>
      <c r="CZ8" s="85"/>
      <c r="DA8" s="86"/>
      <c r="DB8" s="84"/>
    </row>
    <row r="9" spans="2:106" ht="11.25" customHeight="1">
      <c r="B9" s="78"/>
      <c r="C9" s="79"/>
      <c r="D9" s="79"/>
      <c r="E9" s="79" t="s">
        <v>777</v>
      </c>
      <c r="F9" s="79"/>
      <c r="G9" s="79"/>
      <c r="H9" s="79" t="s">
        <v>530</v>
      </c>
      <c r="I9" s="79"/>
      <c r="J9" s="79"/>
      <c r="K9" s="79"/>
      <c r="L9" s="79"/>
      <c r="M9" s="79" t="s">
        <v>758</v>
      </c>
      <c r="N9" s="79"/>
      <c r="O9" s="79"/>
      <c r="P9" s="79"/>
      <c r="Q9" s="79"/>
      <c r="R9" s="79" t="s">
        <v>249</v>
      </c>
      <c r="S9" s="79"/>
      <c r="T9" s="79"/>
      <c r="U9" s="79" t="s">
        <v>157</v>
      </c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85"/>
      <c r="CY9" s="85"/>
      <c r="CZ9" s="85"/>
      <c r="DA9" s="86"/>
      <c r="DB9" s="84"/>
    </row>
    <row r="10" spans="2:106" ht="11.25" customHeight="1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85"/>
      <c r="CY10" s="85"/>
      <c r="CZ10" s="85"/>
      <c r="DA10" s="86"/>
      <c r="DB10" s="84"/>
    </row>
    <row r="11" spans="2:106" ht="11.25" customHeight="1">
      <c r="B11" s="78"/>
      <c r="C11" s="79"/>
      <c r="D11" s="79"/>
      <c r="E11" s="79" t="s">
        <v>777</v>
      </c>
      <c r="F11" s="79"/>
      <c r="G11" s="79"/>
      <c r="H11" s="79" t="s">
        <v>733</v>
      </c>
      <c r="I11" s="79"/>
      <c r="J11" s="79"/>
      <c r="K11" s="79"/>
      <c r="L11" s="79"/>
      <c r="M11" s="79"/>
      <c r="N11" s="79"/>
      <c r="O11" s="79"/>
      <c r="P11" s="79"/>
      <c r="Q11" s="79" t="s">
        <v>65</v>
      </c>
      <c r="R11" s="79"/>
      <c r="S11" s="79"/>
      <c r="T11" s="79" t="s">
        <v>45</v>
      </c>
      <c r="U11" s="79"/>
      <c r="V11" s="79"/>
      <c r="W11" s="79" t="s">
        <v>754</v>
      </c>
      <c r="X11" s="79"/>
      <c r="Y11" s="79"/>
      <c r="Z11" s="79"/>
      <c r="AA11" s="79"/>
      <c r="AB11" s="79" t="s">
        <v>225</v>
      </c>
      <c r="AC11" s="79" t="s">
        <v>166</v>
      </c>
      <c r="AD11" s="79"/>
      <c r="AE11" s="79"/>
      <c r="AF11" s="79"/>
      <c r="AG11" s="79"/>
      <c r="AH11" s="79"/>
      <c r="AI11" s="79"/>
      <c r="AJ11" s="79"/>
      <c r="AK11" s="79" t="s">
        <v>461</v>
      </c>
      <c r="AL11" s="79"/>
      <c r="AM11" s="79" t="s">
        <v>782</v>
      </c>
      <c r="AN11" s="79" t="s">
        <v>521</v>
      </c>
      <c r="AO11" s="79"/>
      <c r="AP11" s="79"/>
      <c r="AQ11" s="79" t="s">
        <v>92</v>
      </c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 t="s">
        <v>180</v>
      </c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85"/>
      <c r="CY11" s="85"/>
      <c r="CZ11" s="85"/>
      <c r="DA11" s="86"/>
      <c r="DB11" s="84"/>
    </row>
    <row r="12" spans="2:106" ht="11.25" customHeight="1">
      <c r="B12" s="78"/>
      <c r="C12" s="79"/>
      <c r="D12" s="79"/>
      <c r="E12" s="79"/>
      <c r="F12" s="79"/>
      <c r="G12" s="79"/>
      <c r="H12" s="79" t="s">
        <v>365</v>
      </c>
      <c r="I12" s="79" t="s">
        <v>23</v>
      </c>
      <c r="J12" s="79" t="s">
        <v>744</v>
      </c>
      <c r="K12" s="79"/>
      <c r="L12" s="79"/>
      <c r="M12" s="79"/>
      <c r="N12" s="79"/>
      <c r="O12" s="79" t="s">
        <v>604</v>
      </c>
      <c r="P12" s="79"/>
      <c r="Q12" s="79" t="s">
        <v>407</v>
      </c>
      <c r="R12" s="79"/>
      <c r="S12" s="79"/>
      <c r="T12" s="79"/>
      <c r="U12" s="79"/>
      <c r="V12" s="79"/>
      <c r="W12" s="79"/>
      <c r="X12" s="79"/>
      <c r="Y12" s="79" t="s">
        <v>461</v>
      </c>
      <c r="Z12" s="79"/>
      <c r="AA12" s="79" t="s">
        <v>300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 t="s">
        <v>461</v>
      </c>
      <c r="AP12" s="79"/>
      <c r="AQ12" s="79" t="s">
        <v>677</v>
      </c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 t="s">
        <v>126</v>
      </c>
      <c r="BE12" s="79"/>
      <c r="BF12" s="79"/>
      <c r="BG12" s="79"/>
      <c r="BH12" s="79"/>
      <c r="BI12" s="79" t="s">
        <v>252</v>
      </c>
      <c r="BJ12" s="79"/>
      <c r="BK12" s="79"/>
      <c r="BL12" s="79"/>
      <c r="BM12" s="79"/>
      <c r="BN12" s="79"/>
      <c r="BO12" s="79"/>
      <c r="BP12" s="79"/>
      <c r="BQ12" s="79"/>
      <c r="BR12" s="79" t="s">
        <v>501</v>
      </c>
      <c r="BS12" s="79"/>
      <c r="BT12" s="79"/>
      <c r="BU12" s="79"/>
      <c r="BV12" s="79"/>
      <c r="BW12" s="79" t="s">
        <v>59</v>
      </c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85"/>
      <c r="CY12" s="85"/>
      <c r="CZ12" s="85"/>
      <c r="DA12" s="86"/>
      <c r="DB12" s="84"/>
    </row>
    <row r="13" spans="2:106" ht="11.25" customHeight="1"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 t="s">
        <v>1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 t="s">
        <v>184</v>
      </c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 t="s">
        <v>492</v>
      </c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85"/>
      <c r="CY13" s="85"/>
      <c r="CZ13" s="85"/>
      <c r="DA13" s="86"/>
      <c r="DB13" s="84"/>
    </row>
    <row r="14" spans="2:106" ht="11.25" customHeight="1"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85"/>
      <c r="CY14" s="85"/>
      <c r="CZ14" s="85"/>
      <c r="DA14" s="86"/>
      <c r="DB14" s="84"/>
    </row>
    <row r="15" spans="2:106" ht="11.25" customHeight="1">
      <c r="B15" s="78"/>
      <c r="C15" s="79"/>
      <c r="D15" s="79"/>
      <c r="E15" s="79" t="s">
        <v>777</v>
      </c>
      <c r="F15" s="79"/>
      <c r="G15" s="79"/>
      <c r="H15" s="79" t="s">
        <v>225</v>
      </c>
      <c r="I15" s="79" t="s">
        <v>748</v>
      </c>
      <c r="J15" s="79"/>
      <c r="K15" s="79"/>
      <c r="L15" s="79" t="s">
        <v>30</v>
      </c>
      <c r="M15" s="79"/>
      <c r="N15" s="79"/>
      <c r="O15" s="79"/>
      <c r="P15" s="79"/>
      <c r="Q15" s="79"/>
      <c r="R15" s="79"/>
      <c r="S15" s="79" t="s">
        <v>604</v>
      </c>
      <c r="T15" s="79"/>
      <c r="U15" s="79" t="s">
        <v>262</v>
      </c>
      <c r="V15" s="79"/>
      <c r="W15" s="79"/>
      <c r="X15" s="79" t="s">
        <v>309</v>
      </c>
      <c r="Y15" s="79"/>
      <c r="Z15" s="79" t="str">
        <f>TEXT(2600,"#,##0.#######")</f>
        <v>2,600.</v>
      </c>
      <c r="AA15" s="79"/>
      <c r="AB15" s="79"/>
      <c r="AC15" s="79"/>
      <c r="AD15" s="79"/>
      <c r="AE15" s="79" t="s">
        <v>596</v>
      </c>
      <c r="AF15" s="79"/>
      <c r="AG15" s="79" t="s">
        <v>123</v>
      </c>
      <c r="AH15" s="79" t="s">
        <v>748</v>
      </c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85"/>
      <c r="CY15" s="85"/>
      <c r="CZ15" s="85"/>
      <c r="DA15" s="86"/>
      <c r="DB15" s="84"/>
    </row>
    <row r="16" spans="2:106" ht="11.25" customHeight="1">
      <c r="B16" s="78"/>
      <c r="C16" s="79"/>
      <c r="D16" s="79"/>
      <c r="E16" s="79"/>
      <c r="F16" s="79"/>
      <c r="G16" s="79"/>
      <c r="H16" s="79" t="s">
        <v>552</v>
      </c>
      <c r="I16" s="79"/>
      <c r="J16" s="79"/>
      <c r="K16" s="79"/>
      <c r="L16" s="79"/>
      <c r="M16" s="79"/>
      <c r="N16" s="79"/>
      <c r="O16" s="79" t="s">
        <v>30</v>
      </c>
      <c r="P16" s="79"/>
      <c r="Q16" s="79"/>
      <c r="R16" s="79"/>
      <c r="S16" s="79"/>
      <c r="T16" s="79"/>
      <c r="U16" s="79"/>
      <c r="V16" s="79" t="s">
        <v>604</v>
      </c>
      <c r="W16" s="79"/>
      <c r="X16" s="79" t="s">
        <v>49</v>
      </c>
      <c r="Y16" s="79"/>
      <c r="Z16" s="79" t="s">
        <v>309</v>
      </c>
      <c r="AA16" s="79"/>
      <c r="AB16" s="79" t="s">
        <v>262</v>
      </c>
      <c r="AC16" s="79"/>
      <c r="AD16" s="79"/>
      <c r="AE16" s="79" t="s">
        <v>391</v>
      </c>
      <c r="AF16" s="79"/>
      <c r="AG16" s="79"/>
      <c r="AH16" s="79" t="str">
        <f>TEXT(8,"#,##0.#######")</f>
        <v>8.</v>
      </c>
      <c r="AI16" s="79" t="s">
        <v>598</v>
      </c>
      <c r="AJ16" s="79"/>
      <c r="AK16" s="79"/>
      <c r="AL16" s="79" t="s">
        <v>309</v>
      </c>
      <c r="AM16" s="79"/>
      <c r="AN16" s="79" t="str">
        <f>TEXT(Z15,"#,##0.#######")</f>
        <v>2,600.</v>
      </c>
      <c r="AO16" s="79"/>
      <c r="AP16" s="79"/>
      <c r="AQ16" s="79"/>
      <c r="AR16" s="79"/>
      <c r="AS16" s="79"/>
      <c r="AT16" s="79" t="s">
        <v>391</v>
      </c>
      <c r="AU16" s="79"/>
      <c r="AV16" s="79"/>
      <c r="AW16" s="79" t="str">
        <f>TEXT(AH16,"#,##0.#######")</f>
        <v>8.</v>
      </c>
      <c r="AX16" s="79"/>
      <c r="AY16" s="79" t="s">
        <v>309</v>
      </c>
      <c r="AZ16" s="79"/>
      <c r="BA16" s="79"/>
      <c r="BB16" s="79" t="str">
        <f>TEXT(ROUND(Z15/AH16,2),"#,##0.#######")</f>
        <v>325.</v>
      </c>
      <c r="BC16" s="79"/>
      <c r="BD16" s="79"/>
      <c r="BE16" s="79"/>
      <c r="BF16" s="79"/>
      <c r="BG16" s="79"/>
      <c r="BH16" s="79" t="s">
        <v>596</v>
      </c>
      <c r="BI16" s="79"/>
      <c r="BJ16" s="79" t="s">
        <v>123</v>
      </c>
      <c r="BK16" s="79" t="s">
        <v>598</v>
      </c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85"/>
      <c r="CY16" s="85"/>
      <c r="CZ16" s="85"/>
      <c r="DA16" s="86"/>
      <c r="DB16" s="84"/>
    </row>
    <row r="17" spans="2:106" ht="11.25" customHeight="1"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85"/>
      <c r="CY17" s="85"/>
      <c r="CZ17" s="85"/>
      <c r="DA17" s="86"/>
      <c r="DB17" s="84"/>
    </row>
    <row r="18" spans="2:106" ht="11.25" customHeight="1">
      <c r="B18" s="78"/>
      <c r="C18" s="79"/>
      <c r="D18" s="79" t="s">
        <v>401</v>
      </c>
      <c r="E18" s="79"/>
      <c r="F18" s="79"/>
      <c r="G18" s="79" t="s">
        <v>153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85"/>
      <c r="CY18" s="85"/>
      <c r="CZ18" s="85"/>
      <c r="DA18" s="86"/>
      <c r="DB18" s="84"/>
    </row>
    <row r="19" spans="2:106" ht="11.25" customHeight="1"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85"/>
      <c r="CY19" s="85"/>
      <c r="CZ19" s="85"/>
      <c r="DA19" s="86"/>
      <c r="DB19" s="84"/>
    </row>
    <row r="20" spans="2:106" ht="11.25" customHeight="1">
      <c r="B20" s="78"/>
      <c r="C20" s="79"/>
      <c r="D20" s="79"/>
      <c r="E20" s="79"/>
      <c r="F20" s="79"/>
      <c r="G20" s="79" t="s">
        <v>248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604</v>
      </c>
      <c r="S20" s="79"/>
      <c r="T20" s="79" t="str">
        <f>TEXT(노임단가!F4,"#,##0")</f>
        <v>273,308</v>
      </c>
      <c r="U20" s="79"/>
      <c r="V20" s="79"/>
      <c r="W20" s="79"/>
      <c r="X20" s="79"/>
      <c r="Y20" s="79"/>
      <c r="Z20" s="79"/>
      <c r="AA20" s="79"/>
      <c r="AB20" s="79"/>
      <c r="AC20" s="79"/>
      <c r="AD20" s="79" t="s">
        <v>699</v>
      </c>
      <c r="AE20" s="79"/>
      <c r="AF20" s="79"/>
      <c r="AG20" s="79" t="str">
        <f>TEXT(4,"#,##0.#######")</f>
        <v>4.</v>
      </c>
      <c r="AH20" s="79"/>
      <c r="AI20" s="79"/>
      <c r="AJ20" s="79" t="s">
        <v>767</v>
      </c>
      <c r="AK20" s="79"/>
      <c r="AL20" s="79"/>
      <c r="AM20" s="79" t="s">
        <v>699</v>
      </c>
      <c r="AN20" s="79"/>
      <c r="AO20" s="79"/>
      <c r="AP20" s="79" t="str">
        <f>TEXT(150,"#,##0.#######")</f>
        <v>150.</v>
      </c>
      <c r="AQ20" s="79"/>
      <c r="AR20" s="79"/>
      <c r="AS20" s="79" t="s">
        <v>157</v>
      </c>
      <c r="AT20" s="79"/>
      <c r="AU20" s="79"/>
      <c r="AV20" s="79" t="s">
        <v>391</v>
      </c>
      <c r="AW20" s="79"/>
      <c r="AX20" s="79"/>
      <c r="AY20" s="79" t="s">
        <v>262</v>
      </c>
      <c r="AZ20" s="79"/>
      <c r="BA20" s="79"/>
      <c r="BB20" s="79" t="s">
        <v>309</v>
      </c>
      <c r="BC20" s="79"/>
      <c r="BD20" s="79" t="str">
        <f>TEXT(T20,"#,##0.#######")</f>
        <v>273,308.</v>
      </c>
      <c r="BE20" s="79"/>
      <c r="BF20" s="79"/>
      <c r="BG20" s="79"/>
      <c r="BH20" s="79"/>
      <c r="BI20" s="79"/>
      <c r="BJ20" s="79"/>
      <c r="BK20" s="79"/>
      <c r="BL20" s="79" t="s">
        <v>699</v>
      </c>
      <c r="BM20" s="79"/>
      <c r="BN20" s="79"/>
      <c r="BO20" s="79" t="str">
        <f>TEXT(AG20,"#,##0.#######")</f>
        <v>4.</v>
      </c>
      <c r="BP20" s="79"/>
      <c r="BQ20" s="79" t="s">
        <v>699</v>
      </c>
      <c r="BR20" s="79"/>
      <c r="BS20" s="79"/>
      <c r="BT20" s="79" t="str">
        <f>TEXT(AP20,"#,##0.#######")</f>
        <v>150.</v>
      </c>
      <c r="BU20" s="79"/>
      <c r="BV20" s="79"/>
      <c r="BW20" s="79"/>
      <c r="BX20" s="79"/>
      <c r="BY20" s="79" t="s">
        <v>391</v>
      </c>
      <c r="BZ20" s="79"/>
      <c r="CA20" s="79"/>
      <c r="CB20" s="79" t="str">
        <f>TEXT(Z15,"#,##0.#######")</f>
        <v>2,600.</v>
      </c>
      <c r="CC20" s="79"/>
      <c r="CD20" s="79"/>
      <c r="CE20" s="79"/>
      <c r="CF20" s="79"/>
      <c r="CG20" s="79"/>
      <c r="CH20" s="79" t="s">
        <v>309</v>
      </c>
      <c r="CI20" s="79"/>
      <c r="CJ20" s="79" t="str">
        <f>TEXT(TRUNC(T20*AG20*(AP20*(1/100))/Z15,1),"#,##0.#######")</f>
        <v>630.7</v>
      </c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85"/>
      <c r="CY20" s="85"/>
      <c r="CZ20" s="85"/>
      <c r="DA20" s="86"/>
      <c r="DB20" s="84"/>
    </row>
    <row r="21" spans="2:106" ht="11.25" customHeight="1">
      <c r="B21" s="78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85"/>
      <c r="CY21" s="85"/>
      <c r="CZ21" s="85"/>
      <c r="DA21" s="86"/>
      <c r="DB21" s="84"/>
    </row>
    <row r="22" spans="2:106" ht="11.25" customHeight="1">
      <c r="B22" s="78"/>
      <c r="C22" s="79"/>
      <c r="D22" s="79"/>
      <c r="E22" s="79"/>
      <c r="F22" s="79"/>
      <c r="G22" s="79" t="s">
        <v>54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 t="s">
        <v>604</v>
      </c>
      <c r="S22" s="79"/>
      <c r="T22" s="79" t="str">
        <f>TEXT(노임단가!F5,"#,##0")</f>
        <v>172,068</v>
      </c>
      <c r="U22" s="79"/>
      <c r="V22" s="79"/>
      <c r="W22" s="79"/>
      <c r="X22" s="79"/>
      <c r="Y22" s="79"/>
      <c r="Z22" s="79"/>
      <c r="AA22" s="79"/>
      <c r="AB22" s="79"/>
      <c r="AC22" s="79"/>
      <c r="AD22" s="79" t="s">
        <v>699</v>
      </c>
      <c r="AE22" s="79"/>
      <c r="AF22" s="79"/>
      <c r="AG22" s="79" t="str">
        <f>TEXT(2,"#,##0.#######")</f>
        <v>2.</v>
      </c>
      <c r="AH22" s="79"/>
      <c r="AI22" s="79"/>
      <c r="AJ22" s="79" t="s">
        <v>767</v>
      </c>
      <c r="AK22" s="79"/>
      <c r="AL22" s="79"/>
      <c r="AM22" s="79" t="s">
        <v>699</v>
      </c>
      <c r="AN22" s="79"/>
      <c r="AO22" s="79"/>
      <c r="AP22" s="79" t="str">
        <f>TEXT(150,"#,##0.#######")</f>
        <v>150.</v>
      </c>
      <c r="AQ22" s="79"/>
      <c r="AR22" s="79"/>
      <c r="AS22" s="79" t="s">
        <v>157</v>
      </c>
      <c r="AT22" s="79"/>
      <c r="AU22" s="79" t="s">
        <v>391</v>
      </c>
      <c r="AV22" s="79"/>
      <c r="AW22" s="79"/>
      <c r="AX22" s="79" t="s">
        <v>262</v>
      </c>
      <c r="AY22" s="79"/>
      <c r="AZ22" s="79"/>
      <c r="BA22" s="79" t="s">
        <v>309</v>
      </c>
      <c r="BB22" s="79"/>
      <c r="BC22" s="79" t="str">
        <f>TEXT(T22,"#,##0.#######")</f>
        <v>172,068.</v>
      </c>
      <c r="BD22" s="79"/>
      <c r="BE22" s="79"/>
      <c r="BF22" s="79"/>
      <c r="BG22" s="79"/>
      <c r="BH22" s="79"/>
      <c r="BI22" s="79"/>
      <c r="BJ22" s="79"/>
      <c r="BK22" s="79" t="s">
        <v>699</v>
      </c>
      <c r="BL22" s="79"/>
      <c r="BM22" s="79"/>
      <c r="BN22" s="79" t="str">
        <f>TEXT(AG22,"#,##0.#######")</f>
        <v>2.</v>
      </c>
      <c r="BO22" s="79"/>
      <c r="BP22" s="79" t="s">
        <v>699</v>
      </c>
      <c r="BQ22" s="79"/>
      <c r="BR22" s="79"/>
      <c r="BS22" s="79" t="str">
        <f>TEXT(AP22,"#,##0.#######")</f>
        <v>150.</v>
      </c>
      <c r="BT22" s="79"/>
      <c r="BU22" s="79"/>
      <c r="BV22" s="79"/>
      <c r="BW22" s="79" t="s">
        <v>391</v>
      </c>
      <c r="BX22" s="79"/>
      <c r="BY22" s="79"/>
      <c r="BZ22" s="79" t="str">
        <f>TEXT(Z15,"#,##0.#######")</f>
        <v>2,600.</v>
      </c>
      <c r="CA22" s="79"/>
      <c r="CB22" s="79"/>
      <c r="CC22" s="79"/>
      <c r="CD22" s="79"/>
      <c r="CE22" s="79"/>
      <c r="CF22" s="79" t="s">
        <v>309</v>
      </c>
      <c r="CG22" s="79"/>
      <c r="CH22" s="79" t="str">
        <f>TEXT(TRUNC(T22*AG22*(AP22*(1/100))/Z15,1),"#,##0.#######")</f>
        <v>198.5</v>
      </c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85"/>
      <c r="CY22" s="85"/>
      <c r="CZ22" s="85"/>
      <c r="DA22" s="86"/>
      <c r="DB22" s="84"/>
    </row>
    <row r="23" spans="2:106" ht="11.25" customHeight="1"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85"/>
      <c r="CY23" s="85"/>
      <c r="CZ23" s="85"/>
      <c r="DA23" s="86"/>
      <c r="DB23" s="84"/>
    </row>
    <row r="24" spans="2:106" ht="11.25" customHeight="1">
      <c r="B24" s="78"/>
      <c r="C24" s="79"/>
      <c r="D24" s="79"/>
      <c r="E24" s="79"/>
      <c r="F24" s="79"/>
      <c r="G24" s="79" t="s">
        <v>565</v>
      </c>
      <c r="H24" s="79"/>
      <c r="I24" s="79"/>
      <c r="J24" s="79"/>
      <c r="K24" s="79"/>
      <c r="L24" s="79"/>
      <c r="M24" s="79"/>
      <c r="N24" s="79"/>
      <c r="O24" s="79"/>
      <c r="P24" s="79" t="s">
        <v>604</v>
      </c>
      <c r="Q24" s="79"/>
      <c r="R24" s="79" t="str">
        <f>TEXT(TRUNC(CJ20+CH22,1),"#,##0.#######")</f>
        <v>829.2</v>
      </c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85"/>
      <c r="CY24" s="85" t="str">
        <f>R24</f>
        <v>829.2</v>
      </c>
      <c r="CZ24" s="85"/>
      <c r="DA24" s="86"/>
      <c r="DB24" s="84"/>
    </row>
    <row r="25" spans="2:106" ht="11.25" customHeight="1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85"/>
      <c r="CY25" s="85"/>
      <c r="CZ25" s="85"/>
      <c r="DA25" s="86"/>
      <c r="DB25" s="84"/>
    </row>
    <row r="26" spans="2:106" ht="11.25" customHeight="1">
      <c r="B26" s="78"/>
      <c r="C26" s="79"/>
      <c r="D26" s="79" t="s">
        <v>594</v>
      </c>
      <c r="E26" s="79"/>
      <c r="F26" s="79"/>
      <c r="G26" s="79" t="s">
        <v>498</v>
      </c>
      <c r="H26" s="79"/>
      <c r="I26" s="79"/>
      <c r="J26" s="79"/>
      <c r="K26" s="79"/>
      <c r="L26" s="79"/>
      <c r="M26" s="79"/>
      <c r="N26" s="79" t="s">
        <v>431</v>
      </c>
      <c r="O26" s="79" t="s">
        <v>137</v>
      </c>
      <c r="P26" s="79"/>
      <c r="Q26" s="79" t="s">
        <v>431</v>
      </c>
      <c r="R26" s="79" t="s">
        <v>316</v>
      </c>
      <c r="S26" s="79"/>
      <c r="T26" s="79" t="s">
        <v>89</v>
      </c>
      <c r="U26" s="79"/>
      <c r="V26" s="79" t="s">
        <v>456</v>
      </c>
      <c r="W26" s="79"/>
      <c r="X26" s="79"/>
      <c r="Y26" s="79"/>
      <c r="Z26" s="79"/>
      <c r="AA26" s="79"/>
      <c r="AB26" s="79" t="s">
        <v>89</v>
      </c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85"/>
      <c r="CY26" s="85"/>
      <c r="CZ26" s="85"/>
      <c r="DA26" s="86"/>
      <c r="DB26" s="84"/>
    </row>
    <row r="27" spans="2:106" ht="11.25" customHeight="1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85"/>
      <c r="CY27" s="85"/>
      <c r="CZ27" s="85"/>
      <c r="DA27" s="86"/>
      <c r="DB27" s="84"/>
    </row>
    <row r="28" spans="2:106" ht="11.25" customHeight="1">
      <c r="B28" s="78"/>
      <c r="C28" s="79"/>
      <c r="D28" s="79"/>
      <c r="E28" s="79"/>
      <c r="F28" s="79"/>
      <c r="G28" s="79" t="s">
        <v>225</v>
      </c>
      <c r="H28" s="79" t="s">
        <v>229</v>
      </c>
      <c r="I28" s="79"/>
      <c r="J28" s="79"/>
      <c r="K28" s="79"/>
      <c r="L28" s="79"/>
      <c r="M28" s="79" t="s">
        <v>692</v>
      </c>
      <c r="N28" s="79"/>
      <c r="O28" s="79"/>
      <c r="P28" s="79"/>
      <c r="Q28" s="79" t="s">
        <v>532</v>
      </c>
      <c r="R28" s="79"/>
      <c r="S28" s="79"/>
      <c r="T28" s="79"/>
      <c r="U28" s="79"/>
      <c r="V28" s="79"/>
      <c r="W28" s="79" t="s">
        <v>461</v>
      </c>
      <c r="X28" s="79"/>
      <c r="Y28" s="79" t="s">
        <v>733</v>
      </c>
      <c r="Z28" s="79"/>
      <c r="AA28" s="79"/>
      <c r="AB28" s="79"/>
      <c r="AC28" s="79"/>
      <c r="AD28" s="79"/>
      <c r="AE28" s="79"/>
      <c r="AF28" s="79"/>
      <c r="AG28" s="79"/>
      <c r="AH28" s="79" t="s">
        <v>65</v>
      </c>
      <c r="AI28" s="79"/>
      <c r="AJ28" s="79"/>
      <c r="AK28" s="79" t="s">
        <v>170</v>
      </c>
      <c r="AL28" s="79"/>
      <c r="AM28" s="79"/>
      <c r="AN28" s="79"/>
      <c r="AO28" s="79"/>
      <c r="AP28" s="79"/>
      <c r="AQ28" s="79"/>
      <c r="AR28" s="79"/>
      <c r="AS28" s="79"/>
      <c r="AT28" s="79" t="s">
        <v>225</v>
      </c>
      <c r="AU28" s="79" t="s">
        <v>513</v>
      </c>
      <c r="AV28" s="79"/>
      <c r="AW28" s="79"/>
      <c r="AX28" s="79"/>
      <c r="AY28" s="79"/>
      <c r="AZ28" s="79" t="s">
        <v>90</v>
      </c>
      <c r="BA28" s="79"/>
      <c r="BB28" s="79" t="s">
        <v>69</v>
      </c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85"/>
      <c r="CY28" s="85"/>
      <c r="CZ28" s="85"/>
      <c r="DA28" s="86"/>
      <c r="DB28" s="84"/>
    </row>
    <row r="29" spans="2:106" ht="11.25" customHeight="1"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85"/>
      <c r="CY29" s="85"/>
      <c r="CZ29" s="85"/>
      <c r="DA29" s="86"/>
      <c r="DB29" s="84"/>
    </row>
    <row r="30" spans="2:106" ht="11.25" customHeight="1">
      <c r="B30" s="78"/>
      <c r="C30" s="79"/>
      <c r="D30" s="79"/>
      <c r="E30" s="79"/>
      <c r="F30" s="79"/>
      <c r="G30" s="79" t="s">
        <v>374</v>
      </c>
      <c r="H30" s="79"/>
      <c r="I30" s="79"/>
      <c r="J30" s="79"/>
      <c r="K30" s="79"/>
      <c r="L30" s="79"/>
      <c r="M30" s="79"/>
      <c r="N30" s="79"/>
      <c r="O30" s="79" t="s">
        <v>475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 t="str">
        <f>TEXT(자재단가!R5,"#,##0.#######")</f>
        <v>6,000.</v>
      </c>
      <c r="AG30" s="79"/>
      <c r="AH30" s="79"/>
      <c r="AI30" s="79"/>
      <c r="AJ30" s="79"/>
      <c r="AK30" s="79"/>
      <c r="AL30" s="79"/>
      <c r="AM30" s="79"/>
      <c r="AN30" s="79" t="s">
        <v>699</v>
      </c>
      <c r="AO30" s="79"/>
      <c r="AP30" s="79"/>
      <c r="AQ30" s="79" t="str">
        <f>TEXT(0.69,"#,##0.#######")</f>
        <v>0.69</v>
      </c>
      <c r="AR30" s="79"/>
      <c r="AS30" s="79"/>
      <c r="AT30" s="79"/>
      <c r="AU30" s="79" t="s">
        <v>497</v>
      </c>
      <c r="AV30" s="79"/>
      <c r="AW30" s="79"/>
      <c r="AX30" s="79" t="s">
        <v>391</v>
      </c>
      <c r="AY30" s="79"/>
      <c r="AZ30" s="79"/>
      <c r="BA30" s="79" t="str">
        <f>TEXT(10,"#,##0.#######")</f>
        <v>10.</v>
      </c>
      <c r="BB30" s="79"/>
      <c r="BC30" s="79" t="s">
        <v>596</v>
      </c>
      <c r="BD30" s="79"/>
      <c r="BE30" s="79"/>
      <c r="BF30" s="79" t="s">
        <v>309</v>
      </c>
      <c r="BG30" s="79"/>
      <c r="BH30" s="79" t="str">
        <f>TEXT(TRUNC(AF30*AQ30/BA30,1),"#,##0.#")</f>
        <v>414.</v>
      </c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85">
        <f>CY30+CZ30+DA30</f>
        <v>414</v>
      </c>
      <c r="CY30" s="85"/>
      <c r="CZ30" s="85" t="str">
        <f>BH30</f>
        <v>414.</v>
      </c>
      <c r="DA30" s="86"/>
      <c r="DB30" s="84"/>
    </row>
    <row r="31" spans="2:106" ht="11.25" customHeight="1"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85"/>
      <c r="CY31" s="85"/>
      <c r="CZ31" s="85"/>
      <c r="DA31" s="86"/>
      <c r="DB31" s="84"/>
    </row>
    <row r="32" spans="2:106" ht="11.25" customHeight="1">
      <c r="B32" s="78"/>
      <c r="C32" s="79"/>
      <c r="D32" s="79" t="s">
        <v>832</v>
      </c>
      <c r="E32" s="79"/>
      <c r="F32" s="79"/>
      <c r="G32" s="79" t="s">
        <v>106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85"/>
      <c r="CY32" s="85"/>
      <c r="CZ32" s="85"/>
      <c r="DA32" s="86"/>
      <c r="DB32" s="84"/>
    </row>
    <row r="33" spans="2:106" ht="11.25" customHeight="1">
      <c r="B33" s="78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85"/>
      <c r="CY33" s="85"/>
      <c r="CZ33" s="85"/>
      <c r="DA33" s="86"/>
      <c r="DB33" s="84"/>
    </row>
    <row r="34" spans="2:106" ht="11.25" customHeight="1">
      <c r="B34" s="78"/>
      <c r="C34" s="79"/>
      <c r="D34" s="79"/>
      <c r="E34" s="79" t="s">
        <v>614</v>
      </c>
      <c r="F34" s="79"/>
      <c r="G34" s="79" t="s">
        <v>587</v>
      </c>
      <c r="H34" s="79"/>
      <c r="I34" s="79" t="s">
        <v>382</v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 t="s">
        <v>807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85"/>
      <c r="CY34" s="85"/>
      <c r="CZ34" s="85"/>
      <c r="DA34" s="86"/>
      <c r="DB34" s="84"/>
    </row>
    <row r="35" spans="2:106" ht="11.25" customHeight="1"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85"/>
      <c r="CY35" s="85"/>
      <c r="CZ35" s="85"/>
      <c r="DA35" s="86"/>
      <c r="DB35" s="84"/>
    </row>
    <row r="36" spans="2:106" ht="11.25" customHeight="1">
      <c r="B36" s="78"/>
      <c r="C36" s="79"/>
      <c r="D36" s="79"/>
      <c r="E36" s="79"/>
      <c r="F36" s="79"/>
      <c r="G36" s="79" t="s">
        <v>700</v>
      </c>
      <c r="H36" s="79"/>
      <c r="I36" s="79"/>
      <c r="J36" s="79"/>
      <c r="K36" s="79"/>
      <c r="L36" s="79"/>
      <c r="M36" s="79"/>
      <c r="N36" s="79" t="s">
        <v>604</v>
      </c>
      <c r="O36" s="79"/>
      <c r="P36" s="79"/>
      <c r="Q36" s="79" t="str">
        <f>TEXT(기계경비총괄표!G4,"#,##0")</f>
        <v>59,020</v>
      </c>
      <c r="R36" s="79"/>
      <c r="S36" s="79"/>
      <c r="T36" s="79"/>
      <c r="U36" s="79"/>
      <c r="V36" s="79"/>
      <c r="W36" s="79"/>
      <c r="X36" s="79"/>
      <c r="Y36" s="79"/>
      <c r="Z36" s="79" t="s">
        <v>391</v>
      </c>
      <c r="AA36" s="79"/>
      <c r="AB36" s="79"/>
      <c r="AC36" s="79" t="str">
        <f>TEXT(BB16,"#,##0.#######")</f>
        <v>325.</v>
      </c>
      <c r="AD36" s="79"/>
      <c r="AE36" s="79"/>
      <c r="AF36" s="79"/>
      <c r="AG36" s="79"/>
      <c r="AH36" s="79"/>
      <c r="AI36" s="79" t="s">
        <v>699</v>
      </c>
      <c r="AJ36" s="79"/>
      <c r="AK36" s="79" t="str">
        <f>TEXT(2,"#,##0.#######")</f>
        <v>2.</v>
      </c>
      <c r="AL36" s="79" t="s">
        <v>161</v>
      </c>
      <c r="AM36" s="79"/>
      <c r="AN36" s="79"/>
      <c r="AO36" s="79" t="s">
        <v>699</v>
      </c>
      <c r="AP36" s="79"/>
      <c r="AQ36" s="79"/>
      <c r="AR36" s="79" t="str">
        <f>TEXT(150,"#,##0.#######")</f>
        <v>150.</v>
      </c>
      <c r="AS36" s="79"/>
      <c r="AT36" s="79"/>
      <c r="AU36" s="79" t="s">
        <v>157</v>
      </c>
      <c r="AV36" s="79"/>
      <c r="AW36" s="79"/>
      <c r="AX36" s="79" t="s">
        <v>309</v>
      </c>
      <c r="AY36" s="79"/>
      <c r="AZ36" s="79" t="str">
        <f>TEXT(TRUNC(Q36/BB16*AK36*(AR36*(1/100)),1),"#,##0.#")</f>
        <v>544.8</v>
      </c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85"/>
      <c r="CY36" s="85"/>
      <c r="CZ36" s="85"/>
      <c r="DA36" s="86"/>
      <c r="DB36" s="84"/>
    </row>
    <row r="37" spans="2:106" ht="11.25" customHeight="1">
      <c r="B37" s="78"/>
      <c r="C37" s="79"/>
      <c r="D37" s="79"/>
      <c r="E37" s="79"/>
      <c r="F37" s="79"/>
      <c r="G37" s="79" t="s">
        <v>498</v>
      </c>
      <c r="H37" s="79"/>
      <c r="I37" s="79"/>
      <c r="J37" s="79"/>
      <c r="K37" s="79"/>
      <c r="L37" s="79"/>
      <c r="M37" s="79"/>
      <c r="N37" s="79" t="s">
        <v>604</v>
      </c>
      <c r="O37" s="79"/>
      <c r="P37" s="79"/>
      <c r="Q37" s="79" t="str">
        <f>TEXT(기계경비총괄표!H4,"#,##0")</f>
        <v>84,117</v>
      </c>
      <c r="R37" s="79"/>
      <c r="S37" s="79"/>
      <c r="T37" s="79"/>
      <c r="U37" s="79"/>
      <c r="V37" s="79"/>
      <c r="W37" s="79"/>
      <c r="X37" s="79"/>
      <c r="Y37" s="79"/>
      <c r="Z37" s="79" t="s">
        <v>391</v>
      </c>
      <c r="AA37" s="79"/>
      <c r="AB37" s="79"/>
      <c r="AC37" s="79" t="str">
        <f>TEXT(BB16,"#,##0.#######")</f>
        <v>325.</v>
      </c>
      <c r="AD37" s="79"/>
      <c r="AE37" s="79"/>
      <c r="AF37" s="79"/>
      <c r="AG37" s="79"/>
      <c r="AH37" s="79"/>
      <c r="AI37" s="79" t="s">
        <v>699</v>
      </c>
      <c r="AJ37" s="79"/>
      <c r="AK37" s="79" t="str">
        <f>TEXT(2,"#,##0.#######")</f>
        <v>2.</v>
      </c>
      <c r="AL37" s="79" t="s">
        <v>161</v>
      </c>
      <c r="AM37" s="79"/>
      <c r="AN37" s="79"/>
      <c r="AO37" s="79" t="s">
        <v>309</v>
      </c>
      <c r="AP37" s="79"/>
      <c r="AQ37" s="79" t="str">
        <f>TEXT(TRUNC(Q37/BB16*AK37,1),"#,##0.#")</f>
        <v>517.6</v>
      </c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85"/>
      <c r="CY37" s="85"/>
      <c r="CZ37" s="85"/>
      <c r="DA37" s="86"/>
      <c r="DB37" s="84"/>
    </row>
    <row r="38" spans="2:106" ht="11.25" customHeight="1">
      <c r="B38" s="78"/>
      <c r="C38" s="79"/>
      <c r="D38" s="79"/>
      <c r="E38" s="79"/>
      <c r="F38" s="79"/>
      <c r="G38" s="79" t="s">
        <v>160</v>
      </c>
      <c r="H38" s="79"/>
      <c r="I38" s="79"/>
      <c r="J38" s="79"/>
      <c r="K38" s="79" t="s">
        <v>440</v>
      </c>
      <c r="L38" s="79"/>
      <c r="M38" s="79"/>
      <c r="N38" s="79" t="s">
        <v>604</v>
      </c>
      <c r="O38" s="79"/>
      <c r="P38" s="79" t="str">
        <f>TEXT(기계경비총괄표!I4,"#,##0")</f>
        <v>176,745</v>
      </c>
      <c r="Q38" s="79"/>
      <c r="R38" s="79"/>
      <c r="S38" s="79"/>
      <c r="T38" s="79"/>
      <c r="U38" s="79"/>
      <c r="V38" s="79"/>
      <c r="W38" s="79"/>
      <c r="X38" s="79"/>
      <c r="Y38" s="79"/>
      <c r="Z38" s="79" t="s">
        <v>391</v>
      </c>
      <c r="AA38" s="79"/>
      <c r="AB38" s="79"/>
      <c r="AC38" s="79" t="str">
        <f>TEXT(BB16,"#,##0.#######")</f>
        <v>325.</v>
      </c>
      <c r="AD38" s="79"/>
      <c r="AE38" s="79"/>
      <c r="AF38" s="79"/>
      <c r="AG38" s="79"/>
      <c r="AH38" s="79"/>
      <c r="AI38" s="79" t="s">
        <v>699</v>
      </c>
      <c r="AJ38" s="79"/>
      <c r="AK38" s="79" t="str">
        <f>TEXT(2,"#,##0.#######")</f>
        <v>2.</v>
      </c>
      <c r="AL38" s="79" t="s">
        <v>161</v>
      </c>
      <c r="AM38" s="79"/>
      <c r="AN38" s="79"/>
      <c r="AO38" s="79" t="s">
        <v>309</v>
      </c>
      <c r="AP38" s="79"/>
      <c r="AQ38" s="79" t="str">
        <f>TEXT(TRUNC(P38/BB16*AK38,1),"#,##0.#")</f>
        <v>1,087.6</v>
      </c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85"/>
      <c r="CY38" s="85"/>
      <c r="CZ38" s="85"/>
      <c r="DA38" s="86"/>
      <c r="DB38" s="84"/>
    </row>
    <row r="39" spans="2:106" ht="11.25" customHeight="1">
      <c r="B39" s="78"/>
      <c r="C39" s="79"/>
      <c r="D39" s="79"/>
      <c r="E39" s="79"/>
      <c r="F39" s="79"/>
      <c r="G39" s="79" t="s">
        <v>305</v>
      </c>
      <c r="H39" s="79"/>
      <c r="I39" s="79"/>
      <c r="J39" s="79"/>
      <c r="K39" s="79" t="s">
        <v>436</v>
      </c>
      <c r="L39" s="79"/>
      <c r="M39" s="79"/>
      <c r="N39" s="79" t="s">
        <v>604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 t="str">
        <f>TEXT(AZ36+AQ37+AQ38,"#,##0.#######")</f>
        <v>2,150.</v>
      </c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85">
        <f>CY39+CZ39+DA39</f>
        <v>2150</v>
      </c>
      <c r="CY39" s="85" t="str">
        <f>TEXT(AZ36,"#,###.0")</f>
        <v>544.8</v>
      </c>
      <c r="CZ39" s="85" t="str">
        <f>TEXT(AQ37,"#,###.0")</f>
        <v>517.6</v>
      </c>
      <c r="DA39" s="86" t="str">
        <f>TEXT(AQ38,"#,###.0")</f>
        <v>1,087.6</v>
      </c>
      <c r="DB39" s="84"/>
    </row>
    <row r="40" spans="2:106" ht="11.25" customHeight="1"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85"/>
      <c r="CY40" s="85"/>
      <c r="CZ40" s="85"/>
      <c r="DA40" s="86"/>
      <c r="DB40" s="84"/>
    </row>
    <row r="41" spans="2:106" ht="11.25" customHeight="1">
      <c r="B41" s="78"/>
      <c r="C41" s="79"/>
      <c r="D41" s="79"/>
      <c r="E41" s="79" t="s">
        <v>496</v>
      </c>
      <c r="F41" s="79"/>
      <c r="G41" s="79" t="s">
        <v>587</v>
      </c>
      <c r="H41" s="79"/>
      <c r="I41" s="79" t="s">
        <v>610</v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 t="s">
        <v>762</v>
      </c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85"/>
      <c r="CY41" s="85"/>
      <c r="CZ41" s="85"/>
      <c r="DA41" s="86"/>
      <c r="DB41" s="84"/>
    </row>
    <row r="42" spans="2:106" ht="11.25" customHeight="1"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85"/>
      <c r="CY42" s="85"/>
      <c r="CZ42" s="85"/>
      <c r="DA42" s="86"/>
      <c r="DB42" s="84"/>
    </row>
    <row r="43" spans="2:106" ht="11.25" customHeight="1">
      <c r="B43" s="78"/>
      <c r="C43" s="79"/>
      <c r="D43" s="79"/>
      <c r="E43" s="79"/>
      <c r="F43" s="79"/>
      <c r="G43" s="79" t="s">
        <v>700</v>
      </c>
      <c r="H43" s="79"/>
      <c r="I43" s="79"/>
      <c r="J43" s="79"/>
      <c r="K43" s="79"/>
      <c r="L43" s="79"/>
      <c r="M43" s="79"/>
      <c r="N43" s="79" t="s">
        <v>604</v>
      </c>
      <c r="O43" s="79"/>
      <c r="P43" s="79" t="str">
        <f>TEXT(기계경비총괄표!G5,"#,##0")</f>
        <v>59,020</v>
      </c>
      <c r="Q43" s="79"/>
      <c r="R43" s="79"/>
      <c r="S43" s="79"/>
      <c r="T43" s="79"/>
      <c r="U43" s="79"/>
      <c r="V43" s="79"/>
      <c r="W43" s="79"/>
      <c r="X43" s="79"/>
      <c r="Y43" s="79" t="s">
        <v>391</v>
      </c>
      <c r="Z43" s="79"/>
      <c r="AA43" s="79"/>
      <c r="AB43" s="79" t="str">
        <f>TEXT(BB16,"#,##0.#######")</f>
        <v>325.</v>
      </c>
      <c r="AC43" s="79"/>
      <c r="AD43" s="79"/>
      <c r="AE43" s="79"/>
      <c r="AF43" s="79"/>
      <c r="AG43" s="79"/>
      <c r="AH43" s="79" t="s">
        <v>699</v>
      </c>
      <c r="AI43" s="79"/>
      <c r="AJ43" s="79"/>
      <c r="AK43" s="79" t="str">
        <f>TEXT(150,"#,##0.#######")</f>
        <v>150.</v>
      </c>
      <c r="AL43" s="79"/>
      <c r="AM43" s="79"/>
      <c r="AN43" s="79" t="s">
        <v>157</v>
      </c>
      <c r="AO43" s="79"/>
      <c r="AP43" s="79" t="s">
        <v>309</v>
      </c>
      <c r="AQ43" s="79"/>
      <c r="AR43" s="79" t="str">
        <f>TEXT(TRUNC(P43/BB16*(AK43*(1/100)),1),"#,##0.#")</f>
        <v>272.4</v>
      </c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85"/>
      <c r="CY43" s="85"/>
      <c r="CZ43" s="85"/>
      <c r="DA43" s="86"/>
      <c r="DB43" s="84"/>
    </row>
    <row r="44" spans="2:106" ht="11.25" customHeight="1">
      <c r="B44" s="78"/>
      <c r="C44" s="79"/>
      <c r="D44" s="79"/>
      <c r="E44" s="79"/>
      <c r="F44" s="79"/>
      <c r="G44" s="79" t="s">
        <v>498</v>
      </c>
      <c r="H44" s="79"/>
      <c r="I44" s="79"/>
      <c r="J44" s="79"/>
      <c r="K44" s="79"/>
      <c r="L44" s="79"/>
      <c r="M44" s="79"/>
      <c r="N44" s="79" t="s">
        <v>604</v>
      </c>
      <c r="O44" s="79"/>
      <c r="P44" s="79" t="str">
        <f>TEXT(기계경비총괄표!H5,"#,##0")</f>
        <v>12,284</v>
      </c>
      <c r="Q44" s="79"/>
      <c r="R44" s="79"/>
      <c r="S44" s="79"/>
      <c r="T44" s="79"/>
      <c r="U44" s="79"/>
      <c r="V44" s="79"/>
      <c r="W44" s="79"/>
      <c r="X44" s="79"/>
      <c r="Y44" s="79" t="s">
        <v>391</v>
      </c>
      <c r="Z44" s="79"/>
      <c r="AA44" s="79"/>
      <c r="AB44" s="79" t="str">
        <f>TEXT(BB16,"#,##0.#######")</f>
        <v>325.</v>
      </c>
      <c r="AC44" s="79"/>
      <c r="AD44" s="79"/>
      <c r="AE44" s="79"/>
      <c r="AF44" s="79"/>
      <c r="AG44" s="79"/>
      <c r="AH44" s="79" t="s">
        <v>309</v>
      </c>
      <c r="AI44" s="79"/>
      <c r="AJ44" s="79" t="str">
        <f>TEXT(TRUNC(P44/BB16,1),"#,##0.#")</f>
        <v>37.7</v>
      </c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85"/>
      <c r="CY44" s="85"/>
      <c r="CZ44" s="85"/>
      <c r="DA44" s="86"/>
      <c r="DB44" s="84"/>
    </row>
    <row r="45" spans="2:106" ht="11.25" customHeight="1">
      <c r="B45" s="78"/>
      <c r="C45" s="79"/>
      <c r="D45" s="79"/>
      <c r="E45" s="79"/>
      <c r="F45" s="79"/>
      <c r="G45" s="79" t="s">
        <v>160</v>
      </c>
      <c r="H45" s="79"/>
      <c r="I45" s="79"/>
      <c r="J45" s="79"/>
      <c r="K45" s="79" t="s">
        <v>440</v>
      </c>
      <c r="L45" s="79"/>
      <c r="M45" s="79"/>
      <c r="N45" s="79" t="s">
        <v>604</v>
      </c>
      <c r="O45" s="79"/>
      <c r="P45" s="79" t="str">
        <f>TEXT(기계경비총괄표!I5,"#,##0")</f>
        <v>21,504</v>
      </c>
      <c r="Q45" s="79"/>
      <c r="R45" s="79"/>
      <c r="S45" s="79"/>
      <c r="T45" s="79"/>
      <c r="U45" s="79"/>
      <c r="V45" s="79"/>
      <c r="W45" s="79"/>
      <c r="X45" s="79"/>
      <c r="Y45" s="79" t="s">
        <v>391</v>
      </c>
      <c r="Z45" s="79"/>
      <c r="AA45" s="79"/>
      <c r="AB45" s="79" t="str">
        <f>TEXT(BB16,"#,##0.#######")</f>
        <v>325.</v>
      </c>
      <c r="AC45" s="79"/>
      <c r="AD45" s="79"/>
      <c r="AE45" s="79"/>
      <c r="AF45" s="79"/>
      <c r="AG45" s="79"/>
      <c r="AH45" s="79" t="s">
        <v>309</v>
      </c>
      <c r="AI45" s="79"/>
      <c r="AJ45" s="79" t="str">
        <f>TEXT(TRUNC(P45/BB16,1),"#,##0.#")</f>
        <v>66.1</v>
      </c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85"/>
      <c r="CY45" s="85"/>
      <c r="CZ45" s="85"/>
      <c r="DA45" s="86"/>
      <c r="DB45" s="84"/>
    </row>
    <row r="46" spans="2:106" ht="11.25" customHeight="1">
      <c r="B46" s="78"/>
      <c r="C46" s="79"/>
      <c r="D46" s="79"/>
      <c r="E46" s="79"/>
      <c r="F46" s="79"/>
      <c r="G46" s="79" t="s">
        <v>305</v>
      </c>
      <c r="H46" s="79"/>
      <c r="I46" s="79"/>
      <c r="J46" s="79"/>
      <c r="K46" s="79" t="s">
        <v>436</v>
      </c>
      <c r="L46" s="79"/>
      <c r="M46" s="79"/>
      <c r="N46" s="79" t="s">
        <v>604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 t="str">
        <f>TEXT(AR43+AJ44+AJ45,"#,##0.#######")</f>
        <v>376.2</v>
      </c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85">
        <f>CY46+CZ46+DA46</f>
        <v>376.19999999999993</v>
      </c>
      <c r="CY46" s="85" t="str">
        <f>TEXT(AR43,"#,###.0")</f>
        <v>272.4</v>
      </c>
      <c r="CZ46" s="85" t="str">
        <f>TEXT(AJ44,"#,###.0")</f>
        <v>37.7</v>
      </c>
      <c r="DA46" s="86" t="str">
        <f>TEXT(AJ45,"#,###.0")</f>
        <v>66.1</v>
      </c>
      <c r="DB46" s="84"/>
    </row>
    <row r="47" spans="2:106" ht="11.25" customHeight="1"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85"/>
      <c r="CY47" s="85"/>
      <c r="CZ47" s="85"/>
      <c r="DA47" s="86"/>
      <c r="DB47" s="84"/>
    </row>
    <row r="48" spans="2:106" ht="11.25" customHeight="1">
      <c r="B48" s="78"/>
      <c r="C48" s="79"/>
      <c r="D48" s="79"/>
      <c r="E48" s="79" t="s">
        <v>222</v>
      </c>
      <c r="F48" s="79"/>
      <c r="G48" s="79" t="s">
        <v>587</v>
      </c>
      <c r="H48" s="79"/>
      <c r="I48" s="79" t="s">
        <v>755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 t="s">
        <v>524</v>
      </c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85"/>
      <c r="CY48" s="85"/>
      <c r="CZ48" s="85"/>
      <c r="DA48" s="86"/>
      <c r="DB48" s="84"/>
    </row>
    <row r="49" spans="2:106" ht="11.25" customHeight="1"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85"/>
      <c r="CY49" s="85"/>
      <c r="CZ49" s="85"/>
      <c r="DA49" s="86"/>
      <c r="DB49" s="84"/>
    </row>
    <row r="50" spans="2:106" ht="11.25" customHeight="1">
      <c r="B50" s="78"/>
      <c r="C50" s="79"/>
      <c r="D50" s="79"/>
      <c r="E50" s="79"/>
      <c r="F50" s="79"/>
      <c r="G50" s="79" t="s">
        <v>700</v>
      </c>
      <c r="H50" s="79"/>
      <c r="I50" s="79"/>
      <c r="J50" s="79"/>
      <c r="K50" s="79"/>
      <c r="L50" s="79"/>
      <c r="M50" s="79"/>
      <c r="N50" s="79" t="s">
        <v>604</v>
      </c>
      <c r="O50" s="79"/>
      <c r="P50" s="79" t="str">
        <f>TEXT(기계경비총괄표!G6,"#,##0")</f>
        <v>59,020</v>
      </c>
      <c r="Q50" s="79"/>
      <c r="R50" s="79"/>
      <c r="S50" s="79"/>
      <c r="T50" s="79"/>
      <c r="U50" s="79"/>
      <c r="V50" s="79"/>
      <c r="W50" s="79"/>
      <c r="X50" s="79"/>
      <c r="Y50" s="79" t="s">
        <v>391</v>
      </c>
      <c r="Z50" s="79"/>
      <c r="AA50" s="79"/>
      <c r="AB50" s="79" t="str">
        <f>TEXT(BB16,"#,##0.#######")</f>
        <v>325.</v>
      </c>
      <c r="AC50" s="79"/>
      <c r="AD50" s="79"/>
      <c r="AE50" s="79"/>
      <c r="AF50" s="79"/>
      <c r="AG50" s="79"/>
      <c r="AH50" s="79" t="s">
        <v>699</v>
      </c>
      <c r="AI50" s="79"/>
      <c r="AJ50" s="79" t="str">
        <f>TEXT(3,"#,##0.#######")</f>
        <v>3.</v>
      </c>
      <c r="AK50" s="79" t="s">
        <v>161</v>
      </c>
      <c r="AL50" s="79"/>
      <c r="AM50" s="79"/>
      <c r="AN50" s="79" t="s">
        <v>699</v>
      </c>
      <c r="AO50" s="79"/>
      <c r="AP50" s="79"/>
      <c r="AQ50" s="79" t="str">
        <f>TEXT(150,"#,##0.#######")</f>
        <v>150.</v>
      </c>
      <c r="AR50" s="79"/>
      <c r="AS50" s="79"/>
      <c r="AT50" s="79" t="s">
        <v>157</v>
      </c>
      <c r="AU50" s="79"/>
      <c r="AV50" s="79" t="s">
        <v>309</v>
      </c>
      <c r="AW50" s="79"/>
      <c r="AX50" s="79" t="str">
        <f>TEXT(TRUNC(P50/BB16*AJ50*(AQ50*(1/100)),1),"#,##0.#")</f>
        <v>817.2</v>
      </c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85"/>
      <c r="CY50" s="85"/>
      <c r="CZ50" s="85"/>
      <c r="DA50" s="86"/>
      <c r="DB50" s="84"/>
    </row>
    <row r="51" spans="2:106" ht="11.25" customHeight="1">
      <c r="B51" s="78"/>
      <c r="C51" s="79"/>
      <c r="D51" s="79"/>
      <c r="E51" s="79"/>
      <c r="F51" s="79"/>
      <c r="G51" s="79" t="s">
        <v>498</v>
      </c>
      <c r="H51" s="79"/>
      <c r="I51" s="79"/>
      <c r="J51" s="79"/>
      <c r="K51" s="79"/>
      <c r="L51" s="79"/>
      <c r="M51" s="79"/>
      <c r="N51" s="79" t="s">
        <v>604</v>
      </c>
      <c r="O51" s="79"/>
      <c r="P51" s="79"/>
      <c r="Q51" s="79" t="str">
        <f>TEXT(기계경비총괄표!H6,"#,##0")</f>
        <v>6,935</v>
      </c>
      <c r="R51" s="79"/>
      <c r="S51" s="79"/>
      <c r="T51" s="79"/>
      <c r="U51" s="79"/>
      <c r="V51" s="79"/>
      <c r="W51" s="79"/>
      <c r="X51" s="79"/>
      <c r="Y51" s="79" t="s">
        <v>391</v>
      </c>
      <c r="Z51" s="79"/>
      <c r="AA51" s="79"/>
      <c r="AB51" s="79" t="str">
        <f>TEXT(BB16,"#,##0.#######")</f>
        <v>325.</v>
      </c>
      <c r="AC51" s="79"/>
      <c r="AD51" s="79"/>
      <c r="AE51" s="79"/>
      <c r="AF51" s="79"/>
      <c r="AG51" s="79"/>
      <c r="AH51" s="79" t="s">
        <v>699</v>
      </c>
      <c r="AI51" s="79"/>
      <c r="AJ51" s="79" t="str">
        <f>TEXT(3,"#,##0.#######")</f>
        <v>3.</v>
      </c>
      <c r="AK51" s="79" t="s">
        <v>161</v>
      </c>
      <c r="AL51" s="79"/>
      <c r="AM51" s="79"/>
      <c r="AN51" s="79" t="s">
        <v>309</v>
      </c>
      <c r="AO51" s="79"/>
      <c r="AP51" s="79"/>
      <c r="AQ51" s="79" t="str">
        <f>TEXT(TRUNC(Q51/BB16*AJ51,1),"#,##0.#")</f>
        <v>64.</v>
      </c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85"/>
      <c r="CY51" s="85"/>
      <c r="CZ51" s="85"/>
      <c r="DA51" s="86"/>
      <c r="DB51" s="84"/>
    </row>
    <row r="52" spans="2:106" ht="11.25" customHeight="1">
      <c r="B52" s="78"/>
      <c r="C52" s="79"/>
      <c r="D52" s="79"/>
      <c r="E52" s="79"/>
      <c r="F52" s="79"/>
      <c r="G52" s="79" t="s">
        <v>160</v>
      </c>
      <c r="H52" s="79"/>
      <c r="I52" s="79"/>
      <c r="J52" s="79"/>
      <c r="K52" s="79" t="s">
        <v>440</v>
      </c>
      <c r="L52" s="79"/>
      <c r="M52" s="79"/>
      <c r="N52" s="79" t="s">
        <v>604</v>
      </c>
      <c r="O52" s="79"/>
      <c r="P52" s="79"/>
      <c r="Q52" s="79" t="str">
        <f>TEXT(기계경비총괄표!I6,"#,##0")</f>
        <v>7,505</v>
      </c>
      <c r="R52" s="79"/>
      <c r="S52" s="79"/>
      <c r="T52" s="79"/>
      <c r="U52" s="79"/>
      <c r="V52" s="79"/>
      <c r="W52" s="79"/>
      <c r="X52" s="79"/>
      <c r="Y52" s="79" t="s">
        <v>391</v>
      </c>
      <c r="Z52" s="79"/>
      <c r="AA52" s="79"/>
      <c r="AB52" s="79" t="str">
        <f>TEXT(BB16,"#,##0.#######")</f>
        <v>325.</v>
      </c>
      <c r="AC52" s="79"/>
      <c r="AD52" s="79"/>
      <c r="AE52" s="79"/>
      <c r="AF52" s="79"/>
      <c r="AG52" s="79"/>
      <c r="AH52" s="79" t="s">
        <v>699</v>
      </c>
      <c r="AI52" s="79"/>
      <c r="AJ52" s="79" t="str">
        <f>TEXT(3,"#,##0.#######")</f>
        <v>3.</v>
      </c>
      <c r="AK52" s="79" t="s">
        <v>161</v>
      </c>
      <c r="AL52" s="79"/>
      <c r="AM52" s="79"/>
      <c r="AN52" s="79" t="s">
        <v>309</v>
      </c>
      <c r="AO52" s="79"/>
      <c r="AP52" s="79"/>
      <c r="AQ52" s="79" t="str">
        <f>TEXT(TRUNC(Q52/BB16*AJ52,1),"#,##0.#")</f>
        <v>69.2</v>
      </c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85"/>
      <c r="CY52" s="85"/>
      <c r="CZ52" s="85"/>
      <c r="DA52" s="86"/>
      <c r="DB52" s="84"/>
    </row>
    <row r="53" spans="2:106" ht="11.25" customHeight="1">
      <c r="B53" s="78"/>
      <c r="C53" s="79"/>
      <c r="D53" s="79"/>
      <c r="E53" s="79"/>
      <c r="F53" s="79"/>
      <c r="G53" s="79" t="s">
        <v>305</v>
      </c>
      <c r="H53" s="79"/>
      <c r="I53" s="79"/>
      <c r="J53" s="79"/>
      <c r="K53" s="79" t="s">
        <v>436</v>
      </c>
      <c r="L53" s="79"/>
      <c r="M53" s="79"/>
      <c r="N53" s="79" t="s">
        <v>604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 t="str">
        <f>TEXT(AX50+AQ51+AQ52,"#,##0.#######")</f>
        <v>950.4</v>
      </c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85">
        <f>CY53+CZ53+DA53</f>
        <v>950.40000000000009</v>
      </c>
      <c r="CY53" s="85" t="str">
        <f>TEXT(AX50,"#,###.0")</f>
        <v>817.2</v>
      </c>
      <c r="CZ53" s="85" t="str">
        <f>TEXT(AQ51,"#,###.0")</f>
        <v>64.0</v>
      </c>
      <c r="DA53" s="86" t="str">
        <f>TEXT(AQ52,"#,###.0")</f>
        <v>69.2</v>
      </c>
      <c r="DB53" s="84"/>
    </row>
    <row r="54" spans="2:106" ht="11.25" customHeight="1"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85"/>
      <c r="CY54" s="85"/>
      <c r="CZ54" s="85"/>
      <c r="DA54" s="86"/>
      <c r="DB54" s="84"/>
    </row>
    <row r="55" spans="2:106" ht="11.25" customHeight="1">
      <c r="B55" s="78"/>
      <c r="C55" s="79"/>
      <c r="D55" s="79"/>
      <c r="E55" s="79" t="s">
        <v>691</v>
      </c>
      <c r="F55" s="79"/>
      <c r="G55" s="79" t="s">
        <v>587</v>
      </c>
      <c r="H55" s="79"/>
      <c r="I55" s="79" t="s">
        <v>95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 t="s">
        <v>231</v>
      </c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85"/>
      <c r="CY55" s="85"/>
      <c r="CZ55" s="85"/>
      <c r="DA55" s="86"/>
      <c r="DB55" s="84"/>
    </row>
    <row r="56" spans="2:106" ht="11.25" customHeight="1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85"/>
      <c r="CY56" s="85"/>
      <c r="CZ56" s="85"/>
      <c r="DA56" s="86"/>
      <c r="DB56" s="84"/>
    </row>
    <row r="57" spans="2:106" ht="11.25" customHeight="1">
      <c r="B57" s="78"/>
      <c r="C57" s="79"/>
      <c r="D57" s="79"/>
      <c r="E57" s="79"/>
      <c r="F57" s="79"/>
      <c r="G57" s="79" t="s">
        <v>700</v>
      </c>
      <c r="H57" s="79"/>
      <c r="I57" s="79"/>
      <c r="J57" s="79"/>
      <c r="K57" s="79"/>
      <c r="L57" s="79"/>
      <c r="M57" s="79"/>
      <c r="N57" s="79" t="s">
        <v>604</v>
      </c>
      <c r="O57" s="79"/>
      <c r="P57" s="79" t="str">
        <f>TEXT(기계경비총괄표!G7,"#,##0")</f>
        <v>59,020</v>
      </c>
      <c r="Q57" s="79"/>
      <c r="R57" s="79"/>
      <c r="S57" s="79"/>
      <c r="T57" s="79"/>
      <c r="U57" s="79"/>
      <c r="V57" s="79"/>
      <c r="W57" s="79"/>
      <c r="X57" s="79"/>
      <c r="Y57" s="79" t="s">
        <v>391</v>
      </c>
      <c r="Z57" s="79"/>
      <c r="AA57" s="79"/>
      <c r="AB57" s="79" t="str">
        <f>TEXT(BB16,"#,##0.#######")</f>
        <v>325.</v>
      </c>
      <c r="AC57" s="79"/>
      <c r="AD57" s="79"/>
      <c r="AE57" s="79"/>
      <c r="AF57" s="79"/>
      <c r="AG57" s="79"/>
      <c r="AH57" s="79" t="s">
        <v>699</v>
      </c>
      <c r="AI57" s="79"/>
      <c r="AJ57" s="79"/>
      <c r="AK57" s="79" t="str">
        <f>TEXT(150,"#,##0.#######")</f>
        <v>150.</v>
      </c>
      <c r="AL57" s="79"/>
      <c r="AM57" s="79"/>
      <c r="AN57" s="79" t="s">
        <v>157</v>
      </c>
      <c r="AO57" s="79"/>
      <c r="AP57" s="79" t="s">
        <v>309</v>
      </c>
      <c r="AQ57" s="79"/>
      <c r="AR57" s="79" t="str">
        <f>TEXT(TRUNC(P57/BB16*(AK57*(1/100)),1),"#,##0.#")</f>
        <v>272.4</v>
      </c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85"/>
      <c r="CY57" s="85"/>
      <c r="CZ57" s="85"/>
      <c r="DA57" s="86"/>
      <c r="DB57" s="84"/>
    </row>
    <row r="58" spans="2:106" ht="11.25" customHeight="1">
      <c r="B58" s="78"/>
      <c r="C58" s="79"/>
      <c r="D58" s="79"/>
      <c r="E58" s="79"/>
      <c r="F58" s="79"/>
      <c r="G58" s="79" t="s">
        <v>498</v>
      </c>
      <c r="H58" s="79"/>
      <c r="I58" s="79"/>
      <c r="J58" s="79"/>
      <c r="K58" s="79"/>
      <c r="L58" s="79"/>
      <c r="M58" s="79"/>
      <c r="N58" s="79" t="s">
        <v>604</v>
      </c>
      <c r="O58" s="79"/>
      <c r="P58" s="79" t="str">
        <f>TEXT(기계경비총괄표!H7,"#,##0")</f>
        <v>19,140</v>
      </c>
      <c r="Q58" s="79"/>
      <c r="R58" s="79"/>
      <c r="S58" s="79"/>
      <c r="T58" s="79"/>
      <c r="U58" s="79"/>
      <c r="V58" s="79"/>
      <c r="W58" s="79"/>
      <c r="X58" s="79"/>
      <c r="Y58" s="79" t="s">
        <v>391</v>
      </c>
      <c r="Z58" s="79"/>
      <c r="AA58" s="79"/>
      <c r="AB58" s="79" t="str">
        <f>TEXT(BB16,"#,##0.#######")</f>
        <v>325.</v>
      </c>
      <c r="AC58" s="79"/>
      <c r="AD58" s="79"/>
      <c r="AE58" s="79"/>
      <c r="AF58" s="79"/>
      <c r="AG58" s="79"/>
      <c r="AH58" s="79" t="s">
        <v>309</v>
      </c>
      <c r="AI58" s="79"/>
      <c r="AJ58" s="79"/>
      <c r="AK58" s="79" t="str">
        <f>TEXT(TRUNC(P58/BB16,1),"#,##0.#")</f>
        <v>58.8</v>
      </c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85"/>
      <c r="CY58" s="85"/>
      <c r="CZ58" s="85"/>
      <c r="DA58" s="86"/>
      <c r="DB58" s="84"/>
    </row>
    <row r="59" spans="2:106" ht="11.25" customHeight="1">
      <c r="B59" s="78"/>
      <c r="C59" s="79"/>
      <c r="D59" s="79"/>
      <c r="E59" s="79"/>
      <c r="F59" s="79"/>
      <c r="G59" s="79" t="s">
        <v>160</v>
      </c>
      <c r="H59" s="79"/>
      <c r="I59" s="79"/>
      <c r="J59" s="79"/>
      <c r="K59" s="79" t="s">
        <v>440</v>
      </c>
      <c r="L59" s="79"/>
      <c r="M59" s="79"/>
      <c r="N59" s="79" t="s">
        <v>604</v>
      </c>
      <c r="O59" s="79"/>
      <c r="P59" s="79" t="str">
        <f>TEXT(기계경비총괄표!I7,"#,##0")</f>
        <v>59,141</v>
      </c>
      <c r="Q59" s="79"/>
      <c r="R59" s="79"/>
      <c r="S59" s="79"/>
      <c r="T59" s="79"/>
      <c r="U59" s="79"/>
      <c r="V59" s="79"/>
      <c r="W59" s="79"/>
      <c r="X59" s="79"/>
      <c r="Y59" s="79" t="s">
        <v>391</v>
      </c>
      <c r="Z59" s="79"/>
      <c r="AA59" s="79"/>
      <c r="AB59" s="79" t="str">
        <f>TEXT(BB16,"#,##0.#######")</f>
        <v>325.</v>
      </c>
      <c r="AC59" s="79"/>
      <c r="AD59" s="79"/>
      <c r="AE59" s="79"/>
      <c r="AF59" s="79"/>
      <c r="AG59" s="79"/>
      <c r="AH59" s="79" t="s">
        <v>309</v>
      </c>
      <c r="AI59" s="79"/>
      <c r="AJ59" s="79" t="str">
        <f>TEXT(TRUNC(P59/BB16,1),"#,##0.#")</f>
        <v>181.9</v>
      </c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85"/>
      <c r="CY59" s="85"/>
      <c r="CZ59" s="85"/>
      <c r="DA59" s="86"/>
      <c r="DB59" s="84"/>
    </row>
    <row r="60" spans="2:106" ht="11.25" customHeight="1">
      <c r="B60" s="78"/>
      <c r="C60" s="79"/>
      <c r="D60" s="79"/>
      <c r="E60" s="79"/>
      <c r="F60" s="79"/>
      <c r="G60" s="79" t="s">
        <v>305</v>
      </c>
      <c r="H60" s="79"/>
      <c r="I60" s="79"/>
      <c r="J60" s="79"/>
      <c r="K60" s="79" t="s">
        <v>436</v>
      </c>
      <c r="L60" s="79"/>
      <c r="M60" s="79"/>
      <c r="N60" s="79" t="s">
        <v>604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 t="str">
        <f>TEXT(AR57+AK58+AJ59,"#,##0.#######")</f>
        <v>513.1</v>
      </c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85">
        <f>CY60+CZ60+DA60</f>
        <v>513.1</v>
      </c>
      <c r="CY60" s="85" t="str">
        <f>TEXT(AR57,"#,###.0")</f>
        <v>272.4</v>
      </c>
      <c r="CZ60" s="85" t="str">
        <f>TEXT(AK58,"#,###.0")</f>
        <v>58.8</v>
      </c>
      <c r="DA60" s="86" t="str">
        <f>TEXT(AJ59,"#,###.0")</f>
        <v>181.9</v>
      </c>
      <c r="DB60" s="84"/>
    </row>
    <row r="61" spans="2:106" ht="11.25" customHeight="1">
      <c r="B61" s="78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85"/>
      <c r="CY61" s="85"/>
      <c r="CZ61" s="85"/>
      <c r="DA61" s="86"/>
      <c r="DB61" s="84"/>
    </row>
    <row r="62" spans="2:106" ht="11.25" customHeight="1">
      <c r="B62" s="78"/>
      <c r="C62" s="79"/>
      <c r="D62" s="79"/>
      <c r="E62" s="79" t="s">
        <v>346</v>
      </c>
      <c r="F62" s="79"/>
      <c r="G62" s="79" t="s">
        <v>587</v>
      </c>
      <c r="H62" s="79"/>
      <c r="I62" s="79" t="s">
        <v>285</v>
      </c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 t="s">
        <v>364</v>
      </c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85"/>
      <c r="CY62" s="85"/>
      <c r="CZ62" s="85"/>
      <c r="DA62" s="86"/>
      <c r="DB62" s="84"/>
    </row>
    <row r="63" spans="2:106" ht="11.25" customHeight="1">
      <c r="B63" s="78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85"/>
      <c r="CY63" s="85"/>
      <c r="CZ63" s="85"/>
      <c r="DA63" s="86"/>
      <c r="DB63" s="84"/>
    </row>
    <row r="64" spans="2:106" ht="11.25" customHeight="1">
      <c r="B64" s="78"/>
      <c r="C64" s="79"/>
      <c r="D64" s="79"/>
      <c r="E64" s="79"/>
      <c r="F64" s="79"/>
      <c r="G64" s="79" t="s">
        <v>700</v>
      </c>
      <c r="H64" s="79"/>
      <c r="I64" s="79"/>
      <c r="J64" s="79"/>
      <c r="K64" s="79"/>
      <c r="L64" s="79"/>
      <c r="M64" s="79"/>
      <c r="N64" s="79" t="s">
        <v>604</v>
      </c>
      <c r="O64" s="79"/>
      <c r="P64" s="79" t="str">
        <f>TEXT(기계경비총괄표!G8,"#,##0")</f>
        <v>59,020</v>
      </c>
      <c r="Q64" s="79"/>
      <c r="R64" s="79"/>
      <c r="S64" s="79"/>
      <c r="T64" s="79"/>
      <c r="U64" s="79"/>
      <c r="V64" s="79"/>
      <c r="W64" s="79"/>
      <c r="X64" s="79"/>
      <c r="Y64" s="79" t="s">
        <v>391</v>
      </c>
      <c r="Z64" s="79"/>
      <c r="AA64" s="79"/>
      <c r="AB64" s="79" t="str">
        <f>TEXT(BB16,"#,##0.#######")</f>
        <v>325.</v>
      </c>
      <c r="AC64" s="79"/>
      <c r="AD64" s="79"/>
      <c r="AE64" s="79"/>
      <c r="AF64" s="79"/>
      <c r="AG64" s="79"/>
      <c r="AH64" s="79" t="s">
        <v>699</v>
      </c>
      <c r="AI64" s="79"/>
      <c r="AJ64" s="79"/>
      <c r="AK64" s="79" t="str">
        <f>TEXT(150,"#,##0.#######")</f>
        <v>150.</v>
      </c>
      <c r="AL64" s="79"/>
      <c r="AM64" s="79"/>
      <c r="AN64" s="79" t="s">
        <v>157</v>
      </c>
      <c r="AO64" s="79"/>
      <c r="AP64" s="79" t="s">
        <v>309</v>
      </c>
      <c r="AQ64" s="79"/>
      <c r="AR64" s="79" t="str">
        <f>TEXT(TRUNC(P64/BB16*(AK64*(1/100)),1),"#,##0.#")</f>
        <v>272.4</v>
      </c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85"/>
      <c r="CY64" s="85"/>
      <c r="CZ64" s="85"/>
      <c r="DA64" s="86"/>
      <c r="DB64" s="84"/>
    </row>
    <row r="65" spans="2:106" ht="11.25" customHeight="1">
      <c r="B65" s="78"/>
      <c r="C65" s="79"/>
      <c r="D65" s="79"/>
      <c r="E65" s="79"/>
      <c r="F65" s="79"/>
      <c r="G65" s="79" t="s">
        <v>498</v>
      </c>
      <c r="H65" s="79"/>
      <c r="I65" s="79"/>
      <c r="J65" s="79"/>
      <c r="K65" s="79"/>
      <c r="L65" s="79"/>
      <c r="M65" s="79"/>
      <c r="N65" s="79" t="s">
        <v>604</v>
      </c>
      <c r="O65" s="79"/>
      <c r="P65" s="79" t="str">
        <f>TEXT(기계경비총괄표!H8,"#,##0")</f>
        <v>15,100</v>
      </c>
      <c r="Q65" s="79"/>
      <c r="R65" s="79"/>
      <c r="S65" s="79"/>
      <c r="T65" s="79"/>
      <c r="U65" s="79"/>
      <c r="V65" s="79"/>
      <c r="W65" s="79"/>
      <c r="X65" s="79"/>
      <c r="Y65" s="79" t="s">
        <v>391</v>
      </c>
      <c r="Z65" s="79"/>
      <c r="AA65" s="79"/>
      <c r="AB65" s="79" t="str">
        <f>TEXT(BB16,"#,##0.#######")</f>
        <v>325.</v>
      </c>
      <c r="AC65" s="79"/>
      <c r="AD65" s="79"/>
      <c r="AE65" s="79"/>
      <c r="AF65" s="79"/>
      <c r="AG65" s="79"/>
      <c r="AH65" s="79" t="s">
        <v>309</v>
      </c>
      <c r="AI65" s="79"/>
      <c r="AJ65" s="79"/>
      <c r="AK65" s="79" t="str">
        <f>TEXT(TRUNC(P65/BB16,1),"#,##0.#")</f>
        <v>46.4</v>
      </c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85"/>
      <c r="CY65" s="85"/>
      <c r="CZ65" s="85"/>
      <c r="DA65" s="86"/>
      <c r="DB65" s="84"/>
    </row>
    <row r="66" spans="2:106" ht="11.25" customHeight="1">
      <c r="B66" s="78"/>
      <c r="C66" s="79"/>
      <c r="D66" s="79"/>
      <c r="E66" s="79"/>
      <c r="F66" s="79"/>
      <c r="G66" s="79" t="s">
        <v>160</v>
      </c>
      <c r="H66" s="79"/>
      <c r="I66" s="79"/>
      <c r="J66" s="79"/>
      <c r="K66" s="79" t="s">
        <v>440</v>
      </c>
      <c r="L66" s="79"/>
      <c r="M66" s="79"/>
      <c r="N66" s="79" t="s">
        <v>604</v>
      </c>
      <c r="O66" s="79"/>
      <c r="P66" s="79" t="str">
        <f>TEXT(기계경비총괄표!I8,"#,##0")</f>
        <v>12,857</v>
      </c>
      <c r="Q66" s="79"/>
      <c r="R66" s="79"/>
      <c r="S66" s="79"/>
      <c r="T66" s="79"/>
      <c r="U66" s="79"/>
      <c r="V66" s="79"/>
      <c r="W66" s="79"/>
      <c r="X66" s="79"/>
      <c r="Y66" s="79" t="s">
        <v>391</v>
      </c>
      <c r="Z66" s="79"/>
      <c r="AA66" s="79"/>
      <c r="AB66" s="79" t="str">
        <f>TEXT(BB16,"#,##0.#######")</f>
        <v>325.</v>
      </c>
      <c r="AC66" s="79"/>
      <c r="AD66" s="79"/>
      <c r="AE66" s="79"/>
      <c r="AF66" s="79"/>
      <c r="AG66" s="79"/>
      <c r="AH66" s="79" t="s">
        <v>309</v>
      </c>
      <c r="AI66" s="79"/>
      <c r="AJ66" s="79"/>
      <c r="AK66" s="79" t="str">
        <f>TEXT(TRUNC(P66/BB16,1),"#,##0.#")</f>
        <v>39.5</v>
      </c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85"/>
      <c r="CY66" s="85"/>
      <c r="CZ66" s="85"/>
      <c r="DA66" s="86"/>
      <c r="DB66" s="84"/>
    </row>
    <row r="67" spans="2:106" ht="11.25" customHeight="1">
      <c r="B67" s="78"/>
      <c r="C67" s="79"/>
      <c r="D67" s="79"/>
      <c r="E67" s="79"/>
      <c r="F67" s="79"/>
      <c r="G67" s="79" t="s">
        <v>305</v>
      </c>
      <c r="H67" s="79"/>
      <c r="I67" s="79"/>
      <c r="J67" s="79"/>
      <c r="K67" s="79" t="s">
        <v>436</v>
      </c>
      <c r="L67" s="79"/>
      <c r="M67" s="79"/>
      <c r="N67" s="79" t="s">
        <v>604</v>
      </c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 t="str">
        <f>TEXT(AR64+AK65+AK66,"#,##0.#######")</f>
        <v>358.3</v>
      </c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85">
        <f>CY67+CZ67+DA67</f>
        <v>358.29999999999995</v>
      </c>
      <c r="CY67" s="85" t="str">
        <f>TEXT(AR64,"#,###.0")</f>
        <v>272.4</v>
      </c>
      <c r="CZ67" s="85" t="str">
        <f>TEXT(AK65,"#,###.0")</f>
        <v>46.4</v>
      </c>
      <c r="DA67" s="86" t="str">
        <f>TEXT(AK66,"#,###.0")</f>
        <v>39.5</v>
      </c>
      <c r="DB67" s="84"/>
    </row>
    <row r="68" spans="2:106" ht="11.25" customHeight="1"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85"/>
      <c r="CY68" s="85"/>
      <c r="CZ68" s="85"/>
      <c r="DA68" s="86"/>
      <c r="DB68" s="84"/>
    </row>
    <row r="69" spans="2:106" ht="11.25" customHeight="1">
      <c r="B69" s="78"/>
      <c r="C69" s="79"/>
      <c r="D69" s="79"/>
      <c r="E69" s="79" t="s">
        <v>781</v>
      </c>
      <c r="F69" s="79"/>
      <c r="G69" s="79" t="s">
        <v>587</v>
      </c>
      <c r="H69" s="79"/>
      <c r="I69" s="79" t="s">
        <v>619</v>
      </c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 t="s">
        <v>22</v>
      </c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85"/>
      <c r="CY69" s="85"/>
      <c r="CZ69" s="85"/>
      <c r="DA69" s="86"/>
      <c r="DB69" s="84"/>
    </row>
    <row r="70" spans="2:106" ht="11.25" customHeight="1"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85"/>
      <c r="CY70" s="85"/>
      <c r="CZ70" s="85"/>
      <c r="DA70" s="86"/>
      <c r="DB70" s="84"/>
    </row>
    <row r="71" spans="2:106" ht="11.25" customHeight="1">
      <c r="B71" s="78"/>
      <c r="C71" s="79"/>
      <c r="D71" s="79"/>
      <c r="E71" s="79"/>
      <c r="F71" s="79"/>
      <c r="G71" s="79" t="s">
        <v>700</v>
      </c>
      <c r="H71" s="79"/>
      <c r="I71" s="79"/>
      <c r="J71" s="79"/>
      <c r="K71" s="79"/>
      <c r="L71" s="79"/>
      <c r="M71" s="79"/>
      <c r="N71" s="79" t="s">
        <v>604</v>
      </c>
      <c r="O71" s="79"/>
      <c r="P71" s="79" t="str">
        <f>TEXT(기계경비총괄표!G9,"#,##0")</f>
        <v>59,020</v>
      </c>
      <c r="Q71" s="79"/>
      <c r="R71" s="79"/>
      <c r="S71" s="79"/>
      <c r="T71" s="79"/>
      <c r="U71" s="79"/>
      <c r="V71" s="79"/>
      <c r="W71" s="79"/>
      <c r="X71" s="79"/>
      <c r="Y71" s="79" t="s">
        <v>391</v>
      </c>
      <c r="Z71" s="79"/>
      <c r="AA71" s="79"/>
      <c r="AB71" s="79" t="str">
        <f>TEXT(BB16,"#,##0.#######")</f>
        <v>325.</v>
      </c>
      <c r="AC71" s="79"/>
      <c r="AD71" s="79"/>
      <c r="AE71" s="79"/>
      <c r="AF71" s="79"/>
      <c r="AG71" s="79"/>
      <c r="AH71" s="79" t="s">
        <v>699</v>
      </c>
      <c r="AI71" s="79"/>
      <c r="AJ71" s="79"/>
      <c r="AK71" s="79" t="str">
        <f>TEXT(150,"#,##0.#######")</f>
        <v>150.</v>
      </c>
      <c r="AL71" s="79"/>
      <c r="AM71" s="79"/>
      <c r="AN71" s="79" t="s">
        <v>157</v>
      </c>
      <c r="AO71" s="79"/>
      <c r="AP71" s="79" t="s">
        <v>309</v>
      </c>
      <c r="AQ71" s="79"/>
      <c r="AR71" s="79" t="str">
        <f>TEXT(TRUNC(P71/BB16*(AK71*(1/100)),1),"#,##0.#")</f>
        <v>272.4</v>
      </c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85"/>
      <c r="CY71" s="85"/>
      <c r="CZ71" s="85"/>
      <c r="DA71" s="86"/>
      <c r="DB71" s="84"/>
    </row>
    <row r="72" spans="2:106" ht="11.25" customHeight="1">
      <c r="B72" s="78"/>
      <c r="C72" s="79"/>
      <c r="D72" s="79"/>
      <c r="E72" s="79"/>
      <c r="F72" s="79"/>
      <c r="G72" s="79" t="s">
        <v>498</v>
      </c>
      <c r="H72" s="79"/>
      <c r="I72" s="79"/>
      <c r="J72" s="79"/>
      <c r="K72" s="79"/>
      <c r="L72" s="79"/>
      <c r="M72" s="79"/>
      <c r="N72" s="79" t="s">
        <v>604</v>
      </c>
      <c r="O72" s="79"/>
      <c r="P72" s="79" t="str">
        <f>TEXT(기계경비총괄표!H9,"#,##0")</f>
        <v>13,539</v>
      </c>
      <c r="Q72" s="79"/>
      <c r="R72" s="79"/>
      <c r="S72" s="79"/>
      <c r="T72" s="79"/>
      <c r="U72" s="79"/>
      <c r="V72" s="79"/>
      <c r="W72" s="79"/>
      <c r="X72" s="79"/>
      <c r="Y72" s="79" t="s">
        <v>391</v>
      </c>
      <c r="Z72" s="79"/>
      <c r="AA72" s="79"/>
      <c r="AB72" s="79" t="str">
        <f>TEXT(BB16,"#,##0.#######")</f>
        <v>325.</v>
      </c>
      <c r="AC72" s="79"/>
      <c r="AD72" s="79"/>
      <c r="AE72" s="79"/>
      <c r="AF72" s="79"/>
      <c r="AG72" s="79"/>
      <c r="AH72" s="79" t="s">
        <v>309</v>
      </c>
      <c r="AI72" s="79"/>
      <c r="AJ72" s="79"/>
      <c r="AK72" s="79" t="str">
        <f>TEXT(TRUNC(P72/BB16,1),"#,##0.#")</f>
        <v>41.6</v>
      </c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85"/>
      <c r="CY72" s="85"/>
      <c r="CZ72" s="85"/>
      <c r="DA72" s="86"/>
      <c r="DB72" s="84"/>
    </row>
    <row r="73" spans="2:106" ht="11.25" customHeight="1">
      <c r="B73" s="78"/>
      <c r="C73" s="79"/>
      <c r="D73" s="79"/>
      <c r="E73" s="79"/>
      <c r="F73" s="79"/>
      <c r="G73" s="79" t="s">
        <v>160</v>
      </c>
      <c r="H73" s="79"/>
      <c r="I73" s="79"/>
      <c r="J73" s="79"/>
      <c r="K73" s="79" t="s">
        <v>440</v>
      </c>
      <c r="L73" s="79"/>
      <c r="M73" s="79"/>
      <c r="N73" s="79" t="s">
        <v>604</v>
      </c>
      <c r="O73" s="79"/>
      <c r="P73" s="79" t="str">
        <f>TEXT(기계경비총괄표!I9,"#,##0")</f>
        <v>19,136</v>
      </c>
      <c r="Q73" s="79"/>
      <c r="R73" s="79"/>
      <c r="S73" s="79"/>
      <c r="T73" s="79"/>
      <c r="U73" s="79"/>
      <c r="V73" s="79"/>
      <c r="W73" s="79"/>
      <c r="X73" s="79"/>
      <c r="Y73" s="79" t="s">
        <v>391</v>
      </c>
      <c r="Z73" s="79"/>
      <c r="AA73" s="79"/>
      <c r="AB73" s="79" t="str">
        <f>TEXT(BB16,"#,##0.#######")</f>
        <v>325.</v>
      </c>
      <c r="AC73" s="79"/>
      <c r="AD73" s="79"/>
      <c r="AE73" s="79"/>
      <c r="AF73" s="79"/>
      <c r="AG73" s="79"/>
      <c r="AH73" s="79" t="s">
        <v>309</v>
      </c>
      <c r="AI73" s="79"/>
      <c r="AJ73" s="79"/>
      <c r="AK73" s="79" t="str">
        <f>TEXT(TRUNC(P73/BB16,1),"#,##0.#")</f>
        <v>58.8</v>
      </c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85"/>
      <c r="CY73" s="85"/>
      <c r="CZ73" s="85"/>
      <c r="DA73" s="86"/>
      <c r="DB73" s="84"/>
    </row>
    <row r="74" spans="2:106" ht="11.25" customHeight="1">
      <c r="B74" s="78"/>
      <c r="C74" s="79"/>
      <c r="D74" s="79"/>
      <c r="E74" s="79"/>
      <c r="F74" s="79"/>
      <c r="G74" s="79" t="s">
        <v>305</v>
      </c>
      <c r="H74" s="79"/>
      <c r="I74" s="79"/>
      <c r="J74" s="79"/>
      <c r="K74" s="79" t="s">
        <v>436</v>
      </c>
      <c r="L74" s="79"/>
      <c r="M74" s="79"/>
      <c r="N74" s="79" t="s">
        <v>604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 t="str">
        <f>TEXT(AR71+AK72+AK73,"#,##0.#######")</f>
        <v>372.8</v>
      </c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85">
        <f>CY74+CZ74+DA74</f>
        <v>372.8</v>
      </c>
      <c r="CY74" s="85" t="str">
        <f>TEXT(AR71,"#,###.0")</f>
        <v>272.4</v>
      </c>
      <c r="CZ74" s="85" t="str">
        <f>TEXT(AK72,"#,###.0")</f>
        <v>41.6</v>
      </c>
      <c r="DA74" s="86" t="str">
        <f>TEXT(AK73,"#,###.0")</f>
        <v>58.8</v>
      </c>
      <c r="DB74" s="84"/>
    </row>
    <row r="75" spans="2:106" ht="11.25" customHeight="1">
      <c r="B75" s="78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85"/>
      <c r="CY75" s="85"/>
      <c r="CZ75" s="85"/>
      <c r="DA75" s="86"/>
      <c r="DB75" s="84"/>
    </row>
    <row r="76" spans="2:106" ht="11.25" customHeight="1">
      <c r="B76" s="78"/>
      <c r="C76" s="79"/>
      <c r="D76" s="79"/>
      <c r="E76" s="79" t="s">
        <v>269</v>
      </c>
      <c r="F76" s="79"/>
      <c r="G76" s="79" t="s">
        <v>587</v>
      </c>
      <c r="H76" s="79"/>
      <c r="I76" s="79" t="s">
        <v>449</v>
      </c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 t="s">
        <v>707</v>
      </c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85"/>
      <c r="CY76" s="85"/>
      <c r="CZ76" s="85"/>
      <c r="DA76" s="86"/>
      <c r="DB76" s="84"/>
    </row>
    <row r="77" spans="2:106" ht="11.25" customHeight="1"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85"/>
      <c r="CY77" s="85"/>
      <c r="CZ77" s="85"/>
      <c r="DA77" s="86"/>
      <c r="DB77" s="84"/>
    </row>
    <row r="78" spans="2:106" ht="11.25" customHeight="1">
      <c r="B78" s="78"/>
      <c r="C78" s="79"/>
      <c r="D78" s="79"/>
      <c r="E78" s="79"/>
      <c r="F78" s="79"/>
      <c r="G78" s="79" t="s">
        <v>700</v>
      </c>
      <c r="H78" s="79"/>
      <c r="I78" s="79"/>
      <c r="J78" s="79"/>
      <c r="K78" s="79"/>
      <c r="L78" s="79"/>
      <c r="M78" s="79"/>
      <c r="N78" s="79" t="s">
        <v>604</v>
      </c>
      <c r="O78" s="79"/>
      <c r="P78" s="79" t="str">
        <f>TEXT(기계경비총괄표!G10,"#,##0")</f>
        <v>59,020</v>
      </c>
      <c r="Q78" s="79"/>
      <c r="R78" s="79"/>
      <c r="S78" s="79"/>
      <c r="T78" s="79"/>
      <c r="U78" s="79"/>
      <c r="V78" s="79"/>
      <c r="W78" s="79"/>
      <c r="X78" s="79"/>
      <c r="Y78" s="79" t="s">
        <v>391</v>
      </c>
      <c r="Z78" s="79"/>
      <c r="AA78" s="79"/>
      <c r="AB78" s="79" t="str">
        <f>TEXT(BB16,"#,##0.#######")</f>
        <v>325.</v>
      </c>
      <c r="AC78" s="79"/>
      <c r="AD78" s="79"/>
      <c r="AE78" s="79"/>
      <c r="AF78" s="79"/>
      <c r="AG78" s="79"/>
      <c r="AH78" s="79" t="s">
        <v>699</v>
      </c>
      <c r="AI78" s="79"/>
      <c r="AJ78" s="79"/>
      <c r="AK78" s="79" t="str">
        <f>TEXT(150,"#,##0.#######")</f>
        <v>150.</v>
      </c>
      <c r="AL78" s="79"/>
      <c r="AM78" s="79"/>
      <c r="AN78" s="79" t="s">
        <v>157</v>
      </c>
      <c r="AO78" s="79"/>
      <c r="AP78" s="79" t="s">
        <v>309</v>
      </c>
      <c r="AQ78" s="79"/>
      <c r="AR78" s="79" t="str">
        <f>TEXT(TRUNC(P78/BB16*(AK78*(1/100)),1),"#,##0.#")</f>
        <v>272.4</v>
      </c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85"/>
      <c r="CY78" s="85"/>
      <c r="CZ78" s="85"/>
      <c r="DA78" s="86"/>
      <c r="DB78" s="84"/>
    </row>
    <row r="79" spans="2:106" ht="11.25" customHeight="1">
      <c r="B79" s="78"/>
      <c r="C79" s="79"/>
      <c r="D79" s="79"/>
      <c r="E79" s="79"/>
      <c r="F79" s="79"/>
      <c r="G79" s="79" t="s">
        <v>498</v>
      </c>
      <c r="H79" s="79"/>
      <c r="I79" s="79"/>
      <c r="J79" s="79"/>
      <c r="K79" s="79"/>
      <c r="L79" s="79"/>
      <c r="M79" s="79"/>
      <c r="N79" s="79" t="s">
        <v>604</v>
      </c>
      <c r="O79" s="79"/>
      <c r="P79" s="79"/>
      <c r="Q79" s="79" t="str">
        <f>TEXT(기계경비총괄표!H10,"#,##0")</f>
        <v>8,118</v>
      </c>
      <c r="R79" s="79"/>
      <c r="S79" s="79"/>
      <c r="T79" s="79"/>
      <c r="U79" s="79"/>
      <c r="V79" s="79"/>
      <c r="W79" s="79"/>
      <c r="X79" s="79"/>
      <c r="Y79" s="79" t="s">
        <v>391</v>
      </c>
      <c r="Z79" s="79"/>
      <c r="AA79" s="79"/>
      <c r="AB79" s="79" t="str">
        <f>TEXT(BB16,"#,##0.#######")</f>
        <v>325.</v>
      </c>
      <c r="AC79" s="79"/>
      <c r="AD79" s="79"/>
      <c r="AE79" s="79"/>
      <c r="AF79" s="79"/>
      <c r="AG79" s="79"/>
      <c r="AH79" s="79" t="s">
        <v>309</v>
      </c>
      <c r="AI79" s="79"/>
      <c r="AJ79" s="79"/>
      <c r="AK79" s="79" t="str">
        <f>TEXT(TRUNC(Q79/BB16,1),"#,##0.#")</f>
        <v>24.9</v>
      </c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85"/>
      <c r="CY79" s="85"/>
      <c r="CZ79" s="85"/>
      <c r="DA79" s="86"/>
      <c r="DB79" s="84"/>
    </row>
    <row r="80" spans="2:106" ht="11.25" customHeight="1">
      <c r="B80" s="78"/>
      <c r="C80" s="79"/>
      <c r="D80" s="79"/>
      <c r="E80" s="79"/>
      <c r="F80" s="79"/>
      <c r="G80" s="79" t="s">
        <v>160</v>
      </c>
      <c r="H80" s="79"/>
      <c r="I80" s="79"/>
      <c r="J80" s="79"/>
      <c r="K80" s="79" t="s">
        <v>440</v>
      </c>
      <c r="L80" s="79"/>
      <c r="M80" s="79"/>
      <c r="N80" s="79" t="s">
        <v>604</v>
      </c>
      <c r="O80" s="79"/>
      <c r="P80" s="79"/>
      <c r="Q80" s="79" t="str">
        <f>TEXT(기계경비총괄표!I10,"#,##0")</f>
        <v>9,037</v>
      </c>
      <c r="R80" s="79"/>
      <c r="S80" s="79"/>
      <c r="T80" s="79"/>
      <c r="U80" s="79"/>
      <c r="V80" s="79"/>
      <c r="W80" s="79"/>
      <c r="X80" s="79"/>
      <c r="Y80" s="79" t="s">
        <v>391</v>
      </c>
      <c r="Z80" s="79"/>
      <c r="AA80" s="79"/>
      <c r="AB80" s="79" t="str">
        <f>TEXT(BB16,"#,##0.#######")</f>
        <v>325.</v>
      </c>
      <c r="AC80" s="79"/>
      <c r="AD80" s="79"/>
      <c r="AE80" s="79"/>
      <c r="AF80" s="79"/>
      <c r="AG80" s="79"/>
      <c r="AH80" s="79" t="s">
        <v>309</v>
      </c>
      <c r="AI80" s="79"/>
      <c r="AJ80" s="79"/>
      <c r="AK80" s="79" t="str">
        <f>TEXT(TRUNC(Q80/BB16,1),"#,##0.#")</f>
        <v>27.8</v>
      </c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85"/>
      <c r="CY80" s="85"/>
      <c r="CZ80" s="85"/>
      <c r="DA80" s="86"/>
      <c r="DB80" s="84"/>
    </row>
    <row r="81" spans="2:106" ht="11.25" customHeight="1">
      <c r="B81" s="78"/>
      <c r="C81" s="79"/>
      <c r="D81" s="79"/>
      <c r="E81" s="79"/>
      <c r="F81" s="79"/>
      <c r="G81" s="79" t="s">
        <v>305</v>
      </c>
      <c r="H81" s="79"/>
      <c r="I81" s="79"/>
      <c r="J81" s="79"/>
      <c r="K81" s="79" t="s">
        <v>436</v>
      </c>
      <c r="L81" s="79"/>
      <c r="M81" s="79"/>
      <c r="N81" s="79" t="s">
        <v>604</v>
      </c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 t="str">
        <f>TEXT(AR78+AK79+AK80,"#,##0.#######")</f>
        <v>325.1</v>
      </c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85">
        <f>CY81+CZ81+DA81</f>
        <v>325.09999999999997</v>
      </c>
      <c r="CY81" s="85" t="str">
        <f>TEXT(AR78,"#,###.0")</f>
        <v>272.4</v>
      </c>
      <c r="CZ81" s="85" t="str">
        <f>TEXT(AK79,"#,###.0")</f>
        <v>24.9</v>
      </c>
      <c r="DA81" s="86" t="str">
        <f>TEXT(AK80,"#,###.0")</f>
        <v>27.8</v>
      </c>
      <c r="DB81" s="84"/>
    </row>
    <row r="82" spans="2:106" ht="11.25" customHeight="1"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85"/>
      <c r="CY82" s="85"/>
      <c r="CZ82" s="85"/>
      <c r="DA82" s="86"/>
      <c r="DB82" s="84"/>
    </row>
    <row r="83" spans="2:106" ht="11.25" customHeight="1">
      <c r="B83" s="78"/>
      <c r="C83" s="79"/>
      <c r="D83" s="79"/>
      <c r="E83" s="79" t="s">
        <v>187</v>
      </c>
      <c r="F83" s="79"/>
      <c r="G83" s="79" t="s">
        <v>587</v>
      </c>
      <c r="H83" s="79"/>
      <c r="I83" s="79" t="s">
        <v>656</v>
      </c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 t="s">
        <v>361</v>
      </c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85"/>
      <c r="CY83" s="85"/>
      <c r="CZ83" s="85"/>
      <c r="DA83" s="86"/>
      <c r="DB83" s="84"/>
    </row>
    <row r="84" spans="2:106" ht="11.25" customHeight="1">
      <c r="B84" s="78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85"/>
      <c r="CY84" s="85"/>
      <c r="CZ84" s="85"/>
      <c r="DA84" s="86"/>
      <c r="DB84" s="84"/>
    </row>
    <row r="85" spans="2:106" ht="11.25" customHeight="1">
      <c r="B85" s="78"/>
      <c r="C85" s="79"/>
      <c r="D85" s="79"/>
      <c r="E85" s="79"/>
      <c r="F85" s="79"/>
      <c r="G85" s="79" t="s">
        <v>700</v>
      </c>
      <c r="H85" s="79"/>
      <c r="I85" s="79"/>
      <c r="J85" s="79"/>
      <c r="K85" s="79"/>
      <c r="L85" s="79"/>
      <c r="M85" s="79"/>
      <c r="N85" s="79" t="s">
        <v>604</v>
      </c>
      <c r="O85" s="79"/>
      <c r="P85" s="79" t="str">
        <f>TEXT(기계경비총괄표!G11,"#,##0")</f>
        <v>59,020</v>
      </c>
      <c r="Q85" s="79"/>
      <c r="R85" s="79"/>
      <c r="S85" s="79"/>
      <c r="T85" s="79"/>
      <c r="U85" s="79"/>
      <c r="V85" s="79"/>
      <c r="W85" s="79"/>
      <c r="X85" s="79"/>
      <c r="Y85" s="79" t="s">
        <v>391</v>
      </c>
      <c r="Z85" s="79"/>
      <c r="AA85" s="79"/>
      <c r="AB85" s="79" t="str">
        <f>TEXT(BB16,"#,##0.#######")</f>
        <v>325.</v>
      </c>
      <c r="AC85" s="79"/>
      <c r="AD85" s="79"/>
      <c r="AE85" s="79"/>
      <c r="AF85" s="79"/>
      <c r="AG85" s="79"/>
      <c r="AH85" s="79" t="s">
        <v>699</v>
      </c>
      <c r="AI85" s="79"/>
      <c r="AJ85" s="79"/>
      <c r="AK85" s="79" t="str">
        <f>TEXT(150,"#,##0.#######")</f>
        <v>150.</v>
      </c>
      <c r="AL85" s="79"/>
      <c r="AM85" s="79"/>
      <c r="AN85" s="79" t="s">
        <v>157</v>
      </c>
      <c r="AO85" s="79"/>
      <c r="AP85" s="79" t="s">
        <v>309</v>
      </c>
      <c r="AQ85" s="79"/>
      <c r="AR85" s="79" t="str">
        <f>TEXT(TRUNC(P85/BB16*(AK85*(1/100)),1),"#,##0.#")</f>
        <v>272.4</v>
      </c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85"/>
      <c r="CY85" s="85"/>
      <c r="CZ85" s="85"/>
      <c r="DA85" s="86"/>
      <c r="DB85" s="84"/>
    </row>
    <row r="86" spans="2:106" ht="11.25" customHeight="1">
      <c r="B86" s="78"/>
      <c r="C86" s="79"/>
      <c r="D86" s="79"/>
      <c r="E86" s="79"/>
      <c r="F86" s="79"/>
      <c r="G86" s="79" t="s">
        <v>498</v>
      </c>
      <c r="H86" s="79"/>
      <c r="I86" s="79"/>
      <c r="J86" s="79"/>
      <c r="K86" s="79"/>
      <c r="L86" s="79"/>
      <c r="M86" s="79"/>
      <c r="N86" s="79" t="s">
        <v>604</v>
      </c>
      <c r="O86" s="79"/>
      <c r="P86" s="79" t="str">
        <f>TEXT(기계경비총괄표!H11,"#,##0")</f>
        <v>18,748</v>
      </c>
      <c r="Q86" s="79"/>
      <c r="R86" s="79"/>
      <c r="S86" s="79"/>
      <c r="T86" s="79"/>
      <c r="U86" s="79"/>
      <c r="V86" s="79"/>
      <c r="W86" s="79"/>
      <c r="X86" s="79"/>
      <c r="Y86" s="79" t="s">
        <v>391</v>
      </c>
      <c r="Z86" s="79"/>
      <c r="AA86" s="79"/>
      <c r="AB86" s="79" t="str">
        <f>TEXT(BB16,"#,##0.#######")</f>
        <v>325.</v>
      </c>
      <c r="AC86" s="79"/>
      <c r="AD86" s="79"/>
      <c r="AE86" s="79"/>
      <c r="AF86" s="79"/>
      <c r="AG86" s="79"/>
      <c r="AH86" s="79" t="s">
        <v>309</v>
      </c>
      <c r="AI86" s="79"/>
      <c r="AJ86" s="79"/>
      <c r="AK86" s="79" t="str">
        <f>TEXT(TRUNC(P86/BB16,1),"#,##0.#")</f>
        <v>57.6</v>
      </c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85"/>
      <c r="CY86" s="85"/>
      <c r="CZ86" s="85"/>
      <c r="DA86" s="86"/>
      <c r="DB86" s="84"/>
    </row>
    <row r="87" spans="2:106" ht="11.25" customHeight="1">
      <c r="B87" s="78"/>
      <c r="C87" s="79"/>
      <c r="D87" s="79"/>
      <c r="E87" s="79"/>
      <c r="F87" s="79"/>
      <c r="G87" s="79" t="s">
        <v>160</v>
      </c>
      <c r="H87" s="79"/>
      <c r="I87" s="79"/>
      <c r="J87" s="79"/>
      <c r="K87" s="79" t="s">
        <v>440</v>
      </c>
      <c r="L87" s="79"/>
      <c r="M87" s="79"/>
      <c r="N87" s="79" t="s">
        <v>604</v>
      </c>
      <c r="O87" s="79"/>
      <c r="P87" s="79" t="str">
        <f>TEXT(기계경비총괄표!I11,"#,##0")</f>
        <v>16,470</v>
      </c>
      <c r="Q87" s="79"/>
      <c r="R87" s="79"/>
      <c r="S87" s="79"/>
      <c r="T87" s="79"/>
      <c r="U87" s="79"/>
      <c r="V87" s="79"/>
      <c r="W87" s="79"/>
      <c r="X87" s="79"/>
      <c r="Y87" s="79" t="s">
        <v>391</v>
      </c>
      <c r="Z87" s="79"/>
      <c r="AA87" s="79"/>
      <c r="AB87" s="79" t="str">
        <f>TEXT(BB16,"#,##0.#######")</f>
        <v>325.</v>
      </c>
      <c r="AC87" s="79"/>
      <c r="AD87" s="79"/>
      <c r="AE87" s="79"/>
      <c r="AF87" s="79"/>
      <c r="AG87" s="79"/>
      <c r="AH87" s="79" t="s">
        <v>309</v>
      </c>
      <c r="AI87" s="79"/>
      <c r="AJ87" s="79"/>
      <c r="AK87" s="79" t="str">
        <f>TEXT(TRUNC(P87/BB16,1),"#,##0.#")</f>
        <v>50.6</v>
      </c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85"/>
      <c r="CY87" s="85"/>
      <c r="CZ87" s="85"/>
      <c r="DA87" s="86"/>
      <c r="DB87" s="84"/>
    </row>
    <row r="88" spans="2:106" ht="11.25" customHeight="1">
      <c r="B88" s="78"/>
      <c r="C88" s="79"/>
      <c r="D88" s="79"/>
      <c r="E88" s="79"/>
      <c r="F88" s="79"/>
      <c r="G88" s="79" t="s">
        <v>305</v>
      </c>
      <c r="H88" s="79"/>
      <c r="I88" s="79"/>
      <c r="J88" s="79"/>
      <c r="K88" s="79" t="s">
        <v>436</v>
      </c>
      <c r="L88" s="79"/>
      <c r="M88" s="79"/>
      <c r="N88" s="79" t="s">
        <v>604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 t="str">
        <f>TEXT(AR85+AK86+AK87,"#,##0.#######")</f>
        <v>380.6</v>
      </c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85">
        <f>CY88+CZ88+DA88</f>
        <v>380.6</v>
      </c>
      <c r="CY88" s="85" t="str">
        <f>TEXT(AR85,"#,###.0")</f>
        <v>272.4</v>
      </c>
      <c r="CZ88" s="85" t="str">
        <f>TEXT(AK86,"#,###.0")</f>
        <v>57.6</v>
      </c>
      <c r="DA88" s="86" t="str">
        <f>TEXT(AK87,"#,###.0")</f>
        <v>50.6</v>
      </c>
      <c r="DB88" s="84"/>
    </row>
    <row r="89" spans="2:106" ht="11.25" customHeight="1">
      <c r="B89" s="78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85"/>
      <c r="CY89" s="85"/>
      <c r="CZ89" s="85"/>
      <c r="DA89" s="86"/>
      <c r="DB89" s="84"/>
    </row>
    <row r="90" spans="2:106" ht="11.25" customHeight="1">
      <c r="B90" s="80"/>
      <c r="C90" s="72"/>
      <c r="D90" s="72"/>
      <c r="E90" s="72" t="s">
        <v>28</v>
      </c>
      <c r="F90" s="72"/>
      <c r="G90" s="72" t="s">
        <v>587</v>
      </c>
      <c r="H90" s="72"/>
      <c r="I90" s="72" t="s">
        <v>8</v>
      </c>
      <c r="J90" s="72"/>
      <c r="K90" s="72"/>
      <c r="L90" s="72"/>
      <c r="M90" s="72"/>
      <c r="N90" s="72"/>
      <c r="O90" s="72"/>
      <c r="P90" s="72"/>
      <c r="Q90" s="72"/>
      <c r="R90" s="72" t="s">
        <v>84</v>
      </c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87"/>
      <c r="CY90" s="87"/>
      <c r="CZ90" s="87"/>
      <c r="DA90" s="88"/>
      <c r="DB90" s="84"/>
    </row>
    <row r="91" spans="2:106" ht="11.25" customHeight="1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85"/>
      <c r="CY91" s="85"/>
      <c r="CZ91" s="85"/>
      <c r="DA91" s="86"/>
      <c r="DB91" s="84"/>
    </row>
    <row r="92" spans="2:106" ht="11.25" customHeight="1">
      <c r="B92" s="78"/>
      <c r="C92" s="79"/>
      <c r="D92" s="79"/>
      <c r="E92" s="79"/>
      <c r="F92" s="79"/>
      <c r="G92" s="79" t="s">
        <v>700</v>
      </c>
      <c r="H92" s="79"/>
      <c r="I92" s="79"/>
      <c r="J92" s="79"/>
      <c r="K92" s="79"/>
      <c r="L92" s="79"/>
      <c r="M92" s="79"/>
      <c r="N92" s="79" t="s">
        <v>604</v>
      </c>
      <c r="O92" s="79"/>
      <c r="P92" s="79" t="str">
        <f>TEXT(기계경비총괄표!G12,"#,##0")</f>
        <v>49,778</v>
      </c>
      <c r="Q92" s="79"/>
      <c r="R92" s="79"/>
      <c r="S92" s="79"/>
      <c r="T92" s="79"/>
      <c r="U92" s="79"/>
      <c r="V92" s="79"/>
      <c r="W92" s="79"/>
      <c r="X92" s="79"/>
      <c r="Y92" s="79" t="s">
        <v>391</v>
      </c>
      <c r="Z92" s="79"/>
      <c r="AA92" s="79"/>
      <c r="AB92" s="79" t="str">
        <f>TEXT(BB16,"#,##0.#######")</f>
        <v>325.</v>
      </c>
      <c r="AC92" s="79"/>
      <c r="AD92" s="79"/>
      <c r="AE92" s="79"/>
      <c r="AF92" s="79"/>
      <c r="AG92" s="79"/>
      <c r="AH92" s="79" t="s">
        <v>699</v>
      </c>
      <c r="AI92" s="79"/>
      <c r="AJ92" s="79"/>
      <c r="AK92" s="79" t="str">
        <f>TEXT(150,"#,##0.#######")</f>
        <v>150.</v>
      </c>
      <c r="AL92" s="79"/>
      <c r="AM92" s="79"/>
      <c r="AN92" s="79" t="s">
        <v>157</v>
      </c>
      <c r="AO92" s="79"/>
      <c r="AP92" s="79" t="s">
        <v>309</v>
      </c>
      <c r="AQ92" s="79"/>
      <c r="AR92" s="79" t="str">
        <f>TEXT(TRUNC(P92/BB16*(AK92*(1/100)),1),"#,##0.#")</f>
        <v>229.7</v>
      </c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85"/>
      <c r="CY92" s="85"/>
      <c r="CZ92" s="85"/>
      <c r="DA92" s="86"/>
      <c r="DB92" s="84"/>
    </row>
    <row r="93" spans="2:106" ht="11.25" customHeight="1">
      <c r="B93" s="78"/>
      <c r="C93" s="79"/>
      <c r="D93" s="79"/>
      <c r="E93" s="79"/>
      <c r="F93" s="79"/>
      <c r="G93" s="79" t="s">
        <v>498</v>
      </c>
      <c r="H93" s="79"/>
      <c r="I93" s="79"/>
      <c r="J93" s="79"/>
      <c r="K93" s="79"/>
      <c r="L93" s="79"/>
      <c r="M93" s="79"/>
      <c r="N93" s="79" t="s">
        <v>604</v>
      </c>
      <c r="O93" s="79"/>
      <c r="P93" s="79" t="str">
        <f>TEXT(기계경비총괄표!H12,"#,##0")</f>
        <v>23,075</v>
      </c>
      <c r="Q93" s="79"/>
      <c r="R93" s="79"/>
      <c r="S93" s="79"/>
      <c r="T93" s="79"/>
      <c r="U93" s="79"/>
      <c r="V93" s="79"/>
      <c r="W93" s="79"/>
      <c r="X93" s="79"/>
      <c r="Y93" s="79" t="s">
        <v>391</v>
      </c>
      <c r="Z93" s="79"/>
      <c r="AA93" s="79"/>
      <c r="AB93" s="79" t="str">
        <f>TEXT(BB16,"#,##0.#######")</f>
        <v>325.</v>
      </c>
      <c r="AC93" s="79"/>
      <c r="AD93" s="79"/>
      <c r="AE93" s="79"/>
      <c r="AF93" s="79"/>
      <c r="AG93" s="79"/>
      <c r="AH93" s="79" t="s">
        <v>309</v>
      </c>
      <c r="AI93" s="79"/>
      <c r="AJ93" s="79"/>
      <c r="AK93" s="79" t="str">
        <f>TEXT(TRUNC(P93/BB16,1),"#,##0.#")</f>
        <v>71.</v>
      </c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85"/>
      <c r="CY93" s="85"/>
      <c r="CZ93" s="85"/>
      <c r="DA93" s="86"/>
      <c r="DB93" s="84"/>
    </row>
    <row r="94" spans="2:106" ht="11.25" customHeight="1">
      <c r="B94" s="78"/>
      <c r="C94" s="79"/>
      <c r="D94" s="79"/>
      <c r="E94" s="79"/>
      <c r="F94" s="79"/>
      <c r="G94" s="79" t="s">
        <v>160</v>
      </c>
      <c r="H94" s="79"/>
      <c r="I94" s="79"/>
      <c r="J94" s="79"/>
      <c r="K94" s="79" t="s">
        <v>440</v>
      </c>
      <c r="L94" s="79"/>
      <c r="M94" s="79"/>
      <c r="N94" s="79" t="s">
        <v>604</v>
      </c>
      <c r="O94" s="79"/>
      <c r="P94" s="79" t="str">
        <f>TEXT(기계경비총괄표!I12,"#,##0")</f>
        <v>19,154</v>
      </c>
      <c r="Q94" s="79"/>
      <c r="R94" s="79"/>
      <c r="S94" s="79"/>
      <c r="T94" s="79"/>
      <c r="U94" s="79"/>
      <c r="V94" s="79"/>
      <c r="W94" s="79"/>
      <c r="X94" s="79"/>
      <c r="Y94" s="79" t="s">
        <v>391</v>
      </c>
      <c r="Z94" s="79"/>
      <c r="AA94" s="79"/>
      <c r="AB94" s="79" t="str">
        <f>TEXT(BB16,"#,##0.#######")</f>
        <v>325.</v>
      </c>
      <c r="AC94" s="79"/>
      <c r="AD94" s="79"/>
      <c r="AE94" s="79"/>
      <c r="AF94" s="79"/>
      <c r="AG94" s="79"/>
      <c r="AH94" s="79" t="s">
        <v>309</v>
      </c>
      <c r="AI94" s="79"/>
      <c r="AJ94" s="79"/>
      <c r="AK94" s="79" t="str">
        <f>TEXT(TRUNC(P94/BB16,1),"#,##0.#")</f>
        <v>58.9</v>
      </c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85"/>
      <c r="CY94" s="85"/>
      <c r="CZ94" s="85"/>
      <c r="DA94" s="86"/>
      <c r="DB94" s="84"/>
    </row>
    <row r="95" spans="2:106" ht="11.25" customHeight="1">
      <c r="B95" s="78"/>
      <c r="C95" s="79"/>
      <c r="D95" s="79"/>
      <c r="E95" s="79"/>
      <c r="F95" s="79"/>
      <c r="G95" s="79" t="s">
        <v>305</v>
      </c>
      <c r="H95" s="79"/>
      <c r="I95" s="79"/>
      <c r="J95" s="79"/>
      <c r="K95" s="79" t="s">
        <v>436</v>
      </c>
      <c r="L95" s="79"/>
      <c r="M95" s="79"/>
      <c r="N95" s="79" t="s">
        <v>604</v>
      </c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 t="str">
        <f>TEXT(AR92+AK93+AK94,"#,##0.#######")</f>
        <v>359.6</v>
      </c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85">
        <f>CY95+CZ95+DA95</f>
        <v>359.59999999999997</v>
      </c>
      <c r="CY95" s="85" t="str">
        <f>TEXT(AR92,"#,###.0")</f>
        <v>229.7</v>
      </c>
      <c r="CZ95" s="85" t="str">
        <f>TEXT(AK93,"#,###.0")</f>
        <v>71.0</v>
      </c>
      <c r="DA95" s="86" t="str">
        <f>TEXT(AK94,"#,###.0")</f>
        <v>58.9</v>
      </c>
      <c r="DB95" s="84"/>
    </row>
    <row r="96" spans="2:106" ht="11.25" customHeight="1">
      <c r="B96" s="78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85"/>
      <c r="CY96" s="85"/>
      <c r="CZ96" s="85"/>
      <c r="DA96" s="86"/>
      <c r="DB96" s="84"/>
    </row>
    <row r="97" spans="2:106" ht="11.25" customHeight="1">
      <c r="B97" s="78"/>
      <c r="C97" s="79"/>
      <c r="D97" s="79"/>
      <c r="E97" s="79" t="s">
        <v>145</v>
      </c>
      <c r="F97" s="79"/>
      <c r="G97" s="79" t="s">
        <v>587</v>
      </c>
      <c r="H97" s="79"/>
      <c r="I97" s="79" t="s">
        <v>305</v>
      </c>
      <c r="J97" s="79"/>
      <c r="K97" s="79"/>
      <c r="L97" s="79"/>
      <c r="M97" s="79" t="s">
        <v>436</v>
      </c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85"/>
      <c r="CY97" s="85"/>
      <c r="CZ97" s="85"/>
      <c r="DA97" s="86"/>
      <c r="DB97" s="84"/>
    </row>
    <row r="98" spans="2:106" ht="11.25" customHeight="1">
      <c r="B98" s="78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85"/>
      <c r="CY98" s="85"/>
      <c r="CZ98" s="85"/>
      <c r="DA98" s="86"/>
      <c r="DB98" s="84"/>
    </row>
    <row r="99" spans="2:106" ht="11.25" customHeight="1">
      <c r="B99" s="78"/>
      <c r="C99" s="79"/>
      <c r="D99" s="79"/>
      <c r="E99" s="79"/>
      <c r="F99" s="79"/>
      <c r="G99" s="79"/>
      <c r="H99" s="79" t="s">
        <v>700</v>
      </c>
      <c r="I99" s="79"/>
      <c r="J99" s="79"/>
      <c r="K99" s="79"/>
      <c r="L99" s="79"/>
      <c r="M99" s="79"/>
      <c r="N99" s="79"/>
      <c r="O99" s="79" t="s">
        <v>604</v>
      </c>
      <c r="P99" s="79"/>
      <c r="Q99" s="79" t="str">
        <f>TEXT(CY39,"#,###.##")</f>
        <v>544.8</v>
      </c>
      <c r="R99" s="79"/>
      <c r="S99" s="79"/>
      <c r="T99" s="79"/>
      <c r="U99" s="79"/>
      <c r="V99" s="79"/>
      <c r="W99" s="79" t="s">
        <v>148</v>
      </c>
      <c r="X99" s="79"/>
      <c r="Y99" s="79" t="str">
        <f>TEXT(CY46,"#,###.##")</f>
        <v>272.4</v>
      </c>
      <c r="Z99" s="79"/>
      <c r="AA99" s="79"/>
      <c r="AB99" s="79"/>
      <c r="AC99" s="79"/>
      <c r="AD99" s="79"/>
      <c r="AE99" s="79" t="s">
        <v>148</v>
      </c>
      <c r="AF99" s="79"/>
      <c r="AG99" s="79" t="str">
        <f>TEXT(CY53,"#,###.##")</f>
        <v>817.2</v>
      </c>
      <c r="AH99" s="79"/>
      <c r="AI99" s="79"/>
      <c r="AJ99" s="79"/>
      <c r="AK99" s="79"/>
      <c r="AL99" s="79"/>
      <c r="AM99" s="79" t="s">
        <v>148</v>
      </c>
      <c r="AN99" s="79"/>
      <c r="AO99" s="79" t="str">
        <f>TEXT(CY60,"#,###.##")</f>
        <v>272.4</v>
      </c>
      <c r="AP99" s="79"/>
      <c r="AQ99" s="79"/>
      <c r="AR99" s="79"/>
      <c r="AS99" s="79"/>
      <c r="AT99" s="79"/>
      <c r="AU99" s="79" t="s">
        <v>148</v>
      </c>
      <c r="AV99" s="79"/>
      <c r="AW99" s="79" t="str">
        <f>TEXT(CY67,"#,###.##")</f>
        <v>272.4</v>
      </c>
      <c r="AX99" s="79"/>
      <c r="AY99" s="79"/>
      <c r="AZ99" s="79"/>
      <c r="BA99" s="79"/>
      <c r="BB99" s="79"/>
      <c r="BC99" s="79" t="s">
        <v>148</v>
      </c>
      <c r="BD99" s="79"/>
      <c r="BE99" s="79" t="str">
        <f>TEXT(CY74,"#,###.##")</f>
        <v>272.4</v>
      </c>
      <c r="BF99" s="79"/>
      <c r="BG99" s="79"/>
      <c r="BH99" s="79"/>
      <c r="BI99" s="79"/>
      <c r="BJ99" s="79"/>
      <c r="BK99" s="79" t="s">
        <v>148</v>
      </c>
      <c r="BL99" s="79"/>
      <c r="BM99" s="79" t="str">
        <f>TEXT(CY81,"#,###.##")</f>
        <v>272.4</v>
      </c>
      <c r="BN99" s="79"/>
      <c r="BO99" s="79"/>
      <c r="BP99" s="79"/>
      <c r="BQ99" s="79"/>
      <c r="BR99" s="79"/>
      <c r="BS99" s="79" t="s">
        <v>148</v>
      </c>
      <c r="BT99" s="79"/>
      <c r="BU99" s="79" t="str">
        <f>TEXT(CY88,"#,###.##")</f>
        <v>272.4</v>
      </c>
      <c r="BV99" s="79"/>
      <c r="BW99" s="79"/>
      <c r="BX99" s="79"/>
      <c r="BY99" s="79"/>
      <c r="BZ99" s="79"/>
      <c r="CA99" s="79" t="s">
        <v>148</v>
      </c>
      <c r="CB99" s="79"/>
      <c r="CC99" s="79" t="str">
        <f>TEXT(CY95,"#,###.##")</f>
        <v>229.7</v>
      </c>
      <c r="CD99" s="79"/>
      <c r="CE99" s="79"/>
      <c r="CF99" s="79"/>
      <c r="CG99" s="79"/>
      <c r="CH99" s="79"/>
      <c r="CI99" s="79" t="s">
        <v>309</v>
      </c>
      <c r="CJ99" s="79"/>
      <c r="CK99" s="79"/>
      <c r="CL99" s="79" t="str">
        <f>TEXT(TRUNC(CY39+CY46+CY53+CY60+CY67+CY74+CY81+CY88+CY95,1),"#,##0.#")</f>
        <v>3,226.1</v>
      </c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85"/>
      <c r="CY99" s="85"/>
      <c r="CZ99" s="85"/>
      <c r="DA99" s="86"/>
      <c r="DB99" s="84"/>
    </row>
    <row r="100" spans="2:106" ht="11.25" customHeight="1">
      <c r="B100" s="78"/>
      <c r="C100" s="79"/>
      <c r="D100" s="79"/>
      <c r="E100" s="79"/>
      <c r="F100" s="79"/>
      <c r="G100" s="79"/>
      <c r="H100" s="79" t="s">
        <v>498</v>
      </c>
      <c r="I100" s="79"/>
      <c r="J100" s="79"/>
      <c r="K100" s="79"/>
      <c r="L100" s="79"/>
      <c r="M100" s="79"/>
      <c r="N100" s="79"/>
      <c r="O100" s="79" t="s">
        <v>604</v>
      </c>
      <c r="P100" s="79"/>
      <c r="Q100" s="79" t="str">
        <f>TEXT(CZ39,"#,###.##")</f>
        <v>517.6</v>
      </c>
      <c r="R100" s="79"/>
      <c r="S100" s="79"/>
      <c r="T100" s="79"/>
      <c r="U100" s="79"/>
      <c r="V100" s="79"/>
      <c r="W100" s="79" t="s">
        <v>148</v>
      </c>
      <c r="X100" s="79"/>
      <c r="Y100" s="79" t="str">
        <f>TEXT(CZ46,"#,###.##")</f>
        <v>37.7</v>
      </c>
      <c r="Z100" s="79"/>
      <c r="AA100" s="79"/>
      <c r="AB100" s="79"/>
      <c r="AC100" s="79"/>
      <c r="AD100" s="79" t="s">
        <v>148</v>
      </c>
      <c r="AE100" s="79"/>
      <c r="AF100" s="79" t="str">
        <f>TEXT(CZ53,"#,###.##")</f>
        <v>64.</v>
      </c>
      <c r="AG100" s="79"/>
      <c r="AH100" s="79"/>
      <c r="AI100" s="79" t="s">
        <v>148</v>
      </c>
      <c r="AJ100" s="79"/>
      <c r="AK100" s="79" t="str">
        <f>TEXT(CZ60,"#,###.##")</f>
        <v>58.8</v>
      </c>
      <c r="AL100" s="79"/>
      <c r="AM100" s="79"/>
      <c r="AN100" s="79"/>
      <c r="AO100" s="79"/>
      <c r="AP100" s="79" t="s">
        <v>148</v>
      </c>
      <c r="AQ100" s="79"/>
      <c r="AR100" s="79" t="str">
        <f>TEXT(CZ67,"#,###.##")</f>
        <v>46.4</v>
      </c>
      <c r="AS100" s="79"/>
      <c r="AT100" s="79"/>
      <c r="AU100" s="79"/>
      <c r="AV100" s="79"/>
      <c r="AW100" s="79" t="s">
        <v>148</v>
      </c>
      <c r="AX100" s="79"/>
      <c r="AY100" s="79" t="str">
        <f>TEXT(CZ74,"#,###.##")</f>
        <v>41.6</v>
      </c>
      <c r="AZ100" s="79"/>
      <c r="BA100" s="79"/>
      <c r="BB100" s="79"/>
      <c r="BC100" s="79"/>
      <c r="BD100" s="79" t="s">
        <v>148</v>
      </c>
      <c r="BE100" s="79"/>
      <c r="BF100" s="79" t="str">
        <f>TEXT(CZ81,"#,###.##")</f>
        <v>24.9</v>
      </c>
      <c r="BG100" s="79"/>
      <c r="BH100" s="79"/>
      <c r="BI100" s="79"/>
      <c r="BJ100" s="79"/>
      <c r="BK100" s="79" t="s">
        <v>148</v>
      </c>
      <c r="BL100" s="79"/>
      <c r="BM100" s="79" t="str">
        <f>TEXT(CZ88,"#,###.##")</f>
        <v>57.6</v>
      </c>
      <c r="BN100" s="79"/>
      <c r="BO100" s="79"/>
      <c r="BP100" s="79"/>
      <c r="BQ100" s="79"/>
      <c r="BR100" s="79" t="s">
        <v>148</v>
      </c>
      <c r="BS100" s="79"/>
      <c r="BT100" s="79" t="str">
        <f>TEXT(CZ95,"#,###.##")</f>
        <v>71.</v>
      </c>
      <c r="BU100" s="79"/>
      <c r="BV100" s="79"/>
      <c r="BW100" s="79" t="s">
        <v>309</v>
      </c>
      <c r="BX100" s="79"/>
      <c r="BY100" s="79"/>
      <c r="BZ100" s="79" t="str">
        <f>TEXT(TRUNC(CZ39+CZ46+CZ53+CZ60+CZ67+CZ74+CZ81+CZ88+CZ95,1),"#,##0.#")</f>
        <v>919.6</v>
      </c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85"/>
      <c r="CY100" s="85"/>
      <c r="CZ100" s="85"/>
      <c r="DA100" s="86"/>
      <c r="DB100" s="84"/>
    </row>
    <row r="101" spans="2:106" ht="11.25" customHeight="1">
      <c r="B101" s="78"/>
      <c r="C101" s="79"/>
      <c r="D101" s="79"/>
      <c r="E101" s="79"/>
      <c r="F101" s="79"/>
      <c r="G101" s="79"/>
      <c r="H101" s="79" t="s">
        <v>160</v>
      </c>
      <c r="I101" s="79"/>
      <c r="J101" s="79"/>
      <c r="K101" s="79"/>
      <c r="L101" s="79" t="s">
        <v>440</v>
      </c>
      <c r="M101" s="79"/>
      <c r="N101" s="79"/>
      <c r="O101" s="79" t="s">
        <v>604</v>
      </c>
      <c r="P101" s="79"/>
      <c r="Q101" s="79" t="str">
        <f>TEXT(DA39,"#,###.##")</f>
        <v>1,087.6</v>
      </c>
      <c r="R101" s="79"/>
      <c r="S101" s="79"/>
      <c r="T101" s="79"/>
      <c r="U101" s="79"/>
      <c r="V101" s="79"/>
      <c r="W101" s="79"/>
      <c r="X101" s="79"/>
      <c r="Y101" s="79" t="s">
        <v>148</v>
      </c>
      <c r="Z101" s="79"/>
      <c r="AA101" s="79" t="str">
        <f>TEXT(DA46,"#,###.##")</f>
        <v>66.1</v>
      </c>
      <c r="AB101" s="79"/>
      <c r="AC101" s="79"/>
      <c r="AD101" s="79"/>
      <c r="AE101" s="79"/>
      <c r="AF101" s="79" t="s">
        <v>148</v>
      </c>
      <c r="AG101" s="79"/>
      <c r="AH101" s="79" t="str">
        <f>TEXT(DA53,"#,###.##")</f>
        <v>69.2</v>
      </c>
      <c r="AI101" s="79"/>
      <c r="AJ101" s="79"/>
      <c r="AK101" s="79"/>
      <c r="AL101" s="79"/>
      <c r="AM101" s="79" t="s">
        <v>148</v>
      </c>
      <c r="AN101" s="79"/>
      <c r="AO101" s="79" t="str">
        <f>TEXT(DA60,"#,###.##")</f>
        <v>181.9</v>
      </c>
      <c r="AP101" s="79"/>
      <c r="AQ101" s="79"/>
      <c r="AR101" s="79"/>
      <c r="AS101" s="79"/>
      <c r="AT101" s="79"/>
      <c r="AU101" s="79" t="s">
        <v>148</v>
      </c>
      <c r="AV101" s="79"/>
      <c r="AW101" s="79" t="str">
        <f>TEXT(DA67,"#,###.##")</f>
        <v>39.5</v>
      </c>
      <c r="AX101" s="79"/>
      <c r="AY101" s="79"/>
      <c r="AZ101" s="79"/>
      <c r="BA101" s="79"/>
      <c r="BB101" s="79" t="s">
        <v>148</v>
      </c>
      <c r="BC101" s="79"/>
      <c r="BD101" s="79" t="str">
        <f>TEXT(DA74,"#,###.##")</f>
        <v>58.8</v>
      </c>
      <c r="BE101" s="79"/>
      <c r="BF101" s="79"/>
      <c r="BG101" s="79"/>
      <c r="BH101" s="79"/>
      <c r="BI101" s="79" t="s">
        <v>148</v>
      </c>
      <c r="BJ101" s="79"/>
      <c r="BK101" s="79" t="str">
        <f>TEXT(DA81,"#,###.##")</f>
        <v>27.8</v>
      </c>
      <c r="BL101" s="79"/>
      <c r="BM101" s="79"/>
      <c r="BN101" s="79"/>
      <c r="BO101" s="79"/>
      <c r="BP101" s="79" t="s">
        <v>148</v>
      </c>
      <c r="BQ101" s="79"/>
      <c r="BR101" s="79" t="str">
        <f>TEXT(DA88,"#,###.##")</f>
        <v>50.6</v>
      </c>
      <c r="BS101" s="79"/>
      <c r="BT101" s="79"/>
      <c r="BU101" s="79"/>
      <c r="BV101" s="79"/>
      <c r="BW101" s="79" t="s">
        <v>148</v>
      </c>
      <c r="BX101" s="79"/>
      <c r="BY101" s="79" t="str">
        <f>TEXT(DA95,"#,###.##")</f>
        <v>58.9</v>
      </c>
      <c r="BZ101" s="79"/>
      <c r="CA101" s="79"/>
      <c r="CB101" s="79"/>
      <c r="CC101" s="79"/>
      <c r="CD101" s="79" t="s">
        <v>309</v>
      </c>
      <c r="CE101" s="79"/>
      <c r="CF101" s="79"/>
      <c r="CG101" s="79" t="str">
        <f>TEXT(TRUNC(DA39+DA46+DA53+DA60+DA67+DA74+DA81+DA88+DA95,1),"#,##0.#")</f>
        <v>1,640.4</v>
      </c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85"/>
      <c r="CY101" s="85"/>
      <c r="CZ101" s="85"/>
      <c r="DA101" s="86"/>
      <c r="DB101" s="84"/>
    </row>
    <row r="102" spans="2:106" ht="11.25" customHeight="1">
      <c r="B102" s="78"/>
      <c r="C102" s="79"/>
      <c r="D102" s="79"/>
      <c r="E102" s="79"/>
      <c r="F102" s="79"/>
      <c r="G102" s="79"/>
      <c r="H102" s="79"/>
      <c r="I102" s="79"/>
      <c r="J102" s="79" t="s">
        <v>436</v>
      </c>
      <c r="K102" s="79"/>
      <c r="L102" s="79"/>
      <c r="M102" s="79"/>
      <c r="N102" s="79"/>
      <c r="O102" s="79" t="s">
        <v>604</v>
      </c>
      <c r="P102" s="79"/>
      <c r="Q102" s="79"/>
      <c r="R102" s="79" t="str">
        <f>TEXT(CL99+BZ100+CG101,"#,##0.#######")</f>
        <v>5,786.1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85">
        <f>CY102+CZ102+DA102</f>
        <v>5786.1</v>
      </c>
      <c r="CY102" s="85" t="str">
        <f>TEXT(CL99,"#,###.0")</f>
        <v>3,226.1</v>
      </c>
      <c r="CZ102" s="85" t="str">
        <f>TEXT(BZ100,"#,###.0")</f>
        <v>919.6</v>
      </c>
      <c r="DA102" s="86" t="str">
        <f>TEXT(CG101,"#,###.0")</f>
        <v>1,640.4</v>
      </c>
      <c r="DB102" s="84"/>
    </row>
    <row r="103" spans="2:106" ht="11.25" customHeight="1">
      <c r="B103" s="78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85"/>
      <c r="CY103" s="85"/>
      <c r="CZ103" s="85"/>
      <c r="DA103" s="86"/>
      <c r="DB103" s="84"/>
    </row>
    <row r="104" spans="2:106" ht="11.25" customHeight="1">
      <c r="B104" s="78"/>
      <c r="C104" s="79"/>
      <c r="D104" s="79" t="s">
        <v>165</v>
      </c>
      <c r="E104" s="79"/>
      <c r="F104" s="79"/>
      <c r="G104" s="79" t="s">
        <v>557</v>
      </c>
      <c r="H104" s="79"/>
      <c r="I104" s="79"/>
      <c r="J104" s="79"/>
      <c r="K104" s="79" t="s">
        <v>436</v>
      </c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85"/>
      <c r="CY104" s="85"/>
      <c r="CZ104" s="85"/>
      <c r="DA104" s="86"/>
      <c r="DB104" s="84"/>
    </row>
    <row r="105" spans="2:106" ht="11.25" customHeight="1">
      <c r="B105" s="78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85"/>
      <c r="CY105" s="85"/>
      <c r="CZ105" s="85"/>
      <c r="DA105" s="86"/>
      <c r="DB105" s="84"/>
    </row>
    <row r="106" spans="2:106" ht="11.25" customHeight="1">
      <c r="B106" s="78"/>
      <c r="C106" s="79"/>
      <c r="D106" s="79"/>
      <c r="E106" s="79"/>
      <c r="F106" s="79"/>
      <c r="G106" s="79"/>
      <c r="H106" s="79" t="s">
        <v>700</v>
      </c>
      <c r="I106" s="79"/>
      <c r="J106" s="79"/>
      <c r="K106" s="79"/>
      <c r="L106" s="79"/>
      <c r="M106" s="79"/>
      <c r="N106" s="79"/>
      <c r="O106" s="79" t="s">
        <v>604</v>
      </c>
      <c r="P106" s="79"/>
      <c r="Q106" s="79" t="str">
        <f>TEXT(CY24,"#,###.##")</f>
        <v>829.2</v>
      </c>
      <c r="R106" s="79"/>
      <c r="S106" s="79"/>
      <c r="T106" s="79"/>
      <c r="U106" s="79"/>
      <c r="V106" s="79"/>
      <c r="W106" s="79" t="s">
        <v>148</v>
      </c>
      <c r="X106" s="79"/>
      <c r="Y106" s="79" t="str">
        <f>TEXT(CY102,"#,###.##")</f>
        <v>3,226.1</v>
      </c>
      <c r="Z106" s="79"/>
      <c r="AA106" s="79"/>
      <c r="AB106" s="79"/>
      <c r="AC106" s="79"/>
      <c r="AD106" s="79"/>
      <c r="AE106" s="79"/>
      <c r="AF106" s="79"/>
      <c r="AG106" s="79" t="s">
        <v>309</v>
      </c>
      <c r="AH106" s="79"/>
      <c r="AI106" s="79"/>
      <c r="AJ106" s="79" t="str">
        <f>TEXT(TRUNC(CY24+CY102,0),"#,##0")</f>
        <v>4,055</v>
      </c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85"/>
      <c r="CY106" s="85"/>
      <c r="CZ106" s="85"/>
      <c r="DA106" s="86"/>
      <c r="DB106" s="84"/>
    </row>
    <row r="107" spans="2:106" ht="11.25" customHeight="1">
      <c r="B107" s="78"/>
      <c r="C107" s="79"/>
      <c r="D107" s="79"/>
      <c r="E107" s="79"/>
      <c r="F107" s="79"/>
      <c r="G107" s="79"/>
      <c r="H107" s="79" t="s">
        <v>498</v>
      </c>
      <c r="I107" s="79"/>
      <c r="J107" s="79"/>
      <c r="K107" s="79"/>
      <c r="L107" s="79"/>
      <c r="M107" s="79"/>
      <c r="N107" s="79"/>
      <c r="O107" s="79" t="s">
        <v>604</v>
      </c>
      <c r="P107" s="79"/>
      <c r="Q107" s="79" t="str">
        <f>TEXT(CZ30,"#,###.##")</f>
        <v>414.</v>
      </c>
      <c r="R107" s="79"/>
      <c r="S107" s="79"/>
      <c r="T107" s="79"/>
      <c r="U107" s="79" t="s">
        <v>148</v>
      </c>
      <c r="V107" s="79"/>
      <c r="W107" s="79" t="str">
        <f>TEXT(CZ102,"#,###.##")</f>
        <v>919.6</v>
      </c>
      <c r="X107" s="79"/>
      <c r="Y107" s="79"/>
      <c r="Z107" s="79"/>
      <c r="AA107" s="79"/>
      <c r="AB107" s="79"/>
      <c r="AC107" s="79" t="s">
        <v>309</v>
      </c>
      <c r="AD107" s="79"/>
      <c r="AE107" s="79"/>
      <c r="AF107" s="79" t="str">
        <f>TEXT(TRUNC(CZ30+CZ102,0),"#,##0")</f>
        <v>1,333</v>
      </c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85"/>
      <c r="CY107" s="85"/>
      <c r="CZ107" s="85"/>
      <c r="DA107" s="86"/>
      <c r="DB107" s="84"/>
    </row>
    <row r="108" spans="2:106" ht="11.25" customHeight="1">
      <c r="B108" s="78"/>
      <c r="C108" s="79"/>
      <c r="D108" s="79"/>
      <c r="E108" s="79"/>
      <c r="F108" s="79"/>
      <c r="G108" s="79"/>
      <c r="H108" s="79" t="s">
        <v>160</v>
      </c>
      <c r="I108" s="79"/>
      <c r="J108" s="79"/>
      <c r="K108" s="79"/>
      <c r="L108" s="79" t="s">
        <v>440</v>
      </c>
      <c r="M108" s="79"/>
      <c r="N108" s="79"/>
      <c r="O108" s="79" t="s">
        <v>604</v>
      </c>
      <c r="P108" s="79"/>
      <c r="Q108" s="79" t="str">
        <f>TEXT(TRUNC(DA102,0),"#,##0")</f>
        <v>1,640</v>
      </c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85"/>
      <c r="CY108" s="85"/>
      <c r="CZ108" s="85"/>
      <c r="DA108" s="86"/>
      <c r="DB108" s="84"/>
    </row>
    <row r="109" spans="2:106" ht="11.25" customHeight="1">
      <c r="B109" s="78"/>
      <c r="C109" s="79"/>
      <c r="D109" s="79"/>
      <c r="E109" s="79"/>
      <c r="F109" s="79"/>
      <c r="G109" s="79"/>
      <c r="H109" s="79"/>
      <c r="I109" s="79"/>
      <c r="J109" s="79" t="s">
        <v>436</v>
      </c>
      <c r="K109" s="79"/>
      <c r="L109" s="79"/>
      <c r="M109" s="79"/>
      <c r="N109" s="79"/>
      <c r="O109" s="79" t="s">
        <v>604</v>
      </c>
      <c r="P109" s="79"/>
      <c r="Q109" s="79"/>
      <c r="R109" s="79" t="str">
        <f>TEXT(AJ106+AF107+Q108,"#,##0")</f>
        <v>7,028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89">
        <f>CY109+CZ109+DA109</f>
        <v>7028</v>
      </c>
      <c r="CY109" s="85" t="str">
        <f>TEXT(AJ106,"#,##0")</f>
        <v>4,055</v>
      </c>
      <c r="CZ109" s="85" t="str">
        <f>TEXT(AF107,"#,##0")</f>
        <v>1,333</v>
      </c>
      <c r="DA109" s="86" t="str">
        <f>TEXT(Q108,"#,##0")</f>
        <v>1,640</v>
      </c>
      <c r="DB109" s="84"/>
    </row>
    <row r="110" spans="2:106" ht="11.25" customHeight="1">
      <c r="B110" s="78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85"/>
      <c r="CY110" s="85"/>
      <c r="CZ110" s="85"/>
      <c r="DA110" s="86"/>
      <c r="DB110" s="84"/>
    </row>
    <row r="111" spans="2:106" ht="11.25" customHeight="1">
      <c r="B111" s="81" t="s">
        <v>17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82">
        <f>CX176</f>
        <v>27483</v>
      </c>
      <c r="CY111" s="82" t="str">
        <f>CY176</f>
        <v>3,185</v>
      </c>
      <c r="CZ111" s="82" t="str">
        <f>CZ176</f>
        <v>23,913</v>
      </c>
      <c r="DA111" s="83" t="str">
        <f>DA176</f>
        <v>385</v>
      </c>
      <c r="DB111" s="84"/>
    </row>
    <row r="112" spans="2:106" ht="11.25" customHeight="1">
      <c r="B112" s="78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85"/>
      <c r="CY112" s="85"/>
      <c r="CZ112" s="85"/>
      <c r="DA112" s="86"/>
      <c r="DB112" s="84"/>
    </row>
    <row r="113" spans="2:106" ht="11.25" customHeight="1">
      <c r="B113" s="78"/>
      <c r="C113" s="79"/>
      <c r="D113" s="79" t="s">
        <v>777</v>
      </c>
      <c r="E113" s="79"/>
      <c r="F113" s="79"/>
      <c r="G113" s="79" t="s">
        <v>422</v>
      </c>
      <c r="H113" s="79"/>
      <c r="I113" s="79"/>
      <c r="J113" s="79"/>
      <c r="K113" s="79" t="s">
        <v>6</v>
      </c>
      <c r="L113" s="79"/>
      <c r="M113" s="79"/>
      <c r="N113" s="79" t="s">
        <v>650</v>
      </c>
      <c r="O113" s="79"/>
      <c r="P113" s="79"/>
      <c r="Q113" s="79"/>
      <c r="R113" s="79"/>
      <c r="S113" s="79"/>
      <c r="T113" s="79"/>
      <c r="U113" s="79"/>
      <c r="V113" s="79"/>
      <c r="W113" s="79" t="s">
        <v>604</v>
      </c>
      <c r="X113" s="79"/>
      <c r="Y113" s="79" t="s">
        <v>684</v>
      </c>
      <c r="Z113" s="79"/>
      <c r="AA113" s="79"/>
      <c r="AB113" s="79"/>
      <c r="AC113" s="79"/>
      <c r="AD113" s="79" t="s">
        <v>225</v>
      </c>
      <c r="AE113" s="79" t="s">
        <v>23</v>
      </c>
      <c r="AF113" s="79" t="s">
        <v>90</v>
      </c>
      <c r="AG113" s="79"/>
      <c r="AH113" s="79" t="s">
        <v>23</v>
      </c>
      <c r="AI113" s="79" t="s">
        <v>392</v>
      </c>
      <c r="AJ113" s="79"/>
      <c r="AK113" s="79" t="s">
        <v>385</v>
      </c>
      <c r="AL113" s="79"/>
      <c r="AM113" s="79"/>
      <c r="AN113" s="79"/>
      <c r="AO113" s="79"/>
      <c r="AP113" s="79"/>
      <c r="AQ113" s="79"/>
      <c r="AR113" s="79"/>
      <c r="AS113" s="79" t="s">
        <v>431</v>
      </c>
      <c r="AT113" s="79" t="s">
        <v>486</v>
      </c>
      <c r="AU113" s="79"/>
      <c r="AV113" s="79"/>
      <c r="AW113" s="79"/>
      <c r="AX113" s="79"/>
      <c r="AY113" s="79"/>
      <c r="AZ113" s="79"/>
      <c r="BA113" s="79"/>
      <c r="BB113" s="79" t="s">
        <v>89</v>
      </c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85"/>
      <c r="CY113" s="85"/>
      <c r="CZ113" s="85"/>
      <c r="DA113" s="86"/>
      <c r="DB113" s="84"/>
    </row>
    <row r="114" spans="2:106" ht="11.25" customHeight="1">
      <c r="B114" s="78"/>
      <c r="C114" s="79"/>
      <c r="D114" s="79"/>
      <c r="E114" s="79"/>
      <c r="F114" s="79" t="s">
        <v>431</v>
      </c>
      <c r="G114" s="79" t="s">
        <v>58</v>
      </c>
      <c r="H114" s="79"/>
      <c r="I114" s="79"/>
      <c r="J114" s="79"/>
      <c r="K114" s="79"/>
      <c r="L114" s="79"/>
      <c r="M114" s="79"/>
      <c r="N114" s="79" t="s">
        <v>586</v>
      </c>
      <c r="O114" s="79"/>
      <c r="P114" s="79"/>
      <c r="Q114" s="79"/>
      <c r="R114" s="79"/>
      <c r="S114" s="79"/>
      <c r="T114" s="79"/>
      <c r="U114" s="79"/>
      <c r="V114" s="79"/>
      <c r="W114" s="79" t="s">
        <v>299</v>
      </c>
      <c r="X114" s="79"/>
      <c r="Y114" s="79"/>
      <c r="Z114" s="79"/>
      <c r="AA114" s="79"/>
      <c r="AB114" s="79" t="s">
        <v>284</v>
      </c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 t="s">
        <v>581</v>
      </c>
      <c r="AP114" s="79"/>
      <c r="AQ114" s="79"/>
      <c r="AR114" s="79"/>
      <c r="AS114" s="79"/>
      <c r="AT114" s="79"/>
      <c r="AU114" s="79"/>
      <c r="AV114" s="79"/>
      <c r="AW114" s="79"/>
      <c r="AX114" s="79" t="s">
        <v>519</v>
      </c>
      <c r="AY114" s="79"/>
      <c r="AZ114" s="79"/>
      <c r="BA114" s="79"/>
      <c r="BB114" s="79"/>
      <c r="BC114" s="79"/>
      <c r="BD114" s="79"/>
      <c r="BE114" s="79"/>
      <c r="BF114" s="79"/>
      <c r="BG114" s="79" t="s">
        <v>186</v>
      </c>
      <c r="BH114" s="79"/>
      <c r="BI114" s="79"/>
      <c r="BJ114" s="79"/>
      <c r="BK114" s="79"/>
      <c r="BL114" s="79" t="s">
        <v>400</v>
      </c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 t="s">
        <v>141</v>
      </c>
      <c r="BX114" s="79"/>
      <c r="BY114" s="79"/>
      <c r="BZ114" s="79"/>
      <c r="CA114" s="79"/>
      <c r="CB114" s="79"/>
      <c r="CC114" s="79"/>
      <c r="CD114" s="79"/>
      <c r="CE114" s="79" t="s">
        <v>587</v>
      </c>
      <c r="CF114" s="79" t="s">
        <v>89</v>
      </c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85"/>
      <c r="CY114" s="85"/>
      <c r="CZ114" s="85"/>
      <c r="DA114" s="86"/>
      <c r="DB114" s="84"/>
    </row>
    <row r="115" spans="2:106" ht="11.25" customHeight="1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85"/>
      <c r="CY115" s="85"/>
      <c r="CZ115" s="85"/>
      <c r="DA115" s="86"/>
      <c r="DB115" s="84"/>
    </row>
    <row r="116" spans="2:106" ht="11.25" customHeight="1">
      <c r="B116" s="78"/>
      <c r="C116" s="79"/>
      <c r="D116" s="79"/>
      <c r="E116" s="79"/>
      <c r="F116" s="79"/>
      <c r="G116" s="79" t="s">
        <v>111</v>
      </c>
      <c r="H116" s="79"/>
      <c r="I116" s="79"/>
      <c r="J116" s="79"/>
      <c r="K116" s="79"/>
      <c r="L116" s="79" t="s">
        <v>504</v>
      </c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 t="s">
        <v>604</v>
      </c>
      <c r="X116" s="79"/>
      <c r="Y116" s="79" t="s">
        <v>262</v>
      </c>
      <c r="Z116" s="79"/>
      <c r="AA116" s="79"/>
      <c r="AB116" s="79" t="s">
        <v>309</v>
      </c>
      <c r="AC116" s="79"/>
      <c r="AD116" s="79" t="str">
        <f>TEXT(500,"#,##0.#######")</f>
        <v>500.</v>
      </c>
      <c r="AE116" s="79"/>
      <c r="AF116" s="79"/>
      <c r="AG116" s="79" t="s">
        <v>596</v>
      </c>
      <c r="AH116" s="79"/>
      <c r="AI116" s="79" t="s">
        <v>123</v>
      </c>
      <c r="AJ116" s="79" t="s">
        <v>748</v>
      </c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85"/>
      <c r="CY116" s="85"/>
      <c r="CZ116" s="85"/>
      <c r="DA116" s="86"/>
      <c r="DB116" s="84"/>
    </row>
    <row r="117" spans="2:106" ht="11.25" customHeight="1">
      <c r="B117" s="78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85"/>
      <c r="CY117" s="85"/>
      <c r="CZ117" s="85"/>
      <c r="DA117" s="86"/>
      <c r="DB117" s="84"/>
    </row>
    <row r="118" spans="2:106" ht="11.25" customHeight="1">
      <c r="B118" s="78"/>
      <c r="C118" s="79"/>
      <c r="D118" s="79" t="s">
        <v>401</v>
      </c>
      <c r="E118" s="79"/>
      <c r="F118" s="79"/>
      <c r="G118" s="79" t="s">
        <v>498</v>
      </c>
      <c r="H118" s="79"/>
      <c r="I118" s="79"/>
      <c r="J118" s="79"/>
      <c r="K118" s="79"/>
      <c r="L118" s="79"/>
      <c r="M118" s="79"/>
      <c r="N118" s="79"/>
      <c r="O118" s="79" t="s">
        <v>308</v>
      </c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85"/>
      <c r="CY118" s="85"/>
      <c r="CZ118" s="85"/>
      <c r="DA118" s="86"/>
      <c r="DB118" s="84"/>
    </row>
    <row r="119" spans="2:106" ht="11.25" customHeight="1">
      <c r="B119" s="78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85"/>
      <c r="CY119" s="85"/>
      <c r="CZ119" s="85"/>
      <c r="DA119" s="86"/>
      <c r="DB119" s="84"/>
    </row>
    <row r="120" spans="2:106" ht="11.25" customHeight="1">
      <c r="B120" s="78"/>
      <c r="C120" s="79"/>
      <c r="D120" s="79"/>
      <c r="E120" s="79"/>
      <c r="F120" s="79"/>
      <c r="G120" s="79" t="s">
        <v>373</v>
      </c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 t="s">
        <v>662</v>
      </c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 t="str">
        <f>TEXT(자재단가!R13,"#,##0.#######")</f>
        <v>4,550.</v>
      </c>
      <c r="BC120" s="79"/>
      <c r="BD120" s="79"/>
      <c r="BE120" s="79"/>
      <c r="BF120" s="79"/>
      <c r="BG120" s="79"/>
      <c r="BH120" s="79"/>
      <c r="BI120" s="79"/>
      <c r="BJ120" s="79" t="s">
        <v>699</v>
      </c>
      <c r="BK120" s="79"/>
      <c r="BL120" s="79"/>
      <c r="BM120" s="79" t="str">
        <f>TEXT(4.53,"#,##0.#######")</f>
        <v>4.53</v>
      </c>
      <c r="BN120" s="79"/>
      <c r="BO120" s="79"/>
      <c r="BP120" s="79"/>
      <c r="BQ120" s="79" t="s">
        <v>477</v>
      </c>
      <c r="BR120" s="79"/>
      <c r="BS120" s="79"/>
      <c r="BT120" s="79" t="s">
        <v>309</v>
      </c>
      <c r="BU120" s="79"/>
      <c r="BV120" s="79" t="str">
        <f>TEXT(TRUNC(BB120*BM120,1),"#,##0.#######")</f>
        <v>20,611.5</v>
      </c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85"/>
      <c r="CY120" s="85"/>
      <c r="CZ120" s="85"/>
      <c r="DA120" s="86"/>
      <c r="DB120" s="84"/>
    </row>
    <row r="121" spans="2:106" ht="11.25" customHeight="1">
      <c r="B121" s="78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85"/>
      <c r="CY121" s="85"/>
      <c r="CZ121" s="85"/>
      <c r="DA121" s="86"/>
      <c r="DB121" s="84"/>
    </row>
    <row r="122" spans="2:106" ht="11.25" customHeight="1">
      <c r="B122" s="78"/>
      <c r="C122" s="79"/>
      <c r="D122" s="79"/>
      <c r="E122" s="79"/>
      <c r="F122" s="79"/>
      <c r="G122" s="79" t="s">
        <v>558</v>
      </c>
      <c r="H122" s="79"/>
      <c r="I122" s="79"/>
      <c r="J122" s="79"/>
      <c r="K122" s="79"/>
      <c r="L122" s="79"/>
      <c r="M122" s="79"/>
      <c r="N122" s="79"/>
      <c r="O122" s="79"/>
      <c r="P122" s="79" t="s">
        <v>144</v>
      </c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 t="str">
        <f>TEXT(자재단가!R14,"#,##0.#######")</f>
        <v>5,000.</v>
      </c>
      <c r="AF122" s="79"/>
      <c r="AG122" s="79"/>
      <c r="AH122" s="79"/>
      <c r="AI122" s="79"/>
      <c r="AJ122" s="79"/>
      <c r="AK122" s="79"/>
      <c r="AL122" s="79"/>
      <c r="AM122" s="79" t="s">
        <v>699</v>
      </c>
      <c r="AN122" s="79"/>
      <c r="AO122" s="79"/>
      <c r="AP122" s="79" t="str">
        <f>TEXT(0.31,"#,##0.#######")</f>
        <v>0.31</v>
      </c>
      <c r="AQ122" s="79"/>
      <c r="AR122" s="79"/>
      <c r="AS122" s="79"/>
      <c r="AT122" s="79" t="s">
        <v>477</v>
      </c>
      <c r="AU122" s="79"/>
      <c r="AV122" s="79"/>
      <c r="AW122" s="79" t="s">
        <v>309</v>
      </c>
      <c r="AX122" s="79"/>
      <c r="AY122" s="79" t="str">
        <f>TEXT(TRUNC(AE122*AP122,1),"#,##0.#######")</f>
        <v>1,550.</v>
      </c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85"/>
      <c r="CY122" s="85"/>
      <c r="CZ122" s="85"/>
      <c r="DA122" s="86"/>
      <c r="DB122" s="84"/>
    </row>
    <row r="123" spans="2:106" ht="11.25" customHeight="1">
      <c r="B123" s="78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85"/>
      <c r="CY123" s="85"/>
      <c r="CZ123" s="85"/>
      <c r="DA123" s="86"/>
      <c r="DB123" s="84"/>
    </row>
    <row r="124" spans="2:106" ht="11.25" customHeight="1">
      <c r="B124" s="78"/>
      <c r="C124" s="79"/>
      <c r="D124" s="79"/>
      <c r="E124" s="79"/>
      <c r="F124" s="79"/>
      <c r="G124" s="79" t="s">
        <v>131</v>
      </c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 t="s">
        <v>585</v>
      </c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 t="str">
        <f>TEXT(자재단가!R15,"#,##0.#######")</f>
        <v>4,500.</v>
      </c>
      <c r="AQ124" s="79"/>
      <c r="AR124" s="79"/>
      <c r="AS124" s="79"/>
      <c r="AT124" s="79"/>
      <c r="AU124" s="79"/>
      <c r="AV124" s="79"/>
      <c r="AW124" s="79"/>
      <c r="AX124" s="79" t="s">
        <v>699</v>
      </c>
      <c r="AY124" s="79"/>
      <c r="AZ124" s="79"/>
      <c r="BA124" s="79" t="str">
        <f>TEXT(0.2,"#,##0.#######")</f>
        <v>0.2</v>
      </c>
      <c r="BB124" s="79"/>
      <c r="BC124" s="79"/>
      <c r="BD124" s="79"/>
      <c r="BE124" s="79" t="s">
        <v>477</v>
      </c>
      <c r="BF124" s="79"/>
      <c r="BG124" s="79"/>
      <c r="BH124" s="79" t="s">
        <v>309</v>
      </c>
      <c r="BI124" s="79"/>
      <c r="BJ124" s="79" t="str">
        <f>TEXT(TRUNC(AP124*BA124,1),"#,##0.#######")</f>
        <v>900.</v>
      </c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85"/>
      <c r="CY124" s="85"/>
      <c r="CZ124" s="85"/>
      <c r="DA124" s="86"/>
      <c r="DB124" s="84"/>
    </row>
    <row r="125" spans="2:106" ht="11.25" customHeight="1">
      <c r="B125" s="78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85"/>
      <c r="CY125" s="85"/>
      <c r="CZ125" s="85"/>
      <c r="DA125" s="86"/>
      <c r="DB125" s="84"/>
    </row>
    <row r="126" spans="2:106" ht="11.25" customHeight="1">
      <c r="B126" s="78"/>
      <c r="C126" s="79"/>
      <c r="D126" s="79"/>
      <c r="E126" s="79"/>
      <c r="F126" s="79"/>
      <c r="G126" s="79" t="s">
        <v>533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 t="s">
        <v>7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 t="str">
        <f>TEXT(자재단가!R16,"#,##0.#######")</f>
        <v>1,887.</v>
      </c>
      <c r="AE126" s="79"/>
      <c r="AF126" s="79"/>
      <c r="AG126" s="79"/>
      <c r="AH126" s="79"/>
      <c r="AI126" s="79"/>
      <c r="AJ126" s="79"/>
      <c r="AK126" s="79"/>
      <c r="AL126" s="79" t="s">
        <v>699</v>
      </c>
      <c r="AM126" s="79"/>
      <c r="AN126" s="79"/>
      <c r="AO126" s="79" t="str">
        <f>TEXT(0.2,"#,##0.#######")</f>
        <v>0.2</v>
      </c>
      <c r="AP126" s="79"/>
      <c r="AQ126" s="79"/>
      <c r="AR126" s="79"/>
      <c r="AS126" s="79" t="s">
        <v>477</v>
      </c>
      <c r="AT126" s="79"/>
      <c r="AU126" s="79"/>
      <c r="AV126" s="79" t="s">
        <v>309</v>
      </c>
      <c r="AW126" s="79"/>
      <c r="AX126" s="79" t="str">
        <f>TEXT(TRUNC(AD126*AO126,1),"#,##0.#######")</f>
        <v>377.4</v>
      </c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85"/>
      <c r="CY126" s="85"/>
      <c r="CZ126" s="85"/>
      <c r="DA126" s="86"/>
      <c r="DB126" s="84"/>
    </row>
    <row r="127" spans="2:106" ht="11.25" customHeight="1">
      <c r="B127" s="78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85"/>
      <c r="CY127" s="85"/>
      <c r="CZ127" s="85"/>
      <c r="DA127" s="86"/>
      <c r="DB127" s="84"/>
    </row>
    <row r="128" spans="2:106" ht="11.25" customHeight="1">
      <c r="B128" s="78"/>
      <c r="C128" s="79"/>
      <c r="D128" s="79"/>
      <c r="E128" s="79"/>
      <c r="F128" s="79"/>
      <c r="G128" s="79" t="s">
        <v>195</v>
      </c>
      <c r="H128" s="79"/>
      <c r="I128" s="79"/>
      <c r="J128" s="79"/>
      <c r="K128" s="79"/>
      <c r="L128" s="79"/>
      <c r="M128" s="79"/>
      <c r="N128" s="79"/>
      <c r="O128" s="79"/>
      <c r="P128" s="79" t="s">
        <v>604</v>
      </c>
      <c r="Q128" s="79"/>
      <c r="R128" s="79" t="str">
        <f>TEXT(TRUNC(BV120+AY122+BJ124+AX126,1),"#,##0.#######")</f>
        <v>23,438.9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85"/>
      <c r="CY128" s="85"/>
      <c r="CZ128" s="85" t="str">
        <f>R128</f>
        <v>23,438.9</v>
      </c>
      <c r="DA128" s="86"/>
      <c r="DB128" s="84"/>
    </row>
    <row r="129" spans="2:106" ht="11.25" customHeight="1">
      <c r="B129" s="78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85"/>
      <c r="CY129" s="85"/>
      <c r="CZ129" s="85"/>
      <c r="DA129" s="86"/>
      <c r="DB129" s="84"/>
    </row>
    <row r="130" spans="2:106" ht="11.25" customHeight="1">
      <c r="B130" s="78"/>
      <c r="C130" s="79"/>
      <c r="D130" s="79" t="s">
        <v>594</v>
      </c>
      <c r="E130" s="79"/>
      <c r="F130" s="79"/>
      <c r="G130" s="79" t="s">
        <v>406</v>
      </c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85"/>
      <c r="CY130" s="85"/>
      <c r="CZ130" s="85"/>
      <c r="DA130" s="86"/>
      <c r="DB130" s="84"/>
    </row>
    <row r="131" spans="2:106" ht="11.25" customHeight="1">
      <c r="B131" s="78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85"/>
      <c r="CY131" s="85"/>
      <c r="CZ131" s="85"/>
      <c r="DA131" s="86"/>
      <c r="DB131" s="84"/>
    </row>
    <row r="132" spans="2:106" ht="11.25" customHeight="1">
      <c r="B132" s="78"/>
      <c r="C132" s="79"/>
      <c r="D132" s="79"/>
      <c r="E132" s="79"/>
      <c r="F132" s="79"/>
      <c r="G132" s="79" t="s">
        <v>43</v>
      </c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 t="s">
        <v>604</v>
      </c>
      <c r="S132" s="79"/>
      <c r="T132" s="79" t="str">
        <f>TEXT(노임단가!F9,"#,##0")</f>
        <v>226,122</v>
      </c>
      <c r="U132" s="79"/>
      <c r="V132" s="79"/>
      <c r="W132" s="79"/>
      <c r="X132" s="79"/>
      <c r="Y132" s="79"/>
      <c r="Z132" s="79"/>
      <c r="AA132" s="79"/>
      <c r="AB132" s="79"/>
      <c r="AC132" s="79"/>
      <c r="AD132" s="79" t="s">
        <v>699</v>
      </c>
      <c r="AE132" s="79"/>
      <c r="AF132" s="79"/>
      <c r="AG132" s="79" t="str">
        <f>TEXT(2,"#,##0.#######")</f>
        <v>2.</v>
      </c>
      <c r="AH132" s="79" t="s">
        <v>767</v>
      </c>
      <c r="AI132" s="79"/>
      <c r="AJ132" s="79"/>
      <c r="AK132" s="79" t="s">
        <v>391</v>
      </c>
      <c r="AL132" s="79"/>
      <c r="AM132" s="79"/>
      <c r="AN132" s="79" t="s">
        <v>262</v>
      </c>
      <c r="AO132" s="79"/>
      <c r="AP132" s="79"/>
      <c r="AQ132" s="79" t="s">
        <v>309</v>
      </c>
      <c r="AR132" s="79"/>
      <c r="AS132" s="79" t="str">
        <f>TEXT(T132,"#,##0.#######")</f>
        <v>226,122.</v>
      </c>
      <c r="AT132" s="79"/>
      <c r="AU132" s="79"/>
      <c r="AV132" s="79"/>
      <c r="AW132" s="79"/>
      <c r="AX132" s="79"/>
      <c r="AY132" s="79"/>
      <c r="AZ132" s="79"/>
      <c r="BA132" s="79" t="s">
        <v>699</v>
      </c>
      <c r="BB132" s="79"/>
      <c r="BC132" s="79"/>
      <c r="BD132" s="79" t="str">
        <f>TEXT(AG132,"#,##0.#######")</f>
        <v>2.</v>
      </c>
      <c r="BE132" s="79"/>
      <c r="BF132" s="79" t="s">
        <v>391</v>
      </c>
      <c r="BG132" s="79"/>
      <c r="BH132" s="79"/>
      <c r="BI132" s="79" t="str">
        <f>TEXT(AD116,"#,##0.#######")</f>
        <v>500.</v>
      </c>
      <c r="BJ132" s="79"/>
      <c r="BK132" s="79"/>
      <c r="BL132" s="79"/>
      <c r="BM132" s="79" t="s">
        <v>309</v>
      </c>
      <c r="BN132" s="79"/>
      <c r="BO132" s="79" t="str">
        <f>TEXT(TRUNC(T132*AG132/AD116,1),"#,##0.#######")</f>
        <v>904.4</v>
      </c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85"/>
      <c r="CY132" s="85"/>
      <c r="CZ132" s="85"/>
      <c r="DA132" s="86"/>
      <c r="DB132" s="84"/>
    </row>
    <row r="133" spans="2:106" ht="11.25" customHeight="1">
      <c r="B133" s="78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85"/>
      <c r="CY133" s="85"/>
      <c r="CZ133" s="85"/>
      <c r="DA133" s="86"/>
      <c r="DB133" s="84"/>
    </row>
    <row r="134" spans="2:106" ht="11.25" customHeight="1">
      <c r="B134" s="78"/>
      <c r="C134" s="79"/>
      <c r="D134" s="79"/>
      <c r="E134" s="79"/>
      <c r="F134" s="79"/>
      <c r="G134" s="79" t="s">
        <v>54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 t="s">
        <v>604</v>
      </c>
      <c r="S134" s="79"/>
      <c r="T134" s="79"/>
      <c r="U134" s="79" t="str">
        <f>TEXT(노임단가!F5,"#,##0")</f>
        <v>172,068</v>
      </c>
      <c r="V134" s="79"/>
      <c r="W134" s="79"/>
      <c r="X134" s="79"/>
      <c r="Y134" s="79"/>
      <c r="Z134" s="79"/>
      <c r="AA134" s="79"/>
      <c r="AB134" s="79"/>
      <c r="AC134" s="79"/>
      <c r="AD134" s="79"/>
      <c r="AE134" s="79" t="s">
        <v>699</v>
      </c>
      <c r="AF134" s="79"/>
      <c r="AG134" s="79"/>
      <c r="AH134" s="79" t="str">
        <f>TEXT(2,"#,##0.#######")</f>
        <v>2.</v>
      </c>
      <c r="AI134" s="79" t="s">
        <v>767</v>
      </c>
      <c r="AJ134" s="79"/>
      <c r="AK134" s="79"/>
      <c r="AL134" s="79" t="s">
        <v>391</v>
      </c>
      <c r="AM134" s="79"/>
      <c r="AN134" s="79"/>
      <c r="AO134" s="79" t="s">
        <v>262</v>
      </c>
      <c r="AP134" s="79"/>
      <c r="AQ134" s="79"/>
      <c r="AR134" s="79" t="s">
        <v>309</v>
      </c>
      <c r="AS134" s="79"/>
      <c r="AT134" s="79"/>
      <c r="AU134" s="79" t="str">
        <f>TEXT(U134,"#,##0.#######")</f>
        <v>172,068.</v>
      </c>
      <c r="AV134" s="79"/>
      <c r="AW134" s="79"/>
      <c r="AX134" s="79"/>
      <c r="AY134" s="79"/>
      <c r="AZ134" s="79"/>
      <c r="BA134" s="79"/>
      <c r="BB134" s="79"/>
      <c r="BC134" s="79" t="s">
        <v>699</v>
      </c>
      <c r="BD134" s="79"/>
      <c r="BE134" s="79"/>
      <c r="BF134" s="79" t="str">
        <f>TEXT(AH134,"#,##0.#######")</f>
        <v>2.</v>
      </c>
      <c r="BG134" s="79"/>
      <c r="BH134" s="79" t="s">
        <v>391</v>
      </c>
      <c r="BI134" s="79"/>
      <c r="BJ134" s="79"/>
      <c r="BK134" s="79" t="str">
        <f>TEXT(AD116,"#,##0.#######")</f>
        <v>500.</v>
      </c>
      <c r="BL134" s="79"/>
      <c r="BM134" s="79"/>
      <c r="BN134" s="79"/>
      <c r="BO134" s="79" t="s">
        <v>309</v>
      </c>
      <c r="BP134" s="79"/>
      <c r="BQ134" s="79" t="str">
        <f>TEXT(TRUNC(U134*AH134/AD116,1),"#,##0.#######")</f>
        <v>688.2</v>
      </c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85"/>
      <c r="CY134" s="85"/>
      <c r="CZ134" s="85"/>
      <c r="DA134" s="86"/>
      <c r="DB134" s="84"/>
    </row>
    <row r="135" spans="2:106" ht="11.25" customHeight="1">
      <c r="B135" s="78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85"/>
      <c r="CY135" s="85"/>
      <c r="CZ135" s="85"/>
      <c r="DA135" s="86"/>
      <c r="DB135" s="84"/>
    </row>
    <row r="136" spans="2:106" ht="11.25" customHeight="1">
      <c r="B136" s="78"/>
      <c r="C136" s="79"/>
      <c r="D136" s="79"/>
      <c r="E136" s="79"/>
      <c r="F136" s="79"/>
      <c r="G136" s="79" t="s">
        <v>565</v>
      </c>
      <c r="H136" s="79"/>
      <c r="I136" s="79"/>
      <c r="J136" s="79"/>
      <c r="K136" s="79"/>
      <c r="L136" s="79"/>
      <c r="M136" s="79"/>
      <c r="N136" s="79"/>
      <c r="O136" s="79"/>
      <c r="P136" s="79" t="s">
        <v>604</v>
      </c>
      <c r="Q136" s="79"/>
      <c r="R136" s="79" t="str">
        <f>TEXT(TRUNC(BO132+BQ134,1),"#,##0.#######")</f>
        <v>1,592.6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85"/>
      <c r="CY136" s="85" t="str">
        <f>R136</f>
        <v>1,592.6</v>
      </c>
      <c r="CZ136" s="85"/>
      <c r="DA136" s="86"/>
      <c r="DB136" s="84"/>
    </row>
    <row r="137" spans="2:106" ht="11.25" customHeight="1">
      <c r="B137" s="78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85"/>
      <c r="CY137" s="85"/>
      <c r="CZ137" s="85"/>
      <c r="DA137" s="86"/>
      <c r="DB137" s="84"/>
    </row>
    <row r="138" spans="2:106" ht="11.25" customHeight="1">
      <c r="B138" s="78"/>
      <c r="C138" s="79"/>
      <c r="D138" s="79" t="s">
        <v>832</v>
      </c>
      <c r="E138" s="79"/>
      <c r="F138" s="79"/>
      <c r="G138" s="79" t="s">
        <v>200</v>
      </c>
      <c r="H138" s="79"/>
      <c r="I138" s="79"/>
      <c r="J138" s="79"/>
      <c r="K138" s="79"/>
      <c r="L138" s="79"/>
      <c r="M138" s="79"/>
      <c r="N138" s="79"/>
      <c r="O138" s="79" t="s">
        <v>431</v>
      </c>
      <c r="P138" s="79" t="s">
        <v>130</v>
      </c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 t="s">
        <v>225</v>
      </c>
      <c r="AB138" s="79" t="s">
        <v>157</v>
      </c>
      <c r="AC138" s="79" t="s">
        <v>89</v>
      </c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85"/>
      <c r="CY138" s="85"/>
      <c r="CZ138" s="85"/>
      <c r="DA138" s="86"/>
      <c r="DB138" s="84"/>
    </row>
    <row r="139" spans="2:106" ht="11.25" customHeight="1">
      <c r="B139" s="78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85"/>
      <c r="CY139" s="85"/>
      <c r="CZ139" s="85"/>
      <c r="DA139" s="86"/>
      <c r="DB139" s="84"/>
    </row>
    <row r="140" spans="2:106" ht="11.25" customHeight="1">
      <c r="B140" s="78"/>
      <c r="C140" s="79"/>
      <c r="D140" s="79"/>
      <c r="E140" s="79"/>
      <c r="F140" s="79"/>
      <c r="G140" s="79" t="str">
        <f>R128</f>
        <v>23,438.9</v>
      </c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 t="s">
        <v>699</v>
      </c>
      <c r="S140" s="79"/>
      <c r="T140" s="79"/>
      <c r="U140" s="79" t="str">
        <f>TEXT(1,"#,##0.#######")</f>
        <v>1.</v>
      </c>
      <c r="V140" s="79" t="s">
        <v>157</v>
      </c>
      <c r="W140" s="79"/>
      <c r="X140" s="79" t="s">
        <v>309</v>
      </c>
      <c r="Y140" s="79"/>
      <c r="Z140" s="79" t="str">
        <f>TEXT(TRUNC(R128*(U140*(1/100)),1),"#,##0.#")</f>
        <v>234.3</v>
      </c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85">
        <f>CY140+CZ140+DA140</f>
        <v>234.3</v>
      </c>
      <c r="CY140" s="85"/>
      <c r="CZ140" s="85" t="str">
        <f>Z140</f>
        <v>234.3</v>
      </c>
      <c r="DA140" s="86"/>
      <c r="DB140" s="84"/>
    </row>
    <row r="141" spans="2:106" ht="11.25" customHeight="1">
      <c r="B141" s="78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85"/>
      <c r="CY141" s="85"/>
      <c r="CZ141" s="85"/>
      <c r="DA141" s="86"/>
      <c r="DB141" s="84"/>
    </row>
    <row r="142" spans="2:106" ht="11.25" customHeight="1">
      <c r="B142" s="78"/>
      <c r="C142" s="79"/>
      <c r="D142" s="79" t="s">
        <v>165</v>
      </c>
      <c r="E142" s="79"/>
      <c r="F142" s="79"/>
      <c r="G142" s="79" t="s">
        <v>446</v>
      </c>
      <c r="H142" s="79"/>
      <c r="I142" s="79"/>
      <c r="J142" s="79"/>
      <c r="K142" s="79"/>
      <c r="L142" s="79"/>
      <c r="M142" s="79"/>
      <c r="N142" s="79"/>
      <c r="O142" s="79"/>
      <c r="P142" s="79" t="s">
        <v>327</v>
      </c>
      <c r="Q142" s="79"/>
      <c r="R142" s="79"/>
      <c r="S142" s="79" t="s">
        <v>75</v>
      </c>
      <c r="T142" s="79"/>
      <c r="U142" s="79"/>
      <c r="V142" s="79"/>
      <c r="W142" s="79"/>
      <c r="X142" s="79"/>
      <c r="Y142" s="79" t="s">
        <v>431</v>
      </c>
      <c r="Z142" s="79" t="s">
        <v>117</v>
      </c>
      <c r="AA142" s="79"/>
      <c r="AB142" s="79"/>
      <c r="AC142" s="79"/>
      <c r="AD142" s="79"/>
      <c r="AE142" s="79"/>
      <c r="AF142" s="79"/>
      <c r="AG142" s="79"/>
      <c r="AH142" s="79" t="s">
        <v>716</v>
      </c>
      <c r="AI142" s="79"/>
      <c r="AJ142" s="79"/>
      <c r="AK142" s="79"/>
      <c r="AL142" s="79"/>
      <c r="AM142" s="79"/>
      <c r="AN142" s="79"/>
      <c r="AO142" s="79" t="s">
        <v>89</v>
      </c>
      <c r="AP142" s="79" t="s">
        <v>245</v>
      </c>
      <c r="AQ142" s="79"/>
      <c r="AR142" s="79"/>
      <c r="AS142" s="79" t="s">
        <v>106</v>
      </c>
      <c r="AT142" s="79"/>
      <c r="AU142" s="79"/>
      <c r="AV142" s="79"/>
      <c r="AW142" s="79"/>
      <c r="AX142" s="79"/>
      <c r="AY142" s="79"/>
      <c r="AZ142" s="79"/>
      <c r="BA142" s="79" t="s">
        <v>23</v>
      </c>
      <c r="BB142" s="79" t="s">
        <v>431</v>
      </c>
      <c r="BC142" s="79" t="s">
        <v>460</v>
      </c>
      <c r="BD142" s="79"/>
      <c r="BE142" s="79"/>
      <c r="BF142" s="79"/>
      <c r="BG142" s="79"/>
      <c r="BH142" s="79"/>
      <c r="BI142" s="79"/>
      <c r="BJ142" s="79"/>
      <c r="BK142" s="79"/>
      <c r="BL142" s="79" t="s">
        <v>90</v>
      </c>
      <c r="BM142" s="79"/>
      <c r="BN142" s="79" t="s">
        <v>157</v>
      </c>
      <c r="BO142" s="79" t="s">
        <v>89</v>
      </c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85"/>
      <c r="CY142" s="85"/>
      <c r="CZ142" s="85"/>
      <c r="DA142" s="86"/>
      <c r="DB142" s="84"/>
    </row>
    <row r="143" spans="2:106" ht="11.25" customHeight="1">
      <c r="B143" s="78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85"/>
      <c r="CY143" s="85"/>
      <c r="CZ143" s="85"/>
      <c r="DA143" s="86"/>
      <c r="DB143" s="84"/>
    </row>
    <row r="144" spans="2:106" ht="11.25" customHeight="1">
      <c r="B144" s="78"/>
      <c r="C144" s="79"/>
      <c r="D144" s="79"/>
      <c r="E144" s="79"/>
      <c r="F144" s="79"/>
      <c r="G144" s="79" t="str">
        <f>R136</f>
        <v>1,592.6</v>
      </c>
      <c r="H144" s="79"/>
      <c r="I144" s="79"/>
      <c r="J144" s="79"/>
      <c r="K144" s="79"/>
      <c r="L144" s="79"/>
      <c r="M144" s="79"/>
      <c r="N144" s="79"/>
      <c r="O144" s="79"/>
      <c r="P144" s="79"/>
      <c r="Q144" s="79" t="s">
        <v>699</v>
      </c>
      <c r="R144" s="79"/>
      <c r="S144" s="79"/>
      <c r="T144" s="79" t="str">
        <f>TEXT(10,"#,##0.#######")</f>
        <v>10.</v>
      </c>
      <c r="U144" s="79"/>
      <c r="V144" s="79" t="s">
        <v>157</v>
      </c>
      <c r="W144" s="79"/>
      <c r="X144" s="79" t="s">
        <v>309</v>
      </c>
      <c r="Y144" s="79"/>
      <c r="Z144" s="79" t="str">
        <f>TEXT(TRUNC(R136*(T144*(1/100)),1),"#,##0.#")</f>
        <v>159.2</v>
      </c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85">
        <f>CY144+CZ144+DA144</f>
        <v>159.19999999999999</v>
      </c>
      <c r="CY144" s="85"/>
      <c r="CZ144" s="85"/>
      <c r="DA144" s="86" t="str">
        <f>Z144</f>
        <v>159.2</v>
      </c>
      <c r="DB144" s="84"/>
    </row>
    <row r="145" spans="2:106" ht="11.25" customHeight="1">
      <c r="B145" s="78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85"/>
      <c r="CY145" s="85"/>
      <c r="CZ145" s="85"/>
      <c r="DA145" s="86"/>
      <c r="DB145" s="84"/>
    </row>
    <row r="146" spans="2:106" ht="11.25" customHeight="1">
      <c r="B146" s="78"/>
      <c r="C146" s="79"/>
      <c r="D146" s="79" t="s">
        <v>389</v>
      </c>
      <c r="E146" s="79"/>
      <c r="F146" s="79"/>
      <c r="G146" s="79" t="s">
        <v>106</v>
      </c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85"/>
      <c r="CY146" s="85"/>
      <c r="CZ146" s="85"/>
      <c r="DA146" s="86"/>
      <c r="DB146" s="84"/>
    </row>
    <row r="147" spans="2:106" ht="11.25" customHeight="1">
      <c r="B147" s="78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85"/>
      <c r="CY147" s="85"/>
      <c r="CZ147" s="85"/>
      <c r="DA147" s="86"/>
      <c r="DB147" s="84"/>
    </row>
    <row r="148" spans="2:106" ht="11.25" customHeight="1">
      <c r="B148" s="78"/>
      <c r="C148" s="79"/>
      <c r="D148" s="79"/>
      <c r="E148" s="79" t="s">
        <v>614</v>
      </c>
      <c r="F148" s="79"/>
      <c r="G148" s="79" t="s">
        <v>587</v>
      </c>
      <c r="H148" s="79"/>
      <c r="I148" s="79" t="s">
        <v>353</v>
      </c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 t="s">
        <v>116</v>
      </c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 t="s">
        <v>604</v>
      </c>
      <c r="AF148" s="79"/>
      <c r="AG148" s="79" t="s">
        <v>42</v>
      </c>
      <c r="AH148" s="79"/>
      <c r="AI148" s="79"/>
      <c r="AJ148" s="79"/>
      <c r="AK148" s="79"/>
      <c r="AL148" s="79"/>
      <c r="AM148" s="79"/>
      <c r="AN148" s="79" t="s">
        <v>100</v>
      </c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85"/>
      <c r="CY148" s="85"/>
      <c r="CZ148" s="85"/>
      <c r="DA148" s="86"/>
      <c r="DB148" s="84"/>
    </row>
    <row r="149" spans="2:106" ht="11.25" customHeight="1">
      <c r="B149" s="78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85"/>
      <c r="CY149" s="85"/>
      <c r="CZ149" s="85"/>
      <c r="DA149" s="86"/>
      <c r="DB149" s="84"/>
    </row>
    <row r="150" spans="2:106" ht="11.25" customHeight="1">
      <c r="B150" s="78"/>
      <c r="C150" s="79"/>
      <c r="D150" s="79"/>
      <c r="E150" s="79"/>
      <c r="F150" s="79"/>
      <c r="G150" s="79" t="s">
        <v>49</v>
      </c>
      <c r="H150" s="79"/>
      <c r="I150" s="79" t="s">
        <v>309</v>
      </c>
      <c r="J150" s="79"/>
      <c r="K150" s="79" t="s">
        <v>262</v>
      </c>
      <c r="L150" s="79"/>
      <c r="M150" s="79"/>
      <c r="N150" s="79" t="s">
        <v>391</v>
      </c>
      <c r="O150" s="79"/>
      <c r="P150" s="79"/>
      <c r="Q150" s="79" t="str">
        <f>TEXT(8,"#,##0.#######")</f>
        <v>8.</v>
      </c>
      <c r="R150" s="79" t="s">
        <v>598</v>
      </c>
      <c r="S150" s="79"/>
      <c r="T150" s="79"/>
      <c r="U150" s="79" t="s">
        <v>309</v>
      </c>
      <c r="V150" s="79"/>
      <c r="W150" s="79" t="str">
        <f>TEXT(AD116,"#,##0.#######")</f>
        <v>500.</v>
      </c>
      <c r="X150" s="79"/>
      <c r="Y150" s="79"/>
      <c r="Z150" s="79"/>
      <c r="AA150" s="79" t="s">
        <v>391</v>
      </c>
      <c r="AB150" s="79"/>
      <c r="AC150" s="79"/>
      <c r="AD150" s="79" t="str">
        <f>TEXT(Q150,"#,##0.#######")</f>
        <v>8.</v>
      </c>
      <c r="AE150" s="79"/>
      <c r="AF150" s="79" t="s">
        <v>309</v>
      </c>
      <c r="AG150" s="79"/>
      <c r="AH150" s="79" t="str">
        <f>TEXT(ROUND(AD116/Q150,2),"#,##0.#######")</f>
        <v>62.5</v>
      </c>
      <c r="AI150" s="79"/>
      <c r="AJ150" s="79"/>
      <c r="AK150" s="79"/>
      <c r="AL150" s="79"/>
      <c r="AM150" s="79"/>
      <c r="AN150" s="79" t="s">
        <v>596</v>
      </c>
      <c r="AO150" s="79"/>
      <c r="AP150" s="79" t="s">
        <v>123</v>
      </c>
      <c r="AQ150" s="79" t="s">
        <v>598</v>
      </c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85"/>
      <c r="CY150" s="85"/>
      <c r="CZ150" s="85"/>
      <c r="DA150" s="86"/>
      <c r="DB150" s="84"/>
    </row>
    <row r="151" spans="2:106" ht="11.25" customHeight="1">
      <c r="B151" s="78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85"/>
      <c r="CY151" s="85"/>
      <c r="CZ151" s="85"/>
      <c r="DA151" s="86"/>
      <c r="DB151" s="84"/>
    </row>
    <row r="152" spans="2:106" ht="11.25" customHeight="1">
      <c r="B152" s="78"/>
      <c r="C152" s="79"/>
      <c r="D152" s="79"/>
      <c r="E152" s="79"/>
      <c r="F152" s="79"/>
      <c r="G152" s="79" t="s">
        <v>700</v>
      </c>
      <c r="H152" s="79"/>
      <c r="I152" s="79"/>
      <c r="J152" s="79"/>
      <c r="K152" s="79"/>
      <c r="L152" s="79"/>
      <c r="M152" s="79"/>
      <c r="N152" s="79" t="s">
        <v>604</v>
      </c>
      <c r="O152" s="79"/>
      <c r="P152" s="79" t="str">
        <f>TEXT(기계경비총괄표!G13,"#,##0")</f>
        <v>49,778</v>
      </c>
      <c r="Q152" s="79"/>
      <c r="R152" s="79"/>
      <c r="S152" s="79"/>
      <c r="T152" s="79"/>
      <c r="U152" s="79"/>
      <c r="V152" s="79"/>
      <c r="W152" s="79"/>
      <c r="X152" s="79"/>
      <c r="Y152" s="79" t="s">
        <v>391</v>
      </c>
      <c r="Z152" s="79"/>
      <c r="AA152" s="79"/>
      <c r="AB152" s="79" t="str">
        <f>TEXT(AH150,"#,##0.#######")</f>
        <v>62.5</v>
      </c>
      <c r="AC152" s="79"/>
      <c r="AD152" s="79"/>
      <c r="AE152" s="79"/>
      <c r="AF152" s="79"/>
      <c r="AG152" s="79"/>
      <c r="AH152" s="79"/>
      <c r="AI152" s="79" t="s">
        <v>309</v>
      </c>
      <c r="AJ152" s="79"/>
      <c r="AK152" s="79"/>
      <c r="AL152" s="79" t="str">
        <f>TEXT(TRUNC(P152/AH150,1),"#,##0.#")</f>
        <v>796.4</v>
      </c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85"/>
      <c r="CY152" s="85"/>
      <c r="CZ152" s="85"/>
      <c r="DA152" s="86"/>
      <c r="DB152" s="84"/>
    </row>
    <row r="153" spans="2:106" ht="11.25" customHeight="1">
      <c r="B153" s="78"/>
      <c r="C153" s="79"/>
      <c r="D153" s="79"/>
      <c r="E153" s="79"/>
      <c r="F153" s="79"/>
      <c r="G153" s="79" t="s">
        <v>498</v>
      </c>
      <c r="H153" s="79"/>
      <c r="I153" s="79"/>
      <c r="J153" s="79"/>
      <c r="K153" s="79"/>
      <c r="L153" s="79"/>
      <c r="M153" s="79"/>
      <c r="N153" s="79" t="s">
        <v>604</v>
      </c>
      <c r="O153" s="79"/>
      <c r="P153" s="79"/>
      <c r="Q153" s="79" t="str">
        <f>TEXT(기계경비총괄표!H13,"#,##0")</f>
        <v>9,494</v>
      </c>
      <c r="R153" s="79"/>
      <c r="S153" s="79"/>
      <c r="T153" s="79"/>
      <c r="U153" s="79"/>
      <c r="V153" s="79"/>
      <c r="W153" s="79"/>
      <c r="X153" s="79"/>
      <c r="Y153" s="79" t="s">
        <v>391</v>
      </c>
      <c r="Z153" s="79"/>
      <c r="AA153" s="79"/>
      <c r="AB153" s="79" t="str">
        <f>TEXT(AH150,"#,##0.#######")</f>
        <v>62.5</v>
      </c>
      <c r="AC153" s="79"/>
      <c r="AD153" s="79"/>
      <c r="AE153" s="79"/>
      <c r="AF153" s="79"/>
      <c r="AG153" s="79"/>
      <c r="AH153" s="79"/>
      <c r="AI153" s="79" t="s">
        <v>309</v>
      </c>
      <c r="AJ153" s="79"/>
      <c r="AK153" s="79"/>
      <c r="AL153" s="79" t="str">
        <f>TEXT(TRUNC(Q153/AH150,1),"#,##0.#")</f>
        <v>151.9</v>
      </c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85"/>
      <c r="CY153" s="85"/>
      <c r="CZ153" s="85"/>
      <c r="DA153" s="86"/>
      <c r="DB153" s="84"/>
    </row>
    <row r="154" spans="2:106" ht="11.25" customHeight="1">
      <c r="B154" s="78"/>
      <c r="C154" s="79"/>
      <c r="D154" s="79"/>
      <c r="E154" s="79"/>
      <c r="F154" s="79"/>
      <c r="G154" s="79" t="s">
        <v>160</v>
      </c>
      <c r="H154" s="79"/>
      <c r="I154" s="79"/>
      <c r="J154" s="79"/>
      <c r="K154" s="79" t="s">
        <v>440</v>
      </c>
      <c r="L154" s="79"/>
      <c r="M154" s="79"/>
      <c r="N154" s="79" t="s">
        <v>604</v>
      </c>
      <c r="O154" s="79"/>
      <c r="P154" s="79"/>
      <c r="Q154" s="79" t="str">
        <f>TEXT(기계경비총괄표!I13,"#,##0")</f>
        <v>7,613</v>
      </c>
      <c r="R154" s="79"/>
      <c r="S154" s="79"/>
      <c r="T154" s="79"/>
      <c r="U154" s="79"/>
      <c r="V154" s="79"/>
      <c r="W154" s="79"/>
      <c r="X154" s="79"/>
      <c r="Y154" s="79" t="s">
        <v>391</v>
      </c>
      <c r="Z154" s="79"/>
      <c r="AA154" s="79"/>
      <c r="AB154" s="79" t="str">
        <f>TEXT(AH150,"#,##0.#######")</f>
        <v>62.5</v>
      </c>
      <c r="AC154" s="79"/>
      <c r="AD154" s="79"/>
      <c r="AE154" s="79"/>
      <c r="AF154" s="79"/>
      <c r="AG154" s="79"/>
      <c r="AH154" s="79"/>
      <c r="AI154" s="79" t="s">
        <v>309</v>
      </c>
      <c r="AJ154" s="79"/>
      <c r="AK154" s="79"/>
      <c r="AL154" s="79" t="str">
        <f>TEXT(TRUNC(Q154/AH150,1),"#,##0.#")</f>
        <v>121.8</v>
      </c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85"/>
      <c r="CY154" s="85"/>
      <c r="CZ154" s="85"/>
      <c r="DA154" s="86"/>
      <c r="DB154" s="84"/>
    </row>
    <row r="155" spans="2:106" ht="11.25" customHeight="1">
      <c r="B155" s="78"/>
      <c r="C155" s="79"/>
      <c r="D155" s="79"/>
      <c r="E155" s="79"/>
      <c r="F155" s="79"/>
      <c r="G155" s="79" t="s">
        <v>305</v>
      </c>
      <c r="H155" s="79"/>
      <c r="I155" s="79"/>
      <c r="J155" s="79"/>
      <c r="K155" s="79" t="s">
        <v>436</v>
      </c>
      <c r="L155" s="79"/>
      <c r="M155" s="79"/>
      <c r="N155" s="79" t="s">
        <v>604</v>
      </c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 t="str">
        <f>TEXT(AL152+AL153+AL154,"#,##0.#######")</f>
        <v>1,070.1</v>
      </c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85">
        <f>CY155+CZ155+DA155</f>
        <v>1070.0999999999999</v>
      </c>
      <c r="CY155" s="85" t="str">
        <f>TEXT(AL152,"#,###.0")</f>
        <v>796.4</v>
      </c>
      <c r="CZ155" s="85" t="str">
        <f>TEXT(AL153,"#,###.0")</f>
        <v>151.9</v>
      </c>
      <c r="DA155" s="86" t="str">
        <f>TEXT(AL154,"#,###.0")</f>
        <v>121.8</v>
      </c>
      <c r="DB155" s="84"/>
    </row>
    <row r="156" spans="2:106" ht="11.25" customHeight="1">
      <c r="B156" s="78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85"/>
      <c r="CY156" s="85"/>
      <c r="CZ156" s="85"/>
      <c r="DA156" s="86"/>
      <c r="DB156" s="84"/>
    </row>
    <row r="157" spans="2:106" ht="11.25" customHeight="1">
      <c r="B157" s="78"/>
      <c r="C157" s="79"/>
      <c r="D157" s="79"/>
      <c r="E157" s="79" t="s">
        <v>496</v>
      </c>
      <c r="F157" s="79"/>
      <c r="G157" s="79" t="s">
        <v>587</v>
      </c>
      <c r="H157" s="79"/>
      <c r="I157" s="79" t="s">
        <v>353</v>
      </c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 t="s">
        <v>57</v>
      </c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 t="s">
        <v>604</v>
      </c>
      <c r="AF157" s="79"/>
      <c r="AG157" s="79" t="s">
        <v>363</v>
      </c>
      <c r="AH157" s="79"/>
      <c r="AI157" s="79"/>
      <c r="AJ157" s="79"/>
      <c r="AK157" s="79" t="s">
        <v>256</v>
      </c>
      <c r="AL157" s="79"/>
      <c r="AM157" s="79"/>
      <c r="AN157" s="79"/>
      <c r="AO157" s="79"/>
      <c r="AP157" s="79"/>
      <c r="AQ157" s="79"/>
      <c r="AR157" s="79"/>
      <c r="AS157" s="79" t="s">
        <v>75</v>
      </c>
      <c r="AT157" s="79"/>
      <c r="AU157" s="79"/>
      <c r="AV157" s="79"/>
      <c r="AW157" s="79"/>
      <c r="AX157" s="79"/>
      <c r="AY157" s="79"/>
      <c r="AZ157" s="79" t="s">
        <v>100</v>
      </c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85"/>
      <c r="CY157" s="85"/>
      <c r="CZ157" s="85"/>
      <c r="DA157" s="86"/>
      <c r="DB157" s="84"/>
    </row>
    <row r="158" spans="2:106" ht="11.25" customHeight="1">
      <c r="B158" s="78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85"/>
      <c r="CY158" s="85"/>
      <c r="CZ158" s="85"/>
      <c r="DA158" s="86"/>
      <c r="DB158" s="84"/>
    </row>
    <row r="159" spans="2:106" ht="11.25" customHeight="1">
      <c r="B159" s="78"/>
      <c r="C159" s="79"/>
      <c r="D159" s="79"/>
      <c r="E159" s="79"/>
      <c r="F159" s="79"/>
      <c r="G159" s="79" t="s">
        <v>700</v>
      </c>
      <c r="H159" s="79"/>
      <c r="I159" s="79"/>
      <c r="J159" s="79"/>
      <c r="K159" s="79"/>
      <c r="L159" s="79"/>
      <c r="M159" s="79"/>
      <c r="N159" s="79" t="s">
        <v>604</v>
      </c>
      <c r="O159" s="79"/>
      <c r="P159" s="79" t="str">
        <f>TEXT(기계경비총괄표!G14,"#,##0")</f>
        <v>49,778</v>
      </c>
      <c r="Q159" s="79"/>
      <c r="R159" s="79"/>
      <c r="S159" s="79"/>
      <c r="T159" s="79"/>
      <c r="U159" s="79"/>
      <c r="V159" s="79"/>
      <c r="W159" s="79"/>
      <c r="X159" s="79"/>
      <c r="Y159" s="79" t="s">
        <v>391</v>
      </c>
      <c r="Z159" s="79"/>
      <c r="AA159" s="79"/>
      <c r="AB159" s="79" t="str">
        <f>TEXT(AH150,"#,##0.#######")</f>
        <v>62.5</v>
      </c>
      <c r="AC159" s="79"/>
      <c r="AD159" s="79"/>
      <c r="AE159" s="79"/>
      <c r="AF159" s="79"/>
      <c r="AG159" s="79"/>
      <c r="AH159" s="79"/>
      <c r="AI159" s="79" t="s">
        <v>309</v>
      </c>
      <c r="AJ159" s="79"/>
      <c r="AK159" s="79" t="str">
        <f>TEXT(TRUNC(P159/AH150,1),"#,##0.#")</f>
        <v>796.4</v>
      </c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85"/>
      <c r="CY159" s="85"/>
      <c r="CZ159" s="85"/>
      <c r="DA159" s="86"/>
      <c r="DB159" s="84"/>
    </row>
    <row r="160" spans="2:106" ht="11.25" customHeight="1">
      <c r="B160" s="78"/>
      <c r="C160" s="79"/>
      <c r="D160" s="79"/>
      <c r="E160" s="79"/>
      <c r="F160" s="79"/>
      <c r="G160" s="79" t="s">
        <v>498</v>
      </c>
      <c r="H160" s="79"/>
      <c r="I160" s="79"/>
      <c r="J160" s="79"/>
      <c r="K160" s="79"/>
      <c r="L160" s="79"/>
      <c r="M160" s="79"/>
      <c r="N160" s="79" t="s">
        <v>604</v>
      </c>
      <c r="O160" s="79"/>
      <c r="P160" s="79"/>
      <c r="Q160" s="79" t="str">
        <f>TEXT(기계경비총괄표!H14,"#,##0")</f>
        <v>5,506</v>
      </c>
      <c r="R160" s="79"/>
      <c r="S160" s="79"/>
      <c r="T160" s="79"/>
      <c r="U160" s="79"/>
      <c r="V160" s="79"/>
      <c r="W160" s="79"/>
      <c r="X160" s="79"/>
      <c r="Y160" s="79" t="s">
        <v>391</v>
      </c>
      <c r="Z160" s="79"/>
      <c r="AA160" s="79"/>
      <c r="AB160" s="79" t="str">
        <f>TEXT(AH150,"#,##0.#######")</f>
        <v>62.5</v>
      </c>
      <c r="AC160" s="79"/>
      <c r="AD160" s="79"/>
      <c r="AE160" s="79"/>
      <c r="AF160" s="79"/>
      <c r="AG160" s="79"/>
      <c r="AH160" s="79"/>
      <c r="AI160" s="79" t="s">
        <v>309</v>
      </c>
      <c r="AJ160" s="79"/>
      <c r="AK160" s="79"/>
      <c r="AL160" s="79" t="str">
        <f>TEXT(TRUNC(Q160/AH150,1),"#,##0.#")</f>
        <v>88.</v>
      </c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85"/>
      <c r="CY160" s="85"/>
      <c r="CZ160" s="85"/>
      <c r="DA160" s="86"/>
      <c r="DB160" s="84"/>
    </row>
    <row r="161" spans="2:106" ht="11.25" customHeight="1">
      <c r="B161" s="78"/>
      <c r="C161" s="79"/>
      <c r="D161" s="79"/>
      <c r="E161" s="79"/>
      <c r="F161" s="79"/>
      <c r="G161" s="79" t="s">
        <v>160</v>
      </c>
      <c r="H161" s="79"/>
      <c r="I161" s="79"/>
      <c r="J161" s="79"/>
      <c r="K161" s="79" t="s">
        <v>440</v>
      </c>
      <c r="L161" s="79"/>
      <c r="M161" s="79"/>
      <c r="N161" s="79" t="s">
        <v>604</v>
      </c>
      <c r="O161" s="79"/>
      <c r="P161" s="79"/>
      <c r="Q161" s="79" t="str">
        <f>TEXT(기계경비총괄표!I14,"#,##0")</f>
        <v>6,522</v>
      </c>
      <c r="R161" s="79"/>
      <c r="S161" s="79"/>
      <c r="T161" s="79"/>
      <c r="U161" s="79"/>
      <c r="V161" s="79"/>
      <c r="W161" s="79"/>
      <c r="X161" s="79"/>
      <c r="Y161" s="79" t="s">
        <v>391</v>
      </c>
      <c r="Z161" s="79"/>
      <c r="AA161" s="79"/>
      <c r="AB161" s="79" t="str">
        <f>TEXT(AH150,"#,##0.#######")</f>
        <v>62.5</v>
      </c>
      <c r="AC161" s="79"/>
      <c r="AD161" s="79"/>
      <c r="AE161" s="79"/>
      <c r="AF161" s="79"/>
      <c r="AG161" s="79"/>
      <c r="AH161" s="79"/>
      <c r="AI161" s="79" t="s">
        <v>309</v>
      </c>
      <c r="AJ161" s="79"/>
      <c r="AK161" s="79"/>
      <c r="AL161" s="79" t="str">
        <f>TEXT(TRUNC(Q161/AH150,1),"#,##0.#")</f>
        <v>104.3</v>
      </c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85"/>
      <c r="CY161" s="85"/>
      <c r="CZ161" s="85"/>
      <c r="DA161" s="86"/>
      <c r="DB161" s="84"/>
    </row>
    <row r="162" spans="2:106" ht="11.25" customHeight="1">
      <c r="B162" s="78"/>
      <c r="C162" s="79"/>
      <c r="D162" s="79"/>
      <c r="E162" s="79"/>
      <c r="F162" s="79"/>
      <c r="G162" s="79" t="s">
        <v>305</v>
      </c>
      <c r="H162" s="79"/>
      <c r="I162" s="79"/>
      <c r="J162" s="79"/>
      <c r="K162" s="79" t="s">
        <v>436</v>
      </c>
      <c r="L162" s="79"/>
      <c r="M162" s="79"/>
      <c r="N162" s="79" t="s">
        <v>604</v>
      </c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 t="str">
        <f>TEXT(AK159+AL160+AL161,"#,##0.#######")</f>
        <v>988.7</v>
      </c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85">
        <f>CY162+CZ162+DA162</f>
        <v>988.69999999999993</v>
      </c>
      <c r="CY162" s="85" t="str">
        <f>TEXT(AK159,"#,###.0")</f>
        <v>796.4</v>
      </c>
      <c r="CZ162" s="85" t="str">
        <f>TEXT(AL160,"#,###.0")</f>
        <v>88.0</v>
      </c>
      <c r="DA162" s="86" t="str">
        <f>TEXT(AL161,"#,###.0")</f>
        <v>104.3</v>
      </c>
      <c r="DB162" s="84"/>
    </row>
    <row r="163" spans="2:106" ht="11.25" customHeight="1">
      <c r="B163" s="78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85"/>
      <c r="CY163" s="85"/>
      <c r="CZ163" s="85"/>
      <c r="DA163" s="86"/>
      <c r="DB163" s="84"/>
    </row>
    <row r="164" spans="2:106" ht="11.25" customHeight="1">
      <c r="B164" s="78"/>
      <c r="C164" s="79"/>
      <c r="D164" s="79"/>
      <c r="E164" s="79" t="s">
        <v>222</v>
      </c>
      <c r="F164" s="79"/>
      <c r="G164" s="79" t="s">
        <v>587</v>
      </c>
      <c r="H164" s="79"/>
      <c r="I164" s="79" t="s">
        <v>305</v>
      </c>
      <c r="J164" s="79"/>
      <c r="K164" s="79"/>
      <c r="L164" s="79"/>
      <c r="M164" s="79" t="s">
        <v>436</v>
      </c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85"/>
      <c r="CY164" s="85"/>
      <c r="CZ164" s="85"/>
      <c r="DA164" s="86"/>
      <c r="DB164" s="84"/>
    </row>
    <row r="165" spans="2:106" ht="11.25" customHeight="1">
      <c r="B165" s="78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85"/>
      <c r="CY165" s="85"/>
      <c r="CZ165" s="85"/>
      <c r="DA165" s="86"/>
      <c r="DB165" s="84"/>
    </row>
    <row r="166" spans="2:106" ht="11.25" customHeight="1">
      <c r="B166" s="78"/>
      <c r="C166" s="79"/>
      <c r="D166" s="79"/>
      <c r="E166" s="79"/>
      <c r="F166" s="79"/>
      <c r="G166" s="79"/>
      <c r="H166" s="79" t="s">
        <v>700</v>
      </c>
      <c r="I166" s="79"/>
      <c r="J166" s="79"/>
      <c r="K166" s="79"/>
      <c r="L166" s="79"/>
      <c r="M166" s="79"/>
      <c r="N166" s="79"/>
      <c r="O166" s="79" t="s">
        <v>604</v>
      </c>
      <c r="P166" s="79"/>
      <c r="Q166" s="79" t="str">
        <f>TEXT(CY155,"#,###.##")</f>
        <v>796.4</v>
      </c>
      <c r="R166" s="79"/>
      <c r="S166" s="79"/>
      <c r="T166" s="79"/>
      <c r="U166" s="79"/>
      <c r="V166" s="79"/>
      <c r="W166" s="79" t="s">
        <v>148</v>
      </c>
      <c r="X166" s="79"/>
      <c r="Y166" s="79" t="str">
        <f>TEXT(CY162,"#,###.##")</f>
        <v>796.4</v>
      </c>
      <c r="Z166" s="79"/>
      <c r="AA166" s="79"/>
      <c r="AB166" s="79"/>
      <c r="AC166" s="79"/>
      <c r="AD166" s="79"/>
      <c r="AE166" s="79" t="s">
        <v>309</v>
      </c>
      <c r="AF166" s="79"/>
      <c r="AG166" s="79"/>
      <c r="AH166" s="79" t="str">
        <f>TEXT(TRUNC(CY155+CY162,1),"#,##0.#")</f>
        <v>1,592.8</v>
      </c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  <c r="CQ166" s="79"/>
      <c r="CR166" s="79"/>
      <c r="CS166" s="79"/>
      <c r="CT166" s="79"/>
      <c r="CU166" s="79"/>
      <c r="CV166" s="79"/>
      <c r="CW166" s="79"/>
      <c r="CX166" s="85"/>
      <c r="CY166" s="85"/>
      <c r="CZ166" s="85"/>
      <c r="DA166" s="86"/>
      <c r="DB166" s="84"/>
    </row>
    <row r="167" spans="2:106" ht="11.25" customHeight="1">
      <c r="B167" s="78"/>
      <c r="C167" s="79"/>
      <c r="D167" s="79"/>
      <c r="E167" s="79"/>
      <c r="F167" s="79"/>
      <c r="G167" s="79"/>
      <c r="H167" s="79" t="s">
        <v>498</v>
      </c>
      <c r="I167" s="79"/>
      <c r="J167" s="79"/>
      <c r="K167" s="79"/>
      <c r="L167" s="79"/>
      <c r="M167" s="79"/>
      <c r="N167" s="79"/>
      <c r="O167" s="79" t="s">
        <v>604</v>
      </c>
      <c r="P167" s="79"/>
      <c r="Q167" s="79" t="str">
        <f>TEXT(CZ155,"#,###.##")</f>
        <v>151.9</v>
      </c>
      <c r="R167" s="79"/>
      <c r="S167" s="79"/>
      <c r="T167" s="79"/>
      <c r="U167" s="79"/>
      <c r="V167" s="79"/>
      <c r="W167" s="79" t="s">
        <v>148</v>
      </c>
      <c r="X167" s="79"/>
      <c r="Y167" s="79" t="str">
        <f>TEXT(CZ162,"#,###.##")</f>
        <v>88.</v>
      </c>
      <c r="Z167" s="79"/>
      <c r="AA167" s="79"/>
      <c r="AB167" s="79" t="s">
        <v>309</v>
      </c>
      <c r="AC167" s="79"/>
      <c r="AD167" s="79"/>
      <c r="AE167" s="79" t="str">
        <f>TEXT(TRUNC(CZ155+CZ162,1),"#,##0.#")</f>
        <v>239.9</v>
      </c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  <c r="CQ167" s="79"/>
      <c r="CR167" s="79"/>
      <c r="CS167" s="79"/>
      <c r="CT167" s="79"/>
      <c r="CU167" s="79"/>
      <c r="CV167" s="79"/>
      <c r="CW167" s="79"/>
      <c r="CX167" s="85"/>
      <c r="CY167" s="85"/>
      <c r="CZ167" s="85"/>
      <c r="DA167" s="86"/>
      <c r="DB167" s="84"/>
    </row>
    <row r="168" spans="2:106" ht="11.25" customHeight="1">
      <c r="B168" s="78"/>
      <c r="C168" s="79"/>
      <c r="D168" s="79"/>
      <c r="E168" s="79"/>
      <c r="F168" s="79"/>
      <c r="G168" s="79"/>
      <c r="H168" s="79" t="s">
        <v>160</v>
      </c>
      <c r="I168" s="79"/>
      <c r="J168" s="79"/>
      <c r="K168" s="79"/>
      <c r="L168" s="79" t="s">
        <v>440</v>
      </c>
      <c r="M168" s="79"/>
      <c r="N168" s="79"/>
      <c r="O168" s="79" t="s">
        <v>604</v>
      </c>
      <c r="P168" s="79"/>
      <c r="Q168" s="79" t="str">
        <f>TEXT(DA155,"#,###.##")</f>
        <v>121.8</v>
      </c>
      <c r="R168" s="79"/>
      <c r="S168" s="79"/>
      <c r="T168" s="79"/>
      <c r="U168" s="79"/>
      <c r="V168" s="79"/>
      <c r="W168" s="79" t="s">
        <v>148</v>
      </c>
      <c r="X168" s="79"/>
      <c r="Y168" s="79" t="str">
        <f>TEXT(DA162,"#,###.##")</f>
        <v>104.3</v>
      </c>
      <c r="Z168" s="79"/>
      <c r="AA168" s="79"/>
      <c r="AB168" s="79"/>
      <c r="AC168" s="79"/>
      <c r="AD168" s="79"/>
      <c r="AE168" s="79" t="s">
        <v>309</v>
      </c>
      <c r="AF168" s="79"/>
      <c r="AG168" s="79"/>
      <c r="AH168" s="79" t="str">
        <f>TEXT(TRUNC(DA155+DA162,1),"#,##0.#")</f>
        <v>226.1</v>
      </c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  <c r="CQ168" s="79"/>
      <c r="CR168" s="79"/>
      <c r="CS168" s="79"/>
      <c r="CT168" s="79"/>
      <c r="CU168" s="79"/>
      <c r="CV168" s="79"/>
      <c r="CW168" s="79"/>
      <c r="CX168" s="85"/>
      <c r="CY168" s="85"/>
      <c r="CZ168" s="85"/>
      <c r="DA168" s="86"/>
      <c r="DB168" s="84"/>
    </row>
    <row r="169" spans="2:106" ht="11.25" customHeight="1">
      <c r="B169" s="78"/>
      <c r="C169" s="79"/>
      <c r="D169" s="79"/>
      <c r="E169" s="79"/>
      <c r="F169" s="79"/>
      <c r="G169" s="79"/>
      <c r="H169" s="79"/>
      <c r="I169" s="79"/>
      <c r="J169" s="79" t="s">
        <v>436</v>
      </c>
      <c r="K169" s="79"/>
      <c r="L169" s="79"/>
      <c r="M169" s="79"/>
      <c r="N169" s="79"/>
      <c r="O169" s="79" t="s">
        <v>604</v>
      </c>
      <c r="P169" s="79"/>
      <c r="Q169" s="79"/>
      <c r="R169" s="79" t="str">
        <f>TEXT(AH166+AE167+AH168,"#,##0.#######")</f>
        <v>2,058.8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  <c r="CQ169" s="79"/>
      <c r="CR169" s="79"/>
      <c r="CS169" s="79"/>
      <c r="CT169" s="79"/>
      <c r="CU169" s="79"/>
      <c r="CV169" s="79"/>
      <c r="CW169" s="79"/>
      <c r="CX169" s="85">
        <f>CY169+CZ169+DA169</f>
        <v>2058.8000000000002</v>
      </c>
      <c r="CY169" s="85" t="str">
        <f>TEXT(AH166,"#,###.0")</f>
        <v>1,592.8</v>
      </c>
      <c r="CZ169" s="85" t="str">
        <f>TEXT(AE167,"#,###.0")</f>
        <v>239.9</v>
      </c>
      <c r="DA169" s="86" t="str">
        <f>TEXT(AH168,"#,###.0")</f>
        <v>226.1</v>
      </c>
      <c r="DB169" s="84"/>
    </row>
    <row r="170" spans="2:106" ht="11.25" customHeight="1">
      <c r="B170" s="78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79"/>
      <c r="CM170" s="79"/>
      <c r="CN170" s="79"/>
      <c r="CO170" s="79"/>
      <c r="CP170" s="79"/>
      <c r="CQ170" s="79"/>
      <c r="CR170" s="79"/>
      <c r="CS170" s="79"/>
      <c r="CT170" s="79"/>
      <c r="CU170" s="79"/>
      <c r="CV170" s="79"/>
      <c r="CW170" s="79"/>
      <c r="CX170" s="85"/>
      <c r="CY170" s="85"/>
      <c r="CZ170" s="85"/>
      <c r="DA170" s="86"/>
      <c r="DB170" s="84"/>
    </row>
    <row r="171" spans="2:106" ht="11.25" customHeight="1">
      <c r="B171" s="78"/>
      <c r="C171" s="79"/>
      <c r="D171" s="79" t="s">
        <v>575</v>
      </c>
      <c r="E171" s="79"/>
      <c r="F171" s="79"/>
      <c r="G171" s="79" t="s">
        <v>557</v>
      </c>
      <c r="H171" s="79"/>
      <c r="I171" s="79"/>
      <c r="J171" s="79"/>
      <c r="K171" s="79" t="s">
        <v>436</v>
      </c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  <c r="CQ171" s="79"/>
      <c r="CR171" s="79"/>
      <c r="CS171" s="79"/>
      <c r="CT171" s="79"/>
      <c r="CU171" s="79"/>
      <c r="CV171" s="79"/>
      <c r="CW171" s="79"/>
      <c r="CX171" s="85"/>
      <c r="CY171" s="85"/>
      <c r="CZ171" s="85"/>
      <c r="DA171" s="86"/>
      <c r="DB171" s="84"/>
    </row>
    <row r="172" spans="2:106" ht="11.25" customHeight="1">
      <c r="B172" s="78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  <c r="CQ172" s="79"/>
      <c r="CR172" s="79"/>
      <c r="CS172" s="79"/>
      <c r="CT172" s="79"/>
      <c r="CU172" s="79"/>
      <c r="CV172" s="79"/>
      <c r="CW172" s="79"/>
      <c r="CX172" s="85"/>
      <c r="CY172" s="85"/>
      <c r="CZ172" s="85"/>
      <c r="DA172" s="86"/>
      <c r="DB172" s="84"/>
    </row>
    <row r="173" spans="2:106" ht="11.25" customHeight="1">
      <c r="B173" s="78"/>
      <c r="C173" s="79"/>
      <c r="D173" s="79"/>
      <c r="E173" s="79"/>
      <c r="F173" s="79"/>
      <c r="G173" s="79"/>
      <c r="H173" s="79" t="s">
        <v>700</v>
      </c>
      <c r="I173" s="79"/>
      <c r="J173" s="79"/>
      <c r="K173" s="79"/>
      <c r="L173" s="79"/>
      <c r="M173" s="79"/>
      <c r="N173" s="79"/>
      <c r="O173" s="79" t="s">
        <v>604</v>
      </c>
      <c r="P173" s="79"/>
      <c r="Q173" s="79" t="str">
        <f>TEXT(CY136,"#,###.##")</f>
        <v>1,592.6</v>
      </c>
      <c r="R173" s="79"/>
      <c r="S173" s="79"/>
      <c r="T173" s="79"/>
      <c r="U173" s="79"/>
      <c r="V173" s="79"/>
      <c r="W173" s="79"/>
      <c r="X173" s="79"/>
      <c r="Y173" s="79" t="s">
        <v>148</v>
      </c>
      <c r="Z173" s="79"/>
      <c r="AA173" s="79" t="str">
        <f>TEXT(CY169,"#,###.##")</f>
        <v>1,592.8</v>
      </c>
      <c r="AB173" s="79"/>
      <c r="AC173" s="79"/>
      <c r="AD173" s="79"/>
      <c r="AE173" s="79"/>
      <c r="AF173" s="79"/>
      <c r="AG173" s="79"/>
      <c r="AH173" s="79"/>
      <c r="AI173" s="79" t="s">
        <v>309</v>
      </c>
      <c r="AJ173" s="79"/>
      <c r="AK173" s="79"/>
      <c r="AL173" s="79" t="str">
        <f>TEXT(TRUNC(CY136+CY169,0),"#,##0")</f>
        <v>3,185</v>
      </c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  <c r="CQ173" s="79"/>
      <c r="CR173" s="79"/>
      <c r="CS173" s="79"/>
      <c r="CT173" s="79"/>
      <c r="CU173" s="79"/>
      <c r="CV173" s="79"/>
      <c r="CW173" s="79"/>
      <c r="CX173" s="85"/>
      <c r="CY173" s="85"/>
      <c r="CZ173" s="85"/>
      <c r="DA173" s="86"/>
      <c r="DB173" s="84"/>
    </row>
    <row r="174" spans="2:106" ht="11.25" customHeight="1">
      <c r="B174" s="78"/>
      <c r="C174" s="79"/>
      <c r="D174" s="79"/>
      <c r="E174" s="79"/>
      <c r="F174" s="79"/>
      <c r="G174" s="79"/>
      <c r="H174" s="79" t="s">
        <v>498</v>
      </c>
      <c r="I174" s="79"/>
      <c r="J174" s="79"/>
      <c r="K174" s="79"/>
      <c r="L174" s="79"/>
      <c r="M174" s="79"/>
      <c r="N174" s="79"/>
      <c r="O174" s="79" t="s">
        <v>604</v>
      </c>
      <c r="P174" s="79"/>
      <c r="Q174" s="79" t="str">
        <f>TEXT(CZ128,"#,###.##")</f>
        <v>23,438.9</v>
      </c>
      <c r="R174" s="79"/>
      <c r="S174" s="79"/>
      <c r="T174" s="79"/>
      <c r="U174" s="79"/>
      <c r="V174" s="79"/>
      <c r="W174" s="79"/>
      <c r="X174" s="79"/>
      <c r="Y174" s="79"/>
      <c r="Z174" s="79" t="s">
        <v>148</v>
      </c>
      <c r="AA174" s="79"/>
      <c r="AB174" s="79" t="str">
        <f>TEXT(CZ140,"#,###.##")</f>
        <v>234.3</v>
      </c>
      <c r="AC174" s="79"/>
      <c r="AD174" s="79"/>
      <c r="AE174" s="79"/>
      <c r="AF174" s="79"/>
      <c r="AG174" s="79"/>
      <c r="AH174" s="79" t="s">
        <v>148</v>
      </c>
      <c r="AI174" s="79"/>
      <c r="AJ174" s="79" t="str">
        <f>TEXT(CZ169,"#,###.##")</f>
        <v>239.9</v>
      </c>
      <c r="AK174" s="79"/>
      <c r="AL174" s="79"/>
      <c r="AM174" s="79"/>
      <c r="AN174" s="79"/>
      <c r="AO174" s="79"/>
      <c r="AP174" s="79" t="s">
        <v>309</v>
      </c>
      <c r="AQ174" s="79"/>
      <c r="AR174" s="79"/>
      <c r="AS174" s="79" t="str">
        <f>TEXT(TRUNC(CZ128+CZ140+CZ169,0),"#,##0")</f>
        <v>23,913</v>
      </c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  <c r="CQ174" s="79"/>
      <c r="CR174" s="79"/>
      <c r="CS174" s="79"/>
      <c r="CT174" s="79"/>
      <c r="CU174" s="79"/>
      <c r="CV174" s="79"/>
      <c r="CW174" s="79"/>
      <c r="CX174" s="85"/>
      <c r="CY174" s="85"/>
      <c r="CZ174" s="85"/>
      <c r="DA174" s="86"/>
      <c r="DB174" s="84"/>
    </row>
    <row r="175" spans="2:106" ht="11.25" customHeight="1">
      <c r="B175" s="78"/>
      <c r="C175" s="79"/>
      <c r="D175" s="79"/>
      <c r="E175" s="79"/>
      <c r="F175" s="79"/>
      <c r="G175" s="79"/>
      <c r="H175" s="79" t="s">
        <v>160</v>
      </c>
      <c r="I175" s="79"/>
      <c r="J175" s="79"/>
      <c r="K175" s="79"/>
      <c r="L175" s="79" t="s">
        <v>440</v>
      </c>
      <c r="M175" s="79"/>
      <c r="N175" s="79"/>
      <c r="O175" s="79" t="s">
        <v>604</v>
      </c>
      <c r="P175" s="79"/>
      <c r="Q175" s="79" t="str">
        <f>TEXT(DA144,"#,###.##")</f>
        <v>159.2</v>
      </c>
      <c r="R175" s="79"/>
      <c r="S175" s="79"/>
      <c r="T175" s="79"/>
      <c r="U175" s="79"/>
      <c r="V175" s="79"/>
      <c r="W175" s="79" t="s">
        <v>148</v>
      </c>
      <c r="X175" s="79"/>
      <c r="Y175" s="79" t="str">
        <f>TEXT(DA169,"#,###.##")</f>
        <v>226.1</v>
      </c>
      <c r="Z175" s="79"/>
      <c r="AA175" s="79"/>
      <c r="AB175" s="79"/>
      <c r="AC175" s="79"/>
      <c r="AD175" s="79"/>
      <c r="AE175" s="79" t="s">
        <v>309</v>
      </c>
      <c r="AF175" s="79"/>
      <c r="AG175" s="79"/>
      <c r="AH175" s="79" t="str">
        <f>TEXT(TRUNC(DA144+DA169,0),"#,##0")</f>
        <v>385</v>
      </c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85"/>
      <c r="CY175" s="85"/>
      <c r="CZ175" s="85"/>
      <c r="DA175" s="86"/>
      <c r="DB175" s="84"/>
    </row>
    <row r="176" spans="2:106" ht="11.25" customHeight="1">
      <c r="B176" s="80"/>
      <c r="C176" s="72"/>
      <c r="D176" s="72"/>
      <c r="E176" s="72"/>
      <c r="F176" s="72"/>
      <c r="G176" s="72"/>
      <c r="H176" s="72"/>
      <c r="I176" s="72"/>
      <c r="J176" s="72" t="s">
        <v>436</v>
      </c>
      <c r="K176" s="72"/>
      <c r="L176" s="72"/>
      <c r="M176" s="72"/>
      <c r="N176" s="72"/>
      <c r="O176" s="72" t="s">
        <v>604</v>
      </c>
      <c r="P176" s="72"/>
      <c r="Q176" s="72"/>
      <c r="R176" s="72" t="str">
        <f>TEXT(AL173+AS174+AH175,"#,##0")</f>
        <v>27,483</v>
      </c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0">
        <f>CY176+CZ176+DA176</f>
        <v>27483</v>
      </c>
      <c r="CY176" s="87" t="str">
        <f>TEXT(AL173,"#,##0")</f>
        <v>3,185</v>
      </c>
      <c r="CZ176" s="87" t="str">
        <f>TEXT(AS174,"#,##0")</f>
        <v>23,913</v>
      </c>
      <c r="DA176" s="88" t="str">
        <f>TEXT(AH175,"#,##0")</f>
        <v>385</v>
      </c>
      <c r="DB176" s="84"/>
    </row>
    <row r="177" spans="2:106" ht="11.25" customHeight="1">
      <c r="B177" s="78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  <c r="CQ177" s="79"/>
      <c r="CR177" s="79"/>
      <c r="CS177" s="79"/>
      <c r="CT177" s="79"/>
      <c r="CU177" s="79"/>
      <c r="CV177" s="79"/>
      <c r="CW177" s="79"/>
      <c r="CX177" s="85"/>
      <c r="CY177" s="85"/>
      <c r="CZ177" s="85"/>
      <c r="DA177" s="86"/>
      <c r="DB177" s="84"/>
    </row>
    <row r="178" spans="2:106" ht="11.25" customHeight="1">
      <c r="B178" s="81" t="s">
        <v>726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  <c r="CQ178" s="79"/>
      <c r="CR178" s="79"/>
      <c r="CS178" s="79"/>
      <c r="CT178" s="79"/>
      <c r="CU178" s="79"/>
      <c r="CV178" s="79"/>
      <c r="CW178" s="79"/>
      <c r="CX178" s="82">
        <f>CX243</f>
        <v>32506</v>
      </c>
      <c r="CY178" s="82" t="str">
        <f>CY243</f>
        <v>6,371</v>
      </c>
      <c r="CZ178" s="82" t="str">
        <f>CZ243</f>
        <v>25,365</v>
      </c>
      <c r="DA178" s="83" t="str">
        <f>DA243</f>
        <v>770</v>
      </c>
      <c r="DB178" s="84"/>
    </row>
    <row r="179" spans="2:106" ht="11.25" customHeight="1">
      <c r="B179" s="78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  <c r="CQ179" s="79"/>
      <c r="CR179" s="79"/>
      <c r="CS179" s="79"/>
      <c r="CT179" s="79"/>
      <c r="CU179" s="79"/>
      <c r="CV179" s="79"/>
      <c r="CW179" s="79"/>
      <c r="CX179" s="85"/>
      <c r="CY179" s="85"/>
      <c r="CZ179" s="85"/>
      <c r="DA179" s="86"/>
      <c r="DB179" s="84"/>
    </row>
    <row r="180" spans="2:106" ht="11.25" customHeight="1">
      <c r="B180" s="78"/>
      <c r="C180" s="79"/>
      <c r="D180" s="79" t="s">
        <v>777</v>
      </c>
      <c r="E180" s="79"/>
      <c r="F180" s="79"/>
      <c r="G180" s="79" t="s">
        <v>422</v>
      </c>
      <c r="H180" s="79"/>
      <c r="I180" s="79"/>
      <c r="J180" s="79"/>
      <c r="K180" s="79" t="s">
        <v>6</v>
      </c>
      <c r="L180" s="79"/>
      <c r="M180" s="79"/>
      <c r="N180" s="79" t="s">
        <v>650</v>
      </c>
      <c r="O180" s="79"/>
      <c r="P180" s="79"/>
      <c r="Q180" s="79"/>
      <c r="R180" s="79"/>
      <c r="S180" s="79"/>
      <c r="T180" s="79"/>
      <c r="U180" s="79"/>
      <c r="V180" s="79"/>
      <c r="W180" s="79" t="s">
        <v>604</v>
      </c>
      <c r="X180" s="79"/>
      <c r="Y180" s="79" t="s">
        <v>684</v>
      </c>
      <c r="Z180" s="79"/>
      <c r="AA180" s="79"/>
      <c r="AB180" s="79"/>
      <c r="AC180" s="79"/>
      <c r="AD180" s="79" t="s">
        <v>225</v>
      </c>
      <c r="AE180" s="79" t="s">
        <v>23</v>
      </c>
      <c r="AF180" s="79" t="s">
        <v>433</v>
      </c>
      <c r="AG180" s="79"/>
      <c r="AH180" s="79" t="s">
        <v>23</v>
      </c>
      <c r="AI180" s="79" t="s">
        <v>764</v>
      </c>
      <c r="AJ180" s="79"/>
      <c r="AK180" s="79" t="s">
        <v>385</v>
      </c>
      <c r="AL180" s="79"/>
      <c r="AM180" s="79"/>
      <c r="AN180" s="79"/>
      <c r="AO180" s="79"/>
      <c r="AP180" s="79"/>
      <c r="AQ180" s="79"/>
      <c r="AR180" s="79"/>
      <c r="AS180" s="79" t="s">
        <v>431</v>
      </c>
      <c r="AT180" s="79" t="s">
        <v>486</v>
      </c>
      <c r="AU180" s="79"/>
      <c r="AV180" s="79"/>
      <c r="AW180" s="79"/>
      <c r="AX180" s="79"/>
      <c r="AY180" s="79"/>
      <c r="AZ180" s="79"/>
      <c r="BA180" s="79"/>
      <c r="BB180" s="79" t="s">
        <v>89</v>
      </c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85"/>
      <c r="CY180" s="85"/>
      <c r="CZ180" s="85"/>
      <c r="DA180" s="86"/>
      <c r="DB180" s="84"/>
    </row>
    <row r="181" spans="2:106" ht="11.25" customHeight="1">
      <c r="B181" s="78"/>
      <c r="C181" s="79"/>
      <c r="D181" s="79"/>
      <c r="E181" s="79"/>
      <c r="F181" s="79" t="s">
        <v>431</v>
      </c>
      <c r="G181" s="79" t="s">
        <v>58</v>
      </c>
      <c r="H181" s="79"/>
      <c r="I181" s="79"/>
      <c r="J181" s="79"/>
      <c r="K181" s="79"/>
      <c r="L181" s="79"/>
      <c r="M181" s="79"/>
      <c r="N181" s="79" t="s">
        <v>586</v>
      </c>
      <c r="O181" s="79"/>
      <c r="P181" s="79"/>
      <c r="Q181" s="79"/>
      <c r="R181" s="79"/>
      <c r="S181" s="79"/>
      <c r="T181" s="79"/>
      <c r="U181" s="79"/>
      <c r="V181" s="79"/>
      <c r="W181" s="79" t="s">
        <v>299</v>
      </c>
      <c r="X181" s="79"/>
      <c r="Y181" s="79"/>
      <c r="Z181" s="79"/>
      <c r="AA181" s="79"/>
      <c r="AB181" s="79" t="s">
        <v>284</v>
      </c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 t="s">
        <v>581</v>
      </c>
      <c r="AP181" s="79"/>
      <c r="AQ181" s="79"/>
      <c r="AR181" s="79"/>
      <c r="AS181" s="79"/>
      <c r="AT181" s="79"/>
      <c r="AU181" s="79"/>
      <c r="AV181" s="79"/>
      <c r="AW181" s="79"/>
      <c r="AX181" s="79" t="s">
        <v>519</v>
      </c>
      <c r="AY181" s="79"/>
      <c r="AZ181" s="79"/>
      <c r="BA181" s="79"/>
      <c r="BB181" s="79"/>
      <c r="BC181" s="79"/>
      <c r="BD181" s="79"/>
      <c r="BE181" s="79"/>
      <c r="BF181" s="79"/>
      <c r="BG181" s="79" t="s">
        <v>186</v>
      </c>
      <c r="BH181" s="79"/>
      <c r="BI181" s="79"/>
      <c r="BJ181" s="79"/>
      <c r="BK181" s="79"/>
      <c r="BL181" s="79" t="s">
        <v>400</v>
      </c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 t="s">
        <v>141</v>
      </c>
      <c r="BX181" s="79"/>
      <c r="BY181" s="79"/>
      <c r="BZ181" s="79"/>
      <c r="CA181" s="79"/>
      <c r="CB181" s="79"/>
      <c r="CC181" s="79"/>
      <c r="CD181" s="79"/>
      <c r="CE181" s="79" t="s">
        <v>587</v>
      </c>
      <c r="CF181" s="79" t="s">
        <v>89</v>
      </c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85"/>
      <c r="CY181" s="85"/>
      <c r="CZ181" s="85"/>
      <c r="DA181" s="86"/>
      <c r="DB181" s="84"/>
    </row>
    <row r="182" spans="2:106" ht="11.25" customHeight="1">
      <c r="B182" s="78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85"/>
      <c r="CY182" s="85"/>
      <c r="CZ182" s="85"/>
      <c r="DA182" s="86"/>
      <c r="DB182" s="84"/>
    </row>
    <row r="183" spans="2:106" ht="11.25" customHeight="1">
      <c r="B183" s="78"/>
      <c r="C183" s="79"/>
      <c r="D183" s="79"/>
      <c r="E183" s="79"/>
      <c r="F183" s="79"/>
      <c r="G183" s="79" t="s">
        <v>564</v>
      </c>
      <c r="H183" s="79"/>
      <c r="I183" s="79"/>
      <c r="J183" s="79"/>
      <c r="K183" s="79"/>
      <c r="L183" s="79" t="s">
        <v>504</v>
      </c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 t="s">
        <v>604</v>
      </c>
      <c r="X183" s="79"/>
      <c r="Y183" s="79" t="s">
        <v>262</v>
      </c>
      <c r="Z183" s="79"/>
      <c r="AA183" s="79"/>
      <c r="AB183" s="79" t="s">
        <v>309</v>
      </c>
      <c r="AC183" s="79"/>
      <c r="AD183" s="79" t="str">
        <f>TEXT(250,"#,##0.#######")</f>
        <v>250.</v>
      </c>
      <c r="AE183" s="79"/>
      <c r="AF183" s="79"/>
      <c r="AG183" s="79" t="s">
        <v>596</v>
      </c>
      <c r="AH183" s="79"/>
      <c r="AI183" s="79" t="s">
        <v>123</v>
      </c>
      <c r="AJ183" s="79" t="s">
        <v>748</v>
      </c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  <c r="CQ183" s="79"/>
      <c r="CR183" s="79"/>
      <c r="CS183" s="79"/>
      <c r="CT183" s="79"/>
      <c r="CU183" s="79"/>
      <c r="CV183" s="79"/>
      <c r="CW183" s="79"/>
      <c r="CX183" s="85"/>
      <c r="CY183" s="85"/>
      <c r="CZ183" s="85"/>
      <c r="DA183" s="86"/>
      <c r="DB183" s="84"/>
    </row>
    <row r="184" spans="2:106" ht="11.25" customHeight="1">
      <c r="B184" s="78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  <c r="CQ184" s="79"/>
      <c r="CR184" s="79"/>
      <c r="CS184" s="79"/>
      <c r="CT184" s="79"/>
      <c r="CU184" s="79"/>
      <c r="CV184" s="79"/>
      <c r="CW184" s="79"/>
      <c r="CX184" s="85"/>
      <c r="CY184" s="85"/>
      <c r="CZ184" s="85"/>
      <c r="DA184" s="86"/>
      <c r="DB184" s="84"/>
    </row>
    <row r="185" spans="2:106" ht="11.25" customHeight="1">
      <c r="B185" s="78"/>
      <c r="C185" s="79"/>
      <c r="D185" s="79" t="s">
        <v>401</v>
      </c>
      <c r="E185" s="79"/>
      <c r="F185" s="79"/>
      <c r="G185" s="79" t="s">
        <v>498</v>
      </c>
      <c r="H185" s="79"/>
      <c r="I185" s="79"/>
      <c r="J185" s="79"/>
      <c r="K185" s="79"/>
      <c r="L185" s="79"/>
      <c r="M185" s="79"/>
      <c r="N185" s="79"/>
      <c r="O185" s="79" t="s">
        <v>83</v>
      </c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  <c r="CQ185" s="79"/>
      <c r="CR185" s="79"/>
      <c r="CS185" s="79"/>
      <c r="CT185" s="79"/>
      <c r="CU185" s="79"/>
      <c r="CV185" s="79"/>
      <c r="CW185" s="79"/>
      <c r="CX185" s="85"/>
      <c r="CY185" s="85"/>
      <c r="CZ185" s="85"/>
      <c r="DA185" s="86"/>
      <c r="DB185" s="84"/>
    </row>
    <row r="186" spans="2:106" ht="11.25" customHeight="1">
      <c r="B186" s="78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79"/>
      <c r="CM186" s="79"/>
      <c r="CN186" s="79"/>
      <c r="CO186" s="79"/>
      <c r="CP186" s="79"/>
      <c r="CQ186" s="79"/>
      <c r="CR186" s="79"/>
      <c r="CS186" s="79"/>
      <c r="CT186" s="79"/>
      <c r="CU186" s="79"/>
      <c r="CV186" s="79"/>
      <c r="CW186" s="79"/>
      <c r="CX186" s="85"/>
      <c r="CY186" s="85"/>
      <c r="CZ186" s="85"/>
      <c r="DA186" s="86"/>
      <c r="DB186" s="84"/>
    </row>
    <row r="187" spans="2:106" ht="11.25" customHeight="1">
      <c r="B187" s="78"/>
      <c r="C187" s="79"/>
      <c r="D187" s="79"/>
      <c r="E187" s="79"/>
      <c r="F187" s="79"/>
      <c r="G187" s="79" t="s">
        <v>373</v>
      </c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 t="s">
        <v>662</v>
      </c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 t="str">
        <f>TEXT(자재단가!R13,"#,##0.#######")</f>
        <v>4,550.</v>
      </c>
      <c r="BC187" s="79"/>
      <c r="BD187" s="79"/>
      <c r="BE187" s="79"/>
      <c r="BF187" s="79"/>
      <c r="BG187" s="79"/>
      <c r="BH187" s="79"/>
      <c r="BI187" s="79"/>
      <c r="BJ187" s="79" t="s">
        <v>699</v>
      </c>
      <c r="BK187" s="79"/>
      <c r="BL187" s="79"/>
      <c r="BM187" s="79" t="str">
        <f>TEXT(4.53,"#,##0.#######")</f>
        <v>4.53</v>
      </c>
      <c r="BN187" s="79"/>
      <c r="BO187" s="79"/>
      <c r="BP187" s="79"/>
      <c r="BQ187" s="79" t="s">
        <v>477</v>
      </c>
      <c r="BR187" s="79"/>
      <c r="BS187" s="79"/>
      <c r="BT187" s="79" t="s">
        <v>309</v>
      </c>
      <c r="BU187" s="79"/>
      <c r="BV187" s="79" t="str">
        <f>TEXT(TRUNC(BB187*BM187,1),"#,##0.#######")</f>
        <v>20,611.5</v>
      </c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79"/>
      <c r="CM187" s="79"/>
      <c r="CN187" s="79"/>
      <c r="CO187" s="79"/>
      <c r="CP187" s="79"/>
      <c r="CQ187" s="79"/>
      <c r="CR187" s="79"/>
      <c r="CS187" s="79"/>
      <c r="CT187" s="79"/>
      <c r="CU187" s="79"/>
      <c r="CV187" s="79"/>
      <c r="CW187" s="79"/>
      <c r="CX187" s="85"/>
      <c r="CY187" s="85"/>
      <c r="CZ187" s="85"/>
      <c r="DA187" s="86"/>
      <c r="DB187" s="84"/>
    </row>
    <row r="188" spans="2:106" ht="11.25" customHeight="1">
      <c r="B188" s="78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85"/>
      <c r="CY188" s="85"/>
      <c r="CZ188" s="85"/>
      <c r="DA188" s="86"/>
      <c r="DB188" s="84"/>
    </row>
    <row r="189" spans="2:106" ht="11.25" customHeight="1">
      <c r="B189" s="78"/>
      <c r="C189" s="79"/>
      <c r="D189" s="79"/>
      <c r="E189" s="79"/>
      <c r="F189" s="79"/>
      <c r="G189" s="79" t="s">
        <v>558</v>
      </c>
      <c r="H189" s="79"/>
      <c r="I189" s="79"/>
      <c r="J189" s="79"/>
      <c r="K189" s="79"/>
      <c r="L189" s="79"/>
      <c r="M189" s="79"/>
      <c r="N189" s="79"/>
      <c r="O189" s="79"/>
      <c r="P189" s="79" t="s">
        <v>144</v>
      </c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 t="str">
        <f>TEXT(자재단가!R14,"#,##0.#######")</f>
        <v>5,000.</v>
      </c>
      <c r="AF189" s="79"/>
      <c r="AG189" s="79"/>
      <c r="AH189" s="79"/>
      <c r="AI189" s="79"/>
      <c r="AJ189" s="79"/>
      <c r="AK189" s="79"/>
      <c r="AL189" s="79"/>
      <c r="AM189" s="79" t="s">
        <v>699</v>
      </c>
      <c r="AN189" s="79"/>
      <c r="AO189" s="79"/>
      <c r="AP189" s="79" t="str">
        <f>TEXT(0.55,"#,##0.#######")</f>
        <v>0.55</v>
      </c>
      <c r="AQ189" s="79"/>
      <c r="AR189" s="79"/>
      <c r="AS189" s="79"/>
      <c r="AT189" s="79" t="s">
        <v>477</v>
      </c>
      <c r="AU189" s="79"/>
      <c r="AV189" s="79"/>
      <c r="AW189" s="79" t="s">
        <v>309</v>
      </c>
      <c r="AX189" s="79"/>
      <c r="AY189" s="79" t="str">
        <f>TEXT(TRUNC(AE189*AP189,1),"#,##0.#######")</f>
        <v>2,750.</v>
      </c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  <c r="CQ189" s="79"/>
      <c r="CR189" s="79"/>
      <c r="CS189" s="79"/>
      <c r="CT189" s="79"/>
      <c r="CU189" s="79"/>
      <c r="CV189" s="79"/>
      <c r="CW189" s="79"/>
      <c r="CX189" s="85"/>
      <c r="CY189" s="85"/>
      <c r="CZ189" s="85"/>
      <c r="DA189" s="86"/>
      <c r="DB189" s="84"/>
    </row>
    <row r="190" spans="2:106" ht="11.25" customHeight="1">
      <c r="B190" s="78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  <c r="CQ190" s="79"/>
      <c r="CR190" s="79"/>
      <c r="CS190" s="79"/>
      <c r="CT190" s="79"/>
      <c r="CU190" s="79"/>
      <c r="CV190" s="79"/>
      <c r="CW190" s="79"/>
      <c r="CX190" s="85"/>
      <c r="CY190" s="85"/>
      <c r="CZ190" s="85"/>
      <c r="DA190" s="86"/>
      <c r="DB190" s="84"/>
    </row>
    <row r="191" spans="2:106" ht="11.25" customHeight="1">
      <c r="B191" s="78"/>
      <c r="C191" s="79"/>
      <c r="D191" s="79"/>
      <c r="E191" s="79"/>
      <c r="F191" s="79"/>
      <c r="G191" s="79" t="s">
        <v>131</v>
      </c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 t="s">
        <v>585</v>
      </c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 t="s">
        <v>604</v>
      </c>
      <c r="AP191" s="79"/>
      <c r="AQ191" s="79" t="str">
        <f>TEXT(자재단가!R15,"#,##0.#######")</f>
        <v>4,500.</v>
      </c>
      <c r="AR191" s="79"/>
      <c r="AS191" s="79"/>
      <c r="AT191" s="79"/>
      <c r="AU191" s="79"/>
      <c r="AV191" s="79"/>
      <c r="AW191" s="79"/>
      <c r="AX191" s="79"/>
      <c r="AY191" s="79" t="s">
        <v>699</v>
      </c>
      <c r="AZ191" s="79"/>
      <c r="BA191" s="79"/>
      <c r="BB191" s="79" t="str">
        <f>TEXT(0.2,"#,##0.#######")</f>
        <v>0.2</v>
      </c>
      <c r="BC191" s="79"/>
      <c r="BD191" s="79"/>
      <c r="BE191" s="79"/>
      <c r="BF191" s="79" t="s">
        <v>477</v>
      </c>
      <c r="BG191" s="79"/>
      <c r="BH191" s="79"/>
      <c r="BI191" s="79" t="s">
        <v>309</v>
      </c>
      <c r="BJ191" s="79"/>
      <c r="BK191" s="79" t="str">
        <f>TEXT(TRUNC(AQ191*BB191,1),"#,##0.#######")</f>
        <v>900.</v>
      </c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  <c r="CQ191" s="79"/>
      <c r="CR191" s="79"/>
      <c r="CS191" s="79"/>
      <c r="CT191" s="79"/>
      <c r="CU191" s="79"/>
      <c r="CV191" s="79"/>
      <c r="CW191" s="79"/>
      <c r="CX191" s="85"/>
      <c r="CY191" s="85"/>
      <c r="CZ191" s="85"/>
      <c r="DA191" s="86"/>
      <c r="DB191" s="84"/>
    </row>
    <row r="192" spans="2:106" ht="11.25" customHeight="1">
      <c r="B192" s="78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79"/>
      <c r="CM192" s="79"/>
      <c r="CN192" s="79"/>
      <c r="CO192" s="79"/>
      <c r="CP192" s="79"/>
      <c r="CQ192" s="79"/>
      <c r="CR192" s="79"/>
      <c r="CS192" s="79"/>
      <c r="CT192" s="79"/>
      <c r="CU192" s="79"/>
      <c r="CV192" s="79"/>
      <c r="CW192" s="79"/>
      <c r="CX192" s="85"/>
      <c r="CY192" s="85"/>
      <c r="CZ192" s="85"/>
      <c r="DA192" s="86"/>
      <c r="DB192" s="84"/>
    </row>
    <row r="193" spans="2:106" ht="11.25" customHeight="1">
      <c r="B193" s="78"/>
      <c r="C193" s="79"/>
      <c r="D193" s="79"/>
      <c r="E193" s="79"/>
      <c r="F193" s="79"/>
      <c r="G193" s="79" t="s">
        <v>533</v>
      </c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 t="s">
        <v>7</v>
      </c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 t="str">
        <f>TEXT(자재단가!R16,"#,##0.#######")</f>
        <v>1,887.</v>
      </c>
      <c r="AE193" s="79"/>
      <c r="AF193" s="79"/>
      <c r="AG193" s="79"/>
      <c r="AH193" s="79"/>
      <c r="AI193" s="79"/>
      <c r="AJ193" s="79"/>
      <c r="AK193" s="79"/>
      <c r="AL193" s="79" t="s">
        <v>699</v>
      </c>
      <c r="AM193" s="79"/>
      <c r="AN193" s="79"/>
      <c r="AO193" s="79" t="str">
        <f>TEXT(0.2,"#,##0.#######")</f>
        <v>0.2</v>
      </c>
      <c r="AP193" s="79"/>
      <c r="AQ193" s="79"/>
      <c r="AR193" s="79"/>
      <c r="AS193" s="79" t="s">
        <v>477</v>
      </c>
      <c r="AT193" s="79"/>
      <c r="AU193" s="79"/>
      <c r="AV193" s="79" t="s">
        <v>309</v>
      </c>
      <c r="AW193" s="79"/>
      <c r="AX193" s="79" t="str">
        <f>TEXT(TRUNC(AD193*AO193,1),"#,##0.#######")</f>
        <v>377.4</v>
      </c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79"/>
      <c r="CM193" s="79"/>
      <c r="CN193" s="79"/>
      <c r="CO193" s="79"/>
      <c r="CP193" s="79"/>
      <c r="CQ193" s="79"/>
      <c r="CR193" s="79"/>
      <c r="CS193" s="79"/>
      <c r="CT193" s="79"/>
      <c r="CU193" s="79"/>
      <c r="CV193" s="79"/>
      <c r="CW193" s="79"/>
      <c r="CX193" s="85"/>
      <c r="CY193" s="85"/>
      <c r="CZ193" s="85"/>
      <c r="DA193" s="86"/>
      <c r="DB193" s="84"/>
    </row>
    <row r="194" spans="2:106" ht="11.25" customHeight="1">
      <c r="B194" s="78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79"/>
      <c r="CM194" s="79"/>
      <c r="CN194" s="79"/>
      <c r="CO194" s="79"/>
      <c r="CP194" s="79"/>
      <c r="CQ194" s="79"/>
      <c r="CR194" s="79"/>
      <c r="CS194" s="79"/>
      <c r="CT194" s="79"/>
      <c r="CU194" s="79"/>
      <c r="CV194" s="79"/>
      <c r="CW194" s="79"/>
      <c r="CX194" s="85"/>
      <c r="CY194" s="85"/>
      <c r="CZ194" s="85"/>
      <c r="DA194" s="86"/>
      <c r="DB194" s="84"/>
    </row>
    <row r="195" spans="2:106" ht="11.25" customHeight="1">
      <c r="B195" s="78"/>
      <c r="C195" s="79"/>
      <c r="D195" s="79"/>
      <c r="E195" s="79"/>
      <c r="F195" s="79"/>
      <c r="G195" s="79" t="s">
        <v>195</v>
      </c>
      <c r="H195" s="79"/>
      <c r="I195" s="79"/>
      <c r="J195" s="79"/>
      <c r="K195" s="79"/>
      <c r="L195" s="79"/>
      <c r="M195" s="79"/>
      <c r="N195" s="79"/>
      <c r="O195" s="79"/>
      <c r="P195" s="79" t="s">
        <v>604</v>
      </c>
      <c r="Q195" s="79"/>
      <c r="R195" s="79" t="str">
        <f>TEXT(TRUNC(BV187+AY189+BK191+AX193,1),"#,##0.#######")</f>
        <v>24,638.9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79"/>
      <c r="CM195" s="79"/>
      <c r="CN195" s="79"/>
      <c r="CO195" s="79"/>
      <c r="CP195" s="79"/>
      <c r="CQ195" s="79"/>
      <c r="CR195" s="79"/>
      <c r="CS195" s="79"/>
      <c r="CT195" s="79"/>
      <c r="CU195" s="79"/>
      <c r="CV195" s="79"/>
      <c r="CW195" s="79"/>
      <c r="CX195" s="85"/>
      <c r="CY195" s="85"/>
      <c r="CZ195" s="85" t="str">
        <f>R195</f>
        <v>24,638.9</v>
      </c>
      <c r="DA195" s="86"/>
      <c r="DB195" s="84"/>
    </row>
    <row r="196" spans="2:106" ht="11.25" customHeight="1">
      <c r="B196" s="78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  <c r="CQ196" s="79"/>
      <c r="CR196" s="79"/>
      <c r="CS196" s="79"/>
      <c r="CT196" s="79"/>
      <c r="CU196" s="79"/>
      <c r="CV196" s="79"/>
      <c r="CW196" s="79"/>
      <c r="CX196" s="85"/>
      <c r="CY196" s="85"/>
      <c r="CZ196" s="85"/>
      <c r="DA196" s="86"/>
      <c r="DB196" s="84"/>
    </row>
    <row r="197" spans="2:106" ht="11.25" customHeight="1">
      <c r="B197" s="78"/>
      <c r="C197" s="79"/>
      <c r="D197" s="79" t="s">
        <v>594</v>
      </c>
      <c r="E197" s="79"/>
      <c r="F197" s="79"/>
      <c r="G197" s="79" t="s">
        <v>406</v>
      </c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  <c r="CQ197" s="79"/>
      <c r="CR197" s="79"/>
      <c r="CS197" s="79"/>
      <c r="CT197" s="79"/>
      <c r="CU197" s="79"/>
      <c r="CV197" s="79"/>
      <c r="CW197" s="79"/>
      <c r="CX197" s="85"/>
      <c r="CY197" s="85"/>
      <c r="CZ197" s="85"/>
      <c r="DA197" s="86"/>
      <c r="DB197" s="84"/>
    </row>
    <row r="198" spans="2:106" ht="11.25" customHeight="1">
      <c r="B198" s="78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79"/>
      <c r="CM198" s="79"/>
      <c r="CN198" s="79"/>
      <c r="CO198" s="79"/>
      <c r="CP198" s="79"/>
      <c r="CQ198" s="79"/>
      <c r="CR198" s="79"/>
      <c r="CS198" s="79"/>
      <c r="CT198" s="79"/>
      <c r="CU198" s="79"/>
      <c r="CV198" s="79"/>
      <c r="CW198" s="79"/>
      <c r="CX198" s="85"/>
      <c r="CY198" s="85"/>
      <c r="CZ198" s="85"/>
      <c r="DA198" s="86"/>
      <c r="DB198" s="84"/>
    </row>
    <row r="199" spans="2:106" ht="11.25" customHeight="1">
      <c r="B199" s="78"/>
      <c r="C199" s="79"/>
      <c r="D199" s="79"/>
      <c r="E199" s="79"/>
      <c r="F199" s="79"/>
      <c r="G199" s="79" t="s">
        <v>43</v>
      </c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 t="s">
        <v>604</v>
      </c>
      <c r="S199" s="79"/>
      <c r="T199" s="79" t="str">
        <f>TEXT(노임단가!F9,"#,##0")</f>
        <v>226,122</v>
      </c>
      <c r="U199" s="79"/>
      <c r="V199" s="79"/>
      <c r="W199" s="79"/>
      <c r="X199" s="79"/>
      <c r="Y199" s="79"/>
      <c r="Z199" s="79"/>
      <c r="AA199" s="79"/>
      <c r="AB199" s="79"/>
      <c r="AC199" s="79"/>
      <c r="AD199" s="79" t="s">
        <v>699</v>
      </c>
      <c r="AE199" s="79"/>
      <c r="AF199" s="79"/>
      <c r="AG199" s="79" t="str">
        <f>TEXT(2,"#,##0.#######")</f>
        <v>2.</v>
      </c>
      <c r="AH199" s="79" t="s">
        <v>767</v>
      </c>
      <c r="AI199" s="79"/>
      <c r="AJ199" s="79"/>
      <c r="AK199" s="79" t="s">
        <v>391</v>
      </c>
      <c r="AL199" s="79"/>
      <c r="AM199" s="79"/>
      <c r="AN199" s="79" t="s">
        <v>262</v>
      </c>
      <c r="AO199" s="79"/>
      <c r="AP199" s="79"/>
      <c r="AQ199" s="79" t="s">
        <v>309</v>
      </c>
      <c r="AR199" s="79"/>
      <c r="AS199" s="79" t="str">
        <f>TEXT(T199,"#,##0.#######")</f>
        <v>226,122.</v>
      </c>
      <c r="AT199" s="79"/>
      <c r="AU199" s="79"/>
      <c r="AV199" s="79"/>
      <c r="AW199" s="79"/>
      <c r="AX199" s="79"/>
      <c r="AY199" s="79"/>
      <c r="AZ199" s="79"/>
      <c r="BA199" s="79" t="s">
        <v>699</v>
      </c>
      <c r="BB199" s="79"/>
      <c r="BC199" s="79"/>
      <c r="BD199" s="79" t="str">
        <f>TEXT(AG199,"#,##0.#######")</f>
        <v>2.</v>
      </c>
      <c r="BE199" s="79"/>
      <c r="BF199" s="79" t="s">
        <v>391</v>
      </c>
      <c r="BG199" s="79"/>
      <c r="BH199" s="79"/>
      <c r="BI199" s="79" t="str">
        <f>TEXT(AD183,"#,##0.#######")</f>
        <v>250.</v>
      </c>
      <c r="BJ199" s="79"/>
      <c r="BK199" s="79"/>
      <c r="BL199" s="79"/>
      <c r="BM199" s="79" t="s">
        <v>309</v>
      </c>
      <c r="BN199" s="79"/>
      <c r="BO199" s="79" t="str">
        <f>TEXT(TRUNC(T199*AG199/AD183,1),"#,##0.#######")</f>
        <v>1,808.9</v>
      </c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79"/>
      <c r="CM199" s="79"/>
      <c r="CN199" s="79"/>
      <c r="CO199" s="79"/>
      <c r="CP199" s="79"/>
      <c r="CQ199" s="79"/>
      <c r="CR199" s="79"/>
      <c r="CS199" s="79"/>
      <c r="CT199" s="79"/>
      <c r="CU199" s="79"/>
      <c r="CV199" s="79"/>
      <c r="CW199" s="79"/>
      <c r="CX199" s="85"/>
      <c r="CY199" s="85"/>
      <c r="CZ199" s="85"/>
      <c r="DA199" s="86"/>
      <c r="DB199" s="84"/>
    </row>
    <row r="200" spans="2:106" ht="11.25" customHeight="1">
      <c r="B200" s="78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  <c r="CQ200" s="79"/>
      <c r="CR200" s="79"/>
      <c r="CS200" s="79"/>
      <c r="CT200" s="79"/>
      <c r="CU200" s="79"/>
      <c r="CV200" s="79"/>
      <c r="CW200" s="79"/>
      <c r="CX200" s="85"/>
      <c r="CY200" s="85"/>
      <c r="CZ200" s="85"/>
      <c r="DA200" s="86"/>
      <c r="DB200" s="84"/>
    </row>
    <row r="201" spans="2:106" ht="11.25" customHeight="1">
      <c r="B201" s="78"/>
      <c r="C201" s="79"/>
      <c r="D201" s="79"/>
      <c r="E201" s="79"/>
      <c r="F201" s="79"/>
      <c r="G201" s="79" t="s">
        <v>54</v>
      </c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 t="s">
        <v>604</v>
      </c>
      <c r="S201" s="79"/>
      <c r="T201" s="79"/>
      <c r="U201" s="79" t="str">
        <f>TEXT(노임단가!F5,"#,##0")</f>
        <v>172,068</v>
      </c>
      <c r="V201" s="79"/>
      <c r="W201" s="79"/>
      <c r="X201" s="79"/>
      <c r="Y201" s="79"/>
      <c r="Z201" s="79"/>
      <c r="AA201" s="79"/>
      <c r="AB201" s="79"/>
      <c r="AC201" s="79"/>
      <c r="AD201" s="79"/>
      <c r="AE201" s="79" t="s">
        <v>699</v>
      </c>
      <c r="AF201" s="79"/>
      <c r="AG201" s="79"/>
      <c r="AH201" s="79" t="str">
        <f>TEXT(2,"#,##0.#######")</f>
        <v>2.</v>
      </c>
      <c r="AI201" s="79" t="s">
        <v>767</v>
      </c>
      <c r="AJ201" s="79"/>
      <c r="AK201" s="79"/>
      <c r="AL201" s="79" t="s">
        <v>391</v>
      </c>
      <c r="AM201" s="79"/>
      <c r="AN201" s="79"/>
      <c r="AO201" s="79" t="s">
        <v>262</v>
      </c>
      <c r="AP201" s="79"/>
      <c r="AQ201" s="79"/>
      <c r="AR201" s="79" t="s">
        <v>309</v>
      </c>
      <c r="AS201" s="79"/>
      <c r="AT201" s="79"/>
      <c r="AU201" s="79" t="str">
        <f>TEXT(U201,"#,##0.#######")</f>
        <v>172,068.</v>
      </c>
      <c r="AV201" s="79"/>
      <c r="AW201" s="79"/>
      <c r="AX201" s="79"/>
      <c r="AY201" s="79"/>
      <c r="AZ201" s="79"/>
      <c r="BA201" s="79"/>
      <c r="BB201" s="79"/>
      <c r="BC201" s="79" t="s">
        <v>699</v>
      </c>
      <c r="BD201" s="79"/>
      <c r="BE201" s="79"/>
      <c r="BF201" s="79" t="str">
        <f>TEXT(AH201,"#,##0.#######")</f>
        <v>2.</v>
      </c>
      <c r="BG201" s="79"/>
      <c r="BH201" s="79" t="s">
        <v>391</v>
      </c>
      <c r="BI201" s="79"/>
      <c r="BJ201" s="79"/>
      <c r="BK201" s="79" t="str">
        <f>TEXT(AD183,"#,##0.#######")</f>
        <v>250.</v>
      </c>
      <c r="BL201" s="79"/>
      <c r="BM201" s="79"/>
      <c r="BN201" s="79"/>
      <c r="BO201" s="79" t="s">
        <v>309</v>
      </c>
      <c r="BP201" s="79"/>
      <c r="BQ201" s="79" t="str">
        <f>TEXT(TRUNC(U201*AH201/AD183,1),"#,##0.#######")</f>
        <v>1,376.5</v>
      </c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  <c r="CQ201" s="79"/>
      <c r="CR201" s="79"/>
      <c r="CS201" s="79"/>
      <c r="CT201" s="79"/>
      <c r="CU201" s="79"/>
      <c r="CV201" s="79"/>
      <c r="CW201" s="79"/>
      <c r="CX201" s="85"/>
      <c r="CY201" s="85"/>
      <c r="CZ201" s="85"/>
      <c r="DA201" s="86"/>
      <c r="DB201" s="84"/>
    </row>
    <row r="202" spans="2:106" ht="11.25" customHeight="1">
      <c r="B202" s="78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  <c r="CQ202" s="79"/>
      <c r="CR202" s="79"/>
      <c r="CS202" s="79"/>
      <c r="CT202" s="79"/>
      <c r="CU202" s="79"/>
      <c r="CV202" s="79"/>
      <c r="CW202" s="79"/>
      <c r="CX202" s="85"/>
      <c r="CY202" s="85"/>
      <c r="CZ202" s="85"/>
      <c r="DA202" s="86"/>
      <c r="DB202" s="84"/>
    </row>
    <row r="203" spans="2:106" ht="11.25" customHeight="1">
      <c r="B203" s="78"/>
      <c r="C203" s="79"/>
      <c r="D203" s="79"/>
      <c r="E203" s="79"/>
      <c r="F203" s="79"/>
      <c r="G203" s="79" t="s">
        <v>565</v>
      </c>
      <c r="H203" s="79"/>
      <c r="I203" s="79"/>
      <c r="J203" s="79"/>
      <c r="K203" s="79"/>
      <c r="L203" s="79"/>
      <c r="M203" s="79"/>
      <c r="N203" s="79"/>
      <c r="O203" s="79"/>
      <c r="P203" s="79" t="s">
        <v>604</v>
      </c>
      <c r="Q203" s="79"/>
      <c r="R203" s="79" t="str">
        <f>TEXT(TRUNC(BO199+BQ201,1),"#,##0.#######")</f>
        <v>3,185.4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79"/>
      <c r="CM203" s="79"/>
      <c r="CN203" s="79"/>
      <c r="CO203" s="79"/>
      <c r="CP203" s="79"/>
      <c r="CQ203" s="79"/>
      <c r="CR203" s="79"/>
      <c r="CS203" s="79"/>
      <c r="CT203" s="79"/>
      <c r="CU203" s="79"/>
      <c r="CV203" s="79"/>
      <c r="CW203" s="79"/>
      <c r="CX203" s="85"/>
      <c r="CY203" s="85" t="str">
        <f>R203</f>
        <v>3,185.4</v>
      </c>
      <c r="CZ203" s="85"/>
      <c r="DA203" s="86"/>
      <c r="DB203" s="84"/>
    </row>
    <row r="204" spans="2:106" ht="11.25" customHeight="1">
      <c r="B204" s="78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  <c r="CQ204" s="79"/>
      <c r="CR204" s="79"/>
      <c r="CS204" s="79"/>
      <c r="CT204" s="79"/>
      <c r="CU204" s="79"/>
      <c r="CV204" s="79"/>
      <c r="CW204" s="79"/>
      <c r="CX204" s="85"/>
      <c r="CY204" s="85"/>
      <c r="CZ204" s="85"/>
      <c r="DA204" s="86"/>
      <c r="DB204" s="84"/>
    </row>
    <row r="205" spans="2:106" ht="11.25" customHeight="1">
      <c r="B205" s="78"/>
      <c r="C205" s="79"/>
      <c r="D205" s="79" t="s">
        <v>832</v>
      </c>
      <c r="E205" s="79"/>
      <c r="F205" s="79"/>
      <c r="G205" s="79" t="s">
        <v>200</v>
      </c>
      <c r="H205" s="79"/>
      <c r="I205" s="79"/>
      <c r="J205" s="79"/>
      <c r="K205" s="79"/>
      <c r="L205" s="79"/>
      <c r="M205" s="79"/>
      <c r="N205" s="79"/>
      <c r="O205" s="79" t="s">
        <v>431</v>
      </c>
      <c r="P205" s="79" t="s">
        <v>130</v>
      </c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 t="s">
        <v>225</v>
      </c>
      <c r="AB205" s="79" t="s">
        <v>157</v>
      </c>
      <c r="AC205" s="79" t="s">
        <v>89</v>
      </c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85"/>
      <c r="CY205" s="85"/>
      <c r="CZ205" s="85"/>
      <c r="DA205" s="86"/>
      <c r="DB205" s="84"/>
    </row>
    <row r="206" spans="2:106" ht="11.25" customHeight="1">
      <c r="B206" s="78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  <c r="CQ206" s="79"/>
      <c r="CR206" s="79"/>
      <c r="CS206" s="79"/>
      <c r="CT206" s="79"/>
      <c r="CU206" s="79"/>
      <c r="CV206" s="79"/>
      <c r="CW206" s="79"/>
      <c r="CX206" s="85"/>
      <c r="CY206" s="85"/>
      <c r="CZ206" s="85"/>
      <c r="DA206" s="86"/>
      <c r="DB206" s="84"/>
    </row>
    <row r="207" spans="2:106" ht="11.25" customHeight="1">
      <c r="B207" s="78"/>
      <c r="C207" s="79"/>
      <c r="D207" s="79"/>
      <c r="E207" s="79"/>
      <c r="F207" s="79"/>
      <c r="G207" s="79" t="str">
        <f>R195</f>
        <v>24,638.9</v>
      </c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 t="s">
        <v>699</v>
      </c>
      <c r="S207" s="79"/>
      <c r="T207" s="79"/>
      <c r="U207" s="79" t="str">
        <f>TEXT(1,"#,##0.#######")</f>
        <v>1.</v>
      </c>
      <c r="V207" s="79" t="s">
        <v>157</v>
      </c>
      <c r="W207" s="79"/>
      <c r="X207" s="79" t="s">
        <v>309</v>
      </c>
      <c r="Y207" s="79"/>
      <c r="Z207" s="79" t="str">
        <f>TEXT(TRUNC(R195*(U207*(1/100)),1),"#,##0.#")</f>
        <v>246.3</v>
      </c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CU207" s="79"/>
      <c r="CV207" s="79"/>
      <c r="CW207" s="79"/>
      <c r="CX207" s="85">
        <f>CY207+CZ207+DA207</f>
        <v>246.3</v>
      </c>
      <c r="CY207" s="85"/>
      <c r="CZ207" s="85" t="str">
        <f>Z207</f>
        <v>246.3</v>
      </c>
      <c r="DA207" s="86"/>
      <c r="DB207" s="84"/>
    </row>
    <row r="208" spans="2:106" ht="11.25" customHeight="1">
      <c r="B208" s="78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CU208" s="79"/>
      <c r="CV208" s="79"/>
      <c r="CW208" s="79"/>
      <c r="CX208" s="85"/>
      <c r="CY208" s="85"/>
      <c r="CZ208" s="85"/>
      <c r="DA208" s="86"/>
      <c r="DB208" s="84"/>
    </row>
    <row r="209" spans="2:106" ht="11.25" customHeight="1">
      <c r="B209" s="78"/>
      <c r="C209" s="79"/>
      <c r="D209" s="79" t="s">
        <v>165</v>
      </c>
      <c r="E209" s="79"/>
      <c r="F209" s="79"/>
      <c r="G209" s="79" t="s">
        <v>446</v>
      </c>
      <c r="H209" s="79"/>
      <c r="I209" s="79"/>
      <c r="J209" s="79"/>
      <c r="K209" s="79"/>
      <c r="L209" s="79"/>
      <c r="M209" s="79"/>
      <c r="N209" s="79"/>
      <c r="O209" s="79"/>
      <c r="P209" s="79" t="s">
        <v>327</v>
      </c>
      <c r="Q209" s="79"/>
      <c r="R209" s="79"/>
      <c r="S209" s="79" t="s">
        <v>75</v>
      </c>
      <c r="T209" s="79"/>
      <c r="U209" s="79"/>
      <c r="V209" s="79"/>
      <c r="W209" s="79"/>
      <c r="X209" s="79"/>
      <c r="Y209" s="79" t="s">
        <v>431</v>
      </c>
      <c r="Z209" s="79" t="s">
        <v>117</v>
      </c>
      <c r="AA209" s="79"/>
      <c r="AB209" s="79"/>
      <c r="AC209" s="79"/>
      <c r="AD209" s="79"/>
      <c r="AE209" s="79"/>
      <c r="AF209" s="79"/>
      <c r="AG209" s="79"/>
      <c r="AH209" s="79" t="s">
        <v>716</v>
      </c>
      <c r="AI209" s="79"/>
      <c r="AJ209" s="79"/>
      <c r="AK209" s="79"/>
      <c r="AL209" s="79"/>
      <c r="AM209" s="79"/>
      <c r="AN209" s="79"/>
      <c r="AO209" s="79" t="s">
        <v>89</v>
      </c>
      <c r="AP209" s="79" t="s">
        <v>245</v>
      </c>
      <c r="AQ209" s="79"/>
      <c r="AR209" s="79"/>
      <c r="AS209" s="79" t="s">
        <v>106</v>
      </c>
      <c r="AT209" s="79"/>
      <c r="AU209" s="79"/>
      <c r="AV209" s="79"/>
      <c r="AW209" s="79"/>
      <c r="AX209" s="79"/>
      <c r="AY209" s="79"/>
      <c r="AZ209" s="79"/>
      <c r="BA209" s="79" t="s">
        <v>23</v>
      </c>
      <c r="BB209" s="79" t="s">
        <v>431</v>
      </c>
      <c r="BC209" s="79" t="s">
        <v>460</v>
      </c>
      <c r="BD209" s="79"/>
      <c r="BE209" s="79"/>
      <c r="BF209" s="79"/>
      <c r="BG209" s="79"/>
      <c r="BH209" s="79"/>
      <c r="BI209" s="79"/>
      <c r="BJ209" s="79"/>
      <c r="BK209" s="79"/>
      <c r="BL209" s="79" t="s">
        <v>90</v>
      </c>
      <c r="BM209" s="79"/>
      <c r="BN209" s="79" t="s">
        <v>157</v>
      </c>
      <c r="BO209" s="79" t="s">
        <v>89</v>
      </c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  <c r="CQ209" s="79"/>
      <c r="CR209" s="79"/>
      <c r="CS209" s="79"/>
      <c r="CT209" s="79"/>
      <c r="CU209" s="79"/>
      <c r="CV209" s="79"/>
      <c r="CW209" s="79"/>
      <c r="CX209" s="85"/>
      <c r="CY209" s="85"/>
      <c r="CZ209" s="85"/>
      <c r="DA209" s="86"/>
      <c r="DB209" s="84"/>
    </row>
    <row r="210" spans="2:106" ht="11.25" customHeight="1">
      <c r="B210" s="78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85"/>
      <c r="CY210" s="85"/>
      <c r="CZ210" s="85"/>
      <c r="DA210" s="86"/>
      <c r="DB210" s="84"/>
    </row>
    <row r="211" spans="2:106" ht="11.25" customHeight="1">
      <c r="B211" s="78"/>
      <c r="C211" s="79"/>
      <c r="D211" s="79"/>
      <c r="E211" s="79"/>
      <c r="F211" s="79"/>
      <c r="G211" s="79" t="str">
        <f>R203</f>
        <v>3,185.4</v>
      </c>
      <c r="H211" s="79"/>
      <c r="I211" s="79"/>
      <c r="J211" s="79"/>
      <c r="K211" s="79"/>
      <c r="L211" s="79"/>
      <c r="M211" s="79"/>
      <c r="N211" s="79"/>
      <c r="O211" s="79"/>
      <c r="P211" s="79"/>
      <c r="Q211" s="79" t="s">
        <v>699</v>
      </c>
      <c r="R211" s="79"/>
      <c r="S211" s="79"/>
      <c r="T211" s="79" t="str">
        <f>TEXT(10,"#,##0.#######")</f>
        <v>10.</v>
      </c>
      <c r="U211" s="79"/>
      <c r="V211" s="79" t="s">
        <v>157</v>
      </c>
      <c r="W211" s="79"/>
      <c r="X211" s="79" t="s">
        <v>309</v>
      </c>
      <c r="Y211" s="79"/>
      <c r="Z211" s="79" t="str">
        <f>TEXT(TRUNC(R203*(T211*(1/100)),1),"#,##0.#")</f>
        <v>318.5</v>
      </c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85">
        <f>CY211+CZ211+DA211</f>
        <v>318.5</v>
      </c>
      <c r="CY211" s="85"/>
      <c r="CZ211" s="85"/>
      <c r="DA211" s="86" t="str">
        <f>Z211</f>
        <v>318.5</v>
      </c>
      <c r="DB211" s="84"/>
    </row>
    <row r="212" spans="2:106" ht="11.25" customHeight="1">
      <c r="B212" s="78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85"/>
      <c r="CY212" s="85"/>
      <c r="CZ212" s="85"/>
      <c r="DA212" s="86"/>
      <c r="DB212" s="84"/>
    </row>
    <row r="213" spans="2:106" ht="11.25" customHeight="1">
      <c r="B213" s="78"/>
      <c r="C213" s="79"/>
      <c r="D213" s="79" t="s">
        <v>389</v>
      </c>
      <c r="E213" s="79"/>
      <c r="F213" s="79"/>
      <c r="G213" s="79" t="s">
        <v>106</v>
      </c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85"/>
      <c r="CY213" s="85"/>
      <c r="CZ213" s="85"/>
      <c r="DA213" s="86"/>
      <c r="DB213" s="84"/>
    </row>
    <row r="214" spans="2:106" ht="11.25" customHeight="1">
      <c r="B214" s="78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85"/>
      <c r="CY214" s="85"/>
      <c r="CZ214" s="85"/>
      <c r="DA214" s="86"/>
      <c r="DB214" s="84"/>
    </row>
    <row r="215" spans="2:106" ht="11.25" customHeight="1">
      <c r="B215" s="78"/>
      <c r="C215" s="79"/>
      <c r="D215" s="79"/>
      <c r="E215" s="79" t="s">
        <v>614</v>
      </c>
      <c r="F215" s="79"/>
      <c r="G215" s="79" t="s">
        <v>587</v>
      </c>
      <c r="H215" s="79"/>
      <c r="I215" s="79" t="s">
        <v>353</v>
      </c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 t="s">
        <v>116</v>
      </c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 t="s">
        <v>604</v>
      </c>
      <c r="AF215" s="79"/>
      <c r="AG215" s="79" t="s">
        <v>42</v>
      </c>
      <c r="AH215" s="79"/>
      <c r="AI215" s="79"/>
      <c r="AJ215" s="79"/>
      <c r="AK215" s="79"/>
      <c r="AL215" s="79"/>
      <c r="AM215" s="79"/>
      <c r="AN215" s="79" t="s">
        <v>100</v>
      </c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  <c r="CQ215" s="79"/>
      <c r="CR215" s="79"/>
      <c r="CS215" s="79"/>
      <c r="CT215" s="79"/>
      <c r="CU215" s="79"/>
      <c r="CV215" s="79"/>
      <c r="CW215" s="79"/>
      <c r="CX215" s="85"/>
      <c r="CY215" s="85"/>
      <c r="CZ215" s="85"/>
      <c r="DA215" s="86"/>
      <c r="DB215" s="84"/>
    </row>
    <row r="216" spans="2:106" ht="11.25" customHeight="1">
      <c r="B216" s="78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85"/>
      <c r="CY216" s="85"/>
      <c r="CZ216" s="85"/>
      <c r="DA216" s="86"/>
      <c r="DB216" s="84"/>
    </row>
    <row r="217" spans="2:106" ht="11.25" customHeight="1">
      <c r="B217" s="78"/>
      <c r="C217" s="79"/>
      <c r="D217" s="79"/>
      <c r="E217" s="79"/>
      <c r="F217" s="79"/>
      <c r="G217" s="79" t="s">
        <v>49</v>
      </c>
      <c r="H217" s="79"/>
      <c r="I217" s="79" t="s">
        <v>309</v>
      </c>
      <c r="J217" s="79"/>
      <c r="K217" s="79" t="s">
        <v>262</v>
      </c>
      <c r="L217" s="79"/>
      <c r="M217" s="79"/>
      <c r="N217" s="79" t="s">
        <v>391</v>
      </c>
      <c r="O217" s="79"/>
      <c r="P217" s="79"/>
      <c r="Q217" s="79" t="str">
        <f>TEXT(8,"#,##0.#######")</f>
        <v>8.</v>
      </c>
      <c r="R217" s="79" t="s">
        <v>598</v>
      </c>
      <c r="S217" s="79"/>
      <c r="T217" s="79"/>
      <c r="U217" s="79" t="s">
        <v>309</v>
      </c>
      <c r="V217" s="79"/>
      <c r="W217" s="79" t="str">
        <f>TEXT(AD183,"#,##0.#######")</f>
        <v>250.</v>
      </c>
      <c r="X217" s="79"/>
      <c r="Y217" s="79"/>
      <c r="Z217" s="79"/>
      <c r="AA217" s="79" t="s">
        <v>391</v>
      </c>
      <c r="AB217" s="79"/>
      <c r="AC217" s="79"/>
      <c r="AD217" s="79" t="str">
        <f>TEXT(Q217,"#,##0.#######")</f>
        <v>8.</v>
      </c>
      <c r="AE217" s="79"/>
      <c r="AF217" s="79" t="s">
        <v>309</v>
      </c>
      <c r="AG217" s="79"/>
      <c r="AH217" s="79" t="str">
        <f>TEXT(ROUND(AD183/Q217,2),"#,##0.#######")</f>
        <v>31.25</v>
      </c>
      <c r="AI217" s="79"/>
      <c r="AJ217" s="79"/>
      <c r="AK217" s="79"/>
      <c r="AL217" s="79"/>
      <c r="AM217" s="79"/>
      <c r="AN217" s="79"/>
      <c r="AO217" s="79" t="s">
        <v>596</v>
      </c>
      <c r="AP217" s="79"/>
      <c r="AQ217" s="79" t="s">
        <v>123</v>
      </c>
      <c r="AR217" s="79" t="s">
        <v>598</v>
      </c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85"/>
      <c r="CY217" s="85"/>
      <c r="CZ217" s="85"/>
      <c r="DA217" s="86"/>
      <c r="DB217" s="84"/>
    </row>
    <row r="218" spans="2:106" ht="11.25" customHeight="1">
      <c r="B218" s="78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85"/>
      <c r="CY218" s="85"/>
      <c r="CZ218" s="85"/>
      <c r="DA218" s="86"/>
      <c r="DB218" s="84"/>
    </row>
    <row r="219" spans="2:106" ht="11.25" customHeight="1">
      <c r="B219" s="78"/>
      <c r="C219" s="79"/>
      <c r="D219" s="79"/>
      <c r="E219" s="79"/>
      <c r="F219" s="79"/>
      <c r="G219" s="79" t="s">
        <v>700</v>
      </c>
      <c r="H219" s="79"/>
      <c r="I219" s="79"/>
      <c r="J219" s="79"/>
      <c r="K219" s="79"/>
      <c r="L219" s="79"/>
      <c r="M219" s="79"/>
      <c r="N219" s="79" t="s">
        <v>604</v>
      </c>
      <c r="O219" s="79"/>
      <c r="P219" s="79" t="str">
        <f>TEXT(기계경비총괄표!G13,"#,##0")</f>
        <v>49,778</v>
      </c>
      <c r="Q219" s="79"/>
      <c r="R219" s="79"/>
      <c r="S219" s="79"/>
      <c r="T219" s="79"/>
      <c r="U219" s="79"/>
      <c r="V219" s="79"/>
      <c r="W219" s="79"/>
      <c r="X219" s="79"/>
      <c r="Y219" s="79" t="s">
        <v>391</v>
      </c>
      <c r="Z219" s="79"/>
      <c r="AA219" s="79"/>
      <c r="AB219" s="79" t="str">
        <f>TEXT(AH217,"#,##0.#######")</f>
        <v>31.25</v>
      </c>
      <c r="AC219" s="79"/>
      <c r="AD219" s="79"/>
      <c r="AE219" s="79"/>
      <c r="AF219" s="79"/>
      <c r="AG219" s="79"/>
      <c r="AH219" s="79"/>
      <c r="AI219" s="79"/>
      <c r="AJ219" s="79" t="s">
        <v>309</v>
      </c>
      <c r="AK219" s="79"/>
      <c r="AL219" s="79"/>
      <c r="AM219" s="79" t="str">
        <f>TEXT(TRUNC(P219/AH217,1),"#,##0.#")</f>
        <v>1,592.8</v>
      </c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85"/>
      <c r="CY219" s="85"/>
      <c r="CZ219" s="85"/>
      <c r="DA219" s="86"/>
      <c r="DB219" s="84"/>
    </row>
    <row r="220" spans="2:106" ht="11.25" customHeight="1">
      <c r="B220" s="78"/>
      <c r="C220" s="79"/>
      <c r="D220" s="79"/>
      <c r="E220" s="79"/>
      <c r="F220" s="79"/>
      <c r="G220" s="79" t="s">
        <v>498</v>
      </c>
      <c r="H220" s="79"/>
      <c r="I220" s="79"/>
      <c r="J220" s="79"/>
      <c r="K220" s="79"/>
      <c r="L220" s="79"/>
      <c r="M220" s="79"/>
      <c r="N220" s="79" t="s">
        <v>604</v>
      </c>
      <c r="O220" s="79"/>
      <c r="P220" s="79"/>
      <c r="Q220" s="79" t="str">
        <f>TEXT(기계경비총괄표!H13,"#,##0")</f>
        <v>9,494</v>
      </c>
      <c r="R220" s="79"/>
      <c r="S220" s="79"/>
      <c r="T220" s="79"/>
      <c r="U220" s="79"/>
      <c r="V220" s="79"/>
      <c r="W220" s="79"/>
      <c r="X220" s="79"/>
      <c r="Y220" s="79" t="s">
        <v>391</v>
      </c>
      <c r="Z220" s="79"/>
      <c r="AA220" s="79"/>
      <c r="AB220" s="79" t="str">
        <f>TEXT(AH217,"#,##0.#######")</f>
        <v>31.25</v>
      </c>
      <c r="AC220" s="79"/>
      <c r="AD220" s="79"/>
      <c r="AE220" s="79"/>
      <c r="AF220" s="79"/>
      <c r="AG220" s="79"/>
      <c r="AH220" s="79"/>
      <c r="AI220" s="79"/>
      <c r="AJ220" s="79" t="s">
        <v>309</v>
      </c>
      <c r="AK220" s="79"/>
      <c r="AL220" s="79"/>
      <c r="AM220" s="79" t="str">
        <f>TEXT(TRUNC(Q220/AH217,1),"#,##0.#")</f>
        <v>303.8</v>
      </c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  <c r="CQ220" s="79"/>
      <c r="CR220" s="79"/>
      <c r="CS220" s="79"/>
      <c r="CT220" s="79"/>
      <c r="CU220" s="79"/>
      <c r="CV220" s="79"/>
      <c r="CW220" s="79"/>
      <c r="CX220" s="85"/>
      <c r="CY220" s="85"/>
      <c r="CZ220" s="85"/>
      <c r="DA220" s="86"/>
      <c r="DB220" s="84"/>
    </row>
    <row r="221" spans="2:106" ht="11.25" customHeight="1">
      <c r="B221" s="78"/>
      <c r="C221" s="79"/>
      <c r="D221" s="79"/>
      <c r="E221" s="79"/>
      <c r="F221" s="79"/>
      <c r="G221" s="79" t="s">
        <v>160</v>
      </c>
      <c r="H221" s="79"/>
      <c r="I221" s="79"/>
      <c r="J221" s="79"/>
      <c r="K221" s="79" t="s">
        <v>440</v>
      </c>
      <c r="L221" s="79"/>
      <c r="M221" s="79"/>
      <c r="N221" s="79" t="s">
        <v>604</v>
      </c>
      <c r="O221" s="79"/>
      <c r="P221" s="79"/>
      <c r="Q221" s="79" t="str">
        <f>TEXT(기계경비총괄표!I13,"#,##0")</f>
        <v>7,613</v>
      </c>
      <c r="R221" s="79"/>
      <c r="S221" s="79"/>
      <c r="T221" s="79"/>
      <c r="U221" s="79"/>
      <c r="V221" s="79"/>
      <c r="W221" s="79"/>
      <c r="X221" s="79"/>
      <c r="Y221" s="79" t="s">
        <v>391</v>
      </c>
      <c r="Z221" s="79"/>
      <c r="AA221" s="79"/>
      <c r="AB221" s="79" t="str">
        <f>TEXT(AH217,"#,##0.#######")</f>
        <v>31.25</v>
      </c>
      <c r="AC221" s="79"/>
      <c r="AD221" s="79"/>
      <c r="AE221" s="79"/>
      <c r="AF221" s="79"/>
      <c r="AG221" s="79"/>
      <c r="AH221" s="79"/>
      <c r="AI221" s="79"/>
      <c r="AJ221" s="79" t="s">
        <v>309</v>
      </c>
      <c r="AK221" s="79"/>
      <c r="AL221" s="79"/>
      <c r="AM221" s="79" t="str">
        <f>TEXT(TRUNC(Q221/AH217,1),"#,##0.#")</f>
        <v>243.6</v>
      </c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85"/>
      <c r="CY221" s="85"/>
      <c r="CZ221" s="85"/>
      <c r="DA221" s="86"/>
      <c r="DB221" s="84"/>
    </row>
    <row r="222" spans="2:106" ht="11.25" customHeight="1">
      <c r="B222" s="78"/>
      <c r="C222" s="79"/>
      <c r="D222" s="79"/>
      <c r="E222" s="79"/>
      <c r="F222" s="79"/>
      <c r="G222" s="79" t="s">
        <v>305</v>
      </c>
      <c r="H222" s="79"/>
      <c r="I222" s="79"/>
      <c r="J222" s="79"/>
      <c r="K222" s="79" t="s">
        <v>436</v>
      </c>
      <c r="L222" s="79"/>
      <c r="M222" s="79"/>
      <c r="N222" s="79" t="s">
        <v>604</v>
      </c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 t="str">
        <f>TEXT(AM219+AM220+AM221,"#,##0.#######")</f>
        <v>2,140.2</v>
      </c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  <c r="CQ222" s="79"/>
      <c r="CR222" s="79"/>
      <c r="CS222" s="79"/>
      <c r="CT222" s="79"/>
      <c r="CU222" s="79"/>
      <c r="CV222" s="79"/>
      <c r="CW222" s="79"/>
      <c r="CX222" s="85">
        <f>CY222+CZ222+DA222</f>
        <v>2140.1999999999998</v>
      </c>
      <c r="CY222" s="85" t="str">
        <f>TEXT(AM219,"#,###.0")</f>
        <v>1,592.8</v>
      </c>
      <c r="CZ222" s="85" t="str">
        <f>TEXT(AM220,"#,###.0")</f>
        <v>303.8</v>
      </c>
      <c r="DA222" s="86" t="str">
        <f>TEXT(AM221,"#,###.0")</f>
        <v>243.6</v>
      </c>
      <c r="DB222" s="84"/>
    </row>
    <row r="223" spans="2:106" ht="11.25" customHeight="1">
      <c r="B223" s="78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85"/>
      <c r="CY223" s="85"/>
      <c r="CZ223" s="85"/>
      <c r="DA223" s="86"/>
      <c r="DB223" s="84"/>
    </row>
    <row r="224" spans="2:106" ht="11.25" customHeight="1">
      <c r="B224" s="78"/>
      <c r="C224" s="79"/>
      <c r="D224" s="79"/>
      <c r="E224" s="79" t="s">
        <v>496</v>
      </c>
      <c r="F224" s="79"/>
      <c r="G224" s="79" t="s">
        <v>587</v>
      </c>
      <c r="H224" s="79"/>
      <c r="I224" s="79" t="s">
        <v>353</v>
      </c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 t="s">
        <v>57</v>
      </c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 t="s">
        <v>604</v>
      </c>
      <c r="AF224" s="79"/>
      <c r="AG224" s="79" t="s">
        <v>363</v>
      </c>
      <c r="AH224" s="79"/>
      <c r="AI224" s="79"/>
      <c r="AJ224" s="79"/>
      <c r="AK224" s="79" t="s">
        <v>256</v>
      </c>
      <c r="AL224" s="79"/>
      <c r="AM224" s="79"/>
      <c r="AN224" s="79"/>
      <c r="AO224" s="79"/>
      <c r="AP224" s="79"/>
      <c r="AQ224" s="79"/>
      <c r="AR224" s="79"/>
      <c r="AS224" s="79" t="s">
        <v>75</v>
      </c>
      <c r="AT224" s="79"/>
      <c r="AU224" s="79"/>
      <c r="AV224" s="79"/>
      <c r="AW224" s="79"/>
      <c r="AX224" s="79"/>
      <c r="AY224" s="79"/>
      <c r="AZ224" s="79" t="s">
        <v>100</v>
      </c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85"/>
      <c r="CY224" s="85"/>
      <c r="CZ224" s="85"/>
      <c r="DA224" s="86"/>
      <c r="DB224" s="84"/>
    </row>
    <row r="225" spans="2:106" ht="11.25" customHeight="1">
      <c r="B225" s="78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79"/>
      <c r="CM225" s="79"/>
      <c r="CN225" s="79"/>
      <c r="CO225" s="79"/>
      <c r="CP225" s="79"/>
      <c r="CQ225" s="79"/>
      <c r="CR225" s="79"/>
      <c r="CS225" s="79"/>
      <c r="CT225" s="79"/>
      <c r="CU225" s="79"/>
      <c r="CV225" s="79"/>
      <c r="CW225" s="79"/>
      <c r="CX225" s="85"/>
      <c r="CY225" s="85"/>
      <c r="CZ225" s="85"/>
      <c r="DA225" s="86"/>
      <c r="DB225" s="84"/>
    </row>
    <row r="226" spans="2:106" ht="11.25" customHeight="1">
      <c r="B226" s="78"/>
      <c r="C226" s="79"/>
      <c r="D226" s="79"/>
      <c r="E226" s="79"/>
      <c r="F226" s="79"/>
      <c r="G226" s="79" t="s">
        <v>700</v>
      </c>
      <c r="H226" s="79"/>
      <c r="I226" s="79"/>
      <c r="J226" s="79"/>
      <c r="K226" s="79"/>
      <c r="L226" s="79"/>
      <c r="M226" s="79"/>
      <c r="N226" s="79" t="s">
        <v>604</v>
      </c>
      <c r="O226" s="79"/>
      <c r="P226" s="79" t="str">
        <f>TEXT(기계경비총괄표!G14,"#,##0")</f>
        <v>49,778</v>
      </c>
      <c r="Q226" s="79"/>
      <c r="R226" s="79"/>
      <c r="S226" s="79"/>
      <c r="T226" s="79"/>
      <c r="U226" s="79"/>
      <c r="V226" s="79"/>
      <c r="W226" s="79"/>
      <c r="X226" s="79"/>
      <c r="Y226" s="79" t="s">
        <v>391</v>
      </c>
      <c r="Z226" s="79"/>
      <c r="AA226" s="79"/>
      <c r="AB226" s="79" t="str">
        <f>TEXT(AH217,"#,##0.#######")</f>
        <v>31.25</v>
      </c>
      <c r="AC226" s="79"/>
      <c r="AD226" s="79"/>
      <c r="AE226" s="79"/>
      <c r="AF226" s="79"/>
      <c r="AG226" s="79"/>
      <c r="AH226" s="79"/>
      <c r="AI226" s="79"/>
      <c r="AJ226" s="79" t="s">
        <v>309</v>
      </c>
      <c r="AK226" s="79"/>
      <c r="AL226" s="79" t="str">
        <f>TEXT(TRUNC(P226/AH217,1),"#,##0.#")</f>
        <v>1,592.8</v>
      </c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85"/>
      <c r="CY226" s="85"/>
      <c r="CZ226" s="85"/>
      <c r="DA226" s="86"/>
      <c r="DB226" s="84"/>
    </row>
    <row r="227" spans="2:106" ht="11.25" customHeight="1">
      <c r="B227" s="78"/>
      <c r="C227" s="79"/>
      <c r="D227" s="79"/>
      <c r="E227" s="79"/>
      <c r="F227" s="79"/>
      <c r="G227" s="79" t="s">
        <v>498</v>
      </c>
      <c r="H227" s="79"/>
      <c r="I227" s="79"/>
      <c r="J227" s="79"/>
      <c r="K227" s="79"/>
      <c r="L227" s="79"/>
      <c r="M227" s="79"/>
      <c r="N227" s="79" t="s">
        <v>604</v>
      </c>
      <c r="O227" s="79"/>
      <c r="P227" s="79"/>
      <c r="Q227" s="79" t="str">
        <f>TEXT(기계경비총괄표!H14,"#,##0")</f>
        <v>5,506</v>
      </c>
      <c r="R227" s="79"/>
      <c r="S227" s="79"/>
      <c r="T227" s="79"/>
      <c r="U227" s="79"/>
      <c r="V227" s="79"/>
      <c r="W227" s="79"/>
      <c r="X227" s="79"/>
      <c r="Y227" s="79" t="s">
        <v>391</v>
      </c>
      <c r="Z227" s="79"/>
      <c r="AA227" s="79"/>
      <c r="AB227" s="79" t="str">
        <f>TEXT(AH217,"#,##0.#######")</f>
        <v>31.25</v>
      </c>
      <c r="AC227" s="79"/>
      <c r="AD227" s="79"/>
      <c r="AE227" s="79"/>
      <c r="AF227" s="79"/>
      <c r="AG227" s="79"/>
      <c r="AH227" s="79"/>
      <c r="AI227" s="79"/>
      <c r="AJ227" s="79" t="s">
        <v>309</v>
      </c>
      <c r="AK227" s="79"/>
      <c r="AL227" s="79"/>
      <c r="AM227" s="79" t="str">
        <f>TEXT(TRUNC(Q227/AH217,1),"#,##0.#")</f>
        <v>176.1</v>
      </c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  <c r="CQ227" s="79"/>
      <c r="CR227" s="79"/>
      <c r="CS227" s="79"/>
      <c r="CT227" s="79"/>
      <c r="CU227" s="79"/>
      <c r="CV227" s="79"/>
      <c r="CW227" s="79"/>
      <c r="CX227" s="85"/>
      <c r="CY227" s="85"/>
      <c r="CZ227" s="85"/>
      <c r="DA227" s="86"/>
      <c r="DB227" s="84"/>
    </row>
    <row r="228" spans="2:106" ht="11.25" customHeight="1">
      <c r="B228" s="78"/>
      <c r="C228" s="79"/>
      <c r="D228" s="79"/>
      <c r="E228" s="79"/>
      <c r="F228" s="79"/>
      <c r="G228" s="79" t="s">
        <v>160</v>
      </c>
      <c r="H228" s="79"/>
      <c r="I228" s="79"/>
      <c r="J228" s="79"/>
      <c r="K228" s="79" t="s">
        <v>440</v>
      </c>
      <c r="L228" s="79"/>
      <c r="M228" s="79"/>
      <c r="N228" s="79" t="s">
        <v>604</v>
      </c>
      <c r="O228" s="79"/>
      <c r="P228" s="79"/>
      <c r="Q228" s="79" t="str">
        <f>TEXT(기계경비총괄표!I14,"#,##0")</f>
        <v>6,522</v>
      </c>
      <c r="R228" s="79"/>
      <c r="S228" s="79"/>
      <c r="T228" s="79"/>
      <c r="U228" s="79"/>
      <c r="V228" s="79"/>
      <c r="W228" s="79"/>
      <c r="X228" s="79"/>
      <c r="Y228" s="79" t="s">
        <v>391</v>
      </c>
      <c r="Z228" s="79"/>
      <c r="AA228" s="79"/>
      <c r="AB228" s="79" t="str">
        <f>TEXT(AH217,"#,##0.#######")</f>
        <v>31.25</v>
      </c>
      <c r="AC228" s="79"/>
      <c r="AD228" s="79"/>
      <c r="AE228" s="79"/>
      <c r="AF228" s="79"/>
      <c r="AG228" s="79"/>
      <c r="AH228" s="79"/>
      <c r="AI228" s="79"/>
      <c r="AJ228" s="79" t="s">
        <v>309</v>
      </c>
      <c r="AK228" s="79"/>
      <c r="AL228" s="79"/>
      <c r="AM228" s="79" t="str">
        <f>TEXT(TRUNC(Q228/AH217,1),"#,##0.#")</f>
        <v>208.7</v>
      </c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79"/>
      <c r="CM228" s="79"/>
      <c r="CN228" s="79"/>
      <c r="CO228" s="79"/>
      <c r="CP228" s="79"/>
      <c r="CQ228" s="79"/>
      <c r="CR228" s="79"/>
      <c r="CS228" s="79"/>
      <c r="CT228" s="79"/>
      <c r="CU228" s="79"/>
      <c r="CV228" s="79"/>
      <c r="CW228" s="79"/>
      <c r="CX228" s="85"/>
      <c r="CY228" s="85"/>
      <c r="CZ228" s="85"/>
      <c r="DA228" s="86"/>
      <c r="DB228" s="84"/>
    </row>
    <row r="229" spans="2:106" ht="11.25" customHeight="1">
      <c r="B229" s="78"/>
      <c r="C229" s="79"/>
      <c r="D229" s="79"/>
      <c r="E229" s="79"/>
      <c r="F229" s="79"/>
      <c r="G229" s="79" t="s">
        <v>305</v>
      </c>
      <c r="H229" s="79"/>
      <c r="I229" s="79"/>
      <c r="J229" s="79"/>
      <c r="K229" s="79" t="s">
        <v>436</v>
      </c>
      <c r="L229" s="79"/>
      <c r="M229" s="79"/>
      <c r="N229" s="79" t="s">
        <v>604</v>
      </c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 t="str">
        <f>TEXT(AL226+AM227+AM228,"#,##0.#######")</f>
        <v>1,977.6</v>
      </c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  <c r="CQ229" s="79"/>
      <c r="CR229" s="79"/>
      <c r="CS229" s="79"/>
      <c r="CT229" s="79"/>
      <c r="CU229" s="79"/>
      <c r="CV229" s="79"/>
      <c r="CW229" s="79"/>
      <c r="CX229" s="85">
        <f>CY229+CZ229+DA229</f>
        <v>1977.6</v>
      </c>
      <c r="CY229" s="85" t="str">
        <f>TEXT(AL226,"#,###.0")</f>
        <v>1,592.8</v>
      </c>
      <c r="CZ229" s="85" t="str">
        <f>TEXT(AM227,"#,###.0")</f>
        <v>176.1</v>
      </c>
      <c r="DA229" s="86" t="str">
        <f>TEXT(AM228,"#,###.0")</f>
        <v>208.7</v>
      </c>
      <c r="DB229" s="84"/>
    </row>
    <row r="230" spans="2:106" ht="11.25" customHeight="1">
      <c r="B230" s="78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  <c r="CQ230" s="79"/>
      <c r="CR230" s="79"/>
      <c r="CS230" s="79"/>
      <c r="CT230" s="79"/>
      <c r="CU230" s="79"/>
      <c r="CV230" s="79"/>
      <c r="CW230" s="79"/>
      <c r="CX230" s="85"/>
      <c r="CY230" s="85"/>
      <c r="CZ230" s="85"/>
      <c r="DA230" s="86"/>
      <c r="DB230" s="84"/>
    </row>
    <row r="231" spans="2:106" ht="11.25" customHeight="1">
      <c r="B231" s="78"/>
      <c r="C231" s="79"/>
      <c r="D231" s="79"/>
      <c r="E231" s="79" t="s">
        <v>222</v>
      </c>
      <c r="F231" s="79"/>
      <c r="G231" s="79" t="s">
        <v>587</v>
      </c>
      <c r="H231" s="79"/>
      <c r="I231" s="79" t="s">
        <v>305</v>
      </c>
      <c r="J231" s="79"/>
      <c r="K231" s="79"/>
      <c r="L231" s="79"/>
      <c r="M231" s="79" t="s">
        <v>436</v>
      </c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  <c r="CQ231" s="79"/>
      <c r="CR231" s="79"/>
      <c r="CS231" s="79"/>
      <c r="CT231" s="79"/>
      <c r="CU231" s="79"/>
      <c r="CV231" s="79"/>
      <c r="CW231" s="79"/>
      <c r="CX231" s="85"/>
      <c r="CY231" s="85"/>
      <c r="CZ231" s="85"/>
      <c r="DA231" s="86"/>
      <c r="DB231" s="84"/>
    </row>
    <row r="232" spans="2:106" ht="11.25" customHeight="1">
      <c r="B232" s="78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  <c r="CQ232" s="79"/>
      <c r="CR232" s="79"/>
      <c r="CS232" s="79"/>
      <c r="CT232" s="79"/>
      <c r="CU232" s="79"/>
      <c r="CV232" s="79"/>
      <c r="CW232" s="79"/>
      <c r="CX232" s="85"/>
      <c r="CY232" s="85"/>
      <c r="CZ232" s="85"/>
      <c r="DA232" s="86"/>
      <c r="DB232" s="84"/>
    </row>
    <row r="233" spans="2:106" ht="11.25" customHeight="1">
      <c r="B233" s="78"/>
      <c r="C233" s="79"/>
      <c r="D233" s="79"/>
      <c r="E233" s="79"/>
      <c r="F233" s="79"/>
      <c r="G233" s="79"/>
      <c r="H233" s="79" t="s">
        <v>700</v>
      </c>
      <c r="I233" s="79"/>
      <c r="J233" s="79"/>
      <c r="K233" s="79"/>
      <c r="L233" s="79"/>
      <c r="M233" s="79"/>
      <c r="N233" s="79"/>
      <c r="O233" s="79" t="s">
        <v>604</v>
      </c>
      <c r="P233" s="79"/>
      <c r="Q233" s="79" t="str">
        <f>TEXT(CY222,"#,###.##")</f>
        <v>1,592.8</v>
      </c>
      <c r="R233" s="79"/>
      <c r="S233" s="79"/>
      <c r="T233" s="79"/>
      <c r="U233" s="79"/>
      <c r="V233" s="79"/>
      <c r="W233" s="79"/>
      <c r="X233" s="79"/>
      <c r="Y233" s="79" t="s">
        <v>148</v>
      </c>
      <c r="Z233" s="79"/>
      <c r="AA233" s="79" t="str">
        <f>TEXT(CY229,"#,###.##")</f>
        <v>1,592.8</v>
      </c>
      <c r="AB233" s="79"/>
      <c r="AC233" s="79"/>
      <c r="AD233" s="79"/>
      <c r="AE233" s="79"/>
      <c r="AF233" s="79"/>
      <c r="AG233" s="79"/>
      <c r="AH233" s="79"/>
      <c r="AI233" s="79" t="s">
        <v>309</v>
      </c>
      <c r="AJ233" s="79"/>
      <c r="AK233" s="79"/>
      <c r="AL233" s="79" t="str">
        <f>TEXT(TRUNC(CY222+CY229,1),"#,##0.#")</f>
        <v>3,185.6</v>
      </c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  <c r="CQ233" s="79"/>
      <c r="CR233" s="79"/>
      <c r="CS233" s="79"/>
      <c r="CT233" s="79"/>
      <c r="CU233" s="79"/>
      <c r="CV233" s="79"/>
      <c r="CW233" s="79"/>
      <c r="CX233" s="85"/>
      <c r="CY233" s="85"/>
      <c r="CZ233" s="85"/>
      <c r="DA233" s="86"/>
      <c r="DB233" s="84"/>
    </row>
    <row r="234" spans="2:106" ht="11.25" customHeight="1">
      <c r="B234" s="78"/>
      <c r="C234" s="79"/>
      <c r="D234" s="79"/>
      <c r="E234" s="79"/>
      <c r="F234" s="79"/>
      <c r="G234" s="79"/>
      <c r="H234" s="79" t="s">
        <v>498</v>
      </c>
      <c r="I234" s="79"/>
      <c r="J234" s="79"/>
      <c r="K234" s="79"/>
      <c r="L234" s="79"/>
      <c r="M234" s="79"/>
      <c r="N234" s="79"/>
      <c r="O234" s="79" t="s">
        <v>604</v>
      </c>
      <c r="P234" s="79"/>
      <c r="Q234" s="79" t="str">
        <f>TEXT(CZ222,"#,###.##")</f>
        <v>303.8</v>
      </c>
      <c r="R234" s="79"/>
      <c r="S234" s="79"/>
      <c r="T234" s="79"/>
      <c r="U234" s="79"/>
      <c r="V234" s="79"/>
      <c r="W234" s="79" t="s">
        <v>148</v>
      </c>
      <c r="X234" s="79"/>
      <c r="Y234" s="79" t="str">
        <f>TEXT(CZ229,"#,###.##")</f>
        <v>176.1</v>
      </c>
      <c r="Z234" s="79"/>
      <c r="AA234" s="79"/>
      <c r="AB234" s="79"/>
      <c r="AC234" s="79"/>
      <c r="AD234" s="79"/>
      <c r="AE234" s="79" t="s">
        <v>309</v>
      </c>
      <c r="AF234" s="79"/>
      <c r="AG234" s="79"/>
      <c r="AH234" s="79" t="str">
        <f>TEXT(TRUNC(CZ222+CZ229,1),"#,##0.#")</f>
        <v>479.9</v>
      </c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  <c r="CQ234" s="79"/>
      <c r="CR234" s="79"/>
      <c r="CS234" s="79"/>
      <c r="CT234" s="79"/>
      <c r="CU234" s="79"/>
      <c r="CV234" s="79"/>
      <c r="CW234" s="79"/>
      <c r="CX234" s="85"/>
      <c r="CY234" s="85"/>
      <c r="CZ234" s="85"/>
      <c r="DA234" s="86"/>
      <c r="DB234" s="84"/>
    </row>
    <row r="235" spans="2:106" ht="11.25" customHeight="1">
      <c r="B235" s="78"/>
      <c r="C235" s="79"/>
      <c r="D235" s="79"/>
      <c r="E235" s="79"/>
      <c r="F235" s="79"/>
      <c r="G235" s="79"/>
      <c r="H235" s="79" t="s">
        <v>160</v>
      </c>
      <c r="I235" s="79"/>
      <c r="J235" s="79"/>
      <c r="K235" s="79"/>
      <c r="L235" s="79" t="s">
        <v>440</v>
      </c>
      <c r="M235" s="79"/>
      <c r="N235" s="79"/>
      <c r="O235" s="79" t="s">
        <v>604</v>
      </c>
      <c r="P235" s="79"/>
      <c r="Q235" s="79" t="str">
        <f>TEXT(DA222,"#,###.##")</f>
        <v>243.6</v>
      </c>
      <c r="R235" s="79"/>
      <c r="S235" s="79"/>
      <c r="T235" s="79"/>
      <c r="U235" s="79"/>
      <c r="V235" s="79"/>
      <c r="W235" s="79" t="s">
        <v>148</v>
      </c>
      <c r="X235" s="79"/>
      <c r="Y235" s="79" t="str">
        <f>TEXT(DA229,"#,###.##")</f>
        <v>208.7</v>
      </c>
      <c r="Z235" s="79"/>
      <c r="AA235" s="79"/>
      <c r="AB235" s="79"/>
      <c r="AC235" s="79"/>
      <c r="AD235" s="79"/>
      <c r="AE235" s="79" t="s">
        <v>309</v>
      </c>
      <c r="AF235" s="79"/>
      <c r="AG235" s="79"/>
      <c r="AH235" s="79" t="str">
        <f>TEXT(TRUNC(DA222+DA229,1),"#,##0.#")</f>
        <v>452.3</v>
      </c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  <c r="CQ235" s="79"/>
      <c r="CR235" s="79"/>
      <c r="CS235" s="79"/>
      <c r="CT235" s="79"/>
      <c r="CU235" s="79"/>
      <c r="CV235" s="79"/>
      <c r="CW235" s="79"/>
      <c r="CX235" s="85"/>
      <c r="CY235" s="85"/>
      <c r="CZ235" s="85"/>
      <c r="DA235" s="86"/>
      <c r="DB235" s="84"/>
    </row>
    <row r="236" spans="2:106" ht="11.25" customHeight="1">
      <c r="B236" s="78"/>
      <c r="C236" s="79"/>
      <c r="D236" s="79"/>
      <c r="E236" s="79"/>
      <c r="F236" s="79"/>
      <c r="G236" s="79"/>
      <c r="H236" s="79"/>
      <c r="I236" s="79"/>
      <c r="J236" s="79" t="s">
        <v>436</v>
      </c>
      <c r="K236" s="79"/>
      <c r="L236" s="79"/>
      <c r="M236" s="79"/>
      <c r="N236" s="79"/>
      <c r="O236" s="79" t="s">
        <v>604</v>
      </c>
      <c r="P236" s="79"/>
      <c r="Q236" s="79"/>
      <c r="R236" s="79" t="str">
        <f>TEXT(AL233+AH234+AH235,"#,##0.#######")</f>
        <v>4,117.8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  <c r="CQ236" s="79"/>
      <c r="CR236" s="79"/>
      <c r="CS236" s="79"/>
      <c r="CT236" s="79"/>
      <c r="CU236" s="79"/>
      <c r="CV236" s="79"/>
      <c r="CW236" s="79"/>
      <c r="CX236" s="85">
        <f>CY236+CZ236+DA236</f>
        <v>4117.8</v>
      </c>
      <c r="CY236" s="85" t="str">
        <f>TEXT(AL233,"#,###.0")</f>
        <v>3,185.6</v>
      </c>
      <c r="CZ236" s="85" t="str">
        <f>TEXT(AH234,"#,###.0")</f>
        <v>479.9</v>
      </c>
      <c r="DA236" s="86" t="str">
        <f>TEXT(AH235,"#,###.0")</f>
        <v>452.3</v>
      </c>
      <c r="DB236" s="84"/>
    </row>
    <row r="237" spans="2:106" ht="11.25" customHeight="1">
      <c r="B237" s="78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  <c r="CQ237" s="79"/>
      <c r="CR237" s="79"/>
      <c r="CS237" s="79"/>
      <c r="CT237" s="79"/>
      <c r="CU237" s="79"/>
      <c r="CV237" s="79"/>
      <c r="CW237" s="79"/>
      <c r="CX237" s="85"/>
      <c r="CY237" s="85"/>
      <c r="CZ237" s="85"/>
      <c r="DA237" s="86"/>
      <c r="DB237" s="84"/>
    </row>
    <row r="238" spans="2:106" ht="11.25" customHeight="1">
      <c r="B238" s="78"/>
      <c r="C238" s="79"/>
      <c r="D238" s="79" t="s">
        <v>575</v>
      </c>
      <c r="E238" s="79"/>
      <c r="F238" s="79"/>
      <c r="G238" s="79" t="s">
        <v>557</v>
      </c>
      <c r="H238" s="79"/>
      <c r="I238" s="79"/>
      <c r="J238" s="79"/>
      <c r="K238" s="79" t="s">
        <v>436</v>
      </c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  <c r="CQ238" s="79"/>
      <c r="CR238" s="79"/>
      <c r="CS238" s="79"/>
      <c r="CT238" s="79"/>
      <c r="CU238" s="79"/>
      <c r="CV238" s="79"/>
      <c r="CW238" s="79"/>
      <c r="CX238" s="85"/>
      <c r="CY238" s="85"/>
      <c r="CZ238" s="85"/>
      <c r="DA238" s="86"/>
      <c r="DB238" s="84"/>
    </row>
    <row r="239" spans="2:106" ht="11.25" customHeight="1"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  <c r="CQ239" s="79"/>
      <c r="CR239" s="79"/>
      <c r="CS239" s="79"/>
      <c r="CT239" s="79"/>
      <c r="CU239" s="79"/>
      <c r="CV239" s="79"/>
      <c r="CW239" s="79"/>
      <c r="CX239" s="85"/>
      <c r="CY239" s="85"/>
      <c r="CZ239" s="85"/>
      <c r="DA239" s="86"/>
      <c r="DB239" s="84"/>
    </row>
    <row r="240" spans="2:106" ht="11.25" customHeight="1">
      <c r="B240" s="78"/>
      <c r="C240" s="79"/>
      <c r="D240" s="79"/>
      <c r="E240" s="79"/>
      <c r="F240" s="79"/>
      <c r="G240" s="79"/>
      <c r="H240" s="79" t="s">
        <v>700</v>
      </c>
      <c r="I240" s="79"/>
      <c r="J240" s="79"/>
      <c r="K240" s="79"/>
      <c r="L240" s="79"/>
      <c r="M240" s="79"/>
      <c r="N240" s="79"/>
      <c r="O240" s="79" t="s">
        <v>604</v>
      </c>
      <c r="P240" s="79"/>
      <c r="Q240" s="79" t="str">
        <f>TEXT(CY203,"#,###.##")</f>
        <v>3,185.4</v>
      </c>
      <c r="R240" s="79"/>
      <c r="S240" s="79"/>
      <c r="T240" s="79"/>
      <c r="U240" s="79"/>
      <c r="V240" s="79"/>
      <c r="W240" s="79"/>
      <c r="X240" s="79"/>
      <c r="Y240" s="79" t="s">
        <v>148</v>
      </c>
      <c r="Z240" s="79"/>
      <c r="AA240" s="79" t="str">
        <f>TEXT(CY236,"#,###.##")</f>
        <v>3,185.6</v>
      </c>
      <c r="AB240" s="79"/>
      <c r="AC240" s="79"/>
      <c r="AD240" s="79"/>
      <c r="AE240" s="79"/>
      <c r="AF240" s="79"/>
      <c r="AG240" s="79"/>
      <c r="AH240" s="79"/>
      <c r="AI240" s="79" t="s">
        <v>309</v>
      </c>
      <c r="AJ240" s="79"/>
      <c r="AK240" s="79"/>
      <c r="AL240" s="79" t="str">
        <f>TEXT(TRUNC(CY203+CY236,0),"#,##0")</f>
        <v>6,371</v>
      </c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  <c r="CQ240" s="79"/>
      <c r="CR240" s="79"/>
      <c r="CS240" s="79"/>
      <c r="CT240" s="79"/>
      <c r="CU240" s="79"/>
      <c r="CV240" s="79"/>
      <c r="CW240" s="79"/>
      <c r="CX240" s="85"/>
      <c r="CY240" s="85"/>
      <c r="CZ240" s="85"/>
      <c r="DA240" s="86"/>
      <c r="DB240" s="84"/>
    </row>
    <row r="241" spans="2:106" ht="11.25" customHeight="1">
      <c r="B241" s="78"/>
      <c r="C241" s="79"/>
      <c r="D241" s="79"/>
      <c r="E241" s="79"/>
      <c r="F241" s="79"/>
      <c r="G241" s="79"/>
      <c r="H241" s="79" t="s">
        <v>498</v>
      </c>
      <c r="I241" s="79"/>
      <c r="J241" s="79"/>
      <c r="K241" s="79"/>
      <c r="L241" s="79"/>
      <c r="M241" s="79"/>
      <c r="N241" s="79"/>
      <c r="O241" s="79" t="s">
        <v>604</v>
      </c>
      <c r="P241" s="79"/>
      <c r="Q241" s="79" t="str">
        <f>TEXT(CZ195,"#,###.##")</f>
        <v>24,638.9</v>
      </c>
      <c r="R241" s="79"/>
      <c r="S241" s="79"/>
      <c r="T241" s="79"/>
      <c r="U241" s="79"/>
      <c r="V241" s="79"/>
      <c r="W241" s="79"/>
      <c r="X241" s="79"/>
      <c r="Y241" s="79"/>
      <c r="Z241" s="79" t="s">
        <v>148</v>
      </c>
      <c r="AA241" s="79"/>
      <c r="AB241" s="79" t="str">
        <f>TEXT(CZ207,"#,###.##")</f>
        <v>246.3</v>
      </c>
      <c r="AC241" s="79"/>
      <c r="AD241" s="79"/>
      <c r="AE241" s="79"/>
      <c r="AF241" s="79"/>
      <c r="AG241" s="79"/>
      <c r="AH241" s="79" t="s">
        <v>148</v>
      </c>
      <c r="AI241" s="79"/>
      <c r="AJ241" s="79" t="str">
        <f>TEXT(CZ236,"#,###.##")</f>
        <v>479.9</v>
      </c>
      <c r="AK241" s="79"/>
      <c r="AL241" s="79"/>
      <c r="AM241" s="79"/>
      <c r="AN241" s="79"/>
      <c r="AO241" s="79"/>
      <c r="AP241" s="79" t="s">
        <v>309</v>
      </c>
      <c r="AQ241" s="79"/>
      <c r="AR241" s="79"/>
      <c r="AS241" s="79" t="str">
        <f>TEXT(TRUNC(CZ195+CZ207+CZ236,0),"#,##0")</f>
        <v>25,365</v>
      </c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  <c r="CQ241" s="79"/>
      <c r="CR241" s="79"/>
      <c r="CS241" s="79"/>
      <c r="CT241" s="79"/>
      <c r="CU241" s="79"/>
      <c r="CV241" s="79"/>
      <c r="CW241" s="79"/>
      <c r="CX241" s="85"/>
      <c r="CY241" s="85"/>
      <c r="CZ241" s="85"/>
      <c r="DA241" s="86"/>
      <c r="DB241" s="84"/>
    </row>
    <row r="242" spans="2:106" ht="11.25" customHeight="1">
      <c r="B242" s="78"/>
      <c r="C242" s="79"/>
      <c r="D242" s="79"/>
      <c r="E242" s="79"/>
      <c r="F242" s="79"/>
      <c r="G242" s="79"/>
      <c r="H242" s="79" t="s">
        <v>160</v>
      </c>
      <c r="I242" s="79"/>
      <c r="J242" s="79"/>
      <c r="K242" s="79"/>
      <c r="L242" s="79" t="s">
        <v>440</v>
      </c>
      <c r="M242" s="79"/>
      <c r="N242" s="79"/>
      <c r="O242" s="79" t="s">
        <v>604</v>
      </c>
      <c r="P242" s="79"/>
      <c r="Q242" s="79" t="str">
        <f>TEXT(DA211,"#,###.##")</f>
        <v>318.5</v>
      </c>
      <c r="R242" s="79"/>
      <c r="S242" s="79"/>
      <c r="T242" s="79"/>
      <c r="U242" s="79"/>
      <c r="V242" s="79"/>
      <c r="W242" s="79" t="s">
        <v>148</v>
      </c>
      <c r="X242" s="79"/>
      <c r="Y242" s="79" t="str">
        <f>TEXT(DA236,"#,###.##")</f>
        <v>452.3</v>
      </c>
      <c r="Z242" s="79"/>
      <c r="AA242" s="79"/>
      <c r="AB242" s="79"/>
      <c r="AC242" s="79"/>
      <c r="AD242" s="79"/>
      <c r="AE242" s="79" t="s">
        <v>309</v>
      </c>
      <c r="AF242" s="79"/>
      <c r="AG242" s="79"/>
      <c r="AH242" s="79" t="str">
        <f>TEXT(TRUNC(DA211+DA236,0),"#,##0")</f>
        <v>770</v>
      </c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  <c r="CQ242" s="79"/>
      <c r="CR242" s="79"/>
      <c r="CS242" s="79"/>
      <c r="CT242" s="79"/>
      <c r="CU242" s="79"/>
      <c r="CV242" s="79"/>
      <c r="CW242" s="79"/>
      <c r="CX242" s="85"/>
      <c r="CY242" s="85"/>
      <c r="CZ242" s="85"/>
      <c r="DA242" s="86"/>
      <c r="DB242" s="84"/>
    </row>
    <row r="243" spans="2:106" ht="11.25" customHeight="1">
      <c r="B243" s="78"/>
      <c r="C243" s="79"/>
      <c r="D243" s="79"/>
      <c r="E243" s="79"/>
      <c r="F243" s="79"/>
      <c r="G243" s="79"/>
      <c r="H243" s="79"/>
      <c r="I243" s="79"/>
      <c r="J243" s="79" t="s">
        <v>436</v>
      </c>
      <c r="K243" s="79"/>
      <c r="L243" s="79"/>
      <c r="M243" s="79"/>
      <c r="N243" s="79"/>
      <c r="O243" s="79" t="s">
        <v>604</v>
      </c>
      <c r="P243" s="79"/>
      <c r="Q243" s="79"/>
      <c r="R243" s="79" t="str">
        <f>TEXT(AL240+AS241+AH242,"#,##0")</f>
        <v>32,506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  <c r="CQ243" s="79"/>
      <c r="CR243" s="79"/>
      <c r="CS243" s="79"/>
      <c r="CT243" s="79"/>
      <c r="CU243" s="79"/>
      <c r="CV243" s="79"/>
      <c r="CW243" s="79"/>
      <c r="CX243" s="89">
        <f>CY243+CZ243+DA243</f>
        <v>32506</v>
      </c>
      <c r="CY243" s="85" t="str">
        <f>TEXT(AL240,"#,##0")</f>
        <v>6,371</v>
      </c>
      <c r="CZ243" s="85" t="str">
        <f>TEXT(AS241,"#,##0")</f>
        <v>25,365</v>
      </c>
      <c r="DA243" s="86" t="str">
        <f>TEXT(AH242,"#,##0")</f>
        <v>770</v>
      </c>
      <c r="DB243" s="84"/>
    </row>
    <row r="244" spans="2:106" ht="11.25" customHeight="1">
      <c r="B244" s="78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  <c r="CQ244" s="79"/>
      <c r="CR244" s="79"/>
      <c r="CS244" s="79"/>
      <c r="CT244" s="79"/>
      <c r="CU244" s="79"/>
      <c r="CV244" s="79"/>
      <c r="CW244" s="79"/>
      <c r="CX244" s="85"/>
      <c r="CY244" s="85"/>
      <c r="CZ244" s="85"/>
      <c r="DA244" s="86"/>
      <c r="DB244" s="84"/>
    </row>
    <row r="245" spans="2:106" ht="11.25" customHeight="1">
      <c r="B245" s="81" t="s">
        <v>354</v>
      </c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79"/>
      <c r="CM245" s="79"/>
      <c r="CN245" s="79"/>
      <c r="CO245" s="79"/>
      <c r="CP245" s="79"/>
      <c r="CQ245" s="79"/>
      <c r="CR245" s="79"/>
      <c r="CS245" s="79"/>
      <c r="CT245" s="79"/>
      <c r="CU245" s="79"/>
      <c r="CV245" s="79"/>
      <c r="CW245" s="79"/>
      <c r="CX245" s="82">
        <f>CX311</f>
        <v>46057</v>
      </c>
      <c r="CY245" s="82" t="str">
        <f>CY311</f>
        <v>17,698</v>
      </c>
      <c r="CZ245" s="82" t="str">
        <f>CZ311</f>
        <v>26,218</v>
      </c>
      <c r="DA245" s="83" t="str">
        <f>DA311</f>
        <v>2,141</v>
      </c>
      <c r="DB245" s="84"/>
    </row>
    <row r="246" spans="2:106" ht="11.25" customHeight="1">
      <c r="B246" s="78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  <c r="CQ246" s="79"/>
      <c r="CR246" s="79"/>
      <c r="CS246" s="79"/>
      <c r="CT246" s="79"/>
      <c r="CU246" s="79"/>
      <c r="CV246" s="79"/>
      <c r="CW246" s="79"/>
      <c r="CX246" s="85"/>
      <c r="CY246" s="85"/>
      <c r="CZ246" s="85"/>
      <c r="DA246" s="86"/>
      <c r="DB246" s="84"/>
    </row>
    <row r="247" spans="2:106" ht="11.25" customHeight="1">
      <c r="B247" s="78"/>
      <c r="C247" s="79"/>
      <c r="D247" s="79" t="s">
        <v>777</v>
      </c>
      <c r="E247" s="79"/>
      <c r="F247" s="79"/>
      <c r="G247" s="79" t="s">
        <v>422</v>
      </c>
      <c r="H247" s="79"/>
      <c r="I247" s="79"/>
      <c r="J247" s="79"/>
      <c r="K247" s="79" t="s">
        <v>6</v>
      </c>
      <c r="L247" s="79"/>
      <c r="M247" s="79"/>
      <c r="N247" s="79" t="s">
        <v>650</v>
      </c>
      <c r="O247" s="79"/>
      <c r="P247" s="79"/>
      <c r="Q247" s="79"/>
      <c r="R247" s="79"/>
      <c r="S247" s="79"/>
      <c r="T247" s="79"/>
      <c r="U247" s="79"/>
      <c r="V247" s="79"/>
      <c r="W247" s="79" t="s">
        <v>604</v>
      </c>
      <c r="X247" s="79"/>
      <c r="Y247" s="79" t="s">
        <v>684</v>
      </c>
      <c r="Z247" s="79"/>
      <c r="AA247" s="79"/>
      <c r="AB247" s="79"/>
      <c r="AC247" s="79"/>
      <c r="AD247" s="79" t="s">
        <v>225</v>
      </c>
      <c r="AE247" s="79" t="s">
        <v>23</v>
      </c>
      <c r="AF247" s="79" t="s">
        <v>433</v>
      </c>
      <c r="AG247" s="79"/>
      <c r="AH247" s="79" t="s">
        <v>23</v>
      </c>
      <c r="AI247" s="79" t="s">
        <v>764</v>
      </c>
      <c r="AJ247" s="79"/>
      <c r="AK247" s="79" t="s">
        <v>385</v>
      </c>
      <c r="AL247" s="79"/>
      <c r="AM247" s="79"/>
      <c r="AN247" s="79"/>
      <c r="AO247" s="79"/>
      <c r="AP247" s="79"/>
      <c r="AQ247" s="79"/>
      <c r="AR247" s="79"/>
      <c r="AS247" s="79" t="s">
        <v>431</v>
      </c>
      <c r="AT247" s="79" t="s">
        <v>486</v>
      </c>
      <c r="AU247" s="79"/>
      <c r="AV247" s="79"/>
      <c r="AW247" s="79"/>
      <c r="AX247" s="79"/>
      <c r="AY247" s="79"/>
      <c r="AZ247" s="79"/>
      <c r="BA247" s="79"/>
      <c r="BB247" s="79" t="s">
        <v>89</v>
      </c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79"/>
      <c r="CM247" s="79"/>
      <c r="CN247" s="79"/>
      <c r="CO247" s="79"/>
      <c r="CP247" s="79"/>
      <c r="CQ247" s="79"/>
      <c r="CR247" s="79"/>
      <c r="CS247" s="79"/>
      <c r="CT247" s="79"/>
      <c r="CU247" s="79"/>
      <c r="CV247" s="79"/>
      <c r="CW247" s="79"/>
      <c r="CX247" s="85"/>
      <c r="CY247" s="85"/>
      <c r="CZ247" s="85"/>
      <c r="DA247" s="86"/>
      <c r="DB247" s="84"/>
    </row>
    <row r="248" spans="2:106" ht="11.25" customHeight="1">
      <c r="B248" s="78"/>
      <c r="C248" s="79"/>
      <c r="D248" s="79"/>
      <c r="E248" s="79"/>
      <c r="F248" s="79" t="s">
        <v>431</v>
      </c>
      <c r="G248" s="79" t="s">
        <v>58</v>
      </c>
      <c r="H248" s="79"/>
      <c r="I248" s="79"/>
      <c r="J248" s="79"/>
      <c r="K248" s="79"/>
      <c r="L248" s="79"/>
      <c r="M248" s="79"/>
      <c r="N248" s="79" t="s">
        <v>586</v>
      </c>
      <c r="O248" s="79"/>
      <c r="P248" s="79"/>
      <c r="Q248" s="79"/>
      <c r="R248" s="79"/>
      <c r="S248" s="79"/>
      <c r="T248" s="79"/>
      <c r="U248" s="79"/>
      <c r="V248" s="79"/>
      <c r="W248" s="79" t="s">
        <v>299</v>
      </c>
      <c r="X248" s="79"/>
      <c r="Y248" s="79"/>
      <c r="Z248" s="79"/>
      <c r="AA248" s="79"/>
      <c r="AB248" s="79" t="s">
        <v>284</v>
      </c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 t="s">
        <v>581</v>
      </c>
      <c r="AP248" s="79"/>
      <c r="AQ248" s="79"/>
      <c r="AR248" s="79"/>
      <c r="AS248" s="79"/>
      <c r="AT248" s="79"/>
      <c r="AU248" s="79"/>
      <c r="AV248" s="79"/>
      <c r="AW248" s="79"/>
      <c r="AX248" s="79" t="s">
        <v>519</v>
      </c>
      <c r="AY248" s="79"/>
      <c r="AZ248" s="79"/>
      <c r="BA248" s="79"/>
      <c r="BB248" s="79"/>
      <c r="BC248" s="79"/>
      <c r="BD248" s="79"/>
      <c r="BE248" s="79"/>
      <c r="BF248" s="79"/>
      <c r="BG248" s="79" t="s">
        <v>186</v>
      </c>
      <c r="BH248" s="79"/>
      <c r="BI248" s="79"/>
      <c r="BJ248" s="79"/>
      <c r="BK248" s="79"/>
      <c r="BL248" s="79" t="s">
        <v>400</v>
      </c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 t="s">
        <v>141</v>
      </c>
      <c r="BX248" s="79"/>
      <c r="BY248" s="79"/>
      <c r="BZ248" s="79"/>
      <c r="CA248" s="79"/>
      <c r="CB248" s="79"/>
      <c r="CC248" s="79"/>
      <c r="CD248" s="79"/>
      <c r="CE248" s="79" t="s">
        <v>587</v>
      </c>
      <c r="CF248" s="79" t="s">
        <v>89</v>
      </c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85"/>
      <c r="CY248" s="85"/>
      <c r="CZ248" s="85"/>
      <c r="DA248" s="86"/>
      <c r="DB248" s="84"/>
    </row>
    <row r="249" spans="2:106" ht="11.25" customHeight="1">
      <c r="B249" s="78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  <c r="CQ249" s="79"/>
      <c r="CR249" s="79"/>
      <c r="CS249" s="79"/>
      <c r="CT249" s="79"/>
      <c r="CU249" s="79"/>
      <c r="CV249" s="79"/>
      <c r="CW249" s="79"/>
      <c r="CX249" s="85"/>
      <c r="CY249" s="85"/>
      <c r="CZ249" s="85"/>
      <c r="DA249" s="86"/>
      <c r="DB249" s="84"/>
    </row>
    <row r="250" spans="2:106" ht="11.25" customHeight="1">
      <c r="B250" s="78"/>
      <c r="C250" s="79"/>
      <c r="D250" s="79"/>
      <c r="E250" s="79"/>
      <c r="F250" s="79"/>
      <c r="G250" s="79" t="s">
        <v>266</v>
      </c>
      <c r="H250" s="79"/>
      <c r="I250" s="79"/>
      <c r="J250" s="79"/>
      <c r="K250" s="79" t="s">
        <v>603</v>
      </c>
      <c r="L250" s="79"/>
      <c r="M250" s="79"/>
      <c r="N250" s="79"/>
      <c r="O250" s="79"/>
      <c r="P250" s="79"/>
      <c r="Q250" s="79" t="s">
        <v>604</v>
      </c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  <c r="CQ250" s="79"/>
      <c r="CR250" s="79"/>
      <c r="CS250" s="79"/>
      <c r="CT250" s="79"/>
      <c r="CU250" s="79"/>
      <c r="CV250" s="79"/>
      <c r="CW250" s="79"/>
      <c r="CX250" s="85"/>
      <c r="CY250" s="85"/>
      <c r="CZ250" s="85"/>
      <c r="DA250" s="86"/>
      <c r="DB250" s="84"/>
    </row>
    <row r="251" spans="2:106" ht="11.25" customHeight="1">
      <c r="B251" s="78"/>
      <c r="C251" s="79"/>
      <c r="D251" s="79"/>
      <c r="E251" s="79"/>
      <c r="F251" s="79"/>
      <c r="G251" s="79" t="s">
        <v>504</v>
      </c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 t="s">
        <v>604</v>
      </c>
      <c r="S251" s="79"/>
      <c r="T251" s="79" t="s">
        <v>262</v>
      </c>
      <c r="U251" s="79"/>
      <c r="V251" s="79"/>
      <c r="W251" s="79" t="s">
        <v>309</v>
      </c>
      <c r="X251" s="79"/>
      <c r="Y251" s="79" t="str">
        <f>TEXT(90,"#,##0.#######")</f>
        <v>90.</v>
      </c>
      <c r="Z251" s="79"/>
      <c r="AA251" s="79" t="s">
        <v>596</v>
      </c>
      <c r="AB251" s="79"/>
      <c r="AC251" s="79" t="s">
        <v>123</v>
      </c>
      <c r="AD251" s="79" t="s">
        <v>748</v>
      </c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  <c r="CQ251" s="79"/>
      <c r="CR251" s="79"/>
      <c r="CS251" s="79"/>
      <c r="CT251" s="79"/>
      <c r="CU251" s="79"/>
      <c r="CV251" s="79"/>
      <c r="CW251" s="79"/>
      <c r="CX251" s="85"/>
      <c r="CY251" s="85"/>
      <c r="CZ251" s="85"/>
      <c r="DA251" s="86"/>
      <c r="DB251" s="84"/>
    </row>
    <row r="252" spans="2:106" ht="11.25" customHeight="1">
      <c r="B252" s="78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  <c r="CQ252" s="79"/>
      <c r="CR252" s="79"/>
      <c r="CS252" s="79"/>
      <c r="CT252" s="79"/>
      <c r="CU252" s="79"/>
      <c r="CV252" s="79"/>
      <c r="CW252" s="79"/>
      <c r="CX252" s="85"/>
      <c r="CY252" s="85"/>
      <c r="CZ252" s="85"/>
      <c r="DA252" s="86"/>
      <c r="DB252" s="84"/>
    </row>
    <row r="253" spans="2:106" ht="11.25" customHeight="1">
      <c r="B253" s="78"/>
      <c r="C253" s="79"/>
      <c r="D253" s="79" t="s">
        <v>401</v>
      </c>
      <c r="E253" s="79"/>
      <c r="F253" s="79"/>
      <c r="G253" s="79" t="s">
        <v>498</v>
      </c>
      <c r="H253" s="79"/>
      <c r="I253" s="79"/>
      <c r="J253" s="79"/>
      <c r="K253" s="79"/>
      <c r="L253" s="79"/>
      <c r="M253" s="79"/>
      <c r="N253" s="79"/>
      <c r="O253" s="79" t="s">
        <v>83</v>
      </c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  <c r="CQ253" s="79"/>
      <c r="CR253" s="79"/>
      <c r="CS253" s="79"/>
      <c r="CT253" s="79"/>
      <c r="CU253" s="79"/>
      <c r="CV253" s="79"/>
      <c r="CW253" s="79"/>
      <c r="CX253" s="85"/>
      <c r="CY253" s="85"/>
      <c r="CZ253" s="85"/>
      <c r="DA253" s="86"/>
      <c r="DB253" s="84"/>
    </row>
    <row r="254" spans="2:106" ht="11.25" customHeight="1">
      <c r="B254" s="78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  <c r="CQ254" s="79"/>
      <c r="CR254" s="79"/>
      <c r="CS254" s="79"/>
      <c r="CT254" s="79"/>
      <c r="CU254" s="79"/>
      <c r="CV254" s="79"/>
      <c r="CW254" s="79"/>
      <c r="CX254" s="85"/>
      <c r="CY254" s="85"/>
      <c r="CZ254" s="85"/>
      <c r="DA254" s="86"/>
      <c r="DB254" s="84"/>
    </row>
    <row r="255" spans="2:106" ht="11.25" customHeight="1">
      <c r="B255" s="78"/>
      <c r="C255" s="79"/>
      <c r="D255" s="79"/>
      <c r="E255" s="79"/>
      <c r="F255" s="79"/>
      <c r="G255" s="79" t="s">
        <v>373</v>
      </c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 t="s">
        <v>662</v>
      </c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 t="str">
        <f>TEXT(자재단가!R13,"#,##0.#######")</f>
        <v>4,550.</v>
      </c>
      <c r="BC255" s="79"/>
      <c r="BD255" s="79"/>
      <c r="BE255" s="79"/>
      <c r="BF255" s="79"/>
      <c r="BG255" s="79"/>
      <c r="BH255" s="79"/>
      <c r="BI255" s="79"/>
      <c r="BJ255" s="79" t="s">
        <v>699</v>
      </c>
      <c r="BK255" s="79"/>
      <c r="BL255" s="79"/>
      <c r="BM255" s="79" t="str">
        <f>TEXT(4.53,"#,##0.#######")</f>
        <v>4.53</v>
      </c>
      <c r="BN255" s="79"/>
      <c r="BO255" s="79"/>
      <c r="BP255" s="79"/>
      <c r="BQ255" s="79" t="s">
        <v>477</v>
      </c>
      <c r="BR255" s="79"/>
      <c r="BS255" s="79"/>
      <c r="BT255" s="79" t="s">
        <v>309</v>
      </c>
      <c r="BU255" s="79"/>
      <c r="BV255" s="79" t="str">
        <f>TEXT(TRUNC(BB255*BM255,1),"#,##0.#######")</f>
        <v>20,611.5</v>
      </c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  <c r="CQ255" s="79"/>
      <c r="CR255" s="79"/>
      <c r="CS255" s="79"/>
      <c r="CT255" s="79"/>
      <c r="CU255" s="79"/>
      <c r="CV255" s="79"/>
      <c r="CW255" s="79"/>
      <c r="CX255" s="85"/>
      <c r="CY255" s="85"/>
      <c r="CZ255" s="85"/>
      <c r="DA255" s="86"/>
      <c r="DB255" s="84"/>
    </row>
    <row r="256" spans="2:106" ht="11.25" customHeight="1">
      <c r="B256" s="78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  <c r="CQ256" s="79"/>
      <c r="CR256" s="79"/>
      <c r="CS256" s="79"/>
      <c r="CT256" s="79"/>
      <c r="CU256" s="79"/>
      <c r="CV256" s="79"/>
      <c r="CW256" s="79"/>
      <c r="CX256" s="85"/>
      <c r="CY256" s="85"/>
      <c r="CZ256" s="85"/>
      <c r="DA256" s="86"/>
      <c r="DB256" s="84"/>
    </row>
    <row r="257" spans="2:106" ht="11.25" customHeight="1">
      <c r="B257" s="78"/>
      <c r="C257" s="79"/>
      <c r="D257" s="79"/>
      <c r="E257" s="79"/>
      <c r="F257" s="79"/>
      <c r="G257" s="79" t="s">
        <v>558</v>
      </c>
      <c r="H257" s="79"/>
      <c r="I257" s="79"/>
      <c r="J257" s="79"/>
      <c r="K257" s="79"/>
      <c r="L257" s="79"/>
      <c r="M257" s="79"/>
      <c r="N257" s="79"/>
      <c r="O257" s="79"/>
      <c r="P257" s="79" t="s">
        <v>144</v>
      </c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 t="str">
        <f>TEXT(자재단가!R14,"#,##0.#######")</f>
        <v>5,000.</v>
      </c>
      <c r="AF257" s="79"/>
      <c r="AG257" s="79"/>
      <c r="AH257" s="79"/>
      <c r="AI257" s="79"/>
      <c r="AJ257" s="79"/>
      <c r="AK257" s="79"/>
      <c r="AL257" s="79"/>
      <c r="AM257" s="79" t="s">
        <v>699</v>
      </c>
      <c r="AN257" s="79"/>
      <c r="AO257" s="79"/>
      <c r="AP257" s="79" t="str">
        <f>TEXT(0.55,"#,##0.#######")</f>
        <v>0.55</v>
      </c>
      <c r="AQ257" s="79"/>
      <c r="AR257" s="79"/>
      <c r="AS257" s="79"/>
      <c r="AT257" s="79" t="s">
        <v>477</v>
      </c>
      <c r="AU257" s="79"/>
      <c r="AV257" s="79"/>
      <c r="AW257" s="79" t="s">
        <v>309</v>
      </c>
      <c r="AX257" s="79"/>
      <c r="AY257" s="79" t="str">
        <f>TEXT(TRUNC(AE257*AP257,1),"#,##0.#######")</f>
        <v>2,750.</v>
      </c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  <c r="CQ257" s="79"/>
      <c r="CR257" s="79"/>
      <c r="CS257" s="79"/>
      <c r="CT257" s="79"/>
      <c r="CU257" s="79"/>
      <c r="CV257" s="79"/>
      <c r="CW257" s="79"/>
      <c r="CX257" s="85"/>
      <c r="CY257" s="85"/>
      <c r="CZ257" s="85"/>
      <c r="DA257" s="86"/>
      <c r="DB257" s="84"/>
    </row>
    <row r="258" spans="2:106" ht="11.25" customHeight="1">
      <c r="B258" s="78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  <c r="CQ258" s="79"/>
      <c r="CR258" s="79"/>
      <c r="CS258" s="79"/>
      <c r="CT258" s="79"/>
      <c r="CU258" s="79"/>
      <c r="CV258" s="79"/>
      <c r="CW258" s="79"/>
      <c r="CX258" s="85"/>
      <c r="CY258" s="85"/>
      <c r="CZ258" s="85"/>
      <c r="DA258" s="86"/>
      <c r="DB258" s="84"/>
    </row>
    <row r="259" spans="2:106" ht="11.25" customHeight="1">
      <c r="B259" s="78"/>
      <c r="C259" s="79"/>
      <c r="D259" s="79"/>
      <c r="E259" s="79"/>
      <c r="F259" s="79"/>
      <c r="G259" s="79" t="s">
        <v>131</v>
      </c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 t="s">
        <v>585</v>
      </c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 t="s">
        <v>604</v>
      </c>
      <c r="AP259" s="79"/>
      <c r="AQ259" s="79" t="str">
        <f>TEXT(자재단가!R15,"#,##0.#######")</f>
        <v>4,500.</v>
      </c>
      <c r="AR259" s="79"/>
      <c r="AS259" s="79"/>
      <c r="AT259" s="79"/>
      <c r="AU259" s="79"/>
      <c r="AV259" s="79"/>
      <c r="AW259" s="79"/>
      <c r="AX259" s="79"/>
      <c r="AY259" s="79" t="s">
        <v>699</v>
      </c>
      <c r="AZ259" s="79"/>
      <c r="BA259" s="79"/>
      <c r="BB259" s="79" t="str">
        <f>TEXT(0.2,"#,##0.#######")</f>
        <v>0.2</v>
      </c>
      <c r="BC259" s="79"/>
      <c r="BD259" s="79"/>
      <c r="BE259" s="79"/>
      <c r="BF259" s="79" t="s">
        <v>477</v>
      </c>
      <c r="BG259" s="79"/>
      <c r="BH259" s="79"/>
      <c r="BI259" s="79" t="s">
        <v>309</v>
      </c>
      <c r="BJ259" s="79"/>
      <c r="BK259" s="79" t="str">
        <f>TEXT(TRUNC(AQ259*BB259,1),"#,##0.#######")</f>
        <v>900.</v>
      </c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  <c r="CQ259" s="79"/>
      <c r="CR259" s="79"/>
      <c r="CS259" s="79"/>
      <c r="CT259" s="79"/>
      <c r="CU259" s="79"/>
      <c r="CV259" s="79"/>
      <c r="CW259" s="79"/>
      <c r="CX259" s="85"/>
      <c r="CY259" s="85"/>
      <c r="CZ259" s="85"/>
      <c r="DA259" s="86"/>
      <c r="DB259" s="84"/>
    </row>
    <row r="260" spans="2:106" ht="11.25" customHeight="1">
      <c r="B260" s="78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  <c r="CQ260" s="79"/>
      <c r="CR260" s="79"/>
      <c r="CS260" s="79"/>
      <c r="CT260" s="79"/>
      <c r="CU260" s="79"/>
      <c r="CV260" s="79"/>
      <c r="CW260" s="79"/>
      <c r="CX260" s="85"/>
      <c r="CY260" s="85"/>
      <c r="CZ260" s="85"/>
      <c r="DA260" s="86"/>
      <c r="DB260" s="84"/>
    </row>
    <row r="261" spans="2:106" ht="11.25" customHeight="1">
      <c r="B261" s="78"/>
      <c r="C261" s="79"/>
      <c r="D261" s="79"/>
      <c r="E261" s="79"/>
      <c r="F261" s="79"/>
      <c r="G261" s="79" t="s">
        <v>533</v>
      </c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 t="s">
        <v>7</v>
      </c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 t="str">
        <f>TEXT(자재단가!R16,"#,##0.#######")</f>
        <v>1,887.</v>
      </c>
      <c r="AE261" s="79"/>
      <c r="AF261" s="79"/>
      <c r="AG261" s="79"/>
      <c r="AH261" s="79"/>
      <c r="AI261" s="79"/>
      <c r="AJ261" s="79"/>
      <c r="AK261" s="79"/>
      <c r="AL261" s="79" t="s">
        <v>699</v>
      </c>
      <c r="AM261" s="79"/>
      <c r="AN261" s="79"/>
      <c r="AO261" s="79" t="str">
        <f>TEXT(0.2,"#,##0.#######")</f>
        <v>0.2</v>
      </c>
      <c r="AP261" s="79"/>
      <c r="AQ261" s="79"/>
      <c r="AR261" s="79"/>
      <c r="AS261" s="79" t="s">
        <v>477</v>
      </c>
      <c r="AT261" s="79"/>
      <c r="AU261" s="79"/>
      <c r="AV261" s="79" t="s">
        <v>309</v>
      </c>
      <c r="AW261" s="79"/>
      <c r="AX261" s="79" t="str">
        <f>TEXT(TRUNC(AD261*AO261,1),"#,##0.#######")</f>
        <v>377.4</v>
      </c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  <c r="CQ261" s="79"/>
      <c r="CR261" s="79"/>
      <c r="CS261" s="79"/>
      <c r="CT261" s="79"/>
      <c r="CU261" s="79"/>
      <c r="CV261" s="79"/>
      <c r="CW261" s="79"/>
      <c r="CX261" s="85"/>
      <c r="CY261" s="85"/>
      <c r="CZ261" s="85"/>
      <c r="DA261" s="86"/>
      <c r="DB261" s="84"/>
    </row>
    <row r="262" spans="2:106" ht="11.25" customHeight="1">
      <c r="B262" s="80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87"/>
      <c r="CY262" s="87"/>
      <c r="CZ262" s="87"/>
      <c r="DA262" s="88"/>
      <c r="DB262" s="84"/>
    </row>
    <row r="263" spans="2:106" ht="11.25" customHeight="1">
      <c r="B263" s="78"/>
      <c r="C263" s="79"/>
      <c r="D263" s="79"/>
      <c r="E263" s="79"/>
      <c r="F263" s="79"/>
      <c r="G263" s="79" t="s">
        <v>195</v>
      </c>
      <c r="H263" s="79"/>
      <c r="I263" s="79"/>
      <c r="J263" s="79"/>
      <c r="K263" s="79"/>
      <c r="L263" s="79"/>
      <c r="M263" s="79"/>
      <c r="N263" s="79"/>
      <c r="O263" s="79"/>
      <c r="P263" s="79" t="s">
        <v>604</v>
      </c>
      <c r="Q263" s="79"/>
      <c r="R263" s="79" t="str">
        <f>TEXT(TRUNC(BV255+AY257+BK259+AX261,1),"#,##0.#######")</f>
        <v>24,638.9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  <c r="CQ263" s="79"/>
      <c r="CR263" s="79"/>
      <c r="CS263" s="79"/>
      <c r="CT263" s="79"/>
      <c r="CU263" s="79"/>
      <c r="CV263" s="79"/>
      <c r="CW263" s="79"/>
      <c r="CX263" s="85"/>
      <c r="CY263" s="85"/>
      <c r="CZ263" s="85" t="str">
        <f>R263</f>
        <v>24,638.9</v>
      </c>
      <c r="DA263" s="86"/>
      <c r="DB263" s="84"/>
    </row>
    <row r="264" spans="2:106" ht="11.25" customHeight="1">
      <c r="B264" s="78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  <c r="CQ264" s="79"/>
      <c r="CR264" s="79"/>
      <c r="CS264" s="79"/>
      <c r="CT264" s="79"/>
      <c r="CU264" s="79"/>
      <c r="CV264" s="79"/>
      <c r="CW264" s="79"/>
      <c r="CX264" s="85"/>
      <c r="CY264" s="85"/>
      <c r="CZ264" s="85"/>
      <c r="DA264" s="86"/>
      <c r="DB264" s="84"/>
    </row>
    <row r="265" spans="2:106" ht="11.25" customHeight="1">
      <c r="B265" s="78"/>
      <c r="C265" s="79"/>
      <c r="D265" s="79" t="s">
        <v>594</v>
      </c>
      <c r="E265" s="79"/>
      <c r="F265" s="79"/>
      <c r="G265" s="79" t="s">
        <v>406</v>
      </c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  <c r="CQ265" s="79"/>
      <c r="CR265" s="79"/>
      <c r="CS265" s="79"/>
      <c r="CT265" s="79"/>
      <c r="CU265" s="79"/>
      <c r="CV265" s="79"/>
      <c r="CW265" s="79"/>
      <c r="CX265" s="85"/>
      <c r="CY265" s="85"/>
      <c r="CZ265" s="85"/>
      <c r="DA265" s="86"/>
      <c r="DB265" s="84"/>
    </row>
    <row r="266" spans="2:106" ht="11.25" customHeight="1">
      <c r="B266" s="78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79"/>
      <c r="CM266" s="79"/>
      <c r="CN266" s="79"/>
      <c r="CO266" s="79"/>
      <c r="CP266" s="79"/>
      <c r="CQ266" s="79"/>
      <c r="CR266" s="79"/>
      <c r="CS266" s="79"/>
      <c r="CT266" s="79"/>
      <c r="CU266" s="79"/>
      <c r="CV266" s="79"/>
      <c r="CW266" s="79"/>
      <c r="CX266" s="85"/>
      <c r="CY266" s="85"/>
      <c r="CZ266" s="85"/>
      <c r="DA266" s="86"/>
      <c r="DB266" s="84"/>
    </row>
    <row r="267" spans="2:106" ht="11.25" customHeight="1">
      <c r="B267" s="78"/>
      <c r="C267" s="79"/>
      <c r="D267" s="79"/>
      <c r="E267" s="79"/>
      <c r="F267" s="79"/>
      <c r="G267" s="79" t="s">
        <v>43</v>
      </c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 t="s">
        <v>604</v>
      </c>
      <c r="S267" s="79"/>
      <c r="T267" s="79" t="str">
        <f>TEXT(노임단가!F9,"#,##0")</f>
        <v>226,122</v>
      </c>
      <c r="U267" s="79"/>
      <c r="V267" s="79"/>
      <c r="W267" s="79"/>
      <c r="X267" s="79"/>
      <c r="Y267" s="79"/>
      <c r="Z267" s="79"/>
      <c r="AA267" s="79"/>
      <c r="AB267" s="79"/>
      <c r="AC267" s="79"/>
      <c r="AD267" s="79" t="s">
        <v>699</v>
      </c>
      <c r="AE267" s="79"/>
      <c r="AF267" s="79"/>
      <c r="AG267" s="79" t="str">
        <f>TEXT(2,"#,##0.#######")</f>
        <v>2.</v>
      </c>
      <c r="AH267" s="79" t="s">
        <v>767</v>
      </c>
      <c r="AI267" s="79"/>
      <c r="AJ267" s="79"/>
      <c r="AK267" s="79" t="s">
        <v>391</v>
      </c>
      <c r="AL267" s="79"/>
      <c r="AM267" s="79"/>
      <c r="AN267" s="79" t="s">
        <v>262</v>
      </c>
      <c r="AO267" s="79"/>
      <c r="AP267" s="79"/>
      <c r="AQ267" s="79" t="s">
        <v>309</v>
      </c>
      <c r="AR267" s="79"/>
      <c r="AS267" s="79" t="str">
        <f>TEXT(T267,"#,##0.#######")</f>
        <v>226,122.</v>
      </c>
      <c r="AT267" s="79"/>
      <c r="AU267" s="79"/>
      <c r="AV267" s="79"/>
      <c r="AW267" s="79"/>
      <c r="AX267" s="79"/>
      <c r="AY267" s="79"/>
      <c r="AZ267" s="79"/>
      <c r="BA267" s="79" t="s">
        <v>699</v>
      </c>
      <c r="BB267" s="79"/>
      <c r="BC267" s="79"/>
      <c r="BD267" s="79" t="str">
        <f>TEXT(AG267,"#,##0.#######")</f>
        <v>2.</v>
      </c>
      <c r="BE267" s="79"/>
      <c r="BF267" s="79" t="s">
        <v>391</v>
      </c>
      <c r="BG267" s="79"/>
      <c r="BH267" s="79"/>
      <c r="BI267" s="79" t="str">
        <f>TEXT(Y251,"#,##0.#######")</f>
        <v>90.</v>
      </c>
      <c r="BJ267" s="79"/>
      <c r="BK267" s="79"/>
      <c r="BL267" s="79" t="s">
        <v>309</v>
      </c>
      <c r="BM267" s="79"/>
      <c r="BN267" s="79" t="str">
        <f>TEXT(TRUNC(T267*AG267/Y251,1),"#,##0.#######")</f>
        <v>5,024.9</v>
      </c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  <c r="CQ267" s="79"/>
      <c r="CR267" s="79"/>
      <c r="CS267" s="79"/>
      <c r="CT267" s="79"/>
      <c r="CU267" s="79"/>
      <c r="CV267" s="79"/>
      <c r="CW267" s="79"/>
      <c r="CX267" s="85"/>
      <c r="CY267" s="85"/>
      <c r="CZ267" s="85"/>
      <c r="DA267" s="86"/>
      <c r="DB267" s="84"/>
    </row>
    <row r="268" spans="2:106" ht="11.25" customHeight="1"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  <c r="CQ268" s="79"/>
      <c r="CR268" s="79"/>
      <c r="CS268" s="79"/>
      <c r="CT268" s="79"/>
      <c r="CU268" s="79"/>
      <c r="CV268" s="79"/>
      <c r="CW268" s="79"/>
      <c r="CX268" s="85"/>
      <c r="CY268" s="85"/>
      <c r="CZ268" s="85"/>
      <c r="DA268" s="86"/>
      <c r="DB268" s="84"/>
    </row>
    <row r="269" spans="2:106" ht="11.25" customHeight="1">
      <c r="B269" s="78"/>
      <c r="C269" s="79"/>
      <c r="D269" s="79"/>
      <c r="E269" s="79"/>
      <c r="F269" s="79"/>
      <c r="G269" s="79" t="s">
        <v>54</v>
      </c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 t="s">
        <v>604</v>
      </c>
      <c r="S269" s="79"/>
      <c r="T269" s="79"/>
      <c r="U269" s="79" t="str">
        <f>TEXT(노임단가!F5,"#,##0")</f>
        <v>172,068</v>
      </c>
      <c r="V269" s="79"/>
      <c r="W269" s="79"/>
      <c r="X269" s="79"/>
      <c r="Y269" s="79"/>
      <c r="Z269" s="79"/>
      <c r="AA269" s="79"/>
      <c r="AB269" s="79"/>
      <c r="AC269" s="79"/>
      <c r="AD269" s="79"/>
      <c r="AE269" s="79" t="s">
        <v>699</v>
      </c>
      <c r="AF269" s="79"/>
      <c r="AG269" s="79"/>
      <c r="AH269" s="79" t="str">
        <f>TEXT(2,"#,##0.#######")</f>
        <v>2.</v>
      </c>
      <c r="AI269" s="79" t="s">
        <v>767</v>
      </c>
      <c r="AJ269" s="79"/>
      <c r="AK269" s="79"/>
      <c r="AL269" s="79" t="s">
        <v>391</v>
      </c>
      <c r="AM269" s="79"/>
      <c r="AN269" s="79"/>
      <c r="AO269" s="79" t="s">
        <v>262</v>
      </c>
      <c r="AP269" s="79"/>
      <c r="AQ269" s="79"/>
      <c r="AR269" s="79" t="s">
        <v>309</v>
      </c>
      <c r="AS269" s="79"/>
      <c r="AT269" s="79"/>
      <c r="AU269" s="79" t="str">
        <f>TEXT(U269,"#,##0.#######")</f>
        <v>172,068.</v>
      </c>
      <c r="AV269" s="79"/>
      <c r="AW269" s="79"/>
      <c r="AX269" s="79"/>
      <c r="AY269" s="79"/>
      <c r="AZ269" s="79"/>
      <c r="BA269" s="79"/>
      <c r="BB269" s="79"/>
      <c r="BC269" s="79" t="s">
        <v>699</v>
      </c>
      <c r="BD269" s="79"/>
      <c r="BE269" s="79"/>
      <c r="BF269" s="79" t="str">
        <f>TEXT(AH269,"#,##0.#######")</f>
        <v>2.</v>
      </c>
      <c r="BG269" s="79"/>
      <c r="BH269" s="79" t="s">
        <v>391</v>
      </c>
      <c r="BI269" s="79"/>
      <c r="BJ269" s="79"/>
      <c r="BK269" s="79" t="str">
        <f>TEXT(Y251,"#,##0.#######")</f>
        <v>90.</v>
      </c>
      <c r="BL269" s="79"/>
      <c r="BM269" s="79"/>
      <c r="BN269" s="79" t="s">
        <v>309</v>
      </c>
      <c r="BO269" s="79"/>
      <c r="BP269" s="79" t="str">
        <f>TEXT(TRUNC(U269*AH269/Y251,1),"#,##0.#######")</f>
        <v>3,823.7</v>
      </c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79"/>
      <c r="CM269" s="79"/>
      <c r="CN269" s="79"/>
      <c r="CO269" s="79"/>
      <c r="CP269" s="79"/>
      <c r="CQ269" s="79"/>
      <c r="CR269" s="79"/>
      <c r="CS269" s="79"/>
      <c r="CT269" s="79"/>
      <c r="CU269" s="79"/>
      <c r="CV269" s="79"/>
      <c r="CW269" s="79"/>
      <c r="CX269" s="85"/>
      <c r="CY269" s="85"/>
      <c r="CZ269" s="85"/>
      <c r="DA269" s="86"/>
      <c r="DB269" s="84"/>
    </row>
    <row r="270" spans="2:106" ht="11.25" customHeight="1">
      <c r="B270" s="78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  <c r="CQ270" s="79"/>
      <c r="CR270" s="79"/>
      <c r="CS270" s="79"/>
      <c r="CT270" s="79"/>
      <c r="CU270" s="79"/>
      <c r="CV270" s="79"/>
      <c r="CW270" s="79"/>
      <c r="CX270" s="85"/>
      <c r="CY270" s="85"/>
      <c r="CZ270" s="85"/>
      <c r="DA270" s="86"/>
      <c r="DB270" s="84"/>
    </row>
    <row r="271" spans="2:106" ht="11.25" customHeight="1">
      <c r="B271" s="78"/>
      <c r="C271" s="79"/>
      <c r="D271" s="79"/>
      <c r="E271" s="79"/>
      <c r="F271" s="79"/>
      <c r="G271" s="79" t="s">
        <v>565</v>
      </c>
      <c r="H271" s="79"/>
      <c r="I271" s="79"/>
      <c r="J271" s="79"/>
      <c r="K271" s="79"/>
      <c r="L271" s="79"/>
      <c r="M271" s="79"/>
      <c r="N271" s="79"/>
      <c r="O271" s="79"/>
      <c r="P271" s="79" t="s">
        <v>604</v>
      </c>
      <c r="Q271" s="79"/>
      <c r="R271" s="79" t="str">
        <f>TEXT(TRUNC(BN267+BP269,1),"#,##0.#######")</f>
        <v>8,848.6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85"/>
      <c r="CY271" s="85" t="str">
        <f>R271</f>
        <v>8,848.6</v>
      </c>
      <c r="CZ271" s="85"/>
      <c r="DA271" s="86"/>
      <c r="DB271" s="84"/>
    </row>
    <row r="272" spans="2:106" ht="11.25" customHeight="1">
      <c r="B272" s="78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  <c r="CQ272" s="79"/>
      <c r="CR272" s="79"/>
      <c r="CS272" s="79"/>
      <c r="CT272" s="79"/>
      <c r="CU272" s="79"/>
      <c r="CV272" s="79"/>
      <c r="CW272" s="79"/>
      <c r="CX272" s="85"/>
      <c r="CY272" s="85"/>
      <c r="CZ272" s="85"/>
      <c r="DA272" s="86"/>
      <c r="DB272" s="84"/>
    </row>
    <row r="273" spans="2:106" ht="11.25" customHeight="1">
      <c r="B273" s="78"/>
      <c r="C273" s="79"/>
      <c r="D273" s="79" t="s">
        <v>832</v>
      </c>
      <c r="E273" s="79"/>
      <c r="F273" s="79"/>
      <c r="G273" s="79" t="s">
        <v>200</v>
      </c>
      <c r="H273" s="79"/>
      <c r="I273" s="79"/>
      <c r="J273" s="79"/>
      <c r="K273" s="79"/>
      <c r="L273" s="79"/>
      <c r="M273" s="79"/>
      <c r="N273" s="79"/>
      <c r="O273" s="79" t="s">
        <v>431</v>
      </c>
      <c r="P273" s="79" t="s">
        <v>130</v>
      </c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 t="s">
        <v>225</v>
      </c>
      <c r="AB273" s="79" t="s">
        <v>157</v>
      </c>
      <c r="AC273" s="79" t="s">
        <v>89</v>
      </c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  <c r="CQ273" s="79"/>
      <c r="CR273" s="79"/>
      <c r="CS273" s="79"/>
      <c r="CT273" s="79"/>
      <c r="CU273" s="79"/>
      <c r="CV273" s="79"/>
      <c r="CW273" s="79"/>
      <c r="CX273" s="85"/>
      <c r="CY273" s="85"/>
      <c r="CZ273" s="85"/>
      <c r="DA273" s="86"/>
      <c r="DB273" s="84"/>
    </row>
    <row r="274" spans="2:106" ht="11.25" customHeight="1">
      <c r="B274" s="78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  <c r="CQ274" s="79"/>
      <c r="CR274" s="79"/>
      <c r="CS274" s="79"/>
      <c r="CT274" s="79"/>
      <c r="CU274" s="79"/>
      <c r="CV274" s="79"/>
      <c r="CW274" s="79"/>
      <c r="CX274" s="85"/>
      <c r="CY274" s="85"/>
      <c r="CZ274" s="85"/>
      <c r="DA274" s="86"/>
      <c r="DB274" s="84"/>
    </row>
    <row r="275" spans="2:106" ht="11.25" customHeight="1">
      <c r="B275" s="78"/>
      <c r="C275" s="79"/>
      <c r="D275" s="79"/>
      <c r="E275" s="79"/>
      <c r="F275" s="79"/>
      <c r="G275" s="79" t="str">
        <f>R263</f>
        <v>24,638.9</v>
      </c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 t="s">
        <v>699</v>
      </c>
      <c r="S275" s="79"/>
      <c r="T275" s="79"/>
      <c r="U275" s="79" t="str">
        <f>TEXT(1,"#,##0.#######")</f>
        <v>1.</v>
      </c>
      <c r="V275" s="79" t="s">
        <v>157</v>
      </c>
      <c r="W275" s="79"/>
      <c r="X275" s="79" t="s">
        <v>309</v>
      </c>
      <c r="Y275" s="79"/>
      <c r="Z275" s="79" t="str">
        <f>TEXT(TRUNC(R263*(U275*(1/100)),1),"#,##0.#")</f>
        <v>246.3</v>
      </c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  <c r="CQ275" s="79"/>
      <c r="CR275" s="79"/>
      <c r="CS275" s="79"/>
      <c r="CT275" s="79"/>
      <c r="CU275" s="79"/>
      <c r="CV275" s="79"/>
      <c r="CW275" s="79"/>
      <c r="CX275" s="85">
        <f>CY275+CZ275+DA275</f>
        <v>246.3</v>
      </c>
      <c r="CY275" s="85"/>
      <c r="CZ275" s="85" t="str">
        <f>Z275</f>
        <v>246.3</v>
      </c>
      <c r="DA275" s="86"/>
      <c r="DB275" s="84"/>
    </row>
    <row r="276" spans="2:106" ht="11.25" customHeight="1">
      <c r="B276" s="78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  <c r="CQ276" s="79"/>
      <c r="CR276" s="79"/>
      <c r="CS276" s="79"/>
      <c r="CT276" s="79"/>
      <c r="CU276" s="79"/>
      <c r="CV276" s="79"/>
      <c r="CW276" s="79"/>
      <c r="CX276" s="85"/>
      <c r="CY276" s="85"/>
      <c r="CZ276" s="85"/>
      <c r="DA276" s="86"/>
      <c r="DB276" s="84"/>
    </row>
    <row r="277" spans="2:106" ht="11.25" customHeight="1">
      <c r="B277" s="78"/>
      <c r="C277" s="79"/>
      <c r="D277" s="79" t="s">
        <v>165</v>
      </c>
      <c r="E277" s="79"/>
      <c r="F277" s="79"/>
      <c r="G277" s="79" t="s">
        <v>446</v>
      </c>
      <c r="H277" s="79"/>
      <c r="I277" s="79"/>
      <c r="J277" s="79"/>
      <c r="K277" s="79"/>
      <c r="L277" s="79"/>
      <c r="M277" s="79"/>
      <c r="N277" s="79"/>
      <c r="O277" s="79"/>
      <c r="P277" s="79" t="s">
        <v>327</v>
      </c>
      <c r="Q277" s="79"/>
      <c r="R277" s="79"/>
      <c r="S277" s="79" t="s">
        <v>75</v>
      </c>
      <c r="T277" s="79"/>
      <c r="U277" s="79"/>
      <c r="V277" s="79"/>
      <c r="W277" s="79"/>
      <c r="X277" s="79"/>
      <c r="Y277" s="79" t="s">
        <v>431</v>
      </c>
      <c r="Z277" s="79" t="s">
        <v>117</v>
      </c>
      <c r="AA277" s="79"/>
      <c r="AB277" s="79"/>
      <c r="AC277" s="79"/>
      <c r="AD277" s="79"/>
      <c r="AE277" s="79"/>
      <c r="AF277" s="79"/>
      <c r="AG277" s="79"/>
      <c r="AH277" s="79" t="s">
        <v>716</v>
      </c>
      <c r="AI277" s="79"/>
      <c r="AJ277" s="79"/>
      <c r="AK277" s="79"/>
      <c r="AL277" s="79"/>
      <c r="AM277" s="79"/>
      <c r="AN277" s="79"/>
      <c r="AO277" s="79" t="s">
        <v>89</v>
      </c>
      <c r="AP277" s="79" t="s">
        <v>245</v>
      </c>
      <c r="AQ277" s="79"/>
      <c r="AR277" s="79"/>
      <c r="AS277" s="79" t="s">
        <v>106</v>
      </c>
      <c r="AT277" s="79"/>
      <c r="AU277" s="79"/>
      <c r="AV277" s="79"/>
      <c r="AW277" s="79"/>
      <c r="AX277" s="79"/>
      <c r="AY277" s="79"/>
      <c r="AZ277" s="79"/>
      <c r="BA277" s="79" t="s">
        <v>23</v>
      </c>
      <c r="BB277" s="79" t="s">
        <v>431</v>
      </c>
      <c r="BC277" s="79" t="s">
        <v>460</v>
      </c>
      <c r="BD277" s="79"/>
      <c r="BE277" s="79"/>
      <c r="BF277" s="79"/>
      <c r="BG277" s="79"/>
      <c r="BH277" s="79"/>
      <c r="BI277" s="79"/>
      <c r="BJ277" s="79"/>
      <c r="BK277" s="79"/>
      <c r="BL277" s="79" t="s">
        <v>90</v>
      </c>
      <c r="BM277" s="79"/>
      <c r="BN277" s="79" t="s">
        <v>157</v>
      </c>
      <c r="BO277" s="79" t="s">
        <v>89</v>
      </c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  <c r="CQ277" s="79"/>
      <c r="CR277" s="79"/>
      <c r="CS277" s="79"/>
      <c r="CT277" s="79"/>
      <c r="CU277" s="79"/>
      <c r="CV277" s="79"/>
      <c r="CW277" s="79"/>
      <c r="CX277" s="85"/>
      <c r="CY277" s="85"/>
      <c r="CZ277" s="85"/>
      <c r="DA277" s="86"/>
      <c r="DB277" s="84"/>
    </row>
    <row r="278" spans="2:106" ht="11.25" customHeight="1">
      <c r="B278" s="78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79"/>
      <c r="CM278" s="79"/>
      <c r="CN278" s="79"/>
      <c r="CO278" s="79"/>
      <c r="CP278" s="79"/>
      <c r="CQ278" s="79"/>
      <c r="CR278" s="79"/>
      <c r="CS278" s="79"/>
      <c r="CT278" s="79"/>
      <c r="CU278" s="79"/>
      <c r="CV278" s="79"/>
      <c r="CW278" s="79"/>
      <c r="CX278" s="85"/>
      <c r="CY278" s="85"/>
      <c r="CZ278" s="85"/>
      <c r="DA278" s="86"/>
      <c r="DB278" s="84"/>
    </row>
    <row r="279" spans="2:106" ht="11.25" customHeight="1">
      <c r="B279" s="78"/>
      <c r="C279" s="79"/>
      <c r="D279" s="79"/>
      <c r="E279" s="79"/>
      <c r="F279" s="79"/>
      <c r="G279" s="79" t="str">
        <f>R271</f>
        <v>8,848.6</v>
      </c>
      <c r="H279" s="79"/>
      <c r="I279" s="79"/>
      <c r="J279" s="79"/>
      <c r="K279" s="79"/>
      <c r="L279" s="79"/>
      <c r="M279" s="79"/>
      <c r="N279" s="79"/>
      <c r="O279" s="79"/>
      <c r="P279" s="79"/>
      <c r="Q279" s="79" t="s">
        <v>699</v>
      </c>
      <c r="R279" s="79"/>
      <c r="S279" s="79"/>
      <c r="T279" s="79" t="str">
        <f>TEXT(10,"#,##0.#######")</f>
        <v>10.</v>
      </c>
      <c r="U279" s="79"/>
      <c r="V279" s="79" t="s">
        <v>157</v>
      </c>
      <c r="W279" s="79"/>
      <c r="X279" s="79" t="s">
        <v>309</v>
      </c>
      <c r="Y279" s="79"/>
      <c r="Z279" s="79" t="str">
        <f>TEXT(TRUNC(R271*(T279*(1/100)),1),"#,##0.#")</f>
        <v>884.8</v>
      </c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  <c r="CQ279" s="79"/>
      <c r="CR279" s="79"/>
      <c r="CS279" s="79"/>
      <c r="CT279" s="79"/>
      <c r="CU279" s="79"/>
      <c r="CV279" s="79"/>
      <c r="CW279" s="79"/>
      <c r="CX279" s="85">
        <f>CY279+CZ279+DA279</f>
        <v>884.8</v>
      </c>
      <c r="CY279" s="85"/>
      <c r="CZ279" s="85"/>
      <c r="DA279" s="86" t="str">
        <f>Z279</f>
        <v>884.8</v>
      </c>
      <c r="DB279" s="84"/>
    </row>
    <row r="280" spans="2:106" ht="11.25" customHeight="1">
      <c r="B280" s="78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  <c r="CQ280" s="79"/>
      <c r="CR280" s="79"/>
      <c r="CS280" s="79"/>
      <c r="CT280" s="79"/>
      <c r="CU280" s="79"/>
      <c r="CV280" s="79"/>
      <c r="CW280" s="79"/>
      <c r="CX280" s="85"/>
      <c r="CY280" s="85"/>
      <c r="CZ280" s="85"/>
      <c r="DA280" s="86"/>
      <c r="DB280" s="84"/>
    </row>
    <row r="281" spans="2:106" ht="11.25" customHeight="1">
      <c r="B281" s="78"/>
      <c r="C281" s="79"/>
      <c r="D281" s="79" t="s">
        <v>389</v>
      </c>
      <c r="E281" s="79"/>
      <c r="F281" s="79"/>
      <c r="G281" s="79" t="s">
        <v>106</v>
      </c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79"/>
      <c r="CM281" s="79"/>
      <c r="CN281" s="79"/>
      <c r="CO281" s="79"/>
      <c r="CP281" s="79"/>
      <c r="CQ281" s="79"/>
      <c r="CR281" s="79"/>
      <c r="CS281" s="79"/>
      <c r="CT281" s="79"/>
      <c r="CU281" s="79"/>
      <c r="CV281" s="79"/>
      <c r="CW281" s="79"/>
      <c r="CX281" s="85"/>
      <c r="CY281" s="85"/>
      <c r="CZ281" s="85"/>
      <c r="DA281" s="86"/>
      <c r="DB281" s="84"/>
    </row>
    <row r="282" spans="2:106" ht="11.25" customHeight="1">
      <c r="B282" s="78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  <c r="CQ282" s="79"/>
      <c r="CR282" s="79"/>
      <c r="CS282" s="79"/>
      <c r="CT282" s="79"/>
      <c r="CU282" s="79"/>
      <c r="CV282" s="79"/>
      <c r="CW282" s="79"/>
      <c r="CX282" s="85"/>
      <c r="CY282" s="85"/>
      <c r="CZ282" s="85"/>
      <c r="DA282" s="86"/>
      <c r="DB282" s="84"/>
    </row>
    <row r="283" spans="2:106" ht="11.25" customHeight="1">
      <c r="B283" s="78"/>
      <c r="C283" s="79"/>
      <c r="D283" s="79"/>
      <c r="E283" s="79" t="s">
        <v>614</v>
      </c>
      <c r="F283" s="79"/>
      <c r="G283" s="79" t="s">
        <v>587</v>
      </c>
      <c r="H283" s="79"/>
      <c r="I283" s="79" t="s">
        <v>353</v>
      </c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 t="s">
        <v>116</v>
      </c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 t="s">
        <v>604</v>
      </c>
      <c r="AF283" s="79"/>
      <c r="AG283" s="79" t="s">
        <v>42</v>
      </c>
      <c r="AH283" s="79"/>
      <c r="AI283" s="79"/>
      <c r="AJ283" s="79"/>
      <c r="AK283" s="79"/>
      <c r="AL283" s="79"/>
      <c r="AM283" s="79"/>
      <c r="AN283" s="79" t="s">
        <v>100</v>
      </c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  <c r="CQ283" s="79"/>
      <c r="CR283" s="79"/>
      <c r="CS283" s="79"/>
      <c r="CT283" s="79"/>
      <c r="CU283" s="79"/>
      <c r="CV283" s="79"/>
      <c r="CW283" s="79"/>
      <c r="CX283" s="85"/>
      <c r="CY283" s="85"/>
      <c r="CZ283" s="85"/>
      <c r="DA283" s="86"/>
      <c r="DB283" s="84"/>
    </row>
    <row r="284" spans="2:106" ht="11.25" customHeight="1">
      <c r="B284" s="78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85"/>
      <c r="CY284" s="85"/>
      <c r="CZ284" s="85"/>
      <c r="DA284" s="86"/>
      <c r="DB284" s="84"/>
    </row>
    <row r="285" spans="2:106" ht="11.25" customHeight="1">
      <c r="B285" s="78"/>
      <c r="C285" s="79"/>
      <c r="D285" s="79"/>
      <c r="E285" s="79"/>
      <c r="F285" s="79"/>
      <c r="G285" s="79" t="s">
        <v>49</v>
      </c>
      <c r="H285" s="79"/>
      <c r="I285" s="79" t="s">
        <v>309</v>
      </c>
      <c r="J285" s="79"/>
      <c r="K285" s="79" t="s">
        <v>262</v>
      </c>
      <c r="L285" s="79"/>
      <c r="M285" s="79"/>
      <c r="N285" s="79" t="s">
        <v>391</v>
      </c>
      <c r="O285" s="79"/>
      <c r="P285" s="79"/>
      <c r="Q285" s="79" t="str">
        <f>TEXT(8,"#,##0.#######")</f>
        <v>8.</v>
      </c>
      <c r="R285" s="79" t="s">
        <v>598</v>
      </c>
      <c r="S285" s="79"/>
      <c r="T285" s="79"/>
      <c r="U285" s="79" t="s">
        <v>309</v>
      </c>
      <c r="V285" s="79"/>
      <c r="W285" s="79" t="str">
        <f>TEXT(Y251,"#,##0.#######")</f>
        <v>90.</v>
      </c>
      <c r="X285" s="79"/>
      <c r="Y285" s="79"/>
      <c r="Z285" s="79" t="s">
        <v>391</v>
      </c>
      <c r="AA285" s="79"/>
      <c r="AB285" s="79"/>
      <c r="AC285" s="79" t="str">
        <f>TEXT(Q285,"#,##0.#######")</f>
        <v>8.</v>
      </c>
      <c r="AD285" s="79"/>
      <c r="AE285" s="79" t="s">
        <v>309</v>
      </c>
      <c r="AF285" s="79"/>
      <c r="AG285" s="79" t="str">
        <f>TEXT(ROUND(Y251/Q285,2),"#,##0.#######")</f>
        <v>11.25</v>
      </c>
      <c r="AH285" s="79"/>
      <c r="AI285" s="79"/>
      <c r="AJ285" s="79"/>
      <c r="AK285" s="79"/>
      <c r="AL285" s="79"/>
      <c r="AM285" s="79"/>
      <c r="AN285" s="79" t="s">
        <v>596</v>
      </c>
      <c r="AO285" s="79"/>
      <c r="AP285" s="79" t="s">
        <v>123</v>
      </c>
      <c r="AQ285" s="79" t="s">
        <v>598</v>
      </c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  <c r="CQ285" s="79"/>
      <c r="CR285" s="79"/>
      <c r="CS285" s="79"/>
      <c r="CT285" s="79"/>
      <c r="CU285" s="79"/>
      <c r="CV285" s="79"/>
      <c r="CW285" s="79"/>
      <c r="CX285" s="85"/>
      <c r="CY285" s="85"/>
      <c r="CZ285" s="85"/>
      <c r="DA285" s="86"/>
      <c r="DB285" s="84"/>
    </row>
    <row r="286" spans="2:106" ht="11.25" customHeight="1">
      <c r="B286" s="78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85"/>
      <c r="CY286" s="85"/>
      <c r="CZ286" s="85"/>
      <c r="DA286" s="86"/>
      <c r="DB286" s="84"/>
    </row>
    <row r="287" spans="2:106" ht="11.25" customHeight="1">
      <c r="B287" s="78"/>
      <c r="C287" s="79"/>
      <c r="D287" s="79"/>
      <c r="E287" s="79"/>
      <c r="F287" s="79"/>
      <c r="G287" s="79" t="s">
        <v>700</v>
      </c>
      <c r="H287" s="79"/>
      <c r="I287" s="79"/>
      <c r="J287" s="79"/>
      <c r="K287" s="79"/>
      <c r="L287" s="79"/>
      <c r="M287" s="79"/>
      <c r="N287" s="79" t="s">
        <v>604</v>
      </c>
      <c r="O287" s="79"/>
      <c r="P287" s="79" t="str">
        <f>TEXT(기계경비총괄표!G13,"#,##0")</f>
        <v>49,778</v>
      </c>
      <c r="Q287" s="79"/>
      <c r="R287" s="79"/>
      <c r="S287" s="79"/>
      <c r="T287" s="79"/>
      <c r="U287" s="79"/>
      <c r="V287" s="79"/>
      <c r="W287" s="79"/>
      <c r="X287" s="79"/>
      <c r="Y287" s="79" t="s">
        <v>391</v>
      </c>
      <c r="Z287" s="79"/>
      <c r="AA287" s="79"/>
      <c r="AB287" s="79" t="str">
        <f>TEXT(AG285,"#,##0.#######")</f>
        <v>11.25</v>
      </c>
      <c r="AC287" s="79"/>
      <c r="AD287" s="79"/>
      <c r="AE287" s="79"/>
      <c r="AF287" s="79"/>
      <c r="AG287" s="79"/>
      <c r="AH287" s="79"/>
      <c r="AI287" s="79"/>
      <c r="AJ287" s="79" t="s">
        <v>309</v>
      </c>
      <c r="AK287" s="79"/>
      <c r="AL287" s="79" t="str">
        <f>TEXT(TRUNC(P287/AG285,1),"#,##0.#")</f>
        <v>4,424.7</v>
      </c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79"/>
      <c r="CM287" s="79"/>
      <c r="CN287" s="79"/>
      <c r="CO287" s="79"/>
      <c r="CP287" s="79"/>
      <c r="CQ287" s="79"/>
      <c r="CR287" s="79"/>
      <c r="CS287" s="79"/>
      <c r="CT287" s="79"/>
      <c r="CU287" s="79"/>
      <c r="CV287" s="79"/>
      <c r="CW287" s="79"/>
      <c r="CX287" s="85"/>
      <c r="CY287" s="85"/>
      <c r="CZ287" s="85"/>
      <c r="DA287" s="86"/>
      <c r="DB287" s="84"/>
    </row>
    <row r="288" spans="2:106" ht="11.25" customHeight="1">
      <c r="B288" s="78"/>
      <c r="C288" s="79"/>
      <c r="D288" s="79"/>
      <c r="E288" s="79"/>
      <c r="F288" s="79"/>
      <c r="G288" s="79" t="s">
        <v>498</v>
      </c>
      <c r="H288" s="79"/>
      <c r="I288" s="79"/>
      <c r="J288" s="79"/>
      <c r="K288" s="79"/>
      <c r="L288" s="79"/>
      <c r="M288" s="79"/>
      <c r="N288" s="79" t="s">
        <v>604</v>
      </c>
      <c r="O288" s="79"/>
      <c r="P288" s="79"/>
      <c r="Q288" s="79" t="str">
        <f>TEXT(기계경비총괄표!H13,"#,##0")</f>
        <v>9,494</v>
      </c>
      <c r="R288" s="79"/>
      <c r="S288" s="79"/>
      <c r="T288" s="79"/>
      <c r="U288" s="79"/>
      <c r="V288" s="79"/>
      <c r="W288" s="79"/>
      <c r="X288" s="79"/>
      <c r="Y288" s="79" t="s">
        <v>391</v>
      </c>
      <c r="Z288" s="79"/>
      <c r="AA288" s="79"/>
      <c r="AB288" s="79" t="str">
        <f>TEXT(AG285,"#,##0.#######")</f>
        <v>11.25</v>
      </c>
      <c r="AC288" s="79"/>
      <c r="AD288" s="79"/>
      <c r="AE288" s="79"/>
      <c r="AF288" s="79"/>
      <c r="AG288" s="79"/>
      <c r="AH288" s="79"/>
      <c r="AI288" s="79"/>
      <c r="AJ288" s="79" t="s">
        <v>309</v>
      </c>
      <c r="AK288" s="79"/>
      <c r="AL288" s="79"/>
      <c r="AM288" s="79"/>
      <c r="AN288" s="79" t="str">
        <f>TEXT(TRUNC(Q288/AG285,1),"#,##0.#")</f>
        <v>843.9</v>
      </c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79"/>
      <c r="CM288" s="79"/>
      <c r="CN288" s="79"/>
      <c r="CO288" s="79"/>
      <c r="CP288" s="79"/>
      <c r="CQ288" s="79"/>
      <c r="CR288" s="79"/>
      <c r="CS288" s="79"/>
      <c r="CT288" s="79"/>
      <c r="CU288" s="79"/>
      <c r="CV288" s="79"/>
      <c r="CW288" s="79"/>
      <c r="CX288" s="85"/>
      <c r="CY288" s="85"/>
      <c r="CZ288" s="85"/>
      <c r="DA288" s="86"/>
      <c r="DB288" s="84"/>
    </row>
    <row r="289" spans="2:106" ht="11.25" customHeight="1">
      <c r="B289" s="78"/>
      <c r="C289" s="79"/>
      <c r="D289" s="79"/>
      <c r="E289" s="79"/>
      <c r="F289" s="79"/>
      <c r="G289" s="79" t="s">
        <v>160</v>
      </c>
      <c r="H289" s="79"/>
      <c r="I289" s="79"/>
      <c r="J289" s="79"/>
      <c r="K289" s="79" t="s">
        <v>440</v>
      </c>
      <c r="L289" s="79"/>
      <c r="M289" s="79"/>
      <c r="N289" s="79" t="s">
        <v>604</v>
      </c>
      <c r="O289" s="79"/>
      <c r="P289" s="79"/>
      <c r="Q289" s="79" t="str">
        <f>TEXT(기계경비총괄표!I13,"#,##0")</f>
        <v>7,613</v>
      </c>
      <c r="R289" s="79"/>
      <c r="S289" s="79"/>
      <c r="T289" s="79"/>
      <c r="U289" s="79"/>
      <c r="V289" s="79"/>
      <c r="W289" s="79"/>
      <c r="X289" s="79"/>
      <c r="Y289" s="79" t="s">
        <v>391</v>
      </c>
      <c r="Z289" s="79"/>
      <c r="AA289" s="79"/>
      <c r="AB289" s="79" t="str">
        <f>TEXT(AG285,"#,##0.#######")</f>
        <v>11.25</v>
      </c>
      <c r="AC289" s="79"/>
      <c r="AD289" s="79"/>
      <c r="AE289" s="79"/>
      <c r="AF289" s="79"/>
      <c r="AG289" s="79"/>
      <c r="AH289" s="79"/>
      <c r="AI289" s="79"/>
      <c r="AJ289" s="79" t="s">
        <v>309</v>
      </c>
      <c r="AK289" s="79"/>
      <c r="AL289" s="79"/>
      <c r="AM289" s="79"/>
      <c r="AN289" s="79" t="str">
        <f>TEXT(TRUNC(Q289/AG285,1),"#,##0.#")</f>
        <v>676.7</v>
      </c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  <c r="CQ289" s="79"/>
      <c r="CR289" s="79"/>
      <c r="CS289" s="79"/>
      <c r="CT289" s="79"/>
      <c r="CU289" s="79"/>
      <c r="CV289" s="79"/>
      <c r="CW289" s="79"/>
      <c r="CX289" s="85"/>
      <c r="CY289" s="85"/>
      <c r="CZ289" s="85"/>
      <c r="DA289" s="86"/>
      <c r="DB289" s="84"/>
    </row>
    <row r="290" spans="2:106" ht="11.25" customHeight="1">
      <c r="B290" s="78"/>
      <c r="C290" s="79"/>
      <c r="D290" s="79"/>
      <c r="E290" s="79"/>
      <c r="F290" s="79"/>
      <c r="G290" s="79" t="s">
        <v>305</v>
      </c>
      <c r="H290" s="79"/>
      <c r="I290" s="79"/>
      <c r="J290" s="79"/>
      <c r="K290" s="79" t="s">
        <v>436</v>
      </c>
      <c r="L290" s="79"/>
      <c r="M290" s="79"/>
      <c r="N290" s="79" t="s">
        <v>604</v>
      </c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 t="str">
        <f>TEXT(AL287+AN288+AN289,"#,##0.#######")</f>
        <v>5,945.3</v>
      </c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85">
        <f>CY290+CZ290+DA290</f>
        <v>5945.2999999999993</v>
      </c>
      <c r="CY290" s="85" t="str">
        <f>TEXT(AL287,"#,###.0")</f>
        <v>4,424.7</v>
      </c>
      <c r="CZ290" s="85" t="str">
        <f>TEXT(AN288,"#,###.0")</f>
        <v>843.9</v>
      </c>
      <c r="DA290" s="86" t="str">
        <f>TEXT(AN289,"#,###.0")</f>
        <v>676.7</v>
      </c>
      <c r="DB290" s="84"/>
    </row>
    <row r="291" spans="2:106" ht="11.25" customHeight="1">
      <c r="B291" s="78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85"/>
      <c r="CY291" s="85"/>
      <c r="CZ291" s="85"/>
      <c r="DA291" s="86"/>
      <c r="DB291" s="84"/>
    </row>
    <row r="292" spans="2:106" ht="11.25" customHeight="1">
      <c r="B292" s="78"/>
      <c r="C292" s="79"/>
      <c r="D292" s="79"/>
      <c r="E292" s="79" t="s">
        <v>496</v>
      </c>
      <c r="F292" s="79"/>
      <c r="G292" s="79" t="s">
        <v>587</v>
      </c>
      <c r="H292" s="79"/>
      <c r="I292" s="79" t="s">
        <v>353</v>
      </c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 t="s">
        <v>57</v>
      </c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 t="s">
        <v>604</v>
      </c>
      <c r="AF292" s="79"/>
      <c r="AG292" s="79" t="s">
        <v>363</v>
      </c>
      <c r="AH292" s="79"/>
      <c r="AI292" s="79"/>
      <c r="AJ292" s="79"/>
      <c r="AK292" s="79" t="s">
        <v>256</v>
      </c>
      <c r="AL292" s="79"/>
      <c r="AM292" s="79"/>
      <c r="AN292" s="79"/>
      <c r="AO292" s="79"/>
      <c r="AP292" s="79"/>
      <c r="AQ292" s="79"/>
      <c r="AR292" s="79"/>
      <c r="AS292" s="79" t="s">
        <v>75</v>
      </c>
      <c r="AT292" s="79"/>
      <c r="AU292" s="79"/>
      <c r="AV292" s="79"/>
      <c r="AW292" s="79"/>
      <c r="AX292" s="79"/>
      <c r="AY292" s="79"/>
      <c r="AZ292" s="79" t="s">
        <v>100</v>
      </c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85"/>
      <c r="CY292" s="85"/>
      <c r="CZ292" s="85"/>
      <c r="DA292" s="86"/>
      <c r="DB292" s="84"/>
    </row>
    <row r="293" spans="2:106" ht="11.25" customHeight="1">
      <c r="B293" s="78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85"/>
      <c r="CY293" s="85"/>
      <c r="CZ293" s="85"/>
      <c r="DA293" s="86"/>
      <c r="DB293" s="84"/>
    </row>
    <row r="294" spans="2:106" ht="11.25" customHeight="1">
      <c r="B294" s="78"/>
      <c r="C294" s="79"/>
      <c r="D294" s="79"/>
      <c r="E294" s="79"/>
      <c r="F294" s="79"/>
      <c r="G294" s="79" t="s">
        <v>700</v>
      </c>
      <c r="H294" s="79"/>
      <c r="I294" s="79"/>
      <c r="J294" s="79"/>
      <c r="K294" s="79"/>
      <c r="L294" s="79"/>
      <c r="M294" s="79"/>
      <c r="N294" s="79" t="s">
        <v>604</v>
      </c>
      <c r="O294" s="79"/>
      <c r="P294" s="79" t="str">
        <f>TEXT(기계경비총괄표!G14,"#,##0")</f>
        <v>49,778</v>
      </c>
      <c r="Q294" s="79"/>
      <c r="R294" s="79"/>
      <c r="S294" s="79"/>
      <c r="T294" s="79"/>
      <c r="U294" s="79"/>
      <c r="V294" s="79"/>
      <c r="W294" s="79"/>
      <c r="X294" s="79"/>
      <c r="Y294" s="79" t="s">
        <v>391</v>
      </c>
      <c r="Z294" s="79"/>
      <c r="AA294" s="79"/>
      <c r="AB294" s="79" t="str">
        <f>TEXT(AG285,"#,##0.#######")</f>
        <v>11.25</v>
      </c>
      <c r="AC294" s="79"/>
      <c r="AD294" s="79"/>
      <c r="AE294" s="79"/>
      <c r="AF294" s="79"/>
      <c r="AG294" s="79"/>
      <c r="AH294" s="79"/>
      <c r="AI294" s="79"/>
      <c r="AJ294" s="79" t="s">
        <v>309</v>
      </c>
      <c r="AK294" s="79"/>
      <c r="AL294" s="79" t="str">
        <f>TEXT(TRUNC(P294/AG285,1),"#,##0.#")</f>
        <v>4,424.7</v>
      </c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85"/>
      <c r="CY294" s="85"/>
      <c r="CZ294" s="85"/>
      <c r="DA294" s="86"/>
      <c r="DB294" s="84"/>
    </row>
    <row r="295" spans="2:106" ht="11.25" customHeight="1">
      <c r="B295" s="78"/>
      <c r="C295" s="79"/>
      <c r="D295" s="79"/>
      <c r="E295" s="79"/>
      <c r="F295" s="79"/>
      <c r="G295" s="79" t="s">
        <v>498</v>
      </c>
      <c r="H295" s="79"/>
      <c r="I295" s="79"/>
      <c r="J295" s="79"/>
      <c r="K295" s="79"/>
      <c r="L295" s="79"/>
      <c r="M295" s="79"/>
      <c r="N295" s="79" t="s">
        <v>604</v>
      </c>
      <c r="O295" s="79"/>
      <c r="P295" s="79"/>
      <c r="Q295" s="79" t="str">
        <f>TEXT(기계경비총괄표!H14,"#,##0")</f>
        <v>5,506</v>
      </c>
      <c r="R295" s="79"/>
      <c r="S295" s="79"/>
      <c r="T295" s="79"/>
      <c r="U295" s="79"/>
      <c r="V295" s="79"/>
      <c r="W295" s="79"/>
      <c r="X295" s="79"/>
      <c r="Y295" s="79" t="s">
        <v>391</v>
      </c>
      <c r="Z295" s="79"/>
      <c r="AA295" s="79"/>
      <c r="AB295" s="79" t="str">
        <f>TEXT(AG285,"#,##0.#######")</f>
        <v>11.25</v>
      </c>
      <c r="AC295" s="79"/>
      <c r="AD295" s="79"/>
      <c r="AE295" s="79"/>
      <c r="AF295" s="79"/>
      <c r="AG295" s="79"/>
      <c r="AH295" s="79"/>
      <c r="AI295" s="79"/>
      <c r="AJ295" s="79" t="s">
        <v>309</v>
      </c>
      <c r="AK295" s="79"/>
      <c r="AL295" s="79"/>
      <c r="AM295" s="79" t="str">
        <f>TEXT(TRUNC(Q295/AG285,1),"#,##0.#")</f>
        <v>489.4</v>
      </c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85"/>
      <c r="CY295" s="85"/>
      <c r="CZ295" s="85"/>
      <c r="DA295" s="86"/>
      <c r="DB295" s="84"/>
    </row>
    <row r="296" spans="2:106" ht="11.25" customHeight="1">
      <c r="B296" s="78"/>
      <c r="C296" s="79"/>
      <c r="D296" s="79"/>
      <c r="E296" s="79"/>
      <c r="F296" s="79"/>
      <c r="G296" s="79" t="s">
        <v>160</v>
      </c>
      <c r="H296" s="79"/>
      <c r="I296" s="79"/>
      <c r="J296" s="79"/>
      <c r="K296" s="79" t="s">
        <v>440</v>
      </c>
      <c r="L296" s="79"/>
      <c r="M296" s="79"/>
      <c r="N296" s="79" t="s">
        <v>604</v>
      </c>
      <c r="O296" s="79"/>
      <c r="P296" s="79"/>
      <c r="Q296" s="79" t="str">
        <f>TEXT(기계경비총괄표!I14,"#,##0")</f>
        <v>6,522</v>
      </c>
      <c r="R296" s="79"/>
      <c r="S296" s="79"/>
      <c r="T296" s="79"/>
      <c r="U296" s="79"/>
      <c r="V296" s="79"/>
      <c r="W296" s="79"/>
      <c r="X296" s="79"/>
      <c r="Y296" s="79" t="s">
        <v>391</v>
      </c>
      <c r="Z296" s="79"/>
      <c r="AA296" s="79"/>
      <c r="AB296" s="79" t="str">
        <f>TEXT(AG285,"#,##0.#######")</f>
        <v>11.25</v>
      </c>
      <c r="AC296" s="79"/>
      <c r="AD296" s="79"/>
      <c r="AE296" s="79"/>
      <c r="AF296" s="79"/>
      <c r="AG296" s="79"/>
      <c r="AH296" s="79"/>
      <c r="AI296" s="79"/>
      <c r="AJ296" s="79" t="s">
        <v>309</v>
      </c>
      <c r="AK296" s="79"/>
      <c r="AL296" s="79"/>
      <c r="AM296" s="79" t="str">
        <f>TEXT(TRUNC(Q296/AG285,1),"#,##0.#")</f>
        <v>579.7</v>
      </c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85"/>
      <c r="CY296" s="85"/>
      <c r="CZ296" s="85"/>
      <c r="DA296" s="86"/>
      <c r="DB296" s="84"/>
    </row>
    <row r="297" spans="2:106" ht="11.25" customHeight="1">
      <c r="B297" s="78"/>
      <c r="C297" s="79"/>
      <c r="D297" s="79"/>
      <c r="E297" s="79"/>
      <c r="F297" s="79"/>
      <c r="G297" s="79" t="s">
        <v>305</v>
      </c>
      <c r="H297" s="79"/>
      <c r="I297" s="79"/>
      <c r="J297" s="79"/>
      <c r="K297" s="79" t="s">
        <v>436</v>
      </c>
      <c r="L297" s="79"/>
      <c r="M297" s="79"/>
      <c r="N297" s="79" t="s">
        <v>604</v>
      </c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 t="str">
        <f>TEXT(AL294+AM295+AM296,"#,##0.#######")</f>
        <v>5,493.8</v>
      </c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85">
        <f>CY297+CZ297+DA297</f>
        <v>5493.7999999999993</v>
      </c>
      <c r="CY297" s="85" t="str">
        <f>TEXT(AL294,"#,###.0")</f>
        <v>4,424.7</v>
      </c>
      <c r="CZ297" s="85" t="str">
        <f>TEXT(AM295,"#,###.0")</f>
        <v>489.4</v>
      </c>
      <c r="DA297" s="86" t="str">
        <f>TEXT(AM296,"#,###.0")</f>
        <v>579.7</v>
      </c>
      <c r="DB297" s="84"/>
    </row>
    <row r="298" spans="2:106" ht="11.25" customHeight="1">
      <c r="B298" s="78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85"/>
      <c r="CY298" s="85"/>
      <c r="CZ298" s="85"/>
      <c r="DA298" s="86"/>
      <c r="DB298" s="84"/>
    </row>
    <row r="299" spans="2:106" ht="11.25" customHeight="1">
      <c r="B299" s="78"/>
      <c r="C299" s="79"/>
      <c r="D299" s="79"/>
      <c r="E299" s="79" t="s">
        <v>222</v>
      </c>
      <c r="F299" s="79"/>
      <c r="G299" s="79" t="s">
        <v>587</v>
      </c>
      <c r="H299" s="79"/>
      <c r="I299" s="79" t="s">
        <v>305</v>
      </c>
      <c r="J299" s="79"/>
      <c r="K299" s="79"/>
      <c r="L299" s="79"/>
      <c r="M299" s="79" t="s">
        <v>436</v>
      </c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85"/>
      <c r="CY299" s="85"/>
      <c r="CZ299" s="85"/>
      <c r="DA299" s="86"/>
      <c r="DB299" s="84"/>
    </row>
    <row r="300" spans="2:106" ht="11.25" customHeight="1">
      <c r="B300" s="78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79"/>
      <c r="CM300" s="79"/>
      <c r="CN300" s="79"/>
      <c r="CO300" s="79"/>
      <c r="CP300" s="79"/>
      <c r="CQ300" s="79"/>
      <c r="CR300" s="79"/>
      <c r="CS300" s="79"/>
      <c r="CT300" s="79"/>
      <c r="CU300" s="79"/>
      <c r="CV300" s="79"/>
      <c r="CW300" s="79"/>
      <c r="CX300" s="85"/>
      <c r="CY300" s="85"/>
      <c r="CZ300" s="85"/>
      <c r="DA300" s="86"/>
      <c r="DB300" s="84"/>
    </row>
    <row r="301" spans="2:106" ht="11.25" customHeight="1">
      <c r="B301" s="78"/>
      <c r="C301" s="79"/>
      <c r="D301" s="79"/>
      <c r="E301" s="79"/>
      <c r="F301" s="79"/>
      <c r="G301" s="79"/>
      <c r="H301" s="79" t="s">
        <v>700</v>
      </c>
      <c r="I301" s="79"/>
      <c r="J301" s="79"/>
      <c r="K301" s="79"/>
      <c r="L301" s="79"/>
      <c r="M301" s="79"/>
      <c r="N301" s="79"/>
      <c r="O301" s="79" t="s">
        <v>604</v>
      </c>
      <c r="P301" s="79"/>
      <c r="Q301" s="79" t="str">
        <f>TEXT(CY290,"#,###.##")</f>
        <v>4,424.7</v>
      </c>
      <c r="R301" s="79"/>
      <c r="S301" s="79"/>
      <c r="T301" s="79"/>
      <c r="U301" s="79"/>
      <c r="V301" s="79"/>
      <c r="W301" s="79"/>
      <c r="X301" s="79"/>
      <c r="Y301" s="79" t="s">
        <v>148</v>
      </c>
      <c r="Z301" s="79"/>
      <c r="AA301" s="79" t="str">
        <f>TEXT(CY297,"#,###.##")</f>
        <v>4,424.7</v>
      </c>
      <c r="AB301" s="79"/>
      <c r="AC301" s="79"/>
      <c r="AD301" s="79"/>
      <c r="AE301" s="79"/>
      <c r="AF301" s="79"/>
      <c r="AG301" s="79"/>
      <c r="AH301" s="79"/>
      <c r="AI301" s="79" t="s">
        <v>309</v>
      </c>
      <c r="AJ301" s="79"/>
      <c r="AK301" s="79"/>
      <c r="AL301" s="79" t="str">
        <f>TEXT(TRUNC(CY290+CY297,1),"#,##0.#")</f>
        <v>8,849.4</v>
      </c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85"/>
      <c r="CY301" s="85"/>
      <c r="CZ301" s="85"/>
      <c r="DA301" s="86"/>
      <c r="DB301" s="84"/>
    </row>
    <row r="302" spans="2:106" ht="11.25" customHeight="1">
      <c r="B302" s="78"/>
      <c r="C302" s="79"/>
      <c r="D302" s="79"/>
      <c r="E302" s="79"/>
      <c r="F302" s="79"/>
      <c r="G302" s="79"/>
      <c r="H302" s="79" t="s">
        <v>498</v>
      </c>
      <c r="I302" s="79"/>
      <c r="J302" s="79"/>
      <c r="K302" s="79"/>
      <c r="L302" s="79"/>
      <c r="M302" s="79"/>
      <c r="N302" s="79"/>
      <c r="O302" s="79" t="s">
        <v>604</v>
      </c>
      <c r="P302" s="79"/>
      <c r="Q302" s="79" t="str">
        <f>TEXT(CZ290,"#,###.##")</f>
        <v>843.9</v>
      </c>
      <c r="R302" s="79"/>
      <c r="S302" s="79"/>
      <c r="T302" s="79"/>
      <c r="U302" s="79"/>
      <c r="V302" s="79"/>
      <c r="W302" s="79" t="s">
        <v>148</v>
      </c>
      <c r="X302" s="79"/>
      <c r="Y302" s="79" t="str">
        <f>TEXT(CZ297,"#,###.##")</f>
        <v>489.4</v>
      </c>
      <c r="Z302" s="79"/>
      <c r="AA302" s="79"/>
      <c r="AB302" s="79"/>
      <c r="AC302" s="79"/>
      <c r="AD302" s="79"/>
      <c r="AE302" s="79" t="s">
        <v>309</v>
      </c>
      <c r="AF302" s="79"/>
      <c r="AG302" s="79"/>
      <c r="AH302" s="79" t="str">
        <f>TEXT(TRUNC(CZ290+CZ297,1),"#,##0.#")</f>
        <v>1,333.3</v>
      </c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79"/>
      <c r="CM302" s="79"/>
      <c r="CN302" s="79"/>
      <c r="CO302" s="79"/>
      <c r="CP302" s="79"/>
      <c r="CQ302" s="79"/>
      <c r="CR302" s="79"/>
      <c r="CS302" s="79"/>
      <c r="CT302" s="79"/>
      <c r="CU302" s="79"/>
      <c r="CV302" s="79"/>
      <c r="CW302" s="79"/>
      <c r="CX302" s="85"/>
      <c r="CY302" s="85"/>
      <c r="CZ302" s="85"/>
      <c r="DA302" s="86"/>
      <c r="DB302" s="84"/>
    </row>
    <row r="303" spans="2:106" ht="11.25" customHeight="1">
      <c r="B303" s="78"/>
      <c r="C303" s="79"/>
      <c r="D303" s="79"/>
      <c r="E303" s="79"/>
      <c r="F303" s="79"/>
      <c r="G303" s="79"/>
      <c r="H303" s="79" t="s">
        <v>160</v>
      </c>
      <c r="I303" s="79"/>
      <c r="J303" s="79"/>
      <c r="K303" s="79"/>
      <c r="L303" s="79" t="s">
        <v>440</v>
      </c>
      <c r="M303" s="79"/>
      <c r="N303" s="79"/>
      <c r="O303" s="79" t="s">
        <v>604</v>
      </c>
      <c r="P303" s="79"/>
      <c r="Q303" s="79" t="str">
        <f>TEXT(DA290,"#,###.##")</f>
        <v>676.7</v>
      </c>
      <c r="R303" s="79"/>
      <c r="S303" s="79"/>
      <c r="T303" s="79"/>
      <c r="U303" s="79"/>
      <c r="V303" s="79"/>
      <c r="W303" s="79" t="s">
        <v>148</v>
      </c>
      <c r="X303" s="79"/>
      <c r="Y303" s="79" t="str">
        <f>TEXT(DA297,"#,###.##")</f>
        <v>579.7</v>
      </c>
      <c r="Z303" s="79"/>
      <c r="AA303" s="79"/>
      <c r="AB303" s="79"/>
      <c r="AC303" s="79"/>
      <c r="AD303" s="79"/>
      <c r="AE303" s="79" t="s">
        <v>309</v>
      </c>
      <c r="AF303" s="79"/>
      <c r="AG303" s="79"/>
      <c r="AH303" s="79" t="str">
        <f>TEXT(TRUNC(DA290+DA297,1),"#,##0.#")</f>
        <v>1,256.4</v>
      </c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85"/>
      <c r="CY303" s="85"/>
      <c r="CZ303" s="85"/>
      <c r="DA303" s="86"/>
      <c r="DB303" s="84"/>
    </row>
    <row r="304" spans="2:106" ht="11.25" customHeight="1">
      <c r="B304" s="78"/>
      <c r="C304" s="79"/>
      <c r="D304" s="79"/>
      <c r="E304" s="79"/>
      <c r="F304" s="79"/>
      <c r="G304" s="79"/>
      <c r="H304" s="79"/>
      <c r="I304" s="79"/>
      <c r="J304" s="79" t="s">
        <v>436</v>
      </c>
      <c r="K304" s="79"/>
      <c r="L304" s="79"/>
      <c r="M304" s="79"/>
      <c r="N304" s="79"/>
      <c r="O304" s="79" t="s">
        <v>604</v>
      </c>
      <c r="P304" s="79"/>
      <c r="Q304" s="79"/>
      <c r="R304" s="79" t="str">
        <f>TEXT(AL301+AH302+AH303,"#,##0.#######")</f>
        <v>11,439.1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85">
        <f>CY304+CZ304+DA304</f>
        <v>11439.099999999999</v>
      </c>
      <c r="CY304" s="85" t="str">
        <f>TEXT(AL301,"#,###.0")</f>
        <v>8,849.4</v>
      </c>
      <c r="CZ304" s="85" t="str">
        <f>TEXT(AH302,"#,###.0")</f>
        <v>1,333.3</v>
      </c>
      <c r="DA304" s="86" t="str">
        <f>TEXT(AH303,"#,###.0")</f>
        <v>1,256.4</v>
      </c>
      <c r="DB304" s="84"/>
    </row>
    <row r="305" spans="2:106" ht="11.25" customHeight="1">
      <c r="B305" s="78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85"/>
      <c r="CY305" s="85"/>
      <c r="CZ305" s="85"/>
      <c r="DA305" s="86"/>
      <c r="DB305" s="84"/>
    </row>
    <row r="306" spans="2:106" ht="11.25" customHeight="1">
      <c r="B306" s="78"/>
      <c r="C306" s="79"/>
      <c r="D306" s="79" t="s">
        <v>575</v>
      </c>
      <c r="E306" s="79"/>
      <c r="F306" s="79"/>
      <c r="G306" s="79" t="s">
        <v>557</v>
      </c>
      <c r="H306" s="79"/>
      <c r="I306" s="79"/>
      <c r="J306" s="79"/>
      <c r="K306" s="79" t="s">
        <v>436</v>
      </c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85"/>
      <c r="CY306" s="85"/>
      <c r="CZ306" s="85"/>
      <c r="DA306" s="86"/>
      <c r="DB306" s="84"/>
    </row>
    <row r="307" spans="2:106" ht="11.25" customHeight="1">
      <c r="B307" s="78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85"/>
      <c r="CY307" s="85"/>
      <c r="CZ307" s="85"/>
      <c r="DA307" s="86"/>
      <c r="DB307" s="84"/>
    </row>
    <row r="308" spans="2:106" ht="11.25" customHeight="1">
      <c r="B308" s="78"/>
      <c r="C308" s="79"/>
      <c r="D308" s="79"/>
      <c r="E308" s="79"/>
      <c r="F308" s="79"/>
      <c r="G308" s="79"/>
      <c r="H308" s="79" t="s">
        <v>700</v>
      </c>
      <c r="I308" s="79"/>
      <c r="J308" s="79"/>
      <c r="K308" s="79"/>
      <c r="L308" s="79"/>
      <c r="M308" s="79"/>
      <c r="N308" s="79"/>
      <c r="O308" s="79" t="s">
        <v>604</v>
      </c>
      <c r="P308" s="79"/>
      <c r="Q308" s="79" t="str">
        <f>TEXT(CY271,"#,###.##")</f>
        <v>8,848.6</v>
      </c>
      <c r="R308" s="79"/>
      <c r="S308" s="79"/>
      <c r="T308" s="79"/>
      <c r="U308" s="79"/>
      <c r="V308" s="79"/>
      <c r="W308" s="79"/>
      <c r="X308" s="79"/>
      <c r="Y308" s="79" t="s">
        <v>148</v>
      </c>
      <c r="Z308" s="79"/>
      <c r="AA308" s="79" t="str">
        <f>TEXT(CY304,"#,###.##")</f>
        <v>8,849.4</v>
      </c>
      <c r="AB308" s="79"/>
      <c r="AC308" s="79"/>
      <c r="AD308" s="79"/>
      <c r="AE308" s="79"/>
      <c r="AF308" s="79"/>
      <c r="AG308" s="79"/>
      <c r="AH308" s="79"/>
      <c r="AI308" s="79" t="s">
        <v>309</v>
      </c>
      <c r="AJ308" s="79"/>
      <c r="AK308" s="79"/>
      <c r="AL308" s="79" t="str">
        <f>TEXT(TRUNC(CY271+CY304,0),"#,##0")</f>
        <v>17,698</v>
      </c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85"/>
      <c r="CY308" s="85"/>
      <c r="CZ308" s="85"/>
      <c r="DA308" s="86"/>
      <c r="DB308" s="84"/>
    </row>
    <row r="309" spans="2:106" ht="11.25" customHeight="1">
      <c r="B309" s="78"/>
      <c r="C309" s="79"/>
      <c r="D309" s="79"/>
      <c r="E309" s="79"/>
      <c r="F309" s="79"/>
      <c r="G309" s="79"/>
      <c r="H309" s="79" t="s">
        <v>498</v>
      </c>
      <c r="I309" s="79"/>
      <c r="J309" s="79"/>
      <c r="K309" s="79"/>
      <c r="L309" s="79"/>
      <c r="M309" s="79"/>
      <c r="N309" s="79"/>
      <c r="O309" s="79" t="s">
        <v>604</v>
      </c>
      <c r="P309" s="79"/>
      <c r="Q309" s="79" t="str">
        <f>TEXT(CZ263,"#,###.##")</f>
        <v>24,638.9</v>
      </c>
      <c r="R309" s="79"/>
      <c r="S309" s="79"/>
      <c r="T309" s="79"/>
      <c r="U309" s="79"/>
      <c r="V309" s="79"/>
      <c r="W309" s="79"/>
      <c r="X309" s="79"/>
      <c r="Y309" s="79"/>
      <c r="Z309" s="79" t="s">
        <v>148</v>
      </c>
      <c r="AA309" s="79"/>
      <c r="AB309" s="79" t="str">
        <f>TEXT(CZ275,"#,###.##")</f>
        <v>246.3</v>
      </c>
      <c r="AC309" s="79"/>
      <c r="AD309" s="79"/>
      <c r="AE309" s="79"/>
      <c r="AF309" s="79"/>
      <c r="AG309" s="79"/>
      <c r="AH309" s="79" t="s">
        <v>148</v>
      </c>
      <c r="AI309" s="79"/>
      <c r="AJ309" s="79" t="str">
        <f>TEXT(CZ304,"#,###.##")</f>
        <v>1,333.3</v>
      </c>
      <c r="AK309" s="79"/>
      <c r="AL309" s="79"/>
      <c r="AM309" s="79"/>
      <c r="AN309" s="79"/>
      <c r="AO309" s="79"/>
      <c r="AP309" s="79"/>
      <c r="AQ309" s="79"/>
      <c r="AR309" s="79" t="s">
        <v>309</v>
      </c>
      <c r="AS309" s="79"/>
      <c r="AT309" s="79"/>
      <c r="AU309" s="79" t="str">
        <f>TEXT(TRUNC(CZ263+CZ275+CZ304,0),"#,##0")</f>
        <v>26,218</v>
      </c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85"/>
      <c r="CY309" s="85"/>
      <c r="CZ309" s="85"/>
      <c r="DA309" s="86"/>
      <c r="DB309" s="84"/>
    </row>
    <row r="310" spans="2:106" ht="11.25" customHeight="1">
      <c r="B310" s="78"/>
      <c r="C310" s="79"/>
      <c r="D310" s="79"/>
      <c r="E310" s="79"/>
      <c r="F310" s="79"/>
      <c r="G310" s="79"/>
      <c r="H310" s="79" t="s">
        <v>160</v>
      </c>
      <c r="I310" s="79"/>
      <c r="J310" s="79"/>
      <c r="K310" s="79"/>
      <c r="L310" s="79" t="s">
        <v>440</v>
      </c>
      <c r="M310" s="79"/>
      <c r="N310" s="79"/>
      <c r="O310" s="79" t="s">
        <v>604</v>
      </c>
      <c r="P310" s="79"/>
      <c r="Q310" s="79" t="str">
        <f>TEXT(DA279,"#,###.##")</f>
        <v>884.8</v>
      </c>
      <c r="R310" s="79"/>
      <c r="S310" s="79"/>
      <c r="T310" s="79"/>
      <c r="U310" s="79"/>
      <c r="V310" s="79"/>
      <c r="W310" s="79" t="s">
        <v>148</v>
      </c>
      <c r="X310" s="79"/>
      <c r="Y310" s="79" t="str">
        <f>TEXT(DA304,"#,###.##")</f>
        <v>1,256.4</v>
      </c>
      <c r="Z310" s="79"/>
      <c r="AA310" s="79"/>
      <c r="AB310" s="79"/>
      <c r="AC310" s="79"/>
      <c r="AD310" s="79"/>
      <c r="AE310" s="79"/>
      <c r="AF310" s="79"/>
      <c r="AG310" s="79" t="s">
        <v>309</v>
      </c>
      <c r="AH310" s="79"/>
      <c r="AI310" s="79"/>
      <c r="AJ310" s="79" t="str">
        <f>TEXT(TRUNC(DA279+DA304,0),"#,##0")</f>
        <v>2,141</v>
      </c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79"/>
      <c r="CM310" s="79"/>
      <c r="CN310" s="79"/>
      <c r="CO310" s="79"/>
      <c r="CP310" s="79"/>
      <c r="CQ310" s="79"/>
      <c r="CR310" s="79"/>
      <c r="CS310" s="79"/>
      <c r="CT310" s="79"/>
      <c r="CU310" s="79"/>
      <c r="CV310" s="79"/>
      <c r="CW310" s="79"/>
      <c r="CX310" s="85"/>
      <c r="CY310" s="85"/>
      <c r="CZ310" s="85"/>
      <c r="DA310" s="86"/>
      <c r="DB310" s="84"/>
    </row>
    <row r="311" spans="2:106" ht="11.25" customHeight="1">
      <c r="B311" s="78"/>
      <c r="C311" s="79"/>
      <c r="D311" s="79"/>
      <c r="E311" s="79"/>
      <c r="F311" s="79"/>
      <c r="G311" s="79"/>
      <c r="H311" s="79"/>
      <c r="I311" s="79"/>
      <c r="J311" s="79" t="s">
        <v>436</v>
      </c>
      <c r="K311" s="79"/>
      <c r="L311" s="79"/>
      <c r="M311" s="79"/>
      <c r="N311" s="79"/>
      <c r="O311" s="79" t="s">
        <v>604</v>
      </c>
      <c r="P311" s="79"/>
      <c r="Q311" s="79"/>
      <c r="R311" s="79" t="str">
        <f>TEXT(AL308+AU309+AJ310,"#,##0")</f>
        <v>46,057</v>
      </c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79"/>
      <c r="CM311" s="79"/>
      <c r="CN311" s="79"/>
      <c r="CO311" s="79"/>
      <c r="CP311" s="79"/>
      <c r="CQ311" s="79"/>
      <c r="CR311" s="79"/>
      <c r="CS311" s="79"/>
      <c r="CT311" s="79"/>
      <c r="CU311" s="79"/>
      <c r="CV311" s="79"/>
      <c r="CW311" s="79"/>
      <c r="CX311" s="89">
        <f>CY311+CZ311+DA311</f>
        <v>46057</v>
      </c>
      <c r="CY311" s="85" t="str">
        <f>TEXT(AL308,"#,##0")</f>
        <v>17,698</v>
      </c>
      <c r="CZ311" s="85" t="str">
        <f>TEXT(AU309,"#,##0")</f>
        <v>26,218</v>
      </c>
      <c r="DA311" s="86" t="str">
        <f>TEXT(AJ310,"#,##0")</f>
        <v>2,141</v>
      </c>
      <c r="DB311" s="84"/>
    </row>
    <row r="312" spans="2:106" ht="11.25" customHeight="1">
      <c r="B312" s="78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  <c r="CQ312" s="79"/>
      <c r="CR312" s="79"/>
      <c r="CS312" s="79"/>
      <c r="CT312" s="79"/>
      <c r="CU312" s="79"/>
      <c r="CV312" s="79"/>
      <c r="CW312" s="79"/>
      <c r="CX312" s="85"/>
      <c r="CY312" s="85"/>
      <c r="CZ312" s="85"/>
      <c r="DA312" s="86"/>
      <c r="DB312" s="84"/>
    </row>
    <row r="313" spans="2:106" ht="11.25" customHeight="1">
      <c r="B313" s="81" t="s">
        <v>205</v>
      </c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79"/>
      <c r="CM313" s="79"/>
      <c r="CN313" s="79"/>
      <c r="CO313" s="79"/>
      <c r="CP313" s="79"/>
      <c r="CQ313" s="79"/>
      <c r="CR313" s="79"/>
      <c r="CS313" s="79"/>
      <c r="CT313" s="79"/>
      <c r="CU313" s="79"/>
      <c r="CV313" s="79"/>
      <c r="CW313" s="79"/>
      <c r="CX313" s="82">
        <f>CX353</f>
        <v>789447</v>
      </c>
      <c r="CY313" s="82" t="str">
        <f>CY353</f>
        <v>369,025</v>
      </c>
      <c r="CZ313" s="82" t="str">
        <f>CZ353</f>
        <v>244,588</v>
      </c>
      <c r="DA313" s="83" t="str">
        <f>DA353</f>
        <v>175,834</v>
      </c>
      <c r="DB313" s="84"/>
    </row>
    <row r="314" spans="2:106" ht="11.25" customHeight="1"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  <c r="CQ314" s="79"/>
      <c r="CR314" s="79"/>
      <c r="CS314" s="79"/>
      <c r="CT314" s="79"/>
      <c r="CU314" s="79"/>
      <c r="CV314" s="79"/>
      <c r="CW314" s="79"/>
      <c r="CX314" s="85"/>
      <c r="CY314" s="85"/>
      <c r="CZ314" s="85"/>
      <c r="DA314" s="86"/>
      <c r="DB314" s="84"/>
    </row>
    <row r="315" spans="2:106" ht="11.25" customHeight="1">
      <c r="B315" s="78"/>
      <c r="C315" s="79"/>
      <c r="D315" s="79"/>
      <c r="E315" s="79"/>
      <c r="F315" s="79" t="s">
        <v>435</v>
      </c>
      <c r="G315" s="79"/>
      <c r="H315" s="79"/>
      <c r="I315" s="79"/>
      <c r="J315" s="79"/>
      <c r="K315" s="79" t="s">
        <v>760</v>
      </c>
      <c r="L315" s="79" t="s">
        <v>157</v>
      </c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79"/>
      <c r="CM315" s="79"/>
      <c r="CN315" s="79"/>
      <c r="CO315" s="79"/>
      <c r="CP315" s="79"/>
      <c r="CQ315" s="79"/>
      <c r="CR315" s="79"/>
      <c r="CS315" s="79"/>
      <c r="CT315" s="79"/>
      <c r="CU315" s="79"/>
      <c r="CV315" s="79"/>
      <c r="CW315" s="79"/>
      <c r="CX315" s="85"/>
      <c r="CY315" s="85"/>
      <c r="CZ315" s="85"/>
      <c r="DA315" s="86"/>
      <c r="DB315" s="84"/>
    </row>
    <row r="316" spans="2:106" ht="11.25" customHeight="1">
      <c r="B316" s="78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79"/>
      <c r="CM316" s="79"/>
      <c r="CN316" s="79"/>
      <c r="CO316" s="79"/>
      <c r="CP316" s="79"/>
      <c r="CQ316" s="79"/>
      <c r="CR316" s="79"/>
      <c r="CS316" s="79"/>
      <c r="CT316" s="79"/>
      <c r="CU316" s="79"/>
      <c r="CV316" s="79"/>
      <c r="CW316" s="79"/>
      <c r="CX316" s="85"/>
      <c r="CY316" s="85"/>
      <c r="CZ316" s="85"/>
      <c r="DA316" s="86"/>
      <c r="DB316" s="84"/>
    </row>
    <row r="317" spans="2:106" ht="11.25" customHeight="1">
      <c r="B317" s="78"/>
      <c r="C317" s="79"/>
      <c r="D317" s="79" t="s">
        <v>401</v>
      </c>
      <c r="E317" s="79"/>
      <c r="F317" s="79"/>
      <c r="G317" s="79" t="s">
        <v>301</v>
      </c>
      <c r="H317" s="79"/>
      <c r="I317" s="79"/>
      <c r="J317" s="79"/>
      <c r="K317" s="79"/>
      <c r="L317" s="79"/>
      <c r="M317" s="79"/>
      <c r="N317" s="79"/>
      <c r="O317" s="79" t="s">
        <v>503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79"/>
      <c r="CM317" s="79"/>
      <c r="CN317" s="79"/>
      <c r="CO317" s="79"/>
      <c r="CP317" s="79"/>
      <c r="CQ317" s="79"/>
      <c r="CR317" s="79"/>
      <c r="CS317" s="79"/>
      <c r="CT317" s="79"/>
      <c r="CU317" s="79"/>
      <c r="CV317" s="79"/>
      <c r="CW317" s="79"/>
      <c r="CX317" s="85"/>
      <c r="CY317" s="85"/>
      <c r="CZ317" s="85"/>
      <c r="DA317" s="86"/>
      <c r="DB317" s="84"/>
    </row>
    <row r="318" spans="2:106" ht="11.25" customHeight="1">
      <c r="B318" s="78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  <c r="CQ318" s="79"/>
      <c r="CR318" s="79"/>
      <c r="CS318" s="79"/>
      <c r="CT318" s="79"/>
      <c r="CU318" s="79"/>
      <c r="CV318" s="79"/>
      <c r="CW318" s="79"/>
      <c r="CX318" s="85"/>
      <c r="CY318" s="85"/>
      <c r="CZ318" s="85"/>
      <c r="DA318" s="86"/>
      <c r="DB318" s="84"/>
    </row>
    <row r="319" spans="2:106" ht="11.25" customHeight="1">
      <c r="B319" s="78"/>
      <c r="C319" s="79"/>
      <c r="D319" s="79"/>
      <c r="E319" s="79"/>
      <c r="F319" s="79"/>
      <c r="G319" s="79" t="s">
        <v>700</v>
      </c>
      <c r="H319" s="79"/>
      <c r="I319" s="79"/>
      <c r="J319" s="79"/>
      <c r="K319" s="79"/>
      <c r="L319" s="79"/>
      <c r="M319" s="79"/>
      <c r="N319" s="79" t="s">
        <v>604</v>
      </c>
      <c r="O319" s="79"/>
      <c r="P319" s="79" t="str">
        <f>TEXT(기계경비총괄표!G15,"#,##0")</f>
        <v>49,778</v>
      </c>
      <c r="Q319" s="79"/>
      <c r="R319" s="79"/>
      <c r="S319" s="79"/>
      <c r="T319" s="79"/>
      <c r="U319" s="79"/>
      <c r="V319" s="79"/>
      <c r="W319" s="79"/>
      <c r="X319" s="79"/>
      <c r="Y319" s="79" t="s">
        <v>699</v>
      </c>
      <c r="Z319" s="79"/>
      <c r="AA319" s="79"/>
      <c r="AB319" s="79" t="s">
        <v>431</v>
      </c>
      <c r="AC319" s="79" t="str">
        <f>TEXT(2,"#,##0.#######")</f>
        <v>2.</v>
      </c>
      <c r="AD319" s="79" t="s">
        <v>123</v>
      </c>
      <c r="AE319" s="79" t="str">
        <f>TEXT(8,"#,##0.#######")</f>
        <v>8.</v>
      </c>
      <c r="AF319" s="79" t="s">
        <v>89</v>
      </c>
      <c r="AG319" s="79" t="s">
        <v>598</v>
      </c>
      <c r="AH319" s="79"/>
      <c r="AI319" s="79"/>
      <c r="AJ319" s="79" t="s">
        <v>699</v>
      </c>
      <c r="AK319" s="79"/>
      <c r="AL319" s="79"/>
      <c r="AM319" s="79" t="str">
        <f>TEXT(1,"#,##0.#######")</f>
        <v>1.</v>
      </c>
      <c r="AN319" s="79" t="s">
        <v>748</v>
      </c>
      <c r="AO319" s="79"/>
      <c r="AP319" s="79"/>
      <c r="AQ319" s="79" t="s">
        <v>699</v>
      </c>
      <c r="AR319" s="79"/>
      <c r="AS319" s="79"/>
      <c r="AT319" s="79" t="str">
        <f>TEXT(2,"#,##0.#######")</f>
        <v>2.</v>
      </c>
      <c r="AU319" s="79" t="s">
        <v>161</v>
      </c>
      <c r="AV319" s="79"/>
      <c r="AW319" s="79"/>
      <c r="AX319" s="79" t="s">
        <v>309</v>
      </c>
      <c r="AY319" s="79"/>
      <c r="AZ319" s="79" t="str">
        <f>TEXT(TRUNC(P319*(AC319/AE319)*AM319*AT319,1),"#,##0.#")</f>
        <v>24,889.</v>
      </c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  <c r="CQ319" s="79"/>
      <c r="CR319" s="79"/>
      <c r="CS319" s="79"/>
      <c r="CT319" s="79"/>
      <c r="CU319" s="79"/>
      <c r="CV319" s="79"/>
      <c r="CW319" s="79"/>
      <c r="CX319" s="85"/>
      <c r="CY319" s="85"/>
      <c r="CZ319" s="85"/>
      <c r="DA319" s="86"/>
      <c r="DB319" s="84"/>
    </row>
    <row r="320" spans="2:106" ht="11.25" customHeight="1">
      <c r="B320" s="78"/>
      <c r="C320" s="79"/>
      <c r="D320" s="79"/>
      <c r="E320" s="79"/>
      <c r="F320" s="79"/>
      <c r="G320" s="79" t="s">
        <v>498</v>
      </c>
      <c r="H320" s="79"/>
      <c r="I320" s="79"/>
      <c r="J320" s="79"/>
      <c r="K320" s="79"/>
      <c r="L320" s="79"/>
      <c r="M320" s="79"/>
      <c r="N320" s="79" t="s">
        <v>604</v>
      </c>
      <c r="O320" s="79"/>
      <c r="P320" s="79" t="str">
        <f>TEXT(기계경비총괄표!H15,"#,##0")</f>
        <v>6,274</v>
      </c>
      <c r="Q320" s="79"/>
      <c r="R320" s="79"/>
      <c r="S320" s="79"/>
      <c r="T320" s="79"/>
      <c r="U320" s="79"/>
      <c r="V320" s="79"/>
      <c r="W320" s="79"/>
      <c r="X320" s="79" t="s">
        <v>699</v>
      </c>
      <c r="Y320" s="79"/>
      <c r="Z320" s="79"/>
      <c r="AA320" s="79" t="str">
        <f>TEXT(8,"#,##0.#######")</f>
        <v>8.</v>
      </c>
      <c r="AB320" s="79" t="s">
        <v>598</v>
      </c>
      <c r="AC320" s="79"/>
      <c r="AD320" s="79"/>
      <c r="AE320" s="79" t="s">
        <v>699</v>
      </c>
      <c r="AF320" s="79"/>
      <c r="AG320" s="79"/>
      <c r="AH320" s="79" t="str">
        <f>TEXT(1,"#,##0.#######")</f>
        <v>1.</v>
      </c>
      <c r="AI320" s="79" t="s">
        <v>748</v>
      </c>
      <c r="AJ320" s="79"/>
      <c r="AK320" s="79"/>
      <c r="AL320" s="79" t="s">
        <v>699</v>
      </c>
      <c r="AM320" s="79"/>
      <c r="AN320" s="79" t="str">
        <f>TEXT(2,"#,##0.#######")</f>
        <v>2.</v>
      </c>
      <c r="AO320" s="79" t="s">
        <v>161</v>
      </c>
      <c r="AP320" s="79"/>
      <c r="AQ320" s="79"/>
      <c r="AR320" s="79" t="s">
        <v>309</v>
      </c>
      <c r="AS320" s="79"/>
      <c r="AT320" s="79" t="str">
        <f>TEXT(TRUNC(P320*AA320*AH320*AN320,1),"#,##0.#")</f>
        <v>100,384.</v>
      </c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  <c r="CQ320" s="79"/>
      <c r="CR320" s="79"/>
      <c r="CS320" s="79"/>
      <c r="CT320" s="79"/>
      <c r="CU320" s="79"/>
      <c r="CV320" s="79"/>
      <c r="CW320" s="79"/>
      <c r="CX320" s="85"/>
      <c r="CY320" s="85"/>
      <c r="CZ320" s="85"/>
      <c r="DA320" s="86"/>
      <c r="DB320" s="84"/>
    </row>
    <row r="321" spans="2:106" ht="11.25" customHeight="1">
      <c r="B321" s="78"/>
      <c r="C321" s="79"/>
      <c r="D321" s="79"/>
      <c r="E321" s="79"/>
      <c r="F321" s="79"/>
      <c r="G321" s="79" t="s">
        <v>160</v>
      </c>
      <c r="H321" s="79"/>
      <c r="I321" s="79"/>
      <c r="J321" s="79"/>
      <c r="K321" s="79" t="s">
        <v>440</v>
      </c>
      <c r="L321" s="79"/>
      <c r="M321" s="79"/>
      <c r="N321" s="79" t="s">
        <v>604</v>
      </c>
      <c r="O321" s="79"/>
      <c r="P321" s="79" t="str">
        <f>TEXT(기계경비총괄표!I15,"#,##0")</f>
        <v>10,539</v>
      </c>
      <c r="Q321" s="79"/>
      <c r="R321" s="79"/>
      <c r="S321" s="79"/>
      <c r="T321" s="79"/>
      <c r="U321" s="79"/>
      <c r="V321" s="79"/>
      <c r="W321" s="79"/>
      <c r="X321" s="79"/>
      <c r="Y321" s="79" t="s">
        <v>699</v>
      </c>
      <c r="Z321" s="79"/>
      <c r="AA321" s="79" t="str">
        <f>TEXT(8,"#,##0.#######")</f>
        <v>8.</v>
      </c>
      <c r="AB321" s="79" t="s">
        <v>598</v>
      </c>
      <c r="AC321" s="79"/>
      <c r="AD321" s="79"/>
      <c r="AE321" s="79" t="s">
        <v>699</v>
      </c>
      <c r="AF321" s="79"/>
      <c r="AG321" s="79"/>
      <c r="AH321" s="79" t="str">
        <f>TEXT(1,"#,##0.#######")</f>
        <v>1.</v>
      </c>
      <c r="AI321" s="79" t="s">
        <v>748</v>
      </c>
      <c r="AJ321" s="79"/>
      <c r="AK321" s="79"/>
      <c r="AL321" s="79" t="s">
        <v>699</v>
      </c>
      <c r="AM321" s="79"/>
      <c r="AN321" s="79" t="str">
        <f>TEXT(2,"#,##0.#######")</f>
        <v>2.</v>
      </c>
      <c r="AO321" s="79" t="s">
        <v>161</v>
      </c>
      <c r="AP321" s="79"/>
      <c r="AQ321" s="79"/>
      <c r="AR321" s="79" t="s">
        <v>309</v>
      </c>
      <c r="AS321" s="79"/>
      <c r="AT321" s="79" t="str">
        <f>TEXT(TRUNC(P321*AA321*AH321*AN321,1),"#,##0.#")</f>
        <v>168,624.</v>
      </c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  <c r="CQ321" s="79"/>
      <c r="CR321" s="79"/>
      <c r="CS321" s="79"/>
      <c r="CT321" s="79"/>
      <c r="CU321" s="79"/>
      <c r="CV321" s="79"/>
      <c r="CW321" s="79"/>
      <c r="CX321" s="85"/>
      <c r="CY321" s="85"/>
      <c r="CZ321" s="85"/>
      <c r="DA321" s="86"/>
      <c r="DB321" s="84"/>
    </row>
    <row r="322" spans="2:106" ht="11.25" customHeight="1">
      <c r="B322" s="78"/>
      <c r="C322" s="79"/>
      <c r="D322" s="79"/>
      <c r="E322" s="79"/>
      <c r="F322" s="79"/>
      <c r="G322" s="79" t="s">
        <v>305</v>
      </c>
      <c r="H322" s="79"/>
      <c r="I322" s="79"/>
      <c r="J322" s="79"/>
      <c r="K322" s="79" t="s">
        <v>436</v>
      </c>
      <c r="L322" s="79"/>
      <c r="M322" s="79"/>
      <c r="N322" s="79" t="s">
        <v>604</v>
      </c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 t="str">
        <f>TEXT(AZ319+AT320+AT321,"#,##0.#######")</f>
        <v>293,897.</v>
      </c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  <c r="CQ322" s="79"/>
      <c r="CR322" s="79"/>
      <c r="CS322" s="79"/>
      <c r="CT322" s="79"/>
      <c r="CU322" s="79"/>
      <c r="CV322" s="79"/>
      <c r="CW322" s="79"/>
      <c r="CX322" s="85">
        <f>CY322+CZ322+DA322</f>
        <v>293897</v>
      </c>
      <c r="CY322" s="85" t="str">
        <f>TEXT(AZ319,"#,###.0")</f>
        <v>24,889.0</v>
      </c>
      <c r="CZ322" s="85" t="str">
        <f>TEXT(AT320,"#,###.0")</f>
        <v>100,384.0</v>
      </c>
      <c r="DA322" s="86" t="str">
        <f>TEXT(AT321,"#,###.0")</f>
        <v>168,624.0</v>
      </c>
      <c r="DB322" s="84"/>
    </row>
    <row r="323" spans="2:106" ht="11.25" customHeight="1">
      <c r="B323" s="78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  <c r="CQ323" s="79"/>
      <c r="CR323" s="79"/>
      <c r="CS323" s="79"/>
      <c r="CT323" s="79"/>
      <c r="CU323" s="79"/>
      <c r="CV323" s="79"/>
      <c r="CW323" s="79"/>
      <c r="CX323" s="85"/>
      <c r="CY323" s="85"/>
      <c r="CZ323" s="85"/>
      <c r="DA323" s="86"/>
      <c r="DB323" s="84"/>
    </row>
    <row r="324" spans="2:106" ht="11.25" customHeight="1">
      <c r="B324" s="78"/>
      <c r="C324" s="79"/>
      <c r="D324" s="79" t="s">
        <v>594</v>
      </c>
      <c r="E324" s="79"/>
      <c r="F324" s="79"/>
      <c r="G324" s="79" t="s">
        <v>529</v>
      </c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  <c r="CQ324" s="79"/>
      <c r="CR324" s="79"/>
      <c r="CS324" s="79"/>
      <c r="CT324" s="79"/>
      <c r="CU324" s="79"/>
      <c r="CV324" s="79"/>
      <c r="CW324" s="79"/>
      <c r="CX324" s="85"/>
      <c r="CY324" s="85"/>
      <c r="CZ324" s="85"/>
      <c r="DA324" s="86"/>
      <c r="DB324" s="84"/>
    </row>
    <row r="325" spans="2:106" ht="11.25" customHeight="1">
      <c r="B325" s="78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  <c r="CQ325" s="79"/>
      <c r="CR325" s="79"/>
      <c r="CS325" s="79"/>
      <c r="CT325" s="79"/>
      <c r="CU325" s="79"/>
      <c r="CV325" s="79"/>
      <c r="CW325" s="79"/>
      <c r="CX325" s="85"/>
      <c r="CY325" s="85"/>
      <c r="CZ325" s="85"/>
      <c r="DA325" s="86"/>
      <c r="DB325" s="84"/>
    </row>
    <row r="326" spans="2:106" ht="11.25" customHeight="1">
      <c r="B326" s="78"/>
      <c r="C326" s="79"/>
      <c r="D326" s="79"/>
      <c r="E326" s="79"/>
      <c r="F326" s="79"/>
      <c r="G326" s="79" t="s">
        <v>50</v>
      </c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 t="s">
        <v>715</v>
      </c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 t="str">
        <f>TEXT(자재단가!R17,"#,##0.#######")</f>
        <v>93,500.</v>
      </c>
      <c r="AR326" s="79"/>
      <c r="AS326" s="79"/>
      <c r="AT326" s="79"/>
      <c r="AU326" s="79"/>
      <c r="AV326" s="79"/>
      <c r="AW326" s="79"/>
      <c r="AX326" s="79"/>
      <c r="AY326" s="79"/>
      <c r="AZ326" s="79" t="s">
        <v>699</v>
      </c>
      <c r="BA326" s="79"/>
      <c r="BB326" s="79" t="str">
        <f>TEXT(6,"#,##0.#######")</f>
        <v>6.</v>
      </c>
      <c r="BC326" s="79" t="s">
        <v>497</v>
      </c>
      <c r="BD326" s="79"/>
      <c r="BE326" s="79"/>
      <c r="BF326" s="79" t="s">
        <v>699</v>
      </c>
      <c r="BG326" s="79"/>
      <c r="BH326" s="79" t="str">
        <f>TEXT(0.06,"#,##0.#######")</f>
        <v>0.06</v>
      </c>
      <c r="BI326" s="79"/>
      <c r="BJ326" s="79"/>
      <c r="BK326" s="79"/>
      <c r="BL326" s="79"/>
      <c r="BM326" s="79" t="s">
        <v>309</v>
      </c>
      <c r="BN326" s="79"/>
      <c r="BO326" s="79" t="str">
        <f>TEXT(TRUNC(AQ326*BB326*BH326,1),"#,##0.#######")</f>
        <v>33,660.</v>
      </c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  <c r="CQ326" s="79"/>
      <c r="CR326" s="79"/>
      <c r="CS326" s="79"/>
      <c r="CT326" s="79"/>
      <c r="CU326" s="79"/>
      <c r="CV326" s="79"/>
      <c r="CW326" s="79"/>
      <c r="CX326" s="85"/>
      <c r="CY326" s="85"/>
      <c r="CZ326" s="85"/>
      <c r="DA326" s="86"/>
      <c r="DB326" s="84"/>
    </row>
    <row r="327" spans="2:106" ht="11.25" customHeight="1">
      <c r="B327" s="78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  <c r="CQ327" s="79"/>
      <c r="CR327" s="79"/>
      <c r="CS327" s="79"/>
      <c r="CT327" s="79"/>
      <c r="CU327" s="79"/>
      <c r="CV327" s="79"/>
      <c r="CW327" s="79"/>
      <c r="CX327" s="85"/>
      <c r="CY327" s="85"/>
      <c r="CZ327" s="85"/>
      <c r="DA327" s="86"/>
      <c r="DB327" s="84"/>
    </row>
    <row r="328" spans="2:106" ht="11.25" customHeight="1">
      <c r="B328" s="78"/>
      <c r="C328" s="79"/>
      <c r="D328" s="79"/>
      <c r="E328" s="79"/>
      <c r="F328" s="79"/>
      <c r="G328" s="79" t="s">
        <v>50</v>
      </c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 t="s">
        <v>547</v>
      </c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 t="str">
        <f>TEXT(자재단가!R18,"#,##0.#######")</f>
        <v>79,800.</v>
      </c>
      <c r="AR328" s="79"/>
      <c r="AS328" s="79"/>
      <c r="AT328" s="79"/>
      <c r="AU328" s="79"/>
      <c r="AV328" s="79"/>
      <c r="AW328" s="79"/>
      <c r="AX328" s="79"/>
      <c r="AY328" s="79"/>
      <c r="AZ328" s="79" t="s">
        <v>699</v>
      </c>
      <c r="BA328" s="79"/>
      <c r="BB328" s="79" t="str">
        <f>TEXT(2,"#,##0.#######")</f>
        <v>2.</v>
      </c>
      <c r="BC328" s="79" t="s">
        <v>497</v>
      </c>
      <c r="BD328" s="79"/>
      <c r="BE328" s="79"/>
      <c r="BF328" s="79" t="s">
        <v>699</v>
      </c>
      <c r="BG328" s="79"/>
      <c r="BH328" s="79" t="str">
        <f>TEXT(0.06,"#,##0.#######")</f>
        <v>0.06</v>
      </c>
      <c r="BI328" s="79"/>
      <c r="BJ328" s="79"/>
      <c r="BK328" s="79"/>
      <c r="BL328" s="79"/>
      <c r="BM328" s="79" t="s">
        <v>309</v>
      </c>
      <c r="BN328" s="79"/>
      <c r="BO328" s="79" t="str">
        <f>TEXT(TRUNC(AQ328*BB328*BH328,1),"#,##0.#######")</f>
        <v>9,576.</v>
      </c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  <c r="CQ328" s="79"/>
      <c r="CR328" s="79"/>
      <c r="CS328" s="79"/>
      <c r="CT328" s="79"/>
      <c r="CU328" s="79"/>
      <c r="CV328" s="79"/>
      <c r="CW328" s="79"/>
      <c r="CX328" s="85"/>
      <c r="CY328" s="85"/>
      <c r="CZ328" s="85"/>
      <c r="DA328" s="86"/>
      <c r="DB328" s="84"/>
    </row>
    <row r="329" spans="2:106" ht="11.25" customHeight="1">
      <c r="B329" s="78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  <c r="CQ329" s="79"/>
      <c r="CR329" s="79"/>
      <c r="CS329" s="79"/>
      <c r="CT329" s="79"/>
      <c r="CU329" s="79"/>
      <c r="CV329" s="79"/>
      <c r="CW329" s="79"/>
      <c r="CX329" s="85"/>
      <c r="CY329" s="85"/>
      <c r="CZ329" s="85"/>
      <c r="DA329" s="86"/>
      <c r="DB329" s="84"/>
    </row>
    <row r="330" spans="2:106" ht="11.25" customHeight="1">
      <c r="B330" s="78"/>
      <c r="C330" s="79"/>
      <c r="D330" s="79"/>
      <c r="E330" s="79"/>
      <c r="F330" s="79"/>
      <c r="G330" s="79" t="s">
        <v>50</v>
      </c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 t="s">
        <v>474</v>
      </c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 t="str">
        <f>TEXT(자재단가!R19,"#,##0.#######")</f>
        <v>154,000.</v>
      </c>
      <c r="BF330" s="79"/>
      <c r="BG330" s="79"/>
      <c r="BH330" s="79"/>
      <c r="BI330" s="79"/>
      <c r="BJ330" s="79"/>
      <c r="BK330" s="79"/>
      <c r="BL330" s="79"/>
      <c r="BM330" s="79"/>
      <c r="BN330" s="79" t="s">
        <v>699</v>
      </c>
      <c r="BO330" s="79"/>
      <c r="BP330" s="79" t="str">
        <f>TEXT(4,"#,##0.#######")</f>
        <v>4.</v>
      </c>
      <c r="BQ330" s="79" t="s">
        <v>497</v>
      </c>
      <c r="BR330" s="79"/>
      <c r="BS330" s="79"/>
      <c r="BT330" s="79" t="s">
        <v>699</v>
      </c>
      <c r="BU330" s="79"/>
      <c r="BV330" s="79" t="str">
        <f>TEXT(0.06,"#,##0.#######")</f>
        <v>0.06</v>
      </c>
      <c r="BW330" s="79"/>
      <c r="BX330" s="79"/>
      <c r="BY330" s="79"/>
      <c r="BZ330" s="79"/>
      <c r="CA330" s="79" t="s">
        <v>309</v>
      </c>
      <c r="CB330" s="79"/>
      <c r="CC330" s="79" t="str">
        <f>TEXT(TRUNC(BE330*BP330*BV330,1),"#,##0.#######")</f>
        <v>36,960.</v>
      </c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  <c r="CQ330" s="79"/>
      <c r="CR330" s="79"/>
      <c r="CS330" s="79"/>
      <c r="CT330" s="79"/>
      <c r="CU330" s="79"/>
      <c r="CV330" s="79"/>
      <c r="CW330" s="79"/>
      <c r="CX330" s="85"/>
      <c r="CY330" s="85"/>
      <c r="CZ330" s="85"/>
      <c r="DA330" s="86"/>
      <c r="DB330" s="84"/>
    </row>
    <row r="331" spans="2:106" ht="11.25" customHeight="1">
      <c r="B331" s="78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  <c r="CQ331" s="79"/>
      <c r="CR331" s="79"/>
      <c r="CS331" s="79"/>
      <c r="CT331" s="79"/>
      <c r="CU331" s="79"/>
      <c r="CV331" s="79"/>
      <c r="CW331" s="79"/>
      <c r="CX331" s="85"/>
      <c r="CY331" s="85"/>
      <c r="CZ331" s="85"/>
      <c r="DA331" s="86"/>
      <c r="DB331" s="84"/>
    </row>
    <row r="332" spans="2:106" ht="11.25" customHeight="1">
      <c r="B332" s="78"/>
      <c r="C332" s="79"/>
      <c r="D332" s="79"/>
      <c r="E332" s="79"/>
      <c r="F332" s="79"/>
      <c r="G332" s="79" t="s">
        <v>670</v>
      </c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 t="str">
        <f>TEXT(자재단가!R20,"#,##0.#######")</f>
        <v>64,200.</v>
      </c>
      <c r="W332" s="79"/>
      <c r="X332" s="79"/>
      <c r="Y332" s="79"/>
      <c r="Z332" s="79"/>
      <c r="AA332" s="79"/>
      <c r="AB332" s="79"/>
      <c r="AC332" s="79"/>
      <c r="AD332" s="79"/>
      <c r="AE332" s="79" t="s">
        <v>699</v>
      </c>
      <c r="AF332" s="79"/>
      <c r="AG332" s="79" t="str">
        <f>TEXT(4,"#,##0.#######")</f>
        <v>4.</v>
      </c>
      <c r="AH332" s="79" t="s">
        <v>497</v>
      </c>
      <c r="AI332" s="79"/>
      <c r="AJ332" s="79"/>
      <c r="AK332" s="79" t="s">
        <v>699</v>
      </c>
      <c r="AL332" s="79"/>
      <c r="AM332" s="79" t="str">
        <f>TEXT(0.06,"#,##0.#######")</f>
        <v>0.06</v>
      </c>
      <c r="AN332" s="79"/>
      <c r="AO332" s="79"/>
      <c r="AP332" s="79"/>
      <c r="AQ332" s="79"/>
      <c r="AR332" s="79" t="s">
        <v>309</v>
      </c>
      <c r="AS332" s="79"/>
      <c r="AT332" s="79" t="str">
        <f>TEXT(TRUNC(V332*AG332*AM332,1),"#,##0.#######")</f>
        <v>15,408.</v>
      </c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  <c r="CQ332" s="79"/>
      <c r="CR332" s="79"/>
      <c r="CS332" s="79"/>
      <c r="CT332" s="79"/>
      <c r="CU332" s="79"/>
      <c r="CV332" s="79"/>
      <c r="CW332" s="79"/>
      <c r="CX332" s="85"/>
      <c r="CY332" s="85"/>
      <c r="CZ332" s="85"/>
      <c r="DA332" s="86"/>
      <c r="DB332" s="84"/>
    </row>
    <row r="333" spans="2:106" ht="11.25" customHeight="1">
      <c r="B333" s="78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  <c r="CQ333" s="79"/>
      <c r="CR333" s="79"/>
      <c r="CS333" s="79"/>
      <c r="CT333" s="79"/>
      <c r="CU333" s="79"/>
      <c r="CV333" s="79"/>
      <c r="CW333" s="79"/>
      <c r="CX333" s="85"/>
      <c r="CY333" s="85"/>
      <c r="CZ333" s="85"/>
      <c r="DA333" s="86"/>
      <c r="DB333" s="84"/>
    </row>
    <row r="334" spans="2:106" ht="11.25" customHeight="1">
      <c r="B334" s="78"/>
      <c r="C334" s="79"/>
      <c r="D334" s="79"/>
      <c r="E334" s="79"/>
      <c r="F334" s="79"/>
      <c r="G334" s="79" t="s">
        <v>104</v>
      </c>
      <c r="H334" s="79"/>
      <c r="I334" s="79"/>
      <c r="J334" s="79"/>
      <c r="K334" s="79"/>
      <c r="L334" s="79"/>
      <c r="M334" s="79"/>
      <c r="N334" s="79"/>
      <c r="O334" s="79" t="s">
        <v>204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 t="str">
        <f>TEXT(자재단가!R21,"#,##0.#######")</f>
        <v>9,000.</v>
      </c>
      <c r="AJ334" s="79"/>
      <c r="AK334" s="79"/>
      <c r="AL334" s="79"/>
      <c r="AM334" s="79"/>
      <c r="AN334" s="79"/>
      <c r="AO334" s="79"/>
      <c r="AP334" s="79"/>
      <c r="AQ334" s="79" t="s">
        <v>699</v>
      </c>
      <c r="AR334" s="79"/>
      <c r="AS334" s="79"/>
      <c r="AT334" s="79" t="str">
        <f>TEXT(50,"#,##0.#######")</f>
        <v>50.</v>
      </c>
      <c r="AU334" s="79"/>
      <c r="AV334" s="79" t="s">
        <v>497</v>
      </c>
      <c r="AW334" s="79"/>
      <c r="AX334" s="79"/>
      <c r="AY334" s="79" t="s">
        <v>699</v>
      </c>
      <c r="AZ334" s="79"/>
      <c r="BA334" s="79"/>
      <c r="BB334" s="79" t="str">
        <f>TEXT(0.06,"#,##0.#######")</f>
        <v>0.06</v>
      </c>
      <c r="BC334" s="79"/>
      <c r="BD334" s="79"/>
      <c r="BE334" s="79"/>
      <c r="BF334" s="79"/>
      <c r="BG334" s="79" t="s">
        <v>309</v>
      </c>
      <c r="BH334" s="79"/>
      <c r="BI334" s="79" t="str">
        <f>TEXT(TRUNC(AI334*AT334*BB334,1),"#,##0.#######")</f>
        <v>27,000.</v>
      </c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  <c r="CQ334" s="79"/>
      <c r="CR334" s="79"/>
      <c r="CS334" s="79"/>
      <c r="CT334" s="79"/>
      <c r="CU334" s="79"/>
      <c r="CV334" s="79"/>
      <c r="CW334" s="79"/>
      <c r="CX334" s="85"/>
      <c r="CY334" s="85"/>
      <c r="CZ334" s="85"/>
      <c r="DA334" s="86"/>
      <c r="DB334" s="84"/>
    </row>
    <row r="335" spans="2:106" ht="11.25" customHeight="1">
      <c r="B335" s="78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79"/>
      <c r="CM335" s="79"/>
      <c r="CN335" s="79"/>
      <c r="CO335" s="79"/>
      <c r="CP335" s="79"/>
      <c r="CQ335" s="79"/>
      <c r="CR335" s="79"/>
      <c r="CS335" s="79"/>
      <c r="CT335" s="79"/>
      <c r="CU335" s="79"/>
      <c r="CV335" s="79"/>
      <c r="CW335" s="79"/>
      <c r="CX335" s="85"/>
      <c r="CY335" s="85"/>
      <c r="CZ335" s="85"/>
      <c r="DA335" s="86"/>
      <c r="DB335" s="84"/>
    </row>
    <row r="336" spans="2:106" ht="11.25" customHeight="1">
      <c r="B336" s="78"/>
      <c r="C336" s="79"/>
      <c r="D336" s="79"/>
      <c r="E336" s="79"/>
      <c r="F336" s="79"/>
      <c r="G336" s="79" t="s">
        <v>93</v>
      </c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 t="s">
        <v>831</v>
      </c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 t="str">
        <f>TEXT(자재단가!R22,"#,##0.#######")</f>
        <v>18,000.</v>
      </c>
      <c r="AM336" s="79"/>
      <c r="AN336" s="79"/>
      <c r="AO336" s="79"/>
      <c r="AP336" s="79"/>
      <c r="AQ336" s="79"/>
      <c r="AR336" s="79"/>
      <c r="AS336" s="79"/>
      <c r="AT336" s="79"/>
      <c r="AU336" s="79" t="s">
        <v>699</v>
      </c>
      <c r="AV336" s="79"/>
      <c r="AW336" s="79" t="str">
        <f>TEXT(20,"#,##0.#######")</f>
        <v>20.</v>
      </c>
      <c r="AX336" s="79"/>
      <c r="AY336" s="79" t="s">
        <v>497</v>
      </c>
      <c r="AZ336" s="79"/>
      <c r="BA336" s="79"/>
      <c r="BB336" s="79" t="s">
        <v>699</v>
      </c>
      <c r="BC336" s="79"/>
      <c r="BD336" s="79"/>
      <c r="BE336" s="79" t="str">
        <f>TEXT(0.06,"#,##0.#######")</f>
        <v>0.06</v>
      </c>
      <c r="BF336" s="79"/>
      <c r="BG336" s="79"/>
      <c r="BH336" s="79"/>
      <c r="BI336" s="79" t="s">
        <v>309</v>
      </c>
      <c r="BJ336" s="79"/>
      <c r="BK336" s="79" t="str">
        <f>TEXT(TRUNC(AL336*AW336*BE336,1),"#,##0.#######")</f>
        <v>21,600.</v>
      </c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79"/>
      <c r="CM336" s="79"/>
      <c r="CN336" s="79"/>
      <c r="CO336" s="79"/>
      <c r="CP336" s="79"/>
      <c r="CQ336" s="79"/>
      <c r="CR336" s="79"/>
      <c r="CS336" s="79"/>
      <c r="CT336" s="79"/>
      <c r="CU336" s="79"/>
      <c r="CV336" s="79"/>
      <c r="CW336" s="79"/>
      <c r="CX336" s="85"/>
      <c r="CY336" s="85"/>
      <c r="CZ336" s="85"/>
      <c r="DA336" s="86"/>
      <c r="DB336" s="84"/>
    </row>
    <row r="337" spans="2:106" ht="11.25" customHeight="1">
      <c r="B337" s="78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  <c r="CH337" s="79"/>
      <c r="CI337" s="79"/>
      <c r="CJ337" s="79"/>
      <c r="CK337" s="79"/>
      <c r="CL337" s="79"/>
      <c r="CM337" s="79"/>
      <c r="CN337" s="79"/>
      <c r="CO337" s="79"/>
      <c r="CP337" s="79"/>
      <c r="CQ337" s="79"/>
      <c r="CR337" s="79"/>
      <c r="CS337" s="79"/>
      <c r="CT337" s="79"/>
      <c r="CU337" s="79"/>
      <c r="CV337" s="79"/>
      <c r="CW337" s="79"/>
      <c r="CX337" s="85"/>
      <c r="CY337" s="85"/>
      <c r="CZ337" s="85"/>
      <c r="DA337" s="86"/>
      <c r="DB337" s="84"/>
    </row>
    <row r="338" spans="2:106" ht="11.25" customHeight="1">
      <c r="B338" s="78"/>
      <c r="C338" s="79"/>
      <c r="D338" s="79"/>
      <c r="E338" s="79"/>
      <c r="F338" s="79"/>
      <c r="G338" s="79" t="s">
        <v>305</v>
      </c>
      <c r="H338" s="79"/>
      <c r="I338" s="79"/>
      <c r="J338" s="79"/>
      <c r="K338" s="79" t="s">
        <v>436</v>
      </c>
      <c r="L338" s="79"/>
      <c r="M338" s="79"/>
      <c r="N338" s="79" t="s">
        <v>604</v>
      </c>
      <c r="O338" s="79"/>
      <c r="P338" s="79" t="str">
        <f>TEXT(TRUNC(BO326+BO328+CC330+AT332+BI334+BK336,1),"#,##0.#######")</f>
        <v>144,204.</v>
      </c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  <c r="CH338" s="79"/>
      <c r="CI338" s="79"/>
      <c r="CJ338" s="79"/>
      <c r="CK338" s="79"/>
      <c r="CL338" s="79"/>
      <c r="CM338" s="79"/>
      <c r="CN338" s="79"/>
      <c r="CO338" s="79"/>
      <c r="CP338" s="79"/>
      <c r="CQ338" s="79"/>
      <c r="CR338" s="79"/>
      <c r="CS338" s="79"/>
      <c r="CT338" s="79"/>
      <c r="CU338" s="79"/>
      <c r="CV338" s="79"/>
      <c r="CW338" s="79"/>
      <c r="CX338" s="85"/>
      <c r="CY338" s="85"/>
      <c r="CZ338" s="85"/>
      <c r="DA338" s="86"/>
      <c r="DB338" s="84"/>
    </row>
    <row r="339" spans="2:106" ht="11.25" customHeight="1"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  <c r="CH339" s="79"/>
      <c r="CI339" s="79"/>
      <c r="CJ339" s="79"/>
      <c r="CK339" s="79"/>
      <c r="CL339" s="79"/>
      <c r="CM339" s="79"/>
      <c r="CN339" s="79"/>
      <c r="CO339" s="79"/>
      <c r="CP339" s="79"/>
      <c r="CQ339" s="79"/>
      <c r="CR339" s="79"/>
      <c r="CS339" s="79"/>
      <c r="CT339" s="79"/>
      <c r="CU339" s="79"/>
      <c r="CV339" s="79"/>
      <c r="CW339" s="79"/>
      <c r="CX339" s="85"/>
      <c r="CY339" s="85"/>
      <c r="CZ339" s="85"/>
      <c r="DA339" s="86"/>
      <c r="DB339" s="84"/>
    </row>
    <row r="340" spans="2:106" ht="11.25" customHeight="1">
      <c r="B340" s="78"/>
      <c r="C340" s="79"/>
      <c r="D340" s="79"/>
      <c r="E340" s="79"/>
      <c r="F340" s="79"/>
      <c r="G340" s="79" t="s">
        <v>485</v>
      </c>
      <c r="H340" s="79"/>
      <c r="I340" s="79"/>
      <c r="J340" s="79"/>
      <c r="K340" s="79"/>
      <c r="L340" s="79"/>
      <c r="M340" s="79" t="s">
        <v>431</v>
      </c>
      <c r="N340" s="79" t="s">
        <v>370</v>
      </c>
      <c r="O340" s="79"/>
      <c r="P340" s="79"/>
      <c r="Q340" s="79"/>
      <c r="R340" s="79"/>
      <c r="S340" s="79"/>
      <c r="T340" s="79"/>
      <c r="U340" s="79"/>
      <c r="V340" s="79"/>
      <c r="W340" s="79" t="s">
        <v>253</v>
      </c>
      <c r="X340" s="79" t="s">
        <v>157</v>
      </c>
      <c r="Y340" s="79" t="s">
        <v>89</v>
      </c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  <c r="CH340" s="79"/>
      <c r="CI340" s="79"/>
      <c r="CJ340" s="79"/>
      <c r="CK340" s="79"/>
      <c r="CL340" s="79"/>
      <c r="CM340" s="79"/>
      <c r="CN340" s="79"/>
      <c r="CO340" s="79"/>
      <c r="CP340" s="79"/>
      <c r="CQ340" s="79"/>
      <c r="CR340" s="79"/>
      <c r="CS340" s="79"/>
      <c r="CT340" s="79"/>
      <c r="CU340" s="79"/>
      <c r="CV340" s="79"/>
      <c r="CW340" s="79"/>
      <c r="CX340" s="85"/>
      <c r="CY340" s="85"/>
      <c r="CZ340" s="85"/>
      <c r="DA340" s="86"/>
      <c r="DB340" s="84"/>
    </row>
    <row r="341" spans="2:106" ht="11.25" customHeight="1">
      <c r="B341" s="78"/>
      <c r="C341" s="79"/>
      <c r="D341" s="79"/>
      <c r="E341" s="79"/>
      <c r="F341" s="79"/>
      <c r="G341" s="79"/>
      <c r="H341" s="79"/>
      <c r="I341" s="79"/>
      <c r="J341" s="79" t="str">
        <f>P338</f>
        <v>144,204.</v>
      </c>
      <c r="K341" s="79"/>
      <c r="L341" s="79"/>
      <c r="M341" s="79"/>
      <c r="N341" s="79"/>
      <c r="O341" s="79"/>
      <c r="P341" s="79"/>
      <c r="Q341" s="79"/>
      <c r="R341" s="79"/>
      <c r="S341" s="79"/>
      <c r="T341" s="79" t="s">
        <v>699</v>
      </c>
      <c r="U341" s="79"/>
      <c r="V341" s="79"/>
      <c r="W341" s="79" t="str">
        <f>TEXT(5,"#,##0.#######")</f>
        <v>5.</v>
      </c>
      <c r="X341" s="79" t="s">
        <v>157</v>
      </c>
      <c r="Y341" s="79"/>
      <c r="Z341" s="79" t="s">
        <v>309</v>
      </c>
      <c r="AA341" s="79"/>
      <c r="AB341" s="79" t="str">
        <f>TEXT(TRUNC(P338*(W341*(1/100)),1),"#,##0.#")</f>
        <v>7,210.2</v>
      </c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  <c r="CH341" s="79"/>
      <c r="CI341" s="79"/>
      <c r="CJ341" s="79"/>
      <c r="CK341" s="79"/>
      <c r="CL341" s="79"/>
      <c r="CM341" s="79"/>
      <c r="CN341" s="79"/>
      <c r="CO341" s="79"/>
      <c r="CP341" s="79"/>
      <c r="CQ341" s="79"/>
      <c r="CR341" s="79"/>
      <c r="CS341" s="79"/>
      <c r="CT341" s="79"/>
      <c r="CU341" s="79"/>
      <c r="CV341" s="79"/>
      <c r="CW341" s="79"/>
      <c r="CX341" s="85"/>
      <c r="CY341" s="85"/>
      <c r="CZ341" s="85"/>
      <c r="DA341" s="86"/>
      <c r="DB341" s="84"/>
    </row>
    <row r="342" spans="2:106" ht="11.25" customHeight="1">
      <c r="B342" s="78"/>
      <c r="C342" s="79"/>
      <c r="D342" s="79"/>
      <c r="E342" s="79"/>
      <c r="F342" s="79"/>
      <c r="G342" s="79"/>
      <c r="H342" s="79"/>
      <c r="I342" s="79"/>
      <c r="J342" s="79" t="s">
        <v>305</v>
      </c>
      <c r="K342" s="79"/>
      <c r="L342" s="79"/>
      <c r="M342" s="79"/>
      <c r="N342" s="79" t="s">
        <v>436</v>
      </c>
      <c r="O342" s="79"/>
      <c r="P342" s="79"/>
      <c r="Q342" s="79" t="s">
        <v>604</v>
      </c>
      <c r="R342" s="79"/>
      <c r="S342" s="79" t="str">
        <f>TEXT(P338+AB341,"#,##0.#######")</f>
        <v>151,414.2</v>
      </c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  <c r="CH342" s="79"/>
      <c r="CI342" s="79"/>
      <c r="CJ342" s="79"/>
      <c r="CK342" s="79"/>
      <c r="CL342" s="79"/>
      <c r="CM342" s="79"/>
      <c r="CN342" s="79"/>
      <c r="CO342" s="79"/>
      <c r="CP342" s="79"/>
      <c r="CQ342" s="79"/>
      <c r="CR342" s="79"/>
      <c r="CS342" s="79"/>
      <c r="CT342" s="79"/>
      <c r="CU342" s="79"/>
      <c r="CV342" s="79"/>
      <c r="CW342" s="79"/>
      <c r="CX342" s="85">
        <f>CY342+CZ342+DA342</f>
        <v>151414.20000000001</v>
      </c>
      <c r="CY342" s="85"/>
      <c r="CZ342" s="85" t="str">
        <f>TEXT(P338,"#,###.0")</f>
        <v>144,204.0</v>
      </c>
      <c r="DA342" s="86" t="str">
        <f>TEXT(AB341,"#,###.0")</f>
        <v>7,210.2</v>
      </c>
      <c r="DB342" s="84"/>
    </row>
    <row r="343" spans="2:106" ht="11.25" customHeight="1">
      <c r="B343" s="78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  <c r="CH343" s="79"/>
      <c r="CI343" s="79"/>
      <c r="CJ343" s="79"/>
      <c r="CK343" s="79"/>
      <c r="CL343" s="79"/>
      <c r="CM343" s="79"/>
      <c r="CN343" s="79"/>
      <c r="CO343" s="79"/>
      <c r="CP343" s="79"/>
      <c r="CQ343" s="79"/>
      <c r="CR343" s="79"/>
      <c r="CS343" s="79"/>
      <c r="CT343" s="79"/>
      <c r="CU343" s="79"/>
      <c r="CV343" s="79"/>
      <c r="CW343" s="79"/>
      <c r="CX343" s="85"/>
      <c r="CY343" s="85"/>
      <c r="CZ343" s="85"/>
      <c r="DA343" s="86"/>
      <c r="DB343" s="84"/>
    </row>
    <row r="344" spans="2:106" ht="11.25" customHeight="1">
      <c r="B344" s="78"/>
      <c r="C344" s="79"/>
      <c r="D344" s="79" t="s">
        <v>389</v>
      </c>
      <c r="E344" s="79"/>
      <c r="F344" s="79"/>
      <c r="G344" s="79" t="s">
        <v>339</v>
      </c>
      <c r="H344" s="79"/>
      <c r="I344" s="79"/>
      <c r="J344" s="79"/>
      <c r="K344" s="79"/>
      <c r="L344" s="79"/>
      <c r="M344" s="79"/>
      <c r="N344" s="79" t="s">
        <v>23</v>
      </c>
      <c r="O344" s="79"/>
      <c r="P344" s="79" t="s">
        <v>782</v>
      </c>
      <c r="Q344" s="79" t="s">
        <v>767</v>
      </c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  <c r="CH344" s="79"/>
      <c r="CI344" s="79"/>
      <c r="CJ344" s="79"/>
      <c r="CK344" s="79"/>
      <c r="CL344" s="79"/>
      <c r="CM344" s="79"/>
      <c r="CN344" s="79"/>
      <c r="CO344" s="79"/>
      <c r="CP344" s="79"/>
      <c r="CQ344" s="79"/>
      <c r="CR344" s="79"/>
      <c r="CS344" s="79"/>
      <c r="CT344" s="79"/>
      <c r="CU344" s="79"/>
      <c r="CV344" s="79"/>
      <c r="CW344" s="79"/>
      <c r="CX344" s="85"/>
      <c r="CY344" s="85"/>
      <c r="CZ344" s="85"/>
      <c r="DA344" s="86"/>
      <c r="DB344" s="84"/>
    </row>
    <row r="345" spans="2:106" ht="11.25" customHeight="1">
      <c r="B345" s="78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  <c r="CH345" s="79"/>
      <c r="CI345" s="79"/>
      <c r="CJ345" s="79"/>
      <c r="CK345" s="79"/>
      <c r="CL345" s="79"/>
      <c r="CM345" s="79"/>
      <c r="CN345" s="79"/>
      <c r="CO345" s="79"/>
      <c r="CP345" s="79"/>
      <c r="CQ345" s="79"/>
      <c r="CR345" s="79"/>
      <c r="CS345" s="79"/>
      <c r="CT345" s="79"/>
      <c r="CU345" s="79"/>
      <c r="CV345" s="79"/>
      <c r="CW345" s="79"/>
      <c r="CX345" s="85"/>
      <c r="CY345" s="85"/>
      <c r="CZ345" s="85"/>
      <c r="DA345" s="86"/>
      <c r="DB345" s="84"/>
    </row>
    <row r="346" spans="2:106" ht="11.25" customHeight="1">
      <c r="B346" s="78"/>
      <c r="C346" s="79"/>
      <c r="D346" s="79"/>
      <c r="E346" s="79"/>
      <c r="F346" s="79"/>
      <c r="G346" s="79" t="s">
        <v>54</v>
      </c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 t="s">
        <v>604</v>
      </c>
      <c r="S346" s="79"/>
      <c r="T346" s="79" t="str">
        <f>TEXT(노임단가!F5,"#,##0")</f>
        <v>172,068</v>
      </c>
      <c r="U346" s="79"/>
      <c r="V346" s="79"/>
      <c r="W346" s="79"/>
      <c r="X346" s="79"/>
      <c r="Y346" s="79"/>
      <c r="Z346" s="79"/>
      <c r="AA346" s="79"/>
      <c r="AB346" s="79"/>
      <c r="AC346" s="79"/>
      <c r="AD346" s="79" t="s">
        <v>699</v>
      </c>
      <c r="AE346" s="79"/>
      <c r="AF346" s="79"/>
      <c r="AG346" s="79" t="str">
        <f>TEXT(2,"#,##0.#######")</f>
        <v>2.</v>
      </c>
      <c r="AH346" s="79" t="s">
        <v>767</v>
      </c>
      <c r="AI346" s="79"/>
      <c r="AJ346" s="79"/>
      <c r="AK346" s="79" t="s">
        <v>699</v>
      </c>
      <c r="AL346" s="79"/>
      <c r="AM346" s="79"/>
      <c r="AN346" s="79" t="str">
        <f>TEXT(1,"#,##0.#######")</f>
        <v>1.</v>
      </c>
      <c r="AO346" s="79" t="s">
        <v>748</v>
      </c>
      <c r="AP346" s="79"/>
      <c r="AQ346" s="79"/>
      <c r="AR346" s="79" t="s">
        <v>309</v>
      </c>
      <c r="AS346" s="79"/>
      <c r="AT346" s="79" t="str">
        <f>TEXT(TRUNC(T346*AG346*AN346,1),"#,##0.#")</f>
        <v>344,136.</v>
      </c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  <c r="CH346" s="79"/>
      <c r="CI346" s="79"/>
      <c r="CJ346" s="79"/>
      <c r="CK346" s="79"/>
      <c r="CL346" s="79"/>
      <c r="CM346" s="79"/>
      <c r="CN346" s="79"/>
      <c r="CO346" s="79"/>
      <c r="CP346" s="79"/>
      <c r="CQ346" s="79"/>
      <c r="CR346" s="79"/>
      <c r="CS346" s="79"/>
      <c r="CT346" s="79"/>
      <c r="CU346" s="79"/>
      <c r="CV346" s="79"/>
      <c r="CW346" s="79"/>
      <c r="CX346" s="85">
        <f>CY346+CZ346+DA346</f>
        <v>344136</v>
      </c>
      <c r="CY346" s="85" t="str">
        <f>AT346</f>
        <v>344,136.</v>
      </c>
      <c r="CZ346" s="85"/>
      <c r="DA346" s="86"/>
      <c r="DB346" s="84"/>
    </row>
    <row r="347" spans="2:106" ht="11.25" customHeight="1">
      <c r="B347" s="78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  <c r="CH347" s="79"/>
      <c r="CI347" s="79"/>
      <c r="CJ347" s="79"/>
      <c r="CK347" s="79"/>
      <c r="CL347" s="79"/>
      <c r="CM347" s="79"/>
      <c r="CN347" s="79"/>
      <c r="CO347" s="79"/>
      <c r="CP347" s="79"/>
      <c r="CQ347" s="79"/>
      <c r="CR347" s="79"/>
      <c r="CS347" s="79"/>
      <c r="CT347" s="79"/>
      <c r="CU347" s="79"/>
      <c r="CV347" s="79"/>
      <c r="CW347" s="79"/>
      <c r="CX347" s="85"/>
      <c r="CY347" s="85"/>
      <c r="CZ347" s="85"/>
      <c r="DA347" s="86"/>
      <c r="DB347" s="84"/>
    </row>
    <row r="348" spans="2:106" ht="11.25" customHeight="1">
      <c r="B348" s="80"/>
      <c r="C348" s="72"/>
      <c r="D348" s="72" t="s">
        <v>575</v>
      </c>
      <c r="E348" s="72"/>
      <c r="F348" s="72"/>
      <c r="G348" s="72" t="s">
        <v>557</v>
      </c>
      <c r="H348" s="72"/>
      <c r="I348" s="72"/>
      <c r="J348" s="72"/>
      <c r="K348" s="72" t="s">
        <v>436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87"/>
      <c r="CY348" s="87"/>
      <c r="CZ348" s="87"/>
      <c r="DA348" s="88"/>
      <c r="DB348" s="84"/>
    </row>
    <row r="349" spans="2:106" ht="11.25" customHeight="1">
      <c r="B349" s="78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  <c r="CL349" s="79"/>
      <c r="CM349" s="79"/>
      <c r="CN349" s="79"/>
      <c r="CO349" s="79"/>
      <c r="CP349" s="79"/>
      <c r="CQ349" s="79"/>
      <c r="CR349" s="79"/>
      <c r="CS349" s="79"/>
      <c r="CT349" s="79"/>
      <c r="CU349" s="79"/>
      <c r="CV349" s="79"/>
      <c r="CW349" s="79"/>
      <c r="CX349" s="85"/>
      <c r="CY349" s="85"/>
      <c r="CZ349" s="85"/>
      <c r="DA349" s="86"/>
      <c r="DB349" s="84"/>
    </row>
    <row r="350" spans="2:106" ht="11.25" customHeight="1">
      <c r="B350" s="78"/>
      <c r="C350" s="79"/>
      <c r="D350" s="79"/>
      <c r="E350" s="79"/>
      <c r="F350" s="79"/>
      <c r="G350" s="79"/>
      <c r="H350" s="79" t="s">
        <v>700</v>
      </c>
      <c r="I350" s="79"/>
      <c r="J350" s="79"/>
      <c r="K350" s="79"/>
      <c r="L350" s="79"/>
      <c r="M350" s="79"/>
      <c r="N350" s="79"/>
      <c r="O350" s="79" t="s">
        <v>604</v>
      </c>
      <c r="P350" s="79"/>
      <c r="Q350" s="79" t="str">
        <f>TEXT(CY322,"#,###.##")</f>
        <v>24,889.</v>
      </c>
      <c r="R350" s="79"/>
      <c r="S350" s="79"/>
      <c r="T350" s="79"/>
      <c r="U350" s="79"/>
      <c r="V350" s="79"/>
      <c r="W350" s="79"/>
      <c r="X350" s="79" t="s">
        <v>148</v>
      </c>
      <c r="Y350" s="79"/>
      <c r="Z350" s="79" t="str">
        <f>TEXT(CY346,"#,###.##")</f>
        <v>344,136.</v>
      </c>
      <c r="AA350" s="79"/>
      <c r="AB350" s="79"/>
      <c r="AC350" s="79"/>
      <c r="AD350" s="79"/>
      <c r="AE350" s="79"/>
      <c r="AF350" s="79"/>
      <c r="AG350" s="79"/>
      <c r="AH350" s="79" t="s">
        <v>309</v>
      </c>
      <c r="AI350" s="79"/>
      <c r="AJ350" s="79"/>
      <c r="AK350" s="79" t="str">
        <f>TEXT(TRUNC(CY322+CY346,0),"#,##0")</f>
        <v>369,025</v>
      </c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  <c r="CH350" s="79"/>
      <c r="CI350" s="79"/>
      <c r="CJ350" s="79"/>
      <c r="CK350" s="79"/>
      <c r="CL350" s="79"/>
      <c r="CM350" s="79"/>
      <c r="CN350" s="79"/>
      <c r="CO350" s="79"/>
      <c r="CP350" s="79"/>
      <c r="CQ350" s="79"/>
      <c r="CR350" s="79"/>
      <c r="CS350" s="79"/>
      <c r="CT350" s="79"/>
      <c r="CU350" s="79"/>
      <c r="CV350" s="79"/>
      <c r="CW350" s="79"/>
      <c r="CX350" s="85"/>
      <c r="CY350" s="85"/>
      <c r="CZ350" s="85"/>
      <c r="DA350" s="86"/>
      <c r="DB350" s="84"/>
    </row>
    <row r="351" spans="2:106" ht="11.25" customHeight="1">
      <c r="B351" s="78"/>
      <c r="C351" s="79"/>
      <c r="D351" s="79"/>
      <c r="E351" s="79"/>
      <c r="F351" s="79"/>
      <c r="G351" s="79"/>
      <c r="H351" s="79" t="s">
        <v>498</v>
      </c>
      <c r="I351" s="79"/>
      <c r="J351" s="79"/>
      <c r="K351" s="79"/>
      <c r="L351" s="79"/>
      <c r="M351" s="79"/>
      <c r="N351" s="79"/>
      <c r="O351" s="79" t="s">
        <v>604</v>
      </c>
      <c r="P351" s="79"/>
      <c r="Q351" s="79" t="str">
        <f>TEXT(CZ322,"#,###.##")</f>
        <v>100,384.</v>
      </c>
      <c r="R351" s="79"/>
      <c r="S351" s="79"/>
      <c r="T351" s="79"/>
      <c r="U351" s="79"/>
      <c r="V351" s="79"/>
      <c r="W351" s="79"/>
      <c r="X351" s="79"/>
      <c r="Y351" s="79" t="s">
        <v>148</v>
      </c>
      <c r="Z351" s="79"/>
      <c r="AA351" s="79" t="str">
        <f>TEXT(CZ342,"#,###.##")</f>
        <v>144,204.</v>
      </c>
      <c r="AB351" s="79"/>
      <c r="AC351" s="79"/>
      <c r="AD351" s="79"/>
      <c r="AE351" s="79"/>
      <c r="AF351" s="79"/>
      <c r="AG351" s="79"/>
      <c r="AH351" s="79"/>
      <c r="AI351" s="79" t="s">
        <v>309</v>
      </c>
      <c r="AJ351" s="79"/>
      <c r="AK351" s="79"/>
      <c r="AL351" s="79" t="str">
        <f>TEXT(TRUNC(CZ322+CZ342,0),"#,##0")</f>
        <v>244,588</v>
      </c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  <c r="CH351" s="79"/>
      <c r="CI351" s="79"/>
      <c r="CJ351" s="79"/>
      <c r="CK351" s="79"/>
      <c r="CL351" s="79"/>
      <c r="CM351" s="79"/>
      <c r="CN351" s="79"/>
      <c r="CO351" s="79"/>
      <c r="CP351" s="79"/>
      <c r="CQ351" s="79"/>
      <c r="CR351" s="79"/>
      <c r="CS351" s="79"/>
      <c r="CT351" s="79"/>
      <c r="CU351" s="79"/>
      <c r="CV351" s="79"/>
      <c r="CW351" s="79"/>
      <c r="CX351" s="85"/>
      <c r="CY351" s="85"/>
      <c r="CZ351" s="85"/>
      <c r="DA351" s="86"/>
      <c r="DB351" s="84"/>
    </row>
    <row r="352" spans="2:106" ht="11.25" customHeight="1">
      <c r="B352" s="78"/>
      <c r="C352" s="79"/>
      <c r="D352" s="79"/>
      <c r="E352" s="79"/>
      <c r="F352" s="79"/>
      <c r="G352" s="79"/>
      <c r="H352" s="79" t="s">
        <v>160</v>
      </c>
      <c r="I352" s="79"/>
      <c r="J352" s="79"/>
      <c r="K352" s="79"/>
      <c r="L352" s="79" t="s">
        <v>440</v>
      </c>
      <c r="M352" s="79"/>
      <c r="N352" s="79"/>
      <c r="O352" s="79" t="s">
        <v>604</v>
      </c>
      <c r="P352" s="79"/>
      <c r="Q352" s="79" t="str">
        <f>TEXT(DA322,"#,###.##")</f>
        <v>168,624.</v>
      </c>
      <c r="R352" s="79"/>
      <c r="S352" s="79"/>
      <c r="T352" s="79"/>
      <c r="U352" s="79"/>
      <c r="V352" s="79"/>
      <c r="W352" s="79"/>
      <c r="X352" s="79"/>
      <c r="Y352" s="79" t="s">
        <v>148</v>
      </c>
      <c r="Z352" s="79"/>
      <c r="AA352" s="79" t="str">
        <f>TEXT(DA342,"#,###.##")</f>
        <v>7,210.2</v>
      </c>
      <c r="AB352" s="79"/>
      <c r="AC352" s="79"/>
      <c r="AD352" s="79"/>
      <c r="AE352" s="79"/>
      <c r="AF352" s="79"/>
      <c r="AG352" s="79"/>
      <c r="AH352" s="79"/>
      <c r="AI352" s="79" t="s">
        <v>309</v>
      </c>
      <c r="AJ352" s="79"/>
      <c r="AK352" s="79"/>
      <c r="AL352" s="79" t="str">
        <f>TEXT(TRUNC(DA322+DA342,0),"#,##0")</f>
        <v>175,834</v>
      </c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  <c r="CH352" s="79"/>
      <c r="CI352" s="79"/>
      <c r="CJ352" s="79"/>
      <c r="CK352" s="79"/>
      <c r="CL352" s="79"/>
      <c r="CM352" s="79"/>
      <c r="CN352" s="79"/>
      <c r="CO352" s="79"/>
      <c r="CP352" s="79"/>
      <c r="CQ352" s="79"/>
      <c r="CR352" s="79"/>
      <c r="CS352" s="79"/>
      <c r="CT352" s="79"/>
      <c r="CU352" s="79"/>
      <c r="CV352" s="79"/>
      <c r="CW352" s="79"/>
      <c r="CX352" s="85"/>
      <c r="CY352" s="85"/>
      <c r="CZ352" s="85"/>
      <c r="DA352" s="86"/>
      <c r="DB352" s="84"/>
    </row>
    <row r="353" spans="2:106" ht="11.25" customHeight="1">
      <c r="B353" s="78"/>
      <c r="C353" s="79"/>
      <c r="D353" s="79"/>
      <c r="E353" s="79"/>
      <c r="F353" s="79"/>
      <c r="G353" s="79"/>
      <c r="H353" s="79"/>
      <c r="I353" s="79"/>
      <c r="J353" s="79" t="s">
        <v>436</v>
      </c>
      <c r="K353" s="79"/>
      <c r="L353" s="79"/>
      <c r="M353" s="79"/>
      <c r="N353" s="79"/>
      <c r="O353" s="79" t="s">
        <v>604</v>
      </c>
      <c r="P353" s="79"/>
      <c r="Q353" s="79"/>
      <c r="R353" s="79" t="str">
        <f>TEXT(AK350+AL351+AL352,"#,##0")</f>
        <v>789,447</v>
      </c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  <c r="CH353" s="79"/>
      <c r="CI353" s="79"/>
      <c r="CJ353" s="79"/>
      <c r="CK353" s="79"/>
      <c r="CL353" s="79"/>
      <c r="CM353" s="79"/>
      <c r="CN353" s="79"/>
      <c r="CO353" s="79"/>
      <c r="CP353" s="79"/>
      <c r="CQ353" s="79"/>
      <c r="CR353" s="79"/>
      <c r="CS353" s="79"/>
      <c r="CT353" s="79"/>
      <c r="CU353" s="79"/>
      <c r="CV353" s="79"/>
      <c r="CW353" s="79"/>
      <c r="CX353" s="89">
        <f>CY353+CZ353+DA353</f>
        <v>789447</v>
      </c>
      <c r="CY353" s="85" t="str">
        <f>TEXT(AK350,"#,##0")</f>
        <v>369,025</v>
      </c>
      <c r="CZ353" s="85" t="str">
        <f>TEXT(AL351,"#,##0")</f>
        <v>244,588</v>
      </c>
      <c r="DA353" s="86" t="str">
        <f>TEXT(AL352,"#,##0")</f>
        <v>175,834</v>
      </c>
      <c r="DB353" s="84"/>
    </row>
    <row r="354" spans="2:106" ht="11.25" customHeight="1">
      <c r="B354" s="78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  <c r="CL354" s="79"/>
      <c r="CM354" s="79"/>
      <c r="CN354" s="79"/>
      <c r="CO354" s="79"/>
      <c r="CP354" s="79"/>
      <c r="CQ354" s="79"/>
      <c r="CR354" s="79"/>
      <c r="CS354" s="79"/>
      <c r="CT354" s="79"/>
      <c r="CU354" s="79"/>
      <c r="CV354" s="79"/>
      <c r="CW354" s="79"/>
      <c r="CX354" s="85"/>
      <c r="CY354" s="85"/>
      <c r="CZ354" s="85"/>
      <c r="DA354" s="86"/>
      <c r="DB354" s="84"/>
    </row>
    <row r="355" spans="2:106" ht="11.25" customHeight="1">
      <c r="B355" s="81" t="s">
        <v>76</v>
      </c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  <c r="CH355" s="79"/>
      <c r="CI355" s="79"/>
      <c r="CJ355" s="79"/>
      <c r="CK355" s="79"/>
      <c r="CL355" s="79"/>
      <c r="CM355" s="79"/>
      <c r="CN355" s="79"/>
      <c r="CO355" s="79"/>
      <c r="CP355" s="79"/>
      <c r="CQ355" s="79"/>
      <c r="CR355" s="79"/>
      <c r="CS355" s="79"/>
      <c r="CT355" s="79"/>
      <c r="CU355" s="79"/>
      <c r="CV355" s="79"/>
      <c r="CW355" s="79"/>
      <c r="CX355" s="82">
        <f>CX374</f>
        <v>126750</v>
      </c>
      <c r="CY355" s="82" t="str">
        <f>CY374</f>
        <v>42,250</v>
      </c>
      <c r="CZ355" s="82" t="str">
        <f>CZ374</f>
        <v>84,500</v>
      </c>
      <c r="DA355" s="86">
        <f>DA374</f>
        <v>0</v>
      </c>
      <c r="DB355" s="84"/>
    </row>
    <row r="356" spans="2:106" ht="11.25" customHeight="1">
      <c r="B356" s="78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79"/>
      <c r="CM356" s="79"/>
      <c r="CN356" s="79"/>
      <c r="CO356" s="79"/>
      <c r="CP356" s="79"/>
      <c r="CQ356" s="79"/>
      <c r="CR356" s="79"/>
      <c r="CS356" s="79"/>
      <c r="CT356" s="79"/>
      <c r="CU356" s="79"/>
      <c r="CV356" s="79"/>
      <c r="CW356" s="79"/>
      <c r="CX356" s="85"/>
      <c r="CY356" s="85"/>
      <c r="CZ356" s="85"/>
      <c r="DA356" s="86"/>
      <c r="DB356" s="84"/>
    </row>
    <row r="357" spans="2:106" ht="11.25" customHeight="1">
      <c r="B357" s="78"/>
      <c r="C357" s="79"/>
      <c r="D357" s="79" t="s">
        <v>401</v>
      </c>
      <c r="E357" s="79"/>
      <c r="F357" s="79"/>
      <c r="G357" s="79" t="s">
        <v>421</v>
      </c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  <c r="CH357" s="79"/>
      <c r="CI357" s="79"/>
      <c r="CJ357" s="79"/>
      <c r="CK357" s="79"/>
      <c r="CL357" s="79"/>
      <c r="CM357" s="79"/>
      <c r="CN357" s="79"/>
      <c r="CO357" s="79"/>
      <c r="CP357" s="79"/>
      <c r="CQ357" s="79"/>
      <c r="CR357" s="79"/>
      <c r="CS357" s="79"/>
      <c r="CT357" s="79"/>
      <c r="CU357" s="79"/>
      <c r="CV357" s="79"/>
      <c r="CW357" s="79"/>
      <c r="CX357" s="85"/>
      <c r="CY357" s="85"/>
      <c r="CZ357" s="85"/>
      <c r="DA357" s="86"/>
      <c r="DB357" s="84"/>
    </row>
    <row r="358" spans="2:106" ht="11.25" customHeight="1">
      <c r="B358" s="78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  <c r="CH358" s="79"/>
      <c r="CI358" s="79"/>
      <c r="CJ358" s="79"/>
      <c r="CK358" s="79"/>
      <c r="CL358" s="79"/>
      <c r="CM358" s="79"/>
      <c r="CN358" s="79"/>
      <c r="CO358" s="79"/>
      <c r="CP358" s="79"/>
      <c r="CQ358" s="79"/>
      <c r="CR358" s="79"/>
      <c r="CS358" s="79"/>
      <c r="CT358" s="79"/>
      <c r="CU358" s="79"/>
      <c r="CV358" s="79"/>
      <c r="CW358" s="79"/>
      <c r="CX358" s="85"/>
      <c r="CY358" s="85"/>
      <c r="CZ358" s="85"/>
      <c r="DA358" s="86"/>
      <c r="DB358" s="84"/>
    </row>
    <row r="359" spans="2:106" ht="11.25" customHeight="1">
      <c r="B359" s="78"/>
      <c r="C359" s="79"/>
      <c r="D359" s="79"/>
      <c r="E359" s="79"/>
      <c r="F359" s="79"/>
      <c r="G359" s="79" t="s">
        <v>282</v>
      </c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 t="s">
        <v>536</v>
      </c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 t="str">
        <f>TEXT(자재단가!R23,"#,##0.#######")</f>
        <v>1,500,000.</v>
      </c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 t="s">
        <v>699</v>
      </c>
      <c r="BS359" s="79"/>
      <c r="BT359" s="79" t="str">
        <f>TEXT(0.05,"#,##0.#######")</f>
        <v>0.05</v>
      </c>
      <c r="BU359" s="79"/>
      <c r="BV359" s="79"/>
      <c r="BW359" s="79"/>
      <c r="BX359" s="79"/>
      <c r="BY359" s="79" t="s">
        <v>309</v>
      </c>
      <c r="BZ359" s="79"/>
      <c r="CA359" s="79" t="str">
        <f>TEXT(TRUNC(BG359*BT359,1),"#,##0.#######")</f>
        <v>75,000.</v>
      </c>
      <c r="CB359" s="79"/>
      <c r="CC359" s="79"/>
      <c r="CD359" s="79"/>
      <c r="CE359" s="79"/>
      <c r="CF359" s="79"/>
      <c r="CG359" s="79"/>
      <c r="CH359" s="79"/>
      <c r="CI359" s="79"/>
      <c r="CJ359" s="79"/>
      <c r="CK359" s="79"/>
      <c r="CL359" s="79"/>
      <c r="CM359" s="79"/>
      <c r="CN359" s="79"/>
      <c r="CO359" s="79"/>
      <c r="CP359" s="79"/>
      <c r="CQ359" s="79"/>
      <c r="CR359" s="79"/>
      <c r="CS359" s="79"/>
      <c r="CT359" s="79"/>
      <c r="CU359" s="79"/>
      <c r="CV359" s="79"/>
      <c r="CW359" s="79"/>
      <c r="CX359" s="85"/>
      <c r="CY359" s="85"/>
      <c r="CZ359" s="85"/>
      <c r="DA359" s="86"/>
      <c r="DB359" s="84"/>
    </row>
    <row r="360" spans="2:106" ht="11.25" customHeight="1">
      <c r="B360" s="78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  <c r="CH360" s="79"/>
      <c r="CI360" s="79"/>
      <c r="CJ360" s="79"/>
      <c r="CK360" s="79"/>
      <c r="CL360" s="79"/>
      <c r="CM360" s="79"/>
      <c r="CN360" s="79"/>
      <c r="CO360" s="79"/>
      <c r="CP360" s="79"/>
      <c r="CQ360" s="79"/>
      <c r="CR360" s="79"/>
      <c r="CS360" s="79"/>
      <c r="CT360" s="79"/>
      <c r="CU360" s="79"/>
      <c r="CV360" s="79"/>
      <c r="CW360" s="79"/>
      <c r="CX360" s="85"/>
      <c r="CY360" s="85"/>
      <c r="CZ360" s="85"/>
      <c r="DA360" s="86"/>
      <c r="DB360" s="84"/>
    </row>
    <row r="361" spans="2:106" ht="11.25" customHeight="1">
      <c r="B361" s="78"/>
      <c r="C361" s="79"/>
      <c r="D361" s="79"/>
      <c r="E361" s="79"/>
      <c r="F361" s="79"/>
      <c r="G361" s="79" t="s">
        <v>454</v>
      </c>
      <c r="H361" s="79"/>
      <c r="I361" s="79"/>
      <c r="J361" s="79"/>
      <c r="K361" s="79"/>
      <c r="L361" s="79"/>
      <c r="M361" s="79"/>
      <c r="N361" s="79"/>
      <c r="O361" s="79" t="s">
        <v>487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 t="str">
        <f>TEXT(자재단가!R24,"#,##0.#######")</f>
        <v>190,000.</v>
      </c>
      <c r="AA361" s="79"/>
      <c r="AB361" s="79"/>
      <c r="AC361" s="79"/>
      <c r="AD361" s="79"/>
      <c r="AE361" s="79"/>
      <c r="AF361" s="79"/>
      <c r="AG361" s="79"/>
      <c r="AH361" s="79"/>
      <c r="AI361" s="79"/>
      <c r="AJ361" s="79" t="s">
        <v>699</v>
      </c>
      <c r="AK361" s="79"/>
      <c r="AL361" s="79" t="str">
        <f>TEXT(0.05,"#,##0.#######")</f>
        <v>0.05</v>
      </c>
      <c r="AM361" s="79"/>
      <c r="AN361" s="79"/>
      <c r="AO361" s="79"/>
      <c r="AP361" s="79"/>
      <c r="AQ361" s="79" t="s">
        <v>309</v>
      </c>
      <c r="AR361" s="79"/>
      <c r="AS361" s="79" t="str">
        <f>TEXT(TRUNC(Z361*AL361,1),"#,##0.#######")</f>
        <v>9,500.</v>
      </c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  <c r="CH361" s="79"/>
      <c r="CI361" s="79"/>
      <c r="CJ361" s="79"/>
      <c r="CK361" s="79"/>
      <c r="CL361" s="79"/>
      <c r="CM361" s="79"/>
      <c r="CN361" s="79"/>
      <c r="CO361" s="79"/>
      <c r="CP361" s="79"/>
      <c r="CQ361" s="79"/>
      <c r="CR361" s="79"/>
      <c r="CS361" s="79"/>
      <c r="CT361" s="79"/>
      <c r="CU361" s="79"/>
      <c r="CV361" s="79"/>
      <c r="CW361" s="79"/>
      <c r="CX361" s="85"/>
      <c r="CY361" s="85"/>
      <c r="CZ361" s="85"/>
      <c r="DA361" s="86"/>
      <c r="DB361" s="84"/>
    </row>
    <row r="362" spans="2:106" ht="11.25" customHeight="1">
      <c r="B362" s="78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  <c r="CH362" s="79"/>
      <c r="CI362" s="79"/>
      <c r="CJ362" s="79"/>
      <c r="CK362" s="79"/>
      <c r="CL362" s="79"/>
      <c r="CM362" s="79"/>
      <c r="CN362" s="79"/>
      <c r="CO362" s="79"/>
      <c r="CP362" s="79"/>
      <c r="CQ362" s="79"/>
      <c r="CR362" s="79"/>
      <c r="CS362" s="79"/>
      <c r="CT362" s="79"/>
      <c r="CU362" s="79"/>
      <c r="CV362" s="79"/>
      <c r="CW362" s="79"/>
      <c r="CX362" s="85"/>
      <c r="CY362" s="85"/>
      <c r="CZ362" s="85"/>
      <c r="DA362" s="86"/>
      <c r="DB362" s="84"/>
    </row>
    <row r="363" spans="2:106" ht="11.25" customHeight="1">
      <c r="B363" s="78"/>
      <c r="C363" s="79"/>
      <c r="D363" s="79"/>
      <c r="E363" s="79"/>
      <c r="F363" s="79"/>
      <c r="G363" s="79" t="s">
        <v>195</v>
      </c>
      <c r="H363" s="79"/>
      <c r="I363" s="79"/>
      <c r="J363" s="79"/>
      <c r="K363" s="79"/>
      <c r="L363" s="79"/>
      <c r="M363" s="79"/>
      <c r="N363" s="79"/>
      <c r="O363" s="79"/>
      <c r="P363" s="79" t="s">
        <v>604</v>
      </c>
      <c r="Q363" s="79"/>
      <c r="R363" s="79" t="str">
        <f>TEXT(TRUNC(CA359+AS361,1),"#,##0.#######")</f>
        <v>84,500.</v>
      </c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  <c r="CH363" s="79"/>
      <c r="CI363" s="79"/>
      <c r="CJ363" s="79"/>
      <c r="CK363" s="79"/>
      <c r="CL363" s="79"/>
      <c r="CM363" s="79"/>
      <c r="CN363" s="79"/>
      <c r="CO363" s="79"/>
      <c r="CP363" s="79"/>
      <c r="CQ363" s="79"/>
      <c r="CR363" s="79"/>
      <c r="CS363" s="79"/>
      <c r="CT363" s="79"/>
      <c r="CU363" s="79"/>
      <c r="CV363" s="79"/>
      <c r="CW363" s="79"/>
      <c r="CX363" s="85"/>
      <c r="CY363" s="85"/>
      <c r="CZ363" s="85" t="str">
        <f>R363</f>
        <v>84,500.</v>
      </c>
      <c r="DA363" s="86"/>
      <c r="DB363" s="84"/>
    </row>
    <row r="364" spans="2:106" ht="11.25" customHeight="1">
      <c r="B364" s="78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  <c r="CH364" s="79"/>
      <c r="CI364" s="79"/>
      <c r="CJ364" s="79"/>
      <c r="CK364" s="79"/>
      <c r="CL364" s="79"/>
      <c r="CM364" s="79"/>
      <c r="CN364" s="79"/>
      <c r="CO364" s="79"/>
      <c r="CP364" s="79"/>
      <c r="CQ364" s="79"/>
      <c r="CR364" s="79"/>
      <c r="CS364" s="79"/>
      <c r="CT364" s="79"/>
      <c r="CU364" s="79"/>
      <c r="CV364" s="79"/>
      <c r="CW364" s="79"/>
      <c r="CX364" s="85"/>
      <c r="CY364" s="85"/>
      <c r="CZ364" s="85"/>
      <c r="DA364" s="86"/>
      <c r="DB364" s="84"/>
    </row>
    <row r="365" spans="2:106" ht="11.25" customHeight="1">
      <c r="B365" s="78"/>
      <c r="C365" s="79"/>
      <c r="D365" s="79" t="s">
        <v>594</v>
      </c>
      <c r="E365" s="79"/>
      <c r="F365" s="79"/>
      <c r="G365" s="79" t="s">
        <v>800</v>
      </c>
      <c r="H365" s="79"/>
      <c r="I365" s="79"/>
      <c r="J365" s="79"/>
      <c r="K365" s="79" t="s">
        <v>431</v>
      </c>
      <c r="L365" s="79" t="s">
        <v>79</v>
      </c>
      <c r="M365" s="79"/>
      <c r="N365" s="79"/>
      <c r="O365" s="79"/>
      <c r="P365" s="79"/>
      <c r="Q365" s="79"/>
      <c r="R365" s="79"/>
      <c r="S365" s="79"/>
      <c r="T365" s="79"/>
      <c r="U365" s="79" t="s">
        <v>78</v>
      </c>
      <c r="V365" s="79"/>
      <c r="W365" s="79" t="s">
        <v>304</v>
      </c>
      <c r="X365" s="79"/>
      <c r="Y365" s="79"/>
      <c r="Z365" s="79"/>
      <c r="AA365" s="79"/>
      <c r="AB365" s="79" t="s">
        <v>89</v>
      </c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  <c r="CH365" s="79"/>
      <c r="CI365" s="79"/>
      <c r="CJ365" s="79"/>
      <c r="CK365" s="79"/>
      <c r="CL365" s="79"/>
      <c r="CM365" s="79"/>
      <c r="CN365" s="79"/>
      <c r="CO365" s="79"/>
      <c r="CP365" s="79"/>
      <c r="CQ365" s="79"/>
      <c r="CR365" s="79"/>
      <c r="CS365" s="79"/>
      <c r="CT365" s="79"/>
      <c r="CU365" s="79"/>
      <c r="CV365" s="79"/>
      <c r="CW365" s="79"/>
      <c r="CX365" s="85"/>
      <c r="CY365" s="85"/>
      <c r="CZ365" s="85"/>
      <c r="DA365" s="86"/>
      <c r="DB365" s="84"/>
    </row>
    <row r="366" spans="2:106" ht="11.25" customHeight="1">
      <c r="B366" s="78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  <c r="CH366" s="79"/>
      <c r="CI366" s="79"/>
      <c r="CJ366" s="79"/>
      <c r="CK366" s="79"/>
      <c r="CL366" s="79"/>
      <c r="CM366" s="79"/>
      <c r="CN366" s="79"/>
      <c r="CO366" s="79"/>
      <c r="CP366" s="79"/>
      <c r="CQ366" s="79"/>
      <c r="CR366" s="79"/>
      <c r="CS366" s="79"/>
      <c r="CT366" s="79"/>
      <c r="CU366" s="79"/>
      <c r="CV366" s="79"/>
      <c r="CW366" s="79"/>
      <c r="CX366" s="85"/>
      <c r="CY366" s="85"/>
      <c r="CZ366" s="85"/>
      <c r="DA366" s="86"/>
      <c r="DB366" s="84"/>
    </row>
    <row r="367" spans="2:106" ht="11.25" customHeight="1">
      <c r="B367" s="78"/>
      <c r="C367" s="79"/>
      <c r="D367" s="79"/>
      <c r="E367" s="79"/>
      <c r="F367" s="79"/>
      <c r="G367" s="79" t="str">
        <f>R363</f>
        <v>84,500.</v>
      </c>
      <c r="H367" s="79"/>
      <c r="I367" s="79"/>
      <c r="J367" s="79"/>
      <c r="K367" s="79"/>
      <c r="L367" s="79"/>
      <c r="M367" s="79"/>
      <c r="N367" s="79"/>
      <c r="O367" s="79"/>
      <c r="P367" s="79" t="s">
        <v>699</v>
      </c>
      <c r="Q367" s="79"/>
      <c r="R367" s="79"/>
      <c r="S367" s="79" t="str">
        <f>TEXT(50,"#,##0.#######")</f>
        <v>50.</v>
      </c>
      <c r="T367" s="79"/>
      <c r="U367" s="79" t="s">
        <v>157</v>
      </c>
      <c r="V367" s="79"/>
      <c r="W367" s="79" t="s">
        <v>309</v>
      </c>
      <c r="X367" s="79"/>
      <c r="Y367" s="79" t="str">
        <f>TEXT(TRUNC(R363*(S367*(1/100)),1),"#,##0.#")</f>
        <v>42,250.</v>
      </c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  <c r="CH367" s="79"/>
      <c r="CI367" s="79"/>
      <c r="CJ367" s="79"/>
      <c r="CK367" s="79"/>
      <c r="CL367" s="79"/>
      <c r="CM367" s="79"/>
      <c r="CN367" s="79"/>
      <c r="CO367" s="79"/>
      <c r="CP367" s="79"/>
      <c r="CQ367" s="79"/>
      <c r="CR367" s="79"/>
      <c r="CS367" s="79"/>
      <c r="CT367" s="79"/>
      <c r="CU367" s="79"/>
      <c r="CV367" s="79"/>
      <c r="CW367" s="79"/>
      <c r="CX367" s="85">
        <f>CY367+CZ367+DA367</f>
        <v>42250</v>
      </c>
      <c r="CY367" s="85" t="str">
        <f>Y367</f>
        <v>42,250.</v>
      </c>
      <c r="CZ367" s="85"/>
      <c r="DA367" s="86"/>
      <c r="DB367" s="84"/>
    </row>
    <row r="368" spans="2:106" ht="11.25" customHeight="1">
      <c r="B368" s="78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  <c r="CH368" s="79"/>
      <c r="CI368" s="79"/>
      <c r="CJ368" s="79"/>
      <c r="CK368" s="79"/>
      <c r="CL368" s="79"/>
      <c r="CM368" s="79"/>
      <c r="CN368" s="79"/>
      <c r="CO368" s="79"/>
      <c r="CP368" s="79"/>
      <c r="CQ368" s="79"/>
      <c r="CR368" s="79"/>
      <c r="CS368" s="79"/>
      <c r="CT368" s="79"/>
      <c r="CU368" s="79"/>
      <c r="CV368" s="79"/>
      <c r="CW368" s="79"/>
      <c r="CX368" s="85"/>
      <c r="CY368" s="85"/>
      <c r="CZ368" s="85"/>
      <c r="DA368" s="86"/>
      <c r="DB368" s="84"/>
    </row>
    <row r="369" spans="2:106" ht="11.25" customHeight="1">
      <c r="B369" s="78"/>
      <c r="C369" s="79"/>
      <c r="D369" s="79" t="s">
        <v>594</v>
      </c>
      <c r="E369" s="79"/>
      <c r="F369" s="79"/>
      <c r="G369" s="79" t="s">
        <v>557</v>
      </c>
      <c r="H369" s="79"/>
      <c r="I369" s="79"/>
      <c r="J369" s="79"/>
      <c r="K369" s="79" t="s">
        <v>436</v>
      </c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  <c r="CH369" s="79"/>
      <c r="CI369" s="79"/>
      <c r="CJ369" s="79"/>
      <c r="CK369" s="79"/>
      <c r="CL369" s="79"/>
      <c r="CM369" s="79"/>
      <c r="CN369" s="79"/>
      <c r="CO369" s="79"/>
      <c r="CP369" s="79"/>
      <c r="CQ369" s="79"/>
      <c r="CR369" s="79"/>
      <c r="CS369" s="79"/>
      <c r="CT369" s="79"/>
      <c r="CU369" s="79"/>
      <c r="CV369" s="79"/>
      <c r="CW369" s="79"/>
      <c r="CX369" s="85"/>
      <c r="CY369" s="85"/>
      <c r="CZ369" s="85"/>
      <c r="DA369" s="86"/>
      <c r="DB369" s="84"/>
    </row>
    <row r="370" spans="2:106" ht="11.25" customHeight="1">
      <c r="B370" s="78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  <c r="CH370" s="79"/>
      <c r="CI370" s="79"/>
      <c r="CJ370" s="79"/>
      <c r="CK370" s="79"/>
      <c r="CL370" s="79"/>
      <c r="CM370" s="79"/>
      <c r="CN370" s="79"/>
      <c r="CO370" s="79"/>
      <c r="CP370" s="79"/>
      <c r="CQ370" s="79"/>
      <c r="CR370" s="79"/>
      <c r="CS370" s="79"/>
      <c r="CT370" s="79"/>
      <c r="CU370" s="79"/>
      <c r="CV370" s="79"/>
      <c r="CW370" s="79"/>
      <c r="CX370" s="85"/>
      <c r="CY370" s="85"/>
      <c r="CZ370" s="85"/>
      <c r="DA370" s="86"/>
      <c r="DB370" s="84"/>
    </row>
    <row r="371" spans="2:106" ht="11.25" customHeight="1">
      <c r="B371" s="78"/>
      <c r="C371" s="79"/>
      <c r="D371" s="79"/>
      <c r="E371" s="79"/>
      <c r="F371" s="79"/>
      <c r="G371" s="79"/>
      <c r="H371" s="79" t="s">
        <v>700</v>
      </c>
      <c r="I371" s="79"/>
      <c r="J371" s="79"/>
      <c r="K371" s="79"/>
      <c r="L371" s="79"/>
      <c r="M371" s="79"/>
      <c r="N371" s="79"/>
      <c r="O371" s="79" t="s">
        <v>604</v>
      </c>
      <c r="P371" s="79"/>
      <c r="Q371" s="79" t="str">
        <f>TEXT(TRUNC(CY367,0),"#,##0")</f>
        <v>42,250</v>
      </c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79"/>
      <c r="CM371" s="79"/>
      <c r="CN371" s="79"/>
      <c r="CO371" s="79"/>
      <c r="CP371" s="79"/>
      <c r="CQ371" s="79"/>
      <c r="CR371" s="79"/>
      <c r="CS371" s="79"/>
      <c r="CT371" s="79"/>
      <c r="CU371" s="79"/>
      <c r="CV371" s="79"/>
      <c r="CW371" s="79"/>
      <c r="CX371" s="85"/>
      <c r="CY371" s="85"/>
      <c r="CZ371" s="85"/>
      <c r="DA371" s="86"/>
      <c r="DB371" s="84"/>
    </row>
    <row r="372" spans="2:106" ht="11.25" customHeight="1">
      <c r="B372" s="78"/>
      <c r="C372" s="79"/>
      <c r="D372" s="79"/>
      <c r="E372" s="79"/>
      <c r="F372" s="79"/>
      <c r="G372" s="79"/>
      <c r="H372" s="79" t="s">
        <v>498</v>
      </c>
      <c r="I372" s="79"/>
      <c r="J372" s="79"/>
      <c r="K372" s="79"/>
      <c r="L372" s="79"/>
      <c r="M372" s="79"/>
      <c r="N372" s="79"/>
      <c r="O372" s="79" t="s">
        <v>604</v>
      </c>
      <c r="P372" s="79"/>
      <c r="Q372" s="79" t="str">
        <f>TEXT(TRUNC(CZ363,0),"#,##0")</f>
        <v>84,500</v>
      </c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  <c r="CH372" s="79"/>
      <c r="CI372" s="79"/>
      <c r="CJ372" s="79"/>
      <c r="CK372" s="79"/>
      <c r="CL372" s="79"/>
      <c r="CM372" s="79"/>
      <c r="CN372" s="79"/>
      <c r="CO372" s="79"/>
      <c r="CP372" s="79"/>
      <c r="CQ372" s="79"/>
      <c r="CR372" s="79"/>
      <c r="CS372" s="79"/>
      <c r="CT372" s="79"/>
      <c r="CU372" s="79"/>
      <c r="CV372" s="79"/>
      <c r="CW372" s="79"/>
      <c r="CX372" s="85"/>
      <c r="CY372" s="85"/>
      <c r="CZ372" s="85"/>
      <c r="DA372" s="86"/>
      <c r="DB372" s="84"/>
    </row>
    <row r="373" spans="2:106" ht="11.25" customHeight="1">
      <c r="B373" s="78"/>
      <c r="C373" s="79"/>
      <c r="D373" s="79"/>
      <c r="E373" s="79"/>
      <c r="F373" s="79"/>
      <c r="G373" s="79"/>
      <c r="H373" s="79" t="s">
        <v>160</v>
      </c>
      <c r="I373" s="79"/>
      <c r="J373" s="79"/>
      <c r="K373" s="79"/>
      <c r="L373" s="79" t="s">
        <v>440</v>
      </c>
      <c r="M373" s="79"/>
      <c r="N373" s="79"/>
      <c r="O373" s="79" t="s">
        <v>604</v>
      </c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  <c r="CH373" s="79"/>
      <c r="CI373" s="79"/>
      <c r="CJ373" s="79"/>
      <c r="CK373" s="79"/>
      <c r="CL373" s="79"/>
      <c r="CM373" s="79"/>
      <c r="CN373" s="79"/>
      <c r="CO373" s="79"/>
      <c r="CP373" s="79"/>
      <c r="CQ373" s="79"/>
      <c r="CR373" s="79"/>
      <c r="CS373" s="79"/>
      <c r="CT373" s="79"/>
      <c r="CU373" s="79"/>
      <c r="CV373" s="79"/>
      <c r="CW373" s="79"/>
      <c r="CX373" s="85"/>
      <c r="CY373" s="85"/>
      <c r="CZ373" s="85"/>
      <c r="DA373" s="86"/>
      <c r="DB373" s="84"/>
    </row>
    <row r="374" spans="2:106" ht="11.25" customHeight="1">
      <c r="B374" s="78"/>
      <c r="C374" s="79"/>
      <c r="D374" s="79"/>
      <c r="E374" s="79"/>
      <c r="F374" s="79"/>
      <c r="G374" s="79"/>
      <c r="H374" s="79"/>
      <c r="I374" s="79"/>
      <c r="J374" s="79" t="s">
        <v>436</v>
      </c>
      <c r="K374" s="79"/>
      <c r="L374" s="79"/>
      <c r="M374" s="79"/>
      <c r="N374" s="79"/>
      <c r="O374" s="79" t="s">
        <v>604</v>
      </c>
      <c r="P374" s="79"/>
      <c r="Q374" s="79"/>
      <c r="R374" s="79" t="str">
        <f>TEXT(Q371+Q372,"#,##0")</f>
        <v>126,750</v>
      </c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  <c r="CH374" s="79"/>
      <c r="CI374" s="79"/>
      <c r="CJ374" s="79"/>
      <c r="CK374" s="79"/>
      <c r="CL374" s="79"/>
      <c r="CM374" s="79"/>
      <c r="CN374" s="79"/>
      <c r="CO374" s="79"/>
      <c r="CP374" s="79"/>
      <c r="CQ374" s="79"/>
      <c r="CR374" s="79"/>
      <c r="CS374" s="79"/>
      <c r="CT374" s="79"/>
      <c r="CU374" s="79"/>
      <c r="CV374" s="79"/>
      <c r="CW374" s="79"/>
      <c r="CX374" s="89">
        <f>CY374+CZ374+DA374</f>
        <v>126750</v>
      </c>
      <c r="CY374" s="85" t="str">
        <f>TEXT(Q371,"#,##0")</f>
        <v>42,250</v>
      </c>
      <c r="CZ374" s="85" t="str">
        <f>TEXT(Q372,"#,##0")</f>
        <v>84,500</v>
      </c>
      <c r="DA374" s="86"/>
      <c r="DB374" s="84"/>
    </row>
    <row r="375" spans="2:106" ht="11.25" customHeight="1">
      <c r="B375" s="78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  <c r="CH375" s="79"/>
      <c r="CI375" s="79"/>
      <c r="CJ375" s="79"/>
      <c r="CK375" s="79"/>
      <c r="CL375" s="79"/>
      <c r="CM375" s="79"/>
      <c r="CN375" s="79"/>
      <c r="CO375" s="79"/>
      <c r="CP375" s="79"/>
      <c r="CQ375" s="79"/>
      <c r="CR375" s="79"/>
      <c r="CS375" s="79"/>
      <c r="CT375" s="79"/>
      <c r="CU375" s="79"/>
      <c r="CV375" s="79"/>
      <c r="CW375" s="79"/>
      <c r="CX375" s="85"/>
      <c r="CY375" s="85"/>
      <c r="CZ375" s="85"/>
      <c r="DA375" s="86"/>
      <c r="DB375" s="84"/>
    </row>
    <row r="376" spans="2:106" ht="11.25" customHeight="1">
      <c r="B376" s="81" t="s">
        <v>448</v>
      </c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  <c r="CH376" s="79"/>
      <c r="CI376" s="79"/>
      <c r="CJ376" s="79"/>
      <c r="CK376" s="79"/>
      <c r="CL376" s="79"/>
      <c r="CM376" s="79"/>
      <c r="CN376" s="79"/>
      <c r="CO376" s="79"/>
      <c r="CP376" s="79"/>
      <c r="CQ376" s="79"/>
      <c r="CR376" s="79"/>
      <c r="CS376" s="79"/>
      <c r="CT376" s="79"/>
      <c r="CU376" s="79"/>
      <c r="CV376" s="79"/>
      <c r="CW376" s="79"/>
      <c r="CX376" s="82">
        <f>CX473</f>
        <v>2203423</v>
      </c>
      <c r="CY376" s="82" t="str">
        <f>CY473</f>
        <v>1,341,644</v>
      </c>
      <c r="CZ376" s="82" t="str">
        <f>CZ473</f>
        <v>422,721</v>
      </c>
      <c r="DA376" s="83" t="str">
        <f>DA473</f>
        <v>439,058</v>
      </c>
      <c r="DB376" s="84"/>
    </row>
    <row r="377" spans="2:106" ht="11.25" customHeight="1">
      <c r="B377" s="78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  <c r="CH377" s="79"/>
      <c r="CI377" s="79"/>
      <c r="CJ377" s="79"/>
      <c r="CK377" s="79"/>
      <c r="CL377" s="79"/>
      <c r="CM377" s="79"/>
      <c r="CN377" s="79"/>
      <c r="CO377" s="79"/>
      <c r="CP377" s="79"/>
      <c r="CQ377" s="79"/>
      <c r="CR377" s="79"/>
      <c r="CS377" s="79"/>
      <c r="CT377" s="79"/>
      <c r="CU377" s="79"/>
      <c r="CV377" s="79"/>
      <c r="CW377" s="79"/>
      <c r="CX377" s="85"/>
      <c r="CY377" s="85"/>
      <c r="CZ377" s="85"/>
      <c r="DA377" s="86"/>
      <c r="DB377" s="84"/>
    </row>
    <row r="378" spans="2:106" ht="11.25" customHeight="1">
      <c r="B378" s="78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 t="s">
        <v>652</v>
      </c>
      <c r="U378" s="79" t="s">
        <v>309</v>
      </c>
      <c r="V378" s="79" t="str">
        <f>TEXT(16,"#,##0.#######")</f>
        <v>16.</v>
      </c>
      <c r="W378" s="79"/>
      <c r="X378" s="79" t="s">
        <v>434</v>
      </c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  <c r="CH378" s="79"/>
      <c r="CI378" s="79"/>
      <c r="CJ378" s="79"/>
      <c r="CK378" s="79"/>
      <c r="CL378" s="79"/>
      <c r="CM378" s="79"/>
      <c r="CN378" s="79"/>
      <c r="CO378" s="79"/>
      <c r="CP378" s="79"/>
      <c r="CQ378" s="79"/>
      <c r="CR378" s="79"/>
      <c r="CS378" s="79"/>
      <c r="CT378" s="79"/>
      <c r="CU378" s="79"/>
      <c r="CV378" s="79"/>
      <c r="CW378" s="79"/>
      <c r="CX378" s="85"/>
      <c r="CY378" s="85"/>
      <c r="CZ378" s="85"/>
      <c r="DA378" s="86"/>
      <c r="DB378" s="84"/>
    </row>
    <row r="379" spans="2:106" ht="11.25" customHeight="1">
      <c r="B379" s="78"/>
      <c r="C379" s="79"/>
      <c r="D379" s="79"/>
      <c r="E379" s="79"/>
      <c r="F379" s="79"/>
      <c r="G379" s="79" t="s">
        <v>173</v>
      </c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 t="s">
        <v>23</v>
      </c>
      <c r="S379" s="79" t="s">
        <v>23</v>
      </c>
      <c r="T379" s="79" t="s">
        <v>23</v>
      </c>
      <c r="U379" s="79" t="s">
        <v>23</v>
      </c>
      <c r="V379" s="79" t="s">
        <v>23</v>
      </c>
      <c r="W379" s="79" t="s">
        <v>23</v>
      </c>
      <c r="X379" s="79" t="s">
        <v>23</v>
      </c>
      <c r="Y379" s="79" t="s">
        <v>23</v>
      </c>
      <c r="Z379" s="79" t="s">
        <v>23</v>
      </c>
      <c r="AA379" s="79" t="s">
        <v>23</v>
      </c>
      <c r="AB379" s="79" t="s">
        <v>23</v>
      </c>
      <c r="AC379" s="79" t="s">
        <v>23</v>
      </c>
      <c r="AD379" s="79" t="s">
        <v>23</v>
      </c>
      <c r="AE379" s="79" t="s">
        <v>23</v>
      </c>
      <c r="AF379" s="79" t="s">
        <v>23</v>
      </c>
      <c r="AG379" s="79"/>
      <c r="AH379" s="79" t="s">
        <v>737</v>
      </c>
      <c r="AI379" s="79"/>
      <c r="AJ379" s="79"/>
      <c r="AK379" s="79" t="s">
        <v>599</v>
      </c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  <c r="CH379" s="79"/>
      <c r="CI379" s="79"/>
      <c r="CJ379" s="79"/>
      <c r="CK379" s="79"/>
      <c r="CL379" s="79"/>
      <c r="CM379" s="79"/>
      <c r="CN379" s="79"/>
      <c r="CO379" s="79"/>
      <c r="CP379" s="79"/>
      <c r="CQ379" s="79"/>
      <c r="CR379" s="79"/>
      <c r="CS379" s="79"/>
      <c r="CT379" s="79"/>
      <c r="CU379" s="79"/>
      <c r="CV379" s="79"/>
      <c r="CW379" s="79"/>
      <c r="CX379" s="85"/>
      <c r="CY379" s="85"/>
      <c r="CZ379" s="85"/>
      <c r="DA379" s="86"/>
      <c r="DB379" s="84"/>
    </row>
    <row r="380" spans="2:106" ht="11.25" customHeight="1"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  <c r="CH380" s="79"/>
      <c r="CI380" s="79"/>
      <c r="CJ380" s="79"/>
      <c r="CK380" s="79"/>
      <c r="CL380" s="79"/>
      <c r="CM380" s="79"/>
      <c r="CN380" s="79"/>
      <c r="CO380" s="79"/>
      <c r="CP380" s="79"/>
      <c r="CQ380" s="79"/>
      <c r="CR380" s="79"/>
      <c r="CS380" s="79"/>
      <c r="CT380" s="79"/>
      <c r="CU380" s="79"/>
      <c r="CV380" s="79"/>
      <c r="CW380" s="79"/>
      <c r="CX380" s="85"/>
      <c r="CY380" s="85"/>
      <c r="CZ380" s="85"/>
      <c r="DA380" s="86"/>
      <c r="DB380" s="84"/>
    </row>
    <row r="381" spans="2:106" ht="11.25" customHeight="1">
      <c r="B381" s="78"/>
      <c r="C381" s="79"/>
      <c r="D381" s="79"/>
      <c r="E381" s="79" t="s">
        <v>5</v>
      </c>
      <c r="F381" s="79"/>
      <c r="G381" s="79"/>
      <c r="H381" s="79" t="s">
        <v>405</v>
      </c>
      <c r="I381" s="79"/>
      <c r="J381" s="79"/>
      <c r="K381" s="79"/>
      <c r="L381" s="79"/>
      <c r="M381" s="79"/>
      <c r="N381" s="79"/>
      <c r="O381" s="79"/>
      <c r="P381" s="79" t="s">
        <v>431</v>
      </c>
      <c r="Q381" s="79" t="s">
        <v>713</v>
      </c>
      <c r="R381" s="79"/>
      <c r="S381" s="79" t="s">
        <v>566</v>
      </c>
      <c r="T381" s="79"/>
      <c r="U381" s="79"/>
      <c r="V381" s="79" t="s">
        <v>89</v>
      </c>
      <c r="W381" s="79"/>
      <c r="X381" s="79" t="s">
        <v>169</v>
      </c>
      <c r="Y381" s="79"/>
      <c r="Z381" s="79"/>
      <c r="AA381" s="79" t="s">
        <v>826</v>
      </c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  <c r="CH381" s="79"/>
      <c r="CI381" s="79"/>
      <c r="CJ381" s="79"/>
      <c r="CK381" s="79"/>
      <c r="CL381" s="79"/>
      <c r="CM381" s="79"/>
      <c r="CN381" s="79"/>
      <c r="CO381" s="79"/>
      <c r="CP381" s="79"/>
      <c r="CQ381" s="79"/>
      <c r="CR381" s="79"/>
      <c r="CS381" s="79"/>
      <c r="CT381" s="79"/>
      <c r="CU381" s="79"/>
      <c r="CV381" s="79"/>
      <c r="CW381" s="79"/>
      <c r="CX381" s="85"/>
      <c r="CY381" s="85"/>
      <c r="CZ381" s="85"/>
      <c r="DA381" s="86"/>
      <c r="DB381" s="84"/>
    </row>
    <row r="382" spans="2:106" ht="11.25" customHeight="1">
      <c r="B382" s="78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79"/>
      <c r="CQ382" s="79"/>
      <c r="CR382" s="79"/>
      <c r="CS382" s="79"/>
      <c r="CT382" s="79"/>
      <c r="CU382" s="79"/>
      <c r="CV382" s="79"/>
      <c r="CW382" s="79"/>
      <c r="CX382" s="85"/>
      <c r="CY382" s="85"/>
      <c r="CZ382" s="85"/>
      <c r="DA382" s="86"/>
      <c r="DB382" s="84"/>
    </row>
    <row r="383" spans="2:106" ht="11.25" customHeight="1">
      <c r="B383" s="78"/>
      <c r="C383" s="79"/>
      <c r="D383" s="79"/>
      <c r="E383" s="79"/>
      <c r="F383" s="79"/>
      <c r="G383" s="79" t="s">
        <v>35</v>
      </c>
      <c r="H383" s="79"/>
      <c r="I383" s="79"/>
      <c r="J383" s="79"/>
      <c r="K383" s="79"/>
      <c r="L383" s="79"/>
      <c r="M383" s="79" t="s">
        <v>431</v>
      </c>
      <c r="N383" s="79" t="s">
        <v>179</v>
      </c>
      <c r="O383" s="79"/>
      <c r="P383" s="79"/>
      <c r="Q383" s="79"/>
      <c r="R383" s="79"/>
      <c r="S383" s="79"/>
      <c r="T383" s="79" t="s">
        <v>89</v>
      </c>
      <c r="U383" s="79"/>
      <c r="V383" s="79"/>
      <c r="W383" s="79"/>
      <c r="X383" s="79" t="s">
        <v>143</v>
      </c>
      <c r="Y383" s="79"/>
      <c r="Z383" s="79"/>
      <c r="AA383" s="79"/>
      <c r="AB383" s="79" t="s">
        <v>574</v>
      </c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 t="s">
        <v>225</v>
      </c>
      <c r="AN383" s="79" t="s">
        <v>161</v>
      </c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79"/>
      <c r="CQ383" s="79"/>
      <c r="CR383" s="79"/>
      <c r="CS383" s="79"/>
      <c r="CT383" s="79"/>
      <c r="CU383" s="79"/>
      <c r="CV383" s="79"/>
      <c r="CW383" s="79"/>
      <c r="CX383" s="85"/>
      <c r="CY383" s="85"/>
      <c r="CZ383" s="85"/>
      <c r="DA383" s="86"/>
      <c r="DB383" s="84"/>
    </row>
    <row r="384" spans="2:106" ht="11.25" customHeight="1">
      <c r="B384" s="78"/>
      <c r="C384" s="79"/>
      <c r="D384" s="79"/>
      <c r="E384" s="79"/>
      <c r="F384" s="79"/>
      <c r="G384" s="79" t="s">
        <v>35</v>
      </c>
      <c r="H384" s="79"/>
      <c r="I384" s="79"/>
      <c r="J384" s="79"/>
      <c r="K384" s="79"/>
      <c r="L384" s="79"/>
      <c r="M384" s="79" t="s">
        <v>431</v>
      </c>
      <c r="N384" s="79" t="s">
        <v>179</v>
      </c>
      <c r="O384" s="79"/>
      <c r="P384" s="79"/>
      <c r="Q384" s="79"/>
      <c r="R384" s="79"/>
      <c r="S384" s="79"/>
      <c r="T384" s="79" t="s">
        <v>89</v>
      </c>
      <c r="U384" s="79"/>
      <c r="V384" s="79"/>
      <c r="W384" s="79"/>
      <c r="X384" s="79" t="s">
        <v>52</v>
      </c>
      <c r="Y384" s="79"/>
      <c r="Z384" s="79"/>
      <c r="AA384" s="79"/>
      <c r="AB384" s="79" t="s">
        <v>574</v>
      </c>
      <c r="AC384" s="79"/>
      <c r="AD384" s="79" t="s">
        <v>129</v>
      </c>
      <c r="AE384" s="79"/>
      <c r="AF384" s="79"/>
      <c r="AG384" s="79"/>
      <c r="AH384" s="79"/>
      <c r="AI384" s="79"/>
      <c r="AJ384" s="79"/>
      <c r="AK384" s="79"/>
      <c r="AL384" s="79"/>
      <c r="AM384" s="79" t="s">
        <v>225</v>
      </c>
      <c r="AN384" s="79" t="s">
        <v>161</v>
      </c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  <c r="CH384" s="79"/>
      <c r="CI384" s="79"/>
      <c r="CJ384" s="79"/>
      <c r="CK384" s="79"/>
      <c r="CL384" s="79"/>
      <c r="CM384" s="79"/>
      <c r="CN384" s="79"/>
      <c r="CO384" s="79"/>
      <c r="CP384" s="79"/>
      <c r="CQ384" s="79"/>
      <c r="CR384" s="79"/>
      <c r="CS384" s="79"/>
      <c r="CT384" s="79"/>
      <c r="CU384" s="79"/>
      <c r="CV384" s="79"/>
      <c r="CW384" s="79"/>
      <c r="CX384" s="85"/>
      <c r="CY384" s="85"/>
      <c r="CZ384" s="85"/>
      <c r="DA384" s="86"/>
      <c r="DB384" s="84"/>
    </row>
    <row r="385" spans="2:106" ht="11.25" customHeight="1">
      <c r="B385" s="78"/>
      <c r="C385" s="79"/>
      <c r="D385" s="79"/>
      <c r="E385" s="79"/>
      <c r="F385" s="79"/>
      <c r="G385" s="79" t="s">
        <v>382</v>
      </c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 t="s">
        <v>225</v>
      </c>
      <c r="AM385" s="79" t="s">
        <v>161</v>
      </c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  <c r="CH385" s="79"/>
      <c r="CI385" s="79"/>
      <c r="CJ385" s="79"/>
      <c r="CK385" s="79"/>
      <c r="CL385" s="79"/>
      <c r="CM385" s="79"/>
      <c r="CN385" s="79"/>
      <c r="CO385" s="79"/>
      <c r="CP385" s="79"/>
      <c r="CQ385" s="79"/>
      <c r="CR385" s="79"/>
      <c r="CS385" s="79"/>
      <c r="CT385" s="79"/>
      <c r="CU385" s="79"/>
      <c r="CV385" s="79"/>
      <c r="CW385" s="79"/>
      <c r="CX385" s="85"/>
      <c r="CY385" s="85"/>
      <c r="CZ385" s="85"/>
      <c r="DA385" s="86"/>
      <c r="DB385" s="84"/>
    </row>
    <row r="386" spans="2:106" ht="11.25" customHeight="1">
      <c r="B386" s="78"/>
      <c r="C386" s="79"/>
      <c r="D386" s="79"/>
      <c r="E386" s="79"/>
      <c r="F386" s="79"/>
      <c r="G386" s="79" t="s">
        <v>329</v>
      </c>
      <c r="H386" s="79"/>
      <c r="I386" s="79"/>
      <c r="J386" s="79" t="s">
        <v>534</v>
      </c>
      <c r="K386" s="79"/>
      <c r="L386" s="79"/>
      <c r="M386" s="79" t="s">
        <v>471</v>
      </c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 t="s">
        <v>90</v>
      </c>
      <c r="Y386" s="79"/>
      <c r="Z386" s="79" t="s">
        <v>228</v>
      </c>
      <c r="AA386" s="79" t="s">
        <v>151</v>
      </c>
      <c r="AB386" s="79"/>
      <c r="AC386" s="79"/>
      <c r="AD386" s="79" t="s">
        <v>566</v>
      </c>
      <c r="AE386" s="79"/>
      <c r="AF386" s="79"/>
      <c r="AG386" s="79"/>
      <c r="AH386" s="79"/>
      <c r="AI386" s="79"/>
      <c r="AJ386" s="79"/>
      <c r="AK386" s="79"/>
      <c r="AL386" s="79" t="s">
        <v>225</v>
      </c>
      <c r="AM386" s="79" t="s">
        <v>161</v>
      </c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  <c r="CH386" s="79"/>
      <c r="CI386" s="79"/>
      <c r="CJ386" s="79"/>
      <c r="CK386" s="79"/>
      <c r="CL386" s="79"/>
      <c r="CM386" s="79"/>
      <c r="CN386" s="79"/>
      <c r="CO386" s="79"/>
      <c r="CP386" s="79"/>
      <c r="CQ386" s="79"/>
      <c r="CR386" s="79"/>
      <c r="CS386" s="79"/>
      <c r="CT386" s="79"/>
      <c r="CU386" s="79"/>
      <c r="CV386" s="79"/>
      <c r="CW386" s="79"/>
      <c r="CX386" s="85"/>
      <c r="CY386" s="85"/>
      <c r="CZ386" s="85"/>
      <c r="DA386" s="86"/>
      <c r="DB386" s="84"/>
    </row>
    <row r="387" spans="2:106" ht="11.25" customHeight="1">
      <c r="B387" s="78"/>
      <c r="C387" s="79"/>
      <c r="D387" s="79"/>
      <c r="E387" s="79"/>
      <c r="F387" s="79"/>
      <c r="G387" s="79" t="s">
        <v>164</v>
      </c>
      <c r="H387" s="79"/>
      <c r="I387" s="79"/>
      <c r="J387" s="79"/>
      <c r="K387" s="79"/>
      <c r="L387" s="79"/>
      <c r="M387" s="79" t="s">
        <v>471</v>
      </c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 t="s">
        <v>253</v>
      </c>
      <c r="Y387" s="79" t="s">
        <v>228</v>
      </c>
      <c r="Z387" s="79" t="s">
        <v>764</v>
      </c>
      <c r="AA387" s="79"/>
      <c r="AB387" s="79" t="s">
        <v>566</v>
      </c>
      <c r="AC387" s="79"/>
      <c r="AD387" s="79"/>
      <c r="AE387" s="79"/>
      <c r="AF387" s="79"/>
      <c r="AG387" s="79"/>
      <c r="AH387" s="79"/>
      <c r="AI387" s="79"/>
      <c r="AJ387" s="79"/>
      <c r="AK387" s="79"/>
      <c r="AL387" s="79" t="s">
        <v>225</v>
      </c>
      <c r="AM387" s="79" t="s">
        <v>161</v>
      </c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  <c r="CH387" s="79"/>
      <c r="CI387" s="79"/>
      <c r="CJ387" s="79"/>
      <c r="CK387" s="79"/>
      <c r="CL387" s="79"/>
      <c r="CM387" s="79"/>
      <c r="CN387" s="79"/>
      <c r="CO387" s="79"/>
      <c r="CP387" s="79"/>
      <c r="CQ387" s="79"/>
      <c r="CR387" s="79"/>
      <c r="CS387" s="79"/>
      <c r="CT387" s="79"/>
      <c r="CU387" s="79"/>
      <c r="CV387" s="79"/>
      <c r="CW387" s="79"/>
      <c r="CX387" s="85"/>
      <c r="CY387" s="85"/>
      <c r="CZ387" s="85"/>
      <c r="DA387" s="86"/>
      <c r="DB387" s="84"/>
    </row>
    <row r="388" spans="2:106" ht="11.25" customHeight="1">
      <c r="B388" s="78"/>
      <c r="C388" s="79"/>
      <c r="D388" s="79"/>
      <c r="E388" s="79"/>
      <c r="F388" s="79"/>
      <c r="G388" s="79" t="s">
        <v>134</v>
      </c>
      <c r="H388" s="79"/>
      <c r="I388" s="79"/>
      <c r="J388" s="79" t="s">
        <v>741</v>
      </c>
      <c r="K388" s="79"/>
      <c r="L388" s="79"/>
      <c r="M388" s="79" t="s">
        <v>378</v>
      </c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 t="s">
        <v>516</v>
      </c>
      <c r="Y388" s="79"/>
      <c r="Z388" s="79"/>
      <c r="AA388" s="79"/>
      <c r="AB388" s="79" t="s">
        <v>296</v>
      </c>
      <c r="AC388" s="79"/>
      <c r="AD388" s="79"/>
      <c r="AE388" s="79"/>
      <c r="AF388" s="79"/>
      <c r="AG388" s="79"/>
      <c r="AH388" s="79"/>
      <c r="AI388" s="79"/>
      <c r="AJ388" s="79"/>
      <c r="AK388" s="79"/>
      <c r="AL388" s="79" t="s">
        <v>225</v>
      </c>
      <c r="AM388" s="79" t="s">
        <v>161</v>
      </c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  <c r="CQ388" s="79"/>
      <c r="CR388" s="79"/>
      <c r="CS388" s="79"/>
      <c r="CT388" s="79"/>
      <c r="CU388" s="79"/>
      <c r="CV388" s="79"/>
      <c r="CW388" s="79"/>
      <c r="CX388" s="85"/>
      <c r="CY388" s="85"/>
      <c r="CZ388" s="85"/>
      <c r="DA388" s="86"/>
      <c r="DB388" s="84"/>
    </row>
    <row r="389" spans="2:106" ht="11.25" customHeight="1">
      <c r="B389" s="78"/>
      <c r="C389" s="79"/>
      <c r="D389" s="79"/>
      <c r="E389" s="79"/>
      <c r="F389" s="79" t="s">
        <v>23</v>
      </c>
      <c r="G389" s="79" t="s">
        <v>23</v>
      </c>
      <c r="H389" s="79" t="s">
        <v>23</v>
      </c>
      <c r="I389" s="79" t="s">
        <v>23</v>
      </c>
      <c r="J389" s="79" t="s">
        <v>23</v>
      </c>
      <c r="K389" s="79" t="s">
        <v>23</v>
      </c>
      <c r="L389" s="79" t="s">
        <v>23</v>
      </c>
      <c r="M389" s="79" t="s">
        <v>23</v>
      </c>
      <c r="N389" s="79" t="s">
        <v>23</v>
      </c>
      <c r="O389" s="79" t="s">
        <v>23</v>
      </c>
      <c r="P389" s="79" t="s">
        <v>23</v>
      </c>
      <c r="Q389" s="79" t="s">
        <v>23</v>
      </c>
      <c r="R389" s="79" t="s">
        <v>23</v>
      </c>
      <c r="S389" s="79" t="s">
        <v>23</v>
      </c>
      <c r="T389" s="79" t="s">
        <v>23</v>
      </c>
      <c r="U389" s="79" t="s">
        <v>23</v>
      </c>
      <c r="V389" s="79" t="s">
        <v>23</v>
      </c>
      <c r="W389" s="79" t="s">
        <v>23</v>
      </c>
      <c r="X389" s="79" t="s">
        <v>23</v>
      </c>
      <c r="Y389" s="79" t="s">
        <v>23</v>
      </c>
      <c r="Z389" s="79" t="s">
        <v>23</v>
      </c>
      <c r="AA389" s="79" t="s">
        <v>23</v>
      </c>
      <c r="AB389" s="79" t="s">
        <v>23</v>
      </c>
      <c r="AC389" s="79" t="s">
        <v>23</v>
      </c>
      <c r="AD389" s="79" t="s">
        <v>23</v>
      </c>
      <c r="AE389" s="79" t="s">
        <v>23</v>
      </c>
      <c r="AF389" s="79" t="s">
        <v>23</v>
      </c>
      <c r="AG389" s="79" t="s">
        <v>23</v>
      </c>
      <c r="AH389" s="79" t="s">
        <v>23</v>
      </c>
      <c r="AI389" s="79" t="s">
        <v>23</v>
      </c>
      <c r="AJ389" s="79" t="s">
        <v>23</v>
      </c>
      <c r="AK389" s="79" t="s">
        <v>23</v>
      </c>
      <c r="AL389" s="79" t="s">
        <v>23</v>
      </c>
      <c r="AM389" s="79" t="s">
        <v>23</v>
      </c>
      <c r="AN389" s="79" t="s">
        <v>23</v>
      </c>
      <c r="AO389" s="79" t="s">
        <v>23</v>
      </c>
      <c r="AP389" s="79" t="s">
        <v>23</v>
      </c>
      <c r="AQ389" s="79" t="s">
        <v>23</v>
      </c>
      <c r="AR389" s="79" t="s">
        <v>23</v>
      </c>
      <c r="AS389" s="79" t="s">
        <v>23</v>
      </c>
      <c r="AT389" s="79" t="s">
        <v>23</v>
      </c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  <c r="CH389" s="79"/>
      <c r="CI389" s="79"/>
      <c r="CJ389" s="79"/>
      <c r="CK389" s="79"/>
      <c r="CL389" s="79"/>
      <c r="CM389" s="79"/>
      <c r="CN389" s="79"/>
      <c r="CO389" s="79"/>
      <c r="CP389" s="79"/>
      <c r="CQ389" s="79"/>
      <c r="CR389" s="79"/>
      <c r="CS389" s="79"/>
      <c r="CT389" s="79"/>
      <c r="CU389" s="79"/>
      <c r="CV389" s="79"/>
      <c r="CW389" s="79"/>
      <c r="CX389" s="85"/>
      <c r="CY389" s="85"/>
      <c r="CZ389" s="85"/>
      <c r="DA389" s="86"/>
      <c r="DB389" s="84"/>
    </row>
    <row r="390" spans="2:106" ht="11.25" customHeight="1">
      <c r="B390" s="78"/>
      <c r="C390" s="79"/>
      <c r="D390" s="79"/>
      <c r="E390" s="79"/>
      <c r="F390" s="79"/>
      <c r="G390" s="79" t="s">
        <v>405</v>
      </c>
      <c r="H390" s="79"/>
      <c r="I390" s="79"/>
      <c r="J390" s="79"/>
      <c r="K390" s="79"/>
      <c r="L390" s="79"/>
      <c r="M390" s="79"/>
      <c r="N390" s="79"/>
      <c r="O390" s="79"/>
      <c r="P390" s="79" t="s">
        <v>64</v>
      </c>
      <c r="Q390" s="79"/>
      <c r="R390" s="79"/>
      <c r="S390" s="79"/>
      <c r="T390" s="79"/>
      <c r="U390" s="79"/>
      <c r="V390" s="79"/>
      <c r="W390" s="79"/>
      <c r="X390" s="79"/>
      <c r="Y390" s="79" t="s">
        <v>604</v>
      </c>
      <c r="Z390" s="79"/>
      <c r="AA390" s="79"/>
      <c r="AB390" s="79"/>
      <c r="AC390" s="79"/>
      <c r="AD390" s="79"/>
      <c r="AE390" s="79"/>
      <c r="AF390" s="79"/>
      <c r="AG390" s="79" t="s">
        <v>541</v>
      </c>
      <c r="AH390" s="79"/>
      <c r="AI390" s="79"/>
      <c r="AJ390" s="79" t="s">
        <v>309</v>
      </c>
      <c r="AK390" s="79"/>
      <c r="AL390" s="79" t="str">
        <f>TEXT(6,"#,##0.#######")</f>
        <v>6.</v>
      </c>
      <c r="AM390" s="79" t="s">
        <v>161</v>
      </c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  <c r="CH390" s="79"/>
      <c r="CI390" s="79"/>
      <c r="CJ390" s="79"/>
      <c r="CK390" s="79"/>
      <c r="CL390" s="79"/>
      <c r="CM390" s="79"/>
      <c r="CN390" s="79"/>
      <c r="CO390" s="79"/>
      <c r="CP390" s="79"/>
      <c r="CQ390" s="79"/>
      <c r="CR390" s="79"/>
      <c r="CS390" s="79"/>
      <c r="CT390" s="79"/>
      <c r="CU390" s="79"/>
      <c r="CV390" s="79"/>
      <c r="CW390" s="79"/>
      <c r="CX390" s="85"/>
      <c r="CY390" s="85"/>
      <c r="CZ390" s="85"/>
      <c r="DA390" s="86"/>
      <c r="DB390" s="84"/>
    </row>
    <row r="391" spans="2:106" ht="11.25" customHeight="1">
      <c r="B391" s="78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  <c r="CH391" s="79"/>
      <c r="CI391" s="79"/>
      <c r="CJ391" s="79"/>
      <c r="CK391" s="79"/>
      <c r="CL391" s="79"/>
      <c r="CM391" s="79"/>
      <c r="CN391" s="79"/>
      <c r="CO391" s="79"/>
      <c r="CP391" s="79"/>
      <c r="CQ391" s="79"/>
      <c r="CR391" s="79"/>
      <c r="CS391" s="79"/>
      <c r="CT391" s="79"/>
      <c r="CU391" s="79"/>
      <c r="CV391" s="79"/>
      <c r="CW391" s="79"/>
      <c r="CX391" s="85"/>
      <c r="CY391" s="85"/>
      <c r="CZ391" s="85"/>
      <c r="DA391" s="86"/>
      <c r="DB391" s="84"/>
    </row>
    <row r="392" spans="2:106" ht="11.25" customHeight="1">
      <c r="B392" s="78"/>
      <c r="C392" s="79"/>
      <c r="D392" s="79"/>
      <c r="E392" s="79" t="s">
        <v>5</v>
      </c>
      <c r="F392" s="79"/>
      <c r="G392" s="79"/>
      <c r="H392" s="79" t="s">
        <v>823</v>
      </c>
      <c r="I392" s="79"/>
      <c r="J392" s="79"/>
      <c r="K392" s="79"/>
      <c r="L392" s="79"/>
      <c r="M392" s="79"/>
      <c r="N392" s="79"/>
      <c r="O392" s="79" t="s">
        <v>169</v>
      </c>
      <c r="P392" s="79"/>
      <c r="Q392" s="79"/>
      <c r="R392" s="79" t="s">
        <v>826</v>
      </c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  <c r="CH392" s="79"/>
      <c r="CI392" s="79"/>
      <c r="CJ392" s="79"/>
      <c r="CK392" s="79"/>
      <c r="CL392" s="79"/>
      <c r="CM392" s="79"/>
      <c r="CN392" s="79"/>
      <c r="CO392" s="79"/>
      <c r="CP392" s="79"/>
      <c r="CQ392" s="79"/>
      <c r="CR392" s="79"/>
      <c r="CS392" s="79"/>
      <c r="CT392" s="79"/>
      <c r="CU392" s="79"/>
      <c r="CV392" s="79"/>
      <c r="CW392" s="79"/>
      <c r="CX392" s="85"/>
      <c r="CY392" s="85"/>
      <c r="CZ392" s="85"/>
      <c r="DA392" s="86"/>
      <c r="DB392" s="84"/>
    </row>
    <row r="393" spans="2:106" ht="11.25" customHeight="1">
      <c r="B393" s="78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  <c r="CH393" s="79"/>
      <c r="CI393" s="79"/>
      <c r="CJ393" s="79"/>
      <c r="CK393" s="79"/>
      <c r="CL393" s="79"/>
      <c r="CM393" s="79"/>
      <c r="CN393" s="79"/>
      <c r="CO393" s="79"/>
      <c r="CP393" s="79"/>
      <c r="CQ393" s="79"/>
      <c r="CR393" s="79"/>
      <c r="CS393" s="79"/>
      <c r="CT393" s="79"/>
      <c r="CU393" s="79"/>
      <c r="CV393" s="79"/>
      <c r="CW393" s="79"/>
      <c r="CX393" s="85"/>
      <c r="CY393" s="85"/>
      <c r="CZ393" s="85"/>
      <c r="DA393" s="86"/>
      <c r="DB393" s="84"/>
    </row>
    <row r="394" spans="2:106" ht="11.25" customHeight="1">
      <c r="B394" s="78"/>
      <c r="C394" s="79"/>
      <c r="D394" s="79"/>
      <c r="E394" s="79"/>
      <c r="F394" s="79"/>
      <c r="G394" s="79" t="s">
        <v>753</v>
      </c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 t="s">
        <v>225</v>
      </c>
      <c r="AM394" s="79" t="s">
        <v>161</v>
      </c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  <c r="CH394" s="79"/>
      <c r="CI394" s="79"/>
      <c r="CJ394" s="79"/>
      <c r="CK394" s="79"/>
      <c r="CL394" s="79"/>
      <c r="CM394" s="79"/>
      <c r="CN394" s="79"/>
      <c r="CO394" s="79"/>
      <c r="CP394" s="79"/>
      <c r="CQ394" s="79"/>
      <c r="CR394" s="79"/>
      <c r="CS394" s="79"/>
      <c r="CT394" s="79"/>
      <c r="CU394" s="79"/>
      <c r="CV394" s="79"/>
      <c r="CW394" s="79"/>
      <c r="CX394" s="85"/>
      <c r="CY394" s="85"/>
      <c r="CZ394" s="85"/>
      <c r="DA394" s="86"/>
      <c r="DB394" s="84"/>
    </row>
    <row r="395" spans="2:106" ht="11.25" customHeight="1">
      <c r="B395" s="78"/>
      <c r="C395" s="79"/>
      <c r="D395" s="79"/>
      <c r="E395" s="79"/>
      <c r="F395" s="79"/>
      <c r="G395" s="79" t="s">
        <v>338</v>
      </c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 t="s">
        <v>706</v>
      </c>
      <c r="Y395" s="79"/>
      <c r="Z395" s="79"/>
      <c r="AA395" s="79"/>
      <c r="AB395" s="79"/>
      <c r="AC395" s="79" t="s">
        <v>652</v>
      </c>
      <c r="AD395" s="79"/>
      <c r="AE395" s="79"/>
      <c r="AF395" s="79"/>
      <c r="AG395" s="79"/>
      <c r="AH395" s="79"/>
      <c r="AI395" s="79"/>
      <c r="AJ395" s="79"/>
      <c r="AK395" s="79"/>
      <c r="AL395" s="79" t="s">
        <v>225</v>
      </c>
      <c r="AM395" s="79" t="s">
        <v>161</v>
      </c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  <c r="CH395" s="79"/>
      <c r="CI395" s="79"/>
      <c r="CJ395" s="79"/>
      <c r="CK395" s="79"/>
      <c r="CL395" s="79"/>
      <c r="CM395" s="79"/>
      <c r="CN395" s="79"/>
      <c r="CO395" s="79"/>
      <c r="CP395" s="79"/>
      <c r="CQ395" s="79"/>
      <c r="CR395" s="79"/>
      <c r="CS395" s="79"/>
      <c r="CT395" s="79"/>
      <c r="CU395" s="79"/>
      <c r="CV395" s="79"/>
      <c r="CW395" s="79"/>
      <c r="CX395" s="85"/>
      <c r="CY395" s="85"/>
      <c r="CZ395" s="85"/>
      <c r="DA395" s="86"/>
      <c r="DB395" s="84"/>
    </row>
    <row r="396" spans="2:106" ht="11.25" customHeight="1">
      <c r="B396" s="78"/>
      <c r="C396" s="79"/>
      <c r="D396" s="79"/>
      <c r="E396" s="79"/>
      <c r="F396" s="79"/>
      <c r="G396" s="79" t="s">
        <v>813</v>
      </c>
      <c r="H396" s="79"/>
      <c r="I396" s="79"/>
      <c r="J396" s="79" t="s">
        <v>115</v>
      </c>
      <c r="K396" s="79"/>
      <c r="L396" s="79"/>
      <c r="M396" s="79" t="s">
        <v>412</v>
      </c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 t="s">
        <v>321</v>
      </c>
      <c r="Y396" s="79"/>
      <c r="Z396" s="79"/>
      <c r="AA396" s="79"/>
      <c r="AB396" s="79"/>
      <c r="AC396" s="79"/>
      <c r="AD396" s="79" t="s">
        <v>652</v>
      </c>
      <c r="AE396" s="79"/>
      <c r="AF396" s="79"/>
      <c r="AG396" s="79"/>
      <c r="AH396" s="79"/>
      <c r="AI396" s="79"/>
      <c r="AJ396" s="79"/>
      <c r="AK396" s="79"/>
      <c r="AL396" s="79" t="s">
        <v>225</v>
      </c>
      <c r="AM396" s="79" t="s">
        <v>161</v>
      </c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  <c r="CH396" s="79"/>
      <c r="CI396" s="79"/>
      <c r="CJ396" s="79"/>
      <c r="CK396" s="79"/>
      <c r="CL396" s="79"/>
      <c r="CM396" s="79"/>
      <c r="CN396" s="79"/>
      <c r="CO396" s="79"/>
      <c r="CP396" s="79"/>
      <c r="CQ396" s="79"/>
      <c r="CR396" s="79"/>
      <c r="CS396" s="79"/>
      <c r="CT396" s="79"/>
      <c r="CU396" s="79"/>
      <c r="CV396" s="79"/>
      <c r="CW396" s="79"/>
      <c r="CX396" s="85"/>
      <c r="CY396" s="85"/>
      <c r="CZ396" s="85"/>
      <c r="DA396" s="86"/>
      <c r="DB396" s="84"/>
    </row>
    <row r="397" spans="2:106" ht="11.25" customHeight="1">
      <c r="B397" s="78"/>
      <c r="C397" s="79"/>
      <c r="D397" s="79"/>
      <c r="E397" s="79" t="s">
        <v>23</v>
      </c>
      <c r="F397" s="79" t="s">
        <v>23</v>
      </c>
      <c r="G397" s="79" t="s">
        <v>23</v>
      </c>
      <c r="H397" s="79" t="s">
        <v>23</v>
      </c>
      <c r="I397" s="79" t="s">
        <v>23</v>
      </c>
      <c r="J397" s="79" t="s">
        <v>23</v>
      </c>
      <c r="K397" s="79" t="s">
        <v>23</v>
      </c>
      <c r="L397" s="79" t="s">
        <v>23</v>
      </c>
      <c r="M397" s="79" t="s">
        <v>23</v>
      </c>
      <c r="N397" s="79" t="s">
        <v>23</v>
      </c>
      <c r="O397" s="79" t="s">
        <v>23</v>
      </c>
      <c r="P397" s="79" t="s">
        <v>23</v>
      </c>
      <c r="Q397" s="79" t="s">
        <v>23</v>
      </c>
      <c r="R397" s="79" t="s">
        <v>23</v>
      </c>
      <c r="S397" s="79" t="s">
        <v>23</v>
      </c>
      <c r="T397" s="79" t="s">
        <v>23</v>
      </c>
      <c r="U397" s="79" t="s">
        <v>23</v>
      </c>
      <c r="V397" s="79" t="s">
        <v>23</v>
      </c>
      <c r="W397" s="79" t="s">
        <v>23</v>
      </c>
      <c r="X397" s="79" t="s">
        <v>23</v>
      </c>
      <c r="Y397" s="79" t="s">
        <v>23</v>
      </c>
      <c r="Z397" s="79" t="s">
        <v>23</v>
      </c>
      <c r="AA397" s="79" t="s">
        <v>23</v>
      </c>
      <c r="AB397" s="79" t="s">
        <v>23</v>
      </c>
      <c r="AC397" s="79" t="s">
        <v>23</v>
      </c>
      <c r="AD397" s="79" t="s">
        <v>23</v>
      </c>
      <c r="AE397" s="79" t="s">
        <v>23</v>
      </c>
      <c r="AF397" s="79" t="s">
        <v>23</v>
      </c>
      <c r="AG397" s="79" t="s">
        <v>23</v>
      </c>
      <c r="AH397" s="79" t="s">
        <v>23</v>
      </c>
      <c r="AI397" s="79" t="s">
        <v>23</v>
      </c>
      <c r="AJ397" s="79" t="s">
        <v>23</v>
      </c>
      <c r="AK397" s="79" t="s">
        <v>23</v>
      </c>
      <c r="AL397" s="79" t="s">
        <v>23</v>
      </c>
      <c r="AM397" s="79" t="s">
        <v>23</v>
      </c>
      <c r="AN397" s="79" t="s">
        <v>23</v>
      </c>
      <c r="AO397" s="79" t="s">
        <v>23</v>
      </c>
      <c r="AP397" s="79" t="s">
        <v>23</v>
      </c>
      <c r="AQ397" s="79" t="s">
        <v>23</v>
      </c>
      <c r="AR397" s="79" t="s">
        <v>23</v>
      </c>
      <c r="AS397" s="79" t="s">
        <v>23</v>
      </c>
      <c r="AT397" s="79" t="s">
        <v>23</v>
      </c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  <c r="CH397" s="79"/>
      <c r="CI397" s="79"/>
      <c r="CJ397" s="79"/>
      <c r="CK397" s="79"/>
      <c r="CL397" s="79"/>
      <c r="CM397" s="79"/>
      <c r="CN397" s="79"/>
      <c r="CO397" s="79"/>
      <c r="CP397" s="79"/>
      <c r="CQ397" s="79"/>
      <c r="CR397" s="79"/>
      <c r="CS397" s="79"/>
      <c r="CT397" s="79"/>
      <c r="CU397" s="79"/>
      <c r="CV397" s="79"/>
      <c r="CW397" s="79"/>
      <c r="CX397" s="85"/>
      <c r="CY397" s="85"/>
      <c r="CZ397" s="85"/>
      <c r="DA397" s="86"/>
      <c r="DB397" s="84"/>
    </row>
    <row r="398" spans="2:106" ht="11.25" customHeight="1">
      <c r="B398" s="78"/>
      <c r="C398" s="79"/>
      <c r="D398" s="79"/>
      <c r="E398" s="79"/>
      <c r="F398" s="79"/>
      <c r="G398" s="79" t="s">
        <v>823</v>
      </c>
      <c r="H398" s="79"/>
      <c r="I398" s="79"/>
      <c r="J398" s="79"/>
      <c r="K398" s="79"/>
      <c r="L398" s="79"/>
      <c r="M398" s="79"/>
      <c r="N398" s="79" t="s">
        <v>64</v>
      </c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 t="s">
        <v>604</v>
      </c>
      <c r="Z398" s="79"/>
      <c r="AA398" s="79"/>
      <c r="AB398" s="79"/>
      <c r="AC398" s="79"/>
      <c r="AD398" s="79"/>
      <c r="AE398" s="79"/>
      <c r="AF398" s="79"/>
      <c r="AG398" s="79" t="s">
        <v>34</v>
      </c>
      <c r="AH398" s="79"/>
      <c r="AI398" s="79"/>
      <c r="AJ398" s="79" t="s">
        <v>309</v>
      </c>
      <c r="AK398" s="79"/>
      <c r="AL398" s="79" t="str">
        <f>TEXT(3,"#,##0.#######")</f>
        <v>3.</v>
      </c>
      <c r="AM398" s="79" t="s">
        <v>161</v>
      </c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  <c r="CH398" s="79"/>
      <c r="CI398" s="79"/>
      <c r="CJ398" s="79"/>
      <c r="CK398" s="79"/>
      <c r="CL398" s="79"/>
      <c r="CM398" s="79"/>
      <c r="CN398" s="79"/>
      <c r="CO398" s="79"/>
      <c r="CP398" s="79"/>
      <c r="CQ398" s="79"/>
      <c r="CR398" s="79"/>
      <c r="CS398" s="79"/>
      <c r="CT398" s="79"/>
      <c r="CU398" s="79"/>
      <c r="CV398" s="79"/>
      <c r="CW398" s="79"/>
      <c r="CX398" s="85"/>
      <c r="CY398" s="85"/>
      <c r="CZ398" s="85"/>
      <c r="DA398" s="86"/>
      <c r="DB398" s="84"/>
    </row>
    <row r="399" spans="2:106" ht="11.25" customHeight="1">
      <c r="B399" s="78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79"/>
      <c r="CQ399" s="79"/>
      <c r="CR399" s="79"/>
      <c r="CS399" s="79"/>
      <c r="CT399" s="79"/>
      <c r="CU399" s="79"/>
      <c r="CV399" s="79"/>
      <c r="CW399" s="79"/>
      <c r="CX399" s="85"/>
      <c r="CY399" s="85"/>
      <c r="CZ399" s="85"/>
      <c r="DA399" s="86"/>
      <c r="DB399" s="84"/>
    </row>
    <row r="400" spans="2:106" ht="11.25" customHeight="1">
      <c r="B400" s="78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79"/>
      <c r="CQ400" s="79"/>
      <c r="CR400" s="79"/>
      <c r="CS400" s="79"/>
      <c r="CT400" s="79"/>
      <c r="CU400" s="79"/>
      <c r="CV400" s="79"/>
      <c r="CW400" s="79"/>
      <c r="CX400" s="85"/>
      <c r="CY400" s="85"/>
      <c r="CZ400" s="85"/>
      <c r="DA400" s="86"/>
      <c r="DB400" s="84"/>
    </row>
    <row r="401" spans="2:106" ht="11.25" customHeight="1">
      <c r="B401" s="78"/>
      <c r="C401" s="79"/>
      <c r="D401" s="79" t="s">
        <v>401</v>
      </c>
      <c r="E401" s="79"/>
      <c r="F401" s="79"/>
      <c r="G401" s="79"/>
      <c r="H401" s="79" t="s">
        <v>347</v>
      </c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 t="s">
        <v>799</v>
      </c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  <c r="CH401" s="79"/>
      <c r="CI401" s="79"/>
      <c r="CJ401" s="79"/>
      <c r="CK401" s="79"/>
      <c r="CL401" s="79"/>
      <c r="CM401" s="79"/>
      <c r="CN401" s="79"/>
      <c r="CO401" s="79"/>
      <c r="CP401" s="79"/>
      <c r="CQ401" s="79"/>
      <c r="CR401" s="79"/>
      <c r="CS401" s="79"/>
      <c r="CT401" s="79"/>
      <c r="CU401" s="79"/>
      <c r="CV401" s="79"/>
      <c r="CW401" s="79"/>
      <c r="CX401" s="85"/>
      <c r="CY401" s="85"/>
      <c r="CZ401" s="85"/>
      <c r="DA401" s="86"/>
      <c r="DB401" s="84"/>
    </row>
    <row r="402" spans="2:106" ht="11.25" customHeight="1">
      <c r="B402" s="78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  <c r="CH402" s="79"/>
      <c r="CI402" s="79"/>
      <c r="CJ402" s="79"/>
      <c r="CK402" s="79"/>
      <c r="CL402" s="79"/>
      <c r="CM402" s="79"/>
      <c r="CN402" s="79"/>
      <c r="CO402" s="79"/>
      <c r="CP402" s="79"/>
      <c r="CQ402" s="79"/>
      <c r="CR402" s="79"/>
      <c r="CS402" s="79"/>
      <c r="CT402" s="79"/>
      <c r="CU402" s="79"/>
      <c r="CV402" s="79"/>
      <c r="CW402" s="79"/>
      <c r="CX402" s="85"/>
      <c r="CY402" s="85"/>
      <c r="CZ402" s="85"/>
      <c r="DA402" s="86"/>
      <c r="DB402" s="84"/>
    </row>
    <row r="403" spans="2:106" ht="11.25" customHeight="1">
      <c r="B403" s="78"/>
      <c r="C403" s="79"/>
      <c r="D403" s="79"/>
      <c r="E403" s="79"/>
      <c r="F403" s="79"/>
      <c r="G403" s="79" t="s">
        <v>546</v>
      </c>
      <c r="H403" s="79"/>
      <c r="I403" s="79" t="s">
        <v>309</v>
      </c>
      <c r="J403" s="79"/>
      <c r="K403" s="79" t="str">
        <f>TEXT(40,"#,##0.#######")</f>
        <v>40.</v>
      </c>
      <c r="L403" s="79"/>
      <c r="M403" s="79" t="s">
        <v>434</v>
      </c>
      <c r="N403" s="79"/>
      <c r="O403" s="79" t="s">
        <v>123</v>
      </c>
      <c r="P403" s="79" t="s">
        <v>598</v>
      </c>
      <c r="Q403" s="79"/>
      <c r="R403" s="79"/>
      <c r="S403" s="79"/>
      <c r="T403" s="79"/>
      <c r="U403" s="79"/>
      <c r="V403" s="79" t="s">
        <v>342</v>
      </c>
      <c r="W403" s="79"/>
      <c r="X403" s="79" t="s">
        <v>309</v>
      </c>
      <c r="Y403" s="79"/>
      <c r="Z403" s="79" t="str">
        <f>TEXT(0.9,"#,##0.#######")</f>
        <v>0.9</v>
      </c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  <c r="CH403" s="79"/>
      <c r="CI403" s="79"/>
      <c r="CJ403" s="79"/>
      <c r="CK403" s="79"/>
      <c r="CL403" s="79"/>
      <c r="CM403" s="79"/>
      <c r="CN403" s="79"/>
      <c r="CO403" s="79"/>
      <c r="CP403" s="79"/>
      <c r="CQ403" s="79"/>
      <c r="CR403" s="79"/>
      <c r="CS403" s="79"/>
      <c r="CT403" s="79"/>
      <c r="CU403" s="79"/>
      <c r="CV403" s="79"/>
      <c r="CW403" s="79"/>
      <c r="CX403" s="85"/>
      <c r="CY403" s="85"/>
      <c r="CZ403" s="85"/>
      <c r="DA403" s="86"/>
      <c r="DB403" s="84"/>
    </row>
    <row r="404" spans="2:106" ht="11.25" customHeight="1">
      <c r="B404" s="78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  <c r="CH404" s="79"/>
      <c r="CI404" s="79"/>
      <c r="CJ404" s="79"/>
      <c r="CK404" s="79"/>
      <c r="CL404" s="79"/>
      <c r="CM404" s="79"/>
      <c r="CN404" s="79"/>
      <c r="CO404" s="79"/>
      <c r="CP404" s="79"/>
      <c r="CQ404" s="79"/>
      <c r="CR404" s="79"/>
      <c r="CS404" s="79"/>
      <c r="CT404" s="79"/>
      <c r="CU404" s="79"/>
      <c r="CV404" s="79"/>
      <c r="CW404" s="79"/>
      <c r="CX404" s="85"/>
      <c r="CY404" s="85"/>
      <c r="CZ404" s="85"/>
      <c r="DA404" s="86"/>
      <c r="DB404" s="84"/>
    </row>
    <row r="405" spans="2:106" ht="11.25" customHeight="1">
      <c r="B405" s="78"/>
      <c r="C405" s="79"/>
      <c r="D405" s="79"/>
      <c r="E405" s="79"/>
      <c r="F405" s="79"/>
      <c r="G405" s="79" t="s">
        <v>645</v>
      </c>
      <c r="H405" s="79"/>
      <c r="I405" s="79"/>
      <c r="J405" s="79" t="s">
        <v>309</v>
      </c>
      <c r="K405" s="79"/>
      <c r="L405" s="79" t="str">
        <f>TEXT(20,"#,##0.#######")</f>
        <v>20.</v>
      </c>
      <c r="M405" s="79"/>
      <c r="N405" s="79"/>
      <c r="O405" s="79" t="s">
        <v>136</v>
      </c>
      <c r="P405" s="79"/>
      <c r="Q405" s="79"/>
      <c r="R405" s="79"/>
      <c r="S405" s="79"/>
      <c r="T405" s="79"/>
      <c r="U405" s="79"/>
      <c r="V405" s="79" t="s">
        <v>358</v>
      </c>
      <c r="W405" s="79"/>
      <c r="X405" s="79"/>
      <c r="Y405" s="79" t="s">
        <v>309</v>
      </c>
      <c r="Z405" s="79"/>
      <c r="AA405" s="79" t="s">
        <v>431</v>
      </c>
      <c r="AB405" s="79" t="s">
        <v>652</v>
      </c>
      <c r="AC405" s="79" t="s">
        <v>123</v>
      </c>
      <c r="AD405" s="79" t="s">
        <v>546</v>
      </c>
      <c r="AE405" s="79" t="s">
        <v>89</v>
      </c>
      <c r="AF405" s="79" t="s">
        <v>699</v>
      </c>
      <c r="AG405" s="79"/>
      <c r="AH405" s="79" t="str">
        <f>TEXT(2,"#,##0.#######")</f>
        <v>2.</v>
      </c>
      <c r="AI405" s="79" t="s">
        <v>699</v>
      </c>
      <c r="AJ405" s="79"/>
      <c r="AK405" s="79" t="str">
        <f>TEXT(60,"#,##0.#######")</f>
        <v>60.</v>
      </c>
      <c r="AL405" s="79"/>
      <c r="AM405" s="79"/>
      <c r="AN405" s="79" t="s">
        <v>309</v>
      </c>
      <c r="AO405" s="79"/>
      <c r="AP405" s="79" t="s">
        <v>431</v>
      </c>
      <c r="AQ405" s="79" t="str">
        <f>TEXT(V378,"#,##0.#######")</f>
        <v>16.</v>
      </c>
      <c r="AR405" s="79"/>
      <c r="AS405" s="79" t="s">
        <v>123</v>
      </c>
      <c r="AT405" s="79" t="str">
        <f>TEXT(K403,"#,##0.#######")</f>
        <v>40.</v>
      </c>
      <c r="AU405" s="79"/>
      <c r="AV405" s="79" t="s">
        <v>89</v>
      </c>
      <c r="AW405" s="79" t="s">
        <v>699</v>
      </c>
      <c r="AX405" s="79"/>
      <c r="AY405" s="79" t="str">
        <f>TEXT(AH405,"#,##0.#######")</f>
        <v>2.</v>
      </c>
      <c r="AZ405" s="79" t="s">
        <v>699</v>
      </c>
      <c r="BA405" s="79"/>
      <c r="BB405" s="79" t="str">
        <f>TEXT(AK405,"#,##0.#######")</f>
        <v>60.</v>
      </c>
      <c r="BC405" s="79"/>
      <c r="BD405" s="79"/>
      <c r="BE405" s="79" t="s">
        <v>309</v>
      </c>
      <c r="BF405" s="79"/>
      <c r="BG405" s="79" t="str">
        <f>TEXT(ROUND((V378/K403)*AH405*AK405,2),"#,##0.#######")</f>
        <v>48.</v>
      </c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  <c r="CH405" s="79"/>
      <c r="CI405" s="79"/>
      <c r="CJ405" s="79"/>
      <c r="CK405" s="79"/>
      <c r="CL405" s="79"/>
      <c r="CM405" s="79"/>
      <c r="CN405" s="79"/>
      <c r="CO405" s="79"/>
      <c r="CP405" s="79"/>
      <c r="CQ405" s="79"/>
      <c r="CR405" s="79"/>
      <c r="CS405" s="79"/>
      <c r="CT405" s="79"/>
      <c r="CU405" s="79"/>
      <c r="CV405" s="79"/>
      <c r="CW405" s="79"/>
      <c r="CX405" s="85"/>
      <c r="CY405" s="85"/>
      <c r="CZ405" s="85"/>
      <c r="DA405" s="86"/>
      <c r="DB405" s="84"/>
    </row>
    <row r="406" spans="2:106" ht="11.25" customHeight="1">
      <c r="B406" s="78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  <c r="CH406" s="79"/>
      <c r="CI406" s="79"/>
      <c r="CJ406" s="79"/>
      <c r="CK406" s="79"/>
      <c r="CL406" s="79"/>
      <c r="CM406" s="79"/>
      <c r="CN406" s="79"/>
      <c r="CO406" s="79"/>
      <c r="CP406" s="79"/>
      <c r="CQ406" s="79"/>
      <c r="CR406" s="79"/>
      <c r="CS406" s="79"/>
      <c r="CT406" s="79"/>
      <c r="CU406" s="79"/>
      <c r="CV406" s="79"/>
      <c r="CW406" s="79"/>
      <c r="CX406" s="85"/>
      <c r="CY406" s="85"/>
      <c r="CZ406" s="85"/>
      <c r="DA406" s="86"/>
      <c r="DB406" s="84"/>
    </row>
    <row r="407" spans="2:106" ht="11.25" customHeight="1">
      <c r="B407" s="78"/>
      <c r="C407" s="79"/>
      <c r="D407" s="79"/>
      <c r="E407" s="79"/>
      <c r="F407" s="79"/>
      <c r="G407" s="79" t="s">
        <v>732</v>
      </c>
      <c r="H407" s="79"/>
      <c r="I407" s="79"/>
      <c r="J407" s="79" t="s">
        <v>309</v>
      </c>
      <c r="K407" s="79"/>
      <c r="L407" s="79" t="str">
        <f>TEXT(20,"#,##0.#######")</f>
        <v>20.</v>
      </c>
      <c r="M407" s="79"/>
      <c r="N407" s="79"/>
      <c r="O407" s="79" t="s">
        <v>136</v>
      </c>
      <c r="P407" s="79"/>
      <c r="Q407" s="79"/>
      <c r="R407" s="79"/>
      <c r="S407" s="79"/>
      <c r="T407" s="79"/>
      <c r="U407" s="79"/>
      <c r="V407" s="79" t="s">
        <v>219</v>
      </c>
      <c r="W407" s="79"/>
      <c r="X407" s="79"/>
      <c r="Y407" s="79" t="s">
        <v>309</v>
      </c>
      <c r="Z407" s="79"/>
      <c r="AA407" s="79" t="str">
        <f>TEXT(0.42,"#,##0.#######")</f>
        <v>0.42</v>
      </c>
      <c r="AB407" s="79"/>
      <c r="AC407" s="79"/>
      <c r="AD407" s="79"/>
      <c r="AE407" s="79" t="s">
        <v>136</v>
      </c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  <c r="CH407" s="79"/>
      <c r="CI407" s="79"/>
      <c r="CJ407" s="79"/>
      <c r="CK407" s="79"/>
      <c r="CL407" s="79"/>
      <c r="CM407" s="79"/>
      <c r="CN407" s="79"/>
      <c r="CO407" s="79"/>
      <c r="CP407" s="79"/>
      <c r="CQ407" s="79"/>
      <c r="CR407" s="79"/>
      <c r="CS407" s="79"/>
      <c r="CT407" s="79"/>
      <c r="CU407" s="79"/>
      <c r="CV407" s="79"/>
      <c r="CW407" s="79"/>
      <c r="CX407" s="85"/>
      <c r="CY407" s="85"/>
      <c r="CZ407" s="85"/>
      <c r="DA407" s="86"/>
      <c r="DB407" s="84"/>
    </row>
    <row r="408" spans="2:106" ht="11.25" customHeight="1">
      <c r="B408" s="78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  <c r="CH408" s="79"/>
      <c r="CI408" s="79"/>
      <c r="CJ408" s="79"/>
      <c r="CK408" s="79"/>
      <c r="CL408" s="79"/>
      <c r="CM408" s="79"/>
      <c r="CN408" s="79"/>
      <c r="CO408" s="79"/>
      <c r="CP408" s="79"/>
      <c r="CQ408" s="79"/>
      <c r="CR408" s="79"/>
      <c r="CS408" s="79"/>
      <c r="CT408" s="79"/>
      <c r="CU408" s="79"/>
      <c r="CV408" s="79"/>
      <c r="CW408" s="79"/>
      <c r="CX408" s="85"/>
      <c r="CY408" s="85"/>
      <c r="CZ408" s="85"/>
      <c r="DA408" s="86"/>
      <c r="DB408" s="84"/>
    </row>
    <row r="409" spans="2:106" ht="11.25" customHeight="1">
      <c r="B409" s="78"/>
      <c r="C409" s="79"/>
      <c r="D409" s="79"/>
      <c r="E409" s="79"/>
      <c r="F409" s="79"/>
      <c r="G409" s="79" t="s">
        <v>103</v>
      </c>
      <c r="H409" s="79"/>
      <c r="I409" s="79"/>
      <c r="J409" s="79" t="s">
        <v>309</v>
      </c>
      <c r="K409" s="79"/>
      <c r="L409" s="79" t="s">
        <v>645</v>
      </c>
      <c r="M409" s="79"/>
      <c r="N409" s="79"/>
      <c r="O409" s="79" t="s">
        <v>148</v>
      </c>
      <c r="P409" s="79"/>
      <c r="Q409" s="79" t="s">
        <v>358</v>
      </c>
      <c r="R409" s="79"/>
      <c r="S409" s="79"/>
      <c r="T409" s="79" t="s">
        <v>148</v>
      </c>
      <c r="U409" s="79"/>
      <c r="V409" s="79" t="s">
        <v>732</v>
      </c>
      <c r="W409" s="79"/>
      <c r="X409" s="79"/>
      <c r="Y409" s="79" t="s">
        <v>148</v>
      </c>
      <c r="Z409" s="79"/>
      <c r="AA409" s="79" t="s">
        <v>219</v>
      </c>
      <c r="AB409" s="79"/>
      <c r="AC409" s="79"/>
      <c r="AD409" s="79"/>
      <c r="AE409" s="79" t="s">
        <v>309</v>
      </c>
      <c r="AF409" s="79"/>
      <c r="AG409" s="79" t="str">
        <f>TEXT(L405,"#,##0.#######")</f>
        <v>20.</v>
      </c>
      <c r="AH409" s="79"/>
      <c r="AI409" s="79"/>
      <c r="AJ409" s="79" t="s">
        <v>148</v>
      </c>
      <c r="AK409" s="79"/>
      <c r="AL409" s="79" t="str">
        <f>TEXT(BG405,"#,##0.#######")</f>
        <v>48.</v>
      </c>
      <c r="AM409" s="79"/>
      <c r="AN409" s="79"/>
      <c r="AO409" s="79" t="s">
        <v>148</v>
      </c>
      <c r="AP409" s="79"/>
      <c r="AQ409" s="79" t="str">
        <f>TEXT(L407,"#,##0.#######")</f>
        <v>20.</v>
      </c>
      <c r="AR409" s="79"/>
      <c r="AS409" s="79"/>
      <c r="AT409" s="79" t="s">
        <v>148</v>
      </c>
      <c r="AU409" s="79"/>
      <c r="AV409" s="79" t="str">
        <f>TEXT(AA407,"#,##0.#######")</f>
        <v>0.42</v>
      </c>
      <c r="AW409" s="79"/>
      <c r="AX409" s="79"/>
      <c r="AY409" s="79"/>
      <c r="AZ409" s="79"/>
      <c r="BA409" s="79" t="s">
        <v>309</v>
      </c>
      <c r="BB409" s="79"/>
      <c r="BC409" s="79" t="str">
        <f>TEXT(ROUND(L405+BG405+L407+AA407,2),"#,##0.#######")</f>
        <v>88.42</v>
      </c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  <c r="CH409" s="79"/>
      <c r="CI409" s="79"/>
      <c r="CJ409" s="79"/>
      <c r="CK409" s="79"/>
      <c r="CL409" s="79"/>
      <c r="CM409" s="79"/>
      <c r="CN409" s="79"/>
      <c r="CO409" s="79"/>
      <c r="CP409" s="79"/>
      <c r="CQ409" s="79"/>
      <c r="CR409" s="79"/>
      <c r="CS409" s="79"/>
      <c r="CT409" s="79"/>
      <c r="CU409" s="79"/>
      <c r="CV409" s="79"/>
      <c r="CW409" s="79"/>
      <c r="CX409" s="85"/>
      <c r="CY409" s="85"/>
      <c r="CZ409" s="85"/>
      <c r="DA409" s="86"/>
      <c r="DB409" s="84"/>
    </row>
    <row r="410" spans="2:106" ht="11.25" customHeight="1"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  <c r="CH410" s="79"/>
      <c r="CI410" s="79"/>
      <c r="CJ410" s="79"/>
      <c r="CK410" s="79"/>
      <c r="CL410" s="79"/>
      <c r="CM410" s="79"/>
      <c r="CN410" s="79"/>
      <c r="CO410" s="79"/>
      <c r="CP410" s="79"/>
      <c r="CQ410" s="79"/>
      <c r="CR410" s="79"/>
      <c r="CS410" s="79"/>
      <c r="CT410" s="79"/>
      <c r="CU410" s="79"/>
      <c r="CV410" s="79"/>
      <c r="CW410" s="79"/>
      <c r="CX410" s="85"/>
      <c r="CY410" s="85"/>
      <c r="CZ410" s="85"/>
      <c r="DA410" s="86"/>
      <c r="DB410" s="84"/>
    </row>
    <row r="411" spans="2:106" ht="11.25" customHeight="1">
      <c r="B411" s="78"/>
      <c r="C411" s="79"/>
      <c r="D411" s="79"/>
      <c r="E411" s="79"/>
      <c r="F411" s="79"/>
      <c r="G411" s="79" t="s">
        <v>49</v>
      </c>
      <c r="H411" s="79"/>
      <c r="I411" s="79" t="s">
        <v>309</v>
      </c>
      <c r="J411" s="79"/>
      <c r="K411" s="79" t="str">
        <f>TEXT(60,"#,##0.#######")</f>
        <v>60.</v>
      </c>
      <c r="L411" s="79"/>
      <c r="M411" s="79" t="s">
        <v>699</v>
      </c>
      <c r="N411" s="79"/>
      <c r="O411" s="79" t="s">
        <v>342</v>
      </c>
      <c r="P411" s="79"/>
      <c r="Q411" s="79" t="s">
        <v>123</v>
      </c>
      <c r="R411" s="79"/>
      <c r="S411" s="79" t="s">
        <v>103</v>
      </c>
      <c r="T411" s="79"/>
      <c r="U411" s="79"/>
      <c r="V411" s="79" t="s">
        <v>309</v>
      </c>
      <c r="W411" s="79"/>
      <c r="X411" s="79" t="str">
        <f>TEXT(K411,"#,##0.#######")</f>
        <v>60.</v>
      </c>
      <c r="Y411" s="79"/>
      <c r="Z411" s="79" t="s">
        <v>699</v>
      </c>
      <c r="AA411" s="79"/>
      <c r="AB411" s="79" t="str">
        <f>TEXT(Z403,"#,##0.#######")</f>
        <v>0.9</v>
      </c>
      <c r="AC411" s="79"/>
      <c r="AD411" s="79"/>
      <c r="AE411" s="79"/>
      <c r="AF411" s="79" t="s">
        <v>123</v>
      </c>
      <c r="AG411" s="79"/>
      <c r="AH411" s="79" t="str">
        <f>TEXT(BC409,"#,##0.#######")</f>
        <v>88.42</v>
      </c>
      <c r="AI411" s="79"/>
      <c r="AJ411" s="79"/>
      <c r="AK411" s="79"/>
      <c r="AL411" s="79"/>
      <c r="AM411" s="79"/>
      <c r="AN411" s="79" t="s">
        <v>309</v>
      </c>
      <c r="AO411" s="79"/>
      <c r="AP411" s="79" t="str">
        <f>TEXT(ROUND(K411*Z403/BC409,2),"#,##0.#######")</f>
        <v>0.61</v>
      </c>
      <c r="AQ411" s="79"/>
      <c r="AR411" s="79"/>
      <c r="AS411" s="79"/>
      <c r="AT411" s="79"/>
      <c r="AU411" s="79"/>
      <c r="AV411" s="79"/>
      <c r="AW411" s="79" t="s">
        <v>521</v>
      </c>
      <c r="AX411" s="79"/>
      <c r="AY411" s="79" t="s">
        <v>123</v>
      </c>
      <c r="AZ411" s="79" t="s">
        <v>598</v>
      </c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  <c r="CH411" s="79"/>
      <c r="CI411" s="79"/>
      <c r="CJ411" s="79"/>
      <c r="CK411" s="79"/>
      <c r="CL411" s="79"/>
      <c r="CM411" s="79"/>
      <c r="CN411" s="79"/>
      <c r="CO411" s="79"/>
      <c r="CP411" s="79"/>
      <c r="CQ411" s="79"/>
      <c r="CR411" s="79"/>
      <c r="CS411" s="79"/>
      <c r="CT411" s="79"/>
      <c r="CU411" s="79"/>
      <c r="CV411" s="79"/>
      <c r="CW411" s="79"/>
      <c r="CX411" s="85"/>
      <c r="CY411" s="85"/>
      <c r="CZ411" s="85"/>
      <c r="DA411" s="86"/>
      <c r="DB411" s="84"/>
    </row>
    <row r="412" spans="2:106" ht="11.25" customHeight="1">
      <c r="B412" s="78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  <c r="CQ412" s="79"/>
      <c r="CR412" s="79"/>
      <c r="CS412" s="79"/>
      <c r="CT412" s="79"/>
      <c r="CU412" s="79"/>
      <c r="CV412" s="79"/>
      <c r="CW412" s="79"/>
      <c r="CX412" s="85"/>
      <c r="CY412" s="85"/>
      <c r="CZ412" s="85"/>
      <c r="DA412" s="86"/>
      <c r="DB412" s="84"/>
    </row>
    <row r="413" spans="2:106" ht="11.25" customHeight="1">
      <c r="B413" s="78"/>
      <c r="C413" s="79"/>
      <c r="D413" s="79"/>
      <c r="E413" s="79"/>
      <c r="F413" s="79"/>
      <c r="G413" s="79" t="s">
        <v>479</v>
      </c>
      <c r="H413" s="79"/>
      <c r="I413" s="79"/>
      <c r="J413" s="79" t="s">
        <v>309</v>
      </c>
      <c r="K413" s="79"/>
      <c r="L413" s="79" t="s">
        <v>431</v>
      </c>
      <c r="M413" s="79" t="s">
        <v>103</v>
      </c>
      <c r="N413" s="79"/>
      <c r="O413" s="79" t="s">
        <v>23</v>
      </c>
      <c r="P413" s="79" t="s">
        <v>431</v>
      </c>
      <c r="Q413" s="79" t="s">
        <v>645</v>
      </c>
      <c r="R413" s="79"/>
      <c r="S413" s="79" t="s">
        <v>148</v>
      </c>
      <c r="T413" s="79" t="s">
        <v>732</v>
      </c>
      <c r="U413" s="79"/>
      <c r="V413" s="79" t="s">
        <v>89</v>
      </c>
      <c r="W413" s="79" t="s">
        <v>89</v>
      </c>
      <c r="X413" s="79"/>
      <c r="Y413" s="79" t="s">
        <v>123</v>
      </c>
      <c r="Z413" s="79"/>
      <c r="AA413" s="79" t="s">
        <v>103</v>
      </c>
      <c r="AB413" s="79"/>
      <c r="AC413" s="79"/>
      <c r="AD413" s="79" t="s">
        <v>309</v>
      </c>
      <c r="AE413" s="79"/>
      <c r="AF413" s="79" t="s">
        <v>431</v>
      </c>
      <c r="AG413" s="79" t="str">
        <f>TEXT(BC409,"#,##0.#######")</f>
        <v>88.42</v>
      </c>
      <c r="AH413" s="79"/>
      <c r="AI413" s="79"/>
      <c r="AJ413" s="79"/>
      <c r="AK413" s="79"/>
      <c r="AL413" s="79" t="s">
        <v>23</v>
      </c>
      <c r="AM413" s="79" t="s">
        <v>431</v>
      </c>
      <c r="AN413" s="79" t="str">
        <f>TEXT(L405,"#,##0.#######")</f>
        <v>20.</v>
      </c>
      <c r="AO413" s="79"/>
      <c r="AP413" s="79" t="s">
        <v>148</v>
      </c>
      <c r="AQ413" s="79" t="str">
        <f>TEXT(L407,"#,##0.#######")</f>
        <v>20.</v>
      </c>
      <c r="AR413" s="79"/>
      <c r="AS413" s="79" t="s">
        <v>89</v>
      </c>
      <c r="AT413" s="79" t="s">
        <v>89</v>
      </c>
      <c r="AU413" s="79"/>
      <c r="AV413" s="79" t="s">
        <v>123</v>
      </c>
      <c r="AW413" s="79"/>
      <c r="AX413" s="79" t="str">
        <f>TEXT(BC409,"#,##0.#######")</f>
        <v>88.42</v>
      </c>
      <c r="AY413" s="79"/>
      <c r="AZ413" s="79"/>
      <c r="BA413" s="79"/>
      <c r="BB413" s="79"/>
      <c r="BC413" s="79"/>
      <c r="BD413" s="79" t="s">
        <v>309</v>
      </c>
      <c r="BE413" s="79"/>
      <c r="BF413" s="79" t="str">
        <f>TEXT(ROUND((BC409-(L405+L407))/BC409,2),"#,##0.#######")</f>
        <v>0.55</v>
      </c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  <c r="CH413" s="79"/>
      <c r="CI413" s="79"/>
      <c r="CJ413" s="79"/>
      <c r="CK413" s="79"/>
      <c r="CL413" s="79"/>
      <c r="CM413" s="79"/>
      <c r="CN413" s="79"/>
      <c r="CO413" s="79"/>
      <c r="CP413" s="79"/>
      <c r="CQ413" s="79"/>
      <c r="CR413" s="79"/>
      <c r="CS413" s="79"/>
      <c r="CT413" s="79"/>
      <c r="CU413" s="79"/>
      <c r="CV413" s="79"/>
      <c r="CW413" s="79"/>
      <c r="CX413" s="85"/>
      <c r="CY413" s="85"/>
      <c r="CZ413" s="85"/>
      <c r="DA413" s="86"/>
      <c r="DB413" s="84"/>
    </row>
    <row r="414" spans="2:106" ht="11.25" customHeight="1">
      <c r="B414" s="78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  <c r="CH414" s="79"/>
      <c r="CI414" s="79"/>
      <c r="CJ414" s="79"/>
      <c r="CK414" s="79"/>
      <c r="CL414" s="79"/>
      <c r="CM414" s="79"/>
      <c r="CN414" s="79"/>
      <c r="CO414" s="79"/>
      <c r="CP414" s="79"/>
      <c r="CQ414" s="79"/>
      <c r="CR414" s="79"/>
      <c r="CS414" s="79"/>
      <c r="CT414" s="79"/>
      <c r="CU414" s="79"/>
      <c r="CV414" s="79"/>
      <c r="CW414" s="79"/>
      <c r="CX414" s="85"/>
      <c r="CY414" s="85"/>
      <c r="CZ414" s="85"/>
      <c r="DA414" s="86"/>
      <c r="DB414" s="84"/>
    </row>
    <row r="415" spans="2:106" ht="11.25" customHeight="1">
      <c r="B415" s="78"/>
      <c r="C415" s="79"/>
      <c r="D415" s="79"/>
      <c r="E415" s="79"/>
      <c r="F415" s="79"/>
      <c r="G415" s="79" t="s">
        <v>700</v>
      </c>
      <c r="H415" s="79"/>
      <c r="I415" s="79"/>
      <c r="J415" s="79"/>
      <c r="K415" s="79"/>
      <c r="L415" s="79"/>
      <c r="M415" s="79"/>
      <c r="N415" s="79" t="s">
        <v>604</v>
      </c>
      <c r="O415" s="79"/>
      <c r="P415" s="79" t="str">
        <f>TEXT(기계경비총괄표!G16,"#,##0")</f>
        <v>59,020</v>
      </c>
      <c r="Q415" s="79"/>
      <c r="R415" s="79"/>
      <c r="S415" s="79"/>
      <c r="T415" s="79"/>
      <c r="U415" s="79"/>
      <c r="V415" s="79"/>
      <c r="W415" s="79"/>
      <c r="X415" s="79"/>
      <c r="Y415" s="79" t="s">
        <v>391</v>
      </c>
      <c r="Z415" s="79"/>
      <c r="AA415" s="79"/>
      <c r="AB415" s="79" t="str">
        <f>TEXT(AP411,"#,##0.#######")</f>
        <v>0.61</v>
      </c>
      <c r="AC415" s="79"/>
      <c r="AD415" s="79"/>
      <c r="AE415" s="79"/>
      <c r="AF415" s="79"/>
      <c r="AG415" s="79"/>
      <c r="AH415" s="79" t="s">
        <v>699</v>
      </c>
      <c r="AI415" s="79"/>
      <c r="AJ415" s="79" t="s">
        <v>541</v>
      </c>
      <c r="AK415" s="79"/>
      <c r="AL415" s="79" t="s">
        <v>699</v>
      </c>
      <c r="AM415" s="79"/>
      <c r="AN415" s="79" t="str">
        <f>TEXT(2,"#,##0.#######")</f>
        <v>2.</v>
      </c>
      <c r="AO415" s="79" t="s">
        <v>521</v>
      </c>
      <c r="AP415" s="79"/>
      <c r="AQ415" s="79"/>
      <c r="AR415" s="79" t="s">
        <v>309</v>
      </c>
      <c r="AS415" s="79"/>
      <c r="AT415" s="79" t="str">
        <f>TEXT(P415,"#,##0.#######")</f>
        <v>59,020.</v>
      </c>
      <c r="AU415" s="79"/>
      <c r="AV415" s="79"/>
      <c r="AW415" s="79"/>
      <c r="AX415" s="79"/>
      <c r="AY415" s="79"/>
      <c r="AZ415" s="79"/>
      <c r="BA415" s="79" t="s">
        <v>391</v>
      </c>
      <c r="BB415" s="79"/>
      <c r="BC415" s="79"/>
      <c r="BD415" s="79" t="str">
        <f>TEXT(AP411,"#,##0.#######")</f>
        <v>0.61</v>
      </c>
      <c r="BE415" s="79"/>
      <c r="BF415" s="79"/>
      <c r="BG415" s="79"/>
      <c r="BH415" s="79" t="s">
        <v>699</v>
      </c>
      <c r="BI415" s="79"/>
      <c r="BJ415" s="79" t="str">
        <f>TEXT(AL390,"#,##0.#######")</f>
        <v>6.</v>
      </c>
      <c r="BK415" s="79" t="s">
        <v>699</v>
      </c>
      <c r="BL415" s="79"/>
      <c r="BM415" s="79" t="str">
        <f>TEXT(AN415,"#,##0.#######")</f>
        <v>2.</v>
      </c>
      <c r="BN415" s="79"/>
      <c r="BO415" s="79" t="s">
        <v>309</v>
      </c>
      <c r="BP415" s="79"/>
      <c r="BQ415" s="79" t="str">
        <f>TEXT(TRUNC(P415/AP411*AL390*AN415,1),"#,##0.#")</f>
        <v>1,161,049.1</v>
      </c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  <c r="CH415" s="79"/>
      <c r="CI415" s="79"/>
      <c r="CJ415" s="79"/>
      <c r="CK415" s="79"/>
      <c r="CL415" s="79"/>
      <c r="CM415" s="79"/>
      <c r="CN415" s="79"/>
      <c r="CO415" s="79"/>
      <c r="CP415" s="79"/>
      <c r="CQ415" s="79"/>
      <c r="CR415" s="79"/>
      <c r="CS415" s="79"/>
      <c r="CT415" s="79"/>
      <c r="CU415" s="79"/>
      <c r="CV415" s="79"/>
      <c r="CW415" s="79"/>
      <c r="CX415" s="85"/>
      <c r="CY415" s="85"/>
      <c r="CZ415" s="85"/>
      <c r="DA415" s="86"/>
      <c r="DB415" s="84"/>
    </row>
    <row r="416" spans="2:106" ht="11.25" customHeight="1">
      <c r="B416" s="78"/>
      <c r="C416" s="79"/>
      <c r="D416" s="79"/>
      <c r="E416" s="79"/>
      <c r="F416" s="79"/>
      <c r="G416" s="79" t="s">
        <v>498</v>
      </c>
      <c r="H416" s="79"/>
      <c r="I416" s="79"/>
      <c r="J416" s="79"/>
      <c r="K416" s="79"/>
      <c r="L416" s="79"/>
      <c r="M416" s="79"/>
      <c r="N416" s="79" t="s">
        <v>604</v>
      </c>
      <c r="O416" s="79"/>
      <c r="P416" s="79" t="str">
        <f>TEXT(기계경비총괄표!H16,"#,##0")</f>
        <v>31,558</v>
      </c>
      <c r="Q416" s="79"/>
      <c r="R416" s="79"/>
      <c r="S416" s="79"/>
      <c r="T416" s="79"/>
      <c r="U416" s="79"/>
      <c r="V416" s="79"/>
      <c r="W416" s="79"/>
      <c r="X416" s="79"/>
      <c r="Y416" s="79" t="s">
        <v>391</v>
      </c>
      <c r="Z416" s="79"/>
      <c r="AA416" s="79"/>
      <c r="AB416" s="79" t="str">
        <f>TEXT(AP411,"#,##0.#######")</f>
        <v>0.61</v>
      </c>
      <c r="AC416" s="79"/>
      <c r="AD416" s="79"/>
      <c r="AE416" s="79"/>
      <c r="AF416" s="79"/>
      <c r="AG416" s="79"/>
      <c r="AH416" s="79" t="s">
        <v>699</v>
      </c>
      <c r="AI416" s="79"/>
      <c r="AJ416" s="79" t="s">
        <v>479</v>
      </c>
      <c r="AK416" s="79"/>
      <c r="AL416" s="79" t="s">
        <v>699</v>
      </c>
      <c r="AM416" s="79"/>
      <c r="AN416" s="79" t="s">
        <v>541</v>
      </c>
      <c r="AO416" s="79"/>
      <c r="AP416" s="79" t="s">
        <v>699</v>
      </c>
      <c r="AQ416" s="79"/>
      <c r="AR416" s="79" t="str">
        <f>TEXT(2,"#,##0.#######")</f>
        <v>2.</v>
      </c>
      <c r="AS416" s="79" t="s">
        <v>521</v>
      </c>
      <c r="AT416" s="79"/>
      <c r="AU416" s="79"/>
      <c r="AV416" s="79" t="s">
        <v>309</v>
      </c>
      <c r="AW416" s="79"/>
      <c r="AX416" s="79" t="str">
        <f>TEXT(P416,"#,##0.#######")</f>
        <v>31,558.</v>
      </c>
      <c r="AY416" s="79"/>
      <c r="AZ416" s="79"/>
      <c r="BA416" s="79"/>
      <c r="BB416" s="79"/>
      <c r="BC416" s="79"/>
      <c r="BD416" s="79"/>
      <c r="BE416" s="79" t="s">
        <v>391</v>
      </c>
      <c r="BF416" s="79"/>
      <c r="BG416" s="79"/>
      <c r="BH416" s="79" t="str">
        <f>TEXT(AP411,"#,##0.#######")</f>
        <v>0.61</v>
      </c>
      <c r="BI416" s="79"/>
      <c r="BJ416" s="79"/>
      <c r="BK416" s="79"/>
      <c r="BL416" s="79" t="s">
        <v>699</v>
      </c>
      <c r="BM416" s="79"/>
      <c r="BN416" s="79" t="str">
        <f>TEXT(BF413,"#,##0.#######")</f>
        <v>0.55</v>
      </c>
      <c r="BO416" s="79"/>
      <c r="BP416" s="79"/>
      <c r="BQ416" s="79"/>
      <c r="BR416" s="79" t="s">
        <v>699</v>
      </c>
      <c r="BS416" s="79"/>
      <c r="BT416" s="79" t="str">
        <f>TEXT(AL390,"#,##0.#######")</f>
        <v>6.</v>
      </c>
      <c r="BU416" s="79" t="s">
        <v>699</v>
      </c>
      <c r="BV416" s="79"/>
      <c r="BW416" s="79" t="str">
        <f>TEXT(AR416,"#,##0.#######")</f>
        <v>2.</v>
      </c>
      <c r="BX416" s="79"/>
      <c r="BY416" s="79" t="s">
        <v>309</v>
      </c>
      <c r="BZ416" s="79"/>
      <c r="CA416" s="79" t="str">
        <f>TEXT(TRUNC(P416/AP411*BF413*AL390*AR416,1),"#,##0.#")</f>
        <v>341,447.2</v>
      </c>
      <c r="CB416" s="79"/>
      <c r="CC416" s="79"/>
      <c r="CD416" s="79"/>
      <c r="CE416" s="79"/>
      <c r="CF416" s="79"/>
      <c r="CG416" s="79"/>
      <c r="CH416" s="79"/>
      <c r="CI416" s="79"/>
      <c r="CJ416" s="79"/>
      <c r="CK416" s="79"/>
      <c r="CL416" s="79"/>
      <c r="CM416" s="79"/>
      <c r="CN416" s="79"/>
      <c r="CO416" s="79"/>
      <c r="CP416" s="79"/>
      <c r="CQ416" s="79"/>
      <c r="CR416" s="79"/>
      <c r="CS416" s="79"/>
      <c r="CT416" s="79"/>
      <c r="CU416" s="79"/>
      <c r="CV416" s="79"/>
      <c r="CW416" s="79"/>
      <c r="CX416" s="85"/>
      <c r="CY416" s="85"/>
      <c r="CZ416" s="85"/>
      <c r="DA416" s="86"/>
      <c r="DB416" s="84"/>
    </row>
    <row r="417" spans="2:106" ht="11.25" customHeight="1">
      <c r="B417" s="78"/>
      <c r="C417" s="79"/>
      <c r="D417" s="79"/>
      <c r="E417" s="79"/>
      <c r="F417" s="79"/>
      <c r="G417" s="79" t="s">
        <v>160</v>
      </c>
      <c r="H417" s="79"/>
      <c r="I417" s="79"/>
      <c r="J417" s="79"/>
      <c r="K417" s="79" t="s">
        <v>440</v>
      </c>
      <c r="L417" s="79"/>
      <c r="M417" s="79"/>
      <c r="N417" s="79" t="s">
        <v>604</v>
      </c>
      <c r="O417" s="79"/>
      <c r="P417" s="79" t="str">
        <f>TEXT(기계경비총괄표!I16,"#,##0")</f>
        <v>17,314</v>
      </c>
      <c r="Q417" s="79"/>
      <c r="R417" s="79"/>
      <c r="S417" s="79"/>
      <c r="T417" s="79"/>
      <c r="U417" s="79"/>
      <c r="V417" s="79"/>
      <c r="W417" s="79"/>
      <c r="X417" s="79"/>
      <c r="Y417" s="79" t="s">
        <v>391</v>
      </c>
      <c r="Z417" s="79"/>
      <c r="AA417" s="79"/>
      <c r="AB417" s="79" t="str">
        <f>TEXT(AP411,"#,##0.#######")</f>
        <v>0.61</v>
      </c>
      <c r="AC417" s="79"/>
      <c r="AD417" s="79"/>
      <c r="AE417" s="79"/>
      <c r="AF417" s="79"/>
      <c r="AG417" s="79"/>
      <c r="AH417" s="79" t="s">
        <v>699</v>
      </c>
      <c r="AI417" s="79"/>
      <c r="AJ417" s="79" t="s">
        <v>541</v>
      </c>
      <c r="AK417" s="79"/>
      <c r="AL417" s="79" t="s">
        <v>699</v>
      </c>
      <c r="AM417" s="79"/>
      <c r="AN417" s="79" t="str">
        <f>TEXT(2,"#,##0.#######")</f>
        <v>2.</v>
      </c>
      <c r="AO417" s="79" t="s">
        <v>521</v>
      </c>
      <c r="AP417" s="79"/>
      <c r="AQ417" s="79"/>
      <c r="AR417" s="79" t="s">
        <v>309</v>
      </c>
      <c r="AS417" s="79"/>
      <c r="AT417" s="79" t="str">
        <f>TEXT(P417,"#,##0.#######")</f>
        <v>17,314.</v>
      </c>
      <c r="AU417" s="79"/>
      <c r="AV417" s="79"/>
      <c r="AW417" s="79"/>
      <c r="AX417" s="79"/>
      <c r="AY417" s="79"/>
      <c r="AZ417" s="79"/>
      <c r="BA417" s="79" t="s">
        <v>391</v>
      </c>
      <c r="BB417" s="79"/>
      <c r="BC417" s="79"/>
      <c r="BD417" s="79" t="str">
        <f>TEXT(AP411,"#,##0.#######")</f>
        <v>0.61</v>
      </c>
      <c r="BE417" s="79"/>
      <c r="BF417" s="79"/>
      <c r="BG417" s="79"/>
      <c r="BH417" s="79" t="s">
        <v>699</v>
      </c>
      <c r="BI417" s="79"/>
      <c r="BJ417" s="79" t="str">
        <f>TEXT(AL390,"#,##0.#######")</f>
        <v>6.</v>
      </c>
      <c r="BK417" s="79" t="s">
        <v>699</v>
      </c>
      <c r="BL417" s="79"/>
      <c r="BM417" s="79" t="str">
        <f>TEXT(AN417,"#,##0.#######")</f>
        <v>2.</v>
      </c>
      <c r="BN417" s="79"/>
      <c r="BO417" s="79" t="s">
        <v>309</v>
      </c>
      <c r="BP417" s="79"/>
      <c r="BQ417" s="79"/>
      <c r="BR417" s="79" t="str">
        <f>TEXT(TRUNC(P417/AP411*AL390*AN417,1),"#,##0.#")</f>
        <v>340,603.2</v>
      </c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  <c r="CH417" s="79"/>
      <c r="CI417" s="79"/>
      <c r="CJ417" s="79"/>
      <c r="CK417" s="79"/>
      <c r="CL417" s="79"/>
      <c r="CM417" s="79"/>
      <c r="CN417" s="79"/>
      <c r="CO417" s="79"/>
      <c r="CP417" s="79"/>
      <c r="CQ417" s="79"/>
      <c r="CR417" s="79"/>
      <c r="CS417" s="79"/>
      <c r="CT417" s="79"/>
      <c r="CU417" s="79"/>
      <c r="CV417" s="79"/>
      <c r="CW417" s="79"/>
      <c r="CX417" s="85"/>
      <c r="CY417" s="85"/>
      <c r="CZ417" s="85"/>
      <c r="DA417" s="86"/>
      <c r="DB417" s="84"/>
    </row>
    <row r="418" spans="2:106" ht="11.25" customHeight="1">
      <c r="B418" s="78"/>
      <c r="C418" s="79"/>
      <c r="D418" s="79"/>
      <c r="E418" s="79"/>
      <c r="F418" s="79"/>
      <c r="G418" s="79" t="s">
        <v>305</v>
      </c>
      <c r="H418" s="79"/>
      <c r="I418" s="79"/>
      <c r="J418" s="79"/>
      <c r="K418" s="79" t="s">
        <v>436</v>
      </c>
      <c r="L418" s="79"/>
      <c r="M418" s="79"/>
      <c r="N418" s="79" t="s">
        <v>604</v>
      </c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 t="str">
        <f>TEXT(BQ415+CA416+BR417,"#,##0.#######")</f>
        <v>1,843,099.5</v>
      </c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  <c r="CH418" s="79"/>
      <c r="CI418" s="79"/>
      <c r="CJ418" s="79"/>
      <c r="CK418" s="79"/>
      <c r="CL418" s="79"/>
      <c r="CM418" s="79"/>
      <c r="CN418" s="79"/>
      <c r="CO418" s="79"/>
      <c r="CP418" s="79"/>
      <c r="CQ418" s="79"/>
      <c r="CR418" s="79"/>
      <c r="CS418" s="79"/>
      <c r="CT418" s="79"/>
      <c r="CU418" s="79"/>
      <c r="CV418" s="79"/>
      <c r="CW418" s="79"/>
      <c r="CX418" s="85">
        <f>CY418+CZ418+DA418</f>
        <v>1843099.5</v>
      </c>
      <c r="CY418" s="85" t="str">
        <f>TEXT(BQ415,"#,###.0")</f>
        <v>1,161,049.1</v>
      </c>
      <c r="CZ418" s="85" t="str">
        <f>TEXT(CA416,"#,###.0")</f>
        <v>341,447.2</v>
      </c>
      <c r="DA418" s="86" t="str">
        <f>TEXT(BR417,"#,###.0")</f>
        <v>340,603.2</v>
      </c>
      <c r="DB418" s="84"/>
    </row>
    <row r="419" spans="2:106" ht="11.25" customHeight="1">
      <c r="B419" s="78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  <c r="CH419" s="79"/>
      <c r="CI419" s="79"/>
      <c r="CJ419" s="79"/>
      <c r="CK419" s="79"/>
      <c r="CL419" s="79"/>
      <c r="CM419" s="79"/>
      <c r="CN419" s="79"/>
      <c r="CO419" s="79"/>
      <c r="CP419" s="79"/>
      <c r="CQ419" s="79"/>
      <c r="CR419" s="79"/>
      <c r="CS419" s="79"/>
      <c r="CT419" s="79"/>
      <c r="CU419" s="79"/>
      <c r="CV419" s="79"/>
      <c r="CW419" s="79"/>
      <c r="CX419" s="85"/>
      <c r="CY419" s="85"/>
      <c r="CZ419" s="85"/>
      <c r="DA419" s="86"/>
      <c r="DB419" s="84"/>
    </row>
    <row r="420" spans="2:106" ht="11.25" customHeight="1">
      <c r="B420" s="78"/>
      <c r="C420" s="79"/>
      <c r="D420" s="79" t="s">
        <v>594</v>
      </c>
      <c r="E420" s="79"/>
      <c r="F420" s="79"/>
      <c r="G420" s="79" t="s">
        <v>420</v>
      </c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  <c r="CH420" s="79"/>
      <c r="CI420" s="79"/>
      <c r="CJ420" s="79"/>
      <c r="CK420" s="79"/>
      <c r="CL420" s="79"/>
      <c r="CM420" s="79"/>
      <c r="CN420" s="79"/>
      <c r="CO420" s="79"/>
      <c r="CP420" s="79"/>
      <c r="CQ420" s="79"/>
      <c r="CR420" s="79"/>
      <c r="CS420" s="79"/>
      <c r="CT420" s="79"/>
      <c r="CU420" s="79"/>
      <c r="CV420" s="79"/>
      <c r="CW420" s="79"/>
      <c r="CX420" s="85"/>
      <c r="CY420" s="85"/>
      <c r="CZ420" s="85"/>
      <c r="DA420" s="86"/>
      <c r="DB420" s="84"/>
    </row>
    <row r="421" spans="2:106" ht="11.25" customHeight="1">
      <c r="B421" s="78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  <c r="CH421" s="79"/>
      <c r="CI421" s="79"/>
      <c r="CJ421" s="79"/>
      <c r="CK421" s="79"/>
      <c r="CL421" s="79"/>
      <c r="CM421" s="79"/>
      <c r="CN421" s="79"/>
      <c r="CO421" s="79"/>
      <c r="CP421" s="79"/>
      <c r="CQ421" s="79"/>
      <c r="CR421" s="79"/>
      <c r="CS421" s="79"/>
      <c r="CT421" s="79"/>
      <c r="CU421" s="79"/>
      <c r="CV421" s="79"/>
      <c r="CW421" s="79"/>
      <c r="CX421" s="85"/>
      <c r="CY421" s="85"/>
      <c r="CZ421" s="85"/>
      <c r="DA421" s="86"/>
      <c r="DB421" s="84"/>
    </row>
    <row r="422" spans="2:106" ht="11.25" customHeight="1">
      <c r="B422" s="78"/>
      <c r="C422" s="79"/>
      <c r="D422" s="79"/>
      <c r="E422" s="79" t="s">
        <v>614</v>
      </c>
      <c r="F422" s="79"/>
      <c r="G422" s="79" t="s">
        <v>587</v>
      </c>
      <c r="H422" s="79"/>
      <c r="I422" s="79" t="s">
        <v>544</v>
      </c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 t="s">
        <v>196</v>
      </c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  <c r="CH422" s="79"/>
      <c r="CI422" s="79"/>
      <c r="CJ422" s="79"/>
      <c r="CK422" s="79"/>
      <c r="CL422" s="79"/>
      <c r="CM422" s="79"/>
      <c r="CN422" s="79"/>
      <c r="CO422" s="79"/>
      <c r="CP422" s="79"/>
      <c r="CQ422" s="79"/>
      <c r="CR422" s="79"/>
      <c r="CS422" s="79"/>
      <c r="CT422" s="79"/>
      <c r="CU422" s="79"/>
      <c r="CV422" s="79"/>
      <c r="CW422" s="79"/>
      <c r="CX422" s="85"/>
      <c r="CY422" s="85"/>
      <c r="CZ422" s="85"/>
      <c r="DA422" s="86"/>
      <c r="DB422" s="84"/>
    </row>
    <row r="423" spans="2:106" ht="11.25" customHeight="1">
      <c r="B423" s="78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  <c r="CH423" s="79"/>
      <c r="CI423" s="79"/>
      <c r="CJ423" s="79"/>
      <c r="CK423" s="79"/>
      <c r="CL423" s="79"/>
      <c r="CM423" s="79"/>
      <c r="CN423" s="79"/>
      <c r="CO423" s="79"/>
      <c r="CP423" s="79"/>
      <c r="CQ423" s="79"/>
      <c r="CR423" s="79"/>
      <c r="CS423" s="79"/>
      <c r="CT423" s="79"/>
      <c r="CU423" s="79"/>
      <c r="CV423" s="79"/>
      <c r="CW423" s="79"/>
      <c r="CX423" s="85"/>
      <c r="CY423" s="85"/>
      <c r="CZ423" s="85"/>
      <c r="DA423" s="86"/>
      <c r="DB423" s="84"/>
    </row>
    <row r="424" spans="2:106" ht="11.25" customHeight="1">
      <c r="B424" s="78"/>
      <c r="C424" s="79"/>
      <c r="D424" s="79"/>
      <c r="E424" s="79"/>
      <c r="F424" s="79"/>
      <c r="G424" s="79" t="s">
        <v>546</v>
      </c>
      <c r="H424" s="79"/>
      <c r="I424" s="79" t="s">
        <v>309</v>
      </c>
      <c r="J424" s="79"/>
      <c r="K424" s="79" t="str">
        <f>TEXT(25,"#,##0.#######")</f>
        <v>25.</v>
      </c>
      <c r="L424" s="79"/>
      <c r="M424" s="79" t="s">
        <v>434</v>
      </c>
      <c r="N424" s="79"/>
      <c r="O424" s="79" t="s">
        <v>123</v>
      </c>
      <c r="P424" s="79" t="s">
        <v>598</v>
      </c>
      <c r="Q424" s="79"/>
      <c r="R424" s="79"/>
      <c r="S424" s="79"/>
      <c r="T424" s="79"/>
      <c r="U424" s="79"/>
      <c r="V424" s="79" t="s">
        <v>342</v>
      </c>
      <c r="W424" s="79"/>
      <c r="X424" s="79" t="s">
        <v>309</v>
      </c>
      <c r="Y424" s="79"/>
      <c r="Z424" s="79" t="str">
        <f>TEXT(0.9,"#,##0.#######")</f>
        <v>0.9</v>
      </c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  <c r="CH424" s="79"/>
      <c r="CI424" s="79"/>
      <c r="CJ424" s="79"/>
      <c r="CK424" s="79"/>
      <c r="CL424" s="79"/>
      <c r="CM424" s="79"/>
      <c r="CN424" s="79"/>
      <c r="CO424" s="79"/>
      <c r="CP424" s="79"/>
      <c r="CQ424" s="79"/>
      <c r="CR424" s="79"/>
      <c r="CS424" s="79"/>
      <c r="CT424" s="79"/>
      <c r="CU424" s="79"/>
      <c r="CV424" s="79"/>
      <c r="CW424" s="79"/>
      <c r="CX424" s="85"/>
      <c r="CY424" s="85"/>
      <c r="CZ424" s="85"/>
      <c r="DA424" s="86"/>
      <c r="DB424" s="84"/>
    </row>
    <row r="425" spans="2:106" ht="11.25" customHeight="1">
      <c r="B425" s="78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  <c r="CH425" s="79"/>
      <c r="CI425" s="79"/>
      <c r="CJ425" s="79"/>
      <c r="CK425" s="79"/>
      <c r="CL425" s="79"/>
      <c r="CM425" s="79"/>
      <c r="CN425" s="79"/>
      <c r="CO425" s="79"/>
      <c r="CP425" s="79"/>
      <c r="CQ425" s="79"/>
      <c r="CR425" s="79"/>
      <c r="CS425" s="79"/>
      <c r="CT425" s="79"/>
      <c r="CU425" s="79"/>
      <c r="CV425" s="79"/>
      <c r="CW425" s="79"/>
      <c r="CX425" s="85"/>
      <c r="CY425" s="85"/>
      <c r="CZ425" s="85"/>
      <c r="DA425" s="86"/>
      <c r="DB425" s="84"/>
    </row>
    <row r="426" spans="2:106" ht="11.25" customHeight="1">
      <c r="B426" s="78"/>
      <c r="C426" s="79"/>
      <c r="D426" s="79"/>
      <c r="E426" s="79"/>
      <c r="F426" s="79"/>
      <c r="G426" s="79" t="s">
        <v>103</v>
      </c>
      <c r="H426" s="79"/>
      <c r="I426" s="79"/>
      <c r="J426" s="79" t="s">
        <v>309</v>
      </c>
      <c r="K426" s="79"/>
      <c r="L426" s="79" t="s">
        <v>431</v>
      </c>
      <c r="M426" s="79" t="s">
        <v>652</v>
      </c>
      <c r="N426" s="79" t="s">
        <v>123</v>
      </c>
      <c r="O426" s="79" t="s">
        <v>546</v>
      </c>
      <c r="P426" s="79" t="s">
        <v>89</v>
      </c>
      <c r="Q426" s="79" t="s">
        <v>699</v>
      </c>
      <c r="R426" s="79"/>
      <c r="S426" s="79" t="str">
        <f>TEXT(2,"#,##0.#######")</f>
        <v>2.</v>
      </c>
      <c r="T426" s="79" t="s">
        <v>699</v>
      </c>
      <c r="U426" s="79"/>
      <c r="V426" s="79" t="str">
        <f>TEXT(60,"#,##0.#######")</f>
        <v>60.</v>
      </c>
      <c r="W426" s="79"/>
      <c r="X426" s="79"/>
      <c r="Y426" s="79" t="s">
        <v>309</v>
      </c>
      <c r="Z426" s="79"/>
      <c r="AA426" s="79" t="s">
        <v>431</v>
      </c>
      <c r="AB426" s="79" t="str">
        <f>TEXT(V378,"#,##0.#######")</f>
        <v>16.</v>
      </c>
      <c r="AC426" s="79"/>
      <c r="AD426" s="79" t="s">
        <v>123</v>
      </c>
      <c r="AE426" s="79" t="str">
        <f>TEXT(K424,"#,##0.#######")</f>
        <v>25.</v>
      </c>
      <c r="AF426" s="79"/>
      <c r="AG426" s="79" t="s">
        <v>89</v>
      </c>
      <c r="AH426" s="79" t="s">
        <v>699</v>
      </c>
      <c r="AI426" s="79"/>
      <c r="AJ426" s="79" t="str">
        <f>TEXT(S426,"#,##0.#######")</f>
        <v>2.</v>
      </c>
      <c r="AK426" s="79" t="s">
        <v>699</v>
      </c>
      <c r="AL426" s="79"/>
      <c r="AM426" s="79" t="str">
        <f>TEXT(V426,"#,##0.#######")</f>
        <v>60.</v>
      </c>
      <c r="AN426" s="79"/>
      <c r="AO426" s="79"/>
      <c r="AP426" s="79" t="s">
        <v>309</v>
      </c>
      <c r="AQ426" s="79"/>
      <c r="AR426" s="79" t="str">
        <f>TEXT(ROUND((V378/K424)*S426*V426,2),"#,##0.#######")</f>
        <v>76.8</v>
      </c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  <c r="CH426" s="79"/>
      <c r="CI426" s="79"/>
      <c r="CJ426" s="79"/>
      <c r="CK426" s="79"/>
      <c r="CL426" s="79"/>
      <c r="CM426" s="79"/>
      <c r="CN426" s="79"/>
      <c r="CO426" s="79"/>
      <c r="CP426" s="79"/>
      <c r="CQ426" s="79"/>
      <c r="CR426" s="79"/>
      <c r="CS426" s="79"/>
      <c r="CT426" s="79"/>
      <c r="CU426" s="79"/>
      <c r="CV426" s="79"/>
      <c r="CW426" s="79"/>
      <c r="CX426" s="85"/>
      <c r="CY426" s="85"/>
      <c r="CZ426" s="85"/>
      <c r="DA426" s="86"/>
      <c r="DB426" s="84"/>
    </row>
    <row r="427" spans="2:106" ht="11.25" customHeight="1">
      <c r="B427" s="78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  <c r="CH427" s="79"/>
      <c r="CI427" s="79"/>
      <c r="CJ427" s="79"/>
      <c r="CK427" s="79"/>
      <c r="CL427" s="79"/>
      <c r="CM427" s="79"/>
      <c r="CN427" s="79"/>
      <c r="CO427" s="79"/>
      <c r="CP427" s="79"/>
      <c r="CQ427" s="79"/>
      <c r="CR427" s="79"/>
      <c r="CS427" s="79"/>
      <c r="CT427" s="79"/>
      <c r="CU427" s="79"/>
      <c r="CV427" s="79"/>
      <c r="CW427" s="79"/>
      <c r="CX427" s="85"/>
      <c r="CY427" s="85"/>
      <c r="CZ427" s="85"/>
      <c r="DA427" s="86"/>
      <c r="DB427" s="84"/>
    </row>
    <row r="428" spans="2:106" ht="11.25" customHeight="1">
      <c r="B428" s="78"/>
      <c r="C428" s="79"/>
      <c r="D428" s="79"/>
      <c r="E428" s="79"/>
      <c r="F428" s="79"/>
      <c r="G428" s="79" t="s">
        <v>49</v>
      </c>
      <c r="H428" s="79"/>
      <c r="I428" s="79" t="s">
        <v>309</v>
      </c>
      <c r="J428" s="79"/>
      <c r="K428" s="79" t="s">
        <v>431</v>
      </c>
      <c r="L428" s="79" t="str">
        <f>TEXT(60,"#,##0.#######")</f>
        <v>60.</v>
      </c>
      <c r="M428" s="79"/>
      <c r="N428" s="79" t="s">
        <v>699</v>
      </c>
      <c r="O428" s="79"/>
      <c r="P428" s="79" t="s">
        <v>342</v>
      </c>
      <c r="Q428" s="79" t="s">
        <v>89</v>
      </c>
      <c r="R428" s="79"/>
      <c r="S428" s="79" t="s">
        <v>123</v>
      </c>
      <c r="T428" s="79"/>
      <c r="U428" s="79" t="s">
        <v>103</v>
      </c>
      <c r="V428" s="79"/>
      <c r="W428" s="79"/>
      <c r="X428" s="79" t="s">
        <v>309</v>
      </c>
      <c r="Y428" s="79"/>
      <c r="Z428" s="79" t="s">
        <v>431</v>
      </c>
      <c r="AA428" s="79" t="str">
        <f>TEXT(L428,"#,##0.#######")</f>
        <v>60.</v>
      </c>
      <c r="AB428" s="79"/>
      <c r="AC428" s="79" t="s">
        <v>699</v>
      </c>
      <c r="AD428" s="79"/>
      <c r="AE428" s="79" t="str">
        <f>TEXT(Z424,"#,##0.#######")</f>
        <v>0.9</v>
      </c>
      <c r="AF428" s="79"/>
      <c r="AG428" s="79"/>
      <c r="AH428" s="79" t="s">
        <v>89</v>
      </c>
      <c r="AI428" s="79"/>
      <c r="AJ428" s="79" t="s">
        <v>123</v>
      </c>
      <c r="AK428" s="79"/>
      <c r="AL428" s="79" t="str">
        <f>TEXT(AR426,"#,##0.#######")</f>
        <v>76.8</v>
      </c>
      <c r="AM428" s="79"/>
      <c r="AN428" s="79"/>
      <c r="AO428" s="79"/>
      <c r="AP428" s="79"/>
      <c r="AQ428" s="79" t="s">
        <v>309</v>
      </c>
      <c r="AR428" s="79"/>
      <c r="AS428" s="79" t="str">
        <f>TEXT(ROUND((L428*Z424)/AR426,2),"#,##0.#######")</f>
        <v>0.7</v>
      </c>
      <c r="AT428" s="79"/>
      <c r="AU428" s="79"/>
      <c r="AV428" s="79"/>
      <c r="AW428" s="79"/>
      <c r="AX428" s="79"/>
      <c r="AY428" s="79" t="s">
        <v>521</v>
      </c>
      <c r="AZ428" s="79"/>
      <c r="BA428" s="79" t="s">
        <v>123</v>
      </c>
      <c r="BB428" s="79" t="s">
        <v>598</v>
      </c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  <c r="CH428" s="79"/>
      <c r="CI428" s="79"/>
      <c r="CJ428" s="79"/>
      <c r="CK428" s="79"/>
      <c r="CL428" s="79"/>
      <c r="CM428" s="79"/>
      <c r="CN428" s="79"/>
      <c r="CO428" s="79"/>
      <c r="CP428" s="79"/>
      <c r="CQ428" s="79"/>
      <c r="CR428" s="79"/>
      <c r="CS428" s="79"/>
      <c r="CT428" s="79"/>
      <c r="CU428" s="79"/>
      <c r="CV428" s="79"/>
      <c r="CW428" s="79"/>
      <c r="CX428" s="85"/>
      <c r="CY428" s="85"/>
      <c r="CZ428" s="85"/>
      <c r="DA428" s="86"/>
      <c r="DB428" s="84"/>
    </row>
    <row r="429" spans="2:106" ht="11.25" customHeight="1">
      <c r="B429" s="78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  <c r="CH429" s="79"/>
      <c r="CI429" s="79"/>
      <c r="CJ429" s="79"/>
      <c r="CK429" s="79"/>
      <c r="CL429" s="79"/>
      <c r="CM429" s="79"/>
      <c r="CN429" s="79"/>
      <c r="CO429" s="79"/>
      <c r="CP429" s="79"/>
      <c r="CQ429" s="79"/>
      <c r="CR429" s="79"/>
      <c r="CS429" s="79"/>
      <c r="CT429" s="79"/>
      <c r="CU429" s="79"/>
      <c r="CV429" s="79"/>
      <c r="CW429" s="79"/>
      <c r="CX429" s="85"/>
      <c r="CY429" s="85"/>
      <c r="CZ429" s="85"/>
      <c r="DA429" s="86"/>
      <c r="DB429" s="84"/>
    </row>
    <row r="430" spans="2:106" ht="11.25" customHeight="1">
      <c r="B430" s="78"/>
      <c r="C430" s="79"/>
      <c r="D430" s="79"/>
      <c r="E430" s="79"/>
      <c r="F430" s="79"/>
      <c r="G430" s="79" t="s">
        <v>700</v>
      </c>
      <c r="H430" s="79"/>
      <c r="I430" s="79"/>
      <c r="J430" s="79"/>
      <c r="K430" s="79"/>
      <c r="L430" s="79"/>
      <c r="M430" s="79"/>
      <c r="N430" s="79" t="s">
        <v>604</v>
      </c>
      <c r="O430" s="79"/>
      <c r="P430" s="79" t="str">
        <f>TEXT(기계경비총괄표!G17,"#,##0")</f>
        <v>59,020</v>
      </c>
      <c r="Q430" s="79"/>
      <c r="R430" s="79"/>
      <c r="S430" s="79"/>
      <c r="T430" s="79"/>
      <c r="U430" s="79"/>
      <c r="V430" s="79"/>
      <c r="W430" s="79"/>
      <c r="X430" s="79"/>
      <c r="Y430" s="79" t="s">
        <v>391</v>
      </c>
      <c r="Z430" s="79"/>
      <c r="AA430" s="79"/>
      <c r="AB430" s="79" t="str">
        <f>TEXT(AS428,"#,##0.#######")</f>
        <v>0.7</v>
      </c>
      <c r="AC430" s="79"/>
      <c r="AD430" s="79"/>
      <c r="AE430" s="79"/>
      <c r="AF430" s="79"/>
      <c r="AG430" s="79"/>
      <c r="AH430" s="79" t="s">
        <v>309</v>
      </c>
      <c r="AI430" s="79"/>
      <c r="AJ430" s="79" t="str">
        <f>TEXT(TRUNC(P430/AS428,1),"#,##0.#")</f>
        <v>84,314.2</v>
      </c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  <c r="CH430" s="79"/>
      <c r="CI430" s="79"/>
      <c r="CJ430" s="79"/>
      <c r="CK430" s="79"/>
      <c r="CL430" s="79"/>
      <c r="CM430" s="79"/>
      <c r="CN430" s="79"/>
      <c r="CO430" s="79"/>
      <c r="CP430" s="79"/>
      <c r="CQ430" s="79"/>
      <c r="CR430" s="79"/>
      <c r="CS430" s="79"/>
      <c r="CT430" s="79"/>
      <c r="CU430" s="79"/>
      <c r="CV430" s="79"/>
      <c r="CW430" s="79"/>
      <c r="CX430" s="85"/>
      <c r="CY430" s="85"/>
      <c r="CZ430" s="85"/>
      <c r="DA430" s="86"/>
      <c r="DB430" s="84"/>
    </row>
    <row r="431" spans="2:106" ht="11.25" customHeight="1">
      <c r="B431" s="78"/>
      <c r="C431" s="79"/>
      <c r="D431" s="79"/>
      <c r="E431" s="79"/>
      <c r="F431" s="79"/>
      <c r="G431" s="79" t="s">
        <v>498</v>
      </c>
      <c r="H431" s="79"/>
      <c r="I431" s="79"/>
      <c r="J431" s="79"/>
      <c r="K431" s="79"/>
      <c r="L431" s="79"/>
      <c r="M431" s="79"/>
      <c r="N431" s="79" t="s">
        <v>604</v>
      </c>
      <c r="O431" s="79"/>
      <c r="P431" s="79" t="str">
        <f>TEXT(기계경비총괄표!H17,"#,##0")</f>
        <v>30,984</v>
      </c>
      <c r="Q431" s="79"/>
      <c r="R431" s="79"/>
      <c r="S431" s="79"/>
      <c r="T431" s="79"/>
      <c r="U431" s="79"/>
      <c r="V431" s="79"/>
      <c r="W431" s="79"/>
      <c r="X431" s="79"/>
      <c r="Y431" s="79" t="s">
        <v>391</v>
      </c>
      <c r="Z431" s="79"/>
      <c r="AA431" s="79"/>
      <c r="AB431" s="79" t="str">
        <f>TEXT(AS428,"#,##0.#######")</f>
        <v>0.7</v>
      </c>
      <c r="AC431" s="79"/>
      <c r="AD431" s="79"/>
      <c r="AE431" s="79"/>
      <c r="AF431" s="79"/>
      <c r="AG431" s="79"/>
      <c r="AH431" s="79" t="s">
        <v>309</v>
      </c>
      <c r="AI431" s="79"/>
      <c r="AJ431" s="79" t="str">
        <f>TEXT(TRUNC(P431/AS428,1),"#,##0.#")</f>
        <v>44,262.8</v>
      </c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  <c r="CH431" s="79"/>
      <c r="CI431" s="79"/>
      <c r="CJ431" s="79"/>
      <c r="CK431" s="79"/>
      <c r="CL431" s="79"/>
      <c r="CM431" s="79"/>
      <c r="CN431" s="79"/>
      <c r="CO431" s="79"/>
      <c r="CP431" s="79"/>
      <c r="CQ431" s="79"/>
      <c r="CR431" s="79"/>
      <c r="CS431" s="79"/>
      <c r="CT431" s="79"/>
      <c r="CU431" s="79"/>
      <c r="CV431" s="79"/>
      <c r="CW431" s="79"/>
      <c r="CX431" s="85"/>
      <c r="CY431" s="85"/>
      <c r="CZ431" s="85"/>
      <c r="DA431" s="86"/>
      <c r="DB431" s="84"/>
    </row>
    <row r="432" spans="2:106" ht="11.25" customHeight="1">
      <c r="B432" s="78"/>
      <c r="C432" s="79"/>
      <c r="D432" s="79"/>
      <c r="E432" s="79"/>
      <c r="F432" s="79"/>
      <c r="G432" s="79" t="s">
        <v>160</v>
      </c>
      <c r="H432" s="79"/>
      <c r="I432" s="79"/>
      <c r="J432" s="79"/>
      <c r="K432" s="79" t="s">
        <v>440</v>
      </c>
      <c r="L432" s="79"/>
      <c r="M432" s="79"/>
      <c r="N432" s="79" t="s">
        <v>604</v>
      </c>
      <c r="O432" s="79"/>
      <c r="P432" s="79" t="str">
        <f>TEXT(기계경비총괄표!I17,"#,##0")</f>
        <v>46,851</v>
      </c>
      <c r="Q432" s="79"/>
      <c r="R432" s="79"/>
      <c r="S432" s="79"/>
      <c r="T432" s="79"/>
      <c r="U432" s="79"/>
      <c r="V432" s="79"/>
      <c r="W432" s="79"/>
      <c r="X432" s="79"/>
      <c r="Y432" s="79" t="s">
        <v>391</v>
      </c>
      <c r="Z432" s="79"/>
      <c r="AA432" s="79"/>
      <c r="AB432" s="79" t="str">
        <f>TEXT(AS428,"#,##0.#######")</f>
        <v>0.7</v>
      </c>
      <c r="AC432" s="79"/>
      <c r="AD432" s="79"/>
      <c r="AE432" s="79"/>
      <c r="AF432" s="79"/>
      <c r="AG432" s="79"/>
      <c r="AH432" s="79" t="s">
        <v>309</v>
      </c>
      <c r="AI432" s="79"/>
      <c r="AJ432" s="79" t="str">
        <f>TEXT(TRUNC(P432/AS428,1),"#,##0.#")</f>
        <v>66,930.</v>
      </c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  <c r="CH432" s="79"/>
      <c r="CI432" s="79"/>
      <c r="CJ432" s="79"/>
      <c r="CK432" s="79"/>
      <c r="CL432" s="79"/>
      <c r="CM432" s="79"/>
      <c r="CN432" s="79"/>
      <c r="CO432" s="79"/>
      <c r="CP432" s="79"/>
      <c r="CQ432" s="79"/>
      <c r="CR432" s="79"/>
      <c r="CS432" s="79"/>
      <c r="CT432" s="79"/>
      <c r="CU432" s="79"/>
      <c r="CV432" s="79"/>
      <c r="CW432" s="79"/>
      <c r="CX432" s="85"/>
      <c r="CY432" s="85"/>
      <c r="CZ432" s="85"/>
      <c r="DA432" s="86"/>
      <c r="DB432" s="84"/>
    </row>
    <row r="433" spans="2:106" ht="11.25" customHeight="1">
      <c r="B433" s="78"/>
      <c r="C433" s="79"/>
      <c r="D433" s="79"/>
      <c r="E433" s="79"/>
      <c r="F433" s="79"/>
      <c r="G433" s="79" t="s">
        <v>305</v>
      </c>
      <c r="H433" s="79"/>
      <c r="I433" s="79"/>
      <c r="J433" s="79"/>
      <c r="K433" s="79" t="s">
        <v>436</v>
      </c>
      <c r="L433" s="79"/>
      <c r="M433" s="79"/>
      <c r="N433" s="79" t="s">
        <v>604</v>
      </c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 t="str">
        <f>TEXT(AJ430+AJ431+AJ432,"#,##0.#######")</f>
        <v>195,507.</v>
      </c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  <c r="CH433" s="79"/>
      <c r="CI433" s="79"/>
      <c r="CJ433" s="79"/>
      <c r="CK433" s="79"/>
      <c r="CL433" s="79"/>
      <c r="CM433" s="79"/>
      <c r="CN433" s="79"/>
      <c r="CO433" s="79"/>
      <c r="CP433" s="79"/>
      <c r="CQ433" s="79"/>
      <c r="CR433" s="79"/>
      <c r="CS433" s="79"/>
      <c r="CT433" s="79"/>
      <c r="CU433" s="79"/>
      <c r="CV433" s="79"/>
      <c r="CW433" s="79"/>
      <c r="CX433" s="85">
        <f>CY433+CZ433+DA433</f>
        <v>195507</v>
      </c>
      <c r="CY433" s="85" t="str">
        <f>TEXT(AJ430,"#,###.0")</f>
        <v>84,314.2</v>
      </c>
      <c r="CZ433" s="85" t="str">
        <f>TEXT(AJ431,"#,###.0")</f>
        <v>44,262.8</v>
      </c>
      <c r="DA433" s="86" t="str">
        <f>TEXT(AJ432,"#,###.0")</f>
        <v>66,930.0</v>
      </c>
      <c r="DB433" s="84"/>
    </row>
    <row r="434" spans="2:106" ht="11.25" customHeight="1">
      <c r="B434" s="80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87"/>
      <c r="CY434" s="87"/>
      <c r="CZ434" s="87"/>
      <c r="DA434" s="88"/>
      <c r="DB434" s="84"/>
    </row>
    <row r="435" spans="2:106" ht="11.25" customHeight="1">
      <c r="B435" s="78"/>
      <c r="C435" s="79"/>
      <c r="D435" s="79"/>
      <c r="E435" s="79" t="s">
        <v>496</v>
      </c>
      <c r="F435" s="79"/>
      <c r="G435" s="79" t="s">
        <v>587</v>
      </c>
      <c r="H435" s="79"/>
      <c r="I435" s="79" t="s">
        <v>656</v>
      </c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 t="s">
        <v>361</v>
      </c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  <c r="CH435" s="79"/>
      <c r="CI435" s="79"/>
      <c r="CJ435" s="79"/>
      <c r="CK435" s="79"/>
      <c r="CL435" s="79"/>
      <c r="CM435" s="79"/>
      <c r="CN435" s="79"/>
      <c r="CO435" s="79"/>
      <c r="CP435" s="79"/>
      <c r="CQ435" s="79"/>
      <c r="CR435" s="79"/>
      <c r="CS435" s="79"/>
      <c r="CT435" s="79"/>
      <c r="CU435" s="79"/>
      <c r="CV435" s="79"/>
      <c r="CW435" s="79"/>
      <c r="CX435" s="85"/>
      <c r="CY435" s="85"/>
      <c r="CZ435" s="85"/>
      <c r="DA435" s="86"/>
      <c r="DB435" s="84"/>
    </row>
    <row r="436" spans="2:106" ht="11.25" customHeight="1">
      <c r="B436" s="78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  <c r="CH436" s="79"/>
      <c r="CI436" s="79"/>
      <c r="CJ436" s="79"/>
      <c r="CK436" s="79"/>
      <c r="CL436" s="79"/>
      <c r="CM436" s="79"/>
      <c r="CN436" s="79"/>
      <c r="CO436" s="79"/>
      <c r="CP436" s="79"/>
      <c r="CQ436" s="79"/>
      <c r="CR436" s="79"/>
      <c r="CS436" s="79"/>
      <c r="CT436" s="79"/>
      <c r="CU436" s="79"/>
      <c r="CV436" s="79"/>
      <c r="CW436" s="79"/>
      <c r="CX436" s="85"/>
      <c r="CY436" s="85"/>
      <c r="CZ436" s="85"/>
      <c r="DA436" s="86"/>
      <c r="DB436" s="84"/>
    </row>
    <row r="437" spans="2:106" ht="11.25" customHeight="1">
      <c r="B437" s="78"/>
      <c r="C437" s="79"/>
      <c r="D437" s="79"/>
      <c r="E437" s="79"/>
      <c r="F437" s="79"/>
      <c r="G437" s="79" t="s">
        <v>546</v>
      </c>
      <c r="H437" s="79"/>
      <c r="I437" s="79" t="s">
        <v>309</v>
      </c>
      <c r="J437" s="79"/>
      <c r="K437" s="79" t="str">
        <f>TEXT(40,"#,##0.#######")</f>
        <v>40.</v>
      </c>
      <c r="L437" s="79"/>
      <c r="M437" s="79" t="s">
        <v>434</v>
      </c>
      <c r="N437" s="79"/>
      <c r="O437" s="79" t="s">
        <v>123</v>
      </c>
      <c r="P437" s="79" t="s">
        <v>598</v>
      </c>
      <c r="Q437" s="79"/>
      <c r="R437" s="79"/>
      <c r="S437" s="79"/>
      <c r="T437" s="79"/>
      <c r="U437" s="79"/>
      <c r="V437" s="79" t="s">
        <v>342</v>
      </c>
      <c r="W437" s="79"/>
      <c r="X437" s="79" t="s">
        <v>309</v>
      </c>
      <c r="Y437" s="79"/>
      <c r="Z437" s="79" t="str">
        <f>TEXT(0.9,"#,##0.#######")</f>
        <v>0.9</v>
      </c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  <c r="CH437" s="79"/>
      <c r="CI437" s="79"/>
      <c r="CJ437" s="79"/>
      <c r="CK437" s="79"/>
      <c r="CL437" s="79"/>
      <c r="CM437" s="79"/>
      <c r="CN437" s="79"/>
      <c r="CO437" s="79"/>
      <c r="CP437" s="79"/>
      <c r="CQ437" s="79"/>
      <c r="CR437" s="79"/>
      <c r="CS437" s="79"/>
      <c r="CT437" s="79"/>
      <c r="CU437" s="79"/>
      <c r="CV437" s="79"/>
      <c r="CW437" s="79"/>
      <c r="CX437" s="85"/>
      <c r="CY437" s="85"/>
      <c r="CZ437" s="85"/>
      <c r="DA437" s="86"/>
      <c r="DB437" s="84"/>
    </row>
    <row r="438" spans="2:106" ht="11.25" customHeight="1">
      <c r="B438" s="78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  <c r="CH438" s="79"/>
      <c r="CI438" s="79"/>
      <c r="CJ438" s="79"/>
      <c r="CK438" s="79"/>
      <c r="CL438" s="79"/>
      <c r="CM438" s="79"/>
      <c r="CN438" s="79"/>
      <c r="CO438" s="79"/>
      <c r="CP438" s="79"/>
      <c r="CQ438" s="79"/>
      <c r="CR438" s="79"/>
      <c r="CS438" s="79"/>
      <c r="CT438" s="79"/>
      <c r="CU438" s="79"/>
      <c r="CV438" s="79"/>
      <c r="CW438" s="79"/>
      <c r="CX438" s="85"/>
      <c r="CY438" s="85"/>
      <c r="CZ438" s="85"/>
      <c r="DA438" s="86"/>
      <c r="DB438" s="84"/>
    </row>
    <row r="439" spans="2:106" ht="11.25" customHeight="1">
      <c r="B439" s="78"/>
      <c r="C439" s="79"/>
      <c r="D439" s="79"/>
      <c r="E439" s="79"/>
      <c r="F439" s="79"/>
      <c r="G439" s="79" t="s">
        <v>103</v>
      </c>
      <c r="H439" s="79"/>
      <c r="I439" s="79"/>
      <c r="J439" s="79" t="s">
        <v>309</v>
      </c>
      <c r="K439" s="79"/>
      <c r="L439" s="79" t="s">
        <v>431</v>
      </c>
      <c r="M439" s="79" t="s">
        <v>652</v>
      </c>
      <c r="N439" s="79" t="s">
        <v>123</v>
      </c>
      <c r="O439" s="79" t="s">
        <v>546</v>
      </c>
      <c r="P439" s="79" t="s">
        <v>89</v>
      </c>
      <c r="Q439" s="79" t="s">
        <v>699</v>
      </c>
      <c r="R439" s="79"/>
      <c r="S439" s="79" t="str">
        <f>TEXT(2,"#,##0.#######")</f>
        <v>2.</v>
      </c>
      <c r="T439" s="79" t="s">
        <v>699</v>
      </c>
      <c r="U439" s="79"/>
      <c r="V439" s="79" t="str">
        <f>TEXT(60,"#,##0.#######")</f>
        <v>60.</v>
      </c>
      <c r="W439" s="79"/>
      <c r="X439" s="79"/>
      <c r="Y439" s="79" t="s">
        <v>309</v>
      </c>
      <c r="Z439" s="79"/>
      <c r="AA439" s="79" t="s">
        <v>431</v>
      </c>
      <c r="AB439" s="79" t="str">
        <f>TEXT(V378,"#,##0.#######")</f>
        <v>16.</v>
      </c>
      <c r="AC439" s="79"/>
      <c r="AD439" s="79" t="s">
        <v>123</v>
      </c>
      <c r="AE439" s="79" t="str">
        <f>TEXT(K437,"#,##0.#######")</f>
        <v>40.</v>
      </c>
      <c r="AF439" s="79"/>
      <c r="AG439" s="79" t="s">
        <v>89</v>
      </c>
      <c r="AH439" s="79" t="s">
        <v>699</v>
      </c>
      <c r="AI439" s="79"/>
      <c r="AJ439" s="79" t="str">
        <f>TEXT(S439,"#,##0.#######")</f>
        <v>2.</v>
      </c>
      <c r="AK439" s="79" t="s">
        <v>699</v>
      </c>
      <c r="AL439" s="79"/>
      <c r="AM439" s="79" t="str">
        <f>TEXT(V439,"#,##0.#######")</f>
        <v>60.</v>
      </c>
      <c r="AN439" s="79"/>
      <c r="AO439" s="79"/>
      <c r="AP439" s="79" t="s">
        <v>309</v>
      </c>
      <c r="AQ439" s="79"/>
      <c r="AR439" s="79" t="str">
        <f>TEXT(ROUND((V378/K437)*S439*V439,2),"#,##0.#######")</f>
        <v>48.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  <c r="CH439" s="79"/>
      <c r="CI439" s="79"/>
      <c r="CJ439" s="79"/>
      <c r="CK439" s="79"/>
      <c r="CL439" s="79"/>
      <c r="CM439" s="79"/>
      <c r="CN439" s="79"/>
      <c r="CO439" s="79"/>
      <c r="CP439" s="79"/>
      <c r="CQ439" s="79"/>
      <c r="CR439" s="79"/>
      <c r="CS439" s="79"/>
      <c r="CT439" s="79"/>
      <c r="CU439" s="79"/>
      <c r="CV439" s="79"/>
      <c r="CW439" s="79"/>
      <c r="CX439" s="85"/>
      <c r="CY439" s="85"/>
      <c r="CZ439" s="85"/>
      <c r="DA439" s="86"/>
      <c r="DB439" s="84"/>
    </row>
    <row r="440" spans="2:106" ht="11.25" customHeight="1">
      <c r="B440" s="78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  <c r="CH440" s="79"/>
      <c r="CI440" s="79"/>
      <c r="CJ440" s="79"/>
      <c r="CK440" s="79"/>
      <c r="CL440" s="79"/>
      <c r="CM440" s="79"/>
      <c r="CN440" s="79"/>
      <c r="CO440" s="79"/>
      <c r="CP440" s="79"/>
      <c r="CQ440" s="79"/>
      <c r="CR440" s="79"/>
      <c r="CS440" s="79"/>
      <c r="CT440" s="79"/>
      <c r="CU440" s="79"/>
      <c r="CV440" s="79"/>
      <c r="CW440" s="79"/>
      <c r="CX440" s="85"/>
      <c r="CY440" s="85"/>
      <c r="CZ440" s="85"/>
      <c r="DA440" s="86"/>
      <c r="DB440" s="84"/>
    </row>
    <row r="441" spans="2:106" ht="11.25" customHeight="1">
      <c r="B441" s="78"/>
      <c r="C441" s="79"/>
      <c r="D441" s="79"/>
      <c r="E441" s="79"/>
      <c r="F441" s="79"/>
      <c r="G441" s="79" t="s">
        <v>49</v>
      </c>
      <c r="H441" s="79"/>
      <c r="I441" s="79" t="s">
        <v>309</v>
      </c>
      <c r="J441" s="79"/>
      <c r="K441" s="79" t="s">
        <v>431</v>
      </c>
      <c r="L441" s="79" t="str">
        <f>TEXT(60,"#,##0.#######")</f>
        <v>60.</v>
      </c>
      <c r="M441" s="79"/>
      <c r="N441" s="79" t="s">
        <v>699</v>
      </c>
      <c r="O441" s="79"/>
      <c r="P441" s="79" t="s">
        <v>342</v>
      </c>
      <c r="Q441" s="79" t="s">
        <v>89</v>
      </c>
      <c r="R441" s="79"/>
      <c r="S441" s="79" t="s">
        <v>123</v>
      </c>
      <c r="T441" s="79"/>
      <c r="U441" s="79" t="s">
        <v>103</v>
      </c>
      <c r="V441" s="79"/>
      <c r="W441" s="79"/>
      <c r="X441" s="79" t="s">
        <v>309</v>
      </c>
      <c r="Y441" s="79"/>
      <c r="Z441" s="79" t="s">
        <v>431</v>
      </c>
      <c r="AA441" s="79" t="str">
        <f>TEXT(L441,"#,##0.#######")</f>
        <v>60.</v>
      </c>
      <c r="AB441" s="79"/>
      <c r="AC441" s="79" t="s">
        <v>699</v>
      </c>
      <c r="AD441" s="79"/>
      <c r="AE441" s="79" t="str">
        <f>TEXT(Z437,"#,##0.#######")</f>
        <v>0.9</v>
      </c>
      <c r="AF441" s="79"/>
      <c r="AG441" s="79"/>
      <c r="AH441" s="79" t="s">
        <v>89</v>
      </c>
      <c r="AI441" s="79"/>
      <c r="AJ441" s="79" t="s">
        <v>123</v>
      </c>
      <c r="AK441" s="79"/>
      <c r="AL441" s="79" t="str">
        <f>TEXT(AR439,"#,##0.#######")</f>
        <v>48.</v>
      </c>
      <c r="AM441" s="79"/>
      <c r="AN441" s="79"/>
      <c r="AO441" s="79" t="s">
        <v>309</v>
      </c>
      <c r="AP441" s="79"/>
      <c r="AQ441" s="79" t="str">
        <f>TEXT(ROUND((L441*Z437)/AR439,2),"#,##0.#######")</f>
        <v>1.13</v>
      </c>
      <c r="AR441" s="79"/>
      <c r="AS441" s="79"/>
      <c r="AT441" s="79"/>
      <c r="AU441" s="79"/>
      <c r="AV441" s="79"/>
      <c r="AW441" s="79"/>
      <c r="AX441" s="79" t="s">
        <v>521</v>
      </c>
      <c r="AY441" s="79"/>
      <c r="AZ441" s="79" t="s">
        <v>123</v>
      </c>
      <c r="BA441" s="79" t="s">
        <v>598</v>
      </c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  <c r="CH441" s="79"/>
      <c r="CI441" s="79"/>
      <c r="CJ441" s="79"/>
      <c r="CK441" s="79"/>
      <c r="CL441" s="79"/>
      <c r="CM441" s="79"/>
      <c r="CN441" s="79"/>
      <c r="CO441" s="79"/>
      <c r="CP441" s="79"/>
      <c r="CQ441" s="79"/>
      <c r="CR441" s="79"/>
      <c r="CS441" s="79"/>
      <c r="CT441" s="79"/>
      <c r="CU441" s="79"/>
      <c r="CV441" s="79"/>
      <c r="CW441" s="79"/>
      <c r="CX441" s="85"/>
      <c r="CY441" s="85"/>
      <c r="CZ441" s="85"/>
      <c r="DA441" s="86"/>
      <c r="DB441" s="84"/>
    </row>
    <row r="442" spans="2:106" ht="11.25" customHeight="1">
      <c r="B442" s="78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  <c r="CH442" s="79"/>
      <c r="CI442" s="79"/>
      <c r="CJ442" s="79"/>
      <c r="CK442" s="79"/>
      <c r="CL442" s="79"/>
      <c r="CM442" s="79"/>
      <c r="CN442" s="79"/>
      <c r="CO442" s="79"/>
      <c r="CP442" s="79"/>
      <c r="CQ442" s="79"/>
      <c r="CR442" s="79"/>
      <c r="CS442" s="79"/>
      <c r="CT442" s="79"/>
      <c r="CU442" s="79"/>
      <c r="CV442" s="79"/>
      <c r="CW442" s="79"/>
      <c r="CX442" s="85"/>
      <c r="CY442" s="85"/>
      <c r="CZ442" s="85"/>
      <c r="DA442" s="86"/>
      <c r="DB442" s="84"/>
    </row>
    <row r="443" spans="2:106" ht="11.25" customHeight="1">
      <c r="B443" s="78"/>
      <c r="C443" s="79"/>
      <c r="D443" s="79"/>
      <c r="E443" s="79"/>
      <c r="F443" s="79"/>
      <c r="G443" s="79" t="s">
        <v>700</v>
      </c>
      <c r="H443" s="79"/>
      <c r="I443" s="79"/>
      <c r="J443" s="79"/>
      <c r="K443" s="79"/>
      <c r="L443" s="79"/>
      <c r="M443" s="79"/>
      <c r="N443" s="79" t="s">
        <v>604</v>
      </c>
      <c r="O443" s="79"/>
      <c r="P443" s="79" t="str">
        <f>TEXT(기계경비총괄표!G11,"#,##0")</f>
        <v>59,020</v>
      </c>
      <c r="Q443" s="79"/>
      <c r="R443" s="79"/>
      <c r="S443" s="79"/>
      <c r="T443" s="79"/>
      <c r="U443" s="79"/>
      <c r="V443" s="79"/>
      <c r="W443" s="79"/>
      <c r="X443" s="79"/>
      <c r="Y443" s="79" t="s">
        <v>391</v>
      </c>
      <c r="Z443" s="79"/>
      <c r="AA443" s="79"/>
      <c r="AB443" s="79" t="str">
        <f>TEXT(AQ441,"#,##0.#######")</f>
        <v>1.13</v>
      </c>
      <c r="AC443" s="79"/>
      <c r="AD443" s="79"/>
      <c r="AE443" s="79"/>
      <c r="AF443" s="79"/>
      <c r="AG443" s="79"/>
      <c r="AH443" s="79"/>
      <c r="AI443" s="79" t="s">
        <v>309</v>
      </c>
      <c r="AJ443" s="79"/>
      <c r="AK443" s="79" t="str">
        <f>TEXT(TRUNC(P443/AQ441,1),"#,##0.#")</f>
        <v>52,230.</v>
      </c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  <c r="CH443" s="79"/>
      <c r="CI443" s="79"/>
      <c r="CJ443" s="79"/>
      <c r="CK443" s="79"/>
      <c r="CL443" s="79"/>
      <c r="CM443" s="79"/>
      <c r="CN443" s="79"/>
      <c r="CO443" s="79"/>
      <c r="CP443" s="79"/>
      <c r="CQ443" s="79"/>
      <c r="CR443" s="79"/>
      <c r="CS443" s="79"/>
      <c r="CT443" s="79"/>
      <c r="CU443" s="79"/>
      <c r="CV443" s="79"/>
      <c r="CW443" s="79"/>
      <c r="CX443" s="85"/>
      <c r="CY443" s="85"/>
      <c r="CZ443" s="85"/>
      <c r="DA443" s="86"/>
      <c r="DB443" s="84"/>
    </row>
    <row r="444" spans="2:106" ht="11.25" customHeight="1">
      <c r="B444" s="78"/>
      <c r="C444" s="79"/>
      <c r="D444" s="79"/>
      <c r="E444" s="79"/>
      <c r="F444" s="79"/>
      <c r="G444" s="79" t="s">
        <v>498</v>
      </c>
      <c r="H444" s="79"/>
      <c r="I444" s="79"/>
      <c r="J444" s="79"/>
      <c r="K444" s="79"/>
      <c r="L444" s="79"/>
      <c r="M444" s="79"/>
      <c r="N444" s="79" t="s">
        <v>604</v>
      </c>
      <c r="O444" s="79"/>
      <c r="P444" s="79" t="str">
        <f>TEXT(기계경비총괄표!H11,"#,##0")</f>
        <v>18,748</v>
      </c>
      <c r="Q444" s="79"/>
      <c r="R444" s="79"/>
      <c r="S444" s="79"/>
      <c r="T444" s="79"/>
      <c r="U444" s="79"/>
      <c r="V444" s="79"/>
      <c r="W444" s="79"/>
      <c r="X444" s="79"/>
      <c r="Y444" s="79" t="s">
        <v>391</v>
      </c>
      <c r="Z444" s="79"/>
      <c r="AA444" s="79"/>
      <c r="AB444" s="79" t="str">
        <f>TEXT(AQ441,"#,##0.#######")</f>
        <v>1.13</v>
      </c>
      <c r="AC444" s="79"/>
      <c r="AD444" s="79"/>
      <c r="AE444" s="79"/>
      <c r="AF444" s="79"/>
      <c r="AG444" s="79"/>
      <c r="AH444" s="79"/>
      <c r="AI444" s="79" t="s">
        <v>309</v>
      </c>
      <c r="AJ444" s="79"/>
      <c r="AK444" s="79" t="str">
        <f>TEXT(TRUNC(P444/AQ441,1),"#,##0.#")</f>
        <v>16,591.1</v>
      </c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  <c r="CH444" s="79"/>
      <c r="CI444" s="79"/>
      <c r="CJ444" s="79"/>
      <c r="CK444" s="79"/>
      <c r="CL444" s="79"/>
      <c r="CM444" s="79"/>
      <c r="CN444" s="79"/>
      <c r="CO444" s="79"/>
      <c r="CP444" s="79"/>
      <c r="CQ444" s="79"/>
      <c r="CR444" s="79"/>
      <c r="CS444" s="79"/>
      <c r="CT444" s="79"/>
      <c r="CU444" s="79"/>
      <c r="CV444" s="79"/>
      <c r="CW444" s="79"/>
      <c r="CX444" s="85"/>
      <c r="CY444" s="85"/>
      <c r="CZ444" s="85"/>
      <c r="DA444" s="86"/>
      <c r="DB444" s="84"/>
    </row>
    <row r="445" spans="2:106" ht="11.25" customHeight="1">
      <c r="B445" s="78"/>
      <c r="C445" s="79"/>
      <c r="D445" s="79"/>
      <c r="E445" s="79"/>
      <c r="F445" s="79"/>
      <c r="G445" s="79" t="s">
        <v>160</v>
      </c>
      <c r="H445" s="79"/>
      <c r="I445" s="79"/>
      <c r="J445" s="79"/>
      <c r="K445" s="79" t="s">
        <v>440</v>
      </c>
      <c r="L445" s="79"/>
      <c r="M445" s="79"/>
      <c r="N445" s="79" t="s">
        <v>604</v>
      </c>
      <c r="O445" s="79"/>
      <c r="P445" s="79" t="str">
        <f>TEXT(기계경비총괄표!I11,"#,##0")</f>
        <v>16,470</v>
      </c>
      <c r="Q445" s="79"/>
      <c r="R445" s="79"/>
      <c r="S445" s="79"/>
      <c r="T445" s="79"/>
      <c r="U445" s="79"/>
      <c r="V445" s="79"/>
      <c r="W445" s="79"/>
      <c r="X445" s="79"/>
      <c r="Y445" s="79" t="s">
        <v>391</v>
      </c>
      <c r="Z445" s="79"/>
      <c r="AA445" s="79"/>
      <c r="AB445" s="79" t="str">
        <f>TEXT(AQ441,"#,##0.#######")</f>
        <v>1.13</v>
      </c>
      <c r="AC445" s="79"/>
      <c r="AD445" s="79"/>
      <c r="AE445" s="79"/>
      <c r="AF445" s="79"/>
      <c r="AG445" s="79"/>
      <c r="AH445" s="79"/>
      <c r="AI445" s="79" t="s">
        <v>309</v>
      </c>
      <c r="AJ445" s="79"/>
      <c r="AK445" s="79" t="str">
        <f>TEXT(TRUNC(P445/AQ441,1),"#,##0.#")</f>
        <v>14,575.2</v>
      </c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  <c r="CH445" s="79"/>
      <c r="CI445" s="79"/>
      <c r="CJ445" s="79"/>
      <c r="CK445" s="79"/>
      <c r="CL445" s="79"/>
      <c r="CM445" s="79"/>
      <c r="CN445" s="79"/>
      <c r="CO445" s="79"/>
      <c r="CP445" s="79"/>
      <c r="CQ445" s="79"/>
      <c r="CR445" s="79"/>
      <c r="CS445" s="79"/>
      <c r="CT445" s="79"/>
      <c r="CU445" s="79"/>
      <c r="CV445" s="79"/>
      <c r="CW445" s="79"/>
      <c r="CX445" s="85"/>
      <c r="CY445" s="85"/>
      <c r="CZ445" s="85"/>
      <c r="DA445" s="86"/>
      <c r="DB445" s="84"/>
    </row>
    <row r="446" spans="2:106" ht="11.25" customHeight="1">
      <c r="B446" s="78"/>
      <c r="C446" s="79"/>
      <c r="D446" s="79"/>
      <c r="E446" s="79"/>
      <c r="F446" s="79"/>
      <c r="G446" s="79" t="s">
        <v>305</v>
      </c>
      <c r="H446" s="79"/>
      <c r="I446" s="79"/>
      <c r="J446" s="79"/>
      <c r="K446" s="79" t="s">
        <v>436</v>
      </c>
      <c r="L446" s="79"/>
      <c r="M446" s="79"/>
      <c r="N446" s="79" t="s">
        <v>604</v>
      </c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 t="str">
        <f>TEXT(AK443+AK444+AK445,"#,##0.#######")</f>
        <v>83,396.3</v>
      </c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  <c r="CH446" s="79"/>
      <c r="CI446" s="79"/>
      <c r="CJ446" s="79"/>
      <c r="CK446" s="79"/>
      <c r="CL446" s="79"/>
      <c r="CM446" s="79"/>
      <c r="CN446" s="79"/>
      <c r="CO446" s="79"/>
      <c r="CP446" s="79"/>
      <c r="CQ446" s="79"/>
      <c r="CR446" s="79"/>
      <c r="CS446" s="79"/>
      <c r="CT446" s="79"/>
      <c r="CU446" s="79"/>
      <c r="CV446" s="79"/>
      <c r="CW446" s="79"/>
      <c r="CX446" s="85">
        <f>CY446+CZ446+DA446</f>
        <v>83396.3</v>
      </c>
      <c r="CY446" s="85" t="str">
        <f>TEXT(AK443,"#,###.0")</f>
        <v>52,230.0</v>
      </c>
      <c r="CZ446" s="85" t="str">
        <f>TEXT(AK444,"#,###.0")</f>
        <v>16,591.1</v>
      </c>
      <c r="DA446" s="86" t="str">
        <f>TEXT(AK445,"#,###.0")</f>
        <v>14,575.2</v>
      </c>
      <c r="DB446" s="84"/>
    </row>
    <row r="447" spans="2:106" ht="11.25" customHeight="1">
      <c r="B447" s="78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  <c r="CH447" s="79"/>
      <c r="CI447" s="79"/>
      <c r="CJ447" s="79"/>
      <c r="CK447" s="79"/>
      <c r="CL447" s="79"/>
      <c r="CM447" s="79"/>
      <c r="CN447" s="79"/>
      <c r="CO447" s="79"/>
      <c r="CP447" s="79"/>
      <c r="CQ447" s="79"/>
      <c r="CR447" s="79"/>
      <c r="CS447" s="79"/>
      <c r="CT447" s="79"/>
      <c r="CU447" s="79"/>
      <c r="CV447" s="79"/>
      <c r="CW447" s="79"/>
      <c r="CX447" s="85"/>
      <c r="CY447" s="85"/>
      <c r="CZ447" s="85"/>
      <c r="DA447" s="86"/>
      <c r="DB447" s="84"/>
    </row>
    <row r="448" spans="2:106" ht="11.25" customHeight="1">
      <c r="B448" s="78"/>
      <c r="C448" s="79"/>
      <c r="D448" s="79"/>
      <c r="E448" s="79" t="s">
        <v>222</v>
      </c>
      <c r="F448" s="79"/>
      <c r="G448" s="79" t="s">
        <v>587</v>
      </c>
      <c r="H448" s="79"/>
      <c r="I448" s="79" t="s">
        <v>8</v>
      </c>
      <c r="J448" s="79"/>
      <c r="K448" s="79"/>
      <c r="L448" s="79"/>
      <c r="M448" s="79"/>
      <c r="N448" s="79"/>
      <c r="O448" s="79"/>
      <c r="P448" s="79"/>
      <c r="Q448" s="79"/>
      <c r="R448" s="79" t="s">
        <v>84</v>
      </c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  <c r="CH448" s="79"/>
      <c r="CI448" s="79"/>
      <c r="CJ448" s="79"/>
      <c r="CK448" s="79"/>
      <c r="CL448" s="79"/>
      <c r="CM448" s="79"/>
      <c r="CN448" s="79"/>
      <c r="CO448" s="79"/>
      <c r="CP448" s="79"/>
      <c r="CQ448" s="79"/>
      <c r="CR448" s="79"/>
      <c r="CS448" s="79"/>
      <c r="CT448" s="79"/>
      <c r="CU448" s="79"/>
      <c r="CV448" s="79"/>
      <c r="CW448" s="79"/>
      <c r="CX448" s="85"/>
      <c r="CY448" s="85"/>
      <c r="CZ448" s="85"/>
      <c r="DA448" s="86"/>
      <c r="DB448" s="84"/>
    </row>
    <row r="449" spans="2:106" ht="11.25" customHeight="1">
      <c r="B449" s="78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  <c r="CH449" s="79"/>
      <c r="CI449" s="79"/>
      <c r="CJ449" s="79"/>
      <c r="CK449" s="79"/>
      <c r="CL449" s="79"/>
      <c r="CM449" s="79"/>
      <c r="CN449" s="79"/>
      <c r="CO449" s="79"/>
      <c r="CP449" s="79"/>
      <c r="CQ449" s="79"/>
      <c r="CR449" s="79"/>
      <c r="CS449" s="79"/>
      <c r="CT449" s="79"/>
      <c r="CU449" s="79"/>
      <c r="CV449" s="79"/>
      <c r="CW449" s="79"/>
      <c r="CX449" s="85"/>
      <c r="CY449" s="85"/>
      <c r="CZ449" s="85"/>
      <c r="DA449" s="86"/>
      <c r="DB449" s="84"/>
    </row>
    <row r="450" spans="2:106" ht="11.25" customHeight="1">
      <c r="B450" s="78"/>
      <c r="C450" s="79"/>
      <c r="D450" s="79"/>
      <c r="E450" s="79"/>
      <c r="F450" s="79"/>
      <c r="G450" s="79" t="s">
        <v>546</v>
      </c>
      <c r="H450" s="79"/>
      <c r="I450" s="79" t="s">
        <v>309</v>
      </c>
      <c r="J450" s="79"/>
      <c r="K450" s="79" t="str">
        <f>TEXT(40,"#,##0.#######")</f>
        <v>40.</v>
      </c>
      <c r="L450" s="79"/>
      <c r="M450" s="79" t="s">
        <v>434</v>
      </c>
      <c r="N450" s="79"/>
      <c r="O450" s="79" t="s">
        <v>123</v>
      </c>
      <c r="P450" s="79" t="s">
        <v>598</v>
      </c>
      <c r="Q450" s="79"/>
      <c r="R450" s="79"/>
      <c r="S450" s="79"/>
      <c r="T450" s="79"/>
      <c r="U450" s="79"/>
      <c r="V450" s="79" t="s">
        <v>342</v>
      </c>
      <c r="W450" s="79"/>
      <c r="X450" s="79" t="s">
        <v>309</v>
      </c>
      <c r="Y450" s="79"/>
      <c r="Z450" s="79" t="str">
        <f>TEXT(0.9,"#,##0.#######")</f>
        <v>0.9</v>
      </c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  <c r="CH450" s="79"/>
      <c r="CI450" s="79"/>
      <c r="CJ450" s="79"/>
      <c r="CK450" s="79"/>
      <c r="CL450" s="79"/>
      <c r="CM450" s="79"/>
      <c r="CN450" s="79"/>
      <c r="CO450" s="79"/>
      <c r="CP450" s="79"/>
      <c r="CQ450" s="79"/>
      <c r="CR450" s="79"/>
      <c r="CS450" s="79"/>
      <c r="CT450" s="79"/>
      <c r="CU450" s="79"/>
      <c r="CV450" s="79"/>
      <c r="CW450" s="79"/>
      <c r="CX450" s="85"/>
      <c r="CY450" s="85"/>
      <c r="CZ450" s="85"/>
      <c r="DA450" s="86"/>
      <c r="DB450" s="84"/>
    </row>
    <row r="451" spans="2:106" ht="11.25" customHeight="1">
      <c r="B451" s="78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  <c r="CH451" s="79"/>
      <c r="CI451" s="79"/>
      <c r="CJ451" s="79"/>
      <c r="CK451" s="79"/>
      <c r="CL451" s="79"/>
      <c r="CM451" s="79"/>
      <c r="CN451" s="79"/>
      <c r="CO451" s="79"/>
      <c r="CP451" s="79"/>
      <c r="CQ451" s="79"/>
      <c r="CR451" s="79"/>
      <c r="CS451" s="79"/>
      <c r="CT451" s="79"/>
      <c r="CU451" s="79"/>
      <c r="CV451" s="79"/>
      <c r="CW451" s="79"/>
      <c r="CX451" s="85"/>
      <c r="CY451" s="85"/>
      <c r="CZ451" s="85"/>
      <c r="DA451" s="86"/>
      <c r="DB451" s="84"/>
    </row>
    <row r="452" spans="2:106" ht="11.25" customHeight="1">
      <c r="B452" s="78"/>
      <c r="C452" s="79"/>
      <c r="D452" s="79"/>
      <c r="E452" s="79"/>
      <c r="F452" s="79"/>
      <c r="G452" s="79" t="s">
        <v>103</v>
      </c>
      <c r="H452" s="79"/>
      <c r="I452" s="79"/>
      <c r="J452" s="79" t="s">
        <v>309</v>
      </c>
      <c r="K452" s="79"/>
      <c r="L452" s="79" t="s">
        <v>431</v>
      </c>
      <c r="M452" s="79" t="s">
        <v>652</v>
      </c>
      <c r="N452" s="79" t="s">
        <v>123</v>
      </c>
      <c r="O452" s="79" t="s">
        <v>546</v>
      </c>
      <c r="P452" s="79" t="s">
        <v>89</v>
      </c>
      <c r="Q452" s="79" t="s">
        <v>699</v>
      </c>
      <c r="R452" s="79"/>
      <c r="S452" s="79" t="str">
        <f>TEXT(2,"#,##0.#######")</f>
        <v>2.</v>
      </c>
      <c r="T452" s="79" t="s">
        <v>699</v>
      </c>
      <c r="U452" s="79"/>
      <c r="V452" s="79" t="str">
        <f>TEXT(60,"#,##0.#######")</f>
        <v>60.</v>
      </c>
      <c r="W452" s="79"/>
      <c r="X452" s="79"/>
      <c r="Y452" s="79" t="s">
        <v>309</v>
      </c>
      <c r="Z452" s="79"/>
      <c r="AA452" s="79" t="s">
        <v>431</v>
      </c>
      <c r="AB452" s="79" t="str">
        <f>TEXT(V378,"#,##0.#######")</f>
        <v>16.</v>
      </c>
      <c r="AC452" s="79"/>
      <c r="AD452" s="79" t="s">
        <v>123</v>
      </c>
      <c r="AE452" s="79" t="str">
        <f>TEXT(K450,"#,##0.#######")</f>
        <v>40.</v>
      </c>
      <c r="AF452" s="79"/>
      <c r="AG452" s="79" t="s">
        <v>89</v>
      </c>
      <c r="AH452" s="79" t="s">
        <v>699</v>
      </c>
      <c r="AI452" s="79"/>
      <c r="AJ452" s="79" t="str">
        <f>TEXT(S452,"#,##0.#######")</f>
        <v>2.</v>
      </c>
      <c r="AK452" s="79" t="s">
        <v>699</v>
      </c>
      <c r="AL452" s="79"/>
      <c r="AM452" s="79" t="str">
        <f>TEXT(V452,"#,##0.#######")</f>
        <v>60.</v>
      </c>
      <c r="AN452" s="79"/>
      <c r="AO452" s="79"/>
      <c r="AP452" s="79" t="s">
        <v>309</v>
      </c>
      <c r="AQ452" s="79"/>
      <c r="AR452" s="79" t="str">
        <f>TEXT(ROUND((V378/K450)*S452*V452,2),"#,##0.#######")</f>
        <v>48.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  <c r="CH452" s="79"/>
      <c r="CI452" s="79"/>
      <c r="CJ452" s="79"/>
      <c r="CK452" s="79"/>
      <c r="CL452" s="79"/>
      <c r="CM452" s="79"/>
      <c r="CN452" s="79"/>
      <c r="CO452" s="79"/>
      <c r="CP452" s="79"/>
      <c r="CQ452" s="79"/>
      <c r="CR452" s="79"/>
      <c r="CS452" s="79"/>
      <c r="CT452" s="79"/>
      <c r="CU452" s="79"/>
      <c r="CV452" s="79"/>
      <c r="CW452" s="79"/>
      <c r="CX452" s="85"/>
      <c r="CY452" s="85"/>
      <c r="CZ452" s="85"/>
      <c r="DA452" s="86"/>
      <c r="DB452" s="84"/>
    </row>
    <row r="453" spans="2:106" ht="11.25" customHeight="1">
      <c r="B453" s="78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  <c r="CH453" s="79"/>
      <c r="CI453" s="79"/>
      <c r="CJ453" s="79"/>
      <c r="CK453" s="79"/>
      <c r="CL453" s="79"/>
      <c r="CM453" s="79"/>
      <c r="CN453" s="79"/>
      <c r="CO453" s="79"/>
      <c r="CP453" s="79"/>
      <c r="CQ453" s="79"/>
      <c r="CR453" s="79"/>
      <c r="CS453" s="79"/>
      <c r="CT453" s="79"/>
      <c r="CU453" s="79"/>
      <c r="CV453" s="79"/>
      <c r="CW453" s="79"/>
      <c r="CX453" s="85"/>
      <c r="CY453" s="85"/>
      <c r="CZ453" s="85"/>
      <c r="DA453" s="86"/>
      <c r="DB453" s="84"/>
    </row>
    <row r="454" spans="2:106" ht="11.25" customHeight="1">
      <c r="B454" s="78"/>
      <c r="C454" s="79"/>
      <c r="D454" s="79"/>
      <c r="E454" s="79"/>
      <c r="F454" s="79"/>
      <c r="G454" s="79" t="s">
        <v>49</v>
      </c>
      <c r="H454" s="79"/>
      <c r="I454" s="79" t="s">
        <v>309</v>
      </c>
      <c r="J454" s="79"/>
      <c r="K454" s="79" t="s">
        <v>431</v>
      </c>
      <c r="L454" s="79" t="str">
        <f>TEXT(60,"#,##0.#######")</f>
        <v>60.</v>
      </c>
      <c r="M454" s="79"/>
      <c r="N454" s="79" t="s">
        <v>699</v>
      </c>
      <c r="O454" s="79"/>
      <c r="P454" s="79" t="s">
        <v>342</v>
      </c>
      <c r="Q454" s="79" t="s">
        <v>89</v>
      </c>
      <c r="R454" s="79"/>
      <c r="S454" s="79" t="s">
        <v>123</v>
      </c>
      <c r="T454" s="79"/>
      <c r="U454" s="79" t="s">
        <v>103</v>
      </c>
      <c r="V454" s="79"/>
      <c r="W454" s="79"/>
      <c r="X454" s="79" t="s">
        <v>309</v>
      </c>
      <c r="Y454" s="79"/>
      <c r="Z454" s="79" t="s">
        <v>431</v>
      </c>
      <c r="AA454" s="79" t="str">
        <f>TEXT(L454,"#,##0.#######")</f>
        <v>60.</v>
      </c>
      <c r="AB454" s="79"/>
      <c r="AC454" s="79" t="s">
        <v>699</v>
      </c>
      <c r="AD454" s="79"/>
      <c r="AE454" s="79" t="str">
        <f>TEXT(Z450,"#,##0.#######")</f>
        <v>0.9</v>
      </c>
      <c r="AF454" s="79"/>
      <c r="AG454" s="79"/>
      <c r="AH454" s="79" t="s">
        <v>89</v>
      </c>
      <c r="AI454" s="79"/>
      <c r="AJ454" s="79" t="s">
        <v>123</v>
      </c>
      <c r="AK454" s="79"/>
      <c r="AL454" s="79" t="str">
        <f>TEXT(AR452,"#,##0.#######")</f>
        <v>48.</v>
      </c>
      <c r="AM454" s="79"/>
      <c r="AN454" s="79"/>
      <c r="AO454" s="79" t="s">
        <v>309</v>
      </c>
      <c r="AP454" s="79"/>
      <c r="AQ454" s="79" t="str">
        <f>TEXT(ROUND((L454*Z450)/AR452,2),"#,##0.#######")</f>
        <v>1.13</v>
      </c>
      <c r="AR454" s="79"/>
      <c r="AS454" s="79"/>
      <c r="AT454" s="79"/>
      <c r="AU454" s="79"/>
      <c r="AV454" s="79"/>
      <c r="AW454" s="79"/>
      <c r="AX454" s="79" t="s">
        <v>521</v>
      </c>
      <c r="AY454" s="79"/>
      <c r="AZ454" s="79" t="s">
        <v>123</v>
      </c>
      <c r="BA454" s="79" t="s">
        <v>598</v>
      </c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  <c r="CH454" s="79"/>
      <c r="CI454" s="79"/>
      <c r="CJ454" s="79"/>
      <c r="CK454" s="79"/>
      <c r="CL454" s="79"/>
      <c r="CM454" s="79"/>
      <c r="CN454" s="79"/>
      <c r="CO454" s="79"/>
      <c r="CP454" s="79"/>
      <c r="CQ454" s="79"/>
      <c r="CR454" s="79"/>
      <c r="CS454" s="79"/>
      <c r="CT454" s="79"/>
      <c r="CU454" s="79"/>
      <c r="CV454" s="79"/>
      <c r="CW454" s="79"/>
      <c r="CX454" s="85"/>
      <c r="CY454" s="85"/>
      <c r="CZ454" s="85"/>
      <c r="DA454" s="86"/>
      <c r="DB454" s="84"/>
    </row>
    <row r="455" spans="2:106" ht="11.25" customHeight="1">
      <c r="B455" s="78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  <c r="CH455" s="79"/>
      <c r="CI455" s="79"/>
      <c r="CJ455" s="79"/>
      <c r="CK455" s="79"/>
      <c r="CL455" s="79"/>
      <c r="CM455" s="79"/>
      <c r="CN455" s="79"/>
      <c r="CO455" s="79"/>
      <c r="CP455" s="79"/>
      <c r="CQ455" s="79"/>
      <c r="CR455" s="79"/>
      <c r="CS455" s="79"/>
      <c r="CT455" s="79"/>
      <c r="CU455" s="79"/>
      <c r="CV455" s="79"/>
      <c r="CW455" s="79"/>
      <c r="CX455" s="85"/>
      <c r="CY455" s="85"/>
      <c r="CZ455" s="85"/>
      <c r="DA455" s="86"/>
      <c r="DB455" s="84"/>
    </row>
    <row r="456" spans="2:106" ht="11.25" customHeight="1">
      <c r="B456" s="78"/>
      <c r="C456" s="79"/>
      <c r="D456" s="79"/>
      <c r="E456" s="79"/>
      <c r="F456" s="79"/>
      <c r="G456" s="79" t="s">
        <v>700</v>
      </c>
      <c r="H456" s="79"/>
      <c r="I456" s="79"/>
      <c r="J456" s="79"/>
      <c r="K456" s="79"/>
      <c r="L456" s="79"/>
      <c r="M456" s="79"/>
      <c r="N456" s="79" t="s">
        <v>604</v>
      </c>
      <c r="O456" s="79"/>
      <c r="P456" s="79" t="str">
        <f>TEXT(기계경비총괄표!G12,"#,##0")</f>
        <v>49,778</v>
      </c>
      <c r="Q456" s="79"/>
      <c r="R456" s="79"/>
      <c r="S456" s="79"/>
      <c r="T456" s="79"/>
      <c r="U456" s="79"/>
      <c r="V456" s="79"/>
      <c r="W456" s="79"/>
      <c r="X456" s="79"/>
      <c r="Y456" s="79" t="s">
        <v>391</v>
      </c>
      <c r="Z456" s="79"/>
      <c r="AA456" s="79"/>
      <c r="AB456" s="79" t="str">
        <f>TEXT(AQ454,"#,##0.#######")</f>
        <v>1.13</v>
      </c>
      <c r="AC456" s="79"/>
      <c r="AD456" s="79"/>
      <c r="AE456" s="79"/>
      <c r="AF456" s="79"/>
      <c r="AG456" s="79"/>
      <c r="AH456" s="79"/>
      <c r="AI456" s="79" t="s">
        <v>309</v>
      </c>
      <c r="AJ456" s="79"/>
      <c r="AK456" s="79" t="str">
        <f>TEXT(TRUNC(P456/AQ454,1),"#,##0.#")</f>
        <v>44,051.3</v>
      </c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  <c r="CH456" s="79"/>
      <c r="CI456" s="79"/>
      <c r="CJ456" s="79"/>
      <c r="CK456" s="79"/>
      <c r="CL456" s="79"/>
      <c r="CM456" s="79"/>
      <c r="CN456" s="79"/>
      <c r="CO456" s="79"/>
      <c r="CP456" s="79"/>
      <c r="CQ456" s="79"/>
      <c r="CR456" s="79"/>
      <c r="CS456" s="79"/>
      <c r="CT456" s="79"/>
      <c r="CU456" s="79"/>
      <c r="CV456" s="79"/>
      <c r="CW456" s="79"/>
      <c r="CX456" s="85"/>
      <c r="CY456" s="85"/>
      <c r="CZ456" s="85"/>
      <c r="DA456" s="86"/>
      <c r="DB456" s="84"/>
    </row>
    <row r="457" spans="2:106" ht="11.25" customHeight="1">
      <c r="B457" s="78"/>
      <c r="C457" s="79"/>
      <c r="D457" s="79"/>
      <c r="E457" s="79"/>
      <c r="F457" s="79"/>
      <c r="G457" s="79" t="s">
        <v>498</v>
      </c>
      <c r="H457" s="79"/>
      <c r="I457" s="79"/>
      <c r="J457" s="79"/>
      <c r="K457" s="79"/>
      <c r="L457" s="79"/>
      <c r="M457" s="79"/>
      <c r="N457" s="79" t="s">
        <v>604</v>
      </c>
      <c r="O457" s="79"/>
      <c r="P457" s="79" t="str">
        <f>TEXT(기계경비총괄표!H12,"#,##0")</f>
        <v>23,075</v>
      </c>
      <c r="Q457" s="79"/>
      <c r="R457" s="79"/>
      <c r="S457" s="79"/>
      <c r="T457" s="79"/>
      <c r="U457" s="79"/>
      <c r="V457" s="79"/>
      <c r="W457" s="79"/>
      <c r="X457" s="79"/>
      <c r="Y457" s="79" t="s">
        <v>391</v>
      </c>
      <c r="Z457" s="79"/>
      <c r="AA457" s="79"/>
      <c r="AB457" s="79" t="str">
        <f>TEXT(AQ454,"#,##0.#######")</f>
        <v>1.13</v>
      </c>
      <c r="AC457" s="79"/>
      <c r="AD457" s="79"/>
      <c r="AE457" s="79"/>
      <c r="AF457" s="79"/>
      <c r="AG457" s="79"/>
      <c r="AH457" s="79"/>
      <c r="AI457" s="79" t="s">
        <v>309</v>
      </c>
      <c r="AJ457" s="79"/>
      <c r="AK457" s="79" t="str">
        <f>TEXT(TRUNC(P457/AQ454,1),"#,##0.#")</f>
        <v>20,420.3</v>
      </c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  <c r="CH457" s="79"/>
      <c r="CI457" s="79"/>
      <c r="CJ457" s="79"/>
      <c r="CK457" s="79"/>
      <c r="CL457" s="79"/>
      <c r="CM457" s="79"/>
      <c r="CN457" s="79"/>
      <c r="CO457" s="79"/>
      <c r="CP457" s="79"/>
      <c r="CQ457" s="79"/>
      <c r="CR457" s="79"/>
      <c r="CS457" s="79"/>
      <c r="CT457" s="79"/>
      <c r="CU457" s="79"/>
      <c r="CV457" s="79"/>
      <c r="CW457" s="79"/>
      <c r="CX457" s="85"/>
      <c r="CY457" s="85"/>
      <c r="CZ457" s="85"/>
      <c r="DA457" s="86"/>
      <c r="DB457" s="84"/>
    </row>
    <row r="458" spans="2:106" ht="11.25" customHeight="1">
      <c r="B458" s="78"/>
      <c r="C458" s="79"/>
      <c r="D458" s="79"/>
      <c r="E458" s="79"/>
      <c r="F458" s="79"/>
      <c r="G458" s="79" t="s">
        <v>160</v>
      </c>
      <c r="H458" s="79"/>
      <c r="I458" s="79"/>
      <c r="J458" s="79"/>
      <c r="K458" s="79" t="s">
        <v>440</v>
      </c>
      <c r="L458" s="79"/>
      <c r="M458" s="79"/>
      <c r="N458" s="79" t="s">
        <v>604</v>
      </c>
      <c r="O458" s="79"/>
      <c r="P458" s="79" t="str">
        <f>TEXT(기계경비총괄표!I12,"#,##0")</f>
        <v>19,154</v>
      </c>
      <c r="Q458" s="79"/>
      <c r="R458" s="79"/>
      <c r="S458" s="79"/>
      <c r="T458" s="79"/>
      <c r="U458" s="79"/>
      <c r="V458" s="79"/>
      <c r="W458" s="79"/>
      <c r="X458" s="79"/>
      <c r="Y458" s="79" t="s">
        <v>391</v>
      </c>
      <c r="Z458" s="79"/>
      <c r="AA458" s="79"/>
      <c r="AB458" s="79" t="str">
        <f>TEXT(AQ454,"#,##0.#######")</f>
        <v>1.13</v>
      </c>
      <c r="AC458" s="79"/>
      <c r="AD458" s="79"/>
      <c r="AE458" s="79"/>
      <c r="AF458" s="79"/>
      <c r="AG458" s="79"/>
      <c r="AH458" s="79"/>
      <c r="AI458" s="79" t="s">
        <v>309</v>
      </c>
      <c r="AJ458" s="79"/>
      <c r="AK458" s="79" t="str">
        <f>TEXT(TRUNC(P458/AQ454,1),"#,##0.#")</f>
        <v>16,950.4</v>
      </c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  <c r="CH458" s="79"/>
      <c r="CI458" s="79"/>
      <c r="CJ458" s="79"/>
      <c r="CK458" s="79"/>
      <c r="CL458" s="79"/>
      <c r="CM458" s="79"/>
      <c r="CN458" s="79"/>
      <c r="CO458" s="79"/>
      <c r="CP458" s="79"/>
      <c r="CQ458" s="79"/>
      <c r="CR458" s="79"/>
      <c r="CS458" s="79"/>
      <c r="CT458" s="79"/>
      <c r="CU458" s="79"/>
      <c r="CV458" s="79"/>
      <c r="CW458" s="79"/>
      <c r="CX458" s="85"/>
      <c r="CY458" s="85"/>
      <c r="CZ458" s="85"/>
      <c r="DA458" s="86"/>
      <c r="DB458" s="84"/>
    </row>
    <row r="459" spans="2:106" ht="11.25" customHeight="1">
      <c r="B459" s="78"/>
      <c r="C459" s="79"/>
      <c r="D459" s="79"/>
      <c r="E459" s="79"/>
      <c r="F459" s="79"/>
      <c r="G459" s="79" t="s">
        <v>305</v>
      </c>
      <c r="H459" s="79"/>
      <c r="I459" s="79"/>
      <c r="J459" s="79"/>
      <c r="K459" s="79" t="s">
        <v>436</v>
      </c>
      <c r="L459" s="79"/>
      <c r="M459" s="79"/>
      <c r="N459" s="79" t="s">
        <v>604</v>
      </c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 t="str">
        <f>TEXT(AK456+AK457+AK458,"#,##0.#######")</f>
        <v>81,422.</v>
      </c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  <c r="CH459" s="79"/>
      <c r="CI459" s="79"/>
      <c r="CJ459" s="79"/>
      <c r="CK459" s="79"/>
      <c r="CL459" s="79"/>
      <c r="CM459" s="79"/>
      <c r="CN459" s="79"/>
      <c r="CO459" s="79"/>
      <c r="CP459" s="79"/>
      <c r="CQ459" s="79"/>
      <c r="CR459" s="79"/>
      <c r="CS459" s="79"/>
      <c r="CT459" s="79"/>
      <c r="CU459" s="79"/>
      <c r="CV459" s="79"/>
      <c r="CW459" s="79"/>
      <c r="CX459" s="85">
        <f>CY459+CZ459+DA459</f>
        <v>81422</v>
      </c>
      <c r="CY459" s="85" t="str">
        <f>TEXT(AK456,"#,###.0")</f>
        <v>44,051.3</v>
      </c>
      <c r="CZ459" s="85" t="str">
        <f>TEXT(AK457,"#,###.0")</f>
        <v>20,420.3</v>
      </c>
      <c r="DA459" s="86" t="str">
        <f>TEXT(AK458,"#,###.0")</f>
        <v>16,950.4</v>
      </c>
      <c r="DB459" s="84"/>
    </row>
    <row r="460" spans="2:106" ht="11.25" customHeight="1">
      <c r="B460" s="78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  <c r="CH460" s="79"/>
      <c r="CI460" s="79"/>
      <c r="CJ460" s="79"/>
      <c r="CK460" s="79"/>
      <c r="CL460" s="79"/>
      <c r="CM460" s="79"/>
      <c r="CN460" s="79"/>
      <c r="CO460" s="79"/>
      <c r="CP460" s="79"/>
      <c r="CQ460" s="79"/>
      <c r="CR460" s="79"/>
      <c r="CS460" s="79"/>
      <c r="CT460" s="79"/>
      <c r="CU460" s="79"/>
      <c r="CV460" s="79"/>
      <c r="CW460" s="79"/>
      <c r="CX460" s="85"/>
      <c r="CY460" s="85"/>
      <c r="CZ460" s="85"/>
      <c r="DA460" s="86"/>
      <c r="DB460" s="84"/>
    </row>
    <row r="461" spans="2:106" ht="11.25" customHeight="1">
      <c r="B461" s="78"/>
      <c r="C461" s="79"/>
      <c r="D461" s="79"/>
      <c r="E461" s="79" t="s">
        <v>691</v>
      </c>
      <c r="F461" s="79"/>
      <c r="G461" s="79" t="s">
        <v>587</v>
      </c>
      <c r="H461" s="79"/>
      <c r="I461" s="79" t="s">
        <v>305</v>
      </c>
      <c r="J461" s="79"/>
      <c r="K461" s="79"/>
      <c r="L461" s="79"/>
      <c r="M461" s="79" t="s">
        <v>436</v>
      </c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  <c r="CH461" s="79"/>
      <c r="CI461" s="79"/>
      <c r="CJ461" s="79"/>
      <c r="CK461" s="79"/>
      <c r="CL461" s="79"/>
      <c r="CM461" s="79"/>
      <c r="CN461" s="79"/>
      <c r="CO461" s="79"/>
      <c r="CP461" s="79"/>
      <c r="CQ461" s="79"/>
      <c r="CR461" s="79"/>
      <c r="CS461" s="79"/>
      <c r="CT461" s="79"/>
      <c r="CU461" s="79"/>
      <c r="CV461" s="79"/>
      <c r="CW461" s="79"/>
      <c r="CX461" s="85"/>
      <c r="CY461" s="85"/>
      <c r="CZ461" s="85"/>
      <c r="DA461" s="86"/>
      <c r="DB461" s="84"/>
    </row>
    <row r="462" spans="2:106" ht="11.25" customHeight="1">
      <c r="B462" s="78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  <c r="CH462" s="79"/>
      <c r="CI462" s="79"/>
      <c r="CJ462" s="79"/>
      <c r="CK462" s="79"/>
      <c r="CL462" s="79"/>
      <c r="CM462" s="79"/>
      <c r="CN462" s="79"/>
      <c r="CO462" s="79"/>
      <c r="CP462" s="79"/>
      <c r="CQ462" s="79"/>
      <c r="CR462" s="79"/>
      <c r="CS462" s="79"/>
      <c r="CT462" s="79"/>
      <c r="CU462" s="79"/>
      <c r="CV462" s="79"/>
      <c r="CW462" s="79"/>
      <c r="CX462" s="85"/>
      <c r="CY462" s="85"/>
      <c r="CZ462" s="85"/>
      <c r="DA462" s="86"/>
      <c r="DB462" s="84"/>
    </row>
    <row r="463" spans="2:106" ht="11.25" customHeight="1">
      <c r="B463" s="78"/>
      <c r="C463" s="79"/>
      <c r="D463" s="79"/>
      <c r="E463" s="79"/>
      <c r="F463" s="79"/>
      <c r="G463" s="79"/>
      <c r="H463" s="79" t="s">
        <v>700</v>
      </c>
      <c r="I463" s="79"/>
      <c r="J463" s="79"/>
      <c r="K463" s="79"/>
      <c r="L463" s="79"/>
      <c r="M463" s="79"/>
      <c r="N463" s="79"/>
      <c r="O463" s="79" t="s">
        <v>604</v>
      </c>
      <c r="P463" s="79"/>
      <c r="Q463" s="79" t="str">
        <f>TEXT(CY433,"#,###.##")</f>
        <v>84,314.2</v>
      </c>
      <c r="R463" s="79"/>
      <c r="S463" s="79"/>
      <c r="T463" s="79"/>
      <c r="U463" s="79"/>
      <c r="V463" s="79"/>
      <c r="W463" s="79"/>
      <c r="X463" s="79"/>
      <c r="Y463" s="79"/>
      <c r="Z463" s="79" t="s">
        <v>148</v>
      </c>
      <c r="AA463" s="79"/>
      <c r="AB463" s="79" t="str">
        <f>TEXT(CY446,"#,###.##")</f>
        <v>52,230.</v>
      </c>
      <c r="AC463" s="79"/>
      <c r="AD463" s="79"/>
      <c r="AE463" s="79"/>
      <c r="AF463" s="79"/>
      <c r="AG463" s="79"/>
      <c r="AH463" s="79"/>
      <c r="AI463" s="79" t="s">
        <v>148</v>
      </c>
      <c r="AJ463" s="79"/>
      <c r="AK463" s="79" t="str">
        <f>TEXT(CY459,"#,###.##")</f>
        <v>44,051.3</v>
      </c>
      <c r="AL463" s="79"/>
      <c r="AM463" s="79"/>
      <c r="AN463" s="79"/>
      <c r="AO463" s="79"/>
      <c r="AP463" s="79"/>
      <c r="AQ463" s="79"/>
      <c r="AR463" s="79"/>
      <c r="AS463" s="79"/>
      <c r="AT463" s="79" t="s">
        <v>309</v>
      </c>
      <c r="AU463" s="79"/>
      <c r="AV463" s="79"/>
      <c r="AW463" s="79" t="str">
        <f>TEXT(TRUNC(CY433+CY446+CY459,1),"#,##0.#")</f>
        <v>180,595.5</v>
      </c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  <c r="CH463" s="79"/>
      <c r="CI463" s="79"/>
      <c r="CJ463" s="79"/>
      <c r="CK463" s="79"/>
      <c r="CL463" s="79"/>
      <c r="CM463" s="79"/>
      <c r="CN463" s="79"/>
      <c r="CO463" s="79"/>
      <c r="CP463" s="79"/>
      <c r="CQ463" s="79"/>
      <c r="CR463" s="79"/>
      <c r="CS463" s="79"/>
      <c r="CT463" s="79"/>
      <c r="CU463" s="79"/>
      <c r="CV463" s="79"/>
      <c r="CW463" s="79"/>
      <c r="CX463" s="85"/>
      <c r="CY463" s="85"/>
      <c r="CZ463" s="85"/>
      <c r="DA463" s="86"/>
      <c r="DB463" s="84"/>
    </row>
    <row r="464" spans="2:106" ht="11.25" customHeight="1">
      <c r="B464" s="78"/>
      <c r="C464" s="79"/>
      <c r="D464" s="79"/>
      <c r="E464" s="79"/>
      <c r="F464" s="79"/>
      <c r="G464" s="79"/>
      <c r="H464" s="79" t="s">
        <v>498</v>
      </c>
      <c r="I464" s="79"/>
      <c r="J464" s="79"/>
      <c r="K464" s="79"/>
      <c r="L464" s="79"/>
      <c r="M464" s="79"/>
      <c r="N464" s="79"/>
      <c r="O464" s="79" t="s">
        <v>604</v>
      </c>
      <c r="P464" s="79"/>
      <c r="Q464" s="79" t="str">
        <f>TEXT(CZ433,"#,###.##")</f>
        <v>44,262.8</v>
      </c>
      <c r="R464" s="79"/>
      <c r="S464" s="79"/>
      <c r="T464" s="79"/>
      <c r="U464" s="79"/>
      <c r="V464" s="79"/>
      <c r="W464" s="79"/>
      <c r="X464" s="79"/>
      <c r="Y464" s="79"/>
      <c r="Z464" s="79" t="s">
        <v>148</v>
      </c>
      <c r="AA464" s="79"/>
      <c r="AB464" s="79" t="str">
        <f>TEXT(CZ446,"#,###.##")</f>
        <v>16,591.1</v>
      </c>
      <c r="AC464" s="79"/>
      <c r="AD464" s="79"/>
      <c r="AE464" s="79"/>
      <c r="AF464" s="79"/>
      <c r="AG464" s="79"/>
      <c r="AH464" s="79"/>
      <c r="AI464" s="79"/>
      <c r="AJ464" s="79"/>
      <c r="AK464" s="79" t="s">
        <v>148</v>
      </c>
      <c r="AL464" s="79"/>
      <c r="AM464" s="79" t="str">
        <f>TEXT(CZ459,"#,###.##")</f>
        <v>20,420.3</v>
      </c>
      <c r="AN464" s="79"/>
      <c r="AO464" s="79"/>
      <c r="AP464" s="79"/>
      <c r="AQ464" s="79"/>
      <c r="AR464" s="79"/>
      <c r="AS464" s="79"/>
      <c r="AT464" s="79"/>
      <c r="AU464" s="79"/>
      <c r="AV464" s="79" t="s">
        <v>309</v>
      </c>
      <c r="AW464" s="79"/>
      <c r="AX464" s="79"/>
      <c r="AY464" s="79" t="str">
        <f>TEXT(TRUNC(CZ433+CZ446+CZ459,1),"#,##0.#")</f>
        <v>81,274.2</v>
      </c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  <c r="CH464" s="79"/>
      <c r="CI464" s="79"/>
      <c r="CJ464" s="79"/>
      <c r="CK464" s="79"/>
      <c r="CL464" s="79"/>
      <c r="CM464" s="79"/>
      <c r="CN464" s="79"/>
      <c r="CO464" s="79"/>
      <c r="CP464" s="79"/>
      <c r="CQ464" s="79"/>
      <c r="CR464" s="79"/>
      <c r="CS464" s="79"/>
      <c r="CT464" s="79"/>
      <c r="CU464" s="79"/>
      <c r="CV464" s="79"/>
      <c r="CW464" s="79"/>
      <c r="CX464" s="85"/>
      <c r="CY464" s="85"/>
      <c r="CZ464" s="85"/>
      <c r="DA464" s="86"/>
      <c r="DB464" s="84"/>
    </row>
    <row r="465" spans="2:106" ht="11.25" customHeight="1">
      <c r="B465" s="78"/>
      <c r="C465" s="79"/>
      <c r="D465" s="79"/>
      <c r="E465" s="79"/>
      <c r="F465" s="79"/>
      <c r="G465" s="79"/>
      <c r="H465" s="79" t="s">
        <v>160</v>
      </c>
      <c r="I465" s="79"/>
      <c r="J465" s="79"/>
      <c r="K465" s="79"/>
      <c r="L465" s="79" t="s">
        <v>440</v>
      </c>
      <c r="M465" s="79"/>
      <c r="N465" s="79"/>
      <c r="O465" s="79" t="s">
        <v>604</v>
      </c>
      <c r="P465" s="79"/>
      <c r="Q465" s="79" t="str">
        <f>TEXT(DA433,"#,###.##")</f>
        <v>66,930.</v>
      </c>
      <c r="R465" s="79"/>
      <c r="S465" s="79"/>
      <c r="T465" s="79"/>
      <c r="U465" s="79"/>
      <c r="V465" s="79"/>
      <c r="W465" s="79"/>
      <c r="X465" s="79" t="s">
        <v>148</v>
      </c>
      <c r="Y465" s="79"/>
      <c r="Z465" s="79" t="str">
        <f>TEXT(DA446,"#,###.##")</f>
        <v>14,575.2</v>
      </c>
      <c r="AA465" s="79"/>
      <c r="AB465" s="79"/>
      <c r="AC465" s="79"/>
      <c r="AD465" s="79"/>
      <c r="AE465" s="79"/>
      <c r="AF465" s="79"/>
      <c r="AG465" s="79"/>
      <c r="AH465" s="79"/>
      <c r="AI465" s="79" t="s">
        <v>148</v>
      </c>
      <c r="AJ465" s="79"/>
      <c r="AK465" s="79" t="str">
        <f>TEXT(DA459,"#,###.##")</f>
        <v>16,950.4</v>
      </c>
      <c r="AL465" s="79"/>
      <c r="AM465" s="79"/>
      <c r="AN465" s="79"/>
      <c r="AO465" s="79"/>
      <c r="AP465" s="79"/>
      <c r="AQ465" s="79"/>
      <c r="AR465" s="79"/>
      <c r="AS465" s="79"/>
      <c r="AT465" s="79" t="s">
        <v>309</v>
      </c>
      <c r="AU465" s="79"/>
      <c r="AV465" s="79"/>
      <c r="AW465" s="79" t="str">
        <f>TEXT(TRUNC(DA433+DA446+DA459,1),"#,##0.#")</f>
        <v>98,455.6</v>
      </c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  <c r="CH465" s="79"/>
      <c r="CI465" s="79"/>
      <c r="CJ465" s="79"/>
      <c r="CK465" s="79"/>
      <c r="CL465" s="79"/>
      <c r="CM465" s="79"/>
      <c r="CN465" s="79"/>
      <c r="CO465" s="79"/>
      <c r="CP465" s="79"/>
      <c r="CQ465" s="79"/>
      <c r="CR465" s="79"/>
      <c r="CS465" s="79"/>
      <c r="CT465" s="79"/>
      <c r="CU465" s="79"/>
      <c r="CV465" s="79"/>
      <c r="CW465" s="79"/>
      <c r="CX465" s="85"/>
      <c r="CY465" s="85"/>
      <c r="CZ465" s="85"/>
      <c r="DA465" s="86"/>
      <c r="DB465" s="84"/>
    </row>
    <row r="466" spans="2:106" ht="11.25" customHeight="1">
      <c r="B466" s="78"/>
      <c r="C466" s="79"/>
      <c r="D466" s="79"/>
      <c r="E466" s="79"/>
      <c r="F466" s="79"/>
      <c r="G466" s="79"/>
      <c r="H466" s="79"/>
      <c r="I466" s="79"/>
      <c r="J466" s="79" t="s">
        <v>436</v>
      </c>
      <c r="K466" s="79"/>
      <c r="L466" s="79"/>
      <c r="M466" s="79"/>
      <c r="N466" s="79"/>
      <c r="O466" s="79" t="s">
        <v>604</v>
      </c>
      <c r="P466" s="79"/>
      <c r="Q466" s="79"/>
      <c r="R466" s="79" t="str">
        <f>TEXT(AW463+AY464+AW465,"#,##0.#######")</f>
        <v>360,325.3</v>
      </c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  <c r="CH466" s="79"/>
      <c r="CI466" s="79"/>
      <c r="CJ466" s="79"/>
      <c r="CK466" s="79"/>
      <c r="CL466" s="79"/>
      <c r="CM466" s="79"/>
      <c r="CN466" s="79"/>
      <c r="CO466" s="79"/>
      <c r="CP466" s="79"/>
      <c r="CQ466" s="79"/>
      <c r="CR466" s="79"/>
      <c r="CS466" s="79"/>
      <c r="CT466" s="79"/>
      <c r="CU466" s="79"/>
      <c r="CV466" s="79"/>
      <c r="CW466" s="79"/>
      <c r="CX466" s="85">
        <f>CY466+CZ466+DA466</f>
        <v>360325.30000000005</v>
      </c>
      <c r="CY466" s="85" t="str">
        <f>TEXT(AW463,"#,###.0")</f>
        <v>180,595.5</v>
      </c>
      <c r="CZ466" s="85" t="str">
        <f>TEXT(AY464,"#,###.0")</f>
        <v>81,274.2</v>
      </c>
      <c r="DA466" s="86" t="str">
        <f>TEXT(AW465,"#,###.0")</f>
        <v>98,455.6</v>
      </c>
      <c r="DB466" s="84"/>
    </row>
    <row r="467" spans="2:106" ht="11.25" customHeight="1">
      <c r="B467" s="78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  <c r="CH467" s="79"/>
      <c r="CI467" s="79"/>
      <c r="CJ467" s="79"/>
      <c r="CK467" s="79"/>
      <c r="CL467" s="79"/>
      <c r="CM467" s="79"/>
      <c r="CN467" s="79"/>
      <c r="CO467" s="79"/>
      <c r="CP467" s="79"/>
      <c r="CQ467" s="79"/>
      <c r="CR467" s="79"/>
      <c r="CS467" s="79"/>
      <c r="CT467" s="79"/>
      <c r="CU467" s="79"/>
      <c r="CV467" s="79"/>
      <c r="CW467" s="79"/>
      <c r="CX467" s="85"/>
      <c r="CY467" s="85"/>
      <c r="CZ467" s="85"/>
      <c r="DA467" s="86"/>
      <c r="DB467" s="84"/>
    </row>
    <row r="468" spans="2:106" ht="11.25" customHeight="1">
      <c r="B468" s="78"/>
      <c r="C468" s="79"/>
      <c r="D468" s="79" t="s">
        <v>832</v>
      </c>
      <c r="E468" s="79"/>
      <c r="F468" s="79"/>
      <c r="G468" s="79" t="s">
        <v>557</v>
      </c>
      <c r="H468" s="79"/>
      <c r="I468" s="79"/>
      <c r="J468" s="79"/>
      <c r="K468" s="79" t="s">
        <v>436</v>
      </c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  <c r="CH468" s="79"/>
      <c r="CI468" s="79"/>
      <c r="CJ468" s="79"/>
      <c r="CK468" s="79"/>
      <c r="CL468" s="79"/>
      <c r="CM468" s="79"/>
      <c r="CN468" s="79"/>
      <c r="CO468" s="79"/>
      <c r="CP468" s="79"/>
      <c r="CQ468" s="79"/>
      <c r="CR468" s="79"/>
      <c r="CS468" s="79"/>
      <c r="CT468" s="79"/>
      <c r="CU468" s="79"/>
      <c r="CV468" s="79"/>
      <c r="CW468" s="79"/>
      <c r="CX468" s="85"/>
      <c r="CY468" s="85"/>
      <c r="CZ468" s="85"/>
      <c r="DA468" s="86"/>
      <c r="DB468" s="84"/>
    </row>
    <row r="469" spans="2:106" ht="11.25" customHeight="1">
      <c r="B469" s="78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  <c r="CH469" s="79"/>
      <c r="CI469" s="79"/>
      <c r="CJ469" s="79"/>
      <c r="CK469" s="79"/>
      <c r="CL469" s="79"/>
      <c r="CM469" s="79"/>
      <c r="CN469" s="79"/>
      <c r="CO469" s="79"/>
      <c r="CP469" s="79"/>
      <c r="CQ469" s="79"/>
      <c r="CR469" s="79"/>
      <c r="CS469" s="79"/>
      <c r="CT469" s="79"/>
      <c r="CU469" s="79"/>
      <c r="CV469" s="79"/>
      <c r="CW469" s="79"/>
      <c r="CX469" s="85"/>
      <c r="CY469" s="85"/>
      <c r="CZ469" s="85"/>
      <c r="DA469" s="86"/>
      <c r="DB469" s="84"/>
    </row>
    <row r="470" spans="2:106" ht="11.25" customHeight="1">
      <c r="B470" s="78"/>
      <c r="C470" s="79"/>
      <c r="D470" s="79"/>
      <c r="E470" s="79"/>
      <c r="F470" s="79"/>
      <c r="G470" s="79"/>
      <c r="H470" s="79" t="s">
        <v>700</v>
      </c>
      <c r="I470" s="79"/>
      <c r="J470" s="79"/>
      <c r="K470" s="79"/>
      <c r="L470" s="79"/>
      <c r="M470" s="79"/>
      <c r="N470" s="79"/>
      <c r="O470" s="79" t="s">
        <v>604</v>
      </c>
      <c r="P470" s="79"/>
      <c r="Q470" s="79" t="str">
        <f>TEXT(CY418,"#,###.##")</f>
        <v>1,161,049.1</v>
      </c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 t="s">
        <v>148</v>
      </c>
      <c r="AD470" s="79"/>
      <c r="AE470" s="79" t="str">
        <f>TEXT(CY466,"#,###.##")</f>
        <v>180,595.5</v>
      </c>
      <c r="AF470" s="79"/>
      <c r="AG470" s="79"/>
      <c r="AH470" s="79"/>
      <c r="AI470" s="79"/>
      <c r="AJ470" s="79"/>
      <c r="AK470" s="79"/>
      <c r="AL470" s="79"/>
      <c r="AM470" s="79"/>
      <c r="AN470" s="79"/>
      <c r="AO470" s="79" t="s">
        <v>309</v>
      </c>
      <c r="AP470" s="79"/>
      <c r="AQ470" s="79"/>
      <c r="AR470" s="79" t="str">
        <f>TEXT(TRUNC(CY418+CY466,0),"#,##0")</f>
        <v>1,341,644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  <c r="CH470" s="79"/>
      <c r="CI470" s="79"/>
      <c r="CJ470" s="79"/>
      <c r="CK470" s="79"/>
      <c r="CL470" s="79"/>
      <c r="CM470" s="79"/>
      <c r="CN470" s="79"/>
      <c r="CO470" s="79"/>
      <c r="CP470" s="79"/>
      <c r="CQ470" s="79"/>
      <c r="CR470" s="79"/>
      <c r="CS470" s="79"/>
      <c r="CT470" s="79"/>
      <c r="CU470" s="79"/>
      <c r="CV470" s="79"/>
      <c r="CW470" s="79"/>
      <c r="CX470" s="85"/>
      <c r="CY470" s="85"/>
      <c r="CZ470" s="85"/>
      <c r="DA470" s="86"/>
      <c r="DB470" s="84"/>
    </row>
    <row r="471" spans="2:106" ht="11.25" customHeight="1">
      <c r="B471" s="78"/>
      <c r="C471" s="79"/>
      <c r="D471" s="79"/>
      <c r="E471" s="79"/>
      <c r="F471" s="79"/>
      <c r="G471" s="79"/>
      <c r="H471" s="79" t="s">
        <v>498</v>
      </c>
      <c r="I471" s="79"/>
      <c r="J471" s="79"/>
      <c r="K471" s="79"/>
      <c r="L471" s="79"/>
      <c r="M471" s="79"/>
      <c r="N471" s="79"/>
      <c r="O471" s="79" t="s">
        <v>604</v>
      </c>
      <c r="P471" s="79"/>
      <c r="Q471" s="79" t="str">
        <f>TEXT(CZ418,"#,###.##")</f>
        <v>341,447.2</v>
      </c>
      <c r="R471" s="79"/>
      <c r="S471" s="79"/>
      <c r="T471" s="79"/>
      <c r="U471" s="79"/>
      <c r="V471" s="79"/>
      <c r="W471" s="79"/>
      <c r="X471" s="79"/>
      <c r="Y471" s="79"/>
      <c r="Z471" s="79"/>
      <c r="AA471" s="79" t="s">
        <v>148</v>
      </c>
      <c r="AB471" s="79"/>
      <c r="AC471" s="79" t="str">
        <f>TEXT(CZ466,"#,###.##")</f>
        <v>81,274.2</v>
      </c>
      <c r="AD471" s="79"/>
      <c r="AE471" s="79"/>
      <c r="AF471" s="79"/>
      <c r="AG471" s="79"/>
      <c r="AH471" s="79"/>
      <c r="AI471" s="79"/>
      <c r="AJ471" s="79"/>
      <c r="AK471" s="79"/>
      <c r="AL471" s="79" t="s">
        <v>309</v>
      </c>
      <c r="AM471" s="79"/>
      <c r="AN471" s="79"/>
      <c r="AO471" s="79" t="str">
        <f>TEXT(TRUNC(CZ418+CZ466,0),"#,##0")</f>
        <v>422,721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  <c r="CH471" s="79"/>
      <c r="CI471" s="79"/>
      <c r="CJ471" s="79"/>
      <c r="CK471" s="79"/>
      <c r="CL471" s="79"/>
      <c r="CM471" s="79"/>
      <c r="CN471" s="79"/>
      <c r="CO471" s="79"/>
      <c r="CP471" s="79"/>
      <c r="CQ471" s="79"/>
      <c r="CR471" s="79"/>
      <c r="CS471" s="79"/>
      <c r="CT471" s="79"/>
      <c r="CU471" s="79"/>
      <c r="CV471" s="79"/>
      <c r="CW471" s="79"/>
      <c r="CX471" s="85"/>
      <c r="CY471" s="85"/>
      <c r="CZ471" s="85"/>
      <c r="DA471" s="86"/>
      <c r="DB471" s="84"/>
    </row>
    <row r="472" spans="2:106" ht="11.25" customHeight="1">
      <c r="B472" s="78"/>
      <c r="C472" s="79"/>
      <c r="D472" s="79"/>
      <c r="E472" s="79"/>
      <c r="F472" s="79"/>
      <c r="G472" s="79"/>
      <c r="H472" s="79" t="s">
        <v>160</v>
      </c>
      <c r="I472" s="79"/>
      <c r="J472" s="79"/>
      <c r="K472" s="79"/>
      <c r="L472" s="79" t="s">
        <v>440</v>
      </c>
      <c r="M472" s="79"/>
      <c r="N472" s="79"/>
      <c r="O472" s="79" t="s">
        <v>604</v>
      </c>
      <c r="P472" s="79"/>
      <c r="Q472" s="79" t="str">
        <f>TEXT(DA418,"#,###.##")</f>
        <v>340,603.2</v>
      </c>
      <c r="R472" s="79"/>
      <c r="S472" s="79"/>
      <c r="T472" s="79"/>
      <c r="U472" s="79"/>
      <c r="V472" s="79"/>
      <c r="W472" s="79"/>
      <c r="X472" s="79"/>
      <c r="Y472" s="79"/>
      <c r="Z472" s="79"/>
      <c r="AA472" s="79" t="s">
        <v>148</v>
      </c>
      <c r="AB472" s="79"/>
      <c r="AC472" s="79" t="str">
        <f>TEXT(DA466,"#,###.##")</f>
        <v>98,455.6</v>
      </c>
      <c r="AD472" s="79"/>
      <c r="AE472" s="79"/>
      <c r="AF472" s="79"/>
      <c r="AG472" s="79"/>
      <c r="AH472" s="79"/>
      <c r="AI472" s="79"/>
      <c r="AJ472" s="79"/>
      <c r="AK472" s="79"/>
      <c r="AL472" s="79" t="s">
        <v>309</v>
      </c>
      <c r="AM472" s="79"/>
      <c r="AN472" s="79"/>
      <c r="AO472" s="79" t="str">
        <f>TEXT(TRUNC(DA418+DA466,0),"#,##0")</f>
        <v>439,058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  <c r="CH472" s="79"/>
      <c r="CI472" s="79"/>
      <c r="CJ472" s="79"/>
      <c r="CK472" s="79"/>
      <c r="CL472" s="79"/>
      <c r="CM472" s="79"/>
      <c r="CN472" s="79"/>
      <c r="CO472" s="79"/>
      <c r="CP472" s="79"/>
      <c r="CQ472" s="79"/>
      <c r="CR472" s="79"/>
      <c r="CS472" s="79"/>
      <c r="CT472" s="79"/>
      <c r="CU472" s="79"/>
      <c r="CV472" s="79"/>
      <c r="CW472" s="79"/>
      <c r="CX472" s="85"/>
      <c r="CY472" s="85"/>
      <c r="CZ472" s="85"/>
      <c r="DA472" s="86"/>
      <c r="DB472" s="84"/>
    </row>
    <row r="473" spans="2:106" ht="11.25" customHeight="1">
      <c r="B473" s="78"/>
      <c r="C473" s="79"/>
      <c r="D473" s="79"/>
      <c r="E473" s="79"/>
      <c r="F473" s="79"/>
      <c r="G473" s="79"/>
      <c r="H473" s="79"/>
      <c r="I473" s="79"/>
      <c r="J473" s="79" t="s">
        <v>436</v>
      </c>
      <c r="K473" s="79"/>
      <c r="L473" s="79"/>
      <c r="M473" s="79"/>
      <c r="N473" s="79"/>
      <c r="O473" s="79" t="s">
        <v>604</v>
      </c>
      <c r="P473" s="79"/>
      <c r="Q473" s="79"/>
      <c r="R473" s="79" t="str">
        <f>TEXT(AR470+AO471+AO472,"#,##0")</f>
        <v>2,203,423</v>
      </c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  <c r="CH473" s="79"/>
      <c r="CI473" s="79"/>
      <c r="CJ473" s="79"/>
      <c r="CK473" s="79"/>
      <c r="CL473" s="79"/>
      <c r="CM473" s="79"/>
      <c r="CN473" s="79"/>
      <c r="CO473" s="79"/>
      <c r="CP473" s="79"/>
      <c r="CQ473" s="79"/>
      <c r="CR473" s="79"/>
      <c r="CS473" s="79"/>
      <c r="CT473" s="79"/>
      <c r="CU473" s="79"/>
      <c r="CV473" s="79"/>
      <c r="CW473" s="79"/>
      <c r="CX473" s="89">
        <f>CY473+CZ473+DA473</f>
        <v>2203423</v>
      </c>
      <c r="CY473" s="85" t="str">
        <f>TEXT(AR470,"#,##0")</f>
        <v>1,341,644</v>
      </c>
      <c r="CZ473" s="85" t="str">
        <f>TEXT(AO471,"#,##0")</f>
        <v>422,721</v>
      </c>
      <c r="DA473" s="86" t="str">
        <f>TEXT(AO472,"#,##0")</f>
        <v>439,058</v>
      </c>
      <c r="DB473" s="84"/>
    </row>
    <row r="474" spans="2:106" ht="11.25" customHeight="1">
      <c r="B474" s="78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  <c r="CH474" s="79"/>
      <c r="CI474" s="79"/>
      <c r="CJ474" s="79"/>
      <c r="CK474" s="79"/>
      <c r="CL474" s="79"/>
      <c r="CM474" s="79"/>
      <c r="CN474" s="79"/>
      <c r="CO474" s="79"/>
      <c r="CP474" s="79"/>
      <c r="CQ474" s="79"/>
      <c r="CR474" s="79"/>
      <c r="CS474" s="79"/>
      <c r="CT474" s="79"/>
      <c r="CU474" s="79"/>
      <c r="CV474" s="79"/>
      <c r="CW474" s="79"/>
      <c r="CX474" s="85"/>
      <c r="CY474" s="85"/>
      <c r="CZ474" s="85"/>
      <c r="DA474" s="86"/>
      <c r="DB474" s="84"/>
    </row>
    <row r="475" spans="2:106" ht="11.25" customHeight="1">
      <c r="B475" s="81" t="s">
        <v>345</v>
      </c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  <c r="CH475" s="79"/>
      <c r="CI475" s="79"/>
      <c r="CJ475" s="79"/>
      <c r="CK475" s="79"/>
      <c r="CL475" s="79"/>
      <c r="CM475" s="79"/>
      <c r="CN475" s="79"/>
      <c r="CO475" s="79"/>
      <c r="CP475" s="79"/>
      <c r="CQ475" s="79"/>
      <c r="CR475" s="79"/>
      <c r="CS475" s="79"/>
      <c r="CT475" s="79"/>
      <c r="CU475" s="79"/>
      <c r="CV475" s="79"/>
      <c r="CW475" s="79"/>
      <c r="CX475" s="82">
        <f>CX491</f>
        <v>2356744</v>
      </c>
      <c r="CY475" s="82" t="str">
        <f>CY491</f>
        <v>540,504</v>
      </c>
      <c r="CZ475" s="82" t="str">
        <f>CZ491</f>
        <v>132,160</v>
      </c>
      <c r="DA475" s="83" t="str">
        <f>DA491</f>
        <v>1,684,080</v>
      </c>
      <c r="DB475" s="84"/>
    </row>
    <row r="476" spans="2:106" ht="11.25" customHeight="1">
      <c r="B476" s="78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  <c r="CH476" s="79"/>
      <c r="CI476" s="79"/>
      <c r="CJ476" s="79"/>
      <c r="CK476" s="79"/>
      <c r="CL476" s="79"/>
      <c r="CM476" s="79"/>
      <c r="CN476" s="79"/>
      <c r="CO476" s="79"/>
      <c r="CP476" s="79"/>
      <c r="CQ476" s="79"/>
      <c r="CR476" s="79"/>
      <c r="CS476" s="79"/>
      <c r="CT476" s="79"/>
      <c r="CU476" s="79"/>
      <c r="CV476" s="79"/>
      <c r="CW476" s="79"/>
      <c r="CX476" s="85"/>
      <c r="CY476" s="85"/>
      <c r="CZ476" s="85"/>
      <c r="DA476" s="86"/>
      <c r="DB476" s="84"/>
    </row>
    <row r="477" spans="2:106" ht="11.25" customHeight="1">
      <c r="B477" s="78"/>
      <c r="C477" s="79"/>
      <c r="D477" s="79" t="s">
        <v>401</v>
      </c>
      <c r="E477" s="79"/>
      <c r="F477" s="79"/>
      <c r="G477" s="79" t="s">
        <v>639</v>
      </c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 t="s">
        <v>503</v>
      </c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  <c r="CH477" s="79"/>
      <c r="CI477" s="79"/>
      <c r="CJ477" s="79"/>
      <c r="CK477" s="79"/>
      <c r="CL477" s="79"/>
      <c r="CM477" s="79"/>
      <c r="CN477" s="79"/>
      <c r="CO477" s="79"/>
      <c r="CP477" s="79"/>
      <c r="CQ477" s="79"/>
      <c r="CR477" s="79"/>
      <c r="CS477" s="79"/>
      <c r="CT477" s="79"/>
      <c r="CU477" s="79"/>
      <c r="CV477" s="79"/>
      <c r="CW477" s="79"/>
      <c r="CX477" s="85"/>
      <c r="CY477" s="85"/>
      <c r="CZ477" s="85"/>
      <c r="DA477" s="86"/>
      <c r="DB477" s="84"/>
    </row>
    <row r="478" spans="2:106" ht="11.25" customHeight="1">
      <c r="B478" s="78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  <c r="CH478" s="79"/>
      <c r="CI478" s="79"/>
      <c r="CJ478" s="79"/>
      <c r="CK478" s="79"/>
      <c r="CL478" s="79"/>
      <c r="CM478" s="79"/>
      <c r="CN478" s="79"/>
      <c r="CO478" s="79"/>
      <c r="CP478" s="79"/>
      <c r="CQ478" s="79"/>
      <c r="CR478" s="79"/>
      <c r="CS478" s="79"/>
      <c r="CT478" s="79"/>
      <c r="CU478" s="79"/>
      <c r="CV478" s="79"/>
      <c r="CW478" s="79"/>
      <c r="CX478" s="85"/>
      <c r="CY478" s="85"/>
      <c r="CZ478" s="85"/>
      <c r="DA478" s="86"/>
      <c r="DB478" s="84"/>
    </row>
    <row r="479" spans="2:106" ht="11.25" customHeight="1">
      <c r="B479" s="78"/>
      <c r="C479" s="79"/>
      <c r="D479" s="79"/>
      <c r="E479" s="79"/>
      <c r="F479" s="79"/>
      <c r="G479" s="79" t="s">
        <v>49</v>
      </c>
      <c r="H479" s="79"/>
      <c r="I479" s="79" t="s">
        <v>309</v>
      </c>
      <c r="J479" s="79"/>
      <c r="K479" s="79" t="str">
        <f>TEXT(8,"#,##0.#######")</f>
        <v>8.</v>
      </c>
      <c r="L479" s="79" t="s">
        <v>598</v>
      </c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  <c r="CH479" s="79"/>
      <c r="CI479" s="79"/>
      <c r="CJ479" s="79"/>
      <c r="CK479" s="79"/>
      <c r="CL479" s="79"/>
      <c r="CM479" s="79"/>
      <c r="CN479" s="79"/>
      <c r="CO479" s="79"/>
      <c r="CP479" s="79"/>
      <c r="CQ479" s="79"/>
      <c r="CR479" s="79"/>
      <c r="CS479" s="79"/>
      <c r="CT479" s="79"/>
      <c r="CU479" s="79"/>
      <c r="CV479" s="79"/>
      <c r="CW479" s="79"/>
      <c r="CX479" s="85"/>
      <c r="CY479" s="85"/>
      <c r="CZ479" s="85"/>
      <c r="DA479" s="86"/>
      <c r="DB479" s="84"/>
    </row>
    <row r="480" spans="2:106" ht="11.25" customHeight="1">
      <c r="B480" s="78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  <c r="CH480" s="79"/>
      <c r="CI480" s="79"/>
      <c r="CJ480" s="79"/>
      <c r="CK480" s="79"/>
      <c r="CL480" s="79"/>
      <c r="CM480" s="79"/>
      <c r="CN480" s="79"/>
      <c r="CO480" s="79"/>
      <c r="CP480" s="79"/>
      <c r="CQ480" s="79"/>
      <c r="CR480" s="79"/>
      <c r="CS480" s="79"/>
      <c r="CT480" s="79"/>
      <c r="CU480" s="79"/>
      <c r="CV480" s="79"/>
      <c r="CW480" s="79"/>
      <c r="CX480" s="85"/>
      <c r="CY480" s="85"/>
      <c r="CZ480" s="85"/>
      <c r="DA480" s="86"/>
      <c r="DB480" s="84"/>
    </row>
    <row r="481" spans="2:106" ht="11.25" customHeight="1">
      <c r="B481" s="78"/>
      <c r="C481" s="79"/>
      <c r="D481" s="79"/>
      <c r="E481" s="79"/>
      <c r="F481" s="79"/>
      <c r="G481" s="79" t="s">
        <v>700</v>
      </c>
      <c r="H481" s="79"/>
      <c r="I481" s="79"/>
      <c r="J481" s="79"/>
      <c r="K481" s="79"/>
      <c r="L481" s="79"/>
      <c r="M481" s="79"/>
      <c r="N481" s="79" t="s">
        <v>604</v>
      </c>
      <c r="O481" s="79"/>
      <c r="P481" s="79" t="str">
        <f>TEXT(기계경비총괄표!G20,"#,##0")</f>
        <v>67,563</v>
      </c>
      <c r="Q481" s="79"/>
      <c r="R481" s="79"/>
      <c r="S481" s="79"/>
      <c r="T481" s="79"/>
      <c r="U481" s="79"/>
      <c r="V481" s="79"/>
      <c r="W481" s="79"/>
      <c r="X481" s="79"/>
      <c r="Y481" s="79" t="s">
        <v>699</v>
      </c>
      <c r="Z481" s="79"/>
      <c r="AA481" s="79"/>
      <c r="AB481" s="79" t="str">
        <f>TEXT(K479,"#,##0.#######")</f>
        <v>8.</v>
      </c>
      <c r="AC481" s="79"/>
      <c r="AD481" s="79"/>
      <c r="AE481" s="79"/>
      <c r="AF481" s="79" t="s">
        <v>309</v>
      </c>
      <c r="AG481" s="79"/>
      <c r="AH481" s="79" t="str">
        <f>TEXT(TRUNC(P481*K479,1),"#,##0.#")</f>
        <v>540,504.</v>
      </c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  <c r="CH481" s="79"/>
      <c r="CI481" s="79"/>
      <c r="CJ481" s="79"/>
      <c r="CK481" s="79"/>
      <c r="CL481" s="79"/>
      <c r="CM481" s="79"/>
      <c r="CN481" s="79"/>
      <c r="CO481" s="79"/>
      <c r="CP481" s="79"/>
      <c r="CQ481" s="79"/>
      <c r="CR481" s="79"/>
      <c r="CS481" s="79"/>
      <c r="CT481" s="79"/>
      <c r="CU481" s="79"/>
      <c r="CV481" s="79"/>
      <c r="CW481" s="79"/>
      <c r="CX481" s="85"/>
      <c r="CY481" s="85"/>
      <c r="CZ481" s="85"/>
      <c r="DA481" s="86"/>
      <c r="DB481" s="84"/>
    </row>
    <row r="482" spans="2:106" ht="11.25" customHeight="1">
      <c r="B482" s="78"/>
      <c r="C482" s="79"/>
      <c r="D482" s="79"/>
      <c r="E482" s="79"/>
      <c r="F482" s="79"/>
      <c r="G482" s="79" t="s">
        <v>498</v>
      </c>
      <c r="H482" s="79"/>
      <c r="I482" s="79"/>
      <c r="J482" s="79"/>
      <c r="K482" s="79"/>
      <c r="L482" s="79"/>
      <c r="M482" s="79"/>
      <c r="N482" s="79" t="s">
        <v>604</v>
      </c>
      <c r="O482" s="79"/>
      <c r="P482" s="79"/>
      <c r="Q482" s="79" t="str">
        <f>TEXT(기계경비총괄표!H20,"#,##0")</f>
        <v>16,520</v>
      </c>
      <c r="R482" s="79"/>
      <c r="S482" s="79"/>
      <c r="T482" s="79"/>
      <c r="U482" s="79"/>
      <c r="V482" s="79"/>
      <c r="W482" s="79"/>
      <c r="X482" s="79"/>
      <c r="Y482" s="79"/>
      <c r="Z482" s="79" t="s">
        <v>699</v>
      </c>
      <c r="AA482" s="79"/>
      <c r="AB482" s="79"/>
      <c r="AC482" s="79" t="str">
        <f>TEXT(K479,"#,##0.#######")</f>
        <v>8.</v>
      </c>
      <c r="AD482" s="79"/>
      <c r="AE482" s="79"/>
      <c r="AF482" s="79"/>
      <c r="AG482" s="79" t="s">
        <v>309</v>
      </c>
      <c r="AH482" s="79"/>
      <c r="AI482" s="79" t="str">
        <f>TEXT(TRUNC(Q482*K479,1),"#,##0.#")</f>
        <v>132,160.</v>
      </c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  <c r="CH482" s="79"/>
      <c r="CI482" s="79"/>
      <c r="CJ482" s="79"/>
      <c r="CK482" s="79"/>
      <c r="CL482" s="79"/>
      <c r="CM482" s="79"/>
      <c r="CN482" s="79"/>
      <c r="CO482" s="79"/>
      <c r="CP482" s="79"/>
      <c r="CQ482" s="79"/>
      <c r="CR482" s="79"/>
      <c r="CS482" s="79"/>
      <c r="CT482" s="79"/>
      <c r="CU482" s="79"/>
      <c r="CV482" s="79"/>
      <c r="CW482" s="79"/>
      <c r="CX482" s="85"/>
      <c r="CY482" s="85"/>
      <c r="CZ482" s="85"/>
      <c r="DA482" s="86"/>
      <c r="DB482" s="84"/>
    </row>
    <row r="483" spans="2:106" ht="11.25" customHeight="1">
      <c r="B483" s="78"/>
      <c r="C483" s="79"/>
      <c r="D483" s="79"/>
      <c r="E483" s="79"/>
      <c r="F483" s="79"/>
      <c r="G483" s="79" t="s">
        <v>160</v>
      </c>
      <c r="H483" s="79"/>
      <c r="I483" s="79"/>
      <c r="J483" s="79"/>
      <c r="K483" s="79" t="s">
        <v>440</v>
      </c>
      <c r="L483" s="79"/>
      <c r="M483" s="79"/>
      <c r="N483" s="79" t="s">
        <v>604</v>
      </c>
      <c r="O483" s="79"/>
      <c r="P483" s="79" t="str">
        <f>TEXT(기계경비총괄표!I20,"#,##0")</f>
        <v>210,510</v>
      </c>
      <c r="Q483" s="79"/>
      <c r="R483" s="79"/>
      <c r="S483" s="79"/>
      <c r="T483" s="79"/>
      <c r="U483" s="79"/>
      <c r="V483" s="79"/>
      <c r="W483" s="79"/>
      <c r="X483" s="79"/>
      <c r="Y483" s="79"/>
      <c r="Z483" s="79" t="s">
        <v>699</v>
      </c>
      <c r="AA483" s="79"/>
      <c r="AB483" s="79"/>
      <c r="AC483" s="79" t="str">
        <f>TEXT(K479,"#,##0.#######")</f>
        <v>8.</v>
      </c>
      <c r="AD483" s="79"/>
      <c r="AE483" s="79"/>
      <c r="AF483" s="79"/>
      <c r="AG483" s="79" t="s">
        <v>309</v>
      </c>
      <c r="AH483" s="79"/>
      <c r="AI483" s="79" t="str">
        <f>TEXT(TRUNC(P483*K479,1),"#,##0.#")</f>
        <v>1,684,080.</v>
      </c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  <c r="CH483" s="79"/>
      <c r="CI483" s="79"/>
      <c r="CJ483" s="79"/>
      <c r="CK483" s="79"/>
      <c r="CL483" s="79"/>
      <c r="CM483" s="79"/>
      <c r="CN483" s="79"/>
      <c r="CO483" s="79"/>
      <c r="CP483" s="79"/>
      <c r="CQ483" s="79"/>
      <c r="CR483" s="79"/>
      <c r="CS483" s="79"/>
      <c r="CT483" s="79"/>
      <c r="CU483" s="79"/>
      <c r="CV483" s="79"/>
      <c r="CW483" s="79"/>
      <c r="CX483" s="85"/>
      <c r="CY483" s="85"/>
      <c r="CZ483" s="85"/>
      <c r="DA483" s="86"/>
      <c r="DB483" s="84"/>
    </row>
    <row r="484" spans="2:106" ht="11.25" customHeight="1">
      <c r="B484" s="78"/>
      <c r="C484" s="79"/>
      <c r="D484" s="79"/>
      <c r="E484" s="79"/>
      <c r="F484" s="79"/>
      <c r="G484" s="79" t="s">
        <v>305</v>
      </c>
      <c r="H484" s="79"/>
      <c r="I484" s="79"/>
      <c r="J484" s="79"/>
      <c r="K484" s="79" t="s">
        <v>436</v>
      </c>
      <c r="L484" s="79"/>
      <c r="M484" s="79"/>
      <c r="N484" s="79" t="s">
        <v>604</v>
      </c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 t="str">
        <f>TEXT(AH481+AI482+AI483,"#,##0.#######")</f>
        <v>2,356,744.</v>
      </c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  <c r="CH484" s="79"/>
      <c r="CI484" s="79"/>
      <c r="CJ484" s="79"/>
      <c r="CK484" s="79"/>
      <c r="CL484" s="79"/>
      <c r="CM484" s="79"/>
      <c r="CN484" s="79"/>
      <c r="CO484" s="79"/>
      <c r="CP484" s="79"/>
      <c r="CQ484" s="79"/>
      <c r="CR484" s="79"/>
      <c r="CS484" s="79"/>
      <c r="CT484" s="79"/>
      <c r="CU484" s="79"/>
      <c r="CV484" s="79"/>
      <c r="CW484" s="79"/>
      <c r="CX484" s="85">
        <f>CY484+CZ484+DA484</f>
        <v>2356744</v>
      </c>
      <c r="CY484" s="85" t="str">
        <f>TEXT(AH481,"#,###.0")</f>
        <v>540,504.0</v>
      </c>
      <c r="CZ484" s="85" t="str">
        <f>TEXT(AI482,"#,###.0")</f>
        <v>132,160.0</v>
      </c>
      <c r="DA484" s="86" t="str">
        <f>TEXT(AI483,"#,###.0")</f>
        <v>1,684,080.0</v>
      </c>
      <c r="DB484" s="84"/>
    </row>
    <row r="485" spans="2:106" ht="11.25" customHeight="1">
      <c r="B485" s="78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  <c r="CH485" s="79"/>
      <c r="CI485" s="79"/>
      <c r="CJ485" s="79"/>
      <c r="CK485" s="79"/>
      <c r="CL485" s="79"/>
      <c r="CM485" s="79"/>
      <c r="CN485" s="79"/>
      <c r="CO485" s="79"/>
      <c r="CP485" s="79"/>
      <c r="CQ485" s="79"/>
      <c r="CR485" s="79"/>
      <c r="CS485" s="79"/>
      <c r="CT485" s="79"/>
      <c r="CU485" s="79"/>
      <c r="CV485" s="79"/>
      <c r="CW485" s="79"/>
      <c r="CX485" s="85"/>
      <c r="CY485" s="85"/>
      <c r="CZ485" s="85"/>
      <c r="DA485" s="86"/>
      <c r="DB485" s="84"/>
    </row>
    <row r="486" spans="2:106" ht="11.25" customHeight="1">
      <c r="B486" s="78"/>
      <c r="C486" s="79"/>
      <c r="D486" s="79" t="s">
        <v>594</v>
      </c>
      <c r="E486" s="79"/>
      <c r="F486" s="79"/>
      <c r="G486" s="79" t="s">
        <v>557</v>
      </c>
      <c r="H486" s="79"/>
      <c r="I486" s="79"/>
      <c r="J486" s="79"/>
      <c r="K486" s="79" t="s">
        <v>436</v>
      </c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  <c r="CH486" s="79"/>
      <c r="CI486" s="79"/>
      <c r="CJ486" s="79"/>
      <c r="CK486" s="79"/>
      <c r="CL486" s="79"/>
      <c r="CM486" s="79"/>
      <c r="CN486" s="79"/>
      <c r="CO486" s="79"/>
      <c r="CP486" s="79"/>
      <c r="CQ486" s="79"/>
      <c r="CR486" s="79"/>
      <c r="CS486" s="79"/>
      <c r="CT486" s="79"/>
      <c r="CU486" s="79"/>
      <c r="CV486" s="79"/>
      <c r="CW486" s="79"/>
      <c r="CX486" s="85"/>
      <c r="CY486" s="85"/>
      <c r="CZ486" s="85"/>
      <c r="DA486" s="86"/>
      <c r="DB486" s="84"/>
    </row>
    <row r="487" spans="2:106" ht="11.25" customHeight="1">
      <c r="B487" s="78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  <c r="CH487" s="79"/>
      <c r="CI487" s="79"/>
      <c r="CJ487" s="79"/>
      <c r="CK487" s="79"/>
      <c r="CL487" s="79"/>
      <c r="CM487" s="79"/>
      <c r="CN487" s="79"/>
      <c r="CO487" s="79"/>
      <c r="CP487" s="79"/>
      <c r="CQ487" s="79"/>
      <c r="CR487" s="79"/>
      <c r="CS487" s="79"/>
      <c r="CT487" s="79"/>
      <c r="CU487" s="79"/>
      <c r="CV487" s="79"/>
      <c r="CW487" s="79"/>
      <c r="CX487" s="85"/>
      <c r="CY487" s="85"/>
      <c r="CZ487" s="85"/>
      <c r="DA487" s="86"/>
      <c r="DB487" s="84"/>
    </row>
    <row r="488" spans="2:106" ht="11.25" customHeight="1">
      <c r="B488" s="78"/>
      <c r="C488" s="79"/>
      <c r="D488" s="79"/>
      <c r="E488" s="79"/>
      <c r="F488" s="79"/>
      <c r="G488" s="79"/>
      <c r="H488" s="79" t="s">
        <v>700</v>
      </c>
      <c r="I488" s="79"/>
      <c r="J488" s="79"/>
      <c r="K488" s="79"/>
      <c r="L488" s="79"/>
      <c r="M488" s="79"/>
      <c r="N488" s="79"/>
      <c r="O488" s="79" t="s">
        <v>604</v>
      </c>
      <c r="P488" s="79"/>
      <c r="Q488" s="79" t="str">
        <f>TEXT(TRUNC(CY484,0),"#,##0")</f>
        <v>540,504</v>
      </c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  <c r="CH488" s="79"/>
      <c r="CI488" s="79"/>
      <c r="CJ488" s="79"/>
      <c r="CK488" s="79"/>
      <c r="CL488" s="79"/>
      <c r="CM488" s="79"/>
      <c r="CN488" s="79"/>
      <c r="CO488" s="79"/>
      <c r="CP488" s="79"/>
      <c r="CQ488" s="79"/>
      <c r="CR488" s="79"/>
      <c r="CS488" s="79"/>
      <c r="CT488" s="79"/>
      <c r="CU488" s="79"/>
      <c r="CV488" s="79"/>
      <c r="CW488" s="79"/>
      <c r="CX488" s="85"/>
      <c r="CY488" s="85"/>
      <c r="CZ488" s="85"/>
      <c r="DA488" s="86"/>
      <c r="DB488" s="84"/>
    </row>
    <row r="489" spans="2:106" ht="11.25" customHeight="1">
      <c r="B489" s="78"/>
      <c r="C489" s="79"/>
      <c r="D489" s="79"/>
      <c r="E489" s="79"/>
      <c r="F489" s="79"/>
      <c r="G489" s="79"/>
      <c r="H489" s="79" t="s">
        <v>498</v>
      </c>
      <c r="I489" s="79"/>
      <c r="J489" s="79"/>
      <c r="K489" s="79"/>
      <c r="L489" s="79"/>
      <c r="M489" s="79"/>
      <c r="N489" s="79"/>
      <c r="O489" s="79" t="s">
        <v>604</v>
      </c>
      <c r="P489" s="79"/>
      <c r="Q489" s="79" t="str">
        <f>TEXT(TRUNC(CZ484,0),"#,##0")</f>
        <v>132,160</v>
      </c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  <c r="CH489" s="79"/>
      <c r="CI489" s="79"/>
      <c r="CJ489" s="79"/>
      <c r="CK489" s="79"/>
      <c r="CL489" s="79"/>
      <c r="CM489" s="79"/>
      <c r="CN489" s="79"/>
      <c r="CO489" s="79"/>
      <c r="CP489" s="79"/>
      <c r="CQ489" s="79"/>
      <c r="CR489" s="79"/>
      <c r="CS489" s="79"/>
      <c r="CT489" s="79"/>
      <c r="CU489" s="79"/>
      <c r="CV489" s="79"/>
      <c r="CW489" s="79"/>
      <c r="CX489" s="85"/>
      <c r="CY489" s="85"/>
      <c r="CZ489" s="85"/>
      <c r="DA489" s="86"/>
      <c r="DB489" s="84"/>
    </row>
    <row r="490" spans="2:106" ht="11.25" customHeight="1">
      <c r="B490" s="78"/>
      <c r="C490" s="79"/>
      <c r="D490" s="79"/>
      <c r="E490" s="79"/>
      <c r="F490" s="79"/>
      <c r="G490" s="79"/>
      <c r="H490" s="79" t="s">
        <v>160</v>
      </c>
      <c r="I490" s="79"/>
      <c r="J490" s="79"/>
      <c r="K490" s="79"/>
      <c r="L490" s="79" t="s">
        <v>440</v>
      </c>
      <c r="M490" s="79"/>
      <c r="N490" s="79"/>
      <c r="O490" s="79" t="s">
        <v>604</v>
      </c>
      <c r="P490" s="79"/>
      <c r="Q490" s="79" t="str">
        <f>TEXT(TRUNC(DA484,0),"#,##0")</f>
        <v>1,684,080</v>
      </c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  <c r="CH490" s="79"/>
      <c r="CI490" s="79"/>
      <c r="CJ490" s="79"/>
      <c r="CK490" s="79"/>
      <c r="CL490" s="79"/>
      <c r="CM490" s="79"/>
      <c r="CN490" s="79"/>
      <c r="CO490" s="79"/>
      <c r="CP490" s="79"/>
      <c r="CQ490" s="79"/>
      <c r="CR490" s="79"/>
      <c r="CS490" s="79"/>
      <c r="CT490" s="79"/>
      <c r="CU490" s="79"/>
      <c r="CV490" s="79"/>
      <c r="CW490" s="79"/>
      <c r="CX490" s="85"/>
      <c r="CY490" s="85"/>
      <c r="CZ490" s="85"/>
      <c r="DA490" s="86"/>
      <c r="DB490" s="84"/>
    </row>
    <row r="491" spans="2:106" ht="11.25" customHeight="1">
      <c r="B491" s="78"/>
      <c r="C491" s="79"/>
      <c r="D491" s="79"/>
      <c r="E491" s="79"/>
      <c r="F491" s="79"/>
      <c r="G491" s="79"/>
      <c r="H491" s="79"/>
      <c r="I491" s="79"/>
      <c r="J491" s="79" t="s">
        <v>436</v>
      </c>
      <c r="K491" s="79"/>
      <c r="L491" s="79"/>
      <c r="M491" s="79"/>
      <c r="N491" s="79"/>
      <c r="O491" s="79" t="s">
        <v>604</v>
      </c>
      <c r="P491" s="79"/>
      <c r="Q491" s="79"/>
      <c r="R491" s="79" t="str">
        <f>TEXT(Q488+Q489+Q490,"#,##0")</f>
        <v>2,356,744</v>
      </c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  <c r="CH491" s="79"/>
      <c r="CI491" s="79"/>
      <c r="CJ491" s="79"/>
      <c r="CK491" s="79"/>
      <c r="CL491" s="79"/>
      <c r="CM491" s="79"/>
      <c r="CN491" s="79"/>
      <c r="CO491" s="79"/>
      <c r="CP491" s="79"/>
      <c r="CQ491" s="79"/>
      <c r="CR491" s="79"/>
      <c r="CS491" s="79"/>
      <c r="CT491" s="79"/>
      <c r="CU491" s="79"/>
      <c r="CV491" s="79"/>
      <c r="CW491" s="79"/>
      <c r="CX491" s="89">
        <f>CY491+CZ491+DA491</f>
        <v>2356744</v>
      </c>
      <c r="CY491" s="85" t="str">
        <f>TEXT(Q488,"#,##0")</f>
        <v>540,504</v>
      </c>
      <c r="CZ491" s="85" t="str">
        <f>TEXT(Q489,"#,##0")</f>
        <v>132,160</v>
      </c>
      <c r="DA491" s="86" t="str">
        <f>TEXT(Q490,"#,##0")</f>
        <v>1,684,080</v>
      </c>
      <c r="DB491" s="84"/>
    </row>
    <row r="492" spans="2:106" ht="11.25" customHeight="1">
      <c r="B492" s="78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  <c r="CH492" s="79"/>
      <c r="CI492" s="79"/>
      <c r="CJ492" s="79"/>
      <c r="CK492" s="79"/>
      <c r="CL492" s="79"/>
      <c r="CM492" s="79"/>
      <c r="CN492" s="79"/>
      <c r="CO492" s="79"/>
      <c r="CP492" s="79"/>
      <c r="CQ492" s="79"/>
      <c r="CR492" s="79"/>
      <c r="CS492" s="79"/>
      <c r="CT492" s="79"/>
      <c r="CU492" s="79"/>
      <c r="CV492" s="79"/>
      <c r="CW492" s="79"/>
      <c r="CX492" s="85"/>
      <c r="CY492" s="85"/>
      <c r="CZ492" s="85"/>
      <c r="DA492" s="86"/>
      <c r="DB492" s="84"/>
    </row>
    <row r="493" spans="2:106" ht="11.25" customHeight="1">
      <c r="B493" s="81" t="s">
        <v>183</v>
      </c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  <c r="CH493" s="79"/>
      <c r="CI493" s="79"/>
      <c r="CJ493" s="79"/>
      <c r="CK493" s="79"/>
      <c r="CL493" s="79"/>
      <c r="CM493" s="79"/>
      <c r="CN493" s="79"/>
      <c r="CO493" s="79"/>
      <c r="CP493" s="79"/>
      <c r="CQ493" s="79"/>
      <c r="CR493" s="79"/>
      <c r="CS493" s="79"/>
      <c r="CT493" s="79"/>
      <c r="CU493" s="79"/>
      <c r="CV493" s="79"/>
      <c r="CW493" s="79"/>
      <c r="CX493" s="82">
        <f>CX511</f>
        <v>2626996</v>
      </c>
      <c r="CY493" s="82" t="str">
        <f>CY511</f>
        <v>810,756</v>
      </c>
      <c r="CZ493" s="82" t="str">
        <f>CZ511</f>
        <v>132,160</v>
      </c>
      <c r="DA493" s="83" t="str">
        <f>DA511</f>
        <v>1,684,080</v>
      </c>
      <c r="DB493" s="84"/>
    </row>
    <row r="494" spans="2:106" ht="11.25" customHeight="1">
      <c r="B494" s="78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  <c r="CH494" s="79"/>
      <c r="CI494" s="79"/>
      <c r="CJ494" s="79"/>
      <c r="CK494" s="79"/>
      <c r="CL494" s="79"/>
      <c r="CM494" s="79"/>
      <c r="CN494" s="79"/>
      <c r="CO494" s="79"/>
      <c r="CP494" s="79"/>
      <c r="CQ494" s="79"/>
      <c r="CR494" s="79"/>
      <c r="CS494" s="79"/>
      <c r="CT494" s="79"/>
      <c r="CU494" s="79"/>
      <c r="CV494" s="79"/>
      <c r="CW494" s="79"/>
      <c r="CX494" s="85"/>
      <c r="CY494" s="85"/>
      <c r="CZ494" s="85"/>
      <c r="DA494" s="86"/>
      <c r="DB494" s="84"/>
    </row>
    <row r="495" spans="2:106" ht="11.25" customHeight="1">
      <c r="B495" s="78"/>
      <c r="C495" s="79"/>
      <c r="D495" s="79"/>
      <c r="E495" s="79" t="s">
        <v>777</v>
      </c>
      <c r="F495" s="79"/>
      <c r="G495" s="79"/>
      <c r="H495" s="79" t="s">
        <v>530</v>
      </c>
      <c r="I495" s="79"/>
      <c r="J495" s="79"/>
      <c r="K495" s="79"/>
      <c r="L495" s="79"/>
      <c r="M495" s="79" t="s">
        <v>758</v>
      </c>
      <c r="N495" s="79"/>
      <c r="O495" s="79"/>
      <c r="P495" s="79"/>
      <c r="Q495" s="79"/>
      <c r="R495" s="79" t="s">
        <v>249</v>
      </c>
      <c r="S495" s="79"/>
      <c r="T495" s="79"/>
      <c r="U495" s="79" t="s">
        <v>157</v>
      </c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  <c r="CH495" s="79"/>
      <c r="CI495" s="79"/>
      <c r="CJ495" s="79"/>
      <c r="CK495" s="79"/>
      <c r="CL495" s="79"/>
      <c r="CM495" s="79"/>
      <c r="CN495" s="79"/>
      <c r="CO495" s="79"/>
      <c r="CP495" s="79"/>
      <c r="CQ495" s="79"/>
      <c r="CR495" s="79"/>
      <c r="CS495" s="79"/>
      <c r="CT495" s="79"/>
      <c r="CU495" s="79"/>
      <c r="CV495" s="79"/>
      <c r="CW495" s="79"/>
      <c r="CX495" s="85"/>
      <c r="CY495" s="85"/>
      <c r="CZ495" s="85"/>
      <c r="DA495" s="86"/>
      <c r="DB495" s="84"/>
    </row>
    <row r="496" spans="2:106" ht="11.25" customHeight="1">
      <c r="B496" s="78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  <c r="CH496" s="79"/>
      <c r="CI496" s="79"/>
      <c r="CJ496" s="79"/>
      <c r="CK496" s="79"/>
      <c r="CL496" s="79"/>
      <c r="CM496" s="79"/>
      <c r="CN496" s="79"/>
      <c r="CO496" s="79"/>
      <c r="CP496" s="79"/>
      <c r="CQ496" s="79"/>
      <c r="CR496" s="79"/>
      <c r="CS496" s="79"/>
      <c r="CT496" s="79"/>
      <c r="CU496" s="79"/>
      <c r="CV496" s="79"/>
      <c r="CW496" s="79"/>
      <c r="CX496" s="85"/>
      <c r="CY496" s="85"/>
      <c r="CZ496" s="85"/>
      <c r="DA496" s="86"/>
      <c r="DB496" s="84"/>
    </row>
    <row r="497" spans="2:106" ht="11.25" customHeight="1">
      <c r="B497" s="78"/>
      <c r="C497" s="79"/>
      <c r="D497" s="79" t="s">
        <v>401</v>
      </c>
      <c r="E497" s="79"/>
      <c r="F497" s="79"/>
      <c r="G497" s="79" t="s">
        <v>639</v>
      </c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 t="s">
        <v>503</v>
      </c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  <c r="CH497" s="79"/>
      <c r="CI497" s="79"/>
      <c r="CJ497" s="79"/>
      <c r="CK497" s="79"/>
      <c r="CL497" s="79"/>
      <c r="CM497" s="79"/>
      <c r="CN497" s="79"/>
      <c r="CO497" s="79"/>
      <c r="CP497" s="79"/>
      <c r="CQ497" s="79"/>
      <c r="CR497" s="79"/>
      <c r="CS497" s="79"/>
      <c r="CT497" s="79"/>
      <c r="CU497" s="79"/>
      <c r="CV497" s="79"/>
      <c r="CW497" s="79"/>
      <c r="CX497" s="85"/>
      <c r="CY497" s="85"/>
      <c r="CZ497" s="85"/>
      <c r="DA497" s="86"/>
      <c r="DB497" s="84"/>
    </row>
    <row r="498" spans="2:106" ht="11.25" customHeight="1">
      <c r="B498" s="78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  <c r="CH498" s="79"/>
      <c r="CI498" s="79"/>
      <c r="CJ498" s="79"/>
      <c r="CK498" s="79"/>
      <c r="CL498" s="79"/>
      <c r="CM498" s="79"/>
      <c r="CN498" s="79"/>
      <c r="CO498" s="79"/>
      <c r="CP498" s="79"/>
      <c r="CQ498" s="79"/>
      <c r="CR498" s="79"/>
      <c r="CS498" s="79"/>
      <c r="CT498" s="79"/>
      <c r="CU498" s="79"/>
      <c r="CV498" s="79"/>
      <c r="CW498" s="79"/>
      <c r="CX498" s="85"/>
      <c r="CY498" s="85"/>
      <c r="CZ498" s="85"/>
      <c r="DA498" s="86"/>
      <c r="DB498" s="84"/>
    </row>
    <row r="499" spans="2:106" ht="11.25" customHeight="1">
      <c r="B499" s="78"/>
      <c r="C499" s="79"/>
      <c r="D499" s="79"/>
      <c r="E499" s="79"/>
      <c r="F499" s="79"/>
      <c r="G499" s="79" t="s">
        <v>49</v>
      </c>
      <c r="H499" s="79"/>
      <c r="I499" s="79" t="s">
        <v>309</v>
      </c>
      <c r="J499" s="79"/>
      <c r="K499" s="79" t="str">
        <f>TEXT(8,"#,##0.#######")</f>
        <v>8.</v>
      </c>
      <c r="L499" s="79" t="s">
        <v>598</v>
      </c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  <c r="CH499" s="79"/>
      <c r="CI499" s="79"/>
      <c r="CJ499" s="79"/>
      <c r="CK499" s="79"/>
      <c r="CL499" s="79"/>
      <c r="CM499" s="79"/>
      <c r="CN499" s="79"/>
      <c r="CO499" s="79"/>
      <c r="CP499" s="79"/>
      <c r="CQ499" s="79"/>
      <c r="CR499" s="79"/>
      <c r="CS499" s="79"/>
      <c r="CT499" s="79"/>
      <c r="CU499" s="79"/>
      <c r="CV499" s="79"/>
      <c r="CW499" s="79"/>
      <c r="CX499" s="85"/>
      <c r="CY499" s="85"/>
      <c r="CZ499" s="85"/>
      <c r="DA499" s="86"/>
      <c r="DB499" s="84"/>
    </row>
    <row r="500" spans="2:106" ht="11.25" customHeight="1">
      <c r="B500" s="78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  <c r="CH500" s="79"/>
      <c r="CI500" s="79"/>
      <c r="CJ500" s="79"/>
      <c r="CK500" s="79"/>
      <c r="CL500" s="79"/>
      <c r="CM500" s="79"/>
      <c r="CN500" s="79"/>
      <c r="CO500" s="79"/>
      <c r="CP500" s="79"/>
      <c r="CQ500" s="79"/>
      <c r="CR500" s="79"/>
      <c r="CS500" s="79"/>
      <c r="CT500" s="79"/>
      <c r="CU500" s="79"/>
      <c r="CV500" s="79"/>
      <c r="CW500" s="79"/>
      <c r="CX500" s="85"/>
      <c r="CY500" s="85"/>
      <c r="CZ500" s="85"/>
      <c r="DA500" s="86"/>
      <c r="DB500" s="84"/>
    </row>
    <row r="501" spans="2:106" ht="11.25" customHeight="1">
      <c r="B501" s="78"/>
      <c r="C501" s="79"/>
      <c r="D501" s="79"/>
      <c r="E501" s="79"/>
      <c r="F501" s="79"/>
      <c r="G501" s="79" t="s">
        <v>700</v>
      </c>
      <c r="H501" s="79"/>
      <c r="I501" s="79"/>
      <c r="J501" s="79"/>
      <c r="K501" s="79"/>
      <c r="L501" s="79"/>
      <c r="M501" s="79"/>
      <c r="N501" s="79" t="s">
        <v>604</v>
      </c>
      <c r="O501" s="79"/>
      <c r="P501" s="79" t="str">
        <f>TEXT(기계경비총괄표!G20,"#,##0")</f>
        <v>67,563</v>
      </c>
      <c r="Q501" s="79"/>
      <c r="R501" s="79"/>
      <c r="S501" s="79"/>
      <c r="T501" s="79"/>
      <c r="U501" s="79"/>
      <c r="V501" s="79"/>
      <c r="W501" s="79"/>
      <c r="X501" s="79"/>
      <c r="Y501" s="79" t="s">
        <v>699</v>
      </c>
      <c r="Z501" s="79"/>
      <c r="AA501" s="79"/>
      <c r="AB501" s="79" t="str">
        <f>TEXT(K499,"#,##0.#######")</f>
        <v>8.</v>
      </c>
      <c r="AC501" s="79"/>
      <c r="AD501" s="79"/>
      <c r="AE501" s="79"/>
      <c r="AF501" s="79" t="s">
        <v>699</v>
      </c>
      <c r="AG501" s="79"/>
      <c r="AH501" s="79"/>
      <c r="AI501" s="79" t="str">
        <f>TEXT(150,"#,##0.#######")</f>
        <v>150.</v>
      </c>
      <c r="AJ501" s="79"/>
      <c r="AK501" s="79"/>
      <c r="AL501" s="79" t="s">
        <v>157</v>
      </c>
      <c r="AM501" s="79"/>
      <c r="AN501" s="79" t="s">
        <v>309</v>
      </c>
      <c r="AO501" s="79"/>
      <c r="AP501" s="79" t="str">
        <f>TEXT(TRUNC(P501*K499*(AI501*(1/100)),1),"#,##0.#")</f>
        <v>810,756.</v>
      </c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  <c r="CH501" s="79"/>
      <c r="CI501" s="79"/>
      <c r="CJ501" s="79"/>
      <c r="CK501" s="79"/>
      <c r="CL501" s="79"/>
      <c r="CM501" s="79"/>
      <c r="CN501" s="79"/>
      <c r="CO501" s="79"/>
      <c r="CP501" s="79"/>
      <c r="CQ501" s="79"/>
      <c r="CR501" s="79"/>
      <c r="CS501" s="79"/>
      <c r="CT501" s="79"/>
      <c r="CU501" s="79"/>
      <c r="CV501" s="79"/>
      <c r="CW501" s="79"/>
      <c r="CX501" s="85"/>
      <c r="CY501" s="85"/>
      <c r="CZ501" s="85"/>
      <c r="DA501" s="86"/>
      <c r="DB501" s="84"/>
    </row>
    <row r="502" spans="2:106" ht="11.25" customHeight="1">
      <c r="B502" s="78"/>
      <c r="C502" s="79"/>
      <c r="D502" s="79"/>
      <c r="E502" s="79"/>
      <c r="F502" s="79"/>
      <c r="G502" s="79" t="s">
        <v>498</v>
      </c>
      <c r="H502" s="79"/>
      <c r="I502" s="79"/>
      <c r="J502" s="79"/>
      <c r="K502" s="79"/>
      <c r="L502" s="79"/>
      <c r="M502" s="79"/>
      <c r="N502" s="79" t="s">
        <v>604</v>
      </c>
      <c r="O502" s="79"/>
      <c r="P502" s="79"/>
      <c r="Q502" s="79" t="str">
        <f>TEXT(기계경비총괄표!H20,"#,##0")</f>
        <v>16,520</v>
      </c>
      <c r="R502" s="79"/>
      <c r="S502" s="79"/>
      <c r="T502" s="79"/>
      <c r="U502" s="79"/>
      <c r="V502" s="79"/>
      <c r="W502" s="79"/>
      <c r="X502" s="79"/>
      <c r="Y502" s="79"/>
      <c r="Z502" s="79" t="s">
        <v>699</v>
      </c>
      <c r="AA502" s="79"/>
      <c r="AB502" s="79"/>
      <c r="AC502" s="79" t="str">
        <f>TEXT(K499,"#,##0.#######")</f>
        <v>8.</v>
      </c>
      <c r="AD502" s="79"/>
      <c r="AE502" s="79"/>
      <c r="AF502" s="79"/>
      <c r="AG502" s="79" t="s">
        <v>309</v>
      </c>
      <c r="AH502" s="79"/>
      <c r="AI502" s="79" t="str">
        <f>TEXT(TRUNC(Q502*K499,1),"#,##0.#")</f>
        <v>132,160.</v>
      </c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  <c r="CH502" s="79"/>
      <c r="CI502" s="79"/>
      <c r="CJ502" s="79"/>
      <c r="CK502" s="79"/>
      <c r="CL502" s="79"/>
      <c r="CM502" s="79"/>
      <c r="CN502" s="79"/>
      <c r="CO502" s="79"/>
      <c r="CP502" s="79"/>
      <c r="CQ502" s="79"/>
      <c r="CR502" s="79"/>
      <c r="CS502" s="79"/>
      <c r="CT502" s="79"/>
      <c r="CU502" s="79"/>
      <c r="CV502" s="79"/>
      <c r="CW502" s="79"/>
      <c r="CX502" s="85"/>
      <c r="CY502" s="85"/>
      <c r="CZ502" s="85"/>
      <c r="DA502" s="86"/>
      <c r="DB502" s="84"/>
    </row>
    <row r="503" spans="2:106" ht="11.25" customHeight="1">
      <c r="B503" s="78"/>
      <c r="C503" s="79"/>
      <c r="D503" s="79"/>
      <c r="E503" s="79"/>
      <c r="F503" s="79"/>
      <c r="G503" s="79" t="s">
        <v>160</v>
      </c>
      <c r="H503" s="79"/>
      <c r="I503" s="79"/>
      <c r="J503" s="79"/>
      <c r="K503" s="79" t="s">
        <v>440</v>
      </c>
      <c r="L503" s="79"/>
      <c r="M503" s="79"/>
      <c r="N503" s="79" t="s">
        <v>604</v>
      </c>
      <c r="O503" s="79"/>
      <c r="P503" s="79" t="str">
        <f>TEXT(기계경비총괄표!I20,"#,##0")</f>
        <v>210,510</v>
      </c>
      <c r="Q503" s="79"/>
      <c r="R503" s="79"/>
      <c r="S503" s="79"/>
      <c r="T503" s="79"/>
      <c r="U503" s="79"/>
      <c r="V503" s="79"/>
      <c r="W503" s="79"/>
      <c r="X503" s="79"/>
      <c r="Y503" s="79"/>
      <c r="Z503" s="79" t="s">
        <v>699</v>
      </c>
      <c r="AA503" s="79"/>
      <c r="AB503" s="79"/>
      <c r="AC503" s="79" t="str">
        <f>TEXT(K499,"#,##0.#######")</f>
        <v>8.</v>
      </c>
      <c r="AD503" s="79"/>
      <c r="AE503" s="79"/>
      <c r="AF503" s="79"/>
      <c r="AG503" s="79" t="s">
        <v>309</v>
      </c>
      <c r="AH503" s="79"/>
      <c r="AI503" s="79" t="str">
        <f>TEXT(TRUNC(P503*K499,1),"#,##0.#")</f>
        <v>1,684,080.</v>
      </c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  <c r="CH503" s="79"/>
      <c r="CI503" s="79"/>
      <c r="CJ503" s="79"/>
      <c r="CK503" s="79"/>
      <c r="CL503" s="79"/>
      <c r="CM503" s="79"/>
      <c r="CN503" s="79"/>
      <c r="CO503" s="79"/>
      <c r="CP503" s="79"/>
      <c r="CQ503" s="79"/>
      <c r="CR503" s="79"/>
      <c r="CS503" s="79"/>
      <c r="CT503" s="79"/>
      <c r="CU503" s="79"/>
      <c r="CV503" s="79"/>
      <c r="CW503" s="79"/>
      <c r="CX503" s="85"/>
      <c r="CY503" s="85"/>
      <c r="CZ503" s="85"/>
      <c r="DA503" s="86"/>
      <c r="DB503" s="84"/>
    </row>
    <row r="504" spans="2:106" ht="11.25" customHeight="1">
      <c r="B504" s="78"/>
      <c r="C504" s="79"/>
      <c r="D504" s="79"/>
      <c r="E504" s="79"/>
      <c r="F504" s="79"/>
      <c r="G504" s="79" t="s">
        <v>305</v>
      </c>
      <c r="H504" s="79"/>
      <c r="I504" s="79"/>
      <c r="J504" s="79"/>
      <c r="K504" s="79" t="s">
        <v>436</v>
      </c>
      <c r="L504" s="79"/>
      <c r="M504" s="79"/>
      <c r="N504" s="79" t="s">
        <v>604</v>
      </c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 t="str">
        <f>TEXT(AP501+AI502+AI503,"#,##0.#######")</f>
        <v>2,626,996.</v>
      </c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  <c r="CH504" s="79"/>
      <c r="CI504" s="79"/>
      <c r="CJ504" s="79"/>
      <c r="CK504" s="79"/>
      <c r="CL504" s="79"/>
      <c r="CM504" s="79"/>
      <c r="CN504" s="79"/>
      <c r="CO504" s="79"/>
      <c r="CP504" s="79"/>
      <c r="CQ504" s="79"/>
      <c r="CR504" s="79"/>
      <c r="CS504" s="79"/>
      <c r="CT504" s="79"/>
      <c r="CU504" s="79"/>
      <c r="CV504" s="79"/>
      <c r="CW504" s="79"/>
      <c r="CX504" s="85">
        <f>CY504+CZ504+DA504</f>
        <v>2626996</v>
      </c>
      <c r="CY504" s="85" t="str">
        <f>TEXT(AP501,"#,###.0")</f>
        <v>810,756.0</v>
      </c>
      <c r="CZ504" s="85" t="str">
        <f>TEXT(AI502,"#,###.0")</f>
        <v>132,160.0</v>
      </c>
      <c r="DA504" s="86" t="str">
        <f>TEXT(AI503,"#,###.0")</f>
        <v>1,684,080.0</v>
      </c>
      <c r="DB504" s="84"/>
    </row>
    <row r="505" spans="2:106" ht="11.25" customHeight="1">
      <c r="B505" s="78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  <c r="CH505" s="79"/>
      <c r="CI505" s="79"/>
      <c r="CJ505" s="79"/>
      <c r="CK505" s="79"/>
      <c r="CL505" s="79"/>
      <c r="CM505" s="79"/>
      <c r="CN505" s="79"/>
      <c r="CO505" s="79"/>
      <c r="CP505" s="79"/>
      <c r="CQ505" s="79"/>
      <c r="CR505" s="79"/>
      <c r="CS505" s="79"/>
      <c r="CT505" s="79"/>
      <c r="CU505" s="79"/>
      <c r="CV505" s="79"/>
      <c r="CW505" s="79"/>
      <c r="CX505" s="85"/>
      <c r="CY505" s="85"/>
      <c r="CZ505" s="85"/>
      <c r="DA505" s="86"/>
      <c r="DB505" s="84"/>
    </row>
    <row r="506" spans="2:106" ht="11.25" customHeight="1">
      <c r="B506" s="78"/>
      <c r="C506" s="79"/>
      <c r="D506" s="79" t="s">
        <v>594</v>
      </c>
      <c r="E506" s="79"/>
      <c r="F506" s="79"/>
      <c r="G506" s="79" t="s">
        <v>557</v>
      </c>
      <c r="H506" s="79"/>
      <c r="I506" s="79"/>
      <c r="J506" s="79"/>
      <c r="K506" s="79" t="s">
        <v>436</v>
      </c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  <c r="CH506" s="79"/>
      <c r="CI506" s="79"/>
      <c r="CJ506" s="79"/>
      <c r="CK506" s="79"/>
      <c r="CL506" s="79"/>
      <c r="CM506" s="79"/>
      <c r="CN506" s="79"/>
      <c r="CO506" s="79"/>
      <c r="CP506" s="79"/>
      <c r="CQ506" s="79"/>
      <c r="CR506" s="79"/>
      <c r="CS506" s="79"/>
      <c r="CT506" s="79"/>
      <c r="CU506" s="79"/>
      <c r="CV506" s="79"/>
      <c r="CW506" s="79"/>
      <c r="CX506" s="85"/>
      <c r="CY506" s="85"/>
      <c r="CZ506" s="85"/>
      <c r="DA506" s="86"/>
      <c r="DB506" s="84"/>
    </row>
    <row r="507" spans="2:106" ht="11.25" customHeight="1">
      <c r="B507" s="78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  <c r="CH507" s="79"/>
      <c r="CI507" s="79"/>
      <c r="CJ507" s="79"/>
      <c r="CK507" s="79"/>
      <c r="CL507" s="79"/>
      <c r="CM507" s="79"/>
      <c r="CN507" s="79"/>
      <c r="CO507" s="79"/>
      <c r="CP507" s="79"/>
      <c r="CQ507" s="79"/>
      <c r="CR507" s="79"/>
      <c r="CS507" s="79"/>
      <c r="CT507" s="79"/>
      <c r="CU507" s="79"/>
      <c r="CV507" s="79"/>
      <c r="CW507" s="79"/>
      <c r="CX507" s="85"/>
      <c r="CY507" s="85"/>
      <c r="CZ507" s="85"/>
      <c r="DA507" s="86"/>
      <c r="DB507" s="84"/>
    </row>
    <row r="508" spans="2:106" ht="11.25" customHeight="1">
      <c r="B508" s="78"/>
      <c r="C508" s="79"/>
      <c r="D508" s="79"/>
      <c r="E508" s="79"/>
      <c r="F508" s="79"/>
      <c r="G508" s="79"/>
      <c r="H508" s="79" t="s">
        <v>700</v>
      </c>
      <c r="I508" s="79"/>
      <c r="J508" s="79"/>
      <c r="K508" s="79"/>
      <c r="L508" s="79"/>
      <c r="M508" s="79"/>
      <c r="N508" s="79"/>
      <c r="O508" s="79" t="s">
        <v>604</v>
      </c>
      <c r="P508" s="79"/>
      <c r="Q508" s="79" t="str">
        <f>TEXT(TRUNC(CY504,0),"#,##0")</f>
        <v>810,756</v>
      </c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  <c r="CH508" s="79"/>
      <c r="CI508" s="79"/>
      <c r="CJ508" s="79"/>
      <c r="CK508" s="79"/>
      <c r="CL508" s="79"/>
      <c r="CM508" s="79"/>
      <c r="CN508" s="79"/>
      <c r="CO508" s="79"/>
      <c r="CP508" s="79"/>
      <c r="CQ508" s="79"/>
      <c r="CR508" s="79"/>
      <c r="CS508" s="79"/>
      <c r="CT508" s="79"/>
      <c r="CU508" s="79"/>
      <c r="CV508" s="79"/>
      <c r="CW508" s="79"/>
      <c r="CX508" s="85"/>
      <c r="CY508" s="85"/>
      <c r="CZ508" s="85"/>
      <c r="DA508" s="86"/>
      <c r="DB508" s="84"/>
    </row>
    <row r="509" spans="2:106" ht="11.25" customHeight="1">
      <c r="B509" s="78"/>
      <c r="C509" s="79"/>
      <c r="D509" s="79"/>
      <c r="E509" s="79"/>
      <c r="F509" s="79"/>
      <c r="G509" s="79"/>
      <c r="H509" s="79" t="s">
        <v>498</v>
      </c>
      <c r="I509" s="79"/>
      <c r="J509" s="79"/>
      <c r="K509" s="79"/>
      <c r="L509" s="79"/>
      <c r="M509" s="79"/>
      <c r="N509" s="79"/>
      <c r="O509" s="79" t="s">
        <v>604</v>
      </c>
      <c r="P509" s="79"/>
      <c r="Q509" s="79" t="str">
        <f>TEXT(TRUNC(CZ504,0),"#,##0")</f>
        <v>132,160</v>
      </c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  <c r="CH509" s="79"/>
      <c r="CI509" s="79"/>
      <c r="CJ509" s="79"/>
      <c r="CK509" s="79"/>
      <c r="CL509" s="79"/>
      <c r="CM509" s="79"/>
      <c r="CN509" s="79"/>
      <c r="CO509" s="79"/>
      <c r="CP509" s="79"/>
      <c r="CQ509" s="79"/>
      <c r="CR509" s="79"/>
      <c r="CS509" s="79"/>
      <c r="CT509" s="79"/>
      <c r="CU509" s="79"/>
      <c r="CV509" s="79"/>
      <c r="CW509" s="79"/>
      <c r="CX509" s="85"/>
      <c r="CY509" s="85"/>
      <c r="CZ509" s="85"/>
      <c r="DA509" s="86"/>
      <c r="DB509" s="84"/>
    </row>
    <row r="510" spans="2:106" ht="11.25" customHeight="1">
      <c r="B510" s="78"/>
      <c r="C510" s="79"/>
      <c r="D510" s="79"/>
      <c r="E510" s="79"/>
      <c r="F510" s="79"/>
      <c r="G510" s="79"/>
      <c r="H510" s="79" t="s">
        <v>160</v>
      </c>
      <c r="I510" s="79"/>
      <c r="J510" s="79"/>
      <c r="K510" s="79"/>
      <c r="L510" s="79" t="s">
        <v>440</v>
      </c>
      <c r="M510" s="79"/>
      <c r="N510" s="79"/>
      <c r="O510" s="79" t="s">
        <v>604</v>
      </c>
      <c r="P510" s="79"/>
      <c r="Q510" s="79" t="str">
        <f>TEXT(TRUNC(DA504,0),"#,##0")</f>
        <v>1,684,080</v>
      </c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  <c r="CH510" s="79"/>
      <c r="CI510" s="79"/>
      <c r="CJ510" s="79"/>
      <c r="CK510" s="79"/>
      <c r="CL510" s="79"/>
      <c r="CM510" s="79"/>
      <c r="CN510" s="79"/>
      <c r="CO510" s="79"/>
      <c r="CP510" s="79"/>
      <c r="CQ510" s="79"/>
      <c r="CR510" s="79"/>
      <c r="CS510" s="79"/>
      <c r="CT510" s="79"/>
      <c r="CU510" s="79"/>
      <c r="CV510" s="79"/>
      <c r="CW510" s="79"/>
      <c r="CX510" s="85"/>
      <c r="CY510" s="85"/>
      <c r="CZ510" s="85"/>
      <c r="DA510" s="86"/>
      <c r="DB510" s="84"/>
    </row>
    <row r="511" spans="2:106" ht="11.25" customHeight="1">
      <c r="B511" s="78"/>
      <c r="C511" s="79"/>
      <c r="D511" s="79"/>
      <c r="E511" s="79"/>
      <c r="F511" s="79"/>
      <c r="G511" s="79"/>
      <c r="H511" s="79"/>
      <c r="I511" s="79"/>
      <c r="J511" s="79" t="s">
        <v>436</v>
      </c>
      <c r="K511" s="79"/>
      <c r="L511" s="79"/>
      <c r="M511" s="79"/>
      <c r="N511" s="79"/>
      <c r="O511" s="79" t="s">
        <v>604</v>
      </c>
      <c r="P511" s="79"/>
      <c r="Q511" s="79"/>
      <c r="R511" s="79" t="str">
        <f>TEXT(Q508+Q509+Q510,"#,##0")</f>
        <v>2,626,996</v>
      </c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  <c r="CH511" s="79"/>
      <c r="CI511" s="79"/>
      <c r="CJ511" s="79"/>
      <c r="CK511" s="79"/>
      <c r="CL511" s="79"/>
      <c r="CM511" s="79"/>
      <c r="CN511" s="79"/>
      <c r="CO511" s="79"/>
      <c r="CP511" s="79"/>
      <c r="CQ511" s="79"/>
      <c r="CR511" s="79"/>
      <c r="CS511" s="79"/>
      <c r="CT511" s="79"/>
      <c r="CU511" s="79"/>
      <c r="CV511" s="79"/>
      <c r="CW511" s="79"/>
      <c r="CX511" s="89">
        <f>CY511+CZ511+DA511</f>
        <v>2626996</v>
      </c>
      <c r="CY511" s="85" t="str">
        <f>TEXT(Q508,"#,##0")</f>
        <v>810,756</v>
      </c>
      <c r="CZ511" s="85" t="str">
        <f>TEXT(Q509,"#,##0")</f>
        <v>132,160</v>
      </c>
      <c r="DA511" s="86" t="str">
        <f>TEXT(Q510,"#,##0")</f>
        <v>1,684,080</v>
      </c>
      <c r="DB511" s="84"/>
    </row>
    <row r="512" spans="2:106" ht="11.25" customHeight="1">
      <c r="B512" s="78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  <c r="CH512" s="79"/>
      <c r="CI512" s="79"/>
      <c r="CJ512" s="79"/>
      <c r="CK512" s="79"/>
      <c r="CL512" s="79"/>
      <c r="CM512" s="79"/>
      <c r="CN512" s="79"/>
      <c r="CO512" s="79"/>
      <c r="CP512" s="79"/>
      <c r="CQ512" s="79"/>
      <c r="CR512" s="79"/>
      <c r="CS512" s="79"/>
      <c r="CT512" s="79"/>
      <c r="CU512" s="79"/>
      <c r="CV512" s="79"/>
      <c r="CW512" s="79"/>
      <c r="CX512" s="85"/>
      <c r="CY512" s="85"/>
      <c r="CZ512" s="85"/>
      <c r="DA512" s="86"/>
      <c r="DB512" s="84"/>
    </row>
    <row r="513" spans="2:106" ht="11.25" customHeight="1">
      <c r="B513" s="81" t="s">
        <v>277</v>
      </c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  <c r="CH513" s="79"/>
      <c r="CI513" s="79"/>
      <c r="CJ513" s="79"/>
      <c r="CK513" s="79"/>
      <c r="CL513" s="79"/>
      <c r="CM513" s="79"/>
      <c r="CN513" s="79"/>
      <c r="CO513" s="79"/>
      <c r="CP513" s="79"/>
      <c r="CQ513" s="79"/>
      <c r="CR513" s="79"/>
      <c r="CS513" s="79"/>
      <c r="CT513" s="79"/>
      <c r="CU513" s="79"/>
      <c r="CV513" s="79"/>
      <c r="CW513" s="79"/>
      <c r="CX513" s="82">
        <f>CX535</f>
        <v>4436</v>
      </c>
      <c r="CY513" s="82" t="str">
        <f>CY535</f>
        <v>2,541</v>
      </c>
      <c r="CZ513" s="82" t="str">
        <f>CZ535</f>
        <v>838</v>
      </c>
      <c r="DA513" s="83" t="str">
        <f>DA535</f>
        <v>1,057</v>
      </c>
      <c r="DB513" s="84"/>
    </row>
    <row r="514" spans="2:106" ht="11.25" customHeight="1">
      <c r="B514" s="78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  <c r="CH514" s="79"/>
      <c r="CI514" s="79"/>
      <c r="CJ514" s="79"/>
      <c r="CK514" s="79"/>
      <c r="CL514" s="79"/>
      <c r="CM514" s="79"/>
      <c r="CN514" s="79"/>
      <c r="CO514" s="79"/>
      <c r="CP514" s="79"/>
      <c r="CQ514" s="79"/>
      <c r="CR514" s="79"/>
      <c r="CS514" s="79"/>
      <c r="CT514" s="79"/>
      <c r="CU514" s="79"/>
      <c r="CV514" s="79"/>
      <c r="CW514" s="79"/>
      <c r="CX514" s="85"/>
      <c r="CY514" s="85"/>
      <c r="CZ514" s="85"/>
      <c r="DA514" s="86"/>
      <c r="DB514" s="84"/>
    </row>
    <row r="515" spans="2:106" ht="11.25" customHeight="1">
      <c r="B515" s="78"/>
      <c r="C515" s="79"/>
      <c r="D515" s="79" t="s">
        <v>401</v>
      </c>
      <c r="E515" s="79"/>
      <c r="F515" s="79"/>
      <c r="G515" s="79" t="s">
        <v>246</v>
      </c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 t="s">
        <v>653</v>
      </c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  <c r="CH515" s="79"/>
      <c r="CI515" s="79"/>
      <c r="CJ515" s="79"/>
      <c r="CK515" s="79"/>
      <c r="CL515" s="79"/>
      <c r="CM515" s="79"/>
      <c r="CN515" s="79"/>
      <c r="CO515" s="79"/>
      <c r="CP515" s="79"/>
      <c r="CQ515" s="79"/>
      <c r="CR515" s="79"/>
      <c r="CS515" s="79"/>
      <c r="CT515" s="79"/>
      <c r="CU515" s="79"/>
      <c r="CV515" s="79"/>
      <c r="CW515" s="79"/>
      <c r="CX515" s="85"/>
      <c r="CY515" s="85"/>
      <c r="CZ515" s="85"/>
      <c r="DA515" s="86"/>
      <c r="DB515" s="84"/>
    </row>
    <row r="516" spans="2:106" ht="11.25" customHeight="1">
      <c r="B516" s="78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  <c r="CH516" s="79"/>
      <c r="CI516" s="79"/>
      <c r="CJ516" s="79"/>
      <c r="CK516" s="79"/>
      <c r="CL516" s="79"/>
      <c r="CM516" s="79"/>
      <c r="CN516" s="79"/>
      <c r="CO516" s="79"/>
      <c r="CP516" s="79"/>
      <c r="CQ516" s="79"/>
      <c r="CR516" s="79"/>
      <c r="CS516" s="79"/>
      <c r="CT516" s="79"/>
      <c r="CU516" s="79"/>
      <c r="CV516" s="79"/>
      <c r="CW516" s="79"/>
      <c r="CX516" s="85"/>
      <c r="CY516" s="85"/>
      <c r="CZ516" s="85"/>
      <c r="DA516" s="86"/>
      <c r="DB516" s="84"/>
    </row>
    <row r="517" spans="2:106" ht="11.25" customHeight="1">
      <c r="B517" s="78"/>
      <c r="C517" s="79"/>
      <c r="D517" s="79"/>
      <c r="E517" s="79"/>
      <c r="F517" s="79"/>
      <c r="G517" s="79" t="s">
        <v>697</v>
      </c>
      <c r="H517" s="79"/>
      <c r="I517" s="79" t="s">
        <v>309</v>
      </c>
      <c r="J517" s="79"/>
      <c r="K517" s="79" t="str">
        <f>TEXT(0.7,"#,##0.#######")</f>
        <v>0.7</v>
      </c>
      <c r="L517" s="79"/>
      <c r="M517" s="79"/>
      <c r="N517" s="79"/>
      <c r="O517" s="79"/>
      <c r="P517" s="79"/>
      <c r="Q517" s="79"/>
      <c r="R517" s="79"/>
      <c r="S517" s="79"/>
      <c r="T517" s="79" t="s">
        <v>91</v>
      </c>
      <c r="U517" s="79"/>
      <c r="V517" s="79" t="s">
        <v>309</v>
      </c>
      <c r="W517" s="79"/>
      <c r="X517" s="79" t="str">
        <f>TEXT(1,"#,##0.#######")</f>
        <v>1.</v>
      </c>
      <c r="Y517" s="79"/>
      <c r="Z517" s="79" t="s">
        <v>123</v>
      </c>
      <c r="AA517" s="79"/>
      <c r="AB517" s="79" t="str">
        <f>TEXT(1.5,"#,##0.#######")</f>
        <v>1.5</v>
      </c>
      <c r="AC517" s="79"/>
      <c r="AD517" s="79"/>
      <c r="AE517" s="79"/>
      <c r="AF517" s="79" t="s">
        <v>309</v>
      </c>
      <c r="AG517" s="79"/>
      <c r="AH517" s="79" t="str">
        <f>TEXT(ROUND(X517/AB517,2),"#,##0.#######")</f>
        <v>0.67</v>
      </c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 t="s">
        <v>335</v>
      </c>
      <c r="AT517" s="79"/>
      <c r="AU517" s="79" t="s">
        <v>309</v>
      </c>
      <c r="AV517" s="79"/>
      <c r="AW517" s="79" t="str">
        <f>TEXT(0.55,"#,##0.#######")</f>
        <v>0.55</v>
      </c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  <c r="CH517" s="79"/>
      <c r="CI517" s="79"/>
      <c r="CJ517" s="79"/>
      <c r="CK517" s="79"/>
      <c r="CL517" s="79"/>
      <c r="CM517" s="79"/>
      <c r="CN517" s="79"/>
      <c r="CO517" s="79"/>
      <c r="CP517" s="79"/>
      <c r="CQ517" s="79"/>
      <c r="CR517" s="79"/>
      <c r="CS517" s="79"/>
      <c r="CT517" s="79"/>
      <c r="CU517" s="79"/>
      <c r="CV517" s="79"/>
      <c r="CW517" s="79"/>
      <c r="CX517" s="85"/>
      <c r="CY517" s="85"/>
      <c r="CZ517" s="85"/>
      <c r="DA517" s="86"/>
      <c r="DB517" s="84"/>
    </row>
    <row r="518" spans="2:106" ht="11.25" customHeight="1">
      <c r="B518" s="78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  <c r="CH518" s="79"/>
      <c r="CI518" s="79"/>
      <c r="CJ518" s="79"/>
      <c r="CK518" s="79"/>
      <c r="CL518" s="79"/>
      <c r="CM518" s="79"/>
      <c r="CN518" s="79"/>
      <c r="CO518" s="79"/>
      <c r="CP518" s="79"/>
      <c r="CQ518" s="79"/>
      <c r="CR518" s="79"/>
      <c r="CS518" s="79"/>
      <c r="CT518" s="79"/>
      <c r="CU518" s="79"/>
      <c r="CV518" s="79"/>
      <c r="CW518" s="79"/>
      <c r="CX518" s="85"/>
      <c r="CY518" s="85"/>
      <c r="CZ518" s="85"/>
      <c r="DA518" s="86"/>
      <c r="DB518" s="84"/>
    </row>
    <row r="519" spans="2:106" ht="11.25" customHeight="1">
      <c r="B519" s="78"/>
      <c r="C519" s="79"/>
      <c r="D519" s="79"/>
      <c r="E519" s="79"/>
      <c r="F519" s="79"/>
      <c r="G519" s="79" t="s">
        <v>342</v>
      </c>
      <c r="H519" s="79"/>
      <c r="I519" s="79" t="s">
        <v>309</v>
      </c>
      <c r="J519" s="79"/>
      <c r="K519" s="79" t="str">
        <f>TEXT(0.45,"#,##0.#######")</f>
        <v>0.45</v>
      </c>
      <c r="L519" s="79"/>
      <c r="M519" s="79"/>
      <c r="N519" s="79"/>
      <c r="O519" s="79"/>
      <c r="P519" s="79"/>
      <c r="Q519" s="79"/>
      <c r="R519" s="79"/>
      <c r="S519" s="79"/>
      <c r="T519" s="79" t="s">
        <v>103</v>
      </c>
      <c r="U519" s="79"/>
      <c r="V519" s="79"/>
      <c r="W519" s="79" t="s">
        <v>309</v>
      </c>
      <c r="X519" s="79"/>
      <c r="Y519" s="79" t="str">
        <f>TEXT(18,"#,##0.#######")</f>
        <v>18.</v>
      </c>
      <c r="Z519" s="79"/>
      <c r="AA519" s="79" t="s">
        <v>731</v>
      </c>
      <c r="AB519" s="79"/>
      <c r="AC519" s="79"/>
      <c r="AD519" s="79"/>
      <c r="AE519" s="79" t="s">
        <v>431</v>
      </c>
      <c r="AF519" s="79" t="s">
        <v>68</v>
      </c>
      <c r="AG519" s="79"/>
      <c r="AH519" s="79" t="s">
        <v>572</v>
      </c>
      <c r="AI519" s="79"/>
      <c r="AJ519" s="79" t="s">
        <v>89</v>
      </c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  <c r="CH519" s="79"/>
      <c r="CI519" s="79"/>
      <c r="CJ519" s="79"/>
      <c r="CK519" s="79"/>
      <c r="CL519" s="79"/>
      <c r="CM519" s="79"/>
      <c r="CN519" s="79"/>
      <c r="CO519" s="79"/>
      <c r="CP519" s="79"/>
      <c r="CQ519" s="79"/>
      <c r="CR519" s="79"/>
      <c r="CS519" s="79"/>
      <c r="CT519" s="79"/>
      <c r="CU519" s="79"/>
      <c r="CV519" s="79"/>
      <c r="CW519" s="79"/>
      <c r="CX519" s="85"/>
      <c r="CY519" s="85"/>
      <c r="CZ519" s="85"/>
      <c r="DA519" s="86"/>
      <c r="DB519" s="84"/>
    </row>
    <row r="520" spans="2:106" ht="11.25" customHeight="1">
      <c r="B520" s="80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87"/>
      <c r="CY520" s="87"/>
      <c r="CZ520" s="87"/>
      <c r="DA520" s="88"/>
      <c r="DB520" s="84"/>
    </row>
    <row r="521" spans="2:106" ht="11.25" customHeight="1">
      <c r="B521" s="78"/>
      <c r="C521" s="79"/>
      <c r="D521" s="79"/>
      <c r="E521" s="79"/>
      <c r="F521" s="79"/>
      <c r="G521" s="79"/>
      <c r="H521" s="79"/>
      <c r="I521" s="79"/>
      <c r="J521" s="79"/>
      <c r="K521" s="79"/>
      <c r="L521" s="79" t="str">
        <f>TEXT(3600,"#,##0.#######")</f>
        <v>3,600.</v>
      </c>
      <c r="M521" s="79"/>
      <c r="N521" s="79"/>
      <c r="O521" s="79"/>
      <c r="P521" s="79"/>
      <c r="Q521" s="79" t="s">
        <v>699</v>
      </c>
      <c r="R521" s="79"/>
      <c r="S521" s="79" t="s">
        <v>697</v>
      </c>
      <c r="T521" s="79" t="s">
        <v>699</v>
      </c>
      <c r="U521" s="79"/>
      <c r="V521" s="79" t="s">
        <v>335</v>
      </c>
      <c r="W521" s="79" t="s">
        <v>699</v>
      </c>
      <c r="X521" s="79"/>
      <c r="Y521" s="79" t="s">
        <v>91</v>
      </c>
      <c r="Z521" s="79" t="s">
        <v>699</v>
      </c>
      <c r="AA521" s="79"/>
      <c r="AB521" s="79" t="s">
        <v>342</v>
      </c>
      <c r="AC521" s="79"/>
      <c r="AD521" s="79"/>
      <c r="AE521" s="79"/>
      <c r="AF521" s="79"/>
      <c r="AG521" s="79"/>
      <c r="AH521" s="79"/>
      <c r="AI521" s="79" t="str">
        <f>TEXT(L521,"#,##0.#######")</f>
        <v>3,600.</v>
      </c>
      <c r="AJ521" s="79"/>
      <c r="AK521" s="79"/>
      <c r="AL521" s="79"/>
      <c r="AM521" s="79"/>
      <c r="AN521" s="79" t="s">
        <v>699</v>
      </c>
      <c r="AO521" s="79"/>
      <c r="AP521" s="79" t="str">
        <f>TEXT(K517,"#,##0.#######")</f>
        <v>0.7</v>
      </c>
      <c r="AQ521" s="79"/>
      <c r="AR521" s="79"/>
      <c r="AS521" s="79" t="s">
        <v>699</v>
      </c>
      <c r="AT521" s="79"/>
      <c r="AU521" s="79" t="str">
        <f>TEXT(AW517,"#,##0.#######")</f>
        <v>0.55</v>
      </c>
      <c r="AV521" s="79"/>
      <c r="AW521" s="79"/>
      <c r="AX521" s="79"/>
      <c r="AY521" s="79" t="s">
        <v>699</v>
      </c>
      <c r="AZ521" s="79"/>
      <c r="BA521" s="79" t="str">
        <f>TEXT(AH517,"#,##0.#######")</f>
        <v>0.67</v>
      </c>
      <c r="BB521" s="79"/>
      <c r="BC521" s="79"/>
      <c r="BD521" s="79"/>
      <c r="BE521" s="79" t="s">
        <v>699</v>
      </c>
      <c r="BF521" s="79"/>
      <c r="BG521" s="79" t="str">
        <f>TEXT(K519,"#,##0.#######")</f>
        <v>0.45</v>
      </c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  <c r="CH521" s="79"/>
      <c r="CI521" s="79"/>
      <c r="CJ521" s="79"/>
      <c r="CK521" s="79"/>
      <c r="CL521" s="79"/>
      <c r="CM521" s="79"/>
      <c r="CN521" s="79"/>
      <c r="CO521" s="79"/>
      <c r="CP521" s="79"/>
      <c r="CQ521" s="79"/>
      <c r="CR521" s="79"/>
      <c r="CS521" s="79"/>
      <c r="CT521" s="79"/>
      <c r="CU521" s="79"/>
      <c r="CV521" s="79"/>
      <c r="CW521" s="79"/>
      <c r="CX521" s="85"/>
      <c r="CY521" s="85"/>
      <c r="CZ521" s="85"/>
      <c r="DA521" s="86"/>
      <c r="DB521" s="84"/>
    </row>
    <row r="522" spans="2:106" ht="11.25" customHeight="1">
      <c r="B522" s="78"/>
      <c r="C522" s="79"/>
      <c r="D522" s="79"/>
      <c r="E522" s="79"/>
      <c r="F522" s="79"/>
      <c r="G522" s="79" t="s">
        <v>49</v>
      </c>
      <c r="H522" s="79"/>
      <c r="I522" s="79" t="s">
        <v>309</v>
      </c>
      <c r="J522" s="79"/>
      <c r="K522" s="79" t="s">
        <v>218</v>
      </c>
      <c r="L522" s="79"/>
      <c r="M522" s="79" t="s">
        <v>218</v>
      </c>
      <c r="N522" s="79"/>
      <c r="O522" s="79" t="s">
        <v>218</v>
      </c>
      <c r="P522" s="79"/>
      <c r="Q522" s="79" t="s">
        <v>218</v>
      </c>
      <c r="R522" s="79"/>
      <c r="S522" s="79" t="s">
        <v>218</v>
      </c>
      <c r="T522" s="79"/>
      <c r="U522" s="79" t="s">
        <v>218</v>
      </c>
      <c r="V522" s="79"/>
      <c r="W522" s="79" t="s">
        <v>218</v>
      </c>
      <c r="X522" s="79"/>
      <c r="Y522" s="79" t="s">
        <v>218</v>
      </c>
      <c r="Z522" s="79"/>
      <c r="AA522" s="79" t="s">
        <v>218</v>
      </c>
      <c r="AB522" s="79"/>
      <c r="AC522" s="79" t="s">
        <v>218</v>
      </c>
      <c r="AD522" s="79"/>
      <c r="AE522" s="79"/>
      <c r="AF522" s="79" t="s">
        <v>309</v>
      </c>
      <c r="AG522" s="79"/>
      <c r="AH522" s="79" t="s">
        <v>218</v>
      </c>
      <c r="AI522" s="79"/>
      <c r="AJ522" s="79" t="s">
        <v>218</v>
      </c>
      <c r="AK522" s="79"/>
      <c r="AL522" s="79" t="s">
        <v>218</v>
      </c>
      <c r="AM522" s="79"/>
      <c r="AN522" s="79" t="s">
        <v>218</v>
      </c>
      <c r="AO522" s="79"/>
      <c r="AP522" s="79" t="s">
        <v>218</v>
      </c>
      <c r="AQ522" s="79"/>
      <c r="AR522" s="79" t="s">
        <v>218</v>
      </c>
      <c r="AS522" s="79"/>
      <c r="AT522" s="79" t="s">
        <v>218</v>
      </c>
      <c r="AU522" s="79"/>
      <c r="AV522" s="79" t="s">
        <v>218</v>
      </c>
      <c r="AW522" s="79"/>
      <c r="AX522" s="79" t="s">
        <v>218</v>
      </c>
      <c r="AY522" s="79"/>
      <c r="AZ522" s="79" t="s">
        <v>218</v>
      </c>
      <c r="BA522" s="79"/>
      <c r="BB522" s="79" t="s">
        <v>218</v>
      </c>
      <c r="BC522" s="79"/>
      <c r="BD522" s="79" t="s">
        <v>218</v>
      </c>
      <c r="BE522" s="79"/>
      <c r="BF522" s="79" t="s">
        <v>218</v>
      </c>
      <c r="BG522" s="79"/>
      <c r="BH522" s="79" t="s">
        <v>218</v>
      </c>
      <c r="BI522" s="79"/>
      <c r="BJ522" s="79" t="s">
        <v>218</v>
      </c>
      <c r="BK522" s="79"/>
      <c r="BL522" s="79"/>
      <c r="BM522" s="79" t="s">
        <v>309</v>
      </c>
      <c r="BN522" s="79"/>
      <c r="BO522" s="79" t="str">
        <f>TEXT(ROUND((3600*K517*AW517*AH517*K519)/(Y519),2),"#,##0.#######")</f>
        <v>23.22</v>
      </c>
      <c r="BP522" s="79"/>
      <c r="BQ522" s="79"/>
      <c r="BR522" s="79"/>
      <c r="BS522" s="79"/>
      <c r="BT522" s="79"/>
      <c r="BU522" s="79"/>
      <c r="BV522" s="79"/>
      <c r="BW522" s="79" t="s">
        <v>574</v>
      </c>
      <c r="BX522" s="79"/>
      <c r="BY522" s="79" t="s">
        <v>123</v>
      </c>
      <c r="BZ522" s="79" t="s">
        <v>598</v>
      </c>
      <c r="CA522" s="79"/>
      <c r="CB522" s="79"/>
      <c r="CC522" s="79"/>
      <c r="CD522" s="79"/>
      <c r="CE522" s="79"/>
      <c r="CF522" s="79"/>
      <c r="CG522" s="79"/>
      <c r="CH522" s="79"/>
      <c r="CI522" s="79"/>
      <c r="CJ522" s="79"/>
      <c r="CK522" s="79"/>
      <c r="CL522" s="79"/>
      <c r="CM522" s="79"/>
      <c r="CN522" s="79"/>
      <c r="CO522" s="79"/>
      <c r="CP522" s="79"/>
      <c r="CQ522" s="79"/>
      <c r="CR522" s="79"/>
      <c r="CS522" s="79"/>
      <c r="CT522" s="79"/>
      <c r="CU522" s="79"/>
      <c r="CV522" s="79"/>
      <c r="CW522" s="79"/>
      <c r="CX522" s="85"/>
      <c r="CY522" s="85"/>
      <c r="CZ522" s="85"/>
      <c r="DA522" s="86"/>
      <c r="DB522" s="84"/>
    </row>
    <row r="523" spans="2:106" ht="11.25" customHeight="1">
      <c r="B523" s="78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 t="s">
        <v>103</v>
      </c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 t="str">
        <f>TEXT(Y519,"#,##0.#######")</f>
        <v>18.</v>
      </c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  <c r="CH523" s="79"/>
      <c r="CI523" s="79"/>
      <c r="CJ523" s="79"/>
      <c r="CK523" s="79"/>
      <c r="CL523" s="79"/>
      <c r="CM523" s="79"/>
      <c r="CN523" s="79"/>
      <c r="CO523" s="79"/>
      <c r="CP523" s="79"/>
      <c r="CQ523" s="79"/>
      <c r="CR523" s="79"/>
      <c r="CS523" s="79"/>
      <c r="CT523" s="79"/>
      <c r="CU523" s="79"/>
      <c r="CV523" s="79"/>
      <c r="CW523" s="79"/>
      <c r="CX523" s="85"/>
      <c r="CY523" s="85"/>
      <c r="CZ523" s="85"/>
      <c r="DA523" s="86"/>
      <c r="DB523" s="84"/>
    </row>
    <row r="524" spans="2:106" ht="11.25" customHeight="1">
      <c r="B524" s="78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  <c r="CH524" s="79"/>
      <c r="CI524" s="79"/>
      <c r="CJ524" s="79"/>
      <c r="CK524" s="79"/>
      <c r="CL524" s="79"/>
      <c r="CM524" s="79"/>
      <c r="CN524" s="79"/>
      <c r="CO524" s="79"/>
      <c r="CP524" s="79"/>
      <c r="CQ524" s="79"/>
      <c r="CR524" s="79"/>
      <c r="CS524" s="79"/>
      <c r="CT524" s="79"/>
      <c r="CU524" s="79"/>
      <c r="CV524" s="79"/>
      <c r="CW524" s="79"/>
      <c r="CX524" s="85"/>
      <c r="CY524" s="85"/>
      <c r="CZ524" s="85"/>
      <c r="DA524" s="86"/>
      <c r="DB524" s="84"/>
    </row>
    <row r="525" spans="2:106" ht="11.25" customHeight="1">
      <c r="B525" s="78"/>
      <c r="C525" s="79"/>
      <c r="D525" s="79"/>
      <c r="E525" s="79"/>
      <c r="F525" s="79"/>
      <c r="G525" s="79" t="s">
        <v>700</v>
      </c>
      <c r="H525" s="79"/>
      <c r="I525" s="79"/>
      <c r="J525" s="79"/>
      <c r="K525" s="79"/>
      <c r="L525" s="79"/>
      <c r="M525" s="79"/>
      <c r="N525" s="79" t="s">
        <v>604</v>
      </c>
      <c r="O525" s="79"/>
      <c r="P525" s="79" t="str">
        <f>TEXT(기계경비총괄표!G22,"#,##0")</f>
        <v>59,020</v>
      </c>
      <c r="Q525" s="79"/>
      <c r="R525" s="79"/>
      <c r="S525" s="79"/>
      <c r="T525" s="79"/>
      <c r="U525" s="79"/>
      <c r="V525" s="79"/>
      <c r="W525" s="79"/>
      <c r="X525" s="79"/>
      <c r="Y525" s="79" t="s">
        <v>391</v>
      </c>
      <c r="Z525" s="79"/>
      <c r="AA525" s="79"/>
      <c r="AB525" s="79" t="str">
        <f>TEXT(BO522,"#,##0.#######")</f>
        <v>23.22</v>
      </c>
      <c r="AC525" s="79"/>
      <c r="AD525" s="79"/>
      <c r="AE525" s="79"/>
      <c r="AF525" s="79"/>
      <c r="AG525" s="79"/>
      <c r="AH525" s="79"/>
      <c r="AI525" s="79"/>
      <c r="AJ525" s="79" t="s">
        <v>309</v>
      </c>
      <c r="AK525" s="79"/>
      <c r="AL525" s="79" t="str">
        <f>TEXT(TRUNC(P525/BO522,1),"#,##0.#")</f>
        <v>2,541.7</v>
      </c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  <c r="CH525" s="79"/>
      <c r="CI525" s="79"/>
      <c r="CJ525" s="79"/>
      <c r="CK525" s="79"/>
      <c r="CL525" s="79"/>
      <c r="CM525" s="79"/>
      <c r="CN525" s="79"/>
      <c r="CO525" s="79"/>
      <c r="CP525" s="79"/>
      <c r="CQ525" s="79"/>
      <c r="CR525" s="79"/>
      <c r="CS525" s="79"/>
      <c r="CT525" s="79"/>
      <c r="CU525" s="79"/>
      <c r="CV525" s="79"/>
      <c r="CW525" s="79"/>
      <c r="CX525" s="85"/>
      <c r="CY525" s="85"/>
      <c r="CZ525" s="85"/>
      <c r="DA525" s="86"/>
      <c r="DB525" s="84"/>
    </row>
    <row r="526" spans="2:106" ht="11.25" customHeight="1">
      <c r="B526" s="78"/>
      <c r="C526" s="79"/>
      <c r="D526" s="79"/>
      <c r="E526" s="79"/>
      <c r="F526" s="79"/>
      <c r="G526" s="79" t="s">
        <v>498</v>
      </c>
      <c r="H526" s="79"/>
      <c r="I526" s="79"/>
      <c r="J526" s="79"/>
      <c r="K526" s="79"/>
      <c r="L526" s="79"/>
      <c r="M526" s="79"/>
      <c r="N526" s="79" t="s">
        <v>604</v>
      </c>
      <c r="O526" s="79"/>
      <c r="P526" s="79" t="str">
        <f>TEXT(기계경비총괄표!H22,"#,##0")</f>
        <v>19,473</v>
      </c>
      <c r="Q526" s="79"/>
      <c r="R526" s="79"/>
      <c r="S526" s="79"/>
      <c r="T526" s="79"/>
      <c r="U526" s="79"/>
      <c r="V526" s="79"/>
      <c r="W526" s="79"/>
      <c r="X526" s="79"/>
      <c r="Y526" s="79" t="s">
        <v>391</v>
      </c>
      <c r="Z526" s="79"/>
      <c r="AA526" s="79"/>
      <c r="AB526" s="79" t="str">
        <f>TEXT(BO522,"#,##0.#######")</f>
        <v>23.22</v>
      </c>
      <c r="AC526" s="79"/>
      <c r="AD526" s="79"/>
      <c r="AE526" s="79"/>
      <c r="AF526" s="79"/>
      <c r="AG526" s="79"/>
      <c r="AH526" s="79"/>
      <c r="AI526" s="79"/>
      <c r="AJ526" s="79" t="s">
        <v>309</v>
      </c>
      <c r="AK526" s="79"/>
      <c r="AL526" s="79"/>
      <c r="AM526" s="79"/>
      <c r="AN526" s="79" t="str">
        <f>TEXT(TRUNC(P526/BO522,1),"#,##0.#")</f>
        <v>838.6</v>
      </c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  <c r="CH526" s="79"/>
      <c r="CI526" s="79"/>
      <c r="CJ526" s="79"/>
      <c r="CK526" s="79"/>
      <c r="CL526" s="79"/>
      <c r="CM526" s="79"/>
      <c r="CN526" s="79"/>
      <c r="CO526" s="79"/>
      <c r="CP526" s="79"/>
      <c r="CQ526" s="79"/>
      <c r="CR526" s="79"/>
      <c r="CS526" s="79"/>
      <c r="CT526" s="79"/>
      <c r="CU526" s="79"/>
      <c r="CV526" s="79"/>
      <c r="CW526" s="79"/>
      <c r="CX526" s="85"/>
      <c r="CY526" s="85"/>
      <c r="CZ526" s="85"/>
      <c r="DA526" s="86"/>
      <c r="DB526" s="84"/>
    </row>
    <row r="527" spans="2:106" ht="11.25" customHeight="1">
      <c r="B527" s="78"/>
      <c r="C527" s="79"/>
      <c r="D527" s="79"/>
      <c r="E527" s="79"/>
      <c r="F527" s="79"/>
      <c r="G527" s="79" t="s">
        <v>160</v>
      </c>
      <c r="H527" s="79"/>
      <c r="I527" s="79"/>
      <c r="J527" s="79"/>
      <c r="K527" s="79" t="s">
        <v>440</v>
      </c>
      <c r="L527" s="79"/>
      <c r="M527" s="79"/>
      <c r="N527" s="79" t="s">
        <v>604</v>
      </c>
      <c r="O527" s="79"/>
      <c r="P527" s="79" t="str">
        <f>TEXT(기계경비총괄표!I22,"#,##0")</f>
        <v>24,554</v>
      </c>
      <c r="Q527" s="79"/>
      <c r="R527" s="79"/>
      <c r="S527" s="79"/>
      <c r="T527" s="79"/>
      <c r="U527" s="79"/>
      <c r="V527" s="79"/>
      <c r="W527" s="79"/>
      <c r="X527" s="79"/>
      <c r="Y527" s="79" t="s">
        <v>391</v>
      </c>
      <c r="Z527" s="79"/>
      <c r="AA527" s="79"/>
      <c r="AB527" s="79" t="str">
        <f>TEXT(BO522,"#,##0.#######")</f>
        <v>23.22</v>
      </c>
      <c r="AC527" s="79"/>
      <c r="AD527" s="79"/>
      <c r="AE527" s="79"/>
      <c r="AF527" s="79"/>
      <c r="AG527" s="79"/>
      <c r="AH527" s="79"/>
      <c r="AI527" s="79"/>
      <c r="AJ527" s="79" t="s">
        <v>309</v>
      </c>
      <c r="AK527" s="79"/>
      <c r="AL527" s="79" t="str">
        <f>TEXT(TRUNC(P527/BO522,1),"#,##0.#")</f>
        <v>1,057.4</v>
      </c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  <c r="CH527" s="79"/>
      <c r="CI527" s="79"/>
      <c r="CJ527" s="79"/>
      <c r="CK527" s="79"/>
      <c r="CL527" s="79"/>
      <c r="CM527" s="79"/>
      <c r="CN527" s="79"/>
      <c r="CO527" s="79"/>
      <c r="CP527" s="79"/>
      <c r="CQ527" s="79"/>
      <c r="CR527" s="79"/>
      <c r="CS527" s="79"/>
      <c r="CT527" s="79"/>
      <c r="CU527" s="79"/>
      <c r="CV527" s="79"/>
      <c r="CW527" s="79"/>
      <c r="CX527" s="85"/>
      <c r="CY527" s="85"/>
      <c r="CZ527" s="85"/>
      <c r="DA527" s="86"/>
      <c r="DB527" s="84"/>
    </row>
    <row r="528" spans="2:106" ht="11.25" customHeight="1">
      <c r="B528" s="78"/>
      <c r="C528" s="79"/>
      <c r="D528" s="79"/>
      <c r="E528" s="79"/>
      <c r="F528" s="79"/>
      <c r="G528" s="79" t="s">
        <v>305</v>
      </c>
      <c r="H528" s="79"/>
      <c r="I528" s="79"/>
      <c r="J528" s="79"/>
      <c r="K528" s="79" t="s">
        <v>436</v>
      </c>
      <c r="L528" s="79"/>
      <c r="M528" s="79"/>
      <c r="N528" s="79" t="s">
        <v>604</v>
      </c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 t="str">
        <f>TEXT(AL525+AN526+AL527,"#,##0.#######")</f>
        <v>4,437.7</v>
      </c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  <c r="CH528" s="79"/>
      <c r="CI528" s="79"/>
      <c r="CJ528" s="79"/>
      <c r="CK528" s="79"/>
      <c r="CL528" s="79"/>
      <c r="CM528" s="79"/>
      <c r="CN528" s="79"/>
      <c r="CO528" s="79"/>
      <c r="CP528" s="79"/>
      <c r="CQ528" s="79"/>
      <c r="CR528" s="79"/>
      <c r="CS528" s="79"/>
      <c r="CT528" s="79"/>
      <c r="CU528" s="79"/>
      <c r="CV528" s="79"/>
      <c r="CW528" s="79"/>
      <c r="CX528" s="85">
        <f>CY528+CZ528+DA528</f>
        <v>4437.7</v>
      </c>
      <c r="CY528" s="85" t="str">
        <f>TEXT(AL525,"#,###.0")</f>
        <v>2,541.7</v>
      </c>
      <c r="CZ528" s="85" t="str">
        <f>TEXT(AN526,"#,###.0")</f>
        <v>838.6</v>
      </c>
      <c r="DA528" s="86" t="str">
        <f>TEXT(AL527,"#,###.0")</f>
        <v>1,057.4</v>
      </c>
      <c r="DB528" s="84"/>
    </row>
    <row r="529" spans="2:106" ht="11.25" customHeight="1">
      <c r="B529" s="78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  <c r="CH529" s="79"/>
      <c r="CI529" s="79"/>
      <c r="CJ529" s="79"/>
      <c r="CK529" s="79"/>
      <c r="CL529" s="79"/>
      <c r="CM529" s="79"/>
      <c r="CN529" s="79"/>
      <c r="CO529" s="79"/>
      <c r="CP529" s="79"/>
      <c r="CQ529" s="79"/>
      <c r="CR529" s="79"/>
      <c r="CS529" s="79"/>
      <c r="CT529" s="79"/>
      <c r="CU529" s="79"/>
      <c r="CV529" s="79"/>
      <c r="CW529" s="79"/>
      <c r="CX529" s="85"/>
      <c r="CY529" s="85"/>
      <c r="CZ529" s="85"/>
      <c r="DA529" s="86"/>
      <c r="DB529" s="84"/>
    </row>
    <row r="530" spans="2:106" ht="11.25" customHeight="1">
      <c r="B530" s="78"/>
      <c r="C530" s="79"/>
      <c r="D530" s="79" t="s">
        <v>594</v>
      </c>
      <c r="E530" s="79"/>
      <c r="F530" s="79"/>
      <c r="G530" s="79" t="s">
        <v>557</v>
      </c>
      <c r="H530" s="79"/>
      <c r="I530" s="79"/>
      <c r="J530" s="79"/>
      <c r="K530" s="79" t="s">
        <v>436</v>
      </c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  <c r="CH530" s="79"/>
      <c r="CI530" s="79"/>
      <c r="CJ530" s="79"/>
      <c r="CK530" s="79"/>
      <c r="CL530" s="79"/>
      <c r="CM530" s="79"/>
      <c r="CN530" s="79"/>
      <c r="CO530" s="79"/>
      <c r="CP530" s="79"/>
      <c r="CQ530" s="79"/>
      <c r="CR530" s="79"/>
      <c r="CS530" s="79"/>
      <c r="CT530" s="79"/>
      <c r="CU530" s="79"/>
      <c r="CV530" s="79"/>
      <c r="CW530" s="79"/>
      <c r="CX530" s="85"/>
      <c r="CY530" s="85"/>
      <c r="CZ530" s="85"/>
      <c r="DA530" s="86"/>
      <c r="DB530" s="84"/>
    </row>
    <row r="531" spans="2:106" ht="11.25" customHeight="1">
      <c r="B531" s="78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  <c r="CH531" s="79"/>
      <c r="CI531" s="79"/>
      <c r="CJ531" s="79"/>
      <c r="CK531" s="79"/>
      <c r="CL531" s="79"/>
      <c r="CM531" s="79"/>
      <c r="CN531" s="79"/>
      <c r="CO531" s="79"/>
      <c r="CP531" s="79"/>
      <c r="CQ531" s="79"/>
      <c r="CR531" s="79"/>
      <c r="CS531" s="79"/>
      <c r="CT531" s="79"/>
      <c r="CU531" s="79"/>
      <c r="CV531" s="79"/>
      <c r="CW531" s="79"/>
      <c r="CX531" s="85"/>
      <c r="CY531" s="85"/>
      <c r="CZ531" s="85"/>
      <c r="DA531" s="86"/>
      <c r="DB531" s="84"/>
    </row>
    <row r="532" spans="2:106" ht="11.25" customHeight="1">
      <c r="B532" s="78"/>
      <c r="C532" s="79"/>
      <c r="D532" s="79"/>
      <c r="E532" s="79"/>
      <c r="F532" s="79"/>
      <c r="G532" s="79"/>
      <c r="H532" s="79" t="s">
        <v>700</v>
      </c>
      <c r="I532" s="79"/>
      <c r="J532" s="79"/>
      <c r="K532" s="79"/>
      <c r="L532" s="79"/>
      <c r="M532" s="79"/>
      <c r="N532" s="79"/>
      <c r="O532" s="79" t="s">
        <v>604</v>
      </c>
      <c r="P532" s="79"/>
      <c r="Q532" s="79" t="str">
        <f>TEXT(TRUNC(CY528,0),"#,##0")</f>
        <v>2,541</v>
      </c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  <c r="CH532" s="79"/>
      <c r="CI532" s="79"/>
      <c r="CJ532" s="79"/>
      <c r="CK532" s="79"/>
      <c r="CL532" s="79"/>
      <c r="CM532" s="79"/>
      <c r="CN532" s="79"/>
      <c r="CO532" s="79"/>
      <c r="CP532" s="79"/>
      <c r="CQ532" s="79"/>
      <c r="CR532" s="79"/>
      <c r="CS532" s="79"/>
      <c r="CT532" s="79"/>
      <c r="CU532" s="79"/>
      <c r="CV532" s="79"/>
      <c r="CW532" s="79"/>
      <c r="CX532" s="85"/>
      <c r="CY532" s="85"/>
      <c r="CZ532" s="85"/>
      <c r="DA532" s="86"/>
      <c r="DB532" s="84"/>
    </row>
    <row r="533" spans="2:106" ht="11.25" customHeight="1">
      <c r="B533" s="78"/>
      <c r="C533" s="79"/>
      <c r="D533" s="79"/>
      <c r="E533" s="79"/>
      <c r="F533" s="79"/>
      <c r="G533" s="79"/>
      <c r="H533" s="79" t="s">
        <v>498</v>
      </c>
      <c r="I533" s="79"/>
      <c r="J533" s="79"/>
      <c r="K533" s="79"/>
      <c r="L533" s="79"/>
      <c r="M533" s="79"/>
      <c r="N533" s="79"/>
      <c r="O533" s="79" t="s">
        <v>604</v>
      </c>
      <c r="P533" s="79"/>
      <c r="Q533" s="79" t="str">
        <f>TEXT(TRUNC(CZ528,0),"#,##0")</f>
        <v>838</v>
      </c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  <c r="CH533" s="79"/>
      <c r="CI533" s="79"/>
      <c r="CJ533" s="79"/>
      <c r="CK533" s="79"/>
      <c r="CL533" s="79"/>
      <c r="CM533" s="79"/>
      <c r="CN533" s="79"/>
      <c r="CO533" s="79"/>
      <c r="CP533" s="79"/>
      <c r="CQ533" s="79"/>
      <c r="CR533" s="79"/>
      <c r="CS533" s="79"/>
      <c r="CT533" s="79"/>
      <c r="CU533" s="79"/>
      <c r="CV533" s="79"/>
      <c r="CW533" s="79"/>
      <c r="CX533" s="85"/>
      <c r="CY533" s="85"/>
      <c r="CZ533" s="85"/>
      <c r="DA533" s="86"/>
      <c r="DB533" s="84"/>
    </row>
    <row r="534" spans="2:106" ht="11.25" customHeight="1">
      <c r="B534" s="78"/>
      <c r="C534" s="79"/>
      <c r="D534" s="79"/>
      <c r="E534" s="79"/>
      <c r="F534" s="79"/>
      <c r="G534" s="79"/>
      <c r="H534" s="79" t="s">
        <v>160</v>
      </c>
      <c r="I534" s="79"/>
      <c r="J534" s="79"/>
      <c r="K534" s="79"/>
      <c r="L534" s="79" t="s">
        <v>440</v>
      </c>
      <c r="M534" s="79"/>
      <c r="N534" s="79"/>
      <c r="O534" s="79" t="s">
        <v>604</v>
      </c>
      <c r="P534" s="79"/>
      <c r="Q534" s="79" t="str">
        <f>TEXT(TRUNC(DA528,0),"#,##0")</f>
        <v>1,057</v>
      </c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  <c r="CH534" s="79"/>
      <c r="CI534" s="79"/>
      <c r="CJ534" s="79"/>
      <c r="CK534" s="79"/>
      <c r="CL534" s="79"/>
      <c r="CM534" s="79"/>
      <c r="CN534" s="79"/>
      <c r="CO534" s="79"/>
      <c r="CP534" s="79"/>
      <c r="CQ534" s="79"/>
      <c r="CR534" s="79"/>
      <c r="CS534" s="79"/>
      <c r="CT534" s="79"/>
      <c r="CU534" s="79"/>
      <c r="CV534" s="79"/>
      <c r="CW534" s="79"/>
      <c r="CX534" s="85"/>
      <c r="CY534" s="85"/>
      <c r="CZ534" s="85"/>
      <c r="DA534" s="86"/>
      <c r="DB534" s="84"/>
    </row>
    <row r="535" spans="2:106" ht="11.25" customHeight="1">
      <c r="B535" s="78"/>
      <c r="C535" s="79"/>
      <c r="D535" s="79"/>
      <c r="E535" s="79"/>
      <c r="F535" s="79"/>
      <c r="G535" s="79"/>
      <c r="H535" s="79"/>
      <c r="I535" s="79"/>
      <c r="J535" s="79" t="s">
        <v>436</v>
      </c>
      <c r="K535" s="79"/>
      <c r="L535" s="79"/>
      <c r="M535" s="79"/>
      <c r="N535" s="79"/>
      <c r="O535" s="79" t="s">
        <v>604</v>
      </c>
      <c r="P535" s="79"/>
      <c r="Q535" s="79"/>
      <c r="R535" s="79" t="str">
        <f>TEXT(Q532+Q533+Q534,"#,##0")</f>
        <v>4,436</v>
      </c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  <c r="CH535" s="79"/>
      <c r="CI535" s="79"/>
      <c r="CJ535" s="79"/>
      <c r="CK535" s="79"/>
      <c r="CL535" s="79"/>
      <c r="CM535" s="79"/>
      <c r="CN535" s="79"/>
      <c r="CO535" s="79"/>
      <c r="CP535" s="79"/>
      <c r="CQ535" s="79"/>
      <c r="CR535" s="79"/>
      <c r="CS535" s="79"/>
      <c r="CT535" s="79"/>
      <c r="CU535" s="79"/>
      <c r="CV535" s="79"/>
      <c r="CW535" s="79"/>
      <c r="CX535" s="89">
        <f>CY535+CZ535+DA535</f>
        <v>4436</v>
      </c>
      <c r="CY535" s="85" t="str">
        <f>TEXT(Q532,"#,##0")</f>
        <v>2,541</v>
      </c>
      <c r="CZ535" s="85" t="str">
        <f>TEXT(Q533,"#,##0")</f>
        <v>838</v>
      </c>
      <c r="DA535" s="86" t="str">
        <f>TEXT(Q534,"#,##0")</f>
        <v>1,057</v>
      </c>
      <c r="DB535" s="84"/>
    </row>
    <row r="536" spans="2:106" ht="11.25" customHeight="1">
      <c r="B536" s="78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  <c r="CH536" s="79"/>
      <c r="CI536" s="79"/>
      <c r="CJ536" s="79"/>
      <c r="CK536" s="79"/>
      <c r="CL536" s="79"/>
      <c r="CM536" s="79"/>
      <c r="CN536" s="79"/>
      <c r="CO536" s="79"/>
      <c r="CP536" s="79"/>
      <c r="CQ536" s="79"/>
      <c r="CR536" s="79"/>
      <c r="CS536" s="79"/>
      <c r="CT536" s="79"/>
      <c r="CU536" s="79"/>
      <c r="CV536" s="79"/>
      <c r="CW536" s="79"/>
      <c r="CX536" s="85"/>
      <c r="CY536" s="85"/>
      <c r="CZ536" s="85"/>
      <c r="DA536" s="86"/>
      <c r="DB536" s="84"/>
    </row>
    <row r="537" spans="2:106" ht="11.25" customHeight="1">
      <c r="B537" s="78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  <c r="CH537" s="79"/>
      <c r="CI537" s="79"/>
      <c r="CJ537" s="79"/>
      <c r="CK537" s="79"/>
      <c r="CL537" s="79"/>
      <c r="CM537" s="79"/>
      <c r="CN537" s="79"/>
      <c r="CO537" s="79"/>
      <c r="CP537" s="79"/>
      <c r="CQ537" s="79"/>
      <c r="CR537" s="79"/>
      <c r="CS537" s="79"/>
      <c r="CT537" s="79"/>
      <c r="CU537" s="79"/>
      <c r="CV537" s="79"/>
      <c r="CW537" s="79"/>
      <c r="CX537" s="85"/>
      <c r="CY537" s="85"/>
      <c r="CZ537" s="85"/>
      <c r="DA537" s="86"/>
      <c r="DB537" s="84"/>
    </row>
    <row r="538" spans="2:106" ht="11.25" customHeight="1">
      <c r="B538" s="80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87"/>
      <c r="CY538" s="87"/>
      <c r="CZ538" s="87"/>
      <c r="DA538" s="88"/>
      <c r="DB538" s="84"/>
    </row>
    <row r="539" spans="2:106">
      <c r="B539" s="23"/>
      <c r="C539" s="23"/>
      <c r="D539" s="23"/>
      <c r="E539" s="23"/>
      <c r="F539" s="23"/>
    </row>
  </sheetData>
  <mergeCells count="2">
    <mergeCell ref="B3:CW3"/>
    <mergeCell ref="B1:DA2"/>
  </mergeCells>
  <phoneticPr fontId="8" type="noConversion"/>
  <pageMargins left="0.51181102362204722" right="3.937007874015748E-2" top="0.94488188976377963" bottom="0.59055118110236215" header="0.5" footer="0.5"/>
  <pageSetup paperSize="9" scale="70" orientation="portrait" copies="0"/>
  <headerFooter alignWithMargins="0"/>
  <rowBreaks count="6" manualBreakCount="6">
    <brk id="90" min="2" max="105" man="1"/>
    <brk id="176" min="2" max="105" man="1"/>
    <brk id="262" min="2" max="105" man="1"/>
    <brk id="348" min="2" max="105" man="1"/>
    <brk id="434" min="2" max="105" man="1"/>
    <brk id="520" min="2" max="10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9B61-A88C-4A59-846C-85AA74A9B701}">
  <dimension ref="B1:AC23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7.140625" customWidth="1"/>
    <col min="3" max="3" width="30.85546875" customWidth="1"/>
    <col min="4" max="4" width="28.28515625" customWidth="1"/>
    <col min="5" max="5" width="10.28515625" customWidth="1"/>
    <col min="6" max="9" width="19.28515625" customWidth="1"/>
  </cols>
  <sheetData>
    <row r="1" spans="2:29" ht="24.95" customHeight="1">
      <c r="B1" s="333" t="s">
        <v>394</v>
      </c>
      <c r="C1" s="333"/>
      <c r="D1" s="333"/>
      <c r="E1" s="333"/>
      <c r="F1" s="333"/>
      <c r="G1" s="333"/>
      <c r="H1" s="333"/>
      <c r="I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</row>
    <row r="3" spans="2:29" ht="30.75" customHeight="1">
      <c r="B3" s="24" t="s">
        <v>197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8" t="s">
        <v>55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225</v>
      </c>
      <c r="C4" s="29" t="s">
        <v>382</v>
      </c>
      <c r="D4" s="29" t="s">
        <v>158</v>
      </c>
      <c r="E4" s="30" t="s">
        <v>598</v>
      </c>
      <c r="F4" s="65">
        <f t="shared" ref="F4:F22" si="0">G4+H4+I4</f>
        <v>319882</v>
      </c>
      <c r="G4" s="65">
        <f>기계경비!AA4</f>
        <v>59020</v>
      </c>
      <c r="H4" s="65">
        <f>기계경비!AB4</f>
        <v>84117</v>
      </c>
      <c r="I4" s="73">
        <f>기계경비!AC4</f>
        <v>176745</v>
      </c>
      <c r="Z4" s="27">
        <v>319882</v>
      </c>
      <c r="AA4" s="27">
        <v>59020</v>
      </c>
      <c r="AB4" s="27">
        <v>84117</v>
      </c>
      <c r="AC4" s="27">
        <v>176745</v>
      </c>
    </row>
    <row r="5" spans="2:29" ht="19.7" customHeight="1">
      <c r="B5" s="28" t="s">
        <v>782</v>
      </c>
      <c r="C5" s="29" t="s">
        <v>610</v>
      </c>
      <c r="D5" s="29" t="s">
        <v>480</v>
      </c>
      <c r="E5" s="30" t="s">
        <v>598</v>
      </c>
      <c r="F5" s="65">
        <f t="shared" si="0"/>
        <v>92808</v>
      </c>
      <c r="G5" s="65">
        <f>기계경비!AA10</f>
        <v>59020</v>
      </c>
      <c r="H5" s="65">
        <f>기계경비!AB10</f>
        <v>12284</v>
      </c>
      <c r="I5" s="73">
        <f>기계경비!AC10</f>
        <v>21504</v>
      </c>
      <c r="Z5" s="27">
        <v>92808</v>
      </c>
      <c r="AA5" s="27">
        <v>59020</v>
      </c>
      <c r="AB5" s="27">
        <v>12284</v>
      </c>
      <c r="AC5" s="27">
        <v>21504</v>
      </c>
    </row>
    <row r="6" spans="2:29" ht="19.7" customHeight="1">
      <c r="B6" s="28" t="s">
        <v>312</v>
      </c>
      <c r="C6" s="29" t="s">
        <v>755</v>
      </c>
      <c r="D6" s="29" t="s">
        <v>330</v>
      </c>
      <c r="E6" s="30" t="s">
        <v>598</v>
      </c>
      <c r="F6" s="65">
        <f t="shared" si="0"/>
        <v>73460</v>
      </c>
      <c r="G6" s="65">
        <f>기계경비!AA17</f>
        <v>59020</v>
      </c>
      <c r="H6" s="65">
        <f>기계경비!AB17</f>
        <v>6935</v>
      </c>
      <c r="I6" s="73">
        <f>기계경비!AC17</f>
        <v>7505</v>
      </c>
      <c r="Z6" s="27">
        <v>73460</v>
      </c>
      <c r="AA6" s="27">
        <v>59020</v>
      </c>
      <c r="AB6" s="27">
        <v>6935</v>
      </c>
      <c r="AC6" s="27">
        <v>7505</v>
      </c>
    </row>
    <row r="7" spans="2:29" ht="19.7" customHeight="1">
      <c r="B7" s="28" t="s">
        <v>644</v>
      </c>
      <c r="C7" s="29" t="s">
        <v>95</v>
      </c>
      <c r="D7" s="29" t="s">
        <v>250</v>
      </c>
      <c r="E7" s="30" t="s">
        <v>598</v>
      </c>
      <c r="F7" s="65">
        <f t="shared" si="0"/>
        <v>137301</v>
      </c>
      <c r="G7" s="65">
        <f>기계경비!AA23</f>
        <v>59020</v>
      </c>
      <c r="H7" s="65">
        <f>기계경비!AB23</f>
        <v>19140</v>
      </c>
      <c r="I7" s="73">
        <f>기계경비!AC23</f>
        <v>59141</v>
      </c>
      <c r="Z7" s="27">
        <v>137301</v>
      </c>
      <c r="AA7" s="27">
        <v>59020</v>
      </c>
      <c r="AB7" s="27">
        <v>19140</v>
      </c>
      <c r="AC7" s="27">
        <v>59141</v>
      </c>
    </row>
    <row r="8" spans="2:29" ht="19.7" customHeight="1">
      <c r="B8" s="28" t="s">
        <v>253</v>
      </c>
      <c r="C8" s="29" t="s">
        <v>509</v>
      </c>
      <c r="D8" s="29" t="s">
        <v>673</v>
      </c>
      <c r="E8" s="30" t="s">
        <v>598</v>
      </c>
      <c r="F8" s="65">
        <f t="shared" si="0"/>
        <v>86977</v>
      </c>
      <c r="G8" s="65">
        <f>기계경비!AA29</f>
        <v>59020</v>
      </c>
      <c r="H8" s="65">
        <f>기계경비!AB29</f>
        <v>15100</v>
      </c>
      <c r="I8" s="73">
        <f>기계경비!AC29</f>
        <v>12857</v>
      </c>
      <c r="Z8" s="27">
        <v>86977</v>
      </c>
      <c r="AA8" s="27">
        <v>59020</v>
      </c>
      <c r="AB8" s="27">
        <v>15100</v>
      </c>
      <c r="AC8" s="27">
        <v>12857</v>
      </c>
    </row>
    <row r="9" spans="2:29" ht="19.7" customHeight="1">
      <c r="B9" s="28" t="s">
        <v>760</v>
      </c>
      <c r="C9" s="29" t="s">
        <v>808</v>
      </c>
      <c r="D9" s="29" t="s">
        <v>814</v>
      </c>
      <c r="E9" s="30" t="s">
        <v>598</v>
      </c>
      <c r="F9" s="65">
        <f t="shared" si="0"/>
        <v>91695</v>
      </c>
      <c r="G9" s="65">
        <f>기계경비!AA35</f>
        <v>59020</v>
      </c>
      <c r="H9" s="65">
        <f>기계경비!AB35</f>
        <v>13539</v>
      </c>
      <c r="I9" s="73">
        <f>기계경비!AC35</f>
        <v>19136</v>
      </c>
      <c r="Z9" s="27">
        <v>91695</v>
      </c>
      <c r="AA9" s="27">
        <v>59020</v>
      </c>
      <c r="AB9" s="27">
        <v>13539</v>
      </c>
      <c r="AC9" s="27">
        <v>19136</v>
      </c>
    </row>
    <row r="10" spans="2:29" ht="19.7" customHeight="1">
      <c r="B10" s="28" t="s">
        <v>402</v>
      </c>
      <c r="C10" s="29" t="s">
        <v>805</v>
      </c>
      <c r="D10" s="29" t="s">
        <v>806</v>
      </c>
      <c r="E10" s="30" t="s">
        <v>598</v>
      </c>
      <c r="F10" s="65">
        <f t="shared" si="0"/>
        <v>76175</v>
      </c>
      <c r="G10" s="65">
        <f>기계경비!AA41</f>
        <v>59020</v>
      </c>
      <c r="H10" s="65">
        <f>기계경비!AB41</f>
        <v>8118</v>
      </c>
      <c r="I10" s="73">
        <f>기계경비!AC41</f>
        <v>9037</v>
      </c>
      <c r="Z10" s="27">
        <v>76175</v>
      </c>
      <c r="AA10" s="27">
        <v>59020</v>
      </c>
      <c r="AB10" s="27">
        <v>8118</v>
      </c>
      <c r="AC10" s="27">
        <v>9037</v>
      </c>
    </row>
    <row r="11" spans="2:29" ht="19.7" customHeight="1">
      <c r="B11" s="28" t="s">
        <v>764</v>
      </c>
      <c r="C11" s="29" t="s">
        <v>634</v>
      </c>
      <c r="D11" s="29" t="s">
        <v>576</v>
      </c>
      <c r="E11" s="30" t="s">
        <v>598</v>
      </c>
      <c r="F11" s="65">
        <f t="shared" si="0"/>
        <v>94238</v>
      </c>
      <c r="G11" s="65">
        <f>기계경비!AA47</f>
        <v>59020</v>
      </c>
      <c r="H11" s="65">
        <f>기계경비!AB47</f>
        <v>18748</v>
      </c>
      <c r="I11" s="73">
        <f>기계경비!AC47</f>
        <v>16470</v>
      </c>
      <c r="Z11" s="27">
        <v>94238</v>
      </c>
      <c r="AA11" s="27">
        <v>59020</v>
      </c>
      <c r="AB11" s="27">
        <v>18748</v>
      </c>
      <c r="AC11" s="27">
        <v>16470</v>
      </c>
    </row>
    <row r="12" spans="2:29" ht="19.7" customHeight="1">
      <c r="B12" s="28" t="s">
        <v>392</v>
      </c>
      <c r="C12" s="29" t="s">
        <v>8</v>
      </c>
      <c r="D12" s="29" t="s">
        <v>171</v>
      </c>
      <c r="E12" s="30" t="s">
        <v>598</v>
      </c>
      <c r="F12" s="65">
        <f t="shared" si="0"/>
        <v>92007</v>
      </c>
      <c r="G12" s="65">
        <f>기계경비!AA53</f>
        <v>49778</v>
      </c>
      <c r="H12" s="65">
        <f>기계경비!AB53</f>
        <v>23075</v>
      </c>
      <c r="I12" s="73">
        <f>기계경비!AC53</f>
        <v>19154</v>
      </c>
      <c r="Z12" s="27">
        <v>92007</v>
      </c>
      <c r="AA12" s="27">
        <v>49778</v>
      </c>
      <c r="AB12" s="27">
        <v>23075</v>
      </c>
      <c r="AC12" s="27">
        <v>19154</v>
      </c>
    </row>
    <row r="13" spans="2:29" ht="19.7" customHeight="1">
      <c r="B13" s="28" t="s">
        <v>90</v>
      </c>
      <c r="C13" s="29" t="s">
        <v>353</v>
      </c>
      <c r="D13" s="29" t="s">
        <v>232</v>
      </c>
      <c r="E13" s="30" t="s">
        <v>598</v>
      </c>
      <c r="F13" s="65">
        <f t="shared" si="0"/>
        <v>66885</v>
      </c>
      <c r="G13" s="65">
        <f>기계경비!AA59</f>
        <v>49778</v>
      </c>
      <c r="H13" s="65">
        <f>기계경비!AB59</f>
        <v>9494</v>
      </c>
      <c r="I13" s="73">
        <f>기계경비!AC59</f>
        <v>7613</v>
      </c>
      <c r="Z13" s="27">
        <v>66885</v>
      </c>
      <c r="AA13" s="27">
        <v>49778</v>
      </c>
      <c r="AB13" s="27">
        <v>9494</v>
      </c>
      <c r="AC13" s="27">
        <v>7613</v>
      </c>
    </row>
    <row r="14" spans="2:29" ht="19.7" customHeight="1">
      <c r="B14" s="28" t="s">
        <v>433</v>
      </c>
      <c r="C14" s="29" t="s">
        <v>353</v>
      </c>
      <c r="D14" s="29" t="s">
        <v>273</v>
      </c>
      <c r="E14" s="30" t="s">
        <v>598</v>
      </c>
      <c r="F14" s="65">
        <f t="shared" si="0"/>
        <v>61806</v>
      </c>
      <c r="G14" s="65">
        <f>기계경비!AA65</f>
        <v>49778</v>
      </c>
      <c r="H14" s="65">
        <f>기계경비!AB65</f>
        <v>5506</v>
      </c>
      <c r="I14" s="73">
        <f>기계경비!AC65</f>
        <v>6522</v>
      </c>
      <c r="Z14" s="27">
        <v>61806</v>
      </c>
      <c r="AA14" s="27">
        <v>49778</v>
      </c>
      <c r="AB14" s="27">
        <v>5506</v>
      </c>
      <c r="AC14" s="27">
        <v>6522</v>
      </c>
    </row>
    <row r="15" spans="2:29" ht="19.7" customHeight="1">
      <c r="B15" s="28" t="s">
        <v>151</v>
      </c>
      <c r="C15" s="29" t="s">
        <v>301</v>
      </c>
      <c r="D15" s="29" t="s">
        <v>823</v>
      </c>
      <c r="E15" s="30" t="s">
        <v>598</v>
      </c>
      <c r="F15" s="65">
        <f t="shared" si="0"/>
        <v>66591</v>
      </c>
      <c r="G15" s="65">
        <f>기계경비!AA71</f>
        <v>49778</v>
      </c>
      <c r="H15" s="65">
        <f>기계경비!AB71</f>
        <v>6274</v>
      </c>
      <c r="I15" s="73">
        <f>기계경비!AC71</f>
        <v>10539</v>
      </c>
      <c r="Z15" s="27">
        <v>66591</v>
      </c>
      <c r="AA15" s="27">
        <v>49778</v>
      </c>
      <c r="AB15" s="27">
        <v>6274</v>
      </c>
      <c r="AC15" s="27">
        <v>10539</v>
      </c>
    </row>
    <row r="16" spans="2:29" ht="19.7" customHeight="1">
      <c r="B16" s="28" t="s">
        <v>517</v>
      </c>
      <c r="C16" s="29" t="s">
        <v>347</v>
      </c>
      <c r="D16" s="29" t="s">
        <v>827</v>
      </c>
      <c r="E16" s="30" t="s">
        <v>598</v>
      </c>
      <c r="F16" s="65">
        <f t="shared" si="0"/>
        <v>107892</v>
      </c>
      <c r="G16" s="65">
        <f>기계경비!AA77</f>
        <v>59020</v>
      </c>
      <c r="H16" s="65">
        <f>기계경비!AB77</f>
        <v>31558</v>
      </c>
      <c r="I16" s="73">
        <f>기계경비!AC77</f>
        <v>17314</v>
      </c>
      <c r="Z16" s="27">
        <v>107892</v>
      </c>
      <c r="AA16" s="27">
        <v>59020</v>
      </c>
      <c r="AB16" s="27">
        <v>31558</v>
      </c>
      <c r="AC16" s="27">
        <v>17314</v>
      </c>
    </row>
    <row r="17" spans="2:29" ht="19.7" customHeight="1">
      <c r="B17" s="28" t="s">
        <v>26</v>
      </c>
      <c r="C17" s="29" t="s">
        <v>11</v>
      </c>
      <c r="D17" s="29" t="s">
        <v>196</v>
      </c>
      <c r="E17" s="30" t="s">
        <v>598</v>
      </c>
      <c r="F17" s="65">
        <f t="shared" si="0"/>
        <v>136855</v>
      </c>
      <c r="G17" s="65">
        <f>기계경비!AA83</f>
        <v>59020</v>
      </c>
      <c r="H17" s="65">
        <f>기계경비!AB83</f>
        <v>30984</v>
      </c>
      <c r="I17" s="73">
        <f>기계경비!AC83</f>
        <v>46851</v>
      </c>
      <c r="Z17" s="27">
        <v>136855</v>
      </c>
      <c r="AA17" s="27">
        <v>59020</v>
      </c>
      <c r="AB17" s="27">
        <v>30984</v>
      </c>
      <c r="AC17" s="27">
        <v>46851</v>
      </c>
    </row>
    <row r="18" spans="2:29" ht="19.7" customHeight="1">
      <c r="B18" s="28" t="s">
        <v>462</v>
      </c>
      <c r="C18" s="29" t="s">
        <v>672</v>
      </c>
      <c r="D18" s="29" t="s">
        <v>685</v>
      </c>
      <c r="E18" s="30" t="s">
        <v>598</v>
      </c>
      <c r="F18" s="65">
        <f t="shared" si="0"/>
        <v>43664</v>
      </c>
      <c r="G18" s="65">
        <f>기계경비!AA89</f>
        <v>36248</v>
      </c>
      <c r="H18" s="65">
        <f>기계경비!AB89</f>
        <v>0</v>
      </c>
      <c r="I18" s="73">
        <f>기계경비!AC89</f>
        <v>7416</v>
      </c>
      <c r="Z18" s="27">
        <v>43664</v>
      </c>
      <c r="AA18" s="27">
        <v>36248</v>
      </c>
      <c r="AC18" s="27">
        <v>7416</v>
      </c>
    </row>
    <row r="19" spans="2:29" ht="19.7" customHeight="1">
      <c r="B19" s="28" t="s">
        <v>125</v>
      </c>
      <c r="C19" s="29" t="s">
        <v>80</v>
      </c>
      <c r="D19" s="29" t="s">
        <v>708</v>
      </c>
      <c r="E19" s="30" t="s">
        <v>598</v>
      </c>
      <c r="F19" s="65">
        <f t="shared" si="0"/>
        <v>54971</v>
      </c>
      <c r="G19" s="65">
        <f>기계경비!AA93</f>
        <v>36248</v>
      </c>
      <c r="H19" s="65">
        <f>기계경비!AB93</f>
        <v>14477</v>
      </c>
      <c r="I19" s="73">
        <f>기계경비!AC93</f>
        <v>4246</v>
      </c>
      <c r="Z19" s="27">
        <v>54971</v>
      </c>
      <c r="AA19" s="27">
        <v>36248</v>
      </c>
      <c r="AB19" s="27">
        <v>14477</v>
      </c>
      <c r="AC19" s="27">
        <v>4246</v>
      </c>
    </row>
    <row r="20" spans="2:29" ht="19.7" customHeight="1">
      <c r="B20" s="28" t="s">
        <v>589</v>
      </c>
      <c r="C20" s="29" t="s">
        <v>639</v>
      </c>
      <c r="D20" s="29" t="s">
        <v>823</v>
      </c>
      <c r="E20" s="30" t="s">
        <v>598</v>
      </c>
      <c r="F20" s="65">
        <f t="shared" si="0"/>
        <v>294593</v>
      </c>
      <c r="G20" s="65">
        <f>기계경비!AA99</f>
        <v>67563</v>
      </c>
      <c r="H20" s="65">
        <f>기계경비!AB99</f>
        <v>16520</v>
      </c>
      <c r="I20" s="73">
        <f>기계경비!AC99</f>
        <v>210510</v>
      </c>
      <c r="Z20" s="27">
        <v>294593</v>
      </c>
      <c r="AA20" s="27">
        <v>67563</v>
      </c>
      <c r="AB20" s="27">
        <v>16520</v>
      </c>
      <c r="AC20" s="27">
        <v>210510</v>
      </c>
    </row>
    <row r="21" spans="2:29" ht="19.7" customHeight="1">
      <c r="B21" s="28" t="s">
        <v>127</v>
      </c>
      <c r="C21" s="29" t="s">
        <v>698</v>
      </c>
      <c r="D21" s="29" t="s">
        <v>155</v>
      </c>
      <c r="E21" s="30" t="s">
        <v>598</v>
      </c>
      <c r="F21" s="65">
        <f t="shared" si="0"/>
        <v>106815</v>
      </c>
      <c r="G21" s="65">
        <f>기계경비!AA106</f>
        <v>59020</v>
      </c>
      <c r="H21" s="65">
        <f>기계경비!AB106</f>
        <v>19473</v>
      </c>
      <c r="I21" s="73">
        <f>기계경비!AC106</f>
        <v>28322</v>
      </c>
      <c r="Z21" s="27">
        <v>106815</v>
      </c>
      <c r="AA21" s="27">
        <v>59020</v>
      </c>
      <c r="AB21" s="27">
        <v>19473</v>
      </c>
      <c r="AC21" s="27">
        <v>28322</v>
      </c>
    </row>
    <row r="22" spans="2:29" ht="19.7" customHeight="1">
      <c r="B22" s="33" t="s">
        <v>577</v>
      </c>
      <c r="C22" s="34" t="s">
        <v>246</v>
      </c>
      <c r="D22" s="34" t="s">
        <v>46</v>
      </c>
      <c r="E22" s="35" t="s">
        <v>598</v>
      </c>
      <c r="F22" s="74">
        <f t="shared" si="0"/>
        <v>103047</v>
      </c>
      <c r="G22" s="74">
        <f>기계경비!AA112</f>
        <v>59020</v>
      </c>
      <c r="H22" s="74">
        <f>기계경비!AB112</f>
        <v>19473</v>
      </c>
      <c r="I22" s="75">
        <f>기계경비!AC112</f>
        <v>24554</v>
      </c>
      <c r="Z22" s="27">
        <v>103047</v>
      </c>
      <c r="AA22" s="27">
        <v>59020</v>
      </c>
      <c r="AB22" s="27">
        <v>19473</v>
      </c>
      <c r="AC22" s="27">
        <v>24554</v>
      </c>
    </row>
    <row r="23" spans="2:29">
      <c r="B23" s="23"/>
      <c r="C23" s="23"/>
      <c r="D23" s="23"/>
      <c r="E23" s="23"/>
      <c r="F23" s="23"/>
      <c r="G23" s="23"/>
      <c r="H23" s="23"/>
      <c r="I23" s="23"/>
    </row>
  </sheetData>
  <mergeCells count="1">
    <mergeCell ref="B1:I2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8D72-D16D-47DF-B492-C85E9C2ED050}">
  <dimension ref="B1:AD118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0" customWidth="1"/>
    <col min="3" max="3" width="24.42578125" customWidth="1"/>
    <col min="4" max="25" width="2" customWidth="1"/>
    <col min="26" max="26" width="13.85546875" customWidth="1"/>
    <col min="27" max="29" width="10.28515625" customWidth="1"/>
    <col min="30" max="30" width="12" customWidth="1"/>
  </cols>
  <sheetData>
    <row r="1" spans="2:30" ht="24.95" customHeight="1">
      <c r="B1" s="333" t="s">
        <v>106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</row>
    <row r="2" spans="2:30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</row>
    <row r="3" spans="2:30" ht="30.75" customHeight="1">
      <c r="B3" s="24" t="s">
        <v>555</v>
      </c>
      <c r="C3" s="17" t="s">
        <v>649</v>
      </c>
      <c r="D3" s="332" t="s">
        <v>821</v>
      </c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16" t="s">
        <v>801</v>
      </c>
      <c r="AA3" s="17" t="s">
        <v>700</v>
      </c>
      <c r="AB3" s="17" t="s">
        <v>498</v>
      </c>
      <c r="AC3" s="17" t="s">
        <v>55</v>
      </c>
      <c r="AD3" s="18" t="s">
        <v>10</v>
      </c>
    </row>
    <row r="4" spans="2:30" ht="19.7" customHeight="1">
      <c r="B4" s="61" t="s">
        <v>426</v>
      </c>
      <c r="C4" s="62" t="s">
        <v>158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>
        <f>AA4+AB4+AC4</f>
        <v>319882</v>
      </c>
      <c r="AA4" s="65">
        <f>TRUNC(AA5+AA6+AA7+AA8)</f>
        <v>59020</v>
      </c>
      <c r="AB4" s="65">
        <f>TRUNC(AB5+AB6+AB7+AB8)</f>
        <v>84117</v>
      </c>
      <c r="AC4" s="65">
        <f>TRUNC(AC5+AC6+AC7+AC8)</f>
        <v>176745</v>
      </c>
      <c r="AD4" s="66"/>
    </row>
    <row r="5" spans="2:30" ht="19.7" customHeight="1">
      <c r="B5" s="67" t="s">
        <v>239</v>
      </c>
      <c r="C5" s="29" t="s">
        <v>834</v>
      </c>
      <c r="D5" s="362">
        <v>438356000</v>
      </c>
      <c r="E5" s="362"/>
      <c r="F5" s="362"/>
      <c r="G5" s="362"/>
      <c r="H5" s="362"/>
      <c r="I5" s="362" t="s">
        <v>149</v>
      </c>
      <c r="J5" s="362"/>
      <c r="K5" s="362">
        <v>4032</v>
      </c>
      <c r="L5" s="362"/>
      <c r="M5" s="362"/>
      <c r="N5" s="63" t="s">
        <v>699</v>
      </c>
      <c r="O5" s="362" t="s">
        <v>745</v>
      </c>
      <c r="P5" s="362"/>
      <c r="Q5" s="362"/>
      <c r="R5" s="63"/>
      <c r="S5" s="63"/>
      <c r="T5" s="63"/>
      <c r="U5" s="63"/>
      <c r="V5" s="63"/>
      <c r="W5" s="63"/>
      <c r="X5" s="63"/>
      <c r="Y5" s="63"/>
      <c r="Z5" s="64">
        <f>AA5+AB5+AC5</f>
        <v>176745.1</v>
      </c>
      <c r="AA5" s="68"/>
      <c r="AB5" s="68"/>
      <c r="AC5" s="68">
        <f>TRUNC(D5*K5*0.0000001,1)</f>
        <v>176745.1</v>
      </c>
      <c r="AD5" s="32" t="s">
        <v>635</v>
      </c>
    </row>
    <row r="6" spans="2:30" ht="19.7" customHeight="1">
      <c r="B6" s="67" t="s">
        <v>688</v>
      </c>
      <c r="C6" s="29" t="s">
        <v>53</v>
      </c>
      <c r="D6" s="363">
        <v>52.7</v>
      </c>
      <c r="E6" s="362"/>
      <c r="F6" s="362"/>
      <c r="G6" s="362"/>
      <c r="H6" s="63" t="s">
        <v>660</v>
      </c>
      <c r="I6" s="63" t="s">
        <v>699</v>
      </c>
      <c r="J6" s="362">
        <f>자재단가!R6</f>
        <v>1376</v>
      </c>
      <c r="K6" s="362"/>
      <c r="L6" s="362"/>
      <c r="M6" s="362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4">
        <f>AA6+AB6+AC6</f>
        <v>72515.199999999997</v>
      </c>
      <c r="AA6" s="68"/>
      <c r="AB6" s="68">
        <f>TRUNC(D6*J6,1)</f>
        <v>72515.199999999997</v>
      </c>
      <c r="AC6" s="68"/>
      <c r="AD6" s="32" t="s">
        <v>834</v>
      </c>
    </row>
    <row r="7" spans="2:30" ht="19.7" customHeight="1">
      <c r="B7" s="67" t="s">
        <v>61</v>
      </c>
      <c r="C7" s="29" t="s">
        <v>467</v>
      </c>
      <c r="D7" s="363">
        <v>16</v>
      </c>
      <c r="E7" s="362"/>
      <c r="F7" s="362"/>
      <c r="G7" s="362"/>
      <c r="H7" s="63" t="s">
        <v>157</v>
      </c>
      <c r="I7" s="63" t="s">
        <v>699</v>
      </c>
      <c r="J7" s="362">
        <f>AB6</f>
        <v>72515.199999999997</v>
      </c>
      <c r="K7" s="362"/>
      <c r="L7" s="362"/>
      <c r="M7" s="362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4">
        <f>AA7+AB7+AC7</f>
        <v>11602.4</v>
      </c>
      <c r="AA7" s="68"/>
      <c r="AB7" s="68">
        <f>TRUNC(D7/100*J7,1)</f>
        <v>11602.4</v>
      </c>
      <c r="AC7" s="68"/>
      <c r="AD7" s="32" t="s">
        <v>834</v>
      </c>
    </row>
    <row r="8" spans="2:30" ht="19.7" customHeight="1">
      <c r="B8" s="67" t="s">
        <v>177</v>
      </c>
      <c r="C8" s="29" t="s">
        <v>834</v>
      </c>
      <c r="D8" s="364">
        <v>1</v>
      </c>
      <c r="E8" s="362"/>
      <c r="F8" s="362"/>
      <c r="G8" s="63" t="s">
        <v>767</v>
      </c>
      <c r="H8" s="63" t="s">
        <v>699</v>
      </c>
      <c r="I8" s="362">
        <f>노임단가!F6</f>
        <v>283297</v>
      </c>
      <c r="J8" s="362"/>
      <c r="K8" s="362"/>
      <c r="L8" s="362"/>
      <c r="M8" s="63" t="s">
        <v>699</v>
      </c>
      <c r="N8" s="362" t="s">
        <v>570</v>
      </c>
      <c r="O8" s="362"/>
      <c r="P8" s="362"/>
      <c r="Q8" s="362"/>
      <c r="R8" s="362"/>
      <c r="S8" s="362"/>
      <c r="T8" s="362"/>
      <c r="U8" s="362"/>
      <c r="V8" s="362"/>
      <c r="W8" s="63"/>
      <c r="X8" s="63"/>
      <c r="Y8" s="63"/>
      <c r="Z8" s="64">
        <f>AA8+AB8+AC8</f>
        <v>59020.2</v>
      </c>
      <c r="AA8" s="68">
        <f>TRUNC(D8*I8*기계경비적용기준!E21,1)</f>
        <v>59020.2</v>
      </c>
      <c r="AB8" s="68"/>
      <c r="AC8" s="68"/>
      <c r="AD8" s="32" t="s">
        <v>834</v>
      </c>
    </row>
    <row r="9" spans="2:30" ht="19.7" customHeight="1">
      <c r="B9" s="67" t="s">
        <v>834</v>
      </c>
      <c r="C9" s="29" t="s">
        <v>834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37"/>
      <c r="AA9" s="31"/>
      <c r="AB9" s="31"/>
      <c r="AC9" s="31"/>
      <c r="AD9" s="32" t="s">
        <v>834</v>
      </c>
    </row>
    <row r="10" spans="2:30" ht="19.7" customHeight="1">
      <c r="B10" s="61" t="s">
        <v>611</v>
      </c>
      <c r="C10" s="62" t="s">
        <v>480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4">
        <f t="shared" ref="Z10:Z15" si="0">AA10+AB10+AC10</f>
        <v>92808</v>
      </c>
      <c r="AA10" s="65">
        <f>TRUNC(AA11+AA12+AA13+AA14+AA15)</f>
        <v>59020</v>
      </c>
      <c r="AB10" s="65">
        <f>TRUNC(AB11+AB12+AB13+AB14+AB15)</f>
        <v>12284</v>
      </c>
      <c r="AC10" s="65">
        <f>TRUNC(AC11+AC12+AC13+AC14+AC15)</f>
        <v>21504</v>
      </c>
      <c r="AD10" s="66"/>
    </row>
    <row r="11" spans="2:30" ht="19.7" customHeight="1">
      <c r="B11" s="67" t="s">
        <v>794</v>
      </c>
      <c r="C11" s="29" t="s">
        <v>834</v>
      </c>
      <c r="D11" s="362">
        <v>46576000</v>
      </c>
      <c r="E11" s="362"/>
      <c r="F11" s="362"/>
      <c r="G11" s="362"/>
      <c r="H11" s="362"/>
      <c r="I11" s="362" t="s">
        <v>149</v>
      </c>
      <c r="J11" s="362"/>
      <c r="K11" s="362">
        <v>2085</v>
      </c>
      <c r="L11" s="362"/>
      <c r="M11" s="362"/>
      <c r="N11" s="63" t="s">
        <v>699</v>
      </c>
      <c r="O11" s="362" t="s">
        <v>745</v>
      </c>
      <c r="P11" s="362"/>
      <c r="Q11" s="362"/>
      <c r="R11" s="63"/>
      <c r="S11" s="63"/>
      <c r="T11" s="63"/>
      <c r="U11" s="63"/>
      <c r="V11" s="63"/>
      <c r="W11" s="63"/>
      <c r="X11" s="63"/>
      <c r="Y11" s="63"/>
      <c r="Z11" s="64">
        <f t="shared" si="0"/>
        <v>9711</v>
      </c>
      <c r="AA11" s="68"/>
      <c r="AB11" s="68"/>
      <c r="AC11" s="68">
        <f>TRUNC(D11*K11*0.0000001,1)</f>
        <v>9711</v>
      </c>
      <c r="AD11" s="32" t="s">
        <v>635</v>
      </c>
    </row>
    <row r="12" spans="2:30" ht="19.7" customHeight="1">
      <c r="B12" s="67" t="s">
        <v>286</v>
      </c>
      <c r="C12" s="29" t="s">
        <v>834</v>
      </c>
      <c r="D12" s="362">
        <v>29250000</v>
      </c>
      <c r="E12" s="362"/>
      <c r="F12" s="362"/>
      <c r="G12" s="362"/>
      <c r="H12" s="362"/>
      <c r="I12" s="362" t="s">
        <v>149</v>
      </c>
      <c r="J12" s="362"/>
      <c r="K12" s="362">
        <v>4032</v>
      </c>
      <c r="L12" s="362"/>
      <c r="M12" s="362"/>
      <c r="N12" s="63" t="s">
        <v>699</v>
      </c>
      <c r="O12" s="362" t="s">
        <v>745</v>
      </c>
      <c r="P12" s="362"/>
      <c r="Q12" s="362"/>
      <c r="R12" s="63"/>
      <c r="S12" s="63"/>
      <c r="T12" s="63"/>
      <c r="U12" s="63"/>
      <c r="V12" s="63"/>
      <c r="W12" s="63"/>
      <c r="X12" s="63"/>
      <c r="Y12" s="63"/>
      <c r="Z12" s="64">
        <f t="shared" si="0"/>
        <v>11793.6</v>
      </c>
      <c r="AA12" s="68"/>
      <c r="AB12" s="68"/>
      <c r="AC12" s="68">
        <f>TRUNC(D12*K12*0.0000001,1)</f>
        <v>11793.6</v>
      </c>
      <c r="AD12" s="32" t="s">
        <v>635</v>
      </c>
    </row>
    <row r="13" spans="2:30" ht="19.7" customHeight="1">
      <c r="B13" s="67" t="s">
        <v>688</v>
      </c>
      <c r="C13" s="29" t="s">
        <v>53</v>
      </c>
      <c r="D13" s="363">
        <v>6.2</v>
      </c>
      <c r="E13" s="362"/>
      <c r="F13" s="362"/>
      <c r="G13" s="362"/>
      <c r="H13" s="63" t="s">
        <v>660</v>
      </c>
      <c r="I13" s="63" t="s">
        <v>699</v>
      </c>
      <c r="J13" s="362">
        <f>자재단가!R6</f>
        <v>1376</v>
      </c>
      <c r="K13" s="362"/>
      <c r="L13" s="362"/>
      <c r="M13" s="362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4">
        <f t="shared" si="0"/>
        <v>8531.2000000000007</v>
      </c>
      <c r="AA13" s="68"/>
      <c r="AB13" s="68">
        <f>TRUNC(D13*J13,1)</f>
        <v>8531.2000000000007</v>
      </c>
      <c r="AC13" s="68"/>
      <c r="AD13" s="32" t="s">
        <v>834</v>
      </c>
    </row>
    <row r="14" spans="2:30" ht="19.7" customHeight="1">
      <c r="B14" s="67" t="s">
        <v>61</v>
      </c>
      <c r="C14" s="29" t="s">
        <v>467</v>
      </c>
      <c r="D14" s="363">
        <v>44</v>
      </c>
      <c r="E14" s="362"/>
      <c r="F14" s="362"/>
      <c r="G14" s="362"/>
      <c r="H14" s="63" t="s">
        <v>157</v>
      </c>
      <c r="I14" s="63" t="s">
        <v>699</v>
      </c>
      <c r="J14" s="362">
        <f>AB13</f>
        <v>8531.2000000000007</v>
      </c>
      <c r="K14" s="362"/>
      <c r="L14" s="362"/>
      <c r="M14" s="362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4">
        <f t="shared" si="0"/>
        <v>3753.7</v>
      </c>
      <c r="AA14" s="68"/>
      <c r="AB14" s="68">
        <f>TRUNC(D14/100*J14,1)</f>
        <v>3753.7</v>
      </c>
      <c r="AC14" s="68"/>
      <c r="AD14" s="32" t="s">
        <v>834</v>
      </c>
    </row>
    <row r="15" spans="2:30" ht="19.7" customHeight="1">
      <c r="B15" s="67" t="s">
        <v>177</v>
      </c>
      <c r="C15" s="29" t="s">
        <v>834</v>
      </c>
      <c r="D15" s="364">
        <v>1</v>
      </c>
      <c r="E15" s="362"/>
      <c r="F15" s="362"/>
      <c r="G15" s="63" t="s">
        <v>767</v>
      </c>
      <c r="H15" s="63" t="s">
        <v>699</v>
      </c>
      <c r="I15" s="362">
        <f>노임단가!F6</f>
        <v>283297</v>
      </c>
      <c r="J15" s="362"/>
      <c r="K15" s="362"/>
      <c r="L15" s="362"/>
      <c r="M15" s="63" t="s">
        <v>699</v>
      </c>
      <c r="N15" s="362" t="s">
        <v>570</v>
      </c>
      <c r="O15" s="362"/>
      <c r="P15" s="362"/>
      <c r="Q15" s="362"/>
      <c r="R15" s="362"/>
      <c r="S15" s="362"/>
      <c r="T15" s="362"/>
      <c r="U15" s="362"/>
      <c r="V15" s="362"/>
      <c r="W15" s="63"/>
      <c r="X15" s="63"/>
      <c r="Y15" s="63"/>
      <c r="Z15" s="64">
        <f t="shared" si="0"/>
        <v>59020.2</v>
      </c>
      <c r="AA15" s="68">
        <f>TRUNC(D15*I15*기계경비적용기준!E21,1)</f>
        <v>59020.2</v>
      </c>
      <c r="AB15" s="68"/>
      <c r="AC15" s="68"/>
      <c r="AD15" s="32" t="s">
        <v>834</v>
      </c>
    </row>
    <row r="16" spans="2:30" ht="19.7" customHeight="1">
      <c r="B16" s="67" t="s">
        <v>834</v>
      </c>
      <c r="C16" s="29" t="s">
        <v>834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37"/>
      <c r="AA16" s="31"/>
      <c r="AB16" s="31"/>
      <c r="AC16" s="31"/>
      <c r="AD16" s="32" t="s">
        <v>834</v>
      </c>
    </row>
    <row r="17" spans="2:30" ht="19.7" customHeight="1">
      <c r="B17" s="61" t="s">
        <v>607</v>
      </c>
      <c r="C17" s="62" t="s">
        <v>330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4">
        <f>AA17+AB17+AC17</f>
        <v>73460</v>
      </c>
      <c r="AA17" s="65">
        <f>TRUNC(AA18+AA19+AA20+AA21)</f>
        <v>59020</v>
      </c>
      <c r="AB17" s="65">
        <f>TRUNC(AB18+AB19+AB20+AB21)</f>
        <v>6935</v>
      </c>
      <c r="AC17" s="65">
        <f>TRUNC(AC18+AC19+AC20+AC21)</f>
        <v>7505</v>
      </c>
      <c r="AD17" s="66"/>
    </row>
    <row r="18" spans="2:30" ht="19.7" customHeight="1">
      <c r="B18" s="67" t="s">
        <v>239</v>
      </c>
      <c r="C18" s="29" t="s">
        <v>834</v>
      </c>
      <c r="D18" s="362">
        <v>35999000</v>
      </c>
      <c r="E18" s="362"/>
      <c r="F18" s="362"/>
      <c r="G18" s="362"/>
      <c r="H18" s="362"/>
      <c r="I18" s="362" t="s">
        <v>149</v>
      </c>
      <c r="J18" s="362"/>
      <c r="K18" s="362">
        <v>2085</v>
      </c>
      <c r="L18" s="362"/>
      <c r="M18" s="362"/>
      <c r="N18" s="63" t="s">
        <v>699</v>
      </c>
      <c r="O18" s="362" t="s">
        <v>745</v>
      </c>
      <c r="P18" s="362"/>
      <c r="Q18" s="362"/>
      <c r="R18" s="63"/>
      <c r="S18" s="63"/>
      <c r="T18" s="63"/>
      <c r="U18" s="63"/>
      <c r="V18" s="63"/>
      <c r="W18" s="63"/>
      <c r="X18" s="63"/>
      <c r="Y18" s="63"/>
      <c r="Z18" s="64">
        <f>AA18+AB18+AC18</f>
        <v>7505.7</v>
      </c>
      <c r="AA18" s="68"/>
      <c r="AB18" s="68"/>
      <c r="AC18" s="68">
        <f>TRUNC(D18*K18*0.0000001,1)</f>
        <v>7505.7</v>
      </c>
      <c r="AD18" s="32" t="s">
        <v>635</v>
      </c>
    </row>
    <row r="19" spans="2:30" ht="19.7" customHeight="1">
      <c r="B19" s="67" t="s">
        <v>688</v>
      </c>
      <c r="C19" s="29" t="s">
        <v>53</v>
      </c>
      <c r="D19" s="363">
        <v>3.5</v>
      </c>
      <c r="E19" s="362"/>
      <c r="F19" s="362"/>
      <c r="G19" s="362"/>
      <c r="H19" s="63" t="s">
        <v>660</v>
      </c>
      <c r="I19" s="63" t="s">
        <v>699</v>
      </c>
      <c r="J19" s="362">
        <f>자재단가!R6</f>
        <v>1376</v>
      </c>
      <c r="K19" s="362"/>
      <c r="L19" s="362"/>
      <c r="M19" s="362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4">
        <f>AA19+AB19+AC19</f>
        <v>4816</v>
      </c>
      <c r="AA19" s="68"/>
      <c r="AB19" s="68">
        <f>TRUNC(D19*J19,1)</f>
        <v>4816</v>
      </c>
      <c r="AC19" s="68"/>
      <c r="AD19" s="32" t="s">
        <v>834</v>
      </c>
    </row>
    <row r="20" spans="2:30" ht="19.7" customHeight="1">
      <c r="B20" s="67" t="s">
        <v>61</v>
      </c>
      <c r="C20" s="29" t="s">
        <v>467</v>
      </c>
      <c r="D20" s="363">
        <v>44</v>
      </c>
      <c r="E20" s="362"/>
      <c r="F20" s="362"/>
      <c r="G20" s="362"/>
      <c r="H20" s="63" t="s">
        <v>157</v>
      </c>
      <c r="I20" s="63" t="s">
        <v>699</v>
      </c>
      <c r="J20" s="362">
        <f>AB19</f>
        <v>4816</v>
      </c>
      <c r="K20" s="362"/>
      <c r="L20" s="362"/>
      <c r="M20" s="362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4">
        <f>AA20+AB20+AC20</f>
        <v>2119</v>
      </c>
      <c r="AA20" s="68"/>
      <c r="AB20" s="68">
        <f>TRUNC(D20/100*J20,1)</f>
        <v>2119</v>
      </c>
      <c r="AC20" s="68"/>
      <c r="AD20" s="32" t="s">
        <v>834</v>
      </c>
    </row>
    <row r="21" spans="2:30" ht="19.7" customHeight="1">
      <c r="B21" s="67" t="s">
        <v>177</v>
      </c>
      <c r="C21" s="29" t="s">
        <v>834</v>
      </c>
      <c r="D21" s="364">
        <v>1</v>
      </c>
      <c r="E21" s="362"/>
      <c r="F21" s="362"/>
      <c r="G21" s="63" t="s">
        <v>767</v>
      </c>
      <c r="H21" s="63" t="s">
        <v>699</v>
      </c>
      <c r="I21" s="362">
        <f>노임단가!F6</f>
        <v>283297</v>
      </c>
      <c r="J21" s="362"/>
      <c r="K21" s="362"/>
      <c r="L21" s="362"/>
      <c r="M21" s="63" t="s">
        <v>699</v>
      </c>
      <c r="N21" s="362" t="s">
        <v>570</v>
      </c>
      <c r="O21" s="362"/>
      <c r="P21" s="362"/>
      <c r="Q21" s="362"/>
      <c r="R21" s="362"/>
      <c r="S21" s="362"/>
      <c r="T21" s="362"/>
      <c r="U21" s="362"/>
      <c r="V21" s="362"/>
      <c r="W21" s="63"/>
      <c r="X21" s="63"/>
      <c r="Y21" s="63"/>
      <c r="Z21" s="64">
        <f>AA21+AB21+AC21</f>
        <v>59020.2</v>
      </c>
      <c r="AA21" s="68">
        <f>TRUNC(D21*I21*기계경비적용기준!E21,1)</f>
        <v>59020.2</v>
      </c>
      <c r="AB21" s="68"/>
      <c r="AC21" s="68"/>
      <c r="AD21" s="32" t="s">
        <v>834</v>
      </c>
    </row>
    <row r="22" spans="2:30" ht="19.7" customHeight="1">
      <c r="B22" s="67" t="s">
        <v>834</v>
      </c>
      <c r="C22" s="29" t="s">
        <v>834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37"/>
      <c r="AA22" s="31"/>
      <c r="AB22" s="31"/>
      <c r="AC22" s="31"/>
      <c r="AD22" s="32" t="s">
        <v>834</v>
      </c>
    </row>
    <row r="23" spans="2:30" ht="19.7" customHeight="1">
      <c r="B23" s="61" t="s">
        <v>107</v>
      </c>
      <c r="C23" s="62" t="s">
        <v>250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4">
        <f>AA23+AB23+AC23</f>
        <v>137301</v>
      </c>
      <c r="AA23" s="65">
        <f>TRUNC(AA24+AA25+AA26+AA27)</f>
        <v>59020</v>
      </c>
      <c r="AB23" s="65">
        <f>TRUNC(AB24+AB25+AB26+AB27)</f>
        <v>19140</v>
      </c>
      <c r="AC23" s="65">
        <f>TRUNC(AC24+AC25+AC26+AC27)</f>
        <v>59141</v>
      </c>
      <c r="AD23" s="66"/>
    </row>
    <row r="24" spans="2:30" ht="19.7" customHeight="1">
      <c r="B24" s="67" t="s">
        <v>239</v>
      </c>
      <c r="C24" s="29" t="s">
        <v>834</v>
      </c>
      <c r="D24" s="362">
        <v>250388000</v>
      </c>
      <c r="E24" s="362"/>
      <c r="F24" s="362"/>
      <c r="G24" s="362"/>
      <c r="H24" s="362"/>
      <c r="I24" s="362" t="s">
        <v>149</v>
      </c>
      <c r="J24" s="362"/>
      <c r="K24" s="362">
        <v>2362</v>
      </c>
      <c r="L24" s="362"/>
      <c r="M24" s="362"/>
      <c r="N24" s="63" t="s">
        <v>699</v>
      </c>
      <c r="O24" s="362" t="s">
        <v>745</v>
      </c>
      <c r="P24" s="362"/>
      <c r="Q24" s="362"/>
      <c r="R24" s="63"/>
      <c r="S24" s="63"/>
      <c r="T24" s="63"/>
      <c r="U24" s="63"/>
      <c r="V24" s="63"/>
      <c r="W24" s="63"/>
      <c r="X24" s="63"/>
      <c r="Y24" s="63"/>
      <c r="Z24" s="64">
        <f>AA24+AB24+AC24</f>
        <v>59141.599999999999</v>
      </c>
      <c r="AA24" s="68"/>
      <c r="AB24" s="68"/>
      <c r="AC24" s="68">
        <f>TRUNC(D24*K24*0.0000001,1)</f>
        <v>59141.599999999999</v>
      </c>
      <c r="AD24" s="32" t="s">
        <v>635</v>
      </c>
    </row>
    <row r="25" spans="2:30" ht="19.7" customHeight="1">
      <c r="B25" s="67" t="s">
        <v>688</v>
      </c>
      <c r="C25" s="29" t="s">
        <v>53</v>
      </c>
      <c r="D25" s="363">
        <v>13</v>
      </c>
      <c r="E25" s="362"/>
      <c r="F25" s="362"/>
      <c r="G25" s="362"/>
      <c r="H25" s="63" t="s">
        <v>660</v>
      </c>
      <c r="I25" s="63" t="s">
        <v>699</v>
      </c>
      <c r="J25" s="362">
        <f>자재단가!R6</f>
        <v>1376</v>
      </c>
      <c r="K25" s="362"/>
      <c r="L25" s="362"/>
      <c r="M25" s="362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4">
        <f>AA25+AB25+AC25</f>
        <v>17888</v>
      </c>
      <c r="AA25" s="68"/>
      <c r="AB25" s="68">
        <f>TRUNC(D25*J25,1)</f>
        <v>17888</v>
      </c>
      <c r="AC25" s="68"/>
      <c r="AD25" s="32" t="s">
        <v>834</v>
      </c>
    </row>
    <row r="26" spans="2:30" ht="19.7" customHeight="1">
      <c r="B26" s="67" t="s">
        <v>61</v>
      </c>
      <c r="C26" s="29" t="s">
        <v>467</v>
      </c>
      <c r="D26" s="363">
        <v>7</v>
      </c>
      <c r="E26" s="362"/>
      <c r="F26" s="362"/>
      <c r="G26" s="362"/>
      <c r="H26" s="63" t="s">
        <v>157</v>
      </c>
      <c r="I26" s="63" t="s">
        <v>699</v>
      </c>
      <c r="J26" s="362">
        <f>AB25</f>
        <v>17888</v>
      </c>
      <c r="K26" s="362"/>
      <c r="L26" s="362"/>
      <c r="M26" s="362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>
        <f>AA26+AB26+AC26</f>
        <v>1252.0999999999999</v>
      </c>
      <c r="AA26" s="68"/>
      <c r="AB26" s="68">
        <f>TRUNC(D26/100*J26,1)</f>
        <v>1252.0999999999999</v>
      </c>
      <c r="AC26" s="68"/>
      <c r="AD26" s="32" t="s">
        <v>834</v>
      </c>
    </row>
    <row r="27" spans="2:30" ht="19.7" customHeight="1">
      <c r="B27" s="67" t="s">
        <v>177</v>
      </c>
      <c r="C27" s="29" t="s">
        <v>834</v>
      </c>
      <c r="D27" s="364">
        <v>1</v>
      </c>
      <c r="E27" s="362"/>
      <c r="F27" s="362"/>
      <c r="G27" s="63" t="s">
        <v>767</v>
      </c>
      <c r="H27" s="63" t="s">
        <v>699</v>
      </c>
      <c r="I27" s="362">
        <f>노임단가!F6</f>
        <v>283297</v>
      </c>
      <c r="J27" s="362"/>
      <c r="K27" s="362"/>
      <c r="L27" s="362"/>
      <c r="M27" s="63" t="s">
        <v>699</v>
      </c>
      <c r="N27" s="362" t="s">
        <v>570</v>
      </c>
      <c r="O27" s="362"/>
      <c r="P27" s="362"/>
      <c r="Q27" s="362"/>
      <c r="R27" s="362"/>
      <c r="S27" s="362"/>
      <c r="T27" s="362"/>
      <c r="U27" s="362"/>
      <c r="V27" s="362"/>
      <c r="W27" s="63"/>
      <c r="X27" s="63"/>
      <c r="Y27" s="63"/>
      <c r="Z27" s="64">
        <f>AA27+AB27+AC27</f>
        <v>59020.2</v>
      </c>
      <c r="AA27" s="68">
        <f>TRUNC(D27*I27*기계경비적용기준!E21,1)</f>
        <v>59020.2</v>
      </c>
      <c r="AB27" s="68"/>
      <c r="AC27" s="68"/>
      <c r="AD27" s="32" t="s">
        <v>834</v>
      </c>
    </row>
    <row r="28" spans="2:30" ht="19.7" customHeight="1">
      <c r="B28" s="67" t="s">
        <v>834</v>
      </c>
      <c r="C28" s="29" t="s">
        <v>834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37"/>
      <c r="AA28" s="31"/>
      <c r="AB28" s="31"/>
      <c r="AC28" s="31"/>
      <c r="AD28" s="32" t="s">
        <v>834</v>
      </c>
    </row>
    <row r="29" spans="2:30" ht="19.7" customHeight="1">
      <c r="B29" s="61" t="s">
        <v>535</v>
      </c>
      <c r="C29" s="62" t="s">
        <v>673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4">
        <f>AA29+AB29+AC29</f>
        <v>86977</v>
      </c>
      <c r="AA29" s="65">
        <f>TRUNC(AA30+AA31+AA32+AA33)</f>
        <v>59020</v>
      </c>
      <c r="AB29" s="65">
        <f>TRUNC(AB30+AB31+AB32+AB33)</f>
        <v>15100</v>
      </c>
      <c r="AC29" s="65">
        <f>TRUNC(AC30+AC31+AC32+AC33)</f>
        <v>12857</v>
      </c>
      <c r="AD29" s="66"/>
    </row>
    <row r="30" spans="2:30" ht="19.7" customHeight="1">
      <c r="B30" s="69" t="s">
        <v>239</v>
      </c>
      <c r="C30" s="34" t="s">
        <v>834</v>
      </c>
      <c r="D30" s="365">
        <v>71351000</v>
      </c>
      <c r="E30" s="365"/>
      <c r="F30" s="365"/>
      <c r="G30" s="365"/>
      <c r="H30" s="365"/>
      <c r="I30" s="365" t="s">
        <v>149</v>
      </c>
      <c r="J30" s="365"/>
      <c r="K30" s="365">
        <v>1802</v>
      </c>
      <c r="L30" s="365"/>
      <c r="M30" s="365"/>
      <c r="N30" s="20" t="s">
        <v>699</v>
      </c>
      <c r="O30" s="365" t="s">
        <v>745</v>
      </c>
      <c r="P30" s="365"/>
      <c r="Q30" s="365"/>
      <c r="R30" s="20"/>
      <c r="S30" s="20"/>
      <c r="T30" s="20"/>
      <c r="U30" s="20"/>
      <c r="V30" s="20"/>
      <c r="W30" s="20"/>
      <c r="X30" s="20"/>
      <c r="Y30" s="20"/>
      <c r="Z30" s="70">
        <f>AA30+AB30+AC30</f>
        <v>12857.4</v>
      </c>
      <c r="AA30" s="71"/>
      <c r="AB30" s="71"/>
      <c r="AC30" s="71">
        <f>TRUNC(D30*K30*0.0000001,1)</f>
        <v>12857.4</v>
      </c>
      <c r="AD30" s="36" t="s">
        <v>635</v>
      </c>
    </row>
    <row r="31" spans="2:30" ht="19.7" customHeight="1">
      <c r="B31" s="67" t="s">
        <v>688</v>
      </c>
      <c r="C31" s="29" t="s">
        <v>53</v>
      </c>
      <c r="D31" s="363">
        <v>9.3000000000000007</v>
      </c>
      <c r="E31" s="362"/>
      <c r="F31" s="362"/>
      <c r="G31" s="362"/>
      <c r="H31" s="63" t="s">
        <v>660</v>
      </c>
      <c r="I31" s="63" t="s">
        <v>699</v>
      </c>
      <c r="J31" s="362">
        <f>자재단가!R6</f>
        <v>1376</v>
      </c>
      <c r="K31" s="362"/>
      <c r="L31" s="362"/>
      <c r="M31" s="36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4">
        <f>AA31+AB31+AC31</f>
        <v>12796.8</v>
      </c>
      <c r="AA31" s="68"/>
      <c r="AB31" s="68">
        <f>TRUNC(D31*J31,1)</f>
        <v>12796.8</v>
      </c>
      <c r="AC31" s="68"/>
      <c r="AD31" s="32" t="s">
        <v>834</v>
      </c>
    </row>
    <row r="32" spans="2:30" ht="19.7" customHeight="1">
      <c r="B32" s="67" t="s">
        <v>61</v>
      </c>
      <c r="C32" s="29" t="s">
        <v>467</v>
      </c>
      <c r="D32" s="363">
        <v>18</v>
      </c>
      <c r="E32" s="362"/>
      <c r="F32" s="362"/>
      <c r="G32" s="362"/>
      <c r="H32" s="63" t="s">
        <v>157</v>
      </c>
      <c r="I32" s="63" t="s">
        <v>699</v>
      </c>
      <c r="J32" s="362">
        <f>AB31</f>
        <v>12796.8</v>
      </c>
      <c r="K32" s="362"/>
      <c r="L32" s="362"/>
      <c r="M32" s="36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4">
        <f>AA32+AB32+AC32</f>
        <v>2303.4</v>
      </c>
      <c r="AA32" s="68"/>
      <c r="AB32" s="68">
        <f>TRUNC(D32/100*J32,1)</f>
        <v>2303.4</v>
      </c>
      <c r="AC32" s="68"/>
      <c r="AD32" s="32" t="s">
        <v>834</v>
      </c>
    </row>
    <row r="33" spans="2:30" ht="19.7" customHeight="1">
      <c r="B33" s="67" t="s">
        <v>177</v>
      </c>
      <c r="C33" s="29" t="s">
        <v>834</v>
      </c>
      <c r="D33" s="364">
        <v>1</v>
      </c>
      <c r="E33" s="362"/>
      <c r="F33" s="362"/>
      <c r="G33" s="63" t="s">
        <v>767</v>
      </c>
      <c r="H33" s="63" t="s">
        <v>699</v>
      </c>
      <c r="I33" s="362">
        <f>노임단가!F6</f>
        <v>283297</v>
      </c>
      <c r="J33" s="362"/>
      <c r="K33" s="362"/>
      <c r="L33" s="362"/>
      <c r="M33" s="63" t="s">
        <v>699</v>
      </c>
      <c r="N33" s="362" t="s">
        <v>570</v>
      </c>
      <c r="O33" s="362"/>
      <c r="P33" s="362"/>
      <c r="Q33" s="362"/>
      <c r="R33" s="362"/>
      <c r="S33" s="362"/>
      <c r="T33" s="362"/>
      <c r="U33" s="362"/>
      <c r="V33" s="362"/>
      <c r="W33" s="63"/>
      <c r="X33" s="63"/>
      <c r="Y33" s="63"/>
      <c r="Z33" s="64">
        <f>AA33+AB33+AC33</f>
        <v>59020.2</v>
      </c>
      <c r="AA33" s="68">
        <f>TRUNC(D33*I33*기계경비적용기준!E21,1)</f>
        <v>59020.2</v>
      </c>
      <c r="AB33" s="68"/>
      <c r="AC33" s="68"/>
      <c r="AD33" s="32" t="s">
        <v>834</v>
      </c>
    </row>
    <row r="34" spans="2:30" ht="19.7" customHeight="1">
      <c r="B34" s="67" t="s">
        <v>834</v>
      </c>
      <c r="C34" s="29" t="s">
        <v>834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37"/>
      <c r="AA34" s="31"/>
      <c r="AB34" s="31"/>
      <c r="AC34" s="31"/>
      <c r="AD34" s="32" t="s">
        <v>834</v>
      </c>
    </row>
    <row r="35" spans="2:30" ht="19.7" customHeight="1">
      <c r="B35" s="61" t="s">
        <v>770</v>
      </c>
      <c r="C35" s="62" t="s">
        <v>814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4">
        <f>AA35+AB35+AC35</f>
        <v>91695</v>
      </c>
      <c r="AA35" s="65">
        <f>TRUNC(AA36+AA37+AA38+AA39)</f>
        <v>59020</v>
      </c>
      <c r="AB35" s="65">
        <f>TRUNC(AB36+AB37+AB38+AB39)</f>
        <v>13539</v>
      </c>
      <c r="AC35" s="65">
        <f>TRUNC(AC36+AC37+AC38+AC39)</f>
        <v>19136</v>
      </c>
      <c r="AD35" s="66"/>
    </row>
    <row r="36" spans="2:30" ht="19.7" customHeight="1">
      <c r="B36" s="67" t="s">
        <v>239</v>
      </c>
      <c r="C36" s="29" t="s">
        <v>834</v>
      </c>
      <c r="D36" s="362">
        <v>98388000</v>
      </c>
      <c r="E36" s="362"/>
      <c r="F36" s="362"/>
      <c r="G36" s="362"/>
      <c r="H36" s="362"/>
      <c r="I36" s="362" t="s">
        <v>149</v>
      </c>
      <c r="J36" s="362"/>
      <c r="K36" s="362">
        <v>1945</v>
      </c>
      <c r="L36" s="362"/>
      <c r="M36" s="362"/>
      <c r="N36" s="63" t="s">
        <v>699</v>
      </c>
      <c r="O36" s="362" t="s">
        <v>745</v>
      </c>
      <c r="P36" s="362"/>
      <c r="Q36" s="362"/>
      <c r="R36" s="63"/>
      <c r="S36" s="63"/>
      <c r="T36" s="63"/>
      <c r="U36" s="63"/>
      <c r="V36" s="63"/>
      <c r="W36" s="63"/>
      <c r="X36" s="63"/>
      <c r="Y36" s="63"/>
      <c r="Z36" s="64">
        <f>AA36+AB36+AC36</f>
        <v>19136.400000000001</v>
      </c>
      <c r="AA36" s="68"/>
      <c r="AB36" s="68"/>
      <c r="AC36" s="68">
        <f>TRUNC(D36*K36*0.0000001,1)</f>
        <v>19136.400000000001</v>
      </c>
      <c r="AD36" s="32" t="s">
        <v>635</v>
      </c>
    </row>
    <row r="37" spans="2:30" ht="19.7" customHeight="1">
      <c r="B37" s="67" t="s">
        <v>688</v>
      </c>
      <c r="C37" s="29" t="s">
        <v>53</v>
      </c>
      <c r="D37" s="363">
        <v>8</v>
      </c>
      <c r="E37" s="362"/>
      <c r="F37" s="362"/>
      <c r="G37" s="362"/>
      <c r="H37" s="63" t="s">
        <v>660</v>
      </c>
      <c r="I37" s="63" t="s">
        <v>699</v>
      </c>
      <c r="J37" s="362">
        <f>자재단가!R6</f>
        <v>1376</v>
      </c>
      <c r="K37" s="362"/>
      <c r="L37" s="362"/>
      <c r="M37" s="362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4">
        <f>AA37+AB37+AC37</f>
        <v>11008</v>
      </c>
      <c r="AA37" s="68"/>
      <c r="AB37" s="68">
        <f>TRUNC(D37*J37,1)</f>
        <v>11008</v>
      </c>
      <c r="AC37" s="68"/>
      <c r="AD37" s="32" t="s">
        <v>834</v>
      </c>
    </row>
    <row r="38" spans="2:30" ht="19.7" customHeight="1">
      <c r="B38" s="67" t="s">
        <v>61</v>
      </c>
      <c r="C38" s="29" t="s">
        <v>467</v>
      </c>
      <c r="D38" s="363">
        <v>23</v>
      </c>
      <c r="E38" s="362"/>
      <c r="F38" s="362"/>
      <c r="G38" s="362"/>
      <c r="H38" s="63" t="s">
        <v>157</v>
      </c>
      <c r="I38" s="63" t="s">
        <v>699</v>
      </c>
      <c r="J38" s="362">
        <f>AB37</f>
        <v>11008</v>
      </c>
      <c r="K38" s="362"/>
      <c r="L38" s="362"/>
      <c r="M38" s="362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4">
        <f>AA38+AB38+AC38</f>
        <v>2531.8000000000002</v>
      </c>
      <c r="AA38" s="68"/>
      <c r="AB38" s="68">
        <f>TRUNC(D38/100*J38,1)</f>
        <v>2531.8000000000002</v>
      </c>
      <c r="AC38" s="68"/>
      <c r="AD38" s="32" t="s">
        <v>834</v>
      </c>
    </row>
    <row r="39" spans="2:30" ht="19.7" customHeight="1">
      <c r="B39" s="67" t="s">
        <v>177</v>
      </c>
      <c r="C39" s="29" t="s">
        <v>834</v>
      </c>
      <c r="D39" s="364">
        <v>1</v>
      </c>
      <c r="E39" s="362"/>
      <c r="F39" s="362"/>
      <c r="G39" s="63" t="s">
        <v>767</v>
      </c>
      <c r="H39" s="63" t="s">
        <v>699</v>
      </c>
      <c r="I39" s="362">
        <f>노임단가!F6</f>
        <v>283297</v>
      </c>
      <c r="J39" s="362"/>
      <c r="K39" s="362"/>
      <c r="L39" s="362"/>
      <c r="M39" s="63" t="s">
        <v>699</v>
      </c>
      <c r="N39" s="362" t="s">
        <v>570</v>
      </c>
      <c r="O39" s="362"/>
      <c r="P39" s="362"/>
      <c r="Q39" s="362"/>
      <c r="R39" s="362"/>
      <c r="S39" s="362"/>
      <c r="T39" s="362"/>
      <c r="U39" s="362"/>
      <c r="V39" s="362"/>
      <c r="W39" s="63"/>
      <c r="X39" s="63"/>
      <c r="Y39" s="63"/>
      <c r="Z39" s="64">
        <f>AA39+AB39+AC39</f>
        <v>59020.2</v>
      </c>
      <c r="AA39" s="68">
        <f>TRUNC(D39*I39*기계경비적용기준!E21,1)</f>
        <v>59020.2</v>
      </c>
      <c r="AB39" s="68"/>
      <c r="AC39" s="68"/>
      <c r="AD39" s="32" t="s">
        <v>834</v>
      </c>
    </row>
    <row r="40" spans="2:30" ht="19.7" customHeight="1">
      <c r="B40" s="67" t="s">
        <v>834</v>
      </c>
      <c r="C40" s="29" t="s">
        <v>834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37"/>
      <c r="AA40" s="31"/>
      <c r="AB40" s="31"/>
      <c r="AC40" s="31"/>
      <c r="AD40" s="32" t="s">
        <v>834</v>
      </c>
    </row>
    <row r="41" spans="2:30" ht="19.7" customHeight="1">
      <c r="B41" s="61" t="s">
        <v>66</v>
      </c>
      <c r="C41" s="62" t="s">
        <v>806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4">
        <f>AA41+AB41+AC41</f>
        <v>76175</v>
      </c>
      <c r="AA41" s="65">
        <f>TRUNC(AA42+AA43+AA44+AA45)</f>
        <v>59020</v>
      </c>
      <c r="AB41" s="65">
        <f>TRUNC(AB42+AB43+AB44+AB45)</f>
        <v>8118</v>
      </c>
      <c r="AC41" s="65">
        <f>TRUNC(AC42+AC43+AC44+AC45)</f>
        <v>9037</v>
      </c>
      <c r="AD41" s="66"/>
    </row>
    <row r="42" spans="2:30" ht="19.7" customHeight="1">
      <c r="B42" s="67" t="s">
        <v>239</v>
      </c>
      <c r="C42" s="29" t="s">
        <v>834</v>
      </c>
      <c r="D42" s="362">
        <v>48513000</v>
      </c>
      <c r="E42" s="362"/>
      <c r="F42" s="362"/>
      <c r="G42" s="362"/>
      <c r="H42" s="362"/>
      <c r="I42" s="362" t="s">
        <v>149</v>
      </c>
      <c r="J42" s="362"/>
      <c r="K42" s="362">
        <v>1863</v>
      </c>
      <c r="L42" s="362"/>
      <c r="M42" s="362"/>
      <c r="N42" s="63" t="s">
        <v>699</v>
      </c>
      <c r="O42" s="362" t="s">
        <v>745</v>
      </c>
      <c r="P42" s="362"/>
      <c r="Q42" s="362"/>
      <c r="R42" s="63"/>
      <c r="S42" s="63"/>
      <c r="T42" s="63"/>
      <c r="U42" s="63"/>
      <c r="V42" s="63"/>
      <c r="W42" s="63"/>
      <c r="X42" s="63"/>
      <c r="Y42" s="63"/>
      <c r="Z42" s="64">
        <f>AA42+AB42+AC42</f>
        <v>9037.9</v>
      </c>
      <c r="AA42" s="68"/>
      <c r="AB42" s="68"/>
      <c r="AC42" s="68">
        <f>TRUNC(D42*K42*0.0000001,1)</f>
        <v>9037.9</v>
      </c>
      <c r="AD42" s="32" t="s">
        <v>635</v>
      </c>
    </row>
    <row r="43" spans="2:30" ht="19.7" customHeight="1">
      <c r="B43" s="67" t="s">
        <v>688</v>
      </c>
      <c r="C43" s="29" t="s">
        <v>53</v>
      </c>
      <c r="D43" s="363">
        <v>5</v>
      </c>
      <c r="E43" s="362"/>
      <c r="F43" s="362"/>
      <c r="G43" s="362"/>
      <c r="H43" s="63" t="s">
        <v>660</v>
      </c>
      <c r="I43" s="63" t="s">
        <v>699</v>
      </c>
      <c r="J43" s="362">
        <f>자재단가!R6</f>
        <v>1376</v>
      </c>
      <c r="K43" s="362"/>
      <c r="L43" s="362"/>
      <c r="M43" s="362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4">
        <f>AA43+AB43+AC43</f>
        <v>6880</v>
      </c>
      <c r="AA43" s="68"/>
      <c r="AB43" s="68">
        <f>TRUNC(D43*J43,1)</f>
        <v>6880</v>
      </c>
      <c r="AC43" s="68"/>
      <c r="AD43" s="32" t="s">
        <v>834</v>
      </c>
    </row>
    <row r="44" spans="2:30" ht="19.7" customHeight="1">
      <c r="B44" s="67" t="s">
        <v>61</v>
      </c>
      <c r="C44" s="29" t="s">
        <v>467</v>
      </c>
      <c r="D44" s="363">
        <v>18</v>
      </c>
      <c r="E44" s="362"/>
      <c r="F44" s="362"/>
      <c r="G44" s="362"/>
      <c r="H44" s="63" t="s">
        <v>157</v>
      </c>
      <c r="I44" s="63" t="s">
        <v>699</v>
      </c>
      <c r="J44" s="362">
        <f>AB43</f>
        <v>6880</v>
      </c>
      <c r="K44" s="362"/>
      <c r="L44" s="362"/>
      <c r="M44" s="36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4">
        <f>AA44+AB44+AC44</f>
        <v>1238.4000000000001</v>
      </c>
      <c r="AA44" s="68"/>
      <c r="AB44" s="68">
        <f>TRUNC(D44/100*J44,1)</f>
        <v>1238.4000000000001</v>
      </c>
      <c r="AC44" s="68"/>
      <c r="AD44" s="32" t="s">
        <v>834</v>
      </c>
    </row>
    <row r="45" spans="2:30" ht="19.7" customHeight="1">
      <c r="B45" s="67" t="s">
        <v>177</v>
      </c>
      <c r="C45" s="29" t="s">
        <v>834</v>
      </c>
      <c r="D45" s="364">
        <v>1</v>
      </c>
      <c r="E45" s="362"/>
      <c r="F45" s="362"/>
      <c r="G45" s="63" t="s">
        <v>767</v>
      </c>
      <c r="H45" s="63" t="s">
        <v>699</v>
      </c>
      <c r="I45" s="362">
        <f>노임단가!F6</f>
        <v>283297</v>
      </c>
      <c r="J45" s="362"/>
      <c r="K45" s="362"/>
      <c r="L45" s="362"/>
      <c r="M45" s="63" t="s">
        <v>699</v>
      </c>
      <c r="N45" s="362" t="s">
        <v>570</v>
      </c>
      <c r="O45" s="362"/>
      <c r="P45" s="362"/>
      <c r="Q45" s="362"/>
      <c r="R45" s="362"/>
      <c r="S45" s="362"/>
      <c r="T45" s="362"/>
      <c r="U45" s="362"/>
      <c r="V45" s="362"/>
      <c r="W45" s="63"/>
      <c r="X45" s="63"/>
      <c r="Y45" s="63"/>
      <c r="Z45" s="64">
        <f>AA45+AB45+AC45</f>
        <v>59020.2</v>
      </c>
      <c r="AA45" s="68">
        <f>TRUNC(D45*I45*기계경비적용기준!E21,1)</f>
        <v>59020.2</v>
      </c>
      <c r="AB45" s="68"/>
      <c r="AC45" s="68"/>
      <c r="AD45" s="32" t="s">
        <v>834</v>
      </c>
    </row>
    <row r="46" spans="2:30" ht="19.7" customHeight="1">
      <c r="B46" s="67" t="s">
        <v>834</v>
      </c>
      <c r="C46" s="29" t="s">
        <v>834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37"/>
      <c r="AA46" s="31"/>
      <c r="AB46" s="31"/>
      <c r="AC46" s="31"/>
      <c r="AD46" s="32" t="s">
        <v>834</v>
      </c>
    </row>
    <row r="47" spans="2:30" ht="19.7" customHeight="1">
      <c r="B47" s="61" t="s">
        <v>457</v>
      </c>
      <c r="C47" s="62" t="s">
        <v>576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4">
        <f>AA47+AB47+AC47</f>
        <v>94238</v>
      </c>
      <c r="AA47" s="65">
        <f>TRUNC(AA48+AA49+AA50+AA51)</f>
        <v>59020</v>
      </c>
      <c r="AB47" s="65">
        <f>TRUNC(AB48+AB49+AB50+AB51)</f>
        <v>18748</v>
      </c>
      <c r="AC47" s="65">
        <f>TRUNC(AC48+AC49+AC50+AC51)</f>
        <v>16470</v>
      </c>
      <c r="AD47" s="66"/>
    </row>
    <row r="48" spans="2:30" ht="19.7" customHeight="1">
      <c r="B48" s="67" t="s">
        <v>239</v>
      </c>
      <c r="C48" s="29" t="s">
        <v>834</v>
      </c>
      <c r="D48" s="362">
        <v>64113000</v>
      </c>
      <c r="E48" s="362"/>
      <c r="F48" s="362"/>
      <c r="G48" s="362"/>
      <c r="H48" s="362"/>
      <c r="I48" s="362" t="s">
        <v>149</v>
      </c>
      <c r="J48" s="362"/>
      <c r="K48" s="362">
        <v>2569</v>
      </c>
      <c r="L48" s="362"/>
      <c r="M48" s="362"/>
      <c r="N48" s="63" t="s">
        <v>699</v>
      </c>
      <c r="O48" s="362" t="s">
        <v>745</v>
      </c>
      <c r="P48" s="362"/>
      <c r="Q48" s="362"/>
      <c r="R48" s="63"/>
      <c r="S48" s="63"/>
      <c r="T48" s="63"/>
      <c r="U48" s="63"/>
      <c r="V48" s="63"/>
      <c r="W48" s="63"/>
      <c r="X48" s="63"/>
      <c r="Y48" s="63"/>
      <c r="Z48" s="64">
        <f>AA48+AB48+AC48</f>
        <v>16470.599999999999</v>
      </c>
      <c r="AA48" s="68"/>
      <c r="AB48" s="68"/>
      <c r="AC48" s="68">
        <f>TRUNC(D48*K48*0.0000001,1)</f>
        <v>16470.599999999999</v>
      </c>
      <c r="AD48" s="32" t="s">
        <v>635</v>
      </c>
    </row>
    <row r="49" spans="2:30" ht="19.7" customHeight="1">
      <c r="B49" s="67" t="s">
        <v>688</v>
      </c>
      <c r="C49" s="29" t="s">
        <v>53</v>
      </c>
      <c r="D49" s="363">
        <v>10.9</v>
      </c>
      <c r="E49" s="362"/>
      <c r="F49" s="362"/>
      <c r="G49" s="362"/>
      <c r="H49" s="63" t="s">
        <v>660</v>
      </c>
      <c r="I49" s="63" t="s">
        <v>699</v>
      </c>
      <c r="J49" s="362">
        <f>자재단가!R6</f>
        <v>1376</v>
      </c>
      <c r="K49" s="362"/>
      <c r="L49" s="362"/>
      <c r="M49" s="362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4">
        <f>AA49+AB49+AC49</f>
        <v>14998.4</v>
      </c>
      <c r="AA49" s="68"/>
      <c r="AB49" s="68">
        <f>TRUNC(D49*J49,1)</f>
        <v>14998.4</v>
      </c>
      <c r="AC49" s="68"/>
      <c r="AD49" s="32" t="s">
        <v>834</v>
      </c>
    </row>
    <row r="50" spans="2:30" ht="19.7" customHeight="1">
      <c r="B50" s="67" t="s">
        <v>61</v>
      </c>
      <c r="C50" s="29" t="s">
        <v>467</v>
      </c>
      <c r="D50" s="363">
        <v>25</v>
      </c>
      <c r="E50" s="362"/>
      <c r="F50" s="362"/>
      <c r="G50" s="362"/>
      <c r="H50" s="63" t="s">
        <v>157</v>
      </c>
      <c r="I50" s="63" t="s">
        <v>699</v>
      </c>
      <c r="J50" s="362">
        <f>AB49</f>
        <v>14998.4</v>
      </c>
      <c r="K50" s="362"/>
      <c r="L50" s="362"/>
      <c r="M50" s="362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4">
        <f>AA50+AB50+AC50</f>
        <v>3749.6</v>
      </c>
      <c r="AA50" s="68"/>
      <c r="AB50" s="68">
        <f>TRUNC(D50/100*J50,1)</f>
        <v>3749.6</v>
      </c>
      <c r="AC50" s="68"/>
      <c r="AD50" s="32" t="s">
        <v>834</v>
      </c>
    </row>
    <row r="51" spans="2:30" ht="19.7" customHeight="1">
      <c r="B51" s="67" t="s">
        <v>177</v>
      </c>
      <c r="C51" s="29" t="s">
        <v>834</v>
      </c>
      <c r="D51" s="364">
        <v>1</v>
      </c>
      <c r="E51" s="362"/>
      <c r="F51" s="362"/>
      <c r="G51" s="63" t="s">
        <v>767</v>
      </c>
      <c r="H51" s="63" t="s">
        <v>699</v>
      </c>
      <c r="I51" s="362">
        <f>노임단가!F6</f>
        <v>283297</v>
      </c>
      <c r="J51" s="362"/>
      <c r="K51" s="362"/>
      <c r="L51" s="362"/>
      <c r="M51" s="63" t="s">
        <v>699</v>
      </c>
      <c r="N51" s="362" t="s">
        <v>570</v>
      </c>
      <c r="O51" s="362"/>
      <c r="P51" s="362"/>
      <c r="Q51" s="362"/>
      <c r="R51" s="362"/>
      <c r="S51" s="362"/>
      <c r="T51" s="362"/>
      <c r="U51" s="362"/>
      <c r="V51" s="362"/>
      <c r="W51" s="63"/>
      <c r="X51" s="63"/>
      <c r="Y51" s="63"/>
      <c r="Z51" s="64">
        <f>AA51+AB51+AC51</f>
        <v>59020.2</v>
      </c>
      <c r="AA51" s="68">
        <f>TRUNC(D51*I51*기계경비적용기준!E21,1)</f>
        <v>59020.2</v>
      </c>
      <c r="AB51" s="68"/>
      <c r="AC51" s="68"/>
      <c r="AD51" s="32" t="s">
        <v>834</v>
      </c>
    </row>
    <row r="52" spans="2:30" ht="19.7" customHeight="1">
      <c r="B52" s="67" t="s">
        <v>834</v>
      </c>
      <c r="C52" s="29" t="s">
        <v>834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37"/>
      <c r="AA52" s="31"/>
      <c r="AB52" s="31"/>
      <c r="AC52" s="31"/>
      <c r="AD52" s="32" t="s">
        <v>834</v>
      </c>
    </row>
    <row r="53" spans="2:30" ht="19.7" customHeight="1">
      <c r="B53" s="61" t="s">
        <v>348</v>
      </c>
      <c r="C53" s="62" t="s">
        <v>171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4">
        <f>AA53+AB53+AC53</f>
        <v>92007</v>
      </c>
      <c r="AA53" s="65">
        <f>TRUNC(AA54+AA55+AA56+AA57)</f>
        <v>49778</v>
      </c>
      <c r="AB53" s="65">
        <f>TRUNC(AB54+AB55+AB56+AB57)</f>
        <v>23075</v>
      </c>
      <c r="AC53" s="65">
        <f>TRUNC(AC54+AC55+AC56+AC57)</f>
        <v>19154</v>
      </c>
      <c r="AD53" s="66"/>
    </row>
    <row r="54" spans="2:30" ht="19.7" customHeight="1">
      <c r="B54" s="67" t="s">
        <v>239</v>
      </c>
      <c r="C54" s="29" t="s">
        <v>834</v>
      </c>
      <c r="D54" s="362">
        <v>90649000</v>
      </c>
      <c r="E54" s="362"/>
      <c r="F54" s="362"/>
      <c r="G54" s="362"/>
      <c r="H54" s="362"/>
      <c r="I54" s="362" t="s">
        <v>149</v>
      </c>
      <c r="J54" s="362"/>
      <c r="K54" s="362">
        <v>2113</v>
      </c>
      <c r="L54" s="362"/>
      <c r="M54" s="362"/>
      <c r="N54" s="63" t="s">
        <v>699</v>
      </c>
      <c r="O54" s="362" t="s">
        <v>745</v>
      </c>
      <c r="P54" s="362"/>
      <c r="Q54" s="362"/>
      <c r="R54" s="63"/>
      <c r="S54" s="63"/>
      <c r="T54" s="63"/>
      <c r="U54" s="63"/>
      <c r="V54" s="63"/>
      <c r="W54" s="63"/>
      <c r="X54" s="63"/>
      <c r="Y54" s="63"/>
      <c r="Z54" s="64">
        <f>AA54+AB54+AC54</f>
        <v>19154.099999999999</v>
      </c>
      <c r="AA54" s="68"/>
      <c r="AB54" s="68"/>
      <c r="AC54" s="68">
        <f>TRUNC(D54*K54*0.0000001,1)</f>
        <v>19154.099999999999</v>
      </c>
      <c r="AD54" s="32" t="s">
        <v>635</v>
      </c>
    </row>
    <row r="55" spans="2:30" ht="19.7" customHeight="1">
      <c r="B55" s="67" t="s">
        <v>688</v>
      </c>
      <c r="C55" s="29" t="s">
        <v>53</v>
      </c>
      <c r="D55" s="363">
        <v>12.9</v>
      </c>
      <c r="E55" s="362"/>
      <c r="F55" s="362"/>
      <c r="G55" s="362"/>
      <c r="H55" s="63" t="s">
        <v>660</v>
      </c>
      <c r="I55" s="63" t="s">
        <v>699</v>
      </c>
      <c r="J55" s="362">
        <f>자재단가!R6</f>
        <v>1376</v>
      </c>
      <c r="K55" s="362"/>
      <c r="L55" s="362"/>
      <c r="M55" s="362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4">
        <f>AA55+AB55+AC55</f>
        <v>17750.400000000001</v>
      </c>
      <c r="AA55" s="68"/>
      <c r="AB55" s="68">
        <f>TRUNC(D55*J55,1)</f>
        <v>17750.400000000001</v>
      </c>
      <c r="AC55" s="68"/>
      <c r="AD55" s="32" t="s">
        <v>834</v>
      </c>
    </row>
    <row r="56" spans="2:30" ht="19.7" customHeight="1">
      <c r="B56" s="69" t="s">
        <v>61</v>
      </c>
      <c r="C56" s="34" t="s">
        <v>467</v>
      </c>
      <c r="D56" s="366">
        <v>30</v>
      </c>
      <c r="E56" s="365"/>
      <c r="F56" s="365"/>
      <c r="G56" s="365"/>
      <c r="H56" s="20" t="s">
        <v>157</v>
      </c>
      <c r="I56" s="20" t="s">
        <v>699</v>
      </c>
      <c r="J56" s="365">
        <f>AB55</f>
        <v>17750.400000000001</v>
      </c>
      <c r="K56" s="365"/>
      <c r="L56" s="365"/>
      <c r="M56" s="36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70">
        <f>AA56+AB56+AC56</f>
        <v>5325.1</v>
      </c>
      <c r="AA56" s="71"/>
      <c r="AB56" s="71">
        <f>TRUNC(D56/100*J56,1)</f>
        <v>5325.1</v>
      </c>
      <c r="AC56" s="71"/>
      <c r="AD56" s="36" t="s">
        <v>834</v>
      </c>
    </row>
    <row r="57" spans="2:30" ht="19.7" customHeight="1">
      <c r="B57" s="67" t="s">
        <v>60</v>
      </c>
      <c r="C57" s="29" t="s">
        <v>834</v>
      </c>
      <c r="D57" s="364">
        <v>1</v>
      </c>
      <c r="E57" s="362"/>
      <c r="F57" s="362"/>
      <c r="G57" s="63" t="s">
        <v>767</v>
      </c>
      <c r="H57" s="63" t="s">
        <v>699</v>
      </c>
      <c r="I57" s="362">
        <f>노임단가!F7</f>
        <v>238936</v>
      </c>
      <c r="J57" s="362"/>
      <c r="K57" s="362"/>
      <c r="L57" s="362"/>
      <c r="M57" s="63" t="s">
        <v>699</v>
      </c>
      <c r="N57" s="362" t="s">
        <v>570</v>
      </c>
      <c r="O57" s="362"/>
      <c r="P57" s="362"/>
      <c r="Q57" s="362"/>
      <c r="R57" s="362"/>
      <c r="S57" s="362"/>
      <c r="T57" s="362"/>
      <c r="U57" s="362"/>
      <c r="V57" s="362"/>
      <c r="W57" s="63"/>
      <c r="X57" s="63"/>
      <c r="Y57" s="63"/>
      <c r="Z57" s="64">
        <f>AA57+AB57+AC57</f>
        <v>49778.3</v>
      </c>
      <c r="AA57" s="68">
        <f>TRUNC(D57*I57*기계경비적용기준!E21,1)</f>
        <v>49778.3</v>
      </c>
      <c r="AB57" s="68"/>
      <c r="AC57" s="68"/>
      <c r="AD57" s="32" t="s">
        <v>834</v>
      </c>
    </row>
    <row r="58" spans="2:30" ht="19.7" customHeight="1">
      <c r="B58" s="67" t="s">
        <v>834</v>
      </c>
      <c r="C58" s="29" t="s">
        <v>834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37"/>
      <c r="AA58" s="31"/>
      <c r="AB58" s="31"/>
      <c r="AC58" s="31"/>
      <c r="AD58" s="32" t="s">
        <v>834</v>
      </c>
    </row>
    <row r="59" spans="2:30" ht="19.7" customHeight="1">
      <c r="B59" s="61" t="s">
        <v>582</v>
      </c>
      <c r="C59" s="62" t="s">
        <v>232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4">
        <f>AA59+AB59+AC59</f>
        <v>66885</v>
      </c>
      <c r="AA59" s="65">
        <f>TRUNC(AA60+AA61+AA62+AA63)</f>
        <v>49778</v>
      </c>
      <c r="AB59" s="65">
        <f>TRUNC(AB60+AB61+AB62+AB63)</f>
        <v>9494</v>
      </c>
      <c r="AC59" s="65">
        <f>TRUNC(AC60+AC61+AC62+AC63)</f>
        <v>7613</v>
      </c>
      <c r="AD59" s="66"/>
    </row>
    <row r="60" spans="2:30" ht="19.7" customHeight="1">
      <c r="B60" s="67" t="s">
        <v>651</v>
      </c>
      <c r="C60" s="29" t="s">
        <v>834</v>
      </c>
      <c r="D60" s="362">
        <v>25662000</v>
      </c>
      <c r="E60" s="362"/>
      <c r="F60" s="362"/>
      <c r="G60" s="362"/>
      <c r="H60" s="362"/>
      <c r="I60" s="362" t="s">
        <v>149</v>
      </c>
      <c r="J60" s="362"/>
      <c r="K60" s="362">
        <v>2967</v>
      </c>
      <c r="L60" s="362"/>
      <c r="M60" s="362"/>
      <c r="N60" s="63" t="s">
        <v>699</v>
      </c>
      <c r="O60" s="362" t="s">
        <v>745</v>
      </c>
      <c r="P60" s="362"/>
      <c r="Q60" s="362"/>
      <c r="R60" s="63"/>
      <c r="S60" s="63"/>
      <c r="T60" s="63"/>
      <c r="U60" s="63"/>
      <c r="V60" s="63"/>
      <c r="W60" s="63"/>
      <c r="X60" s="63"/>
      <c r="Y60" s="63"/>
      <c r="Z60" s="64">
        <f>AA60+AB60+AC60</f>
        <v>7613.9</v>
      </c>
      <c r="AA60" s="68"/>
      <c r="AB60" s="68"/>
      <c r="AC60" s="68">
        <f>TRUNC(D60*K60*0.0000001,1)</f>
        <v>7613.9</v>
      </c>
      <c r="AD60" s="32" t="s">
        <v>635</v>
      </c>
    </row>
    <row r="61" spans="2:30" ht="19.7" customHeight="1">
      <c r="B61" s="67" t="s">
        <v>688</v>
      </c>
      <c r="C61" s="29" t="s">
        <v>122</v>
      </c>
      <c r="D61" s="363">
        <v>5</v>
      </c>
      <c r="E61" s="362"/>
      <c r="F61" s="362"/>
      <c r="G61" s="362"/>
      <c r="H61" s="63" t="s">
        <v>660</v>
      </c>
      <c r="I61" s="63" t="s">
        <v>699</v>
      </c>
      <c r="J61" s="362">
        <f>자재단가!R6</f>
        <v>1376</v>
      </c>
      <c r="K61" s="362"/>
      <c r="L61" s="362"/>
      <c r="M61" s="362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4">
        <f>AA61+AB61+AC61</f>
        <v>6880</v>
      </c>
      <c r="AA61" s="68"/>
      <c r="AB61" s="68">
        <f>TRUNC(D61*J61,1)</f>
        <v>6880</v>
      </c>
      <c r="AC61" s="68"/>
      <c r="AD61" s="32" t="s">
        <v>834</v>
      </c>
    </row>
    <row r="62" spans="2:30" ht="19.7" customHeight="1">
      <c r="B62" s="67" t="s">
        <v>24</v>
      </c>
      <c r="C62" s="29" t="s">
        <v>467</v>
      </c>
      <c r="D62" s="363">
        <v>38</v>
      </c>
      <c r="E62" s="362"/>
      <c r="F62" s="362"/>
      <c r="G62" s="362"/>
      <c r="H62" s="63" t="s">
        <v>157</v>
      </c>
      <c r="I62" s="63" t="s">
        <v>699</v>
      </c>
      <c r="J62" s="362">
        <f>AB61</f>
        <v>6880</v>
      </c>
      <c r="K62" s="362"/>
      <c r="L62" s="362"/>
      <c r="M62" s="362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4">
        <f>AA62+AB62+AC62</f>
        <v>2614.4</v>
      </c>
      <c r="AA62" s="68"/>
      <c r="AB62" s="68">
        <f>TRUNC(D62/100*J62,1)</f>
        <v>2614.4</v>
      </c>
      <c r="AC62" s="68"/>
      <c r="AD62" s="32" t="s">
        <v>834</v>
      </c>
    </row>
    <row r="63" spans="2:30" ht="19.7" customHeight="1">
      <c r="B63" s="67" t="s">
        <v>60</v>
      </c>
      <c r="C63" s="29" t="s">
        <v>834</v>
      </c>
      <c r="D63" s="364">
        <v>1</v>
      </c>
      <c r="E63" s="362"/>
      <c r="F63" s="362"/>
      <c r="G63" s="63" t="s">
        <v>767</v>
      </c>
      <c r="H63" s="63" t="s">
        <v>699</v>
      </c>
      <c r="I63" s="362">
        <f>노임단가!F7</f>
        <v>238936</v>
      </c>
      <c r="J63" s="362"/>
      <c r="K63" s="362"/>
      <c r="L63" s="362"/>
      <c r="M63" s="63" t="s">
        <v>699</v>
      </c>
      <c r="N63" s="362" t="s">
        <v>570</v>
      </c>
      <c r="O63" s="362"/>
      <c r="P63" s="362"/>
      <c r="Q63" s="362"/>
      <c r="R63" s="362"/>
      <c r="S63" s="362"/>
      <c r="T63" s="362"/>
      <c r="U63" s="362"/>
      <c r="V63" s="362"/>
      <c r="W63" s="63"/>
      <c r="X63" s="63"/>
      <c r="Y63" s="63"/>
      <c r="Z63" s="64">
        <f>AA63+AB63+AC63</f>
        <v>49778.3</v>
      </c>
      <c r="AA63" s="68">
        <f>TRUNC(D63*I63*기계경비적용기준!E21,1)</f>
        <v>49778.3</v>
      </c>
      <c r="AB63" s="68"/>
      <c r="AC63" s="68"/>
      <c r="AD63" s="32" t="s">
        <v>834</v>
      </c>
    </row>
    <row r="64" spans="2:30" ht="19.7" customHeight="1">
      <c r="B64" s="67" t="s">
        <v>834</v>
      </c>
      <c r="C64" s="29" t="s">
        <v>834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37"/>
      <c r="AA64" s="31"/>
      <c r="AB64" s="31"/>
      <c r="AC64" s="31"/>
      <c r="AD64" s="32" t="s">
        <v>834</v>
      </c>
    </row>
    <row r="65" spans="2:30" ht="19.7" customHeight="1">
      <c r="B65" s="61" t="s">
        <v>654</v>
      </c>
      <c r="C65" s="62" t="s">
        <v>273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4">
        <f>AA65+AB65+AC65</f>
        <v>61806</v>
      </c>
      <c r="AA65" s="65">
        <f>TRUNC(AA66+AA67+AA68+AA69)</f>
        <v>49778</v>
      </c>
      <c r="AB65" s="65">
        <f>TRUNC(AB66+AB67+AB68+AB69)</f>
        <v>5506</v>
      </c>
      <c r="AC65" s="65">
        <f>TRUNC(AC66+AC67+AC68+AC69)</f>
        <v>6522</v>
      </c>
      <c r="AD65" s="66"/>
    </row>
    <row r="66" spans="2:30" ht="19.7" customHeight="1">
      <c r="B66" s="67" t="s">
        <v>651</v>
      </c>
      <c r="C66" s="29" t="s">
        <v>834</v>
      </c>
      <c r="D66" s="362">
        <v>21982000</v>
      </c>
      <c r="E66" s="362"/>
      <c r="F66" s="362"/>
      <c r="G66" s="362"/>
      <c r="H66" s="362"/>
      <c r="I66" s="362" t="s">
        <v>149</v>
      </c>
      <c r="J66" s="362"/>
      <c r="K66" s="362">
        <v>2967</v>
      </c>
      <c r="L66" s="362"/>
      <c r="M66" s="362"/>
      <c r="N66" s="63" t="s">
        <v>699</v>
      </c>
      <c r="O66" s="362" t="s">
        <v>745</v>
      </c>
      <c r="P66" s="362"/>
      <c r="Q66" s="362"/>
      <c r="R66" s="63"/>
      <c r="S66" s="63"/>
      <c r="T66" s="63"/>
      <c r="U66" s="63"/>
      <c r="V66" s="63"/>
      <c r="W66" s="63"/>
      <c r="X66" s="63"/>
      <c r="Y66" s="63"/>
      <c r="Z66" s="64">
        <f>AA66+AB66+AC66</f>
        <v>6522</v>
      </c>
      <c r="AA66" s="68"/>
      <c r="AB66" s="68"/>
      <c r="AC66" s="68">
        <f>TRUNC(D66*K66*0.0000001,1)</f>
        <v>6522</v>
      </c>
      <c r="AD66" s="32" t="s">
        <v>635</v>
      </c>
    </row>
    <row r="67" spans="2:30" ht="19.7" customHeight="1">
      <c r="B67" s="67" t="s">
        <v>688</v>
      </c>
      <c r="C67" s="29" t="s">
        <v>122</v>
      </c>
      <c r="D67" s="363">
        <v>2.9</v>
      </c>
      <c r="E67" s="362"/>
      <c r="F67" s="362"/>
      <c r="G67" s="362"/>
      <c r="H67" s="63" t="s">
        <v>660</v>
      </c>
      <c r="I67" s="63" t="s">
        <v>699</v>
      </c>
      <c r="J67" s="362">
        <f>자재단가!R6</f>
        <v>1376</v>
      </c>
      <c r="K67" s="362"/>
      <c r="L67" s="362"/>
      <c r="M67" s="362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4">
        <f>AA67+AB67+AC67</f>
        <v>3990.4</v>
      </c>
      <c r="AA67" s="68"/>
      <c r="AB67" s="68">
        <f>TRUNC(D67*J67,1)</f>
        <v>3990.4</v>
      </c>
      <c r="AC67" s="68"/>
      <c r="AD67" s="32" t="s">
        <v>834</v>
      </c>
    </row>
    <row r="68" spans="2:30" ht="19.7" customHeight="1">
      <c r="B68" s="67" t="s">
        <v>24</v>
      </c>
      <c r="C68" s="29" t="s">
        <v>467</v>
      </c>
      <c r="D68" s="363">
        <v>38</v>
      </c>
      <c r="E68" s="362"/>
      <c r="F68" s="362"/>
      <c r="G68" s="362"/>
      <c r="H68" s="63" t="s">
        <v>157</v>
      </c>
      <c r="I68" s="63" t="s">
        <v>699</v>
      </c>
      <c r="J68" s="362">
        <f>AB67</f>
        <v>3990.4</v>
      </c>
      <c r="K68" s="362"/>
      <c r="L68" s="362"/>
      <c r="M68" s="362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4">
        <f>AA68+AB68+AC68</f>
        <v>1516.3</v>
      </c>
      <c r="AA68" s="68"/>
      <c r="AB68" s="68">
        <f>TRUNC(D68/100*J68,1)</f>
        <v>1516.3</v>
      </c>
      <c r="AC68" s="68"/>
      <c r="AD68" s="32" t="s">
        <v>834</v>
      </c>
    </row>
    <row r="69" spans="2:30" ht="19.7" customHeight="1">
      <c r="B69" s="67" t="s">
        <v>60</v>
      </c>
      <c r="C69" s="29" t="s">
        <v>834</v>
      </c>
      <c r="D69" s="364">
        <v>1</v>
      </c>
      <c r="E69" s="362"/>
      <c r="F69" s="362"/>
      <c r="G69" s="63" t="s">
        <v>767</v>
      </c>
      <c r="H69" s="63" t="s">
        <v>699</v>
      </c>
      <c r="I69" s="362">
        <f>노임단가!F7</f>
        <v>238936</v>
      </c>
      <c r="J69" s="362"/>
      <c r="K69" s="362"/>
      <c r="L69" s="362"/>
      <c r="M69" s="63" t="s">
        <v>699</v>
      </c>
      <c r="N69" s="362" t="s">
        <v>570</v>
      </c>
      <c r="O69" s="362"/>
      <c r="P69" s="362"/>
      <c r="Q69" s="362"/>
      <c r="R69" s="362"/>
      <c r="S69" s="362"/>
      <c r="T69" s="362"/>
      <c r="U69" s="362"/>
      <c r="V69" s="362"/>
      <c r="W69" s="63"/>
      <c r="X69" s="63"/>
      <c r="Y69" s="63"/>
      <c r="Z69" s="64">
        <f>AA69+AB69+AC69</f>
        <v>49778.3</v>
      </c>
      <c r="AA69" s="68">
        <f>TRUNC(D69*I69*기계경비적용기준!E21,1)</f>
        <v>49778.3</v>
      </c>
      <c r="AB69" s="68"/>
      <c r="AC69" s="68"/>
      <c r="AD69" s="32" t="s">
        <v>834</v>
      </c>
    </row>
    <row r="70" spans="2:30" ht="19.7" customHeight="1">
      <c r="B70" s="67" t="s">
        <v>834</v>
      </c>
      <c r="C70" s="29" t="s">
        <v>834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37"/>
      <c r="AA70" s="31"/>
      <c r="AB70" s="31"/>
      <c r="AC70" s="31"/>
      <c r="AD70" s="32" t="s">
        <v>834</v>
      </c>
    </row>
    <row r="71" spans="2:30" ht="19.7" customHeight="1">
      <c r="B71" s="61" t="s">
        <v>326</v>
      </c>
      <c r="C71" s="62" t="s">
        <v>823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4">
        <f>AA71+AB71+AC71</f>
        <v>66591</v>
      </c>
      <c r="AA71" s="65">
        <f>TRUNC(AA72+AA73+AA74+AA75)</f>
        <v>49778</v>
      </c>
      <c r="AB71" s="65">
        <f>TRUNC(AB72+AB73+AB74+AB75)</f>
        <v>6274</v>
      </c>
      <c r="AC71" s="65">
        <f>TRUNC(AC72+AC73+AC74+AC75)</f>
        <v>10539</v>
      </c>
      <c r="AD71" s="66"/>
    </row>
    <row r="72" spans="2:30" ht="19.7" customHeight="1">
      <c r="B72" s="67" t="s">
        <v>239</v>
      </c>
      <c r="C72" s="29" t="s">
        <v>834</v>
      </c>
      <c r="D72" s="362">
        <v>29358000</v>
      </c>
      <c r="E72" s="362"/>
      <c r="F72" s="362"/>
      <c r="G72" s="362"/>
      <c r="H72" s="362"/>
      <c r="I72" s="362" t="s">
        <v>149</v>
      </c>
      <c r="J72" s="362"/>
      <c r="K72" s="362">
        <v>3590</v>
      </c>
      <c r="L72" s="362"/>
      <c r="M72" s="362"/>
      <c r="N72" s="63" t="s">
        <v>699</v>
      </c>
      <c r="O72" s="362" t="s">
        <v>745</v>
      </c>
      <c r="P72" s="362"/>
      <c r="Q72" s="362"/>
      <c r="R72" s="63"/>
      <c r="S72" s="63"/>
      <c r="T72" s="63"/>
      <c r="U72" s="63"/>
      <c r="V72" s="63"/>
      <c r="W72" s="63"/>
      <c r="X72" s="63"/>
      <c r="Y72" s="63"/>
      <c r="Z72" s="64">
        <f>AA72+AB72+AC72</f>
        <v>10539.5</v>
      </c>
      <c r="AA72" s="68"/>
      <c r="AB72" s="68"/>
      <c r="AC72" s="68">
        <f>TRUNC(D72*K72*0.0000001,1)</f>
        <v>10539.5</v>
      </c>
      <c r="AD72" s="32" t="s">
        <v>834</v>
      </c>
    </row>
    <row r="73" spans="2:30" ht="19.7" customHeight="1">
      <c r="B73" s="67" t="s">
        <v>688</v>
      </c>
      <c r="C73" s="29" t="s">
        <v>53</v>
      </c>
      <c r="D73" s="363">
        <v>3.8</v>
      </c>
      <c r="E73" s="362"/>
      <c r="F73" s="362"/>
      <c r="G73" s="362"/>
      <c r="H73" s="63" t="s">
        <v>660</v>
      </c>
      <c r="I73" s="63" t="s">
        <v>699</v>
      </c>
      <c r="J73" s="362">
        <f>자재단가!R6</f>
        <v>1376</v>
      </c>
      <c r="K73" s="362"/>
      <c r="L73" s="362"/>
      <c r="M73" s="362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4">
        <f>AA73+AB73+AC73</f>
        <v>5228.8</v>
      </c>
      <c r="AA73" s="68"/>
      <c r="AB73" s="68">
        <f>TRUNC(D73*J73,1)</f>
        <v>5228.8</v>
      </c>
      <c r="AC73" s="68"/>
      <c r="AD73" s="32" t="s">
        <v>834</v>
      </c>
    </row>
    <row r="74" spans="2:30" ht="19.7" customHeight="1">
      <c r="B74" s="67" t="s">
        <v>646</v>
      </c>
      <c r="C74" s="29" t="s">
        <v>467</v>
      </c>
      <c r="D74" s="363">
        <v>20</v>
      </c>
      <c r="E74" s="362"/>
      <c r="F74" s="362"/>
      <c r="G74" s="362"/>
      <c r="H74" s="63" t="s">
        <v>157</v>
      </c>
      <c r="I74" s="63" t="s">
        <v>699</v>
      </c>
      <c r="J74" s="362">
        <f>AB73</f>
        <v>5228.8</v>
      </c>
      <c r="K74" s="362"/>
      <c r="L74" s="362"/>
      <c r="M74" s="362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4">
        <f>AA74+AB74+AC74</f>
        <v>1045.7</v>
      </c>
      <c r="AA74" s="68"/>
      <c r="AB74" s="68">
        <f>TRUNC(D74/100*J74,1)</f>
        <v>1045.7</v>
      </c>
      <c r="AC74" s="68"/>
      <c r="AD74" s="32" t="s">
        <v>834</v>
      </c>
    </row>
    <row r="75" spans="2:30" ht="19.7" customHeight="1">
      <c r="B75" s="67" t="s">
        <v>60</v>
      </c>
      <c r="C75" s="29" t="s">
        <v>834</v>
      </c>
      <c r="D75" s="364">
        <v>1</v>
      </c>
      <c r="E75" s="362"/>
      <c r="F75" s="362"/>
      <c r="G75" s="63" t="s">
        <v>767</v>
      </c>
      <c r="H75" s="63" t="s">
        <v>699</v>
      </c>
      <c r="I75" s="362">
        <f>노임단가!F7</f>
        <v>238936</v>
      </c>
      <c r="J75" s="362"/>
      <c r="K75" s="362"/>
      <c r="L75" s="362"/>
      <c r="M75" s="63" t="s">
        <v>699</v>
      </c>
      <c r="N75" s="362" t="s">
        <v>570</v>
      </c>
      <c r="O75" s="362"/>
      <c r="P75" s="362"/>
      <c r="Q75" s="362"/>
      <c r="R75" s="362"/>
      <c r="S75" s="362"/>
      <c r="T75" s="362"/>
      <c r="U75" s="362"/>
      <c r="V75" s="362"/>
      <c r="W75" s="63"/>
      <c r="X75" s="63"/>
      <c r="Y75" s="63"/>
      <c r="Z75" s="64">
        <f>AA75+AB75+AC75</f>
        <v>49778.3</v>
      </c>
      <c r="AA75" s="68">
        <f>TRUNC(D75*I75*기계경비적용기준!E21,1)</f>
        <v>49778.3</v>
      </c>
      <c r="AB75" s="68"/>
      <c r="AC75" s="68"/>
      <c r="AD75" s="32" t="s">
        <v>834</v>
      </c>
    </row>
    <row r="76" spans="2:30" ht="19.7" customHeight="1">
      <c r="B76" s="67" t="s">
        <v>834</v>
      </c>
      <c r="C76" s="29" t="s">
        <v>834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37"/>
      <c r="AA76" s="31"/>
      <c r="AB76" s="31"/>
      <c r="AC76" s="31"/>
      <c r="AD76" s="32" t="s">
        <v>834</v>
      </c>
    </row>
    <row r="77" spans="2:30" ht="19.7" customHeight="1">
      <c r="B77" s="61" t="s">
        <v>709</v>
      </c>
      <c r="C77" s="62" t="s">
        <v>827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4">
        <f>AA77+AB77+AC77</f>
        <v>107892</v>
      </c>
      <c r="AA77" s="65">
        <f>TRUNC(AA78+AA79+AA80+AA81)</f>
        <v>59020</v>
      </c>
      <c r="AB77" s="65">
        <f>TRUNC(AB78+AB79+AB80+AB81)</f>
        <v>31558</v>
      </c>
      <c r="AC77" s="65">
        <f>TRUNC(AC78+AC79+AC80+AC81)</f>
        <v>17314</v>
      </c>
      <c r="AD77" s="66"/>
    </row>
    <row r="78" spans="2:30" ht="19.7" customHeight="1">
      <c r="B78" s="67" t="s">
        <v>239</v>
      </c>
      <c r="C78" s="29" t="s">
        <v>834</v>
      </c>
      <c r="D78" s="362">
        <v>67216000</v>
      </c>
      <c r="E78" s="362"/>
      <c r="F78" s="362"/>
      <c r="G78" s="362"/>
      <c r="H78" s="362"/>
      <c r="I78" s="362" t="s">
        <v>149</v>
      </c>
      <c r="J78" s="362"/>
      <c r="K78" s="362">
        <v>2576</v>
      </c>
      <c r="L78" s="362"/>
      <c r="M78" s="362"/>
      <c r="N78" s="63" t="s">
        <v>699</v>
      </c>
      <c r="O78" s="362" t="s">
        <v>745</v>
      </c>
      <c r="P78" s="362"/>
      <c r="Q78" s="362"/>
      <c r="R78" s="63"/>
      <c r="S78" s="63"/>
      <c r="T78" s="63"/>
      <c r="U78" s="63"/>
      <c r="V78" s="63"/>
      <c r="W78" s="63"/>
      <c r="X78" s="63"/>
      <c r="Y78" s="63"/>
      <c r="Z78" s="64">
        <f>AA78+AB78+AC78</f>
        <v>17314.8</v>
      </c>
      <c r="AA78" s="68"/>
      <c r="AB78" s="68"/>
      <c r="AC78" s="68">
        <f>TRUNC(D78*K78*0.0000001,1)</f>
        <v>17314.8</v>
      </c>
      <c r="AD78" s="32" t="s">
        <v>635</v>
      </c>
    </row>
    <row r="79" spans="2:30" ht="19.7" customHeight="1">
      <c r="B79" s="67" t="s">
        <v>688</v>
      </c>
      <c r="C79" s="29" t="s">
        <v>53</v>
      </c>
      <c r="D79" s="363">
        <v>16.5</v>
      </c>
      <c r="E79" s="362"/>
      <c r="F79" s="362"/>
      <c r="G79" s="362"/>
      <c r="H79" s="63" t="s">
        <v>660</v>
      </c>
      <c r="I79" s="63" t="s">
        <v>699</v>
      </c>
      <c r="J79" s="362">
        <f>자재단가!R6</f>
        <v>1376</v>
      </c>
      <c r="K79" s="362"/>
      <c r="L79" s="362"/>
      <c r="M79" s="362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4">
        <f>AA79+AB79+AC79</f>
        <v>22704</v>
      </c>
      <c r="AA79" s="68"/>
      <c r="AB79" s="68">
        <f>TRUNC(D79*J79,1)</f>
        <v>22704</v>
      </c>
      <c r="AC79" s="68"/>
      <c r="AD79" s="32" t="s">
        <v>834</v>
      </c>
    </row>
    <row r="80" spans="2:30" ht="19.7" customHeight="1">
      <c r="B80" s="67" t="s">
        <v>61</v>
      </c>
      <c r="C80" s="29" t="s">
        <v>467</v>
      </c>
      <c r="D80" s="363">
        <v>39</v>
      </c>
      <c r="E80" s="362"/>
      <c r="F80" s="362"/>
      <c r="G80" s="362"/>
      <c r="H80" s="63" t="s">
        <v>157</v>
      </c>
      <c r="I80" s="63" t="s">
        <v>699</v>
      </c>
      <c r="J80" s="362">
        <f>AB79</f>
        <v>22704</v>
      </c>
      <c r="K80" s="362"/>
      <c r="L80" s="362"/>
      <c r="M80" s="362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4">
        <f>AA80+AB80+AC80</f>
        <v>8854.5</v>
      </c>
      <c r="AA80" s="68"/>
      <c r="AB80" s="68">
        <f>TRUNC(D80/100*J80,1)</f>
        <v>8854.5</v>
      </c>
      <c r="AC80" s="68"/>
      <c r="AD80" s="32" t="s">
        <v>834</v>
      </c>
    </row>
    <row r="81" spans="2:30" ht="19.7" customHeight="1">
      <c r="B81" s="67" t="s">
        <v>177</v>
      </c>
      <c r="C81" s="29" t="s">
        <v>834</v>
      </c>
      <c r="D81" s="364">
        <v>1</v>
      </c>
      <c r="E81" s="362"/>
      <c r="F81" s="362"/>
      <c r="G81" s="63" t="s">
        <v>767</v>
      </c>
      <c r="H81" s="63" t="s">
        <v>699</v>
      </c>
      <c r="I81" s="362">
        <f>노임단가!F6</f>
        <v>283297</v>
      </c>
      <c r="J81" s="362"/>
      <c r="K81" s="362"/>
      <c r="L81" s="362"/>
      <c r="M81" s="63" t="s">
        <v>699</v>
      </c>
      <c r="N81" s="362" t="s">
        <v>570</v>
      </c>
      <c r="O81" s="362"/>
      <c r="P81" s="362"/>
      <c r="Q81" s="362"/>
      <c r="R81" s="362"/>
      <c r="S81" s="362"/>
      <c r="T81" s="362"/>
      <c r="U81" s="362"/>
      <c r="V81" s="362"/>
      <c r="W81" s="63"/>
      <c r="X81" s="63"/>
      <c r="Y81" s="63"/>
      <c r="Z81" s="64">
        <f>AA81+AB81+AC81</f>
        <v>59020.2</v>
      </c>
      <c r="AA81" s="68">
        <f>TRUNC(D81*I81*기계경비적용기준!E21,1)</f>
        <v>59020.2</v>
      </c>
      <c r="AB81" s="68"/>
      <c r="AC81" s="68"/>
      <c r="AD81" s="32" t="s">
        <v>834</v>
      </c>
    </row>
    <row r="82" spans="2:30" ht="19.7" customHeight="1">
      <c r="B82" s="69" t="s">
        <v>834</v>
      </c>
      <c r="C82" s="34" t="s">
        <v>834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A82" s="22"/>
      <c r="AB82" s="22"/>
      <c r="AC82" s="22"/>
      <c r="AD82" s="36" t="s">
        <v>834</v>
      </c>
    </row>
    <row r="83" spans="2:30" ht="19.7" customHeight="1">
      <c r="B83" s="61" t="s">
        <v>678</v>
      </c>
      <c r="C83" s="62" t="s">
        <v>196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4">
        <f>AA83+AB83+AC83</f>
        <v>136855</v>
      </c>
      <c r="AA83" s="65">
        <f>TRUNC(AA84+AA85+AA86+AA87)</f>
        <v>59020</v>
      </c>
      <c r="AB83" s="65">
        <f>TRUNC(AB84+AB85+AB86+AB87)</f>
        <v>30984</v>
      </c>
      <c r="AC83" s="65">
        <f>TRUNC(AC84+AC85+AC86+AC87)</f>
        <v>46851</v>
      </c>
      <c r="AD83" s="66"/>
    </row>
    <row r="84" spans="2:30" ht="19.7" customHeight="1">
      <c r="B84" s="67" t="s">
        <v>239</v>
      </c>
      <c r="C84" s="29" t="s">
        <v>834</v>
      </c>
      <c r="D84" s="362">
        <v>310687000</v>
      </c>
      <c r="E84" s="362"/>
      <c r="F84" s="362"/>
      <c r="G84" s="362"/>
      <c r="H84" s="362"/>
      <c r="I84" s="362" t="s">
        <v>149</v>
      </c>
      <c r="J84" s="362"/>
      <c r="K84" s="362">
        <v>1508</v>
      </c>
      <c r="L84" s="362"/>
      <c r="M84" s="362"/>
      <c r="N84" s="63" t="s">
        <v>699</v>
      </c>
      <c r="O84" s="362" t="s">
        <v>745</v>
      </c>
      <c r="P84" s="362"/>
      <c r="Q84" s="362"/>
      <c r="R84" s="63"/>
      <c r="S84" s="63"/>
      <c r="T84" s="63"/>
      <c r="U84" s="63"/>
      <c r="V84" s="63"/>
      <c r="W84" s="63"/>
      <c r="X84" s="63"/>
      <c r="Y84" s="63"/>
      <c r="Z84" s="64">
        <f>AA84+AB84+AC84</f>
        <v>46851.5</v>
      </c>
      <c r="AA84" s="68"/>
      <c r="AB84" s="68"/>
      <c r="AC84" s="68">
        <f>TRUNC(D84*K84*0.0000001,1)</f>
        <v>46851.5</v>
      </c>
      <c r="AD84" s="32" t="s">
        <v>635</v>
      </c>
    </row>
    <row r="85" spans="2:30" ht="19.7" customHeight="1">
      <c r="B85" s="67" t="s">
        <v>688</v>
      </c>
      <c r="C85" s="29" t="s">
        <v>53</v>
      </c>
      <c r="D85" s="363">
        <v>16.2</v>
      </c>
      <c r="E85" s="362"/>
      <c r="F85" s="362"/>
      <c r="G85" s="362"/>
      <c r="H85" s="63" t="s">
        <v>660</v>
      </c>
      <c r="I85" s="63" t="s">
        <v>699</v>
      </c>
      <c r="J85" s="362">
        <f>자재단가!R6</f>
        <v>1376</v>
      </c>
      <c r="K85" s="362"/>
      <c r="L85" s="362"/>
      <c r="M85" s="362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4">
        <f>AA85+AB85+AC85</f>
        <v>22291.200000000001</v>
      </c>
      <c r="AA85" s="68"/>
      <c r="AB85" s="68">
        <f>TRUNC(D85*J85,1)</f>
        <v>22291.200000000001</v>
      </c>
      <c r="AC85" s="68"/>
      <c r="AD85" s="32" t="s">
        <v>834</v>
      </c>
    </row>
    <row r="86" spans="2:30" ht="19.7" customHeight="1">
      <c r="B86" s="67" t="s">
        <v>61</v>
      </c>
      <c r="C86" s="29" t="s">
        <v>467</v>
      </c>
      <c r="D86" s="363">
        <v>39</v>
      </c>
      <c r="E86" s="362"/>
      <c r="F86" s="362"/>
      <c r="G86" s="362"/>
      <c r="H86" s="63" t="s">
        <v>157</v>
      </c>
      <c r="I86" s="63" t="s">
        <v>699</v>
      </c>
      <c r="J86" s="362">
        <f>AB85</f>
        <v>22291.200000000001</v>
      </c>
      <c r="K86" s="362"/>
      <c r="L86" s="362"/>
      <c r="M86" s="362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4">
        <f>AA86+AB86+AC86</f>
        <v>8693.5</v>
      </c>
      <c r="AA86" s="68"/>
      <c r="AB86" s="68">
        <f>TRUNC(D86/100*J86,1)</f>
        <v>8693.5</v>
      </c>
      <c r="AC86" s="68"/>
      <c r="AD86" s="32" t="s">
        <v>834</v>
      </c>
    </row>
    <row r="87" spans="2:30" ht="19.7" customHeight="1">
      <c r="B87" s="67" t="s">
        <v>177</v>
      </c>
      <c r="C87" s="29" t="s">
        <v>834</v>
      </c>
      <c r="D87" s="364">
        <v>1</v>
      </c>
      <c r="E87" s="362"/>
      <c r="F87" s="362"/>
      <c r="G87" s="63" t="s">
        <v>767</v>
      </c>
      <c r="H87" s="63" t="s">
        <v>699</v>
      </c>
      <c r="I87" s="362">
        <f>노임단가!F6</f>
        <v>283297</v>
      </c>
      <c r="J87" s="362"/>
      <c r="K87" s="362"/>
      <c r="L87" s="362"/>
      <c r="M87" s="63" t="s">
        <v>699</v>
      </c>
      <c r="N87" s="362" t="s">
        <v>570</v>
      </c>
      <c r="O87" s="362"/>
      <c r="P87" s="362"/>
      <c r="Q87" s="362"/>
      <c r="R87" s="362"/>
      <c r="S87" s="362"/>
      <c r="T87" s="362"/>
      <c r="U87" s="362"/>
      <c r="V87" s="362"/>
      <c r="W87" s="63"/>
      <c r="X87" s="63"/>
      <c r="Y87" s="63"/>
      <c r="Z87" s="64">
        <f>AA87+AB87+AC87</f>
        <v>59020.2</v>
      </c>
      <c r="AA87" s="68">
        <f>TRUNC(D87*I87*기계경비적용기준!E21,1)</f>
        <v>59020.2</v>
      </c>
      <c r="AB87" s="68"/>
      <c r="AC87" s="68"/>
      <c r="AD87" s="32" t="s">
        <v>834</v>
      </c>
    </row>
    <row r="88" spans="2:30" ht="19.7" customHeight="1">
      <c r="B88" s="67" t="s">
        <v>834</v>
      </c>
      <c r="C88" s="29" t="s">
        <v>834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37"/>
      <c r="AA88" s="31"/>
      <c r="AB88" s="31"/>
      <c r="AC88" s="31"/>
      <c r="AD88" s="32" t="s">
        <v>834</v>
      </c>
    </row>
    <row r="89" spans="2:30" ht="19.7" customHeight="1">
      <c r="B89" s="61" t="s">
        <v>337</v>
      </c>
      <c r="C89" s="62" t="s">
        <v>685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4">
        <f>AA89+AB89+AC89</f>
        <v>43664</v>
      </c>
      <c r="AA89" s="65">
        <f>TRUNC(AA90+AA91)</f>
        <v>36248</v>
      </c>
      <c r="AB89" s="65">
        <f>TRUNC(AB90+AB91)</f>
        <v>0</v>
      </c>
      <c r="AC89" s="65">
        <f>TRUNC(AC90+AC91)</f>
        <v>7416</v>
      </c>
      <c r="AD89" s="66"/>
    </row>
    <row r="90" spans="2:30" ht="19.7" customHeight="1">
      <c r="B90" s="67" t="s">
        <v>659</v>
      </c>
      <c r="C90" s="29" t="s">
        <v>834</v>
      </c>
      <c r="D90" s="362">
        <v>20000000</v>
      </c>
      <c r="E90" s="362"/>
      <c r="F90" s="362"/>
      <c r="G90" s="362"/>
      <c r="H90" s="362"/>
      <c r="I90" s="362" t="s">
        <v>149</v>
      </c>
      <c r="J90" s="362"/>
      <c r="K90" s="362">
        <v>3708</v>
      </c>
      <c r="L90" s="362"/>
      <c r="M90" s="362"/>
      <c r="N90" s="63" t="s">
        <v>699</v>
      </c>
      <c r="O90" s="362" t="s">
        <v>745</v>
      </c>
      <c r="P90" s="362"/>
      <c r="Q90" s="362"/>
      <c r="R90" s="63"/>
      <c r="S90" s="63"/>
      <c r="T90" s="63"/>
      <c r="U90" s="63"/>
      <c r="V90" s="63"/>
      <c r="W90" s="63"/>
      <c r="X90" s="63"/>
      <c r="Y90" s="63"/>
      <c r="Z90" s="64">
        <f>AA90+AB90+AC90</f>
        <v>7416</v>
      </c>
      <c r="AA90" s="68"/>
      <c r="AB90" s="68"/>
      <c r="AC90" s="68">
        <f>TRUNC(D90*K90*0.0000001,1)</f>
        <v>7416</v>
      </c>
      <c r="AD90" s="32" t="s">
        <v>834</v>
      </c>
    </row>
    <row r="91" spans="2:30" ht="19.7" customHeight="1">
      <c r="B91" s="67" t="s">
        <v>414</v>
      </c>
      <c r="C91" s="29" t="s">
        <v>834</v>
      </c>
      <c r="D91" s="364">
        <v>1</v>
      </c>
      <c r="E91" s="362"/>
      <c r="F91" s="362"/>
      <c r="G91" s="63" t="s">
        <v>767</v>
      </c>
      <c r="H91" s="63" t="s">
        <v>699</v>
      </c>
      <c r="I91" s="362">
        <v>173995</v>
      </c>
      <c r="J91" s="362"/>
      <c r="K91" s="362"/>
      <c r="L91" s="362"/>
      <c r="M91" s="63" t="s">
        <v>699</v>
      </c>
      <c r="N91" s="362" t="s">
        <v>570</v>
      </c>
      <c r="O91" s="362"/>
      <c r="P91" s="362"/>
      <c r="Q91" s="362"/>
      <c r="R91" s="362"/>
      <c r="S91" s="362"/>
      <c r="T91" s="362"/>
      <c r="U91" s="362"/>
      <c r="V91" s="362"/>
      <c r="W91" s="63"/>
      <c r="X91" s="63"/>
      <c r="Y91" s="63"/>
      <c r="Z91" s="64">
        <f>AA91+AB91+AC91</f>
        <v>36248.9</v>
      </c>
      <c r="AA91" s="68">
        <f>TRUNC(D91*I91*기계경비적용기준!E21,1)</f>
        <v>36248.9</v>
      </c>
      <c r="AB91" s="68"/>
      <c r="AC91" s="68"/>
      <c r="AD91" s="32" t="s">
        <v>834</v>
      </c>
    </row>
    <row r="92" spans="2:30" ht="19.7" customHeight="1">
      <c r="B92" s="67" t="s">
        <v>834</v>
      </c>
      <c r="C92" s="29" t="s">
        <v>834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37"/>
      <c r="AA92" s="31"/>
      <c r="AB92" s="31"/>
      <c r="AC92" s="31"/>
      <c r="AD92" s="32" t="s">
        <v>834</v>
      </c>
    </row>
    <row r="93" spans="2:30" ht="19.7" customHeight="1">
      <c r="B93" s="61" t="s">
        <v>343</v>
      </c>
      <c r="C93" s="62" t="s">
        <v>708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4">
        <f>AA93+AB93+AC93</f>
        <v>54971</v>
      </c>
      <c r="AA93" s="65">
        <f>TRUNC(AA94+AA95+AA96+AA97)</f>
        <v>36248</v>
      </c>
      <c r="AB93" s="65">
        <f>TRUNC(AB94+AB95+AB96+AB97)</f>
        <v>14477</v>
      </c>
      <c r="AC93" s="65">
        <f>TRUNC(AC94+AC95+AC96+AC97)</f>
        <v>4246</v>
      </c>
      <c r="AD93" s="66"/>
    </row>
    <row r="94" spans="2:30" ht="19.7" customHeight="1">
      <c r="B94" s="67" t="s">
        <v>239</v>
      </c>
      <c r="C94" s="29" t="s">
        <v>834</v>
      </c>
      <c r="D94" s="362">
        <v>17978000</v>
      </c>
      <c r="E94" s="362"/>
      <c r="F94" s="362"/>
      <c r="G94" s="362"/>
      <c r="H94" s="362"/>
      <c r="I94" s="362" t="s">
        <v>149</v>
      </c>
      <c r="J94" s="362"/>
      <c r="K94" s="362">
        <v>2362</v>
      </c>
      <c r="L94" s="362"/>
      <c r="M94" s="362"/>
      <c r="N94" s="63" t="s">
        <v>699</v>
      </c>
      <c r="O94" s="362" t="s">
        <v>745</v>
      </c>
      <c r="P94" s="362"/>
      <c r="Q94" s="362"/>
      <c r="R94" s="63"/>
      <c r="S94" s="63"/>
      <c r="T94" s="63"/>
      <c r="U94" s="63"/>
      <c r="V94" s="63"/>
      <c r="W94" s="63"/>
      <c r="X94" s="63"/>
      <c r="Y94" s="63"/>
      <c r="Z94" s="64">
        <f>AA94+AB94+AC94</f>
        <v>4246.3999999999996</v>
      </c>
      <c r="AA94" s="68"/>
      <c r="AB94" s="68"/>
      <c r="AC94" s="68">
        <f>TRUNC(D94*K94*0.0000001,1)</f>
        <v>4246.3999999999996</v>
      </c>
      <c r="AD94" s="32" t="s">
        <v>635</v>
      </c>
    </row>
    <row r="95" spans="2:30" ht="19.7" customHeight="1">
      <c r="B95" s="67" t="s">
        <v>688</v>
      </c>
      <c r="C95" s="29" t="s">
        <v>53</v>
      </c>
      <c r="D95" s="363">
        <v>8.6999999999999993</v>
      </c>
      <c r="E95" s="362"/>
      <c r="F95" s="362"/>
      <c r="G95" s="362"/>
      <c r="H95" s="63" t="s">
        <v>660</v>
      </c>
      <c r="I95" s="63" t="s">
        <v>699</v>
      </c>
      <c r="J95" s="362">
        <v>1342</v>
      </c>
      <c r="K95" s="362"/>
      <c r="L95" s="362"/>
      <c r="M95" s="362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4">
        <f>AA95+AB95+AC95</f>
        <v>11675.4</v>
      </c>
      <c r="AA95" s="68"/>
      <c r="AB95" s="68">
        <f>TRUNC(D95*J95,1)</f>
        <v>11675.4</v>
      </c>
      <c r="AC95" s="68"/>
      <c r="AD95" s="32" t="s">
        <v>834</v>
      </c>
    </row>
    <row r="96" spans="2:30" ht="19.7" customHeight="1">
      <c r="B96" s="67" t="s">
        <v>61</v>
      </c>
      <c r="C96" s="29" t="s">
        <v>467</v>
      </c>
      <c r="D96" s="363">
        <v>24</v>
      </c>
      <c r="E96" s="362"/>
      <c r="F96" s="362"/>
      <c r="G96" s="362"/>
      <c r="H96" s="63" t="s">
        <v>157</v>
      </c>
      <c r="I96" s="63" t="s">
        <v>699</v>
      </c>
      <c r="J96" s="362">
        <f>AB95</f>
        <v>11675.4</v>
      </c>
      <c r="K96" s="362"/>
      <c r="L96" s="362"/>
      <c r="M96" s="362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4">
        <f>AA96+AB96+AC96</f>
        <v>2802</v>
      </c>
      <c r="AA96" s="68"/>
      <c r="AB96" s="68">
        <f>TRUNC(D96/100*J96,1)</f>
        <v>2802</v>
      </c>
      <c r="AC96" s="68"/>
      <c r="AD96" s="32" t="s">
        <v>834</v>
      </c>
    </row>
    <row r="97" spans="2:30" ht="19.7" customHeight="1">
      <c r="B97" s="67" t="s">
        <v>414</v>
      </c>
      <c r="C97" s="29" t="s">
        <v>834</v>
      </c>
      <c r="D97" s="364">
        <v>1</v>
      </c>
      <c r="E97" s="362"/>
      <c r="F97" s="362"/>
      <c r="G97" s="63" t="s">
        <v>767</v>
      </c>
      <c r="H97" s="63" t="s">
        <v>699</v>
      </c>
      <c r="I97" s="362">
        <f>노임단가!F11</f>
        <v>173995</v>
      </c>
      <c r="J97" s="362"/>
      <c r="K97" s="362"/>
      <c r="L97" s="362"/>
      <c r="M97" s="63" t="s">
        <v>699</v>
      </c>
      <c r="N97" s="362" t="s">
        <v>570</v>
      </c>
      <c r="O97" s="362"/>
      <c r="P97" s="362"/>
      <c r="Q97" s="362"/>
      <c r="R97" s="362"/>
      <c r="S97" s="362"/>
      <c r="T97" s="362"/>
      <c r="U97" s="362"/>
      <c r="V97" s="362"/>
      <c r="W97" s="63"/>
      <c r="X97" s="63"/>
      <c r="Y97" s="63"/>
      <c r="Z97" s="64">
        <f>AA97+AB97+AC97</f>
        <v>36248.9</v>
      </c>
      <c r="AA97" s="68">
        <f>TRUNC(D97*I97*기계경비적용기준!E21,1)</f>
        <v>36248.9</v>
      </c>
      <c r="AB97" s="68"/>
      <c r="AC97" s="68"/>
      <c r="AD97" s="32" t="s">
        <v>834</v>
      </c>
    </row>
    <row r="98" spans="2:30" ht="19.7" customHeight="1">
      <c r="B98" s="67" t="s">
        <v>834</v>
      </c>
      <c r="C98" s="29" t="s">
        <v>834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37"/>
      <c r="AA98" s="31"/>
      <c r="AB98" s="31"/>
      <c r="AC98" s="31"/>
      <c r="AD98" s="32" t="s">
        <v>834</v>
      </c>
    </row>
    <row r="99" spans="2:30" ht="19.7" customHeight="1">
      <c r="B99" s="61" t="s">
        <v>9</v>
      </c>
      <c r="C99" s="62" t="s">
        <v>823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4">
        <f t="shared" ref="Z99:Z104" si="1">AA99+AB99+AC99</f>
        <v>294593</v>
      </c>
      <c r="AA99" s="65">
        <f>TRUNC(AA100+AA101+AA102+AA103+AA104)</f>
        <v>67563</v>
      </c>
      <c r="AB99" s="65">
        <f>TRUNC(AB100+AB101+AB102+AB103+AB104)</f>
        <v>16520</v>
      </c>
      <c r="AC99" s="65">
        <f>TRUNC(AC100+AC101+AC102+AC103+AC104)</f>
        <v>210510</v>
      </c>
      <c r="AD99" s="66"/>
    </row>
    <row r="100" spans="2:30" ht="19.7" customHeight="1">
      <c r="B100" s="67" t="s">
        <v>239</v>
      </c>
      <c r="C100" s="29" t="s">
        <v>834</v>
      </c>
      <c r="D100" s="362">
        <v>900000000</v>
      </c>
      <c r="E100" s="362"/>
      <c r="F100" s="362"/>
      <c r="G100" s="362"/>
      <c r="H100" s="362"/>
      <c r="I100" s="362" t="s">
        <v>149</v>
      </c>
      <c r="J100" s="362"/>
      <c r="K100" s="362">
        <v>2339</v>
      </c>
      <c r="L100" s="362"/>
      <c r="M100" s="362"/>
      <c r="N100" s="63" t="s">
        <v>699</v>
      </c>
      <c r="O100" s="362" t="s">
        <v>745</v>
      </c>
      <c r="P100" s="362"/>
      <c r="Q100" s="362"/>
      <c r="R100" s="63"/>
      <c r="S100" s="63"/>
      <c r="T100" s="63"/>
      <c r="U100" s="63"/>
      <c r="V100" s="63"/>
      <c r="W100" s="63"/>
      <c r="X100" s="63"/>
      <c r="Y100" s="63"/>
      <c r="Z100" s="64">
        <f t="shared" si="1"/>
        <v>210510</v>
      </c>
      <c r="AA100" s="68"/>
      <c r="AB100" s="68"/>
      <c r="AC100" s="68">
        <f>TRUNC(D100*K100*0.0000001,1)</f>
        <v>210510</v>
      </c>
      <c r="AD100" s="32" t="s">
        <v>834</v>
      </c>
    </row>
    <row r="101" spans="2:30" ht="19.7" customHeight="1">
      <c r="B101" s="67" t="s">
        <v>688</v>
      </c>
      <c r="C101" s="29" t="s">
        <v>53</v>
      </c>
      <c r="D101" s="363">
        <v>8.6999999999999993</v>
      </c>
      <c r="E101" s="362"/>
      <c r="F101" s="362"/>
      <c r="G101" s="362"/>
      <c r="H101" s="63" t="s">
        <v>660</v>
      </c>
      <c r="I101" s="63" t="s">
        <v>699</v>
      </c>
      <c r="J101" s="362">
        <f>자재단가!R6</f>
        <v>1376</v>
      </c>
      <c r="K101" s="362"/>
      <c r="L101" s="362"/>
      <c r="M101" s="362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4">
        <f t="shared" si="1"/>
        <v>11971.2</v>
      </c>
      <c r="AA101" s="68"/>
      <c r="AB101" s="68">
        <f>TRUNC(D101*J101,1)</f>
        <v>11971.2</v>
      </c>
      <c r="AC101" s="68"/>
      <c r="AD101" s="32" t="s">
        <v>834</v>
      </c>
    </row>
    <row r="102" spans="2:30" ht="19.7" customHeight="1">
      <c r="B102" s="67" t="s">
        <v>646</v>
      </c>
      <c r="C102" s="29" t="s">
        <v>467</v>
      </c>
      <c r="D102" s="363">
        <v>38</v>
      </c>
      <c r="E102" s="362"/>
      <c r="F102" s="362"/>
      <c r="G102" s="362"/>
      <c r="H102" s="63" t="s">
        <v>157</v>
      </c>
      <c r="I102" s="63" t="s">
        <v>699</v>
      </c>
      <c r="J102" s="362">
        <f>AB101</f>
        <v>11971.2</v>
      </c>
      <c r="K102" s="362"/>
      <c r="L102" s="362"/>
      <c r="M102" s="362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4">
        <f t="shared" si="1"/>
        <v>4549</v>
      </c>
      <c r="AA102" s="68"/>
      <c r="AB102" s="68">
        <f>TRUNC(D102/100*J102,1)</f>
        <v>4549</v>
      </c>
      <c r="AC102" s="68"/>
      <c r="AD102" s="32" t="s">
        <v>834</v>
      </c>
    </row>
    <row r="103" spans="2:30" ht="19.7" customHeight="1">
      <c r="B103" s="67" t="s">
        <v>472</v>
      </c>
      <c r="C103" s="29" t="s">
        <v>834</v>
      </c>
      <c r="D103" s="364">
        <v>0.2</v>
      </c>
      <c r="E103" s="362"/>
      <c r="F103" s="362"/>
      <c r="G103" s="63" t="s">
        <v>767</v>
      </c>
      <c r="H103" s="63" t="s">
        <v>699</v>
      </c>
      <c r="I103" s="362">
        <f>노임단가!F13</f>
        <v>205028</v>
      </c>
      <c r="J103" s="362"/>
      <c r="K103" s="362"/>
      <c r="L103" s="362"/>
      <c r="M103" s="63" t="s">
        <v>699</v>
      </c>
      <c r="N103" s="362" t="s">
        <v>570</v>
      </c>
      <c r="O103" s="362"/>
      <c r="P103" s="362"/>
      <c r="Q103" s="362"/>
      <c r="R103" s="362"/>
      <c r="S103" s="362"/>
      <c r="T103" s="362"/>
      <c r="U103" s="362"/>
      <c r="V103" s="362"/>
      <c r="W103" s="63"/>
      <c r="X103" s="63"/>
      <c r="Y103" s="63"/>
      <c r="Z103" s="64">
        <f t="shared" si="1"/>
        <v>8542.7999999999993</v>
      </c>
      <c r="AA103" s="68">
        <f>TRUNC(D103*I103*기계경비적용기준!E21,1)</f>
        <v>8542.7999999999993</v>
      </c>
      <c r="AB103" s="68"/>
      <c r="AC103" s="68"/>
      <c r="AD103" s="32" t="s">
        <v>834</v>
      </c>
    </row>
    <row r="104" spans="2:30" ht="19.7" customHeight="1">
      <c r="B104" s="67" t="s">
        <v>177</v>
      </c>
      <c r="C104" s="29" t="s">
        <v>834</v>
      </c>
      <c r="D104" s="364">
        <v>1</v>
      </c>
      <c r="E104" s="362"/>
      <c r="F104" s="362"/>
      <c r="G104" s="63" t="s">
        <v>767</v>
      </c>
      <c r="H104" s="63" t="s">
        <v>699</v>
      </c>
      <c r="I104" s="362">
        <f>노임단가!F6</f>
        <v>283297</v>
      </c>
      <c r="J104" s="362"/>
      <c r="K104" s="362"/>
      <c r="L104" s="362"/>
      <c r="M104" s="63" t="s">
        <v>699</v>
      </c>
      <c r="N104" s="362" t="s">
        <v>570</v>
      </c>
      <c r="O104" s="362"/>
      <c r="P104" s="362"/>
      <c r="Q104" s="362"/>
      <c r="R104" s="362"/>
      <c r="S104" s="362"/>
      <c r="T104" s="362"/>
      <c r="U104" s="362"/>
      <c r="V104" s="362"/>
      <c r="W104" s="63"/>
      <c r="X104" s="63"/>
      <c r="Y104" s="63"/>
      <c r="Z104" s="64">
        <f t="shared" si="1"/>
        <v>59020.2</v>
      </c>
      <c r="AA104" s="68">
        <f>TRUNC(D104*I104*기계경비적용기준!E21,1)</f>
        <v>59020.2</v>
      </c>
      <c r="AB104" s="68"/>
      <c r="AC104" s="68"/>
      <c r="AD104" s="32" t="s">
        <v>834</v>
      </c>
    </row>
    <row r="105" spans="2:30" ht="19.7" customHeight="1">
      <c r="B105" s="67" t="s">
        <v>834</v>
      </c>
      <c r="C105" s="29" t="s">
        <v>834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37"/>
      <c r="AA105" s="31"/>
      <c r="AB105" s="31"/>
      <c r="AC105" s="31"/>
      <c r="AD105" s="32" t="s">
        <v>834</v>
      </c>
    </row>
    <row r="106" spans="2:30" ht="19.7" customHeight="1">
      <c r="B106" s="61" t="s">
        <v>223</v>
      </c>
      <c r="C106" s="62" t="s">
        <v>155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4">
        <f>AA106+AB106+AC106</f>
        <v>106815</v>
      </c>
      <c r="AA106" s="65">
        <f>TRUNC(AA107+AA108+AA109+AA110)</f>
        <v>59020</v>
      </c>
      <c r="AB106" s="65">
        <f>TRUNC(AB107+AB108+AB109+AB110)</f>
        <v>19473</v>
      </c>
      <c r="AC106" s="65">
        <f>TRUNC(AC107+AC108+AC109+AC110)</f>
        <v>28322</v>
      </c>
      <c r="AD106" s="66"/>
    </row>
    <row r="107" spans="2:30" ht="19.7" customHeight="1">
      <c r="B107" s="67" t="s">
        <v>239</v>
      </c>
      <c r="C107" s="29" t="s">
        <v>834</v>
      </c>
      <c r="D107" s="362">
        <v>117766000</v>
      </c>
      <c r="E107" s="362"/>
      <c r="F107" s="362"/>
      <c r="G107" s="362"/>
      <c r="H107" s="362"/>
      <c r="I107" s="362" t="s">
        <v>149</v>
      </c>
      <c r="J107" s="362"/>
      <c r="K107" s="362">
        <v>2405</v>
      </c>
      <c r="L107" s="362"/>
      <c r="M107" s="362"/>
      <c r="N107" s="63" t="s">
        <v>699</v>
      </c>
      <c r="O107" s="362" t="s">
        <v>745</v>
      </c>
      <c r="P107" s="362"/>
      <c r="Q107" s="362"/>
      <c r="R107" s="63"/>
      <c r="S107" s="63"/>
      <c r="T107" s="63"/>
      <c r="U107" s="63"/>
      <c r="V107" s="63"/>
      <c r="W107" s="63"/>
      <c r="X107" s="63"/>
      <c r="Y107" s="63"/>
      <c r="Z107" s="64">
        <f>AA107+AB107+AC107</f>
        <v>28322.7</v>
      </c>
      <c r="AA107" s="68"/>
      <c r="AB107" s="68"/>
      <c r="AC107" s="68">
        <f>TRUNC(D107*K107*0.0000001,1)</f>
        <v>28322.7</v>
      </c>
      <c r="AD107" s="32" t="s">
        <v>635</v>
      </c>
    </row>
    <row r="108" spans="2:30" ht="19.7" customHeight="1">
      <c r="B108" s="69" t="s">
        <v>688</v>
      </c>
      <c r="C108" s="34" t="s">
        <v>53</v>
      </c>
      <c r="D108" s="366">
        <v>11.6</v>
      </c>
      <c r="E108" s="365"/>
      <c r="F108" s="365"/>
      <c r="G108" s="365"/>
      <c r="H108" s="20" t="s">
        <v>660</v>
      </c>
      <c r="I108" s="20" t="s">
        <v>699</v>
      </c>
      <c r="J108" s="365">
        <f>자재단가!R6</f>
        <v>1376</v>
      </c>
      <c r="K108" s="365"/>
      <c r="L108" s="365"/>
      <c r="M108" s="36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70">
        <f>AA108+AB108+AC108</f>
        <v>15961.6</v>
      </c>
      <c r="AA108" s="71"/>
      <c r="AB108" s="71">
        <f>TRUNC(D108*J108,1)</f>
        <v>15961.6</v>
      </c>
      <c r="AC108" s="71"/>
      <c r="AD108" s="36" t="s">
        <v>834</v>
      </c>
    </row>
    <row r="109" spans="2:30" ht="19.7" customHeight="1">
      <c r="B109" s="67" t="s">
        <v>61</v>
      </c>
      <c r="C109" s="29" t="s">
        <v>467</v>
      </c>
      <c r="D109" s="363">
        <v>22</v>
      </c>
      <c r="E109" s="362"/>
      <c r="F109" s="362"/>
      <c r="G109" s="362"/>
      <c r="H109" s="63" t="s">
        <v>157</v>
      </c>
      <c r="I109" s="63" t="s">
        <v>699</v>
      </c>
      <c r="J109" s="362">
        <f>AB108</f>
        <v>15961.6</v>
      </c>
      <c r="K109" s="362"/>
      <c r="L109" s="362"/>
      <c r="M109" s="362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4">
        <f>AA109+AB109+AC109</f>
        <v>3511.5</v>
      </c>
      <c r="AA109" s="68"/>
      <c r="AB109" s="68">
        <f>TRUNC(D109/100*J109,1)</f>
        <v>3511.5</v>
      </c>
      <c r="AC109" s="68"/>
      <c r="AD109" s="32" t="s">
        <v>834</v>
      </c>
    </row>
    <row r="110" spans="2:30" ht="19.7" customHeight="1">
      <c r="B110" s="67" t="s">
        <v>177</v>
      </c>
      <c r="C110" s="29" t="s">
        <v>834</v>
      </c>
      <c r="D110" s="364">
        <v>1</v>
      </c>
      <c r="E110" s="362"/>
      <c r="F110" s="362"/>
      <c r="G110" s="63" t="s">
        <v>767</v>
      </c>
      <c r="H110" s="63" t="s">
        <v>699</v>
      </c>
      <c r="I110" s="362">
        <f>노임단가!F6</f>
        <v>283297</v>
      </c>
      <c r="J110" s="362"/>
      <c r="K110" s="362"/>
      <c r="L110" s="362"/>
      <c r="M110" s="63" t="s">
        <v>699</v>
      </c>
      <c r="N110" s="362" t="s">
        <v>570</v>
      </c>
      <c r="O110" s="362"/>
      <c r="P110" s="362"/>
      <c r="Q110" s="362"/>
      <c r="R110" s="362"/>
      <c r="S110" s="362"/>
      <c r="T110" s="362"/>
      <c r="U110" s="362"/>
      <c r="V110" s="362"/>
      <c r="W110" s="63"/>
      <c r="X110" s="63"/>
      <c r="Y110" s="63"/>
      <c r="Z110" s="64">
        <f>AA110+AB110+AC110</f>
        <v>59020.2</v>
      </c>
      <c r="AA110" s="68">
        <f>TRUNC(D110*I110*기계경비적용기준!E21,1)</f>
        <v>59020.2</v>
      </c>
      <c r="AB110" s="68"/>
      <c r="AC110" s="68"/>
      <c r="AD110" s="32" t="s">
        <v>834</v>
      </c>
    </row>
    <row r="111" spans="2:30" ht="19.7" customHeight="1">
      <c r="B111" s="67" t="s">
        <v>834</v>
      </c>
      <c r="C111" s="29" t="s">
        <v>834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37"/>
      <c r="AA111" s="31"/>
      <c r="AB111" s="31"/>
      <c r="AC111" s="31"/>
      <c r="AD111" s="32" t="s">
        <v>834</v>
      </c>
    </row>
    <row r="112" spans="2:30" ht="19.7" customHeight="1">
      <c r="B112" s="61" t="s">
        <v>803</v>
      </c>
      <c r="C112" s="62" t="s">
        <v>46</v>
      </c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4">
        <f>AA112+AB112+AC112</f>
        <v>103047</v>
      </c>
      <c r="AA112" s="65">
        <f>TRUNC(AA113+AA114+AA115+AA116)</f>
        <v>59020</v>
      </c>
      <c r="AB112" s="65">
        <f>TRUNC(AB113+AB114+AB115+AB116)</f>
        <v>19473</v>
      </c>
      <c r="AC112" s="65">
        <f>TRUNC(AC113+AC114+AC115+AC116)</f>
        <v>24554</v>
      </c>
      <c r="AD112" s="66"/>
    </row>
    <row r="113" spans="2:30" ht="19.7" customHeight="1">
      <c r="B113" s="67" t="s">
        <v>239</v>
      </c>
      <c r="C113" s="29" t="s">
        <v>834</v>
      </c>
      <c r="D113" s="362">
        <v>117766000</v>
      </c>
      <c r="E113" s="362"/>
      <c r="F113" s="362"/>
      <c r="G113" s="362"/>
      <c r="H113" s="362"/>
      <c r="I113" s="362" t="s">
        <v>149</v>
      </c>
      <c r="J113" s="362"/>
      <c r="K113" s="362">
        <v>2085</v>
      </c>
      <c r="L113" s="362"/>
      <c r="M113" s="362"/>
      <c r="N113" s="63" t="s">
        <v>699</v>
      </c>
      <c r="O113" s="362" t="s">
        <v>745</v>
      </c>
      <c r="P113" s="362"/>
      <c r="Q113" s="362"/>
      <c r="R113" s="63"/>
      <c r="S113" s="63"/>
      <c r="T113" s="63"/>
      <c r="U113" s="63"/>
      <c r="V113" s="63"/>
      <c r="W113" s="63"/>
      <c r="X113" s="63"/>
      <c r="Y113" s="63"/>
      <c r="Z113" s="64">
        <f>AA113+AB113+AC113</f>
        <v>24554.2</v>
      </c>
      <c r="AA113" s="68"/>
      <c r="AB113" s="68"/>
      <c r="AC113" s="68">
        <f>TRUNC(D113*K113*0.0000001,1)</f>
        <v>24554.2</v>
      </c>
      <c r="AD113" s="32" t="s">
        <v>635</v>
      </c>
    </row>
    <row r="114" spans="2:30" ht="19.7" customHeight="1">
      <c r="B114" s="67" t="s">
        <v>688</v>
      </c>
      <c r="C114" s="29" t="s">
        <v>53</v>
      </c>
      <c r="D114" s="363">
        <v>11.6</v>
      </c>
      <c r="E114" s="362"/>
      <c r="F114" s="362"/>
      <c r="G114" s="362"/>
      <c r="H114" s="63" t="s">
        <v>660</v>
      </c>
      <c r="I114" s="63" t="s">
        <v>699</v>
      </c>
      <c r="J114" s="362">
        <f>자재단가!R6</f>
        <v>1376</v>
      </c>
      <c r="K114" s="362"/>
      <c r="L114" s="362"/>
      <c r="M114" s="362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4">
        <f>AA114+AB114+AC114</f>
        <v>15961.6</v>
      </c>
      <c r="AA114" s="68"/>
      <c r="AB114" s="68">
        <f>TRUNC(D114*J114,1)</f>
        <v>15961.6</v>
      </c>
      <c r="AC114" s="68"/>
      <c r="AD114" s="32" t="s">
        <v>834</v>
      </c>
    </row>
    <row r="115" spans="2:30" ht="19.7" customHeight="1">
      <c r="B115" s="67" t="s">
        <v>61</v>
      </c>
      <c r="C115" s="29" t="s">
        <v>467</v>
      </c>
      <c r="D115" s="363">
        <v>22</v>
      </c>
      <c r="E115" s="362"/>
      <c r="F115" s="362"/>
      <c r="G115" s="362"/>
      <c r="H115" s="63" t="s">
        <v>157</v>
      </c>
      <c r="I115" s="63" t="s">
        <v>699</v>
      </c>
      <c r="J115" s="362">
        <f>AB114</f>
        <v>15961.6</v>
      </c>
      <c r="K115" s="362"/>
      <c r="L115" s="362"/>
      <c r="M115" s="362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4">
        <f>AA115+AB115+AC115</f>
        <v>3511.5</v>
      </c>
      <c r="AA115" s="68"/>
      <c r="AB115" s="68">
        <f>TRUNC(D115/100*J115,1)</f>
        <v>3511.5</v>
      </c>
      <c r="AC115" s="68"/>
      <c r="AD115" s="32" t="s">
        <v>834</v>
      </c>
    </row>
    <row r="116" spans="2:30" ht="19.7" customHeight="1">
      <c r="B116" s="67" t="s">
        <v>177</v>
      </c>
      <c r="C116" s="29" t="s">
        <v>834</v>
      </c>
      <c r="D116" s="364">
        <v>1</v>
      </c>
      <c r="E116" s="362"/>
      <c r="F116" s="362"/>
      <c r="G116" s="63" t="s">
        <v>767</v>
      </c>
      <c r="H116" s="63" t="s">
        <v>699</v>
      </c>
      <c r="I116" s="362">
        <f>노임단가!F6</f>
        <v>283297</v>
      </c>
      <c r="J116" s="362"/>
      <c r="K116" s="362"/>
      <c r="L116" s="362"/>
      <c r="M116" s="63" t="s">
        <v>699</v>
      </c>
      <c r="N116" s="362" t="s">
        <v>570</v>
      </c>
      <c r="O116" s="362"/>
      <c r="P116" s="362"/>
      <c r="Q116" s="362"/>
      <c r="R116" s="362"/>
      <c r="S116" s="362"/>
      <c r="T116" s="362"/>
      <c r="U116" s="362"/>
      <c r="V116" s="362"/>
      <c r="W116" s="63"/>
      <c r="X116" s="63"/>
      <c r="Y116" s="63"/>
      <c r="Z116" s="64">
        <f>AA116+AB116+AC116</f>
        <v>59020.2</v>
      </c>
      <c r="AA116" s="68">
        <f>TRUNC(D116*I116*기계경비적용기준!E21,1)</f>
        <v>59020.2</v>
      </c>
      <c r="AB116" s="68"/>
      <c r="AC116" s="68"/>
      <c r="AD116" s="32" t="s">
        <v>834</v>
      </c>
    </row>
    <row r="117" spans="2:30" ht="19.7" customHeight="1">
      <c r="B117" s="69" t="s">
        <v>834</v>
      </c>
      <c r="C117" s="34" t="s">
        <v>834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1"/>
      <c r="AA117" s="22"/>
      <c r="AB117" s="22"/>
      <c r="AC117" s="22"/>
      <c r="AD117" s="36" t="s">
        <v>834</v>
      </c>
    </row>
    <row r="118" spans="2:30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</sheetData>
  <mergeCells count="214">
    <mergeCell ref="D115:G115"/>
    <mergeCell ref="J115:M115"/>
    <mergeCell ref="D116:F116"/>
    <mergeCell ref="I116:L116"/>
    <mergeCell ref="N116:V116"/>
    <mergeCell ref="N110:V110"/>
    <mergeCell ref="D113:H113"/>
    <mergeCell ref="I113:J113"/>
    <mergeCell ref="K113:M113"/>
    <mergeCell ref="O113:Q113"/>
    <mergeCell ref="D107:H107"/>
    <mergeCell ref="I107:J107"/>
    <mergeCell ref="K107:M107"/>
    <mergeCell ref="O107:Q107"/>
    <mergeCell ref="D114:G114"/>
    <mergeCell ref="J114:M114"/>
    <mergeCell ref="D108:G108"/>
    <mergeCell ref="J108:M108"/>
    <mergeCell ref="D109:G109"/>
    <mergeCell ref="J109:M109"/>
    <mergeCell ref="D110:F110"/>
    <mergeCell ref="I110:L110"/>
    <mergeCell ref="D101:G101"/>
    <mergeCell ref="J101:M101"/>
    <mergeCell ref="D102:G102"/>
    <mergeCell ref="J102:M102"/>
    <mergeCell ref="D103:F103"/>
    <mergeCell ref="I103:L103"/>
    <mergeCell ref="N103:V103"/>
    <mergeCell ref="D104:F104"/>
    <mergeCell ref="I104:L104"/>
    <mergeCell ref="N104:V104"/>
    <mergeCell ref="D96:G96"/>
    <mergeCell ref="J96:M96"/>
    <mergeCell ref="D97:F97"/>
    <mergeCell ref="I97:L97"/>
    <mergeCell ref="N97:V97"/>
    <mergeCell ref="D100:H100"/>
    <mergeCell ref="I100:J100"/>
    <mergeCell ref="K100:M100"/>
    <mergeCell ref="O100:Q100"/>
    <mergeCell ref="D91:F91"/>
    <mergeCell ref="I91:L91"/>
    <mergeCell ref="N91:V91"/>
    <mergeCell ref="D94:H94"/>
    <mergeCell ref="I94:J94"/>
    <mergeCell ref="K94:M94"/>
    <mergeCell ref="O94:Q94"/>
    <mergeCell ref="D95:G95"/>
    <mergeCell ref="J95:M95"/>
    <mergeCell ref="D85:G85"/>
    <mergeCell ref="J85:M85"/>
    <mergeCell ref="D86:G86"/>
    <mergeCell ref="J86:M86"/>
    <mergeCell ref="D87:F87"/>
    <mergeCell ref="I87:L87"/>
    <mergeCell ref="N87:V87"/>
    <mergeCell ref="D90:H90"/>
    <mergeCell ref="I90:J90"/>
    <mergeCell ref="K90:M90"/>
    <mergeCell ref="O90:Q90"/>
    <mergeCell ref="D79:G79"/>
    <mergeCell ref="J79:M79"/>
    <mergeCell ref="D80:G80"/>
    <mergeCell ref="J80:M80"/>
    <mergeCell ref="D81:F81"/>
    <mergeCell ref="I81:L81"/>
    <mergeCell ref="N81:V81"/>
    <mergeCell ref="D84:H84"/>
    <mergeCell ref="I84:J84"/>
    <mergeCell ref="K84:M84"/>
    <mergeCell ref="O84:Q84"/>
    <mergeCell ref="D73:G73"/>
    <mergeCell ref="J73:M73"/>
    <mergeCell ref="D74:G74"/>
    <mergeCell ref="J74:M74"/>
    <mergeCell ref="D75:F75"/>
    <mergeCell ref="I75:L75"/>
    <mergeCell ref="N75:V75"/>
    <mergeCell ref="D78:H78"/>
    <mergeCell ref="I78:J78"/>
    <mergeCell ref="K78:M78"/>
    <mergeCell ref="O78:Q78"/>
    <mergeCell ref="D67:G67"/>
    <mergeCell ref="J67:M67"/>
    <mergeCell ref="D68:G68"/>
    <mergeCell ref="J68:M68"/>
    <mergeCell ref="D69:F69"/>
    <mergeCell ref="I69:L69"/>
    <mergeCell ref="N69:V69"/>
    <mergeCell ref="D72:H72"/>
    <mergeCell ref="I72:J72"/>
    <mergeCell ref="K72:M72"/>
    <mergeCell ref="O72:Q72"/>
    <mergeCell ref="D61:G61"/>
    <mergeCell ref="J61:M61"/>
    <mergeCell ref="D62:G62"/>
    <mergeCell ref="J62:M62"/>
    <mergeCell ref="D63:F63"/>
    <mergeCell ref="I63:L63"/>
    <mergeCell ref="N63:V63"/>
    <mergeCell ref="D66:H66"/>
    <mergeCell ref="I66:J66"/>
    <mergeCell ref="K66:M66"/>
    <mergeCell ref="O66:Q66"/>
    <mergeCell ref="D55:G55"/>
    <mergeCell ref="J55:M55"/>
    <mergeCell ref="D56:G56"/>
    <mergeCell ref="J56:M56"/>
    <mergeCell ref="D57:F57"/>
    <mergeCell ref="I57:L57"/>
    <mergeCell ref="N57:V57"/>
    <mergeCell ref="D60:H60"/>
    <mergeCell ref="I60:J60"/>
    <mergeCell ref="K60:M60"/>
    <mergeCell ref="O60:Q60"/>
    <mergeCell ref="D49:G49"/>
    <mergeCell ref="J49:M49"/>
    <mergeCell ref="D50:G50"/>
    <mergeCell ref="J50:M50"/>
    <mergeCell ref="D51:F51"/>
    <mergeCell ref="I51:L51"/>
    <mergeCell ref="N51:V51"/>
    <mergeCell ref="D54:H54"/>
    <mergeCell ref="I54:J54"/>
    <mergeCell ref="K54:M54"/>
    <mergeCell ref="O54:Q54"/>
    <mergeCell ref="D43:G43"/>
    <mergeCell ref="J43:M43"/>
    <mergeCell ref="D44:G44"/>
    <mergeCell ref="J44:M44"/>
    <mergeCell ref="D45:F45"/>
    <mergeCell ref="I45:L45"/>
    <mergeCell ref="N45:V45"/>
    <mergeCell ref="D48:H48"/>
    <mergeCell ref="I48:J48"/>
    <mergeCell ref="K48:M48"/>
    <mergeCell ref="O48:Q48"/>
    <mergeCell ref="D37:G37"/>
    <mergeCell ref="J37:M37"/>
    <mergeCell ref="D38:G38"/>
    <mergeCell ref="J38:M38"/>
    <mergeCell ref="D39:F39"/>
    <mergeCell ref="I39:L39"/>
    <mergeCell ref="N39:V39"/>
    <mergeCell ref="D42:H42"/>
    <mergeCell ref="I42:J42"/>
    <mergeCell ref="K42:M42"/>
    <mergeCell ref="O42:Q42"/>
    <mergeCell ref="D31:G31"/>
    <mergeCell ref="J31:M31"/>
    <mergeCell ref="D32:G32"/>
    <mergeCell ref="J32:M32"/>
    <mergeCell ref="D33:F33"/>
    <mergeCell ref="I33:L33"/>
    <mergeCell ref="N33:V33"/>
    <mergeCell ref="D36:H36"/>
    <mergeCell ref="I36:J36"/>
    <mergeCell ref="K36:M36"/>
    <mergeCell ref="O36:Q36"/>
    <mergeCell ref="D25:G25"/>
    <mergeCell ref="J25:M25"/>
    <mergeCell ref="D26:G26"/>
    <mergeCell ref="J26:M26"/>
    <mergeCell ref="D27:F27"/>
    <mergeCell ref="I27:L27"/>
    <mergeCell ref="N27:V27"/>
    <mergeCell ref="D30:H30"/>
    <mergeCell ref="I30:J30"/>
    <mergeCell ref="K30:M30"/>
    <mergeCell ref="O30:Q30"/>
    <mergeCell ref="D19:G19"/>
    <mergeCell ref="J19:M19"/>
    <mergeCell ref="D20:G20"/>
    <mergeCell ref="J20:M20"/>
    <mergeCell ref="D21:F21"/>
    <mergeCell ref="I21:L21"/>
    <mergeCell ref="N21:V21"/>
    <mergeCell ref="D24:H24"/>
    <mergeCell ref="I24:J24"/>
    <mergeCell ref="K24:M24"/>
    <mergeCell ref="O24:Q24"/>
    <mergeCell ref="D13:G13"/>
    <mergeCell ref="J13:M13"/>
    <mergeCell ref="D14:G14"/>
    <mergeCell ref="J14:M14"/>
    <mergeCell ref="D15:F15"/>
    <mergeCell ref="I15:L15"/>
    <mergeCell ref="N15:V15"/>
    <mergeCell ref="D18:H18"/>
    <mergeCell ref="I18:J18"/>
    <mergeCell ref="K18:M18"/>
    <mergeCell ref="O18:Q18"/>
    <mergeCell ref="D8:F8"/>
    <mergeCell ref="I8:L8"/>
    <mergeCell ref="N8:V8"/>
    <mergeCell ref="D11:H11"/>
    <mergeCell ref="I11:J11"/>
    <mergeCell ref="K11:M11"/>
    <mergeCell ref="O11:Q11"/>
    <mergeCell ref="D12:H12"/>
    <mergeCell ref="I12:J12"/>
    <mergeCell ref="K12:M12"/>
    <mergeCell ref="O12:Q12"/>
    <mergeCell ref="D3:Y3"/>
    <mergeCell ref="B1:AD2"/>
    <mergeCell ref="D5:H5"/>
    <mergeCell ref="I5:J5"/>
    <mergeCell ref="K5:M5"/>
    <mergeCell ref="O5:Q5"/>
    <mergeCell ref="D6:G6"/>
    <mergeCell ref="J6:M6"/>
    <mergeCell ref="D7:G7"/>
    <mergeCell ref="J7:M7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4" manualBreakCount="4">
    <brk id="30" min="2" max="30" man="1"/>
    <brk id="56" min="2" max="30" man="1"/>
    <brk id="82" min="2" max="30" man="1"/>
    <brk id="108" min="2" max="3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4B58-4C20-4895-8137-373D9845F39B}">
  <dimension ref="B1:N31"/>
  <sheetViews>
    <sheetView workbookViewId="0">
      <selection activeCell="A4" sqref="A4"/>
    </sheetView>
  </sheetViews>
  <sheetFormatPr defaultRowHeight="12.75"/>
  <cols>
    <col min="1" max="1" width="0.7109375" customWidth="1"/>
    <col min="2" max="2" width="2.140625" customWidth="1"/>
    <col min="3" max="3" width="10.42578125" customWidth="1"/>
    <col min="4" max="5" width="25" customWidth="1"/>
    <col min="6" max="6" width="2.140625" customWidth="1"/>
    <col min="7" max="7" width="4.140625" customWidth="1"/>
    <col min="8" max="8" width="16.5703125" customWidth="1"/>
    <col min="9" max="9" width="12.42578125" customWidth="1"/>
    <col min="10" max="10" width="6.28515625" customWidth="1"/>
    <col min="11" max="11" width="16.5703125" customWidth="1"/>
    <col min="12" max="12" width="2.140625" customWidth="1"/>
  </cols>
  <sheetData>
    <row r="1" spans="2:14" ht="24.95" customHeight="1">
      <c r="B1" s="333" t="s">
        <v>525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8"/>
      <c r="N1" s="38"/>
    </row>
    <row r="2" spans="2:14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</row>
    <row r="3" spans="2:14" ht="30" customHeight="1">
      <c r="B3" s="57"/>
      <c r="C3" s="56"/>
      <c r="D3" s="56"/>
      <c r="E3" s="56"/>
      <c r="F3" s="56"/>
      <c r="G3" s="56"/>
      <c r="H3" s="56"/>
      <c r="I3" s="56"/>
      <c r="J3" s="56"/>
      <c r="K3" s="56"/>
      <c r="L3" s="58"/>
    </row>
    <row r="4" spans="2:14" ht="16.5">
      <c r="B4" s="14"/>
      <c r="C4" s="370" t="s">
        <v>738</v>
      </c>
      <c r="D4" s="370"/>
      <c r="E4" s="370"/>
      <c r="G4" s="370" t="s">
        <v>112</v>
      </c>
      <c r="H4" s="370"/>
      <c r="I4" s="370"/>
      <c r="L4" s="12"/>
    </row>
    <row r="5" spans="2:14" ht="7.5" customHeight="1">
      <c r="B5" s="14"/>
      <c r="L5" s="12"/>
    </row>
    <row r="6" spans="2:14" ht="19.7" customHeight="1">
      <c r="B6" s="14"/>
      <c r="C6" s="40" t="s">
        <v>114</v>
      </c>
      <c r="D6" s="40" t="s">
        <v>124</v>
      </c>
      <c r="E6" s="40" t="s">
        <v>10</v>
      </c>
      <c r="F6" s="44"/>
      <c r="G6" s="40" t="s">
        <v>197</v>
      </c>
      <c r="H6" s="40" t="s">
        <v>447</v>
      </c>
      <c r="I6" s="40" t="s">
        <v>2</v>
      </c>
      <c r="J6" s="40" t="s">
        <v>294</v>
      </c>
      <c r="K6" s="40" t="s">
        <v>3</v>
      </c>
      <c r="L6" s="59"/>
    </row>
    <row r="7" spans="2:14" ht="15.95" customHeight="1">
      <c r="B7" s="14"/>
      <c r="C7" s="41" t="s">
        <v>553</v>
      </c>
      <c r="D7" s="43">
        <v>1436.7</v>
      </c>
      <c r="E7" s="41" t="s">
        <v>763</v>
      </c>
      <c r="F7" s="44"/>
      <c r="G7" s="45" t="s">
        <v>782</v>
      </c>
      <c r="H7" s="41" t="s">
        <v>53</v>
      </c>
      <c r="I7" s="41" t="s">
        <v>834</v>
      </c>
      <c r="J7" s="40" t="s">
        <v>660</v>
      </c>
      <c r="K7" s="46">
        <f>자재단가!R6</f>
        <v>1376</v>
      </c>
      <c r="L7" s="59"/>
    </row>
    <row r="8" spans="2:14" ht="15.95" customHeight="1">
      <c r="B8" s="14"/>
      <c r="C8" s="41" t="s">
        <v>138</v>
      </c>
      <c r="D8" s="43">
        <v>924.01</v>
      </c>
      <c r="E8" s="41" t="s">
        <v>763</v>
      </c>
      <c r="F8" s="44"/>
      <c r="G8" s="42"/>
      <c r="H8" s="42"/>
      <c r="I8" s="42"/>
      <c r="J8" s="42"/>
      <c r="K8" s="42"/>
      <c r="L8" s="59"/>
    </row>
    <row r="9" spans="2:14" ht="15.95" customHeight="1">
      <c r="B9" s="14"/>
      <c r="C9" s="41" t="s">
        <v>118</v>
      </c>
      <c r="D9" s="43">
        <v>1701.2</v>
      </c>
      <c r="E9" s="41" t="s">
        <v>763</v>
      </c>
      <c r="F9" s="44"/>
      <c r="G9" s="42"/>
      <c r="H9" s="42"/>
      <c r="I9" s="42"/>
      <c r="J9" s="42"/>
      <c r="K9" s="42"/>
      <c r="L9" s="59"/>
    </row>
    <row r="10" spans="2:14" ht="15.95" customHeight="1">
      <c r="B10" s="14"/>
      <c r="C10" s="41" t="s">
        <v>588</v>
      </c>
      <c r="D10" s="42"/>
      <c r="E10" s="41" t="s">
        <v>834</v>
      </c>
      <c r="F10" s="44"/>
      <c r="G10" s="42"/>
      <c r="H10" s="42"/>
      <c r="I10" s="42"/>
      <c r="J10" s="42"/>
      <c r="K10" s="42"/>
      <c r="L10" s="59"/>
    </row>
    <row r="11" spans="2:14" ht="15.95" customHeight="1">
      <c r="B11" s="14"/>
      <c r="C11" s="41" t="s">
        <v>833</v>
      </c>
      <c r="D11" s="43">
        <v>1963.18</v>
      </c>
      <c r="E11" s="41" t="s">
        <v>763</v>
      </c>
      <c r="F11" s="44"/>
      <c r="G11" s="42"/>
      <c r="H11" s="42"/>
      <c r="I11" s="42"/>
      <c r="J11" s="42"/>
      <c r="K11" s="42"/>
      <c r="L11" s="59"/>
    </row>
    <row r="12" spans="2:14" ht="15.95" customHeight="1">
      <c r="B12" s="14"/>
      <c r="C12" s="41" t="s">
        <v>834</v>
      </c>
      <c r="D12" s="42"/>
      <c r="E12" s="41" t="s">
        <v>834</v>
      </c>
      <c r="F12" s="44"/>
      <c r="G12" s="42"/>
      <c r="H12" s="42"/>
      <c r="I12" s="42"/>
      <c r="J12" s="42"/>
      <c r="K12" s="42"/>
      <c r="L12" s="59"/>
    </row>
    <row r="13" spans="2:14" ht="15.95" customHeight="1">
      <c r="B13" s="14"/>
      <c r="C13" s="42"/>
      <c r="D13" s="42"/>
      <c r="E13" s="42"/>
      <c r="F13" s="44"/>
      <c r="G13" s="42"/>
      <c r="H13" s="42"/>
      <c r="I13" s="42"/>
      <c r="J13" s="42"/>
      <c r="K13" s="42"/>
      <c r="L13" s="59"/>
    </row>
    <row r="14" spans="2:14" ht="15.95" customHeight="1">
      <c r="B14" s="14"/>
      <c r="C14" s="42"/>
      <c r="D14" s="42"/>
      <c r="E14" s="42"/>
      <c r="F14" s="44"/>
      <c r="G14" s="42"/>
      <c r="H14" s="42"/>
      <c r="I14" s="42"/>
      <c r="J14" s="42"/>
      <c r="K14" s="42"/>
      <c r="L14" s="59"/>
    </row>
    <row r="15" spans="2:14" ht="15.95" customHeight="1">
      <c r="B15" s="14"/>
      <c r="C15" s="42"/>
      <c r="D15" s="42"/>
      <c r="E15" s="42"/>
      <c r="F15" s="44"/>
      <c r="G15" s="42"/>
      <c r="H15" s="42"/>
      <c r="I15" s="42"/>
      <c r="J15" s="42"/>
      <c r="K15" s="42"/>
      <c r="L15" s="59"/>
    </row>
    <row r="16" spans="2:14" ht="15.95" customHeight="1">
      <c r="B16" s="14"/>
      <c r="C16" s="42"/>
      <c r="D16" s="42"/>
      <c r="E16" s="42"/>
      <c r="F16" s="44"/>
      <c r="G16" s="42"/>
      <c r="H16" s="42"/>
      <c r="I16" s="42"/>
      <c r="J16" s="42"/>
      <c r="K16" s="42"/>
      <c r="L16" s="59"/>
    </row>
    <row r="17" spans="2:12" ht="30" customHeight="1">
      <c r="B17" s="14"/>
      <c r="C17" s="39"/>
      <c r="D17" s="39"/>
      <c r="E17" s="39"/>
      <c r="G17" s="39"/>
      <c r="H17" s="39"/>
      <c r="I17" s="39"/>
      <c r="J17" s="39"/>
      <c r="K17" s="39"/>
      <c r="L17" s="12"/>
    </row>
    <row r="18" spans="2:12" ht="16.5">
      <c r="B18" s="14"/>
      <c r="C18" s="370" t="s">
        <v>150</v>
      </c>
      <c r="D18" s="370"/>
      <c r="E18" s="370"/>
      <c r="G18" s="370" t="s">
        <v>427</v>
      </c>
      <c r="H18" s="370"/>
      <c r="I18" s="370"/>
      <c r="L18" s="12"/>
    </row>
    <row r="19" spans="2:12" ht="7.5" customHeight="1">
      <c r="B19" s="14"/>
      <c r="L19" s="12"/>
    </row>
    <row r="20" spans="2:12" ht="19.7" customHeight="1">
      <c r="B20" s="14"/>
      <c r="C20" s="40" t="s">
        <v>197</v>
      </c>
      <c r="D20" s="40" t="s">
        <v>150</v>
      </c>
      <c r="E20" s="40" t="s">
        <v>514</v>
      </c>
      <c r="F20" s="44"/>
      <c r="G20" s="40"/>
      <c r="H20" s="49"/>
      <c r="I20" s="49"/>
      <c r="J20" s="49"/>
      <c r="K20" s="51"/>
      <c r="L20" s="12"/>
    </row>
    <row r="21" spans="2:12" ht="15.95" customHeight="1">
      <c r="B21" s="14"/>
      <c r="C21" s="45" t="s">
        <v>225</v>
      </c>
      <c r="D21" s="41" t="s">
        <v>570</v>
      </c>
      <c r="E21" s="43">
        <f>1/8*16/12*25/20</f>
        <v>0.20833333333333331</v>
      </c>
      <c r="F21" s="44"/>
      <c r="G21" s="50"/>
      <c r="H21" s="48"/>
      <c r="I21" s="48"/>
      <c r="J21" s="48"/>
      <c r="K21" s="52"/>
      <c r="L21" s="12"/>
    </row>
    <row r="22" spans="2:12" ht="15.95" customHeight="1">
      <c r="B22" s="14"/>
      <c r="C22" s="45" t="s">
        <v>782</v>
      </c>
      <c r="D22" s="41" t="s">
        <v>510</v>
      </c>
      <c r="E22" s="43">
        <f>1/8*16/12*25/20*24/15</f>
        <v>0.33333333333333331</v>
      </c>
      <c r="F22" s="44"/>
      <c r="G22" s="367" t="s">
        <v>717</v>
      </c>
      <c r="H22" s="368"/>
      <c r="I22" s="368"/>
      <c r="J22" s="368"/>
      <c r="K22" s="369"/>
      <c r="L22" s="12"/>
    </row>
    <row r="23" spans="2:12" ht="15.95" customHeight="1">
      <c r="B23" s="14"/>
      <c r="C23" s="45" t="s">
        <v>312</v>
      </c>
      <c r="D23" s="41" t="s">
        <v>96</v>
      </c>
      <c r="E23" s="43">
        <f>1/8*16/12*25/20*12/10</f>
        <v>0.25</v>
      </c>
      <c r="F23" s="44"/>
      <c r="G23" s="50"/>
      <c r="H23" s="48"/>
      <c r="I23" s="48"/>
      <c r="J23" s="48"/>
      <c r="K23" s="52"/>
      <c r="L23" s="12"/>
    </row>
    <row r="24" spans="2:12" ht="15.95" customHeight="1">
      <c r="B24" s="14"/>
      <c r="C24" s="45" t="s">
        <v>644</v>
      </c>
      <c r="D24" s="41" t="s">
        <v>674</v>
      </c>
      <c r="E24" s="43">
        <f>1/8*16/12*25/20*14/12</f>
        <v>0.24305555555555555</v>
      </c>
      <c r="F24" s="44"/>
      <c r="G24" s="367" t="s">
        <v>36</v>
      </c>
      <c r="H24" s="368"/>
      <c r="I24" s="368"/>
      <c r="J24" s="368"/>
      <c r="K24" s="369"/>
      <c r="L24" s="12"/>
    </row>
    <row r="25" spans="2:12" ht="15.95" customHeight="1">
      <c r="B25" s="14"/>
      <c r="C25" s="45" t="s">
        <v>253</v>
      </c>
      <c r="D25" s="41" t="s">
        <v>310</v>
      </c>
      <c r="E25" s="47">
        <f>1/8*16/12*25/20*24/5</f>
        <v>1</v>
      </c>
      <c r="F25" s="44"/>
      <c r="G25" s="50"/>
      <c r="H25" s="48"/>
      <c r="I25" s="48"/>
      <c r="J25" s="48"/>
      <c r="K25" s="52"/>
      <c r="L25" s="12"/>
    </row>
    <row r="26" spans="2:12" ht="15.95" customHeight="1">
      <c r="B26" s="14"/>
      <c r="C26" s="42"/>
      <c r="D26" s="42"/>
      <c r="E26" s="42"/>
      <c r="F26" s="44"/>
      <c r="G26" s="367" t="s">
        <v>220</v>
      </c>
      <c r="H26" s="368"/>
      <c r="I26" s="368"/>
      <c r="J26" s="368"/>
      <c r="K26" s="369"/>
      <c r="L26" s="12"/>
    </row>
    <row r="27" spans="2:12" ht="15.95" customHeight="1">
      <c r="B27" s="14"/>
      <c r="C27" s="42"/>
      <c r="D27" s="42"/>
      <c r="E27" s="42"/>
      <c r="F27" s="44"/>
      <c r="G27" s="50"/>
      <c r="H27" s="48"/>
      <c r="I27" s="48"/>
      <c r="J27" s="48"/>
      <c r="K27" s="52"/>
      <c r="L27" s="12"/>
    </row>
    <row r="28" spans="2:12" ht="15.95" customHeight="1">
      <c r="B28" s="14"/>
      <c r="C28" s="42"/>
      <c r="D28" s="42"/>
      <c r="E28" s="42"/>
      <c r="F28" s="44"/>
      <c r="G28" s="50"/>
      <c r="H28" s="48"/>
      <c r="I28" s="48"/>
      <c r="J28" s="48"/>
      <c r="K28" s="52"/>
      <c r="L28" s="12"/>
    </row>
    <row r="29" spans="2:12" ht="15.95" customHeight="1">
      <c r="B29" s="14"/>
      <c r="C29" s="42"/>
      <c r="D29" s="42"/>
      <c r="E29" s="42"/>
      <c r="F29" s="44"/>
      <c r="G29" s="50"/>
      <c r="H29" s="48"/>
      <c r="I29" s="48"/>
      <c r="J29" s="48"/>
      <c r="K29" s="52"/>
      <c r="L29" s="12"/>
    </row>
    <row r="30" spans="2:12" ht="15.95" customHeight="1">
      <c r="B30" s="14"/>
      <c r="C30" s="42"/>
      <c r="D30" s="42"/>
      <c r="E30" s="42"/>
      <c r="F30" s="44"/>
      <c r="G30" s="53"/>
      <c r="H30" s="54"/>
      <c r="I30" s="54"/>
      <c r="J30" s="54"/>
      <c r="K30" s="55"/>
      <c r="L30" s="12"/>
    </row>
    <row r="31" spans="2:12" ht="15" customHeight="1">
      <c r="B31" s="15"/>
      <c r="C31" s="60"/>
      <c r="D31" s="60"/>
      <c r="E31" s="60"/>
      <c r="F31" s="11"/>
      <c r="G31" s="11"/>
      <c r="H31" s="11"/>
      <c r="I31" s="11"/>
      <c r="J31" s="11"/>
      <c r="K31" s="11"/>
      <c r="L31" s="13"/>
    </row>
  </sheetData>
  <mergeCells count="8">
    <mergeCell ref="G24:K24"/>
    <mergeCell ref="G26:K26"/>
    <mergeCell ref="B1:L2"/>
    <mergeCell ref="C4:E4"/>
    <mergeCell ref="G4:I4"/>
    <mergeCell ref="C18:E18"/>
    <mergeCell ref="G18:I18"/>
    <mergeCell ref="G22:K22"/>
  </mergeCells>
  <phoneticPr fontId="8" type="noConversion"/>
  <pageMargins left="0.78740157480314965" right="7.874015748031496E-2" top="0.6692913385826772" bottom="0.59055118110236215" header="0.5" footer="0.5"/>
  <pageSetup paperSize="9" orientation="landscape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BCC7-DB52-4F13-B9D6-ACED56CF2A84}">
  <dimension ref="B1:AC37"/>
  <sheetViews>
    <sheetView workbookViewId="0">
      <pane ySplit="4" topLeftCell="A5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5703125" customWidth="1"/>
    <col min="3" max="3" width="20.42578125" customWidth="1"/>
    <col min="4" max="4" width="21.7109375" customWidth="1"/>
    <col min="5" max="5" width="4.28515625" customWidth="1"/>
    <col min="6" max="6" width="7.42578125" customWidth="1"/>
    <col min="7" max="7" width="7.140625" customWidth="1"/>
    <col min="8" max="8" width="5.42578125" customWidth="1"/>
    <col min="9" max="9" width="10.5703125" customWidth="1"/>
    <col min="10" max="10" width="8" customWidth="1"/>
    <col min="11" max="11" width="6.42578125" customWidth="1"/>
    <col min="12" max="12" width="8" customWidth="1"/>
    <col min="13" max="13" width="6.42578125" customWidth="1"/>
    <col min="14" max="14" width="7.42578125" customWidth="1"/>
    <col min="15" max="17" width="6.42578125" customWidth="1"/>
    <col min="18" max="18" width="8.28515625" customWidth="1"/>
    <col min="19" max="19" width="10.140625" customWidth="1"/>
  </cols>
  <sheetData>
    <row r="1" spans="2:29" ht="24.95" customHeight="1">
      <c r="B1" s="333" t="s">
        <v>271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</row>
    <row r="3" spans="2:29" ht="15.4" customHeight="1">
      <c r="B3" s="356" t="s">
        <v>197</v>
      </c>
      <c r="C3" s="358" t="s">
        <v>795</v>
      </c>
      <c r="D3" s="358" t="s">
        <v>649</v>
      </c>
      <c r="E3" s="358" t="s">
        <v>294</v>
      </c>
      <c r="F3" s="351" t="s">
        <v>379</v>
      </c>
      <c r="G3" s="352"/>
      <c r="H3" s="351" t="s">
        <v>792</v>
      </c>
      <c r="I3" s="352"/>
      <c r="J3" s="351" t="s">
        <v>608</v>
      </c>
      <c r="K3" s="352"/>
      <c r="L3" s="351" t="s">
        <v>101</v>
      </c>
      <c r="M3" s="352"/>
      <c r="N3" s="351" t="s">
        <v>254</v>
      </c>
      <c r="O3" s="352"/>
      <c r="P3" s="351" t="s">
        <v>214</v>
      </c>
      <c r="Q3" s="352"/>
      <c r="R3" s="358" t="s">
        <v>686</v>
      </c>
      <c r="S3" s="353" t="s">
        <v>133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357"/>
      <c r="C4" s="359"/>
      <c r="D4" s="359"/>
      <c r="E4" s="359"/>
      <c r="F4" s="26" t="s">
        <v>3</v>
      </c>
      <c r="G4" s="25" t="s">
        <v>721</v>
      </c>
      <c r="H4" s="26" t="s">
        <v>3</v>
      </c>
      <c r="I4" s="25" t="s">
        <v>721</v>
      </c>
      <c r="J4" s="26" t="s">
        <v>3</v>
      </c>
      <c r="K4" s="25" t="s">
        <v>721</v>
      </c>
      <c r="L4" s="26" t="s">
        <v>3</v>
      </c>
      <c r="M4" s="25" t="s">
        <v>721</v>
      </c>
      <c r="N4" s="26" t="s">
        <v>3</v>
      </c>
      <c r="O4" s="25" t="s">
        <v>721</v>
      </c>
      <c r="P4" s="26" t="s">
        <v>3</v>
      </c>
      <c r="Q4" s="25" t="s">
        <v>721</v>
      </c>
      <c r="R4" s="359"/>
      <c r="S4" s="354"/>
    </row>
    <row r="5" spans="2:29" ht="19.7" customHeight="1">
      <c r="B5" s="28" t="s">
        <v>225</v>
      </c>
      <c r="C5" s="29" t="s">
        <v>374</v>
      </c>
      <c r="D5" s="29" t="s">
        <v>432</v>
      </c>
      <c r="E5" s="30" t="s">
        <v>497</v>
      </c>
      <c r="F5" s="37"/>
      <c r="G5" s="29" t="s">
        <v>834</v>
      </c>
      <c r="H5" s="37"/>
      <c r="I5" s="29" t="s">
        <v>834</v>
      </c>
      <c r="J5" s="37"/>
      <c r="K5" s="29" t="s">
        <v>834</v>
      </c>
      <c r="L5" s="37">
        <v>6000</v>
      </c>
      <c r="M5" s="29" t="s">
        <v>642</v>
      </c>
      <c r="N5" s="37"/>
      <c r="O5" s="29" t="s">
        <v>834</v>
      </c>
      <c r="P5" s="37"/>
      <c r="Q5" s="29" t="s">
        <v>834</v>
      </c>
      <c r="R5" s="31">
        <f t="shared" ref="R5:R36" si="0">MIN(F5,H5,J5,L5,N5,P5)</f>
        <v>6000</v>
      </c>
      <c r="S5" s="32" t="s">
        <v>834</v>
      </c>
      <c r="Z5" s="27">
        <v>6000</v>
      </c>
    </row>
    <row r="6" spans="2:29" ht="19.7" customHeight="1">
      <c r="B6" s="28" t="s">
        <v>782</v>
      </c>
      <c r="C6" s="29" t="s">
        <v>53</v>
      </c>
      <c r="D6" s="29" t="s">
        <v>834</v>
      </c>
      <c r="E6" s="30" t="s">
        <v>660</v>
      </c>
      <c r="F6" s="37">
        <v>1376</v>
      </c>
      <c r="G6" s="29" t="s">
        <v>287</v>
      </c>
      <c r="H6" s="37"/>
      <c r="I6" s="29" t="s">
        <v>834</v>
      </c>
      <c r="J6" s="37"/>
      <c r="K6" s="29" t="s">
        <v>834</v>
      </c>
      <c r="L6" s="37"/>
      <c r="M6" s="29" t="s">
        <v>834</v>
      </c>
      <c r="N6" s="37"/>
      <c r="O6" s="29" t="s">
        <v>834</v>
      </c>
      <c r="P6" s="37"/>
      <c r="Q6" s="29" t="s">
        <v>834</v>
      </c>
      <c r="R6" s="31">
        <f t="shared" si="0"/>
        <v>1376</v>
      </c>
      <c r="S6" s="32" t="s">
        <v>213</v>
      </c>
      <c r="Z6" s="27">
        <v>1376</v>
      </c>
    </row>
    <row r="7" spans="2:29" ht="19.7" customHeight="1">
      <c r="B7" s="28" t="s">
        <v>312</v>
      </c>
      <c r="C7" s="29" t="s">
        <v>429</v>
      </c>
      <c r="D7" s="29" t="s">
        <v>550</v>
      </c>
      <c r="E7" s="30" t="s">
        <v>132</v>
      </c>
      <c r="F7" s="37"/>
      <c r="G7" s="29" t="s">
        <v>834</v>
      </c>
      <c r="H7" s="37"/>
      <c r="I7" s="29" t="s">
        <v>834</v>
      </c>
      <c r="J7" s="37"/>
      <c r="K7" s="29" t="s">
        <v>834</v>
      </c>
      <c r="L7" s="37"/>
      <c r="M7" s="29" t="s">
        <v>834</v>
      </c>
      <c r="N7" s="37">
        <v>79200</v>
      </c>
      <c r="O7" s="29" t="s">
        <v>306</v>
      </c>
      <c r="P7" s="37"/>
      <c r="Q7" s="29" t="s">
        <v>834</v>
      </c>
      <c r="R7" s="31">
        <f t="shared" si="0"/>
        <v>79200</v>
      </c>
      <c r="S7" s="32" t="s">
        <v>834</v>
      </c>
      <c r="Z7" s="27">
        <v>79200</v>
      </c>
    </row>
    <row r="8" spans="2:29" ht="19.7" customHeight="1">
      <c r="B8" s="28" t="s">
        <v>644</v>
      </c>
      <c r="C8" s="29" t="s">
        <v>720</v>
      </c>
      <c r="D8" s="29" t="s">
        <v>241</v>
      </c>
      <c r="E8" s="30" t="s">
        <v>477</v>
      </c>
      <c r="F8" s="37"/>
      <c r="G8" s="29" t="s">
        <v>834</v>
      </c>
      <c r="H8" s="37"/>
      <c r="I8" s="29" t="s">
        <v>834</v>
      </c>
      <c r="J8" s="37"/>
      <c r="K8" s="29" t="s">
        <v>834</v>
      </c>
      <c r="L8" s="37"/>
      <c r="M8" s="29" t="s">
        <v>834</v>
      </c>
      <c r="N8" s="37"/>
      <c r="O8" s="29" t="s">
        <v>834</v>
      </c>
      <c r="P8" s="37">
        <v>6500</v>
      </c>
      <c r="Q8" s="29" t="s">
        <v>834</v>
      </c>
      <c r="R8" s="31">
        <f t="shared" si="0"/>
        <v>6500</v>
      </c>
      <c r="S8" s="32" t="s">
        <v>834</v>
      </c>
      <c r="Z8" s="27">
        <v>6500</v>
      </c>
    </row>
    <row r="9" spans="2:29" ht="19.7" customHeight="1">
      <c r="B9" s="28" t="s">
        <v>253</v>
      </c>
      <c r="C9" s="29" t="s">
        <v>156</v>
      </c>
      <c r="D9" s="29" t="s">
        <v>224</v>
      </c>
      <c r="E9" s="30" t="s">
        <v>596</v>
      </c>
      <c r="F9" s="37"/>
      <c r="G9" s="29" t="s">
        <v>834</v>
      </c>
      <c r="H9" s="37"/>
      <c r="I9" s="29" t="s">
        <v>834</v>
      </c>
      <c r="J9" s="37"/>
      <c r="K9" s="29" t="s">
        <v>834</v>
      </c>
      <c r="L9" s="37"/>
      <c r="M9" s="29" t="s">
        <v>834</v>
      </c>
      <c r="N9" s="37"/>
      <c r="O9" s="29" t="s">
        <v>834</v>
      </c>
      <c r="P9" s="37">
        <v>8000</v>
      </c>
      <c r="Q9" s="29" t="s">
        <v>834</v>
      </c>
      <c r="R9" s="31">
        <f t="shared" si="0"/>
        <v>8000</v>
      </c>
      <c r="S9" s="32" t="s">
        <v>834</v>
      </c>
      <c r="Z9" s="27">
        <v>8000</v>
      </c>
    </row>
    <row r="10" spans="2:29" ht="19.7" customHeight="1">
      <c r="B10" s="28" t="s">
        <v>760</v>
      </c>
      <c r="C10" s="29" t="s">
        <v>317</v>
      </c>
      <c r="D10" s="29" t="s">
        <v>409</v>
      </c>
      <c r="E10" s="30" t="s">
        <v>296</v>
      </c>
      <c r="F10" s="37"/>
      <c r="G10" s="29" t="s">
        <v>834</v>
      </c>
      <c r="H10" s="37"/>
      <c r="I10" s="29" t="s">
        <v>834</v>
      </c>
      <c r="J10" s="37">
        <v>9170</v>
      </c>
      <c r="K10" s="29" t="s">
        <v>417</v>
      </c>
      <c r="L10" s="37"/>
      <c r="M10" s="29" t="s">
        <v>834</v>
      </c>
      <c r="N10" s="37">
        <v>9170</v>
      </c>
      <c r="O10" s="29" t="s">
        <v>749</v>
      </c>
      <c r="P10" s="37"/>
      <c r="Q10" s="29" t="s">
        <v>834</v>
      </c>
      <c r="R10" s="31">
        <f t="shared" si="0"/>
        <v>9170</v>
      </c>
      <c r="S10" s="32" t="s">
        <v>834</v>
      </c>
      <c r="Z10" s="27">
        <v>9170</v>
      </c>
    </row>
    <row r="11" spans="2:29" ht="19.7" customHeight="1">
      <c r="B11" s="28" t="s">
        <v>402</v>
      </c>
      <c r="C11" s="29" t="s">
        <v>39</v>
      </c>
      <c r="D11" s="29" t="s">
        <v>424</v>
      </c>
      <c r="E11" s="30" t="s">
        <v>212</v>
      </c>
      <c r="F11" s="37"/>
      <c r="G11" s="29" t="s">
        <v>834</v>
      </c>
      <c r="H11" s="37">
        <v>200</v>
      </c>
      <c r="I11" s="29" t="s">
        <v>493</v>
      </c>
      <c r="J11" s="37">
        <v>200</v>
      </c>
      <c r="K11" s="29" t="s">
        <v>98</v>
      </c>
      <c r="L11" s="37">
        <v>220</v>
      </c>
      <c r="M11" s="29" t="s">
        <v>569</v>
      </c>
      <c r="N11" s="37"/>
      <c r="O11" s="29" t="s">
        <v>834</v>
      </c>
      <c r="P11" s="37">
        <v>106</v>
      </c>
      <c r="Q11" s="29" t="s">
        <v>834</v>
      </c>
      <c r="R11" s="31">
        <f t="shared" si="0"/>
        <v>106</v>
      </c>
      <c r="S11" s="32" t="s">
        <v>834</v>
      </c>
      <c r="Z11" s="27">
        <v>106</v>
      </c>
    </row>
    <row r="12" spans="2:29" ht="19.7" customHeight="1">
      <c r="B12" s="28" t="s">
        <v>764</v>
      </c>
      <c r="C12" s="29" t="s">
        <v>206</v>
      </c>
      <c r="D12" s="29" t="s">
        <v>632</v>
      </c>
      <c r="E12" s="30" t="s">
        <v>542</v>
      </c>
      <c r="F12" s="37"/>
      <c r="G12" s="29" t="s">
        <v>834</v>
      </c>
      <c r="H12" s="37">
        <v>230000</v>
      </c>
      <c r="I12" s="29" t="s">
        <v>267</v>
      </c>
      <c r="J12" s="37">
        <v>230000</v>
      </c>
      <c r="K12" s="29" t="s">
        <v>522</v>
      </c>
      <c r="L12" s="37">
        <v>180000</v>
      </c>
      <c r="M12" s="29" t="s">
        <v>746</v>
      </c>
      <c r="N12" s="37">
        <v>230000</v>
      </c>
      <c r="O12" s="29" t="s">
        <v>247</v>
      </c>
      <c r="P12" s="37"/>
      <c r="Q12" s="29" t="s">
        <v>834</v>
      </c>
      <c r="R12" s="31">
        <f t="shared" si="0"/>
        <v>180000</v>
      </c>
      <c r="S12" s="32" t="s">
        <v>834</v>
      </c>
      <c r="Z12" s="27">
        <v>180000</v>
      </c>
    </row>
    <row r="13" spans="2:29" ht="19.7" customHeight="1">
      <c r="B13" s="28" t="s">
        <v>392</v>
      </c>
      <c r="C13" s="29" t="s">
        <v>373</v>
      </c>
      <c r="D13" s="29" t="s">
        <v>260</v>
      </c>
      <c r="E13" s="30" t="s">
        <v>477</v>
      </c>
      <c r="F13" s="37"/>
      <c r="G13" s="29" t="s">
        <v>834</v>
      </c>
      <c r="H13" s="37">
        <v>4550</v>
      </c>
      <c r="I13" s="29" t="s">
        <v>356</v>
      </c>
      <c r="J13" s="37">
        <v>4550</v>
      </c>
      <c r="K13" s="29" t="s">
        <v>174</v>
      </c>
      <c r="L13" s="37"/>
      <c r="M13" s="29" t="s">
        <v>834</v>
      </c>
      <c r="N13" s="37"/>
      <c r="O13" s="29" t="s">
        <v>834</v>
      </c>
      <c r="P13" s="37"/>
      <c r="Q13" s="29" t="s">
        <v>834</v>
      </c>
      <c r="R13" s="31">
        <f t="shared" si="0"/>
        <v>4550</v>
      </c>
      <c r="S13" s="32" t="s">
        <v>834</v>
      </c>
      <c r="Z13" s="27">
        <v>4550</v>
      </c>
    </row>
    <row r="14" spans="2:29" ht="19.7" customHeight="1">
      <c r="B14" s="28" t="s">
        <v>90</v>
      </c>
      <c r="C14" s="29" t="s">
        <v>558</v>
      </c>
      <c r="D14" s="29" t="s">
        <v>146</v>
      </c>
      <c r="E14" s="30" t="s">
        <v>477</v>
      </c>
      <c r="F14" s="37"/>
      <c r="G14" s="29" t="s">
        <v>834</v>
      </c>
      <c r="H14" s="37">
        <v>5000</v>
      </c>
      <c r="I14" s="29" t="s">
        <v>356</v>
      </c>
      <c r="J14" s="37">
        <v>5000</v>
      </c>
      <c r="K14" s="29" t="s">
        <v>25</v>
      </c>
      <c r="L14" s="37">
        <v>5000</v>
      </c>
      <c r="M14" s="29" t="s">
        <v>549</v>
      </c>
      <c r="N14" s="37">
        <v>5000</v>
      </c>
      <c r="O14" s="29" t="s">
        <v>791</v>
      </c>
      <c r="P14" s="37"/>
      <c r="Q14" s="29" t="s">
        <v>834</v>
      </c>
      <c r="R14" s="31">
        <f t="shared" si="0"/>
        <v>5000</v>
      </c>
      <c r="S14" s="32" t="s">
        <v>834</v>
      </c>
      <c r="Z14" s="27">
        <v>5000</v>
      </c>
    </row>
    <row r="15" spans="2:29" ht="19.7" customHeight="1">
      <c r="B15" s="28" t="s">
        <v>433</v>
      </c>
      <c r="C15" s="29" t="s">
        <v>828</v>
      </c>
      <c r="D15" s="29" t="s">
        <v>332</v>
      </c>
      <c r="E15" s="30" t="s">
        <v>660</v>
      </c>
      <c r="F15" s="37"/>
      <c r="G15" s="29" t="s">
        <v>834</v>
      </c>
      <c r="H15" s="37">
        <v>4500</v>
      </c>
      <c r="I15" s="29" t="s">
        <v>356</v>
      </c>
      <c r="J15" s="37">
        <v>4500</v>
      </c>
      <c r="K15" s="29" t="s">
        <v>174</v>
      </c>
      <c r="L15" s="37">
        <v>4500</v>
      </c>
      <c r="M15" s="29" t="s">
        <v>549</v>
      </c>
      <c r="N15" s="37">
        <v>4550</v>
      </c>
      <c r="O15" s="29" t="s">
        <v>791</v>
      </c>
      <c r="P15" s="37"/>
      <c r="Q15" s="29" t="s">
        <v>834</v>
      </c>
      <c r="R15" s="31">
        <f t="shared" si="0"/>
        <v>4500</v>
      </c>
      <c r="S15" s="32" t="s">
        <v>834</v>
      </c>
      <c r="Z15" s="27">
        <v>4500</v>
      </c>
    </row>
    <row r="16" spans="2:29" ht="19.7" customHeight="1">
      <c r="B16" s="28" t="s">
        <v>151</v>
      </c>
      <c r="C16" s="29" t="s">
        <v>533</v>
      </c>
      <c r="D16" s="29" t="s">
        <v>38</v>
      </c>
      <c r="E16" s="30" t="s">
        <v>477</v>
      </c>
      <c r="F16" s="37"/>
      <c r="G16" s="29" t="s">
        <v>834</v>
      </c>
      <c r="H16" s="37">
        <v>2224</v>
      </c>
      <c r="I16" s="29" t="s">
        <v>293</v>
      </c>
      <c r="J16" s="37">
        <v>2222</v>
      </c>
      <c r="K16" s="29" t="s">
        <v>302</v>
      </c>
      <c r="L16" s="37">
        <v>2311</v>
      </c>
      <c r="M16" s="29" t="s">
        <v>663</v>
      </c>
      <c r="N16" s="37">
        <v>1887</v>
      </c>
      <c r="O16" s="29" t="s">
        <v>481</v>
      </c>
      <c r="P16" s="37"/>
      <c r="Q16" s="29" t="s">
        <v>834</v>
      </c>
      <c r="R16" s="31">
        <f t="shared" si="0"/>
        <v>1887</v>
      </c>
      <c r="S16" s="32" t="s">
        <v>834</v>
      </c>
      <c r="Z16" s="27">
        <v>1887</v>
      </c>
    </row>
    <row r="17" spans="2:26" ht="19.7" customHeight="1">
      <c r="B17" s="28" t="s">
        <v>517</v>
      </c>
      <c r="C17" s="29" t="s">
        <v>50</v>
      </c>
      <c r="D17" s="29" t="s">
        <v>703</v>
      </c>
      <c r="E17" s="30" t="s">
        <v>212</v>
      </c>
      <c r="F17" s="37"/>
      <c r="G17" s="29" t="s">
        <v>834</v>
      </c>
      <c r="H17" s="37"/>
      <c r="I17" s="29" t="s">
        <v>834</v>
      </c>
      <c r="J17" s="37">
        <v>111900</v>
      </c>
      <c r="K17" s="29" t="s">
        <v>633</v>
      </c>
      <c r="L17" s="37">
        <v>93500</v>
      </c>
      <c r="M17" s="29" t="s">
        <v>62</v>
      </c>
      <c r="N17" s="37">
        <v>110600</v>
      </c>
      <c r="O17" s="29" t="s">
        <v>331</v>
      </c>
      <c r="P17" s="37"/>
      <c r="Q17" s="29" t="s">
        <v>834</v>
      </c>
      <c r="R17" s="31">
        <f t="shared" si="0"/>
        <v>93500</v>
      </c>
      <c r="S17" s="32" t="s">
        <v>834</v>
      </c>
      <c r="Z17" s="27">
        <v>93500</v>
      </c>
    </row>
    <row r="18" spans="2:26" ht="19.7" customHeight="1">
      <c r="B18" s="28" t="s">
        <v>26</v>
      </c>
      <c r="C18" s="29" t="s">
        <v>50</v>
      </c>
      <c r="D18" s="29" t="s">
        <v>568</v>
      </c>
      <c r="E18" s="30" t="s">
        <v>212</v>
      </c>
      <c r="F18" s="37"/>
      <c r="G18" s="29" t="s">
        <v>834</v>
      </c>
      <c r="H18" s="37"/>
      <c r="I18" s="29" t="s">
        <v>834</v>
      </c>
      <c r="J18" s="37">
        <v>113400</v>
      </c>
      <c r="K18" s="29" t="s">
        <v>633</v>
      </c>
      <c r="L18" s="37">
        <v>93500</v>
      </c>
      <c r="M18" s="29" t="s">
        <v>62</v>
      </c>
      <c r="N18" s="37">
        <v>79800</v>
      </c>
      <c r="O18" s="29" t="s">
        <v>331</v>
      </c>
      <c r="P18" s="37"/>
      <c r="Q18" s="29" t="s">
        <v>834</v>
      </c>
      <c r="R18" s="31">
        <f t="shared" si="0"/>
        <v>79800</v>
      </c>
      <c r="S18" s="32" t="s">
        <v>834</v>
      </c>
      <c r="Z18" s="27">
        <v>79800</v>
      </c>
    </row>
    <row r="19" spans="2:26" ht="19.7" customHeight="1">
      <c r="B19" s="28" t="s">
        <v>462</v>
      </c>
      <c r="C19" s="29" t="s">
        <v>50</v>
      </c>
      <c r="D19" s="29" t="s">
        <v>257</v>
      </c>
      <c r="E19" s="30" t="s">
        <v>212</v>
      </c>
      <c r="F19" s="37"/>
      <c r="G19" s="29" t="s">
        <v>834</v>
      </c>
      <c r="H19" s="37"/>
      <c r="I19" s="29" t="s">
        <v>834</v>
      </c>
      <c r="J19" s="37"/>
      <c r="K19" s="29" t="s">
        <v>834</v>
      </c>
      <c r="L19" s="37">
        <v>154000</v>
      </c>
      <c r="M19" s="29" t="s">
        <v>62</v>
      </c>
      <c r="N19" s="37"/>
      <c r="O19" s="29" t="s">
        <v>834</v>
      </c>
      <c r="P19" s="37"/>
      <c r="Q19" s="29" t="s">
        <v>834</v>
      </c>
      <c r="R19" s="31">
        <f t="shared" si="0"/>
        <v>154000</v>
      </c>
      <c r="S19" s="32" t="s">
        <v>834</v>
      </c>
      <c r="Z19" s="27">
        <v>154000</v>
      </c>
    </row>
    <row r="20" spans="2:26" ht="19.7" customHeight="1">
      <c r="B20" s="28" t="s">
        <v>125</v>
      </c>
      <c r="C20" s="29" t="s">
        <v>670</v>
      </c>
      <c r="D20" s="29" t="s">
        <v>834</v>
      </c>
      <c r="E20" s="30" t="s">
        <v>497</v>
      </c>
      <c r="F20" s="37"/>
      <c r="G20" s="29" t="s">
        <v>834</v>
      </c>
      <c r="H20" s="37"/>
      <c r="I20" s="29" t="s">
        <v>834</v>
      </c>
      <c r="J20" s="37"/>
      <c r="K20" s="29" t="s">
        <v>834</v>
      </c>
      <c r="L20" s="37"/>
      <c r="M20" s="29" t="s">
        <v>834</v>
      </c>
      <c r="N20" s="37">
        <v>64200</v>
      </c>
      <c r="O20" s="29" t="s">
        <v>139</v>
      </c>
      <c r="P20" s="37"/>
      <c r="Q20" s="29" t="s">
        <v>834</v>
      </c>
      <c r="R20" s="31">
        <f t="shared" si="0"/>
        <v>64200</v>
      </c>
      <c r="S20" s="32" t="s">
        <v>834</v>
      </c>
      <c r="Z20" s="27">
        <v>64200</v>
      </c>
    </row>
    <row r="21" spans="2:26" ht="19.7" customHeight="1">
      <c r="B21" s="28" t="s">
        <v>589</v>
      </c>
      <c r="C21" s="29" t="s">
        <v>104</v>
      </c>
      <c r="D21" s="29" t="s">
        <v>702</v>
      </c>
      <c r="E21" s="30" t="s">
        <v>212</v>
      </c>
      <c r="F21" s="37"/>
      <c r="G21" s="29" t="s">
        <v>834</v>
      </c>
      <c r="H21" s="37"/>
      <c r="I21" s="29" t="s">
        <v>834</v>
      </c>
      <c r="J21" s="37"/>
      <c r="K21" s="29" t="s">
        <v>834</v>
      </c>
      <c r="L21" s="37">
        <v>9000</v>
      </c>
      <c r="M21" s="29" t="s">
        <v>834</v>
      </c>
      <c r="N21" s="37"/>
      <c r="O21" s="29" t="s">
        <v>834</v>
      </c>
      <c r="P21" s="37"/>
      <c r="Q21" s="29" t="s">
        <v>834</v>
      </c>
      <c r="R21" s="31">
        <f t="shared" si="0"/>
        <v>9000</v>
      </c>
      <c r="S21" s="32" t="s">
        <v>834</v>
      </c>
      <c r="Z21" s="27">
        <v>9000</v>
      </c>
    </row>
    <row r="22" spans="2:26" ht="19.7" customHeight="1">
      <c r="B22" s="28" t="s">
        <v>127</v>
      </c>
      <c r="C22" s="29" t="s">
        <v>93</v>
      </c>
      <c r="D22" s="29" t="s">
        <v>771</v>
      </c>
      <c r="E22" s="30" t="s">
        <v>212</v>
      </c>
      <c r="F22" s="37"/>
      <c r="G22" s="29" t="s">
        <v>834</v>
      </c>
      <c r="H22" s="37">
        <v>18000</v>
      </c>
      <c r="I22" s="29" t="s">
        <v>676</v>
      </c>
      <c r="J22" s="37"/>
      <c r="K22" s="29" t="s">
        <v>834</v>
      </c>
      <c r="L22" s="37">
        <v>18000</v>
      </c>
      <c r="M22" s="29" t="s">
        <v>766</v>
      </c>
      <c r="N22" s="37"/>
      <c r="O22" s="29" t="s">
        <v>834</v>
      </c>
      <c r="P22" s="37"/>
      <c r="Q22" s="29" t="s">
        <v>834</v>
      </c>
      <c r="R22" s="31">
        <f t="shared" si="0"/>
        <v>18000</v>
      </c>
      <c r="S22" s="32" t="s">
        <v>834</v>
      </c>
      <c r="Z22" s="27">
        <v>18000</v>
      </c>
    </row>
    <row r="23" spans="2:26" ht="19.7" customHeight="1">
      <c r="B23" s="28" t="s">
        <v>577</v>
      </c>
      <c r="C23" s="29" t="s">
        <v>282</v>
      </c>
      <c r="D23" s="29" t="s">
        <v>696</v>
      </c>
      <c r="E23" s="30" t="s">
        <v>366</v>
      </c>
      <c r="F23" s="37"/>
      <c r="G23" s="29" t="s">
        <v>834</v>
      </c>
      <c r="H23" s="37"/>
      <c r="I23" s="29" t="s">
        <v>834</v>
      </c>
      <c r="J23" s="37"/>
      <c r="K23" s="29" t="s">
        <v>834</v>
      </c>
      <c r="L23" s="37">
        <v>1500000</v>
      </c>
      <c r="M23" s="29" t="s">
        <v>666</v>
      </c>
      <c r="N23" s="37"/>
      <c r="O23" s="29" t="s">
        <v>834</v>
      </c>
      <c r="P23" s="37"/>
      <c r="Q23" s="29" t="s">
        <v>834</v>
      </c>
      <c r="R23" s="31">
        <f t="shared" si="0"/>
        <v>1500000</v>
      </c>
      <c r="S23" s="32" t="s">
        <v>834</v>
      </c>
      <c r="Z23" s="27">
        <v>1500000</v>
      </c>
    </row>
    <row r="24" spans="2:26" ht="19.7" customHeight="1">
      <c r="B24" s="28" t="s">
        <v>713</v>
      </c>
      <c r="C24" s="29" t="s">
        <v>454</v>
      </c>
      <c r="D24" s="29" t="s">
        <v>85</v>
      </c>
      <c r="E24" s="30" t="s">
        <v>212</v>
      </c>
      <c r="F24" s="37"/>
      <c r="G24" s="29" t="s">
        <v>834</v>
      </c>
      <c r="H24" s="37"/>
      <c r="I24" s="29" t="s">
        <v>834</v>
      </c>
      <c r="J24" s="37"/>
      <c r="K24" s="29" t="s">
        <v>834</v>
      </c>
      <c r="L24" s="37">
        <v>190000</v>
      </c>
      <c r="M24" s="29" t="s">
        <v>666</v>
      </c>
      <c r="N24" s="37"/>
      <c r="O24" s="29" t="s">
        <v>834</v>
      </c>
      <c r="P24" s="37"/>
      <c r="Q24" s="29" t="s">
        <v>834</v>
      </c>
      <c r="R24" s="31">
        <f t="shared" si="0"/>
        <v>190000</v>
      </c>
      <c r="S24" s="32" t="s">
        <v>834</v>
      </c>
      <c r="Z24" s="27">
        <v>190000</v>
      </c>
    </row>
    <row r="25" spans="2:26" ht="19.7" customHeight="1">
      <c r="B25" s="28" t="s">
        <v>235</v>
      </c>
      <c r="C25" s="29" t="s">
        <v>323</v>
      </c>
      <c r="D25" s="29" t="s">
        <v>20</v>
      </c>
      <c r="E25" s="30" t="s">
        <v>477</v>
      </c>
      <c r="F25" s="37"/>
      <c r="G25" s="29" t="s">
        <v>834</v>
      </c>
      <c r="H25" s="37"/>
      <c r="I25" s="29" t="s">
        <v>834</v>
      </c>
      <c r="J25" s="37"/>
      <c r="K25" s="29" t="s">
        <v>834</v>
      </c>
      <c r="L25" s="37"/>
      <c r="M25" s="29" t="s">
        <v>834</v>
      </c>
      <c r="N25" s="37">
        <v>25000</v>
      </c>
      <c r="O25" s="29" t="s">
        <v>162</v>
      </c>
      <c r="P25" s="37"/>
      <c r="Q25" s="29" t="s">
        <v>834</v>
      </c>
      <c r="R25" s="31">
        <f t="shared" si="0"/>
        <v>25000</v>
      </c>
      <c r="S25" s="32" t="s">
        <v>834</v>
      </c>
      <c r="Z25" s="27">
        <v>25000</v>
      </c>
    </row>
    <row r="26" spans="2:26" ht="19.7" customHeight="1">
      <c r="B26" s="28" t="s">
        <v>780</v>
      </c>
      <c r="C26" s="29" t="s">
        <v>631</v>
      </c>
      <c r="D26" s="29" t="s">
        <v>647</v>
      </c>
      <c r="E26" s="30" t="s">
        <v>477</v>
      </c>
      <c r="F26" s="37"/>
      <c r="G26" s="29" t="s">
        <v>834</v>
      </c>
      <c r="H26" s="37"/>
      <c r="I26" s="29" t="s">
        <v>834</v>
      </c>
      <c r="J26" s="37"/>
      <c r="K26" s="29" t="s">
        <v>834</v>
      </c>
      <c r="L26" s="37"/>
      <c r="M26" s="29" t="s">
        <v>834</v>
      </c>
      <c r="N26" s="37">
        <v>2500</v>
      </c>
      <c r="O26" s="29" t="s">
        <v>18</v>
      </c>
      <c r="P26" s="37"/>
      <c r="Q26" s="29" t="s">
        <v>834</v>
      </c>
      <c r="R26" s="31">
        <f t="shared" si="0"/>
        <v>2500</v>
      </c>
      <c r="S26" s="32" t="s">
        <v>834</v>
      </c>
      <c r="Z26" s="27">
        <v>2500</v>
      </c>
    </row>
    <row r="27" spans="2:26" ht="19.7" customHeight="1">
      <c r="B27" s="28" t="s">
        <v>324</v>
      </c>
      <c r="C27" s="29" t="s">
        <v>359</v>
      </c>
      <c r="D27" s="29" t="s">
        <v>728</v>
      </c>
      <c r="E27" s="30" t="s">
        <v>477</v>
      </c>
      <c r="F27" s="37"/>
      <c r="G27" s="29" t="s">
        <v>834</v>
      </c>
      <c r="H27" s="37"/>
      <c r="I27" s="29" t="s">
        <v>834</v>
      </c>
      <c r="J27" s="37"/>
      <c r="K27" s="29" t="s">
        <v>834</v>
      </c>
      <c r="L27" s="37"/>
      <c r="M27" s="29" t="s">
        <v>834</v>
      </c>
      <c r="N27" s="37">
        <v>69000</v>
      </c>
      <c r="O27" s="29" t="s">
        <v>18</v>
      </c>
      <c r="P27" s="37"/>
      <c r="Q27" s="29" t="s">
        <v>834</v>
      </c>
      <c r="R27" s="31">
        <f t="shared" si="0"/>
        <v>69000</v>
      </c>
      <c r="S27" s="32" t="s">
        <v>834</v>
      </c>
      <c r="Z27" s="27">
        <v>69000</v>
      </c>
    </row>
    <row r="28" spans="2:26" ht="19.7" customHeight="1">
      <c r="B28" s="28" t="s">
        <v>621</v>
      </c>
      <c r="C28" s="29" t="s">
        <v>675</v>
      </c>
      <c r="D28" s="29" t="s">
        <v>185</v>
      </c>
      <c r="E28" s="30" t="s">
        <v>477</v>
      </c>
      <c r="F28" s="37"/>
      <c r="G28" s="29" t="s">
        <v>834</v>
      </c>
      <c r="H28" s="37"/>
      <c r="I28" s="29" t="s">
        <v>834</v>
      </c>
      <c r="J28" s="37"/>
      <c r="K28" s="29" t="s">
        <v>834</v>
      </c>
      <c r="L28" s="37"/>
      <c r="M28" s="29" t="s">
        <v>834</v>
      </c>
      <c r="N28" s="37">
        <v>68000</v>
      </c>
      <c r="O28" s="29" t="s">
        <v>18</v>
      </c>
      <c r="P28" s="37"/>
      <c r="Q28" s="29" t="s">
        <v>834</v>
      </c>
      <c r="R28" s="31">
        <f t="shared" si="0"/>
        <v>68000</v>
      </c>
      <c r="S28" s="32" t="s">
        <v>834</v>
      </c>
      <c r="Z28" s="27">
        <v>68000</v>
      </c>
    </row>
    <row r="29" spans="2:26" ht="19.7" customHeight="1">
      <c r="B29" s="28" t="s">
        <v>258</v>
      </c>
      <c r="C29" s="29" t="s">
        <v>637</v>
      </c>
      <c r="D29" s="29" t="s">
        <v>809</v>
      </c>
      <c r="E29" s="30" t="s">
        <v>477</v>
      </c>
      <c r="F29" s="37"/>
      <c r="G29" s="29" t="s">
        <v>834</v>
      </c>
      <c r="H29" s="37"/>
      <c r="I29" s="29" t="s">
        <v>834</v>
      </c>
      <c r="J29" s="37"/>
      <c r="K29" s="29" t="s">
        <v>834</v>
      </c>
      <c r="L29" s="37"/>
      <c r="M29" s="29" t="s">
        <v>834</v>
      </c>
      <c r="N29" s="37">
        <v>68000</v>
      </c>
      <c r="O29" s="29" t="s">
        <v>18</v>
      </c>
      <c r="P29" s="37"/>
      <c r="Q29" s="29" t="s">
        <v>834</v>
      </c>
      <c r="R29" s="31">
        <f t="shared" si="0"/>
        <v>68000</v>
      </c>
      <c r="S29" s="32" t="s">
        <v>834</v>
      </c>
      <c r="Z29" s="27">
        <v>68000</v>
      </c>
    </row>
    <row r="30" spans="2:26" ht="19.7" customHeight="1">
      <c r="B30" s="33" t="s">
        <v>747</v>
      </c>
      <c r="C30" s="34" t="s">
        <v>372</v>
      </c>
      <c r="D30" s="34" t="s">
        <v>371</v>
      </c>
      <c r="E30" s="35" t="s">
        <v>477</v>
      </c>
      <c r="F30" s="21"/>
      <c r="G30" s="34" t="s">
        <v>834</v>
      </c>
      <c r="H30" s="21"/>
      <c r="I30" s="34" t="s">
        <v>834</v>
      </c>
      <c r="J30" s="21">
        <v>6111</v>
      </c>
      <c r="K30" s="34" t="s">
        <v>615</v>
      </c>
      <c r="L30" s="21">
        <v>6111</v>
      </c>
      <c r="M30" s="34" t="s">
        <v>636</v>
      </c>
      <c r="N30" s="21">
        <v>4400</v>
      </c>
      <c r="O30" s="34" t="s">
        <v>208</v>
      </c>
      <c r="P30" s="21"/>
      <c r="Q30" s="34" t="s">
        <v>834</v>
      </c>
      <c r="R30" s="22">
        <f t="shared" si="0"/>
        <v>4400</v>
      </c>
      <c r="S30" s="36" t="s">
        <v>834</v>
      </c>
      <c r="Z30" s="27">
        <v>4400</v>
      </c>
    </row>
    <row r="31" spans="2:26" ht="19.7" customHeight="1">
      <c r="B31" s="28" t="s">
        <v>410</v>
      </c>
      <c r="C31" s="29" t="s">
        <v>97</v>
      </c>
      <c r="D31" s="29" t="s">
        <v>834</v>
      </c>
      <c r="E31" s="30" t="s">
        <v>477</v>
      </c>
      <c r="F31" s="37"/>
      <c r="G31" s="29" t="s">
        <v>834</v>
      </c>
      <c r="H31" s="37"/>
      <c r="I31" s="29" t="s">
        <v>834</v>
      </c>
      <c r="J31" s="37"/>
      <c r="K31" s="29" t="s">
        <v>834</v>
      </c>
      <c r="L31" s="37"/>
      <c r="M31" s="29" t="s">
        <v>834</v>
      </c>
      <c r="N31" s="37"/>
      <c r="O31" s="29" t="s">
        <v>834</v>
      </c>
      <c r="P31" s="37">
        <v>22000</v>
      </c>
      <c r="Q31" s="29" t="s">
        <v>834</v>
      </c>
      <c r="R31" s="31">
        <f t="shared" si="0"/>
        <v>22000</v>
      </c>
      <c r="S31" s="32" t="s">
        <v>834</v>
      </c>
      <c r="Z31" s="27">
        <v>22000</v>
      </c>
    </row>
    <row r="32" spans="2:26" ht="19.7" customHeight="1">
      <c r="B32" s="28" t="s">
        <v>772</v>
      </c>
      <c r="C32" s="29" t="s">
        <v>548</v>
      </c>
      <c r="D32" s="29" t="s">
        <v>595</v>
      </c>
      <c r="E32" s="30" t="s">
        <v>652</v>
      </c>
      <c r="F32" s="37"/>
      <c r="G32" s="29" t="s">
        <v>834</v>
      </c>
      <c r="H32" s="37"/>
      <c r="I32" s="29" t="s">
        <v>834</v>
      </c>
      <c r="J32" s="37"/>
      <c r="K32" s="29" t="s">
        <v>834</v>
      </c>
      <c r="L32" s="37"/>
      <c r="M32" s="29" t="s">
        <v>834</v>
      </c>
      <c r="N32" s="37"/>
      <c r="O32" s="29" t="s">
        <v>834</v>
      </c>
      <c r="P32" s="37">
        <v>6737</v>
      </c>
      <c r="Q32" s="29" t="s">
        <v>834</v>
      </c>
      <c r="R32" s="31">
        <f t="shared" si="0"/>
        <v>6737</v>
      </c>
      <c r="S32" s="32" t="s">
        <v>834</v>
      </c>
      <c r="Z32" s="27">
        <v>6737</v>
      </c>
    </row>
    <row r="33" spans="2:26" ht="19.7" customHeight="1">
      <c r="B33" s="28" t="s">
        <v>390</v>
      </c>
      <c r="C33" s="29" t="s">
        <v>408</v>
      </c>
      <c r="D33" s="29" t="s">
        <v>834</v>
      </c>
      <c r="E33" s="30" t="s">
        <v>212</v>
      </c>
      <c r="F33" s="37"/>
      <c r="G33" s="29" t="s">
        <v>834</v>
      </c>
      <c r="H33" s="37"/>
      <c r="I33" s="29" t="s">
        <v>834</v>
      </c>
      <c r="J33" s="37"/>
      <c r="K33" s="29" t="s">
        <v>834</v>
      </c>
      <c r="L33" s="37"/>
      <c r="M33" s="29" t="s">
        <v>834</v>
      </c>
      <c r="N33" s="37"/>
      <c r="O33" s="29" t="s">
        <v>834</v>
      </c>
      <c r="P33" s="37">
        <v>1000</v>
      </c>
      <c r="Q33" s="29" t="s">
        <v>834</v>
      </c>
      <c r="R33" s="31">
        <f t="shared" si="0"/>
        <v>1000</v>
      </c>
      <c r="S33" s="32" t="s">
        <v>834</v>
      </c>
      <c r="Z33" s="27">
        <v>1000</v>
      </c>
    </row>
    <row r="34" spans="2:26" ht="19.7" customHeight="1">
      <c r="B34" s="28" t="s">
        <v>490</v>
      </c>
      <c r="C34" s="29" t="s">
        <v>554</v>
      </c>
      <c r="D34" s="29" t="s">
        <v>189</v>
      </c>
      <c r="E34" s="30" t="s">
        <v>566</v>
      </c>
      <c r="F34" s="37"/>
      <c r="G34" s="29" t="s">
        <v>834</v>
      </c>
      <c r="H34" s="37">
        <v>31142</v>
      </c>
      <c r="I34" s="29" t="s">
        <v>718</v>
      </c>
      <c r="J34" s="37"/>
      <c r="K34" s="29" t="s">
        <v>834</v>
      </c>
      <c r="L34" s="37">
        <v>31142</v>
      </c>
      <c r="M34" s="29" t="s">
        <v>355</v>
      </c>
      <c r="N34" s="37">
        <v>31142</v>
      </c>
      <c r="O34" s="29" t="s">
        <v>281</v>
      </c>
      <c r="P34" s="37"/>
      <c r="Q34" s="29" t="s">
        <v>834</v>
      </c>
      <c r="R34" s="31">
        <f t="shared" si="0"/>
        <v>31142</v>
      </c>
      <c r="S34" s="32" t="s">
        <v>240</v>
      </c>
      <c r="Z34" s="27">
        <v>31142</v>
      </c>
    </row>
    <row r="35" spans="2:26" ht="19.7" customHeight="1">
      <c r="B35" s="28" t="s">
        <v>31</v>
      </c>
      <c r="C35" s="29" t="s">
        <v>119</v>
      </c>
      <c r="D35" s="29" t="s">
        <v>383</v>
      </c>
      <c r="E35" s="30" t="s">
        <v>566</v>
      </c>
      <c r="F35" s="37"/>
      <c r="G35" s="29" t="s">
        <v>834</v>
      </c>
      <c r="H35" s="37">
        <v>19700</v>
      </c>
      <c r="I35" s="29" t="s">
        <v>526</v>
      </c>
      <c r="J35" s="37"/>
      <c r="K35" s="29" t="s">
        <v>834</v>
      </c>
      <c r="L35" s="37"/>
      <c r="M35" s="29" t="s">
        <v>834</v>
      </c>
      <c r="N35" s="37">
        <v>19700</v>
      </c>
      <c r="O35" s="29" t="s">
        <v>620</v>
      </c>
      <c r="P35" s="37"/>
      <c r="Q35" s="29" t="s">
        <v>834</v>
      </c>
      <c r="R35" s="31">
        <f t="shared" si="0"/>
        <v>19700</v>
      </c>
      <c r="S35" s="32" t="s">
        <v>240</v>
      </c>
      <c r="Z35" s="27">
        <v>19700</v>
      </c>
    </row>
    <row r="36" spans="2:26">
      <c r="B36" s="33" t="s">
        <v>539</v>
      </c>
      <c r="C36" s="34" t="s">
        <v>790</v>
      </c>
      <c r="D36" s="34" t="s">
        <v>37</v>
      </c>
      <c r="E36" s="35" t="s">
        <v>537</v>
      </c>
      <c r="F36" s="21">
        <v>100120</v>
      </c>
      <c r="G36" s="34" t="s">
        <v>488</v>
      </c>
      <c r="H36" s="21"/>
      <c r="I36" s="34" t="s">
        <v>834</v>
      </c>
      <c r="J36" s="21"/>
      <c r="K36" s="34" t="s">
        <v>834</v>
      </c>
      <c r="L36" s="21"/>
      <c r="M36" s="34" t="s">
        <v>834</v>
      </c>
      <c r="N36" s="21"/>
      <c r="O36" s="34" t="s">
        <v>834</v>
      </c>
      <c r="P36" s="21"/>
      <c r="Q36" s="34" t="s">
        <v>834</v>
      </c>
      <c r="R36" s="22">
        <f t="shared" si="0"/>
        <v>100120</v>
      </c>
      <c r="S36" s="36" t="s">
        <v>626</v>
      </c>
      <c r="Z36" s="27">
        <v>100120</v>
      </c>
    </row>
    <row r="37" spans="2:26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</sheetData>
  <mergeCells count="13">
    <mergeCell ref="B1:S2"/>
    <mergeCell ref="J3:K3"/>
    <mergeCell ref="L3:M3"/>
    <mergeCell ref="N3:O3"/>
    <mergeCell ref="P3:Q3"/>
    <mergeCell ref="R3:R4"/>
    <mergeCell ref="S3:S4"/>
    <mergeCell ref="B3:B4"/>
    <mergeCell ref="C3:C4"/>
    <mergeCell ref="D3:D4"/>
    <mergeCell ref="E3:E4"/>
    <mergeCell ref="F3:G3"/>
    <mergeCell ref="H3:I3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FDBF-5828-4857-BAE5-7C0D47C0BBDE}">
  <dimension ref="B1:AC3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6.7109375" customWidth="1"/>
    <col min="3" max="3" width="30.140625" customWidth="1"/>
    <col min="4" max="4" width="24.5703125" customWidth="1"/>
    <col min="5" max="5" width="6.7109375" customWidth="1"/>
    <col min="6" max="6" width="12.7109375" customWidth="1"/>
    <col min="7" max="7" width="20.140625" customWidth="1"/>
  </cols>
  <sheetData>
    <row r="1" spans="2:29" ht="24.95" customHeight="1">
      <c r="B1" s="333" t="s">
        <v>648</v>
      </c>
      <c r="C1" s="333"/>
      <c r="D1" s="333"/>
      <c r="E1" s="333"/>
      <c r="F1" s="333"/>
      <c r="G1" s="333"/>
    </row>
    <row r="2" spans="2:29" ht="9.9499999999999993" customHeight="1">
      <c r="B2" s="334"/>
      <c r="C2" s="334"/>
      <c r="D2" s="334"/>
      <c r="E2" s="334"/>
      <c r="F2" s="334"/>
      <c r="G2" s="334"/>
    </row>
    <row r="3" spans="2:29" ht="27.95" customHeight="1">
      <c r="B3" s="24" t="s">
        <v>197</v>
      </c>
      <c r="C3" s="17" t="s">
        <v>795</v>
      </c>
      <c r="D3" s="17" t="s">
        <v>297</v>
      </c>
      <c r="E3" s="17" t="s">
        <v>294</v>
      </c>
      <c r="F3" s="17" t="s">
        <v>686</v>
      </c>
      <c r="G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248</v>
      </c>
      <c r="D4" s="29" t="s">
        <v>834</v>
      </c>
      <c r="E4" s="30" t="s">
        <v>767</v>
      </c>
      <c r="F4" s="31">
        <v>273308</v>
      </c>
      <c r="G4" s="32" t="s">
        <v>756</v>
      </c>
      <c r="Z4" s="27">
        <v>273308</v>
      </c>
    </row>
    <row r="5" spans="2:29" ht="22.35" customHeight="1">
      <c r="B5" s="28" t="s">
        <v>782</v>
      </c>
      <c r="C5" s="29" t="s">
        <v>54</v>
      </c>
      <c r="D5" s="29" t="s">
        <v>834</v>
      </c>
      <c r="E5" s="30" t="s">
        <v>767</v>
      </c>
      <c r="F5" s="31">
        <v>172068</v>
      </c>
      <c r="G5" s="32" t="s">
        <v>756</v>
      </c>
      <c r="Z5" s="27">
        <v>172068</v>
      </c>
    </row>
    <row r="6" spans="2:29" ht="22.35" customHeight="1">
      <c r="B6" s="28" t="s">
        <v>312</v>
      </c>
      <c r="C6" s="29" t="s">
        <v>177</v>
      </c>
      <c r="D6" s="29" t="s">
        <v>834</v>
      </c>
      <c r="E6" s="30" t="s">
        <v>767</v>
      </c>
      <c r="F6" s="31">
        <v>283297</v>
      </c>
      <c r="G6" s="32" t="s">
        <v>756</v>
      </c>
      <c r="Z6" s="27">
        <v>283297</v>
      </c>
    </row>
    <row r="7" spans="2:29" ht="22.35" customHeight="1">
      <c r="B7" s="28" t="s">
        <v>644</v>
      </c>
      <c r="C7" s="29" t="s">
        <v>60</v>
      </c>
      <c r="D7" s="29" t="s">
        <v>834</v>
      </c>
      <c r="E7" s="30" t="s">
        <v>767</v>
      </c>
      <c r="F7" s="31">
        <v>238936</v>
      </c>
      <c r="G7" s="32" t="s">
        <v>756</v>
      </c>
      <c r="Z7" s="27">
        <v>238936</v>
      </c>
    </row>
    <row r="8" spans="2:29" ht="22.35" customHeight="1">
      <c r="B8" s="28" t="s">
        <v>253</v>
      </c>
      <c r="C8" s="29" t="s">
        <v>12</v>
      </c>
      <c r="D8" s="29" t="s">
        <v>834</v>
      </c>
      <c r="E8" s="30" t="s">
        <v>767</v>
      </c>
      <c r="F8" s="31">
        <v>228286</v>
      </c>
      <c r="G8" s="32" t="s">
        <v>756</v>
      </c>
      <c r="Z8" s="27">
        <v>228286</v>
      </c>
    </row>
    <row r="9" spans="2:29" ht="22.35" customHeight="1">
      <c r="B9" s="28" t="s">
        <v>760</v>
      </c>
      <c r="C9" s="29" t="s">
        <v>43</v>
      </c>
      <c r="D9" s="29" t="s">
        <v>834</v>
      </c>
      <c r="E9" s="30" t="s">
        <v>767</v>
      </c>
      <c r="F9" s="31">
        <v>226122</v>
      </c>
      <c r="G9" s="32" t="s">
        <v>756</v>
      </c>
      <c r="Z9" s="27">
        <v>226122</v>
      </c>
    </row>
    <row r="10" spans="2:29" ht="22.35" customHeight="1">
      <c r="B10" s="28" t="s">
        <v>402</v>
      </c>
      <c r="C10" s="29" t="s">
        <v>667</v>
      </c>
      <c r="D10" s="29" t="s">
        <v>834</v>
      </c>
      <c r="E10" s="30" t="s">
        <v>767</v>
      </c>
      <c r="F10" s="31">
        <v>263017</v>
      </c>
      <c r="G10" s="32" t="s">
        <v>756</v>
      </c>
      <c r="Z10" s="27">
        <v>263017</v>
      </c>
    </row>
    <row r="11" spans="2:29" ht="22.35" customHeight="1">
      <c r="B11" s="28" t="s">
        <v>764</v>
      </c>
      <c r="C11" s="29" t="s">
        <v>414</v>
      </c>
      <c r="D11" s="29" t="s">
        <v>834</v>
      </c>
      <c r="E11" s="30" t="s">
        <v>767</v>
      </c>
      <c r="F11" s="31">
        <v>173995</v>
      </c>
      <c r="G11" s="32" t="s">
        <v>756</v>
      </c>
      <c r="Z11" s="27">
        <v>173995</v>
      </c>
    </row>
    <row r="12" spans="2:29" ht="22.35" customHeight="1">
      <c r="B12" s="28" t="s">
        <v>392</v>
      </c>
      <c r="C12" s="29" t="s">
        <v>307</v>
      </c>
      <c r="D12" s="29" t="s">
        <v>834</v>
      </c>
      <c r="E12" s="30" t="s">
        <v>767</v>
      </c>
      <c r="F12" s="31">
        <v>277276</v>
      </c>
      <c r="G12" s="32" t="s">
        <v>756</v>
      </c>
      <c r="Z12" s="27">
        <v>277276</v>
      </c>
    </row>
    <row r="13" spans="2:29" ht="22.35" customHeight="1">
      <c r="B13" s="28" t="s">
        <v>90</v>
      </c>
      <c r="C13" s="29" t="s">
        <v>472</v>
      </c>
      <c r="D13" s="29" t="s">
        <v>834</v>
      </c>
      <c r="E13" s="30" t="s">
        <v>767</v>
      </c>
      <c r="F13" s="31">
        <v>205028</v>
      </c>
      <c r="G13" s="32" t="s">
        <v>759</v>
      </c>
      <c r="Z13" s="27">
        <v>205028</v>
      </c>
    </row>
    <row r="14" spans="2:29" ht="22.35" customHeight="1">
      <c r="B14" s="28" t="s">
        <v>433</v>
      </c>
      <c r="C14" s="29" t="s">
        <v>172</v>
      </c>
      <c r="D14" s="29" t="s">
        <v>834</v>
      </c>
      <c r="E14" s="30" t="s">
        <v>767</v>
      </c>
      <c r="F14" s="31">
        <v>235459</v>
      </c>
      <c r="G14" s="32" t="s">
        <v>268</v>
      </c>
      <c r="Z14" s="27">
        <v>235459</v>
      </c>
    </row>
    <row r="15" spans="2:29" ht="22.35" customHeight="1">
      <c r="B15" s="28" t="s">
        <v>151</v>
      </c>
      <c r="C15" s="29" t="s">
        <v>288</v>
      </c>
      <c r="D15" s="29" t="s">
        <v>834</v>
      </c>
      <c r="E15" s="30" t="s">
        <v>767</v>
      </c>
      <c r="F15" s="31">
        <v>310884</v>
      </c>
      <c r="G15" s="32" t="s">
        <v>268</v>
      </c>
      <c r="Z15" s="27">
        <v>310884</v>
      </c>
    </row>
    <row r="16" spans="2:29" ht="22.35" customHeight="1">
      <c r="B16" s="28" t="s">
        <v>517</v>
      </c>
      <c r="C16" s="29" t="s">
        <v>70</v>
      </c>
      <c r="D16" s="29" t="s">
        <v>834</v>
      </c>
      <c r="E16" s="30" t="s">
        <v>767</v>
      </c>
      <c r="F16" s="31">
        <v>295138</v>
      </c>
      <c r="G16" s="32" t="s">
        <v>268</v>
      </c>
      <c r="Z16" s="27">
        <v>295138</v>
      </c>
    </row>
    <row r="17" spans="2:7" ht="22.35" customHeight="1">
      <c r="B17" s="28" t="s">
        <v>26</v>
      </c>
      <c r="C17" s="29" t="s">
        <v>834</v>
      </c>
      <c r="D17" s="29" t="s">
        <v>834</v>
      </c>
      <c r="E17" s="30" t="s">
        <v>834</v>
      </c>
      <c r="F17" s="31"/>
      <c r="G17" s="32" t="s">
        <v>834</v>
      </c>
    </row>
    <row r="18" spans="2:7" ht="22.35" customHeight="1">
      <c r="B18" s="28" t="s">
        <v>462</v>
      </c>
      <c r="C18" s="29" t="s">
        <v>834</v>
      </c>
      <c r="D18" s="29" t="s">
        <v>834</v>
      </c>
      <c r="E18" s="30" t="s">
        <v>834</v>
      </c>
      <c r="F18" s="31"/>
      <c r="G18" s="32" t="s">
        <v>834</v>
      </c>
    </row>
    <row r="19" spans="2:7" ht="22.35" customHeight="1">
      <c r="B19" s="28" t="s">
        <v>125</v>
      </c>
      <c r="C19" s="29" t="s">
        <v>834</v>
      </c>
      <c r="D19" s="29" t="s">
        <v>834</v>
      </c>
      <c r="E19" s="30" t="s">
        <v>834</v>
      </c>
      <c r="F19" s="31"/>
      <c r="G19" s="32" t="s">
        <v>834</v>
      </c>
    </row>
    <row r="20" spans="2:7" ht="22.35" customHeight="1">
      <c r="B20" s="28" t="s">
        <v>589</v>
      </c>
      <c r="C20" s="29" t="s">
        <v>834</v>
      </c>
      <c r="D20" s="29" t="s">
        <v>834</v>
      </c>
      <c r="E20" s="30" t="s">
        <v>834</v>
      </c>
      <c r="F20" s="31"/>
      <c r="G20" s="32" t="s">
        <v>834</v>
      </c>
    </row>
    <row r="21" spans="2:7" ht="22.35" customHeight="1">
      <c r="B21" s="28" t="s">
        <v>127</v>
      </c>
      <c r="C21" s="29" t="s">
        <v>834</v>
      </c>
      <c r="D21" s="29" t="s">
        <v>834</v>
      </c>
      <c r="E21" s="30" t="s">
        <v>834</v>
      </c>
      <c r="F21" s="31"/>
      <c r="G21" s="32" t="s">
        <v>834</v>
      </c>
    </row>
    <row r="22" spans="2:7" ht="22.35" customHeight="1">
      <c r="B22" s="28" t="s">
        <v>577</v>
      </c>
      <c r="C22" s="29" t="s">
        <v>834</v>
      </c>
      <c r="D22" s="29" t="s">
        <v>834</v>
      </c>
      <c r="E22" s="30" t="s">
        <v>834</v>
      </c>
      <c r="F22" s="31"/>
      <c r="G22" s="32" t="s">
        <v>834</v>
      </c>
    </row>
    <row r="23" spans="2:7" ht="22.35" customHeight="1">
      <c r="B23" s="28" t="s">
        <v>713</v>
      </c>
      <c r="C23" s="29" t="s">
        <v>834</v>
      </c>
      <c r="D23" s="29" t="s">
        <v>834</v>
      </c>
      <c r="E23" s="30" t="s">
        <v>834</v>
      </c>
      <c r="F23" s="31"/>
      <c r="G23" s="32" t="s">
        <v>834</v>
      </c>
    </row>
    <row r="24" spans="2:7" ht="22.35" customHeight="1">
      <c r="B24" s="28" t="s">
        <v>235</v>
      </c>
      <c r="C24" s="29" t="s">
        <v>834</v>
      </c>
      <c r="D24" s="29" t="s">
        <v>834</v>
      </c>
      <c r="E24" s="30" t="s">
        <v>834</v>
      </c>
      <c r="F24" s="31"/>
      <c r="G24" s="32" t="s">
        <v>834</v>
      </c>
    </row>
    <row r="25" spans="2:7" ht="22.35" customHeight="1">
      <c r="B25" s="28" t="s">
        <v>780</v>
      </c>
      <c r="C25" s="29" t="s">
        <v>834</v>
      </c>
      <c r="D25" s="29" t="s">
        <v>834</v>
      </c>
      <c r="E25" s="30" t="s">
        <v>834</v>
      </c>
      <c r="F25" s="31"/>
      <c r="G25" s="32" t="s">
        <v>834</v>
      </c>
    </row>
    <row r="26" spans="2:7" ht="22.35" customHeight="1">
      <c r="B26" s="28" t="s">
        <v>324</v>
      </c>
      <c r="C26" s="29" t="s">
        <v>834</v>
      </c>
      <c r="D26" s="29" t="s">
        <v>834</v>
      </c>
      <c r="E26" s="30" t="s">
        <v>834</v>
      </c>
      <c r="F26" s="31"/>
      <c r="G26" s="32" t="s">
        <v>834</v>
      </c>
    </row>
    <row r="27" spans="2:7" ht="22.35" customHeight="1">
      <c r="B27" s="28" t="s">
        <v>621</v>
      </c>
      <c r="C27" s="29" t="s">
        <v>834</v>
      </c>
      <c r="D27" s="29" t="s">
        <v>834</v>
      </c>
      <c r="E27" s="30" t="s">
        <v>834</v>
      </c>
      <c r="F27" s="31"/>
      <c r="G27" s="32" t="s">
        <v>834</v>
      </c>
    </row>
    <row r="28" spans="2:7" ht="22.35" customHeight="1">
      <c r="B28" s="28" t="s">
        <v>258</v>
      </c>
      <c r="C28" s="29" t="s">
        <v>834</v>
      </c>
      <c r="D28" s="29" t="s">
        <v>834</v>
      </c>
      <c r="E28" s="30" t="s">
        <v>834</v>
      </c>
      <c r="F28" s="31"/>
      <c r="G28" s="32" t="s">
        <v>834</v>
      </c>
    </row>
    <row r="29" spans="2:7" ht="22.35" customHeight="1">
      <c r="B29" s="28" t="s">
        <v>747</v>
      </c>
      <c r="C29" s="29" t="s">
        <v>834</v>
      </c>
      <c r="D29" s="29" t="s">
        <v>834</v>
      </c>
      <c r="E29" s="30" t="s">
        <v>834</v>
      </c>
      <c r="F29" s="31"/>
      <c r="G29" s="32" t="s">
        <v>834</v>
      </c>
    </row>
    <row r="30" spans="2:7" ht="22.35" customHeight="1">
      <c r="B30" s="28" t="s">
        <v>410</v>
      </c>
      <c r="C30" s="29" t="s">
        <v>834</v>
      </c>
      <c r="D30" s="29" t="s">
        <v>834</v>
      </c>
      <c r="E30" s="30" t="s">
        <v>834</v>
      </c>
      <c r="F30" s="31"/>
      <c r="G30" s="32" t="s">
        <v>834</v>
      </c>
    </row>
    <row r="31" spans="2:7" ht="22.35" customHeight="1">
      <c r="B31" s="28" t="s">
        <v>772</v>
      </c>
      <c r="C31" s="29" t="s">
        <v>834</v>
      </c>
      <c r="D31" s="29" t="s">
        <v>834</v>
      </c>
      <c r="E31" s="30" t="s">
        <v>834</v>
      </c>
      <c r="F31" s="31"/>
      <c r="G31" s="32" t="s">
        <v>834</v>
      </c>
    </row>
    <row r="32" spans="2:7" ht="22.35" customHeight="1">
      <c r="B32" s="28" t="s">
        <v>390</v>
      </c>
      <c r="C32" s="29" t="s">
        <v>834</v>
      </c>
      <c r="D32" s="29" t="s">
        <v>834</v>
      </c>
      <c r="E32" s="30" t="s">
        <v>834</v>
      </c>
      <c r="F32" s="31"/>
      <c r="G32" s="32" t="s">
        <v>834</v>
      </c>
    </row>
    <row r="33" spans="2:7" ht="22.35" customHeight="1">
      <c r="B33" s="33" t="s">
        <v>490</v>
      </c>
      <c r="C33" s="34" t="s">
        <v>834</v>
      </c>
      <c r="D33" s="34" t="s">
        <v>834</v>
      </c>
      <c r="E33" s="35" t="s">
        <v>834</v>
      </c>
      <c r="F33" s="22"/>
      <c r="G33" s="36" t="s">
        <v>834</v>
      </c>
    </row>
    <row r="34" spans="2:7">
      <c r="B34" s="23"/>
      <c r="C34" s="23"/>
      <c r="D34" s="23"/>
      <c r="E34" s="23"/>
      <c r="F34" s="23"/>
      <c r="G34" s="23"/>
    </row>
  </sheetData>
  <mergeCells count="1">
    <mergeCell ref="B1:G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26</vt:i4>
      </vt:variant>
    </vt:vector>
  </HeadingPairs>
  <TitlesOfParts>
    <vt:vector size="43" baseType="lpstr">
      <vt:lpstr>표지</vt:lpstr>
      <vt:lpstr>갑지(도급)</vt:lpstr>
      <vt:lpstr>원가계산서</vt:lpstr>
      <vt:lpstr>내역서총괄표(도급)</vt:lpstr>
      <vt:lpstr>도급계약내역서</vt:lpstr>
      <vt:lpstr>제경비산출서(전체)</vt:lpstr>
      <vt:lpstr>적용제경비산출서</vt:lpstr>
      <vt:lpstr>설계내역서</vt:lpstr>
      <vt:lpstr>일위대가총괄표</vt:lpstr>
      <vt:lpstr>일위대가</vt:lpstr>
      <vt:lpstr>단가산출총괄표</vt:lpstr>
      <vt:lpstr>단가산출</vt:lpstr>
      <vt:lpstr>기계경비총괄표</vt:lpstr>
      <vt:lpstr>기계경비</vt:lpstr>
      <vt:lpstr>기계경비적용기준</vt:lpstr>
      <vt:lpstr>자재단가</vt:lpstr>
      <vt:lpstr>노임단가</vt:lpstr>
      <vt:lpstr>기계경비!Print_Area</vt:lpstr>
      <vt:lpstr>기계경비총괄표!Print_Area</vt:lpstr>
      <vt:lpstr>'내역서총괄표(도급)'!Print_Area</vt:lpstr>
      <vt:lpstr>노임단가!Print_Area</vt:lpstr>
      <vt:lpstr>단가산출!Print_Area</vt:lpstr>
      <vt:lpstr>단가산출총괄표!Print_Area</vt:lpstr>
      <vt:lpstr>도급계약내역서!Print_Area</vt:lpstr>
      <vt:lpstr>설계내역서!Print_Area</vt:lpstr>
      <vt:lpstr>원가계산서!Print_Area</vt:lpstr>
      <vt:lpstr>일위대가!Print_Area</vt:lpstr>
      <vt:lpstr>일위대가총괄표!Print_Area</vt:lpstr>
      <vt:lpstr>자재단가!Print_Area</vt:lpstr>
      <vt:lpstr>적용제경비산출서!Print_Area</vt:lpstr>
      <vt:lpstr>'제경비산출서(전체)'!Print_Area</vt:lpstr>
      <vt:lpstr>기계경비!Print_Titles</vt:lpstr>
      <vt:lpstr>기계경비총괄표!Print_Titles</vt:lpstr>
      <vt:lpstr>'내역서총괄표(도급)'!Print_Titles</vt:lpstr>
      <vt:lpstr>노임단가!Print_Titles</vt:lpstr>
      <vt:lpstr>단가산출!Print_Titles</vt:lpstr>
      <vt:lpstr>단가산출총괄표!Print_Titles</vt:lpstr>
      <vt:lpstr>도급계약내역서!Print_Titles</vt:lpstr>
      <vt:lpstr>설계내역서!Print_Titles</vt:lpstr>
      <vt:lpstr>원가계산서!Print_Titles</vt:lpstr>
      <vt:lpstr>일위대가!Print_Titles</vt:lpstr>
      <vt:lpstr>일위대가총괄표!Print_Titles</vt:lpstr>
      <vt:lpstr>자재단가!Print_Titles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이규호</dc:creator>
  <cp:lastModifiedBy>Jeonghun Lee</cp:lastModifiedBy>
  <cp:lastPrinted>2026-04-02T07:51:23Z</cp:lastPrinted>
  <dcterms:created xsi:type="dcterms:W3CDTF">2026-05-22T08:26:50Z</dcterms:created>
  <dcterms:modified xsi:type="dcterms:W3CDTF">2026-05-26T00:53:16Z</dcterms:modified>
</cp:coreProperties>
</file>