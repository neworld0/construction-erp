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0F22011C-FB9A-4BB4-A9D1-41C695767C77}" xr6:coauthVersionLast="47" xr6:coauthVersionMax="47" xr10:uidLastSave="{00000000-0000-0000-0000-000000000000}"/>
  <bookViews>
    <workbookView xWindow="-120" yWindow="-120" windowWidth="29040" windowHeight="15720" tabRatio="841" firstSheet="4" activeTab="4" xr2:uid="{00000000-000D-0000-FFFF-FFFF00000000}"/>
  </bookViews>
  <sheets>
    <sheet name="청구서" sheetId="151" state="hidden" r:id="rId1"/>
    <sheet name="집계표" sheetId="152" state="hidden" r:id="rId2"/>
    <sheet name="내역서" sheetId="153" state="hidden" r:id="rId3"/>
    <sheet name="위임장" sheetId="57" state="hidden" r:id="rId4"/>
    <sheet name="4월" sheetId="194" r:id="rId5"/>
    <sheet name="각서" sheetId="154" state="hidden" r:id="rId6"/>
    <sheet name="계좌입금의뢰신고서" sheetId="155" state="hidden" r:id="rId7"/>
    <sheet name="근로계약서" sheetId="150" state="hidden" r:id="rId8"/>
  </sheets>
  <externalReferences>
    <externalReference r:id="rId9"/>
    <externalReference r:id="rId10"/>
  </externalReferences>
  <definedNames>
    <definedName name="__" hidden="1">#N/A</definedName>
    <definedName name="____Key11" hidden="1">#REF!</definedName>
    <definedName name="____key2" hidden="1">#REF!</definedName>
    <definedName name="___Key11" hidden="1">#REF!</definedName>
    <definedName name="___key2" hidden="1">#REF!</definedName>
    <definedName name="___key21" hidden="1">#REF!</definedName>
    <definedName name="__123Graph_A" hidden="1">#REF!</definedName>
    <definedName name="__123Graph_AA" hidden="1">#REF!</definedName>
    <definedName name="__123Graph_AB" hidden="1">#REF!</definedName>
    <definedName name="__123Graph_AC" hidden="1">#REF!</definedName>
    <definedName name="__123Graph_AD" hidden="1">#REF!</definedName>
    <definedName name="__123Graph_AE" hidden="1">#REF!</definedName>
    <definedName name="__123Graph_AF" hidden="1">#REF!</definedName>
    <definedName name="__123Graph_AG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A" hidden="1">#REF!</definedName>
    <definedName name="__123Graph_XB" hidden="1">#REF!</definedName>
    <definedName name="__123Graph_XC" hidden="1">#REF!</definedName>
    <definedName name="__123Graph_XD" hidden="1">#REF!</definedName>
    <definedName name="__123Graph_XE" hidden="1">#REF!</definedName>
    <definedName name="__123Graph_XF" hidden="1">#REF!</definedName>
    <definedName name="__123Graph_XG" hidden="1">#REF!</definedName>
    <definedName name="__1S" hidden="1">#REF!</definedName>
    <definedName name="__2S" hidden="1">#REF!</definedName>
    <definedName name="__a122" hidden="1">{#N/A,#N/A,FALSE,"속도"}</definedName>
    <definedName name="__IntlFixup" hidden="1">TRUE</definedName>
    <definedName name="__KD2" hidden="1">#REF!</definedName>
    <definedName name="__KD3" hidden="1">#REF!</definedName>
    <definedName name="__KE2" hidden="1">#REF!</definedName>
    <definedName name="__Key11" hidden="1">#REF!</definedName>
    <definedName name="__key2" hidden="1">#REF!</definedName>
    <definedName name="__KK2" hidden="1">#REF!</definedName>
    <definedName name="__KK3" hidden="1">#REF!</definedName>
    <definedName name="__P3" hidden="1">{#N/A,#N/A,FALSE,"배수1"}</definedName>
    <definedName name="__P4" hidden="1">{#N/A,#N/A,FALSE,"혼합골재"}</definedName>
    <definedName name="__P5" hidden="1">{#N/A,#N/A,FALSE,"배수1"}</definedName>
    <definedName name="__P6" hidden="1">{#N/A,#N/A,FALSE,"2~8번"}</definedName>
    <definedName name="__S01" hidden="1">#REF!</definedName>
    <definedName name="__S3" hidden="1">{#N/A,#N/A,FALSE,"포장2"}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___123Graph_AMOB_01" hidden="1">#REF!</definedName>
    <definedName name="_1____123Graph_AMOB_01" hidden="1">#REF!</definedName>
    <definedName name="_10_________123Graph_AMOB_01" hidden="1">#REF!</definedName>
    <definedName name="_10_________123Graph_FMOB_02" hidden="1">#REF!</definedName>
    <definedName name="_10____123Graph_FMOB_02" hidden="1">#REF!</definedName>
    <definedName name="_100______123Graph_LBL_FMOB_02" hidden="1">#REF!</definedName>
    <definedName name="_100_____123Graph_DMOB_01" hidden="1">#REF!</definedName>
    <definedName name="_101______123Graph_XMOB_01" hidden="1">#REF!</definedName>
    <definedName name="_101_____123Graph_DMOB_02" hidden="1">#REF!</definedName>
    <definedName name="_102______123Graph_XMOB_02" hidden="1">#REF!</definedName>
    <definedName name="_102_____123Graph_EMOB_02" hidden="1">#REF!</definedName>
    <definedName name="_103______³_¿ª" hidden="1">{#N/A,#N/A,FALSE,"CCTV"}</definedName>
    <definedName name="_103_____123Graph_FMOB_02" hidden="1">#REF!</definedName>
    <definedName name="_104_____123Graph_LBL_AMOB_01" hidden="1">#REF!</definedName>
    <definedName name="_105_____0_0_F" hidden="1">#REF!</definedName>
    <definedName name="_105_____123Graph_LBL_AMOB_02" hidden="1">#REF!</definedName>
    <definedName name="_106_____123Graph_AMOB_01" hidden="1">#REF!</definedName>
    <definedName name="_106_____123Graph_LBL_BMOB_01" hidden="1">#REF!</definedName>
    <definedName name="_107_____123Graph_AMOB_02" hidden="1">#REF!</definedName>
    <definedName name="_107_____123Graph_LBL_BMOB_02" hidden="1">#REF!</definedName>
    <definedName name="_108_____123Graph_BMOB_01" hidden="1">#REF!</definedName>
    <definedName name="_108_____123Graph_LBL_CMOB_01" hidden="1">#REF!</definedName>
    <definedName name="_109_____123Graph_BMOB_02" hidden="1">#REF!</definedName>
    <definedName name="_109_____123Graph_LBL_CMOB_02" hidden="1">#REF!</definedName>
    <definedName name="_10S3_" hidden="1">{#N/A,#N/A,FALSE,"포장2"}</definedName>
    <definedName name="_11_________123Graph_AMOB_02" hidden="1">#REF!</definedName>
    <definedName name="_11_________123Graph_LBL_AMOB_01" hidden="1">#REF!</definedName>
    <definedName name="_11____123Graph_LBL_AMOB_01" hidden="1">#REF!</definedName>
    <definedName name="_110_____123Graph_CMOB_01" hidden="1">#REF!</definedName>
    <definedName name="_110_____123Graph_LBL_DMOB_01" hidden="1">#REF!</definedName>
    <definedName name="_111_____123Graph_CMOB_02" hidden="1">#REF!</definedName>
    <definedName name="_111_____123Graph_LBL_DMOB_02" hidden="1">#REF!</definedName>
    <definedName name="_112_____123Graph_DMOB_01" hidden="1">#REF!</definedName>
    <definedName name="_112_____123Graph_LBL_EMOB_02" hidden="1">#REF!</definedName>
    <definedName name="_113_____123Graph_DMOB_02" hidden="1">#REF!</definedName>
    <definedName name="_113_____123Graph_LBL_FMOB_02" hidden="1">#REF!</definedName>
    <definedName name="_114_____123Graph_EMOB_02" hidden="1">#REF!</definedName>
    <definedName name="_114_____123Graph_XMOB_01" hidden="1">#REF!</definedName>
    <definedName name="_115_____123Graph_FMOB_02" hidden="1">#REF!</definedName>
    <definedName name="_115_____123Graph_XMOB_02" hidden="1">#REF!</definedName>
    <definedName name="_116_____123Graph_LBL_AMOB_01" hidden="1">#REF!</definedName>
    <definedName name="_116_____³_¿ª" hidden="1">{#N/A,#N/A,FALSE,"CCTV"}</definedName>
    <definedName name="_117_____123Graph_LBL_AMOB_02" hidden="1">#REF!</definedName>
    <definedName name="_117____0_0_F" hidden="1">#REF!</definedName>
    <definedName name="_118_____123Graph_LBL_BMOB_01" hidden="1">#REF!</definedName>
    <definedName name="_118____³_¿ª" hidden="1">{#N/A,#N/A,FALSE,"CCTV"}</definedName>
    <definedName name="_119_____123Graph_LBL_BMOB_02" hidden="1">#REF!</definedName>
    <definedName name="_119___³_¿ª" hidden="1">{#N/A,#N/A,FALSE,"CCTV"}</definedName>
    <definedName name="_12_________123Graph_BMOB_01" hidden="1">#REF!</definedName>
    <definedName name="_12_________123Graph_LBL_AMOB_02" hidden="1">#REF!</definedName>
    <definedName name="_12____123Graph_LBL_AMOB_02" hidden="1">#REF!</definedName>
    <definedName name="_120_____123Graph_LBL_CMOB_01" hidden="1">#REF!</definedName>
    <definedName name="_120_0_0_F" hidden="1">#REF!</definedName>
    <definedName name="_121_____123Graph_LBL_CMOB_02" hidden="1">#REF!</definedName>
    <definedName name="_122_____123Graph_LBL_DMOB_01" hidden="1">#REF!</definedName>
    <definedName name="_123_____123Graph_LBL_DMOB_02" hidden="1">#REF!</definedName>
    <definedName name="_124_____123Graph_LBL_EMOB_02" hidden="1">#REF!</definedName>
    <definedName name="_125_____123Graph_LBL_FMOB_02" hidden="1">#REF!</definedName>
    <definedName name="_126_____123Graph_XMOB_01" hidden="1">#REF!</definedName>
    <definedName name="_127_____123Graph_XMOB_02" hidden="1">#REF!</definedName>
    <definedName name="_128_____³_¿ª" hidden="1">{#N/A,#N/A,FALSE,"CCTV"}</definedName>
    <definedName name="_13_________123Graph_BMOB_02" hidden="1">#REF!</definedName>
    <definedName name="_13_________123Graph_LBL_BMOB_01" hidden="1">#REF!</definedName>
    <definedName name="_13____123Graph_LBL_BMOB_01" hidden="1">#REF!</definedName>
    <definedName name="_130____0_0_F" hidden="1">#REF!</definedName>
    <definedName name="_131____³_¿ª" hidden="1">{#N/A,#N/A,FALSE,"CCTV"}</definedName>
    <definedName name="_132___³_¿ª" hidden="1">{#N/A,#N/A,FALSE,"CCTV"}</definedName>
    <definedName name="_134_0_0_F" hidden="1">#REF!</definedName>
    <definedName name="_14_________123Graph_CMOB_01" hidden="1">#REF!</definedName>
    <definedName name="_14_________123Graph_LBL_BMOB_02" hidden="1">#REF!</definedName>
    <definedName name="_14____123Graph_LBL_BMOB_02" hidden="1">#REF!</definedName>
    <definedName name="_15_________123Graph_CMOB_02" hidden="1">#REF!</definedName>
    <definedName name="_15_________123Graph_LBL_CMOB_01" hidden="1">#REF!</definedName>
    <definedName name="_15____123Graph_LBL_CMOB_01" hidden="1">#REF!</definedName>
    <definedName name="_158_0_0_F" hidden="1">#REF!</definedName>
    <definedName name="_16_________123Graph_DMOB_01" hidden="1">#REF!</definedName>
    <definedName name="_16_________123Graph_LBL_CMOB_02" hidden="1">#REF!</definedName>
    <definedName name="_16____123Graph_LBL_CMOB_02" hidden="1">#REF!</definedName>
    <definedName name="_17_________123Graph_DMOB_02" hidden="1">#REF!</definedName>
    <definedName name="_17_________123Graph_LBL_DMOB_01" hidden="1">#REF!</definedName>
    <definedName name="_17____123Graph_LBL_DMOB_01" hidden="1">#REF!</definedName>
    <definedName name="_18_________123Graph_EMOB_02" hidden="1">#REF!</definedName>
    <definedName name="_18_________123Graph_LBL_DMOB_02" hidden="1">#REF!</definedName>
    <definedName name="_18____123Graph_LBL_DMOB_02" hidden="1">#REF!</definedName>
    <definedName name="_19_________123Graph_FMOB_02" hidden="1">#REF!</definedName>
    <definedName name="_19_________123Graph_LBL_EMOB_02" hidden="1">#REF!</definedName>
    <definedName name="_19____123Graph_LBL_EMOB_02" hidden="1">#REF!</definedName>
    <definedName name="_1F" hidden="1">#REF!</definedName>
    <definedName name="_1S" hidden="1">#N/A</definedName>
    <definedName name="_2_________123Graph_AMOB_02" hidden="1">#REF!</definedName>
    <definedName name="_2____123Graph_AMOB_02" hidden="1">#REF!</definedName>
    <definedName name="_2_0_F" hidden="1">#REF!</definedName>
    <definedName name="_20_________123Graph_LBL_AMOB_01" hidden="1">#REF!</definedName>
    <definedName name="_20_________123Graph_LBL_FMOB_02" hidden="1">#REF!</definedName>
    <definedName name="_20____123Graph_LBL_FMOB_02" hidden="1">#REF!</definedName>
    <definedName name="_21_________123Graph_LBL_AMOB_02" hidden="1">#REF!</definedName>
    <definedName name="_21_________123Graph_XMOB_01" hidden="1">#REF!</definedName>
    <definedName name="_21____123Graph_XMOB_01" hidden="1">#REF!</definedName>
    <definedName name="_22_________123Graph_LBL_BMOB_01" hidden="1">#REF!</definedName>
    <definedName name="_22_________123Graph_XMOB_02" hidden="1">#REF!</definedName>
    <definedName name="_22____123Graph_XMOB_02" hidden="1">#REF!</definedName>
    <definedName name="_23_________123Graph_LBL_BMOB_02" hidden="1">#REF!</definedName>
    <definedName name="_23________0_0_F" hidden="1">#REF!</definedName>
    <definedName name="_23a122_" hidden="1">{#N/A,#N/A,FALSE,"속도"}</definedName>
    <definedName name="_24_________123Graph_LBL_CMOB_01" hidden="1">#REF!</definedName>
    <definedName name="_24________123Graph_AMOB_01" hidden="1">#REF!</definedName>
    <definedName name="_24___123Graph_AMOB_01" hidden="1">#REF!</definedName>
    <definedName name="_25_________123Graph_LBL_CMOB_02" hidden="1">#REF!</definedName>
    <definedName name="_25________123Graph_AMOB_02" hidden="1">#REF!</definedName>
    <definedName name="_25___123Graph_AMOB_01" hidden="1">#REF!</definedName>
    <definedName name="_25___123Graph_AMOB_02" hidden="1">#REF!</definedName>
    <definedName name="_26_________123Graph_LBL_DMOB_01" hidden="1">#REF!</definedName>
    <definedName name="_26________123Graph_BMOB_01" hidden="1">#REF!</definedName>
    <definedName name="_26___123Graph_AMOB_02" hidden="1">#REF!</definedName>
    <definedName name="_26___123Graph_BMOB_01" hidden="1">#REF!</definedName>
    <definedName name="_27_________123Graph_LBL_DMOB_02" hidden="1">#REF!</definedName>
    <definedName name="_27________123Graph_BMOB_02" hidden="1">#REF!</definedName>
    <definedName name="_27___123Graph_BMOB_01" hidden="1">#REF!</definedName>
    <definedName name="_27___123Graph_BMOB_02" hidden="1">#REF!</definedName>
    <definedName name="_28_________123Graph_LBL_EMOB_02" hidden="1">#REF!</definedName>
    <definedName name="_28________123Graph_CMOB_01" hidden="1">#REF!</definedName>
    <definedName name="_28___123Graph_BMOB_02" hidden="1">#REF!</definedName>
    <definedName name="_28___123Graph_CMOB_01" hidden="1">#REF!</definedName>
    <definedName name="_29_________123Graph_LBL_FMOB_02" hidden="1">#REF!</definedName>
    <definedName name="_29________123Graph_CMOB_02" hidden="1">#REF!</definedName>
    <definedName name="_29___123Graph_CMOB_01" hidden="1">#REF!</definedName>
    <definedName name="_29___123Graph_CMOB_02" hidden="1">#REF!</definedName>
    <definedName name="_2P3_" hidden="1">{#N/A,#N/A,FALSE,"배수1"}</definedName>
    <definedName name="_2S" hidden="1">#N/A</definedName>
    <definedName name="_3_________123Graph_BMOB_01" hidden="1">#REF!</definedName>
    <definedName name="_3____123Graph_BMOB_01" hidden="1">#REF!</definedName>
    <definedName name="_30_________123Graph_XMOB_01" hidden="1">#REF!</definedName>
    <definedName name="_30________123Graph_DMOB_01" hidden="1">#REF!</definedName>
    <definedName name="_30___123Graph_CMOB_02" hidden="1">#REF!</definedName>
    <definedName name="_30___123Graph_DMOB_01" hidden="1">#REF!</definedName>
    <definedName name="_31_________123Graph_XMOB_02" hidden="1">#REF!</definedName>
    <definedName name="_31________123Graph_DMOB_02" hidden="1">#REF!</definedName>
    <definedName name="_31___123Graph_DMOB_01" hidden="1">#REF!</definedName>
    <definedName name="_31___123Graph_DMOB_02" hidden="1">#REF!</definedName>
    <definedName name="_32________123Graph_EMOB_02" hidden="1">#REF!</definedName>
    <definedName name="_32___123Graph_DMOB_02" hidden="1">#REF!</definedName>
    <definedName name="_32___123Graph_EMOB_02" hidden="1">#REF!</definedName>
    <definedName name="_33________0_0_F" hidden="1">#REF!</definedName>
    <definedName name="_33________123Graph_FMOB_02" hidden="1">#REF!</definedName>
    <definedName name="_33___123Graph_EMOB_02" hidden="1">#REF!</definedName>
    <definedName name="_33___123Graph_FMOB_02" hidden="1">#REF!</definedName>
    <definedName name="_34________123Graph_AMOB_01" hidden="1">#REF!</definedName>
    <definedName name="_34________123Graph_LBL_AMOB_01" hidden="1">#REF!</definedName>
    <definedName name="_34___123Graph_FMOB_02" hidden="1">#REF!</definedName>
    <definedName name="_34___123Graph_LBL_AMOB_01" hidden="1">#REF!</definedName>
    <definedName name="_35________123Graph_AMOB_02" hidden="1">#REF!</definedName>
    <definedName name="_35________123Graph_LBL_AMOB_02" hidden="1">#REF!</definedName>
    <definedName name="_35___123Graph_LBL_AMOB_01" hidden="1">#REF!</definedName>
    <definedName name="_35___123Graph_LBL_AMOB_02" hidden="1">#REF!</definedName>
    <definedName name="_36________123Graph_BMOB_01" hidden="1">#REF!</definedName>
    <definedName name="_36________123Graph_LBL_BMOB_01" hidden="1">#REF!</definedName>
    <definedName name="_36___123Graph_LBL_AMOB_02" hidden="1">#REF!</definedName>
    <definedName name="_36___123Graph_LBL_BMOB_01" hidden="1">#REF!</definedName>
    <definedName name="_37________123Graph_BMOB_02" hidden="1">#REF!</definedName>
    <definedName name="_37________123Graph_LBL_BMOB_02" hidden="1">#REF!</definedName>
    <definedName name="_37___123Graph_LBL_BMOB_01" hidden="1">#REF!</definedName>
    <definedName name="_37___123Graph_LBL_BMOB_02" hidden="1">#REF!</definedName>
    <definedName name="_38________123Graph_CMOB_01" hidden="1">#REF!</definedName>
    <definedName name="_38________123Graph_LBL_CMOB_01" hidden="1">#REF!</definedName>
    <definedName name="_38___123Graph_LBL_BMOB_02" hidden="1">#REF!</definedName>
    <definedName name="_38___123Graph_LBL_CMOB_01" hidden="1">#REF!</definedName>
    <definedName name="_39________123Graph_CMOB_02" hidden="1">#REF!</definedName>
    <definedName name="_39________123Graph_LBL_CMOB_02" hidden="1">#REF!</definedName>
    <definedName name="_39___123Graph_LBL_CMOB_01" hidden="1">#REF!</definedName>
    <definedName name="_39___123Graph_LBL_CMOB_02" hidden="1">#REF!</definedName>
    <definedName name="_4_________123Graph_BMOB_02" hidden="1">#REF!</definedName>
    <definedName name="_4____123Graph_BMOB_02" hidden="1">#REF!</definedName>
    <definedName name="_4_0_S" hidden="1">#N/A</definedName>
    <definedName name="_40________123Graph_DMOB_01" hidden="1">#REF!</definedName>
    <definedName name="_40________123Graph_LBL_DMOB_01" hidden="1">#REF!</definedName>
    <definedName name="_40___123Graph_LBL_CMOB_02" hidden="1">#REF!</definedName>
    <definedName name="_40___123Graph_LBL_DMOB_01" hidden="1">#REF!</definedName>
    <definedName name="_41________123Graph_DMOB_02" hidden="1">#REF!</definedName>
    <definedName name="_41________123Graph_LBL_DMOB_02" hidden="1">#REF!</definedName>
    <definedName name="_41___123Graph_LBL_DMOB_01" hidden="1">#REF!</definedName>
    <definedName name="_41___123Graph_LBL_DMOB_02" hidden="1">#REF!</definedName>
    <definedName name="_42________123Graph_EMOB_02" hidden="1">#REF!</definedName>
    <definedName name="_42________123Graph_LBL_EMOB_02" hidden="1">#REF!</definedName>
    <definedName name="_42___123Graph_LBL_DMOB_02" hidden="1">#REF!</definedName>
    <definedName name="_42___123Graph_LBL_EMOB_02" hidden="1">#REF!</definedName>
    <definedName name="_43________123Graph_FMOB_02" hidden="1">#REF!</definedName>
    <definedName name="_43________123Graph_LBL_FMOB_02" hidden="1">#REF!</definedName>
    <definedName name="_43___123Graph_LBL_EMOB_02" hidden="1">#REF!</definedName>
    <definedName name="_43___123Graph_LBL_FMOB_02" hidden="1">#REF!</definedName>
    <definedName name="_44________123Graph_LBL_AMOB_01" hidden="1">#REF!</definedName>
    <definedName name="_44________123Graph_XMOB_01" hidden="1">#REF!</definedName>
    <definedName name="_44___123Graph_LBL_FMOB_02" hidden="1">#REF!</definedName>
    <definedName name="_44___123Graph_XMOB_01" hidden="1">#REF!</definedName>
    <definedName name="_45________123Graph_LBL_AMOB_02" hidden="1">#REF!</definedName>
    <definedName name="_45________123Graph_XMOB_02" hidden="1">#REF!</definedName>
    <definedName name="_45___123Graph_XMOB_01" hidden="1">#REF!</definedName>
    <definedName name="_45___123Graph_XMOB_02" hidden="1">#REF!</definedName>
    <definedName name="_46________123Graph_LBL_BMOB_01" hidden="1">#REF!</definedName>
    <definedName name="_46_______0_0_F" hidden="1">#REF!</definedName>
    <definedName name="_46___123Graph_XMOB_02" hidden="1">#REF!</definedName>
    <definedName name="_47________123Graph_LBL_BMOB_02" hidden="1">#REF!</definedName>
    <definedName name="_47_______123Graph_AMOB_01" hidden="1">#REF!</definedName>
    <definedName name="_47__123Graph_AMOB_01" hidden="1">#REF!</definedName>
    <definedName name="_48________123Graph_LBL_CMOB_01" hidden="1">#REF!</definedName>
    <definedName name="_48_______123Graph_AMOB_02" hidden="1">#REF!</definedName>
    <definedName name="_48__123Graph_AMOB_02" hidden="1">#REF!</definedName>
    <definedName name="_49________123Graph_LBL_CMOB_02" hidden="1">#REF!</definedName>
    <definedName name="_49_______123Graph_BMOB_01" hidden="1">#REF!</definedName>
    <definedName name="_49__123Graph_AMOB_01" hidden="1">#REF!</definedName>
    <definedName name="_49__123Graph_BMOB_01" hidden="1">#REF!</definedName>
    <definedName name="_4P4_" hidden="1">{#N/A,#N/A,FALSE,"혼합골재"}</definedName>
    <definedName name="_5_________123Graph_CMOB_01" hidden="1">#REF!</definedName>
    <definedName name="_5____123Graph_CMOB_01" hidden="1">#REF!</definedName>
    <definedName name="_50________123Graph_LBL_DMOB_01" hidden="1">#REF!</definedName>
    <definedName name="_50_______123Graph_BMOB_02" hidden="1">#REF!</definedName>
    <definedName name="_50__123Graph_AMOB_02" hidden="1">#REF!</definedName>
    <definedName name="_50__123Graph_BMOB_02" hidden="1">#REF!</definedName>
    <definedName name="_51________123Graph_LBL_DMOB_02" hidden="1">#REF!</definedName>
    <definedName name="_51_______123Graph_CMOB_01" hidden="1">#REF!</definedName>
    <definedName name="_51__123Graph_BMOB_01" hidden="1">#REF!</definedName>
    <definedName name="_51__123Graph_CMOB_01" hidden="1">#REF!</definedName>
    <definedName name="_52________123Graph_LBL_EMOB_02" hidden="1">#REF!</definedName>
    <definedName name="_52_______123Graph_CMOB_02" hidden="1">#REF!</definedName>
    <definedName name="_52__123Graph_BMOB_02" hidden="1">#REF!</definedName>
    <definedName name="_52__123Graph_CMOB_02" hidden="1">#REF!</definedName>
    <definedName name="_53________123Graph_LBL_FMOB_02" hidden="1">#REF!</definedName>
    <definedName name="_53_______123Graph_DMOB_01" hidden="1">#REF!</definedName>
    <definedName name="_53__123Graph_CMOB_01" hidden="1">#REF!</definedName>
    <definedName name="_53__123Graph_DMOB_01" hidden="1">#REF!</definedName>
    <definedName name="_54________123Graph_XMOB_01" hidden="1">#REF!</definedName>
    <definedName name="_54_______123Graph_DMOB_02" hidden="1">#REF!</definedName>
    <definedName name="_54__123Graph_CMOB_02" hidden="1">#REF!</definedName>
    <definedName name="_54__123Graph_DMOB_02" hidden="1">#REF!</definedName>
    <definedName name="_55________123Graph_XMOB_02" hidden="1">#REF!</definedName>
    <definedName name="_55_______123Graph_EMOB_02" hidden="1">#REF!</definedName>
    <definedName name="_55__123Graph_DMOB_01" hidden="1">#REF!</definedName>
    <definedName name="_55__123Graph_EMOB_02" hidden="1">#REF!</definedName>
    <definedName name="_56_______123Graph_FMOB_02" hidden="1">#REF!</definedName>
    <definedName name="_56__123Graph_DMOB_02" hidden="1">#REF!</definedName>
    <definedName name="_56__123Graph_FMOB_02" hidden="1">#REF!</definedName>
    <definedName name="_57_______0_0_F" hidden="1">#REF!</definedName>
    <definedName name="_57_______123Graph_LBL_AMOB_01" hidden="1">#REF!</definedName>
    <definedName name="_57__123Graph_EMOB_02" hidden="1">#REF!</definedName>
    <definedName name="_57__123Graph_LBL_AMOB_01" hidden="1">#REF!</definedName>
    <definedName name="_58_______123Graph_AMOB_01" hidden="1">#REF!</definedName>
    <definedName name="_58_______123Graph_LBL_AMOB_02" hidden="1">#REF!</definedName>
    <definedName name="_58__123Graph_FMOB_02" hidden="1">#REF!</definedName>
    <definedName name="_58__123Graph_LBL_AMOB_02" hidden="1">#REF!</definedName>
    <definedName name="_59_______123Graph_AMOB_02" hidden="1">#REF!</definedName>
    <definedName name="_59_______123Graph_LBL_BMOB_01" hidden="1">#REF!</definedName>
    <definedName name="_59__123Graph_LBL_AMOB_01" hidden="1">#REF!</definedName>
    <definedName name="_59__123Graph_LBL_BMOB_01" hidden="1">#REF!</definedName>
    <definedName name="_6_________123Graph_CMOB_02" hidden="1">#REF!</definedName>
    <definedName name="_6____123Graph_CMOB_02" hidden="1">#REF!</definedName>
    <definedName name="_6_0_0_S" hidden="1">#N/A</definedName>
    <definedName name="_60_______123Graph_BMOB_01" hidden="1">#REF!</definedName>
    <definedName name="_60_______123Graph_LBL_BMOB_02" hidden="1">#REF!</definedName>
    <definedName name="_60__123Graph_LBL_AMOB_02" hidden="1">#REF!</definedName>
    <definedName name="_60__123Graph_LBL_BMOB_02" hidden="1">#REF!</definedName>
    <definedName name="_61_______123Graph_BMOB_02" hidden="1">#REF!</definedName>
    <definedName name="_61_______123Graph_LBL_CMOB_01" hidden="1">#REF!</definedName>
    <definedName name="_61__123Graph_LBL_BMOB_01" hidden="1">#REF!</definedName>
    <definedName name="_61__123Graph_LBL_CMOB_01" hidden="1">#REF!</definedName>
    <definedName name="_62_______123Graph_CMOB_01" hidden="1">#REF!</definedName>
    <definedName name="_62_______123Graph_LBL_CMOB_02" hidden="1">#REF!</definedName>
    <definedName name="_62__123Graph_LBL_BMOB_02" hidden="1">#REF!</definedName>
    <definedName name="_62__123Graph_LBL_CMOB_02" hidden="1">#REF!</definedName>
    <definedName name="_63_______123Graph_CMOB_02" hidden="1">#REF!</definedName>
    <definedName name="_63_______123Graph_LBL_DMOB_01" hidden="1">#REF!</definedName>
    <definedName name="_63__123Graph_LBL_CMOB_01" hidden="1">#REF!</definedName>
    <definedName name="_63__123Graph_LBL_DMOB_01" hidden="1">#REF!</definedName>
    <definedName name="_64_______123Graph_DMOB_01" hidden="1">#REF!</definedName>
    <definedName name="_64_______123Graph_LBL_DMOB_02" hidden="1">#REF!</definedName>
    <definedName name="_64__123Graph_LBL_CMOB_02" hidden="1">#REF!</definedName>
    <definedName name="_64__123Graph_LBL_DMOB_02" hidden="1">#REF!</definedName>
    <definedName name="_65_______123Graph_DMOB_02" hidden="1">#REF!</definedName>
    <definedName name="_65_______123Graph_LBL_EMOB_02" hidden="1">#REF!</definedName>
    <definedName name="_65__123Graph_LBL_DMOB_01" hidden="1">#REF!</definedName>
    <definedName name="_65__123Graph_LBL_EMOB_02" hidden="1">#REF!</definedName>
    <definedName name="_66_______123Graph_EMOB_02" hidden="1">#REF!</definedName>
    <definedName name="_66_______123Graph_LBL_FMOB_02" hidden="1">#REF!</definedName>
    <definedName name="_66__123Graph_LBL_DMOB_02" hidden="1">#REF!</definedName>
    <definedName name="_66__123Graph_LBL_FMOB_02" hidden="1">#REF!</definedName>
    <definedName name="_67_______123Graph_FMOB_02" hidden="1">#REF!</definedName>
    <definedName name="_67_______123Graph_XMOB_01" hidden="1">#REF!</definedName>
    <definedName name="_67__123Graph_LBL_EMOB_02" hidden="1">#REF!</definedName>
    <definedName name="_67__123Graph_XMOB_01" hidden="1">#REF!</definedName>
    <definedName name="_68_______123Graph_LBL_AMOB_01" hidden="1">#REF!</definedName>
    <definedName name="_68_______123Graph_XMOB_02" hidden="1">#REF!</definedName>
    <definedName name="_68__123Graph_LBL_FMOB_02" hidden="1">#REF!</definedName>
    <definedName name="_68__123Graph_XMOB_02" hidden="1">#REF!</definedName>
    <definedName name="_69_______123Graph_LBL_AMOB_02" hidden="1">#REF!</definedName>
    <definedName name="_69_______³_¿ª" hidden="1">{#N/A,#N/A,FALSE,"CCTV"}</definedName>
    <definedName name="_69__123Graph_XMOB_01" hidden="1">#REF!</definedName>
    <definedName name="_6P5_" hidden="1">{#N/A,#N/A,FALSE,"배수1"}</definedName>
    <definedName name="_6S" hidden="1">#REF!</definedName>
    <definedName name="_7_________123Graph_DMOB_01" hidden="1">#REF!</definedName>
    <definedName name="_7____123Graph_DMOB_01" hidden="1">#REF!</definedName>
    <definedName name="_70_______123Graph_LBL_BMOB_01" hidden="1">#REF!</definedName>
    <definedName name="_70______123Graph_AMOB_01" hidden="1">#REF!</definedName>
    <definedName name="_70__123Graph_XMOB_02" hidden="1">#REF!</definedName>
    <definedName name="_70__³_¿ª" hidden="1">{#N/A,#N/A,FALSE,"CCTV"}</definedName>
    <definedName name="_71_______123Graph_LBL_BMOB_02" hidden="1">#REF!</definedName>
    <definedName name="_71______123Graph_AMOB_02" hidden="1">#REF!</definedName>
    <definedName name="_71__³_¿ª" hidden="1">{#N/A,#N/A,FALSE,"CCTV"}</definedName>
    <definedName name="_72_______123Graph_LBL_CMOB_01" hidden="1">#REF!</definedName>
    <definedName name="_72______123Graph_BMOB_01" hidden="1">#REF!</definedName>
    <definedName name="_72_³_¿ª" hidden="1">{#N/A,#N/A,FALSE,"CCTV"}</definedName>
    <definedName name="_73_______123Graph_LBL_CMOB_02" hidden="1">#REF!</definedName>
    <definedName name="_73______123Graph_BMOB_02" hidden="1">#REF!</definedName>
    <definedName name="_73__³_¿ª" hidden="1">{#N/A,#N/A,FALSE,"CCTV"}</definedName>
    <definedName name="_74_______123Graph_LBL_DMOB_01" hidden="1">#REF!</definedName>
    <definedName name="_74______123Graph_CMOB_01" hidden="1">#REF!</definedName>
    <definedName name="_74_³_¿ª" hidden="1">{#N/A,#N/A,FALSE,"CCTV"}</definedName>
    <definedName name="_74³_¿ª" hidden="1">{#N/A,#N/A,FALSE,"CCTV"}</definedName>
    <definedName name="_75_______123Graph_LBL_DMOB_02" hidden="1">#REF!</definedName>
    <definedName name="_75______123Graph_CMOB_02" hidden="1">#REF!</definedName>
    <definedName name="_76_______123Graph_LBL_EMOB_02" hidden="1">#REF!</definedName>
    <definedName name="_76______123Graph_DMOB_01" hidden="1">#REF!</definedName>
    <definedName name="_76_³_¿ª" hidden="1">{#N/A,#N/A,FALSE,"CCTV"}</definedName>
    <definedName name="_77_______123Graph_LBL_FMOB_02" hidden="1">#REF!</definedName>
    <definedName name="_77______123Graph_DMOB_02" hidden="1">#REF!</definedName>
    <definedName name="_77³_¿ª" hidden="1">{#N/A,#N/A,FALSE,"CCTV"}</definedName>
    <definedName name="_78_______123Graph_XMOB_01" hidden="1">#REF!</definedName>
    <definedName name="_78______123Graph_EMOB_02" hidden="1">#REF!</definedName>
    <definedName name="_79_______123Graph_XMOB_02" hidden="1">#REF!</definedName>
    <definedName name="_79______123Graph_FMOB_02" hidden="1">#REF!</definedName>
    <definedName name="_8_________123Graph_DMOB_02" hidden="1">#REF!</definedName>
    <definedName name="_8____123Graph_DMOB_02" hidden="1">#REF!</definedName>
    <definedName name="_8_0_S" hidden="1">#REF!</definedName>
    <definedName name="_8_2___Parse" hidden="1">#REF!</definedName>
    <definedName name="_80_______³_¿ª" hidden="1">{#N/A,#N/A,FALSE,"CCTV"}</definedName>
    <definedName name="_80______123Graph_LBL_AMOB_01" hidden="1">#REF!</definedName>
    <definedName name="_80³_¿ª" hidden="1">{#N/A,#N/A,FALSE,"CCTV"}</definedName>
    <definedName name="_81______123Graph_AMOB_01" hidden="1">#REF!</definedName>
    <definedName name="_81______123Graph_LBL_AMOB_02" hidden="1">#REF!</definedName>
    <definedName name="_81³_¿ª" hidden="1">{#N/A,#N/A,FALSE,"CCTV"}</definedName>
    <definedName name="_82______123Graph_AMOB_02" hidden="1">#REF!</definedName>
    <definedName name="_82______123Graph_LBL_BMOB_01" hidden="1">#REF!</definedName>
    <definedName name="_83______123Graph_BMOB_01" hidden="1">#REF!</definedName>
    <definedName name="_83______123Graph_LBL_BMOB_02" hidden="1">#REF!</definedName>
    <definedName name="_84______123Graph_BMOB_02" hidden="1">#REF!</definedName>
    <definedName name="_84______123Graph_LBL_CMOB_01" hidden="1">#REF!</definedName>
    <definedName name="_85______123Graph_CMOB_01" hidden="1">#REF!</definedName>
    <definedName name="_85______123Graph_LBL_CMOB_02" hidden="1">#REF!</definedName>
    <definedName name="_86______123Graph_CMOB_02" hidden="1">#REF!</definedName>
    <definedName name="_86______123Graph_LBL_DMOB_01" hidden="1">#REF!</definedName>
    <definedName name="_87______123Graph_DMOB_01" hidden="1">#REF!</definedName>
    <definedName name="_87______123Graph_LBL_DMOB_02" hidden="1">#REF!</definedName>
    <definedName name="_88______123Graph_DMOB_02" hidden="1">#REF!</definedName>
    <definedName name="_88______123Graph_LBL_EMOB_02" hidden="1">#REF!</definedName>
    <definedName name="_89______123Graph_EMOB_02" hidden="1">#REF!</definedName>
    <definedName name="_89______123Graph_LBL_FMOB_02" hidden="1">#REF!</definedName>
    <definedName name="_8P6_" hidden="1">{#N/A,#N/A,FALSE,"2~8번"}</definedName>
    <definedName name="_9_________123Graph_EMOB_02" hidden="1">#REF!</definedName>
    <definedName name="_9____123Graph_EMOB_02" hidden="1">#REF!</definedName>
    <definedName name="_9_2_0_Parse" hidden="1">#REF!</definedName>
    <definedName name="_90______123Graph_FMOB_02" hidden="1">#REF!</definedName>
    <definedName name="_90______123Graph_XMOB_01" hidden="1">#REF!</definedName>
    <definedName name="_91______123Graph_LBL_AMOB_01" hidden="1">#REF!</definedName>
    <definedName name="_91______123Graph_XMOB_02" hidden="1">#REF!</definedName>
    <definedName name="_92______123Graph_LBL_AMOB_02" hidden="1">#REF!</definedName>
    <definedName name="_92______³_¿ª" hidden="1">{#N/A,#N/A,FALSE,"CCTV"}</definedName>
    <definedName name="_93______123Graph_LBL_BMOB_01" hidden="1">#REF!</definedName>
    <definedName name="_93_____0_0_F" hidden="1">#REF!</definedName>
    <definedName name="_94______123Graph_LBL_BMOB_02" hidden="1">#REF!</definedName>
    <definedName name="_94_____123Graph_AMOB_01" hidden="1">#REF!</definedName>
    <definedName name="_95______123Graph_LBL_CMOB_01" hidden="1">#REF!</definedName>
    <definedName name="_95_____123Graph_AMOB_02" hidden="1">#REF!</definedName>
    <definedName name="_96______123Graph_LBL_CMOB_02" hidden="1">#REF!</definedName>
    <definedName name="_96_____123Graph_BMOB_01" hidden="1">#REF!</definedName>
    <definedName name="_97______123Graph_LBL_DMOB_01" hidden="1">#REF!</definedName>
    <definedName name="_97_____123Graph_BMOB_02" hidden="1">#REF!</definedName>
    <definedName name="_98______123Graph_LBL_DMOB_02" hidden="1">#REF!</definedName>
    <definedName name="_98_____123Graph_CMOB_01" hidden="1">#REF!</definedName>
    <definedName name="_99______123Graph_LBL_EMOB_02" hidden="1">#REF!</definedName>
    <definedName name="_99_____123Graph_CMOB_02" hidden="1">#REF!</definedName>
    <definedName name="_a122" hidden="1">{#N/A,#N/A,FALSE,"속도"}</definedName>
    <definedName name="_Dist_Bin" hidden="1">#REF!</definedName>
    <definedName name="_Dist_Values" hidden="1">#REF!</definedName>
    <definedName name="_EE1" hidden="1">{#N/A,#N/A,FALSE,"단가표지"}</definedName>
    <definedName name="_Fill" hidden="1">#REF!</definedName>
    <definedName name="_xlnm._FilterDatabase" hidden="1">#REF!</definedName>
    <definedName name="_ggg1" hidden="1">{#N/A,#N/A,FALSE,"갑지";#N/A,#N/A,FALSE,"개요";#N/A,#N/A,FALSE,"비목별";#N/A,#N/A,FALSE,"건물별";#N/A,#N/A,FALSE,"기구표";#N/A,#N/A,FALSE,"직원투입"}</definedName>
    <definedName name="_KD2" hidden="1">#REF!</definedName>
    <definedName name="_KD3" hidden="1">#REF!</definedName>
    <definedName name="_KE2" hidden="1">#REF!</definedName>
    <definedName name="_Key1" hidden="1">#REF!</definedName>
    <definedName name="_key10" hidden="1">#REF!</definedName>
    <definedName name="_Key11" hidden="1">#REF!</definedName>
    <definedName name="_Key2" hidden="1">#REF!</definedName>
    <definedName name="_kfkf" hidden="1">#REF!</definedName>
    <definedName name="_KK2" hidden="1">#REF!</definedName>
    <definedName name="_KK3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rse_In" hidden="1">#REF!</definedName>
    <definedName name="_Parse_Out" hidden="1">#REF!</definedName>
    <definedName name="_QQ1" hidden="1">{#N/A,#N/A,FALSE,"단가표지"}</definedName>
    <definedName name="_QW1" hidden="1">{#N/A,#N/A,FALSE,"단가표지"}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01" hidden="1">#REF!</definedName>
    <definedName name="_Sort" hidden="1">#REF!</definedName>
    <definedName name="_Sort1" hidden="1">#REF!</definedName>
    <definedName name="_SS1" hidden="1">{#N/A,#N/A,FALSE,"운반시간"}</definedName>
    <definedName name="_Table1_In1" hidden="1">#REF!</definedName>
    <definedName name="_Table1_Out" hidden="1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A1C1" hidden="1">#N/A</definedName>
    <definedName name="aaa" localSheetId="2" hidden="1">{#N/A,#N/A,FALSE,"속도"}</definedName>
    <definedName name="aaaaa" hidden="1">{#N/A,#N/A,FALSE,"조골재"}</definedName>
    <definedName name="aaaaaaaaaa" hidden="1">{#N/A,#N/A,FALSE,"운반시간"}</definedName>
    <definedName name="Access_Button" hidden="1">"정병은_0000_List"</definedName>
    <definedName name="Access_Button1" hidden="1">"정병은_0000_List"</definedName>
    <definedName name="AccessDatabase" hidden="1">"C:\My Documents\북부수도사업소\전원차단장치\전원차~1\전원차단장치 내역서 03월06일.mdb"</definedName>
    <definedName name="ADC" hidden="1">#REF!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fvvv" hidden="1">{"'Firr(선)'!$AS$1:$AY$62","'Firr(사)'!$AS$1:$AY$62","'Firr(회)'!$AS$1:$AY$62","'Firr(선)'!$L$1:$V$62","'Firr(사)'!$L$1:$V$62","'Firr(회)'!$L$1:$V$62"}</definedName>
    <definedName name="a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asd" hidden="1">{#N/A,#N/A,FALSE,"단가표지"}</definedName>
    <definedName name="afd" hidden="1">{#N/A,#N/A,FALSE,"운반시간"}</definedName>
    <definedName name="afdfa" hidden="1">{#N/A,#N/A,FALSE,"표지목차"}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q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 hidden="1">#REF!</definedName>
    <definedName name="asfas" hidden="1">{#N/A,#N/A,FALSE,"표지목차"}</definedName>
    <definedName name="asfwe" hidden="1">{"'Firr(선)'!$AS$1:$AY$62","'Firr(사)'!$AS$1:$AY$62","'Firr(회)'!$AS$1:$AY$62","'Firr(선)'!$L$1:$V$62","'Firr(사)'!$L$1:$V$62","'Firr(회)'!$L$1:$V$62"}</definedName>
    <definedName name="as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er" hidden="1">{"'Firr(선)'!$AS$1:$AY$62","'Firr(사)'!$AS$1:$AY$62","'Firr(회)'!$AS$1:$AY$62","'Firr(선)'!$L$1:$V$62","'Firr(사)'!$L$1:$V$62","'Firr(회)'!$L$1:$V$62"}</definedName>
    <definedName name="BB" hidden="1">{#N/A,#N/A,FALSE,"이태원철근"}</definedName>
    <definedName name="BBS" hidden="1">#REF!</definedName>
    <definedName name="BBSS" hidden="1">#REF!</definedName>
    <definedName name="BDE" hidden="1">#REF!</definedName>
    <definedName name="BDW" hidden="1">#REF!</definedName>
    <definedName name="BESB" hidden="1">#REF!</definedName>
    <definedName name="BESE" hidden="1">#REF!</definedName>
    <definedName name="BESES" hidden="1">#REF!</definedName>
    <definedName name="BESS" hidden="1">#REF!</definedName>
    <definedName name="BESV" hidden="1">#REF!</definedName>
    <definedName name="BI" hidden="1">{#N/A,#N/A,FALSE,"이태원철근"}</definedName>
    <definedName name="BM" hidden="1">#REF!</definedName>
    <definedName name="bnn" hidden="1">{#N/A,#N/A,FALSE,"조골재"}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CCC" hidden="1">#REF!</definedName>
    <definedName name="CHLWHD" hidden="1">{#N/A,#N/A,FALSE,"갑지";#N/A,#N/A,FALSE,"개요";#N/A,#N/A,FALSE,"비목별";#N/A,#N/A,FALSE,"건물별";#N/A,#N/A,FALSE,"기구표";#N/A,#N/A,FALSE,"직원투입"}</definedName>
    <definedName name="COST" hidden="1">#REF!</definedName>
    <definedName name="COSTT" hidden="1">#REF!</definedName>
    <definedName name="CSE" hidden="1">#REF!</definedName>
    <definedName name="cxee" hidden="1">{"'Firr(선)'!$AS$1:$AY$62","'Firr(사)'!$AS$1:$AY$62","'Firr(회)'!$AS$1:$AY$62","'Firr(선)'!$L$1:$V$62","'Firr(사)'!$L$1:$V$62","'Firr(회)'!$L$1:$V$62"}</definedName>
    <definedName name="dataww" hidden="1">#REF!</definedName>
    <definedName name="DC" hidden="1">#REF!</definedName>
    <definedName name="dddd" hidden="1">{#N/A,#N/A,FALSE,"CCTV"}</definedName>
    <definedName name="ddddd" hidden="1">#REF!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ES" hidden="1">#REF!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SS" hidden="1">#REF!</definedName>
    <definedName name="DDV" hidden="1">#REF!</definedName>
    <definedName name="DDWSE" hidden="1">#REF!</definedName>
    <definedName name="derwr" hidden="1">{"'Firr(선)'!$AS$1:$AY$62","'Firr(사)'!$AS$1:$AY$62","'Firr(회)'!$AS$1:$AY$62","'Firr(선)'!$L$1:$V$62","'Firr(사)'!$L$1:$V$62","'Firr(회)'!$L$1:$V$62"}</definedName>
    <definedName name="DESVW" hidden="1">#REF!</definedName>
    <definedName name="dfadsf" hidden="1">{#N/A,#N/A,FALSE,"단가표지"}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wer" hidden="1">{"'Firr(선)'!$AS$1:$AY$62","'Firr(사)'!$AS$1:$AY$62","'Firr(회)'!$AS$1:$AY$62","'Firr(선)'!$L$1:$V$62","'Firr(사)'!$L$1:$V$62","'Firr(회)'!$L$1:$V$62"}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f" hidden="1">{#N/A,#N/A,FALSE,"2~8번"}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ist_bin1" hidden="1">#REF!</definedName>
    <definedName name="dist_value1" hidden="1">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{#N/A,#N/A,FALSE,"단가표지"}</definedName>
    <definedName name="dkdkdkdkd" hidden="1">{#N/A,#N/A,FALSE,"명세표"}</definedName>
    <definedName name="dldldldll" hidden="1">#REF!</definedName>
    <definedName name="dn" hidden="1">{#N/A,#N/A,FALSE,"혼합골재"}</definedName>
    <definedName name="dns" localSheetId="2" hidden="1">{#N/A,#N/A,FALSE,"운반시간"}</definedName>
    <definedName name="dns" hidden="1">{#N/A,#N/A,FALSE,"운반시간"}</definedName>
    <definedName name="dsaf" hidden="1">{#N/A,#N/A,FALSE,"조골재"}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D" hidden="1">#REF!</definedName>
    <definedName name="dsdsd" hidden="1">{#N/A,#N/A,FALSE,"운반시간"}</definedName>
    <definedName name="DSE" hidden="1">#REF!</definedName>
    <definedName name="DSF" hidden="1">#REF!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" hidden="1">#REF!</definedName>
    <definedName name="edssqq" hidden="1">{#N/A,#N/A,FALSE,"혼합골재"}</definedName>
    <definedName name="ee" hidden="1">{#N/A,#N/A,FALSE,"단가표지"}</definedName>
    <definedName name="eee" hidden="1">{#N/A,#N/A,FALSE,"2~8번"}</definedName>
    <definedName name="EEEE" hidden="1">{#N/A,#N/A,FALSE,"조골재"}</definedName>
    <definedName name="EEEEEEE" hidden="1">{#N/A,#N/A,FALSE,"표지목차"}</definedName>
    <definedName name="EEWS" hidden="1">#REF!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K" hidden="1">#REF!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AFADS" hidden="1">#REF!</definedName>
    <definedName name="EWFDA" hidden="1">#REF!</definedName>
    <definedName name="ewq" hidden="1">{"'Firr(선)'!$AS$1:$AY$62","'Firr(사)'!$AS$1:$AY$62","'Firr(회)'!$AS$1:$AY$62","'Firr(선)'!$L$1:$V$62","'Firr(사)'!$L$1:$V$62","'Firr(회)'!$L$1:$V$62"}</definedName>
    <definedName name="EWR" hidden="1">#REF!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WS" hidden="1">#REF!</definedName>
    <definedName name="EWXW" hidden="1">#REF!</definedName>
    <definedName name="FAN견적의뢰" hidden="1">{#N/A,#N/A,FALSE,"기안지";#N/A,#N/A,FALSE,"통신지"}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dgldgklbv" hidden="1">{"'Firr(선)'!$AS$1:$AY$62","'Firr(사)'!$AS$1:$AY$62","'Firr(회)'!$AS$1:$AY$62","'Firr(선)'!$L$1:$V$62","'Firr(사)'!$L$1:$V$62","'Firr(회)'!$L$1:$V$62"}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 hidden="1">#REF!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FFFF" hidden="1">{#N/A,#N/A,FALSE,"조골재"}</definedName>
    <definedName name="ffk" hidden="1">#REF!</definedName>
    <definedName name="FG" hidden="1">#REF!</definedName>
    <definedName name="FGDAG" hidden="1">{#N/A,#N/A,FALSE,"포장2"}</definedName>
    <definedName name="FGDAGFG" hidden="1">{#N/A,#N/A,FALSE,"혼합골재"}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fg" hidden="1">{#N/A,#N/A,FALSE,"2~8번"}</definedName>
    <definedName name="fgfgfg" hidden="1">{#N/A,#N/A,FALSE,"골재소요량";#N/A,#N/A,FALSE,"골재소요량"}</definedName>
    <definedName name="fghfdagfd" hidden="1">{#N/A,#N/A,FALSE,"표지목차"}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" hidden="1">#REF!</definedName>
    <definedName name="fhddg" hidden="1">{#N/A,#N/A,FALSE,"부대1"}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H" hidden="1">#REF!</definedName>
    <definedName name="FHFK" hidden="1">#REF!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ll1" hidden="1">#REF!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ULL" hidden="1">#REF!</definedName>
    <definedName name="GASFDAFGASG" hidden="1">{#N/A,#N/A,FALSE,"골재소요량";#N/A,#N/A,FALSE,"골재소요량"}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d" hidden="1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ES" hidden="1">#REF!</definedName>
    <definedName name="GEMCO" hidden="1">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#REF!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HGFHF" hidden="1">{#N/A,#N/A,FALSE,"토공2"}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h" hidden="1">{#N/A,#N/A,FALSE,"배수2"}</definedName>
    <definedName name="GFSD" hidden="1">#REF!</definedName>
    <definedName name="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fhgfshgh" hidden="1">{#N/A,#N/A,FALSE,"포장2"}</definedName>
    <definedName name="G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g" hidden="1">{#N/A,#N/A,FALSE,"포장2"}</definedName>
    <definedName name="g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HAWEFDS" hidden="1">{#N/A,#N/A,FALSE,"운반시간"}</definedName>
    <definedName name="GHES" hidden="1">#REF!</definedName>
    <definedName name="ghgfh" hidden="1">{#N/A,#N/A,FALSE,"포장2"}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JHGLI" hidden="1">{#N/A,#N/A,FALSE,"포장1";#N/A,#N/A,FALSE,"포장1"}</definedName>
    <definedName name="grew" hidden="1">#REF!</definedName>
    <definedName name="GUSTLS" hidden="1">#REF!</definedName>
    <definedName name="han" hidden="1">#REF!</definedName>
    <definedName name="hardwar" hidden="1">#REF!</definedName>
    <definedName name="HASFE" hidden="1">{#N/A,#N/A,FALSE,"단가표지"}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d" hidden="1">{#N/A,#N/A,FALSE,"배수2"}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h" hidden="1">{#N/A,#N/A,FALSE,"단가표지"}</definedName>
    <definedName name="hghg" hidden="1">{#N/A,#N/A,FALSE,"운반시간"}</definedName>
    <definedName name="HHHH" hidden="1">#REF!</definedName>
    <definedName name="HJK" hidden="1">{#N/A,#N/A,FALSE,"이태원철근"}</definedName>
    <definedName name="hkj" hidden="1">{#N/A,#N/A,FALSE,"혼합골재"}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 hidden="1">949</definedName>
    <definedName name="HTML_Control" hidden="1">{"'단계별시설공사비'!$A$3:$K$51"}</definedName>
    <definedName name="HTML_Description" hidden="1">""</definedName>
    <definedName name="HTML_Email" hidden="1">""</definedName>
    <definedName name="HTML_Header" hidden="1">"사업비총괄"</definedName>
    <definedName name="HTML_LastUpdate" hidden="1">"01-06-17"</definedName>
    <definedName name="HTML_LineAfter" hidden="1">FALSE</definedName>
    <definedName name="HTML_LineBefore" hidden="1">FALSE</definedName>
    <definedName name="HTML_Name" hidden="1">"김정호"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Documents\6.htm"</definedName>
    <definedName name="HTML_PathTemplate" hidden="1">"C:\USERS\JHW\Kwangju\Distribution-Analysis\HTMLTemp.htm"</definedName>
    <definedName name="HTML_Title" hidden="1">"비용산출"</definedName>
    <definedName name="HTR" hidden="1">{#N/A,#N/A,FALSE,"이태원철근"}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OIOIOIO" hidden="1">{#N/A,#N/A,FALSE,"표지목차"}</definedName>
    <definedName name="IU" hidden="1">#REF!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ANG" hidden="1">#REF!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g" hidden="1">{#N/A,#N/A,FALSE,"조골재"}</definedName>
    <definedName name="jhjh" hidden="1">{#N/A,#N/A,FALSE,"표지목차"}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" hidden="1">#REF!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KJKJK" hidden="1">{#N/A,#N/A,FALSE,"포장1";#N/A,#N/A,FALSE,"포장1"}</definedName>
    <definedName name="JTDE" hidden="1">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ey" hidden="1">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l" hidden="1">{#N/A,#N/A,FALSE,"2~8번"}</definedName>
    <definedName name="KKK" hidden="1">#REF!</definedName>
    <definedName name="KL" hidden="1">#REF!</definedName>
    <definedName name="KLLKLKLK" hidden="1">{#N/A,#N/A,FALSE,"포장2"}</definedName>
    <definedName name="ktf" hidden="1">#REF!</definedName>
    <definedName name="kty" hidden="1">#REF!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JHUGF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kㅏㅎ" hidden="1">{#N/A,#N/A,FALSE,"2~8번"}</definedName>
    <definedName name="LK" hidden="1">{#N/A,#N/A,FALSE,"부대1"}</definedName>
    <definedName name="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형측" hidden="1">{#N/A,#N/A,FALSE,"표지목차"}</definedName>
    <definedName name="m" hidden="1">#REF!</definedName>
    <definedName name="MHV" hidden="1">#REF!</definedName>
    <definedName name="mm" hidden="1">{#N/A,#N/A,TRUE,"토적및재료집계";#N/A,#N/A,TRUE,"토적및재료집계";#N/A,#N/A,TRUE,"단위량"}</definedName>
    <definedName name="MM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MN" hidden="1">{#N/A,#N/A,FALSE,"부대2"}</definedName>
    <definedName name="NEWNAME" hidden="1">{#N/A,#N/A,FALSE,"CCTV"}</definedName>
    <definedName name="NGC" hidden="1">#REF!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NN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OTE" hidden="1">{#N/A,#N/A,TRUE,"총괄"}</definedName>
    <definedName name="ODH" hidden="1">#REF!</definedName>
    <definedName name="OI" hidden="1">#REF!</definedName>
    <definedName name="ooo" hidden="1">#REF!</definedName>
    <definedName name="OOOOOOOOOOOOOOOOOO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OVERLAY" localSheetId="2" hidden="1">{#N/A,#N/A,FALSE,"2~8번"}</definedName>
    <definedName name="OVERLAY" hidden="1">{#N/A,#N/A,FALSE,"2~8번"}</definedName>
    <definedName name="PIO" hidden="1">#REF!</definedName>
    <definedName name="PO" hidden="1">{#N/A,#N/A,FALSE,"배수2"}</definedName>
    <definedName name="POI" hidden="1">#REF!</definedName>
    <definedName name="_xlnm.Print_Area" localSheetId="4">'4월'!$A$1:$AZ$154</definedName>
    <definedName name="_xlnm.Print_Area" localSheetId="5">각서!$A$1:$K$28</definedName>
    <definedName name="_xlnm.Print_Area" localSheetId="6">계좌입금의뢰신고서!$A$1:$E$28</definedName>
    <definedName name="_xlnm.Print_Area" localSheetId="7">근로계약서!$A$1:$AP$57</definedName>
    <definedName name="_xlnm.Print_Area" localSheetId="2">내역서!$A$1:$G$57</definedName>
    <definedName name="_xlnm.Print_Area" localSheetId="3">위임장!$A$1:$R$34</definedName>
    <definedName name="_xlnm.Print_Area" localSheetId="1">집계표!$A$1:$K$18</definedName>
    <definedName name="_xlnm.Print_Area" localSheetId="0">청구서!$A$1:$M$49</definedName>
    <definedName name="Q3WEE" hidden="1">{#N/A,#N/A,FALSE,"조골재"}</definedName>
    <definedName name="qkqh1" hidden="1">{#N/A,#N/A,FALSE,"명세표"}</definedName>
    <definedName name="qor" hidden="1">#REF!</definedName>
    <definedName name="qqq" hidden="1">#REF!</definedName>
    <definedName name="qsdf" hidden="1">{"'Firr(선)'!$AS$1:$AY$62","'Firr(사)'!$AS$1:$AY$62","'Firr(회)'!$AS$1:$AY$62","'Firr(선)'!$L$1:$V$62","'Firr(사)'!$L$1:$V$62","'Firr(회)'!$L$1:$V$62"}</definedName>
    <definedName name="qw" localSheetId="2" hidden="1">{#N/A,#N/A,FALSE,"2~8번"}</definedName>
    <definedName name="qw" hidden="1">{#N/A,#N/A,FALSE,"단가표지"}</definedName>
    <definedName name="QWE" hidden="1">{#N/A,#N/A,FALSE,"이태원철근"}</definedName>
    <definedName name="QWER" hidden="1">{#N/A,#N/A,FALSE,"이태원철근"}</definedName>
    <definedName name="QWQED" hidden="1">{#N/A,#N/A,FALSE,"혼합골재"}</definedName>
    <definedName name="REG" hidden="1">#REF!</definedName>
    <definedName name="RFYIFIOYGOPIO" hidden="1">#REF!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K" hidden="1">#REF!</definedName>
    <definedName name="rkdkd" hidden="1">{#N/A,#N/A,FALSE,"2~8번"}</definedName>
    <definedName name="rksk" hidden="1">{#N/A,#N/A,FALSE,"배수1"}</definedName>
    <definedName name="Royalty" hidden="1">{#N/A,#N/A,FALSE,"Sheet1"}</definedName>
    <definedName name="rP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T" hidden="1">{#N/A,#N/A,FALSE,"이태원철근"}</definedName>
    <definedName name="RWD" hidden="1">#REF!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견적" hidden="1">{#N/A,#N/A,FALSE,"월공사비집계표양식 (7)";#N/A,#N/A,FALSE,"월공사비집계표양식 (7)"}</definedName>
    <definedName name="sagsgf" hidden="1">#REF!</definedName>
    <definedName name="SAPBEXdnldView" hidden="1">"41JLQUL0YNPVK3OX98UIGJGNP"</definedName>
    <definedName name="SAPBEXsysID" hidden="1">"BWP"</definedName>
    <definedName name="s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S" hidden="1">{"'Firr(선)'!$AS$1:$AY$62","'Firr(사)'!$AS$1:$AY$62","'Firr(회)'!$AS$1:$AY$62","'Firr(선)'!$L$1:$V$62","'Firr(사)'!$L$1:$V$62","'Firr(회)'!$L$1:$V$62"}</definedName>
    <definedName name="SDCFG\" hidden="1">{#N/A,#N/A,FALSE,"운반시간"}</definedName>
    <definedName name="SDDFD" hidden="1">{#N/A,#N/A,FALSE,"배수1"}</definedName>
    <definedName name="SDF" hidden="1">{#N/A,#N/A,FALSE,"전력간선"}</definedName>
    <definedName name="SDFDFD" hidden="1">{#N/A,#N/A,FALSE,"운반시간"}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g" hidden="1">#REF!</definedName>
    <definedName name="sdlgkjalsdgjadfs" hidden="1">#REF!</definedName>
    <definedName name="SDS" hidden="1">{#N/A,#N/A,FALSE,"2~8번"}</definedName>
    <definedName name="sdsdddd" hidden="1">{#N/A,#N/A,FALSE,"토공2"}</definedName>
    <definedName name="SE" hidden="1">#REF!</definedName>
    <definedName name="SERVICE" hidden="1">{#N/A,#N/A,FALSE,"이태원철근"}</definedName>
    <definedName name="SFFF" hidden="1">#REF!</definedName>
    <definedName name="SFFFFF" hidden="1">#REF!</definedName>
    <definedName name="sfggf" hidden="1">{#N/A,#N/A,FALSE,"배수1"}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heet" hidden="1">{#N/A,#N/A,FALSE,"골재소요량";#N/A,#N/A,FALSE,"골재소요량"}</definedName>
    <definedName name="SK" hidden="1">{#N/A,#N/A,FALSE,"월공사비집계표양식 (7)";#N/A,#N/A,FALSE,"월공사비집계표양식 (7)"}</definedName>
    <definedName name="SKI" hidden="1">#REF!</definedName>
    <definedName name="solver_adj" hidden="1">#REF!,#REF!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#REF!,#REF!</definedName>
    <definedName name="solver_tol" hidden="1">0.05</definedName>
    <definedName name="solver_typ" hidden="1">1</definedName>
    <definedName name="solver_val" hidden="1">0</definedName>
    <definedName name="SORT" hidden="1">#N/A</definedName>
    <definedName name="SORT1" hidden="1">#REF!</definedName>
    <definedName name="sortt" hidden="1">#REF!</definedName>
    <definedName name="SS" hidden="1">#REF!</definedName>
    <definedName name="SSVSS" hidden="1">#REF!</definedName>
    <definedName name="SUMMARY" hidden="1">#REF!</definedName>
    <definedName name="SUMMARYT" hidden="1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tank" hidden="1">#REF!</definedName>
    <definedName name="TC" hidden="1">#REF!</definedName>
    <definedName name="TEZ" hidden="1">#REF!</definedName>
    <definedName name="TGES" hidden="1">#REF!</definedName>
    <definedName name="thy" hidden="1">#REF!</definedName>
    <definedName name="TODLFJ" hidden="1">{"'별표'!$N$220"}</definedName>
    <definedName name="tr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T" hidden="1">#REF!</definedName>
    <definedName name="TUR" hidden="1">#REF!</definedName>
    <definedName name="TYHFDGFD" hidden="1">{#N/A,#N/A,FALSE,"배수2"}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I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dffdf" hidden="1">{#N/A,#N/A,FALSE,"단가표지"}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Y" hidden="1">#REF!</definedName>
    <definedName name="UYY" hidden="1">#REF!</definedName>
    <definedName name="VB" hidden="1">{#N/A,#N/A,FALSE,"이태원철근"}</definedName>
    <definedName name="VBN" hidden="1">{#N/A,#N/A,FALSE,"이태원철근"}</definedName>
    <definedName name="VC" hidden="1">{#N/A,#N/A,FALSE,"속도"}</definedName>
    <definedName name="VE" hidden="1">#REF!</definedName>
    <definedName name="VFFFFFF" hidden="1">{#N/A,#N/A,FALSE,"골재소요량";#N/A,#N/A,FALSE,"골재소요량"}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ZZ" hidden="1">#REF!</definedName>
    <definedName name="WE" hidden="1">#REF!</definedName>
    <definedName name="wer" hidden="1">{#N/A,#N/A,FALSE,"골재소요량";#N/A,#N/A,FALSE,"골재소요량"}</definedName>
    <definedName name="wererr" hidden="1">{#N/A,#N/A,FALSE,"운반시간"}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r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#REF!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LQ" hidden="1">{#N/A,#N/A,FALSE,"명세표"}</definedName>
    <definedName name="wm.속도." hidden="1">{#N/A,#N/A,FALSE,"속도"}</definedName>
    <definedName name="wm.조골재1" hidden="1">{#N/A,#N/A,FALSE,"조골재"}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ITE" hidden="1">{#N/A,#N/A,FALSE,"CCTV"}</definedName>
    <definedName name="wrn" hidden="1">{#N/A,#N/A,FALSE,"정산총괄 ";#N/A,#N/A,FALSE,"정산설명개착"}</definedName>
    <definedName name="wrn.2번." localSheetId="2" hidden="1">{#N/A,#N/A,FALSE,"2~8번"}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BM." hidden="1">{#N/A,#N/A,FALSE,"CCTV"}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test1." hidden="1">{#N/A,#N/A,FALSE,"명세표"}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경비인쇄." hidden="1">{#N/A,#N/A,FALSE,"경비"}</definedName>
    <definedName name="wrn.고희석." hidden="1">{#N/A,#N/A,FALSE,"교리2"}</definedName>
    <definedName name="wrn.골재소요량." localSheetId="2" hidden="1">{#N/A,#N/A,FALSE,"골재소요량";#N/A,#N/A,FALSE,"골재소요량"}</definedName>
    <definedName name="wrn.골재소요량." hidden="1">{#N/A,#N/A,FALSE,"골재소요량";#N/A,#N/A,FALSE,"골재소요량"}</definedName>
    <definedName name="wrn.공사설계서." hidden="1">{#N/A,#N/A,TRUE,"설계수량";#N/A,#N/A,TRUE,"예정공정표60";#N/A,#N/A,TRUE,"공사설명서";#N/A,#N/A,TRUE,"수량총괄";#N/A,#N/A,TRUE,"공사비예산서";#N/A,#N/A,TRUE,"공사계획서";#N/A,#N/A,TRUE,"품셈총괄";#N/A,#N/A,TRUE,"설계서표지"}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교육청.1" hidden="1">{#N/A,#N/A,FALSE,"전력간선"}</definedName>
    <definedName name="wrn.구조2." localSheetId="2" hidden="1">{#N/A,#N/A,FALSE,"구조2"}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타인쇄." hidden="1">{#N/A,#N/A,FALSE,"기타"}</definedName>
    <definedName name="wrn.노무비인쇄." hidden="1">{#N/A,#N/A,FALSE,"노무비"}</definedName>
    <definedName name="wrn.단가표지." localSheetId="2" hidden="1">{#N/A,#N/A,FALSE,"단가표지"}</definedName>
    <definedName name="wrn.단가표지." hidden="1">{#N/A,#N/A,FALSE,"단가표지"}</definedName>
    <definedName name="wrn.ㅁㅁㅁ." hidden="1">{#N/A,#N/A,FALSE,"월공사비집계표양식 (7)";#N/A,#N/A,FALSE,"월공사비집계표양식 (7)"}</definedName>
    <definedName name="wrn.배수1." localSheetId="2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hidden="1">{#N/A,#N/A,FALSE,"배수2"}</definedName>
    <definedName name="wrn.부대1." localSheetId="2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localSheetId="2" hidden="1">{#N/A,#N/A,FALSE,"속도"}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{#N/A,#N/A,FALSE,"결의서";#N/A,#N/A,FALSE,"내역서";#N/A,#N/A,FALSE,"도급예상";#N/A,#N/A,FALSE,"시방서"}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업체별._.견적공사명." hidden="1">{"SJ - 기본 보기",#N/A,FALSE,"공사별 외주견적"}</definedName>
    <definedName name="wrn.연동제." hidden="1">{#N/A,#N/A,TRUE,"총괄"}</definedName>
    <definedName name="wrn.운반시간." localSheetId="2" hidden="1">{#N/A,#N/A,FALSE,"운반시간"}</definedName>
    <definedName name="wrn.운반시간." hidden="1">{#N/A,#N/A,FALSE,"운반시간"}</definedName>
    <definedName name="wrn.원가계산서인쇄." hidden="1">{#N/A,#N/A,FALSE,"원가계산서"}</definedName>
    <definedName name="wrn.이정표." localSheetId="2" hidden="1">{#N/A,#N/A,FALSE,"이정표"}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localSheetId="2" hidden="1">{#N/A,#N/A,FALSE,"조골재"}</definedName>
    <definedName name="wrn.조골재." hidden="1">{#N/A,#N/A,FALSE,"조골재"}</definedName>
    <definedName name="wrn.준공조서." hidden="1">{#N/A,#N/A,FALSE,"정산총괄 ";#N/A,#N/A,FALSE,"정산설명개착"}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hidden="1">{#N/A,#N/A,FALSE,"Sheet1"}</definedName>
    <definedName name="wrn.토공1." localSheetId="2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hidden="1">{#N/A,#N/A,FALSE,"토공2"}</definedName>
    <definedName name="wrn.통신지." hidden="1">{#N/A,#N/A,FALSE,"기안지";#N/A,#N/A,FALSE,"통신지"}</definedName>
    <definedName name="wrn.포장1." localSheetId="2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hidden="1">{#N/A,#N/A,FALSE,"포장2"}</definedName>
    <definedName name="wrn.표지." hidden="1">{#N/A,#N/A,FALSE,"표지"}</definedName>
    <definedName name="wrn.표지목차." localSheetId="2" hidden="1">{#N/A,#N/A,FALSE,"표지목차"}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localSheetId="2" hidden="1">{#N/A,#N/A,FALSE,"혼합골재"}</definedName>
    <definedName name="wrn.혼합골재." hidden="1">{#N/A,#N/A,FALSE,"혼합골재"}</definedName>
    <definedName name="WW" hidden="1">#REF!</definedName>
    <definedName name="x" localSheetId="2" hidden="1">{#N/A,#N/A,FALSE,"운반시간"}</definedName>
    <definedName name="X" hidden="1">#REF!</definedName>
    <definedName name="xx" hidden="1">#REF!</definedName>
    <definedName name="xxca" hidden="1">{"'Firr(선)'!$AS$1:$AY$62","'Firr(사)'!$AS$1:$AY$62","'Firr(회)'!$AS$1:$AY$62","'Firr(선)'!$L$1:$V$62","'Firr(사)'!$L$1:$V$62","'Firr(회)'!$L$1:$V$62"}</definedName>
    <definedName name="Y" hidden="1">#N/A</definedName>
    <definedName name="YRE" hidden="1">#REF!</definedName>
    <definedName name="YTE" hidden="1">#REF!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YUY" hidden="1">{#N/A,#N/A,FALSE,"혼합골재"}</definedName>
    <definedName name="yyy" hidden="1">#REF!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za" hidden="1">#REF!</definedName>
    <definedName name="zx" hidden="1">#REF!</definedName>
    <definedName name="ZXC" hidden="1">{#N/A,#N/A,FALSE,"이태원철근"}</definedName>
    <definedName name="ㄱ" hidden="1">#REF!</definedName>
    <definedName name="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ㄱㄷ" hidden="1">#REF!</definedName>
    <definedName name="ㄱㄷㄷ" hidden="1">#REF!</definedName>
    <definedName name="ㄱㄷㄹㄹ" hidden="1">{#N/A,#N/A,FALSE,"표지목차"}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ㅎ" hidden="1">#REF!</definedName>
    <definedName name="가나다" hidden="1">#REF!</definedName>
    <definedName name="가나다라마" hidden="1">{#N/A,#N/A,FALSE,"배수2"}</definedName>
    <definedName name="가도" hidden="1">#REF!</definedName>
    <definedName name="가라" hidden="1">{#N/A,#N/A,FALSE,"골재소요량";#N/A,#N/A,FALSE,"골재소요량"}</definedName>
    <definedName name="가산" hidden="1">{#N/A,#N/A,FALSE,"혼합골재"}</definedName>
    <definedName name="가설용역갑지" hidden="1">{#N/A,#N/A,FALSE,"CCTV"}</definedName>
    <definedName name="가스" hidden="1">{#N/A,#N/A,FALSE,"CCTV"}</definedName>
    <definedName name="가실행1" hidden="1">{#N/A,#N/A,FALSE,"배수1"}</definedName>
    <definedName name="가아" hidden="1">#REF!</definedName>
    <definedName name="가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ㅓ사" hidden="1">{#N/A,#N/A,FALSE,"단가표지"}</definedName>
    <definedName name="간지_배수공" hidden="1">#REF!</definedName>
    <definedName name="갑비" hidden="1">{#N/A,#N/A,FALSE,"전력간선"}</definedName>
    <definedName name="갑지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지2" hidden="1">{#N/A,#N/A,FALSE,"CCTV"}</definedName>
    <definedName name="갑지3" hidden="1">{#N/A,#N/A,FALSE,"CCTV"}</definedName>
    <definedName name="강교" hidden="1">{#N/A,#N/A,FALSE,"포장2"}</definedName>
    <definedName name="강구조물" hidden="1">{#N/A,#N/A,FALSE,"포장1";#N/A,#N/A,FALSE,"포장1"}</definedName>
    <definedName name="강아지" hidden="1">#REF!</definedName>
    <definedName name="강재" hidden="1">{#N/A,#N/A,FALSE,"혼합골재"}</definedName>
    <definedName name="강호" hidden="1">{#N/A,#N/A,TRUE,"토적및재료집계";#N/A,#N/A,TRUE,"토적및재료집계";#N/A,#N/A,TRUE,"단위량"}</definedName>
    <definedName name="강환" hidden="1">{#N/A,#N/A,FALSE,"월공사비집계표양식 (7)";#N/A,#N/A,FALSE,"월공사비집계표양식 (7)"}</definedName>
    <definedName name="개거" hidden="1">#REF!</definedName>
    <definedName name="거ㅏ" hidden="1">#REF!</definedName>
    <definedName name="건설기계" hidden="1">{#N/A,#N/A,FALSE,"골재소요량";#N/A,#N/A,FALSE,"골재소요량"}</definedName>
    <definedName name="건축" hidden="1">{#N/A,#N/A,TRUE,"토적및재료집계";#N/A,#N/A,TRUE,"토적및재료집계";#N/A,#N/A,TRUE,"단위량"}</definedName>
    <definedName name="건축가실" hidden="1">#REF!</definedName>
    <definedName name="건축수량집계" hidden="1">{#N/A,#N/A,FALSE,"월공사비집계표양식 (7)";#N/A,#N/A,FALSE,"월공사비집계표양식 (7)"}</definedName>
    <definedName name="건축원가" hidden="1">#REF!</definedName>
    <definedName name="검C" hidden="1">{#N/A,#N/A,FALSE,"운반시간"}</definedName>
    <definedName name="견적1" hidden="1">{#N/A,#N/A,FALSE,"토공2"}</definedName>
    <definedName name="견적갑지1" hidden="1">{#N/A,#N/A,FALSE,"부대1"}</definedName>
    <definedName name="견적대비" hidden="1">{#N/A,#N/A,FALSE,"포장2"}</definedName>
    <definedName name="견적조건" hidden="1">{#N/A,#N/A,FALSE,"CCTV"}</definedName>
    <definedName name="견적조건8" hidden="1">{#N/A,#N/A,FALSE,"CCTV"}</definedName>
    <definedName name="결" hidden="1">{#N/A,#N/A,FALSE,"포장2"}</definedName>
    <definedName name="결과" hidden="1">{#N/A,#N/A,FALSE,"포장2"}</definedName>
    <definedName name="결의" hidden="1">{#N/A,#N/A,FALSE,"결의서";#N/A,#N/A,FALSE,"내역서";#N/A,#N/A,FALSE,"도급예상";#N/A,#N/A,FALSE,"시방서"}</definedName>
    <definedName name="경계블럭연장" hidden="1">#REF!</definedName>
    <definedName name="경계석" hidden="1">#REF!</definedName>
    <definedName name="경비1" hidden="1">#REF!</definedName>
    <definedName name="경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로계단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상비2" hidden="1">{#N/A,#N/A,FALSE,"기안지";#N/A,#N/A,FALSE,"통신지"}</definedName>
    <definedName name="계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계약의뢰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르기" hidden="1">{#N/A,#N/A,FALSE,"표지목차"}</definedName>
    <definedName name="곡동" hidden="1">{"'Firr(선)'!$AS$1:$AY$62","'Firr(사)'!$AS$1:$AY$62","'Firr(회)'!$AS$1:$AY$62","'Firr(선)'!$L$1:$V$62","'Firr(사)'!$L$1:$V$62","'Firr(회)'!$L$1:$V$62"}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내역서" hidden="1">{#N/A,#N/A,FALSE,"구조2"}</definedName>
    <definedName name="공사비대비" hidden="1">{#N/A,#N/A,FALSE,"배수2"}</definedName>
    <definedName name="공사비증.감" hidden="1">{#N/A,#N/A,FALSE,"배수1"}</definedName>
    <definedName name="공사비증감" hidden="1">{#N/A,#N/A,FALSE,"구조2"}</definedName>
    <definedName name="공사비증감대비표" hidden="1">{#N/A,#N/A,FALSE,"구조2"}</definedName>
    <definedName name="공사원가계산서" hidden="1">{#N/A,#N/A,TRUE,"토적및재료집계";#N/A,#N/A,TRUE,"토적및재료집계";#N/A,#N/A,TRUE,"단위량"}</definedName>
    <definedName name="공원등기초" hidden="1">{#N/A,#N/A,FALSE,"골재소요량";#N/A,#N/A,FALSE,"골재소요량"}</definedName>
    <definedName name="공장동" hidden="1">#N/A</definedName>
    <definedName name="공정표" hidden="1">{#N/A,#N/A,FALSE,"현장 NCR 분석";#N/A,#N/A,FALSE,"현장품질감사";#N/A,#N/A,FALSE,"현장품질감사"}</definedName>
    <definedName name="공제" hidden="1">#REF!</definedName>
    <definedName name="공종집3" hidden="1">{#N/A,#N/A,FALSE,"Sheet1"}</definedName>
    <definedName name="공종집계2" hidden="1">{#N/A,#N/A,FALSE,"Sheet1"}</definedName>
    <definedName name="공종집계3" hidden="1">{#N/A,#N/A,FALSE,"Sheet1"}</definedName>
    <definedName name="곽동준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급조달" hidden="1">{#N/A,#N/A,FALSE,"Sheet1"}</definedName>
    <definedName name="관리" hidden="1">{#N/A,#N/A,FALSE,"포장2"}</definedName>
    <definedName name="관리비작성기준" hidden="1">#REF!</definedName>
    <definedName name="교대펄근집계" hidden="1">{#N/A,#N/A,FALSE,"배수1"}</definedName>
    <definedName name="교동토목공사" hidden="1">{#N/A,#N/A,FALSE,"이태원철근"}</definedName>
    <definedName name="교실동" hidden="1">{#N/A,#N/A,FALSE,"월공사비집계표양식 (7)";#N/A,#N/A,FALSE,"월공사비집계표양식 (7)"}</definedName>
    <definedName name="교좌" hidden="1">{#N/A,#N/A,FALSE,"포장2"}</definedName>
    <definedName name="구산갑지" hidden="1">#REF!</definedName>
    <definedName name="구조물공사" hidden="1">{#N/A,#N/A,TRUE,"토적및재료집계";#N/A,#N/A,TRUE,"토적및재료집계";#N/A,#N/A,TRUE,"단위량"}</definedName>
    <definedName name="구체철근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권대협" hidden="1">{#N/A,#N/A,FALSE,"CCTV"}</definedName>
    <definedName name="금광추정" hidden="1">{#N/A,#N/A,FALSE,"포장2"}</definedName>
    <definedName name="기계경비지수" hidden="1">{#N/A,#N/A,FALSE,"단가표지"}</definedName>
    <definedName name="기성3" hidden="1">{#N/A,#N/A,FALSE,"CCTV"}</definedName>
    <definedName name="기성갑" hidden="1">#REF!</definedName>
    <definedName name="기성원가" hidden="1">{#N/A,#N/A,FALSE,"월공사비집계표양식 (7)";#N/A,#N/A,FALSE,"월공사비집계표양식 (7)"}</definedName>
    <definedName name="기술" hidden="1">{#N/A,#N/A,FALSE,"부대1"}</definedName>
    <definedName name="김" hidden="1">{#N/A,#N/A,FALSE,"2~8번"}</definedName>
    <definedName name="김1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깨기" hidden="1">{"'중기작업1'!$A$1:$V$18"}</definedName>
    <definedName name="ㄳ" hidden="1">{#N/A,#N/A,FALSE,"단가표지"}</definedName>
    <definedName name="ㄴㄱㄹ" hidden="1">#REF!</definedName>
    <definedName name="ㄴㄴ" hidden="1">{#N/A,#N/A,FALSE,"CCTV"}</definedName>
    <definedName name="ㄴㄴㄴ" hidden="1">#REF!</definedName>
    <definedName name="ㄴㄴㄴㄴㄴ" hidden="1">#REF!</definedName>
    <definedName name="ㄴㄴㄴㄴㄴㄴ" localSheetId="2" hidden="1">{#N/A,#N/A,FALSE,"구조1"}</definedName>
    <definedName name="ㄴㄴㄴㄴㄴㄴ" hidden="1">{#N/A,#N/A,FALSE,"구조1"}</definedName>
    <definedName name="ㄴㄹ" hidden="1">{#N/A,#N/A,FALSE,"2~8번"}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ㅇ" hidden="1">{#N/A,#N/A,FALSE,"조골재"}</definedName>
    <definedName name="ㄴㅁ" hidden="1">{#N/A,#N/A,TRUE,"토적및재료집계";#N/A,#N/A,TRUE,"토적및재료집계";#N/A,#N/A,TRUE,"단위량"}</definedName>
    <definedName name="ㄴㅁㄹㄴㅁㅇㄴㅇㅁㄹㄴ" hidden="1">{#N/A,#N/A,FALSE,"단가표지"}</definedName>
    <definedName name="ㄴㅇㄴㅁ" hidden="1">{#N/A,#N/A,FALSE,"운반시간"}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로ㅠㅎ" hidden="1">{#N/A,#N/A,FALSE,"구조2"}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ㅀ" hidden="1">{#N/A,#N/A,FALSE,"토공2"}</definedName>
    <definedName name="ㄴㅇㅁㄴㅇ" hidden="1">{#N/A,#N/A,TRUE,"토적및재료집계";#N/A,#N/A,TRUE,"토적및재료집계";#N/A,#N/A,TRUE,"단위량"}</definedName>
    <definedName name="ㄴㅇㅇ" hidden="1">#REF!</definedName>
    <definedName name="ㄴ흂" hidden="1">{#N/A,#N/A,FALSE,"단가표지"}</definedName>
    <definedName name="나다" hidden="1">{#N/A,#N/A,FALSE,"혼합골재"}</definedName>
    <definedName name="난간대1" hidden="1">{#N/A,#N/A,FALSE,"부대1"}</definedName>
    <definedName name="내역" hidden="1">{#N/A,#N/A,FALSE,"CCTV"}</definedName>
    <definedName name="내역3" hidden="1">{#N/A,#N/A,FALSE,"Sheet1"}</definedName>
    <definedName name="내역비교" hidden="1">{#N/A,#N/A,FALSE,"표지목차"}</definedName>
    <definedName name="내역사" hidden="1">{#N/A,#N/A,FALSE,"단가표지"}</definedName>
    <definedName name="내역서" hidden="1">{#N/A,#N/A,FALSE,"단가표지"}</definedName>
    <definedName name="내역서2" hidden="1">{#N/A,#N/A,FALSE,"Sheet1"}</definedName>
    <definedName name="내작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냉전" hidden="1">{#N/A,#N/A,FALSE,"Sheet1"}</definedName>
    <definedName name="넣러" hidden="1">{#N/A,#N/A,FALSE,"표지목차"}</definedName>
    <definedName name="노무비단가산출서" hidden="1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트" hidden="1">{#N/A,#N/A,TRUE,"총괄"}</definedName>
    <definedName name="놓ㄹ노" hidden="1">{#N/A,#N/A,FALSE,"골재소요량";#N/A,#N/A,FALSE,"골재소요량"}</definedName>
    <definedName name="님" hidden="1">{#N/A,#N/A,FALSE,"골재소요량";#N/A,#N/A,FALSE,"골재소요량"}</definedName>
    <definedName name="ㄶㅇㅀㄴㅇ" hidden="1">{#N/A,#N/A,FALSE,"표지목차"}</definedName>
    <definedName name="ㄷ" hidden="1">{#N/A,#N/A,TRUE,"토적및재료집계";#N/A,#N/A,TRUE,"토적및재료집계";#N/A,#N/A,TRUE,"단위량"}</definedName>
    <definedName name="ㄷㄱㄷㄱ" hidden="1">{#N/A,#N/A,FALSE,"혼합골재"}</definedName>
    <definedName name="ㄷㄷ" hidden="1">#REF!</definedName>
    <definedName name="ㄷㄷㄷ" hidden="1">#REF!</definedName>
    <definedName name="ㄷㄷㄷㄷㄷㄷ" localSheetId="2" hidden="1">{#N/A,#N/A,FALSE,"운반시간"}</definedName>
    <definedName name="ㄷㄷㄷㄷㄷㄷ" hidden="1">{#N/A,#N/A,FALSE,"운반시간"}</definedName>
    <definedName name="ㄷㄹㄷ" hidden="1">#REF!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ㄷ" hidden="1">{#N/A,#N/A,FALSE,"속도"}</definedName>
    <definedName name="ㄷㅈㅂㄱㄷㅈ" hidden="1">#REF!</definedName>
    <definedName name="ㄷㅈㅇㄹㅇ" hidden="1">#REF!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다라" hidden="1">{#N/A,#N/A,FALSE,"단가표지"}</definedName>
    <definedName name="단ㄱ" hidden="1">{#N/A,#N/A,FALSE,"전력간선"}</definedName>
    <definedName name="당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운반비" hidden="1">#REF!</definedName>
    <definedName name="댕기" hidden="1">{"'중기작업1'!$A$1:$V$18"}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덕" hidden="1">{#N/A,#N/A,FALSE,"포장2"}</definedName>
    <definedName name="덕진" hidden="1">{#N/A,#N/A,FALSE,"포장2"}</definedName>
    <definedName name="데스크" hidden="1">{#N/A,#N/A,FALSE,"단가표지"}</definedName>
    <definedName name="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급실행시행대비표" hidden="1">{#N/A,#N/A,FALSE,"혼합골재"}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동준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두호" hidden="1">{#N/A,#N/A,FALSE,"2~8번"}</definedName>
    <definedName name="ㄹ" hidden="1">{#N/A,#N/A,TRUE,"토적및재료집계";#N/A,#N/A,TRUE,"토적및재료집계";#N/A,#N/A,TRUE,"단위량"}</definedName>
    <definedName name="ㄹㄴㅇㄻㄴ" hidden="1">{#N/A,#N/A,FALSE,"단가표지"}</definedName>
    <definedName name="ㄹㄴ웋" hidden="1">{#N/A,#N/A,FALSE,"운반시간"}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ㅁㄷ" hidden="1">#REF!</definedName>
    <definedName name="ㄹㄹ" localSheetId="2" hidden="1">{#N/A,#N/A,FALSE,"속도"}</definedName>
    <definedName name="ㄹㄹ" hidden="1">#REF!</definedName>
    <definedName name="ㄹㄹㄹ" localSheetId="2" hidden="1">{#N/A,#N/A,FALSE,"부대1"}</definedName>
    <definedName name="ㄹㄹㄹ" hidden="1">#REF!</definedName>
    <definedName name="ㄹㄹㄹㄹㄹㄹ" localSheetId="2" hidden="1">{#N/A,#N/A,FALSE,"토공2"}</definedName>
    <definedName name="ㄹㄹㄹㄹㄹㄹ" hidden="1">{#N/A,#N/A,FALSE,"토공2"}</definedName>
    <definedName name="ㄹㄹㄹ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" hidden="1">#REF!</definedName>
    <definedName name="ㄹㅇㄴ" hidden="1">#REF!</definedName>
    <definedName name="ㄹㅇㄹㅇ" hidden="1">#REF!</definedName>
    <definedName name="ㄹㅇㅌㅇㄴㄱㄷ" hidden="1">{#N/A,#N/A,FALSE,"포장2"}</definedName>
    <definedName name="ㄹㅇㅎㄴㅇ" hidden="1">{#N/A,#N/A,FALSE,"조골재"}</definedName>
    <definedName name="ㄹ호" hidden="1">#REF!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시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레미콘다시" hidden="1">{#N/A,#N/A,FALSE,"토공2"}</definedName>
    <definedName name="류효정" hidden="1">{"'Firr(선)'!$AS$1:$AY$62","'Firr(사)'!$AS$1:$AY$62","'Firr(회)'!$AS$1:$AY$62","'Firr(선)'!$L$1:$V$62","'Firr(사)'!$L$1:$V$62","'Firr(회)'!$L$1:$V$62"}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ㄻㅇ" hidden="1">{#N/A,#N/A,FALSE,"단가표지"}</definedName>
    <definedName name="ㅀ" hidden="1">{#N/A,#N/A,TRUE,"토적및재료집계";#N/A,#N/A,TRUE,"토적및재료집계";#N/A,#N/A,TRUE,"단위량"}</definedName>
    <definedName name="ㅀㄹ" hidden="1">{#N/A,#N/A,TRUE,"토적및재료집계";#N/A,#N/A,TRUE,"토적및재료집계";#N/A,#N/A,TRUE,"단위량"}</definedName>
    <definedName name="ㅀㅀ" hidden="1">{"'Firr(선)'!$AS$1:$AY$62","'Firr(사)'!$AS$1:$AY$62","'Firr(회)'!$AS$1:$AY$62","'Firr(선)'!$L$1:$V$62","'Firr(사)'!$L$1:$V$62","'Firr(회)'!$L$1:$V$62"}</definedName>
    <definedName name="ㅀㅀㄴ" hidden="1">{#N/A,#N/A,FALSE,"조골재"}</definedName>
    <definedName name="ㅀㅇㅁ" hidden="1">{#N/A,#N/A,FALSE,"골재소요량";#N/A,#N/A,FALSE,"골재소요량"}</definedName>
    <definedName name="ㅀㅎ" hidden="1">{#N/A,#N/A,FALSE,"2~8번"}</definedName>
    <definedName name="ㅀ허" hidden="1">{#N/A,#N/A,FALSE,"CCTV"}</definedName>
    <definedName name="ㅁ" hidden="1">#REF!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" hidden="1">{#N/A,#N/A,TRUE,"토적및재료집계";#N/A,#N/A,TRUE,"토적및재료집계";#N/A,#N/A,TRUE,"단위량"}</definedName>
    <definedName name="ㅁㄴㅇㄹ" hidden="1">{#N/A,#N/A,FALSE,"속도"}</definedName>
    <definedName name="ㅁㄴㅇ류" hidden="1">#REF!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ㄻㄴㄹ" hidden="1">{#N/A,#N/A,FALSE,"명세표"}</definedName>
    <definedName name="ㅁㄷ" hidden="1">#REF!</definedName>
    <definedName name="ㅁㄹ" hidden="1">{#N/A,#N/A,FALSE,"2~8번"}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ㄹ" hidden="1">{#N/A,#N/A,FALSE,"2~8번"}</definedName>
    <definedName name="ㅁㄹㅇㄴ" hidden="1">{#N/A,#N/A,FALSE,"단가표지"}</definedName>
    <definedName name="ㅁㄹㅇ림ㅇ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ㄻㅇㄻㅎㄹ" hidden="1">{#N/A,#N/A,FALSE,"단가표지"}</definedName>
    <definedName name="ㅁㅀㅎ" hidden="1">{#N/A,#N/A,FALSE,"골재소요량";#N/A,#N/A,FALSE,"골재소요량"}</definedName>
    <definedName name="ㅁㅁ" hidden="1">#REF!</definedName>
    <definedName name="ㅁㅁㅁ" hidden="1">#REF!</definedName>
    <definedName name="ㅁㅁㅁㅁㅁㅁ" localSheetId="2" hidden="1">{#N/A,#N/A,FALSE,"조골재"}</definedName>
    <definedName name="ㅁㅁㅁㅁㅁㅁ" hidden="1">#REF!</definedName>
    <definedName name="ㅁㅁㅁㅁㅁㅁㅁㅁ" hidden="1">{#N/A,#N/A,FALSE,"배수1"}</definedName>
    <definedName name="ㅁㅇㄴㄹ" hidden="1">{"SJ - 기본 보기",#N/A,FALSE,"공사별 외주견적"}</definedName>
    <definedName name="ㅁㅇㄹㄴㅇㅁㄹ" hidden="1">{#N/A,#N/A,FALSE,"운반시간"}</definedName>
    <definedName name="ㅁㅇㄹㅇㅁ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ㅍㅊ" hidden="1">{#N/A,#N/A,FALSE,"속도"}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마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만득이" hidden="1">{#N/A,#N/A,FALSE,"2~8번"}</definedName>
    <definedName name="매출액" hidden="1">#REF!</definedName>
    <definedName name="머" hidden="1">{#N/A,#N/A,FALSE,"명세표"}</definedName>
    <definedName name="명일" hidden="1">{#N/A,#N/A,FALSE,"속도"}</definedName>
    <definedName name="몰라" hidden="1">{#N/A,#N/A,FALSE,"명세표"}</definedName>
    <definedName name="물" hidden="1">{#N/A,#N/A,FALSE,"이태원철근"}</definedName>
    <definedName name="물가" hidden="1">{#N/A,#N/A,FALSE,"이태원철근"}</definedName>
    <definedName name="뭐가이태원이야" hidden="1">{#N/A,#N/A,FALSE,"이태원철근"}</definedName>
    <definedName name="뮹ㅊ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" hidden="1">{#N/A,#N/A,TRUE,"토적및재료집계";#N/A,#N/A,TRUE,"토적및재료집계";#N/A,#N/A,TRUE,"단위량"}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 hidden="1">{#N/A,#N/A,FALSE,"표지"}</definedName>
    <definedName name="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localSheetId="2" hidden="1">{#N/A,#N/A,FALSE,"표지목차"}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ㅂ" hidden="1">{#N/A,#N/A,FALSE,"명세표"}</definedName>
    <definedName name="ㅂㅂㅂㅂㅂㅂㅂㄴㄴㄴㄴㄴㄴ" hidden="1">{#N/A,#N/A,FALSE,"단가표지"}</definedName>
    <definedName name="ㅂㅈ" hidden="1">{#N/A,#N/A,TRUE,"1";#N/A,#N/A,TRUE,"2";#N/A,#N/A,TRUE,"3";#N/A,#N/A,TRUE,"4";#N/A,#N/A,TRUE,"5";#N/A,#N/A,TRUE,"6";#N/A,#N/A,TRUE,"7"}</definedName>
    <definedName name="ㅂㅈㄷㄷ" hidden="1">{#N/A,#N/A,TRUE,"토적및재료집계";#N/A,#N/A,TRUE,"토적및재료집계";#N/A,#N/A,TRUE,"단위량"}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붕" hidden="1">{#N/A,#N/A,FALSE,"전력간선"}</definedName>
    <definedName name="배수" hidden="1">{#N/A,#N/A,FALSE,"월공사비집계표양식 (7)";#N/A,#N/A,FALSE,"월공사비집계표양식 (7)"}</definedName>
    <definedName name="배수공집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배수로" hidden="1">{"'중기작업1'!$A$1:$V$18"}</definedName>
    <definedName name="백" hidden="1">{#N/A,#N/A,FALSE,"월공사비집계표양식 (7)";#N/A,#N/A,FALSE,"월공사비집계표양식 (7)"}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hidden="1">{#N/A,#N/A,FALSE,"혼합골재"}</definedName>
    <definedName name="변경" hidden="1">{#N/A,#N/A,FALSE,"현장 NCR 분석";#N/A,#N/A,FALSE,"현장품질감사";#N/A,#N/A,FALSE,"현장품질감사"}</definedName>
    <definedName name="보링" hidden="1">{#N/A,#N/A,FALSE,"포장2"}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구단명" hidden="1">{#N/A,#N/A,TRUE,"토적및재료집계";#N/A,#N/A,TRUE,"토적및재료집계";#N/A,#N/A,TRUE,"단위량"}</definedName>
    <definedName name="복지" hidden="1">#REF!</definedName>
    <definedName name="본" hidden="1">#REF!</definedName>
    <definedName name="봉등비교" hidden="1">{#N/A,#N/A,FALSE,"CCTV"}</definedName>
    <definedName name="부" hidden="1">{#N/A,#N/A,FALSE,"현장 NCR 분석";#N/A,#N/A,FALSE,"현장품질감사";#N/A,#N/A,FALSE,"현장품질감사"}</definedName>
    <definedName name="부대1" hidden="1">{#N/A,#N/A,FALSE,"운반시간"}</definedName>
    <definedName name="부대공총괄수량집계" localSheetId="2" hidden="1">{#N/A,#N/A,FALSE,"2~8번"}</definedName>
    <definedName name="부대공총괄수량집계" hidden="1">{#N/A,#N/A,FALSE,"2~8번"}</definedName>
    <definedName name="부대부본" hidden="1">{#N/A,#N/A,FALSE,"토공2"}</definedName>
    <definedName name="부대원가" hidden="1">{#N/A,#N/A,FALSE,"배수2"}</definedName>
    <definedName name="부대원본" hidden="1">{#N/A,#N/A,FALSE,"토공2"}</definedName>
    <definedName name="부대원본1" hidden="1">{#N/A,#N/A,FALSE,"토공2"}</definedName>
    <definedName name="부대입찰서류작성" hidden="1">#N/A</definedName>
    <definedName name="부대토공" hidden="1">{#N/A,#N/A,FALSE,"구조2"}</definedName>
    <definedName name="부손익" hidden="1">{#N/A,#N/A,FALSE,"현장 NCR 분석";#N/A,#N/A,FALSE,"현장품질감사";#N/A,#N/A,FALSE,"현장품질감사"}</definedName>
    <definedName name="분" hidden="1">{#N/A,#N/A,FALSE,"이태원철근"}</definedName>
    <definedName name="분당협조" hidden="1">{#N/A,#N/A,FALSE,"이태원철근"}</definedName>
    <definedName name="뷰" hidden="1">{#N/A,#N/A,FALSE,"단가표지"}</definedName>
    <definedName name="비교표1" hidden="1">255</definedName>
    <definedName name="비목군집계" hidden="1">#REF!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hidden="1">{#N/A,#N/A,TRUE,"토적및재료집계";#N/A,#N/A,TRUE,"토적및재료집계";#N/A,#N/A,TRUE,"단위량"}</definedName>
    <definedName name="ㅅㄱㄷ" hidden="1">#REF!</definedName>
    <definedName name="ㅅㄱㄷ쇼" hidden="1">#REF!</definedName>
    <definedName name="ㅅㄱ됴ㅛ" hidden="1">#REF!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굲유" hidden="1">{#N/A,#N/A,FALSE,"조골재"}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" hidden="1">#REF!</definedName>
    <definedName name="ㅅㅅㅅ" hidden="1">{#N/A,#N/A,FALSE,"조골재"}</definedName>
    <definedName name="사" hidden="1">#REF!</definedName>
    <definedName name="사급" hidden="1">{#N/A,#N/A,FALSE,"배수2"}</definedName>
    <definedName name="사랑합니다" hidden="1">{#N/A,#N/A,TRUE,"토적및재료집계";#N/A,#N/A,TRUE,"토적및재료집계";#N/A,#N/A,TRUE,"단위량"}</definedName>
    <definedName name="사진" hidden="1">{#N/A,#N/A,FALSE,"단가표지"}</definedName>
    <definedName name="산출근거44" hidden="1">{"'제10장(표)'!$A$5:$L$10"}</definedName>
    <definedName name="산출기초2" hidden="1">#REF!</definedName>
    <definedName name="산출내역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산출내역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삼호" hidden="1">{#N/A,#N/A,FALSE,"배수2"}</definedName>
    <definedName name="상수도2차" hidden="1">{#N/A,#N/A,FALSE,"결의서";#N/A,#N/A,FALSE,"내역서";#N/A,#N/A,FALSE,"도급예상";#N/A,#N/A,FALSE,"시방서"}</definedName>
    <definedName name="새공통" hidden="1">{#N/A,#N/A,FALSE,"이태원철근"}</definedName>
    <definedName name="석재받은의뢰업체" hidden="1">255</definedName>
    <definedName name="석항" hidden="1">{#N/A,#N/A,FALSE,"명세표"}</definedName>
    <definedName name="설" hidden="1">{#N/A,#N/A,TRUE,"총괄"}</definedName>
    <definedName name="설계내역서" hidden="1">{"'별표'!$N$220"}</definedName>
    <definedName name="설계대예산대비표" hidden="1">#REF!</definedName>
    <definedName name="설명" hidden="1">{#N/A,#N/A,FALSE,"부대1"}</definedName>
    <definedName name="설명서" hidden="1">{#N/A,#N/A,FALSE,"포장1";#N/A,#N/A,FALSE,"포장1"}</definedName>
    <definedName name="설변" hidden="1">{#N/A,#N/A,FALSE,"월공사비집계표양식 (7)";#N/A,#N/A,FALSE,"월공사비집계표양식 (7)"}</definedName>
    <definedName name="설비" hidden="1">{#N/A,#N/A,FALSE,"이태원철근"}</definedName>
    <definedName name="세륜세차" hidden="1">#REF!</definedName>
    <definedName name="셔ㅛ" hidden="1">{#N/A,#N/A,FALSE,"운반시간"}</definedName>
    <definedName name="소방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예산" hidden="1">{#N/A,#N/A,FALSE,"단가표지"}</definedName>
    <definedName name="소화갑지" hidden="1">{#N/A,#N/A,FALSE,"CCTV"}</definedName>
    <definedName name="손영주" hidden="1">{#N/A,#N/A,FALSE,"조골재"}</definedName>
    <definedName name="숏" hidden="1">#REF!</definedName>
    <definedName name="순위결정" hidden="1">{"'제10장(표)'!$A$5:$L$10"}</definedName>
    <definedName name="승용교" hidden="1">{#N/A,#N/A,FALSE,"2~8번"}</definedName>
    <definedName name="승인" hidden="1">{#N/A,#N/A,FALSE,"기안지";#N/A,#N/A,FALSE,"통신지"}</definedName>
    <definedName name="승인보고21차" hidden="1">{#N/A,#N/A,FALSE,"기안지";#N/A,#N/A,FALSE,"통신지"}</definedName>
    <definedName name="시멘트골재집계" hidden="1">#REF!</definedName>
    <definedName name="시행" hidden="1">{#N/A,#N/A,FALSE,"이태원철근"}</definedName>
    <definedName name="시행결의갑" hidden="1">{#N/A,#N/A,FALSE,"혼합골재"}</definedName>
    <definedName name="식재이식삽도" hidden="1">{#N/A,#N/A,FALSE,"운반시간"}</definedName>
    <definedName name="신설" hidden="1">{#N/A,#N/A,FALSE,"명세표"}</definedName>
    <definedName name="신호등" hidden="1">{#N/A,#N/A,FALSE,"신청통보";#N/A,#N/A,FALSE,"기성확인서";#N/A,#N/A,FALSE,"기성내역서"}</definedName>
    <definedName name="ㅇ" hidden="1">#REF!</definedName>
    <definedName name="ㅇㄴ" hidden="1">{#N/A,#N/A,FALSE,"2~8번"}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ㄹㄴㄹㄹ" hidden="1">{#N/A,#N/A,FALSE,"운반시간"}</definedName>
    <definedName name="ㅇㄴㄹㅇㄴ" hidden="1">#REF!</definedName>
    <definedName name="ㅇㄴㄻ" hidden="1">{#N/A,#N/A,FALSE,"표지목차"}</definedName>
    <definedName name="ㅇㄴㄻㄴㅇ" hidden="1">{#N/A,#N/A,FALSE,"표지목차"}</definedName>
    <definedName name="ㅇㄴㅁ" hidden="1">#REF!</definedName>
    <definedName name="ㅇㄴㅇㄹ" hidden="1">#REF!</definedName>
    <definedName name="ㅇㄴㅇㄹㄴㅁ" hidden="1">#REF!</definedName>
    <definedName name="ㅇㄴㅇㅇ" hidden="1">#REF!</definedName>
    <definedName name="ㅇㄴㅊ" hidden="1">#REF!</definedName>
    <definedName name="ㅇㄹ" hidden="1">#REF!</definedName>
    <definedName name="ㅇㄹㄴㄹ" hidden="1">#REF!</definedName>
    <definedName name="ㅇㄹㄴㅁㅇㄹ" hidden="1">#REF!</definedName>
    <definedName name="ㅇㄹㄹ" hidden="1">#REF!</definedName>
    <definedName name="ㅇㄹㄹㄴㅇㄹㅇㄹㄴㅇ" hidden="1">#REF!</definedName>
    <definedName name="ㅇㄹㄹㄹㄹㄹㄹ" hidden="1">{#N/A,#N/A,FALSE,"표지목차"}</definedName>
    <definedName name="ㅇㄹㄹㅇ" hidden="1">{#N/A,#N/A,FALSE,"2~8번"}</definedName>
    <definedName name="ㅇㄹㅇ" hidden="1">{#N/A,#N/A,FALSE,"운반시간"}</definedName>
    <definedName name="ㅇㄹㅇㄹ" hidden="1">#REF!</definedName>
    <definedName name="ㅇㄹㅇㅁㄴㄹㅇ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러ㅣㄴ이ㅏ러ㅣ" hidden="1">{#N/A,#N/A,FALSE,"Sheet1"}</definedName>
    <definedName name="ㅇㄻㅇㄻㄴㄹ" hidden="1">{#N/A,#N/A,FALSE,"단가표지"}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ㅁㅇㅁㅇ" hidden="1">{#N/A,#N/A,FALSE,"단가표지"}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ㄹㅇ" hidden="1">#REF!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ㄹㅇㅁㄴㄹ" hidden="1">{#N/A,#N/A,FALSE,"표지목차"}</definedName>
    <definedName name="ㅇㅁㄻ" hidden="1">{#N/A,#N/A,FALSE,"Sheet1"}</definedName>
    <definedName name="ㅇㅁㄻㄴㄹ" hidden="1">{#N/A,#N/A,FALSE,"단가표지"}</definedName>
    <definedName name="ㅇㅇ" localSheetId="2" hidden="1">{#N/A,#N/A,FALSE,"배수2"}</definedName>
    <definedName name="ㅇㅇ" hidden="1">#REF!</definedName>
    <definedName name="ㅇㅇㄴㄴㅇㄹ" hidden="1">#REF!</definedName>
    <definedName name="ㅇㅇㄴㅇㄴ" hidden="1">#REF!</definedName>
    <definedName name="ㅇㅇㄴㅇㅁㅇㄴㄹ" hidden="1">#REF!</definedName>
    <definedName name="ㅇㅇㄹ" hidden="1">#REF!</definedName>
    <definedName name="ㅇㅇㄹㄹㅇ" hidden="1">#REF!</definedName>
    <definedName name="ㅇㅇㄹㄹㅇㄹ" hidden="1">#REF!</definedName>
    <definedName name="ㅇㅇㅇ" hidden="1">#REF!</definedName>
    <definedName name="ㅇㅇㅇㄴ" hidden="1">#REF!</definedName>
    <definedName name="ㅇㅇㅇㅇ" hidden="1">#REF!</definedName>
    <definedName name="ㅇㅇㅇㅇㅇㅇ" hidden="1">{#N/A,#N/A,FALSE,"조골재"}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ㄷㅄㅂㅈㄷㄱ" hidden="1">#REF!</definedName>
    <definedName name="ㅇㅊㅍㅍㅊㅌㅍㅊㅌㅍㅌ" hidden="1">#REF!</definedName>
    <definedName name="ㅇ호" hidden="1">{#N/A,#N/A,FALSE,"혼합골재"}</definedName>
    <definedName name="아란" hidden="1">{#N/A,#N/A,FALSE,"혼합골재"}</definedName>
    <definedName name="아러ㅏ러" hidden="1">{"'Firr(선)'!$AS$1:$AY$62","'Firr(사)'!$AS$1:$AY$62","'Firr(회)'!$AS$1:$AY$62","'Firr(선)'!$L$1:$V$62","'Firr(사)'!$L$1:$V$62","'Firr(회)'!$L$1:$V$62"}</definedName>
    <definedName name="아무" hidden="1">{#N/A,#N/A,FALSE,"배수2"}</definedName>
    <definedName name="아무거나" hidden="1">{#N/A,#N/A,FALSE,"배수2"}</definedName>
    <definedName name="아스콘2" hidden="1">#N/A</definedName>
    <definedName name="아스콘깨기" hidden="1">{#N/A,#N/A,FALSE,"골재소요량";#N/A,#N/A,FALSE,"골재소요량"}</definedName>
    <definedName name="아아아ㅏ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앙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이원만남1" hidden="1">{#N/A,#N/A,TRUE,"토적및재료집계";#N/A,#N/A,TRUE,"토적및재료집계";#N/A,#N/A,TRUE,"단위량"}</definedName>
    <definedName name="아ㅏ" hidden="1">{#N/A,#N/A,FALSE,"조골재"}</definedName>
    <definedName name="아ㅓ림" hidden="1">{#N/A,#N/A,FALSE,"포장1";#N/A,#N/A,FALSE,"포장1"}</definedName>
    <definedName name="안전점검을" hidden="1">{#N/A,#N/A,FALSE,"결의서";#N/A,#N/A,FALSE,"내역서";#N/A,#N/A,FALSE,"도급예상";#N/A,#N/A,FALSE,"시방서"}</definedName>
    <definedName name="암거재료집계" hidden="1">{"'중기작업1'!$A$1:$V$18"}</definedName>
    <definedName name="앤" hidden="1">#REF!</definedName>
    <definedName name="양기용" hidden="1">{#N/A,#N/A,FALSE,"월공사비집계표양식 (7)";#N/A,#N/A,FALSE,"월공사비집계표양식 (7)"}</definedName>
    <definedName name="억이상" hidden="1">{#N/A,#N/A,FALSE,"2~8번"}</definedName>
    <definedName name="업" hidden="1">{#N/A,#N/A,FALSE,"포장2"}</definedName>
    <definedName name="업무배분3" hidden="1">{"'관경확장'!$A$79:$M$98","'관경확장'!$A$54:$M$78"}</definedName>
    <definedName name="업종" hidden="1">{#N/A,#N/A,FALSE,"포장2"}</definedName>
    <definedName name="업체" hidden="1">{#N/A,#N/A,FALSE,"구조2"}</definedName>
    <definedName name="업체순위" hidden="1">{#N/A,#N/A,FALSE,"배수2"}</definedName>
    <definedName name="업체형틀" hidden="1">{#N/A,#N/A,FALSE,"월공사비집계표양식 (7)";#N/A,#N/A,FALSE,"월공사비집계표양식 (7)"}</definedName>
    <definedName name="영산" hidden="1">{#N/A,#N/A,FALSE,"정산총괄 ";#N/A,#N/A,FALSE,"정산설명개착"}</definedName>
    <definedName name="예비" hidden="1">{#N/A,#N/A,TRUE,"토적및재료집계";#N/A,#N/A,TRUE,"토적및재료집계";#N/A,#N/A,TRUE,"단위량"}</definedName>
    <definedName name="예정가" hidden="1">{#N/A,#N/A,FALSE,"포장2"}</definedName>
    <definedName name="오" hidden="1">#REF!</definedName>
    <definedName name="옥외대비" hidden="1">{#N/A,#N/A,FALSE,"이태원철근"}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벽수량집계표" hidden="1">{#N/A,#N/A,FALSE,"2~8번"}</definedName>
    <definedName name="옹벽수량집계표총괄" hidden="1">{#N/A,#N/A,FALSE,"혼합골재"}</definedName>
    <definedName name="완공3" hidden="1">#REF!</definedName>
    <definedName name="완도" hidden="1">{#N/A,#N/A,FALSE,"포장2"}</definedName>
    <definedName name="외주비" hidden="1">{#N/A,#N/A,FALSE,"기안지";#N/A,#N/A,FALSE,"통신지"}</definedName>
    <definedName name="외주비교" hidden="1">{#N/A,#N/A,FALSE,"결의서";#N/A,#N/A,FALSE,"내역서";#N/A,#N/A,FALSE,"도급예상";#N/A,#N/A,FALSE,"시방서"}</definedName>
    <definedName name="용용" hidden="1">{#N/A,#N/A,FALSE,"포장2"}</definedName>
    <definedName name="우ㅗ홓ㅇ" hidden="1">{#N/A,#N/A,FALSE,"조골재"}</definedName>
    <definedName name="운산" hidden="1">{#N/A,#N/A,FALSE,"혼합골재"}</definedName>
    <definedName name="원가" hidden="1">{#N/A,#N/A,FALSE,"운반시간"}</definedName>
    <definedName name="원가계산서3" hidden="1">{#N/A,#N/A,FALSE,"Sheet1"}</definedName>
    <definedName name="원남내역" hidden="1">#REF!</definedName>
    <definedName name="월드건설" hidden="1">{#N/A,#N/A,FALSE,"이태원철근"}</definedName>
    <definedName name="위연주" hidden="1">{#N/A,#N/A,FALSE,"조골재"}</definedName>
    <definedName name="위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문" hidden="1">{#N/A,#N/A,FALSE,"월공사비집계표양식 (7)";#N/A,#N/A,FALSE,"월공사비집계표양식 (7)"}</definedName>
    <definedName name="유지관" hidden="1">#REF!</definedName>
    <definedName name="윤동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창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은행명" hidden="1">[1]주소록!$N$4:$N$27</definedName>
    <definedName name="을지1" hidden="1">{#N/A,#N/A,TRUE,"1";#N/A,#N/A,TRUE,"2";#N/A,#N/A,TRUE,"3";#N/A,#N/A,TRUE,"4";#N/A,#N/A,TRUE,"5";#N/A,#N/A,TRUE,"6";#N/A,#N/A,TRUE,"7"}</definedName>
    <definedName name="의" hidden="1">{#N/A,#N/A,FALSE,"운반시간"}</definedName>
    <definedName name="이가" hidden="1">{"'Firr(선)'!$AS$1:$AY$62","'Firr(사)'!$AS$1:$AY$62","'Firr(회)'!$AS$1:$AY$62","'Firr(선)'!$L$1:$V$62","'Firr(사)'!$L$1:$V$62","'Firr(회)'!$L$1:$V$62"}</definedName>
    <definedName name="이강" hidden="1">{#N/A,#N/A,FALSE,"월공사비집계표양식 (7)";#N/A,#N/A,FALSE,"월공사비집계표양식 (7)"}</definedName>
    <definedName name="이강환" hidden="1">{#N/A,#N/A,FALSE,"월공사비집계표양식 (7)";#N/A,#N/A,FALSE,"월공사비집계표양식 (7)"}</definedName>
    <definedName name="이른" hidden="1">{#N/A,#N/A,FALSE,"2~8번"}</definedName>
    <definedName name="이름" hidden="1">{#N/A,#N/A,FALSE,"구조1"}</definedName>
    <definedName name="이름표" hidden="1">{#N/A,#N/A,FALSE,"단가표지"}</definedName>
    <definedName name="이릉" hidden="1">#REF!</definedName>
    <definedName name="이잉" hidden="1">{#N/A,#N/A,TRUE,"토적및재료집계";#N/A,#N/A,TRUE,"토적및재료집계";#N/A,#N/A,TRUE,"단위량"}</definedName>
    <definedName name="이정" hidden="1">{#N/A,#N/A,FALSE,"2~8번"}</definedName>
    <definedName name="이종훈" hidden="1">#REF!</definedName>
    <definedName name="이ㅓ니ㅣㅓㅇ" hidden="1">0</definedName>
    <definedName name="이ㅣ" hidden="1">{#N/A,#N/A,FALSE,"노무비"}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반가구" hidden="1">{#N/A,#N/A,FALSE,"현장 NCR 분석";#N/A,#N/A,FALSE,"현장품질감사";#N/A,#N/A,FALSE,"현장품질감사"}</definedName>
    <definedName name="일반부" hidden="1">{#N/A,#N/A,FALSE,"조골재"}</definedName>
    <definedName name="입찰금액안" hidden="1">#REF!</definedName>
    <definedName name="ㅈ" hidden="1">#REF!</definedName>
    <definedName name="ㅈㄱ" hidden="1">{#N/A,#N/A,FALSE,"조골재"}</definedName>
    <definedName name="ㅈㄷ" hidden="1">{#N/A,#N/A,FALSE,"혼합골재"}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#REF!</definedName>
    <definedName name="ㅈㅈㅈ" hidden="1">{#N/A,#N/A,FALSE,"월공사비집계표양식 (7)";#N/A,#N/A,FALSE,"월공사비집계표양식 (7)"}</definedName>
    <definedName name="ㅈㅈㅈㅈ" hidden="1">{#N/A,#N/A,FALSE,"명세표"}</definedName>
    <definedName name="ㅈㅈㅈㅈㅈㅈ" localSheetId="2" hidden="1">{#N/A,#N/A,FALSE,"혼합골재"}</definedName>
    <definedName name="ㅈㅈㅈㅈㅈㅈ" hidden="1">{#N/A,#N/A,FALSE,"혼합골재"}</definedName>
    <definedName name="ㅈ자" hidden="1">{#N/A,#N/A,FALSE,"CCTV"}</definedName>
    <definedName name="자미" hidden="1">{#N/A,#N/A,FALSE,"명세표"}</definedName>
    <definedName name="자설용역" hidden="1">{#N/A,#N/A,FALSE,"CCTV"}</definedName>
    <definedName name="자재2" hidden="1">{#N/A,#N/A,FALSE,"구조2"}</definedName>
    <definedName name="자재단가근거" hidden="1">#REF!</definedName>
    <definedName name="자재비청구서" hidden="1">#N/A</definedName>
    <definedName name="장" hidden="1">{#N/A,#N/A,FALSE,"CCTV"}</definedName>
    <definedName name="장비비9월분" hidden="1">{#N/A,#N/A,FALSE,"골재소요량";#N/A,#N/A,FALSE,"골재소요량"}</definedName>
    <definedName name="장위" hidden="1">#REF!</definedName>
    <definedName name="전기1" hidden="1">#REF!</definedName>
    <definedName name="전기내역" hidden="1">{#N/A,#N/A,FALSE,"CCTV"}</definedName>
    <definedName name="전기마감" hidden="1">#REF!</definedName>
    <definedName name="전기특기조건" hidden="1">{#N/A,#N/A,FALSE,"현장 NCR 분석";#N/A,#N/A,FALSE,"현장품질감사";#N/A,#N/A,FALSE,"현장품질감사"}</definedName>
    <definedName name="전선관및접지내역서" hidden="1">#REF!</definedName>
    <definedName name="정" hidden="1">{#N/A,#N/A,TRUE,"수량총괄";#N/A,#N/A,TRUE,"공사비예산서";#N/A,#N/A,TRUE,"공사비예산서 (2)"}</definedName>
    <definedName name="정산수량" hidden="1">{#N/A,#N/A,TRUE,"수량총괄";#N/A,#N/A,TRUE,"공사비예산서";#N/A,#N/A,TRUE,"공사비예산서 (2)"}</definedName>
    <definedName name="정산표" hidden="1">{#N/A,#N/A,FALSE,"현장 NCR 분석";#N/A,#N/A,FALSE,"현장품질감사";#N/A,#N/A,FALSE,"현장품질감사"}</definedName>
    <definedName name="정협사랑" hidden="1">{#N/A,#N/A,TRUE,"토적및재료집계";#N/A,#N/A,TRUE,"토적및재료집계";#N/A,#N/A,TRUE,"단위량"}</definedName>
    <definedName name="정화조" hidden="1">{#N/A,#N/A,FALSE,"CCTV"}</definedName>
    <definedName name="제" hidden="1">#REF!</definedName>
    <definedName name="제수문" hidden="1">#REF!</definedName>
    <definedName name="조경공사" hidden="1">{#N/A,#N/A,FALSE,"갑지";#N/A,#N/A,FALSE,"개요";#N/A,#N/A,FALSE,"비목별";#N/A,#N/A,FALSE,"건물별";#N/A,#N/A,FALSE,"기구표";#N/A,#N/A,FALSE,"직원투입"}</definedName>
    <definedName name="조사가" hidden="1">#REF!</definedName>
    <definedName name="조차장" hidden="1">{#N/A,#N/A,FALSE,"명세표"}</definedName>
    <definedName name="조효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" hidden="1">#REF!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소록" hidden="1">[2]주소록!$A$3:$L$454</definedName>
    <definedName name="주제어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증감내역" hidden="1">#REF!</definedName>
    <definedName name="지역업체" hidden="1">{#N/A,#N/A,FALSE,"배수2"}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직종표" hidden="1">[1]주소록!$Q$4:$Q$542</definedName>
    <definedName name="진" hidden="1">{#N/A,#N/A,FALSE,"2~8번"}</definedName>
    <definedName name="진주" hidden="1">{#N/A,#N/A,FALSE,"배수1"}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" hidden="1">{#N/A,#N/A,FALSE,"월공사비집계표양식 (7)";#N/A,#N/A,FALSE,"월공사비집계표양식 (7)"}</definedName>
    <definedName name="집계1" hidden="1">{#N/A,#N/A,FALSE,"토공2"}</definedName>
    <definedName name="집수정" hidden="1">{#N/A,#N/A,FALSE,"2~8번"}</definedName>
    <definedName name="집수정1" hidden="1">{#N/A,#N/A,FALSE,"배수1"}</definedName>
    <definedName name="집수정1최종" hidden="1">{#N/A,#N/A,FALSE,"2~8번"}</definedName>
    <definedName name="집수정토공산출" hidden="1">{#N/A,#N/A,FALSE,"2~8번"}</definedName>
    <definedName name="ㅊ추ㅜ" localSheetId="2" hidden="1">{#N/A,#N/A,FALSE,"구조2"}</definedName>
    <definedName name="ㅊ추ㅜ" hidden="1">{#N/A,#N/A,FALSE,"구조2"}</definedName>
    <definedName name="ㅊㅍ" localSheetId="2" hidden="1">{#N/A,#N/A,FALSE,"2~8번"}</definedName>
    <definedName name="ㅊㅍ" hidden="1">{#N/A,#N/A,FALSE,"2~8번"}</definedName>
    <definedName name="ㅊㅍㅋㅌㅊㅋ" hidden="1">{#N/A,#N/A,FALSE,"운반시간"}</definedName>
    <definedName name="ㅊㅍㅋㅌㅍㅌ" hidden="1">{#N/A,#N/A,FALSE,"혼합골재"}</definedName>
    <definedName name="차수별" hidden="1">{#N/A,#N/A,FALSE,"토공2"}</definedName>
    <definedName name="차차" hidden="1">#REF!</definedName>
    <definedName name="천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철골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철골협의" hidden="1">{#N/A,#N/A,FALSE,"현장 NCR 분석";#N/A,#N/A,FALSE,"현장품질감사";#N/A,#N/A,FALSE,"현장품질감사"}</definedName>
    <definedName name="철근량" hidden="1">{#N/A,#N/A,FALSE,"전력간선"}</definedName>
    <definedName name="철콘부대외" hidden="1">{#N/A,#N/A,FALSE,"Sheet1"}</definedName>
    <definedName name="첫장" hidden="1">{#N/A,#N/A,TRUE,"총괄"}</definedName>
    <definedName name="총" hidden="1">{#N/A,#N/A,FALSE,"부대1"}</definedName>
    <definedName name="총공" hidden="1">{#N/A,#N/A,FALSE,"운반시간"}</definedName>
    <definedName name="총공사비2" hidden="1">{#N/A,#N/A,FALSE,"전력간선"}</definedName>
    <definedName name="총괄내역" hidden="1">{#N/A,#N/A,TRUE,"총괄"}</definedName>
    <definedName name="총괄내역서" hidden="1">{#N/A,#N/A,TRUE,"총괄"}</definedName>
    <definedName name="추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추가깍기" hidden="1">{#N/A,#N/A,FALSE,"조골재"}</definedName>
    <definedName name="추정" hidden="1">{#N/A,#N/A,FALSE,"포장2"}</definedName>
    <definedName name="충주" hidden="1">#REF!</definedName>
    <definedName name="측구단수L옹벽형" hidden="1">#REF!</definedName>
    <definedName name="칤" hidden="1">#REF!</definedName>
    <definedName name="ㅋ" hidden="1">{#N/A,#N/A,FALSE,"조골재"}</definedName>
    <definedName name="ㅋㅁ" hidden="1">{#N/A,#N/A,FALSE,"명세표"}</definedName>
    <definedName name="ㅋㅋ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ㅋㅋㅋ" hidden="1">{#N/A,#N/A,FALSE,"단가표지"}</definedName>
    <definedName name="ㅋ쿠ㅜ" localSheetId="2" hidden="1">{#N/A,#N/A,FALSE,"2~8번"}</definedName>
    <definedName name="ㅋ쿠ㅜ" hidden="1">{#N/A,#N/A,FALSE,"2~8번"}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콘크리트깨기" hidden="1">{"'중기작업1'!$A$1:$V$18"}</definedName>
    <definedName name="ㅌ" hidden="1">{#N/A,#N/A,FALSE,"2~8번"}</definedName>
    <definedName name="ㅌㅁㅋ" hidden="1">#REF!</definedName>
    <definedName name="ㅌㅊㅀ" hidden="1">{#N/A,#N/A,FALSE,"운반시간"}</definedName>
    <definedName name="ㅌㅌ" localSheetId="2" hidden="1">{#N/A,#N/A,FALSE,"2~8번"}</definedName>
    <definedName name="ㅌㅌ" hidden="1">#REF!</definedName>
    <definedName name="ㅌ투ㅜ" localSheetId="2" hidden="1">{#N/A,#N/A,FALSE,"골재소요량";#N/A,#N/A,FALSE,"골재소요량"}</definedName>
    <definedName name="ㅌ투ㅜ" hidden="1">{#N/A,#N/A,FALSE,"골재소요량";#N/A,#N/A,FALSE,"골재소요량"}</definedName>
    <definedName name="ㅌㅍ츛ㅌ" hidden="1">{#N/A,#N/A,FALSE,"운반시간"}</definedName>
    <definedName name="탈" hidden="1">{#N/A,#N/A,FALSE,"CCTV"}</definedName>
    <definedName name="태영지급" hidden="1">{#N/A,#N/A,FALSE,"부대1"}</definedName>
    <definedName name="테스크" hidden="1">{#N/A,#N/A,FALSE,"단가표지"}</definedName>
    <definedName name="테스트" hidden="1">#REF!</definedName>
    <definedName name="토" hidden="1">#REF!</definedName>
    <definedName name="토공" hidden="1">{#N/A,#N/A,FALSE,"포장2"}</definedName>
    <definedName name="토공11" hidden="1">{#N/A,#N/A,FALSE,"포장2"}</definedName>
    <definedName name="토공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토목견적" hidden="1">{#N/A,#N/A,FALSE,"골재소요량";#N/A,#N/A,FALSE,"골재소요량"}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" hidden="1">{#N/A,#N/A,FALSE,"골재소요량";#N/A,#N/A,FALSE,"골재소요량"}</definedName>
    <definedName name="토적계산" hidden="1">#REF!</definedName>
    <definedName name="토적집계1" hidden="1">{#N/A,#N/A,TRUE,"토적및재료집계";#N/A,#N/A,TRUE,"토적및재료집계";#N/A,#N/A,TRUE,"단위량"}</definedName>
    <definedName name="토적집계2" hidden="1">{#N/A,#N/A,TRUE,"토적및재료집계";#N/A,#N/A,TRUE,"토적및재료집계";#N/A,#N/A,TRUE,"단위량"}</definedName>
    <definedName name="토적표" hidden="1">#REF!</definedName>
    <definedName name="토출조" hidden="1">{"'중기작업1'!$A$1:$V$18"}</definedName>
    <definedName name="통관총괄" hidden="1">#REF!</definedName>
    <definedName name="투3" hidden="1">{#N/A,#N/A,FALSE,"배수2"}</definedName>
    <definedName name="투찰표" hidden="1">{#N/A,#N/A,FALSE,"부대1"}</definedName>
    <definedName name="ㅍ" hidden="1">{#N/A,#N/A,FALSE,"2~8번"}</definedName>
    <definedName name="ㅍㄴㄹ" hidden="1">#REF!</definedName>
    <definedName name="ㅍㅊㅊㅊ" localSheetId="2" hidden="1">{#N/A,#N/A,FALSE,"운반시간"}</definedName>
    <definedName name="ㅍㅊㅊㅊ" hidden="1">{#N/A,#N/A,FALSE,"운반시간"}</definedName>
    <definedName name="ㅍㅊㅊㅍㅊㅍㅍㅊㅊㅍ" hidden="1">#REF!</definedName>
    <definedName name="ㅍㅊㅊㅍㅍㅊㅊㅍ" hidden="1">#REF!</definedName>
    <definedName name="ㅍㅊㅌ" hidden="1">#REF!</definedName>
    <definedName name="ㅍㅊㅍㅊ" hidden="1">#REF!</definedName>
    <definedName name="ㅍㅊㅍㅍㅊㅊ" hidden="1">#REF!</definedName>
    <definedName name="ㅍ춫" hidden="1">{#N/A,#N/A,FALSE,"골재소요량";#N/A,#N/A,FALSE,"골재소요량"}</definedName>
    <definedName name="ㅍ츝" hidden="1">{#N/A,#N/A,FALSE,"표지목차"}</definedName>
    <definedName name="ㅍㅍ" localSheetId="2" hidden="1">{#N/A,#N/A,FALSE,"단가표지"}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#REF!</definedName>
    <definedName name="ㅍㅍㅍㅍ" hidden="1">#REF!</definedName>
    <definedName name="ㅍㅍㅍㅍㅍ" hidden="1">#REF!</definedName>
    <definedName name="파일" hidden="1">#REF!</definedName>
    <definedName name="팔" hidden="1">#REF!</definedName>
    <definedName name="페이지" hidden="1">{"'Firr(선)'!$AS$1:$AY$62","'Firr(사)'!$AS$1:$AY$62","'Firr(회)'!$AS$1:$AY$62","'Firr(선)'!$L$1:$V$62","'Firr(사)'!$L$1:$V$62","'Firr(회)'!$L$1:$V$62"}</definedName>
    <definedName name="평당단가" hidden="1">#REF!</definedName>
    <definedName name="포장" hidden="1">{#N/A,#N/A,FALSE,"포장2"}</definedName>
    <definedName name="표석" hidden="1">{#N/A,#N/A,FALSE,"구조2"}</definedName>
    <definedName name="표지" hidden="1">#REF!</definedName>
    <definedName name="표지2" hidden="1">#REF!</definedName>
    <definedName name="표지3" hidden="1">{"'관경확장'!$A$79:$M$98","'관경확장'!$A$54:$M$78"}</definedName>
    <definedName name="표지5" hidden="1">{#N/A,#N/A,FALSE,"Sheet1"}</definedName>
    <definedName name="품의서" hidden="1">{#N/A,#N/A,FALSE,"혼합골재"}</definedName>
    <definedName name="피로티" hidden="1">{#N/A,#N/A,FALSE,"이태원철근"}</definedName>
    <definedName name="피로티1" hidden="1">{#N/A,#N/A,FALSE,"이태원철근"}</definedName>
    <definedName name="ㅎ5" hidden="1">{#N/A,#N/A,FALSE,"골재소요량";#N/A,#N/A,FALSE,"골재소요량"}</definedName>
    <definedName name="ㅎㄴ" hidden="1">{#N/A,#N/A,FALSE,"단가표지"}</definedName>
    <definedName name="ㅎ노ㅠ" hidden="1">{#N/A,#N/A,FALSE,"배수1"}</definedName>
    <definedName name="ㅎㄶ" hidden="1">{#N/A,#N/A,FALSE,"속도"}</definedName>
    <definedName name="ㅎㄷ" hidden="1">#REF!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ㄶㅇㄴ" hidden="1">#REF!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" hidden="1">#REF!</definedName>
    <definedName name="ㅎㅎㅎㅎ" localSheetId="2" hidden="1">{#N/A,#N/A,FALSE,"부대2"}</definedName>
    <definedName name="ㅎㅎㅎㅎ" hidden="1">{#N/A,#N/A,FALSE,"부대2"}</definedName>
    <definedName name="ㅎㅎㅎㅎㅎㅎ" localSheetId="2" hidden="1">{#N/A,#N/A,FALSE,"포장1";#N/A,#N/A,FALSE,"포장1"}</definedName>
    <definedName name="ㅎㅎㅎㅎㅎㅎ" hidden="1">{#N/A,#N/A,FALSE,"포장1";#N/A,#N/A,FALSE,"포장1"}</definedName>
    <definedName name="하다" hidden="1">{#N/A,#N/A,FALSE,"골재소요량";#N/A,#N/A,FALSE,"골재소요량"}</definedName>
    <definedName name="하도급통" hidden="1">{#N/A,#N/A,FALSE,"혼합골재"}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상유지공" hidden="1">{#N/A,#N/A,FALSE,"배수1"}</definedName>
    <definedName name="하하하" hidden="1">{#N/A,#N/A,FALSE,"단가표지"}</definedName>
    <definedName name="하한선" hidden="1">{#N/A,#N/A,FALSE,"배수2"}</definedName>
    <definedName name="학교" hidden="1">{#N/A,#N/A,FALSE,"2~8번"}</definedName>
    <definedName name="학교는간다" hidden="1">{#N/A,#N/A,FALSE,"단가표지"}</definedName>
    <definedName name="한" hidden="1">#REF!</definedName>
    <definedName name="한동" hidden="1">{#N/A,#N/A,FALSE,"단가표지"}</definedName>
    <definedName name="한동1" hidden="1">{#N/A,#N/A,FALSE,"단가표지"}</definedName>
    <definedName name="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" hidden="1">{#N/A,#N/A,FALSE,"포장2"}</definedName>
    <definedName name="현장" hidden="1">{#N/A,#N/A,FALSE,"CCTV"}</definedName>
    <definedName name="현장운영비산출" hidden="1">#REF!</definedName>
    <definedName name="현조" hidden="1">#REF!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형틀업체" hidden="1">{#N/A,#N/A,FALSE,"월공사비집계표양식 (7)";#N/A,#N/A,FALSE,"월공사비집계표양식 (7)"}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우" hidden="1">{#N/A,#N/A,FALSE,"표지목차"}</definedName>
    <definedName name="호우ㅗ" hidden="1">{#N/A,#N/A,FALSE,"단가표지"}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호호" hidden="1">{#N/A,#N/A,FALSE,"명세표"}</definedName>
    <definedName name="호ㅓㅎ" hidden="1">{#N/A,#N/A,FALSE,"표지목차"}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ㅕㅏ6ㅅ서ㅛㅓ" hidden="1">#REF!</definedName>
    <definedName name="혼ㄹ" hidden="1">{#N/A,#N/A,FALSE,"운반시간"}</definedName>
    <definedName name="홀ㄴㄺㅅ" hidden="1">{#N/A,#N/A,FALSE,"단가표지"}</definedName>
    <definedName name="홀ㄹㄹㄹㄹㄹㄹㄹㄹ" hidden="1">{#N/A,#N/A,FALSE,"단가표지"}</definedName>
    <definedName name="홓" hidden="1">{#N/A,#N/A,FALSE,"조골재"}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확역서1" hidden="1">#REF!</definedName>
    <definedName name="환" hidden="1">{#N/A,#N/A,FALSE,"월공사비집계표양식 (7)";#N/A,#N/A,FALSE,"월공사비집계표양식 (7)"}</definedName>
    <definedName name="효석" hidden="1">{"'Firr(선)'!$AS$1:$AY$62","'Firr(사)'!$AS$1:$AY$62","'Firr(회)'!$AS$1:$AY$62","'Firr(선)'!$L$1:$V$62","'Firr(사)'!$L$1:$V$62","'Firr(회)'!$L$1:$V$62"}</definedName>
    <definedName name="ㅏ" hidden="1">{#N/A,#N/A,FALSE,"운반시간"}</definedName>
    <definedName name="ㅏ1" hidden="1">#REF!</definedName>
    <definedName name="ㅏ허화" hidden="1">{#N/A,#N/A,FALSE,"골재소요량";#N/A,#N/A,FALSE,"골재소요량"}</definedName>
    <definedName name="ㅏㅏㅏ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ㅏㅏㅏㅏ" hidden="1">{#N/A,#N/A,FALSE,"2~8번"}</definedName>
    <definedName name="ㅏㅓ" hidden="1">{#N/A,#N/A,FALSE,"골재소요량";#N/A,#N/A,FALSE,"골재소요량"}</definedName>
    <definedName name="ㅏㅓ화호" hidden="1">{#N/A,#N/A,FALSE,"단가표지"}</definedName>
    <definedName name="ㅏㅓㅏ" hidden="1">{#N/A,#N/A,FALSE,"단가표지"}</definedName>
    <definedName name="ㅏㅓㅏㅓ" hidden="1">{#N/A,#N/A,FALSE,"2~8번"}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ㅕ라ㅕ" hidden="1">#REF!</definedName>
    <definedName name="ㅏㅗㅓㅏ화호" hidden="1">{#N/A,#N/A,FALSE,"표지목차"}</definedName>
    <definedName name="ㅏㅣ" hidden="1">{#N/A,#N/A,FALSE,"단가표지"}</definedName>
    <definedName name="ㅐ" hidden="1">{#N/A,#N/A,FALSE,"이태원철근"}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" hidden="1">{#N/A,#N/A,FALSE,"조골재"}</definedName>
    <definedName name="ㅓ" hidden="1">{#N/A,#N/A,FALSE,"이태원철근"}</definedName>
    <definedName name="ㅓ7" hidden="1">{#N/A,#N/A,FALSE,"단가표지"}</definedName>
    <definedName name="ㅓ가거" hidden="1">{#N/A,#N/A,FALSE,"단가표지"}</definedName>
    <definedName name="ㅓㄴㄱ" hidden="1">#REF!</definedName>
    <definedName name="ㅓㄴㅇ러" hidden="1">{#N/A,#N/A,FALSE,"골재소요량";#N/A,#N/A,FALSE,"골재소요량"}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" hidden="1">{#N/A,#N/A,FALSE,"골재소요량";#N/A,#N/A,FALSE,"골재소요량"}</definedName>
    <definedName name="ㅓㅏ호" hidden="1">{#N/A,#N/A,FALSE,"단가표지"}</definedName>
    <definedName name="ㅓㅏ호ㅓ" hidden="1">{#N/A,#N/A,FALSE,"단가표지"}</definedName>
    <definedName name="ㅓㅏㅓ" hidden="1">{#N/A,#N/A,FALSE,"조골재"}</definedName>
    <definedName name="ㅓㅏㅗ하ㅗㅓㅎ" hidden="1">{#N/A,#N/A,FALSE,"혼합골재"}</definedName>
    <definedName name="ㅓㅓㅓㅓㅓ" localSheetId="2" hidden="1">{#N/A,#N/A,FALSE,"운반시간"}</definedName>
    <definedName name="ㅓㅓㅓㅓㅓ" hidden="1">{#N/A,#N/A,FALSE,"운반시간"}</definedName>
    <definedName name="ㅓㅓㅓㅓㅓㅓㅓㅓ" localSheetId="2" hidden="1">{#N/A,#N/A,FALSE,"포장2"}</definedName>
    <definedName name="ㅓㅓㅓㅓㅓㅓㅓㅓ" hidden="1">{#N/A,#N/A,FALSE,"포장2"}</definedName>
    <definedName name="ㅓㅓㅗ" hidden="1">{#N/A,#N/A,FALSE,"조골재"}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ㅓ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" hidden="1">{#N/A,#N/A,FALSE,"이태원철근"}</definedName>
    <definedName name="ㅔ3" hidden="1">{#N/A,#N/A,FALSE,"배수1"}</definedName>
    <definedName name="ㅔㅔ" hidden="1">#REF!</definedName>
    <definedName name="ㅕㅓㅑㅓ" hidden="1">{#N/A,#N/A,FALSE,"단가표지"}</definedName>
    <definedName name="ㅕㅕㅑ" hidden="1">#REF!</definedName>
    <definedName name="ㅕㅕㅕ" hidden="1">{#N/A,#N/A,FALSE,"표지"}</definedName>
    <definedName name="ㅗ" hidden="1">{#N/A,#N/A,FALSE,"이태원철근"}</definedName>
    <definedName name="ㅗㄹㄶ" hidden="1">{#N/A,#N/A,FALSE,"조골재"}</definedName>
    <definedName name="ㅗㅅㄱ" hidden="1">{#N/A,#N/A,TRUE,"토적및재료집계";#N/A,#N/A,TRUE,"토적및재료집계";#N/A,#N/A,TRUE,"단위량"}</definedName>
    <definedName name="ㅗ옹" hidden="1">{"'제조(순번)'!$A$386:$A$387","'제조(순번)'!$A$1:$H$399"}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ㅗ" hidden="1">{#N/A,#N/A,FALSE,"단가표지"}</definedName>
    <definedName name="ㅗ호" hidden="1">{#N/A,#N/A,FALSE,"조골재"}</definedName>
    <definedName name="ㅗㅓ" hidden="1">{#N/A,#N/A,FALSE,"조골재"}</definedName>
    <definedName name="ㅗㅓ쇼ㅓㅕㄷ쇼ㅓㅕㄷㅅ" hidden="1">{#N/A,#N/A,FALSE,"단가표지"}</definedName>
    <definedName name="ㅗㅓㅎ로ㅓㅎㄹ" hidden="1">{#N/A,#N/A,FALSE,"표지목차"}</definedName>
    <definedName name="ㅗㅓㅗ" hidden="1">{#N/A,#N/A,FALSE,"골재소요량";#N/A,#N/A,FALSE,"골재소요량"}</definedName>
    <definedName name="ㅗㅗ" hidden="1">{#N/A,#N/A,FALSE,"명세표"}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ㅗ" hidden="1">#REF!</definedName>
    <definedName name="ㅗㅗㅗㅗㅗ" localSheetId="2" hidden="1">{#N/A,#N/A,FALSE,"속도"}</definedName>
    <definedName name="ㅗㅗㅗㅗㅗ" hidden="1">{#N/A,#N/A,FALSE,"속도"}</definedName>
    <definedName name="ㅗㅠㅍ" hidden="1">{#N/A,#N/A,FALSE,"혼합골재"}</definedName>
    <definedName name="ㅘㅗ허ㅎ" hidden="1">#REF!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{#N/A,#N/A,FALSE,"이태원철근"}</definedName>
    <definedName name="ㅛㅛ" localSheetId="2" hidden="1">{#N/A,#N/A,FALSE,"배수1"}</definedName>
    <definedName name="ㅛㅛ" hidden="1">{#N/A,#N/A,FALSE,"배수1"}</definedName>
    <definedName name="ㅛㅛㅛㅛ" hidden="1">#REF!</definedName>
    <definedName name="ㅜ" hidden="1">{#N/A,#N/A,FALSE,"조골재"}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ㅜㅜㅜㅜㅜ" localSheetId="2" hidden="1">{#N/A,#N/A,FALSE,"2~8번"}</definedName>
    <definedName name="ㅜㅜㅜㅜㅜㅜ" hidden="1">{#N/A,#N/A,FALSE,"2~8번"}</definedName>
    <definedName name="ㅜㅠ푸" hidden="1">{#N/A,#N/A,FALSE,"운반시간"}</definedName>
    <definedName name="ㅜㅠㅠ" hidden="1">{#N/A,#N/A,FALSE,"골재소요량";#N/A,#N/A,FALSE,"골재소요량"}</definedName>
    <definedName name="ㅜㅡㅡㅡ" hidden="1">{#N/A,#N/A,FALSE,"단가표지"}</definedName>
    <definedName name="ㅝㅎㄹ" hidden="1">{#N/A,#N/A,FALSE,"단가표지"}</definedName>
    <definedName name="ㅠ" localSheetId="2" hidden="1">{#N/A,#N/A,FALSE,"단가표지"}</definedName>
    <definedName name="ㅠ" hidden="1">{#N/A,#N/A,FALSE,"이태원철근"}</definedName>
    <definedName name="ㅠㄱㅇ" hidden="1">#REF!</definedName>
    <definedName name="ㅠㄴ" hidden="1">{#N/A,#N/A,FALSE,"조골재"}</definedName>
    <definedName name="ㅠㄴㅀㅎ" hidden="1">#REF!</definedName>
    <definedName name="ㅠㄷㅁㄴ" hidden="1">#REF!</definedName>
    <definedName name="ㅠㄹㅇㄴㄴㄹㅇ" hidden="1">{#N/A,#N/A,FALSE,"단가표지"}</definedName>
    <definedName name="ㅠㅁㄹㅇㄹ" hidden="1">#REF!</definedName>
    <definedName name="ㅠ뮤ㅐ" hidden="1">#REF!</definedName>
    <definedName name="ㅠㅇㅁㄹㅇㅁ" hidden="1">#REF!</definedName>
    <definedName name="ㅠㅊㅌ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ㄷㄴ" hidden="1">#REF!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" hidden="1">#REF!</definedName>
    <definedName name="ㅠㅠㅠ" hidden="1">#REF!</definedName>
    <definedName name="ㅡ" hidden="1">{#N/A,#N/A,FALSE,"2~8번"}</definedName>
    <definedName name="ㅡㅋ" localSheetId="2" hidden="1">{#N/A,#N/A,FALSE,"2~8번"}</definedName>
    <definedName name="ㅡㅋ" hidden="1">{#N/A,#N/A,FALSE,"2~8번"}</definedName>
    <definedName name="ㅡㅡ" hidden="1">{#N/A,#N/A,FALSE,"명세표"}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ㅏㅚㅗㅓ" hidden="1">#REF!</definedName>
    <definedName name="ㅣㅏㅣ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ㅑㅑ" hidden="1">{#N/A,#N/A,FALSE,"단가표지"}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ㅣㅣ" hidden="1">#REF!</definedName>
    <definedName name="ㅣㅣㅣㅣㅣ" hidden="1">#REF!</definedName>
    <definedName name="ㅣㅣㅣㅣㅣㅣ" hidden="1">#REF!</definedName>
  </definedNames>
  <calcPr calcId="191029"/>
</workbook>
</file>

<file path=xl/calcChain.xml><?xml version="1.0" encoding="utf-8"?>
<calcChain xmlns="http://schemas.openxmlformats.org/spreadsheetml/2006/main">
  <c r="V8" i="57" l="1"/>
  <c r="G20" i="57"/>
  <c r="G34" i="57"/>
  <c r="G33" i="57"/>
  <c r="G32" i="57"/>
  <c r="G31" i="57"/>
  <c r="G30" i="57"/>
  <c r="G29" i="57"/>
  <c r="G28" i="57"/>
  <c r="G27" i="57"/>
  <c r="G26" i="57"/>
  <c r="G25" i="57"/>
  <c r="G24" i="57"/>
  <c r="G23" i="57"/>
  <c r="G22" i="57"/>
  <c r="G21" i="57"/>
  <c r="G8" i="153"/>
  <c r="C41" i="153"/>
  <c r="C40" i="153"/>
  <c r="C39" i="153"/>
  <c r="C38" i="153"/>
  <c r="C37" i="153"/>
  <c r="C36" i="153"/>
  <c r="C35" i="153"/>
  <c r="C34" i="153"/>
  <c r="C33" i="153"/>
  <c r="C32" i="153"/>
  <c r="C9" i="155"/>
  <c r="C7" i="155"/>
  <c r="M16" i="57"/>
  <c r="M17" i="57"/>
  <c r="M15" i="57"/>
  <c r="E32" i="153" l="1"/>
  <c r="E33" i="153"/>
  <c r="E34" i="153"/>
  <c r="E36" i="153"/>
  <c r="E38" i="153"/>
  <c r="E40" i="153"/>
  <c r="E35" i="153"/>
  <c r="E37" i="153"/>
  <c r="E39" i="153"/>
  <c r="E41" i="153"/>
  <c r="B32" i="153"/>
  <c r="B33" i="153"/>
  <c r="B34" i="153"/>
  <c r="B35" i="153"/>
  <c r="B36" i="153"/>
  <c r="B37" i="153"/>
  <c r="B38" i="153"/>
  <c r="B39" i="153"/>
  <c r="B40" i="153"/>
  <c r="B41" i="153"/>
  <c r="F32" i="153"/>
  <c r="F35" i="153"/>
  <c r="F38" i="153"/>
  <c r="F40" i="153"/>
  <c r="F41" i="153"/>
  <c r="F33" i="153"/>
  <c r="F34" i="153"/>
  <c r="F36" i="153"/>
  <c r="F37" i="153"/>
  <c r="F39" i="153"/>
  <c r="B21" i="154" l="1"/>
  <c r="B8" i="153"/>
  <c r="F8" i="153"/>
  <c r="E8" i="153"/>
  <c r="C6" i="153"/>
  <c r="C7" i="153"/>
  <c r="C9" i="153"/>
  <c r="C10" i="153"/>
  <c r="G10" i="153" s="1"/>
  <c r="C11" i="153"/>
  <c r="C12" i="153"/>
  <c r="C13" i="153"/>
  <c r="C14" i="153"/>
  <c r="C15" i="153"/>
  <c r="C16" i="153"/>
  <c r="G16" i="153" s="1"/>
  <c r="C17" i="153"/>
  <c r="C18" i="153"/>
  <c r="E18" i="153" s="1"/>
  <c r="C19" i="153"/>
  <c r="C20" i="153"/>
  <c r="C21" i="153"/>
  <c r="C22" i="153"/>
  <c r="G22" i="153" s="1"/>
  <c r="C23" i="153"/>
  <c r="E23" i="153" s="1"/>
  <c r="C24" i="153"/>
  <c r="C25" i="153"/>
  <c r="C26" i="153"/>
  <c r="C27" i="153"/>
  <c r="C5" i="153"/>
  <c r="G3" i="151"/>
  <c r="B3" i="153" s="1"/>
  <c r="B17" i="155"/>
  <c r="H26" i="154"/>
  <c r="C21" i="155" s="1"/>
  <c r="H25" i="154"/>
  <c r="C20" i="155" s="1"/>
  <c r="E56" i="153"/>
  <c r="E55" i="153"/>
  <c r="E54" i="153"/>
  <c r="H17" i="152"/>
  <c r="G17" i="152"/>
  <c r="F17" i="152"/>
  <c r="J16" i="152"/>
  <c r="J15" i="152"/>
  <c r="L14" i="152"/>
  <c r="J14" i="152"/>
  <c r="J13" i="152"/>
  <c r="J12" i="152"/>
  <c r="J11" i="152"/>
  <c r="G10" i="152"/>
  <c r="G18" i="152" s="1"/>
  <c r="J9" i="152"/>
  <c r="J8" i="152"/>
  <c r="A3" i="152"/>
  <c r="A49" i="151"/>
  <c r="B28" i="154" s="1"/>
  <c r="B27" i="155" s="1"/>
  <c r="I46" i="151"/>
  <c r="I45" i="151"/>
  <c r="O44" i="151"/>
  <c r="I44" i="151" s="1"/>
  <c r="I43" i="151"/>
  <c r="I42" i="151"/>
  <c r="O41" i="151"/>
  <c r="I41" i="151" s="1"/>
  <c r="I40" i="151"/>
  <c r="I39" i="151"/>
  <c r="O38" i="151"/>
  <c r="I38" i="151" s="1"/>
  <c r="I37" i="151"/>
  <c r="I36" i="151"/>
  <c r="D27" i="151"/>
  <c r="D26" i="151"/>
  <c r="D25" i="151"/>
  <c r="D24" i="151"/>
  <c r="O19" i="151"/>
  <c r="L19" i="151"/>
  <c r="G19" i="151" s="1"/>
  <c r="O17" i="151"/>
  <c r="L17" i="151"/>
  <c r="P17" i="151" s="1"/>
  <c r="P15" i="151"/>
  <c r="O15" i="151"/>
  <c r="L15" i="151"/>
  <c r="G15" i="151" s="1"/>
  <c r="O13" i="151"/>
  <c r="L13" i="151"/>
  <c r="P13" i="151" s="1"/>
  <c r="Q7" i="151"/>
  <c r="R6" i="151"/>
  <c r="S6" i="151" s="1"/>
  <c r="L8" i="151" s="1"/>
  <c r="G4" i="151"/>
  <c r="C3" i="152" l="1"/>
  <c r="G17" i="151"/>
  <c r="J17" i="152"/>
  <c r="E4" i="154"/>
  <c r="F10" i="153"/>
  <c r="F16" i="153"/>
  <c r="E16" i="153"/>
  <c r="E27" i="153"/>
  <c r="G27" i="153"/>
  <c r="F23" i="153"/>
  <c r="G23" i="153"/>
  <c r="F22" i="153"/>
  <c r="B27" i="153"/>
  <c r="F24" i="153"/>
  <c r="G24" i="153"/>
  <c r="E22" i="153"/>
  <c r="F27" i="153"/>
  <c r="E25" i="153"/>
  <c r="G25" i="153"/>
  <c r="E26" i="153"/>
  <c r="G26" i="153"/>
  <c r="E24" i="153"/>
  <c r="B22" i="153"/>
  <c r="E19" i="153"/>
  <c r="G19" i="153"/>
  <c r="E15" i="153"/>
  <c r="G15" i="153"/>
  <c r="F11" i="153"/>
  <c r="G11" i="153"/>
  <c r="E11" i="153"/>
  <c r="B10" i="153"/>
  <c r="E20" i="153"/>
  <c r="G20" i="153"/>
  <c r="F12" i="153"/>
  <c r="G12" i="153"/>
  <c r="E12" i="153"/>
  <c r="F15" i="153"/>
  <c r="B15" i="153"/>
  <c r="E21" i="153"/>
  <c r="G21" i="153"/>
  <c r="F17" i="153"/>
  <c r="G17" i="153"/>
  <c r="E13" i="153"/>
  <c r="G13" i="153"/>
  <c r="E9" i="153"/>
  <c r="G9" i="153"/>
  <c r="B16" i="153"/>
  <c r="F18" i="153"/>
  <c r="G18" i="153"/>
  <c r="E14" i="153"/>
  <c r="G14" i="153"/>
  <c r="E17" i="153"/>
  <c r="E10" i="153"/>
  <c r="F21" i="153"/>
  <c r="F9" i="153"/>
  <c r="B21" i="153"/>
  <c r="B9" i="153"/>
  <c r="E7" i="153"/>
  <c r="G7" i="153"/>
  <c r="E6" i="153"/>
  <c r="G6" i="153"/>
  <c r="G5" i="153"/>
  <c r="B5" i="153"/>
  <c r="F5" i="153"/>
  <c r="E5" i="153"/>
  <c r="O35" i="151"/>
  <c r="A5" i="153" s="1"/>
  <c r="C10" i="155"/>
  <c r="D7" i="152"/>
  <c r="B26" i="153"/>
  <c r="B20" i="153"/>
  <c r="B14" i="153"/>
  <c r="F26" i="153"/>
  <c r="F20" i="153"/>
  <c r="F14" i="153"/>
  <c r="B25" i="153"/>
  <c r="B19" i="153"/>
  <c r="B13" i="153"/>
  <c r="B7" i="153"/>
  <c r="F25" i="153"/>
  <c r="F19" i="153"/>
  <c r="F13" i="153"/>
  <c r="F7" i="153"/>
  <c r="B24" i="153"/>
  <c r="B18" i="153"/>
  <c r="B12" i="153"/>
  <c r="B6" i="153"/>
  <c r="F6" i="153"/>
  <c r="B23" i="153"/>
  <c r="B17" i="153"/>
  <c r="B11" i="153"/>
  <c r="L7" i="152"/>
  <c r="F7" i="152" s="1"/>
  <c r="F10" i="152" s="1"/>
  <c r="F18" i="152" s="1"/>
  <c r="G8" i="151"/>
  <c r="I4" i="152"/>
  <c r="C4" i="152" s="1"/>
  <c r="Q13" i="151"/>
  <c r="R13" i="151" s="1"/>
  <c r="L9" i="151"/>
  <c r="G9" i="151" s="1"/>
  <c r="Q15" i="151"/>
  <c r="R15" i="151" s="1"/>
  <c r="R7" i="151"/>
  <c r="S7" i="151" s="1"/>
  <c r="G13" i="151"/>
  <c r="Q17" i="151"/>
  <c r="P19" i="151"/>
  <c r="H24" i="154" l="1"/>
  <c r="C19" i="155" s="1"/>
  <c r="I35" i="151"/>
  <c r="R17" i="151"/>
  <c r="S17" i="151" s="1"/>
  <c r="Q19" i="151"/>
  <c r="R19" i="151" s="1"/>
  <c r="S13" i="151"/>
  <c r="S15" i="151"/>
  <c r="G55" i="150"/>
  <c r="Z56" i="150"/>
  <c r="S19" i="151" l="1"/>
  <c r="AY37" i="150" l="1"/>
  <c r="B75" i="150"/>
  <c r="B74" i="150"/>
  <c r="B73" i="150"/>
  <c r="B72" i="150"/>
  <c r="B71" i="150"/>
  <c r="B70" i="150"/>
  <c r="B69" i="150"/>
  <c r="B68" i="150"/>
  <c r="B67" i="150"/>
  <c r="B66" i="150"/>
  <c r="B65" i="150"/>
  <c r="B64" i="150"/>
  <c r="B63" i="150"/>
  <c r="B62" i="150"/>
  <c r="B61" i="150"/>
  <c r="B60" i="150"/>
  <c r="B59" i="150"/>
  <c r="D9" i="150"/>
  <c r="D8" i="153" l="1"/>
  <c r="B131" i="150" l="1"/>
  <c r="B130" i="150"/>
  <c r="B129" i="150"/>
  <c r="B128" i="150"/>
  <c r="B127" i="150"/>
  <c r="B126" i="150"/>
  <c r="B125" i="150"/>
  <c r="B124" i="150"/>
  <c r="B123" i="150"/>
  <c r="B122" i="150"/>
  <c r="B121" i="150"/>
  <c r="B120" i="150"/>
  <c r="B119" i="150"/>
  <c r="B118" i="150"/>
  <c r="B117" i="150"/>
  <c r="B116" i="150"/>
  <c r="B115" i="150"/>
  <c r="B114" i="150"/>
  <c r="B113" i="150"/>
  <c r="B112" i="150"/>
  <c r="B111" i="150"/>
  <c r="B110" i="150"/>
  <c r="B109" i="150"/>
  <c r="B108" i="150"/>
  <c r="B107" i="150"/>
  <c r="B106" i="150"/>
  <c r="B105" i="150"/>
  <c r="B104" i="150"/>
  <c r="B103" i="150"/>
  <c r="B102" i="150"/>
  <c r="B101" i="150"/>
  <c r="B100" i="150"/>
  <c r="B99" i="150"/>
  <c r="B98" i="150"/>
  <c r="B97" i="150"/>
  <c r="B96" i="150"/>
  <c r="B95" i="150"/>
  <c r="B94" i="150"/>
  <c r="B93" i="150"/>
  <c r="B92" i="150"/>
  <c r="B91" i="150"/>
  <c r="B90" i="150"/>
  <c r="B89" i="150"/>
  <c r="B88" i="150"/>
  <c r="B87" i="150"/>
  <c r="B86" i="150"/>
  <c r="B85" i="150"/>
  <c r="B84" i="150"/>
  <c r="B83" i="150"/>
  <c r="B82" i="150"/>
  <c r="B81" i="150"/>
  <c r="B80" i="150"/>
  <c r="B79" i="150"/>
  <c r="B78" i="150"/>
  <c r="B77" i="150"/>
  <c r="B76" i="150"/>
  <c r="G56" i="150" l="1"/>
  <c r="G54" i="150"/>
  <c r="V29" i="150"/>
  <c r="V28" i="150"/>
  <c r="V27" i="150"/>
  <c r="V26" i="150"/>
  <c r="V25" i="150"/>
  <c r="AA28" i="150" l="1"/>
  <c r="AA25" i="150"/>
  <c r="AA27" i="150"/>
  <c r="AA26" i="150"/>
  <c r="AA30" i="150"/>
  <c r="AA29" i="150"/>
  <c r="D6" i="153" l="1"/>
  <c r="D7" i="153" l="1"/>
  <c r="J10" i="150" l="1"/>
  <c r="D10" i="150" l="1"/>
  <c r="A9" i="57" l="1"/>
  <c r="A10" i="57" l="1"/>
  <c r="A8" i="57"/>
  <c r="M34" i="57"/>
  <c r="M30" i="57"/>
  <c r="M28" i="57"/>
  <c r="M18" i="57"/>
  <c r="M27" i="57"/>
  <c r="M19" i="57"/>
  <c r="M32" i="57"/>
  <c r="M25" i="57"/>
  <c r="M31" i="57"/>
  <c r="M26" i="57"/>
  <c r="M21" i="57"/>
  <c r="M20" i="57"/>
  <c r="M22" i="57"/>
  <c r="M29" i="57"/>
  <c r="M24" i="57"/>
  <c r="M33" i="57"/>
  <c r="M23" i="57"/>
  <c r="AI9" i="150" l="1"/>
  <c r="AI23" i="150"/>
  <c r="AB6" i="150"/>
  <c r="D5" i="153"/>
  <c r="D35" i="153" l="1"/>
  <c r="D34" i="153"/>
  <c r="D38" i="153"/>
  <c r="D37" i="153"/>
  <c r="D36" i="153"/>
  <c r="D33" i="153"/>
  <c r="D40" i="153"/>
  <c r="D32" i="153"/>
  <c r="D39" i="153"/>
  <c r="D41" i="153"/>
  <c r="D22" i="153"/>
  <c r="D24" i="153"/>
  <c r="D18" i="153"/>
  <c r="D9" i="153"/>
  <c r="D14" i="153"/>
  <c r="D17" i="153"/>
  <c r="D11" i="153"/>
  <c r="D16" i="153"/>
  <c r="D21" i="153"/>
  <c r="D20" i="153"/>
  <c r="D10" i="153"/>
  <c r="D26" i="153"/>
  <c r="D12" i="153"/>
  <c r="D27" i="153"/>
  <c r="D13" i="153"/>
  <c r="D23" i="153"/>
  <c r="D19" i="153"/>
  <c r="D25" i="153"/>
  <c r="D15" i="153"/>
  <c r="AA32" i="150"/>
  <c r="AH7" i="150"/>
  <c r="H7" i="150"/>
  <c r="Z54" i="150" s="1"/>
  <c r="Z55" i="150"/>
  <c r="AD30" i="150"/>
  <c r="AD27" i="150"/>
  <c r="AD28" i="150"/>
  <c r="AD29" i="150"/>
  <c r="AD25" i="150"/>
  <c r="O15" i="150" s="1"/>
  <c r="X15" i="150" s="1"/>
  <c r="AZ2" i="150" s="1"/>
  <c r="AD26" i="150"/>
  <c r="D28" i="153" l="1"/>
  <c r="D45" i="153"/>
  <c r="D46" i="153" s="1"/>
  <c r="D47" i="153" s="1"/>
  <c r="D29" i="153" l="1"/>
  <c r="D30" i="153" s="1"/>
  <c r="H7" i="152" s="1"/>
  <c r="D48" i="153"/>
  <c r="D49" i="153" s="1"/>
  <c r="D50" i="153" s="1"/>
  <c r="D51" i="153" s="1"/>
  <c r="L11" i="151" l="1"/>
  <c r="H10" i="152"/>
  <c r="J7" i="152"/>
  <c r="G11" i="151" l="1"/>
  <c r="L10" i="151"/>
  <c r="J24" i="151"/>
  <c r="P11" i="151"/>
  <c r="Q11" i="151" s="1"/>
  <c r="R11" i="151" s="1"/>
  <c r="S11" i="151" s="1"/>
  <c r="J10" i="152"/>
  <c r="H18" i="152"/>
  <c r="N6" i="57"/>
  <c r="G10" i="151" l="1"/>
  <c r="P10" i="151"/>
  <c r="Q10" i="151" s="1"/>
  <c r="L21" i="151"/>
  <c r="G21" i="151" s="1"/>
  <c r="J18" i="152"/>
  <c r="I5" i="152"/>
  <c r="C5" i="152" s="1"/>
  <c r="L4" i="57"/>
  <c r="D5" i="57"/>
  <c r="L6" i="57"/>
  <c r="D6" i="57"/>
  <c r="C34" i="57"/>
  <c r="C33" i="57"/>
  <c r="C32" i="57"/>
  <c r="C31" i="57"/>
  <c r="C30" i="57"/>
  <c r="C29" i="57"/>
  <c r="C28" i="57"/>
  <c r="C27" i="57"/>
  <c r="C26" i="57"/>
  <c r="C25" i="57"/>
  <c r="C24" i="57"/>
  <c r="C23" i="57"/>
  <c r="C22" i="57"/>
  <c r="C21" i="57"/>
  <c r="C20" i="57"/>
  <c r="R10" i="151" l="1"/>
  <c r="S10" i="1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KJH</author>
    <author>IBR</author>
  </authors>
  <commentList>
    <comment ref="B2" authorId="0" shapeId="0" xr:uid="{00000000-0006-0000-1A00-000001000000}">
      <text>
        <r>
          <rPr>
            <b/>
            <sz val="9"/>
            <color indexed="10"/>
            <rFont val="맑은 고딕"/>
            <family val="3"/>
            <charset val="129"/>
          </rPr>
          <t xml:space="preserve">수식 바꾸기
전달(예, </t>
        </r>
        <r>
          <rPr>
            <b/>
            <sz val="9"/>
            <color indexed="17"/>
            <rFont val="맑은 고딕"/>
            <family val="3"/>
            <charset val="129"/>
          </rPr>
          <t>21_04</t>
        </r>
        <r>
          <rPr>
            <b/>
            <sz val="9"/>
            <color indexed="10"/>
            <rFont val="맑은 고딕"/>
            <family val="3"/>
            <charset val="129"/>
          </rPr>
          <t>)
 → 해당월</t>
        </r>
      </text>
    </comment>
    <comment ref="L2" authorId="0" shapeId="0" xr:uid="{00000000-0006-0000-1A00-000002000000}">
      <text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돋움"/>
            <family val="3"/>
            <charset val="129"/>
          </rPr>
          <t xml:space="preserve">달계약
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8</t>
        </r>
        <r>
          <rPr>
            <b/>
            <sz val="14"/>
            <color indexed="81"/>
            <rFont val="돋움"/>
            <family val="3"/>
            <charset val="129"/>
          </rPr>
          <t>시간</t>
        </r>
        <r>
          <rPr>
            <b/>
            <sz val="14"/>
            <color indexed="81"/>
            <rFont val="Tahoma"/>
            <family val="2"/>
          </rPr>
          <t>, 26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근무</t>
        </r>
      </text>
    </comment>
    <comment ref="J10" authorId="1" shapeId="0" xr:uid="{00000000-0006-0000-1A00-000003000000}">
      <text>
        <r>
          <rPr>
            <b/>
            <sz val="9"/>
            <color indexed="81"/>
            <rFont val="Tahoma"/>
            <family val="2"/>
          </rPr>
          <t>KJH: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개월의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근로계약기간을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적습니다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X15" authorId="1" shapeId="0" xr:uid="{00000000-0006-0000-1A00-000004000000}">
      <text>
        <r>
          <rPr>
            <b/>
            <sz val="9"/>
            <color indexed="81"/>
            <rFont val="Tahoma"/>
            <family val="2"/>
          </rPr>
          <t>KJH: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관공서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공휴일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휴일근로일수에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유의하시기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I23" authorId="2" shapeId="0" xr:uid="{00000000-0006-0000-1A00-000005000000}">
      <text>
        <r>
          <rPr>
            <b/>
            <sz val="9"/>
            <color indexed="81"/>
            <rFont val="Tahoma"/>
            <family val="2"/>
          </rPr>
          <t>IBR: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일당액을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적습니다</t>
        </r>
        <r>
          <rPr>
            <sz val="11"/>
            <color indexed="81"/>
            <rFont val="Tahoma"/>
            <family val="2"/>
          </rPr>
          <t>.</t>
        </r>
      </text>
    </comment>
    <comment ref="M28" authorId="1" shapeId="0" xr:uid="{00000000-0006-0000-1A00-000006000000}">
      <text>
        <r>
          <rPr>
            <b/>
            <sz val="9"/>
            <color indexed="81"/>
            <rFont val="Tahoma"/>
            <family val="2"/>
          </rPr>
          <t>KJH: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국공휴일에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적습니다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관공서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공휴일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사가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관공서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공휴일에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입력함</t>
        </r>
        <r>
          <rPr>
            <sz val="9"/>
            <color indexed="81"/>
            <rFont val="Tahoma"/>
            <family val="2"/>
          </rPr>
          <t>.</t>
        </r>
      </text>
    </comment>
    <comment ref="M29" authorId="1" shapeId="0" xr:uid="{00000000-0006-0000-1A00-000007000000}">
      <text>
        <r>
          <rPr>
            <b/>
            <sz val="9"/>
            <color indexed="81"/>
            <rFont val="Tahoma"/>
            <family val="2"/>
          </rPr>
          <t>KJH: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관공서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공휴일의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적습니다</t>
        </r>
        <r>
          <rPr>
            <sz val="9"/>
            <color indexed="81"/>
            <rFont val="Tahoma"/>
            <family val="2"/>
          </rPr>
          <t>(2022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관공서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공휴일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).
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근로계약서를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입력함</t>
        </r>
      </text>
    </comment>
  </commentList>
</comments>
</file>

<file path=xl/sharedStrings.xml><?xml version="1.0" encoding="utf-8"?>
<sst xmlns="http://schemas.openxmlformats.org/spreadsheetml/2006/main" count="906" uniqueCount="388">
  <si>
    <t>주민등록번호</t>
  </si>
  <si>
    <t>계좌번호</t>
  </si>
  <si>
    <t>번 호</t>
    <phoneticPr fontId="4" type="noConversion"/>
  </si>
  <si>
    <t>성 명</t>
    <phoneticPr fontId="4" type="noConversion"/>
  </si>
  <si>
    <t>출력일수</t>
    <phoneticPr fontId="4" type="noConversion"/>
  </si>
  <si>
    <t>지 급 총 액</t>
    <phoneticPr fontId="4" type="noConversion"/>
  </si>
  <si>
    <t>건강보험</t>
    <phoneticPr fontId="4" type="noConversion"/>
  </si>
  <si>
    <t>국민연금</t>
    <phoneticPr fontId="4" type="noConversion"/>
  </si>
  <si>
    <t>공제소계</t>
    <phoneticPr fontId="4" type="noConversion"/>
  </si>
  <si>
    <t>차감 지급액</t>
    <phoneticPr fontId="4" type="noConversion"/>
  </si>
  <si>
    <t>출력공수</t>
    <phoneticPr fontId="4" type="noConversion"/>
  </si>
  <si>
    <t>노인장기</t>
    <phoneticPr fontId="4" type="noConversion"/>
  </si>
  <si>
    <t>고용보험</t>
    <phoneticPr fontId="4" type="noConversion"/>
  </si>
  <si>
    <t>기타</t>
    <phoneticPr fontId="4" type="noConversion"/>
  </si>
  <si>
    <t>주 민 번 호</t>
    <phoneticPr fontId="4" type="noConversion"/>
  </si>
  <si>
    <t/>
  </si>
  <si>
    <t>위 임 장</t>
    <phoneticPr fontId="10" type="noConversion"/>
  </si>
  <si>
    <t>수 임 인</t>
    <phoneticPr fontId="10" type="noConversion"/>
  </si>
  <si>
    <t>성 명</t>
    <phoneticPr fontId="10" type="noConversion"/>
  </si>
  <si>
    <t>주 민 번 호</t>
    <phoneticPr fontId="10" type="noConversion"/>
  </si>
  <si>
    <t>주 소</t>
    <phoneticPr fontId="10" type="noConversion"/>
  </si>
  <si>
    <t>연 락 처</t>
    <phoneticPr fontId="10" type="noConversion"/>
  </si>
  <si>
    <t>계 좌 번 호</t>
    <phoneticPr fontId="10" type="noConversion"/>
  </si>
  <si>
    <t>청구금액</t>
    <phoneticPr fontId="10" type="noConversion"/>
  </si>
  <si>
    <t>서 명</t>
    <phoneticPr fontId="10" type="noConversion"/>
  </si>
  <si>
    <t>청 구 금 액</t>
    <phoneticPr fontId="4" type="noConversion"/>
  </si>
  <si>
    <t>건강보험                  노인장기</t>
    <phoneticPr fontId="4" type="noConversion"/>
  </si>
  <si>
    <t>국민연금                       고용보험</t>
    <phoneticPr fontId="4" type="noConversion"/>
  </si>
  <si>
    <t>실 지급액</t>
    <phoneticPr fontId="4" type="noConversion"/>
  </si>
  <si>
    <t>주 소</t>
    <phoneticPr fontId="4" type="noConversion"/>
  </si>
  <si>
    <t>은 행 명</t>
    <phoneticPr fontId="4" type="noConversion"/>
  </si>
  <si>
    <t>계 좌 번 호</t>
    <phoneticPr fontId="4" type="noConversion"/>
  </si>
  <si>
    <t>연 락 처</t>
    <phoneticPr fontId="4" type="noConversion"/>
  </si>
  <si>
    <t>기   간</t>
    <phoneticPr fontId="4" type="noConversion"/>
  </si>
  <si>
    <t>일급</t>
    <phoneticPr fontId="4" type="noConversion"/>
  </si>
  <si>
    <t>공제계</t>
    <phoneticPr fontId="4" type="noConversion"/>
  </si>
  <si>
    <t>영수인</t>
    <phoneticPr fontId="4" type="noConversion"/>
  </si>
  <si>
    <t xml:space="preserve"> 일용 노무비 지급 명세서</t>
    <phoneticPr fontId="4" type="noConversion"/>
  </si>
  <si>
    <t>소 득 세</t>
  </si>
  <si>
    <t>지방소득세</t>
  </si>
  <si>
    <t>공사명</t>
    <phoneticPr fontId="4" type="noConversion"/>
  </si>
  <si>
    <t>원도급 회사</t>
    <phoneticPr fontId="4" type="noConversion"/>
  </si>
  <si>
    <t>하도급 회사</t>
    <phoneticPr fontId="4" type="noConversion"/>
  </si>
  <si>
    <t>청구 월</t>
    <phoneticPr fontId="4" type="noConversion"/>
  </si>
  <si>
    <t xml:space="preserve"> 분실,휭령,공문서 위조등을 포함한 모든 책임을 본인이 감수하며 민,형사상 처벌을 감수할것이며 어떠한 법률적</t>
    <phoneticPr fontId="4" type="noConversion"/>
  </si>
  <si>
    <t xml:space="preserve"> 책임도 이의를 제기치 않을 것을 서명 날인 합니다</t>
    <phoneticPr fontId="4" type="noConversion"/>
  </si>
  <si>
    <t>(주)하도급 회사</t>
    <phoneticPr fontId="4" type="noConversion"/>
  </si>
  <si>
    <t>~</t>
    <phoneticPr fontId="4" type="noConversion"/>
  </si>
  <si>
    <t>국민은행</t>
  </si>
  <si>
    <t>KEB하나은행</t>
  </si>
  <si>
    <t>농협중앙회</t>
  </si>
  <si>
    <t>T O T A L</t>
    <phoneticPr fontId="4" type="noConversion"/>
  </si>
  <si>
    <t>제일은행</t>
  </si>
  <si>
    <t>작업반장</t>
  </si>
  <si>
    <t>조경공</t>
  </si>
  <si>
    <t>주소</t>
    <phoneticPr fontId="38" type="noConversion"/>
  </si>
  <si>
    <t>1월</t>
    <phoneticPr fontId="4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</si>
  <si>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</si>
  <si>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</si>
  <si>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</si>
  <si>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</si>
  <si>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</si>
  <si>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</si>
  <si>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</si>
  <si>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</si>
  <si>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</si>
  <si>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</si>
  <si>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2월</t>
    <phoneticPr fontId="4" type="noConversion"/>
  </si>
  <si>
    <t>은행명</t>
  </si>
  <si>
    <t>근 로 계 약 서 (현장일용직)</t>
  </si>
  <si>
    <t>사업주</t>
  </si>
  <si>
    <t>상 호</t>
    <phoneticPr fontId="4" type="noConversion"/>
  </si>
  <si>
    <t>대표이사</t>
    <phoneticPr fontId="4" type="noConversion"/>
  </si>
  <si>
    <t>주 소</t>
  </si>
  <si>
    <t>근로자</t>
  </si>
  <si>
    <t>성 명</t>
  </si>
  <si>
    <t>전화번호</t>
    <phoneticPr fontId="4" type="noConversion"/>
  </si>
  <si>
    <t>"갑"과 "을"은 아래의 근로조건을 성실히 이행할 것을 약정하고 근로계약을 체결한다.
- 아    래 -</t>
    <phoneticPr fontId="4" type="noConversion"/>
  </si>
  <si>
    <t>근로장소</t>
    <phoneticPr fontId="4" type="noConversion"/>
  </si>
  <si>
    <t>공종/수행업무</t>
    <phoneticPr fontId="4" type="noConversion"/>
  </si>
  <si>
    <t>계약기간</t>
    <phoneticPr fontId="4" type="noConversion"/>
  </si>
  <si>
    <t>~</t>
  </si>
  <si>
    <t>(1개월) 까지로 한다.</t>
    <phoneticPr fontId="4" type="noConversion"/>
  </si>
  <si>
    <t>임 금</t>
    <phoneticPr fontId="4" type="noConversion"/>
  </si>
  <si>
    <t>① "근로자"의 1일 8시간 기본급은 (</t>
    <phoneticPr fontId="4" type="noConversion"/>
  </si>
  <si>
    <t>) 원, 시간급</t>
    <phoneticPr fontId="4" type="noConversion"/>
  </si>
  <si>
    <t>(</t>
    <phoneticPr fontId="4" type="noConversion"/>
  </si>
  <si>
    <t>)</t>
    <phoneticPr fontId="4" type="noConversion"/>
  </si>
  <si>
    <t>원으로 하며, 법정수당의 산정방식은 다음과 같다.</t>
    <phoneticPr fontId="4" type="noConversion"/>
  </si>
  <si>
    <t xml:space="preserve">  ㉠ 연장근로수당: 시간급(=기본급/8시간) x 연장근로시간 x 150%</t>
    <phoneticPr fontId="4" type="noConversion"/>
  </si>
  <si>
    <t xml:space="preserve">  ㉡ 휴일가산수당: 시간급(=기본급/8시간) x 휴일근로시간 x 150%</t>
    <phoneticPr fontId="4" type="noConversion"/>
  </si>
  <si>
    <t xml:space="preserve">  ㉢ 야간근로수당: 시간급(=기본급/8시간) x 야간근로시간(22:00~06:00) x 50%</t>
    <phoneticPr fontId="4" type="noConversion"/>
  </si>
  <si>
    <t xml:space="preserve">  ㉣ 유급주휴수당: 전 주간(월~금)만근한 경우 시간급 x 8시간</t>
    <phoneticPr fontId="4" type="noConversion"/>
  </si>
  <si>
    <t xml:space="preserve">  ㉤ 연차휴가수당: 1개월(1-말일)간 만근 후,  연차휴가 미사용시 시간급 × 8시간 </t>
    <phoneticPr fontId="4" type="noConversion"/>
  </si>
  <si>
    <r>
      <t xml:space="preserve">  </t>
    </r>
    <r>
      <rPr>
        <sz val="9"/>
        <rFont val="맑은 고딕"/>
        <family val="3"/>
        <charset val="129"/>
      </rPr>
      <t>㉥ 관공서 공휴일근로수당 : 관공서 공휴일 중 근무한 일수 x 시간급(=기본급/8시간) x 8시간 x 150%</t>
    </r>
    <phoneticPr fontId="4" type="noConversion"/>
  </si>
  <si>
    <r>
      <t xml:space="preserve">  </t>
    </r>
    <r>
      <rPr>
        <sz val="9"/>
        <rFont val="맑은 고딕"/>
        <family val="3"/>
        <charset val="129"/>
      </rPr>
      <t>㉦ 유급관공서휴일수당 : 관공서 공휴일수 x 시간급(=기본급/8시간) x 8시간 x 100%</t>
    </r>
    <phoneticPr fontId="4" type="noConversion"/>
  </si>
  <si>
    <t>기본급 1주</t>
    <phoneticPr fontId="4" type="noConversion"/>
  </si>
  <si>
    <t>시간,</t>
  </si>
  <si>
    <t>월 환산</t>
  </si>
  <si>
    <t>시간,</t>
    <phoneticPr fontId="4" type="noConversion"/>
  </si>
  <si>
    <t>%</t>
  </si>
  <si>
    <t>원</t>
    <phoneticPr fontId="4" type="noConversion"/>
  </si>
  <si>
    <t>연장근로수당 1주</t>
    <phoneticPr fontId="4" type="noConversion"/>
  </si>
  <si>
    <t xml:space="preserve">1월 </t>
    <phoneticPr fontId="4" type="noConversion"/>
  </si>
  <si>
    <t xml:space="preserve">유급주휴수당 1주 </t>
    <phoneticPr fontId="4" type="noConversion"/>
  </si>
  <si>
    <t>관공서 공휴일근로수당(月)</t>
    <phoneticPr fontId="4" type="noConversion"/>
  </si>
  <si>
    <t>일,</t>
    <phoneticPr fontId="4" type="noConversion"/>
  </si>
  <si>
    <t>월 환산</t>
    <phoneticPr fontId="4" type="noConversion"/>
  </si>
  <si>
    <t>유급관공서휴일수당(月)</t>
    <phoneticPr fontId="4" type="noConversion"/>
  </si>
  <si>
    <t>-</t>
    <phoneticPr fontId="4" type="noConversion"/>
  </si>
  <si>
    <t>연차휴가수당 (1월)</t>
    <phoneticPr fontId="4" type="noConversion"/>
  </si>
  <si>
    <t>근로시간
및
휴게시간</t>
    <phoneticPr fontId="4" type="noConversion"/>
  </si>
  <si>
    <t>3일</t>
    <phoneticPr fontId="4" type="noConversion"/>
  </si>
  <si>
    <t>휴가</t>
    <phoneticPr fontId="4" type="noConversion"/>
  </si>
  <si>
    <t>① 전월에 만근시 1일의 연차휴가를 부여하며, 사용하지 않을 경우 포괄역산하여 지급한다.
② 부여된 연차 휴가는 하기에 대체하여 사용할 수 있다.</t>
    <phoneticPr fontId="38" type="noConversion"/>
  </si>
  <si>
    <t>휴일</t>
    <phoneticPr fontId="4" type="noConversion"/>
  </si>
  <si>
    <t>합계</t>
    <phoneticPr fontId="4" type="noConversion"/>
  </si>
  <si>
    <t xml:space="preserve">근로계약       해지사유
</t>
    <phoneticPr fontId="4" type="noConversion"/>
  </si>
  <si>
    <t>① 월 합계 또는 계속하여 3일 이상 결근한 경우, 근로계약은 자동 해지된다.
② 안전수칙 불이행 근무태만, 근무지무단이탈, 취업규칙 불이행으로 2회 이상 경고처분 받은 경우
③ 정당한 업무지시 불이행 및 고의 또는 중대한 과실로 사고나 손실을 야기시킨 경우
④ 갑의 사정으로 인하여 계약기간 까지 을의 당 현장 계속 근무가 불필요할 때
⑤ 신체(고혈압, 디스크포함)·정신상 장애로 해당 업무를 수행할 수 없을 경우
⑥ 폭행,파괴,태업을 선동하거나 적극 참여하는 등 불법 집단행동 업무방해를 주도하였거나 적극 참여한 경우
⑦ "사업주"의 동의없이 타 작업장에 취업한 때 및 근로계약기간이 종료되었을 때
⑧ 그 외"사업주"의 취업규칙상의 징계기준에 해당될 때</t>
    <phoneticPr fontId="38" type="noConversion"/>
  </si>
  <si>
    <t>채용결격
사유</t>
    <phoneticPr fontId="38" type="noConversion"/>
  </si>
  <si>
    <t>불법체류자, 지명수배중에 있는자, 채용시 고혈압 및 척추질환등 업무수행에 곤란을 초래할 수 있는 자는 채용될 수 없으며, 위 사실이 추후 발견된 경우 본 근로계약은 취소된다.</t>
    <phoneticPr fontId="38" type="noConversion"/>
  </si>
  <si>
    <t xml:space="preserve"> 기타근로 
조건</t>
    <phoneticPr fontId="38" type="noConversion"/>
  </si>
  <si>
    <t>① 본 계약서상에 명시되지 않은 사항은 당 사 취업규칙 및 근로기준법에 따른다.</t>
    <phoneticPr fontId="38" type="noConversion"/>
  </si>
  <si>
    <t>② "근로자"가 계약기간 중 퇴직하고자 할 경우에는 5일 전에 통보하여야 한다.</t>
    <phoneticPr fontId="4" type="noConversion"/>
  </si>
  <si>
    <t>안전장구
지급확인</t>
    <phoneticPr fontId="38" type="noConversion"/>
  </si>
  <si>
    <t>① 안전장구 등 지급확인 : 우리현장 신규 수령자인 경우 체크(          )</t>
    <phoneticPr fontId="4" type="noConversion"/>
  </si>
  <si>
    <t>안전모</t>
    <phoneticPr fontId="4" type="noConversion"/>
  </si>
  <si>
    <t>안전화</t>
  </si>
  <si>
    <t>안전벨트</t>
  </si>
  <si>
    <t>보호안경</t>
  </si>
  <si>
    <t>안전교육이수여부</t>
  </si>
  <si>
    <t>기타 (          )</t>
    <phoneticPr fontId="4" type="noConversion"/>
  </si>
  <si>
    <t>② 안전장구 등 지급확인 : 기소지자인 경우 체크(          )</t>
    <phoneticPr fontId="4" type="noConversion"/>
  </si>
  <si>
    <t>( 근 로 자 )</t>
  </si>
  <si>
    <t>회사명   :</t>
    <phoneticPr fontId="4" type="noConversion"/>
  </si>
  <si>
    <t>대표이사   :</t>
    <phoneticPr fontId="4" type="noConversion"/>
  </si>
  <si>
    <t>주민등록번호 :</t>
  </si>
  <si>
    <t>③ "근로자"의 월급은 매월 (        )일에 지급하며, 지급시 근로소득세 및 고용보험료, 건강보험료, 국민연금 등 제세공과금을 원천징수한 후</t>
    <phoneticPr fontId="4" type="noConversion"/>
  </si>
  <si>
    <t>※급여수령 통장 및 계좌번호 :</t>
    <phoneticPr fontId="4" type="noConversion"/>
  </si>
  <si>
    <t>2023  년         월         일</t>
    <phoneticPr fontId="38" type="noConversion"/>
  </si>
  <si>
    <t>3/1(수,삼일절)</t>
    <phoneticPr fontId="4" type="noConversion"/>
  </si>
  <si>
    <t>9/28-30(목-토,추석)</t>
    <phoneticPr fontId="4" type="noConversion"/>
  </si>
  <si>
    <t>12/25(월,성탄절)</t>
    <phoneticPr fontId="4" type="noConversion"/>
  </si>
  <si>
    <t>6/6(화,현충일)</t>
    <phoneticPr fontId="4" type="noConversion"/>
  </si>
  <si>
    <t>5/5(금,어린이날)  5/27(토,석가탄신일)</t>
    <phoneticPr fontId="4" type="noConversion"/>
  </si>
  <si>
    <t>10/3(화,개천절)  10/9(월,한글날)</t>
    <phoneticPr fontId="4" type="noConversion"/>
  </si>
  <si>
    <r>
      <rPr>
        <sz val="10"/>
        <color rgb="FF0000FF"/>
        <rFont val="맑은 고딕"/>
        <family val="3"/>
        <charset val="129"/>
        <scheme val="minor"/>
      </rPr>
      <t xml:space="preserve">1/1(일-제외,신정) 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1/21,23-24(토,월-화,설날)</t>
    </r>
    <phoneticPr fontId="4" type="noConversion"/>
  </si>
  <si>
    <r>
      <rPr>
        <b/>
        <sz val="10"/>
        <color rgb="FF0000FF"/>
        <rFont val="맑은 고딕"/>
        <family val="3"/>
        <charset val="129"/>
        <scheme val="minor"/>
      </rPr>
      <t xml:space="preserve">2023년 </t>
    </r>
    <r>
      <rPr>
        <b/>
        <sz val="10"/>
        <color theme="1"/>
        <rFont val="맑은 고딕"/>
        <family val="3"/>
        <charset val="129"/>
        <scheme val="minor"/>
      </rPr>
      <t>관공서의 공휴일 수 (일X / 토O)</t>
    </r>
    <phoneticPr fontId="4" type="noConversion"/>
  </si>
  <si>
    <t>8/15(화,광복절)</t>
    <phoneticPr fontId="4" type="noConversion"/>
  </si>
  <si>
    <t>② "근로자"의 임금은 제1항의 기본급에 주휴수당, 연장수당, 휴일(국공휴일 포함)수당, 연차수당을 포함한 일급(￦</t>
    <phoneticPr fontId="4" type="noConversion"/>
  </si>
  <si>
    <r>
      <t xml:space="preserve">     곱하여 산정하고, "근로자"는 이와 같은 포괄임금 산정방식에 대하여 동의한다.   </t>
    </r>
    <r>
      <rPr>
        <b/>
        <u/>
        <sz val="9"/>
        <color rgb="FFFF0000"/>
        <rFont val="맑은 고딕"/>
        <family val="3"/>
        <charset val="129"/>
        <scheme val="minor"/>
      </rPr>
      <t>* 동의자  성명 :                      (인)</t>
    </r>
    <phoneticPr fontId="4" type="noConversion"/>
  </si>
  <si>
    <t>구성
항목</t>
    <phoneticPr fontId="4" type="noConversion"/>
  </si>
  <si>
    <t>① 전주간(월-금)만근한 경우 일요일 및 근로자의 날(5.1)은 유급주휴를 부여한다(다만, 현장의 공사일정에 따라 부득이한 경우 주휴일은 일요일이
    아닌 평일에 부여할 수 있다. 이 경우 일요일의 근로는 휴일근로가 아닌 통상의 근로일로 본다). 
② 토요일은 무급휴무일로 하며 해당일 근무에 대한 임금은 포괄역산한다. 그 외의 휴일은 취업규칙에서 정한 바에 따른다</t>
    <phoneticPr fontId="38" type="noConversion"/>
  </si>
  <si>
    <t>③ 개인정보(성명, 주민등록번호, 주소, 급여, 전화번호)를 원청, 발주처의 안전, 노무, 현장 출입관련업무 담당에게 제공/활용하는 데 동의한다.</t>
    <phoneticPr fontId="4" type="noConversion"/>
  </si>
  <si>
    <r>
      <t xml:space="preserve">① </t>
    </r>
    <r>
      <rPr>
        <b/>
        <sz val="9"/>
        <color theme="1"/>
        <rFont val="맑은 고딕"/>
        <family val="3"/>
        <charset val="129"/>
        <scheme val="minor"/>
      </rPr>
      <t xml:space="preserve">시업 및 종업시간:    </t>
    </r>
    <r>
      <rPr>
        <b/>
        <sz val="9"/>
        <color rgb="FFFF0000"/>
        <rFont val="맑은 고딕"/>
        <family val="3"/>
        <charset val="129"/>
        <scheme val="minor"/>
      </rPr>
      <t xml:space="preserve"> 07:00     ~    17:00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맑은 고딕"/>
        <family val="3"/>
        <charset val="129"/>
        <scheme val="minor"/>
      </rPr>
      <t xml:space="preserve"> 소정근로시간은 휴게시간을 제외하고 1일 8시간, 1주 40시간으로 하되 "근로자"는 근로기준법이 정하는 바에 따라 1주일에 12시간의
    범위 내에서 연장근로를 수행함에 동의한다.                                                                     * </t>
    </r>
    <r>
      <rPr>
        <b/>
        <sz val="9"/>
        <color theme="1"/>
        <rFont val="맑은 고딕"/>
        <family val="3"/>
        <charset val="129"/>
        <scheme val="minor"/>
      </rPr>
      <t xml:space="preserve">동의자  성명 : </t>
    </r>
    <r>
      <rPr>
        <b/>
        <u/>
        <sz val="9"/>
        <color theme="1"/>
        <rFont val="맑은 고딕"/>
        <family val="3"/>
        <charset val="129"/>
        <scheme val="minor"/>
      </rPr>
      <t xml:space="preserve">                            </t>
    </r>
    <r>
      <rPr>
        <b/>
        <sz val="9"/>
        <color theme="1"/>
        <rFont val="맑은 고딕"/>
        <family val="3"/>
        <charset val="129"/>
        <scheme val="minor"/>
      </rPr>
      <t xml:space="preserve"> (인)</t>
    </r>
    <r>
      <rPr>
        <sz val="9"/>
        <color theme="0" tint="-0.3499862666707357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③ 휴게시간(09:00 ~ 09:30, 12:00 ~ 13:00, 15:00 ~ 15:30)</t>
    </r>
    <r>
      <rPr>
        <sz val="9"/>
        <rFont val="맑은 고딕"/>
        <family val="3"/>
        <charset val="129"/>
        <scheme val="minor"/>
      </rPr>
      <t>은 작업장내에서 자유로이 사용할 수 있다. 다만, 현장상황에 따라 변경될수 있다</t>
    </r>
    <phoneticPr fontId="38" type="noConversion"/>
  </si>
  <si>
    <r>
      <t xml:space="preserve">③ 상기 안전장구 수령확인 및 근로계약/취업규칙 내용을 확인하고 이행함을 동의합니다.
                                                                                                                        </t>
    </r>
    <r>
      <rPr>
        <b/>
        <sz val="9"/>
        <color theme="1"/>
        <rFont val="맑은 고딕"/>
        <family val="3"/>
        <charset val="129"/>
        <scheme val="minor"/>
      </rPr>
      <t xml:space="preserve">           * 수령 및 확인자 :   </t>
    </r>
    <r>
      <rPr>
        <b/>
        <u/>
        <sz val="9"/>
        <color theme="1"/>
        <rFont val="맑은 고딕"/>
        <family val="3"/>
        <charset val="129"/>
        <scheme val="minor"/>
      </rPr>
      <t xml:space="preserve">                          </t>
    </r>
    <r>
      <rPr>
        <b/>
        <sz val="9"/>
        <color theme="1"/>
        <rFont val="맑은 고딕"/>
        <family val="3"/>
        <charset val="129"/>
        <scheme val="minor"/>
      </rPr>
      <t xml:space="preserve"> (인)</t>
    </r>
    <phoneticPr fontId="4" type="noConversion"/>
  </si>
  <si>
    <r>
      <t xml:space="preserve">                                                                                                             </t>
    </r>
    <r>
      <rPr>
        <b/>
        <sz val="9"/>
        <rFont val="맑은 고딕"/>
        <family val="3"/>
        <charset val="129"/>
        <scheme val="minor"/>
      </rPr>
      <t xml:space="preserve">      * 개인정보 제공동의자 성명 :</t>
    </r>
    <r>
      <rPr>
        <b/>
        <sz val="9"/>
        <color theme="1"/>
        <rFont val="맑은 고딕"/>
        <family val="3"/>
        <charset val="129"/>
        <scheme val="minor"/>
      </rPr>
      <t xml:space="preserve">   </t>
    </r>
    <r>
      <rPr>
        <b/>
        <u/>
        <sz val="9"/>
        <color theme="1"/>
        <rFont val="맑은 고딕"/>
        <family val="3"/>
        <charset val="129"/>
        <scheme val="minor"/>
      </rPr>
      <t xml:space="preserve">                          </t>
    </r>
    <r>
      <rPr>
        <b/>
        <sz val="9"/>
        <color theme="1"/>
        <rFont val="맑은 고딕"/>
        <family val="3"/>
        <charset val="129"/>
        <scheme val="minor"/>
      </rPr>
      <t xml:space="preserve"> (인)</t>
    </r>
    <phoneticPr fontId="4" type="noConversion"/>
  </si>
  <si>
    <t xml:space="preserve">    현장 작업에 필요한 안전모 등의 안전장구를 귀 사에서 지급하는 것이 원칙임에도 본인은 귀 사 타 현장, 본인소유 기사용 장구소지 등의 사유로</t>
    <phoneticPr fontId="4" type="noConversion"/>
  </si>
  <si>
    <t xml:space="preserve">    인해 귀 사에서 지급받지 아니하며 다만 현장 작업 시 반드시 항시 착용하여 안전관리에 최선을 다하겠습니다.</t>
    <phoneticPr fontId="4" type="noConversion"/>
  </si>
  <si>
    <t xml:space="preserve">   ( 사 업 주 )</t>
    <phoneticPr fontId="4" type="noConversion"/>
  </si>
  <si>
    <r>
      <t xml:space="preserve">                                                                                                                                     * 동의자  성명 : </t>
    </r>
    <r>
      <rPr>
        <b/>
        <u/>
        <sz val="9"/>
        <color theme="1"/>
        <rFont val="맑은 고딕"/>
        <family val="3"/>
        <charset val="129"/>
        <scheme val="minor"/>
      </rPr>
      <t xml:space="preserve">                           </t>
    </r>
    <r>
      <rPr>
        <b/>
        <sz val="9"/>
        <color theme="1"/>
        <rFont val="맑은 고딕"/>
        <family val="3"/>
        <charset val="129"/>
        <scheme val="minor"/>
      </rPr>
      <t xml:space="preserve"> (인)</t>
    </r>
    <phoneticPr fontId="4" type="noConversion"/>
  </si>
  <si>
    <t>다만, 근로계약 기간 중이라도 천재지변, 동절기 공사중단, 발주처의 공사중단ㆍ</t>
    <phoneticPr fontId="4" type="noConversion"/>
  </si>
  <si>
    <t xml:space="preserve"> 설계변경ㆍ공사도급계약 중도해지 등 불가피한 사유로 공사를 계속할 수 없거나  "근로자"가 수행하던 공종이 중단된 경우에는 그 때를 계약</t>
    <phoneticPr fontId="38" type="noConversion"/>
  </si>
  <si>
    <t xml:space="preserve"> 만료일로 하여 하며, 근로계약이 갱신 체결된 경우라도 근로계약의 최대기간은 공사현장의 "근로자"가 수행하던 해당 공종 종료일을 초과하지</t>
    <phoneticPr fontId="4" type="noConversion"/>
  </si>
  <si>
    <t xml:space="preserve"> 못한다.</t>
    <phoneticPr fontId="4" type="noConversion"/>
  </si>
  <si>
    <t xml:space="preserve">    "근로자"의 온라인 통장계좌로 지급함에 동의한다.</t>
    <phoneticPr fontId="4" type="noConversion"/>
  </si>
  <si>
    <t>주   소   :</t>
    <phoneticPr fontId="4" type="noConversion"/>
  </si>
  <si>
    <t>주   소 :</t>
    <phoneticPr fontId="4" type="noConversion"/>
  </si>
  <si>
    <t>성  명 :</t>
    <phoneticPr fontId="4" type="noConversion"/>
  </si>
  <si>
    <t>아름다운건설㈜</t>
    <phoneticPr fontId="4" type="noConversion"/>
  </si>
  <si>
    <t>서울 대전 대구 부산 찍고</t>
    <phoneticPr fontId="4" type="noConversion"/>
  </si>
  <si>
    <t>김  대  표</t>
    <phoneticPr fontId="4" type="noConversion"/>
  </si>
  <si>
    <t xml:space="preserve"> : 2023년 최저시급 9,620원</t>
    <phoneticPr fontId="4" type="noConversion"/>
  </si>
  <si>
    <t>회  사  명</t>
    <phoneticPr fontId="4" type="noConversion"/>
  </si>
  <si>
    <t>공  사  명</t>
    <phoneticPr fontId="4" type="noConversion"/>
  </si>
  <si>
    <t>A</t>
    <phoneticPr fontId="4" type="noConversion"/>
  </si>
  <si>
    <t>C</t>
    <phoneticPr fontId="4" type="noConversion"/>
  </si>
  <si>
    <t>1.</t>
    <phoneticPr fontId="4" type="noConversion"/>
  </si>
  <si>
    <t>공 사 명</t>
  </si>
  <si>
    <t>:</t>
  </si>
  <si>
    <t>2.</t>
    <phoneticPr fontId="4" type="noConversion"/>
  </si>
  <si>
    <t>계 약 금 액</t>
  </si>
  <si>
    <t>(</t>
    <phoneticPr fontId="40" type="noConversion"/>
  </si>
  <si>
    <t>)</t>
    <phoneticPr fontId="40" type="noConversion"/>
  </si>
  <si>
    <t>3.</t>
  </si>
  <si>
    <t>계 약 년 월 일</t>
  </si>
  <si>
    <t>4.</t>
  </si>
  <si>
    <t>착 공 년 월 일</t>
  </si>
  <si>
    <t>5.</t>
  </si>
  <si>
    <t>준 공 년 월 일</t>
  </si>
  <si>
    <t>6.</t>
    <phoneticPr fontId="4" type="noConversion"/>
  </si>
  <si>
    <t>노무비총액</t>
    <phoneticPr fontId="40" type="noConversion"/>
  </si>
  <si>
    <t>7.</t>
    <phoneticPr fontId="4" type="noConversion"/>
  </si>
  <si>
    <t>기지급금액</t>
  </si>
  <si>
    <t>직불금</t>
    <phoneticPr fontId="40" type="noConversion"/>
  </si>
  <si>
    <t>합계</t>
    <phoneticPr fontId="40" type="noConversion"/>
  </si>
  <si>
    <t>공급액</t>
    <phoneticPr fontId="40" type="noConversion"/>
  </si>
  <si>
    <t>부가세</t>
    <phoneticPr fontId="40" type="noConversion"/>
  </si>
  <si>
    <t>8.</t>
    <phoneticPr fontId="4" type="noConversion"/>
  </si>
  <si>
    <t>금회청구액</t>
    <phoneticPr fontId="40" type="noConversion"/>
  </si>
  <si>
    <t xml:space="preserve">(계약상대자) </t>
    <phoneticPr fontId="40" type="noConversion"/>
  </si>
  <si>
    <t>원도급</t>
    <phoneticPr fontId="40" type="noConversion"/>
  </si>
  <si>
    <t>부강종합건설㈜</t>
    <phoneticPr fontId="4" type="noConversion"/>
  </si>
  <si>
    <t xml:space="preserve">(직불하도급사) </t>
    <phoneticPr fontId="40" type="noConversion"/>
  </si>
  <si>
    <t>9.</t>
    <phoneticPr fontId="4" type="noConversion"/>
  </si>
  <si>
    <t>잔여금액</t>
  </si>
  <si>
    <t>선지급금</t>
    <phoneticPr fontId="40" type="noConversion"/>
  </si>
  <si>
    <t>구분</t>
  </si>
  <si>
    <t>업 체 명</t>
    <phoneticPr fontId="40" type="noConversion"/>
  </si>
  <si>
    <t>계좌번호(노무비)</t>
    <phoneticPr fontId="4" type="noConversion"/>
  </si>
  <si>
    <t>청구액</t>
  </si>
  <si>
    <t>계약상대자</t>
    <phoneticPr fontId="40" type="noConversion"/>
  </si>
  <si>
    <t>농협은행</t>
    <phoneticPr fontId="4" type="noConversion"/>
  </si>
  <si>
    <t>355-0062-3586-33</t>
    <phoneticPr fontId="4" type="noConversion"/>
  </si>
  <si>
    <t>직불하도급사</t>
    <phoneticPr fontId="4" type="noConversion"/>
  </si>
  <si>
    <t>붙 임 : 1. 노무자 명부 및 당월 개인별 노무비 청구(지급) 내역서 각 1부.</t>
    <phoneticPr fontId="40" type="noConversion"/>
  </si>
  <si>
    <t xml:space="preserve">계약상대자 : </t>
    <phoneticPr fontId="40" type="noConversion"/>
  </si>
  <si>
    <t>회사명</t>
    <phoneticPr fontId="4" type="noConversion"/>
  </si>
  <si>
    <t>주소</t>
    <phoneticPr fontId="4" type="noConversion"/>
  </si>
  <si>
    <t>대표자</t>
    <phoneticPr fontId="4" type="noConversion"/>
  </si>
  <si>
    <t xml:space="preserve">직불하도급사 : </t>
    <phoneticPr fontId="40" type="noConversion"/>
  </si>
  <si>
    <t>경상남도교육지원청</t>
    <phoneticPr fontId="4" type="noConversion"/>
  </si>
  <si>
    <t>○ 노무비 금액：</t>
    <phoneticPr fontId="40" type="noConversion"/>
  </si>
  <si>
    <t>○ 금월 청구금액：</t>
  </si>
  <si>
    <t>구 분</t>
  </si>
  <si>
    <t>공 종</t>
  </si>
  <si>
    <t>업 체 명</t>
  </si>
  <si>
    <t>전용계좌번호</t>
  </si>
  <si>
    <t>노무비
금액</t>
    <phoneticPr fontId="40" type="noConversion"/>
  </si>
  <si>
    <t>전월까지
금액</t>
    <phoneticPr fontId="40" type="noConversion"/>
  </si>
  <si>
    <t>금월
청구금액</t>
    <phoneticPr fontId="40" type="noConversion"/>
  </si>
  <si>
    <t>누계
금액</t>
    <phoneticPr fontId="40" type="noConversion"/>
  </si>
  <si>
    <t>도급사</t>
    <phoneticPr fontId="40" type="noConversion"/>
  </si>
  <si>
    <t>건축공사</t>
    <phoneticPr fontId="40" type="noConversion"/>
  </si>
  <si>
    <t>355-0062-3586-33 농협은행(노무비)</t>
    <phoneticPr fontId="4" type="noConversion"/>
  </si>
  <si>
    <t>소 계(A)</t>
  </si>
  <si>
    <t>직불
하도
급사</t>
    <phoneticPr fontId="40" type="noConversion"/>
  </si>
  <si>
    <t>소 계(B)</t>
    <phoneticPr fontId="40" type="noConversion"/>
  </si>
  <si>
    <t>합 계(A+B)</t>
    <phoneticPr fontId="40" type="noConversion"/>
  </si>
  <si>
    <t>○ 공  사  명 :</t>
    <phoneticPr fontId="40" type="noConversion"/>
  </si>
  <si>
    <t>계약상대자</t>
  </si>
  <si>
    <t>직종</t>
    <phoneticPr fontId="40" type="noConversion"/>
  </si>
  <si>
    <t>근로자성명</t>
    <phoneticPr fontId="40" type="noConversion"/>
  </si>
  <si>
    <t>청구금액</t>
  </si>
  <si>
    <t>휴대폰번호</t>
  </si>
  <si>
    <t>[소계1]</t>
    <phoneticPr fontId="4" type="noConversion"/>
  </si>
  <si>
    <t>부가세</t>
    <phoneticPr fontId="4" type="noConversion"/>
  </si>
  <si>
    <t>청구금액</t>
    <phoneticPr fontId="4" type="noConversion"/>
  </si>
  <si>
    <t>직불하도급사</t>
  </si>
  <si>
    <t>[소계2]</t>
    <phoneticPr fontId="4" type="noConversion"/>
  </si>
  <si>
    <t>[합 계]</t>
    <phoneticPr fontId="4" type="noConversion"/>
  </si>
  <si>
    <t>[ 총  계 ]</t>
    <phoneticPr fontId="4" type="noConversion"/>
  </si>
  <si>
    <r>
      <t xml:space="preserve">붙임 : </t>
    </r>
    <r>
      <rPr>
        <u/>
        <sz val="10"/>
        <color indexed="10"/>
        <rFont val="맑은 고딕"/>
        <family val="3"/>
        <charset val="129"/>
        <scheme val="minor"/>
      </rPr>
      <t>임금지급내역서, 통장사본 각 1부</t>
    </r>
  </si>
  <si>
    <t>※ 근로자의 계좌 개설 불가 또는 현금 지급 희망 등 사유의 경우에는 해당 근로자의 확인 서명(날인)</t>
  </si>
  <si>
    <t>정명덕</t>
    <phoneticPr fontId="4" type="noConversion"/>
  </si>
  <si>
    <t>각     서</t>
    <phoneticPr fontId="38" type="noConversion"/>
  </si>
  <si>
    <t xml:space="preserve">공사명 </t>
    <phoneticPr fontId="38" type="noConversion"/>
  </si>
  <si>
    <t>:</t>
    <phoneticPr fontId="38" type="noConversion"/>
  </si>
  <si>
    <t xml:space="preserve">  상기공사에 대하여 공사기간 중 발생한 노무비를 (공사근로자 노무비 구분관리 및</t>
    <phoneticPr fontId="38" type="noConversion"/>
  </si>
  <si>
    <t>지급확인제)에 따라 노무비를 청구함에 있어 차후 초과 청구로 인한 문제가 발생 할</t>
    <phoneticPr fontId="38" type="noConversion"/>
  </si>
  <si>
    <t>경우 어떠한 조치도 감수하겠기에 각서를 제출합니다.</t>
    <phoneticPr fontId="38" type="noConversion"/>
  </si>
  <si>
    <t>회사명</t>
    <phoneticPr fontId="38" type="noConversion"/>
  </si>
  <si>
    <t>대표이사</t>
    <phoneticPr fontId="38" type="noConversion"/>
  </si>
  <si>
    <t>(인)</t>
    <phoneticPr fontId="4" type="noConversion"/>
  </si>
  <si>
    <t>[별지 제13호서식]</t>
  </si>
  <si>
    <t xml:space="preserve">  </t>
  </si>
  <si>
    <t>계좌입금의뢰신고서</t>
  </si>
  <si>
    <t>귀 교와의 계약거래에 따른 본인(사)의 채권에 대하여는 아래에 지정하는 계좌에 입금시켜 주실 것을 의뢰합니다.</t>
    <phoneticPr fontId="4" type="noConversion"/>
  </si>
  <si>
    <t>거 래 은 행</t>
  </si>
  <si>
    <t>예 금 종 류</t>
  </si>
  <si>
    <t>계 좌 번 호</t>
  </si>
  <si>
    <t>예 금 주</t>
  </si>
  <si>
    <t>계 좌 입 금 방 법</t>
  </si>
  <si>
    <t>하도급지킴이</t>
  </si>
  <si>
    <t>※ 신고사항의 변경</t>
  </si>
  <si>
    <t xml:space="preserve">  ①본 약정에 기입된 계좌입금 관련 사항에 변경이 있을 때에는 다시 작성하여 제출하여야 한다.</t>
    <phoneticPr fontId="4" type="noConversion"/>
  </si>
  <si>
    <t xml:space="preserve">  ②전항의 신고 전에 신고사항의 변경으로 인한 손해에 대하여 국민건강보험공단은 그 책임을 지지 않는다. </t>
    <phoneticPr fontId="4" type="noConversion"/>
  </si>
  <si>
    <t>주   소</t>
    <phoneticPr fontId="4" type="noConversion"/>
  </si>
  <si>
    <t>인감대조</t>
  </si>
  <si>
    <t>공사근로자 노무비 청구서(2023년 01월)</t>
    <phoneticPr fontId="40" type="noConversion"/>
  </si>
  <si>
    <t>공사근로자 노무비 청구 내역서(2023 년 01월)</t>
    <phoneticPr fontId="40" type="noConversion"/>
  </si>
  <si>
    <t>공사근로자 노무비 청구 내역 집계표(2023 년 01 월)</t>
    <phoneticPr fontId="40" type="noConversion"/>
  </si>
  <si>
    <t>2023 년  02 월      일</t>
    <phoneticPr fontId="40" type="noConversion"/>
  </si>
  <si>
    <r>
      <t xml:space="preserve">   위 금액을 </t>
    </r>
    <r>
      <rPr>
        <b/>
        <sz val="11"/>
        <color rgb="FF000000"/>
        <rFont val="맑은 고딕"/>
        <family val="3"/>
        <charset val="129"/>
        <scheme val="minor"/>
      </rPr>
      <t>2023 년 01월 노무비(1회)</t>
    </r>
    <r>
      <rPr>
        <sz val="11"/>
        <color indexed="8"/>
        <rFont val="맑은 고딕"/>
        <family val="3"/>
        <charset val="129"/>
        <scheme val="minor"/>
      </rPr>
      <t>로 청구하오니 아래와 같이 지급하여 주시기 바랍니다.</t>
    </r>
    <phoneticPr fontId="40" type="noConversion"/>
  </si>
  <si>
    <t>00건설㈜</t>
    <phoneticPr fontId="4" type="noConversion"/>
  </si>
  <si>
    <t>㈜00기업</t>
    <phoneticPr fontId="4" type="noConversion"/>
  </si>
  <si>
    <t>㈜000개발</t>
    <phoneticPr fontId="40" type="noConversion"/>
  </si>
  <si>
    <t>주식회사 00</t>
    <phoneticPr fontId="4" type="noConversion"/>
  </si>
  <si>
    <t>강 0 0</t>
    <phoneticPr fontId="4" type="noConversion"/>
  </si>
  <si>
    <t>김 0 0</t>
    <phoneticPr fontId="4" type="noConversion"/>
  </si>
  <si>
    <t>박 0 0</t>
    <phoneticPr fontId="4" type="noConversion"/>
  </si>
  <si>
    <t xml:space="preserve">경남 김해시 </t>
    <phoneticPr fontId="4" type="noConversion"/>
  </si>
  <si>
    <t>대구광역시 수성구</t>
    <phoneticPr fontId="4" type="noConversion"/>
  </si>
  <si>
    <t xml:space="preserve">경남 남해군 </t>
    <phoneticPr fontId="4" type="noConversion"/>
  </si>
  <si>
    <t xml:space="preserve">경남 합천군 </t>
    <phoneticPr fontId="4" type="noConversion"/>
  </si>
  <si>
    <r>
      <rPr>
        <b/>
        <sz val="16"/>
        <color rgb="FF000000"/>
        <rFont val="맑은 고딕"/>
        <family val="3"/>
        <charset val="129"/>
        <scheme val="minor"/>
      </rPr>
      <t>주소록 탭</t>
    </r>
    <r>
      <rPr>
        <sz val="16"/>
        <color indexed="8"/>
        <rFont val="맑은 고딕"/>
        <family val="3"/>
        <charset val="129"/>
        <scheme val="minor"/>
      </rPr>
      <t xml:space="preserve"> 기재 후 </t>
    </r>
    <r>
      <rPr>
        <b/>
        <sz val="16"/>
        <color rgb="FF000000"/>
        <rFont val="맑은 고딕"/>
        <family val="3"/>
        <charset val="129"/>
        <scheme val="minor"/>
      </rPr>
      <t>청구내역서</t>
    </r>
    <r>
      <rPr>
        <sz val="16"/>
        <color indexed="8"/>
        <rFont val="맑은 고딕"/>
        <family val="3"/>
        <charset val="129"/>
        <scheme val="minor"/>
      </rPr>
      <t xml:space="preserve"> 상 근로자 이름만
 적으면 데이터 자동 연결됩니다.</t>
    </r>
    <phoneticPr fontId="4" type="noConversion"/>
  </si>
  <si>
    <t>2023년</t>
    <phoneticPr fontId="4" type="noConversion"/>
  </si>
  <si>
    <t>오부택</t>
  </si>
  <si>
    <t>유수진</t>
  </si>
  <si>
    <t>경기도 남양주시 도농동 291-34 19/4</t>
  </si>
  <si>
    <t>경기도 남양주시 진건읍 사릉로용정1길 11</t>
  </si>
  <si>
    <t>경기도  포천군 영북면 운천리 528</t>
  </si>
  <si>
    <t>010-8783-1657</t>
  </si>
  <si>
    <t>010-4993-9423</t>
  </si>
  <si>
    <t>010-3124-2716</t>
  </si>
  <si>
    <t>김방수</t>
  </si>
  <si>
    <t>경기도 남양주시 경춘로859번길26, B동 204호(금곡동,동익빌라)</t>
  </si>
  <si>
    <t>010-9342-8092</t>
  </si>
  <si>
    <t>204074-51-050436</t>
  </si>
  <si>
    <t xml:space="preserve"> </t>
  </si>
  <si>
    <t>651015-1333111</t>
  </si>
  <si>
    <t>630816-1221210</t>
  </si>
  <si>
    <t>701126-1241813</t>
  </si>
  <si>
    <t>류시현</t>
  </si>
  <si>
    <t>610927-1784016</t>
  </si>
  <si>
    <t>서울특별시 은평구 갈현로29길 53, 지층 B01호</t>
  </si>
  <si>
    <t>010-7609-0150</t>
  </si>
  <si>
    <t>박찬구</t>
  </si>
  <si>
    <t>204030-56-159309</t>
  </si>
  <si>
    <t>352-0964-6051-63</t>
  </si>
  <si>
    <t>352601-01-213053</t>
  </si>
  <si>
    <t>650604-1622312</t>
  </si>
  <si>
    <t>590427-5101290</t>
  </si>
  <si>
    <t>010-5540-5904</t>
  </si>
  <si>
    <t>580-910278-79407</t>
  </si>
  <si>
    <t>580-20-374487</t>
  </si>
  <si>
    <t>박찬식</t>
  </si>
  <si>
    <t>590407-1906717</t>
  </si>
  <si>
    <t>부산광역시 동구 작전동 768-26</t>
  </si>
  <si>
    <t>010-3837-5876</t>
  </si>
  <si>
    <t>211041-56-176755</t>
  </si>
  <si>
    <t>570411-1640313</t>
  </si>
  <si>
    <t>경기도 김포시 하성면 전류리 67-9</t>
  </si>
  <si>
    <t>010-9313-6807</t>
  </si>
  <si>
    <t>351-0499-5374-13</t>
  </si>
  <si>
    <t>오부택</t>
    <phoneticPr fontId="4" type="noConversion"/>
  </si>
  <si>
    <t>하해군</t>
    <phoneticPr fontId="4" type="noConversion"/>
  </si>
  <si>
    <t>유수진</t>
    <phoneticPr fontId="4" type="noConversion"/>
  </si>
  <si>
    <t>김방수</t>
    <phoneticPr fontId="4" type="noConversion"/>
  </si>
  <si>
    <t>류시현</t>
    <phoneticPr fontId="4" type="noConversion"/>
  </si>
  <si>
    <t>박찬구</t>
    <phoneticPr fontId="4" type="noConversion"/>
  </si>
  <si>
    <t>박찬식</t>
    <phoneticPr fontId="4" type="noConversion"/>
  </si>
  <si>
    <t>하진욱</t>
    <phoneticPr fontId="4" type="noConversion"/>
  </si>
  <si>
    <t>정연복</t>
    <phoneticPr fontId="4" type="noConversion"/>
  </si>
  <si>
    <t>김학춘</t>
    <phoneticPr fontId="4" type="noConversion"/>
  </si>
  <si>
    <t>이찬석</t>
    <phoneticPr fontId="4" type="noConversion"/>
  </si>
  <si>
    <t>이기연</t>
    <phoneticPr fontId="4" type="noConversion"/>
  </si>
  <si>
    <t>590120-1244816</t>
  </si>
  <si>
    <t>651110-1232814</t>
  </si>
  <si>
    <t>경기도 파주시 하지석길 150-67</t>
  </si>
  <si>
    <t>경기도 파주시 정담길 123 101동 602호</t>
  </si>
  <si>
    <t>010-9120-2168</t>
  </si>
  <si>
    <t>010-7671-5881</t>
  </si>
  <si>
    <t>215120-52-005803</t>
  </si>
  <si>
    <t>352-1705-3514-03</t>
  </si>
  <si>
    <t>LI ZHEXUN(이철훈)</t>
    <phoneticPr fontId="4" type="noConversion"/>
  </si>
  <si>
    <t>CUI CHENGMIN(최성민)</t>
    <phoneticPr fontId="4" type="noConversion"/>
  </si>
  <si>
    <t>JIN YUANTAI(김원태)</t>
    <phoneticPr fontId="4" type="noConversion"/>
  </si>
  <si>
    <t>LI ZHEXUN
(이철훈)</t>
    <phoneticPr fontId="4" type="noConversion"/>
  </si>
  <si>
    <t>CUI CHENGMIN
(최성민)</t>
    <phoneticPr fontId="4" type="noConversion"/>
  </si>
  <si>
    <t>JIN YUANTAI
(김원태)</t>
    <phoneticPr fontId="4" type="noConversion"/>
  </si>
  <si>
    <t>고색2지구 공원 및 공공공지 조성공사</t>
  </si>
  <si>
    <t>소 득 세                  지방소득세</t>
  </si>
  <si>
    <t>㈜아 산</t>
  </si>
  <si>
    <t>60세이상</t>
  </si>
  <si>
    <t>65세이상</t>
  </si>
  <si>
    <t>이찬석</t>
  </si>
  <si>
    <t>이기연</t>
  </si>
  <si>
    <t>640909-1324212</t>
  </si>
  <si>
    <t>인천광역시 미추홀구 미추홀대로 657번길 22-1</t>
  </si>
  <si>
    <t>정연복</t>
  </si>
  <si>
    <t>010-2081-4474</t>
  </si>
  <si>
    <t>403-910413-64207</t>
  </si>
  <si>
    <t>690525-1321017</t>
  </si>
  <si>
    <t>인천광역시 미추홀구 길파로35번길 71-1, 102호</t>
  </si>
  <si>
    <t>김학춘</t>
  </si>
  <si>
    <t>010-5306-6707</t>
  </si>
  <si>
    <t>259201-04-132579</t>
  </si>
  <si>
    <t>621222-5100053</t>
  </si>
  <si>
    <t>인천광역시 미추홀구 수봉남로17번길37 102호(용현동,럭키빌라)</t>
  </si>
  <si>
    <t>010-8227-3088</t>
  </si>
  <si>
    <t>024801-04-446948</t>
  </si>
  <si>
    <t>외국인</t>
  </si>
  <si>
    <t>710413-5100057</t>
  </si>
  <si>
    <t>인천광역시 미추홀구 독정안길 71-20 삼영빌라</t>
  </si>
  <si>
    <t>010-5824-7954</t>
  </si>
  <si>
    <t>620-910226-10107</t>
  </si>
  <si>
    <t>인천광역시 미추홀구 수봉로70번길 3 202동(숭의동)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</si>
</sst>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&quot;₩&quot;* #,##0_-;\-&quot;₩&quot;* #,##0_-;_-&quot;₩&quot;* &quot;-&quot;_-;_-@_-"/>
    <numFmt numFmtId="41" formatCode="_-* #,##0_-;\-* #,##0_-;_-* &quot;-&quot;_-;_-@_-"/>
    <numFmt numFmtId="176" formatCode="#,#00&quot;원&quot;"/>
    <numFmt numFmtId="177" formatCode="000000\-0000000"/>
    <numFmt numFmtId="178" formatCode="yyyy/mm/dd;@"/>
    <numFmt numFmtId="179" formatCode="0&quot;일&quot;"/>
    <numFmt numFmtId="180" formatCode="0.0_ "/>
    <numFmt numFmtId="181" formatCode="0.0&quot;공수&quot;"/>
    <numFmt numFmtId="184" formatCode="General\ &quot;일&quot;"/>
    <numFmt numFmtId="187" formatCode="_ * #,##0_ ;_ * \-#,##0_ ;_ * &quot;-&quot;_ ;_ @_ "/>
    <numFmt numFmtId="188" formatCode="#,##0.00_ "/>
    <numFmt numFmtId="189" formatCode="_ * #,##0.00_ ;_ * \-#,##0.00_ ;_ * &quot;-&quot;??_ ;_ @_ "/>
    <numFmt numFmtId="190" formatCode="&quot;₩&quot;#,##0.00;[Red]&quot;₩&quot;\-&quot;₩&quot;#,##0.00"/>
    <numFmt numFmtId="191" formatCode="&quot;₩&quot;#,##0;&quot;₩&quot;\-#,##0"/>
    <numFmt numFmtId="192" formatCode="#,##0_ ;[Red]\-#,##0\ "/>
    <numFmt numFmtId="193" formatCode="@\ &quot;월&quot;"/>
    <numFmt numFmtId="194" formatCode="General&quot;년&quot;"/>
    <numFmt numFmtId="195" formatCode="General&quot;월&quot;"/>
    <numFmt numFmtId="196" formatCode="d"/>
    <numFmt numFmtId="197" formatCode="#,##0_ "/>
    <numFmt numFmtId="200" formatCode="yyyy&quot;-&quot;mm&quot;-&quot;dd"/>
    <numFmt numFmtId="203" formatCode="#,##0_&amp;&quot;) 에 출역일수를&quot;"/>
    <numFmt numFmtId="204" formatCode="&quot;₩&quot;#,##0_);[Red]\(&quot;₩&quot;#,##0\)"/>
    <numFmt numFmtId="205" formatCode="&quot;₩&quot;#,##0"/>
    <numFmt numFmtId="206" formatCode="0_);[Red]\(0\)"/>
    <numFmt numFmtId="207" formatCode="#,###"/>
    <numFmt numFmtId="208" formatCode="#,##0;\-#,##0;\-;@"/>
  </numFmts>
  <fonts count="9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Malgun Gothic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굴림체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u/>
      <sz val="13"/>
      <name val="굴림체"/>
      <family val="3"/>
      <charset val="129"/>
    </font>
    <font>
      <b/>
      <sz val="1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color indexed="17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2"/>
      <name val="Calibri"/>
      <family val="2"/>
    </font>
    <font>
      <sz val="9"/>
      <name val="맑은 고딕"/>
      <family val="3"/>
      <charset val="129"/>
      <scheme val="minor"/>
    </font>
    <font>
      <sz val="11"/>
      <name val="돋움"/>
      <family val="3"/>
    </font>
    <font>
      <b/>
      <sz val="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u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inor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sz val="13"/>
      <color indexed="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u/>
      <sz val="1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6"/>
      <color indexed="8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u/>
      <sz val="10"/>
      <color indexed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1.5"/>
      <color rgb="FF000000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Up="1">
      <left/>
      <right style="thin">
        <color indexed="64"/>
      </right>
      <top style="thin">
        <color indexed="64"/>
      </top>
      <bottom style="thin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</borders>
  <cellStyleXfs count="69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16" fillId="0" borderId="0"/>
    <xf numFmtId="38" fontId="17" fillId="0" borderId="0"/>
    <xf numFmtId="2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38" fontId="21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0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9" fontId="21" fillId="7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9" fontId="15" fillId="0" borderId="0" applyFont="0" applyFill="0" applyBorder="0" applyAlignment="0" applyProtection="0"/>
    <xf numFmtId="0" fontId="23" fillId="0" borderId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21" fillId="7" borderId="0" applyFill="0" applyBorder="0" applyProtection="0">
      <alignment horizontal="right"/>
    </xf>
    <xf numFmtId="189" fontId="16" fillId="0" borderId="0" applyFont="0" applyFill="0" applyBorder="0" applyAlignment="0" applyProtection="0"/>
    <xf numFmtId="10" fontId="18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8" fillId="0" borderId="48" applyNumberFormat="0" applyFont="0" applyFill="0" applyAlignment="0" applyProtection="0"/>
    <xf numFmtId="190" fontId="15" fillId="0" borderId="0" applyFont="0" applyFill="0" applyBorder="0" applyAlignment="0" applyProtection="0"/>
    <xf numFmtId="191" fontId="18" fillId="0" borderId="0" applyFont="0" applyFill="0" applyBorder="0" applyAlignment="0" applyProtection="0"/>
    <xf numFmtId="0" fontId="2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26" fillId="7" borderId="0" applyNumberFormat="0" applyBorder="0" applyAlignment="0" applyProtection="0"/>
    <xf numFmtId="0" fontId="27" fillId="0" borderId="0">
      <alignment horizontal="left"/>
    </xf>
    <xf numFmtId="0" fontId="28" fillId="0" borderId="49" applyNumberFormat="0" applyAlignment="0" applyProtection="0">
      <alignment horizontal="left" vertical="center"/>
    </xf>
    <xf numFmtId="0" fontId="28" fillId="0" borderId="5">
      <alignment horizontal="left" vertical="center"/>
    </xf>
    <xf numFmtId="10" fontId="26" fillId="7" borderId="1" applyNumberFormat="0" applyBorder="0" applyAlignment="0" applyProtection="0"/>
    <xf numFmtId="0" fontId="29" fillId="0" borderId="46"/>
    <xf numFmtId="0" fontId="16" fillId="0" borderId="0"/>
    <xf numFmtId="0" fontId="25" fillId="0" borderId="0"/>
    <xf numFmtId="10" fontId="25" fillId="0" borderId="0" applyFont="0" applyFill="0" applyBorder="0" applyAlignment="0" applyProtection="0"/>
    <xf numFmtId="0" fontId="29" fillId="0" borderId="0"/>
    <xf numFmtId="0" fontId="30" fillId="0" borderId="0" applyFill="0" applyBorder="0" applyProtection="0">
      <alignment horizontal="centerContinuous" vertical="center"/>
    </xf>
    <xf numFmtId="0" fontId="17" fillId="7" borderId="0" applyFill="0" applyBorder="0" applyProtection="0">
      <alignment horizontal="center"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25" fillId="0" borderId="0"/>
    <xf numFmtId="0" fontId="50" fillId="0" borderId="0"/>
    <xf numFmtId="0" fontId="52" fillId="0" borderId="0"/>
    <xf numFmtId="0" fontId="3" fillId="0" borderId="0">
      <alignment vertical="center"/>
    </xf>
    <xf numFmtId="0" fontId="8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0" fontId="76" fillId="0" borderId="0"/>
    <xf numFmtId="0" fontId="15" fillId="0" borderId="0"/>
    <xf numFmtId="0" fontId="15" fillId="0" borderId="0"/>
    <xf numFmtId="41" fontId="15" fillId="0" borderId="0" applyFont="0" applyFill="0" applyBorder="0" applyAlignment="0" applyProtection="0">
      <alignment vertical="center"/>
    </xf>
  </cellStyleXfs>
  <cellXfs count="771">
    <xf numFmtId="0" fontId="0" fillId="0" borderId="0" xfId="0">
      <alignment vertical="center"/>
    </xf>
    <xf numFmtId="0" fontId="8" fillId="0" borderId="0" xfId="0" applyFont="1" applyProtection="1">
      <alignment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32" fillId="0" borderId="0" xfId="2" applyFont="1" applyProtection="1">
      <alignment vertical="center"/>
      <protection locked="0"/>
    </xf>
    <xf numFmtId="0" fontId="32" fillId="0" borderId="27" xfId="2" applyFont="1" applyBorder="1" applyProtection="1">
      <alignment vertical="center"/>
      <protection locked="0"/>
    </xf>
    <xf numFmtId="0" fontId="32" fillId="0" borderId="28" xfId="2" applyFont="1" applyBorder="1" applyProtection="1">
      <alignment vertical="center"/>
      <protection locked="0"/>
    </xf>
    <xf numFmtId="14" fontId="32" fillId="0" borderId="0" xfId="2" applyNumberFormat="1" applyFont="1" applyProtection="1">
      <alignment vertical="center"/>
      <protection locked="0"/>
    </xf>
    <xf numFmtId="193" fontId="32" fillId="0" borderId="0" xfId="2" applyNumberFormat="1" applyFont="1" applyProtection="1">
      <alignment vertical="center"/>
      <protection locked="0"/>
    </xf>
    <xf numFmtId="49" fontId="32" fillId="0" borderId="35" xfId="2" applyNumberFormat="1" applyFont="1" applyBorder="1" applyAlignment="1" applyProtection="1">
      <alignment horizontal="center" vertical="center"/>
      <protection locked="0"/>
    </xf>
    <xf numFmtId="49" fontId="32" fillId="0" borderId="36" xfId="2" applyNumberFormat="1" applyFont="1" applyBorder="1" applyAlignment="1" applyProtection="1">
      <alignment horizontal="center" vertical="center"/>
      <protection locked="0"/>
    </xf>
    <xf numFmtId="0" fontId="35" fillId="0" borderId="18" xfId="2" applyFont="1" applyBorder="1" applyAlignment="1" applyProtection="1">
      <alignment horizontal="center" vertical="center"/>
      <protection locked="0"/>
    </xf>
    <xf numFmtId="49" fontId="32" fillId="0" borderId="2" xfId="2" applyNumberFormat="1" applyFont="1" applyBorder="1" applyAlignment="1" applyProtection="1">
      <alignment horizontal="center" vertical="center"/>
      <protection locked="0"/>
    </xf>
    <xf numFmtId="0" fontId="32" fillId="8" borderId="17" xfId="2" applyFont="1" applyFill="1" applyBorder="1" applyAlignment="1">
      <alignment horizontal="center" vertical="center"/>
    </xf>
    <xf numFmtId="0" fontId="32" fillId="8" borderId="3" xfId="2" applyFont="1" applyFill="1" applyBorder="1" applyAlignment="1">
      <alignment horizontal="center" vertical="center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12" fillId="3" borderId="15" xfId="0" applyFont="1" applyFill="1" applyBorder="1" applyProtection="1">
      <alignment vertical="center"/>
      <protection locked="0"/>
    </xf>
    <xf numFmtId="194" fontId="12" fillId="3" borderId="19" xfId="0" applyNumberFormat="1" applyFont="1" applyFill="1" applyBorder="1" applyProtection="1">
      <alignment vertical="center"/>
      <protection locked="0"/>
    </xf>
    <xf numFmtId="0" fontId="12" fillId="3" borderId="16" xfId="0" applyFont="1" applyFill="1" applyBorder="1" applyProtection="1">
      <alignment vertical="center"/>
      <protection locked="0"/>
    </xf>
    <xf numFmtId="0" fontId="12" fillId="3" borderId="17" xfId="0" applyFont="1" applyFill="1" applyBorder="1" applyProtection="1">
      <alignment vertical="center"/>
      <protection locked="0"/>
    </xf>
    <xf numFmtId="194" fontId="12" fillId="3" borderId="3" xfId="0" applyNumberFormat="1" applyFont="1" applyFill="1" applyBorder="1" applyProtection="1">
      <alignment vertical="center"/>
      <protection locked="0"/>
    </xf>
    <xf numFmtId="0" fontId="12" fillId="3" borderId="18" xfId="0" applyFont="1" applyFill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4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0" fontId="53" fillId="0" borderId="0" xfId="61" applyFont="1" applyAlignment="1">
      <alignment vertical="center"/>
    </xf>
    <xf numFmtId="0" fontId="14" fillId="0" borderId="0" xfId="61" applyFont="1"/>
    <xf numFmtId="0" fontId="5" fillId="10" borderId="0" xfId="0" applyFont="1" applyFill="1" applyAlignment="1">
      <alignment horizontal="center" vertical="center"/>
    </xf>
    <xf numFmtId="0" fontId="0" fillId="0" borderId="0" xfId="0" quotePrefix="1">
      <alignment vertical="center"/>
    </xf>
    <xf numFmtId="0" fontId="54" fillId="0" borderId="0" xfId="61" applyFont="1" applyAlignment="1" applyProtection="1">
      <alignment horizontal="center" vertical="center" wrapText="1"/>
      <protection locked="0"/>
    </xf>
    <xf numFmtId="0" fontId="5" fillId="0" borderId="0" xfId="0" applyFont="1">
      <alignment vertical="center"/>
    </xf>
    <xf numFmtId="41" fontId="55" fillId="0" borderId="5" xfId="1" applyFont="1" applyFill="1" applyBorder="1" applyAlignment="1" applyProtection="1">
      <alignment vertical="center" wrapText="1"/>
      <protection locked="0"/>
    </xf>
    <xf numFmtId="41" fontId="55" fillId="0" borderId="6" xfId="1" applyFont="1" applyFill="1" applyBorder="1" applyAlignment="1" applyProtection="1">
      <alignment vertical="center" wrapText="1"/>
      <protection locked="0"/>
    </xf>
    <xf numFmtId="41" fontId="51" fillId="0" borderId="19" xfId="1" applyFont="1" applyBorder="1" applyAlignment="1" applyProtection="1">
      <alignment horizontal="right" vertical="center" wrapText="1"/>
      <protection locked="0"/>
    </xf>
    <xf numFmtId="0" fontId="51" fillId="0" borderId="19" xfId="61" applyFont="1" applyBorder="1" applyAlignment="1" applyProtection="1">
      <alignment horizontal="right" vertical="center" wrapText="1"/>
      <protection locked="0"/>
    </xf>
    <xf numFmtId="41" fontId="0" fillId="0" borderId="0" xfId="0" applyNumberFormat="1">
      <alignment vertical="center"/>
    </xf>
    <xf numFmtId="0" fontId="51" fillId="0" borderId="3" xfId="61" applyFont="1" applyBorder="1" applyAlignment="1" applyProtection="1">
      <alignment horizontal="left" vertical="center" wrapText="1"/>
      <protection locked="0"/>
    </xf>
    <xf numFmtId="41" fontId="43" fillId="0" borderId="18" xfId="1" applyFont="1" applyBorder="1" applyAlignment="1" applyProtection="1">
      <alignment horizontal="center" vertical="center"/>
      <protection locked="0"/>
    </xf>
    <xf numFmtId="0" fontId="51" fillId="0" borderId="5" xfId="61" applyFont="1" applyBorder="1" applyAlignment="1" applyProtection="1">
      <alignment horizontal="left" vertical="center" wrapText="1"/>
      <protection locked="0"/>
    </xf>
    <xf numFmtId="41" fontId="43" fillId="0" borderId="6" xfId="1" applyFont="1" applyBorder="1" applyAlignment="1" applyProtection="1">
      <alignment horizontal="center" vertical="center"/>
      <protection locked="0"/>
    </xf>
    <xf numFmtId="41" fontId="55" fillId="0" borderId="61" xfId="1" applyFont="1" applyBorder="1" applyAlignment="1" applyProtection="1">
      <alignment vertical="center" wrapText="1"/>
      <protection locked="0"/>
    </xf>
    <xf numFmtId="0" fontId="0" fillId="0" borderId="0" xfId="0" applyAlignment="1">
      <alignment horizontal="left" vertical="center"/>
    </xf>
    <xf numFmtId="0" fontId="36" fillId="0" borderId="0" xfId="0" applyFont="1">
      <alignment vertical="center"/>
    </xf>
    <xf numFmtId="0" fontId="48" fillId="0" borderId="0" xfId="0" applyFont="1">
      <alignment vertical="center"/>
    </xf>
    <xf numFmtId="0" fontId="36" fillId="0" borderId="11" xfId="0" applyFont="1" applyBorder="1" applyAlignment="1">
      <alignment horizontal="center" vertical="center"/>
    </xf>
    <xf numFmtId="184" fontId="66" fillId="0" borderId="11" xfId="0" applyNumberFormat="1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184" fontId="6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 wrapText="1"/>
    </xf>
    <xf numFmtId="184" fontId="66" fillId="0" borderId="2" xfId="0" quotePrefix="1" applyNumberFormat="1" applyFont="1" applyBorder="1" applyAlignment="1">
      <alignment horizontal="center" vertical="center"/>
    </xf>
    <xf numFmtId="0" fontId="36" fillId="0" borderId="2" xfId="0" quotePrefix="1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/>
    </xf>
    <xf numFmtId="0" fontId="36" fillId="0" borderId="52" xfId="0" applyFont="1" applyBorder="1" applyAlignment="1">
      <alignment horizontal="center" vertical="center"/>
    </xf>
    <xf numFmtId="184" fontId="66" fillId="0" borderId="52" xfId="0" quotePrefix="1" applyNumberFormat="1" applyFont="1" applyBorder="1" applyAlignment="1">
      <alignment horizontal="center" vertical="center"/>
    </xf>
    <xf numFmtId="0" fontId="36" fillId="0" borderId="52" xfId="0" applyFont="1" applyBorder="1" applyAlignment="1">
      <alignment horizontal="left" vertical="center"/>
    </xf>
    <xf numFmtId="0" fontId="36" fillId="0" borderId="97" xfId="0" applyFont="1" applyBorder="1" applyAlignment="1">
      <alignment horizontal="center" vertical="center"/>
    </xf>
    <xf numFmtId="184" fontId="66" fillId="0" borderId="98" xfId="0" applyNumberFormat="1" applyFont="1" applyBorder="1" applyAlignment="1">
      <alignment horizontal="center" vertical="center"/>
    </xf>
    <xf numFmtId="0" fontId="36" fillId="0" borderId="97" xfId="0" applyFont="1" applyBorder="1" applyAlignment="1">
      <alignment horizontal="left" vertical="center"/>
    </xf>
    <xf numFmtId="0" fontId="8" fillId="0" borderId="35" xfId="0" applyFont="1" applyBorder="1" applyAlignment="1" applyProtection="1">
      <alignment horizontal="center" vertical="center" shrinkToFit="1"/>
      <protection locked="0"/>
    </xf>
    <xf numFmtId="176" fontId="8" fillId="0" borderId="36" xfId="0" applyNumberFormat="1" applyFont="1" applyBorder="1" applyAlignment="1" applyProtection="1">
      <alignment horizontal="center" vertical="center" shrinkToFit="1"/>
      <protection locked="0"/>
    </xf>
    <xf numFmtId="0" fontId="39" fillId="0" borderId="0" xfId="63" applyFont="1">
      <alignment vertical="center"/>
    </xf>
    <xf numFmtId="0" fontId="39" fillId="0" borderId="0" xfId="63" applyFont="1" applyAlignment="1">
      <alignment horizontal="center" vertical="center"/>
    </xf>
    <xf numFmtId="0" fontId="8" fillId="0" borderId="0" xfId="63">
      <alignment vertical="center"/>
    </xf>
    <xf numFmtId="204" fontId="8" fillId="0" borderId="0" xfId="63" applyNumberFormat="1">
      <alignment vertical="center"/>
    </xf>
    <xf numFmtId="0" fontId="39" fillId="0" borderId="103" xfId="63" applyFont="1" applyBorder="1" applyAlignment="1">
      <alignment horizontal="right" vertical="center" wrapText="1"/>
    </xf>
    <xf numFmtId="0" fontId="39" fillId="0" borderId="103" xfId="63" applyFont="1" applyBorder="1" applyAlignment="1">
      <alignment horizontal="center" vertical="center" wrapText="1"/>
    </xf>
    <xf numFmtId="204" fontId="39" fillId="0" borderId="0" xfId="63" applyNumberFormat="1" applyFont="1">
      <alignment vertical="center"/>
    </xf>
    <xf numFmtId="205" fontId="39" fillId="0" borderId="103" xfId="63" applyNumberFormat="1" applyFont="1" applyBorder="1" applyAlignment="1">
      <alignment horizontal="center" vertical="center" wrapText="1"/>
    </xf>
    <xf numFmtId="0" fontId="39" fillId="0" borderId="104" xfId="63" applyFont="1" applyBorder="1" applyAlignment="1">
      <alignment vertical="center" wrapText="1"/>
    </xf>
    <xf numFmtId="41" fontId="39" fillId="0" borderId="0" xfId="63" applyNumberFormat="1" applyFont="1">
      <alignment vertical="center"/>
    </xf>
    <xf numFmtId="0" fontId="39" fillId="0" borderId="101" xfId="63" applyFont="1" applyBorder="1" applyAlignment="1">
      <alignment vertical="center" wrapText="1"/>
    </xf>
    <xf numFmtId="0" fontId="39" fillId="0" borderId="103" xfId="63" applyFont="1" applyBorder="1" applyAlignment="1">
      <alignment vertical="center" wrapText="1"/>
    </xf>
    <xf numFmtId="0" fontId="39" fillId="0" borderId="108" xfId="63" applyFont="1" applyBorder="1" applyAlignment="1">
      <alignment horizontal="right" vertical="center" wrapText="1"/>
    </xf>
    <xf numFmtId="0" fontId="39" fillId="0" borderId="108" xfId="63" applyFont="1" applyBorder="1" applyAlignment="1">
      <alignment horizontal="center" vertical="center" wrapText="1"/>
    </xf>
    <xf numFmtId="205" fontId="39" fillId="0" borderId="108" xfId="63" applyNumberFormat="1" applyFont="1" applyBorder="1" applyAlignment="1">
      <alignment horizontal="center" vertical="center" wrapText="1"/>
    </xf>
    <xf numFmtId="0" fontId="39" fillId="0" borderId="109" xfId="63" applyFont="1" applyBorder="1" applyAlignment="1">
      <alignment vertical="center" wrapText="1"/>
    </xf>
    <xf numFmtId="41" fontId="39" fillId="0" borderId="0" xfId="64" applyFont="1" applyFill="1">
      <alignment vertical="center"/>
    </xf>
    <xf numFmtId="204" fontId="14" fillId="0" borderId="0" xfId="63" applyNumberFormat="1" applyFont="1">
      <alignment vertical="center"/>
    </xf>
    <xf numFmtId="204" fontId="39" fillId="0" borderId="0" xfId="63" applyNumberFormat="1" applyFont="1" applyAlignment="1">
      <alignment horizontal="center" vertical="center"/>
    </xf>
    <xf numFmtId="0" fontId="39" fillId="0" borderId="109" xfId="63" applyFont="1" applyBorder="1" applyAlignment="1">
      <alignment horizontal="left" vertical="center" wrapText="1"/>
    </xf>
    <xf numFmtId="204" fontId="39" fillId="0" borderId="0" xfId="64" applyNumberFormat="1" applyFont="1" applyFill="1">
      <alignment vertical="center"/>
    </xf>
    <xf numFmtId="3" fontId="39" fillId="0" borderId="0" xfId="63" applyNumberFormat="1" applyFont="1">
      <alignment vertical="center"/>
    </xf>
    <xf numFmtId="0" fontId="39" fillId="0" borderId="0" xfId="63" applyFont="1" applyAlignment="1">
      <alignment horizontal="center" vertical="center" wrapText="1"/>
    </xf>
    <xf numFmtId="0" fontId="39" fillId="0" borderId="0" xfId="63" applyFont="1" applyAlignment="1">
      <alignment horizontal="distributed" vertical="center" wrapText="1" indent="1"/>
    </xf>
    <xf numFmtId="204" fontId="39" fillId="0" borderId="0" xfId="64" applyNumberFormat="1" applyFont="1" applyFill="1" applyBorder="1">
      <alignment vertical="center"/>
    </xf>
    <xf numFmtId="0" fontId="39" fillId="0" borderId="115" xfId="63" applyFont="1" applyBorder="1" applyAlignment="1">
      <alignment horizontal="center" vertical="center" wrapText="1"/>
    </xf>
    <xf numFmtId="0" fontId="39" fillId="0" borderId="119" xfId="63" applyFont="1" applyBorder="1" applyAlignment="1">
      <alignment horizontal="right" vertical="center" wrapText="1"/>
    </xf>
    <xf numFmtId="0" fontId="39" fillId="0" borderId="119" xfId="63" applyFont="1" applyBorder="1" applyAlignment="1">
      <alignment horizontal="center" vertical="center" wrapText="1"/>
    </xf>
    <xf numFmtId="205" fontId="39" fillId="0" borderId="119" xfId="63" applyNumberFormat="1" applyFont="1" applyBorder="1" applyAlignment="1">
      <alignment horizontal="center" vertical="center" wrapText="1"/>
    </xf>
    <xf numFmtId="0" fontId="39" fillId="0" borderId="121" xfId="63" applyFont="1" applyBorder="1" applyAlignment="1">
      <alignment vertical="center" wrapText="1"/>
    </xf>
    <xf numFmtId="205" fontId="39" fillId="0" borderId="0" xfId="63" applyNumberFormat="1" applyFont="1">
      <alignment vertical="center"/>
    </xf>
    <xf numFmtId="0" fontId="39" fillId="0" borderId="0" xfId="63" applyFont="1" applyAlignment="1">
      <alignment horizontal="left" vertical="center"/>
    </xf>
    <xf numFmtId="41" fontId="39" fillId="0" borderId="0" xfId="64" applyFont="1" applyFill="1" applyBorder="1" applyAlignment="1">
      <alignment horizontal="left" vertical="center"/>
    </xf>
    <xf numFmtId="41" fontId="39" fillId="0" borderId="0" xfId="64" applyFont="1" applyFill="1" applyAlignment="1">
      <alignment horizontal="left" vertical="center"/>
    </xf>
    <xf numFmtId="0" fontId="39" fillId="0" borderId="110" xfId="63" applyFont="1" applyBorder="1" applyAlignment="1">
      <alignment vertical="center" wrapText="1"/>
    </xf>
    <xf numFmtId="0" fontId="39" fillId="0" borderId="125" xfId="63" applyFont="1" applyBorder="1" applyAlignment="1">
      <alignment horizontal="center" vertical="center" wrapText="1"/>
    </xf>
    <xf numFmtId="0" fontId="39" fillId="0" borderId="115" xfId="63" applyFont="1" applyBorder="1" applyAlignment="1">
      <alignment vertical="center" wrapText="1"/>
    </xf>
    <xf numFmtId="41" fontId="39" fillId="0" borderId="0" xfId="64" applyFont="1" applyFill="1" applyBorder="1">
      <alignment vertical="center"/>
    </xf>
    <xf numFmtId="0" fontId="39" fillId="0" borderId="128" xfId="63" applyFont="1" applyBorder="1" applyAlignment="1">
      <alignment horizontal="center" vertical="center" wrapText="1"/>
    </xf>
    <xf numFmtId="0" fontId="39" fillId="0" borderId="131" xfId="63" applyFont="1" applyBorder="1" applyAlignment="1">
      <alignment horizontal="center" vertical="center" wrapText="1"/>
    </xf>
    <xf numFmtId="0" fontId="75" fillId="0" borderId="131" xfId="63" applyFont="1" applyBorder="1" applyAlignment="1">
      <alignment horizontal="center" vertical="center" wrapText="1"/>
    </xf>
    <xf numFmtId="0" fontId="39" fillId="0" borderId="134" xfId="63" applyFont="1" applyBorder="1" applyAlignment="1">
      <alignment horizontal="center" vertical="center" wrapText="1"/>
    </xf>
    <xf numFmtId="0" fontId="75" fillId="0" borderId="134" xfId="63" applyFont="1" applyBorder="1" applyAlignment="1">
      <alignment horizontal="center" vertical="center" wrapText="1"/>
    </xf>
    <xf numFmtId="206" fontId="39" fillId="0" borderId="0" xfId="63" applyNumberFormat="1" applyFont="1">
      <alignment vertical="center"/>
    </xf>
    <xf numFmtId="0" fontId="39" fillId="0" borderId="0" xfId="63" applyFont="1" applyAlignment="1">
      <alignment vertical="center" wrapText="1"/>
    </xf>
    <xf numFmtId="41" fontId="39" fillId="0" borderId="0" xfId="64" applyFont="1" applyFill="1" applyBorder="1" applyAlignment="1">
      <alignment vertical="center"/>
    </xf>
    <xf numFmtId="0" fontId="39" fillId="0" borderId="110" xfId="63" applyFont="1" applyBorder="1" applyAlignment="1">
      <alignment horizontal="justify" vertical="center" wrapText="1"/>
    </xf>
    <xf numFmtId="0" fontId="39" fillId="0" borderId="0" xfId="63" applyFont="1" applyAlignment="1">
      <alignment horizontal="justify" vertical="center" wrapText="1"/>
    </xf>
    <xf numFmtId="0" fontId="39" fillId="0" borderId="115" xfId="63" applyFont="1" applyBorder="1" applyAlignment="1">
      <alignment horizontal="justify" vertical="center" wrapText="1"/>
    </xf>
    <xf numFmtId="0" fontId="39" fillId="0" borderId="110" xfId="63" applyFont="1" applyBorder="1" applyAlignment="1">
      <alignment horizontal="center" vertical="center" wrapText="1"/>
    </xf>
    <xf numFmtId="0" fontId="39" fillId="0" borderId="0" xfId="63" applyFont="1" applyAlignment="1">
      <alignment horizontal="right" vertical="center"/>
    </xf>
    <xf numFmtId="0" fontId="39" fillId="0" borderId="0" xfId="63" applyFont="1" applyAlignment="1">
      <alignment horizontal="distributed" vertical="center" indent="1"/>
    </xf>
    <xf numFmtId="0" fontId="39" fillId="0" borderId="0" xfId="63" applyFont="1" applyAlignment="1">
      <alignment horizontal="distributed" vertical="center"/>
    </xf>
    <xf numFmtId="0" fontId="76" fillId="0" borderId="0" xfId="65" applyAlignment="1">
      <alignment horizontal="left" vertical="center"/>
    </xf>
    <xf numFmtId="0" fontId="39" fillId="0" borderId="0" xfId="63" applyFont="1" applyAlignment="1">
      <alignment horizontal="center" vertical="center" shrinkToFit="1"/>
    </xf>
    <xf numFmtId="0" fontId="39" fillId="0" borderId="0" xfId="63" applyFont="1" applyAlignment="1">
      <alignment horizontal="distributed" vertical="center" shrinkToFit="1"/>
    </xf>
    <xf numFmtId="0" fontId="74" fillId="0" borderId="115" xfId="63" applyFont="1" applyBorder="1" applyAlignment="1">
      <alignment horizontal="left" vertical="center" shrinkToFit="1"/>
    </xf>
    <xf numFmtId="0" fontId="39" fillId="0" borderId="115" xfId="63" applyFont="1" applyBorder="1" applyAlignment="1">
      <alignment horizontal="left" vertical="center" wrapText="1"/>
    </xf>
    <xf numFmtId="0" fontId="39" fillId="0" borderId="0" xfId="63" applyFont="1" applyAlignment="1">
      <alignment horizontal="left" vertical="center" wrapText="1"/>
    </xf>
    <xf numFmtId="0" fontId="72" fillId="0" borderId="0" xfId="63" applyFont="1">
      <alignment vertical="center"/>
    </xf>
    <xf numFmtId="0" fontId="39" fillId="0" borderId="0" xfId="63" applyFont="1" applyAlignment="1">
      <alignment horizontal="justify" vertical="center"/>
    </xf>
    <xf numFmtId="0" fontId="78" fillId="0" borderId="0" xfId="63" applyFont="1">
      <alignment vertical="center"/>
    </xf>
    <xf numFmtId="204" fontId="78" fillId="0" borderId="0" xfId="63" applyNumberFormat="1" applyFont="1">
      <alignment vertical="center"/>
    </xf>
    <xf numFmtId="0" fontId="8" fillId="0" borderId="0" xfId="63" applyAlignment="1">
      <alignment horizontal="center" vertical="center"/>
    </xf>
    <xf numFmtId="0" fontId="69" fillId="0" borderId="0" xfId="63" applyFont="1" applyAlignment="1">
      <alignment horizontal="left" vertical="center"/>
    </xf>
    <xf numFmtId="41" fontId="39" fillId="0" borderId="0" xfId="64" applyFont="1">
      <alignment vertical="center"/>
    </xf>
    <xf numFmtId="207" fontId="74" fillId="0" borderId="0" xfId="63" applyNumberFormat="1" applyFont="1">
      <alignment vertical="center"/>
    </xf>
    <xf numFmtId="0" fontId="74" fillId="0" borderId="0" xfId="63" applyFont="1">
      <alignment vertical="center"/>
    </xf>
    <xf numFmtId="0" fontId="74" fillId="0" borderId="134" xfId="63" applyFont="1" applyBorder="1" applyAlignment="1">
      <alignment horizontal="center" vertical="center" wrapText="1"/>
    </xf>
    <xf numFmtId="41" fontId="74" fillId="0" borderId="0" xfId="63" applyNumberFormat="1" applyFont="1">
      <alignment vertical="center"/>
    </xf>
    <xf numFmtId="0" fontId="74" fillId="0" borderId="137" xfId="63" applyFont="1" applyBorder="1" applyAlignment="1">
      <alignment horizontal="center" vertical="center" wrapText="1"/>
    </xf>
    <xf numFmtId="0" fontId="75" fillId="0" borderId="137" xfId="63" applyFont="1" applyBorder="1" applyAlignment="1">
      <alignment horizontal="center" vertical="center" wrapText="1"/>
    </xf>
    <xf numFmtId="41" fontId="74" fillId="0" borderId="137" xfId="63" applyNumberFormat="1" applyFont="1" applyBorder="1" applyAlignment="1">
      <alignment horizontal="center" vertical="center" wrapText="1"/>
    </xf>
    <xf numFmtId="41" fontId="74" fillId="0" borderId="137" xfId="64" applyFont="1" applyBorder="1" applyAlignment="1">
      <alignment horizontal="center" vertical="center" wrapText="1"/>
    </xf>
    <xf numFmtId="197" fontId="74" fillId="0" borderId="134" xfId="63" applyNumberFormat="1" applyFont="1" applyBorder="1" applyAlignment="1">
      <alignment vertical="center" wrapText="1"/>
    </xf>
    <xf numFmtId="0" fontId="74" fillId="0" borderId="134" xfId="63" applyFont="1" applyBorder="1" applyAlignment="1">
      <alignment vertical="center" wrapText="1"/>
    </xf>
    <xf numFmtId="0" fontId="75" fillId="0" borderId="134" xfId="63" applyFont="1" applyBorder="1" applyAlignment="1">
      <alignment vertical="center" wrapText="1"/>
    </xf>
    <xf numFmtId="41" fontId="74" fillId="0" borderId="134" xfId="64" applyFont="1" applyBorder="1" applyAlignment="1">
      <alignment vertical="center" wrapText="1"/>
    </xf>
    <xf numFmtId="197" fontId="74" fillId="0" borderId="142" xfId="63" applyNumberFormat="1" applyFont="1" applyBorder="1" applyAlignment="1">
      <alignment vertical="center" wrapText="1"/>
    </xf>
    <xf numFmtId="197" fontId="39" fillId="0" borderId="0" xfId="63" applyNumberFormat="1" applyFont="1">
      <alignment vertical="center"/>
    </xf>
    <xf numFmtId="41" fontId="39" fillId="0" borderId="0" xfId="63" applyNumberFormat="1" applyFont="1" applyAlignment="1">
      <alignment horizontal="center" vertical="center"/>
    </xf>
    <xf numFmtId="41" fontId="8" fillId="0" borderId="0" xfId="64" applyFont="1">
      <alignment vertical="center"/>
    </xf>
    <xf numFmtId="0" fontId="39" fillId="0" borderId="0" xfId="63" applyFont="1" applyAlignment="1">
      <alignment vertical="center" shrinkToFit="1"/>
    </xf>
    <xf numFmtId="0" fontId="72" fillId="0" borderId="101" xfId="63" applyFont="1" applyBorder="1" applyAlignment="1">
      <alignment horizontal="distributed" vertical="center" shrinkToFit="1"/>
    </xf>
    <xf numFmtId="0" fontId="39" fillId="2" borderId="134" xfId="63" applyFont="1" applyFill="1" applyBorder="1" applyAlignment="1">
      <alignment horizontal="center" vertical="center" shrinkToFit="1"/>
    </xf>
    <xf numFmtId="0" fontId="39" fillId="2" borderId="0" xfId="63" applyFont="1" applyFill="1" applyAlignment="1">
      <alignment vertical="center" shrinkToFit="1"/>
    </xf>
    <xf numFmtId="0" fontId="39" fillId="0" borderId="137" xfId="63" applyFont="1" applyBorder="1" applyAlignment="1">
      <alignment horizontal="center" vertical="center" shrinkToFit="1"/>
    </xf>
    <xf numFmtId="208" fontId="81" fillId="7" borderId="11" xfId="66" applyNumberFormat="1" applyFont="1" applyFill="1" applyBorder="1" applyAlignment="1">
      <alignment horizontal="center" vertical="center" shrinkToFit="1"/>
    </xf>
    <xf numFmtId="208" fontId="81" fillId="2" borderId="11" xfId="66" applyNumberFormat="1" applyFont="1" applyFill="1" applyBorder="1" applyAlignment="1">
      <alignment horizontal="center" vertical="center" shrinkToFit="1"/>
    </xf>
    <xf numFmtId="0" fontId="11" fillId="0" borderId="144" xfId="0" applyFont="1" applyBorder="1" applyAlignment="1">
      <alignment horizontal="center" vertical="center"/>
    </xf>
    <xf numFmtId="41" fontId="11" fillId="0" borderId="144" xfId="0" applyNumberFormat="1" applyFont="1" applyBorder="1">
      <alignment vertical="center"/>
    </xf>
    <xf numFmtId="0" fontId="11" fillId="0" borderId="144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36" xfId="0" applyFont="1" applyBorder="1" applyAlignment="1">
      <alignment horizontal="center" vertical="center"/>
    </xf>
    <xf numFmtId="41" fontId="11" fillId="0" borderId="36" xfId="0" applyNumberFormat="1" applyFont="1" applyBorder="1">
      <alignment vertical="center"/>
    </xf>
    <xf numFmtId="0" fontId="11" fillId="0" borderId="36" xfId="0" applyFont="1" applyBorder="1">
      <alignment vertical="center"/>
    </xf>
    <xf numFmtId="41" fontId="39" fillId="2" borderId="134" xfId="64" applyFont="1" applyFill="1" applyBorder="1" applyAlignment="1">
      <alignment horizontal="center" vertical="center" shrinkToFit="1"/>
    </xf>
    <xf numFmtId="0" fontId="39" fillId="0" borderId="134" xfId="63" applyFont="1" applyBorder="1" applyAlignment="1">
      <alignment horizontal="center" vertical="center" shrinkToFit="1"/>
    </xf>
    <xf numFmtId="41" fontId="39" fillId="0" borderId="134" xfId="64" applyFont="1" applyBorder="1" applyAlignment="1">
      <alignment vertical="center" shrinkToFit="1"/>
    </xf>
    <xf numFmtId="0" fontId="11" fillId="2" borderId="144" xfId="0" applyFont="1" applyFill="1" applyBorder="1" applyAlignment="1">
      <alignment horizontal="center" vertical="center"/>
    </xf>
    <xf numFmtId="41" fontId="11" fillId="2" borderId="144" xfId="0" applyNumberFormat="1" applyFont="1" applyFill="1" applyBorder="1">
      <alignment vertical="center"/>
    </xf>
    <xf numFmtId="0" fontId="11" fillId="2" borderId="144" xfId="0" applyFont="1" applyFill="1" applyBorder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>
      <alignment vertical="center"/>
    </xf>
    <xf numFmtId="0" fontId="11" fillId="2" borderId="36" xfId="0" applyFont="1" applyFill="1" applyBorder="1" applyAlignment="1">
      <alignment horizontal="center" vertical="center"/>
    </xf>
    <xf numFmtId="41" fontId="11" fillId="2" borderId="36" xfId="0" applyNumberFormat="1" applyFont="1" applyFill="1" applyBorder="1">
      <alignment vertical="center"/>
    </xf>
    <xf numFmtId="0" fontId="11" fillId="2" borderId="36" xfId="0" applyFont="1" applyFill="1" applyBorder="1">
      <alignment vertical="center"/>
    </xf>
    <xf numFmtId="41" fontId="11" fillId="13" borderId="36" xfId="0" applyNumberFormat="1" applyFont="1" applyFill="1" applyBorder="1">
      <alignment vertical="center"/>
    </xf>
    <xf numFmtId="0" fontId="11" fillId="13" borderId="36" xfId="0" applyFont="1" applyFill="1" applyBorder="1">
      <alignment vertical="center"/>
    </xf>
    <xf numFmtId="0" fontId="39" fillId="0" borderId="0" xfId="63" quotePrefix="1" applyFont="1" applyAlignment="1">
      <alignment vertical="center" shrinkToFit="1"/>
    </xf>
    <xf numFmtId="0" fontId="77" fillId="0" borderId="0" xfId="63" applyFont="1" applyAlignment="1">
      <alignment horizontal="center" vertical="center" shrinkToFit="1"/>
    </xf>
    <xf numFmtId="0" fontId="74" fillId="0" borderId="0" xfId="63" applyFont="1" applyAlignment="1">
      <alignment vertical="center" shrinkToFit="1"/>
    </xf>
    <xf numFmtId="0" fontId="86" fillId="0" borderId="0" xfId="67" applyFont="1" applyAlignment="1">
      <alignment vertical="center"/>
    </xf>
    <xf numFmtId="0" fontId="87" fillId="0" borderId="0" xfId="67" applyFont="1" applyAlignment="1">
      <alignment horizontal="center" vertical="center"/>
    </xf>
    <xf numFmtId="0" fontId="81" fillId="0" borderId="0" xfId="67" applyFont="1" applyAlignment="1">
      <alignment vertical="center"/>
    </xf>
    <xf numFmtId="0" fontId="81" fillId="0" borderId="0" xfId="67" quotePrefix="1" applyFont="1" applyAlignment="1">
      <alignment vertical="center"/>
    </xf>
    <xf numFmtId="0" fontId="81" fillId="0" borderId="0" xfId="67" applyFont="1" applyAlignment="1">
      <alignment horizontal="distributed" vertical="center"/>
    </xf>
    <xf numFmtId="0" fontId="88" fillId="0" borderId="0" xfId="67" applyFont="1" applyAlignment="1">
      <alignment vertical="center"/>
    </xf>
    <xf numFmtId="41" fontId="81" fillId="0" borderId="0" xfId="68" applyFont="1" applyAlignment="1">
      <alignment vertical="center"/>
    </xf>
    <xf numFmtId="0" fontId="81" fillId="0" borderId="0" xfId="67" applyFont="1" applyAlignment="1">
      <alignment horizontal="left" vertical="center" shrinkToFit="1"/>
    </xf>
    <xf numFmtId="0" fontId="81" fillId="9" borderId="0" xfId="67" applyFont="1" applyFill="1" applyAlignment="1">
      <alignment vertical="center"/>
    </xf>
    <xf numFmtId="0" fontId="81" fillId="0" borderId="0" xfId="67" applyFont="1" applyAlignment="1">
      <alignment horizontal="center" vertical="center"/>
    </xf>
    <xf numFmtId="0" fontId="89" fillId="0" borderId="0" xfId="67" applyFont="1" applyAlignment="1">
      <alignment vertical="center"/>
    </xf>
    <xf numFmtId="31" fontId="89" fillId="0" borderId="0" xfId="67" applyNumberFormat="1" applyFont="1" applyAlignment="1">
      <alignment horizontal="center" vertical="center"/>
    </xf>
    <xf numFmtId="0" fontId="14" fillId="0" borderId="0" xfId="67" applyFont="1" applyAlignment="1">
      <alignment vertical="center"/>
    </xf>
    <xf numFmtId="0" fontId="90" fillId="0" borderId="0" xfId="67" applyFont="1" applyAlignment="1">
      <alignment vertical="center"/>
    </xf>
    <xf numFmtId="0" fontId="81" fillId="0" borderId="0" xfId="67" applyFont="1" applyAlignment="1">
      <alignment horizontal="left" vertical="center"/>
    </xf>
    <xf numFmtId="0" fontId="14" fillId="0" borderId="0" xfId="67" applyFont="1" applyAlignment="1">
      <alignment horizontal="distributed" vertical="center"/>
    </xf>
    <xf numFmtId="0" fontId="14" fillId="0" borderId="0" xfId="67" applyFont="1" applyAlignment="1">
      <alignment horizontal="center" vertical="center"/>
    </xf>
    <xf numFmtId="0" fontId="14" fillId="0" borderId="0" xfId="67" applyFont="1" applyAlignment="1">
      <alignment horizontal="left" vertical="center"/>
    </xf>
    <xf numFmtId="0" fontId="91" fillId="0" borderId="0" xfId="67" applyFont="1" applyAlignment="1">
      <alignment vertical="center"/>
    </xf>
    <xf numFmtId="0" fontId="86" fillId="0" borderId="143" xfId="67" applyFont="1" applyBorder="1" applyAlignment="1">
      <alignment vertical="center"/>
    </xf>
    <xf numFmtId="0" fontId="86" fillId="0" borderId="147" xfId="67" applyFont="1" applyBorder="1" applyAlignment="1">
      <alignment vertical="center"/>
    </xf>
    <xf numFmtId="0" fontId="86" fillId="0" borderId="17" xfId="67" applyFont="1" applyBorder="1" applyAlignment="1">
      <alignment vertical="center"/>
    </xf>
    <xf numFmtId="0" fontId="86" fillId="0" borderId="148" xfId="67" applyFont="1" applyBorder="1" applyAlignment="1">
      <alignment vertical="center"/>
    </xf>
    <xf numFmtId="0" fontId="86" fillId="0" borderId="18" xfId="67" applyFont="1" applyBorder="1" applyAlignment="1">
      <alignment vertical="center"/>
    </xf>
    <xf numFmtId="0" fontId="92" fillId="0" borderId="0" xfId="0" applyFont="1" applyAlignment="1">
      <alignment horizontal="justify" vertical="center"/>
    </xf>
    <xf numFmtId="0" fontId="8" fillId="0" borderId="0" xfId="0" applyFont="1">
      <alignment vertical="center"/>
    </xf>
    <xf numFmtId="0" fontId="92" fillId="0" borderId="0" xfId="0" applyFont="1" applyAlignment="1">
      <alignment horizontal="left" vertical="center"/>
    </xf>
    <xf numFmtId="0" fontId="94" fillId="0" borderId="149" xfId="0" applyFont="1" applyBorder="1" applyAlignment="1">
      <alignment horizontal="center" vertical="center" wrapText="1"/>
    </xf>
    <xf numFmtId="0" fontId="94" fillId="0" borderId="151" xfId="0" applyFont="1" applyBorder="1" applyAlignment="1">
      <alignment horizontal="center" vertical="center" wrapText="1"/>
    </xf>
    <xf numFmtId="0" fontId="94" fillId="0" borderId="153" xfId="0" applyFont="1" applyBorder="1" applyAlignment="1">
      <alignment horizontal="center" vertical="center" wrapText="1"/>
    </xf>
    <xf numFmtId="0" fontId="92" fillId="0" borderId="0" xfId="0" applyFont="1">
      <alignment vertical="center"/>
    </xf>
    <xf numFmtId="0" fontId="39" fillId="0" borderId="0" xfId="63" applyFont="1" applyAlignment="1">
      <alignment horizontal="right" vertical="center" indent="1"/>
    </xf>
    <xf numFmtId="0" fontId="39" fillId="0" borderId="0" xfId="63" applyFont="1" applyAlignment="1">
      <alignment horizontal="right" vertical="center" indent="1" shrinkToFit="1"/>
    </xf>
    <xf numFmtId="0" fontId="94" fillId="0" borderId="154" xfId="0" applyFont="1" applyBorder="1" applyAlignment="1">
      <alignment horizontal="center" vertical="center" wrapText="1"/>
    </xf>
    <xf numFmtId="0" fontId="73" fillId="0" borderId="154" xfId="0" applyFont="1" applyBorder="1" applyAlignment="1">
      <alignment horizontal="justify" vertical="center" wrapText="1"/>
    </xf>
    <xf numFmtId="0" fontId="95" fillId="0" borderId="0" xfId="0" applyFont="1">
      <alignment vertical="center"/>
    </xf>
    <xf numFmtId="0" fontId="96" fillId="0" borderId="0" xfId="0" applyFont="1" applyAlignment="1">
      <alignment horizontal="justify" vertical="center"/>
    </xf>
    <xf numFmtId="0" fontId="8" fillId="0" borderId="143" xfId="0" applyFont="1" applyBorder="1">
      <alignment vertical="center"/>
    </xf>
    <xf numFmtId="0" fontId="8" fillId="0" borderId="147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48" xfId="0" applyFont="1" applyBorder="1">
      <alignment vertical="center"/>
    </xf>
    <xf numFmtId="0" fontId="8" fillId="0" borderId="18" xfId="0" applyFont="1" applyBorder="1">
      <alignment vertical="center"/>
    </xf>
    <xf numFmtId="196" fontId="7" fillId="4" borderId="4" xfId="0" applyNumberFormat="1" applyFont="1" applyFill="1" applyBorder="1" applyAlignment="1">
      <alignment horizontal="center" vertical="center"/>
    </xf>
    <xf numFmtId="196" fontId="7" fillId="4" borderId="42" xfId="0" applyNumberFormat="1" applyFont="1" applyFill="1" applyBorder="1" applyAlignment="1">
      <alignment horizontal="center" vertical="center"/>
    </xf>
    <xf numFmtId="196" fontId="7" fillId="4" borderId="43" xfId="0" applyNumberFormat="1" applyFont="1" applyFill="1" applyBorder="1" applyAlignment="1">
      <alignment horizontal="center" vertical="center"/>
    </xf>
    <xf numFmtId="196" fontId="7" fillId="4" borderId="47" xfId="0" applyNumberFormat="1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196" fontId="7" fillId="5" borderId="4" xfId="0" applyNumberFormat="1" applyFont="1" applyFill="1" applyBorder="1" applyAlignment="1">
      <alignment horizontal="center" vertical="center"/>
    </xf>
    <xf numFmtId="196" fontId="7" fillId="5" borderId="42" xfId="0" applyNumberFormat="1" applyFont="1" applyFill="1" applyBorder="1" applyAlignment="1">
      <alignment horizontal="center" vertical="center"/>
    </xf>
    <xf numFmtId="196" fontId="7" fillId="5" borderId="43" xfId="0" applyNumberFormat="1" applyFont="1" applyFill="1" applyBorder="1" applyAlignment="1">
      <alignment horizontal="center" vertical="center"/>
    </xf>
    <xf numFmtId="196" fontId="7" fillId="5" borderId="47" xfId="0" applyNumberFormat="1" applyFont="1" applyFill="1" applyBorder="1" applyAlignment="1">
      <alignment horizontal="center" vertical="center"/>
    </xf>
    <xf numFmtId="180" fontId="9" fillId="0" borderId="13" xfId="0" applyNumberFormat="1" applyFont="1" applyBorder="1" applyAlignment="1" applyProtection="1">
      <alignment horizontal="left" vertical="center" shrinkToFit="1"/>
      <protection locked="0"/>
    </xf>
    <xf numFmtId="180" fontId="9" fillId="5" borderId="9" xfId="0" applyNumberFormat="1" applyFont="1" applyFill="1" applyBorder="1" applyAlignment="1" applyProtection="1">
      <alignment horizontal="right" vertical="center" shrinkToFit="1"/>
      <protection locked="0"/>
    </xf>
    <xf numFmtId="180" fontId="14" fillId="0" borderId="12" xfId="0" applyNumberFormat="1" applyFont="1" applyBorder="1" applyAlignment="1" applyProtection="1">
      <alignment horizontal="left" vertical="center" shrinkToFit="1"/>
      <protection locked="0"/>
    </xf>
    <xf numFmtId="180" fontId="14" fillId="0" borderId="13" xfId="0" applyNumberFormat="1" applyFont="1" applyBorder="1" applyAlignment="1" applyProtection="1">
      <alignment horizontal="left" vertical="center" shrinkToFit="1"/>
      <protection locked="0"/>
    </xf>
    <xf numFmtId="180" fontId="14" fillId="0" borderId="14" xfId="0" applyNumberFormat="1" applyFont="1" applyBorder="1" applyAlignment="1" applyProtection="1">
      <alignment horizontal="left" vertical="center" shrinkToFit="1"/>
      <protection locked="0"/>
    </xf>
    <xf numFmtId="180" fontId="14" fillId="0" borderId="32" xfId="0" applyNumberFormat="1" applyFont="1" applyBorder="1" applyAlignment="1" applyProtection="1">
      <alignment horizontal="left" vertical="center" shrinkToFit="1"/>
      <protection locked="0"/>
    </xf>
    <xf numFmtId="180" fontId="14" fillId="0" borderId="50" xfId="0" applyNumberFormat="1" applyFont="1" applyBorder="1" applyAlignment="1" applyProtection="1">
      <alignment horizontal="left" vertical="center" shrinkToFit="1"/>
      <protection locked="0"/>
    </xf>
    <xf numFmtId="180" fontId="14" fillId="5" borderId="8" xfId="0" applyNumberFormat="1" applyFont="1" applyFill="1" applyBorder="1" applyAlignment="1" applyProtection="1">
      <alignment horizontal="right" vertical="center" shrinkToFit="1"/>
      <protection locked="0"/>
    </xf>
    <xf numFmtId="180" fontId="14" fillId="5" borderId="9" xfId="0" applyNumberFormat="1" applyFont="1" applyFill="1" applyBorder="1" applyAlignment="1" applyProtection="1">
      <alignment horizontal="right" vertical="center" shrinkToFit="1"/>
      <protection locked="0"/>
    </xf>
    <xf numFmtId="180" fontId="14" fillId="5" borderId="33" xfId="0" applyNumberFormat="1" applyFont="1" applyFill="1" applyBorder="1" applyAlignment="1" applyProtection="1">
      <alignment horizontal="right" vertical="center" shrinkToFit="1"/>
      <protection locked="0"/>
    </xf>
    <xf numFmtId="180" fontId="14" fillId="5" borderId="10" xfId="0" applyNumberFormat="1" applyFont="1" applyFill="1" applyBorder="1" applyAlignment="1" applyProtection="1">
      <alignment horizontal="right" vertical="center" shrinkToFit="1"/>
      <protection locked="0"/>
    </xf>
    <xf numFmtId="180" fontId="9" fillId="0" borderId="29" xfId="0" applyNumberFormat="1" applyFont="1" applyBorder="1" applyAlignment="1" applyProtection="1">
      <alignment horizontal="left" vertical="center" shrinkToFit="1"/>
      <protection locked="0"/>
    </xf>
    <xf numFmtId="180" fontId="9" fillId="5" borderId="34" xfId="0" applyNumberFormat="1" applyFont="1" applyFill="1" applyBorder="1" applyAlignment="1" applyProtection="1">
      <alignment horizontal="right" vertical="center" shrinkToFit="1"/>
      <protection locked="0"/>
    </xf>
    <xf numFmtId="176" fontId="6" fillId="2" borderId="35" xfId="1" applyNumberFormat="1" applyFont="1" applyFill="1" applyBorder="1" applyAlignment="1" applyProtection="1">
      <alignment horizontal="right" vertical="center"/>
      <protection locked="0"/>
    </xf>
    <xf numFmtId="176" fontId="6" fillId="2" borderId="36" xfId="1" applyNumberFormat="1" applyFont="1" applyFill="1" applyBorder="1" applyAlignment="1" applyProtection="1">
      <alignment horizontal="right" vertical="center"/>
      <protection locked="0"/>
    </xf>
    <xf numFmtId="180" fontId="53" fillId="2" borderId="30" xfId="0" applyNumberFormat="1" applyFont="1" applyFill="1" applyBorder="1">
      <alignment vertical="center"/>
    </xf>
    <xf numFmtId="180" fontId="53" fillId="2" borderId="31" xfId="0" applyNumberFormat="1" applyFont="1" applyFill="1" applyBorder="1">
      <alignment vertical="center"/>
    </xf>
    <xf numFmtId="180" fontId="53" fillId="2" borderId="58" xfId="0" applyNumberFormat="1" applyFont="1" applyFill="1" applyBorder="1">
      <alignment vertical="center"/>
    </xf>
    <xf numFmtId="180" fontId="53" fillId="2" borderId="37" xfId="0" applyNumberFormat="1" applyFont="1" applyFill="1" applyBorder="1">
      <alignment vertical="center"/>
    </xf>
    <xf numFmtId="180" fontId="53" fillId="2" borderId="53" xfId="0" applyNumberFormat="1" applyFont="1" applyFill="1" applyBorder="1">
      <alignment vertical="center"/>
    </xf>
    <xf numFmtId="180" fontId="53" fillId="2" borderId="59" xfId="0" applyNumberFormat="1" applyFont="1" applyFill="1" applyBorder="1">
      <alignment vertical="center"/>
    </xf>
    <xf numFmtId="0" fontId="39" fillId="0" borderId="102" xfId="63" quotePrefix="1" applyFont="1" applyBorder="1" applyAlignment="1">
      <alignment horizontal="right" vertical="center" wrapText="1"/>
    </xf>
    <xf numFmtId="0" fontId="39" fillId="0" borderId="103" xfId="63" applyFont="1" applyBorder="1" applyAlignment="1">
      <alignment horizontal="right" vertical="center" wrapText="1"/>
    </xf>
    <xf numFmtId="0" fontId="39" fillId="0" borderId="103" xfId="63" applyFont="1" applyBorder="1" applyAlignment="1">
      <alignment horizontal="distributed" vertical="center" wrapText="1" indent="1"/>
    </xf>
    <xf numFmtId="0" fontId="14" fillId="0" borderId="105" xfId="63" applyFont="1" applyBorder="1" applyAlignment="1">
      <alignment horizontal="left" vertical="center"/>
    </xf>
    <xf numFmtId="0" fontId="69" fillId="0" borderId="101" xfId="63" applyFont="1" applyBorder="1" applyAlignment="1">
      <alignment horizontal="left" vertical="center"/>
    </xf>
    <xf numFmtId="0" fontId="70" fillId="0" borderId="102" xfId="63" applyFont="1" applyBorder="1" applyAlignment="1">
      <alignment horizontal="center" vertical="center" wrapText="1"/>
    </xf>
    <xf numFmtId="0" fontId="70" fillId="0" borderId="103" xfId="63" applyFont="1" applyBorder="1" applyAlignment="1">
      <alignment horizontal="center" vertical="center" wrapText="1"/>
    </xf>
    <xf numFmtId="0" fontId="70" fillId="0" borderId="104" xfId="63" applyFont="1" applyBorder="1" applyAlignment="1">
      <alignment horizontal="center" vertical="center" wrapText="1"/>
    </xf>
    <xf numFmtId="0" fontId="39" fillId="0" borderId="103" xfId="63" applyFont="1" applyBorder="1" applyAlignment="1">
      <alignment horizontal="left" vertical="center" wrapText="1"/>
    </xf>
    <xf numFmtId="0" fontId="39" fillId="0" borderId="104" xfId="63" applyFont="1" applyBorder="1" applyAlignment="1">
      <alignment horizontal="left" vertical="center" wrapText="1"/>
    </xf>
    <xf numFmtId="31" fontId="14" fillId="0" borderId="106" xfId="63" applyNumberFormat="1" applyFont="1" applyBorder="1" applyAlignment="1">
      <alignment horizontal="left" vertical="center"/>
    </xf>
    <xf numFmtId="0" fontId="39" fillId="0" borderId="107" xfId="63" quotePrefix="1" applyFont="1" applyBorder="1" applyAlignment="1">
      <alignment horizontal="right" vertical="center" wrapText="1"/>
    </xf>
    <xf numFmtId="0" fontId="39" fillId="0" borderId="108" xfId="63" applyFont="1" applyBorder="1" applyAlignment="1">
      <alignment horizontal="right" vertical="center" wrapText="1"/>
    </xf>
    <xf numFmtId="0" fontId="39" fillId="0" borderId="108" xfId="63" applyFont="1" applyBorder="1" applyAlignment="1">
      <alignment horizontal="distributed" vertical="center" wrapText="1" indent="1"/>
    </xf>
    <xf numFmtId="0" fontId="14" fillId="0" borderId="0" xfId="63" applyFont="1" applyAlignment="1">
      <alignment horizontal="left" vertical="center"/>
    </xf>
    <xf numFmtId="0" fontId="39" fillId="0" borderId="110" xfId="63" applyFont="1" applyBorder="1" applyAlignment="1">
      <alignment horizontal="right" vertical="center" wrapText="1"/>
    </xf>
    <xf numFmtId="0" fontId="39" fillId="0" borderId="0" xfId="63" applyFont="1" applyAlignment="1">
      <alignment horizontal="right" vertical="center" wrapText="1"/>
    </xf>
    <xf numFmtId="0" fontId="39" fillId="0" borderId="116" xfId="63" applyFont="1" applyBorder="1" applyAlignment="1">
      <alignment horizontal="right" vertical="center" wrapText="1"/>
    </xf>
    <xf numFmtId="0" fontId="39" fillId="0" borderId="101" xfId="63" applyFont="1" applyBorder="1" applyAlignment="1">
      <alignment horizontal="right" vertical="center" wrapText="1"/>
    </xf>
    <xf numFmtId="0" fontId="72" fillId="0" borderId="111" xfId="63" applyFont="1" applyBorder="1" applyAlignment="1">
      <alignment horizontal="distributed" vertical="center" wrapText="1" indent="1"/>
    </xf>
    <xf numFmtId="0" fontId="39" fillId="0" borderId="111" xfId="63" applyFont="1" applyBorder="1" applyAlignment="1">
      <alignment horizontal="center" vertical="center" wrapText="1"/>
    </xf>
    <xf numFmtId="0" fontId="39" fillId="0" borderId="114" xfId="63" applyFont="1" applyBorder="1" applyAlignment="1">
      <alignment horizontal="center" vertical="center" wrapText="1"/>
    </xf>
    <xf numFmtId="0" fontId="14" fillId="0" borderId="111" xfId="63" applyFont="1" applyBorder="1" applyAlignment="1">
      <alignment horizontal="left" vertical="center"/>
    </xf>
    <xf numFmtId="0" fontId="14" fillId="0" borderId="114" xfId="63" applyFont="1" applyBorder="1" applyAlignment="1">
      <alignment horizontal="left" vertical="center"/>
    </xf>
    <xf numFmtId="0" fontId="39" fillId="0" borderId="0" xfId="63" applyFont="1" applyAlignment="1">
      <alignment horizontal="distributed" vertical="center" wrapText="1" indent="1"/>
    </xf>
    <xf numFmtId="0" fontId="39" fillId="0" borderId="114" xfId="63" applyFont="1" applyBorder="1" applyAlignment="1">
      <alignment horizontal="distributed" vertical="center" wrapText="1" indent="1"/>
    </xf>
    <xf numFmtId="0" fontId="72" fillId="0" borderId="0" xfId="63" applyFont="1" applyAlignment="1">
      <alignment horizontal="distributed" vertical="center" wrapText="1" indent="1"/>
    </xf>
    <xf numFmtId="0" fontId="39" fillId="0" borderId="0" xfId="63" applyFont="1" applyAlignment="1">
      <alignment horizontal="center" vertical="center" wrapText="1"/>
    </xf>
    <xf numFmtId="0" fontId="39" fillId="0" borderId="101" xfId="63" applyFont="1" applyBorder="1" applyAlignment="1">
      <alignment horizontal="center" vertical="center" wrapText="1"/>
    </xf>
    <xf numFmtId="0" fontId="39" fillId="0" borderId="113" xfId="63" applyFont="1" applyBorder="1" applyAlignment="1">
      <alignment horizontal="center" vertical="center" wrapText="1"/>
    </xf>
    <xf numFmtId="0" fontId="39" fillId="0" borderId="112" xfId="63" applyFont="1" applyBorder="1" applyAlignment="1">
      <alignment horizontal="center" vertical="center" wrapText="1"/>
    </xf>
    <xf numFmtId="205" fontId="39" fillId="0" borderId="112" xfId="63" applyNumberFormat="1" applyFont="1" applyBorder="1" applyAlignment="1">
      <alignment horizontal="center" vertical="center" wrapText="1"/>
    </xf>
    <xf numFmtId="0" fontId="39" fillId="0" borderId="118" xfId="63" quotePrefix="1" applyFont="1" applyBorder="1" applyAlignment="1">
      <alignment horizontal="right" vertical="center" wrapText="1"/>
    </xf>
    <xf numFmtId="0" fontId="39" fillId="0" borderId="119" xfId="63" applyFont="1" applyBorder="1" applyAlignment="1">
      <alignment horizontal="right" vertical="center" wrapText="1"/>
    </xf>
    <xf numFmtId="0" fontId="39" fillId="0" borderId="119" xfId="63" applyFont="1" applyBorder="1" applyAlignment="1">
      <alignment horizontal="distributed" vertical="center" wrapText="1" indent="1"/>
    </xf>
    <xf numFmtId="0" fontId="14" fillId="0" borderId="120" xfId="63" applyFont="1" applyBorder="1" applyAlignment="1">
      <alignment horizontal="left" vertical="center"/>
    </xf>
    <xf numFmtId="0" fontId="39" fillId="0" borderId="122" xfId="63" applyFont="1" applyBorder="1" applyAlignment="1">
      <alignment horizontal="left" vertical="center" wrapText="1"/>
    </xf>
    <xf numFmtId="0" fontId="39" fillId="0" borderId="120" xfId="63" applyFont="1" applyBorder="1" applyAlignment="1">
      <alignment horizontal="left" vertical="center" wrapText="1"/>
    </xf>
    <xf numFmtId="0" fontId="39" fillId="0" borderId="123" xfId="63" applyFont="1" applyBorder="1" applyAlignment="1">
      <alignment horizontal="left" vertical="center" wrapText="1"/>
    </xf>
    <xf numFmtId="0" fontId="39" fillId="0" borderId="115" xfId="63" applyFont="1" applyBorder="1" applyAlignment="1">
      <alignment horizontal="center" vertical="center" wrapText="1"/>
    </xf>
    <xf numFmtId="0" fontId="39" fillId="0" borderId="117" xfId="63" applyFont="1" applyBorder="1" applyAlignment="1">
      <alignment horizontal="center" vertical="center" wrapText="1"/>
    </xf>
    <xf numFmtId="0" fontId="39" fillId="0" borderId="101" xfId="63" applyFont="1" applyBorder="1" applyAlignment="1">
      <alignment horizontal="distributed" vertical="center" wrapText="1" indent="1"/>
    </xf>
    <xf numFmtId="0" fontId="14" fillId="0" borderId="101" xfId="63" applyFont="1" applyBorder="1" applyAlignment="1">
      <alignment horizontal="left" vertical="center"/>
    </xf>
    <xf numFmtId="205" fontId="39" fillId="0" borderId="0" xfId="63" applyNumberFormat="1" applyFont="1" applyAlignment="1">
      <alignment horizontal="center" vertical="center" wrapText="1"/>
    </xf>
    <xf numFmtId="205" fontId="39" fillId="0" borderId="114" xfId="63" applyNumberFormat="1" applyFont="1" applyBorder="1" applyAlignment="1">
      <alignment horizontal="center" vertical="center" wrapText="1"/>
    </xf>
    <xf numFmtId="0" fontId="39" fillId="0" borderId="124" xfId="63" applyFont="1" applyBorder="1" applyAlignment="1">
      <alignment horizontal="center" vertical="center" wrapText="1"/>
    </xf>
    <xf numFmtId="0" fontId="39" fillId="0" borderId="125" xfId="63" applyFont="1" applyBorder="1" applyAlignment="1">
      <alignment horizontal="center" vertical="center" wrapText="1"/>
    </xf>
    <xf numFmtId="0" fontId="39" fillId="0" borderId="126" xfId="63" applyFont="1" applyBorder="1" applyAlignment="1">
      <alignment horizontal="center" vertical="center" wrapText="1"/>
    </xf>
    <xf numFmtId="0" fontId="74" fillId="0" borderId="127" xfId="63" applyFont="1" applyBorder="1" applyAlignment="1">
      <alignment horizontal="distributed" vertical="center" wrapText="1"/>
    </xf>
    <xf numFmtId="0" fontId="74" fillId="0" borderId="128" xfId="63" applyFont="1" applyBorder="1" applyAlignment="1">
      <alignment horizontal="distributed" vertical="center" wrapText="1"/>
    </xf>
    <xf numFmtId="0" fontId="39" fillId="0" borderId="128" xfId="63" applyFont="1" applyBorder="1" applyAlignment="1">
      <alignment horizontal="distributed" vertical="center" wrapText="1" indent="1"/>
    </xf>
    <xf numFmtId="205" fontId="39" fillId="0" borderId="128" xfId="63" applyNumberFormat="1" applyFont="1" applyBorder="1" applyAlignment="1">
      <alignment horizontal="center" vertical="center" wrapText="1"/>
    </xf>
    <xf numFmtId="205" fontId="39" fillId="0" borderId="129" xfId="63" applyNumberFormat="1" applyFont="1" applyBorder="1" applyAlignment="1">
      <alignment horizontal="center" vertical="center" wrapText="1"/>
    </xf>
    <xf numFmtId="0" fontId="74" fillId="0" borderId="130" xfId="63" applyFont="1" applyBorder="1" applyAlignment="1">
      <alignment horizontal="distributed" vertical="center" wrapText="1"/>
    </xf>
    <xf numFmtId="0" fontId="74" fillId="0" borderId="131" xfId="63" applyFont="1" applyBorder="1" applyAlignment="1">
      <alignment horizontal="distributed" vertical="center" wrapText="1"/>
    </xf>
    <xf numFmtId="0" fontId="39" fillId="0" borderId="131" xfId="63" applyFont="1" applyBorder="1" applyAlignment="1">
      <alignment horizontal="distributed" vertical="center" wrapText="1" indent="1"/>
    </xf>
    <xf numFmtId="205" fontId="39" fillId="0" borderId="131" xfId="63" applyNumberFormat="1" applyFont="1" applyBorder="1" applyAlignment="1">
      <alignment horizontal="center" vertical="center" wrapText="1"/>
    </xf>
    <xf numFmtId="205" fontId="39" fillId="0" borderId="132" xfId="63" applyNumberFormat="1" applyFont="1" applyBorder="1" applyAlignment="1">
      <alignment horizontal="center" vertical="center" wrapText="1"/>
    </xf>
    <xf numFmtId="0" fontId="39" fillId="0" borderId="0" xfId="63" applyFont="1" applyAlignment="1">
      <alignment horizontal="distributed" vertical="center" indent="1"/>
    </xf>
    <xf numFmtId="0" fontId="74" fillId="0" borderId="133" xfId="63" applyFont="1" applyBorder="1" applyAlignment="1">
      <alignment horizontal="distributed" vertical="center" wrapText="1"/>
    </xf>
    <xf numFmtId="0" fontId="74" fillId="0" borderId="134" xfId="63" applyFont="1" applyBorder="1" applyAlignment="1">
      <alignment horizontal="distributed" vertical="center" wrapText="1"/>
    </xf>
    <xf numFmtId="0" fontId="39" fillId="0" borderId="134" xfId="63" applyFont="1" applyBorder="1" applyAlignment="1">
      <alignment horizontal="distributed" vertical="center" wrapText="1" indent="1"/>
    </xf>
    <xf numFmtId="205" fontId="39" fillId="0" borderId="134" xfId="63" applyNumberFormat="1" applyFont="1" applyBorder="1" applyAlignment="1">
      <alignment horizontal="center" vertical="center" wrapText="1"/>
    </xf>
    <xf numFmtId="205" fontId="39" fillId="0" borderId="135" xfId="63" applyNumberFormat="1" applyFont="1" applyBorder="1" applyAlignment="1">
      <alignment horizontal="center" vertical="center" wrapText="1"/>
    </xf>
    <xf numFmtId="0" fontId="39" fillId="0" borderId="128" xfId="63" applyFont="1" applyBorder="1" applyAlignment="1">
      <alignment horizontal="center" vertical="center" wrapText="1"/>
    </xf>
    <xf numFmtId="0" fontId="39" fillId="0" borderId="129" xfId="63" applyFont="1" applyBorder="1" applyAlignment="1">
      <alignment horizontal="center" vertical="center" wrapText="1"/>
    </xf>
    <xf numFmtId="0" fontId="39" fillId="0" borderId="110" xfId="63" applyFont="1" applyBorder="1" applyAlignment="1">
      <alignment vertical="center" wrapText="1"/>
    </xf>
    <xf numFmtId="0" fontId="39" fillId="0" borderId="0" xfId="63" applyFont="1" applyAlignment="1">
      <alignment vertical="center" wrapText="1"/>
    </xf>
    <xf numFmtId="0" fontId="39" fillId="0" borderId="115" xfId="63" applyFont="1" applyBorder="1" applyAlignment="1">
      <alignment vertical="center" wrapText="1"/>
    </xf>
    <xf numFmtId="0" fontId="39" fillId="0" borderId="110" xfId="63" applyFont="1" applyBorder="1" applyAlignment="1">
      <alignment horizontal="justify" vertical="center" wrapText="1"/>
    </xf>
    <xf numFmtId="0" fontId="39" fillId="0" borderId="0" xfId="63" applyFont="1" applyAlignment="1">
      <alignment horizontal="justify" vertical="center" wrapText="1"/>
    </xf>
    <xf numFmtId="0" fontId="39" fillId="0" borderId="115" xfId="63" applyFont="1" applyBorder="1" applyAlignment="1">
      <alignment horizontal="justify" vertical="center" wrapText="1"/>
    </xf>
    <xf numFmtId="0" fontId="39" fillId="0" borderId="110" xfId="63" applyFont="1" applyBorder="1" applyAlignment="1">
      <alignment horizontal="center" vertical="center" wrapText="1"/>
    </xf>
    <xf numFmtId="0" fontId="77" fillId="0" borderId="116" xfId="63" applyFont="1" applyBorder="1" applyAlignment="1">
      <alignment horizontal="left" vertical="center" wrapText="1"/>
    </xf>
    <xf numFmtId="0" fontId="77" fillId="0" borderId="101" xfId="63" applyFont="1" applyBorder="1" applyAlignment="1">
      <alignment horizontal="left" vertical="center" wrapText="1"/>
    </xf>
    <xf numFmtId="0" fontId="77" fillId="0" borderId="136" xfId="63" applyFont="1" applyBorder="1" applyAlignment="1">
      <alignment horizontal="left" vertical="center" wrapText="1"/>
    </xf>
    <xf numFmtId="0" fontId="39" fillId="0" borderId="0" xfId="63" applyFont="1" applyAlignment="1">
      <alignment horizontal="left" vertical="center" wrapText="1" indent="1"/>
    </xf>
    <xf numFmtId="0" fontId="69" fillId="0" borderId="0" xfId="63" applyFont="1" applyAlignment="1">
      <alignment horizontal="left" vertical="center"/>
    </xf>
    <xf numFmtId="0" fontId="79" fillId="0" borderId="0" xfId="63" applyFont="1" applyAlignment="1">
      <alignment horizontal="center" vertical="center"/>
    </xf>
    <xf numFmtId="0" fontId="39" fillId="0" borderId="0" xfId="63" applyFont="1" applyAlignment="1">
      <alignment horizontal="distributed" vertical="center"/>
    </xf>
    <xf numFmtId="0" fontId="39" fillId="0" borderId="0" xfId="63" applyFont="1" applyAlignment="1">
      <alignment horizontal="left" vertical="center"/>
    </xf>
    <xf numFmtId="41" fontId="39" fillId="0" borderId="0" xfId="64" applyFont="1" applyBorder="1" applyAlignment="1">
      <alignment horizontal="center" vertical="center"/>
    </xf>
    <xf numFmtId="0" fontId="39" fillId="0" borderId="101" xfId="63" applyFont="1" applyBorder="1" applyAlignment="1">
      <alignment horizontal="distributed" vertical="center"/>
    </xf>
    <xf numFmtId="0" fontId="39" fillId="0" borderId="101" xfId="63" applyFont="1" applyBorder="1" applyAlignment="1">
      <alignment horizontal="left" vertical="center"/>
    </xf>
    <xf numFmtId="41" fontId="39" fillId="0" borderId="101" xfId="64" applyFont="1" applyBorder="1" applyAlignment="1">
      <alignment horizontal="center" vertical="center"/>
    </xf>
    <xf numFmtId="0" fontId="74" fillId="0" borderId="118" xfId="63" applyFont="1" applyBorder="1" applyAlignment="1">
      <alignment horizontal="center" vertical="center" wrapText="1"/>
    </xf>
    <xf numFmtId="0" fontId="74" fillId="0" borderId="121" xfId="63" applyFont="1" applyBorder="1" applyAlignment="1">
      <alignment horizontal="center" vertical="center" wrapText="1"/>
    </xf>
    <xf numFmtId="0" fontId="74" fillId="0" borderId="121" xfId="63" applyFont="1" applyBorder="1">
      <alignment vertical="center"/>
    </xf>
    <xf numFmtId="197" fontId="74" fillId="0" borderId="118" xfId="63" applyNumberFormat="1" applyFont="1" applyBorder="1" applyAlignment="1">
      <alignment horizontal="center" vertical="center" wrapText="1"/>
    </xf>
    <xf numFmtId="197" fontId="74" fillId="0" borderId="121" xfId="63" applyNumberFormat="1" applyFont="1" applyBorder="1" applyAlignment="1">
      <alignment horizontal="center" vertical="center" wrapText="1"/>
    </xf>
    <xf numFmtId="197" fontId="74" fillId="0" borderId="122" xfId="63" applyNumberFormat="1" applyFont="1" applyBorder="1" applyAlignment="1">
      <alignment horizontal="center" vertical="center" wrapText="1"/>
    </xf>
    <xf numFmtId="197" fontId="74" fillId="0" borderId="123" xfId="63" applyNumberFormat="1" applyFont="1" applyBorder="1" applyAlignment="1">
      <alignment horizontal="center" vertical="center" wrapText="1"/>
    </xf>
    <xf numFmtId="0" fontId="75" fillId="0" borderId="118" xfId="63" applyFont="1" applyBorder="1" applyAlignment="1">
      <alignment horizontal="center" vertical="center" wrapText="1" shrinkToFit="1"/>
    </xf>
    <xf numFmtId="0" fontId="75" fillId="0" borderId="121" xfId="63" applyFont="1" applyBorder="1" applyAlignment="1">
      <alignment horizontal="center" vertical="center" wrapText="1" shrinkToFit="1"/>
    </xf>
    <xf numFmtId="0" fontId="74" fillId="0" borderId="119" xfId="63" applyFont="1" applyBorder="1" applyAlignment="1">
      <alignment horizontal="center" vertical="center" wrapText="1"/>
    </xf>
    <xf numFmtId="0" fontId="74" fillId="0" borderId="139" xfId="63" applyFont="1" applyBorder="1" applyAlignment="1">
      <alignment horizontal="center" vertical="center" wrapText="1"/>
    </xf>
    <xf numFmtId="0" fontId="74" fillId="0" borderId="140" xfId="63" applyFont="1" applyBorder="1" applyAlignment="1">
      <alignment horizontal="center" vertical="center" wrapText="1"/>
    </xf>
    <xf numFmtId="0" fontId="74" fillId="0" borderId="141" xfId="63" applyFont="1" applyBorder="1" applyAlignment="1">
      <alignment horizontal="center" vertical="center" wrapText="1"/>
    </xf>
    <xf numFmtId="197" fontId="74" fillId="0" borderId="139" xfId="63" applyNumberFormat="1" applyFont="1" applyBorder="1" applyAlignment="1">
      <alignment horizontal="center" vertical="center" wrapText="1"/>
    </xf>
    <xf numFmtId="197" fontId="74" fillId="0" borderId="141" xfId="63" applyNumberFormat="1" applyFont="1" applyBorder="1" applyAlignment="1">
      <alignment horizontal="center" vertical="center" wrapText="1"/>
    </xf>
    <xf numFmtId="0" fontId="74" fillId="0" borderId="137" xfId="63" applyFont="1" applyBorder="1" applyAlignment="1">
      <alignment horizontal="center" vertical="center" wrapText="1"/>
    </xf>
    <xf numFmtId="0" fontId="74" fillId="0" borderId="138" xfId="63" applyFont="1" applyBorder="1" applyAlignment="1">
      <alignment horizontal="center" vertical="center" wrapText="1"/>
    </xf>
    <xf numFmtId="0" fontId="74" fillId="0" borderId="131" xfId="63" applyFont="1" applyBorder="1" applyAlignment="1">
      <alignment horizontal="center" vertical="center" wrapText="1"/>
    </xf>
    <xf numFmtId="0" fontId="80" fillId="0" borderId="118" xfId="63" applyFont="1" applyBorder="1" applyAlignment="1">
      <alignment horizontal="center" vertical="center" wrapText="1"/>
    </xf>
    <xf numFmtId="0" fontId="80" fillId="0" borderId="121" xfId="63" applyFont="1" applyBorder="1" applyAlignment="1">
      <alignment horizontal="center" vertical="center" wrapText="1"/>
    </xf>
    <xf numFmtId="0" fontId="85" fillId="0" borderId="0" xfId="63" applyFont="1" applyAlignment="1">
      <alignment horizontal="center" vertical="center" shrinkToFit="1"/>
    </xf>
    <xf numFmtId="0" fontId="79" fillId="0" borderId="0" xfId="63" applyFont="1" applyAlignment="1">
      <alignment horizontal="center" vertical="center" shrinkToFit="1"/>
    </xf>
    <xf numFmtId="0" fontId="72" fillId="0" borderId="101" xfId="63" applyFont="1" applyBorder="1" applyAlignment="1">
      <alignment horizontal="left" vertical="center" shrinkToFit="1"/>
    </xf>
    <xf numFmtId="0" fontId="82" fillId="0" borderId="143" xfId="63" applyFont="1" applyBorder="1" applyAlignment="1">
      <alignment horizontal="center" vertical="center" wrapText="1" shrinkToFit="1"/>
    </xf>
    <xf numFmtId="0" fontId="82" fillId="0" borderId="0" xfId="63" applyFont="1" applyAlignment="1">
      <alignment horizontal="center" vertical="center" wrapText="1" shrinkToFit="1"/>
    </xf>
    <xf numFmtId="0" fontId="11" fillId="13" borderId="145" xfId="0" applyFont="1" applyFill="1" applyBorder="1" applyAlignment="1">
      <alignment horizontal="center" vertical="center"/>
    </xf>
    <xf numFmtId="0" fontId="11" fillId="13" borderId="106" xfId="0" applyFont="1" applyFill="1" applyBorder="1" applyAlignment="1">
      <alignment horizontal="center" vertical="center"/>
    </xf>
    <xf numFmtId="0" fontId="11" fillId="13" borderId="146" xfId="0" applyFont="1" applyFill="1" applyBorder="1" applyAlignment="1">
      <alignment horizontal="center" vertical="center"/>
    </xf>
    <xf numFmtId="0" fontId="74" fillId="0" borderId="0" xfId="63" applyFont="1" applyAlignment="1">
      <alignment horizontal="left" vertical="center" shrinkToFit="1"/>
    </xf>
    <xf numFmtId="0" fontId="39" fillId="0" borderId="0" xfId="63" quotePrefix="1" applyFont="1" applyAlignment="1">
      <alignment horizontal="left" vertical="center" shrinkToFit="1"/>
    </xf>
    <xf numFmtId="0" fontId="39" fillId="0" borderId="0" xfId="63" quotePrefix="1" applyFont="1" applyAlignment="1">
      <alignment horizontal="right" vertical="center" shrinkToFit="1"/>
    </xf>
    <xf numFmtId="0" fontId="39" fillId="0" borderId="0" xfId="63" applyFont="1" applyAlignment="1">
      <alignment horizontal="right" vertical="top" shrinkToFit="1"/>
    </xf>
    <xf numFmtId="0" fontId="32" fillId="8" borderId="35" xfId="2" applyFont="1" applyFill="1" applyBorder="1" applyAlignment="1">
      <alignment horizontal="left" vertical="center"/>
    </xf>
    <xf numFmtId="49" fontId="32" fillId="6" borderId="2" xfId="2" applyNumberFormat="1" applyFont="1" applyFill="1" applyBorder="1" applyAlignment="1" applyProtection="1">
      <alignment horizontal="left" vertical="center"/>
      <protection locked="0"/>
    </xf>
    <xf numFmtId="0" fontId="33" fillId="3" borderId="26" xfId="2" applyFont="1" applyFill="1" applyBorder="1" applyAlignment="1" applyProtection="1">
      <alignment horizontal="center" vertical="center"/>
      <protection locked="0"/>
    </xf>
    <xf numFmtId="0" fontId="33" fillId="3" borderId="25" xfId="2" applyFont="1" applyFill="1" applyBorder="1" applyAlignment="1" applyProtection="1">
      <alignment horizontal="center" vertical="center"/>
      <protection locked="0"/>
    </xf>
    <xf numFmtId="0" fontId="32" fillId="3" borderId="54" xfId="2" applyFont="1" applyFill="1" applyBorder="1" applyAlignment="1">
      <alignment horizontal="left" vertical="center" indent="1"/>
    </xf>
    <xf numFmtId="0" fontId="32" fillId="3" borderId="55" xfId="2" applyFont="1" applyFill="1" applyBorder="1" applyAlignment="1">
      <alignment horizontal="left" vertical="center" indent="1"/>
    </xf>
    <xf numFmtId="0" fontId="32" fillId="3" borderId="56" xfId="2" applyFont="1" applyFill="1" applyBorder="1" applyAlignment="1">
      <alignment horizontal="left" vertical="center" indent="1"/>
    </xf>
    <xf numFmtId="0" fontId="33" fillId="3" borderId="8" xfId="2" applyFont="1" applyFill="1" applyBorder="1" applyAlignment="1" applyProtection="1">
      <alignment horizontal="center" vertical="center"/>
      <protection locked="0"/>
    </xf>
    <xf numFmtId="0" fontId="33" fillId="3" borderId="9" xfId="2" applyFont="1" applyFill="1" applyBorder="1" applyAlignment="1" applyProtection="1">
      <alignment horizontal="center" vertical="center"/>
      <protection locked="0"/>
    </xf>
    <xf numFmtId="0" fontId="32" fillId="3" borderId="9" xfId="2" applyFont="1" applyFill="1" applyBorder="1" applyAlignment="1">
      <alignment horizontal="center" vertical="center"/>
    </xf>
    <xf numFmtId="0" fontId="33" fillId="3" borderId="9" xfId="2" applyFont="1" applyFill="1" applyBorder="1" applyAlignment="1">
      <alignment horizontal="center" vertical="center" shrinkToFit="1"/>
    </xf>
    <xf numFmtId="0" fontId="32" fillId="3" borderId="10" xfId="2" applyFont="1" applyFill="1" applyBorder="1" applyAlignment="1">
      <alignment horizontal="center" vertical="center"/>
    </xf>
    <xf numFmtId="0" fontId="34" fillId="0" borderId="21" xfId="2" applyFont="1" applyBorder="1" applyAlignment="1" applyProtection="1">
      <alignment horizontal="left" vertical="center"/>
      <protection locked="0"/>
    </xf>
    <xf numFmtId="0" fontId="34" fillId="0" borderId="0" xfId="2" applyFont="1" applyAlignment="1" applyProtection="1">
      <alignment horizontal="left" vertical="center"/>
      <protection locked="0"/>
    </xf>
    <xf numFmtId="0" fontId="34" fillId="0" borderId="22" xfId="2" applyFont="1" applyBorder="1" applyAlignment="1" applyProtection="1">
      <alignment horizontal="left" vertical="center"/>
      <protection locked="0"/>
    </xf>
    <xf numFmtId="0" fontId="31" fillId="0" borderId="0" xfId="2" applyFont="1" applyAlignment="1" applyProtection="1">
      <alignment horizontal="center" vertical="center"/>
      <protection locked="0"/>
    </xf>
    <xf numFmtId="0" fontId="31" fillId="0" borderId="3" xfId="2" applyFont="1" applyBorder="1" applyAlignment="1" applyProtection="1">
      <alignment horizontal="center" vertical="center"/>
      <protection locked="0"/>
    </xf>
    <xf numFmtId="0" fontId="33" fillId="2" borderId="4" xfId="2" applyFont="1" applyFill="1" applyBorder="1" applyAlignment="1" applyProtection="1">
      <alignment horizontal="center" vertical="center"/>
      <protection locked="0"/>
    </xf>
    <xf numFmtId="0" fontId="33" fillId="2" borderId="5" xfId="2" applyFont="1" applyFill="1" applyBorder="1" applyAlignment="1" applyProtection="1">
      <alignment horizontal="center" vertical="center"/>
      <protection locked="0"/>
    </xf>
    <xf numFmtId="0" fontId="33" fillId="2" borderId="6" xfId="2" applyFont="1" applyFill="1" applyBorder="1" applyAlignment="1" applyProtection="1">
      <alignment horizontal="center" vertical="center"/>
      <protection locked="0"/>
    </xf>
    <xf numFmtId="0" fontId="33" fillId="3" borderId="12" xfId="2" applyFont="1" applyFill="1" applyBorder="1" applyAlignment="1" applyProtection="1">
      <alignment horizontal="center" vertical="center"/>
      <protection locked="0"/>
    </xf>
    <xf numFmtId="0" fontId="33" fillId="3" borderId="13" xfId="2" applyFont="1" applyFill="1" applyBorder="1" applyAlignment="1" applyProtection="1">
      <alignment horizontal="center" vertical="center"/>
      <protection locked="0"/>
    </xf>
    <xf numFmtId="0" fontId="32" fillId="3" borderId="13" xfId="2" applyFont="1" applyFill="1" applyBorder="1" applyAlignment="1" applyProtection="1">
      <alignment horizontal="center" vertical="center"/>
      <protection locked="0"/>
    </xf>
    <xf numFmtId="177" fontId="32" fillId="3" borderId="13" xfId="2" applyNumberFormat="1" applyFont="1" applyFill="1" applyBorder="1" applyAlignment="1">
      <alignment horizontal="center" vertical="center"/>
    </xf>
    <xf numFmtId="177" fontId="32" fillId="3" borderId="14" xfId="2" applyNumberFormat="1" applyFont="1" applyFill="1" applyBorder="1" applyAlignment="1">
      <alignment horizontal="center" vertical="center"/>
    </xf>
    <xf numFmtId="0" fontId="34" fillId="0" borderId="21" xfId="2" applyFont="1" applyBorder="1" applyAlignment="1">
      <alignment horizontal="left" vertical="center" shrinkToFit="1"/>
    </xf>
    <xf numFmtId="0" fontId="34" fillId="0" borderId="0" xfId="2" applyFont="1" applyAlignment="1">
      <alignment horizontal="left" vertical="center" shrinkToFit="1"/>
    </xf>
    <xf numFmtId="0" fontId="34" fillId="0" borderId="22" xfId="2" applyFont="1" applyBorder="1" applyAlignment="1">
      <alignment horizontal="left" vertical="center" shrinkToFit="1"/>
    </xf>
    <xf numFmtId="0" fontId="34" fillId="0" borderId="21" xfId="2" applyFont="1" applyBorder="1" applyAlignment="1">
      <alignment horizontal="left" vertical="center"/>
    </xf>
    <xf numFmtId="0" fontId="34" fillId="0" borderId="0" xfId="2" applyFont="1" applyAlignment="1">
      <alignment horizontal="left" vertical="center"/>
    </xf>
    <xf numFmtId="0" fontId="34" fillId="0" borderId="22" xfId="2" applyFont="1" applyBorder="1" applyAlignment="1">
      <alignment horizontal="left" vertical="center"/>
    </xf>
    <xf numFmtId="0" fontId="33" fillId="2" borderId="1" xfId="2" applyFont="1" applyFill="1" applyBorder="1" applyAlignment="1" applyProtection="1">
      <alignment horizontal="center" vertical="center"/>
      <protection locked="0"/>
    </xf>
    <xf numFmtId="0" fontId="33" fillId="2" borderId="1" xfId="2" applyFont="1" applyFill="1" applyBorder="1" applyAlignment="1" applyProtection="1">
      <alignment horizontal="center" vertical="center" shrinkToFit="1"/>
      <protection locked="0"/>
    </xf>
    <xf numFmtId="0" fontId="32" fillId="0" borderId="11" xfId="2" applyFont="1" applyBorder="1" applyAlignment="1" applyProtection="1">
      <alignment horizontal="center" vertical="center"/>
      <protection locked="0"/>
    </xf>
    <xf numFmtId="177" fontId="32" fillId="0" borderId="11" xfId="2" applyNumberFormat="1" applyFont="1" applyBorder="1" applyAlignment="1">
      <alignment horizontal="center" vertical="center"/>
    </xf>
    <xf numFmtId="0" fontId="32" fillId="0" borderId="11" xfId="2" applyFont="1" applyBorder="1" applyAlignment="1">
      <alignment horizontal="left" vertical="center" indent="1" shrinkToFit="1"/>
    </xf>
    <xf numFmtId="41" fontId="32" fillId="0" borderId="35" xfId="3" applyFont="1" applyBorder="1" applyAlignment="1" applyProtection="1">
      <alignment horizontal="right" vertical="center"/>
    </xf>
    <xf numFmtId="0" fontId="32" fillId="0" borderId="2" xfId="2" applyFont="1" applyBorder="1" applyAlignment="1" applyProtection="1">
      <alignment horizontal="center" vertical="center"/>
      <protection locked="0"/>
    </xf>
    <xf numFmtId="177" fontId="32" fillId="0" borderId="2" xfId="2" applyNumberFormat="1" applyFont="1" applyBorder="1" applyAlignment="1">
      <alignment horizontal="center" vertical="center"/>
    </xf>
    <xf numFmtId="0" fontId="32" fillId="0" borderId="20" xfId="2" applyFont="1" applyBorder="1" applyAlignment="1">
      <alignment horizontal="left" vertical="center" indent="1" shrinkToFit="1"/>
    </xf>
    <xf numFmtId="0" fontId="32" fillId="0" borderId="55" xfId="2" applyFont="1" applyBorder="1" applyAlignment="1">
      <alignment horizontal="left" vertical="center" indent="1" shrinkToFit="1"/>
    </xf>
    <xf numFmtId="0" fontId="32" fillId="0" borderId="56" xfId="2" applyFont="1" applyBorder="1" applyAlignment="1">
      <alignment horizontal="left" vertical="center" indent="1" shrinkToFit="1"/>
    </xf>
    <xf numFmtId="41" fontId="32" fillId="0" borderId="2" xfId="3" applyFont="1" applyBorder="1" applyAlignment="1" applyProtection="1">
      <alignment horizontal="right" vertical="center"/>
    </xf>
    <xf numFmtId="0" fontId="32" fillId="0" borderId="20" xfId="2" applyFont="1" applyBorder="1" applyAlignment="1" applyProtection="1">
      <alignment horizontal="center" vertical="center"/>
      <protection locked="0"/>
    </xf>
    <xf numFmtId="0" fontId="32" fillId="0" borderId="56" xfId="2" applyFont="1" applyBorder="1" applyAlignment="1" applyProtection="1">
      <alignment horizontal="center" vertical="center"/>
      <protection locked="0"/>
    </xf>
    <xf numFmtId="0" fontId="32" fillId="0" borderId="7" xfId="2" applyFont="1" applyBorder="1" applyAlignment="1" applyProtection="1">
      <alignment horizontal="center" vertical="center"/>
      <protection locked="0"/>
    </xf>
    <xf numFmtId="177" fontId="32" fillId="0" borderId="7" xfId="2" applyNumberFormat="1" applyFont="1" applyBorder="1" applyAlignment="1">
      <alignment horizontal="center" vertical="center"/>
    </xf>
    <xf numFmtId="0" fontId="32" fillId="0" borderId="39" xfId="2" applyFont="1" applyBorder="1" applyAlignment="1">
      <alignment horizontal="left" vertical="center" indent="1" shrinkToFit="1"/>
    </xf>
    <xf numFmtId="0" fontId="32" fillId="0" borderId="40" xfId="2" applyFont="1" applyBorder="1" applyAlignment="1">
      <alignment horizontal="left" vertical="center" indent="1" shrinkToFit="1"/>
    </xf>
    <xf numFmtId="0" fontId="32" fillId="0" borderId="41" xfId="2" applyFont="1" applyBorder="1" applyAlignment="1">
      <alignment horizontal="left" vertical="center" indent="1" shrinkToFit="1"/>
    </xf>
    <xf numFmtId="41" fontId="32" fillId="0" borderId="36" xfId="3" applyFont="1" applyBorder="1" applyAlignment="1" applyProtection="1">
      <alignment horizontal="right" vertic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7" fillId="2" borderId="38" xfId="0" applyFont="1" applyFill="1" applyBorder="1" applyAlignment="1" applyProtection="1">
      <alignment horizontal="center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left" vertical="center"/>
      <protection locked="0"/>
    </xf>
    <xf numFmtId="0" fontId="8" fillId="0" borderId="23" xfId="0" applyFont="1" applyBorder="1" applyAlignment="1" applyProtection="1">
      <alignment horizontal="left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194" fontId="12" fillId="3" borderId="19" xfId="0" applyNumberFormat="1" applyFont="1" applyFill="1" applyBorder="1" applyAlignment="1" applyProtection="1">
      <alignment horizontal="right" vertical="center"/>
      <protection locked="0"/>
    </xf>
    <xf numFmtId="194" fontId="12" fillId="3" borderId="3" xfId="0" applyNumberFormat="1" applyFont="1" applyFill="1" applyBorder="1" applyAlignment="1" applyProtection="1">
      <alignment horizontal="right" vertical="center"/>
      <protection locked="0"/>
    </xf>
    <xf numFmtId="195" fontId="12" fillId="3" borderId="19" xfId="0" applyNumberFormat="1" applyFont="1" applyFill="1" applyBorder="1" applyAlignment="1" applyProtection="1">
      <alignment horizontal="right" vertical="center"/>
      <protection locked="0"/>
    </xf>
    <xf numFmtId="195" fontId="12" fillId="3" borderId="3" xfId="0" applyNumberFormat="1" applyFont="1" applyFill="1" applyBorder="1" applyAlignment="1" applyProtection="1">
      <alignment horizontal="right" vertical="center"/>
      <protection locked="0"/>
    </xf>
    <xf numFmtId="0" fontId="12" fillId="3" borderId="19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7" fillId="5" borderId="6" xfId="0" applyFont="1" applyFill="1" applyBorder="1" applyAlignment="1" applyProtection="1">
      <alignment horizontal="center" vertical="center"/>
      <protection locked="0"/>
    </xf>
    <xf numFmtId="0" fontId="11" fillId="5" borderId="4" xfId="0" applyFont="1" applyFill="1" applyBorder="1" applyAlignment="1">
      <alignment horizontal="center" vertical="center" wrapText="1" shrinkToFit="1"/>
    </xf>
    <xf numFmtId="0" fontId="11" fillId="5" borderId="5" xfId="0" applyFont="1" applyFill="1" applyBorder="1" applyAlignment="1">
      <alignment horizontal="center" vertical="center" wrapText="1" shrinkToFit="1"/>
    </xf>
    <xf numFmtId="0" fontId="11" fillId="5" borderId="43" xfId="0" applyFont="1" applyFill="1" applyBorder="1" applyAlignment="1" applyProtection="1">
      <alignment horizontal="center" vertical="center" wrapText="1" shrinkToFit="1"/>
      <protection locked="0"/>
    </xf>
    <xf numFmtId="0" fontId="11" fillId="5" borderId="5" xfId="0" applyFont="1" applyFill="1" applyBorder="1" applyAlignment="1" applyProtection="1">
      <alignment horizontal="center" vertical="center" wrapText="1" shrinkToFit="1"/>
      <protection locked="0"/>
    </xf>
    <xf numFmtId="0" fontId="11" fillId="5" borderId="44" xfId="0" applyFont="1" applyFill="1" applyBorder="1" applyAlignment="1" applyProtection="1">
      <alignment horizontal="center" vertical="center" wrapText="1" shrinkToFit="1"/>
      <protection locked="0"/>
    </xf>
    <xf numFmtId="192" fontId="7" fillId="3" borderId="43" xfId="0" applyNumberFormat="1" applyFont="1" applyFill="1" applyBorder="1" applyAlignment="1">
      <alignment horizontal="right" vertical="center"/>
    </xf>
    <xf numFmtId="192" fontId="7" fillId="3" borderId="5" xfId="0" applyNumberFormat="1" applyFont="1" applyFill="1" applyBorder="1" applyAlignment="1">
      <alignment horizontal="right" vertical="center"/>
    </xf>
    <xf numFmtId="192" fontId="7" fillId="3" borderId="44" xfId="0" applyNumberFormat="1" applyFont="1" applyFill="1" applyBorder="1" applyAlignment="1">
      <alignment horizontal="right" vertical="center"/>
    </xf>
    <xf numFmtId="192" fontId="7" fillId="3" borderId="6" xfId="0" applyNumberFormat="1" applyFont="1" applyFill="1" applyBorder="1" applyAlignment="1">
      <alignment horizontal="right" vertical="center"/>
    </xf>
    <xf numFmtId="192" fontId="7" fillId="3" borderId="4" xfId="0" applyNumberFormat="1" applyFont="1" applyFill="1" applyBorder="1" applyAlignment="1">
      <alignment horizontal="right" vertical="center"/>
    </xf>
    <xf numFmtId="192" fontId="6" fillId="3" borderId="4" xfId="0" applyNumberFormat="1" applyFont="1" applyFill="1" applyBorder="1" applyAlignment="1">
      <alignment horizontal="center" vertical="center" shrinkToFit="1"/>
    </xf>
    <xf numFmtId="192" fontId="6" fillId="3" borderId="5" xfId="0" applyNumberFormat="1" applyFont="1" applyFill="1" applyBorder="1" applyAlignment="1">
      <alignment horizontal="center" vertical="center" shrinkToFit="1"/>
    </xf>
    <xf numFmtId="192" fontId="6" fillId="3" borderId="6" xfId="0" applyNumberFormat="1" applyFont="1" applyFill="1" applyBorder="1" applyAlignment="1">
      <alignment horizontal="center" vertical="center" shrinkToFit="1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4" borderId="35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7" fillId="4" borderId="44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11" fillId="5" borderId="6" xfId="0" applyFont="1" applyFill="1" applyBorder="1" applyAlignment="1" applyProtection="1">
      <alignment horizontal="center" vertical="center" wrapText="1" shrinkToFit="1"/>
      <protection locked="0"/>
    </xf>
    <xf numFmtId="0" fontId="11" fillId="5" borderId="4" xfId="0" applyFont="1" applyFill="1" applyBorder="1" applyAlignment="1" applyProtection="1">
      <alignment horizontal="center" vertical="center" wrapText="1" shrinkToFit="1"/>
      <protection locked="0"/>
    </xf>
    <xf numFmtId="178" fontId="7" fillId="5" borderId="4" xfId="0" applyNumberFormat="1" applyFont="1" applyFill="1" applyBorder="1" applyAlignment="1" applyProtection="1">
      <alignment horizontal="center" vertical="center"/>
      <protection locked="0"/>
    </xf>
    <xf numFmtId="178" fontId="7" fillId="5" borderId="5" xfId="0" applyNumberFormat="1" applyFont="1" applyFill="1" applyBorder="1" applyAlignment="1" applyProtection="1">
      <alignment horizontal="center" vertical="center"/>
      <protection locked="0"/>
    </xf>
    <xf numFmtId="178" fontId="7" fillId="5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39" xfId="0" applyFont="1" applyFill="1" applyBorder="1" applyAlignment="1" applyProtection="1">
      <alignment horizontal="center" vertical="center"/>
      <protection locked="0"/>
    </xf>
    <xf numFmtId="0" fontId="7" fillId="2" borderId="41" xfId="0" applyFont="1" applyFill="1" applyBorder="1" applyAlignment="1" applyProtection="1">
      <alignment horizontal="center" vertical="center"/>
      <protection locked="0"/>
    </xf>
    <xf numFmtId="0" fontId="8" fillId="3" borderId="40" xfId="0" applyFont="1" applyFill="1" applyBorder="1" applyAlignment="1" applyProtection="1">
      <alignment horizontal="left" vertical="center"/>
      <protection locked="0"/>
    </xf>
    <xf numFmtId="0" fontId="8" fillId="3" borderId="41" xfId="0" applyFont="1" applyFill="1" applyBorder="1" applyAlignment="1" applyProtection="1">
      <alignment horizontal="left" vertical="center"/>
      <protection locked="0"/>
    </xf>
    <xf numFmtId="14" fontId="8" fillId="3" borderId="9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7" fillId="5" borderId="35" xfId="0" applyFont="1" applyFill="1" applyBorder="1" applyAlignment="1" applyProtection="1">
      <alignment horizontal="center" vertical="center"/>
      <protection locked="0"/>
    </xf>
    <xf numFmtId="0" fontId="7" fillId="5" borderId="36" xfId="0" applyFont="1" applyFill="1" applyBorder="1" applyAlignment="1" applyProtection="1">
      <alignment horizontal="center" vertical="center"/>
      <protection locked="0"/>
    </xf>
    <xf numFmtId="0" fontId="7" fillId="5" borderId="44" xfId="0" applyFont="1" applyFill="1" applyBorder="1" applyAlignment="1" applyProtection="1">
      <alignment horizontal="center" vertical="center"/>
      <protection locked="0"/>
    </xf>
    <xf numFmtId="0" fontId="7" fillId="5" borderId="5" xfId="0" applyFont="1" applyFill="1" applyBorder="1" applyAlignment="1" applyProtection="1">
      <alignment horizontal="center" vertical="center" wrapText="1"/>
      <protection locked="0"/>
    </xf>
    <xf numFmtId="0" fontId="7" fillId="5" borderId="44" xfId="0" applyFont="1" applyFill="1" applyBorder="1" applyAlignment="1" applyProtection="1">
      <alignment horizontal="center" vertical="center" wrapText="1"/>
      <protection locked="0"/>
    </xf>
    <xf numFmtId="0" fontId="7" fillId="5" borderId="6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42" xfId="0" applyFont="1" applyFill="1" applyBorder="1" applyAlignment="1" applyProtection="1">
      <alignment horizontal="center" vertical="center"/>
      <protection locked="0"/>
    </xf>
    <xf numFmtId="0" fontId="7" fillId="5" borderId="43" xfId="0" applyFont="1" applyFill="1" applyBorder="1" applyAlignment="1" applyProtection="1">
      <alignment horizontal="center" vertical="center"/>
      <protection locked="0"/>
    </xf>
    <xf numFmtId="0" fontId="7" fillId="5" borderId="15" xfId="0" applyFont="1" applyFill="1" applyBorder="1" applyAlignment="1" applyProtection="1">
      <alignment horizontal="center" vertical="center"/>
      <protection locked="0"/>
    </xf>
    <xf numFmtId="0" fontId="7" fillId="5" borderId="17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43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177" fontId="8" fillId="0" borderId="24" xfId="0" applyNumberFormat="1" applyFont="1" applyBorder="1" applyAlignment="1">
      <alignment horizontal="center" vertical="center" wrapText="1" shrinkToFit="1"/>
    </xf>
    <xf numFmtId="177" fontId="8" fillId="0" borderId="32" xfId="0" applyNumberFormat="1" applyFont="1" applyBorder="1" applyAlignment="1">
      <alignment horizontal="center" vertical="center" wrapText="1" shrinkToFit="1"/>
    </xf>
    <xf numFmtId="177" fontId="8" fillId="0" borderId="29" xfId="0" applyNumberFormat="1" applyFont="1" applyBorder="1" applyAlignment="1">
      <alignment horizontal="left" vertical="center" shrinkToFit="1"/>
    </xf>
    <xf numFmtId="177" fontId="8" fillId="0" borderId="24" xfId="0" applyNumberFormat="1" applyFont="1" applyBorder="1" applyAlignment="1">
      <alignment horizontal="left" vertical="center" shrinkToFit="1"/>
    </xf>
    <xf numFmtId="177" fontId="8" fillId="0" borderId="23" xfId="0" applyNumberFormat="1" applyFont="1" applyBorder="1" applyAlignment="1">
      <alignment horizontal="left" vertical="center" shrinkToFit="1"/>
    </xf>
    <xf numFmtId="179" fontId="8" fillId="0" borderId="155" xfId="0" applyNumberFormat="1" applyFont="1" applyBorder="1" applyAlignment="1">
      <alignment horizontal="center" vertical="center"/>
    </xf>
    <xf numFmtId="179" fontId="8" fillId="0" borderId="23" xfId="0" applyNumberFormat="1" applyFont="1" applyBorder="1" applyAlignment="1">
      <alignment horizontal="center" vertical="center"/>
    </xf>
    <xf numFmtId="192" fontId="8" fillId="0" borderId="35" xfId="0" applyNumberFormat="1" applyFont="1" applyBorder="1" applyAlignment="1" applyProtection="1">
      <alignment horizontal="right" vertical="center" shrinkToFit="1"/>
      <protection locked="0"/>
    </xf>
    <xf numFmtId="192" fontId="8" fillId="0" borderId="36" xfId="0" applyNumberFormat="1" applyFont="1" applyBorder="1" applyAlignment="1" applyProtection="1">
      <alignment horizontal="right" vertical="center" shrinkToFit="1"/>
      <protection locked="0"/>
    </xf>
    <xf numFmtId="192" fontId="6" fillId="0" borderId="12" xfId="1" applyNumberFormat="1" applyFont="1" applyFill="1" applyBorder="1" applyAlignment="1" applyProtection="1">
      <alignment horizontal="right" vertical="center"/>
    </xf>
    <xf numFmtId="192" fontId="6" fillId="0" borderId="13" xfId="1" applyNumberFormat="1" applyFont="1" applyFill="1" applyBorder="1" applyAlignment="1" applyProtection="1">
      <alignment horizontal="right" vertical="center"/>
    </xf>
    <xf numFmtId="192" fontId="6" fillId="0" borderId="14" xfId="1" applyNumberFormat="1" applyFont="1" applyFill="1" applyBorder="1" applyAlignment="1" applyProtection="1">
      <alignment horizontal="right" vertical="center"/>
    </xf>
    <xf numFmtId="192" fontId="6" fillId="0" borderId="8" xfId="1" applyNumberFormat="1" applyFont="1" applyFill="1" applyBorder="1" applyAlignment="1" applyProtection="1">
      <alignment horizontal="right" vertical="center"/>
    </xf>
    <xf numFmtId="192" fontId="6" fillId="0" borderId="9" xfId="1" applyNumberFormat="1" applyFont="1" applyFill="1" applyBorder="1" applyAlignment="1" applyProtection="1">
      <alignment horizontal="right" vertical="center"/>
    </xf>
    <xf numFmtId="192" fontId="6" fillId="0" borderId="10" xfId="1" applyNumberFormat="1" applyFont="1" applyFill="1" applyBorder="1" applyAlignment="1" applyProtection="1">
      <alignment horizontal="right" vertical="center"/>
    </xf>
    <xf numFmtId="192" fontId="8" fillId="0" borderId="32" xfId="0" applyNumberFormat="1" applyFont="1" applyBorder="1" applyAlignment="1">
      <alignment horizontal="right" vertical="center"/>
    </xf>
    <xf numFmtId="192" fontId="8" fillId="0" borderId="13" xfId="0" applyNumberFormat="1" applyFont="1" applyBorder="1" applyAlignment="1">
      <alignment horizontal="right" vertical="center"/>
    </xf>
    <xf numFmtId="177" fontId="8" fillId="0" borderId="40" xfId="0" applyNumberFormat="1" applyFont="1" applyBorder="1" applyAlignment="1">
      <alignment horizontal="center" vertical="center" wrapText="1" shrinkToFit="1"/>
    </xf>
    <xf numFmtId="177" fontId="8" fillId="0" borderId="34" xfId="0" applyNumberFormat="1" applyFont="1" applyBorder="1" applyAlignment="1">
      <alignment horizontal="center" vertical="center" wrapText="1" shrinkToFit="1"/>
    </xf>
    <xf numFmtId="177" fontId="8" fillId="0" borderId="33" xfId="0" applyNumberFormat="1" applyFont="1" applyBorder="1" applyAlignment="1">
      <alignment horizontal="center" vertical="center" shrinkToFit="1"/>
    </xf>
    <xf numFmtId="177" fontId="8" fillId="0" borderId="40" xfId="0" applyNumberFormat="1" applyFont="1" applyBorder="1" applyAlignment="1">
      <alignment horizontal="center" vertical="center" shrinkToFit="1"/>
    </xf>
    <xf numFmtId="177" fontId="8" fillId="0" borderId="34" xfId="0" applyNumberFormat="1" applyFont="1" applyBorder="1" applyAlignment="1">
      <alignment horizontal="center" vertical="center" shrinkToFit="1"/>
    </xf>
    <xf numFmtId="177" fontId="8" fillId="0" borderId="41" xfId="0" applyNumberFormat="1" applyFont="1" applyBorder="1" applyAlignment="1">
      <alignment horizontal="center" vertical="center" shrinkToFit="1"/>
    </xf>
    <xf numFmtId="181" fontId="8" fillId="3" borderId="34" xfId="0" applyNumberFormat="1" applyFont="1" applyFill="1" applyBorder="1" applyAlignment="1">
      <alignment horizontal="center" vertical="center"/>
    </xf>
    <xf numFmtId="181" fontId="8" fillId="3" borderId="33" xfId="0" applyNumberFormat="1" applyFont="1" applyFill="1" applyBorder="1" applyAlignment="1">
      <alignment horizontal="center" vertical="center"/>
    </xf>
    <xf numFmtId="192" fontId="8" fillId="0" borderId="34" xfId="0" applyNumberFormat="1" applyFont="1" applyBorder="1" applyAlignment="1">
      <alignment horizontal="right" vertical="center"/>
    </xf>
    <xf numFmtId="192" fontId="8" fillId="0" borderId="9" xfId="0" applyNumberFormat="1" applyFont="1" applyBorder="1" applyAlignment="1">
      <alignment horizontal="right" vertical="center"/>
    </xf>
    <xf numFmtId="192" fontId="8" fillId="0" borderId="33" xfId="0" applyNumberFormat="1" applyFont="1" applyBorder="1" applyAlignment="1">
      <alignment horizontal="right" vertical="center"/>
    </xf>
    <xf numFmtId="192" fontId="8" fillId="0" borderId="40" xfId="0" applyNumberFormat="1" applyFont="1" applyBorder="1" applyAlignment="1">
      <alignment horizontal="right" vertical="center"/>
    </xf>
    <xf numFmtId="192" fontId="8" fillId="0" borderId="29" xfId="0" quotePrefix="1" applyNumberFormat="1" applyFont="1" applyBorder="1" applyAlignment="1">
      <alignment horizontal="right" vertical="center"/>
    </xf>
    <xf numFmtId="192" fontId="8" fillId="0" borderId="24" xfId="0" applyNumberFormat="1" applyFont="1" applyBorder="1" applyAlignment="1">
      <alignment horizontal="right" vertical="center"/>
    </xf>
    <xf numFmtId="192" fontId="7" fillId="0" borderId="12" xfId="0" applyNumberFormat="1" applyFont="1" applyBorder="1" applyAlignment="1">
      <alignment horizontal="right" vertical="center"/>
    </xf>
    <xf numFmtId="192" fontId="7" fillId="0" borderId="13" xfId="0" applyNumberFormat="1" applyFont="1" applyBorder="1" applyAlignment="1">
      <alignment horizontal="right" vertical="center"/>
    </xf>
    <xf numFmtId="192" fontId="7" fillId="0" borderId="14" xfId="0" applyNumberFormat="1" applyFont="1" applyBorder="1" applyAlignment="1">
      <alignment horizontal="right" vertical="center"/>
    </xf>
    <xf numFmtId="192" fontId="6" fillId="0" borderId="12" xfId="1" applyNumberFormat="1" applyFont="1" applyBorder="1" applyAlignment="1" applyProtection="1">
      <alignment horizontal="right" vertical="center"/>
    </xf>
    <xf numFmtId="192" fontId="6" fillId="0" borderId="13" xfId="1" applyNumberFormat="1" applyFont="1" applyBorder="1" applyAlignment="1" applyProtection="1">
      <alignment horizontal="right" vertical="center"/>
    </xf>
    <xf numFmtId="192" fontId="6" fillId="0" borderId="14" xfId="1" applyNumberFormat="1" applyFont="1" applyBorder="1" applyAlignment="1" applyProtection="1">
      <alignment horizontal="right" vertical="center"/>
    </xf>
    <xf numFmtId="192" fontId="6" fillId="0" borderId="8" xfId="1" applyNumberFormat="1" applyFont="1" applyBorder="1" applyAlignment="1" applyProtection="1">
      <alignment horizontal="right" vertical="center"/>
    </xf>
    <xf numFmtId="192" fontId="6" fillId="0" borderId="9" xfId="1" applyNumberFormat="1" applyFont="1" applyBorder="1" applyAlignment="1" applyProtection="1">
      <alignment horizontal="right" vertical="center"/>
    </xf>
    <xf numFmtId="192" fontId="6" fillId="0" borderId="10" xfId="1" applyNumberFormat="1" applyFont="1" applyBorder="1" applyAlignment="1" applyProtection="1">
      <alignment horizontal="right" vertical="center"/>
    </xf>
    <xf numFmtId="176" fontId="14" fillId="0" borderId="35" xfId="1" applyNumberFormat="1" applyFont="1" applyBorder="1" applyAlignment="1" applyProtection="1">
      <alignment horizontal="center" vertical="center"/>
      <protection locked="0"/>
    </xf>
    <xf numFmtId="176" fontId="14" fillId="0" borderId="36" xfId="1" applyNumberFormat="1" applyFont="1" applyBorder="1" applyAlignment="1" applyProtection="1">
      <alignment horizontal="center" vertical="center"/>
      <protection locked="0"/>
    </xf>
    <xf numFmtId="192" fontId="8" fillId="0" borderId="8" xfId="0" applyNumberFormat="1" applyFont="1" applyBorder="1" applyAlignment="1" applyProtection="1">
      <alignment horizontal="right" vertical="center"/>
      <protection locked="0"/>
    </xf>
    <xf numFmtId="192" fontId="8" fillId="0" borderId="9" xfId="0" applyNumberFormat="1" applyFont="1" applyBorder="1" applyAlignment="1" applyProtection="1">
      <alignment horizontal="right" vertical="center"/>
      <protection locked="0"/>
    </xf>
    <xf numFmtId="192" fontId="8" fillId="0" borderId="10" xfId="0" applyNumberFormat="1" applyFont="1" applyBorder="1" applyAlignment="1" applyProtection="1">
      <alignment horizontal="right" vertical="center"/>
      <protection locked="0"/>
    </xf>
    <xf numFmtId="181" fontId="8" fillId="0" borderId="34" xfId="0" applyNumberFormat="1" applyFont="1" applyBorder="1" applyAlignment="1">
      <alignment horizontal="center" vertical="center"/>
    </xf>
    <xf numFmtId="181" fontId="8" fillId="0" borderId="33" xfId="0" applyNumberFormat="1" applyFont="1" applyBorder="1" applyAlignment="1">
      <alignment horizontal="center" vertical="center"/>
    </xf>
    <xf numFmtId="192" fontId="8" fillId="0" borderId="24" xfId="0" quotePrefix="1" applyNumberFormat="1" applyFont="1" applyBorder="1" applyAlignment="1">
      <alignment horizontal="right" vertical="center"/>
    </xf>
    <xf numFmtId="192" fontId="8" fillId="0" borderId="23" xfId="0" quotePrefix="1" applyNumberFormat="1" applyFont="1" applyBorder="1" applyAlignment="1">
      <alignment horizontal="right" vertical="center"/>
    </xf>
    <xf numFmtId="192" fontId="8" fillId="0" borderId="29" xfId="0" applyNumberFormat="1" applyFont="1" applyBorder="1" applyAlignment="1">
      <alignment horizontal="right" vertical="center"/>
    </xf>
    <xf numFmtId="192" fontId="8" fillId="0" borderId="23" xfId="0" applyNumberFormat="1" applyFont="1" applyBorder="1" applyAlignment="1">
      <alignment horizontal="right" vertical="center"/>
    </xf>
    <xf numFmtId="192" fontId="6" fillId="4" borderId="15" xfId="1" applyNumberFormat="1" applyFont="1" applyFill="1" applyBorder="1" applyAlignment="1" applyProtection="1">
      <alignment horizontal="right" vertical="center"/>
    </xf>
    <xf numFmtId="192" fontId="6" fillId="4" borderId="19" xfId="1" applyNumberFormat="1" applyFont="1" applyFill="1" applyBorder="1" applyAlignment="1" applyProtection="1">
      <alignment horizontal="right" vertical="center"/>
    </xf>
    <xf numFmtId="192" fontId="6" fillId="4" borderId="16" xfId="1" applyNumberFormat="1" applyFont="1" applyFill="1" applyBorder="1" applyAlignment="1" applyProtection="1">
      <alignment horizontal="right" vertical="center"/>
    </xf>
    <xf numFmtId="192" fontId="6" fillId="4" borderId="17" xfId="1" applyNumberFormat="1" applyFont="1" applyFill="1" applyBorder="1" applyAlignment="1" applyProtection="1">
      <alignment horizontal="right" vertical="center"/>
    </xf>
    <xf numFmtId="192" fontId="6" fillId="4" borderId="3" xfId="1" applyNumberFormat="1" applyFont="1" applyFill="1" applyBorder="1" applyAlignment="1" applyProtection="1">
      <alignment horizontal="right" vertical="center"/>
    </xf>
    <xf numFmtId="192" fontId="6" fillId="4" borderId="18" xfId="1" applyNumberFormat="1" applyFont="1" applyFill="1" applyBorder="1" applyAlignment="1" applyProtection="1">
      <alignment horizontal="right" vertical="center"/>
    </xf>
    <xf numFmtId="192" fontId="8" fillId="0" borderId="39" xfId="0" applyNumberFormat="1" applyFont="1" applyBorder="1" applyAlignment="1">
      <alignment horizontal="right" vertical="center"/>
    </xf>
    <xf numFmtId="192" fontId="8" fillId="0" borderId="38" xfId="0" applyNumberFormat="1" applyFont="1" applyBorder="1" applyAlignment="1">
      <alignment horizontal="right" vertical="center"/>
    </xf>
    <xf numFmtId="192" fontId="6" fillId="14" borderId="15" xfId="1" applyNumberFormat="1" applyFont="1" applyFill="1" applyBorder="1" applyAlignment="1" applyProtection="1">
      <alignment horizontal="right" vertical="center"/>
    </xf>
    <xf numFmtId="192" fontId="6" fillId="14" borderId="19" xfId="1" applyNumberFormat="1" applyFont="1" applyFill="1" applyBorder="1" applyAlignment="1" applyProtection="1">
      <alignment horizontal="right" vertical="center"/>
    </xf>
    <xf numFmtId="192" fontId="6" fillId="14" borderId="16" xfId="1" applyNumberFormat="1" applyFont="1" applyFill="1" applyBorder="1" applyAlignment="1" applyProtection="1">
      <alignment horizontal="right" vertical="center"/>
    </xf>
    <xf numFmtId="192" fontId="6" fillId="14" borderId="17" xfId="1" applyNumberFormat="1" applyFont="1" applyFill="1" applyBorder="1" applyAlignment="1" applyProtection="1">
      <alignment horizontal="right" vertical="center"/>
    </xf>
    <xf numFmtId="192" fontId="6" fillId="14" borderId="3" xfId="1" applyNumberFormat="1" applyFont="1" applyFill="1" applyBorder="1" applyAlignment="1" applyProtection="1">
      <alignment horizontal="right" vertical="center"/>
    </xf>
    <xf numFmtId="192" fontId="6" fillId="14" borderId="18" xfId="1" applyNumberFormat="1" applyFont="1" applyFill="1" applyBorder="1" applyAlignment="1" applyProtection="1">
      <alignment horizontal="right" vertical="center"/>
    </xf>
    <xf numFmtId="176" fontId="81" fillId="0" borderId="35" xfId="1" applyNumberFormat="1" applyFont="1" applyBorder="1" applyAlignment="1" applyProtection="1">
      <alignment horizontal="center" vertical="center" wrapText="1"/>
      <protection locked="0"/>
    </xf>
    <xf numFmtId="176" fontId="81" fillId="0" borderId="36" xfId="1" applyNumberFormat="1" applyFont="1" applyBorder="1" applyAlignment="1" applyProtection="1">
      <alignment horizontal="center" vertical="center" wrapText="1"/>
      <protection locked="0"/>
    </xf>
    <xf numFmtId="192" fontId="5" fillId="0" borderId="15" xfId="1" applyNumberFormat="1" applyFont="1" applyFill="1" applyBorder="1" applyAlignment="1" applyProtection="1">
      <alignment horizontal="right" vertical="center"/>
    </xf>
    <xf numFmtId="192" fontId="5" fillId="0" borderId="19" xfId="1" applyNumberFormat="1" applyFont="1" applyFill="1" applyBorder="1" applyAlignment="1" applyProtection="1">
      <alignment horizontal="right" vertical="center"/>
    </xf>
    <xf numFmtId="192" fontId="5" fillId="0" borderId="16" xfId="1" applyNumberFormat="1" applyFont="1" applyFill="1" applyBorder="1" applyAlignment="1" applyProtection="1">
      <alignment horizontal="right" vertical="center"/>
    </xf>
    <xf numFmtId="192" fontId="5" fillId="0" borderId="17" xfId="1" applyNumberFormat="1" applyFont="1" applyFill="1" applyBorder="1" applyAlignment="1" applyProtection="1">
      <alignment horizontal="right" vertical="center"/>
    </xf>
    <xf numFmtId="192" fontId="5" fillId="0" borderId="3" xfId="1" applyNumberFormat="1" applyFont="1" applyFill="1" applyBorder="1" applyAlignment="1" applyProtection="1">
      <alignment horizontal="right" vertical="center"/>
    </xf>
    <xf numFmtId="192" fontId="5" fillId="0" borderId="18" xfId="1" applyNumberFormat="1" applyFont="1" applyFill="1" applyBorder="1" applyAlignment="1" applyProtection="1">
      <alignment horizontal="right" vertical="center"/>
    </xf>
    <xf numFmtId="192" fontId="5" fillId="0" borderId="12" xfId="1" applyNumberFormat="1" applyFont="1" applyBorder="1" applyAlignment="1" applyProtection="1">
      <alignment horizontal="right" vertical="center"/>
    </xf>
    <xf numFmtId="192" fontId="5" fillId="0" borderId="13" xfId="1" applyNumberFormat="1" applyFont="1" applyBorder="1" applyAlignment="1" applyProtection="1">
      <alignment horizontal="right" vertical="center"/>
    </xf>
    <xf numFmtId="192" fontId="5" fillId="0" borderId="14" xfId="1" applyNumberFormat="1" applyFont="1" applyBorder="1" applyAlignment="1" applyProtection="1">
      <alignment horizontal="right" vertical="center"/>
    </xf>
    <xf numFmtId="192" fontId="5" fillId="0" borderId="8" xfId="1" applyNumberFormat="1" applyFont="1" applyBorder="1" applyAlignment="1" applyProtection="1">
      <alignment horizontal="right" vertical="center"/>
    </xf>
    <xf numFmtId="192" fontId="5" fillId="0" borderId="9" xfId="1" applyNumberFormat="1" applyFont="1" applyBorder="1" applyAlignment="1" applyProtection="1">
      <alignment horizontal="right" vertical="center"/>
    </xf>
    <xf numFmtId="192" fontId="5" fillId="0" borderId="10" xfId="1" applyNumberFormat="1" applyFont="1" applyBorder="1" applyAlignment="1" applyProtection="1">
      <alignment horizontal="right" vertical="center"/>
    </xf>
    <xf numFmtId="179" fontId="8" fillId="0" borderId="32" xfId="0" applyNumberFormat="1" applyFont="1" applyBorder="1" applyAlignment="1">
      <alignment horizontal="center" vertical="center"/>
    </xf>
    <xf numFmtId="179" fontId="8" fillId="0" borderId="29" xfId="0" applyNumberFormat="1" applyFont="1" applyBorder="1" applyAlignment="1">
      <alignment horizontal="center" vertical="center"/>
    </xf>
    <xf numFmtId="192" fontId="6" fillId="5" borderId="9" xfId="0" applyNumberFormat="1" applyFont="1" applyFill="1" applyBorder="1" applyAlignment="1">
      <alignment horizontal="right" vertical="center"/>
    </xf>
    <xf numFmtId="192" fontId="6" fillId="5" borderId="33" xfId="0" applyNumberFormat="1" applyFont="1" applyFill="1" applyBorder="1" applyAlignment="1">
      <alignment horizontal="right" vertical="center"/>
    </xf>
    <xf numFmtId="192" fontId="6" fillId="5" borderId="8" xfId="0" applyNumberFormat="1" applyFont="1" applyFill="1" applyBorder="1" applyAlignment="1">
      <alignment horizontal="right" vertical="center"/>
    </xf>
    <xf numFmtId="192" fontId="6" fillId="5" borderId="10" xfId="0" applyNumberFormat="1" applyFont="1" applyFill="1" applyBorder="1" applyAlignment="1">
      <alignment horizontal="right" vertical="center"/>
    </xf>
    <xf numFmtId="0" fontId="6" fillId="2" borderId="15" xfId="0" applyFont="1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17" xfId="0" applyFont="1" applyFill="1" applyBorder="1" applyProtection="1">
      <alignment vertical="center"/>
      <protection locked="0"/>
    </xf>
    <xf numFmtId="0" fontId="6" fillId="2" borderId="3" xfId="0" applyFont="1" applyFill="1" applyBorder="1" applyProtection="1">
      <alignment vertical="center"/>
      <protection locked="0"/>
    </xf>
    <xf numFmtId="0" fontId="6" fillId="2" borderId="18" xfId="0" applyFont="1" applyFill="1" applyBorder="1" applyProtection="1">
      <alignment vertical="center"/>
      <protection locked="0"/>
    </xf>
    <xf numFmtId="179" fontId="6" fillId="2" borderId="12" xfId="0" applyNumberFormat="1" applyFont="1" applyFill="1" applyBorder="1" applyAlignment="1">
      <alignment horizontal="center" vertical="center"/>
    </xf>
    <xf numFmtId="179" fontId="6" fillId="2" borderId="14" xfId="0" applyNumberFormat="1" applyFont="1" applyFill="1" applyBorder="1" applyAlignment="1">
      <alignment horizontal="center" vertical="center"/>
    </xf>
    <xf numFmtId="192" fontId="14" fillId="2" borderId="15" xfId="0" applyNumberFormat="1" applyFont="1" applyFill="1" applyBorder="1" applyAlignment="1" applyProtection="1">
      <alignment horizontal="right" vertical="center"/>
      <protection locked="0"/>
    </xf>
    <xf numFmtId="192" fontId="14" fillId="2" borderId="17" xfId="0" applyNumberFormat="1" applyFont="1" applyFill="1" applyBorder="1" applyAlignment="1" applyProtection="1">
      <alignment horizontal="right" vertical="center"/>
      <protection locked="0"/>
    </xf>
    <xf numFmtId="192" fontId="6" fillId="2" borderId="12" xfId="1" applyNumberFormat="1" applyFont="1" applyFill="1" applyBorder="1" applyAlignment="1" applyProtection="1">
      <alignment horizontal="right" vertical="center"/>
    </xf>
    <xf numFmtId="192" fontId="6" fillId="2" borderId="13" xfId="1" applyNumberFormat="1" applyFont="1" applyFill="1" applyBorder="1" applyAlignment="1" applyProtection="1">
      <alignment horizontal="right" vertical="center"/>
    </xf>
    <xf numFmtId="192" fontId="6" fillId="2" borderId="14" xfId="1" applyNumberFormat="1" applyFont="1" applyFill="1" applyBorder="1" applyAlignment="1" applyProtection="1">
      <alignment horizontal="right" vertical="center"/>
    </xf>
    <xf numFmtId="192" fontId="6" fillId="2" borderId="8" xfId="1" applyNumberFormat="1" applyFont="1" applyFill="1" applyBorder="1" applyAlignment="1" applyProtection="1">
      <alignment horizontal="right" vertical="center"/>
    </xf>
    <xf numFmtId="192" fontId="6" fillId="2" borderId="9" xfId="1" applyNumberFormat="1" applyFont="1" applyFill="1" applyBorder="1" applyAlignment="1" applyProtection="1">
      <alignment horizontal="right" vertical="center"/>
    </xf>
    <xf numFmtId="192" fontId="6" fillId="2" borderId="10" xfId="1" applyNumberFormat="1" applyFont="1" applyFill="1" applyBorder="1" applyAlignment="1" applyProtection="1">
      <alignment horizontal="right" vertical="center"/>
    </xf>
    <xf numFmtId="192" fontId="6" fillId="4" borderId="32" xfId="0" applyNumberFormat="1" applyFont="1" applyFill="1" applyBorder="1" applyAlignment="1">
      <alignment horizontal="right" vertical="center"/>
    </xf>
    <xf numFmtId="192" fontId="6" fillId="4" borderId="13" xfId="0" applyNumberFormat="1" applyFont="1" applyFill="1" applyBorder="1" applyAlignment="1">
      <alignment horizontal="right" vertical="center"/>
    </xf>
    <xf numFmtId="192" fontId="6" fillId="4" borderId="29" xfId="0" applyNumberFormat="1" applyFont="1" applyFill="1" applyBorder="1" applyAlignment="1">
      <alignment horizontal="right" vertical="center"/>
    </xf>
    <xf numFmtId="192" fontId="6" fillId="4" borderId="12" xfId="0" applyNumberFormat="1" applyFont="1" applyFill="1" applyBorder="1" applyAlignment="1">
      <alignment horizontal="right" vertical="center"/>
    </xf>
    <xf numFmtId="192" fontId="6" fillId="4" borderId="14" xfId="0" applyNumberFormat="1" applyFont="1" applyFill="1" applyBorder="1" applyAlignment="1">
      <alignment horizontal="right" vertical="center"/>
    </xf>
    <xf numFmtId="181" fontId="6" fillId="2" borderId="8" xfId="0" applyNumberFormat="1" applyFont="1" applyFill="1" applyBorder="1" applyAlignment="1">
      <alignment horizontal="center" vertical="center"/>
    </xf>
    <xf numFmtId="181" fontId="6" fillId="2" borderId="10" xfId="0" applyNumberFormat="1" applyFont="1" applyFill="1" applyBorder="1" applyAlignment="1">
      <alignment horizontal="center" vertical="center"/>
    </xf>
    <xf numFmtId="192" fontId="6" fillId="5" borderId="34" xfId="0" applyNumberFormat="1" applyFont="1" applyFill="1" applyBorder="1" applyAlignment="1">
      <alignment horizontal="right" vertical="center"/>
    </xf>
    <xf numFmtId="0" fontId="81" fillId="0" borderId="0" xfId="67" applyFont="1" applyAlignment="1">
      <alignment horizontal="left" vertical="center" shrinkToFit="1"/>
    </xf>
    <xf numFmtId="0" fontId="87" fillId="0" borderId="0" xfId="67" applyFont="1" applyAlignment="1">
      <alignment horizontal="center" vertical="center"/>
    </xf>
    <xf numFmtId="0" fontId="81" fillId="0" borderId="0" xfId="67" applyFont="1" applyAlignment="1">
      <alignment horizontal="center" vertical="center" shrinkToFit="1"/>
    </xf>
    <xf numFmtId="0" fontId="81" fillId="0" borderId="0" xfId="67" applyFont="1" applyAlignment="1">
      <alignment horizontal="left" vertical="center" wrapText="1"/>
    </xf>
    <xf numFmtId="0" fontId="81" fillId="0" borderId="0" xfId="67" applyFont="1" applyAlignment="1">
      <alignment horizontal="center" vertical="center"/>
    </xf>
    <xf numFmtId="31" fontId="89" fillId="0" borderId="0" xfId="67" applyNumberFormat="1" applyFont="1" applyAlignment="1">
      <alignment horizontal="center" vertical="center"/>
    </xf>
    <xf numFmtId="0" fontId="94" fillId="0" borderId="144" xfId="0" applyFont="1" applyBorder="1" applyAlignment="1">
      <alignment horizontal="left" vertical="center" wrapText="1" indent="1"/>
    </xf>
    <xf numFmtId="0" fontId="94" fillId="0" borderId="152" xfId="0" applyFont="1" applyBorder="1" applyAlignment="1">
      <alignment horizontal="left" vertical="center" wrapText="1" indent="1"/>
    </xf>
    <xf numFmtId="0" fontId="93" fillId="0" borderId="0" xfId="0" applyFont="1" applyAlignment="1">
      <alignment horizontal="center" vertical="center"/>
    </xf>
    <xf numFmtId="0" fontId="92" fillId="0" borderId="0" xfId="0" applyFont="1" applyAlignment="1">
      <alignment horizontal="justify" vertical="center"/>
    </xf>
    <xf numFmtId="0" fontId="94" fillId="0" borderId="65" xfId="0" applyFont="1" applyBorder="1" applyAlignment="1">
      <alignment horizontal="left" vertical="center" wrapText="1" indent="1"/>
    </xf>
    <xf numFmtId="0" fontId="94" fillId="0" borderId="150" xfId="0" applyFont="1" applyBorder="1" applyAlignment="1">
      <alignment horizontal="left" vertical="center" wrapText="1" indent="1"/>
    </xf>
    <xf numFmtId="0" fontId="94" fillId="0" borderId="72" xfId="0" applyFont="1" applyBorder="1" applyAlignment="1">
      <alignment horizontal="left" vertical="center" wrapText="1" indent="1"/>
    </xf>
    <xf numFmtId="0" fontId="94" fillId="0" borderId="93" xfId="0" applyFont="1" applyBorder="1" applyAlignment="1">
      <alignment horizontal="left" vertical="center" wrapText="1" indent="1"/>
    </xf>
    <xf numFmtId="0" fontId="92" fillId="0" borderId="0" xfId="0" applyFont="1">
      <alignment vertical="center"/>
    </xf>
    <xf numFmtId="31" fontId="92" fillId="0" borderId="0" xfId="0" applyNumberFormat="1" applyFont="1" applyAlignment="1">
      <alignment horizontal="right" vertical="center"/>
    </xf>
    <xf numFmtId="0" fontId="51" fillId="0" borderId="62" xfId="61" applyFont="1" applyBorder="1" applyAlignment="1" applyProtection="1">
      <alignment horizontal="center" vertical="center" wrapText="1"/>
      <protection locked="0"/>
    </xf>
    <xf numFmtId="0" fontId="51" fillId="0" borderId="60" xfId="61" applyFont="1" applyBorder="1" applyAlignment="1" applyProtection="1">
      <alignment horizontal="center" vertical="center" wrapText="1"/>
      <protection locked="0"/>
    </xf>
    <xf numFmtId="0" fontId="51" fillId="0" borderId="76" xfId="61" applyFont="1" applyBorder="1" applyAlignment="1" applyProtection="1">
      <alignment horizontal="center" vertical="center" wrapText="1"/>
      <protection locked="0"/>
    </xf>
    <xf numFmtId="0" fontId="55" fillId="0" borderId="77" xfId="61" applyFont="1" applyBorder="1" applyAlignment="1" applyProtection="1">
      <alignment horizontal="center" vertical="center" wrapText="1"/>
      <protection locked="0"/>
    </xf>
    <xf numFmtId="0" fontId="55" fillId="0" borderId="67" xfId="61" applyFont="1" applyBorder="1" applyAlignment="1" applyProtection="1">
      <alignment horizontal="center" vertical="center" wrapText="1"/>
      <protection locked="0"/>
    </xf>
    <xf numFmtId="41" fontId="56" fillId="0" borderId="66" xfId="1" applyFont="1" applyBorder="1" applyAlignment="1" applyProtection="1">
      <alignment horizontal="left" vertical="center" wrapText="1"/>
      <protection locked="0"/>
    </xf>
    <xf numFmtId="41" fontId="56" fillId="0" borderId="28" xfId="1" applyFont="1" applyBorder="1" applyAlignment="1" applyProtection="1">
      <alignment horizontal="left" vertical="center" wrapText="1"/>
      <protection locked="0"/>
    </xf>
    <xf numFmtId="41" fontId="56" fillId="0" borderId="67" xfId="1" applyFont="1" applyBorder="1" applyAlignment="1" applyProtection="1">
      <alignment horizontal="left" vertical="center" wrapText="1"/>
      <protection locked="0"/>
    </xf>
    <xf numFmtId="0" fontId="56" fillId="0" borderId="66" xfId="61" applyFont="1" applyBorder="1" applyAlignment="1" applyProtection="1">
      <alignment horizontal="center" vertical="center" wrapText="1"/>
      <protection locked="0"/>
    </xf>
    <xf numFmtId="0" fontId="56" fillId="0" borderId="28" xfId="61" applyFont="1" applyBorder="1" applyAlignment="1" applyProtection="1">
      <alignment horizontal="center" vertical="center" wrapText="1"/>
      <protection locked="0"/>
    </xf>
    <xf numFmtId="0" fontId="56" fillId="0" borderId="67" xfId="61" applyFont="1" applyBorder="1" applyAlignment="1" applyProtection="1">
      <alignment horizontal="center" vertical="center" wrapText="1"/>
      <protection locked="0"/>
    </xf>
    <xf numFmtId="41" fontId="55" fillId="0" borderId="66" xfId="1" applyFont="1" applyBorder="1" applyAlignment="1" applyProtection="1">
      <alignment horizontal="left" vertical="center" wrapText="1"/>
      <protection locked="0"/>
    </xf>
    <xf numFmtId="41" fontId="55" fillId="0" borderId="28" xfId="1" applyFont="1" applyBorder="1" applyAlignment="1" applyProtection="1">
      <alignment horizontal="left" vertical="center" wrapText="1"/>
      <protection locked="0"/>
    </xf>
    <xf numFmtId="41" fontId="55" fillId="0" borderId="68" xfId="1" applyFont="1" applyBorder="1" applyAlignment="1" applyProtection="1">
      <alignment horizontal="left" vertical="center" wrapText="1"/>
      <protection locked="0"/>
    </xf>
    <xf numFmtId="0" fontId="54" fillId="0" borderId="0" xfId="61" applyFont="1" applyAlignment="1" applyProtection="1">
      <alignment horizontal="center" vertical="center" wrapText="1"/>
      <protection locked="0"/>
    </xf>
    <xf numFmtId="0" fontId="55" fillId="0" borderId="64" xfId="61" applyFont="1" applyBorder="1" applyAlignment="1" applyProtection="1">
      <alignment horizontal="center" vertical="center" wrapText="1"/>
      <protection locked="0"/>
    </xf>
    <xf numFmtId="0" fontId="55" fillId="0" borderId="65" xfId="61" applyFont="1" applyBorder="1" applyAlignment="1" applyProtection="1">
      <alignment horizontal="center" vertical="center" wrapText="1"/>
      <protection locked="0"/>
    </xf>
    <xf numFmtId="0" fontId="55" fillId="0" borderId="69" xfId="61" applyFont="1" applyBorder="1" applyAlignment="1" applyProtection="1">
      <alignment horizontal="center" vertical="center" wrapText="1"/>
      <protection locked="0"/>
    </xf>
    <xf numFmtId="0" fontId="55" fillId="0" borderId="1" xfId="61" applyFont="1" applyBorder="1" applyAlignment="1" applyProtection="1">
      <alignment horizontal="center" vertical="center" wrapText="1"/>
      <protection locked="0"/>
    </xf>
    <xf numFmtId="41" fontId="55" fillId="0" borderId="67" xfId="1" applyFont="1" applyBorder="1" applyAlignment="1" applyProtection="1">
      <alignment horizontal="left" vertical="center" wrapText="1"/>
      <protection locked="0"/>
    </xf>
    <xf numFmtId="0" fontId="55" fillId="0" borderId="66" xfId="61" applyFont="1" applyBorder="1" applyAlignment="1" applyProtection="1">
      <alignment horizontal="center" vertical="center" wrapText="1"/>
      <protection locked="0"/>
    </xf>
    <xf numFmtId="0" fontId="55" fillId="0" borderId="28" xfId="61" applyFont="1" applyBorder="1" applyAlignment="1" applyProtection="1">
      <alignment horizontal="center" vertical="center" wrapText="1"/>
      <protection locked="0"/>
    </xf>
    <xf numFmtId="41" fontId="55" fillId="0" borderId="4" xfId="1" applyFont="1" applyBorder="1" applyAlignment="1" applyProtection="1">
      <alignment horizontal="left" vertical="center" wrapText="1"/>
      <protection locked="0"/>
    </xf>
    <xf numFmtId="41" fontId="55" fillId="0" borderId="5" xfId="1" applyFont="1" applyBorder="1" applyAlignment="1" applyProtection="1">
      <alignment horizontal="left" vertical="center" wrapText="1"/>
      <protection locked="0"/>
    </xf>
    <xf numFmtId="41" fontId="55" fillId="0" borderId="70" xfId="1" applyFont="1" applyBorder="1" applyAlignment="1" applyProtection="1">
      <alignment horizontal="left" vertical="center" wrapText="1"/>
      <protection locked="0"/>
    </xf>
    <xf numFmtId="0" fontId="55" fillId="0" borderId="71" xfId="61" applyFont="1" applyBorder="1" applyAlignment="1" applyProtection="1">
      <alignment horizontal="center" vertical="center" wrapText="1"/>
      <protection locked="0"/>
    </xf>
    <xf numFmtId="0" fontId="55" fillId="0" borderId="72" xfId="61" applyFont="1" applyBorder="1" applyAlignment="1" applyProtection="1">
      <alignment horizontal="center" vertical="center" wrapText="1"/>
      <protection locked="0"/>
    </xf>
    <xf numFmtId="41" fontId="55" fillId="12" borderId="4" xfId="1" applyFont="1" applyFill="1" applyBorder="1" applyAlignment="1" applyProtection="1">
      <alignment horizontal="left" vertical="center" wrapText="1"/>
      <protection locked="0"/>
    </xf>
    <xf numFmtId="41" fontId="55" fillId="12" borderId="5" xfId="1" applyFont="1" applyFill="1" applyBorder="1" applyAlignment="1" applyProtection="1">
      <alignment horizontal="left" vertical="center" wrapText="1"/>
      <protection locked="0"/>
    </xf>
    <xf numFmtId="0" fontId="55" fillId="0" borderId="4" xfId="61" applyFont="1" applyBorder="1" applyAlignment="1" applyProtection="1">
      <alignment horizontal="center" vertical="center" wrapText="1"/>
      <protection locked="0"/>
    </xf>
    <xf numFmtId="0" fontId="55" fillId="0" borderId="5" xfId="61" applyFont="1" applyBorder="1" applyAlignment="1" applyProtection="1">
      <alignment horizontal="center" vertical="center" wrapText="1"/>
      <protection locked="0"/>
    </xf>
    <xf numFmtId="41" fontId="55" fillId="0" borderId="73" xfId="1" applyFont="1" applyBorder="1" applyAlignment="1" applyProtection="1">
      <alignment horizontal="left" vertical="center" wrapText="1"/>
      <protection locked="0"/>
    </xf>
    <xf numFmtId="41" fontId="55" fillId="0" borderId="27" xfId="1" applyFont="1" applyBorder="1" applyAlignment="1" applyProtection="1">
      <alignment horizontal="left" vertical="center" wrapText="1"/>
      <protection locked="0"/>
    </xf>
    <xf numFmtId="41" fontId="55" fillId="0" borderId="74" xfId="1" applyFont="1" applyBorder="1" applyAlignment="1" applyProtection="1">
      <alignment horizontal="left" vertical="center" wrapText="1"/>
      <protection locked="0"/>
    </xf>
    <xf numFmtId="0" fontId="55" fillId="0" borderId="73" xfId="61" applyFont="1" applyBorder="1" applyAlignment="1" applyProtection="1">
      <alignment horizontal="center" vertical="center" wrapText="1"/>
      <protection locked="0"/>
    </xf>
    <xf numFmtId="0" fontId="55" fillId="0" borderId="27" xfId="61" applyFont="1" applyBorder="1" applyAlignment="1" applyProtection="1">
      <alignment horizontal="center" vertical="center" wrapText="1"/>
      <protection locked="0"/>
    </xf>
    <xf numFmtId="0" fontId="55" fillId="0" borderId="74" xfId="61" applyFont="1" applyBorder="1" applyAlignment="1" applyProtection="1">
      <alignment horizontal="center" vertical="center" wrapText="1"/>
      <protection locked="0"/>
    </xf>
    <xf numFmtId="41" fontId="55" fillId="0" borderId="75" xfId="1" applyFont="1" applyBorder="1" applyAlignment="1" applyProtection="1">
      <alignment horizontal="left" vertical="center" wrapText="1"/>
      <protection locked="0"/>
    </xf>
    <xf numFmtId="0" fontId="55" fillId="0" borderId="78" xfId="61" applyFont="1" applyBorder="1" applyAlignment="1" applyProtection="1">
      <alignment horizontal="center" vertical="center" wrapText="1"/>
      <protection locked="0"/>
    </xf>
    <xf numFmtId="0" fontId="55" fillId="0" borderId="16" xfId="61" applyFont="1" applyBorder="1" applyAlignment="1" applyProtection="1">
      <alignment horizontal="center" vertical="center" wrapText="1"/>
      <protection locked="0"/>
    </xf>
    <xf numFmtId="0" fontId="55" fillId="0" borderId="80" xfId="61" applyFont="1" applyBorder="1" applyAlignment="1" applyProtection="1">
      <alignment horizontal="center" vertical="center" wrapText="1"/>
      <protection locked="0"/>
    </xf>
    <xf numFmtId="0" fontId="55" fillId="0" borderId="22" xfId="61" applyFont="1" applyBorder="1" applyAlignment="1" applyProtection="1">
      <alignment horizontal="center" vertical="center" wrapText="1"/>
      <protection locked="0"/>
    </xf>
    <xf numFmtId="0" fontId="55" fillId="0" borderId="83" xfId="61" applyFont="1" applyBorder="1" applyAlignment="1" applyProtection="1">
      <alignment horizontal="center" vertical="center" wrapText="1"/>
      <protection locked="0"/>
    </xf>
    <xf numFmtId="0" fontId="55" fillId="0" borderId="18" xfId="61" applyFont="1" applyBorder="1" applyAlignment="1" applyProtection="1">
      <alignment horizontal="center" vertical="center" wrapText="1"/>
      <protection locked="0"/>
    </xf>
    <xf numFmtId="200" fontId="57" fillId="0" borderId="19" xfId="61" applyNumberFormat="1" applyFont="1" applyBorder="1" applyAlignment="1" applyProtection="1">
      <alignment vertical="center" wrapText="1"/>
      <protection locked="0"/>
    </xf>
    <xf numFmtId="200" fontId="57" fillId="0" borderId="15" xfId="61" applyNumberFormat="1" applyFont="1" applyBorder="1" applyAlignment="1" applyProtection="1">
      <alignment vertical="center" wrapText="1"/>
      <protection locked="0"/>
    </xf>
    <xf numFmtId="0" fontId="55" fillId="0" borderId="19" xfId="61" applyFont="1" applyBorder="1" applyAlignment="1" applyProtection="1">
      <alignment horizontal="center" vertical="center" wrapText="1"/>
      <protection locked="0"/>
    </xf>
    <xf numFmtId="200" fontId="57" fillId="0" borderId="19" xfId="61" applyNumberFormat="1" applyFont="1" applyBorder="1" applyAlignment="1" applyProtection="1">
      <alignment horizontal="left" vertical="center" wrapText="1"/>
      <protection locked="0"/>
    </xf>
    <xf numFmtId="0" fontId="55" fillId="0" borderId="19" xfId="61" applyFont="1" applyBorder="1" applyAlignment="1" applyProtection="1">
      <alignment horizontal="left" vertical="center" wrapText="1"/>
      <protection locked="0"/>
    </xf>
    <xf numFmtId="0" fontId="51" fillId="0" borderId="19" xfId="61" applyFont="1" applyBorder="1" applyAlignment="1" applyProtection="1">
      <alignment horizontal="left" vertical="center" wrapText="1"/>
      <protection locked="0"/>
    </xf>
    <xf numFmtId="0" fontId="51" fillId="0" borderId="79" xfId="61" applyFont="1" applyBorder="1" applyAlignment="1" applyProtection="1">
      <alignment horizontal="left" vertical="center" wrapText="1"/>
      <protection locked="0"/>
    </xf>
    <xf numFmtId="0" fontId="51" fillId="0" borderId="21" xfId="61" applyFont="1" applyBorder="1" applyAlignment="1" applyProtection="1">
      <alignment horizontal="left" vertical="center" wrapText="1"/>
      <protection locked="0"/>
    </xf>
    <xf numFmtId="0" fontId="51" fillId="0" borderId="0" xfId="61" applyFont="1" applyAlignment="1" applyProtection="1">
      <alignment horizontal="left" vertical="center" wrapText="1"/>
      <protection locked="0"/>
    </xf>
    <xf numFmtId="0" fontId="51" fillId="0" borderId="82" xfId="61" applyFont="1" applyBorder="1" applyAlignment="1" applyProtection="1">
      <alignment horizontal="left" vertical="center" wrapText="1"/>
      <protection locked="0"/>
    </xf>
    <xf numFmtId="0" fontId="51" fillId="0" borderId="22" xfId="61" applyFont="1" applyBorder="1" applyAlignment="1" applyProtection="1">
      <alignment horizontal="left" vertical="center" wrapText="1"/>
      <protection locked="0"/>
    </xf>
    <xf numFmtId="0" fontId="51" fillId="0" borderId="45" xfId="61" applyFont="1" applyBorder="1" applyAlignment="1" applyProtection="1">
      <alignment horizontal="left" vertical="center" wrapText="1"/>
      <protection locked="0"/>
    </xf>
    <xf numFmtId="0" fontId="51" fillId="0" borderId="81" xfId="61" applyFont="1" applyBorder="1" applyAlignment="1" applyProtection="1">
      <alignment horizontal="left" vertical="center" wrapText="1"/>
      <protection locked="0"/>
    </xf>
    <xf numFmtId="0" fontId="51" fillId="0" borderId="0" xfId="61" applyFont="1" applyAlignment="1" applyProtection="1">
      <alignment horizontal="left" vertical="center"/>
      <protection locked="0"/>
    </xf>
    <xf numFmtId="0" fontId="51" fillId="0" borderId="82" xfId="61" applyFont="1" applyBorder="1" applyAlignment="1" applyProtection="1">
      <alignment horizontal="left" vertical="center"/>
      <protection locked="0"/>
    </xf>
    <xf numFmtId="0" fontId="51" fillId="0" borderId="21" xfId="61" applyFont="1" applyBorder="1" applyAlignment="1" applyProtection="1">
      <alignment horizontal="left" vertical="center"/>
      <protection locked="0"/>
    </xf>
    <xf numFmtId="0" fontId="56" fillId="0" borderId="17" xfId="61" applyFont="1" applyBorder="1" applyAlignment="1" applyProtection="1">
      <alignment horizontal="center" vertical="center"/>
      <protection locked="0"/>
    </xf>
    <xf numFmtId="0" fontId="51" fillId="0" borderId="3" xfId="61" applyFont="1" applyBorder="1" applyAlignment="1" applyProtection="1">
      <alignment horizontal="center" vertical="center"/>
      <protection locked="0"/>
    </xf>
    <xf numFmtId="0" fontId="51" fillId="0" borderId="84" xfId="61" applyFont="1" applyBorder="1" applyAlignment="1" applyProtection="1">
      <alignment horizontal="center" vertical="center"/>
      <protection locked="0"/>
    </xf>
    <xf numFmtId="0" fontId="51" fillId="0" borderId="15" xfId="61" applyFont="1" applyBorder="1" applyAlignment="1" applyProtection="1">
      <alignment horizontal="left" vertical="center" wrapText="1"/>
      <protection locked="0"/>
    </xf>
    <xf numFmtId="41" fontId="51" fillId="11" borderId="19" xfId="1" applyFont="1" applyFill="1" applyBorder="1" applyAlignment="1" applyProtection="1">
      <alignment horizontal="center" vertical="center" wrapText="1"/>
      <protection locked="0"/>
    </xf>
    <xf numFmtId="0" fontId="51" fillId="0" borderId="19" xfId="61" applyFont="1" applyBorder="1" applyAlignment="1" applyProtection="1">
      <alignment horizontal="right" vertical="center" wrapText="1"/>
      <protection locked="0"/>
    </xf>
    <xf numFmtId="0" fontId="51" fillId="0" borderId="85" xfId="61" applyFont="1" applyBorder="1" applyAlignment="1" applyProtection="1">
      <alignment horizontal="left" vertical="center" wrapText="1"/>
      <protection locked="0"/>
    </xf>
    <xf numFmtId="0" fontId="51" fillId="0" borderId="86" xfId="61" applyFont="1" applyBorder="1" applyAlignment="1" applyProtection="1">
      <alignment horizontal="left" vertical="center" wrapText="1"/>
      <protection locked="0"/>
    </xf>
    <xf numFmtId="0" fontId="51" fillId="0" borderId="87" xfId="61" applyFont="1" applyBorder="1" applyAlignment="1" applyProtection="1">
      <alignment horizontal="left" vertical="center" wrapText="1"/>
      <protection locked="0"/>
    </xf>
    <xf numFmtId="0" fontId="55" fillId="11" borderId="15" xfId="61" applyFont="1" applyFill="1" applyBorder="1" applyAlignment="1" applyProtection="1">
      <alignment horizontal="center" vertical="center" wrapText="1"/>
      <protection locked="0"/>
    </xf>
    <xf numFmtId="0" fontId="55" fillId="11" borderId="19" xfId="61" applyFont="1" applyFill="1" applyBorder="1" applyAlignment="1" applyProtection="1">
      <alignment horizontal="center" vertical="center" wrapText="1"/>
      <protection locked="0"/>
    </xf>
    <xf numFmtId="0" fontId="55" fillId="11" borderId="21" xfId="61" applyFont="1" applyFill="1" applyBorder="1" applyAlignment="1" applyProtection="1">
      <alignment horizontal="center" vertical="center" wrapText="1"/>
      <protection locked="0"/>
    </xf>
    <xf numFmtId="0" fontId="55" fillId="11" borderId="0" xfId="61" applyFont="1" applyFill="1" applyAlignment="1" applyProtection="1">
      <alignment horizontal="center" vertical="center" wrapText="1"/>
      <protection locked="0"/>
    </xf>
    <xf numFmtId="0" fontId="55" fillId="11" borderId="17" xfId="61" applyFont="1" applyFill="1" applyBorder="1" applyAlignment="1" applyProtection="1">
      <alignment horizontal="center" vertical="center" wrapText="1"/>
      <protection locked="0"/>
    </xf>
    <xf numFmtId="0" fontId="55" fillId="11" borderId="3" xfId="61" applyFont="1" applyFill="1" applyBorder="1" applyAlignment="1" applyProtection="1">
      <alignment horizontal="center" vertical="center" wrapText="1"/>
      <protection locked="0"/>
    </xf>
    <xf numFmtId="0" fontId="55" fillId="11" borderId="4" xfId="61" applyFont="1" applyFill="1" applyBorder="1" applyAlignment="1" applyProtection="1">
      <alignment horizontal="center" vertical="center" wrapText="1"/>
      <protection locked="0"/>
    </xf>
    <xf numFmtId="0" fontId="55" fillId="11" borderId="5" xfId="61" applyFont="1" applyFill="1" applyBorder="1" applyAlignment="1" applyProtection="1">
      <alignment horizontal="center" vertical="center" wrapText="1"/>
      <protection locked="0"/>
    </xf>
    <xf numFmtId="0" fontId="55" fillId="11" borderId="44" xfId="61" applyFont="1" applyFill="1" applyBorder="1" applyAlignment="1" applyProtection="1">
      <alignment horizontal="center" vertical="center" wrapText="1"/>
      <protection locked="0"/>
    </xf>
    <xf numFmtId="0" fontId="51" fillId="0" borderId="51" xfId="61" applyFont="1" applyBorder="1" applyAlignment="1" applyProtection="1">
      <alignment horizontal="right" vertical="center" wrapText="1"/>
      <protection locked="0"/>
    </xf>
    <xf numFmtId="0" fontId="51" fillId="0" borderId="3" xfId="61" applyFont="1" applyBorder="1" applyAlignment="1" applyProtection="1">
      <alignment horizontal="right" vertical="center" wrapText="1"/>
      <protection locked="0"/>
    </xf>
    <xf numFmtId="0" fontId="51" fillId="0" borderId="3" xfId="61" applyFont="1" applyBorder="1" applyAlignment="1" applyProtection="1">
      <alignment horizontal="left" vertical="center" wrapText="1"/>
      <protection locked="0"/>
    </xf>
    <xf numFmtId="0" fontId="51" fillId="0" borderId="59" xfId="61" applyFont="1" applyBorder="1" applyAlignment="1" applyProtection="1">
      <alignment horizontal="left" vertical="center" wrapText="1"/>
      <protection locked="0"/>
    </xf>
    <xf numFmtId="0" fontId="51" fillId="0" borderId="36" xfId="61" applyFont="1" applyBorder="1" applyAlignment="1" applyProtection="1">
      <alignment horizontal="left" vertical="center" wrapText="1"/>
      <protection locked="0"/>
    </xf>
    <xf numFmtId="0" fontId="51" fillId="0" borderId="17" xfId="61" applyFont="1" applyBorder="1" applyAlignment="1" applyProtection="1">
      <alignment horizontal="left" vertical="center" wrapText="1"/>
      <protection locked="0"/>
    </xf>
    <xf numFmtId="180" fontId="51" fillId="0" borderId="3" xfId="61" applyNumberFormat="1" applyFont="1" applyBorder="1" applyAlignment="1" applyProtection="1">
      <alignment horizontal="right" vertical="center" wrapText="1"/>
      <protection locked="0"/>
    </xf>
    <xf numFmtId="180" fontId="51" fillId="0" borderId="51" xfId="61" applyNumberFormat="1" applyFont="1" applyBorder="1" applyAlignment="1" applyProtection="1">
      <alignment horizontal="right" vertical="center" wrapText="1"/>
      <protection locked="0"/>
    </xf>
    <xf numFmtId="41" fontId="43" fillId="0" borderId="51" xfId="1" applyFont="1" applyBorder="1" applyAlignment="1" applyProtection="1">
      <alignment horizontal="center" vertical="center" wrapText="1"/>
      <protection locked="0"/>
    </xf>
    <xf numFmtId="41" fontId="43" fillId="0" borderId="3" xfId="1" applyFont="1" applyBorder="1" applyAlignment="1" applyProtection="1">
      <alignment horizontal="center" vertical="center" wrapText="1"/>
      <protection locked="0"/>
    </xf>
    <xf numFmtId="41" fontId="43" fillId="0" borderId="15" xfId="1" applyFont="1" applyBorder="1" applyAlignment="1" applyProtection="1">
      <alignment horizontal="center" vertical="center" wrapText="1"/>
      <protection locked="0"/>
    </xf>
    <xf numFmtId="41" fontId="43" fillId="0" borderId="19" xfId="1" applyFont="1" applyBorder="1" applyAlignment="1" applyProtection="1">
      <alignment horizontal="center" vertical="center" wrapText="1"/>
      <protection locked="0"/>
    </xf>
    <xf numFmtId="41" fontId="43" fillId="0" borderId="79" xfId="1" applyFont="1" applyBorder="1" applyAlignment="1" applyProtection="1">
      <alignment horizontal="center" vertical="center" wrapText="1"/>
      <protection locked="0"/>
    </xf>
    <xf numFmtId="41" fontId="43" fillId="0" borderId="21" xfId="1" applyFont="1" applyBorder="1" applyAlignment="1" applyProtection="1">
      <alignment horizontal="center" vertical="center" wrapText="1"/>
      <protection locked="0"/>
    </xf>
    <xf numFmtId="41" fontId="43" fillId="0" borderId="0" xfId="1" applyFont="1" applyBorder="1" applyAlignment="1" applyProtection="1">
      <alignment horizontal="center" vertical="center" wrapText="1"/>
      <protection locked="0"/>
    </xf>
    <xf numFmtId="41" fontId="43" fillId="0" borderId="82" xfId="1" applyFont="1" applyBorder="1" applyAlignment="1" applyProtection="1">
      <alignment horizontal="center" vertical="center" wrapText="1"/>
      <protection locked="0"/>
    </xf>
    <xf numFmtId="41" fontId="43" fillId="0" borderId="17" xfId="1" applyFont="1" applyBorder="1" applyAlignment="1" applyProtection="1">
      <alignment horizontal="center" vertical="center" wrapText="1"/>
      <protection locked="0"/>
    </xf>
    <xf numFmtId="41" fontId="43" fillId="0" borderId="84" xfId="1" applyFont="1" applyBorder="1" applyAlignment="1" applyProtection="1">
      <alignment horizontal="center" vertical="center" wrapText="1"/>
      <protection locked="0"/>
    </xf>
    <xf numFmtId="0" fontId="51" fillId="8" borderId="43" xfId="61" applyFont="1" applyFill="1" applyBorder="1" applyAlignment="1" applyProtection="1">
      <alignment horizontal="right" vertical="center" wrapText="1"/>
      <protection locked="0"/>
    </xf>
    <xf numFmtId="0" fontId="51" fillId="8" borderId="5" xfId="61" applyFont="1" applyFill="1" applyBorder="1" applyAlignment="1" applyProtection="1">
      <alignment horizontal="right" vertical="center" wrapText="1"/>
      <protection locked="0"/>
    </xf>
    <xf numFmtId="0" fontId="51" fillId="0" borderId="5" xfId="61" applyFont="1" applyBorder="1" applyAlignment="1" applyProtection="1">
      <alignment horizontal="left" vertical="center" wrapText="1"/>
      <protection locked="0"/>
    </xf>
    <xf numFmtId="0" fontId="51" fillId="0" borderId="63" xfId="61" applyFont="1" applyBorder="1" applyAlignment="1" applyProtection="1">
      <alignment horizontal="left" vertical="center" wrapText="1"/>
      <protection locked="0"/>
    </xf>
    <xf numFmtId="0" fontId="51" fillId="0" borderId="1" xfId="61" applyFont="1" applyBorder="1" applyAlignment="1" applyProtection="1">
      <alignment horizontal="left" vertical="center" wrapText="1"/>
      <protection locked="0"/>
    </xf>
    <xf numFmtId="0" fontId="51" fillId="0" borderId="4" xfId="61" applyFont="1" applyBorder="1" applyAlignment="1" applyProtection="1">
      <alignment horizontal="left" vertical="center" wrapText="1"/>
      <protection locked="0"/>
    </xf>
    <xf numFmtId="180" fontId="51" fillId="0" borderId="5" xfId="61" applyNumberFormat="1" applyFont="1" applyBorder="1" applyAlignment="1" applyProtection="1">
      <alignment horizontal="right" vertical="center" wrapText="1"/>
      <protection locked="0"/>
    </xf>
    <xf numFmtId="203" fontId="51" fillId="0" borderId="0" xfId="1" applyNumberFormat="1" applyFont="1" applyFill="1" applyBorder="1" applyAlignment="1" applyProtection="1">
      <alignment horizontal="left" vertical="center" wrapText="1"/>
      <protection locked="0"/>
    </xf>
    <xf numFmtId="203" fontId="51" fillId="0" borderId="82" xfId="1" applyNumberFormat="1" applyFont="1" applyFill="1" applyBorder="1" applyAlignment="1" applyProtection="1">
      <alignment horizontal="left" vertical="center" wrapText="1"/>
      <protection locked="0"/>
    </xf>
    <xf numFmtId="0" fontId="55" fillId="0" borderId="88" xfId="61" applyFont="1" applyBorder="1" applyAlignment="1" applyProtection="1">
      <alignment horizontal="center" vertical="center" wrapText="1"/>
      <protection locked="0"/>
    </xf>
    <xf numFmtId="0" fontId="55" fillId="0" borderId="6" xfId="61" applyFont="1" applyBorder="1" applyAlignment="1" applyProtection="1">
      <alignment horizontal="center" vertical="center" wrapText="1"/>
      <protection locked="0"/>
    </xf>
    <xf numFmtId="0" fontId="43" fillId="0" borderId="1" xfId="61" applyFont="1" applyBorder="1" applyAlignment="1" applyProtection="1">
      <alignment horizontal="left" vertical="center" wrapText="1"/>
      <protection locked="0"/>
    </xf>
    <xf numFmtId="0" fontId="43" fillId="0" borderId="89" xfId="61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horizontal="center" vertical="center"/>
    </xf>
    <xf numFmtId="0" fontId="51" fillId="0" borderId="43" xfId="61" applyFont="1" applyBorder="1" applyAlignment="1" applyProtection="1">
      <alignment horizontal="right" vertical="center" wrapText="1"/>
      <protection locked="0"/>
    </xf>
    <xf numFmtId="0" fontId="51" fillId="0" borderId="5" xfId="61" applyFont="1" applyBorder="1" applyAlignment="1" applyProtection="1">
      <alignment horizontal="right" vertical="center" wrapText="1"/>
      <protection locked="0"/>
    </xf>
    <xf numFmtId="41" fontId="51" fillId="0" borderId="3" xfId="1" applyFont="1" applyFill="1" applyBorder="1" applyAlignment="1" applyProtection="1">
      <alignment horizontal="right" vertical="center" wrapText="1"/>
      <protection locked="0"/>
    </xf>
    <xf numFmtId="0" fontId="55" fillId="0" borderId="3" xfId="61" applyFont="1" applyBorder="1" applyAlignment="1" applyProtection="1">
      <alignment horizontal="left" vertical="center" shrinkToFit="1"/>
      <protection locked="0"/>
    </xf>
    <xf numFmtId="0" fontId="55" fillId="0" borderId="84" xfId="61" applyFont="1" applyBorder="1" applyAlignment="1" applyProtection="1">
      <alignment horizontal="left" vertical="center" shrinkToFit="1"/>
      <protection locked="0"/>
    </xf>
    <xf numFmtId="0" fontId="51" fillId="0" borderId="89" xfId="61" applyFont="1" applyBorder="1" applyAlignment="1" applyProtection="1">
      <alignment horizontal="left" vertical="center" wrapText="1"/>
      <protection locked="0"/>
    </xf>
    <xf numFmtId="0" fontId="43" fillId="0" borderId="15" xfId="61" applyFont="1" applyBorder="1" applyAlignment="1" applyProtection="1">
      <alignment horizontal="left" vertical="center" wrapText="1"/>
      <protection locked="0"/>
    </xf>
    <xf numFmtId="0" fontId="43" fillId="0" borderId="19" xfId="61" applyFont="1" applyBorder="1" applyAlignment="1" applyProtection="1">
      <alignment horizontal="left" vertical="center" wrapText="1"/>
      <protection locked="0"/>
    </xf>
    <xf numFmtId="0" fontId="43" fillId="0" borderId="79" xfId="61" applyFont="1" applyBorder="1" applyAlignment="1" applyProtection="1">
      <alignment horizontal="left" vertical="center" wrapText="1"/>
      <protection locked="0"/>
    </xf>
    <xf numFmtId="0" fontId="43" fillId="0" borderId="21" xfId="61" applyFont="1" applyBorder="1" applyAlignment="1" applyProtection="1">
      <alignment horizontal="left" vertical="center" wrapText="1"/>
      <protection locked="0"/>
    </xf>
    <xf numFmtId="0" fontId="43" fillId="0" borderId="0" xfId="61" applyFont="1" applyAlignment="1" applyProtection="1">
      <alignment horizontal="left" vertical="center" wrapText="1"/>
      <protection locked="0"/>
    </xf>
    <xf numFmtId="0" fontId="43" fillId="0" borderId="82" xfId="61" applyFont="1" applyBorder="1" applyAlignment="1" applyProtection="1">
      <alignment horizontal="left" vertical="center" wrapText="1"/>
      <protection locked="0"/>
    </xf>
    <xf numFmtId="0" fontId="43" fillId="0" borderId="17" xfId="61" applyFont="1" applyBorder="1" applyAlignment="1" applyProtection="1">
      <alignment horizontal="left" vertical="center" wrapText="1"/>
      <protection locked="0"/>
    </xf>
    <xf numFmtId="0" fontId="43" fillId="0" borderId="3" xfId="61" applyFont="1" applyBorder="1" applyAlignment="1" applyProtection="1">
      <alignment horizontal="left" vertical="center" wrapText="1"/>
      <protection locked="0"/>
    </xf>
    <xf numFmtId="0" fontId="43" fillId="0" borderId="84" xfId="61" applyFont="1" applyBorder="1" applyAlignment="1" applyProtection="1">
      <alignment horizontal="left" vertical="center" wrapText="1"/>
      <protection locked="0"/>
    </xf>
    <xf numFmtId="0" fontId="51" fillId="0" borderId="35" xfId="61" applyFont="1" applyBorder="1" applyAlignment="1" applyProtection="1">
      <alignment horizontal="left" vertical="center" wrapText="1"/>
      <protection locked="0"/>
    </xf>
    <xf numFmtId="0" fontId="51" fillId="0" borderId="90" xfId="61" applyFont="1" applyBorder="1" applyAlignment="1" applyProtection="1">
      <alignment horizontal="left" vertical="center" wrapText="1"/>
      <protection locked="0"/>
    </xf>
    <xf numFmtId="0" fontId="51" fillId="0" borderId="17" xfId="61" applyFont="1" applyBorder="1" applyAlignment="1" applyProtection="1">
      <alignment horizontal="left" vertical="center"/>
      <protection locked="0"/>
    </xf>
    <xf numFmtId="0" fontId="51" fillId="0" borderId="3" xfId="61" applyFont="1" applyBorder="1" applyAlignment="1" applyProtection="1">
      <alignment horizontal="left" vertical="center"/>
      <protection locked="0"/>
    </xf>
    <xf numFmtId="0" fontId="51" fillId="0" borderId="84" xfId="61" applyFont="1" applyBorder="1" applyAlignment="1" applyProtection="1">
      <alignment horizontal="left" vertical="center"/>
      <protection locked="0"/>
    </xf>
    <xf numFmtId="0" fontId="55" fillId="0" borderId="0" xfId="61" applyFont="1" applyAlignment="1" applyProtection="1">
      <alignment horizontal="center" vertical="center" wrapText="1"/>
      <protection locked="0"/>
    </xf>
    <xf numFmtId="0" fontId="55" fillId="0" borderId="91" xfId="61" applyFont="1" applyBorder="1" applyAlignment="1" applyProtection="1">
      <alignment horizontal="center" vertical="center" wrapText="1"/>
      <protection locked="0"/>
    </xf>
    <xf numFmtId="0" fontId="55" fillId="0" borderId="92" xfId="61" applyFont="1" applyBorder="1" applyAlignment="1" applyProtection="1">
      <alignment horizontal="center" vertical="center" wrapText="1"/>
      <protection locked="0"/>
    </xf>
    <xf numFmtId="0" fontId="51" fillId="0" borderId="12" xfId="61" applyFont="1" applyBorder="1" applyAlignment="1" applyProtection="1">
      <alignment horizontal="center" vertical="center" wrapText="1"/>
      <protection locked="0"/>
    </xf>
    <xf numFmtId="0" fontId="51" fillId="0" borderId="13" xfId="61" applyFont="1" applyBorder="1" applyAlignment="1" applyProtection="1">
      <alignment horizontal="center" vertical="center" wrapText="1"/>
      <protection locked="0"/>
    </xf>
    <xf numFmtId="0" fontId="51" fillId="0" borderId="84" xfId="61" applyFont="1" applyBorder="1" applyAlignment="1" applyProtection="1">
      <alignment horizontal="left" vertical="center" wrapText="1"/>
      <protection locked="0"/>
    </xf>
    <xf numFmtId="0" fontId="51" fillId="0" borderId="72" xfId="61" applyFont="1" applyBorder="1" applyAlignment="1" applyProtection="1">
      <alignment horizontal="left" vertical="center" wrapText="1"/>
      <protection locked="0"/>
    </xf>
    <xf numFmtId="0" fontId="51" fillId="0" borderId="93" xfId="61" applyFont="1" applyBorder="1" applyAlignment="1" applyProtection="1">
      <alignment horizontal="left" vertical="center" wrapText="1"/>
      <protection locked="0"/>
    </xf>
    <xf numFmtId="0" fontId="55" fillId="0" borderId="94" xfId="61" applyFont="1" applyBorder="1" applyAlignment="1" applyProtection="1">
      <alignment horizontal="center" vertical="center" wrapText="1"/>
      <protection locked="0"/>
    </xf>
    <xf numFmtId="0" fontId="55" fillId="0" borderId="95" xfId="61" applyFont="1" applyBorder="1" applyAlignment="1" applyProtection="1">
      <alignment horizontal="center" vertical="center" wrapText="1"/>
      <protection locked="0"/>
    </xf>
    <xf numFmtId="0" fontId="55" fillId="0" borderId="96" xfId="61" applyFont="1" applyBorder="1" applyAlignment="1" applyProtection="1">
      <alignment horizontal="center" vertical="center" wrapText="1"/>
      <protection locked="0"/>
    </xf>
    <xf numFmtId="0" fontId="55" fillId="0" borderId="80" xfId="61" applyFont="1" applyBorder="1" applyAlignment="1" applyProtection="1">
      <alignment horizontal="left" vertical="center" wrapText="1"/>
      <protection locked="0"/>
    </xf>
    <xf numFmtId="0" fontId="55" fillId="0" borderId="21" xfId="61" applyFont="1" applyBorder="1" applyAlignment="1" applyProtection="1">
      <alignment horizontal="left" vertical="center" wrapText="1"/>
      <protection locked="0"/>
    </xf>
    <xf numFmtId="0" fontId="55" fillId="0" borderId="22" xfId="61" applyFont="1" applyBorder="1" applyAlignment="1" applyProtection="1">
      <alignment horizontal="left" vertical="center" wrapText="1"/>
      <protection locked="0"/>
    </xf>
    <xf numFmtId="0" fontId="55" fillId="0" borderId="82" xfId="61" applyFont="1" applyBorder="1" applyAlignment="1" applyProtection="1">
      <alignment horizontal="left" vertical="center" wrapText="1"/>
      <protection locked="0"/>
    </xf>
    <xf numFmtId="0" fontId="51" fillId="0" borderId="99" xfId="61" applyFont="1" applyBorder="1" applyAlignment="1" applyProtection="1">
      <alignment horizontal="center" vertical="center" wrapText="1"/>
      <protection locked="0"/>
    </xf>
    <xf numFmtId="0" fontId="51" fillId="0" borderId="8" xfId="61" applyFont="1" applyBorder="1" applyAlignment="1" applyProtection="1">
      <alignment horizontal="center" vertical="center" wrapText="1"/>
      <protection locked="0"/>
    </xf>
    <xf numFmtId="0" fontId="51" fillId="0" borderId="9" xfId="61" applyFont="1" applyBorder="1" applyAlignment="1" applyProtection="1">
      <alignment horizontal="center" vertical="center" wrapText="1"/>
      <protection locked="0"/>
    </xf>
    <xf numFmtId="0" fontId="51" fillId="0" borderId="9" xfId="61" applyFont="1" applyBorder="1" applyAlignment="1" applyProtection="1">
      <alignment horizontal="left" vertical="center" wrapText="1"/>
      <protection locked="0"/>
    </xf>
    <xf numFmtId="0" fontId="51" fillId="0" borderId="100" xfId="61" applyFont="1" applyBorder="1" applyAlignment="1" applyProtection="1">
      <alignment horizontal="left" vertical="center" wrapText="1"/>
      <protection locked="0"/>
    </xf>
    <xf numFmtId="0" fontId="55" fillId="0" borderId="91" xfId="61" applyFont="1" applyBorder="1" applyAlignment="1" applyProtection="1">
      <alignment horizontal="right" vertical="center" wrapText="1"/>
      <protection locked="0"/>
    </xf>
    <xf numFmtId="0" fontId="55" fillId="0" borderId="46" xfId="61" applyFont="1" applyBorder="1" applyAlignment="1" applyProtection="1">
      <alignment horizontal="right" vertical="center" wrapText="1"/>
      <protection locked="0"/>
    </xf>
    <xf numFmtId="41" fontId="55" fillId="0" borderId="46" xfId="1" applyFont="1" applyBorder="1" applyAlignment="1" applyProtection="1">
      <alignment horizontal="left" vertical="center" shrinkToFit="1"/>
      <protection locked="0"/>
    </xf>
    <xf numFmtId="0" fontId="55" fillId="0" borderId="46" xfId="61" applyFont="1" applyBorder="1" applyAlignment="1" applyProtection="1">
      <alignment horizontal="left" vertical="center" wrapText="1"/>
      <protection locked="0"/>
    </xf>
    <xf numFmtId="41" fontId="55" fillId="0" borderId="46" xfId="1" applyFont="1" applyBorder="1" applyAlignment="1" applyProtection="1">
      <alignment vertical="center" wrapText="1"/>
      <protection locked="0"/>
    </xf>
    <xf numFmtId="41" fontId="55" fillId="0" borderId="46" xfId="1" applyFont="1" applyBorder="1" applyAlignment="1" applyProtection="1">
      <alignment horizontal="left" vertical="center" wrapText="1"/>
      <protection locked="0"/>
    </xf>
    <xf numFmtId="0" fontId="55" fillId="0" borderId="80" xfId="61" applyFont="1" applyBorder="1" applyAlignment="1" applyProtection="1">
      <alignment horizontal="right" vertical="center" wrapText="1"/>
      <protection locked="0"/>
    </xf>
    <xf numFmtId="0" fontId="55" fillId="0" borderId="0" xfId="61" applyFont="1" applyAlignment="1" applyProtection="1">
      <alignment horizontal="right" vertical="center" wrapText="1"/>
      <protection locked="0"/>
    </xf>
    <xf numFmtId="41" fontId="55" fillId="0" borderId="0" xfId="1" applyFont="1" applyBorder="1" applyAlignment="1" applyProtection="1">
      <alignment horizontal="left" vertical="center" wrapText="1"/>
      <protection locked="0"/>
    </xf>
    <xf numFmtId="0" fontId="55" fillId="0" borderId="0" xfId="61" applyFont="1" applyAlignment="1" applyProtection="1">
      <alignment horizontal="left" vertical="center" wrapText="1"/>
      <protection locked="0"/>
    </xf>
    <xf numFmtId="41" fontId="55" fillId="0" borderId="22" xfId="1" applyFont="1" applyBorder="1" applyAlignment="1" applyProtection="1">
      <alignment vertical="center" wrapText="1"/>
      <protection locked="0"/>
    </xf>
    <xf numFmtId="41" fontId="55" fillId="0" borderId="82" xfId="1" applyFont="1" applyBorder="1" applyAlignment="1" applyProtection="1">
      <alignment vertical="center" wrapText="1"/>
      <protection locked="0"/>
    </xf>
    <xf numFmtId="41" fontId="55" fillId="0" borderId="0" xfId="1" applyFont="1" applyBorder="1" applyAlignment="1" applyProtection="1">
      <alignment vertical="center" wrapText="1"/>
      <protection locked="0"/>
    </xf>
  </cellXfs>
  <cellStyles count="69">
    <cellStyle name="??&amp;O?&amp;H?_x0008_??_x0007__x0001__x0001_" xfId="7" xr:uid="{00000000-0005-0000-0000-000000000000}"/>
    <cellStyle name="category" xfId="39" xr:uid="{00000000-0005-0000-0000-000001000000}"/>
    <cellStyle name="Comma [0]_ SG&amp;A Bridge " xfId="40" xr:uid="{00000000-0005-0000-0000-000002000000}"/>
    <cellStyle name="Comma_ SG&amp;A Bridge " xfId="41" xr:uid="{00000000-0005-0000-0000-000003000000}"/>
    <cellStyle name="Currency [0]_ SG&amp;A Bridge " xfId="42" xr:uid="{00000000-0005-0000-0000-000004000000}"/>
    <cellStyle name="Currency_ SG&amp;A Bridge " xfId="43" xr:uid="{00000000-0005-0000-0000-000005000000}"/>
    <cellStyle name="Grey" xfId="44" xr:uid="{00000000-0005-0000-0000-000006000000}"/>
    <cellStyle name="HEADER" xfId="45" xr:uid="{00000000-0005-0000-0000-000007000000}"/>
    <cellStyle name="Header1" xfId="46" xr:uid="{00000000-0005-0000-0000-000008000000}"/>
    <cellStyle name="Header2" xfId="47" xr:uid="{00000000-0005-0000-0000-000009000000}"/>
    <cellStyle name="Input [yellow]" xfId="48" xr:uid="{00000000-0005-0000-0000-00000A000000}"/>
    <cellStyle name="Model" xfId="49" xr:uid="{00000000-0005-0000-0000-00000B000000}"/>
    <cellStyle name="Normal - Style1" xfId="50" xr:uid="{00000000-0005-0000-0000-00000C000000}"/>
    <cellStyle name="Normal_ SG&amp;A Bridge " xfId="51" xr:uid="{00000000-0005-0000-0000-00000D000000}"/>
    <cellStyle name="Percent [2]" xfId="52" xr:uid="{00000000-0005-0000-0000-00000E000000}"/>
    <cellStyle name="subhead" xfId="53" xr:uid="{00000000-0005-0000-0000-00000F000000}"/>
    <cellStyle name="title [1]" xfId="54" xr:uid="{00000000-0005-0000-0000-000010000000}"/>
    <cellStyle name="title [2]" xfId="55" xr:uid="{00000000-0005-0000-0000-000011000000}"/>
    <cellStyle name="견적" xfId="8" xr:uid="{00000000-0005-0000-0000-000012000000}"/>
    <cellStyle name="고정소숫점" xfId="9" xr:uid="{00000000-0005-0000-0000-000013000000}"/>
    <cellStyle name="고정출력1" xfId="10" xr:uid="{00000000-0005-0000-0000-000014000000}"/>
    <cellStyle name="고정출력2" xfId="11" xr:uid="{00000000-0005-0000-0000-000015000000}"/>
    <cellStyle name="기계" xfId="12" xr:uid="{00000000-0005-0000-0000-000016000000}"/>
    <cellStyle name="날짜" xfId="13" xr:uid="{00000000-0005-0000-0000-000017000000}"/>
    <cellStyle name="달러" xfId="14" xr:uid="{00000000-0005-0000-0000-000018000000}"/>
    <cellStyle name="똿뗦먛귟 [0.00]_PRODUCT DETAIL Q1" xfId="15" xr:uid="{00000000-0005-0000-0000-000019000000}"/>
    <cellStyle name="똿뗦먛귟_PRODUCT DETAIL Q1" xfId="16" xr:uid="{00000000-0005-0000-0000-00001A000000}"/>
    <cellStyle name="믅됞 [0.00]_PRODUCT DETAIL Q1" xfId="17" xr:uid="{00000000-0005-0000-0000-00001B000000}"/>
    <cellStyle name="믅됞_PRODUCT DETAIL Q1" xfId="18" xr:uid="{00000000-0005-0000-0000-00001C000000}"/>
    <cellStyle name="백분율 [0]" xfId="19" xr:uid="{00000000-0005-0000-0000-00001D000000}"/>
    <cellStyle name="백분율 [2]" xfId="20" xr:uid="{00000000-0005-0000-0000-00001E000000}"/>
    <cellStyle name="백분율 2" xfId="21" xr:uid="{00000000-0005-0000-0000-00001F000000}"/>
    <cellStyle name="뷭?_BOOKSHIP" xfId="22" xr:uid="{00000000-0005-0000-0000-000020000000}"/>
    <cellStyle name="쉼표 [0]" xfId="1" builtinId="6"/>
    <cellStyle name="쉼표 [0] 13" xfId="68" xr:uid="{00000000-0005-0000-0000-000022000000}"/>
    <cellStyle name="쉼표 [0] 2" xfId="3" xr:uid="{00000000-0005-0000-0000-000023000000}"/>
    <cellStyle name="쉼표 [0] 2 2" xfId="23" xr:uid="{00000000-0005-0000-0000-000024000000}"/>
    <cellStyle name="쉼표 [0] 3" xfId="4" xr:uid="{00000000-0005-0000-0000-000025000000}"/>
    <cellStyle name="쉼표 [0] 3 2" xfId="24" xr:uid="{00000000-0005-0000-0000-000026000000}"/>
    <cellStyle name="쉼표 [0] 3 3" xfId="64" xr:uid="{00000000-0005-0000-0000-000027000000}"/>
    <cellStyle name="쉼표 [0] 4" xfId="6" xr:uid="{00000000-0005-0000-0000-000028000000}"/>
    <cellStyle name="쉼표 [0] 4 2" xfId="25" xr:uid="{00000000-0005-0000-0000-000029000000}"/>
    <cellStyle name="자리수" xfId="26" xr:uid="{00000000-0005-0000-0000-00002A000000}"/>
    <cellStyle name="자리수0" xfId="27" xr:uid="{00000000-0005-0000-0000-00002B000000}"/>
    <cellStyle name="콤마 [0]_0011내역" xfId="28" xr:uid="{00000000-0005-0000-0000-00002C000000}"/>
    <cellStyle name="콤마 [2]" xfId="29" xr:uid="{00000000-0005-0000-0000-00002D000000}"/>
    <cellStyle name="콤마_0011내역" xfId="30" xr:uid="{00000000-0005-0000-0000-00002E000000}"/>
    <cellStyle name="통화 [0] 3" xfId="56" xr:uid="{00000000-0005-0000-0000-00002F000000}"/>
    <cellStyle name="퍼센트" xfId="31" xr:uid="{00000000-0005-0000-0000-000030000000}"/>
    <cellStyle name="표준" xfId="0" builtinId="0"/>
    <cellStyle name="표준 10" xfId="63" xr:uid="{00000000-0005-0000-0000-000032000000}"/>
    <cellStyle name="표준 100" xfId="62" xr:uid="{00000000-0005-0000-0000-000033000000}"/>
    <cellStyle name="표준 2" xfId="5" xr:uid="{00000000-0005-0000-0000-000034000000}"/>
    <cellStyle name="표준 2 10 2" xfId="67" xr:uid="{00000000-0005-0000-0000-000035000000}"/>
    <cellStyle name="표준 2 2 2" xfId="57" xr:uid="{00000000-0005-0000-0000-000036000000}"/>
    <cellStyle name="표준 3" xfId="2" xr:uid="{00000000-0005-0000-0000-000037000000}"/>
    <cellStyle name="표준 3 2" xfId="32" xr:uid="{00000000-0005-0000-0000-000038000000}"/>
    <cellStyle name="표준 4" xfId="33" xr:uid="{00000000-0005-0000-0000-000039000000}"/>
    <cellStyle name="표준 44" xfId="65" xr:uid="{00000000-0005-0000-0000-00003A000000}"/>
    <cellStyle name="표준 5" xfId="34" xr:uid="{00000000-0005-0000-0000-00003B000000}"/>
    <cellStyle name="표준 6" xfId="58" xr:uid="{00000000-0005-0000-0000-00003C000000}"/>
    <cellStyle name="표준 7" xfId="59" xr:uid="{00000000-0005-0000-0000-00003D000000}"/>
    <cellStyle name="표준 8" xfId="60" xr:uid="{00000000-0005-0000-0000-00003E000000}"/>
    <cellStyle name="표준 8 2" xfId="61" xr:uid="{00000000-0005-0000-0000-00003F000000}"/>
    <cellStyle name="표준 9" xfId="35" xr:uid="{00000000-0005-0000-0000-000040000000}"/>
    <cellStyle name="표준_11월 노임_자금청구7월" xfId="66" xr:uid="{00000000-0005-0000-0000-000041000000}"/>
    <cellStyle name="합산" xfId="36" xr:uid="{00000000-0005-0000-0000-000044000000}"/>
    <cellStyle name="화폐기호" xfId="37" xr:uid="{00000000-0005-0000-0000-000045000000}"/>
    <cellStyle name="화폐기호0" xfId="38" xr:uid="{00000000-0005-0000-0000-000046000000}"/>
  </cellStyles>
  <dxfs count="4">
    <dxf>
      <fill>
        <patternFill>
          <bgColor rgb="FFFFFF00"/>
        </patternFill>
      </fill>
    </dxf>
    <dxf>
      <font>
        <color rgb="FF7030A0"/>
      </font>
    </dxf>
    <dxf>
      <fill>
        <patternFill>
          <bgColor rgb="FFFFFF00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  <color rgb="FFCCFF66"/>
      <color rgb="FFFFCCFF"/>
      <color rgb="FFFFFFCC"/>
      <color rgb="FFFEA472"/>
      <color rgb="FFFE9154"/>
      <color rgb="FFFFFF99"/>
      <color rgb="FFDDDDDD"/>
      <color rgb="FFFFFF66"/>
      <color rgb="FFA3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16" fmlaLink="$AC$2" max="12" min="1" page="10" val="4"/>
</file>

<file path=xl/ctrlProps/ctrlProp2.xml><?xml version="1.0" encoding="utf-8"?>
<formControlPr xmlns="http://schemas.microsoft.com/office/spreadsheetml/2009/9/main" objectType="Spin" dx="16" fmlaLink="$Y$2" max="2099" min="2000" page="10" val="2026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30</xdr:col>
          <xdr:colOff>361950</xdr:colOff>
          <xdr:row>1</xdr:row>
          <xdr:rowOff>152400</xdr:rowOff>
        </xdr:from>
        <xdr:to>
          <xdr:col>31</xdr:col>
          <xdr:colOff>247650</xdr:colOff>
          <xdr:row>2</xdr:row>
          <xdr:rowOff>276225</xdr:rowOff>
        </xdr:to>
        <xdr:sp macro="" textlink="">
          <xdr:nvSpPr>
            <xdr:cNvPr id="394241" name="Spinner 1" hidden="1">
              <a:extLst>
                <a:ext uri="{63B3BB69-23CF-44E3-9099-C40C66FF867C}">
                  <a14:compatExt spid="_x0000_s394241"/>
                </a:ext>
                <a:ext uri="{FF2B5EF4-FFF2-40B4-BE49-F238E27FC236}">
                  <a16:creationId xmlns:a16="http://schemas.microsoft.com/office/drawing/2014/main" id="{00000000-0008-0000-0700-0000010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27</xdr:col>
          <xdr:colOff>285750</xdr:colOff>
          <xdr:row>1</xdr:row>
          <xdr:rowOff>152400</xdr:rowOff>
        </xdr:from>
        <xdr:to>
          <xdr:col>28</xdr:col>
          <xdr:colOff>247650</xdr:colOff>
          <xdr:row>2</xdr:row>
          <xdr:rowOff>276225</xdr:rowOff>
        </xdr:to>
        <xdr:sp macro="" textlink="">
          <xdr:nvSpPr>
            <xdr:cNvPr id="394242" name="Spinner 2" hidden="1">
              <a:extLst>
                <a:ext uri="{63B3BB69-23CF-44E3-9099-C40C66FF867C}">
                  <a14:compatExt spid="_x0000_s394242"/>
                </a:ext>
                <a:ext uri="{FF2B5EF4-FFF2-40B4-BE49-F238E27FC236}">
                  <a16:creationId xmlns:a16="http://schemas.microsoft.com/office/drawing/2014/main" id="{00000000-0008-0000-0700-0000020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195580</xdr:colOff>
      <xdr:row>11</xdr:row>
      <xdr:rowOff>568113</xdr:rowOff>
    </xdr:from>
    <xdr:to>
      <xdr:col>35</xdr:col>
      <xdr:colOff>181186</xdr:colOff>
      <xdr:row>13</xdr:row>
      <xdr:rowOff>246380</xdr:rowOff>
    </xdr:to>
    <xdr:pic>
      <xdr:nvPicPr>
        <xdr:cNvPr id="2" name="_x165582824" descr="EMB000034603155">
          <a:extLst>
            <a:ext uri="{FF2B5EF4-FFF2-40B4-BE49-F238E27FC236}">
              <a16:creationId xmlns:a16="http://schemas.microsoft.com/office/drawing/2014/main" id="{77B59CE4-FBD2-4A9E-9390-D510A1CD7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65655" y="4244763"/>
          <a:ext cx="671406" cy="659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332739</xdr:colOff>
      <xdr:row>6</xdr:row>
      <xdr:rowOff>317501</xdr:rowOff>
    </xdr:from>
    <xdr:to>
      <xdr:col>32</xdr:col>
      <xdr:colOff>314112</xdr:colOff>
      <xdr:row>8</xdr:row>
      <xdr:rowOff>283634</xdr:rowOff>
    </xdr:to>
    <xdr:pic>
      <xdr:nvPicPr>
        <xdr:cNvPr id="3" name="_x165357264" descr="EMB000034603155">
          <a:extLst>
            <a:ext uri="{FF2B5EF4-FFF2-40B4-BE49-F238E27FC236}">
              <a16:creationId xmlns:a16="http://schemas.microsoft.com/office/drawing/2014/main" id="{DBA4645D-9DE0-41AB-BE3C-13401047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45414" y="2279651"/>
          <a:ext cx="667173" cy="651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19050</xdr:colOff>
      <xdr:row>3</xdr:row>
      <xdr:rowOff>47626</xdr:rowOff>
    </xdr:from>
    <xdr:to>
      <xdr:col>53</xdr:col>
      <xdr:colOff>219075</xdr:colOff>
      <xdr:row>20</xdr:row>
      <xdr:rowOff>10404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6BBFFC-E773-495F-B5BC-8F65874E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704851"/>
          <a:ext cx="4105275" cy="3525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&#50500;&#49328;&#52980;&#54504;&#53552;\d\(&#51452;)&#50500;&#49328;\&#50689;&#50629;\1.&#45432;&#47924;&#48708;%20&#51649;&#48520;&#51060;&#54665;\1.&#44033;&#54788;&#51109;&#48324;%20&#45432;&#47924;&#48708;%20&#47749;&#49464;&#54364;(&#48376;&#49324;&#51089;&#49457;)\2024&#45380;\5&#50900;\8.&#51648;&#44552;&#45453;&#51109;\&#9733;&#51068;&#50857;&#45432;&#47924;&#48708;&#47749;&#49464;&#49436;(2024&#45380;05&#50900;)-&#51648;&#44552;&#46041;&#45453;&#51109;.xlsb" TargetMode="External"/><Relationship Id="rId1" Type="http://schemas.openxmlformats.org/officeDocument/2006/relationships/externalLinkPath" Target="file:///\\&#50500;&#49328;&#52980;&#54504;&#53552;\d\(&#51452;)&#50500;&#49328;\&#50689;&#50629;\1.&#45432;&#47924;&#48708;%20&#51649;&#48520;&#51060;&#54665;\1.&#44033;&#54788;&#51109;&#48324;%20&#45432;&#47924;&#48708;%20&#47749;&#49464;&#54364;(&#48376;&#49324;&#51089;&#49457;)\2024&#45380;\5&#50900;\8.&#51648;&#44552;&#45453;&#51109;\&#9733;&#51068;&#50857;&#45432;&#47924;&#48708;&#47749;&#49464;&#49436;(2024&#45380;05&#50900;)-&#51648;&#44552;&#46041;&#45453;&#51109;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&#50500;&#49328;&#52980;&#54504;&#53552;\d\(&#51452;)&#50500;&#49328;\&#44277;&#47924;\&#54788;&#51109;\2024&#45380;&#46020;\6.&#44256;&#49353;2&#51648;&#44396;%20&#44277;&#50896;%20&#48143;%20&#44277;&#44277;&#44277;&#51648;%20&#51312;&#49457;&#44277;&#49324;\&#45432;&#47924;&#48708;\2026.03&#50900;&#48516;(&#50500;&#49328;,&#49457;&#47548;)\2026&#45380;%2003&#50900;%20&#51068;&#50857;&#45432;&#47924;&#48708;&#52397;&#44396;&#47749;&#49464;&#49436;(&#44256;&#49353;2&#51648;&#44396;)-&#50500;&#49328;.xlsb" TargetMode="External"/><Relationship Id="rId1" Type="http://schemas.openxmlformats.org/officeDocument/2006/relationships/externalLinkPath" Target="file:///\\&#50500;&#49328;&#52980;&#54504;&#53552;\d\(&#51452;)&#50500;&#49328;\&#44277;&#47924;\&#54788;&#51109;\2024&#45380;&#46020;\6.&#44256;&#49353;2&#51648;&#44396;%20&#44277;&#50896;%20&#48143;%20&#44277;&#44277;&#44277;&#51648;%20&#51312;&#49457;&#44277;&#49324;\&#45432;&#47924;&#48708;\2026.03&#50900;&#48516;(&#50500;&#49328;,&#49457;&#47548;)\2026&#45380;%2003&#50900;%20&#51068;&#50857;&#45432;&#47924;&#48708;&#52397;&#44396;&#47749;&#49464;&#49436;(&#44256;&#49353;2&#51648;&#44396;)-&#50500;&#49328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★확인요망★"/>
      <sheetName val="요율"/>
      <sheetName val="청구서"/>
      <sheetName val="집계표"/>
      <sheetName val="내역서"/>
      <sheetName val="주소록"/>
      <sheetName val="위임장"/>
      <sheetName val="집계"/>
      <sheetName val="24_01"/>
      <sheetName val="24_02"/>
      <sheetName val="24_03"/>
      <sheetName val="24_04"/>
      <sheetName val="24_05"/>
      <sheetName val="24_06"/>
      <sheetName val="24_07"/>
      <sheetName val="24_08"/>
      <sheetName val="24_09"/>
      <sheetName val="24_10"/>
      <sheetName val="24_11"/>
      <sheetName val="24_12"/>
      <sheetName val="계"/>
      <sheetName val="각서"/>
      <sheetName val="계좌입금의뢰신고서"/>
      <sheetName val="★근로내역"/>
      <sheetName val="★퇴직공제"/>
      <sheetName val="★하도급지킴이"/>
      <sheetName val="근로계약서"/>
      <sheetName val="급여"/>
    </sheetNames>
    <sheetDataSet>
      <sheetData sheetId="0"/>
      <sheetData sheetId="1"/>
      <sheetData sheetId="2"/>
      <sheetData sheetId="3"/>
      <sheetData sheetId="4"/>
      <sheetData sheetId="5">
        <row r="4">
          <cell r="N4" t="str">
            <v>KEB하나은행</v>
          </cell>
          <cell r="Q4" t="str">
            <v>H/W설치사</v>
          </cell>
        </row>
        <row r="5">
          <cell r="N5" t="str">
            <v>경남은행</v>
          </cell>
          <cell r="Q5" t="str">
            <v>H/W시험사</v>
          </cell>
        </row>
        <row r="6">
          <cell r="N6" t="str">
            <v>광주은행</v>
          </cell>
          <cell r="Q6" t="str">
            <v>H/W시험사</v>
          </cell>
        </row>
        <row r="7">
          <cell r="N7" t="str">
            <v>국민은행</v>
          </cell>
          <cell r="Q7" t="str">
            <v>P.C설치공</v>
          </cell>
        </row>
        <row r="8">
          <cell r="N8" t="str">
            <v>기업은행</v>
          </cell>
          <cell r="Q8" t="str">
            <v>P.C제작공</v>
          </cell>
        </row>
        <row r="9">
          <cell r="N9" t="str">
            <v>농협중앙회</v>
          </cell>
          <cell r="Q9" t="str">
            <v>P.S공</v>
          </cell>
        </row>
        <row r="10">
          <cell r="N10" t="str">
            <v>농협회원조합</v>
          </cell>
          <cell r="Q10" t="str">
            <v>P.S공</v>
          </cell>
        </row>
        <row r="11">
          <cell r="N11" t="str">
            <v>대구은행</v>
          </cell>
          <cell r="Q11" t="str">
            <v>S/W시험사</v>
          </cell>
        </row>
        <row r="12">
          <cell r="N12" t="str">
            <v>부산은행</v>
          </cell>
          <cell r="Q12" t="str">
            <v>가구공</v>
          </cell>
        </row>
        <row r="13">
          <cell r="N13" t="str">
            <v>산림조합중앙회</v>
          </cell>
          <cell r="Q13" t="str">
            <v>가구공</v>
          </cell>
        </row>
        <row r="14">
          <cell r="N14" t="str">
            <v>산업은행</v>
          </cell>
          <cell r="Q14" t="str">
            <v>가구목공</v>
          </cell>
        </row>
        <row r="15">
          <cell r="N15" t="str">
            <v>새마을금고</v>
          </cell>
          <cell r="Q15" t="str">
            <v>가스용접공</v>
          </cell>
        </row>
        <row r="16">
          <cell r="N16" t="str">
            <v>수협은행(회원조합)</v>
          </cell>
          <cell r="Q16" t="str">
            <v>가시설공</v>
          </cell>
        </row>
        <row r="17">
          <cell r="N17" t="str">
            <v>신한은행</v>
          </cell>
          <cell r="Q17" t="str">
            <v>가시설철골공</v>
          </cell>
        </row>
        <row r="18">
          <cell r="N18" t="str">
            <v>신협중앙회</v>
          </cell>
          <cell r="Q18" t="str">
            <v>가위절단공</v>
          </cell>
        </row>
        <row r="19">
          <cell r="N19" t="str">
            <v>우리은행</v>
          </cell>
          <cell r="Q19" t="str">
            <v>갑판선원</v>
          </cell>
        </row>
        <row r="20">
          <cell r="N20" t="str">
            <v>우체국</v>
          </cell>
          <cell r="Q20" t="str">
            <v>갑판선원</v>
          </cell>
        </row>
        <row r="21">
          <cell r="N21" t="str">
            <v>전북은행</v>
          </cell>
          <cell r="Q21" t="str">
            <v>강판공</v>
          </cell>
        </row>
        <row r="22">
          <cell r="N22" t="str">
            <v>제일은행</v>
          </cell>
          <cell r="Q22" t="str">
            <v>갱부</v>
          </cell>
        </row>
        <row r="23">
          <cell r="N23" t="str">
            <v>제주은행</v>
          </cell>
          <cell r="Q23" t="str">
            <v>건설기계운전원</v>
          </cell>
        </row>
        <row r="24">
          <cell r="N24" t="str">
            <v>카카오뱅크</v>
          </cell>
          <cell r="Q24" t="str">
            <v>건설기계조장</v>
          </cell>
        </row>
        <row r="25">
          <cell r="N25" t="str">
            <v>케이뱅크</v>
          </cell>
          <cell r="Q25" t="str">
            <v>건설안전공</v>
          </cell>
        </row>
        <row r="26">
          <cell r="N26" t="str">
            <v>한국시티은행</v>
          </cell>
          <cell r="Q26" t="str">
            <v>건설안전공</v>
          </cell>
        </row>
        <row r="27">
          <cell r="N27"/>
          <cell r="Q27" t="str">
            <v>건축목공</v>
          </cell>
        </row>
        <row r="28">
          <cell r="Q28" t="str">
            <v>견출공</v>
          </cell>
        </row>
        <row r="29">
          <cell r="Q29" t="str">
            <v>경량기포공</v>
          </cell>
        </row>
        <row r="30">
          <cell r="Q30" t="str">
            <v>경량기포공</v>
          </cell>
        </row>
        <row r="31">
          <cell r="Q31" t="str">
            <v>경량철골공</v>
          </cell>
        </row>
        <row r="32">
          <cell r="Q32" t="str">
            <v>경비</v>
          </cell>
        </row>
        <row r="33">
          <cell r="Q33" t="str">
            <v>계령공</v>
          </cell>
        </row>
        <row r="34">
          <cell r="Q34" t="str">
            <v>계장공</v>
          </cell>
        </row>
        <row r="35">
          <cell r="Q35" t="str">
            <v>계측공</v>
          </cell>
        </row>
        <row r="36">
          <cell r="Q36" t="str">
            <v>계측공</v>
          </cell>
        </row>
        <row r="37">
          <cell r="Q37" t="str">
            <v>고압케이블전공</v>
          </cell>
        </row>
        <row r="38">
          <cell r="Q38" t="str">
            <v>골재쇄석공</v>
          </cell>
        </row>
        <row r="39">
          <cell r="Q39" t="str">
            <v>공구검사원</v>
          </cell>
        </row>
        <row r="40">
          <cell r="Q40" t="str">
            <v>공구검사원</v>
          </cell>
        </row>
        <row r="41">
          <cell r="Q41" t="str">
            <v>관리자</v>
          </cell>
        </row>
        <row r="42">
          <cell r="Q42" t="str">
            <v>광케이블설치사</v>
          </cell>
        </row>
        <row r="43">
          <cell r="Q43" t="str">
            <v>광통신설치사</v>
          </cell>
        </row>
        <row r="44">
          <cell r="Q44" t="str">
            <v>구조물공</v>
          </cell>
        </row>
        <row r="45">
          <cell r="Q45" t="str">
            <v>굴삭기(운전원)</v>
          </cell>
        </row>
        <row r="46">
          <cell r="Q46" t="str">
            <v>굴착기(운전원)</v>
          </cell>
        </row>
        <row r="47">
          <cell r="Q47" t="str">
            <v>궤도공</v>
          </cell>
        </row>
        <row r="48">
          <cell r="Q48" t="str">
            <v>그라우팅공</v>
          </cell>
        </row>
        <row r="49">
          <cell r="Q49" t="str">
            <v>그레이더(운전원)</v>
          </cell>
        </row>
        <row r="50">
          <cell r="Q50" t="str">
            <v>금속쇠톱공</v>
          </cell>
        </row>
        <row r="51">
          <cell r="Q51" t="str">
            <v>기계계장공</v>
          </cell>
        </row>
        <row r="52">
          <cell r="Q52" t="str">
            <v>기계설계사</v>
          </cell>
        </row>
        <row r="53">
          <cell r="Q53" t="str">
            <v>기계설치공</v>
          </cell>
        </row>
        <row r="54">
          <cell r="Q54" t="str">
            <v>기계제도사</v>
          </cell>
        </row>
        <row r="55">
          <cell r="Q55" t="str">
            <v>기관선원</v>
          </cell>
        </row>
        <row r="56">
          <cell r="Q56" t="str">
            <v>기관장</v>
          </cell>
        </row>
        <row r="57">
          <cell r="Q57" t="str">
            <v>기술보조</v>
          </cell>
        </row>
        <row r="58">
          <cell r="Q58" t="str">
            <v>기와공</v>
          </cell>
        </row>
        <row r="59">
          <cell r="Q59" t="str">
            <v>기중기선원</v>
          </cell>
        </row>
        <row r="60">
          <cell r="Q60" t="str">
            <v>내선전공</v>
          </cell>
        </row>
        <row r="61">
          <cell r="Q61" t="str">
            <v>내장공</v>
          </cell>
        </row>
        <row r="62">
          <cell r="Q62" t="str">
            <v>내장목공</v>
          </cell>
        </row>
        <row r="63">
          <cell r="Q63" t="str">
            <v>내화벽돌공</v>
          </cell>
        </row>
        <row r="64">
          <cell r="Q64" t="str">
            <v>내화벽돌공</v>
          </cell>
        </row>
        <row r="65">
          <cell r="Q65" t="str">
            <v>냉동수리공</v>
          </cell>
        </row>
        <row r="66">
          <cell r="Q66" t="str">
            <v>노즐공</v>
          </cell>
        </row>
        <row r="67">
          <cell r="Q67" t="str">
            <v>대리석공</v>
          </cell>
        </row>
        <row r="68">
          <cell r="Q68" t="str">
            <v>대장공</v>
          </cell>
        </row>
        <row r="69">
          <cell r="Q69" t="str">
            <v>덕트공</v>
          </cell>
        </row>
        <row r="70">
          <cell r="Q70" t="str">
            <v>덤프트럭(운전원)</v>
          </cell>
        </row>
        <row r="71">
          <cell r="Q71" t="str">
            <v>데크공</v>
          </cell>
        </row>
        <row r="72">
          <cell r="Q72" t="str">
            <v>도목수</v>
          </cell>
        </row>
        <row r="73">
          <cell r="Q73" t="str">
            <v>도배공</v>
          </cell>
        </row>
        <row r="74">
          <cell r="Q74" t="str">
            <v>도색공</v>
          </cell>
        </row>
        <row r="75">
          <cell r="Q75" t="str">
            <v>도우저(운전원)</v>
          </cell>
        </row>
        <row r="76">
          <cell r="Q76" t="str">
            <v>도우저(운전원)</v>
          </cell>
        </row>
        <row r="77">
          <cell r="Q77" t="str">
            <v>도장공</v>
          </cell>
        </row>
        <row r="78">
          <cell r="Q78" t="str">
            <v>도편수</v>
          </cell>
        </row>
        <row r="79">
          <cell r="Q79" t="str">
            <v>동발공</v>
          </cell>
        </row>
        <row r="80">
          <cell r="Q80" t="str">
            <v>드릴링공</v>
          </cell>
        </row>
        <row r="81">
          <cell r="Q81" t="str">
            <v>드잡이공</v>
          </cell>
        </row>
        <row r="82">
          <cell r="Q82" t="str">
            <v>드잡이공편수</v>
          </cell>
        </row>
        <row r="83">
          <cell r="Q83" t="str">
            <v>디워터링공</v>
          </cell>
        </row>
        <row r="84">
          <cell r="Q84" t="str">
            <v>디워터링공</v>
          </cell>
        </row>
        <row r="85">
          <cell r="Q85" t="str">
            <v>라인마킹공</v>
          </cell>
        </row>
        <row r="86">
          <cell r="Q86" t="str">
            <v>락볼팅공</v>
          </cell>
        </row>
        <row r="87">
          <cell r="Q87" t="str">
            <v>락볼팅공</v>
          </cell>
        </row>
        <row r="88">
          <cell r="Q88" t="str">
            <v>로드헤다공</v>
          </cell>
        </row>
        <row r="89">
          <cell r="Q89" t="str">
            <v>로드헤다공</v>
          </cell>
        </row>
        <row r="90">
          <cell r="Q90" t="str">
            <v>로우더(운전원)</v>
          </cell>
        </row>
        <row r="91">
          <cell r="Q91" t="str">
            <v>롤러(운전원)</v>
          </cell>
        </row>
        <row r="92">
          <cell r="Q92" t="str">
            <v>롤러(운전원)</v>
          </cell>
        </row>
        <row r="93">
          <cell r="Q93" t="str">
            <v>루핑공</v>
          </cell>
        </row>
        <row r="94">
          <cell r="Q94" t="str">
            <v>리벳공</v>
          </cell>
        </row>
        <row r="95">
          <cell r="Q95" t="str">
            <v>마루판공</v>
          </cell>
        </row>
        <row r="96">
          <cell r="Q96" t="str">
            <v>마킹공</v>
          </cell>
        </row>
        <row r="97">
          <cell r="Q97" t="str">
            <v>마킹공</v>
          </cell>
        </row>
        <row r="98">
          <cell r="Q98" t="str">
            <v>모래분사공</v>
          </cell>
        </row>
        <row r="99">
          <cell r="Q99" t="str">
            <v>모형절단공</v>
          </cell>
        </row>
        <row r="100">
          <cell r="Q100" t="str">
            <v>모형절단공</v>
          </cell>
        </row>
        <row r="101">
          <cell r="Q101" t="str">
            <v>목공</v>
          </cell>
        </row>
        <row r="102">
          <cell r="Q102" t="str">
            <v>목조각공</v>
          </cell>
        </row>
        <row r="103">
          <cell r="Q103" t="str">
            <v>목조각공</v>
          </cell>
        </row>
        <row r="104">
          <cell r="Q104" t="str">
            <v>몰탈스프래이공</v>
          </cell>
        </row>
        <row r="105">
          <cell r="Q105" t="str">
            <v>무선안테나공</v>
          </cell>
        </row>
        <row r="106">
          <cell r="Q106" t="str">
            <v>물다짐흙쌓기공</v>
          </cell>
        </row>
        <row r="107">
          <cell r="Q107" t="str">
            <v>미술사</v>
          </cell>
        </row>
        <row r="108">
          <cell r="Q108" t="str">
            <v>미장공</v>
          </cell>
        </row>
        <row r="109">
          <cell r="Q109" t="str">
            <v>바닥공</v>
          </cell>
        </row>
        <row r="110">
          <cell r="Q110" t="str">
            <v>바이브래타공</v>
          </cell>
        </row>
        <row r="111">
          <cell r="Q111" t="str">
            <v>발전기공</v>
          </cell>
        </row>
        <row r="112">
          <cell r="Q112" t="str">
            <v>발파공</v>
          </cell>
        </row>
        <row r="113">
          <cell r="Q113" t="str">
            <v>발포콘크리트공</v>
          </cell>
        </row>
        <row r="114">
          <cell r="Q114" t="str">
            <v>방수공</v>
          </cell>
        </row>
        <row r="115">
          <cell r="Q115" t="str">
            <v>방화공</v>
          </cell>
        </row>
        <row r="116">
          <cell r="Q116" t="str">
            <v>배관공</v>
          </cell>
        </row>
        <row r="117">
          <cell r="Q117" t="str">
            <v>배관공(수도)</v>
          </cell>
        </row>
        <row r="118">
          <cell r="Q118" t="str">
            <v>배전전공</v>
          </cell>
        </row>
        <row r="119">
          <cell r="Q119" t="str">
            <v>배전활선전공</v>
          </cell>
        </row>
        <row r="120">
          <cell r="Q120" t="str">
            <v>벌목공</v>
          </cell>
        </row>
        <row r="121">
          <cell r="Q121" t="str">
            <v>벽돌(블록)공</v>
          </cell>
        </row>
        <row r="122">
          <cell r="Q122" t="str">
            <v>벽돌(블록)제작공</v>
          </cell>
        </row>
        <row r="123">
          <cell r="Q123" t="str">
            <v>벽체뿜칠공</v>
          </cell>
        </row>
        <row r="124">
          <cell r="Q124" t="str">
            <v>변전전공</v>
          </cell>
        </row>
        <row r="125">
          <cell r="Q125" t="str">
            <v>보링공</v>
          </cell>
        </row>
        <row r="126">
          <cell r="Q126" t="str">
            <v>보안공</v>
          </cell>
        </row>
        <row r="127">
          <cell r="Q127" t="str">
            <v>보온공</v>
          </cell>
        </row>
        <row r="128">
          <cell r="Q128" t="str">
            <v>보일러공</v>
          </cell>
        </row>
        <row r="129">
          <cell r="Q129" t="str">
            <v>보통인부</v>
          </cell>
        </row>
        <row r="130">
          <cell r="Q130" t="str">
            <v>부대공</v>
          </cell>
        </row>
        <row r="131">
          <cell r="Q131" t="str">
            <v>비계공</v>
          </cell>
        </row>
        <row r="132">
          <cell r="Q132" t="str">
            <v>비파괴시험공</v>
          </cell>
        </row>
        <row r="133">
          <cell r="Q133" t="str">
            <v>사무보조</v>
          </cell>
        </row>
        <row r="134">
          <cell r="Q134" t="str">
            <v>사춤공</v>
          </cell>
        </row>
        <row r="135">
          <cell r="Q135" t="str">
            <v>샷시공</v>
          </cell>
        </row>
        <row r="136">
          <cell r="Q136" t="str">
            <v>석공</v>
          </cell>
        </row>
        <row r="137">
          <cell r="Q137" t="str">
            <v>석면해체공</v>
          </cell>
        </row>
        <row r="138">
          <cell r="Q138" t="str">
            <v>석조각공</v>
          </cell>
        </row>
        <row r="139">
          <cell r="Q139" t="str">
            <v>선원</v>
          </cell>
        </row>
        <row r="140">
          <cell r="Q140" t="str">
            <v>선장</v>
          </cell>
        </row>
        <row r="141">
          <cell r="Q141" t="str">
            <v>설비공</v>
          </cell>
        </row>
        <row r="142">
          <cell r="Q142" t="str">
            <v>성형공</v>
          </cell>
        </row>
        <row r="143">
          <cell r="Q143" t="str">
            <v>소장</v>
          </cell>
        </row>
        <row r="144">
          <cell r="Q144" t="str">
            <v>송배전설비보수원</v>
          </cell>
        </row>
        <row r="145">
          <cell r="Q145" t="str">
            <v>송전전공</v>
          </cell>
        </row>
        <row r="146">
          <cell r="Q146" t="str">
            <v>송전활선전공</v>
          </cell>
        </row>
        <row r="147">
          <cell r="Q147" t="str">
            <v>쇼트공</v>
          </cell>
        </row>
        <row r="148">
          <cell r="Q148" t="str">
            <v>수장공</v>
          </cell>
        </row>
        <row r="149">
          <cell r="Q149" t="str">
            <v>쉴드머신(운전원)</v>
          </cell>
        </row>
        <row r="150">
          <cell r="Q150" t="str">
            <v>스크레이퍼(운전원)</v>
          </cell>
        </row>
        <row r="151">
          <cell r="Q151" t="str">
            <v>스테이빌라이저(운전원)</v>
          </cell>
        </row>
        <row r="152">
          <cell r="Q152" t="str">
            <v>스프레이도장공</v>
          </cell>
        </row>
        <row r="153">
          <cell r="Q153" t="str">
            <v>시스템서포트공</v>
          </cell>
        </row>
        <row r="154">
          <cell r="Q154" t="str">
            <v>시운전공</v>
          </cell>
        </row>
        <row r="155">
          <cell r="Q155" t="str">
            <v>신호수</v>
          </cell>
        </row>
        <row r="156">
          <cell r="Q156" t="str">
            <v>아스타일공</v>
          </cell>
        </row>
        <row r="157">
          <cell r="Q157" t="str">
            <v>아스팔트방수공</v>
          </cell>
        </row>
        <row r="158">
          <cell r="Q158" t="str">
            <v>아스팔트타이트공</v>
          </cell>
        </row>
        <row r="159">
          <cell r="Q159" t="str">
            <v>아스팔트포장공</v>
          </cell>
        </row>
        <row r="160">
          <cell r="Q160" t="str">
            <v>아스팔트플랜트(운전원)</v>
          </cell>
        </row>
        <row r="161">
          <cell r="Q161" t="str">
            <v>아스팔트피니셔(운전원)</v>
          </cell>
        </row>
        <row r="162">
          <cell r="Q162" t="str">
            <v>안전시설공</v>
          </cell>
        </row>
        <row r="163">
          <cell r="Q163" t="str">
            <v>액체방수공</v>
          </cell>
        </row>
        <row r="164">
          <cell r="Q164" t="str">
            <v>양생공</v>
          </cell>
        </row>
        <row r="165">
          <cell r="Q165" t="str">
            <v>양수공</v>
          </cell>
        </row>
        <row r="166">
          <cell r="Q166" t="str">
            <v>엘리베이터공</v>
          </cell>
        </row>
        <row r="167">
          <cell r="Q167" t="str">
            <v>엘리베이터기계공</v>
          </cell>
        </row>
        <row r="168">
          <cell r="Q168" t="str">
            <v>엘리베이터전공</v>
          </cell>
        </row>
        <row r="169">
          <cell r="Q169" t="str">
            <v>엘리베이터조정공</v>
          </cell>
        </row>
        <row r="170">
          <cell r="Q170" t="str">
            <v>연돌공</v>
          </cell>
        </row>
        <row r="171">
          <cell r="Q171" t="str">
            <v>연마공</v>
          </cell>
        </row>
        <row r="172">
          <cell r="Q172" t="str">
            <v>열처리공</v>
          </cell>
        </row>
        <row r="173">
          <cell r="Q173" t="str">
            <v>외선전공</v>
          </cell>
        </row>
        <row r="174">
          <cell r="Q174" t="str">
            <v>용접공</v>
          </cell>
        </row>
        <row r="175">
          <cell r="Q175" t="str">
            <v>우물공</v>
          </cell>
        </row>
        <row r="176">
          <cell r="Q176" t="str">
            <v>우오수공</v>
          </cell>
        </row>
        <row r="177">
          <cell r="Q177" t="str">
            <v>원자력기계설치공</v>
          </cell>
        </row>
        <row r="178">
          <cell r="Q178" t="str">
            <v>원자력용접공</v>
          </cell>
        </row>
        <row r="179">
          <cell r="Q179" t="str">
            <v>원자력품질관리사</v>
          </cell>
        </row>
        <row r="180">
          <cell r="Q180" t="str">
            <v>원자력플랜트전공</v>
          </cell>
        </row>
        <row r="181">
          <cell r="Q181" t="str">
            <v>위생공</v>
          </cell>
        </row>
        <row r="182">
          <cell r="Q182" t="str">
            <v>유리공</v>
          </cell>
        </row>
        <row r="183">
          <cell r="Q183" t="str">
            <v>인력운반공</v>
          </cell>
        </row>
        <row r="184">
          <cell r="Q184" t="str">
            <v>인양공</v>
          </cell>
        </row>
        <row r="185">
          <cell r="Q185" t="str">
            <v>인조목공</v>
          </cell>
        </row>
        <row r="186">
          <cell r="Q186" t="str">
            <v>인조석공</v>
          </cell>
        </row>
        <row r="187">
          <cell r="Q187" t="str">
            <v>인테리어공</v>
          </cell>
        </row>
        <row r="188">
          <cell r="Q188" t="str">
            <v>일반기계운전원</v>
          </cell>
        </row>
        <row r="189">
          <cell r="Q189" t="str">
            <v>작업반장</v>
          </cell>
        </row>
        <row r="190">
          <cell r="Q190" t="str">
            <v>잠수공</v>
          </cell>
        </row>
        <row r="191">
          <cell r="Q191" t="str">
            <v>잠함공</v>
          </cell>
        </row>
        <row r="192">
          <cell r="Q192" t="str">
            <v>잡철공</v>
          </cell>
        </row>
        <row r="193">
          <cell r="Q193" t="str">
            <v>장판공</v>
          </cell>
        </row>
        <row r="194">
          <cell r="Q194" t="str">
            <v>저압케이블전공</v>
          </cell>
        </row>
        <row r="195">
          <cell r="Q195" t="str">
            <v>적층공</v>
          </cell>
        </row>
        <row r="196">
          <cell r="Q196" t="str">
            <v>전공</v>
          </cell>
        </row>
        <row r="197">
          <cell r="Q197" t="str">
            <v>전기공</v>
          </cell>
        </row>
        <row r="198">
          <cell r="Q198" t="str">
            <v>전기공사기사</v>
          </cell>
        </row>
        <row r="199">
          <cell r="Q199" t="str">
            <v>전기공사산업기사</v>
          </cell>
        </row>
        <row r="200">
          <cell r="Q200" t="str">
            <v>전기시험공</v>
          </cell>
        </row>
        <row r="201">
          <cell r="Q201" t="str">
            <v>전기용접공</v>
          </cell>
        </row>
        <row r="202">
          <cell r="Q202" t="str">
            <v>전기제도사</v>
          </cell>
        </row>
        <row r="203">
          <cell r="Q203" t="str">
            <v>전선작업공</v>
          </cell>
        </row>
        <row r="204">
          <cell r="Q204" t="str">
            <v>전주설치공</v>
          </cell>
        </row>
        <row r="205">
          <cell r="Q205" t="str">
            <v>전차선공</v>
          </cell>
        </row>
        <row r="206">
          <cell r="Q206" t="str">
            <v>절단공</v>
          </cell>
        </row>
        <row r="207">
          <cell r="Q207" t="str">
            <v>제관공</v>
          </cell>
        </row>
        <row r="208">
          <cell r="Q208" t="str">
            <v>제도공</v>
          </cell>
        </row>
        <row r="209">
          <cell r="Q209" t="str">
            <v>제재공</v>
          </cell>
        </row>
        <row r="210">
          <cell r="Q210" t="str">
            <v>제철축로공</v>
          </cell>
        </row>
        <row r="211">
          <cell r="Q211" t="str">
            <v>조경공</v>
          </cell>
        </row>
        <row r="212">
          <cell r="Q212" t="str">
            <v>조력공</v>
          </cell>
        </row>
        <row r="213">
          <cell r="Q213" t="str">
            <v>조림공</v>
          </cell>
        </row>
        <row r="214">
          <cell r="Q214" t="str">
            <v>조선목공</v>
          </cell>
        </row>
        <row r="215">
          <cell r="Q215" t="str">
            <v>조적공</v>
          </cell>
        </row>
        <row r="216">
          <cell r="Q216" t="str">
            <v>준설선공</v>
          </cell>
        </row>
        <row r="217">
          <cell r="Q217" t="str">
            <v>준설선기관사</v>
          </cell>
        </row>
        <row r="218">
          <cell r="Q218" t="str">
            <v>준설선선장</v>
          </cell>
        </row>
        <row r="219">
          <cell r="Q219" t="str">
            <v>줄눈공</v>
          </cell>
        </row>
        <row r="220">
          <cell r="Q220" t="str">
            <v>중장비정비공</v>
          </cell>
        </row>
        <row r="221">
          <cell r="Q221" t="str">
            <v>지게차(운전원)</v>
          </cell>
        </row>
        <row r="222">
          <cell r="Q222" t="str">
            <v>지붕잇기공</v>
          </cell>
        </row>
        <row r="223">
          <cell r="Q223" t="str">
            <v>지적기능사</v>
          </cell>
        </row>
        <row r="224">
          <cell r="Q224" t="str">
            <v>지적기사</v>
          </cell>
        </row>
        <row r="225">
          <cell r="Q225" t="str">
            <v>지적산업기사</v>
          </cell>
        </row>
        <row r="226">
          <cell r="Q226" t="str">
            <v>직종</v>
          </cell>
        </row>
        <row r="227">
          <cell r="Q227" t="str">
            <v>차선도색공</v>
          </cell>
        </row>
        <row r="228">
          <cell r="Q228" t="str">
            <v>차선도색공</v>
          </cell>
        </row>
        <row r="229">
          <cell r="Q229" t="str">
            <v>착암공</v>
          </cell>
        </row>
        <row r="230">
          <cell r="Q230" t="str">
            <v>착암공</v>
          </cell>
        </row>
        <row r="231">
          <cell r="Q231" t="str">
            <v>창틀공</v>
          </cell>
        </row>
        <row r="232">
          <cell r="Q232" t="str">
            <v>창틀공</v>
          </cell>
        </row>
        <row r="233">
          <cell r="Q233" t="str">
            <v>철골공</v>
          </cell>
        </row>
        <row r="234">
          <cell r="Q234" t="str">
            <v>철골설치공</v>
          </cell>
        </row>
        <row r="235">
          <cell r="Q235" t="str">
            <v>철골제작공</v>
          </cell>
        </row>
        <row r="236">
          <cell r="Q236" t="str">
            <v>철공</v>
          </cell>
        </row>
        <row r="237">
          <cell r="Q237" t="str">
            <v>철근공</v>
          </cell>
        </row>
        <row r="238">
          <cell r="Q238" t="str">
            <v>철도신호공</v>
          </cell>
        </row>
        <row r="239">
          <cell r="Q239" t="str">
            <v>철물절단공</v>
          </cell>
        </row>
        <row r="240">
          <cell r="Q240" t="str">
            <v>철판공</v>
          </cell>
        </row>
        <row r="241">
          <cell r="Q241" t="str">
            <v>청소원</v>
          </cell>
        </row>
        <row r="242">
          <cell r="Q242" t="str">
            <v>초음파절단공</v>
          </cell>
        </row>
        <row r="243">
          <cell r="Q243" t="str">
            <v>측량공</v>
          </cell>
        </row>
        <row r="244">
          <cell r="Q244" t="str">
            <v>치장벽돌공</v>
          </cell>
        </row>
        <row r="245">
          <cell r="Q245" t="str">
            <v>카페트공</v>
          </cell>
        </row>
        <row r="246">
          <cell r="Q246" t="str">
            <v>커튼공</v>
          </cell>
        </row>
        <row r="247">
          <cell r="Q247" t="str">
            <v>케이블공</v>
          </cell>
        </row>
        <row r="248">
          <cell r="Q248" t="str">
            <v>콘도라공</v>
          </cell>
        </row>
        <row r="249">
          <cell r="Q249" t="str">
            <v>콘크리트공</v>
          </cell>
        </row>
        <row r="250">
          <cell r="Q250" t="str">
            <v>콤퓨레샤(운전원)</v>
          </cell>
        </row>
        <row r="251">
          <cell r="Q251" t="str">
            <v>크레인(운전원)</v>
          </cell>
        </row>
        <row r="252">
          <cell r="Q252" t="str">
            <v>타워크레인(운전원)</v>
          </cell>
        </row>
        <row r="253">
          <cell r="Q253" t="str">
            <v>타일공</v>
          </cell>
        </row>
        <row r="254">
          <cell r="Q254" t="str">
            <v>토공</v>
          </cell>
        </row>
        <row r="255">
          <cell r="Q255" t="str">
            <v>토류판공</v>
          </cell>
        </row>
        <row r="256">
          <cell r="Q256" t="str">
            <v>통신공</v>
          </cell>
        </row>
        <row r="257">
          <cell r="Q257" t="str">
            <v>품질관리원※ 초급·중급·고급·특급</v>
          </cell>
        </row>
        <row r="258">
          <cell r="Q258" t="str">
            <v>프레스공</v>
          </cell>
        </row>
        <row r="259">
          <cell r="Q259" t="str">
            <v>플랜트계장공</v>
          </cell>
        </row>
        <row r="260">
          <cell r="Q260" t="str">
            <v>플랜트공</v>
          </cell>
        </row>
        <row r="261">
          <cell r="Q261" t="str">
            <v>플랜트기계설치공</v>
          </cell>
        </row>
        <row r="262">
          <cell r="Q262" t="str">
            <v>플랜트기술자</v>
          </cell>
        </row>
        <row r="263">
          <cell r="Q263" t="str">
            <v>플랜트덕트공</v>
          </cell>
        </row>
        <row r="264">
          <cell r="Q264" t="str">
            <v>플랜트도장공</v>
          </cell>
        </row>
        <row r="265">
          <cell r="Q265" t="str">
            <v>플랜트배관공</v>
          </cell>
        </row>
        <row r="266">
          <cell r="Q266" t="str">
            <v>플랜트보온공</v>
          </cell>
        </row>
        <row r="267">
          <cell r="Q267" t="str">
            <v>플랜트비계공</v>
          </cell>
        </row>
        <row r="268">
          <cell r="Q268" t="str">
            <v xml:space="preserve">플랜트시운전공 </v>
          </cell>
        </row>
        <row r="269">
          <cell r="Q269" t="str">
            <v>플랜트용접공</v>
          </cell>
        </row>
        <row r="270">
          <cell r="Q270" t="str">
            <v>플랜트전공</v>
          </cell>
        </row>
        <row r="271">
          <cell r="Q271" t="str">
            <v>플랜트제관공</v>
          </cell>
        </row>
        <row r="272">
          <cell r="Q272" t="str">
            <v>플랜트케이블전공</v>
          </cell>
        </row>
        <row r="273">
          <cell r="Q273" t="str">
            <v>플랜트특별보통인부</v>
          </cell>
        </row>
        <row r="274">
          <cell r="Q274" t="str">
            <v>플랜트특수용접공</v>
          </cell>
        </row>
        <row r="275">
          <cell r="Q275" t="str">
            <v>한식단청공편수</v>
          </cell>
        </row>
        <row r="276">
          <cell r="Q276" t="str">
            <v>한식목공</v>
          </cell>
        </row>
        <row r="277">
          <cell r="Q277" t="str">
            <v>한식목공조공</v>
          </cell>
        </row>
        <row r="278">
          <cell r="Q278" t="str">
            <v>한식미장공</v>
          </cell>
        </row>
        <row r="279">
          <cell r="Q279" t="str">
            <v>한식미장공조공</v>
          </cell>
        </row>
        <row r="280">
          <cell r="Q280" t="str">
            <v>한식미장공편수</v>
          </cell>
        </row>
        <row r="281">
          <cell r="Q281" t="str">
            <v>한식석공</v>
          </cell>
        </row>
        <row r="282">
          <cell r="Q282" t="str">
            <v>한식석공조공</v>
          </cell>
        </row>
        <row r="283">
          <cell r="Q283" t="str">
            <v>한식와공</v>
          </cell>
        </row>
        <row r="284">
          <cell r="Q284" t="str">
            <v>한식와공조공</v>
          </cell>
        </row>
        <row r="285">
          <cell r="Q285" t="str">
            <v>한식와공편수</v>
          </cell>
        </row>
        <row r="286">
          <cell r="Q286" t="str">
            <v>할석공</v>
          </cell>
        </row>
        <row r="287">
          <cell r="Q287" t="str">
            <v>함석공</v>
          </cell>
        </row>
        <row r="288">
          <cell r="Q288" t="str">
            <v>합판공</v>
          </cell>
        </row>
        <row r="289">
          <cell r="Q289" t="str">
            <v>항타공</v>
          </cell>
        </row>
        <row r="290">
          <cell r="Q290" t="str">
            <v>항타선원</v>
          </cell>
        </row>
        <row r="291">
          <cell r="Q291" t="str">
            <v>해상공</v>
          </cell>
        </row>
        <row r="292">
          <cell r="Q292" t="str">
            <v>현도사</v>
          </cell>
        </row>
        <row r="293">
          <cell r="Q293" t="str">
            <v>형틀목공</v>
          </cell>
        </row>
        <row r="294">
          <cell r="Q294" t="str">
            <v>호이스트운전원</v>
          </cell>
        </row>
        <row r="295">
          <cell r="Q295" t="str">
            <v>화공</v>
          </cell>
        </row>
        <row r="296">
          <cell r="Q296" t="str">
            <v>화물차(운전원)</v>
          </cell>
        </row>
        <row r="297">
          <cell r="Q297" t="str">
            <v>화약취급공</v>
          </cell>
        </row>
        <row r="298">
          <cell r="Q298" t="str">
            <v>흄관공</v>
          </cell>
        </row>
        <row r="299">
          <cell r="Q299" t="str">
            <v>흙막이공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★확인요망★"/>
      <sheetName val="요율"/>
      <sheetName val="청구서"/>
      <sheetName val="집계표"/>
      <sheetName val="내역서"/>
      <sheetName val="주소록"/>
      <sheetName val="위임장"/>
      <sheetName val="집계"/>
      <sheetName val="24_01"/>
      <sheetName val="24_02"/>
      <sheetName val="24_03"/>
      <sheetName val="24_04"/>
      <sheetName val="24_05"/>
      <sheetName val="24_06"/>
      <sheetName val="24_07"/>
      <sheetName val="24_08"/>
      <sheetName val="24_09"/>
      <sheetName val="24_10"/>
      <sheetName val="24_11"/>
      <sheetName val="24_12"/>
      <sheetName val="계"/>
      <sheetName val="각서"/>
      <sheetName val="계좌입금의뢰신고서"/>
      <sheetName val="★근로내역"/>
      <sheetName val="★퇴직공제"/>
      <sheetName val="★하도급지킴이"/>
      <sheetName val="근로계약서"/>
      <sheetName val="급여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성명</v>
          </cell>
          <cell r="B3" t="str">
            <v>직종</v>
          </cell>
          <cell r="C3" t="str">
            <v>주민등록번호</v>
          </cell>
          <cell r="D3" t="str">
            <v>주소</v>
          </cell>
          <cell r="E3" t="str">
            <v>연락처</v>
          </cell>
          <cell r="F3" t="str">
            <v>은행코드</v>
          </cell>
          <cell r="G3" t="str">
            <v>은행</v>
          </cell>
          <cell r="H3" t="str">
            <v>계좌번호</v>
          </cell>
          <cell r="I3" t="str">
            <v>예금주</v>
          </cell>
          <cell r="J3" t="str">
            <v>국적코드</v>
          </cell>
          <cell r="K3" t="str">
            <v>체류자격코드</v>
          </cell>
          <cell r="L3" t="str">
            <v>나이 (만)</v>
          </cell>
        </row>
        <row r="4">
          <cell r="A4" t="str">
            <v>오부택</v>
          </cell>
          <cell r="B4" t="str">
            <v>작업반장</v>
          </cell>
          <cell r="C4" t="str">
            <v>651015-1333111</v>
          </cell>
          <cell r="D4" t="str">
            <v>경기도 남양주시 도농동 291-34 19/4</v>
          </cell>
          <cell r="E4" t="str">
            <v>010-8783-1657</v>
          </cell>
          <cell r="F4" t="str">
            <v>0011</v>
          </cell>
          <cell r="G4" t="str">
            <v>농협중앙회</v>
          </cell>
          <cell r="H4" t="str">
            <v>204030-56-159309</v>
          </cell>
          <cell r="I4" t="str">
            <v>오부택</v>
          </cell>
          <cell r="L4">
            <v>60</v>
          </cell>
        </row>
        <row r="5">
          <cell r="A5" t="str">
            <v>하해군</v>
          </cell>
          <cell r="B5" t="str">
            <v>조경공</v>
          </cell>
          <cell r="C5" t="str">
            <v>630816-1221210</v>
          </cell>
          <cell r="D5" t="str">
            <v>경기도 남양주시 진건읍 사릉로용정1길 11</v>
          </cell>
          <cell r="E5" t="str">
            <v>010-4993-9423</v>
          </cell>
          <cell r="F5" t="str">
            <v>0011</v>
          </cell>
          <cell r="G5" t="str">
            <v>농협중앙회</v>
          </cell>
          <cell r="H5" t="str">
            <v>352-0964-6051-63</v>
          </cell>
          <cell r="I5" t="str">
            <v>하진욱</v>
          </cell>
          <cell r="L5">
            <v>62</v>
          </cell>
        </row>
        <row r="6">
          <cell r="A6" t="str">
            <v>유수진</v>
          </cell>
          <cell r="B6" t="str">
            <v>조경공</v>
          </cell>
          <cell r="C6" t="str">
            <v>701126-1241813</v>
          </cell>
          <cell r="D6" t="str">
            <v>경기도  포천군 영북면 운천리 528</v>
          </cell>
          <cell r="E6" t="str">
            <v>010-3124-2716</v>
          </cell>
          <cell r="F6" t="str">
            <v>0004</v>
          </cell>
          <cell r="G6" t="str">
            <v>국민은행</v>
          </cell>
          <cell r="H6" t="str">
            <v>352601-01-213053</v>
          </cell>
          <cell r="I6" t="str">
            <v>유수진</v>
          </cell>
          <cell r="L6">
            <v>55</v>
          </cell>
        </row>
        <row r="7">
          <cell r="A7" t="str">
            <v>김방수</v>
          </cell>
          <cell r="B7" t="str">
            <v>조경공</v>
          </cell>
          <cell r="C7" t="str">
            <v>650604-1622312</v>
          </cell>
          <cell r="D7" t="str">
            <v>경기도 남양주시 경춘로859번길26, B동 204호(금곡동,동익빌라)</v>
          </cell>
          <cell r="E7" t="str">
            <v>010-9342-8092</v>
          </cell>
          <cell r="F7" t="str">
            <v>0011</v>
          </cell>
          <cell r="G7" t="str">
            <v>농협중앙회</v>
          </cell>
          <cell r="H7" t="str">
            <v>204074-51-050436</v>
          </cell>
          <cell r="I7" t="str">
            <v>김방수</v>
          </cell>
          <cell r="L7">
            <v>60</v>
          </cell>
        </row>
        <row r="8">
          <cell r="A8" t="str">
            <v>유광열</v>
          </cell>
          <cell r="B8" t="str">
            <v>조경공</v>
          </cell>
          <cell r="C8" t="str">
            <v>600815-1650411</v>
          </cell>
          <cell r="D8" t="str">
            <v>서울시 동대문구 제기로21길 63-4</v>
          </cell>
          <cell r="E8" t="str">
            <v>010-8750-3852</v>
          </cell>
          <cell r="F8" t="str">
            <v>0004</v>
          </cell>
          <cell r="G8" t="str">
            <v>국민은행</v>
          </cell>
          <cell r="H8" t="str">
            <v>420802-01-297649</v>
          </cell>
          <cell r="I8" t="str">
            <v>유광열</v>
          </cell>
          <cell r="L8">
            <v>65</v>
          </cell>
        </row>
        <row r="9">
          <cell r="A9" t="str">
            <v>현영석</v>
          </cell>
          <cell r="B9" t="str">
            <v>조경공</v>
          </cell>
          <cell r="C9" t="str">
            <v>591020-1037016</v>
          </cell>
          <cell r="D9" t="str">
            <v>서울시 서대문구 세무서길 50-1</v>
          </cell>
          <cell r="E9" t="str">
            <v>010-5335-3740</v>
          </cell>
          <cell r="F9" t="str">
            <v>0020</v>
          </cell>
          <cell r="G9" t="str">
            <v>우리은행</v>
          </cell>
          <cell r="H9" t="str">
            <v>1002-209-949780</v>
          </cell>
          <cell r="I9" t="str">
            <v>현영석</v>
          </cell>
          <cell r="L9">
            <v>66</v>
          </cell>
        </row>
        <row r="10">
          <cell r="A10" t="str">
            <v>김성배</v>
          </cell>
          <cell r="B10" t="str">
            <v>조경공</v>
          </cell>
          <cell r="C10" t="str">
            <v>540910-1041520</v>
          </cell>
          <cell r="D10" t="str">
            <v>서울시 은평구 녹번동 4-262</v>
          </cell>
          <cell r="E10" t="str">
            <v>010-2084-1165</v>
          </cell>
          <cell r="F10" t="str">
            <v>0003</v>
          </cell>
          <cell r="G10" t="str">
            <v>기업은행</v>
          </cell>
          <cell r="H10" t="str">
            <v>139-018946-02-039</v>
          </cell>
          <cell r="I10" t="str">
            <v>김성배</v>
          </cell>
          <cell r="L10">
            <v>71</v>
          </cell>
        </row>
        <row r="11">
          <cell r="A11" t="str">
            <v>민경식</v>
          </cell>
          <cell r="B11" t="str">
            <v>조경공</v>
          </cell>
          <cell r="C11" t="str">
            <v>720302-1037116</v>
          </cell>
          <cell r="D11" t="str">
            <v>서울특별시 은평구 녹번동 44-26 B02호</v>
          </cell>
          <cell r="E11" t="str">
            <v>010-4253-6883</v>
          </cell>
          <cell r="F11" t="str">
            <v>0088</v>
          </cell>
          <cell r="G11" t="str">
            <v>신한은행</v>
          </cell>
          <cell r="H11" t="str">
            <v>110-065-529493</v>
          </cell>
          <cell r="I11" t="str">
            <v>민경식</v>
          </cell>
          <cell r="L11">
            <v>54</v>
          </cell>
        </row>
        <row r="12">
          <cell r="A12" t="str">
            <v>문순철</v>
          </cell>
          <cell r="B12" t="str">
            <v>보통인부</v>
          </cell>
          <cell r="C12" t="str">
            <v>580706-5860194</v>
          </cell>
          <cell r="D12" t="str">
            <v>서울특별시 은평구 연소로 35길7 101</v>
          </cell>
          <cell r="E12" t="str">
            <v>010-7963-6888</v>
          </cell>
          <cell r="F12" t="str">
            <v>0011</v>
          </cell>
          <cell r="G12" t="str">
            <v>농협중앙회</v>
          </cell>
          <cell r="H12" t="str">
            <v>302-1775-7802-51</v>
          </cell>
          <cell r="I12" t="str">
            <v>WEN SHUNZHE</v>
          </cell>
          <cell r="L12">
            <v>67</v>
          </cell>
        </row>
        <row r="13">
          <cell r="A13" t="str">
            <v>김기윤</v>
          </cell>
          <cell r="B13" t="str">
            <v>조경공</v>
          </cell>
          <cell r="C13" t="str">
            <v>620811-1538913</v>
          </cell>
          <cell r="D13" t="str">
            <v>서울특별시 은평구 갈현로31길3, 302호(갈현동, 장성케이씨빌)</v>
          </cell>
          <cell r="E13" t="str">
            <v>010-5358-5893</v>
          </cell>
          <cell r="F13" t="str">
            <v>0004</v>
          </cell>
          <cell r="G13" t="str">
            <v>국민은행</v>
          </cell>
          <cell r="H13" t="str">
            <v>833-21-0509-800</v>
          </cell>
          <cell r="I13" t="str">
            <v>김기윤</v>
          </cell>
          <cell r="L13">
            <v>63</v>
          </cell>
        </row>
        <row r="14">
          <cell r="A14" t="str">
            <v>김수석</v>
          </cell>
          <cell r="B14" t="str">
            <v>조경공</v>
          </cell>
          <cell r="C14" t="str">
            <v>650502-1810529</v>
          </cell>
          <cell r="D14" t="str">
            <v>경기도 남양주시 와부읍 덕소로67-20, 105동 505호</v>
          </cell>
          <cell r="E14" t="str">
            <v>010-9185-0935</v>
          </cell>
          <cell r="F14" t="str">
            <v>0011</v>
          </cell>
          <cell r="G14" t="str">
            <v>농협중앙회</v>
          </cell>
          <cell r="H14" t="str">
            <v>204040-56-201577</v>
          </cell>
          <cell r="I14" t="str">
            <v>김수석</v>
          </cell>
          <cell r="L14">
            <v>60</v>
          </cell>
        </row>
        <row r="15">
          <cell r="A15" t="str">
            <v>권오훈</v>
          </cell>
          <cell r="B15" t="str">
            <v>조경공</v>
          </cell>
          <cell r="C15" t="str">
            <v>640920-1814621</v>
          </cell>
          <cell r="D15" t="str">
            <v>경기도 남양주시 와부읍 수레로1번길 28-3, 203호(장미연립)</v>
          </cell>
          <cell r="E15" t="str">
            <v>010-3433-9377</v>
          </cell>
          <cell r="F15" t="str">
            <v>0011</v>
          </cell>
          <cell r="G15" t="str">
            <v>농협중앙회</v>
          </cell>
          <cell r="H15" t="str">
            <v>172080-52-090513</v>
          </cell>
          <cell r="I15" t="str">
            <v>권오훈</v>
          </cell>
          <cell r="L15">
            <v>61</v>
          </cell>
        </row>
        <row r="16">
          <cell r="A16" t="str">
            <v>윤종현</v>
          </cell>
          <cell r="B16" t="str">
            <v>조경공</v>
          </cell>
          <cell r="C16" t="str">
            <v>470616-1042211</v>
          </cell>
          <cell r="D16" t="str">
            <v>서울특별시 은평구 가좌로21 9-5(응암동)</v>
          </cell>
          <cell r="E16" t="str">
            <v>010-8716-9947</v>
          </cell>
          <cell r="F16" t="str">
            <v>0004</v>
          </cell>
          <cell r="G16" t="str">
            <v>국민은행</v>
          </cell>
          <cell r="H16" t="str">
            <v>035802-04-481610</v>
          </cell>
          <cell r="I16" t="str">
            <v>윤종현</v>
          </cell>
          <cell r="L16">
            <v>78</v>
          </cell>
        </row>
        <row r="17">
          <cell r="A17" t="str">
            <v>김원태</v>
          </cell>
          <cell r="B17" t="str">
            <v>보통인부</v>
          </cell>
          <cell r="C17" t="str">
            <v>590427-5101290</v>
          </cell>
          <cell r="D17" t="str">
            <v>서울특별시 은평구 연서로34길 4-14</v>
          </cell>
          <cell r="E17" t="str">
            <v>010-5540-5904</v>
          </cell>
          <cell r="F17" t="str">
            <v>0081</v>
          </cell>
          <cell r="G17" t="str">
            <v>KEB하나은행</v>
          </cell>
          <cell r="H17" t="str">
            <v>580-910278-79407</v>
          </cell>
          <cell r="I17" t="str">
            <v>JINYUANTAI</v>
          </cell>
          <cell r="L17">
            <v>66</v>
          </cell>
        </row>
        <row r="18">
          <cell r="A18" t="str">
            <v>정재우</v>
          </cell>
          <cell r="B18" t="str">
            <v>조경공</v>
          </cell>
          <cell r="C18" t="str">
            <v>000404-3038013</v>
          </cell>
          <cell r="D18" t="str">
            <v>서울특별시 서대문구 거북골로84, 104동 212호(남가좌동, DMC에코자이)</v>
          </cell>
          <cell r="E18" t="str">
            <v>010-7767-5506</v>
          </cell>
          <cell r="F18" t="str">
            <v>0071</v>
          </cell>
          <cell r="G18" t="str">
            <v>우체국</v>
          </cell>
          <cell r="H18" t="str">
            <v>102822-02-132334</v>
          </cell>
          <cell r="I18" t="str">
            <v>정재우</v>
          </cell>
          <cell r="L18">
            <v>25</v>
          </cell>
        </row>
        <row r="19">
          <cell r="A19" t="str">
            <v>김웅탄</v>
          </cell>
          <cell r="B19" t="str">
            <v>조경공</v>
          </cell>
          <cell r="C19" t="str">
            <v>411111-1519812</v>
          </cell>
          <cell r="D19" t="str">
            <v>인천 연수구 솔샘로 87 106호(청학동)</v>
          </cell>
          <cell r="E19" t="str">
            <v>010-4890-8284</v>
          </cell>
          <cell r="F19" t="str">
            <v>0088</v>
          </cell>
          <cell r="G19" t="str">
            <v>신한은행</v>
          </cell>
          <cell r="H19" t="str">
            <v>110-414-437990</v>
          </cell>
          <cell r="I19" t="str">
            <v>김웅탄</v>
          </cell>
          <cell r="L19">
            <v>84</v>
          </cell>
        </row>
        <row r="20">
          <cell r="A20" t="str">
            <v>김종국</v>
          </cell>
          <cell r="B20" t="str">
            <v>조경공</v>
          </cell>
          <cell r="C20" t="str">
            <v>500905-1325613</v>
          </cell>
          <cell r="D20" t="str">
            <v>인천 남구 소성로332번길 36, 201호</v>
          </cell>
          <cell r="E20" t="str">
            <v>010-4758-7433</v>
          </cell>
          <cell r="F20" t="str">
            <v>0020</v>
          </cell>
          <cell r="G20" t="str">
            <v>우리은행</v>
          </cell>
          <cell r="H20" t="str">
            <v>304-05-042055</v>
          </cell>
          <cell r="I20" t="str">
            <v>김종국</v>
          </cell>
          <cell r="L20">
            <v>75</v>
          </cell>
        </row>
        <row r="21">
          <cell r="A21" t="str">
            <v>박원산</v>
          </cell>
          <cell r="B21" t="str">
            <v>조경공</v>
          </cell>
          <cell r="C21" t="str">
            <v>580603-1155811</v>
          </cell>
          <cell r="D21" t="str">
            <v>인천 남동구 남촌동로 15번길 21, 102동 1602호</v>
          </cell>
          <cell r="E21" t="str">
            <v>010-2284-9212</v>
          </cell>
          <cell r="F21" t="str">
            <v>0011</v>
          </cell>
          <cell r="G21" t="str">
            <v>농협중앙회</v>
          </cell>
          <cell r="H21" t="str">
            <v>352-1743-2793-83</v>
          </cell>
          <cell r="I21" t="str">
            <v>박원산</v>
          </cell>
          <cell r="L21">
            <v>67</v>
          </cell>
        </row>
        <row r="22">
          <cell r="A22" t="str">
            <v>백동수</v>
          </cell>
          <cell r="B22" t="str">
            <v>조경공</v>
          </cell>
          <cell r="C22" t="str">
            <v>451223-1520310</v>
          </cell>
          <cell r="D22" t="str">
            <v>인천 남구 용현동 456-84 성신빌라 201호</v>
          </cell>
          <cell r="E22" t="str">
            <v>010-2683-6831</v>
          </cell>
          <cell r="F22" t="str">
            <v>0081</v>
          </cell>
          <cell r="G22" t="str">
            <v>KEB하나은행</v>
          </cell>
          <cell r="H22" t="str">
            <v>121-890110-24607</v>
          </cell>
          <cell r="I22" t="str">
            <v>백동수</v>
          </cell>
          <cell r="L22">
            <v>80</v>
          </cell>
        </row>
        <row r="23">
          <cell r="A23" t="str">
            <v>송병훈</v>
          </cell>
          <cell r="B23" t="str">
            <v>조경공</v>
          </cell>
          <cell r="C23" t="str">
            <v>450130-1149022</v>
          </cell>
          <cell r="D23" t="str">
            <v>인천 연수구 독배로 90번길 47, 101동 301호</v>
          </cell>
          <cell r="E23" t="str">
            <v>010-3277-4506</v>
          </cell>
          <cell r="F23" t="str">
            <v>0011</v>
          </cell>
          <cell r="G23" t="str">
            <v>농협중앙회</v>
          </cell>
          <cell r="H23" t="str">
            <v>351-0761-0692-63</v>
          </cell>
          <cell r="I23" t="str">
            <v>송병훈</v>
          </cell>
          <cell r="L23">
            <v>81</v>
          </cell>
        </row>
        <row r="24">
          <cell r="A24" t="str">
            <v>오복만</v>
          </cell>
          <cell r="B24" t="str">
            <v>조경공</v>
          </cell>
          <cell r="C24" t="str">
            <v>560203-1253812</v>
          </cell>
          <cell r="D24" t="str">
            <v>경기도 용인시 처인구 금령로 134 마평동</v>
          </cell>
          <cell r="E24" t="str">
            <v>010-5709-4518</v>
          </cell>
          <cell r="F24" t="str">
            <v>0011</v>
          </cell>
          <cell r="G24" t="str">
            <v>농협중앙회</v>
          </cell>
          <cell r="H24" t="str">
            <v>352-1034-5515-03</v>
          </cell>
          <cell r="I24" t="str">
            <v>오복만</v>
          </cell>
          <cell r="L24">
            <v>70</v>
          </cell>
        </row>
        <row r="25">
          <cell r="A25" t="str">
            <v>유순희</v>
          </cell>
          <cell r="B25" t="str">
            <v>조경공</v>
          </cell>
          <cell r="C25" t="str">
            <v>430710-1143311</v>
          </cell>
          <cell r="D25" t="str">
            <v>인천광역시 남구 숭의동 230-135</v>
          </cell>
          <cell r="E25" t="str">
            <v>010-3644-0353</v>
          </cell>
          <cell r="F25" t="str">
            <v>0045</v>
          </cell>
          <cell r="G25" t="str">
            <v>새마을금고</v>
          </cell>
          <cell r="H25" t="str">
            <v>2234-09-008673-9</v>
          </cell>
          <cell r="I25" t="str">
            <v>유순희</v>
          </cell>
          <cell r="L25">
            <v>82</v>
          </cell>
        </row>
        <row r="26">
          <cell r="A26" t="str">
            <v>이병대</v>
          </cell>
          <cell r="B26" t="str">
            <v>조경공</v>
          </cell>
          <cell r="C26" t="str">
            <v>610316-1543716</v>
          </cell>
          <cell r="D26" t="str">
            <v>서울 강동구 천호동 211-12</v>
          </cell>
          <cell r="E26" t="str">
            <v>010-8736-9866</v>
          </cell>
          <cell r="F26" t="str">
            <v>0088</v>
          </cell>
          <cell r="G26" t="str">
            <v>신한은행</v>
          </cell>
          <cell r="H26" t="str">
            <v>110-412-527148</v>
          </cell>
          <cell r="I26" t="str">
            <v>이병대</v>
          </cell>
          <cell r="L26">
            <v>65</v>
          </cell>
        </row>
        <row r="27">
          <cell r="A27" t="str">
            <v>이병인</v>
          </cell>
          <cell r="B27" t="str">
            <v>조경공</v>
          </cell>
          <cell r="C27" t="str">
            <v>500709-1063529</v>
          </cell>
          <cell r="D27" t="str">
            <v>인천 연수구 예술로 22번길 20, 401호</v>
          </cell>
          <cell r="E27" t="str">
            <v>010-2010-0909</v>
          </cell>
          <cell r="F27" t="str">
            <v>0011</v>
          </cell>
          <cell r="G27" t="str">
            <v>농협중앙회</v>
          </cell>
          <cell r="H27" t="str">
            <v>352-1702-4909-03</v>
          </cell>
          <cell r="I27" t="str">
            <v>이병인</v>
          </cell>
          <cell r="L27">
            <v>75</v>
          </cell>
        </row>
        <row r="28">
          <cell r="A28" t="str">
            <v>이우정</v>
          </cell>
          <cell r="B28" t="str">
            <v>조경공</v>
          </cell>
          <cell r="C28" t="str">
            <v>560418-1327011</v>
          </cell>
          <cell r="D28" t="str">
            <v>인천 남구 소성로 211, 3동 303호 학익동 신동아아파트</v>
          </cell>
          <cell r="E28" t="str">
            <v>010-8639-4427</v>
          </cell>
          <cell r="F28" t="str">
            <v>0011</v>
          </cell>
          <cell r="G28" t="str">
            <v>농협중앙회</v>
          </cell>
          <cell r="H28" t="str">
            <v>133-12-125675</v>
          </cell>
          <cell r="I28" t="str">
            <v>이우정</v>
          </cell>
          <cell r="L28">
            <v>69</v>
          </cell>
        </row>
        <row r="29">
          <cell r="A29" t="str">
            <v>정원봉</v>
          </cell>
          <cell r="B29" t="str">
            <v>조경공</v>
          </cell>
          <cell r="C29" t="str">
            <v>490711-1652917</v>
          </cell>
          <cell r="D29" t="str">
            <v>인천 연수구 선학동 347 선학시영아파트 115동 206호</v>
          </cell>
          <cell r="E29" t="str">
            <v>010-7732-5769</v>
          </cell>
          <cell r="F29" t="str">
            <v>0088</v>
          </cell>
          <cell r="G29" t="str">
            <v>신한은행</v>
          </cell>
          <cell r="H29" t="str">
            <v>110-300-559320</v>
          </cell>
          <cell r="I29" t="str">
            <v>정원봉</v>
          </cell>
          <cell r="L29">
            <v>76</v>
          </cell>
        </row>
        <row r="30">
          <cell r="A30" t="str">
            <v>정형기</v>
          </cell>
          <cell r="B30" t="str">
            <v>조경공</v>
          </cell>
          <cell r="C30" t="str">
            <v>440320-1472111</v>
          </cell>
          <cell r="D30" t="str">
            <v>인천 부평구 백범로 340번길 6 십정동</v>
          </cell>
          <cell r="E30" t="str">
            <v>010-3705-2432</v>
          </cell>
          <cell r="F30" t="str">
            <v>0048</v>
          </cell>
          <cell r="G30" t="str">
            <v>신협중앙회</v>
          </cell>
          <cell r="H30" t="str">
            <v>132-132-096895</v>
          </cell>
          <cell r="I30" t="str">
            <v>정형기</v>
          </cell>
          <cell r="L30">
            <v>82</v>
          </cell>
        </row>
        <row r="31">
          <cell r="A31" t="str">
            <v>조태휘</v>
          </cell>
          <cell r="B31" t="str">
            <v>조경공</v>
          </cell>
          <cell r="C31" t="str">
            <v>461015-1148113</v>
          </cell>
          <cell r="D31" t="str">
            <v>인천 남구 관교동 13-8 풍림아파트 102동 303호</v>
          </cell>
          <cell r="E31" t="str">
            <v>010-7799-6342</v>
          </cell>
          <cell r="F31" t="str">
            <v>0088</v>
          </cell>
          <cell r="G31" t="str">
            <v>신한은행</v>
          </cell>
          <cell r="H31" t="str">
            <v>110-479-254923</v>
          </cell>
          <cell r="I31" t="str">
            <v>조태휘</v>
          </cell>
          <cell r="L31">
            <v>79</v>
          </cell>
        </row>
        <row r="32">
          <cell r="A32" t="str">
            <v>차용수</v>
          </cell>
          <cell r="B32" t="str">
            <v>조경공</v>
          </cell>
          <cell r="C32" t="str">
            <v>430320-1141011</v>
          </cell>
          <cell r="D32" t="str">
            <v>경기도 부천시원미구 상동  1832-504 반달마을1832동504호</v>
          </cell>
          <cell r="E32" t="str">
            <v>010-2820-7710</v>
          </cell>
          <cell r="F32" t="str">
            <v>0011</v>
          </cell>
          <cell r="G32" t="str">
            <v>농협중앙회</v>
          </cell>
          <cell r="H32" t="str">
            <v>216011-52-042985</v>
          </cell>
          <cell r="I32" t="str">
            <v>차용수</v>
          </cell>
          <cell r="L32">
            <v>83</v>
          </cell>
        </row>
        <row r="33">
          <cell r="A33" t="str">
            <v>한정수</v>
          </cell>
          <cell r="B33" t="str">
            <v>조경공</v>
          </cell>
          <cell r="C33" t="str">
            <v>560904-1245511</v>
          </cell>
          <cell r="D33" t="str">
            <v>인천 남동구 만수동 1049 담방마을아파트 101동 1102호</v>
          </cell>
          <cell r="E33" t="str">
            <v>010-2375-8518</v>
          </cell>
          <cell r="F33" t="str">
            <v>0048</v>
          </cell>
          <cell r="G33" t="str">
            <v>신협중앙회</v>
          </cell>
          <cell r="H33" t="str">
            <v>132-069-090029</v>
          </cell>
          <cell r="I33" t="str">
            <v>한정수</v>
          </cell>
          <cell r="L33">
            <v>69</v>
          </cell>
        </row>
        <row r="34">
          <cell r="A34" t="str">
            <v>김윤자</v>
          </cell>
          <cell r="B34" t="str">
            <v>조경공</v>
          </cell>
          <cell r="C34" t="str">
            <v>470310-2011417</v>
          </cell>
          <cell r="D34" t="str">
            <v>인천광역시 남구 주안동 421-53</v>
          </cell>
          <cell r="E34" t="str">
            <v>010-4847-3572</v>
          </cell>
          <cell r="F34" t="str">
            <v>0088</v>
          </cell>
          <cell r="G34" t="str">
            <v>신한은행</v>
          </cell>
          <cell r="H34" t="str">
            <v>110-118-001184</v>
          </cell>
          <cell r="I34" t="str">
            <v>김윤자</v>
          </cell>
          <cell r="L34">
            <v>79</v>
          </cell>
        </row>
        <row r="35">
          <cell r="A35" t="str">
            <v>이명분</v>
          </cell>
          <cell r="B35" t="str">
            <v>조경공</v>
          </cell>
          <cell r="C35" t="str">
            <v>491128-2149618</v>
          </cell>
          <cell r="D35" t="str">
            <v>인천광역시 남구 주안동 1434-19</v>
          </cell>
          <cell r="E35" t="str">
            <v>010-5758-9519</v>
          </cell>
          <cell r="F35" t="str">
            <v>0011</v>
          </cell>
          <cell r="G35" t="str">
            <v>농협중앙회</v>
          </cell>
          <cell r="H35" t="str">
            <v>301-0021-1505-41</v>
          </cell>
          <cell r="I35" t="str">
            <v>이명분</v>
          </cell>
          <cell r="L35">
            <v>76</v>
          </cell>
        </row>
        <row r="36">
          <cell r="A36" t="str">
            <v>이인애</v>
          </cell>
          <cell r="B36" t="str">
            <v>조경공</v>
          </cell>
          <cell r="C36" t="str">
            <v>491119-2141011</v>
          </cell>
          <cell r="D36" t="str">
            <v>인천 남구 주안동 668-6 남승빌라 202호</v>
          </cell>
          <cell r="E36" t="str">
            <v>010-4326-7710</v>
          </cell>
          <cell r="F36" t="str">
            <v>0045</v>
          </cell>
          <cell r="G36" t="str">
            <v>새마을금고</v>
          </cell>
          <cell r="H36" t="str">
            <v>9002-1804-7397-0</v>
          </cell>
          <cell r="I36" t="str">
            <v>이인애</v>
          </cell>
          <cell r="L36">
            <v>76</v>
          </cell>
        </row>
        <row r="37">
          <cell r="A37" t="str">
            <v>이정주</v>
          </cell>
          <cell r="B37" t="str">
            <v>조경공</v>
          </cell>
          <cell r="C37" t="str">
            <v>461024-2143612</v>
          </cell>
          <cell r="D37" t="str">
            <v>인천 남구 인하로 198번지 13 주안동</v>
          </cell>
          <cell r="E37" t="str">
            <v>010-2375-9442</v>
          </cell>
          <cell r="F37" t="str">
            <v>0011</v>
          </cell>
          <cell r="G37" t="str">
            <v>농협중앙회</v>
          </cell>
          <cell r="H37" t="str">
            <v>170671-52-086183</v>
          </cell>
          <cell r="I37" t="str">
            <v>이정주</v>
          </cell>
          <cell r="L37">
            <v>79</v>
          </cell>
        </row>
        <row r="38">
          <cell r="A38" t="str">
            <v>이현자</v>
          </cell>
          <cell r="B38" t="str">
            <v>조경공</v>
          </cell>
          <cell r="C38" t="str">
            <v>550519-2543711</v>
          </cell>
          <cell r="D38" t="str">
            <v>인천 남동구 간석동 1157-1 우신아파트 다동 301호</v>
          </cell>
          <cell r="E38" t="str">
            <v>010-3105-5988</v>
          </cell>
          <cell r="F38" t="str">
            <v>0004</v>
          </cell>
          <cell r="G38" t="str">
            <v>국민은행</v>
          </cell>
          <cell r="H38" t="str">
            <v>224601-04-129755</v>
          </cell>
          <cell r="I38" t="str">
            <v>이현자(외향산)</v>
          </cell>
          <cell r="L38">
            <v>70</v>
          </cell>
        </row>
        <row r="39">
          <cell r="A39" t="str">
            <v>유군희</v>
          </cell>
          <cell r="B39" t="str">
            <v>조경공</v>
          </cell>
          <cell r="C39" t="str">
            <v>660220-1249131</v>
          </cell>
          <cell r="D39" t="str">
            <v>서울특별시 은평구 구산동 20-9 2/2</v>
          </cell>
          <cell r="E39" t="str">
            <v>010-3711-1935</v>
          </cell>
          <cell r="F39" t="str">
            <v>0020</v>
          </cell>
          <cell r="G39" t="str">
            <v>우리은행</v>
          </cell>
          <cell r="H39" t="str">
            <v>1002-539-484383</v>
          </cell>
          <cell r="I39" t="str">
            <v>유점희</v>
          </cell>
          <cell r="L39">
            <v>60</v>
          </cell>
        </row>
        <row r="40">
          <cell r="A40" t="str">
            <v>류시현</v>
          </cell>
          <cell r="B40" t="str">
            <v>조경공</v>
          </cell>
          <cell r="C40" t="str">
            <v>610927-1784016</v>
          </cell>
          <cell r="D40" t="str">
            <v>서울특별시 은평구 갈현로29길 53, 지층 B01호</v>
          </cell>
          <cell r="E40" t="str">
            <v>010-7609-0150</v>
          </cell>
          <cell r="F40" t="str">
            <v>0023</v>
          </cell>
          <cell r="G40" t="str">
            <v>제일은행</v>
          </cell>
          <cell r="H40" t="str">
            <v>580-20-374487</v>
          </cell>
          <cell r="I40" t="str">
            <v>류시현</v>
          </cell>
          <cell r="L40">
            <v>64</v>
          </cell>
        </row>
        <row r="41">
          <cell r="A41" t="str">
            <v>이복필</v>
          </cell>
          <cell r="B41" t="str">
            <v>조경공</v>
          </cell>
          <cell r="C41" t="str">
            <v>700523-5780194</v>
          </cell>
          <cell r="D41" t="str">
            <v>서울특별시 은평구 갈현1동 391-11</v>
          </cell>
          <cell r="E41" t="str">
            <v>010-8248-7978</v>
          </cell>
          <cell r="F41" t="str">
            <v>0011</v>
          </cell>
          <cell r="G41" t="str">
            <v>농협중앙회</v>
          </cell>
          <cell r="H41" t="str">
            <v>302-0008-5936-11</v>
          </cell>
          <cell r="I41" t="str">
            <v>LI FUBI</v>
          </cell>
          <cell r="L41">
            <v>55</v>
          </cell>
        </row>
        <row r="42">
          <cell r="A42" t="str">
            <v>김덕인</v>
          </cell>
          <cell r="B42" t="str">
            <v>조경공</v>
          </cell>
          <cell r="C42" t="str">
            <v>560218-1235012</v>
          </cell>
          <cell r="D42" t="str">
            <v>경기도 고양시 덕양구 보광로 18-13</v>
          </cell>
          <cell r="E42" t="str">
            <v>010-3273-5067</v>
          </cell>
          <cell r="F42" t="str">
            <v>0004</v>
          </cell>
          <cell r="G42" t="str">
            <v>국민은행</v>
          </cell>
          <cell r="H42" t="str">
            <v>024-01-0485-929</v>
          </cell>
          <cell r="I42" t="str">
            <v>김덕인</v>
          </cell>
          <cell r="L42">
            <v>70</v>
          </cell>
        </row>
        <row r="43">
          <cell r="A43" t="str">
            <v>남진원</v>
          </cell>
          <cell r="B43" t="str">
            <v>조경공</v>
          </cell>
          <cell r="C43" t="str">
            <v>640325-1580517</v>
          </cell>
          <cell r="D43" t="str">
            <v>서울특별시 은평구 불광동 567-1 2층 우측호</v>
          </cell>
          <cell r="E43" t="str">
            <v>010-4231-8211</v>
          </cell>
          <cell r="F43" t="str">
            <v>0020</v>
          </cell>
          <cell r="G43" t="str">
            <v>우리은행</v>
          </cell>
          <cell r="H43" t="str">
            <v>1002-655-064475</v>
          </cell>
          <cell r="I43" t="str">
            <v>남진원</v>
          </cell>
          <cell r="L43">
            <v>62</v>
          </cell>
        </row>
        <row r="44">
          <cell r="A44" t="str">
            <v>전형천</v>
          </cell>
          <cell r="B44" t="str">
            <v>조경공</v>
          </cell>
          <cell r="C44" t="str">
            <v>670605-1233623</v>
          </cell>
          <cell r="D44" t="str">
            <v>서울특별시 강서구 가양동 1478 도시개발아파트 405동 802호</v>
          </cell>
          <cell r="E44" t="str">
            <v>010-9219-3363</v>
          </cell>
          <cell r="F44" t="str">
            <v>0048</v>
          </cell>
          <cell r="G44" t="str">
            <v>신협중앙회</v>
          </cell>
          <cell r="H44" t="str">
            <v>132-131-314647</v>
          </cell>
          <cell r="I44" t="str">
            <v>전형천</v>
          </cell>
          <cell r="L44">
            <v>58</v>
          </cell>
        </row>
        <row r="45">
          <cell r="A45" t="str">
            <v>송영일</v>
          </cell>
          <cell r="B45" t="str">
            <v>보통인부</v>
          </cell>
          <cell r="C45" t="str">
            <v>810502-1348028</v>
          </cell>
          <cell r="D45" t="str">
            <v>부산 연제구 중앙대로 1120번길 24, 602호(연산동)</v>
          </cell>
          <cell r="E45" t="str">
            <v>010-4066-8152</v>
          </cell>
          <cell r="F45" t="str">
            <v>0011</v>
          </cell>
          <cell r="G45" t="str">
            <v>농협중앙회</v>
          </cell>
          <cell r="H45" t="str">
            <v>351-0230-2264-73</v>
          </cell>
          <cell r="I45" t="str">
            <v>송영일</v>
          </cell>
          <cell r="L45">
            <v>44</v>
          </cell>
        </row>
        <row r="46">
          <cell r="A46" t="str">
            <v>정해용</v>
          </cell>
          <cell r="B46" t="str">
            <v>조경공</v>
          </cell>
          <cell r="C46" t="str">
            <v>581026-1117913</v>
          </cell>
          <cell r="D46" t="str">
            <v>인천 연수구 독배로90번길 53,9동 B01호 옥련동,송광빌라</v>
          </cell>
          <cell r="E46" t="str">
            <v>010-6206-2192</v>
          </cell>
          <cell r="F46" t="str">
            <v>0003</v>
          </cell>
          <cell r="G46" t="str">
            <v>기업은행</v>
          </cell>
          <cell r="H46" t="str">
            <v>361-018197-02-016</v>
          </cell>
          <cell r="I46" t="str">
            <v>정해용</v>
          </cell>
          <cell r="L46">
            <v>67</v>
          </cell>
        </row>
        <row r="47">
          <cell r="A47" t="str">
            <v>강진선</v>
          </cell>
          <cell r="B47" t="str">
            <v>조경공</v>
          </cell>
          <cell r="C47" t="str">
            <v>520309-2149112</v>
          </cell>
          <cell r="D47" t="str">
            <v>인천 남구 용현동 124-14</v>
          </cell>
          <cell r="E47" t="str">
            <v>010-9516-0145</v>
          </cell>
          <cell r="F47" t="str">
            <v>0045</v>
          </cell>
          <cell r="G47" t="str">
            <v>새마을금고</v>
          </cell>
          <cell r="H47" t="str">
            <v>2235-09-011707-2</v>
          </cell>
          <cell r="I47" t="str">
            <v>강진선</v>
          </cell>
          <cell r="L47">
            <v>74</v>
          </cell>
        </row>
        <row r="48">
          <cell r="A48" t="str">
            <v>나연자</v>
          </cell>
          <cell r="B48" t="str">
            <v>보통인부</v>
          </cell>
          <cell r="C48" t="str">
            <v>530305-2148311</v>
          </cell>
          <cell r="D48" t="str">
            <v>인천시 남구 도화동 533-6</v>
          </cell>
          <cell r="E48" t="str">
            <v>010-3751-5258</v>
          </cell>
          <cell r="F48" t="str">
            <v>0020</v>
          </cell>
          <cell r="G48" t="str">
            <v>우리은행</v>
          </cell>
          <cell r="H48" t="str">
            <v>340-07-115896</v>
          </cell>
          <cell r="I48" t="str">
            <v>나연자</v>
          </cell>
          <cell r="L48">
            <v>73</v>
          </cell>
        </row>
        <row r="49">
          <cell r="A49" t="str">
            <v>배귀성</v>
          </cell>
          <cell r="B49" t="str">
            <v>보통인부</v>
          </cell>
          <cell r="C49" t="str">
            <v>510415-2258412</v>
          </cell>
          <cell r="D49" t="str">
            <v>인천시 남구 경인북길 321, 201호</v>
          </cell>
          <cell r="E49" t="str">
            <v>010-4597-1269</v>
          </cell>
          <cell r="F49" t="str">
            <v>0004</v>
          </cell>
          <cell r="G49" t="str">
            <v>국민은행</v>
          </cell>
          <cell r="H49" t="str">
            <v>644201-01-292074</v>
          </cell>
          <cell r="I49" t="str">
            <v>배귀성</v>
          </cell>
          <cell r="L49">
            <v>74</v>
          </cell>
        </row>
        <row r="50">
          <cell r="A50" t="str">
            <v>송록주</v>
          </cell>
          <cell r="B50" t="str">
            <v>보통인부</v>
          </cell>
          <cell r="C50" t="str">
            <v>550304-2018635</v>
          </cell>
          <cell r="D50" t="str">
            <v>인천시 남동구 간석동609</v>
          </cell>
          <cell r="E50" t="str">
            <v>010-9110-5950</v>
          </cell>
          <cell r="F50" t="str">
            <v>0011</v>
          </cell>
          <cell r="G50" t="str">
            <v>농협중앙회</v>
          </cell>
          <cell r="H50" t="str">
            <v>133-12-403184</v>
          </cell>
          <cell r="I50" t="str">
            <v>송록주</v>
          </cell>
          <cell r="L50">
            <v>71</v>
          </cell>
        </row>
        <row r="51">
          <cell r="A51" t="str">
            <v>이안순</v>
          </cell>
          <cell r="B51" t="str">
            <v>보통인부</v>
          </cell>
          <cell r="C51" t="str">
            <v>530317-2036617</v>
          </cell>
          <cell r="D51" t="str">
            <v>인천시 남구 인하로292</v>
          </cell>
          <cell r="E51" t="str">
            <v>010-8782-2561</v>
          </cell>
          <cell r="F51" t="str">
            <v>0088</v>
          </cell>
          <cell r="G51" t="str">
            <v>신한은행</v>
          </cell>
          <cell r="H51" t="str">
            <v>110-012-119990</v>
          </cell>
          <cell r="I51" t="str">
            <v>이안순</v>
          </cell>
          <cell r="L51">
            <v>73</v>
          </cell>
        </row>
        <row r="52">
          <cell r="A52" t="str">
            <v>이장임</v>
          </cell>
          <cell r="B52" t="str">
            <v>보통인부</v>
          </cell>
          <cell r="C52" t="str">
            <v>550304-2529011</v>
          </cell>
          <cell r="D52" t="str">
            <v>인천시 남구 주안동 851-2</v>
          </cell>
          <cell r="E52" t="str">
            <v>010-2447-4697</v>
          </cell>
          <cell r="F52" t="str">
            <v>0027</v>
          </cell>
          <cell r="G52" t="str">
            <v>한국시티은행</v>
          </cell>
          <cell r="H52" t="str">
            <v>435-25191-269</v>
          </cell>
          <cell r="I52" t="str">
            <v>이장임</v>
          </cell>
          <cell r="L52">
            <v>71</v>
          </cell>
        </row>
        <row r="53">
          <cell r="A53" t="str">
            <v>전금순</v>
          </cell>
          <cell r="B53" t="str">
            <v>보통인부</v>
          </cell>
          <cell r="C53" t="str">
            <v>540308-2144512</v>
          </cell>
          <cell r="D53" t="str">
            <v>인천시 남구 주안동1600</v>
          </cell>
          <cell r="E53" t="str">
            <v>010-2748-2226</v>
          </cell>
          <cell r="F53" t="str">
            <v>0011</v>
          </cell>
          <cell r="G53" t="str">
            <v>농협중앙회</v>
          </cell>
          <cell r="H53" t="str">
            <v>352-0630-4707-63</v>
          </cell>
          <cell r="I53" t="str">
            <v>전금순</v>
          </cell>
          <cell r="L53">
            <v>72</v>
          </cell>
        </row>
        <row r="54">
          <cell r="A54" t="str">
            <v>조순애</v>
          </cell>
          <cell r="B54" t="str">
            <v>보통인부</v>
          </cell>
          <cell r="C54" t="str">
            <v>540424-2025116</v>
          </cell>
          <cell r="D54" t="str">
            <v>인천시 남구 도황동 142-11</v>
          </cell>
          <cell r="E54" t="str">
            <v>010-6282-1878</v>
          </cell>
          <cell r="F54" t="str">
            <v>0011</v>
          </cell>
          <cell r="G54" t="str">
            <v>농협중앙회</v>
          </cell>
          <cell r="H54" t="str">
            <v>352-2084-6306-13</v>
          </cell>
          <cell r="I54" t="str">
            <v>조순애</v>
          </cell>
          <cell r="L54">
            <v>71</v>
          </cell>
        </row>
        <row r="55">
          <cell r="A55" t="str">
            <v>진순금</v>
          </cell>
          <cell r="B55" t="str">
            <v>조경공</v>
          </cell>
          <cell r="C55" t="str">
            <v>540913-2394217</v>
          </cell>
          <cell r="D55" t="str">
            <v>인천 남동구 논현동 635-1 논현휴먼시아 하늘마을 316동 704호</v>
          </cell>
          <cell r="E55" t="str">
            <v>010-5361-8975</v>
          </cell>
          <cell r="F55" t="str">
            <v>0011</v>
          </cell>
          <cell r="G55" t="str">
            <v>농협중앙회</v>
          </cell>
          <cell r="H55" t="str">
            <v>351-0314-5156-53</v>
          </cell>
          <cell r="I55" t="str">
            <v>진순금</v>
          </cell>
          <cell r="L55">
            <v>71</v>
          </cell>
        </row>
        <row r="56">
          <cell r="F56" t="str">
            <v/>
          </cell>
          <cell r="L56" t="str">
            <v/>
          </cell>
        </row>
        <row r="57">
          <cell r="A57" t="str">
            <v>이병호</v>
          </cell>
          <cell r="B57" t="str">
            <v>조경공</v>
          </cell>
          <cell r="C57" t="str">
            <v>590724-1321219</v>
          </cell>
          <cell r="D57" t="str">
            <v>경기도 용인시 처인구 김량장 159-22</v>
          </cell>
          <cell r="E57" t="str">
            <v>010-3797-7304</v>
          </cell>
          <cell r="F57" t="str">
            <v>0011</v>
          </cell>
          <cell r="G57" t="str">
            <v>농협중앙회</v>
          </cell>
          <cell r="H57" t="str">
            <v>235020-52-083554</v>
          </cell>
          <cell r="I57" t="str">
            <v>이병호</v>
          </cell>
          <cell r="L57">
            <v>66</v>
          </cell>
        </row>
        <row r="58">
          <cell r="A58" t="str">
            <v>이병묵</v>
          </cell>
          <cell r="B58" t="str">
            <v>조경공</v>
          </cell>
          <cell r="C58" t="str">
            <v>630504-1321213</v>
          </cell>
          <cell r="D58" t="str">
            <v>경기도 수원시 장안구 장안로 211</v>
          </cell>
          <cell r="E58" t="str">
            <v>010-9050-5294</v>
          </cell>
          <cell r="F58" t="str">
            <v>0011</v>
          </cell>
          <cell r="G58" t="str">
            <v>농협중앙회</v>
          </cell>
          <cell r="H58" t="str">
            <v>356-1148-2295-63</v>
          </cell>
          <cell r="I58" t="str">
            <v>이병묵</v>
          </cell>
          <cell r="L58">
            <v>62</v>
          </cell>
        </row>
        <row r="59">
          <cell r="A59" t="str">
            <v>이춘식</v>
          </cell>
          <cell r="B59" t="str">
            <v>조경공</v>
          </cell>
          <cell r="C59" t="str">
            <v>610213-1229113</v>
          </cell>
          <cell r="D59" t="str">
            <v>경기도 용인시 처인구 유방동 93</v>
          </cell>
          <cell r="E59" t="str">
            <v>010-9014-4004</v>
          </cell>
          <cell r="F59" t="str">
            <v>0011</v>
          </cell>
          <cell r="G59" t="str">
            <v>농협중앙회</v>
          </cell>
          <cell r="H59" t="str">
            <v>235010-56-164581</v>
          </cell>
          <cell r="I59" t="str">
            <v>이춘식</v>
          </cell>
          <cell r="L59">
            <v>65</v>
          </cell>
        </row>
        <row r="60">
          <cell r="A60" t="str">
            <v>CUI SONGZHE</v>
          </cell>
          <cell r="B60" t="str">
            <v>조경공</v>
          </cell>
          <cell r="C60" t="str">
            <v>630418-5101795</v>
          </cell>
          <cell r="D60" t="str">
            <v>경기도 용인시 처인구 금령로 93번길 12-6</v>
          </cell>
          <cell r="E60" t="str">
            <v>010-5755-8878</v>
          </cell>
          <cell r="F60" t="str">
            <v>0011</v>
          </cell>
          <cell r="G60" t="str">
            <v>농협중앙회</v>
          </cell>
          <cell r="H60" t="str">
            <v>302-0699-9766-61</v>
          </cell>
          <cell r="I60" t="str">
            <v>CUI SONGZHE</v>
          </cell>
          <cell r="L60">
            <v>62</v>
          </cell>
        </row>
        <row r="61">
          <cell r="A61" t="str">
            <v>LI GUANGSHAN</v>
          </cell>
          <cell r="B61" t="str">
            <v>조경공</v>
          </cell>
          <cell r="C61" t="str">
            <v>741015-5761090</v>
          </cell>
          <cell r="D61" t="str">
            <v>경기도 용인시 처인구 학산로 69</v>
          </cell>
          <cell r="E61" t="str">
            <v>010-8689-6778</v>
          </cell>
          <cell r="F61" t="str">
            <v>0011</v>
          </cell>
          <cell r="G61" t="str">
            <v>농협중앙회</v>
          </cell>
          <cell r="H61" t="str">
            <v>351-0394-9779-43</v>
          </cell>
          <cell r="I61" t="str">
            <v>LI GUANGSHAN</v>
          </cell>
          <cell r="L61">
            <v>51</v>
          </cell>
        </row>
        <row r="62">
          <cell r="A62" t="str">
            <v>QUAN GUANGSHI</v>
          </cell>
          <cell r="B62" t="str">
            <v>조경공</v>
          </cell>
          <cell r="C62" t="str">
            <v>550312-5300299</v>
          </cell>
          <cell r="D62" t="str">
            <v>경기도 용인시 처인구 금학로 383번길</v>
          </cell>
          <cell r="E62" t="str">
            <v>010-3115-9188</v>
          </cell>
          <cell r="F62" t="str">
            <v>0045</v>
          </cell>
          <cell r="G62" t="str">
            <v>새마을금고</v>
          </cell>
          <cell r="H62" t="str">
            <v>9003-2802-2730-1</v>
          </cell>
          <cell r="I62" t="str">
            <v>QUAN GUANGSHI</v>
          </cell>
          <cell r="L62">
            <v>71</v>
          </cell>
        </row>
        <row r="63">
          <cell r="A63" t="str">
            <v>이성회</v>
          </cell>
          <cell r="B63" t="str">
            <v>조경공</v>
          </cell>
          <cell r="C63" t="str">
            <v>730117-1821011</v>
          </cell>
          <cell r="D63" t="str">
            <v>경상남도 창원시 마산합포구 장장군로 3</v>
          </cell>
          <cell r="E63" t="str">
            <v>010-5495-9645</v>
          </cell>
          <cell r="F63" t="str">
            <v>0081</v>
          </cell>
          <cell r="G63" t="str">
            <v>KEB하나은행</v>
          </cell>
          <cell r="H63" t="str">
            <v>346-910740-02107</v>
          </cell>
          <cell r="I63" t="str">
            <v>이성회</v>
          </cell>
          <cell r="L63">
            <v>53</v>
          </cell>
        </row>
        <row r="64">
          <cell r="A64" t="str">
            <v>김우용</v>
          </cell>
          <cell r="B64" t="str">
            <v>조경공</v>
          </cell>
          <cell r="C64" t="str">
            <v>550713-1249716</v>
          </cell>
          <cell r="D64" t="str">
            <v>경기도 용인시 처인구 포곡읍 포곡로 108번길</v>
          </cell>
          <cell r="E64" t="str">
            <v>010-7215-4530</v>
          </cell>
          <cell r="F64" t="str">
            <v>0045</v>
          </cell>
          <cell r="G64" t="str">
            <v>새마을금고</v>
          </cell>
          <cell r="H64" t="str">
            <v>9003-2360-9222-2</v>
          </cell>
          <cell r="I64" t="str">
            <v>김우용</v>
          </cell>
          <cell r="L64">
            <v>70</v>
          </cell>
        </row>
        <row r="65">
          <cell r="A65" t="str">
            <v>조왕행</v>
          </cell>
          <cell r="B65" t="str">
            <v>조경공</v>
          </cell>
          <cell r="C65" t="str">
            <v>470518-1329213</v>
          </cell>
          <cell r="D65" t="str">
            <v>경기도 용인시 처인구 금령로 106번길</v>
          </cell>
          <cell r="E65" t="str">
            <v>010-8780-8916</v>
          </cell>
          <cell r="F65" t="str">
            <v>0011</v>
          </cell>
          <cell r="G65" t="str">
            <v>농협중앙회</v>
          </cell>
          <cell r="H65" t="str">
            <v>356-1489-0156-23</v>
          </cell>
          <cell r="I65" t="str">
            <v>조왕행</v>
          </cell>
          <cell r="L65">
            <v>78</v>
          </cell>
        </row>
        <row r="66">
          <cell r="A66" t="str">
            <v>이미정</v>
          </cell>
          <cell r="B66" t="str">
            <v>신호수</v>
          </cell>
          <cell r="C66" t="str">
            <v>700520-2909022</v>
          </cell>
          <cell r="D66" t="str">
            <v>경기도 용인시 기흥구 동백8로 131번길 20</v>
          </cell>
          <cell r="E66" t="str">
            <v>010-5527-0633</v>
          </cell>
          <cell r="F66" t="str">
            <v>0088</v>
          </cell>
          <cell r="G66" t="str">
            <v>신한은행</v>
          </cell>
          <cell r="H66" t="str">
            <v>110-240-521583</v>
          </cell>
          <cell r="I66" t="str">
            <v>이미정</v>
          </cell>
          <cell r="L66">
            <v>55</v>
          </cell>
        </row>
        <row r="67">
          <cell r="A67" t="str">
            <v>김명선</v>
          </cell>
          <cell r="B67" t="str">
            <v>조경공</v>
          </cell>
          <cell r="C67" t="str">
            <v>570219-1526525</v>
          </cell>
          <cell r="D67" t="str">
            <v>서울시 영등포구 신길 2176</v>
          </cell>
          <cell r="E67" t="str">
            <v>010-5217-1834</v>
          </cell>
          <cell r="F67" t="str">
            <v>0088</v>
          </cell>
          <cell r="G67" t="str">
            <v>신한은행</v>
          </cell>
          <cell r="H67" t="str">
            <v>110-059-759360</v>
          </cell>
          <cell r="I67" t="str">
            <v>김명선</v>
          </cell>
          <cell r="L67">
            <v>69</v>
          </cell>
        </row>
        <row r="68">
          <cell r="F68" t="str">
            <v/>
          </cell>
          <cell r="L68" t="str">
            <v/>
          </cell>
        </row>
        <row r="69">
          <cell r="A69" t="str">
            <v>장진권</v>
          </cell>
          <cell r="B69" t="str">
            <v>용역</v>
          </cell>
          <cell r="C69" t="str">
            <v>571216-1069414</v>
          </cell>
          <cell r="D69" t="str">
            <v>경기도 용인시 처인구 포곡읍 포곡로118번길</v>
          </cell>
          <cell r="E69" t="str">
            <v>010-6312-5256</v>
          </cell>
          <cell r="F69" t="str">
            <v>0011</v>
          </cell>
          <cell r="G69" t="str">
            <v>농협중앙회</v>
          </cell>
          <cell r="H69" t="str">
            <v>352-0309-1895-63</v>
          </cell>
          <cell r="I69" t="str">
            <v>장진권</v>
          </cell>
          <cell r="L69">
            <v>68</v>
          </cell>
        </row>
        <row r="70">
          <cell r="A70" t="str">
            <v>김성준</v>
          </cell>
          <cell r="B70" t="str">
            <v>용역</v>
          </cell>
          <cell r="C70" t="str">
            <v>610125-1249228</v>
          </cell>
          <cell r="D70" t="str">
            <v>경기도 용인시 포곡면 마성리 304-2</v>
          </cell>
          <cell r="E70" t="str">
            <v>010-4615-4531</v>
          </cell>
          <cell r="F70" t="str">
            <v>0011</v>
          </cell>
          <cell r="G70" t="str">
            <v>농협중앙회</v>
          </cell>
          <cell r="H70" t="str">
            <v>352-1734-3501-63</v>
          </cell>
          <cell r="I70" t="str">
            <v>김성준</v>
          </cell>
          <cell r="L70">
            <v>65</v>
          </cell>
        </row>
        <row r="71">
          <cell r="A71" t="str">
            <v>유호열</v>
          </cell>
          <cell r="B71" t="str">
            <v>용역</v>
          </cell>
          <cell r="C71" t="str">
            <v>600805-1233826</v>
          </cell>
          <cell r="D71" t="str">
            <v>경기도 용인시 처인구 포곡읍 포곡로 272번길</v>
          </cell>
          <cell r="E71" t="str">
            <v>010-3409-1127</v>
          </cell>
          <cell r="F71" t="str">
            <v>0011</v>
          </cell>
          <cell r="G71" t="str">
            <v>농협중앙회</v>
          </cell>
          <cell r="H71" t="str">
            <v>351-1324-2250-13</v>
          </cell>
          <cell r="I71" t="str">
            <v>유호열</v>
          </cell>
          <cell r="L71">
            <v>65</v>
          </cell>
        </row>
        <row r="72">
          <cell r="F72" t="str">
            <v/>
          </cell>
          <cell r="L72" t="str">
            <v/>
          </cell>
        </row>
        <row r="73">
          <cell r="A73" t="str">
            <v>박찬식</v>
          </cell>
          <cell r="B73" t="str">
            <v>보통인부</v>
          </cell>
          <cell r="C73" t="str">
            <v>590407-1906717</v>
          </cell>
          <cell r="D73" t="str">
            <v>부산광역시 동구 작전동 768-26</v>
          </cell>
          <cell r="E73" t="str">
            <v>010-3837-5876</v>
          </cell>
          <cell r="F73" t="str">
            <v>0011</v>
          </cell>
          <cell r="G73" t="str">
            <v>농협중앙회</v>
          </cell>
          <cell r="H73" t="str">
            <v>211041-56-176755</v>
          </cell>
          <cell r="I73" t="str">
            <v>박찬식</v>
          </cell>
          <cell r="L73">
            <v>66</v>
          </cell>
        </row>
        <row r="74">
          <cell r="A74" t="str">
            <v>조영제</v>
          </cell>
          <cell r="B74" t="str">
            <v>보통인부</v>
          </cell>
          <cell r="C74" t="str">
            <v>600326-1822229</v>
          </cell>
          <cell r="D74" t="str">
            <v>경상남도 창원시 마산합포구 산호남3길 6-1</v>
          </cell>
          <cell r="E74" t="str">
            <v>010-8031-5915</v>
          </cell>
          <cell r="F74" t="str">
            <v>0071</v>
          </cell>
          <cell r="G74" t="str">
            <v>우체국</v>
          </cell>
          <cell r="H74" t="str">
            <v>110-0027-29329</v>
          </cell>
          <cell r="I74" t="str">
            <v>조영제</v>
          </cell>
          <cell r="L74">
            <v>66</v>
          </cell>
        </row>
        <row r="75">
          <cell r="A75" t="str">
            <v>박용선</v>
          </cell>
          <cell r="B75" t="str">
            <v>보통인부</v>
          </cell>
          <cell r="C75" t="str">
            <v>670318-1237525</v>
          </cell>
          <cell r="D75" t="str">
            <v>서울시 강서구 강서로8길 192</v>
          </cell>
          <cell r="E75" t="str">
            <v>010-5300-0045</v>
          </cell>
          <cell r="F75" t="str">
            <v>0071</v>
          </cell>
          <cell r="G75" t="str">
            <v>우체국</v>
          </cell>
          <cell r="H75" t="str">
            <v>013243-02-236841</v>
          </cell>
          <cell r="I75" t="str">
            <v>박용선</v>
          </cell>
          <cell r="L75">
            <v>59</v>
          </cell>
        </row>
        <row r="76">
          <cell r="A76" t="str">
            <v>NIGAY VLADIMIR</v>
          </cell>
          <cell r="B76" t="str">
            <v>보통인부</v>
          </cell>
          <cell r="C76" t="str">
            <v>641216-5820035</v>
          </cell>
          <cell r="D76" t="str">
            <v>경기도 안산시 상로구 둥지길4</v>
          </cell>
          <cell r="E76" t="str">
            <v>010-5755-4575</v>
          </cell>
          <cell r="F76" t="str">
            <v>0004</v>
          </cell>
          <cell r="G76" t="str">
            <v>국민은행</v>
          </cell>
          <cell r="H76" t="str">
            <v>784501-00-427717</v>
          </cell>
          <cell r="I76" t="str">
            <v>NIGAY VLADIMIR</v>
          </cell>
          <cell r="L76">
            <v>61</v>
          </cell>
        </row>
        <row r="77">
          <cell r="A77" t="str">
            <v>NIGAY ANATOLIY</v>
          </cell>
          <cell r="B77" t="str">
            <v>보통인부</v>
          </cell>
          <cell r="C77" t="str">
            <v>020521-7820013</v>
          </cell>
          <cell r="D77" t="str">
            <v>경기도 안산시 상로구 둥지길4</v>
          </cell>
          <cell r="E77" t="str">
            <v>010-4448-2403</v>
          </cell>
          <cell r="F77" t="str">
            <v>0088</v>
          </cell>
          <cell r="G77" t="str">
            <v>신한은행</v>
          </cell>
          <cell r="H77" t="str">
            <v>110-529-925219</v>
          </cell>
          <cell r="I77" t="str">
            <v>NIGAY ANATOLIY</v>
          </cell>
          <cell r="L77">
            <v>23</v>
          </cell>
        </row>
        <row r="78">
          <cell r="A78" t="str">
            <v>박찬구</v>
          </cell>
          <cell r="B78" t="str">
            <v>보통인부</v>
          </cell>
          <cell r="C78" t="str">
            <v>570411-1640313</v>
          </cell>
          <cell r="D78" t="str">
            <v>경기도 김포시 하성면 전류리 67-9</v>
          </cell>
          <cell r="E78" t="str">
            <v>010-9313-6807</v>
          </cell>
          <cell r="F78" t="str">
            <v>0011</v>
          </cell>
          <cell r="G78" t="str">
            <v>농협중앙회</v>
          </cell>
          <cell r="H78" t="str">
            <v>351-0499-5374-13</v>
          </cell>
          <cell r="I78" t="str">
            <v>박찬구</v>
          </cell>
          <cell r="L78">
            <v>68</v>
          </cell>
        </row>
        <row r="79">
          <cell r="A79" t="str">
            <v>이제훈</v>
          </cell>
          <cell r="B79" t="str">
            <v>보통인부</v>
          </cell>
          <cell r="C79" t="str">
            <v>560525-1244814</v>
          </cell>
          <cell r="D79" t="str">
            <v>경기도 남양주시 별내3로 23</v>
          </cell>
          <cell r="E79" t="str">
            <v>010-5272-2183</v>
          </cell>
          <cell r="F79" t="str">
            <v>0011</v>
          </cell>
          <cell r="G79" t="str">
            <v>농협중앙회</v>
          </cell>
          <cell r="H79" t="str">
            <v>100027-51-038748</v>
          </cell>
          <cell r="I79" t="str">
            <v>이제훈</v>
          </cell>
          <cell r="L79">
            <v>69</v>
          </cell>
        </row>
        <row r="80">
          <cell r="A80" t="str">
            <v>이주흥</v>
          </cell>
          <cell r="B80" t="str">
            <v>보통인부</v>
          </cell>
          <cell r="C80" t="str">
            <v>580616-1010426</v>
          </cell>
          <cell r="D80" t="str">
            <v>서울시 강동구 상일로 74</v>
          </cell>
          <cell r="E80" t="str">
            <v>010-5459-6046</v>
          </cell>
          <cell r="F80" t="str">
            <v>0020</v>
          </cell>
          <cell r="G80" t="str">
            <v>우리은행</v>
          </cell>
          <cell r="H80" t="str">
            <v>1002-843-373434</v>
          </cell>
          <cell r="I80" t="str">
            <v>이주흥</v>
          </cell>
          <cell r="L80">
            <v>67</v>
          </cell>
        </row>
        <row r="81">
          <cell r="F81" t="str">
            <v/>
          </cell>
          <cell r="L81" t="str">
            <v/>
          </cell>
        </row>
        <row r="82">
          <cell r="A82" t="str">
            <v>용석규</v>
          </cell>
          <cell r="B82" t="str">
            <v>조경공</v>
          </cell>
          <cell r="C82" t="str">
            <v>670403-1340511</v>
          </cell>
          <cell r="D82" t="str">
            <v>경기도 용인시 처인구 포곡읍 진성로21</v>
          </cell>
          <cell r="E82" t="str">
            <v>010-5252-1269</v>
          </cell>
          <cell r="F82" t="str">
            <v>0011</v>
          </cell>
          <cell r="G82" t="str">
            <v>농협중앙회</v>
          </cell>
          <cell r="H82" t="str">
            <v>235020-52-023971</v>
          </cell>
          <cell r="I82" t="str">
            <v>용석규</v>
          </cell>
          <cell r="L82">
            <v>58</v>
          </cell>
        </row>
        <row r="83">
          <cell r="A83" t="str">
            <v>이상옥</v>
          </cell>
          <cell r="B83" t="str">
            <v>조경공</v>
          </cell>
          <cell r="C83" t="str">
            <v>511216-1330619</v>
          </cell>
          <cell r="D83" t="str">
            <v>경기도 용인시 처인구 포곡읍 부곡로32번길 9</v>
          </cell>
          <cell r="E83" t="str">
            <v>010-8524-8490</v>
          </cell>
          <cell r="F83" t="str">
            <v>0011</v>
          </cell>
          <cell r="G83" t="str">
            <v>농협중앙회</v>
          </cell>
          <cell r="H83" t="str">
            <v>235020-51-054834</v>
          </cell>
          <cell r="I83" t="str">
            <v>이상옥</v>
          </cell>
          <cell r="L83">
            <v>74</v>
          </cell>
        </row>
        <row r="84">
          <cell r="A84" t="str">
            <v>이상운</v>
          </cell>
          <cell r="B84" t="str">
            <v>조경공</v>
          </cell>
          <cell r="C84" t="str">
            <v>601014-1340513</v>
          </cell>
          <cell r="D84" t="str">
            <v>경기도 용인시 처인구 포곡읍 전대로 63-3</v>
          </cell>
          <cell r="E84" t="str">
            <v>010-4382-2000</v>
          </cell>
          <cell r="F84" t="str">
            <v>0011</v>
          </cell>
          <cell r="G84" t="str">
            <v>농협중앙회</v>
          </cell>
          <cell r="H84" t="str">
            <v>235020-52-135860</v>
          </cell>
          <cell r="I84" t="str">
            <v>이상운</v>
          </cell>
          <cell r="L84">
            <v>65</v>
          </cell>
        </row>
        <row r="85">
          <cell r="A85" t="str">
            <v>김영환</v>
          </cell>
          <cell r="B85" t="str">
            <v>조경공</v>
          </cell>
          <cell r="C85" t="str">
            <v>520910-1252412</v>
          </cell>
          <cell r="D85" t="str">
            <v>경기도 용인시 처인구 고림로22</v>
          </cell>
          <cell r="E85" t="str">
            <v>010-4025-8994</v>
          </cell>
          <cell r="F85" t="str">
            <v>0071</v>
          </cell>
          <cell r="G85" t="str">
            <v>우체국</v>
          </cell>
          <cell r="H85" t="str">
            <v>110-0137-51851</v>
          </cell>
          <cell r="I85" t="str">
            <v>김영환</v>
          </cell>
          <cell r="L85">
            <v>73</v>
          </cell>
        </row>
        <row r="86">
          <cell r="A86" t="str">
            <v>정만진</v>
          </cell>
          <cell r="B86" t="str">
            <v>조경공</v>
          </cell>
          <cell r="C86" t="str">
            <v>620603-1249135</v>
          </cell>
          <cell r="D86" t="str">
            <v>경기도 용인시 고림동 438</v>
          </cell>
          <cell r="E86" t="str">
            <v>010-6256-0489</v>
          </cell>
          <cell r="F86" t="str">
            <v>0011</v>
          </cell>
          <cell r="G86" t="str">
            <v>농협중앙회</v>
          </cell>
          <cell r="H86" t="str">
            <v>356-0712-8412-33</v>
          </cell>
          <cell r="I86" t="str">
            <v>정만진</v>
          </cell>
          <cell r="L86">
            <v>63</v>
          </cell>
        </row>
        <row r="87">
          <cell r="A87" t="str">
            <v>권경준</v>
          </cell>
          <cell r="B87" t="str">
            <v>조경공</v>
          </cell>
          <cell r="C87" t="str">
            <v>541217-1675619</v>
          </cell>
          <cell r="D87" t="str">
            <v>경기도 용인시 처인구 금학로399번길 11</v>
          </cell>
          <cell r="E87" t="str">
            <v>010-4079-8915</v>
          </cell>
          <cell r="F87" t="str">
            <v>0011</v>
          </cell>
          <cell r="G87" t="str">
            <v>농협중앙회</v>
          </cell>
          <cell r="H87" t="str">
            <v>207179-56-172156</v>
          </cell>
          <cell r="I87" t="str">
            <v>권경준</v>
          </cell>
          <cell r="L87">
            <v>71</v>
          </cell>
        </row>
        <row r="88">
          <cell r="A88" t="str">
            <v>김재현</v>
          </cell>
          <cell r="B88" t="str">
            <v>조경공</v>
          </cell>
          <cell r="C88" t="str">
            <v>550115-1006023</v>
          </cell>
          <cell r="D88" t="str">
            <v>경기도 용인시 기흥구 삼하636</v>
          </cell>
          <cell r="E88" t="str">
            <v>010-7134-3773</v>
          </cell>
          <cell r="F88" t="str">
            <v>0011</v>
          </cell>
          <cell r="G88" t="str">
            <v>농협중앙회</v>
          </cell>
          <cell r="H88" t="str">
            <v>302-0765-9777-11</v>
          </cell>
          <cell r="I88" t="str">
            <v>김재현</v>
          </cell>
          <cell r="L88">
            <v>71</v>
          </cell>
        </row>
        <row r="89">
          <cell r="A89" t="str">
            <v>박진상</v>
          </cell>
          <cell r="B89" t="str">
            <v>조경공</v>
          </cell>
          <cell r="C89" t="str">
            <v>560823-1665841</v>
          </cell>
          <cell r="D89" t="str">
            <v>경기도 용인시 처인구 포곡읍 전대로69번길 6</v>
          </cell>
          <cell r="E89" t="str">
            <v>010-2771-3622</v>
          </cell>
          <cell r="F89" t="str">
            <v>0011</v>
          </cell>
          <cell r="G89" t="str">
            <v>농협중앙회</v>
          </cell>
          <cell r="H89" t="str">
            <v>235020-51-016240</v>
          </cell>
          <cell r="I89" t="str">
            <v>박진상</v>
          </cell>
          <cell r="L89">
            <v>69</v>
          </cell>
        </row>
        <row r="90">
          <cell r="A90" t="str">
            <v>LI FUBI</v>
          </cell>
          <cell r="B90" t="str">
            <v>조경공</v>
          </cell>
          <cell r="C90" t="str">
            <v>700523-5780194</v>
          </cell>
          <cell r="D90" t="str">
            <v>서울특별시 은평구 갈현1동 391-11</v>
          </cell>
          <cell r="E90" t="str">
            <v>010-8248-7978</v>
          </cell>
          <cell r="F90" t="str">
            <v>0011</v>
          </cell>
          <cell r="G90" t="str">
            <v>농협중앙회</v>
          </cell>
          <cell r="H90" t="str">
            <v>302-0008-5936-11</v>
          </cell>
          <cell r="I90" t="str">
            <v>LI FUBI</v>
          </cell>
          <cell r="L90">
            <v>55</v>
          </cell>
        </row>
        <row r="91">
          <cell r="A91" t="str">
            <v>조선환</v>
          </cell>
          <cell r="B91" t="str">
            <v>석공</v>
          </cell>
          <cell r="C91" t="str">
            <v>581220-1222024</v>
          </cell>
          <cell r="D91" t="str">
            <v>인천광역시 남동구 청능대로718번길 7</v>
          </cell>
          <cell r="E91" t="str">
            <v>010-8776-1868</v>
          </cell>
          <cell r="F91" t="str">
            <v>0011</v>
          </cell>
          <cell r="G91" t="str">
            <v>농협중앙회</v>
          </cell>
          <cell r="H91" t="str">
            <v>130012-52-229539</v>
          </cell>
          <cell r="I91" t="str">
            <v>조선환</v>
          </cell>
          <cell r="L91">
            <v>67</v>
          </cell>
        </row>
        <row r="92">
          <cell r="F92" t="str">
            <v/>
          </cell>
          <cell r="L92" t="str">
            <v/>
          </cell>
        </row>
        <row r="93">
          <cell r="F93" t="str">
            <v/>
          </cell>
          <cell r="L93" t="str">
            <v/>
          </cell>
        </row>
        <row r="94">
          <cell r="F94" t="str">
            <v/>
          </cell>
          <cell r="L94" t="str">
            <v/>
          </cell>
        </row>
        <row r="95">
          <cell r="F95" t="str">
            <v/>
          </cell>
          <cell r="L95" t="str">
            <v/>
          </cell>
        </row>
        <row r="96">
          <cell r="F96" t="str">
            <v/>
          </cell>
          <cell r="L96" t="str">
            <v/>
          </cell>
        </row>
        <row r="97">
          <cell r="F97" t="str">
            <v/>
          </cell>
          <cell r="L97" t="str">
            <v/>
          </cell>
        </row>
        <row r="98">
          <cell r="F98" t="str">
            <v/>
          </cell>
          <cell r="L98" t="str">
            <v/>
          </cell>
        </row>
        <row r="99">
          <cell r="F99" t="str">
            <v/>
          </cell>
          <cell r="L99" t="str">
            <v/>
          </cell>
        </row>
        <row r="100">
          <cell r="F100" t="str">
            <v/>
          </cell>
          <cell r="L100" t="str">
            <v/>
          </cell>
        </row>
        <row r="101">
          <cell r="F101" t="str">
            <v/>
          </cell>
          <cell r="L101" t="str">
            <v/>
          </cell>
        </row>
        <row r="102">
          <cell r="F102" t="str">
            <v/>
          </cell>
          <cell r="L102" t="str">
            <v/>
          </cell>
        </row>
        <row r="103">
          <cell r="F103" t="str">
            <v/>
          </cell>
          <cell r="L103" t="str">
            <v/>
          </cell>
        </row>
        <row r="104">
          <cell r="F104" t="str">
            <v/>
          </cell>
          <cell r="L104" t="str">
            <v/>
          </cell>
        </row>
        <row r="105">
          <cell r="F105" t="str">
            <v/>
          </cell>
          <cell r="L105" t="str">
            <v/>
          </cell>
        </row>
        <row r="106">
          <cell r="F106" t="str">
            <v/>
          </cell>
          <cell r="L106" t="str">
            <v/>
          </cell>
        </row>
        <row r="107">
          <cell r="F107" t="str">
            <v/>
          </cell>
          <cell r="L107" t="str">
            <v/>
          </cell>
        </row>
        <row r="108">
          <cell r="F108" t="str">
            <v/>
          </cell>
          <cell r="L108" t="str">
            <v/>
          </cell>
        </row>
        <row r="109">
          <cell r="F109" t="str">
            <v/>
          </cell>
          <cell r="L109" t="str">
            <v/>
          </cell>
        </row>
        <row r="110">
          <cell r="F110" t="str">
            <v/>
          </cell>
          <cell r="L110" t="str">
            <v/>
          </cell>
        </row>
        <row r="111">
          <cell r="F111" t="str">
            <v/>
          </cell>
          <cell r="L111" t="str">
            <v/>
          </cell>
        </row>
        <row r="112">
          <cell r="F112" t="str">
            <v/>
          </cell>
          <cell r="L112" t="str">
            <v/>
          </cell>
        </row>
        <row r="113">
          <cell r="F113" t="str">
            <v/>
          </cell>
          <cell r="L113" t="str">
            <v/>
          </cell>
        </row>
        <row r="114">
          <cell r="F114" t="str">
            <v/>
          </cell>
          <cell r="L114" t="str">
            <v/>
          </cell>
        </row>
        <row r="115">
          <cell r="F115" t="str">
            <v/>
          </cell>
          <cell r="L115" t="str">
            <v/>
          </cell>
        </row>
        <row r="116">
          <cell r="F116" t="str">
            <v/>
          </cell>
          <cell r="L116" t="str">
            <v/>
          </cell>
        </row>
        <row r="117">
          <cell r="F117" t="str">
            <v/>
          </cell>
          <cell r="L117" t="str">
            <v/>
          </cell>
        </row>
        <row r="118">
          <cell r="F118" t="str">
            <v/>
          </cell>
          <cell r="L118" t="str">
            <v/>
          </cell>
        </row>
        <row r="119">
          <cell r="F119" t="str">
            <v/>
          </cell>
          <cell r="L119" t="str">
            <v/>
          </cell>
        </row>
        <row r="120">
          <cell r="F120" t="str">
            <v/>
          </cell>
          <cell r="L120" t="str">
            <v/>
          </cell>
        </row>
        <row r="121">
          <cell r="F121" t="str">
            <v/>
          </cell>
          <cell r="L121" t="str">
            <v/>
          </cell>
        </row>
        <row r="122">
          <cell r="F122" t="str">
            <v/>
          </cell>
          <cell r="L122" t="str">
            <v/>
          </cell>
        </row>
        <row r="123">
          <cell r="F123" t="str">
            <v/>
          </cell>
          <cell r="L123" t="str">
            <v/>
          </cell>
        </row>
        <row r="124">
          <cell r="F124" t="str">
            <v/>
          </cell>
          <cell r="L124" t="str">
            <v/>
          </cell>
        </row>
        <row r="125">
          <cell r="F125" t="str">
            <v/>
          </cell>
          <cell r="L125" t="str">
            <v/>
          </cell>
        </row>
        <row r="126">
          <cell r="F126" t="str">
            <v/>
          </cell>
          <cell r="L126" t="str">
            <v/>
          </cell>
        </row>
        <row r="127">
          <cell r="F127" t="str">
            <v/>
          </cell>
          <cell r="L127" t="str">
            <v/>
          </cell>
        </row>
        <row r="128">
          <cell r="F128" t="str">
            <v/>
          </cell>
          <cell r="L128" t="str">
            <v/>
          </cell>
        </row>
        <row r="129">
          <cell r="F129" t="str">
            <v/>
          </cell>
          <cell r="L129" t="str">
            <v/>
          </cell>
        </row>
        <row r="130">
          <cell r="F130" t="str">
            <v/>
          </cell>
          <cell r="L130" t="str">
            <v/>
          </cell>
        </row>
        <row r="131">
          <cell r="F131" t="str">
            <v/>
          </cell>
          <cell r="L131" t="str">
            <v/>
          </cell>
        </row>
        <row r="132">
          <cell r="F132" t="str">
            <v/>
          </cell>
          <cell r="L132" t="str">
            <v/>
          </cell>
        </row>
        <row r="133">
          <cell r="F133" t="str">
            <v/>
          </cell>
          <cell r="L133" t="str">
            <v/>
          </cell>
        </row>
        <row r="134">
          <cell r="F134" t="str">
            <v/>
          </cell>
          <cell r="L134" t="str">
            <v/>
          </cell>
        </row>
        <row r="135">
          <cell r="F135" t="str">
            <v/>
          </cell>
          <cell r="L135" t="str">
            <v/>
          </cell>
        </row>
        <row r="136">
          <cell r="F136" t="str">
            <v/>
          </cell>
          <cell r="L136" t="str">
            <v/>
          </cell>
        </row>
        <row r="137">
          <cell r="F137" t="str">
            <v/>
          </cell>
          <cell r="L137" t="str">
            <v/>
          </cell>
        </row>
        <row r="138">
          <cell r="F138" t="str">
            <v/>
          </cell>
          <cell r="L138" t="str">
            <v/>
          </cell>
        </row>
        <row r="139">
          <cell r="F139" t="str">
            <v/>
          </cell>
          <cell r="L139" t="str">
            <v/>
          </cell>
        </row>
        <row r="140">
          <cell r="F140" t="str">
            <v/>
          </cell>
          <cell r="L140" t="str">
            <v/>
          </cell>
        </row>
        <row r="141">
          <cell r="F141" t="str">
            <v/>
          </cell>
          <cell r="L141" t="str">
            <v/>
          </cell>
        </row>
        <row r="142">
          <cell r="F142" t="str">
            <v/>
          </cell>
          <cell r="L142" t="str">
            <v/>
          </cell>
        </row>
        <row r="143">
          <cell r="F143" t="str">
            <v/>
          </cell>
          <cell r="L143" t="str">
            <v/>
          </cell>
        </row>
        <row r="144">
          <cell r="F144" t="str">
            <v/>
          </cell>
          <cell r="L144" t="str">
            <v/>
          </cell>
        </row>
        <row r="145">
          <cell r="F145" t="str">
            <v/>
          </cell>
          <cell r="L145" t="str">
            <v/>
          </cell>
        </row>
        <row r="146">
          <cell r="F146" t="str">
            <v/>
          </cell>
          <cell r="L146" t="str">
            <v/>
          </cell>
        </row>
        <row r="147">
          <cell r="F147" t="str">
            <v/>
          </cell>
          <cell r="L147" t="str">
            <v/>
          </cell>
        </row>
        <row r="148">
          <cell r="F148" t="str">
            <v/>
          </cell>
          <cell r="L148" t="str">
            <v/>
          </cell>
        </row>
        <row r="149">
          <cell r="F149" t="str">
            <v/>
          </cell>
          <cell r="L149" t="str">
            <v/>
          </cell>
        </row>
        <row r="150">
          <cell r="F150" t="str">
            <v/>
          </cell>
          <cell r="L150" t="str">
            <v/>
          </cell>
        </row>
        <row r="151">
          <cell r="F151" t="str">
            <v/>
          </cell>
          <cell r="L151" t="str">
            <v/>
          </cell>
        </row>
        <row r="152">
          <cell r="F152" t="str">
            <v/>
          </cell>
          <cell r="L152" t="str">
            <v/>
          </cell>
        </row>
        <row r="153">
          <cell r="F153" t="str">
            <v/>
          </cell>
          <cell r="L153" t="str">
            <v/>
          </cell>
        </row>
        <row r="154">
          <cell r="F154" t="str">
            <v/>
          </cell>
          <cell r="L154" t="str">
            <v/>
          </cell>
        </row>
        <row r="155">
          <cell r="F155" t="str">
            <v/>
          </cell>
          <cell r="L155" t="str">
            <v/>
          </cell>
        </row>
        <row r="156">
          <cell r="F156" t="str">
            <v/>
          </cell>
          <cell r="L156" t="str">
            <v/>
          </cell>
        </row>
        <row r="157">
          <cell r="F157" t="str">
            <v/>
          </cell>
          <cell r="L157" t="str">
            <v/>
          </cell>
        </row>
        <row r="158">
          <cell r="F158" t="str">
            <v/>
          </cell>
          <cell r="L158" t="str">
            <v/>
          </cell>
        </row>
        <row r="159">
          <cell r="F159" t="str">
            <v/>
          </cell>
          <cell r="L159" t="str">
            <v/>
          </cell>
        </row>
        <row r="160">
          <cell r="F160" t="str">
            <v/>
          </cell>
          <cell r="L160" t="str">
            <v/>
          </cell>
        </row>
        <row r="161">
          <cell r="F161" t="str">
            <v/>
          </cell>
          <cell r="L161" t="str">
            <v/>
          </cell>
        </row>
        <row r="162">
          <cell r="F162" t="str">
            <v/>
          </cell>
          <cell r="L162" t="str">
            <v/>
          </cell>
        </row>
        <row r="163">
          <cell r="F163" t="str">
            <v/>
          </cell>
          <cell r="L163" t="str">
            <v/>
          </cell>
        </row>
        <row r="164">
          <cell r="F164" t="str">
            <v/>
          </cell>
          <cell r="L164" t="str">
            <v/>
          </cell>
        </row>
        <row r="165">
          <cell r="F165" t="str">
            <v/>
          </cell>
          <cell r="L165" t="str">
            <v/>
          </cell>
        </row>
        <row r="166">
          <cell r="F166" t="str">
            <v/>
          </cell>
          <cell r="L166" t="str">
            <v/>
          </cell>
        </row>
        <row r="167">
          <cell r="F167" t="str">
            <v/>
          </cell>
          <cell r="L167" t="str">
            <v/>
          </cell>
        </row>
        <row r="168">
          <cell r="F168" t="str">
            <v/>
          </cell>
          <cell r="L168" t="str">
            <v/>
          </cell>
        </row>
        <row r="169">
          <cell r="F169" t="str">
            <v/>
          </cell>
          <cell r="L169" t="str">
            <v/>
          </cell>
        </row>
        <row r="170">
          <cell r="F170" t="str">
            <v/>
          </cell>
          <cell r="L170" t="str">
            <v/>
          </cell>
        </row>
        <row r="171">
          <cell r="F171" t="str">
            <v/>
          </cell>
          <cell r="L171" t="str">
            <v/>
          </cell>
        </row>
        <row r="172">
          <cell r="F172" t="str">
            <v/>
          </cell>
          <cell r="L172" t="str">
            <v/>
          </cell>
        </row>
        <row r="173">
          <cell r="F173" t="str">
            <v/>
          </cell>
          <cell r="L173" t="str">
            <v/>
          </cell>
        </row>
        <row r="174">
          <cell r="F174" t="str">
            <v/>
          </cell>
          <cell r="L174" t="str">
            <v/>
          </cell>
        </row>
        <row r="175">
          <cell r="F175" t="str">
            <v/>
          </cell>
          <cell r="L175" t="str">
            <v/>
          </cell>
        </row>
        <row r="176">
          <cell r="F176" t="str">
            <v/>
          </cell>
          <cell r="L176" t="str">
            <v/>
          </cell>
        </row>
        <row r="177">
          <cell r="F177" t="str">
            <v/>
          </cell>
          <cell r="L177" t="str">
            <v/>
          </cell>
        </row>
        <row r="178">
          <cell r="F178" t="str">
            <v/>
          </cell>
          <cell r="L178" t="str">
            <v/>
          </cell>
        </row>
        <row r="179">
          <cell r="F179" t="str">
            <v/>
          </cell>
          <cell r="L179" t="str">
            <v/>
          </cell>
        </row>
        <row r="180">
          <cell r="F180" t="str">
            <v/>
          </cell>
          <cell r="L180" t="str">
            <v/>
          </cell>
        </row>
        <row r="181">
          <cell r="F181" t="str">
            <v/>
          </cell>
          <cell r="L181" t="str">
            <v/>
          </cell>
        </row>
        <row r="182">
          <cell r="F182" t="str">
            <v/>
          </cell>
          <cell r="L182" t="str">
            <v/>
          </cell>
        </row>
        <row r="183">
          <cell r="F183" t="str">
            <v/>
          </cell>
          <cell r="L183" t="str">
            <v/>
          </cell>
        </row>
        <row r="184">
          <cell r="F184" t="str">
            <v/>
          </cell>
          <cell r="L184" t="str">
            <v/>
          </cell>
        </row>
        <row r="185">
          <cell r="F185" t="str">
            <v/>
          </cell>
          <cell r="L185" t="str">
            <v/>
          </cell>
        </row>
        <row r="186">
          <cell r="F186" t="str">
            <v/>
          </cell>
          <cell r="L186" t="str">
            <v/>
          </cell>
        </row>
        <row r="187">
          <cell r="F187" t="str">
            <v/>
          </cell>
          <cell r="L187" t="str">
            <v/>
          </cell>
        </row>
        <row r="188">
          <cell r="F188" t="str">
            <v/>
          </cell>
          <cell r="L188" t="str">
            <v/>
          </cell>
        </row>
        <row r="189">
          <cell r="F189" t="str">
            <v/>
          </cell>
          <cell r="L189" t="str">
            <v/>
          </cell>
        </row>
        <row r="190">
          <cell r="F190" t="str">
            <v/>
          </cell>
          <cell r="L190" t="str">
            <v/>
          </cell>
        </row>
        <row r="191">
          <cell r="F191" t="str">
            <v/>
          </cell>
          <cell r="L191" t="str">
            <v/>
          </cell>
        </row>
        <row r="192">
          <cell r="F192" t="str">
            <v/>
          </cell>
          <cell r="L192" t="str">
            <v/>
          </cell>
        </row>
        <row r="193">
          <cell r="F193" t="str">
            <v/>
          </cell>
          <cell r="L193" t="str">
            <v/>
          </cell>
        </row>
        <row r="194">
          <cell r="F194" t="str">
            <v/>
          </cell>
          <cell r="L194" t="str">
            <v/>
          </cell>
        </row>
        <row r="195">
          <cell r="F195" t="str">
            <v/>
          </cell>
          <cell r="L195" t="str">
            <v/>
          </cell>
        </row>
        <row r="196">
          <cell r="F196" t="str">
            <v/>
          </cell>
          <cell r="L196" t="str">
            <v/>
          </cell>
        </row>
        <row r="197">
          <cell r="F197" t="str">
            <v/>
          </cell>
          <cell r="L197" t="str">
            <v/>
          </cell>
        </row>
        <row r="198">
          <cell r="F198" t="str">
            <v/>
          </cell>
          <cell r="L198" t="str">
            <v/>
          </cell>
        </row>
        <row r="199">
          <cell r="F199" t="str">
            <v/>
          </cell>
          <cell r="L199" t="str">
            <v/>
          </cell>
        </row>
        <row r="200">
          <cell r="F200" t="str">
            <v/>
          </cell>
          <cell r="L200" t="str">
            <v/>
          </cell>
        </row>
        <row r="201">
          <cell r="F201" t="str">
            <v/>
          </cell>
          <cell r="L201" t="str">
            <v/>
          </cell>
        </row>
        <row r="202">
          <cell r="F202" t="str">
            <v/>
          </cell>
          <cell r="L202" t="str">
            <v/>
          </cell>
        </row>
        <row r="203">
          <cell r="F203" t="str">
            <v/>
          </cell>
          <cell r="L203" t="str">
            <v/>
          </cell>
        </row>
        <row r="204">
          <cell r="F204" t="str">
            <v/>
          </cell>
          <cell r="L204" t="str">
            <v/>
          </cell>
        </row>
        <row r="205">
          <cell r="F205" t="str">
            <v/>
          </cell>
          <cell r="L205" t="str">
            <v/>
          </cell>
        </row>
        <row r="206">
          <cell r="F206" t="str">
            <v/>
          </cell>
          <cell r="L206" t="str">
            <v/>
          </cell>
        </row>
        <row r="207">
          <cell r="F207" t="str">
            <v/>
          </cell>
          <cell r="L207" t="str">
            <v/>
          </cell>
        </row>
        <row r="208">
          <cell r="F208" t="str">
            <v/>
          </cell>
          <cell r="L208" t="str">
            <v/>
          </cell>
        </row>
        <row r="209">
          <cell r="F209" t="str">
            <v/>
          </cell>
          <cell r="L209" t="str">
            <v/>
          </cell>
        </row>
        <row r="210">
          <cell r="F210" t="str">
            <v/>
          </cell>
          <cell r="L210" t="str">
            <v/>
          </cell>
        </row>
        <row r="211">
          <cell r="F211" t="str">
            <v/>
          </cell>
          <cell r="L211" t="str">
            <v/>
          </cell>
        </row>
        <row r="212">
          <cell r="F212" t="str">
            <v/>
          </cell>
          <cell r="L212" t="str">
            <v/>
          </cell>
        </row>
        <row r="213">
          <cell r="F213" t="str">
            <v/>
          </cell>
          <cell r="L213" t="str">
            <v/>
          </cell>
        </row>
        <row r="214">
          <cell r="F214" t="str">
            <v/>
          </cell>
          <cell r="L214" t="str">
            <v/>
          </cell>
        </row>
        <row r="215">
          <cell r="F215" t="str">
            <v/>
          </cell>
          <cell r="L215" t="str">
            <v/>
          </cell>
        </row>
        <row r="216">
          <cell r="F216" t="str">
            <v/>
          </cell>
          <cell r="L216" t="str">
            <v/>
          </cell>
        </row>
        <row r="217">
          <cell r="F217" t="str">
            <v/>
          </cell>
          <cell r="L217" t="str">
            <v/>
          </cell>
        </row>
        <row r="218">
          <cell r="F218" t="str">
            <v/>
          </cell>
          <cell r="L218" t="str">
            <v/>
          </cell>
        </row>
        <row r="219">
          <cell r="F219" t="str">
            <v/>
          </cell>
          <cell r="L219" t="str">
            <v/>
          </cell>
        </row>
        <row r="220">
          <cell r="F220" t="str">
            <v/>
          </cell>
          <cell r="L220" t="str">
            <v/>
          </cell>
        </row>
        <row r="221">
          <cell r="F221" t="str">
            <v/>
          </cell>
          <cell r="L221" t="str">
            <v/>
          </cell>
        </row>
        <row r="222">
          <cell r="F222" t="str">
            <v/>
          </cell>
          <cell r="L222" t="str">
            <v/>
          </cell>
        </row>
        <row r="223">
          <cell r="F223" t="str">
            <v/>
          </cell>
          <cell r="L223" t="str">
            <v/>
          </cell>
        </row>
        <row r="224">
          <cell r="F224" t="str">
            <v/>
          </cell>
          <cell r="L224" t="str">
            <v/>
          </cell>
        </row>
        <row r="225">
          <cell r="F225" t="str">
            <v/>
          </cell>
          <cell r="L225" t="str">
            <v/>
          </cell>
        </row>
        <row r="226">
          <cell r="F226" t="str">
            <v/>
          </cell>
          <cell r="L226" t="str">
            <v/>
          </cell>
        </row>
        <row r="227">
          <cell r="F227" t="str">
            <v/>
          </cell>
          <cell r="L227" t="str">
            <v/>
          </cell>
        </row>
        <row r="228">
          <cell r="F228" t="str">
            <v/>
          </cell>
          <cell r="L228" t="str">
            <v/>
          </cell>
        </row>
        <row r="229">
          <cell r="F229" t="str">
            <v/>
          </cell>
          <cell r="L229" t="str">
            <v/>
          </cell>
        </row>
        <row r="230">
          <cell r="F230" t="str">
            <v/>
          </cell>
          <cell r="L230" t="str">
            <v/>
          </cell>
        </row>
        <row r="231">
          <cell r="F231" t="str">
            <v/>
          </cell>
          <cell r="L231" t="str">
            <v/>
          </cell>
        </row>
        <row r="232">
          <cell r="F232" t="str">
            <v/>
          </cell>
          <cell r="L232" t="str">
            <v/>
          </cell>
        </row>
        <row r="233">
          <cell r="F233" t="str">
            <v/>
          </cell>
          <cell r="L233" t="str">
            <v/>
          </cell>
        </row>
        <row r="234">
          <cell r="F234" t="str">
            <v/>
          </cell>
          <cell r="L234" t="str">
            <v/>
          </cell>
        </row>
        <row r="235">
          <cell r="F235" t="str">
            <v/>
          </cell>
          <cell r="L235" t="str">
            <v/>
          </cell>
        </row>
        <row r="236">
          <cell r="F236" t="str">
            <v/>
          </cell>
          <cell r="L236" t="str">
            <v/>
          </cell>
        </row>
        <row r="237">
          <cell r="F237" t="str">
            <v/>
          </cell>
          <cell r="L237" t="str">
            <v/>
          </cell>
        </row>
        <row r="238">
          <cell r="F238" t="str">
            <v/>
          </cell>
          <cell r="L238" t="str">
            <v/>
          </cell>
        </row>
        <row r="239">
          <cell r="F239" t="str">
            <v/>
          </cell>
          <cell r="L239" t="str">
            <v/>
          </cell>
        </row>
        <row r="240">
          <cell r="F240" t="str">
            <v/>
          </cell>
          <cell r="L240" t="str">
            <v/>
          </cell>
        </row>
        <row r="241">
          <cell r="F241" t="str">
            <v/>
          </cell>
          <cell r="L241" t="str">
            <v/>
          </cell>
        </row>
        <row r="242">
          <cell r="F242" t="str">
            <v/>
          </cell>
          <cell r="L242" t="str">
            <v/>
          </cell>
        </row>
        <row r="243">
          <cell r="F243" t="str">
            <v/>
          </cell>
          <cell r="L243" t="str">
            <v/>
          </cell>
        </row>
        <row r="244">
          <cell r="F244" t="str">
            <v/>
          </cell>
          <cell r="L244" t="str">
            <v/>
          </cell>
        </row>
        <row r="245">
          <cell r="F245" t="str">
            <v/>
          </cell>
          <cell r="L245" t="str">
            <v/>
          </cell>
        </row>
        <row r="246">
          <cell r="F246" t="str">
            <v/>
          </cell>
          <cell r="L246" t="str">
            <v/>
          </cell>
        </row>
        <row r="247">
          <cell r="F247" t="str">
            <v/>
          </cell>
          <cell r="L247" t="str">
            <v/>
          </cell>
        </row>
        <row r="248">
          <cell r="F248" t="str">
            <v/>
          </cell>
          <cell r="L248" t="str">
            <v/>
          </cell>
        </row>
        <row r="249">
          <cell r="F249" t="str">
            <v/>
          </cell>
          <cell r="L249" t="str">
            <v/>
          </cell>
        </row>
        <row r="250">
          <cell r="F250" t="str">
            <v/>
          </cell>
          <cell r="L250" t="str">
            <v/>
          </cell>
        </row>
        <row r="251">
          <cell r="F251" t="str">
            <v/>
          </cell>
          <cell r="L251" t="str">
            <v/>
          </cell>
        </row>
        <row r="252">
          <cell r="F252" t="str">
            <v/>
          </cell>
          <cell r="L252" t="str">
            <v/>
          </cell>
        </row>
        <row r="253">
          <cell r="F253" t="str">
            <v/>
          </cell>
          <cell r="L253" t="str">
            <v/>
          </cell>
        </row>
        <row r="254">
          <cell r="F254" t="str">
            <v/>
          </cell>
          <cell r="L254" t="str">
            <v/>
          </cell>
        </row>
        <row r="255">
          <cell r="F255" t="str">
            <v/>
          </cell>
          <cell r="L255" t="str">
            <v/>
          </cell>
        </row>
        <row r="256">
          <cell r="F256" t="str">
            <v/>
          </cell>
          <cell r="L256" t="str">
            <v/>
          </cell>
        </row>
        <row r="257">
          <cell r="F257" t="str">
            <v/>
          </cell>
          <cell r="L257" t="str">
            <v/>
          </cell>
        </row>
        <row r="258">
          <cell r="F258" t="str">
            <v/>
          </cell>
          <cell r="L258" t="str">
            <v/>
          </cell>
        </row>
        <row r="259">
          <cell r="F259" t="str">
            <v/>
          </cell>
          <cell r="L259" t="str">
            <v/>
          </cell>
        </row>
        <row r="260">
          <cell r="F260" t="str">
            <v/>
          </cell>
          <cell r="L260" t="str">
            <v/>
          </cell>
        </row>
        <row r="261">
          <cell r="F261" t="str">
            <v/>
          </cell>
          <cell r="L261" t="str">
            <v/>
          </cell>
        </row>
        <row r="262">
          <cell r="F262" t="str">
            <v/>
          </cell>
          <cell r="L262" t="str">
            <v/>
          </cell>
        </row>
        <row r="263">
          <cell r="F263" t="str">
            <v/>
          </cell>
          <cell r="L263" t="str">
            <v/>
          </cell>
        </row>
        <row r="264">
          <cell r="F264" t="str">
            <v/>
          </cell>
          <cell r="L264" t="str">
            <v/>
          </cell>
        </row>
        <row r="265">
          <cell r="F265" t="str">
            <v/>
          </cell>
          <cell r="L265" t="str">
            <v/>
          </cell>
        </row>
        <row r="266">
          <cell r="F266" t="str">
            <v/>
          </cell>
          <cell r="L266" t="str">
            <v/>
          </cell>
        </row>
        <row r="267">
          <cell r="F267" t="str">
            <v/>
          </cell>
          <cell r="L267" t="str">
            <v/>
          </cell>
        </row>
        <row r="268">
          <cell r="F268" t="str">
            <v/>
          </cell>
          <cell r="L268" t="str">
            <v/>
          </cell>
        </row>
        <row r="269">
          <cell r="F269" t="str">
            <v/>
          </cell>
          <cell r="L269" t="str">
            <v/>
          </cell>
        </row>
        <row r="270">
          <cell r="F270" t="str">
            <v/>
          </cell>
          <cell r="L270" t="str">
            <v/>
          </cell>
        </row>
        <row r="271">
          <cell r="F271" t="str">
            <v/>
          </cell>
          <cell r="L271" t="str">
            <v/>
          </cell>
        </row>
        <row r="272">
          <cell r="F272" t="str">
            <v/>
          </cell>
          <cell r="L272" t="str">
            <v/>
          </cell>
        </row>
        <row r="273">
          <cell r="F273" t="str">
            <v/>
          </cell>
          <cell r="L273" t="str">
            <v/>
          </cell>
        </row>
        <row r="274">
          <cell r="F274" t="str">
            <v/>
          </cell>
          <cell r="L274" t="str">
            <v/>
          </cell>
        </row>
        <row r="275">
          <cell r="F275" t="str">
            <v/>
          </cell>
          <cell r="L275" t="str">
            <v/>
          </cell>
        </row>
        <row r="276">
          <cell r="F276" t="str">
            <v/>
          </cell>
          <cell r="L276" t="str">
            <v/>
          </cell>
        </row>
        <row r="277">
          <cell r="F277" t="str">
            <v/>
          </cell>
          <cell r="L277" t="str">
            <v/>
          </cell>
        </row>
        <row r="278">
          <cell r="F278" t="str">
            <v/>
          </cell>
          <cell r="L278" t="str">
            <v/>
          </cell>
        </row>
        <row r="279">
          <cell r="F279" t="str">
            <v/>
          </cell>
          <cell r="L279" t="str">
            <v/>
          </cell>
        </row>
        <row r="280">
          <cell r="F280" t="str">
            <v/>
          </cell>
          <cell r="L280" t="str">
            <v/>
          </cell>
        </row>
        <row r="281">
          <cell r="F281" t="str">
            <v/>
          </cell>
          <cell r="L281" t="str">
            <v/>
          </cell>
        </row>
        <row r="282">
          <cell r="F282" t="str">
            <v/>
          </cell>
          <cell r="L282" t="str">
            <v/>
          </cell>
        </row>
        <row r="283">
          <cell r="F283" t="str">
            <v/>
          </cell>
          <cell r="L283" t="str">
            <v/>
          </cell>
        </row>
        <row r="284">
          <cell r="F284" t="str">
            <v/>
          </cell>
          <cell r="L284" t="str">
            <v/>
          </cell>
        </row>
        <row r="285">
          <cell r="F285" t="str">
            <v/>
          </cell>
          <cell r="L285" t="str">
            <v/>
          </cell>
        </row>
        <row r="286">
          <cell r="F286" t="str">
            <v/>
          </cell>
          <cell r="L286" t="str">
            <v/>
          </cell>
        </row>
        <row r="287">
          <cell r="F287" t="str">
            <v/>
          </cell>
          <cell r="L287" t="str">
            <v/>
          </cell>
        </row>
        <row r="288">
          <cell r="F288" t="str">
            <v/>
          </cell>
          <cell r="L288" t="str">
            <v/>
          </cell>
        </row>
        <row r="289">
          <cell r="F289" t="str">
            <v/>
          </cell>
          <cell r="L289" t="str">
            <v/>
          </cell>
        </row>
        <row r="290">
          <cell r="F290" t="str">
            <v/>
          </cell>
          <cell r="L290" t="str">
            <v/>
          </cell>
        </row>
        <row r="291">
          <cell r="F291" t="str">
            <v/>
          </cell>
          <cell r="L291" t="str">
            <v/>
          </cell>
        </row>
        <row r="292">
          <cell r="F292" t="str">
            <v/>
          </cell>
          <cell r="L292" t="str">
            <v/>
          </cell>
        </row>
        <row r="293">
          <cell r="F293" t="str">
            <v/>
          </cell>
          <cell r="L293" t="str">
            <v/>
          </cell>
        </row>
        <row r="294">
          <cell r="F294" t="str">
            <v/>
          </cell>
          <cell r="L294" t="str">
            <v/>
          </cell>
        </row>
        <row r="295">
          <cell r="F295" t="str">
            <v/>
          </cell>
          <cell r="L295" t="str">
            <v/>
          </cell>
        </row>
        <row r="296">
          <cell r="F296" t="str">
            <v/>
          </cell>
          <cell r="L296" t="str">
            <v/>
          </cell>
        </row>
        <row r="297">
          <cell r="F297" t="str">
            <v/>
          </cell>
          <cell r="L297" t="str">
            <v/>
          </cell>
        </row>
        <row r="298">
          <cell r="F298" t="str">
            <v/>
          </cell>
          <cell r="L298" t="str">
            <v/>
          </cell>
        </row>
        <row r="299">
          <cell r="F299" t="str">
            <v/>
          </cell>
          <cell r="L299" t="str">
            <v/>
          </cell>
        </row>
        <row r="300">
          <cell r="F300" t="str">
            <v/>
          </cell>
          <cell r="L300" t="str">
            <v/>
          </cell>
        </row>
        <row r="301">
          <cell r="F301" t="str">
            <v/>
          </cell>
          <cell r="L301" t="str">
            <v/>
          </cell>
        </row>
        <row r="302">
          <cell r="F302" t="str">
            <v/>
          </cell>
          <cell r="L302" t="str">
            <v/>
          </cell>
        </row>
        <row r="303">
          <cell r="F303" t="str">
            <v/>
          </cell>
          <cell r="L303" t="str">
            <v/>
          </cell>
        </row>
        <row r="304">
          <cell r="F304" t="str">
            <v/>
          </cell>
          <cell r="L304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5" tint="0.59999389629810485"/>
  </sheetPr>
  <dimension ref="A1:V162"/>
  <sheetViews>
    <sheetView view="pageBreakPreview" zoomScaleNormal="100" zoomScaleSheetLayoutView="100" workbookViewId="0">
      <selection sqref="A1:C1"/>
    </sheetView>
  </sheetViews>
  <sheetFormatPr defaultColWidth="8.625" defaultRowHeight="16.5" outlineLevelRow="1"/>
  <cols>
    <col min="1" max="1" width="2.75" style="62" customWidth="1"/>
    <col min="2" max="2" width="2.25" style="62" customWidth="1"/>
    <col min="3" max="3" width="8.5" style="62" customWidth="1"/>
    <col min="4" max="4" width="4.125" style="62" customWidth="1"/>
    <col min="5" max="5" width="8.625" style="62" customWidth="1"/>
    <col min="6" max="6" width="3.125" style="123" customWidth="1"/>
    <col min="7" max="7" width="5.25" style="62" customWidth="1"/>
    <col min="8" max="8" width="10.5" style="62" customWidth="1"/>
    <col min="9" max="9" width="21.5" style="62" customWidth="1"/>
    <col min="10" max="10" width="7.375" style="62" customWidth="1"/>
    <col min="11" max="11" width="2.75" style="62" customWidth="1"/>
    <col min="12" max="12" width="16" style="61" customWidth="1"/>
    <col min="13" max="13" width="3.125" style="62" customWidth="1"/>
    <col min="14" max="14" width="3.625" style="62" customWidth="1"/>
    <col min="15" max="15" width="19.875" style="62" customWidth="1"/>
    <col min="16" max="17" width="14.375" style="63" customWidth="1"/>
    <col min="18" max="18" width="16.875" style="63" customWidth="1"/>
    <col min="19" max="19" width="14.625" style="63" customWidth="1"/>
    <col min="20" max="20" width="12.875" style="63" customWidth="1"/>
    <col min="21" max="256" width="8.625" style="62"/>
    <col min="257" max="257" width="2.75" style="62" customWidth="1"/>
    <col min="258" max="258" width="2.25" style="62" customWidth="1"/>
    <col min="259" max="259" width="8.5" style="62" customWidth="1"/>
    <col min="260" max="260" width="4.125" style="62" customWidth="1"/>
    <col min="261" max="261" width="8.625" style="62" customWidth="1"/>
    <col min="262" max="262" width="4.125" style="62" customWidth="1"/>
    <col min="263" max="263" width="5.25" style="62" customWidth="1"/>
    <col min="264" max="264" width="13.75" style="62" customWidth="1"/>
    <col min="265" max="265" width="19.625" style="62" customWidth="1"/>
    <col min="266" max="266" width="7.375" style="62" customWidth="1"/>
    <col min="267" max="267" width="2.75" style="62" customWidth="1"/>
    <col min="268" max="268" width="16" style="62" customWidth="1"/>
    <col min="269" max="269" width="3.125" style="62" customWidth="1"/>
    <col min="270" max="270" width="8.625" style="62"/>
    <col min="271" max="271" width="19.875" style="62" customWidth="1"/>
    <col min="272" max="273" width="14.375" style="62" customWidth="1"/>
    <col min="274" max="274" width="16.875" style="62" customWidth="1"/>
    <col min="275" max="275" width="14.625" style="62" customWidth="1"/>
    <col min="276" max="276" width="12.875" style="62" customWidth="1"/>
    <col min="277" max="512" width="8.625" style="62"/>
    <col min="513" max="513" width="2.75" style="62" customWidth="1"/>
    <col min="514" max="514" width="2.25" style="62" customWidth="1"/>
    <col min="515" max="515" width="8.5" style="62" customWidth="1"/>
    <col min="516" max="516" width="4.125" style="62" customWidth="1"/>
    <col min="517" max="517" width="8.625" style="62" customWidth="1"/>
    <col min="518" max="518" width="4.125" style="62" customWidth="1"/>
    <col min="519" max="519" width="5.25" style="62" customWidth="1"/>
    <col min="520" max="520" width="13.75" style="62" customWidth="1"/>
    <col min="521" max="521" width="19.625" style="62" customWidth="1"/>
    <col min="522" max="522" width="7.375" style="62" customWidth="1"/>
    <col min="523" max="523" width="2.75" style="62" customWidth="1"/>
    <col min="524" max="524" width="16" style="62" customWidth="1"/>
    <col min="525" max="525" width="3.125" style="62" customWidth="1"/>
    <col min="526" max="526" width="8.625" style="62"/>
    <col min="527" max="527" width="19.875" style="62" customWidth="1"/>
    <col min="528" max="529" width="14.375" style="62" customWidth="1"/>
    <col min="530" max="530" width="16.875" style="62" customWidth="1"/>
    <col min="531" max="531" width="14.625" style="62" customWidth="1"/>
    <col min="532" max="532" width="12.875" style="62" customWidth="1"/>
    <col min="533" max="768" width="8.625" style="62"/>
    <col min="769" max="769" width="2.75" style="62" customWidth="1"/>
    <col min="770" max="770" width="2.25" style="62" customWidth="1"/>
    <col min="771" max="771" width="8.5" style="62" customWidth="1"/>
    <col min="772" max="772" width="4.125" style="62" customWidth="1"/>
    <col min="773" max="773" width="8.625" style="62" customWidth="1"/>
    <col min="774" max="774" width="4.125" style="62" customWidth="1"/>
    <col min="775" max="775" width="5.25" style="62" customWidth="1"/>
    <col min="776" max="776" width="13.75" style="62" customWidth="1"/>
    <col min="777" max="777" width="19.625" style="62" customWidth="1"/>
    <col min="778" max="778" width="7.375" style="62" customWidth="1"/>
    <col min="779" max="779" width="2.75" style="62" customWidth="1"/>
    <col min="780" max="780" width="16" style="62" customWidth="1"/>
    <col min="781" max="781" width="3.125" style="62" customWidth="1"/>
    <col min="782" max="782" width="8.625" style="62"/>
    <col min="783" max="783" width="19.875" style="62" customWidth="1"/>
    <col min="784" max="785" width="14.375" style="62" customWidth="1"/>
    <col min="786" max="786" width="16.875" style="62" customWidth="1"/>
    <col min="787" max="787" width="14.625" style="62" customWidth="1"/>
    <col min="788" max="788" width="12.875" style="62" customWidth="1"/>
    <col min="789" max="1024" width="8.625" style="62"/>
    <col min="1025" max="1025" width="2.75" style="62" customWidth="1"/>
    <col min="1026" max="1026" width="2.25" style="62" customWidth="1"/>
    <col min="1027" max="1027" width="8.5" style="62" customWidth="1"/>
    <col min="1028" max="1028" width="4.125" style="62" customWidth="1"/>
    <col min="1029" max="1029" width="8.625" style="62" customWidth="1"/>
    <col min="1030" max="1030" width="4.125" style="62" customWidth="1"/>
    <col min="1031" max="1031" width="5.25" style="62" customWidth="1"/>
    <col min="1032" max="1032" width="13.75" style="62" customWidth="1"/>
    <col min="1033" max="1033" width="19.625" style="62" customWidth="1"/>
    <col min="1034" max="1034" width="7.375" style="62" customWidth="1"/>
    <col min="1035" max="1035" width="2.75" style="62" customWidth="1"/>
    <col min="1036" max="1036" width="16" style="62" customWidth="1"/>
    <col min="1037" max="1037" width="3.125" style="62" customWidth="1"/>
    <col min="1038" max="1038" width="8.625" style="62"/>
    <col min="1039" max="1039" width="19.875" style="62" customWidth="1"/>
    <col min="1040" max="1041" width="14.375" style="62" customWidth="1"/>
    <col min="1042" max="1042" width="16.875" style="62" customWidth="1"/>
    <col min="1043" max="1043" width="14.625" style="62" customWidth="1"/>
    <col min="1044" max="1044" width="12.875" style="62" customWidth="1"/>
    <col min="1045" max="1280" width="8.625" style="62"/>
    <col min="1281" max="1281" width="2.75" style="62" customWidth="1"/>
    <col min="1282" max="1282" width="2.25" style="62" customWidth="1"/>
    <col min="1283" max="1283" width="8.5" style="62" customWidth="1"/>
    <col min="1284" max="1284" width="4.125" style="62" customWidth="1"/>
    <col min="1285" max="1285" width="8.625" style="62" customWidth="1"/>
    <col min="1286" max="1286" width="4.125" style="62" customWidth="1"/>
    <col min="1287" max="1287" width="5.25" style="62" customWidth="1"/>
    <col min="1288" max="1288" width="13.75" style="62" customWidth="1"/>
    <col min="1289" max="1289" width="19.625" style="62" customWidth="1"/>
    <col min="1290" max="1290" width="7.375" style="62" customWidth="1"/>
    <col min="1291" max="1291" width="2.75" style="62" customWidth="1"/>
    <col min="1292" max="1292" width="16" style="62" customWidth="1"/>
    <col min="1293" max="1293" width="3.125" style="62" customWidth="1"/>
    <col min="1294" max="1294" width="8.625" style="62"/>
    <col min="1295" max="1295" width="19.875" style="62" customWidth="1"/>
    <col min="1296" max="1297" width="14.375" style="62" customWidth="1"/>
    <col min="1298" max="1298" width="16.875" style="62" customWidth="1"/>
    <col min="1299" max="1299" width="14.625" style="62" customWidth="1"/>
    <col min="1300" max="1300" width="12.875" style="62" customWidth="1"/>
    <col min="1301" max="1536" width="8.625" style="62"/>
    <col min="1537" max="1537" width="2.75" style="62" customWidth="1"/>
    <col min="1538" max="1538" width="2.25" style="62" customWidth="1"/>
    <col min="1539" max="1539" width="8.5" style="62" customWidth="1"/>
    <col min="1540" max="1540" width="4.125" style="62" customWidth="1"/>
    <col min="1541" max="1541" width="8.625" style="62" customWidth="1"/>
    <col min="1542" max="1542" width="4.125" style="62" customWidth="1"/>
    <col min="1543" max="1543" width="5.25" style="62" customWidth="1"/>
    <col min="1544" max="1544" width="13.75" style="62" customWidth="1"/>
    <col min="1545" max="1545" width="19.625" style="62" customWidth="1"/>
    <col min="1546" max="1546" width="7.375" style="62" customWidth="1"/>
    <col min="1547" max="1547" width="2.75" style="62" customWidth="1"/>
    <col min="1548" max="1548" width="16" style="62" customWidth="1"/>
    <col min="1549" max="1549" width="3.125" style="62" customWidth="1"/>
    <col min="1550" max="1550" width="8.625" style="62"/>
    <col min="1551" max="1551" width="19.875" style="62" customWidth="1"/>
    <col min="1552" max="1553" width="14.375" style="62" customWidth="1"/>
    <col min="1554" max="1554" width="16.875" style="62" customWidth="1"/>
    <col min="1555" max="1555" width="14.625" style="62" customWidth="1"/>
    <col min="1556" max="1556" width="12.875" style="62" customWidth="1"/>
    <col min="1557" max="1792" width="8.625" style="62"/>
    <col min="1793" max="1793" width="2.75" style="62" customWidth="1"/>
    <col min="1794" max="1794" width="2.25" style="62" customWidth="1"/>
    <col min="1795" max="1795" width="8.5" style="62" customWidth="1"/>
    <col min="1796" max="1796" width="4.125" style="62" customWidth="1"/>
    <col min="1797" max="1797" width="8.625" style="62" customWidth="1"/>
    <col min="1798" max="1798" width="4.125" style="62" customWidth="1"/>
    <col min="1799" max="1799" width="5.25" style="62" customWidth="1"/>
    <col min="1800" max="1800" width="13.75" style="62" customWidth="1"/>
    <col min="1801" max="1801" width="19.625" style="62" customWidth="1"/>
    <col min="1802" max="1802" width="7.375" style="62" customWidth="1"/>
    <col min="1803" max="1803" width="2.75" style="62" customWidth="1"/>
    <col min="1804" max="1804" width="16" style="62" customWidth="1"/>
    <col min="1805" max="1805" width="3.125" style="62" customWidth="1"/>
    <col min="1806" max="1806" width="8.625" style="62"/>
    <col min="1807" max="1807" width="19.875" style="62" customWidth="1"/>
    <col min="1808" max="1809" width="14.375" style="62" customWidth="1"/>
    <col min="1810" max="1810" width="16.875" style="62" customWidth="1"/>
    <col min="1811" max="1811" width="14.625" style="62" customWidth="1"/>
    <col min="1812" max="1812" width="12.875" style="62" customWidth="1"/>
    <col min="1813" max="2048" width="8.625" style="62"/>
    <col min="2049" max="2049" width="2.75" style="62" customWidth="1"/>
    <col min="2050" max="2050" width="2.25" style="62" customWidth="1"/>
    <col min="2051" max="2051" width="8.5" style="62" customWidth="1"/>
    <col min="2052" max="2052" width="4.125" style="62" customWidth="1"/>
    <col min="2053" max="2053" width="8.625" style="62" customWidth="1"/>
    <col min="2054" max="2054" width="4.125" style="62" customWidth="1"/>
    <col min="2055" max="2055" width="5.25" style="62" customWidth="1"/>
    <col min="2056" max="2056" width="13.75" style="62" customWidth="1"/>
    <col min="2057" max="2057" width="19.625" style="62" customWidth="1"/>
    <col min="2058" max="2058" width="7.375" style="62" customWidth="1"/>
    <col min="2059" max="2059" width="2.75" style="62" customWidth="1"/>
    <col min="2060" max="2060" width="16" style="62" customWidth="1"/>
    <col min="2061" max="2061" width="3.125" style="62" customWidth="1"/>
    <col min="2062" max="2062" width="8.625" style="62"/>
    <col min="2063" max="2063" width="19.875" style="62" customWidth="1"/>
    <col min="2064" max="2065" width="14.375" style="62" customWidth="1"/>
    <col min="2066" max="2066" width="16.875" style="62" customWidth="1"/>
    <col min="2067" max="2067" width="14.625" style="62" customWidth="1"/>
    <col min="2068" max="2068" width="12.875" style="62" customWidth="1"/>
    <col min="2069" max="2304" width="8.625" style="62"/>
    <col min="2305" max="2305" width="2.75" style="62" customWidth="1"/>
    <col min="2306" max="2306" width="2.25" style="62" customWidth="1"/>
    <col min="2307" max="2307" width="8.5" style="62" customWidth="1"/>
    <col min="2308" max="2308" width="4.125" style="62" customWidth="1"/>
    <col min="2309" max="2309" width="8.625" style="62" customWidth="1"/>
    <col min="2310" max="2310" width="4.125" style="62" customWidth="1"/>
    <col min="2311" max="2311" width="5.25" style="62" customWidth="1"/>
    <col min="2312" max="2312" width="13.75" style="62" customWidth="1"/>
    <col min="2313" max="2313" width="19.625" style="62" customWidth="1"/>
    <col min="2314" max="2314" width="7.375" style="62" customWidth="1"/>
    <col min="2315" max="2315" width="2.75" style="62" customWidth="1"/>
    <col min="2316" max="2316" width="16" style="62" customWidth="1"/>
    <col min="2317" max="2317" width="3.125" style="62" customWidth="1"/>
    <col min="2318" max="2318" width="8.625" style="62"/>
    <col min="2319" max="2319" width="19.875" style="62" customWidth="1"/>
    <col min="2320" max="2321" width="14.375" style="62" customWidth="1"/>
    <col min="2322" max="2322" width="16.875" style="62" customWidth="1"/>
    <col min="2323" max="2323" width="14.625" style="62" customWidth="1"/>
    <col min="2324" max="2324" width="12.875" style="62" customWidth="1"/>
    <col min="2325" max="2560" width="8.625" style="62"/>
    <col min="2561" max="2561" width="2.75" style="62" customWidth="1"/>
    <col min="2562" max="2562" width="2.25" style="62" customWidth="1"/>
    <col min="2563" max="2563" width="8.5" style="62" customWidth="1"/>
    <col min="2564" max="2564" width="4.125" style="62" customWidth="1"/>
    <col min="2565" max="2565" width="8.625" style="62" customWidth="1"/>
    <col min="2566" max="2566" width="4.125" style="62" customWidth="1"/>
    <col min="2567" max="2567" width="5.25" style="62" customWidth="1"/>
    <col min="2568" max="2568" width="13.75" style="62" customWidth="1"/>
    <col min="2569" max="2569" width="19.625" style="62" customWidth="1"/>
    <col min="2570" max="2570" width="7.375" style="62" customWidth="1"/>
    <col min="2571" max="2571" width="2.75" style="62" customWidth="1"/>
    <col min="2572" max="2572" width="16" style="62" customWidth="1"/>
    <col min="2573" max="2573" width="3.125" style="62" customWidth="1"/>
    <col min="2574" max="2574" width="8.625" style="62"/>
    <col min="2575" max="2575" width="19.875" style="62" customWidth="1"/>
    <col min="2576" max="2577" width="14.375" style="62" customWidth="1"/>
    <col min="2578" max="2578" width="16.875" style="62" customWidth="1"/>
    <col min="2579" max="2579" width="14.625" style="62" customWidth="1"/>
    <col min="2580" max="2580" width="12.875" style="62" customWidth="1"/>
    <col min="2581" max="2816" width="8.625" style="62"/>
    <col min="2817" max="2817" width="2.75" style="62" customWidth="1"/>
    <col min="2818" max="2818" width="2.25" style="62" customWidth="1"/>
    <col min="2819" max="2819" width="8.5" style="62" customWidth="1"/>
    <col min="2820" max="2820" width="4.125" style="62" customWidth="1"/>
    <col min="2821" max="2821" width="8.625" style="62" customWidth="1"/>
    <col min="2822" max="2822" width="4.125" style="62" customWidth="1"/>
    <col min="2823" max="2823" width="5.25" style="62" customWidth="1"/>
    <col min="2824" max="2824" width="13.75" style="62" customWidth="1"/>
    <col min="2825" max="2825" width="19.625" style="62" customWidth="1"/>
    <col min="2826" max="2826" width="7.375" style="62" customWidth="1"/>
    <col min="2827" max="2827" width="2.75" style="62" customWidth="1"/>
    <col min="2828" max="2828" width="16" style="62" customWidth="1"/>
    <col min="2829" max="2829" width="3.125" style="62" customWidth="1"/>
    <col min="2830" max="2830" width="8.625" style="62"/>
    <col min="2831" max="2831" width="19.875" style="62" customWidth="1"/>
    <col min="2832" max="2833" width="14.375" style="62" customWidth="1"/>
    <col min="2834" max="2834" width="16.875" style="62" customWidth="1"/>
    <col min="2835" max="2835" width="14.625" style="62" customWidth="1"/>
    <col min="2836" max="2836" width="12.875" style="62" customWidth="1"/>
    <col min="2837" max="3072" width="8.625" style="62"/>
    <col min="3073" max="3073" width="2.75" style="62" customWidth="1"/>
    <col min="3074" max="3074" width="2.25" style="62" customWidth="1"/>
    <col min="3075" max="3075" width="8.5" style="62" customWidth="1"/>
    <col min="3076" max="3076" width="4.125" style="62" customWidth="1"/>
    <col min="3077" max="3077" width="8.625" style="62" customWidth="1"/>
    <col min="3078" max="3078" width="4.125" style="62" customWidth="1"/>
    <col min="3079" max="3079" width="5.25" style="62" customWidth="1"/>
    <col min="3080" max="3080" width="13.75" style="62" customWidth="1"/>
    <col min="3081" max="3081" width="19.625" style="62" customWidth="1"/>
    <col min="3082" max="3082" width="7.375" style="62" customWidth="1"/>
    <col min="3083" max="3083" width="2.75" style="62" customWidth="1"/>
    <col min="3084" max="3084" width="16" style="62" customWidth="1"/>
    <col min="3085" max="3085" width="3.125" style="62" customWidth="1"/>
    <col min="3086" max="3086" width="8.625" style="62"/>
    <col min="3087" max="3087" width="19.875" style="62" customWidth="1"/>
    <col min="3088" max="3089" width="14.375" style="62" customWidth="1"/>
    <col min="3090" max="3090" width="16.875" style="62" customWidth="1"/>
    <col min="3091" max="3091" width="14.625" style="62" customWidth="1"/>
    <col min="3092" max="3092" width="12.875" style="62" customWidth="1"/>
    <col min="3093" max="3328" width="8.625" style="62"/>
    <col min="3329" max="3329" width="2.75" style="62" customWidth="1"/>
    <col min="3330" max="3330" width="2.25" style="62" customWidth="1"/>
    <col min="3331" max="3331" width="8.5" style="62" customWidth="1"/>
    <col min="3332" max="3332" width="4.125" style="62" customWidth="1"/>
    <col min="3333" max="3333" width="8.625" style="62" customWidth="1"/>
    <col min="3334" max="3334" width="4.125" style="62" customWidth="1"/>
    <col min="3335" max="3335" width="5.25" style="62" customWidth="1"/>
    <col min="3336" max="3336" width="13.75" style="62" customWidth="1"/>
    <col min="3337" max="3337" width="19.625" style="62" customWidth="1"/>
    <col min="3338" max="3338" width="7.375" style="62" customWidth="1"/>
    <col min="3339" max="3339" width="2.75" style="62" customWidth="1"/>
    <col min="3340" max="3340" width="16" style="62" customWidth="1"/>
    <col min="3341" max="3341" width="3.125" style="62" customWidth="1"/>
    <col min="3342" max="3342" width="8.625" style="62"/>
    <col min="3343" max="3343" width="19.875" style="62" customWidth="1"/>
    <col min="3344" max="3345" width="14.375" style="62" customWidth="1"/>
    <col min="3346" max="3346" width="16.875" style="62" customWidth="1"/>
    <col min="3347" max="3347" width="14.625" style="62" customWidth="1"/>
    <col min="3348" max="3348" width="12.875" style="62" customWidth="1"/>
    <col min="3349" max="3584" width="8.625" style="62"/>
    <col min="3585" max="3585" width="2.75" style="62" customWidth="1"/>
    <col min="3586" max="3586" width="2.25" style="62" customWidth="1"/>
    <col min="3587" max="3587" width="8.5" style="62" customWidth="1"/>
    <col min="3588" max="3588" width="4.125" style="62" customWidth="1"/>
    <col min="3589" max="3589" width="8.625" style="62" customWidth="1"/>
    <col min="3590" max="3590" width="4.125" style="62" customWidth="1"/>
    <col min="3591" max="3591" width="5.25" style="62" customWidth="1"/>
    <col min="3592" max="3592" width="13.75" style="62" customWidth="1"/>
    <col min="3593" max="3593" width="19.625" style="62" customWidth="1"/>
    <col min="3594" max="3594" width="7.375" style="62" customWidth="1"/>
    <col min="3595" max="3595" width="2.75" style="62" customWidth="1"/>
    <col min="3596" max="3596" width="16" style="62" customWidth="1"/>
    <col min="3597" max="3597" width="3.125" style="62" customWidth="1"/>
    <col min="3598" max="3598" width="8.625" style="62"/>
    <col min="3599" max="3599" width="19.875" style="62" customWidth="1"/>
    <col min="3600" max="3601" width="14.375" style="62" customWidth="1"/>
    <col min="3602" max="3602" width="16.875" style="62" customWidth="1"/>
    <col min="3603" max="3603" width="14.625" style="62" customWidth="1"/>
    <col min="3604" max="3604" width="12.875" style="62" customWidth="1"/>
    <col min="3605" max="3840" width="8.625" style="62"/>
    <col min="3841" max="3841" width="2.75" style="62" customWidth="1"/>
    <col min="3842" max="3842" width="2.25" style="62" customWidth="1"/>
    <col min="3843" max="3843" width="8.5" style="62" customWidth="1"/>
    <col min="3844" max="3844" width="4.125" style="62" customWidth="1"/>
    <col min="3845" max="3845" width="8.625" style="62" customWidth="1"/>
    <col min="3846" max="3846" width="4.125" style="62" customWidth="1"/>
    <col min="3847" max="3847" width="5.25" style="62" customWidth="1"/>
    <col min="3848" max="3848" width="13.75" style="62" customWidth="1"/>
    <col min="3849" max="3849" width="19.625" style="62" customWidth="1"/>
    <col min="3850" max="3850" width="7.375" style="62" customWidth="1"/>
    <col min="3851" max="3851" width="2.75" style="62" customWidth="1"/>
    <col min="3852" max="3852" width="16" style="62" customWidth="1"/>
    <col min="3853" max="3853" width="3.125" style="62" customWidth="1"/>
    <col min="3854" max="3854" width="8.625" style="62"/>
    <col min="3855" max="3855" width="19.875" style="62" customWidth="1"/>
    <col min="3856" max="3857" width="14.375" style="62" customWidth="1"/>
    <col min="3858" max="3858" width="16.875" style="62" customWidth="1"/>
    <col min="3859" max="3859" width="14.625" style="62" customWidth="1"/>
    <col min="3860" max="3860" width="12.875" style="62" customWidth="1"/>
    <col min="3861" max="4096" width="8.625" style="62"/>
    <col min="4097" max="4097" width="2.75" style="62" customWidth="1"/>
    <col min="4098" max="4098" width="2.25" style="62" customWidth="1"/>
    <col min="4099" max="4099" width="8.5" style="62" customWidth="1"/>
    <col min="4100" max="4100" width="4.125" style="62" customWidth="1"/>
    <col min="4101" max="4101" width="8.625" style="62" customWidth="1"/>
    <col min="4102" max="4102" width="4.125" style="62" customWidth="1"/>
    <col min="4103" max="4103" width="5.25" style="62" customWidth="1"/>
    <col min="4104" max="4104" width="13.75" style="62" customWidth="1"/>
    <col min="4105" max="4105" width="19.625" style="62" customWidth="1"/>
    <col min="4106" max="4106" width="7.375" style="62" customWidth="1"/>
    <col min="4107" max="4107" width="2.75" style="62" customWidth="1"/>
    <col min="4108" max="4108" width="16" style="62" customWidth="1"/>
    <col min="4109" max="4109" width="3.125" style="62" customWidth="1"/>
    <col min="4110" max="4110" width="8.625" style="62"/>
    <col min="4111" max="4111" width="19.875" style="62" customWidth="1"/>
    <col min="4112" max="4113" width="14.375" style="62" customWidth="1"/>
    <col min="4114" max="4114" width="16.875" style="62" customWidth="1"/>
    <col min="4115" max="4115" width="14.625" style="62" customWidth="1"/>
    <col min="4116" max="4116" width="12.875" style="62" customWidth="1"/>
    <col min="4117" max="4352" width="8.625" style="62"/>
    <col min="4353" max="4353" width="2.75" style="62" customWidth="1"/>
    <col min="4354" max="4354" width="2.25" style="62" customWidth="1"/>
    <col min="4355" max="4355" width="8.5" style="62" customWidth="1"/>
    <col min="4356" max="4356" width="4.125" style="62" customWidth="1"/>
    <col min="4357" max="4357" width="8.625" style="62" customWidth="1"/>
    <col min="4358" max="4358" width="4.125" style="62" customWidth="1"/>
    <col min="4359" max="4359" width="5.25" style="62" customWidth="1"/>
    <col min="4360" max="4360" width="13.75" style="62" customWidth="1"/>
    <col min="4361" max="4361" width="19.625" style="62" customWidth="1"/>
    <col min="4362" max="4362" width="7.375" style="62" customWidth="1"/>
    <col min="4363" max="4363" width="2.75" style="62" customWidth="1"/>
    <col min="4364" max="4364" width="16" style="62" customWidth="1"/>
    <col min="4365" max="4365" width="3.125" style="62" customWidth="1"/>
    <col min="4366" max="4366" width="8.625" style="62"/>
    <col min="4367" max="4367" width="19.875" style="62" customWidth="1"/>
    <col min="4368" max="4369" width="14.375" style="62" customWidth="1"/>
    <col min="4370" max="4370" width="16.875" style="62" customWidth="1"/>
    <col min="4371" max="4371" width="14.625" style="62" customWidth="1"/>
    <col min="4372" max="4372" width="12.875" style="62" customWidth="1"/>
    <col min="4373" max="4608" width="8.625" style="62"/>
    <col min="4609" max="4609" width="2.75" style="62" customWidth="1"/>
    <col min="4610" max="4610" width="2.25" style="62" customWidth="1"/>
    <col min="4611" max="4611" width="8.5" style="62" customWidth="1"/>
    <col min="4612" max="4612" width="4.125" style="62" customWidth="1"/>
    <col min="4613" max="4613" width="8.625" style="62" customWidth="1"/>
    <col min="4614" max="4614" width="4.125" style="62" customWidth="1"/>
    <col min="4615" max="4615" width="5.25" style="62" customWidth="1"/>
    <col min="4616" max="4616" width="13.75" style="62" customWidth="1"/>
    <col min="4617" max="4617" width="19.625" style="62" customWidth="1"/>
    <col min="4618" max="4618" width="7.375" style="62" customWidth="1"/>
    <col min="4619" max="4619" width="2.75" style="62" customWidth="1"/>
    <col min="4620" max="4620" width="16" style="62" customWidth="1"/>
    <col min="4621" max="4621" width="3.125" style="62" customWidth="1"/>
    <col min="4622" max="4622" width="8.625" style="62"/>
    <col min="4623" max="4623" width="19.875" style="62" customWidth="1"/>
    <col min="4624" max="4625" width="14.375" style="62" customWidth="1"/>
    <col min="4626" max="4626" width="16.875" style="62" customWidth="1"/>
    <col min="4627" max="4627" width="14.625" style="62" customWidth="1"/>
    <col min="4628" max="4628" width="12.875" style="62" customWidth="1"/>
    <col min="4629" max="4864" width="8.625" style="62"/>
    <col min="4865" max="4865" width="2.75" style="62" customWidth="1"/>
    <col min="4866" max="4866" width="2.25" style="62" customWidth="1"/>
    <col min="4867" max="4867" width="8.5" style="62" customWidth="1"/>
    <col min="4868" max="4868" width="4.125" style="62" customWidth="1"/>
    <col min="4869" max="4869" width="8.625" style="62" customWidth="1"/>
    <col min="4870" max="4870" width="4.125" style="62" customWidth="1"/>
    <col min="4871" max="4871" width="5.25" style="62" customWidth="1"/>
    <col min="4872" max="4872" width="13.75" style="62" customWidth="1"/>
    <col min="4873" max="4873" width="19.625" style="62" customWidth="1"/>
    <col min="4874" max="4874" width="7.375" style="62" customWidth="1"/>
    <col min="4875" max="4875" width="2.75" style="62" customWidth="1"/>
    <col min="4876" max="4876" width="16" style="62" customWidth="1"/>
    <col min="4877" max="4877" width="3.125" style="62" customWidth="1"/>
    <col min="4878" max="4878" width="8.625" style="62"/>
    <col min="4879" max="4879" width="19.875" style="62" customWidth="1"/>
    <col min="4880" max="4881" width="14.375" style="62" customWidth="1"/>
    <col min="4882" max="4882" width="16.875" style="62" customWidth="1"/>
    <col min="4883" max="4883" width="14.625" style="62" customWidth="1"/>
    <col min="4884" max="4884" width="12.875" style="62" customWidth="1"/>
    <col min="4885" max="5120" width="8.625" style="62"/>
    <col min="5121" max="5121" width="2.75" style="62" customWidth="1"/>
    <col min="5122" max="5122" width="2.25" style="62" customWidth="1"/>
    <col min="5123" max="5123" width="8.5" style="62" customWidth="1"/>
    <col min="5124" max="5124" width="4.125" style="62" customWidth="1"/>
    <col min="5125" max="5125" width="8.625" style="62" customWidth="1"/>
    <col min="5126" max="5126" width="4.125" style="62" customWidth="1"/>
    <col min="5127" max="5127" width="5.25" style="62" customWidth="1"/>
    <col min="5128" max="5128" width="13.75" style="62" customWidth="1"/>
    <col min="5129" max="5129" width="19.625" style="62" customWidth="1"/>
    <col min="5130" max="5130" width="7.375" style="62" customWidth="1"/>
    <col min="5131" max="5131" width="2.75" style="62" customWidth="1"/>
    <col min="5132" max="5132" width="16" style="62" customWidth="1"/>
    <col min="5133" max="5133" width="3.125" style="62" customWidth="1"/>
    <col min="5134" max="5134" width="8.625" style="62"/>
    <col min="5135" max="5135" width="19.875" style="62" customWidth="1"/>
    <col min="5136" max="5137" width="14.375" style="62" customWidth="1"/>
    <col min="5138" max="5138" width="16.875" style="62" customWidth="1"/>
    <col min="5139" max="5139" width="14.625" style="62" customWidth="1"/>
    <col min="5140" max="5140" width="12.875" style="62" customWidth="1"/>
    <col min="5141" max="5376" width="8.625" style="62"/>
    <col min="5377" max="5377" width="2.75" style="62" customWidth="1"/>
    <col min="5378" max="5378" width="2.25" style="62" customWidth="1"/>
    <col min="5379" max="5379" width="8.5" style="62" customWidth="1"/>
    <col min="5380" max="5380" width="4.125" style="62" customWidth="1"/>
    <col min="5381" max="5381" width="8.625" style="62" customWidth="1"/>
    <col min="5382" max="5382" width="4.125" style="62" customWidth="1"/>
    <col min="5383" max="5383" width="5.25" style="62" customWidth="1"/>
    <col min="5384" max="5384" width="13.75" style="62" customWidth="1"/>
    <col min="5385" max="5385" width="19.625" style="62" customWidth="1"/>
    <col min="5386" max="5386" width="7.375" style="62" customWidth="1"/>
    <col min="5387" max="5387" width="2.75" style="62" customWidth="1"/>
    <col min="5388" max="5388" width="16" style="62" customWidth="1"/>
    <col min="5389" max="5389" width="3.125" style="62" customWidth="1"/>
    <col min="5390" max="5390" width="8.625" style="62"/>
    <col min="5391" max="5391" width="19.875" style="62" customWidth="1"/>
    <col min="5392" max="5393" width="14.375" style="62" customWidth="1"/>
    <col min="5394" max="5394" width="16.875" style="62" customWidth="1"/>
    <col min="5395" max="5395" width="14.625" style="62" customWidth="1"/>
    <col min="5396" max="5396" width="12.875" style="62" customWidth="1"/>
    <col min="5397" max="5632" width="8.625" style="62"/>
    <col min="5633" max="5633" width="2.75" style="62" customWidth="1"/>
    <col min="5634" max="5634" width="2.25" style="62" customWidth="1"/>
    <col min="5635" max="5635" width="8.5" style="62" customWidth="1"/>
    <col min="5636" max="5636" width="4.125" style="62" customWidth="1"/>
    <col min="5637" max="5637" width="8.625" style="62" customWidth="1"/>
    <col min="5638" max="5638" width="4.125" style="62" customWidth="1"/>
    <col min="5639" max="5639" width="5.25" style="62" customWidth="1"/>
    <col min="5640" max="5640" width="13.75" style="62" customWidth="1"/>
    <col min="5641" max="5641" width="19.625" style="62" customWidth="1"/>
    <col min="5642" max="5642" width="7.375" style="62" customWidth="1"/>
    <col min="5643" max="5643" width="2.75" style="62" customWidth="1"/>
    <col min="5644" max="5644" width="16" style="62" customWidth="1"/>
    <col min="5645" max="5645" width="3.125" style="62" customWidth="1"/>
    <col min="5646" max="5646" width="8.625" style="62"/>
    <col min="5647" max="5647" width="19.875" style="62" customWidth="1"/>
    <col min="5648" max="5649" width="14.375" style="62" customWidth="1"/>
    <col min="5650" max="5650" width="16.875" style="62" customWidth="1"/>
    <col min="5651" max="5651" width="14.625" style="62" customWidth="1"/>
    <col min="5652" max="5652" width="12.875" style="62" customWidth="1"/>
    <col min="5653" max="5888" width="8.625" style="62"/>
    <col min="5889" max="5889" width="2.75" style="62" customWidth="1"/>
    <col min="5890" max="5890" width="2.25" style="62" customWidth="1"/>
    <col min="5891" max="5891" width="8.5" style="62" customWidth="1"/>
    <col min="5892" max="5892" width="4.125" style="62" customWidth="1"/>
    <col min="5893" max="5893" width="8.625" style="62" customWidth="1"/>
    <col min="5894" max="5894" width="4.125" style="62" customWidth="1"/>
    <col min="5895" max="5895" width="5.25" style="62" customWidth="1"/>
    <col min="5896" max="5896" width="13.75" style="62" customWidth="1"/>
    <col min="5897" max="5897" width="19.625" style="62" customWidth="1"/>
    <col min="5898" max="5898" width="7.375" style="62" customWidth="1"/>
    <col min="5899" max="5899" width="2.75" style="62" customWidth="1"/>
    <col min="5900" max="5900" width="16" style="62" customWidth="1"/>
    <col min="5901" max="5901" width="3.125" style="62" customWidth="1"/>
    <col min="5902" max="5902" width="8.625" style="62"/>
    <col min="5903" max="5903" width="19.875" style="62" customWidth="1"/>
    <col min="5904" max="5905" width="14.375" style="62" customWidth="1"/>
    <col min="5906" max="5906" width="16.875" style="62" customWidth="1"/>
    <col min="5907" max="5907" width="14.625" style="62" customWidth="1"/>
    <col min="5908" max="5908" width="12.875" style="62" customWidth="1"/>
    <col min="5909" max="6144" width="8.625" style="62"/>
    <col min="6145" max="6145" width="2.75" style="62" customWidth="1"/>
    <col min="6146" max="6146" width="2.25" style="62" customWidth="1"/>
    <col min="6147" max="6147" width="8.5" style="62" customWidth="1"/>
    <col min="6148" max="6148" width="4.125" style="62" customWidth="1"/>
    <col min="6149" max="6149" width="8.625" style="62" customWidth="1"/>
    <col min="6150" max="6150" width="4.125" style="62" customWidth="1"/>
    <col min="6151" max="6151" width="5.25" style="62" customWidth="1"/>
    <col min="6152" max="6152" width="13.75" style="62" customWidth="1"/>
    <col min="6153" max="6153" width="19.625" style="62" customWidth="1"/>
    <col min="6154" max="6154" width="7.375" style="62" customWidth="1"/>
    <col min="6155" max="6155" width="2.75" style="62" customWidth="1"/>
    <col min="6156" max="6156" width="16" style="62" customWidth="1"/>
    <col min="6157" max="6157" width="3.125" style="62" customWidth="1"/>
    <col min="6158" max="6158" width="8.625" style="62"/>
    <col min="6159" max="6159" width="19.875" style="62" customWidth="1"/>
    <col min="6160" max="6161" width="14.375" style="62" customWidth="1"/>
    <col min="6162" max="6162" width="16.875" style="62" customWidth="1"/>
    <col min="6163" max="6163" width="14.625" style="62" customWidth="1"/>
    <col min="6164" max="6164" width="12.875" style="62" customWidth="1"/>
    <col min="6165" max="6400" width="8.625" style="62"/>
    <col min="6401" max="6401" width="2.75" style="62" customWidth="1"/>
    <col min="6402" max="6402" width="2.25" style="62" customWidth="1"/>
    <col min="6403" max="6403" width="8.5" style="62" customWidth="1"/>
    <col min="6404" max="6404" width="4.125" style="62" customWidth="1"/>
    <col min="6405" max="6405" width="8.625" style="62" customWidth="1"/>
    <col min="6406" max="6406" width="4.125" style="62" customWidth="1"/>
    <col min="6407" max="6407" width="5.25" style="62" customWidth="1"/>
    <col min="6408" max="6408" width="13.75" style="62" customWidth="1"/>
    <col min="6409" max="6409" width="19.625" style="62" customWidth="1"/>
    <col min="6410" max="6410" width="7.375" style="62" customWidth="1"/>
    <col min="6411" max="6411" width="2.75" style="62" customWidth="1"/>
    <col min="6412" max="6412" width="16" style="62" customWidth="1"/>
    <col min="6413" max="6413" width="3.125" style="62" customWidth="1"/>
    <col min="6414" max="6414" width="8.625" style="62"/>
    <col min="6415" max="6415" width="19.875" style="62" customWidth="1"/>
    <col min="6416" max="6417" width="14.375" style="62" customWidth="1"/>
    <col min="6418" max="6418" width="16.875" style="62" customWidth="1"/>
    <col min="6419" max="6419" width="14.625" style="62" customWidth="1"/>
    <col min="6420" max="6420" width="12.875" style="62" customWidth="1"/>
    <col min="6421" max="6656" width="8.625" style="62"/>
    <col min="6657" max="6657" width="2.75" style="62" customWidth="1"/>
    <col min="6658" max="6658" width="2.25" style="62" customWidth="1"/>
    <col min="6659" max="6659" width="8.5" style="62" customWidth="1"/>
    <col min="6660" max="6660" width="4.125" style="62" customWidth="1"/>
    <col min="6661" max="6661" width="8.625" style="62" customWidth="1"/>
    <col min="6662" max="6662" width="4.125" style="62" customWidth="1"/>
    <col min="6663" max="6663" width="5.25" style="62" customWidth="1"/>
    <col min="6664" max="6664" width="13.75" style="62" customWidth="1"/>
    <col min="6665" max="6665" width="19.625" style="62" customWidth="1"/>
    <col min="6666" max="6666" width="7.375" style="62" customWidth="1"/>
    <col min="6667" max="6667" width="2.75" style="62" customWidth="1"/>
    <col min="6668" max="6668" width="16" style="62" customWidth="1"/>
    <col min="6669" max="6669" width="3.125" style="62" customWidth="1"/>
    <col min="6670" max="6670" width="8.625" style="62"/>
    <col min="6671" max="6671" width="19.875" style="62" customWidth="1"/>
    <col min="6672" max="6673" width="14.375" style="62" customWidth="1"/>
    <col min="6674" max="6674" width="16.875" style="62" customWidth="1"/>
    <col min="6675" max="6675" width="14.625" style="62" customWidth="1"/>
    <col min="6676" max="6676" width="12.875" style="62" customWidth="1"/>
    <col min="6677" max="6912" width="8.625" style="62"/>
    <col min="6913" max="6913" width="2.75" style="62" customWidth="1"/>
    <col min="6914" max="6914" width="2.25" style="62" customWidth="1"/>
    <col min="6915" max="6915" width="8.5" style="62" customWidth="1"/>
    <col min="6916" max="6916" width="4.125" style="62" customWidth="1"/>
    <col min="6917" max="6917" width="8.625" style="62" customWidth="1"/>
    <col min="6918" max="6918" width="4.125" style="62" customWidth="1"/>
    <col min="6919" max="6919" width="5.25" style="62" customWidth="1"/>
    <col min="6920" max="6920" width="13.75" style="62" customWidth="1"/>
    <col min="6921" max="6921" width="19.625" style="62" customWidth="1"/>
    <col min="6922" max="6922" width="7.375" style="62" customWidth="1"/>
    <col min="6923" max="6923" width="2.75" style="62" customWidth="1"/>
    <col min="6924" max="6924" width="16" style="62" customWidth="1"/>
    <col min="6925" max="6925" width="3.125" style="62" customWidth="1"/>
    <col min="6926" max="6926" width="8.625" style="62"/>
    <col min="6927" max="6927" width="19.875" style="62" customWidth="1"/>
    <col min="6928" max="6929" width="14.375" style="62" customWidth="1"/>
    <col min="6930" max="6930" width="16.875" style="62" customWidth="1"/>
    <col min="6931" max="6931" width="14.625" style="62" customWidth="1"/>
    <col min="6932" max="6932" width="12.875" style="62" customWidth="1"/>
    <col min="6933" max="7168" width="8.625" style="62"/>
    <col min="7169" max="7169" width="2.75" style="62" customWidth="1"/>
    <col min="7170" max="7170" width="2.25" style="62" customWidth="1"/>
    <col min="7171" max="7171" width="8.5" style="62" customWidth="1"/>
    <col min="7172" max="7172" width="4.125" style="62" customWidth="1"/>
    <col min="7173" max="7173" width="8.625" style="62" customWidth="1"/>
    <col min="7174" max="7174" width="4.125" style="62" customWidth="1"/>
    <col min="7175" max="7175" width="5.25" style="62" customWidth="1"/>
    <col min="7176" max="7176" width="13.75" style="62" customWidth="1"/>
    <col min="7177" max="7177" width="19.625" style="62" customWidth="1"/>
    <col min="7178" max="7178" width="7.375" style="62" customWidth="1"/>
    <col min="7179" max="7179" width="2.75" style="62" customWidth="1"/>
    <col min="7180" max="7180" width="16" style="62" customWidth="1"/>
    <col min="7181" max="7181" width="3.125" style="62" customWidth="1"/>
    <col min="7182" max="7182" width="8.625" style="62"/>
    <col min="7183" max="7183" width="19.875" style="62" customWidth="1"/>
    <col min="7184" max="7185" width="14.375" style="62" customWidth="1"/>
    <col min="7186" max="7186" width="16.875" style="62" customWidth="1"/>
    <col min="7187" max="7187" width="14.625" style="62" customWidth="1"/>
    <col min="7188" max="7188" width="12.875" style="62" customWidth="1"/>
    <col min="7189" max="7424" width="8.625" style="62"/>
    <col min="7425" max="7425" width="2.75" style="62" customWidth="1"/>
    <col min="7426" max="7426" width="2.25" style="62" customWidth="1"/>
    <col min="7427" max="7427" width="8.5" style="62" customWidth="1"/>
    <col min="7428" max="7428" width="4.125" style="62" customWidth="1"/>
    <col min="7429" max="7429" width="8.625" style="62" customWidth="1"/>
    <col min="7430" max="7430" width="4.125" style="62" customWidth="1"/>
    <col min="7431" max="7431" width="5.25" style="62" customWidth="1"/>
    <col min="7432" max="7432" width="13.75" style="62" customWidth="1"/>
    <col min="7433" max="7433" width="19.625" style="62" customWidth="1"/>
    <col min="7434" max="7434" width="7.375" style="62" customWidth="1"/>
    <col min="7435" max="7435" width="2.75" style="62" customWidth="1"/>
    <col min="7436" max="7436" width="16" style="62" customWidth="1"/>
    <col min="7437" max="7437" width="3.125" style="62" customWidth="1"/>
    <col min="7438" max="7438" width="8.625" style="62"/>
    <col min="7439" max="7439" width="19.875" style="62" customWidth="1"/>
    <col min="7440" max="7441" width="14.375" style="62" customWidth="1"/>
    <col min="7442" max="7442" width="16.875" style="62" customWidth="1"/>
    <col min="7443" max="7443" width="14.625" style="62" customWidth="1"/>
    <col min="7444" max="7444" width="12.875" style="62" customWidth="1"/>
    <col min="7445" max="7680" width="8.625" style="62"/>
    <col min="7681" max="7681" width="2.75" style="62" customWidth="1"/>
    <col min="7682" max="7682" width="2.25" style="62" customWidth="1"/>
    <col min="7683" max="7683" width="8.5" style="62" customWidth="1"/>
    <col min="7684" max="7684" width="4.125" style="62" customWidth="1"/>
    <col min="7685" max="7685" width="8.625" style="62" customWidth="1"/>
    <col min="7686" max="7686" width="4.125" style="62" customWidth="1"/>
    <col min="7687" max="7687" width="5.25" style="62" customWidth="1"/>
    <col min="7688" max="7688" width="13.75" style="62" customWidth="1"/>
    <col min="7689" max="7689" width="19.625" style="62" customWidth="1"/>
    <col min="7690" max="7690" width="7.375" style="62" customWidth="1"/>
    <col min="7691" max="7691" width="2.75" style="62" customWidth="1"/>
    <col min="7692" max="7692" width="16" style="62" customWidth="1"/>
    <col min="7693" max="7693" width="3.125" style="62" customWidth="1"/>
    <col min="7694" max="7694" width="8.625" style="62"/>
    <col min="7695" max="7695" width="19.875" style="62" customWidth="1"/>
    <col min="7696" max="7697" width="14.375" style="62" customWidth="1"/>
    <col min="7698" max="7698" width="16.875" style="62" customWidth="1"/>
    <col min="7699" max="7699" width="14.625" style="62" customWidth="1"/>
    <col min="7700" max="7700" width="12.875" style="62" customWidth="1"/>
    <col min="7701" max="7936" width="8.625" style="62"/>
    <col min="7937" max="7937" width="2.75" style="62" customWidth="1"/>
    <col min="7938" max="7938" width="2.25" style="62" customWidth="1"/>
    <col min="7939" max="7939" width="8.5" style="62" customWidth="1"/>
    <col min="7940" max="7940" width="4.125" style="62" customWidth="1"/>
    <col min="7941" max="7941" width="8.625" style="62" customWidth="1"/>
    <col min="7942" max="7942" width="4.125" style="62" customWidth="1"/>
    <col min="7943" max="7943" width="5.25" style="62" customWidth="1"/>
    <col min="7944" max="7944" width="13.75" style="62" customWidth="1"/>
    <col min="7945" max="7945" width="19.625" style="62" customWidth="1"/>
    <col min="7946" max="7946" width="7.375" style="62" customWidth="1"/>
    <col min="7947" max="7947" width="2.75" style="62" customWidth="1"/>
    <col min="7948" max="7948" width="16" style="62" customWidth="1"/>
    <col min="7949" max="7949" width="3.125" style="62" customWidth="1"/>
    <col min="7950" max="7950" width="8.625" style="62"/>
    <col min="7951" max="7951" width="19.875" style="62" customWidth="1"/>
    <col min="7952" max="7953" width="14.375" style="62" customWidth="1"/>
    <col min="7954" max="7954" width="16.875" style="62" customWidth="1"/>
    <col min="7955" max="7955" width="14.625" style="62" customWidth="1"/>
    <col min="7956" max="7956" width="12.875" style="62" customWidth="1"/>
    <col min="7957" max="8192" width="8.625" style="62"/>
    <col min="8193" max="8193" width="2.75" style="62" customWidth="1"/>
    <col min="8194" max="8194" width="2.25" style="62" customWidth="1"/>
    <col min="8195" max="8195" width="8.5" style="62" customWidth="1"/>
    <col min="8196" max="8196" width="4.125" style="62" customWidth="1"/>
    <col min="8197" max="8197" width="8.625" style="62" customWidth="1"/>
    <col min="8198" max="8198" width="4.125" style="62" customWidth="1"/>
    <col min="8199" max="8199" width="5.25" style="62" customWidth="1"/>
    <col min="8200" max="8200" width="13.75" style="62" customWidth="1"/>
    <col min="8201" max="8201" width="19.625" style="62" customWidth="1"/>
    <col min="8202" max="8202" width="7.375" style="62" customWidth="1"/>
    <col min="8203" max="8203" width="2.75" style="62" customWidth="1"/>
    <col min="8204" max="8204" width="16" style="62" customWidth="1"/>
    <col min="8205" max="8205" width="3.125" style="62" customWidth="1"/>
    <col min="8206" max="8206" width="8.625" style="62"/>
    <col min="8207" max="8207" width="19.875" style="62" customWidth="1"/>
    <col min="8208" max="8209" width="14.375" style="62" customWidth="1"/>
    <col min="8210" max="8210" width="16.875" style="62" customWidth="1"/>
    <col min="8211" max="8211" width="14.625" style="62" customWidth="1"/>
    <col min="8212" max="8212" width="12.875" style="62" customWidth="1"/>
    <col min="8213" max="8448" width="8.625" style="62"/>
    <col min="8449" max="8449" width="2.75" style="62" customWidth="1"/>
    <col min="8450" max="8450" width="2.25" style="62" customWidth="1"/>
    <col min="8451" max="8451" width="8.5" style="62" customWidth="1"/>
    <col min="8452" max="8452" width="4.125" style="62" customWidth="1"/>
    <col min="8453" max="8453" width="8.625" style="62" customWidth="1"/>
    <col min="8454" max="8454" width="4.125" style="62" customWidth="1"/>
    <col min="8455" max="8455" width="5.25" style="62" customWidth="1"/>
    <col min="8456" max="8456" width="13.75" style="62" customWidth="1"/>
    <col min="8457" max="8457" width="19.625" style="62" customWidth="1"/>
    <col min="8458" max="8458" width="7.375" style="62" customWidth="1"/>
    <col min="8459" max="8459" width="2.75" style="62" customWidth="1"/>
    <col min="8460" max="8460" width="16" style="62" customWidth="1"/>
    <col min="8461" max="8461" width="3.125" style="62" customWidth="1"/>
    <col min="8462" max="8462" width="8.625" style="62"/>
    <col min="8463" max="8463" width="19.875" style="62" customWidth="1"/>
    <col min="8464" max="8465" width="14.375" style="62" customWidth="1"/>
    <col min="8466" max="8466" width="16.875" style="62" customWidth="1"/>
    <col min="8467" max="8467" width="14.625" style="62" customWidth="1"/>
    <col min="8468" max="8468" width="12.875" style="62" customWidth="1"/>
    <col min="8469" max="8704" width="8.625" style="62"/>
    <col min="8705" max="8705" width="2.75" style="62" customWidth="1"/>
    <col min="8706" max="8706" width="2.25" style="62" customWidth="1"/>
    <col min="8707" max="8707" width="8.5" style="62" customWidth="1"/>
    <col min="8708" max="8708" width="4.125" style="62" customWidth="1"/>
    <col min="8709" max="8709" width="8.625" style="62" customWidth="1"/>
    <col min="8710" max="8710" width="4.125" style="62" customWidth="1"/>
    <col min="8711" max="8711" width="5.25" style="62" customWidth="1"/>
    <col min="8712" max="8712" width="13.75" style="62" customWidth="1"/>
    <col min="8713" max="8713" width="19.625" style="62" customWidth="1"/>
    <col min="8714" max="8714" width="7.375" style="62" customWidth="1"/>
    <col min="8715" max="8715" width="2.75" style="62" customWidth="1"/>
    <col min="8716" max="8716" width="16" style="62" customWidth="1"/>
    <col min="8717" max="8717" width="3.125" style="62" customWidth="1"/>
    <col min="8718" max="8718" width="8.625" style="62"/>
    <col min="8719" max="8719" width="19.875" style="62" customWidth="1"/>
    <col min="8720" max="8721" width="14.375" style="62" customWidth="1"/>
    <col min="8722" max="8722" width="16.875" style="62" customWidth="1"/>
    <col min="8723" max="8723" width="14.625" style="62" customWidth="1"/>
    <col min="8724" max="8724" width="12.875" style="62" customWidth="1"/>
    <col min="8725" max="8960" width="8.625" style="62"/>
    <col min="8961" max="8961" width="2.75" style="62" customWidth="1"/>
    <col min="8962" max="8962" width="2.25" style="62" customWidth="1"/>
    <col min="8963" max="8963" width="8.5" style="62" customWidth="1"/>
    <col min="8964" max="8964" width="4.125" style="62" customWidth="1"/>
    <col min="8965" max="8965" width="8.625" style="62" customWidth="1"/>
    <col min="8966" max="8966" width="4.125" style="62" customWidth="1"/>
    <col min="8967" max="8967" width="5.25" style="62" customWidth="1"/>
    <col min="8968" max="8968" width="13.75" style="62" customWidth="1"/>
    <col min="8969" max="8969" width="19.625" style="62" customWidth="1"/>
    <col min="8970" max="8970" width="7.375" style="62" customWidth="1"/>
    <col min="8971" max="8971" width="2.75" style="62" customWidth="1"/>
    <col min="8972" max="8972" width="16" style="62" customWidth="1"/>
    <col min="8973" max="8973" width="3.125" style="62" customWidth="1"/>
    <col min="8974" max="8974" width="8.625" style="62"/>
    <col min="8975" max="8975" width="19.875" style="62" customWidth="1"/>
    <col min="8976" max="8977" width="14.375" style="62" customWidth="1"/>
    <col min="8978" max="8978" width="16.875" style="62" customWidth="1"/>
    <col min="8979" max="8979" width="14.625" style="62" customWidth="1"/>
    <col min="8980" max="8980" width="12.875" style="62" customWidth="1"/>
    <col min="8981" max="9216" width="8.625" style="62"/>
    <col min="9217" max="9217" width="2.75" style="62" customWidth="1"/>
    <col min="9218" max="9218" width="2.25" style="62" customWidth="1"/>
    <col min="9219" max="9219" width="8.5" style="62" customWidth="1"/>
    <col min="9220" max="9220" width="4.125" style="62" customWidth="1"/>
    <col min="9221" max="9221" width="8.625" style="62" customWidth="1"/>
    <col min="9222" max="9222" width="4.125" style="62" customWidth="1"/>
    <col min="9223" max="9223" width="5.25" style="62" customWidth="1"/>
    <col min="9224" max="9224" width="13.75" style="62" customWidth="1"/>
    <col min="9225" max="9225" width="19.625" style="62" customWidth="1"/>
    <col min="9226" max="9226" width="7.375" style="62" customWidth="1"/>
    <col min="9227" max="9227" width="2.75" style="62" customWidth="1"/>
    <col min="9228" max="9228" width="16" style="62" customWidth="1"/>
    <col min="9229" max="9229" width="3.125" style="62" customWidth="1"/>
    <col min="9230" max="9230" width="8.625" style="62"/>
    <col min="9231" max="9231" width="19.875" style="62" customWidth="1"/>
    <col min="9232" max="9233" width="14.375" style="62" customWidth="1"/>
    <col min="9234" max="9234" width="16.875" style="62" customWidth="1"/>
    <col min="9235" max="9235" width="14.625" style="62" customWidth="1"/>
    <col min="9236" max="9236" width="12.875" style="62" customWidth="1"/>
    <col min="9237" max="9472" width="8.625" style="62"/>
    <col min="9473" max="9473" width="2.75" style="62" customWidth="1"/>
    <col min="9474" max="9474" width="2.25" style="62" customWidth="1"/>
    <col min="9475" max="9475" width="8.5" style="62" customWidth="1"/>
    <col min="9476" max="9476" width="4.125" style="62" customWidth="1"/>
    <col min="9477" max="9477" width="8.625" style="62" customWidth="1"/>
    <col min="9478" max="9478" width="4.125" style="62" customWidth="1"/>
    <col min="9479" max="9479" width="5.25" style="62" customWidth="1"/>
    <col min="9480" max="9480" width="13.75" style="62" customWidth="1"/>
    <col min="9481" max="9481" width="19.625" style="62" customWidth="1"/>
    <col min="9482" max="9482" width="7.375" style="62" customWidth="1"/>
    <col min="9483" max="9483" width="2.75" style="62" customWidth="1"/>
    <col min="9484" max="9484" width="16" style="62" customWidth="1"/>
    <col min="9485" max="9485" width="3.125" style="62" customWidth="1"/>
    <col min="9486" max="9486" width="8.625" style="62"/>
    <col min="9487" max="9487" width="19.875" style="62" customWidth="1"/>
    <col min="9488" max="9489" width="14.375" style="62" customWidth="1"/>
    <col min="9490" max="9490" width="16.875" style="62" customWidth="1"/>
    <col min="9491" max="9491" width="14.625" style="62" customWidth="1"/>
    <col min="9492" max="9492" width="12.875" style="62" customWidth="1"/>
    <col min="9493" max="9728" width="8.625" style="62"/>
    <col min="9729" max="9729" width="2.75" style="62" customWidth="1"/>
    <col min="9730" max="9730" width="2.25" style="62" customWidth="1"/>
    <col min="9731" max="9731" width="8.5" style="62" customWidth="1"/>
    <col min="9732" max="9732" width="4.125" style="62" customWidth="1"/>
    <col min="9733" max="9733" width="8.625" style="62" customWidth="1"/>
    <col min="9734" max="9734" width="4.125" style="62" customWidth="1"/>
    <col min="9735" max="9735" width="5.25" style="62" customWidth="1"/>
    <col min="9736" max="9736" width="13.75" style="62" customWidth="1"/>
    <col min="9737" max="9737" width="19.625" style="62" customWidth="1"/>
    <col min="9738" max="9738" width="7.375" style="62" customWidth="1"/>
    <col min="9739" max="9739" width="2.75" style="62" customWidth="1"/>
    <col min="9740" max="9740" width="16" style="62" customWidth="1"/>
    <col min="9741" max="9741" width="3.125" style="62" customWidth="1"/>
    <col min="9742" max="9742" width="8.625" style="62"/>
    <col min="9743" max="9743" width="19.875" style="62" customWidth="1"/>
    <col min="9744" max="9745" width="14.375" style="62" customWidth="1"/>
    <col min="9746" max="9746" width="16.875" style="62" customWidth="1"/>
    <col min="9747" max="9747" width="14.625" style="62" customWidth="1"/>
    <col min="9748" max="9748" width="12.875" style="62" customWidth="1"/>
    <col min="9749" max="9984" width="8.625" style="62"/>
    <col min="9985" max="9985" width="2.75" style="62" customWidth="1"/>
    <col min="9986" max="9986" width="2.25" style="62" customWidth="1"/>
    <col min="9987" max="9987" width="8.5" style="62" customWidth="1"/>
    <col min="9988" max="9988" width="4.125" style="62" customWidth="1"/>
    <col min="9989" max="9989" width="8.625" style="62" customWidth="1"/>
    <col min="9990" max="9990" width="4.125" style="62" customWidth="1"/>
    <col min="9991" max="9991" width="5.25" style="62" customWidth="1"/>
    <col min="9992" max="9992" width="13.75" style="62" customWidth="1"/>
    <col min="9993" max="9993" width="19.625" style="62" customWidth="1"/>
    <col min="9994" max="9994" width="7.375" style="62" customWidth="1"/>
    <col min="9995" max="9995" width="2.75" style="62" customWidth="1"/>
    <col min="9996" max="9996" width="16" style="62" customWidth="1"/>
    <col min="9997" max="9997" width="3.125" style="62" customWidth="1"/>
    <col min="9998" max="9998" width="8.625" style="62"/>
    <col min="9999" max="9999" width="19.875" style="62" customWidth="1"/>
    <col min="10000" max="10001" width="14.375" style="62" customWidth="1"/>
    <col min="10002" max="10002" width="16.875" style="62" customWidth="1"/>
    <col min="10003" max="10003" width="14.625" style="62" customWidth="1"/>
    <col min="10004" max="10004" width="12.875" style="62" customWidth="1"/>
    <col min="10005" max="10240" width="8.625" style="62"/>
    <col min="10241" max="10241" width="2.75" style="62" customWidth="1"/>
    <col min="10242" max="10242" width="2.25" style="62" customWidth="1"/>
    <col min="10243" max="10243" width="8.5" style="62" customWidth="1"/>
    <col min="10244" max="10244" width="4.125" style="62" customWidth="1"/>
    <col min="10245" max="10245" width="8.625" style="62" customWidth="1"/>
    <col min="10246" max="10246" width="4.125" style="62" customWidth="1"/>
    <col min="10247" max="10247" width="5.25" style="62" customWidth="1"/>
    <col min="10248" max="10248" width="13.75" style="62" customWidth="1"/>
    <col min="10249" max="10249" width="19.625" style="62" customWidth="1"/>
    <col min="10250" max="10250" width="7.375" style="62" customWidth="1"/>
    <col min="10251" max="10251" width="2.75" style="62" customWidth="1"/>
    <col min="10252" max="10252" width="16" style="62" customWidth="1"/>
    <col min="10253" max="10253" width="3.125" style="62" customWidth="1"/>
    <col min="10254" max="10254" width="8.625" style="62"/>
    <col min="10255" max="10255" width="19.875" style="62" customWidth="1"/>
    <col min="10256" max="10257" width="14.375" style="62" customWidth="1"/>
    <col min="10258" max="10258" width="16.875" style="62" customWidth="1"/>
    <col min="10259" max="10259" width="14.625" style="62" customWidth="1"/>
    <col min="10260" max="10260" width="12.875" style="62" customWidth="1"/>
    <col min="10261" max="10496" width="8.625" style="62"/>
    <col min="10497" max="10497" width="2.75" style="62" customWidth="1"/>
    <col min="10498" max="10498" width="2.25" style="62" customWidth="1"/>
    <col min="10499" max="10499" width="8.5" style="62" customWidth="1"/>
    <col min="10500" max="10500" width="4.125" style="62" customWidth="1"/>
    <col min="10501" max="10501" width="8.625" style="62" customWidth="1"/>
    <col min="10502" max="10502" width="4.125" style="62" customWidth="1"/>
    <col min="10503" max="10503" width="5.25" style="62" customWidth="1"/>
    <col min="10504" max="10504" width="13.75" style="62" customWidth="1"/>
    <col min="10505" max="10505" width="19.625" style="62" customWidth="1"/>
    <col min="10506" max="10506" width="7.375" style="62" customWidth="1"/>
    <col min="10507" max="10507" width="2.75" style="62" customWidth="1"/>
    <col min="10508" max="10508" width="16" style="62" customWidth="1"/>
    <col min="10509" max="10509" width="3.125" style="62" customWidth="1"/>
    <col min="10510" max="10510" width="8.625" style="62"/>
    <col min="10511" max="10511" width="19.875" style="62" customWidth="1"/>
    <col min="10512" max="10513" width="14.375" style="62" customWidth="1"/>
    <col min="10514" max="10514" width="16.875" style="62" customWidth="1"/>
    <col min="10515" max="10515" width="14.625" style="62" customWidth="1"/>
    <col min="10516" max="10516" width="12.875" style="62" customWidth="1"/>
    <col min="10517" max="10752" width="8.625" style="62"/>
    <col min="10753" max="10753" width="2.75" style="62" customWidth="1"/>
    <col min="10754" max="10754" width="2.25" style="62" customWidth="1"/>
    <col min="10755" max="10755" width="8.5" style="62" customWidth="1"/>
    <col min="10756" max="10756" width="4.125" style="62" customWidth="1"/>
    <col min="10757" max="10757" width="8.625" style="62" customWidth="1"/>
    <col min="10758" max="10758" width="4.125" style="62" customWidth="1"/>
    <col min="10759" max="10759" width="5.25" style="62" customWidth="1"/>
    <col min="10760" max="10760" width="13.75" style="62" customWidth="1"/>
    <col min="10761" max="10761" width="19.625" style="62" customWidth="1"/>
    <col min="10762" max="10762" width="7.375" style="62" customWidth="1"/>
    <col min="10763" max="10763" width="2.75" style="62" customWidth="1"/>
    <col min="10764" max="10764" width="16" style="62" customWidth="1"/>
    <col min="10765" max="10765" width="3.125" style="62" customWidth="1"/>
    <col min="10766" max="10766" width="8.625" style="62"/>
    <col min="10767" max="10767" width="19.875" style="62" customWidth="1"/>
    <col min="10768" max="10769" width="14.375" style="62" customWidth="1"/>
    <col min="10770" max="10770" width="16.875" style="62" customWidth="1"/>
    <col min="10771" max="10771" width="14.625" style="62" customWidth="1"/>
    <col min="10772" max="10772" width="12.875" style="62" customWidth="1"/>
    <col min="10773" max="11008" width="8.625" style="62"/>
    <col min="11009" max="11009" width="2.75" style="62" customWidth="1"/>
    <col min="11010" max="11010" width="2.25" style="62" customWidth="1"/>
    <col min="11011" max="11011" width="8.5" style="62" customWidth="1"/>
    <col min="11012" max="11012" width="4.125" style="62" customWidth="1"/>
    <col min="11013" max="11013" width="8.625" style="62" customWidth="1"/>
    <col min="11014" max="11014" width="4.125" style="62" customWidth="1"/>
    <col min="11015" max="11015" width="5.25" style="62" customWidth="1"/>
    <col min="11016" max="11016" width="13.75" style="62" customWidth="1"/>
    <col min="11017" max="11017" width="19.625" style="62" customWidth="1"/>
    <col min="11018" max="11018" width="7.375" style="62" customWidth="1"/>
    <col min="11019" max="11019" width="2.75" style="62" customWidth="1"/>
    <col min="11020" max="11020" width="16" style="62" customWidth="1"/>
    <col min="11021" max="11021" width="3.125" style="62" customWidth="1"/>
    <col min="11022" max="11022" width="8.625" style="62"/>
    <col min="11023" max="11023" width="19.875" style="62" customWidth="1"/>
    <col min="11024" max="11025" width="14.375" style="62" customWidth="1"/>
    <col min="11026" max="11026" width="16.875" style="62" customWidth="1"/>
    <col min="11027" max="11027" width="14.625" style="62" customWidth="1"/>
    <col min="11028" max="11028" width="12.875" style="62" customWidth="1"/>
    <col min="11029" max="11264" width="8.625" style="62"/>
    <col min="11265" max="11265" width="2.75" style="62" customWidth="1"/>
    <col min="11266" max="11266" width="2.25" style="62" customWidth="1"/>
    <col min="11267" max="11267" width="8.5" style="62" customWidth="1"/>
    <col min="11268" max="11268" width="4.125" style="62" customWidth="1"/>
    <col min="11269" max="11269" width="8.625" style="62" customWidth="1"/>
    <col min="11270" max="11270" width="4.125" style="62" customWidth="1"/>
    <col min="11271" max="11271" width="5.25" style="62" customWidth="1"/>
    <col min="11272" max="11272" width="13.75" style="62" customWidth="1"/>
    <col min="11273" max="11273" width="19.625" style="62" customWidth="1"/>
    <col min="11274" max="11274" width="7.375" style="62" customWidth="1"/>
    <col min="11275" max="11275" width="2.75" style="62" customWidth="1"/>
    <col min="11276" max="11276" width="16" style="62" customWidth="1"/>
    <col min="11277" max="11277" width="3.125" style="62" customWidth="1"/>
    <col min="11278" max="11278" width="8.625" style="62"/>
    <col min="11279" max="11279" width="19.875" style="62" customWidth="1"/>
    <col min="11280" max="11281" width="14.375" style="62" customWidth="1"/>
    <col min="11282" max="11282" width="16.875" style="62" customWidth="1"/>
    <col min="11283" max="11283" width="14.625" style="62" customWidth="1"/>
    <col min="11284" max="11284" width="12.875" style="62" customWidth="1"/>
    <col min="11285" max="11520" width="8.625" style="62"/>
    <col min="11521" max="11521" width="2.75" style="62" customWidth="1"/>
    <col min="11522" max="11522" width="2.25" style="62" customWidth="1"/>
    <col min="11523" max="11523" width="8.5" style="62" customWidth="1"/>
    <col min="11524" max="11524" width="4.125" style="62" customWidth="1"/>
    <col min="11525" max="11525" width="8.625" style="62" customWidth="1"/>
    <col min="11526" max="11526" width="4.125" style="62" customWidth="1"/>
    <col min="11527" max="11527" width="5.25" style="62" customWidth="1"/>
    <col min="11528" max="11528" width="13.75" style="62" customWidth="1"/>
    <col min="11529" max="11529" width="19.625" style="62" customWidth="1"/>
    <col min="11530" max="11530" width="7.375" style="62" customWidth="1"/>
    <col min="11531" max="11531" width="2.75" style="62" customWidth="1"/>
    <col min="11532" max="11532" width="16" style="62" customWidth="1"/>
    <col min="11533" max="11533" width="3.125" style="62" customWidth="1"/>
    <col min="11534" max="11534" width="8.625" style="62"/>
    <col min="11535" max="11535" width="19.875" style="62" customWidth="1"/>
    <col min="11536" max="11537" width="14.375" style="62" customWidth="1"/>
    <col min="11538" max="11538" width="16.875" style="62" customWidth="1"/>
    <col min="11539" max="11539" width="14.625" style="62" customWidth="1"/>
    <col min="11540" max="11540" width="12.875" style="62" customWidth="1"/>
    <col min="11541" max="11776" width="8.625" style="62"/>
    <col min="11777" max="11777" width="2.75" style="62" customWidth="1"/>
    <col min="11778" max="11778" width="2.25" style="62" customWidth="1"/>
    <col min="11779" max="11779" width="8.5" style="62" customWidth="1"/>
    <col min="11780" max="11780" width="4.125" style="62" customWidth="1"/>
    <col min="11781" max="11781" width="8.625" style="62" customWidth="1"/>
    <col min="11782" max="11782" width="4.125" style="62" customWidth="1"/>
    <col min="11783" max="11783" width="5.25" style="62" customWidth="1"/>
    <col min="11784" max="11784" width="13.75" style="62" customWidth="1"/>
    <col min="11785" max="11785" width="19.625" style="62" customWidth="1"/>
    <col min="11786" max="11786" width="7.375" style="62" customWidth="1"/>
    <col min="11787" max="11787" width="2.75" style="62" customWidth="1"/>
    <col min="11788" max="11788" width="16" style="62" customWidth="1"/>
    <col min="11789" max="11789" width="3.125" style="62" customWidth="1"/>
    <col min="11790" max="11790" width="8.625" style="62"/>
    <col min="11791" max="11791" width="19.875" style="62" customWidth="1"/>
    <col min="11792" max="11793" width="14.375" style="62" customWidth="1"/>
    <col min="11794" max="11794" width="16.875" style="62" customWidth="1"/>
    <col min="11795" max="11795" width="14.625" style="62" customWidth="1"/>
    <col min="11796" max="11796" width="12.875" style="62" customWidth="1"/>
    <col min="11797" max="12032" width="8.625" style="62"/>
    <col min="12033" max="12033" width="2.75" style="62" customWidth="1"/>
    <col min="12034" max="12034" width="2.25" style="62" customWidth="1"/>
    <col min="12035" max="12035" width="8.5" style="62" customWidth="1"/>
    <col min="12036" max="12036" width="4.125" style="62" customWidth="1"/>
    <col min="12037" max="12037" width="8.625" style="62" customWidth="1"/>
    <col min="12038" max="12038" width="4.125" style="62" customWidth="1"/>
    <col min="12039" max="12039" width="5.25" style="62" customWidth="1"/>
    <col min="12040" max="12040" width="13.75" style="62" customWidth="1"/>
    <col min="12041" max="12041" width="19.625" style="62" customWidth="1"/>
    <col min="12042" max="12042" width="7.375" style="62" customWidth="1"/>
    <col min="12043" max="12043" width="2.75" style="62" customWidth="1"/>
    <col min="12044" max="12044" width="16" style="62" customWidth="1"/>
    <col min="12045" max="12045" width="3.125" style="62" customWidth="1"/>
    <col min="12046" max="12046" width="8.625" style="62"/>
    <col min="12047" max="12047" width="19.875" style="62" customWidth="1"/>
    <col min="12048" max="12049" width="14.375" style="62" customWidth="1"/>
    <col min="12050" max="12050" width="16.875" style="62" customWidth="1"/>
    <col min="12051" max="12051" width="14.625" style="62" customWidth="1"/>
    <col min="12052" max="12052" width="12.875" style="62" customWidth="1"/>
    <col min="12053" max="12288" width="8.625" style="62"/>
    <col min="12289" max="12289" width="2.75" style="62" customWidth="1"/>
    <col min="12290" max="12290" width="2.25" style="62" customWidth="1"/>
    <col min="12291" max="12291" width="8.5" style="62" customWidth="1"/>
    <col min="12292" max="12292" width="4.125" style="62" customWidth="1"/>
    <col min="12293" max="12293" width="8.625" style="62" customWidth="1"/>
    <col min="12294" max="12294" width="4.125" style="62" customWidth="1"/>
    <col min="12295" max="12295" width="5.25" style="62" customWidth="1"/>
    <col min="12296" max="12296" width="13.75" style="62" customWidth="1"/>
    <col min="12297" max="12297" width="19.625" style="62" customWidth="1"/>
    <col min="12298" max="12298" width="7.375" style="62" customWidth="1"/>
    <col min="12299" max="12299" width="2.75" style="62" customWidth="1"/>
    <col min="12300" max="12300" width="16" style="62" customWidth="1"/>
    <col min="12301" max="12301" width="3.125" style="62" customWidth="1"/>
    <col min="12302" max="12302" width="8.625" style="62"/>
    <col min="12303" max="12303" width="19.875" style="62" customWidth="1"/>
    <col min="12304" max="12305" width="14.375" style="62" customWidth="1"/>
    <col min="12306" max="12306" width="16.875" style="62" customWidth="1"/>
    <col min="12307" max="12307" width="14.625" style="62" customWidth="1"/>
    <col min="12308" max="12308" width="12.875" style="62" customWidth="1"/>
    <col min="12309" max="12544" width="8.625" style="62"/>
    <col min="12545" max="12545" width="2.75" style="62" customWidth="1"/>
    <col min="12546" max="12546" width="2.25" style="62" customWidth="1"/>
    <col min="12547" max="12547" width="8.5" style="62" customWidth="1"/>
    <col min="12548" max="12548" width="4.125" style="62" customWidth="1"/>
    <col min="12549" max="12549" width="8.625" style="62" customWidth="1"/>
    <col min="12550" max="12550" width="4.125" style="62" customWidth="1"/>
    <col min="12551" max="12551" width="5.25" style="62" customWidth="1"/>
    <col min="12552" max="12552" width="13.75" style="62" customWidth="1"/>
    <col min="12553" max="12553" width="19.625" style="62" customWidth="1"/>
    <col min="12554" max="12554" width="7.375" style="62" customWidth="1"/>
    <col min="12555" max="12555" width="2.75" style="62" customWidth="1"/>
    <col min="12556" max="12556" width="16" style="62" customWidth="1"/>
    <col min="12557" max="12557" width="3.125" style="62" customWidth="1"/>
    <col min="12558" max="12558" width="8.625" style="62"/>
    <col min="12559" max="12559" width="19.875" style="62" customWidth="1"/>
    <col min="12560" max="12561" width="14.375" style="62" customWidth="1"/>
    <col min="12562" max="12562" width="16.875" style="62" customWidth="1"/>
    <col min="12563" max="12563" width="14.625" style="62" customWidth="1"/>
    <col min="12564" max="12564" width="12.875" style="62" customWidth="1"/>
    <col min="12565" max="12800" width="8.625" style="62"/>
    <col min="12801" max="12801" width="2.75" style="62" customWidth="1"/>
    <col min="12802" max="12802" width="2.25" style="62" customWidth="1"/>
    <col min="12803" max="12803" width="8.5" style="62" customWidth="1"/>
    <col min="12804" max="12804" width="4.125" style="62" customWidth="1"/>
    <col min="12805" max="12805" width="8.625" style="62" customWidth="1"/>
    <col min="12806" max="12806" width="4.125" style="62" customWidth="1"/>
    <col min="12807" max="12807" width="5.25" style="62" customWidth="1"/>
    <col min="12808" max="12808" width="13.75" style="62" customWidth="1"/>
    <col min="12809" max="12809" width="19.625" style="62" customWidth="1"/>
    <col min="12810" max="12810" width="7.375" style="62" customWidth="1"/>
    <col min="12811" max="12811" width="2.75" style="62" customWidth="1"/>
    <col min="12812" max="12812" width="16" style="62" customWidth="1"/>
    <col min="12813" max="12813" width="3.125" style="62" customWidth="1"/>
    <col min="12814" max="12814" width="8.625" style="62"/>
    <col min="12815" max="12815" width="19.875" style="62" customWidth="1"/>
    <col min="12816" max="12817" width="14.375" style="62" customWidth="1"/>
    <col min="12818" max="12818" width="16.875" style="62" customWidth="1"/>
    <col min="12819" max="12819" width="14.625" style="62" customWidth="1"/>
    <col min="12820" max="12820" width="12.875" style="62" customWidth="1"/>
    <col min="12821" max="13056" width="8.625" style="62"/>
    <col min="13057" max="13057" width="2.75" style="62" customWidth="1"/>
    <col min="13058" max="13058" width="2.25" style="62" customWidth="1"/>
    <col min="13059" max="13059" width="8.5" style="62" customWidth="1"/>
    <col min="13060" max="13060" width="4.125" style="62" customWidth="1"/>
    <col min="13061" max="13061" width="8.625" style="62" customWidth="1"/>
    <col min="13062" max="13062" width="4.125" style="62" customWidth="1"/>
    <col min="13063" max="13063" width="5.25" style="62" customWidth="1"/>
    <col min="13064" max="13064" width="13.75" style="62" customWidth="1"/>
    <col min="13065" max="13065" width="19.625" style="62" customWidth="1"/>
    <col min="13066" max="13066" width="7.375" style="62" customWidth="1"/>
    <col min="13067" max="13067" width="2.75" style="62" customWidth="1"/>
    <col min="13068" max="13068" width="16" style="62" customWidth="1"/>
    <col min="13069" max="13069" width="3.125" style="62" customWidth="1"/>
    <col min="13070" max="13070" width="8.625" style="62"/>
    <col min="13071" max="13071" width="19.875" style="62" customWidth="1"/>
    <col min="13072" max="13073" width="14.375" style="62" customWidth="1"/>
    <col min="13074" max="13074" width="16.875" style="62" customWidth="1"/>
    <col min="13075" max="13075" width="14.625" style="62" customWidth="1"/>
    <col min="13076" max="13076" width="12.875" style="62" customWidth="1"/>
    <col min="13077" max="13312" width="8.625" style="62"/>
    <col min="13313" max="13313" width="2.75" style="62" customWidth="1"/>
    <col min="13314" max="13314" width="2.25" style="62" customWidth="1"/>
    <col min="13315" max="13315" width="8.5" style="62" customWidth="1"/>
    <col min="13316" max="13316" width="4.125" style="62" customWidth="1"/>
    <col min="13317" max="13317" width="8.625" style="62" customWidth="1"/>
    <col min="13318" max="13318" width="4.125" style="62" customWidth="1"/>
    <col min="13319" max="13319" width="5.25" style="62" customWidth="1"/>
    <col min="13320" max="13320" width="13.75" style="62" customWidth="1"/>
    <col min="13321" max="13321" width="19.625" style="62" customWidth="1"/>
    <col min="13322" max="13322" width="7.375" style="62" customWidth="1"/>
    <col min="13323" max="13323" width="2.75" style="62" customWidth="1"/>
    <col min="13324" max="13324" width="16" style="62" customWidth="1"/>
    <col min="13325" max="13325" width="3.125" style="62" customWidth="1"/>
    <col min="13326" max="13326" width="8.625" style="62"/>
    <col min="13327" max="13327" width="19.875" style="62" customWidth="1"/>
    <col min="13328" max="13329" width="14.375" style="62" customWidth="1"/>
    <col min="13330" max="13330" width="16.875" style="62" customWidth="1"/>
    <col min="13331" max="13331" width="14.625" style="62" customWidth="1"/>
    <col min="13332" max="13332" width="12.875" style="62" customWidth="1"/>
    <col min="13333" max="13568" width="8.625" style="62"/>
    <col min="13569" max="13569" width="2.75" style="62" customWidth="1"/>
    <col min="13570" max="13570" width="2.25" style="62" customWidth="1"/>
    <col min="13571" max="13571" width="8.5" style="62" customWidth="1"/>
    <col min="13572" max="13572" width="4.125" style="62" customWidth="1"/>
    <col min="13573" max="13573" width="8.625" style="62" customWidth="1"/>
    <col min="13574" max="13574" width="4.125" style="62" customWidth="1"/>
    <col min="13575" max="13575" width="5.25" style="62" customWidth="1"/>
    <col min="13576" max="13576" width="13.75" style="62" customWidth="1"/>
    <col min="13577" max="13577" width="19.625" style="62" customWidth="1"/>
    <col min="13578" max="13578" width="7.375" style="62" customWidth="1"/>
    <col min="13579" max="13579" width="2.75" style="62" customWidth="1"/>
    <col min="13580" max="13580" width="16" style="62" customWidth="1"/>
    <col min="13581" max="13581" width="3.125" style="62" customWidth="1"/>
    <col min="13582" max="13582" width="8.625" style="62"/>
    <col min="13583" max="13583" width="19.875" style="62" customWidth="1"/>
    <col min="13584" max="13585" width="14.375" style="62" customWidth="1"/>
    <col min="13586" max="13586" width="16.875" style="62" customWidth="1"/>
    <col min="13587" max="13587" width="14.625" style="62" customWidth="1"/>
    <col min="13588" max="13588" width="12.875" style="62" customWidth="1"/>
    <col min="13589" max="13824" width="8.625" style="62"/>
    <col min="13825" max="13825" width="2.75" style="62" customWidth="1"/>
    <col min="13826" max="13826" width="2.25" style="62" customWidth="1"/>
    <col min="13827" max="13827" width="8.5" style="62" customWidth="1"/>
    <col min="13828" max="13828" width="4.125" style="62" customWidth="1"/>
    <col min="13829" max="13829" width="8.625" style="62" customWidth="1"/>
    <col min="13830" max="13830" width="4.125" style="62" customWidth="1"/>
    <col min="13831" max="13831" width="5.25" style="62" customWidth="1"/>
    <col min="13832" max="13832" width="13.75" style="62" customWidth="1"/>
    <col min="13833" max="13833" width="19.625" style="62" customWidth="1"/>
    <col min="13834" max="13834" width="7.375" style="62" customWidth="1"/>
    <col min="13835" max="13835" width="2.75" style="62" customWidth="1"/>
    <col min="13836" max="13836" width="16" style="62" customWidth="1"/>
    <col min="13837" max="13837" width="3.125" style="62" customWidth="1"/>
    <col min="13838" max="13838" width="8.625" style="62"/>
    <col min="13839" max="13839" width="19.875" style="62" customWidth="1"/>
    <col min="13840" max="13841" width="14.375" style="62" customWidth="1"/>
    <col min="13842" max="13842" width="16.875" style="62" customWidth="1"/>
    <col min="13843" max="13843" width="14.625" style="62" customWidth="1"/>
    <col min="13844" max="13844" width="12.875" style="62" customWidth="1"/>
    <col min="13845" max="14080" width="8.625" style="62"/>
    <col min="14081" max="14081" width="2.75" style="62" customWidth="1"/>
    <col min="14082" max="14082" width="2.25" style="62" customWidth="1"/>
    <col min="14083" max="14083" width="8.5" style="62" customWidth="1"/>
    <col min="14084" max="14084" width="4.125" style="62" customWidth="1"/>
    <col min="14085" max="14085" width="8.625" style="62" customWidth="1"/>
    <col min="14086" max="14086" width="4.125" style="62" customWidth="1"/>
    <col min="14087" max="14087" width="5.25" style="62" customWidth="1"/>
    <col min="14088" max="14088" width="13.75" style="62" customWidth="1"/>
    <col min="14089" max="14089" width="19.625" style="62" customWidth="1"/>
    <col min="14090" max="14090" width="7.375" style="62" customWidth="1"/>
    <col min="14091" max="14091" width="2.75" style="62" customWidth="1"/>
    <col min="14092" max="14092" width="16" style="62" customWidth="1"/>
    <col min="14093" max="14093" width="3.125" style="62" customWidth="1"/>
    <col min="14094" max="14094" width="8.625" style="62"/>
    <col min="14095" max="14095" width="19.875" style="62" customWidth="1"/>
    <col min="14096" max="14097" width="14.375" style="62" customWidth="1"/>
    <col min="14098" max="14098" width="16.875" style="62" customWidth="1"/>
    <col min="14099" max="14099" width="14.625" style="62" customWidth="1"/>
    <col min="14100" max="14100" width="12.875" style="62" customWidth="1"/>
    <col min="14101" max="14336" width="8.625" style="62"/>
    <col min="14337" max="14337" width="2.75" style="62" customWidth="1"/>
    <col min="14338" max="14338" width="2.25" style="62" customWidth="1"/>
    <col min="14339" max="14339" width="8.5" style="62" customWidth="1"/>
    <col min="14340" max="14340" width="4.125" style="62" customWidth="1"/>
    <col min="14341" max="14341" width="8.625" style="62" customWidth="1"/>
    <col min="14342" max="14342" width="4.125" style="62" customWidth="1"/>
    <col min="14343" max="14343" width="5.25" style="62" customWidth="1"/>
    <col min="14344" max="14344" width="13.75" style="62" customWidth="1"/>
    <col min="14345" max="14345" width="19.625" style="62" customWidth="1"/>
    <col min="14346" max="14346" width="7.375" style="62" customWidth="1"/>
    <col min="14347" max="14347" width="2.75" style="62" customWidth="1"/>
    <col min="14348" max="14348" width="16" style="62" customWidth="1"/>
    <col min="14349" max="14349" width="3.125" style="62" customWidth="1"/>
    <col min="14350" max="14350" width="8.625" style="62"/>
    <col min="14351" max="14351" width="19.875" style="62" customWidth="1"/>
    <col min="14352" max="14353" width="14.375" style="62" customWidth="1"/>
    <col min="14354" max="14354" width="16.875" style="62" customWidth="1"/>
    <col min="14355" max="14355" width="14.625" style="62" customWidth="1"/>
    <col min="14356" max="14356" width="12.875" style="62" customWidth="1"/>
    <col min="14357" max="14592" width="8.625" style="62"/>
    <col min="14593" max="14593" width="2.75" style="62" customWidth="1"/>
    <col min="14594" max="14594" width="2.25" style="62" customWidth="1"/>
    <col min="14595" max="14595" width="8.5" style="62" customWidth="1"/>
    <col min="14596" max="14596" width="4.125" style="62" customWidth="1"/>
    <col min="14597" max="14597" width="8.625" style="62" customWidth="1"/>
    <col min="14598" max="14598" width="4.125" style="62" customWidth="1"/>
    <col min="14599" max="14599" width="5.25" style="62" customWidth="1"/>
    <col min="14600" max="14600" width="13.75" style="62" customWidth="1"/>
    <col min="14601" max="14601" width="19.625" style="62" customWidth="1"/>
    <col min="14602" max="14602" width="7.375" style="62" customWidth="1"/>
    <col min="14603" max="14603" width="2.75" style="62" customWidth="1"/>
    <col min="14604" max="14604" width="16" style="62" customWidth="1"/>
    <col min="14605" max="14605" width="3.125" style="62" customWidth="1"/>
    <col min="14606" max="14606" width="8.625" style="62"/>
    <col min="14607" max="14607" width="19.875" style="62" customWidth="1"/>
    <col min="14608" max="14609" width="14.375" style="62" customWidth="1"/>
    <col min="14610" max="14610" width="16.875" style="62" customWidth="1"/>
    <col min="14611" max="14611" width="14.625" style="62" customWidth="1"/>
    <col min="14612" max="14612" width="12.875" style="62" customWidth="1"/>
    <col min="14613" max="14848" width="8.625" style="62"/>
    <col min="14849" max="14849" width="2.75" style="62" customWidth="1"/>
    <col min="14850" max="14850" width="2.25" style="62" customWidth="1"/>
    <col min="14851" max="14851" width="8.5" style="62" customWidth="1"/>
    <col min="14852" max="14852" width="4.125" style="62" customWidth="1"/>
    <col min="14853" max="14853" width="8.625" style="62" customWidth="1"/>
    <col min="14854" max="14854" width="4.125" style="62" customWidth="1"/>
    <col min="14855" max="14855" width="5.25" style="62" customWidth="1"/>
    <col min="14856" max="14856" width="13.75" style="62" customWidth="1"/>
    <col min="14857" max="14857" width="19.625" style="62" customWidth="1"/>
    <col min="14858" max="14858" width="7.375" style="62" customWidth="1"/>
    <col min="14859" max="14859" width="2.75" style="62" customWidth="1"/>
    <col min="14860" max="14860" width="16" style="62" customWidth="1"/>
    <col min="14861" max="14861" width="3.125" style="62" customWidth="1"/>
    <col min="14862" max="14862" width="8.625" style="62"/>
    <col min="14863" max="14863" width="19.875" style="62" customWidth="1"/>
    <col min="14864" max="14865" width="14.375" style="62" customWidth="1"/>
    <col min="14866" max="14866" width="16.875" style="62" customWidth="1"/>
    <col min="14867" max="14867" width="14.625" style="62" customWidth="1"/>
    <col min="14868" max="14868" width="12.875" style="62" customWidth="1"/>
    <col min="14869" max="15104" width="8.625" style="62"/>
    <col min="15105" max="15105" width="2.75" style="62" customWidth="1"/>
    <col min="15106" max="15106" width="2.25" style="62" customWidth="1"/>
    <col min="15107" max="15107" width="8.5" style="62" customWidth="1"/>
    <col min="15108" max="15108" width="4.125" style="62" customWidth="1"/>
    <col min="15109" max="15109" width="8.625" style="62" customWidth="1"/>
    <col min="15110" max="15110" width="4.125" style="62" customWidth="1"/>
    <col min="15111" max="15111" width="5.25" style="62" customWidth="1"/>
    <col min="15112" max="15112" width="13.75" style="62" customWidth="1"/>
    <col min="15113" max="15113" width="19.625" style="62" customWidth="1"/>
    <col min="15114" max="15114" width="7.375" style="62" customWidth="1"/>
    <col min="15115" max="15115" width="2.75" style="62" customWidth="1"/>
    <col min="15116" max="15116" width="16" style="62" customWidth="1"/>
    <col min="15117" max="15117" width="3.125" style="62" customWidth="1"/>
    <col min="15118" max="15118" width="8.625" style="62"/>
    <col min="15119" max="15119" width="19.875" style="62" customWidth="1"/>
    <col min="15120" max="15121" width="14.375" style="62" customWidth="1"/>
    <col min="15122" max="15122" width="16.875" style="62" customWidth="1"/>
    <col min="15123" max="15123" width="14.625" style="62" customWidth="1"/>
    <col min="15124" max="15124" width="12.875" style="62" customWidth="1"/>
    <col min="15125" max="15360" width="8.625" style="62"/>
    <col min="15361" max="15361" width="2.75" style="62" customWidth="1"/>
    <col min="15362" max="15362" width="2.25" style="62" customWidth="1"/>
    <col min="15363" max="15363" width="8.5" style="62" customWidth="1"/>
    <col min="15364" max="15364" width="4.125" style="62" customWidth="1"/>
    <col min="15365" max="15365" width="8.625" style="62" customWidth="1"/>
    <col min="15366" max="15366" width="4.125" style="62" customWidth="1"/>
    <col min="15367" max="15367" width="5.25" style="62" customWidth="1"/>
    <col min="15368" max="15368" width="13.75" style="62" customWidth="1"/>
    <col min="15369" max="15369" width="19.625" style="62" customWidth="1"/>
    <col min="15370" max="15370" width="7.375" style="62" customWidth="1"/>
    <col min="15371" max="15371" width="2.75" style="62" customWidth="1"/>
    <col min="15372" max="15372" width="16" style="62" customWidth="1"/>
    <col min="15373" max="15373" width="3.125" style="62" customWidth="1"/>
    <col min="15374" max="15374" width="8.625" style="62"/>
    <col min="15375" max="15375" width="19.875" style="62" customWidth="1"/>
    <col min="15376" max="15377" width="14.375" style="62" customWidth="1"/>
    <col min="15378" max="15378" width="16.875" style="62" customWidth="1"/>
    <col min="15379" max="15379" width="14.625" style="62" customWidth="1"/>
    <col min="15380" max="15380" width="12.875" style="62" customWidth="1"/>
    <col min="15381" max="15616" width="8.625" style="62"/>
    <col min="15617" max="15617" width="2.75" style="62" customWidth="1"/>
    <col min="15618" max="15618" width="2.25" style="62" customWidth="1"/>
    <col min="15619" max="15619" width="8.5" style="62" customWidth="1"/>
    <col min="15620" max="15620" width="4.125" style="62" customWidth="1"/>
    <col min="15621" max="15621" width="8.625" style="62" customWidth="1"/>
    <col min="15622" max="15622" width="4.125" style="62" customWidth="1"/>
    <col min="15623" max="15623" width="5.25" style="62" customWidth="1"/>
    <col min="15624" max="15624" width="13.75" style="62" customWidth="1"/>
    <col min="15625" max="15625" width="19.625" style="62" customWidth="1"/>
    <col min="15626" max="15626" width="7.375" style="62" customWidth="1"/>
    <col min="15627" max="15627" width="2.75" style="62" customWidth="1"/>
    <col min="15628" max="15628" width="16" style="62" customWidth="1"/>
    <col min="15629" max="15629" width="3.125" style="62" customWidth="1"/>
    <col min="15630" max="15630" width="8.625" style="62"/>
    <col min="15631" max="15631" width="19.875" style="62" customWidth="1"/>
    <col min="15632" max="15633" width="14.375" style="62" customWidth="1"/>
    <col min="15634" max="15634" width="16.875" style="62" customWidth="1"/>
    <col min="15635" max="15635" width="14.625" style="62" customWidth="1"/>
    <col min="15636" max="15636" width="12.875" style="62" customWidth="1"/>
    <col min="15637" max="15872" width="8.625" style="62"/>
    <col min="15873" max="15873" width="2.75" style="62" customWidth="1"/>
    <col min="15874" max="15874" width="2.25" style="62" customWidth="1"/>
    <col min="15875" max="15875" width="8.5" style="62" customWidth="1"/>
    <col min="15876" max="15876" width="4.125" style="62" customWidth="1"/>
    <col min="15877" max="15877" width="8.625" style="62" customWidth="1"/>
    <col min="15878" max="15878" width="4.125" style="62" customWidth="1"/>
    <col min="15879" max="15879" width="5.25" style="62" customWidth="1"/>
    <col min="15880" max="15880" width="13.75" style="62" customWidth="1"/>
    <col min="15881" max="15881" width="19.625" style="62" customWidth="1"/>
    <col min="15882" max="15882" width="7.375" style="62" customWidth="1"/>
    <col min="15883" max="15883" width="2.75" style="62" customWidth="1"/>
    <col min="15884" max="15884" width="16" style="62" customWidth="1"/>
    <col min="15885" max="15885" width="3.125" style="62" customWidth="1"/>
    <col min="15886" max="15886" width="8.625" style="62"/>
    <col min="15887" max="15887" width="19.875" style="62" customWidth="1"/>
    <col min="15888" max="15889" width="14.375" style="62" customWidth="1"/>
    <col min="15890" max="15890" width="16.875" style="62" customWidth="1"/>
    <col min="15891" max="15891" width="14.625" style="62" customWidth="1"/>
    <col min="15892" max="15892" width="12.875" style="62" customWidth="1"/>
    <col min="15893" max="16128" width="8.625" style="62"/>
    <col min="16129" max="16129" width="2.75" style="62" customWidth="1"/>
    <col min="16130" max="16130" width="2.25" style="62" customWidth="1"/>
    <col min="16131" max="16131" width="8.5" style="62" customWidth="1"/>
    <col min="16132" max="16132" width="4.125" style="62" customWidth="1"/>
    <col min="16133" max="16133" width="8.625" style="62" customWidth="1"/>
    <col min="16134" max="16134" width="4.125" style="62" customWidth="1"/>
    <col min="16135" max="16135" width="5.25" style="62" customWidth="1"/>
    <col min="16136" max="16136" width="13.75" style="62" customWidth="1"/>
    <col min="16137" max="16137" width="19.625" style="62" customWidth="1"/>
    <col min="16138" max="16138" width="7.375" style="62" customWidth="1"/>
    <col min="16139" max="16139" width="2.75" style="62" customWidth="1"/>
    <col min="16140" max="16140" width="16" style="62" customWidth="1"/>
    <col min="16141" max="16141" width="3.125" style="62" customWidth="1"/>
    <col min="16142" max="16142" width="8.625" style="62"/>
    <col min="16143" max="16143" width="19.875" style="62" customWidth="1"/>
    <col min="16144" max="16145" width="14.375" style="62" customWidth="1"/>
    <col min="16146" max="16146" width="16.875" style="62" customWidth="1"/>
    <col min="16147" max="16147" width="14.625" style="62" customWidth="1"/>
    <col min="16148" max="16148" width="12.875" style="62" customWidth="1"/>
    <col min="16149" max="16384" width="8.625" style="62"/>
  </cols>
  <sheetData>
    <row r="1" spans="1:22" ht="9.75" customHeight="1">
      <c r="A1" s="249"/>
      <c r="B1" s="249"/>
      <c r="C1" s="249"/>
      <c r="D1" s="60"/>
      <c r="E1" s="60"/>
      <c r="F1" s="61"/>
      <c r="G1" s="60"/>
      <c r="H1" s="60"/>
      <c r="I1" s="60"/>
      <c r="J1" s="60"/>
      <c r="K1" s="60"/>
      <c r="M1" s="60"/>
    </row>
    <row r="2" spans="1:22" ht="46.5" customHeight="1">
      <c r="A2" s="250" t="s">
        <v>279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2"/>
    </row>
    <row r="3" spans="1:22" s="60" customFormat="1" ht="24" customHeight="1">
      <c r="A3" s="245" t="s">
        <v>177</v>
      </c>
      <c r="B3" s="246"/>
      <c r="C3" s="247" t="s">
        <v>178</v>
      </c>
      <c r="D3" s="247"/>
      <c r="E3" s="247"/>
      <c r="F3" s="65" t="s">
        <v>179</v>
      </c>
      <c r="G3" s="253" t="e">
        <f>#REF!</f>
        <v>#REF!</v>
      </c>
      <c r="H3" s="253"/>
      <c r="I3" s="253"/>
      <c r="J3" s="253"/>
      <c r="K3" s="253"/>
      <c r="L3" s="253"/>
      <c r="M3" s="254"/>
      <c r="P3" s="66"/>
      <c r="Q3" s="66"/>
      <c r="R3" s="66"/>
      <c r="S3" s="66"/>
      <c r="T3" s="66"/>
    </row>
    <row r="4" spans="1:22" s="60" customFormat="1" ht="24" customHeight="1">
      <c r="A4" s="245" t="s">
        <v>180</v>
      </c>
      <c r="B4" s="246"/>
      <c r="C4" s="247" t="s">
        <v>181</v>
      </c>
      <c r="D4" s="247"/>
      <c r="E4" s="247"/>
      <c r="F4" s="65" t="s">
        <v>179</v>
      </c>
      <c r="G4" s="248" t="str">
        <f>"일금" &amp; TEXT(L4, "[dbnum4] g/표준") &amp; "원정"</f>
        <v>일금 일십팔억칠천육백칠십팔만칠천원정</v>
      </c>
      <c r="H4" s="248"/>
      <c r="I4" s="248"/>
      <c r="J4" s="248"/>
      <c r="K4" s="64" t="s">
        <v>182</v>
      </c>
      <c r="L4" s="67">
        <v>1876787000</v>
      </c>
      <c r="M4" s="68" t="s">
        <v>183</v>
      </c>
      <c r="O4" s="69"/>
      <c r="P4" s="66"/>
      <c r="Q4" s="66"/>
      <c r="R4" s="66"/>
      <c r="S4" s="66"/>
      <c r="T4" s="66"/>
    </row>
    <row r="5" spans="1:22" s="60" customFormat="1" ht="24" customHeight="1">
      <c r="A5" s="245" t="s">
        <v>184</v>
      </c>
      <c r="B5" s="246"/>
      <c r="C5" s="247" t="s">
        <v>185</v>
      </c>
      <c r="D5" s="247"/>
      <c r="E5" s="247"/>
      <c r="F5" s="65" t="s">
        <v>179</v>
      </c>
      <c r="G5" s="255">
        <v>44197</v>
      </c>
      <c r="H5" s="255"/>
      <c r="I5" s="255"/>
      <c r="J5" s="70"/>
      <c r="K5" s="64"/>
      <c r="L5" s="67"/>
      <c r="M5" s="68"/>
      <c r="P5" s="66"/>
      <c r="Q5" s="66"/>
      <c r="R5" s="66"/>
      <c r="S5" s="66"/>
      <c r="T5" s="66"/>
    </row>
    <row r="6" spans="1:22" s="60" customFormat="1" ht="24" customHeight="1">
      <c r="A6" s="245" t="s">
        <v>186</v>
      </c>
      <c r="B6" s="246"/>
      <c r="C6" s="247" t="s">
        <v>187</v>
      </c>
      <c r="D6" s="247"/>
      <c r="E6" s="247"/>
      <c r="F6" s="65" t="s">
        <v>179</v>
      </c>
      <c r="G6" s="255">
        <v>44198</v>
      </c>
      <c r="H6" s="255"/>
      <c r="I6" s="255"/>
      <c r="J6" s="71"/>
      <c r="K6" s="64"/>
      <c r="L6" s="67"/>
      <c r="M6" s="68"/>
      <c r="P6" s="66"/>
      <c r="Q6" s="66">
        <v>661526622</v>
      </c>
      <c r="R6" s="66">
        <f>Q6*0.1</f>
        <v>66152662.200000003</v>
      </c>
      <c r="S6" s="66">
        <f>Q6+R6</f>
        <v>727679284.20000005</v>
      </c>
      <c r="T6" s="66"/>
    </row>
    <row r="7" spans="1:22" s="60" customFormat="1" ht="24" customHeight="1">
      <c r="A7" s="245" t="s">
        <v>188</v>
      </c>
      <c r="B7" s="246"/>
      <c r="C7" s="247" t="s">
        <v>189</v>
      </c>
      <c r="D7" s="247"/>
      <c r="E7" s="247"/>
      <c r="F7" s="65" t="s">
        <v>179</v>
      </c>
      <c r="G7" s="255">
        <v>44199</v>
      </c>
      <c r="H7" s="255"/>
      <c r="I7" s="255"/>
      <c r="J7" s="71"/>
      <c r="K7" s="64"/>
      <c r="L7" s="67"/>
      <c r="M7" s="68"/>
      <c r="P7" s="66"/>
      <c r="Q7" s="66">
        <f>P7/1.1</f>
        <v>0</v>
      </c>
      <c r="R7" s="66">
        <f>Q7*0.1</f>
        <v>0</v>
      </c>
      <c r="S7" s="66">
        <f>SUM(Q7:R7)</f>
        <v>0</v>
      </c>
      <c r="T7" s="66"/>
    </row>
    <row r="8" spans="1:22" s="60" customFormat="1" ht="24" customHeight="1">
      <c r="A8" s="256" t="s">
        <v>190</v>
      </c>
      <c r="B8" s="257"/>
      <c r="C8" s="258" t="s">
        <v>191</v>
      </c>
      <c r="D8" s="258"/>
      <c r="E8" s="258"/>
      <c r="F8" s="73" t="s">
        <v>179</v>
      </c>
      <c r="G8" s="259" t="str">
        <f xml:space="preserve"> "일금 " &amp; NUMBERSTRING(L8, 1) &amp; "원정"</f>
        <v>일금 칠억이천칠백육십칠만구천이백팔십사원정</v>
      </c>
      <c r="H8" s="259"/>
      <c r="I8" s="259"/>
      <c r="J8" s="259"/>
      <c r="K8" s="72" t="s">
        <v>182</v>
      </c>
      <c r="L8" s="74">
        <f>S6</f>
        <v>727679284.20000005</v>
      </c>
      <c r="M8" s="75" t="s">
        <v>183</v>
      </c>
      <c r="O8" s="76"/>
      <c r="P8" s="77"/>
      <c r="Q8" s="66"/>
      <c r="R8" s="66"/>
      <c r="S8" s="66"/>
      <c r="T8" s="66"/>
    </row>
    <row r="9" spans="1:22" s="60" customFormat="1" ht="24" customHeight="1">
      <c r="A9" s="245" t="s">
        <v>192</v>
      </c>
      <c r="B9" s="246"/>
      <c r="C9" s="247" t="s">
        <v>193</v>
      </c>
      <c r="D9" s="247"/>
      <c r="E9" s="247"/>
      <c r="F9" s="65" t="s">
        <v>179</v>
      </c>
      <c r="G9" s="248" t="str">
        <f xml:space="preserve"> "일금 " &amp; NUMBERSTRING(L9, 1) &amp; "원정"</f>
        <v>일금 영원정</v>
      </c>
      <c r="H9" s="248"/>
      <c r="I9" s="248"/>
      <c r="J9" s="248"/>
      <c r="K9" s="64" t="s">
        <v>182</v>
      </c>
      <c r="L9" s="67">
        <f>집계표!G18</f>
        <v>0</v>
      </c>
      <c r="M9" s="68" t="s">
        <v>183</v>
      </c>
      <c r="O9" s="60" t="s">
        <v>194</v>
      </c>
      <c r="P9" s="78" t="s">
        <v>195</v>
      </c>
      <c r="Q9" s="78" t="s">
        <v>196</v>
      </c>
      <c r="R9" s="78" t="s">
        <v>197</v>
      </c>
      <c r="S9" s="78" t="s">
        <v>195</v>
      </c>
      <c r="T9" s="66"/>
    </row>
    <row r="10" spans="1:22" s="60" customFormat="1" ht="24" customHeight="1">
      <c r="A10" s="256" t="s">
        <v>198</v>
      </c>
      <c r="B10" s="257"/>
      <c r="C10" s="258" t="s">
        <v>199</v>
      </c>
      <c r="D10" s="258"/>
      <c r="E10" s="258"/>
      <c r="F10" s="73" t="s">
        <v>179</v>
      </c>
      <c r="G10" s="259" t="str">
        <f xml:space="preserve"> "일금 " &amp; NUMBERSTRING(L10, 1) &amp; "원정"</f>
        <v>일금 영원정</v>
      </c>
      <c r="H10" s="259"/>
      <c r="I10" s="259"/>
      <c r="J10" s="259"/>
      <c r="K10" s="72" t="s">
        <v>182</v>
      </c>
      <c r="L10" s="74">
        <f>L11+L13+L15+L17+L19</f>
        <v>0</v>
      </c>
      <c r="M10" s="79" t="s">
        <v>183</v>
      </c>
      <c r="O10" s="76"/>
      <c r="P10" s="80">
        <f>L10</f>
        <v>0</v>
      </c>
      <c r="Q10" s="66">
        <f>TRUNC(P10/1.1)</f>
        <v>0</v>
      </c>
      <c r="R10" s="66">
        <f>P10-Q10</f>
        <v>0</v>
      </c>
      <c r="S10" s="66">
        <f>Q10+R10</f>
        <v>0</v>
      </c>
      <c r="T10" s="66"/>
      <c r="V10" s="81"/>
    </row>
    <row r="11" spans="1:22" s="60" customFormat="1" ht="15" hidden="1" customHeight="1" outlineLevel="1">
      <c r="A11" s="260"/>
      <c r="B11" s="261"/>
      <c r="C11" s="264" t="s">
        <v>200</v>
      </c>
      <c r="D11" s="264"/>
      <c r="E11" s="264"/>
      <c r="F11" s="265" t="s">
        <v>179</v>
      </c>
      <c r="G11" s="267" t="str">
        <f xml:space="preserve"> "일금 " &amp; NUMBERSTRING(L11, 1) &amp; "원정"</f>
        <v>일금 영원정</v>
      </c>
      <c r="H11" s="267"/>
      <c r="I11" s="267"/>
      <c r="J11" s="267"/>
      <c r="K11" s="275" t="s">
        <v>182</v>
      </c>
      <c r="L11" s="276">
        <f>집계표!H7</f>
        <v>0</v>
      </c>
      <c r="M11" s="274" t="s">
        <v>183</v>
      </c>
      <c r="O11" s="76" t="s">
        <v>201</v>
      </c>
      <c r="P11" s="80">
        <f>L11</f>
        <v>0</v>
      </c>
      <c r="Q11" s="66">
        <f>TRUNC(P11/1.1)</f>
        <v>0</v>
      </c>
      <c r="R11" s="66">
        <f>P11-Q11</f>
        <v>0</v>
      </c>
      <c r="S11" s="66">
        <f>Q11+R11</f>
        <v>0</v>
      </c>
      <c r="T11" s="66"/>
    </row>
    <row r="12" spans="1:22" s="60" customFormat="1" ht="15" hidden="1" customHeight="1" outlineLevel="1">
      <c r="A12" s="260"/>
      <c r="B12" s="261"/>
      <c r="C12" s="270" t="s">
        <v>202</v>
      </c>
      <c r="D12" s="270"/>
      <c r="E12" s="270"/>
      <c r="F12" s="266"/>
      <c r="G12" s="268"/>
      <c r="H12" s="268"/>
      <c r="I12" s="268"/>
      <c r="J12" s="268"/>
      <c r="K12" s="275"/>
      <c r="L12" s="276"/>
      <c r="M12" s="274"/>
      <c r="O12" s="76"/>
      <c r="P12" s="80"/>
      <c r="Q12" s="66"/>
      <c r="R12" s="66"/>
      <c r="S12" s="66"/>
      <c r="T12" s="66"/>
    </row>
    <row r="13" spans="1:22" s="60" customFormat="1" ht="15" hidden="1" customHeight="1" outlineLevel="1">
      <c r="A13" s="260"/>
      <c r="B13" s="261"/>
      <c r="C13" s="271" t="s">
        <v>203</v>
      </c>
      <c r="D13" s="271"/>
      <c r="E13" s="271"/>
      <c r="F13" s="272" t="s">
        <v>179</v>
      </c>
      <c r="G13" s="267" t="str">
        <f xml:space="preserve"> "일금 " &amp; NUMBERSTRING(L13, 1) &amp; "원정"</f>
        <v>일금 영원정</v>
      </c>
      <c r="H13" s="267"/>
      <c r="I13" s="267"/>
      <c r="J13" s="267"/>
      <c r="K13" s="275" t="s">
        <v>182</v>
      </c>
      <c r="L13" s="276">
        <f>집계표!H14</f>
        <v>0</v>
      </c>
      <c r="M13" s="274" t="s">
        <v>183</v>
      </c>
      <c r="O13" s="60" t="str">
        <f>C14</f>
        <v>00건설㈜</v>
      </c>
      <c r="P13" s="80">
        <f>L13</f>
        <v>0</v>
      </c>
      <c r="Q13" s="66">
        <f>TRUNC(P13/1.1)</f>
        <v>0</v>
      </c>
      <c r="R13" s="66">
        <f>P13-Q13</f>
        <v>0</v>
      </c>
      <c r="S13" s="66">
        <f>Q13+R13</f>
        <v>0</v>
      </c>
      <c r="T13" s="66"/>
    </row>
    <row r="14" spans="1:22" s="60" customFormat="1" ht="15" hidden="1" customHeight="1" outlineLevel="1">
      <c r="A14" s="260"/>
      <c r="B14" s="261"/>
      <c r="C14" s="269" t="s">
        <v>284</v>
      </c>
      <c r="D14" s="269"/>
      <c r="E14" s="269"/>
      <c r="F14" s="272"/>
      <c r="G14" s="268"/>
      <c r="H14" s="268"/>
      <c r="I14" s="268"/>
      <c r="J14" s="268"/>
      <c r="K14" s="275"/>
      <c r="L14" s="276"/>
      <c r="M14" s="274"/>
      <c r="P14" s="84"/>
      <c r="Q14" s="66"/>
      <c r="R14" s="66"/>
      <c r="S14" s="66"/>
      <c r="T14" s="66"/>
    </row>
    <row r="15" spans="1:22" s="60" customFormat="1" ht="15" hidden="1" customHeight="1" outlineLevel="1">
      <c r="A15" s="260"/>
      <c r="B15" s="261"/>
      <c r="C15" s="264" t="s">
        <v>203</v>
      </c>
      <c r="D15" s="264"/>
      <c r="E15" s="264"/>
      <c r="F15" s="265" t="s">
        <v>179</v>
      </c>
      <c r="G15" s="267" t="str">
        <f xml:space="preserve"> "일금 " &amp; NUMBERSTRING(L15, 1) &amp; "원정"</f>
        <v>일금 영원정</v>
      </c>
      <c r="H15" s="267"/>
      <c r="I15" s="267"/>
      <c r="J15" s="267"/>
      <c r="K15" s="275" t="s">
        <v>182</v>
      </c>
      <c r="L15" s="276">
        <f>집계표!H13</f>
        <v>0</v>
      </c>
      <c r="M15" s="274" t="s">
        <v>183</v>
      </c>
      <c r="O15" s="60" t="str">
        <f>C16</f>
        <v>㈜00기업</v>
      </c>
      <c r="P15" s="84">
        <f>L15</f>
        <v>0</v>
      </c>
      <c r="Q15" s="66">
        <f>TRUNC(P15/1.1)</f>
        <v>0</v>
      </c>
      <c r="R15" s="66">
        <f>P15-Q15</f>
        <v>0</v>
      </c>
      <c r="S15" s="66">
        <f>Q15+R15</f>
        <v>0</v>
      </c>
      <c r="T15" s="66"/>
    </row>
    <row r="16" spans="1:22" s="60" customFormat="1" ht="15" hidden="1" customHeight="1" outlineLevel="1">
      <c r="A16" s="260"/>
      <c r="B16" s="261"/>
      <c r="C16" s="270" t="s">
        <v>285</v>
      </c>
      <c r="D16" s="270"/>
      <c r="E16" s="270"/>
      <c r="F16" s="266"/>
      <c r="G16" s="268"/>
      <c r="H16" s="268"/>
      <c r="I16" s="268"/>
      <c r="J16" s="268"/>
      <c r="K16" s="275"/>
      <c r="L16" s="276"/>
      <c r="M16" s="274"/>
      <c r="P16" s="84"/>
      <c r="Q16" s="66"/>
      <c r="R16" s="66"/>
      <c r="S16" s="66"/>
      <c r="T16" s="66"/>
    </row>
    <row r="17" spans="1:20" s="60" customFormat="1" ht="15" hidden="1" customHeight="1" outlineLevel="1">
      <c r="A17" s="260"/>
      <c r="B17" s="261"/>
      <c r="C17" s="264" t="s">
        <v>203</v>
      </c>
      <c r="D17" s="264"/>
      <c r="E17" s="264"/>
      <c r="F17" s="265" t="s">
        <v>179</v>
      </c>
      <c r="G17" s="267" t="str">
        <f xml:space="preserve"> "일금 " &amp; NUMBERSTRING(L17, 1) &amp; "원정"</f>
        <v>일금 영원정</v>
      </c>
      <c r="H17" s="267"/>
      <c r="I17" s="267"/>
      <c r="J17" s="267"/>
      <c r="K17" s="275" t="s">
        <v>182</v>
      </c>
      <c r="L17" s="276">
        <f>집계표!H14</f>
        <v>0</v>
      </c>
      <c r="M17" s="274" t="s">
        <v>183</v>
      </c>
      <c r="O17" s="60" t="str">
        <f>C18</f>
        <v>㈜000개발</v>
      </c>
      <c r="P17" s="84">
        <f>L17</f>
        <v>0</v>
      </c>
      <c r="Q17" s="66">
        <f>TRUNC(P17/1.1)</f>
        <v>0</v>
      </c>
      <c r="R17" s="66">
        <f>P17-Q17</f>
        <v>0</v>
      </c>
      <c r="S17" s="66">
        <f>Q17+R17</f>
        <v>0</v>
      </c>
      <c r="T17" s="66"/>
    </row>
    <row r="18" spans="1:20" s="60" customFormat="1" ht="15" hidden="1" customHeight="1" outlineLevel="1">
      <c r="A18" s="260"/>
      <c r="B18" s="261"/>
      <c r="C18" s="270" t="s">
        <v>286</v>
      </c>
      <c r="D18" s="270"/>
      <c r="E18" s="270"/>
      <c r="F18" s="266"/>
      <c r="G18" s="268"/>
      <c r="H18" s="268"/>
      <c r="I18" s="268"/>
      <c r="J18" s="268"/>
      <c r="K18" s="275"/>
      <c r="L18" s="276"/>
      <c r="M18" s="274"/>
      <c r="P18" s="84"/>
      <c r="Q18" s="66"/>
      <c r="R18" s="66"/>
      <c r="S18" s="66"/>
      <c r="T18" s="66"/>
    </row>
    <row r="19" spans="1:20" s="60" customFormat="1" ht="15" hidden="1" customHeight="1" outlineLevel="1">
      <c r="A19" s="260"/>
      <c r="B19" s="261"/>
      <c r="C19" s="271" t="s">
        <v>203</v>
      </c>
      <c r="D19" s="271"/>
      <c r="E19" s="271"/>
      <c r="F19" s="272" t="s">
        <v>179</v>
      </c>
      <c r="G19" s="259" t="str">
        <f xml:space="preserve"> "일금 " &amp; NUMBERSTRING(L19, 1) &amp; "원정"</f>
        <v>일금 영원정</v>
      </c>
      <c r="H19" s="259"/>
      <c r="I19" s="259"/>
      <c r="J19" s="259"/>
      <c r="K19" s="272" t="s">
        <v>182</v>
      </c>
      <c r="L19" s="288">
        <f>집계표!H16</f>
        <v>0</v>
      </c>
      <c r="M19" s="284" t="s">
        <v>183</v>
      </c>
      <c r="O19" s="60" t="str">
        <f>C20</f>
        <v>주식회사 00</v>
      </c>
      <c r="P19" s="84">
        <f>L19</f>
        <v>0</v>
      </c>
      <c r="Q19" s="66">
        <f>TRUNC(P19/1.1)</f>
        <v>0</v>
      </c>
      <c r="R19" s="66">
        <f>P19-Q19</f>
        <v>0</v>
      </c>
      <c r="S19" s="66">
        <f>Q19+R19</f>
        <v>0</v>
      </c>
      <c r="T19" s="66"/>
    </row>
    <row r="20" spans="1:20" s="60" customFormat="1" ht="15" hidden="1" customHeight="1" outlineLevel="1">
      <c r="A20" s="262"/>
      <c r="B20" s="263"/>
      <c r="C20" s="286" t="s">
        <v>287</v>
      </c>
      <c r="D20" s="286"/>
      <c r="E20" s="286"/>
      <c r="F20" s="273"/>
      <c r="G20" s="287"/>
      <c r="H20" s="287"/>
      <c r="I20" s="287"/>
      <c r="J20" s="287"/>
      <c r="K20" s="266"/>
      <c r="L20" s="289"/>
      <c r="M20" s="285"/>
      <c r="P20" s="84"/>
      <c r="Q20" s="66"/>
      <c r="R20" s="66"/>
      <c r="S20" s="66"/>
      <c r="T20" s="66"/>
    </row>
    <row r="21" spans="1:20" s="60" customFormat="1" ht="24" customHeight="1" collapsed="1">
      <c r="A21" s="277" t="s">
        <v>204</v>
      </c>
      <c r="B21" s="278"/>
      <c r="C21" s="279" t="s">
        <v>205</v>
      </c>
      <c r="D21" s="279"/>
      <c r="E21" s="279"/>
      <c r="F21" s="87" t="s">
        <v>179</v>
      </c>
      <c r="G21" s="280" t="str">
        <f xml:space="preserve"> "일금 " &amp; NUMBERSTRING(L21, 1) &amp; "원정"</f>
        <v>일금 칠억이천칠백육십칠만구천이백팔십사원정</v>
      </c>
      <c r="H21" s="280"/>
      <c r="I21" s="280"/>
      <c r="J21" s="280"/>
      <c r="K21" s="86" t="s">
        <v>182</v>
      </c>
      <c r="L21" s="88">
        <f>L8-L10-L9</f>
        <v>727679284.20000005</v>
      </c>
      <c r="M21" s="89" t="s">
        <v>183</v>
      </c>
      <c r="O21" s="90" t="s">
        <v>206</v>
      </c>
      <c r="P21" s="78" t="s">
        <v>195</v>
      </c>
      <c r="Q21" s="78" t="s">
        <v>196</v>
      </c>
      <c r="R21" s="78" t="s">
        <v>197</v>
      </c>
      <c r="S21" s="78" t="s">
        <v>195</v>
      </c>
      <c r="T21" s="66"/>
    </row>
    <row r="22" spans="1:20" s="91" customFormat="1" ht="39.950000000000003" customHeight="1" thickBot="1">
      <c r="A22" s="281" t="s">
        <v>283</v>
      </c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3"/>
      <c r="P22" s="92"/>
      <c r="Q22" s="92"/>
      <c r="R22" s="92"/>
      <c r="S22" s="92"/>
      <c r="T22" s="93"/>
    </row>
    <row r="23" spans="1:20" s="60" customFormat="1" ht="20.100000000000001" customHeight="1">
      <c r="A23" s="94"/>
      <c r="B23" s="290" t="s">
        <v>207</v>
      </c>
      <c r="C23" s="291"/>
      <c r="D23" s="291" t="s">
        <v>208</v>
      </c>
      <c r="E23" s="291"/>
      <c r="F23" s="291"/>
      <c r="G23" s="291"/>
      <c r="H23" s="95" t="s">
        <v>68</v>
      </c>
      <c r="I23" s="95" t="s">
        <v>209</v>
      </c>
      <c r="J23" s="291" t="s">
        <v>210</v>
      </c>
      <c r="K23" s="291"/>
      <c r="L23" s="292"/>
      <c r="M23" s="96"/>
      <c r="P23" s="97"/>
      <c r="Q23" s="97"/>
      <c r="R23" s="97"/>
      <c r="S23" s="97"/>
      <c r="T23" s="76"/>
    </row>
    <row r="24" spans="1:20" s="60" customFormat="1" ht="29.25" customHeight="1" thickBot="1">
      <c r="A24" s="94"/>
      <c r="B24" s="293" t="s">
        <v>211</v>
      </c>
      <c r="C24" s="294"/>
      <c r="D24" s="295" t="str">
        <f>C12</f>
        <v>부강종합건설㈜</v>
      </c>
      <c r="E24" s="295"/>
      <c r="F24" s="295"/>
      <c r="G24" s="295"/>
      <c r="H24" s="98" t="s">
        <v>212</v>
      </c>
      <c r="I24" s="98" t="s">
        <v>213</v>
      </c>
      <c r="J24" s="296">
        <f>L11</f>
        <v>0</v>
      </c>
      <c r="K24" s="296"/>
      <c r="L24" s="297"/>
      <c r="M24" s="96"/>
      <c r="P24" s="97"/>
      <c r="Q24" s="97"/>
      <c r="R24" s="97"/>
      <c r="S24" s="97"/>
      <c r="T24" s="76"/>
    </row>
    <row r="25" spans="1:20" s="60" customFormat="1" ht="28.5" hidden="1" customHeight="1" outlineLevel="1">
      <c r="A25" s="94"/>
      <c r="B25" s="298" t="s">
        <v>214</v>
      </c>
      <c r="C25" s="299"/>
      <c r="D25" s="300" t="str">
        <f>C14</f>
        <v>00건설㈜</v>
      </c>
      <c r="E25" s="300"/>
      <c r="F25" s="300"/>
      <c r="G25" s="300"/>
      <c r="H25" s="99"/>
      <c r="I25" s="100"/>
      <c r="J25" s="301"/>
      <c r="K25" s="301"/>
      <c r="L25" s="302"/>
      <c r="M25" s="96"/>
      <c r="P25" s="97"/>
      <c r="Q25" s="97"/>
      <c r="R25" s="97"/>
      <c r="S25" s="97"/>
      <c r="T25" s="76"/>
    </row>
    <row r="26" spans="1:20" s="60" customFormat="1" ht="28.5" hidden="1" customHeight="1" outlineLevel="1">
      <c r="A26" s="94"/>
      <c r="B26" s="304" t="s">
        <v>214</v>
      </c>
      <c r="C26" s="305"/>
      <c r="D26" s="306" t="str">
        <f>C16</f>
        <v>㈜00기업</v>
      </c>
      <c r="E26" s="306"/>
      <c r="F26" s="306"/>
      <c r="G26" s="306"/>
      <c r="H26" s="101"/>
      <c r="I26" s="102"/>
      <c r="J26" s="307"/>
      <c r="K26" s="307"/>
      <c r="L26" s="308"/>
      <c r="M26" s="96"/>
      <c r="P26" s="97"/>
      <c r="Q26" s="97"/>
      <c r="R26" s="97"/>
      <c r="S26" s="97"/>
      <c r="T26" s="76"/>
    </row>
    <row r="27" spans="1:20" s="60" customFormat="1" ht="28.5" hidden="1" customHeight="1" outlineLevel="1" thickBot="1">
      <c r="A27" s="94"/>
      <c r="B27" s="293" t="s">
        <v>214</v>
      </c>
      <c r="C27" s="294"/>
      <c r="D27" s="295" t="str">
        <f>C18</f>
        <v>㈜000개발</v>
      </c>
      <c r="E27" s="295"/>
      <c r="F27" s="295"/>
      <c r="G27" s="295"/>
      <c r="H27" s="98"/>
      <c r="I27" s="98"/>
      <c r="J27" s="296"/>
      <c r="K27" s="309"/>
      <c r="L27" s="310"/>
      <c r="M27" s="96"/>
      <c r="P27" s="78"/>
      <c r="Q27" s="78"/>
      <c r="R27" s="78"/>
      <c r="S27" s="78"/>
      <c r="T27" s="103"/>
    </row>
    <row r="28" spans="1:20" s="60" customFormat="1" ht="20.100000000000001" customHeight="1" collapsed="1">
      <c r="A28" s="311"/>
      <c r="B28" s="312"/>
      <c r="C28" s="312"/>
      <c r="D28" s="312"/>
      <c r="E28" s="312"/>
      <c r="F28" s="312"/>
      <c r="G28" s="312"/>
      <c r="H28" s="312"/>
      <c r="I28" s="312"/>
      <c r="J28" s="312"/>
      <c r="K28" s="312"/>
      <c r="L28" s="312"/>
      <c r="M28" s="313"/>
      <c r="P28" s="97"/>
      <c r="Q28" s="97"/>
      <c r="R28" s="97"/>
      <c r="S28" s="105"/>
      <c r="T28" s="103"/>
    </row>
    <row r="29" spans="1:20" s="60" customFormat="1" ht="20.100000000000001" customHeight="1">
      <c r="A29" s="314" t="s">
        <v>215</v>
      </c>
      <c r="B29" s="315"/>
      <c r="C29" s="315"/>
      <c r="D29" s="315"/>
      <c r="E29" s="315"/>
      <c r="F29" s="315"/>
      <c r="G29" s="315"/>
      <c r="H29" s="315"/>
      <c r="I29" s="315"/>
      <c r="J29" s="315"/>
      <c r="K29" s="315"/>
      <c r="L29" s="315"/>
      <c r="M29" s="316"/>
      <c r="P29" s="97"/>
      <c r="Q29" s="97"/>
      <c r="R29" s="97"/>
      <c r="S29" s="97"/>
      <c r="T29" s="103"/>
    </row>
    <row r="30" spans="1:20" s="60" customFormat="1" ht="20.100000000000001" customHeight="1">
      <c r="A30" s="106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8"/>
      <c r="P30" s="97"/>
      <c r="Q30" s="97"/>
      <c r="R30" s="97"/>
      <c r="S30" s="97"/>
      <c r="T30" s="103"/>
    </row>
    <row r="31" spans="1:20" s="60" customFormat="1" ht="70.5" customHeight="1">
      <c r="A31" s="314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6"/>
      <c r="P31" s="97"/>
      <c r="Q31" s="97"/>
      <c r="R31" s="97"/>
      <c r="S31" s="97"/>
      <c r="T31" s="103"/>
    </row>
    <row r="32" spans="1:20" s="60" customFormat="1" ht="20.100000000000001" customHeight="1">
      <c r="A32" s="317" t="s">
        <v>282</v>
      </c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84"/>
      <c r="P32" s="97"/>
      <c r="Q32" s="97"/>
      <c r="R32" s="97"/>
      <c r="S32" s="97"/>
      <c r="T32" s="66"/>
    </row>
    <row r="33" spans="1:20" s="60" customFormat="1" ht="20.100000000000001" customHeight="1">
      <c r="A33" s="109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5"/>
      <c r="P33" s="97"/>
      <c r="Q33" s="97"/>
      <c r="R33" s="97"/>
      <c r="S33" s="97"/>
      <c r="T33" s="66"/>
    </row>
    <row r="34" spans="1:20" s="60" customFormat="1" ht="80.099999999999994" customHeight="1">
      <c r="A34" s="311"/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3"/>
      <c r="P34" s="97"/>
      <c r="Q34" s="97"/>
      <c r="R34" s="97"/>
      <c r="S34" s="97"/>
      <c r="T34" s="103"/>
    </row>
    <row r="35" spans="1:20" s="60" customFormat="1" ht="20.100000000000001" customHeight="1">
      <c r="A35" s="94"/>
      <c r="B35" s="104"/>
      <c r="C35" s="110"/>
      <c r="D35" s="110"/>
      <c r="E35" s="303" t="s">
        <v>216</v>
      </c>
      <c r="F35" s="303"/>
      <c r="G35" s="303"/>
      <c r="H35" s="112" t="s">
        <v>217</v>
      </c>
      <c r="I35" s="111" t="str">
        <f>O35</f>
        <v>부강종합건설㈜</v>
      </c>
      <c r="J35" s="111"/>
      <c r="K35" s="111"/>
      <c r="L35" s="111"/>
      <c r="M35" s="96"/>
      <c r="O35" s="113" t="str">
        <f>D24</f>
        <v>부강종합건설㈜</v>
      </c>
      <c r="P35" s="103"/>
      <c r="Q35" s="103"/>
      <c r="R35" s="103"/>
      <c r="S35" s="103"/>
      <c r="T35" s="103"/>
    </row>
    <row r="36" spans="1:20" s="60" customFormat="1" ht="20.100000000000001" customHeight="1">
      <c r="A36" s="94"/>
      <c r="B36" s="104"/>
      <c r="C36" s="104"/>
      <c r="D36" s="114"/>
      <c r="E36" s="114"/>
      <c r="F36" s="114"/>
      <c r="G36" s="114"/>
      <c r="H36" s="115" t="s">
        <v>218</v>
      </c>
      <c r="I36" s="321" t="str">
        <f>O36</f>
        <v xml:space="preserve">경남 합천군 </v>
      </c>
      <c r="J36" s="321"/>
      <c r="K36" s="321"/>
      <c r="L36" s="321"/>
      <c r="M36" s="116"/>
      <c r="O36" s="113" t="s">
        <v>294</v>
      </c>
      <c r="P36" s="103"/>
      <c r="Q36" s="103"/>
      <c r="R36" s="103"/>
      <c r="S36" s="103"/>
      <c r="T36" s="103"/>
    </row>
    <row r="37" spans="1:20" s="60" customFormat="1" ht="20.100000000000001" customHeight="1">
      <c r="A37" s="94"/>
      <c r="B37" s="104"/>
      <c r="C37" s="104"/>
      <c r="D37" s="91"/>
      <c r="E37" s="104"/>
      <c r="F37" s="91"/>
      <c r="G37" s="104"/>
      <c r="H37" s="112" t="s">
        <v>219</v>
      </c>
      <c r="I37" s="269" t="str">
        <f>O37&amp; "                       (인)"</f>
        <v>김 0 0                       (인)</v>
      </c>
      <c r="J37" s="269"/>
      <c r="K37" s="269"/>
      <c r="L37" s="83"/>
      <c r="M37" s="117"/>
      <c r="O37" s="113" t="s">
        <v>289</v>
      </c>
      <c r="P37" s="103"/>
      <c r="Q37" s="103"/>
      <c r="R37" s="103"/>
      <c r="S37" s="103"/>
      <c r="T37" s="103"/>
    </row>
    <row r="38" spans="1:20" s="60" customFormat="1" ht="20.100000000000001" hidden="1" customHeight="1" outlineLevel="1">
      <c r="A38" s="94"/>
      <c r="B38" s="104"/>
      <c r="C38" s="110"/>
      <c r="D38" s="110"/>
      <c r="E38" s="303" t="s">
        <v>220</v>
      </c>
      <c r="F38" s="303"/>
      <c r="G38" s="303"/>
      <c r="H38" s="112" t="s">
        <v>217</v>
      </c>
      <c r="I38" s="111" t="str">
        <f>O38</f>
        <v>00건설㈜</v>
      </c>
      <c r="J38" s="111"/>
      <c r="K38" s="111"/>
      <c r="L38" s="111"/>
      <c r="M38" s="96"/>
      <c r="O38" s="113" t="str">
        <f>C14</f>
        <v>00건설㈜</v>
      </c>
      <c r="P38" s="103"/>
      <c r="Q38" s="103"/>
      <c r="R38" s="103"/>
      <c r="S38" s="103"/>
      <c r="T38" s="103"/>
    </row>
    <row r="39" spans="1:20" s="60" customFormat="1" ht="20.100000000000001" hidden="1" customHeight="1" outlineLevel="1">
      <c r="A39" s="94"/>
      <c r="B39" s="104"/>
      <c r="C39" s="104"/>
      <c r="D39" s="114"/>
      <c r="E39" s="114"/>
      <c r="F39" s="114"/>
      <c r="G39" s="114"/>
      <c r="H39" s="115" t="s">
        <v>218</v>
      </c>
      <c r="I39" s="321" t="str">
        <f>O39</f>
        <v xml:space="preserve">경남 남해군 </v>
      </c>
      <c r="J39" s="321"/>
      <c r="K39" s="321"/>
      <c r="L39" s="321"/>
      <c r="M39" s="116"/>
      <c r="O39" s="113" t="s">
        <v>293</v>
      </c>
      <c r="P39" s="103"/>
      <c r="Q39" s="103"/>
      <c r="R39" s="103"/>
      <c r="S39" s="103"/>
      <c r="T39" s="103"/>
    </row>
    <row r="40" spans="1:20" s="60" customFormat="1" ht="20.100000000000001" hidden="1" customHeight="1" outlineLevel="1">
      <c r="A40" s="94"/>
      <c r="B40" s="104"/>
      <c r="C40" s="104"/>
      <c r="D40" s="91"/>
      <c r="E40" s="104"/>
      <c r="F40" s="91"/>
      <c r="G40" s="104"/>
      <c r="H40" s="112" t="s">
        <v>219</v>
      </c>
      <c r="I40" s="269" t="str">
        <f>O40&amp; "                         (인)"</f>
        <v>강 0 0                         (인)</v>
      </c>
      <c r="J40" s="269"/>
      <c r="K40" s="269"/>
      <c r="L40" s="83"/>
      <c r="M40" s="117"/>
      <c r="O40" s="113" t="s">
        <v>288</v>
      </c>
      <c r="P40" s="103"/>
      <c r="Q40" s="103"/>
      <c r="R40" s="103"/>
      <c r="S40" s="103"/>
      <c r="T40" s="103"/>
    </row>
    <row r="41" spans="1:20" s="60" customFormat="1" ht="20.100000000000001" hidden="1" customHeight="1" outlineLevel="1">
      <c r="A41" s="94"/>
      <c r="B41" s="104"/>
      <c r="C41" s="104"/>
      <c r="D41" s="91"/>
      <c r="E41" s="303" t="s">
        <v>220</v>
      </c>
      <c r="F41" s="303"/>
      <c r="G41" s="303"/>
      <c r="H41" s="112" t="s">
        <v>217</v>
      </c>
      <c r="I41" s="111" t="str">
        <f>O41</f>
        <v>㈜00기업</v>
      </c>
      <c r="J41" s="111"/>
      <c r="K41" s="111"/>
      <c r="L41" s="111"/>
      <c r="M41" s="96"/>
      <c r="O41" s="113" t="str">
        <f>C16</f>
        <v>㈜00기업</v>
      </c>
      <c r="P41" s="103"/>
      <c r="Q41" s="103"/>
      <c r="R41" s="103"/>
      <c r="S41" s="103"/>
      <c r="T41" s="103"/>
    </row>
    <row r="42" spans="1:20" s="60" customFormat="1" ht="20.100000000000001" hidden="1" customHeight="1" outlineLevel="1">
      <c r="A42" s="94"/>
      <c r="B42" s="104"/>
      <c r="C42" s="104"/>
      <c r="D42" s="91"/>
      <c r="E42" s="114"/>
      <c r="F42" s="114"/>
      <c r="G42" s="114"/>
      <c r="H42" s="115" t="s">
        <v>218</v>
      </c>
      <c r="I42" s="321" t="str">
        <f>O42</f>
        <v>대구광역시 수성구</v>
      </c>
      <c r="J42" s="321"/>
      <c r="K42" s="321"/>
      <c r="L42" s="321"/>
      <c r="M42" s="116"/>
      <c r="O42" s="113" t="s">
        <v>292</v>
      </c>
      <c r="P42" s="103"/>
      <c r="Q42" s="103"/>
      <c r="R42" s="103"/>
      <c r="S42" s="103"/>
      <c r="T42" s="103"/>
    </row>
    <row r="43" spans="1:20" s="60" customFormat="1" ht="20.100000000000001" hidden="1" customHeight="1" outlineLevel="1">
      <c r="A43" s="94"/>
      <c r="B43" s="104"/>
      <c r="C43" s="104"/>
      <c r="D43" s="91"/>
      <c r="E43" s="104"/>
      <c r="F43" s="91"/>
      <c r="G43" s="104"/>
      <c r="H43" s="112" t="s">
        <v>219</v>
      </c>
      <c r="I43" s="269" t="str">
        <f>O43&amp; "                       (인)"</f>
        <v>김 0 0                       (인)</v>
      </c>
      <c r="J43" s="269"/>
      <c r="K43" s="269"/>
      <c r="L43" s="83"/>
      <c r="M43" s="117"/>
      <c r="O43" s="113" t="s">
        <v>289</v>
      </c>
      <c r="P43" s="103"/>
      <c r="Q43" s="103"/>
      <c r="R43" s="103"/>
      <c r="S43" s="103"/>
      <c r="T43" s="103"/>
    </row>
    <row r="44" spans="1:20" s="60" customFormat="1" ht="20.100000000000001" hidden="1" customHeight="1" outlineLevel="1">
      <c r="A44" s="94"/>
      <c r="B44" s="104"/>
      <c r="C44" s="104"/>
      <c r="D44" s="91"/>
      <c r="E44" s="303" t="s">
        <v>220</v>
      </c>
      <c r="F44" s="303"/>
      <c r="G44" s="303"/>
      <c r="H44" s="112" t="s">
        <v>217</v>
      </c>
      <c r="I44" s="111" t="str">
        <f>O44</f>
        <v>㈜000개발</v>
      </c>
      <c r="J44" s="111"/>
      <c r="K44" s="111"/>
      <c r="L44" s="111"/>
      <c r="M44" s="96"/>
      <c r="O44" s="113" t="str">
        <f>C18</f>
        <v>㈜000개발</v>
      </c>
      <c r="P44" s="103"/>
      <c r="Q44" s="103"/>
      <c r="R44" s="103"/>
      <c r="S44" s="103"/>
      <c r="T44" s="103"/>
    </row>
    <row r="45" spans="1:20" s="60" customFormat="1" ht="20.100000000000001" hidden="1" customHeight="1" outlineLevel="1">
      <c r="A45" s="94"/>
      <c r="B45" s="104"/>
      <c r="C45" s="104"/>
      <c r="D45" s="91"/>
      <c r="E45" s="114"/>
      <c r="F45" s="114"/>
      <c r="G45" s="114"/>
      <c r="H45" s="115" t="s">
        <v>218</v>
      </c>
      <c r="I45" s="321" t="str">
        <f>O45</f>
        <v xml:space="preserve">경남 김해시 </v>
      </c>
      <c r="J45" s="321"/>
      <c r="K45" s="321"/>
      <c r="L45" s="321"/>
      <c r="M45" s="116"/>
      <c r="O45" s="113" t="s">
        <v>291</v>
      </c>
      <c r="P45" s="103"/>
      <c r="Q45" s="103"/>
      <c r="R45" s="103"/>
      <c r="S45" s="103"/>
      <c r="T45" s="103"/>
    </row>
    <row r="46" spans="1:20" s="60" customFormat="1" ht="20.100000000000001" hidden="1" customHeight="1" outlineLevel="1">
      <c r="A46" s="94"/>
      <c r="B46" s="104"/>
      <c r="C46" s="104"/>
      <c r="D46" s="91"/>
      <c r="E46" s="104"/>
      <c r="F46" s="91"/>
      <c r="G46" s="104"/>
      <c r="H46" s="112" t="s">
        <v>219</v>
      </c>
      <c r="I46" s="269" t="str">
        <f>O46&amp; "                       (인)"</f>
        <v>박 0 0                       (인)</v>
      </c>
      <c r="J46" s="269"/>
      <c r="K46" s="269"/>
      <c r="L46" s="83"/>
      <c r="M46" s="117"/>
      <c r="O46" s="113" t="s">
        <v>290</v>
      </c>
      <c r="P46" s="103"/>
      <c r="Q46" s="103"/>
      <c r="R46" s="103"/>
      <c r="S46" s="103"/>
      <c r="T46" s="103"/>
    </row>
    <row r="47" spans="1:20" s="60" customFormat="1" ht="20.100000000000001" customHeight="1" collapsed="1">
      <c r="A47" s="94"/>
      <c r="B47" s="104"/>
      <c r="C47" s="104"/>
      <c r="D47" s="91"/>
      <c r="E47" s="104"/>
      <c r="F47" s="91"/>
      <c r="G47" s="104"/>
      <c r="H47" s="91"/>
      <c r="I47" s="104"/>
      <c r="J47" s="104"/>
      <c r="K47" s="104"/>
      <c r="L47" s="104"/>
      <c r="M47" s="117"/>
      <c r="P47" s="103"/>
      <c r="Q47" s="103"/>
      <c r="R47" s="103"/>
      <c r="S47" s="103"/>
      <c r="T47" s="103"/>
    </row>
    <row r="48" spans="1:20" s="60" customFormat="1" ht="20.100000000000001" customHeight="1">
      <c r="A48" s="94"/>
      <c r="B48" s="104"/>
      <c r="C48" s="104"/>
      <c r="D48" s="91"/>
      <c r="E48" s="104"/>
      <c r="F48" s="91"/>
      <c r="G48" s="104"/>
      <c r="H48" s="91"/>
      <c r="I48" s="104"/>
      <c r="J48" s="118"/>
      <c r="K48" s="118"/>
      <c r="L48" s="118"/>
      <c r="M48" s="117"/>
      <c r="P48" s="66"/>
      <c r="Q48" s="66"/>
      <c r="R48" s="66"/>
      <c r="S48" s="66"/>
      <c r="T48" s="66"/>
    </row>
    <row r="49" spans="1:20" s="60" customFormat="1" ht="39.950000000000003" customHeight="1">
      <c r="A49" s="318" t="str">
        <f>O49&amp;"귀하"</f>
        <v>경상남도교육지원청귀하</v>
      </c>
      <c r="B49" s="319"/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20"/>
      <c r="O49" s="119" t="s">
        <v>221</v>
      </c>
      <c r="P49" s="66"/>
      <c r="Q49" s="66"/>
      <c r="R49" s="66"/>
      <c r="S49" s="66"/>
      <c r="T49" s="66"/>
    </row>
    <row r="50" spans="1:20" s="60" customFormat="1" ht="18.95" customHeight="1">
      <c r="A50" s="120"/>
      <c r="F50" s="61"/>
      <c r="L50" s="61"/>
      <c r="P50" s="66"/>
      <c r="Q50" s="66"/>
      <c r="R50" s="66"/>
      <c r="S50" s="66"/>
      <c r="T50" s="66"/>
    </row>
    <row r="51" spans="1:20" s="60" customFormat="1" ht="12" customHeight="1">
      <c r="F51" s="61"/>
      <c r="L51" s="61"/>
      <c r="P51" s="66"/>
      <c r="Q51" s="66"/>
      <c r="R51" s="66"/>
      <c r="S51" s="66"/>
      <c r="T51" s="66"/>
    </row>
    <row r="52" spans="1:20" s="121" customFormat="1" ht="21" customHeight="1">
      <c r="A52" s="60"/>
      <c r="B52" s="60"/>
      <c r="C52" s="60"/>
      <c r="D52" s="60"/>
      <c r="E52" s="60"/>
      <c r="F52" s="61"/>
      <c r="G52" s="60"/>
      <c r="H52" s="60"/>
      <c r="I52" s="60"/>
      <c r="J52" s="60"/>
      <c r="K52" s="60"/>
      <c r="L52" s="61"/>
      <c r="M52" s="60"/>
      <c r="P52" s="122"/>
      <c r="Q52" s="122"/>
      <c r="R52" s="122"/>
      <c r="S52" s="122"/>
      <c r="T52" s="122"/>
    </row>
    <row r="53" spans="1:20" s="60" customFormat="1" ht="21" customHeight="1">
      <c r="F53" s="61"/>
      <c r="L53" s="61"/>
      <c r="P53" s="66"/>
      <c r="Q53" s="66"/>
      <c r="R53" s="66"/>
      <c r="S53" s="66"/>
      <c r="T53" s="66"/>
    </row>
    <row r="54" spans="1:20" s="60" customFormat="1" ht="21" customHeight="1">
      <c r="F54" s="61"/>
      <c r="L54" s="61"/>
      <c r="P54" s="66"/>
      <c r="Q54" s="66"/>
      <c r="R54" s="66"/>
      <c r="S54" s="66"/>
      <c r="T54" s="66"/>
    </row>
    <row r="55" spans="1:20" s="60" customFormat="1" ht="21" customHeight="1">
      <c r="F55" s="61"/>
      <c r="L55" s="61"/>
      <c r="P55" s="66"/>
      <c r="Q55" s="66"/>
      <c r="R55" s="66"/>
      <c r="S55" s="66"/>
      <c r="T55" s="66"/>
    </row>
    <row r="56" spans="1:20" s="60" customFormat="1" ht="21" customHeight="1">
      <c r="F56" s="61"/>
      <c r="L56" s="61"/>
      <c r="P56" s="66"/>
      <c r="Q56" s="66"/>
      <c r="R56" s="66"/>
      <c r="S56" s="66"/>
      <c r="T56" s="66"/>
    </row>
    <row r="57" spans="1:20" s="60" customFormat="1" ht="21" customHeight="1">
      <c r="F57" s="61"/>
      <c r="L57" s="61"/>
      <c r="P57" s="66"/>
      <c r="Q57" s="66"/>
      <c r="R57" s="66"/>
      <c r="S57" s="66"/>
      <c r="T57" s="66"/>
    </row>
    <row r="58" spans="1:20" s="60" customFormat="1" ht="21" customHeight="1">
      <c r="F58" s="61"/>
      <c r="L58" s="61"/>
      <c r="P58" s="66"/>
      <c r="Q58" s="66"/>
      <c r="R58" s="66"/>
      <c r="S58" s="66"/>
      <c r="T58" s="66"/>
    </row>
    <row r="59" spans="1:20" s="60" customFormat="1" ht="21" customHeight="1">
      <c r="F59" s="61"/>
      <c r="L59" s="61"/>
      <c r="P59" s="66"/>
      <c r="Q59" s="66"/>
      <c r="R59" s="66"/>
      <c r="S59" s="66"/>
      <c r="T59" s="66"/>
    </row>
    <row r="60" spans="1:20" s="60" customFormat="1" ht="21" customHeight="1">
      <c r="F60" s="61"/>
      <c r="L60" s="61"/>
      <c r="P60" s="66"/>
      <c r="Q60" s="66"/>
      <c r="R60" s="66"/>
      <c r="S60" s="66"/>
      <c r="T60" s="66"/>
    </row>
    <row r="61" spans="1:20" s="60" customFormat="1" ht="21" customHeight="1">
      <c r="F61" s="61"/>
      <c r="L61" s="61"/>
      <c r="P61" s="66"/>
      <c r="Q61" s="66"/>
      <c r="R61" s="66"/>
      <c r="S61" s="66"/>
      <c r="T61" s="66"/>
    </row>
    <row r="62" spans="1:20" s="60" customFormat="1" ht="21" customHeight="1">
      <c r="F62" s="61"/>
      <c r="L62" s="61"/>
      <c r="P62" s="66"/>
      <c r="Q62" s="66"/>
      <c r="R62" s="66"/>
      <c r="S62" s="66"/>
      <c r="T62" s="66"/>
    </row>
    <row r="63" spans="1:20" s="60" customFormat="1" ht="21" customHeight="1">
      <c r="F63" s="61"/>
      <c r="L63" s="61"/>
      <c r="P63" s="66"/>
      <c r="Q63" s="66"/>
      <c r="R63" s="66"/>
      <c r="S63" s="66"/>
      <c r="T63" s="66"/>
    </row>
    <row r="64" spans="1:20" s="60" customFormat="1" ht="21" customHeight="1">
      <c r="F64" s="61"/>
      <c r="L64" s="61"/>
      <c r="P64" s="66"/>
      <c r="Q64" s="66"/>
      <c r="R64" s="66"/>
      <c r="S64" s="66"/>
      <c r="T64" s="66"/>
    </row>
    <row r="65" spans="1:20" s="60" customFormat="1" ht="21" customHeight="1">
      <c r="F65" s="61"/>
      <c r="L65" s="61"/>
      <c r="P65" s="66"/>
      <c r="Q65" s="66"/>
      <c r="R65" s="66"/>
      <c r="S65" s="66"/>
      <c r="T65" s="66"/>
    </row>
    <row r="66" spans="1:20" s="60" customFormat="1" ht="21" customHeight="1">
      <c r="F66" s="61"/>
      <c r="L66" s="61"/>
      <c r="P66" s="66"/>
      <c r="Q66" s="66"/>
      <c r="R66" s="66"/>
      <c r="S66" s="66"/>
      <c r="T66" s="66"/>
    </row>
    <row r="67" spans="1:20" s="60" customFormat="1" ht="21" customHeight="1">
      <c r="F67" s="61"/>
      <c r="L67" s="61"/>
      <c r="P67" s="66"/>
      <c r="Q67" s="66"/>
      <c r="R67" s="66"/>
      <c r="S67" s="66"/>
      <c r="T67" s="66"/>
    </row>
    <row r="68" spans="1:20" s="60" customFormat="1" ht="21" customHeight="1">
      <c r="F68" s="61"/>
      <c r="L68" s="61"/>
      <c r="P68" s="66"/>
      <c r="Q68" s="66"/>
      <c r="R68" s="66"/>
      <c r="S68" s="66"/>
      <c r="T68" s="66"/>
    </row>
    <row r="69" spans="1:20" s="60" customFormat="1" ht="21" customHeight="1">
      <c r="F69" s="61"/>
      <c r="L69" s="61"/>
      <c r="P69" s="66"/>
      <c r="Q69" s="66"/>
      <c r="R69" s="66"/>
      <c r="S69" s="66"/>
      <c r="T69" s="66"/>
    </row>
    <row r="70" spans="1:20" s="60" customFormat="1" ht="21" customHeight="1">
      <c r="F70" s="61"/>
      <c r="L70" s="61"/>
      <c r="P70" s="66"/>
      <c r="Q70" s="66"/>
      <c r="R70" s="66"/>
      <c r="S70" s="66"/>
      <c r="T70" s="66"/>
    </row>
    <row r="71" spans="1:20" s="60" customFormat="1" ht="21" customHeight="1">
      <c r="F71" s="61"/>
      <c r="L71" s="61"/>
      <c r="P71" s="66"/>
      <c r="Q71" s="66"/>
      <c r="R71" s="66"/>
      <c r="S71" s="66"/>
      <c r="T71" s="66"/>
    </row>
    <row r="72" spans="1:20" s="60" customFormat="1" ht="21.95" customHeight="1">
      <c r="F72" s="61"/>
      <c r="L72" s="61"/>
      <c r="P72" s="66"/>
      <c r="Q72" s="66"/>
      <c r="R72" s="66"/>
      <c r="S72" s="66"/>
      <c r="T72" s="66"/>
    </row>
    <row r="73" spans="1:20" s="60" customFormat="1" ht="21.95" customHeight="1">
      <c r="F73" s="61"/>
      <c r="L73" s="61"/>
      <c r="P73" s="66"/>
      <c r="Q73" s="66"/>
      <c r="R73" s="66"/>
      <c r="S73" s="66"/>
      <c r="T73" s="66"/>
    </row>
    <row r="74" spans="1:20" s="60" customFormat="1" ht="21.95" customHeight="1">
      <c r="F74" s="61"/>
      <c r="L74" s="61"/>
      <c r="P74" s="66"/>
      <c r="Q74" s="66"/>
      <c r="R74" s="66"/>
      <c r="S74" s="66"/>
      <c r="T74" s="66"/>
    </row>
    <row r="75" spans="1:20" s="60" customFormat="1" ht="21.95" customHeight="1">
      <c r="F75" s="61"/>
      <c r="L75" s="61"/>
      <c r="P75" s="66"/>
      <c r="Q75" s="66"/>
      <c r="R75" s="66"/>
      <c r="S75" s="66"/>
      <c r="T75" s="66"/>
    </row>
    <row r="76" spans="1:20" s="60" customFormat="1" ht="21.95" customHeight="1">
      <c r="F76" s="61"/>
      <c r="L76" s="61"/>
      <c r="P76" s="66"/>
      <c r="Q76" s="66"/>
      <c r="R76" s="66"/>
      <c r="S76" s="66"/>
      <c r="T76" s="66"/>
    </row>
    <row r="77" spans="1:20" s="60" customFormat="1" ht="21.95" customHeight="1">
      <c r="F77" s="61"/>
      <c r="L77" s="61"/>
      <c r="P77" s="66"/>
      <c r="Q77" s="66"/>
      <c r="R77" s="66"/>
      <c r="S77" s="66"/>
      <c r="T77" s="66"/>
    </row>
    <row r="78" spans="1:20" s="60" customFormat="1" ht="24" customHeight="1">
      <c r="A78" s="62"/>
      <c r="B78" s="62"/>
      <c r="C78" s="62"/>
      <c r="D78" s="62"/>
      <c r="E78" s="62"/>
      <c r="F78" s="123"/>
      <c r="G78" s="62"/>
      <c r="H78" s="62"/>
      <c r="I78" s="62"/>
      <c r="J78" s="62"/>
      <c r="K78" s="62"/>
      <c r="L78" s="61"/>
      <c r="M78" s="62"/>
      <c r="P78" s="66"/>
      <c r="Q78" s="66"/>
      <c r="R78" s="66"/>
      <c r="S78" s="66"/>
      <c r="T78" s="66"/>
    </row>
    <row r="79" spans="1:20" s="60" customFormat="1" ht="24" customHeight="1">
      <c r="A79" s="62"/>
      <c r="B79" s="62"/>
      <c r="C79" s="62"/>
      <c r="D79" s="62"/>
      <c r="E79" s="62"/>
      <c r="F79" s="123"/>
      <c r="G79" s="62"/>
      <c r="H79" s="62"/>
      <c r="I79" s="62"/>
      <c r="J79" s="62"/>
      <c r="K79" s="62"/>
      <c r="L79" s="61"/>
      <c r="M79" s="62"/>
      <c r="P79" s="66"/>
      <c r="Q79" s="66"/>
      <c r="R79" s="66"/>
      <c r="S79" s="66"/>
      <c r="T79" s="66"/>
    </row>
    <row r="80" spans="1:20" s="60" customFormat="1" ht="24" customHeight="1">
      <c r="A80" s="62"/>
      <c r="B80" s="62"/>
      <c r="C80" s="62"/>
      <c r="D80" s="62"/>
      <c r="E80" s="62"/>
      <c r="F80" s="123"/>
      <c r="G80" s="62"/>
      <c r="H80" s="62"/>
      <c r="I80" s="62"/>
      <c r="J80" s="62"/>
      <c r="K80" s="62"/>
      <c r="L80" s="61"/>
      <c r="M80" s="62"/>
      <c r="P80" s="66"/>
      <c r="Q80" s="66"/>
      <c r="R80" s="66"/>
      <c r="S80" s="66"/>
      <c r="T80" s="66"/>
    </row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</sheetData>
  <mergeCells count="98">
    <mergeCell ref="A49:M49"/>
    <mergeCell ref="I36:L36"/>
    <mergeCell ref="I37:K37"/>
    <mergeCell ref="E38:G38"/>
    <mergeCell ref="I39:L39"/>
    <mergeCell ref="I40:K40"/>
    <mergeCell ref="E41:G41"/>
    <mergeCell ref="I42:L42"/>
    <mergeCell ref="I43:K43"/>
    <mergeCell ref="E44:G44"/>
    <mergeCell ref="I45:L45"/>
    <mergeCell ref="I46:K46"/>
    <mergeCell ref="B25:C25"/>
    <mergeCell ref="D25:G25"/>
    <mergeCell ref="J25:L25"/>
    <mergeCell ref="E35:G35"/>
    <mergeCell ref="B26:C26"/>
    <mergeCell ref="D26:G26"/>
    <mergeCell ref="J26:L26"/>
    <mergeCell ref="B27:C27"/>
    <mergeCell ref="D27:G27"/>
    <mergeCell ref="J27:L27"/>
    <mergeCell ref="A28:M28"/>
    <mergeCell ref="A29:M29"/>
    <mergeCell ref="A31:M31"/>
    <mergeCell ref="A32:M32"/>
    <mergeCell ref="A34:M34"/>
    <mergeCell ref="B23:C23"/>
    <mergeCell ref="D23:G23"/>
    <mergeCell ref="J23:L23"/>
    <mergeCell ref="B24:C24"/>
    <mergeCell ref="D24:G24"/>
    <mergeCell ref="J24:L24"/>
    <mergeCell ref="A22:M22"/>
    <mergeCell ref="K15:K16"/>
    <mergeCell ref="L15:L16"/>
    <mergeCell ref="M19:M20"/>
    <mergeCell ref="C20:E20"/>
    <mergeCell ref="C17:E17"/>
    <mergeCell ref="F17:F18"/>
    <mergeCell ref="G17:J18"/>
    <mergeCell ref="K17:K18"/>
    <mergeCell ref="L17:L18"/>
    <mergeCell ref="M17:M18"/>
    <mergeCell ref="C18:E18"/>
    <mergeCell ref="G19:J20"/>
    <mergeCell ref="K19:K20"/>
    <mergeCell ref="L19:L20"/>
    <mergeCell ref="M15:M16"/>
    <mergeCell ref="A21:B21"/>
    <mergeCell ref="C21:E21"/>
    <mergeCell ref="G21:J21"/>
    <mergeCell ref="K11:K12"/>
    <mergeCell ref="L11:L12"/>
    <mergeCell ref="M11:M12"/>
    <mergeCell ref="C12:E12"/>
    <mergeCell ref="C13:E13"/>
    <mergeCell ref="F13:F14"/>
    <mergeCell ref="G13:J14"/>
    <mergeCell ref="K13:K14"/>
    <mergeCell ref="L13:L14"/>
    <mergeCell ref="M13:M14"/>
    <mergeCell ref="A9:B9"/>
    <mergeCell ref="C9:E9"/>
    <mergeCell ref="G9:J9"/>
    <mergeCell ref="A10:B20"/>
    <mergeCell ref="C10:E10"/>
    <mergeCell ref="G10:J10"/>
    <mergeCell ref="C11:E11"/>
    <mergeCell ref="F11:F12"/>
    <mergeCell ref="G11:J12"/>
    <mergeCell ref="C14:E14"/>
    <mergeCell ref="C16:E16"/>
    <mergeCell ref="C15:E15"/>
    <mergeCell ref="F15:F16"/>
    <mergeCell ref="G15:J16"/>
    <mergeCell ref="C19:E19"/>
    <mergeCell ref="F19:F20"/>
    <mergeCell ref="A7:B7"/>
    <mergeCell ref="C7:E7"/>
    <mergeCell ref="G7:I7"/>
    <mergeCell ref="A8:B8"/>
    <mergeCell ref="C8:E8"/>
    <mergeCell ref="G8:J8"/>
    <mergeCell ref="A5:B5"/>
    <mergeCell ref="C5:E5"/>
    <mergeCell ref="G5:I5"/>
    <mergeCell ref="A6:B6"/>
    <mergeCell ref="C6:E6"/>
    <mergeCell ref="G6:I6"/>
    <mergeCell ref="A4:B4"/>
    <mergeCell ref="C4:E4"/>
    <mergeCell ref="G4:J4"/>
    <mergeCell ref="A1:C1"/>
    <mergeCell ref="A2:M2"/>
    <mergeCell ref="A3:B3"/>
    <mergeCell ref="C3:E3"/>
    <mergeCell ref="G3:M3"/>
  </mergeCells>
  <phoneticPr fontId="4" type="noConversion"/>
  <printOptions horizontalCentered="1"/>
  <pageMargins left="0" right="0" top="0.78740157480314965" bottom="0" header="0.19685039370078741" footer="0.11811023622047245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5" tint="0.59999389629810485"/>
  </sheetPr>
  <dimension ref="A1:AE105"/>
  <sheetViews>
    <sheetView showZeros="0" view="pageBreakPreview" zoomScale="85" zoomScaleNormal="100" zoomScaleSheetLayoutView="85" workbookViewId="0">
      <selection activeCell="H7" sqref="H7:I7"/>
    </sheetView>
  </sheetViews>
  <sheetFormatPr defaultRowHeight="16.5"/>
  <cols>
    <col min="1" max="1" width="7.75" style="62" customWidth="1"/>
    <col min="2" max="2" width="8.25" style="62" customWidth="1"/>
    <col min="3" max="3" width="2.875" style="62" customWidth="1"/>
    <col min="4" max="4" width="10" style="62" customWidth="1"/>
    <col min="5" max="5" width="14.375" style="62" customWidth="1"/>
    <col min="6" max="6" width="14.875" style="62" customWidth="1"/>
    <col min="7" max="7" width="13.25" style="123" customWidth="1"/>
    <col min="8" max="8" width="4.75" style="62" customWidth="1"/>
    <col min="9" max="9" width="6.875" style="62" customWidth="1"/>
    <col min="10" max="10" width="7.75" style="62" customWidth="1"/>
    <col min="11" max="11" width="5.625" style="62" customWidth="1"/>
    <col min="12" max="12" width="18.5" style="141" customWidth="1"/>
    <col min="13" max="13" width="5.125" style="62" customWidth="1"/>
    <col min="14" max="14" width="13.625" style="126" customWidth="1"/>
    <col min="15" max="15" width="13.625" style="127" customWidth="1"/>
    <col min="16" max="31" width="6.625" style="127" customWidth="1"/>
    <col min="32" max="34" width="6.625" style="62" customWidth="1"/>
    <col min="35" max="252" width="9" style="62"/>
    <col min="253" max="253" width="7.75" style="62" customWidth="1"/>
    <col min="254" max="254" width="8.25" style="62" customWidth="1"/>
    <col min="255" max="255" width="2.875" style="62" customWidth="1"/>
    <col min="256" max="256" width="10" style="62" customWidth="1"/>
    <col min="257" max="257" width="14.375" style="62" customWidth="1"/>
    <col min="258" max="258" width="14.875" style="62" customWidth="1"/>
    <col min="259" max="259" width="13.25" style="62" customWidth="1"/>
    <col min="260" max="260" width="4.75" style="62" customWidth="1"/>
    <col min="261" max="261" width="6.875" style="62" customWidth="1"/>
    <col min="262" max="262" width="7.75" style="62" customWidth="1"/>
    <col min="263" max="263" width="5.625" style="62" customWidth="1"/>
    <col min="264" max="264" width="18.5" style="62" customWidth="1"/>
    <col min="265" max="265" width="5.125" style="62" customWidth="1"/>
    <col min="266" max="266" width="14.375" style="62" customWidth="1"/>
    <col min="267" max="271" width="13.625" style="62" customWidth="1"/>
    <col min="272" max="290" width="6.625" style="62" customWidth="1"/>
    <col min="291" max="508" width="9" style="62"/>
    <col min="509" max="509" width="7.75" style="62" customWidth="1"/>
    <col min="510" max="510" width="8.25" style="62" customWidth="1"/>
    <col min="511" max="511" width="2.875" style="62" customWidth="1"/>
    <col min="512" max="512" width="10" style="62" customWidth="1"/>
    <col min="513" max="513" width="14.375" style="62" customWidth="1"/>
    <col min="514" max="514" width="14.875" style="62" customWidth="1"/>
    <col min="515" max="515" width="13.25" style="62" customWidth="1"/>
    <col min="516" max="516" width="4.75" style="62" customWidth="1"/>
    <col min="517" max="517" width="6.875" style="62" customWidth="1"/>
    <col min="518" max="518" width="7.75" style="62" customWidth="1"/>
    <col min="519" max="519" width="5.625" style="62" customWidth="1"/>
    <col min="520" max="520" width="18.5" style="62" customWidth="1"/>
    <col min="521" max="521" width="5.125" style="62" customWidth="1"/>
    <col min="522" max="522" width="14.375" style="62" customWidth="1"/>
    <col min="523" max="527" width="13.625" style="62" customWidth="1"/>
    <col min="528" max="546" width="6.625" style="62" customWidth="1"/>
    <col min="547" max="764" width="9" style="62"/>
    <col min="765" max="765" width="7.75" style="62" customWidth="1"/>
    <col min="766" max="766" width="8.25" style="62" customWidth="1"/>
    <col min="767" max="767" width="2.875" style="62" customWidth="1"/>
    <col min="768" max="768" width="10" style="62" customWidth="1"/>
    <col min="769" max="769" width="14.375" style="62" customWidth="1"/>
    <col min="770" max="770" width="14.875" style="62" customWidth="1"/>
    <col min="771" max="771" width="13.25" style="62" customWidth="1"/>
    <col min="772" max="772" width="4.75" style="62" customWidth="1"/>
    <col min="773" max="773" width="6.875" style="62" customWidth="1"/>
    <col min="774" max="774" width="7.75" style="62" customWidth="1"/>
    <col min="775" max="775" width="5.625" style="62" customWidth="1"/>
    <col min="776" max="776" width="18.5" style="62" customWidth="1"/>
    <col min="777" max="777" width="5.125" style="62" customWidth="1"/>
    <col min="778" max="778" width="14.375" style="62" customWidth="1"/>
    <col min="779" max="783" width="13.625" style="62" customWidth="1"/>
    <col min="784" max="802" width="6.625" style="62" customWidth="1"/>
    <col min="803" max="1020" width="9" style="62"/>
    <col min="1021" max="1021" width="7.75" style="62" customWidth="1"/>
    <col min="1022" max="1022" width="8.25" style="62" customWidth="1"/>
    <col min="1023" max="1023" width="2.875" style="62" customWidth="1"/>
    <col min="1024" max="1024" width="10" style="62" customWidth="1"/>
    <col min="1025" max="1025" width="14.375" style="62" customWidth="1"/>
    <col min="1026" max="1026" width="14.875" style="62" customWidth="1"/>
    <col min="1027" max="1027" width="13.25" style="62" customWidth="1"/>
    <col min="1028" max="1028" width="4.75" style="62" customWidth="1"/>
    <col min="1029" max="1029" width="6.875" style="62" customWidth="1"/>
    <col min="1030" max="1030" width="7.75" style="62" customWidth="1"/>
    <col min="1031" max="1031" width="5.625" style="62" customWidth="1"/>
    <col min="1032" max="1032" width="18.5" style="62" customWidth="1"/>
    <col min="1033" max="1033" width="5.125" style="62" customWidth="1"/>
    <col min="1034" max="1034" width="14.375" style="62" customWidth="1"/>
    <col min="1035" max="1039" width="13.625" style="62" customWidth="1"/>
    <col min="1040" max="1058" width="6.625" style="62" customWidth="1"/>
    <col min="1059" max="1276" width="9" style="62"/>
    <col min="1277" max="1277" width="7.75" style="62" customWidth="1"/>
    <col min="1278" max="1278" width="8.25" style="62" customWidth="1"/>
    <col min="1279" max="1279" width="2.875" style="62" customWidth="1"/>
    <col min="1280" max="1280" width="10" style="62" customWidth="1"/>
    <col min="1281" max="1281" width="14.375" style="62" customWidth="1"/>
    <col min="1282" max="1282" width="14.875" style="62" customWidth="1"/>
    <col min="1283" max="1283" width="13.25" style="62" customWidth="1"/>
    <col min="1284" max="1284" width="4.75" style="62" customWidth="1"/>
    <col min="1285" max="1285" width="6.875" style="62" customWidth="1"/>
    <col min="1286" max="1286" width="7.75" style="62" customWidth="1"/>
    <col min="1287" max="1287" width="5.625" style="62" customWidth="1"/>
    <col min="1288" max="1288" width="18.5" style="62" customWidth="1"/>
    <col min="1289" max="1289" width="5.125" style="62" customWidth="1"/>
    <col min="1290" max="1290" width="14.375" style="62" customWidth="1"/>
    <col min="1291" max="1295" width="13.625" style="62" customWidth="1"/>
    <col min="1296" max="1314" width="6.625" style="62" customWidth="1"/>
    <col min="1315" max="1532" width="9" style="62"/>
    <col min="1533" max="1533" width="7.75" style="62" customWidth="1"/>
    <col min="1534" max="1534" width="8.25" style="62" customWidth="1"/>
    <col min="1535" max="1535" width="2.875" style="62" customWidth="1"/>
    <col min="1536" max="1536" width="10" style="62" customWidth="1"/>
    <col min="1537" max="1537" width="14.375" style="62" customWidth="1"/>
    <col min="1538" max="1538" width="14.875" style="62" customWidth="1"/>
    <col min="1539" max="1539" width="13.25" style="62" customWidth="1"/>
    <col min="1540" max="1540" width="4.75" style="62" customWidth="1"/>
    <col min="1541" max="1541" width="6.875" style="62" customWidth="1"/>
    <col min="1542" max="1542" width="7.75" style="62" customWidth="1"/>
    <col min="1543" max="1543" width="5.625" style="62" customWidth="1"/>
    <col min="1544" max="1544" width="18.5" style="62" customWidth="1"/>
    <col min="1545" max="1545" width="5.125" style="62" customWidth="1"/>
    <col min="1546" max="1546" width="14.375" style="62" customWidth="1"/>
    <col min="1547" max="1551" width="13.625" style="62" customWidth="1"/>
    <col min="1552" max="1570" width="6.625" style="62" customWidth="1"/>
    <col min="1571" max="1788" width="9" style="62"/>
    <col min="1789" max="1789" width="7.75" style="62" customWidth="1"/>
    <col min="1790" max="1790" width="8.25" style="62" customWidth="1"/>
    <col min="1791" max="1791" width="2.875" style="62" customWidth="1"/>
    <col min="1792" max="1792" width="10" style="62" customWidth="1"/>
    <col min="1793" max="1793" width="14.375" style="62" customWidth="1"/>
    <col min="1794" max="1794" width="14.875" style="62" customWidth="1"/>
    <col min="1795" max="1795" width="13.25" style="62" customWidth="1"/>
    <col min="1796" max="1796" width="4.75" style="62" customWidth="1"/>
    <col min="1797" max="1797" width="6.875" style="62" customWidth="1"/>
    <col min="1798" max="1798" width="7.75" style="62" customWidth="1"/>
    <col min="1799" max="1799" width="5.625" style="62" customWidth="1"/>
    <col min="1800" max="1800" width="18.5" style="62" customWidth="1"/>
    <col min="1801" max="1801" width="5.125" style="62" customWidth="1"/>
    <col min="1802" max="1802" width="14.375" style="62" customWidth="1"/>
    <col min="1803" max="1807" width="13.625" style="62" customWidth="1"/>
    <col min="1808" max="1826" width="6.625" style="62" customWidth="1"/>
    <col min="1827" max="2044" width="9" style="62"/>
    <col min="2045" max="2045" width="7.75" style="62" customWidth="1"/>
    <col min="2046" max="2046" width="8.25" style="62" customWidth="1"/>
    <col min="2047" max="2047" width="2.875" style="62" customWidth="1"/>
    <col min="2048" max="2048" width="10" style="62" customWidth="1"/>
    <col min="2049" max="2049" width="14.375" style="62" customWidth="1"/>
    <col min="2050" max="2050" width="14.875" style="62" customWidth="1"/>
    <col min="2051" max="2051" width="13.25" style="62" customWidth="1"/>
    <col min="2052" max="2052" width="4.75" style="62" customWidth="1"/>
    <col min="2053" max="2053" width="6.875" style="62" customWidth="1"/>
    <col min="2054" max="2054" width="7.75" style="62" customWidth="1"/>
    <col min="2055" max="2055" width="5.625" style="62" customWidth="1"/>
    <col min="2056" max="2056" width="18.5" style="62" customWidth="1"/>
    <col min="2057" max="2057" width="5.125" style="62" customWidth="1"/>
    <col min="2058" max="2058" width="14.375" style="62" customWidth="1"/>
    <col min="2059" max="2063" width="13.625" style="62" customWidth="1"/>
    <col min="2064" max="2082" width="6.625" style="62" customWidth="1"/>
    <col min="2083" max="2300" width="9" style="62"/>
    <col min="2301" max="2301" width="7.75" style="62" customWidth="1"/>
    <col min="2302" max="2302" width="8.25" style="62" customWidth="1"/>
    <col min="2303" max="2303" width="2.875" style="62" customWidth="1"/>
    <col min="2304" max="2304" width="10" style="62" customWidth="1"/>
    <col min="2305" max="2305" width="14.375" style="62" customWidth="1"/>
    <col min="2306" max="2306" width="14.875" style="62" customWidth="1"/>
    <col min="2307" max="2307" width="13.25" style="62" customWidth="1"/>
    <col min="2308" max="2308" width="4.75" style="62" customWidth="1"/>
    <col min="2309" max="2309" width="6.875" style="62" customWidth="1"/>
    <col min="2310" max="2310" width="7.75" style="62" customWidth="1"/>
    <col min="2311" max="2311" width="5.625" style="62" customWidth="1"/>
    <col min="2312" max="2312" width="18.5" style="62" customWidth="1"/>
    <col min="2313" max="2313" width="5.125" style="62" customWidth="1"/>
    <col min="2314" max="2314" width="14.375" style="62" customWidth="1"/>
    <col min="2315" max="2319" width="13.625" style="62" customWidth="1"/>
    <col min="2320" max="2338" width="6.625" style="62" customWidth="1"/>
    <col min="2339" max="2556" width="9" style="62"/>
    <col min="2557" max="2557" width="7.75" style="62" customWidth="1"/>
    <col min="2558" max="2558" width="8.25" style="62" customWidth="1"/>
    <col min="2559" max="2559" width="2.875" style="62" customWidth="1"/>
    <col min="2560" max="2560" width="10" style="62" customWidth="1"/>
    <col min="2561" max="2561" width="14.375" style="62" customWidth="1"/>
    <col min="2562" max="2562" width="14.875" style="62" customWidth="1"/>
    <col min="2563" max="2563" width="13.25" style="62" customWidth="1"/>
    <col min="2564" max="2564" width="4.75" style="62" customWidth="1"/>
    <col min="2565" max="2565" width="6.875" style="62" customWidth="1"/>
    <col min="2566" max="2566" width="7.75" style="62" customWidth="1"/>
    <col min="2567" max="2567" width="5.625" style="62" customWidth="1"/>
    <col min="2568" max="2568" width="18.5" style="62" customWidth="1"/>
    <col min="2569" max="2569" width="5.125" style="62" customWidth="1"/>
    <col min="2570" max="2570" width="14.375" style="62" customWidth="1"/>
    <col min="2571" max="2575" width="13.625" style="62" customWidth="1"/>
    <col min="2576" max="2594" width="6.625" style="62" customWidth="1"/>
    <col min="2595" max="2812" width="9" style="62"/>
    <col min="2813" max="2813" width="7.75" style="62" customWidth="1"/>
    <col min="2814" max="2814" width="8.25" style="62" customWidth="1"/>
    <col min="2815" max="2815" width="2.875" style="62" customWidth="1"/>
    <col min="2816" max="2816" width="10" style="62" customWidth="1"/>
    <col min="2817" max="2817" width="14.375" style="62" customWidth="1"/>
    <col min="2818" max="2818" width="14.875" style="62" customWidth="1"/>
    <col min="2819" max="2819" width="13.25" style="62" customWidth="1"/>
    <col min="2820" max="2820" width="4.75" style="62" customWidth="1"/>
    <col min="2821" max="2821" width="6.875" style="62" customWidth="1"/>
    <col min="2822" max="2822" width="7.75" style="62" customWidth="1"/>
    <col min="2823" max="2823" width="5.625" style="62" customWidth="1"/>
    <col min="2824" max="2824" width="18.5" style="62" customWidth="1"/>
    <col min="2825" max="2825" width="5.125" style="62" customWidth="1"/>
    <col min="2826" max="2826" width="14.375" style="62" customWidth="1"/>
    <col min="2827" max="2831" width="13.625" style="62" customWidth="1"/>
    <col min="2832" max="2850" width="6.625" style="62" customWidth="1"/>
    <col min="2851" max="3068" width="9" style="62"/>
    <col min="3069" max="3069" width="7.75" style="62" customWidth="1"/>
    <col min="3070" max="3070" width="8.25" style="62" customWidth="1"/>
    <col min="3071" max="3071" width="2.875" style="62" customWidth="1"/>
    <col min="3072" max="3072" width="10" style="62" customWidth="1"/>
    <col min="3073" max="3073" width="14.375" style="62" customWidth="1"/>
    <col min="3074" max="3074" width="14.875" style="62" customWidth="1"/>
    <col min="3075" max="3075" width="13.25" style="62" customWidth="1"/>
    <col min="3076" max="3076" width="4.75" style="62" customWidth="1"/>
    <col min="3077" max="3077" width="6.875" style="62" customWidth="1"/>
    <col min="3078" max="3078" width="7.75" style="62" customWidth="1"/>
    <col min="3079" max="3079" width="5.625" style="62" customWidth="1"/>
    <col min="3080" max="3080" width="18.5" style="62" customWidth="1"/>
    <col min="3081" max="3081" width="5.125" style="62" customWidth="1"/>
    <col min="3082" max="3082" width="14.375" style="62" customWidth="1"/>
    <col min="3083" max="3087" width="13.625" style="62" customWidth="1"/>
    <col min="3088" max="3106" width="6.625" style="62" customWidth="1"/>
    <col min="3107" max="3324" width="9" style="62"/>
    <col min="3325" max="3325" width="7.75" style="62" customWidth="1"/>
    <col min="3326" max="3326" width="8.25" style="62" customWidth="1"/>
    <col min="3327" max="3327" width="2.875" style="62" customWidth="1"/>
    <col min="3328" max="3328" width="10" style="62" customWidth="1"/>
    <col min="3329" max="3329" width="14.375" style="62" customWidth="1"/>
    <col min="3330" max="3330" width="14.875" style="62" customWidth="1"/>
    <col min="3331" max="3331" width="13.25" style="62" customWidth="1"/>
    <col min="3332" max="3332" width="4.75" style="62" customWidth="1"/>
    <col min="3333" max="3333" width="6.875" style="62" customWidth="1"/>
    <col min="3334" max="3334" width="7.75" style="62" customWidth="1"/>
    <col min="3335" max="3335" width="5.625" style="62" customWidth="1"/>
    <col min="3336" max="3336" width="18.5" style="62" customWidth="1"/>
    <col min="3337" max="3337" width="5.125" style="62" customWidth="1"/>
    <col min="3338" max="3338" width="14.375" style="62" customWidth="1"/>
    <col min="3339" max="3343" width="13.625" style="62" customWidth="1"/>
    <col min="3344" max="3362" width="6.625" style="62" customWidth="1"/>
    <col min="3363" max="3580" width="9" style="62"/>
    <col min="3581" max="3581" width="7.75" style="62" customWidth="1"/>
    <col min="3582" max="3582" width="8.25" style="62" customWidth="1"/>
    <col min="3583" max="3583" width="2.875" style="62" customWidth="1"/>
    <col min="3584" max="3584" width="10" style="62" customWidth="1"/>
    <col min="3585" max="3585" width="14.375" style="62" customWidth="1"/>
    <col min="3586" max="3586" width="14.875" style="62" customWidth="1"/>
    <col min="3587" max="3587" width="13.25" style="62" customWidth="1"/>
    <col min="3588" max="3588" width="4.75" style="62" customWidth="1"/>
    <col min="3589" max="3589" width="6.875" style="62" customWidth="1"/>
    <col min="3590" max="3590" width="7.75" style="62" customWidth="1"/>
    <col min="3591" max="3591" width="5.625" style="62" customWidth="1"/>
    <col min="3592" max="3592" width="18.5" style="62" customWidth="1"/>
    <col min="3593" max="3593" width="5.125" style="62" customWidth="1"/>
    <col min="3594" max="3594" width="14.375" style="62" customWidth="1"/>
    <col min="3595" max="3599" width="13.625" style="62" customWidth="1"/>
    <col min="3600" max="3618" width="6.625" style="62" customWidth="1"/>
    <col min="3619" max="3836" width="9" style="62"/>
    <col min="3837" max="3837" width="7.75" style="62" customWidth="1"/>
    <col min="3838" max="3838" width="8.25" style="62" customWidth="1"/>
    <col min="3839" max="3839" width="2.875" style="62" customWidth="1"/>
    <col min="3840" max="3840" width="10" style="62" customWidth="1"/>
    <col min="3841" max="3841" width="14.375" style="62" customWidth="1"/>
    <col min="3842" max="3842" width="14.875" style="62" customWidth="1"/>
    <col min="3843" max="3843" width="13.25" style="62" customWidth="1"/>
    <col min="3844" max="3844" width="4.75" style="62" customWidth="1"/>
    <col min="3845" max="3845" width="6.875" style="62" customWidth="1"/>
    <col min="3846" max="3846" width="7.75" style="62" customWidth="1"/>
    <col min="3847" max="3847" width="5.625" style="62" customWidth="1"/>
    <col min="3848" max="3848" width="18.5" style="62" customWidth="1"/>
    <col min="3849" max="3849" width="5.125" style="62" customWidth="1"/>
    <col min="3850" max="3850" width="14.375" style="62" customWidth="1"/>
    <col min="3851" max="3855" width="13.625" style="62" customWidth="1"/>
    <col min="3856" max="3874" width="6.625" style="62" customWidth="1"/>
    <col min="3875" max="4092" width="9" style="62"/>
    <col min="4093" max="4093" width="7.75" style="62" customWidth="1"/>
    <col min="4094" max="4094" width="8.25" style="62" customWidth="1"/>
    <col min="4095" max="4095" width="2.875" style="62" customWidth="1"/>
    <col min="4096" max="4096" width="10" style="62" customWidth="1"/>
    <col min="4097" max="4097" width="14.375" style="62" customWidth="1"/>
    <col min="4098" max="4098" width="14.875" style="62" customWidth="1"/>
    <col min="4099" max="4099" width="13.25" style="62" customWidth="1"/>
    <col min="4100" max="4100" width="4.75" style="62" customWidth="1"/>
    <col min="4101" max="4101" width="6.875" style="62" customWidth="1"/>
    <col min="4102" max="4102" width="7.75" style="62" customWidth="1"/>
    <col min="4103" max="4103" width="5.625" style="62" customWidth="1"/>
    <col min="4104" max="4104" width="18.5" style="62" customWidth="1"/>
    <col min="4105" max="4105" width="5.125" style="62" customWidth="1"/>
    <col min="4106" max="4106" width="14.375" style="62" customWidth="1"/>
    <col min="4107" max="4111" width="13.625" style="62" customWidth="1"/>
    <col min="4112" max="4130" width="6.625" style="62" customWidth="1"/>
    <col min="4131" max="4348" width="9" style="62"/>
    <col min="4349" max="4349" width="7.75" style="62" customWidth="1"/>
    <col min="4350" max="4350" width="8.25" style="62" customWidth="1"/>
    <col min="4351" max="4351" width="2.875" style="62" customWidth="1"/>
    <col min="4352" max="4352" width="10" style="62" customWidth="1"/>
    <col min="4353" max="4353" width="14.375" style="62" customWidth="1"/>
    <col min="4354" max="4354" width="14.875" style="62" customWidth="1"/>
    <col min="4355" max="4355" width="13.25" style="62" customWidth="1"/>
    <col min="4356" max="4356" width="4.75" style="62" customWidth="1"/>
    <col min="4357" max="4357" width="6.875" style="62" customWidth="1"/>
    <col min="4358" max="4358" width="7.75" style="62" customWidth="1"/>
    <col min="4359" max="4359" width="5.625" style="62" customWidth="1"/>
    <col min="4360" max="4360" width="18.5" style="62" customWidth="1"/>
    <col min="4361" max="4361" width="5.125" style="62" customWidth="1"/>
    <col min="4362" max="4362" width="14.375" style="62" customWidth="1"/>
    <col min="4363" max="4367" width="13.625" style="62" customWidth="1"/>
    <col min="4368" max="4386" width="6.625" style="62" customWidth="1"/>
    <col min="4387" max="4604" width="9" style="62"/>
    <col min="4605" max="4605" width="7.75" style="62" customWidth="1"/>
    <col min="4606" max="4606" width="8.25" style="62" customWidth="1"/>
    <col min="4607" max="4607" width="2.875" style="62" customWidth="1"/>
    <col min="4608" max="4608" width="10" style="62" customWidth="1"/>
    <col min="4609" max="4609" width="14.375" style="62" customWidth="1"/>
    <col min="4610" max="4610" width="14.875" style="62" customWidth="1"/>
    <col min="4611" max="4611" width="13.25" style="62" customWidth="1"/>
    <col min="4612" max="4612" width="4.75" style="62" customWidth="1"/>
    <col min="4613" max="4613" width="6.875" style="62" customWidth="1"/>
    <col min="4614" max="4614" width="7.75" style="62" customWidth="1"/>
    <col min="4615" max="4615" width="5.625" style="62" customWidth="1"/>
    <col min="4616" max="4616" width="18.5" style="62" customWidth="1"/>
    <col min="4617" max="4617" width="5.125" style="62" customWidth="1"/>
    <col min="4618" max="4618" width="14.375" style="62" customWidth="1"/>
    <col min="4619" max="4623" width="13.625" style="62" customWidth="1"/>
    <col min="4624" max="4642" width="6.625" style="62" customWidth="1"/>
    <col min="4643" max="4860" width="9" style="62"/>
    <col min="4861" max="4861" width="7.75" style="62" customWidth="1"/>
    <col min="4862" max="4862" width="8.25" style="62" customWidth="1"/>
    <col min="4863" max="4863" width="2.875" style="62" customWidth="1"/>
    <col min="4864" max="4864" width="10" style="62" customWidth="1"/>
    <col min="4865" max="4865" width="14.375" style="62" customWidth="1"/>
    <col min="4866" max="4866" width="14.875" style="62" customWidth="1"/>
    <col min="4867" max="4867" width="13.25" style="62" customWidth="1"/>
    <col min="4868" max="4868" width="4.75" style="62" customWidth="1"/>
    <col min="4869" max="4869" width="6.875" style="62" customWidth="1"/>
    <col min="4870" max="4870" width="7.75" style="62" customWidth="1"/>
    <col min="4871" max="4871" width="5.625" style="62" customWidth="1"/>
    <col min="4872" max="4872" width="18.5" style="62" customWidth="1"/>
    <col min="4873" max="4873" width="5.125" style="62" customWidth="1"/>
    <col min="4874" max="4874" width="14.375" style="62" customWidth="1"/>
    <col min="4875" max="4879" width="13.625" style="62" customWidth="1"/>
    <col min="4880" max="4898" width="6.625" style="62" customWidth="1"/>
    <col min="4899" max="5116" width="9" style="62"/>
    <col min="5117" max="5117" width="7.75" style="62" customWidth="1"/>
    <col min="5118" max="5118" width="8.25" style="62" customWidth="1"/>
    <col min="5119" max="5119" width="2.875" style="62" customWidth="1"/>
    <col min="5120" max="5120" width="10" style="62" customWidth="1"/>
    <col min="5121" max="5121" width="14.375" style="62" customWidth="1"/>
    <col min="5122" max="5122" width="14.875" style="62" customWidth="1"/>
    <col min="5123" max="5123" width="13.25" style="62" customWidth="1"/>
    <col min="5124" max="5124" width="4.75" style="62" customWidth="1"/>
    <col min="5125" max="5125" width="6.875" style="62" customWidth="1"/>
    <col min="5126" max="5126" width="7.75" style="62" customWidth="1"/>
    <col min="5127" max="5127" width="5.625" style="62" customWidth="1"/>
    <col min="5128" max="5128" width="18.5" style="62" customWidth="1"/>
    <col min="5129" max="5129" width="5.125" style="62" customWidth="1"/>
    <col min="5130" max="5130" width="14.375" style="62" customWidth="1"/>
    <col min="5131" max="5135" width="13.625" style="62" customWidth="1"/>
    <col min="5136" max="5154" width="6.625" style="62" customWidth="1"/>
    <col min="5155" max="5372" width="9" style="62"/>
    <col min="5373" max="5373" width="7.75" style="62" customWidth="1"/>
    <col min="5374" max="5374" width="8.25" style="62" customWidth="1"/>
    <col min="5375" max="5375" width="2.875" style="62" customWidth="1"/>
    <col min="5376" max="5376" width="10" style="62" customWidth="1"/>
    <col min="5377" max="5377" width="14.375" style="62" customWidth="1"/>
    <col min="5378" max="5378" width="14.875" style="62" customWidth="1"/>
    <col min="5379" max="5379" width="13.25" style="62" customWidth="1"/>
    <col min="5380" max="5380" width="4.75" style="62" customWidth="1"/>
    <col min="5381" max="5381" width="6.875" style="62" customWidth="1"/>
    <col min="5382" max="5382" width="7.75" style="62" customWidth="1"/>
    <col min="5383" max="5383" width="5.625" style="62" customWidth="1"/>
    <col min="5384" max="5384" width="18.5" style="62" customWidth="1"/>
    <col min="5385" max="5385" width="5.125" style="62" customWidth="1"/>
    <col min="5386" max="5386" width="14.375" style="62" customWidth="1"/>
    <col min="5387" max="5391" width="13.625" style="62" customWidth="1"/>
    <col min="5392" max="5410" width="6.625" style="62" customWidth="1"/>
    <col min="5411" max="5628" width="9" style="62"/>
    <col min="5629" max="5629" width="7.75" style="62" customWidth="1"/>
    <col min="5630" max="5630" width="8.25" style="62" customWidth="1"/>
    <col min="5631" max="5631" width="2.875" style="62" customWidth="1"/>
    <col min="5632" max="5632" width="10" style="62" customWidth="1"/>
    <col min="5633" max="5633" width="14.375" style="62" customWidth="1"/>
    <col min="5634" max="5634" width="14.875" style="62" customWidth="1"/>
    <col min="5635" max="5635" width="13.25" style="62" customWidth="1"/>
    <col min="5636" max="5636" width="4.75" style="62" customWidth="1"/>
    <col min="5637" max="5637" width="6.875" style="62" customWidth="1"/>
    <col min="5638" max="5638" width="7.75" style="62" customWidth="1"/>
    <col min="5639" max="5639" width="5.625" style="62" customWidth="1"/>
    <col min="5640" max="5640" width="18.5" style="62" customWidth="1"/>
    <col min="5641" max="5641" width="5.125" style="62" customWidth="1"/>
    <col min="5642" max="5642" width="14.375" style="62" customWidth="1"/>
    <col min="5643" max="5647" width="13.625" style="62" customWidth="1"/>
    <col min="5648" max="5666" width="6.625" style="62" customWidth="1"/>
    <col min="5667" max="5884" width="9" style="62"/>
    <col min="5885" max="5885" width="7.75" style="62" customWidth="1"/>
    <col min="5886" max="5886" width="8.25" style="62" customWidth="1"/>
    <col min="5887" max="5887" width="2.875" style="62" customWidth="1"/>
    <col min="5888" max="5888" width="10" style="62" customWidth="1"/>
    <col min="5889" max="5889" width="14.375" style="62" customWidth="1"/>
    <col min="5890" max="5890" width="14.875" style="62" customWidth="1"/>
    <col min="5891" max="5891" width="13.25" style="62" customWidth="1"/>
    <col min="5892" max="5892" width="4.75" style="62" customWidth="1"/>
    <col min="5893" max="5893" width="6.875" style="62" customWidth="1"/>
    <col min="5894" max="5894" width="7.75" style="62" customWidth="1"/>
    <col min="5895" max="5895" width="5.625" style="62" customWidth="1"/>
    <col min="5896" max="5896" width="18.5" style="62" customWidth="1"/>
    <col min="5897" max="5897" width="5.125" style="62" customWidth="1"/>
    <col min="5898" max="5898" width="14.375" style="62" customWidth="1"/>
    <col min="5899" max="5903" width="13.625" style="62" customWidth="1"/>
    <col min="5904" max="5922" width="6.625" style="62" customWidth="1"/>
    <col min="5923" max="6140" width="9" style="62"/>
    <col min="6141" max="6141" width="7.75" style="62" customWidth="1"/>
    <col min="6142" max="6142" width="8.25" style="62" customWidth="1"/>
    <col min="6143" max="6143" width="2.875" style="62" customWidth="1"/>
    <col min="6144" max="6144" width="10" style="62" customWidth="1"/>
    <col min="6145" max="6145" width="14.375" style="62" customWidth="1"/>
    <col min="6146" max="6146" width="14.875" style="62" customWidth="1"/>
    <col min="6147" max="6147" width="13.25" style="62" customWidth="1"/>
    <col min="6148" max="6148" width="4.75" style="62" customWidth="1"/>
    <col min="6149" max="6149" width="6.875" style="62" customWidth="1"/>
    <col min="6150" max="6150" width="7.75" style="62" customWidth="1"/>
    <col min="6151" max="6151" width="5.625" style="62" customWidth="1"/>
    <col min="6152" max="6152" width="18.5" style="62" customWidth="1"/>
    <col min="6153" max="6153" width="5.125" style="62" customWidth="1"/>
    <col min="6154" max="6154" width="14.375" style="62" customWidth="1"/>
    <col min="6155" max="6159" width="13.625" style="62" customWidth="1"/>
    <col min="6160" max="6178" width="6.625" style="62" customWidth="1"/>
    <col min="6179" max="6396" width="9" style="62"/>
    <col min="6397" max="6397" width="7.75" style="62" customWidth="1"/>
    <col min="6398" max="6398" width="8.25" style="62" customWidth="1"/>
    <col min="6399" max="6399" width="2.875" style="62" customWidth="1"/>
    <col min="6400" max="6400" width="10" style="62" customWidth="1"/>
    <col min="6401" max="6401" width="14.375" style="62" customWidth="1"/>
    <col min="6402" max="6402" width="14.875" style="62" customWidth="1"/>
    <col min="6403" max="6403" width="13.25" style="62" customWidth="1"/>
    <col min="6404" max="6404" width="4.75" style="62" customWidth="1"/>
    <col min="6405" max="6405" width="6.875" style="62" customWidth="1"/>
    <col min="6406" max="6406" width="7.75" style="62" customWidth="1"/>
    <col min="6407" max="6407" width="5.625" style="62" customWidth="1"/>
    <col min="6408" max="6408" width="18.5" style="62" customWidth="1"/>
    <col min="6409" max="6409" width="5.125" style="62" customWidth="1"/>
    <col min="6410" max="6410" width="14.375" style="62" customWidth="1"/>
    <col min="6411" max="6415" width="13.625" style="62" customWidth="1"/>
    <col min="6416" max="6434" width="6.625" style="62" customWidth="1"/>
    <col min="6435" max="6652" width="9" style="62"/>
    <col min="6653" max="6653" width="7.75" style="62" customWidth="1"/>
    <col min="6654" max="6654" width="8.25" style="62" customWidth="1"/>
    <col min="6655" max="6655" width="2.875" style="62" customWidth="1"/>
    <col min="6656" max="6656" width="10" style="62" customWidth="1"/>
    <col min="6657" max="6657" width="14.375" style="62" customWidth="1"/>
    <col min="6658" max="6658" width="14.875" style="62" customWidth="1"/>
    <col min="6659" max="6659" width="13.25" style="62" customWidth="1"/>
    <col min="6660" max="6660" width="4.75" style="62" customWidth="1"/>
    <col min="6661" max="6661" width="6.875" style="62" customWidth="1"/>
    <col min="6662" max="6662" width="7.75" style="62" customWidth="1"/>
    <col min="6663" max="6663" width="5.625" style="62" customWidth="1"/>
    <col min="6664" max="6664" width="18.5" style="62" customWidth="1"/>
    <col min="6665" max="6665" width="5.125" style="62" customWidth="1"/>
    <col min="6666" max="6666" width="14.375" style="62" customWidth="1"/>
    <col min="6667" max="6671" width="13.625" style="62" customWidth="1"/>
    <col min="6672" max="6690" width="6.625" style="62" customWidth="1"/>
    <col min="6691" max="6908" width="9" style="62"/>
    <col min="6909" max="6909" width="7.75" style="62" customWidth="1"/>
    <col min="6910" max="6910" width="8.25" style="62" customWidth="1"/>
    <col min="6911" max="6911" width="2.875" style="62" customWidth="1"/>
    <col min="6912" max="6912" width="10" style="62" customWidth="1"/>
    <col min="6913" max="6913" width="14.375" style="62" customWidth="1"/>
    <col min="6914" max="6914" width="14.875" style="62" customWidth="1"/>
    <col min="6915" max="6915" width="13.25" style="62" customWidth="1"/>
    <col min="6916" max="6916" width="4.75" style="62" customWidth="1"/>
    <col min="6917" max="6917" width="6.875" style="62" customWidth="1"/>
    <col min="6918" max="6918" width="7.75" style="62" customWidth="1"/>
    <col min="6919" max="6919" width="5.625" style="62" customWidth="1"/>
    <col min="6920" max="6920" width="18.5" style="62" customWidth="1"/>
    <col min="6921" max="6921" width="5.125" style="62" customWidth="1"/>
    <col min="6922" max="6922" width="14.375" style="62" customWidth="1"/>
    <col min="6923" max="6927" width="13.625" style="62" customWidth="1"/>
    <col min="6928" max="6946" width="6.625" style="62" customWidth="1"/>
    <col min="6947" max="7164" width="9" style="62"/>
    <col min="7165" max="7165" width="7.75" style="62" customWidth="1"/>
    <col min="7166" max="7166" width="8.25" style="62" customWidth="1"/>
    <col min="7167" max="7167" width="2.875" style="62" customWidth="1"/>
    <col min="7168" max="7168" width="10" style="62" customWidth="1"/>
    <col min="7169" max="7169" width="14.375" style="62" customWidth="1"/>
    <col min="7170" max="7170" width="14.875" style="62" customWidth="1"/>
    <col min="7171" max="7171" width="13.25" style="62" customWidth="1"/>
    <col min="7172" max="7172" width="4.75" style="62" customWidth="1"/>
    <col min="7173" max="7173" width="6.875" style="62" customWidth="1"/>
    <col min="7174" max="7174" width="7.75" style="62" customWidth="1"/>
    <col min="7175" max="7175" width="5.625" style="62" customWidth="1"/>
    <col min="7176" max="7176" width="18.5" style="62" customWidth="1"/>
    <col min="7177" max="7177" width="5.125" style="62" customWidth="1"/>
    <col min="7178" max="7178" width="14.375" style="62" customWidth="1"/>
    <col min="7179" max="7183" width="13.625" style="62" customWidth="1"/>
    <col min="7184" max="7202" width="6.625" style="62" customWidth="1"/>
    <col min="7203" max="7420" width="9" style="62"/>
    <col min="7421" max="7421" width="7.75" style="62" customWidth="1"/>
    <col min="7422" max="7422" width="8.25" style="62" customWidth="1"/>
    <col min="7423" max="7423" width="2.875" style="62" customWidth="1"/>
    <col min="7424" max="7424" width="10" style="62" customWidth="1"/>
    <col min="7425" max="7425" width="14.375" style="62" customWidth="1"/>
    <col min="7426" max="7426" width="14.875" style="62" customWidth="1"/>
    <col min="7427" max="7427" width="13.25" style="62" customWidth="1"/>
    <col min="7428" max="7428" width="4.75" style="62" customWidth="1"/>
    <col min="7429" max="7429" width="6.875" style="62" customWidth="1"/>
    <col min="7430" max="7430" width="7.75" style="62" customWidth="1"/>
    <col min="7431" max="7431" width="5.625" style="62" customWidth="1"/>
    <col min="7432" max="7432" width="18.5" style="62" customWidth="1"/>
    <col min="7433" max="7433" width="5.125" style="62" customWidth="1"/>
    <col min="7434" max="7434" width="14.375" style="62" customWidth="1"/>
    <col min="7435" max="7439" width="13.625" style="62" customWidth="1"/>
    <col min="7440" max="7458" width="6.625" style="62" customWidth="1"/>
    <col min="7459" max="7676" width="9" style="62"/>
    <col min="7677" max="7677" width="7.75" style="62" customWidth="1"/>
    <col min="7678" max="7678" width="8.25" style="62" customWidth="1"/>
    <col min="7679" max="7679" width="2.875" style="62" customWidth="1"/>
    <col min="7680" max="7680" width="10" style="62" customWidth="1"/>
    <col min="7681" max="7681" width="14.375" style="62" customWidth="1"/>
    <col min="7682" max="7682" width="14.875" style="62" customWidth="1"/>
    <col min="7683" max="7683" width="13.25" style="62" customWidth="1"/>
    <col min="7684" max="7684" width="4.75" style="62" customWidth="1"/>
    <col min="7685" max="7685" width="6.875" style="62" customWidth="1"/>
    <col min="7686" max="7686" width="7.75" style="62" customWidth="1"/>
    <col min="7687" max="7687" width="5.625" style="62" customWidth="1"/>
    <col min="7688" max="7688" width="18.5" style="62" customWidth="1"/>
    <col min="7689" max="7689" width="5.125" style="62" customWidth="1"/>
    <col min="7690" max="7690" width="14.375" style="62" customWidth="1"/>
    <col min="7691" max="7695" width="13.625" style="62" customWidth="1"/>
    <col min="7696" max="7714" width="6.625" style="62" customWidth="1"/>
    <col min="7715" max="7932" width="9" style="62"/>
    <col min="7933" max="7933" width="7.75" style="62" customWidth="1"/>
    <col min="7934" max="7934" width="8.25" style="62" customWidth="1"/>
    <col min="7935" max="7935" width="2.875" style="62" customWidth="1"/>
    <col min="7936" max="7936" width="10" style="62" customWidth="1"/>
    <col min="7937" max="7937" width="14.375" style="62" customWidth="1"/>
    <col min="7938" max="7938" width="14.875" style="62" customWidth="1"/>
    <col min="7939" max="7939" width="13.25" style="62" customWidth="1"/>
    <col min="7940" max="7940" width="4.75" style="62" customWidth="1"/>
    <col min="7941" max="7941" width="6.875" style="62" customWidth="1"/>
    <col min="7942" max="7942" width="7.75" style="62" customWidth="1"/>
    <col min="7943" max="7943" width="5.625" style="62" customWidth="1"/>
    <col min="7944" max="7944" width="18.5" style="62" customWidth="1"/>
    <col min="7945" max="7945" width="5.125" style="62" customWidth="1"/>
    <col min="7946" max="7946" width="14.375" style="62" customWidth="1"/>
    <col min="7947" max="7951" width="13.625" style="62" customWidth="1"/>
    <col min="7952" max="7970" width="6.625" style="62" customWidth="1"/>
    <col min="7971" max="8188" width="9" style="62"/>
    <col min="8189" max="8189" width="7.75" style="62" customWidth="1"/>
    <col min="8190" max="8190" width="8.25" style="62" customWidth="1"/>
    <col min="8191" max="8191" width="2.875" style="62" customWidth="1"/>
    <col min="8192" max="8192" width="10" style="62" customWidth="1"/>
    <col min="8193" max="8193" width="14.375" style="62" customWidth="1"/>
    <col min="8194" max="8194" width="14.875" style="62" customWidth="1"/>
    <col min="8195" max="8195" width="13.25" style="62" customWidth="1"/>
    <col min="8196" max="8196" width="4.75" style="62" customWidth="1"/>
    <col min="8197" max="8197" width="6.875" style="62" customWidth="1"/>
    <col min="8198" max="8198" width="7.75" style="62" customWidth="1"/>
    <col min="8199" max="8199" width="5.625" style="62" customWidth="1"/>
    <col min="8200" max="8200" width="18.5" style="62" customWidth="1"/>
    <col min="8201" max="8201" width="5.125" style="62" customWidth="1"/>
    <col min="8202" max="8202" width="14.375" style="62" customWidth="1"/>
    <col min="8203" max="8207" width="13.625" style="62" customWidth="1"/>
    <col min="8208" max="8226" width="6.625" style="62" customWidth="1"/>
    <col min="8227" max="8444" width="9" style="62"/>
    <col min="8445" max="8445" width="7.75" style="62" customWidth="1"/>
    <col min="8446" max="8446" width="8.25" style="62" customWidth="1"/>
    <col min="8447" max="8447" width="2.875" style="62" customWidth="1"/>
    <col min="8448" max="8448" width="10" style="62" customWidth="1"/>
    <col min="8449" max="8449" width="14.375" style="62" customWidth="1"/>
    <col min="8450" max="8450" width="14.875" style="62" customWidth="1"/>
    <col min="8451" max="8451" width="13.25" style="62" customWidth="1"/>
    <col min="8452" max="8452" width="4.75" style="62" customWidth="1"/>
    <col min="8453" max="8453" width="6.875" style="62" customWidth="1"/>
    <col min="8454" max="8454" width="7.75" style="62" customWidth="1"/>
    <col min="8455" max="8455" width="5.625" style="62" customWidth="1"/>
    <col min="8456" max="8456" width="18.5" style="62" customWidth="1"/>
    <col min="8457" max="8457" width="5.125" style="62" customWidth="1"/>
    <col min="8458" max="8458" width="14.375" style="62" customWidth="1"/>
    <col min="8459" max="8463" width="13.625" style="62" customWidth="1"/>
    <col min="8464" max="8482" width="6.625" style="62" customWidth="1"/>
    <col min="8483" max="8700" width="9" style="62"/>
    <col min="8701" max="8701" width="7.75" style="62" customWidth="1"/>
    <col min="8702" max="8702" width="8.25" style="62" customWidth="1"/>
    <col min="8703" max="8703" width="2.875" style="62" customWidth="1"/>
    <col min="8704" max="8704" width="10" style="62" customWidth="1"/>
    <col min="8705" max="8705" width="14.375" style="62" customWidth="1"/>
    <col min="8706" max="8706" width="14.875" style="62" customWidth="1"/>
    <col min="8707" max="8707" width="13.25" style="62" customWidth="1"/>
    <col min="8708" max="8708" width="4.75" style="62" customWidth="1"/>
    <col min="8709" max="8709" width="6.875" style="62" customWidth="1"/>
    <col min="8710" max="8710" width="7.75" style="62" customWidth="1"/>
    <col min="8711" max="8711" width="5.625" style="62" customWidth="1"/>
    <col min="8712" max="8712" width="18.5" style="62" customWidth="1"/>
    <col min="8713" max="8713" width="5.125" style="62" customWidth="1"/>
    <col min="8714" max="8714" width="14.375" style="62" customWidth="1"/>
    <col min="8715" max="8719" width="13.625" style="62" customWidth="1"/>
    <col min="8720" max="8738" width="6.625" style="62" customWidth="1"/>
    <col min="8739" max="8956" width="9" style="62"/>
    <col min="8957" max="8957" width="7.75" style="62" customWidth="1"/>
    <col min="8958" max="8958" width="8.25" style="62" customWidth="1"/>
    <col min="8959" max="8959" width="2.875" style="62" customWidth="1"/>
    <col min="8960" max="8960" width="10" style="62" customWidth="1"/>
    <col min="8961" max="8961" width="14.375" style="62" customWidth="1"/>
    <col min="8962" max="8962" width="14.875" style="62" customWidth="1"/>
    <col min="8963" max="8963" width="13.25" style="62" customWidth="1"/>
    <col min="8964" max="8964" width="4.75" style="62" customWidth="1"/>
    <col min="8965" max="8965" width="6.875" style="62" customWidth="1"/>
    <col min="8966" max="8966" width="7.75" style="62" customWidth="1"/>
    <col min="8967" max="8967" width="5.625" style="62" customWidth="1"/>
    <col min="8968" max="8968" width="18.5" style="62" customWidth="1"/>
    <col min="8969" max="8969" width="5.125" style="62" customWidth="1"/>
    <col min="8970" max="8970" width="14.375" style="62" customWidth="1"/>
    <col min="8971" max="8975" width="13.625" style="62" customWidth="1"/>
    <col min="8976" max="8994" width="6.625" style="62" customWidth="1"/>
    <col min="8995" max="9212" width="9" style="62"/>
    <col min="9213" max="9213" width="7.75" style="62" customWidth="1"/>
    <col min="9214" max="9214" width="8.25" style="62" customWidth="1"/>
    <col min="9215" max="9215" width="2.875" style="62" customWidth="1"/>
    <col min="9216" max="9216" width="10" style="62" customWidth="1"/>
    <col min="9217" max="9217" width="14.375" style="62" customWidth="1"/>
    <col min="9218" max="9218" width="14.875" style="62" customWidth="1"/>
    <col min="9219" max="9219" width="13.25" style="62" customWidth="1"/>
    <col min="9220" max="9220" width="4.75" style="62" customWidth="1"/>
    <col min="9221" max="9221" width="6.875" style="62" customWidth="1"/>
    <col min="9222" max="9222" width="7.75" style="62" customWidth="1"/>
    <col min="9223" max="9223" width="5.625" style="62" customWidth="1"/>
    <col min="9224" max="9224" width="18.5" style="62" customWidth="1"/>
    <col min="9225" max="9225" width="5.125" style="62" customWidth="1"/>
    <col min="9226" max="9226" width="14.375" style="62" customWidth="1"/>
    <col min="9227" max="9231" width="13.625" style="62" customWidth="1"/>
    <col min="9232" max="9250" width="6.625" style="62" customWidth="1"/>
    <col min="9251" max="9468" width="9" style="62"/>
    <col min="9469" max="9469" width="7.75" style="62" customWidth="1"/>
    <col min="9470" max="9470" width="8.25" style="62" customWidth="1"/>
    <col min="9471" max="9471" width="2.875" style="62" customWidth="1"/>
    <col min="9472" max="9472" width="10" style="62" customWidth="1"/>
    <col min="9473" max="9473" width="14.375" style="62" customWidth="1"/>
    <col min="9474" max="9474" width="14.875" style="62" customWidth="1"/>
    <col min="9475" max="9475" width="13.25" style="62" customWidth="1"/>
    <col min="9476" max="9476" width="4.75" style="62" customWidth="1"/>
    <col min="9477" max="9477" width="6.875" style="62" customWidth="1"/>
    <col min="9478" max="9478" width="7.75" style="62" customWidth="1"/>
    <col min="9479" max="9479" width="5.625" style="62" customWidth="1"/>
    <col min="9480" max="9480" width="18.5" style="62" customWidth="1"/>
    <col min="9481" max="9481" width="5.125" style="62" customWidth="1"/>
    <col min="9482" max="9482" width="14.375" style="62" customWidth="1"/>
    <col min="9483" max="9487" width="13.625" style="62" customWidth="1"/>
    <col min="9488" max="9506" width="6.625" style="62" customWidth="1"/>
    <col min="9507" max="9724" width="9" style="62"/>
    <col min="9725" max="9725" width="7.75" style="62" customWidth="1"/>
    <col min="9726" max="9726" width="8.25" style="62" customWidth="1"/>
    <col min="9727" max="9727" width="2.875" style="62" customWidth="1"/>
    <col min="9728" max="9728" width="10" style="62" customWidth="1"/>
    <col min="9729" max="9729" width="14.375" style="62" customWidth="1"/>
    <col min="9730" max="9730" width="14.875" style="62" customWidth="1"/>
    <col min="9731" max="9731" width="13.25" style="62" customWidth="1"/>
    <col min="9732" max="9732" width="4.75" style="62" customWidth="1"/>
    <col min="9733" max="9733" width="6.875" style="62" customWidth="1"/>
    <col min="9734" max="9734" width="7.75" style="62" customWidth="1"/>
    <col min="9735" max="9735" width="5.625" style="62" customWidth="1"/>
    <col min="9736" max="9736" width="18.5" style="62" customWidth="1"/>
    <col min="9737" max="9737" width="5.125" style="62" customWidth="1"/>
    <col min="9738" max="9738" width="14.375" style="62" customWidth="1"/>
    <col min="9739" max="9743" width="13.625" style="62" customWidth="1"/>
    <col min="9744" max="9762" width="6.625" style="62" customWidth="1"/>
    <col min="9763" max="9980" width="9" style="62"/>
    <col min="9981" max="9981" width="7.75" style="62" customWidth="1"/>
    <col min="9982" max="9982" width="8.25" style="62" customWidth="1"/>
    <col min="9983" max="9983" width="2.875" style="62" customWidth="1"/>
    <col min="9984" max="9984" width="10" style="62" customWidth="1"/>
    <col min="9985" max="9985" width="14.375" style="62" customWidth="1"/>
    <col min="9986" max="9986" width="14.875" style="62" customWidth="1"/>
    <col min="9987" max="9987" width="13.25" style="62" customWidth="1"/>
    <col min="9988" max="9988" width="4.75" style="62" customWidth="1"/>
    <col min="9989" max="9989" width="6.875" style="62" customWidth="1"/>
    <col min="9990" max="9990" width="7.75" style="62" customWidth="1"/>
    <col min="9991" max="9991" width="5.625" style="62" customWidth="1"/>
    <col min="9992" max="9992" width="18.5" style="62" customWidth="1"/>
    <col min="9993" max="9993" width="5.125" style="62" customWidth="1"/>
    <col min="9994" max="9994" width="14.375" style="62" customWidth="1"/>
    <col min="9995" max="9999" width="13.625" style="62" customWidth="1"/>
    <col min="10000" max="10018" width="6.625" style="62" customWidth="1"/>
    <col min="10019" max="10236" width="9" style="62"/>
    <col min="10237" max="10237" width="7.75" style="62" customWidth="1"/>
    <col min="10238" max="10238" width="8.25" style="62" customWidth="1"/>
    <col min="10239" max="10239" width="2.875" style="62" customWidth="1"/>
    <col min="10240" max="10240" width="10" style="62" customWidth="1"/>
    <col min="10241" max="10241" width="14.375" style="62" customWidth="1"/>
    <col min="10242" max="10242" width="14.875" style="62" customWidth="1"/>
    <col min="10243" max="10243" width="13.25" style="62" customWidth="1"/>
    <col min="10244" max="10244" width="4.75" style="62" customWidth="1"/>
    <col min="10245" max="10245" width="6.875" style="62" customWidth="1"/>
    <col min="10246" max="10246" width="7.75" style="62" customWidth="1"/>
    <col min="10247" max="10247" width="5.625" style="62" customWidth="1"/>
    <col min="10248" max="10248" width="18.5" style="62" customWidth="1"/>
    <col min="10249" max="10249" width="5.125" style="62" customWidth="1"/>
    <col min="10250" max="10250" width="14.375" style="62" customWidth="1"/>
    <col min="10251" max="10255" width="13.625" style="62" customWidth="1"/>
    <col min="10256" max="10274" width="6.625" style="62" customWidth="1"/>
    <col min="10275" max="10492" width="9" style="62"/>
    <col min="10493" max="10493" width="7.75" style="62" customWidth="1"/>
    <col min="10494" max="10494" width="8.25" style="62" customWidth="1"/>
    <col min="10495" max="10495" width="2.875" style="62" customWidth="1"/>
    <col min="10496" max="10496" width="10" style="62" customWidth="1"/>
    <col min="10497" max="10497" width="14.375" style="62" customWidth="1"/>
    <col min="10498" max="10498" width="14.875" style="62" customWidth="1"/>
    <col min="10499" max="10499" width="13.25" style="62" customWidth="1"/>
    <col min="10500" max="10500" width="4.75" style="62" customWidth="1"/>
    <col min="10501" max="10501" width="6.875" style="62" customWidth="1"/>
    <col min="10502" max="10502" width="7.75" style="62" customWidth="1"/>
    <col min="10503" max="10503" width="5.625" style="62" customWidth="1"/>
    <col min="10504" max="10504" width="18.5" style="62" customWidth="1"/>
    <col min="10505" max="10505" width="5.125" style="62" customWidth="1"/>
    <col min="10506" max="10506" width="14.375" style="62" customWidth="1"/>
    <col min="10507" max="10511" width="13.625" style="62" customWidth="1"/>
    <col min="10512" max="10530" width="6.625" style="62" customWidth="1"/>
    <col min="10531" max="10748" width="9" style="62"/>
    <col min="10749" max="10749" width="7.75" style="62" customWidth="1"/>
    <col min="10750" max="10750" width="8.25" style="62" customWidth="1"/>
    <col min="10751" max="10751" width="2.875" style="62" customWidth="1"/>
    <col min="10752" max="10752" width="10" style="62" customWidth="1"/>
    <col min="10753" max="10753" width="14.375" style="62" customWidth="1"/>
    <col min="10754" max="10754" width="14.875" style="62" customWidth="1"/>
    <col min="10755" max="10755" width="13.25" style="62" customWidth="1"/>
    <col min="10756" max="10756" width="4.75" style="62" customWidth="1"/>
    <col min="10757" max="10757" width="6.875" style="62" customWidth="1"/>
    <col min="10758" max="10758" width="7.75" style="62" customWidth="1"/>
    <col min="10759" max="10759" width="5.625" style="62" customWidth="1"/>
    <col min="10760" max="10760" width="18.5" style="62" customWidth="1"/>
    <col min="10761" max="10761" width="5.125" style="62" customWidth="1"/>
    <col min="10762" max="10762" width="14.375" style="62" customWidth="1"/>
    <col min="10763" max="10767" width="13.625" style="62" customWidth="1"/>
    <col min="10768" max="10786" width="6.625" style="62" customWidth="1"/>
    <col min="10787" max="11004" width="9" style="62"/>
    <col min="11005" max="11005" width="7.75" style="62" customWidth="1"/>
    <col min="11006" max="11006" width="8.25" style="62" customWidth="1"/>
    <col min="11007" max="11007" width="2.875" style="62" customWidth="1"/>
    <col min="11008" max="11008" width="10" style="62" customWidth="1"/>
    <col min="11009" max="11009" width="14.375" style="62" customWidth="1"/>
    <col min="11010" max="11010" width="14.875" style="62" customWidth="1"/>
    <col min="11011" max="11011" width="13.25" style="62" customWidth="1"/>
    <col min="11012" max="11012" width="4.75" style="62" customWidth="1"/>
    <col min="11013" max="11013" width="6.875" style="62" customWidth="1"/>
    <col min="11014" max="11014" width="7.75" style="62" customWidth="1"/>
    <col min="11015" max="11015" width="5.625" style="62" customWidth="1"/>
    <col min="11016" max="11016" width="18.5" style="62" customWidth="1"/>
    <col min="11017" max="11017" width="5.125" style="62" customWidth="1"/>
    <col min="11018" max="11018" width="14.375" style="62" customWidth="1"/>
    <col min="11019" max="11023" width="13.625" style="62" customWidth="1"/>
    <col min="11024" max="11042" width="6.625" style="62" customWidth="1"/>
    <col min="11043" max="11260" width="9" style="62"/>
    <col min="11261" max="11261" width="7.75" style="62" customWidth="1"/>
    <col min="11262" max="11262" width="8.25" style="62" customWidth="1"/>
    <col min="11263" max="11263" width="2.875" style="62" customWidth="1"/>
    <col min="11264" max="11264" width="10" style="62" customWidth="1"/>
    <col min="11265" max="11265" width="14.375" style="62" customWidth="1"/>
    <col min="11266" max="11266" width="14.875" style="62" customWidth="1"/>
    <col min="11267" max="11267" width="13.25" style="62" customWidth="1"/>
    <col min="11268" max="11268" width="4.75" style="62" customWidth="1"/>
    <col min="11269" max="11269" width="6.875" style="62" customWidth="1"/>
    <col min="11270" max="11270" width="7.75" style="62" customWidth="1"/>
    <col min="11271" max="11271" width="5.625" style="62" customWidth="1"/>
    <col min="11272" max="11272" width="18.5" style="62" customWidth="1"/>
    <col min="11273" max="11273" width="5.125" style="62" customWidth="1"/>
    <col min="11274" max="11274" width="14.375" style="62" customWidth="1"/>
    <col min="11275" max="11279" width="13.625" style="62" customWidth="1"/>
    <col min="11280" max="11298" width="6.625" style="62" customWidth="1"/>
    <col min="11299" max="11516" width="9" style="62"/>
    <col min="11517" max="11517" width="7.75" style="62" customWidth="1"/>
    <col min="11518" max="11518" width="8.25" style="62" customWidth="1"/>
    <col min="11519" max="11519" width="2.875" style="62" customWidth="1"/>
    <col min="11520" max="11520" width="10" style="62" customWidth="1"/>
    <col min="11521" max="11521" width="14.375" style="62" customWidth="1"/>
    <col min="11522" max="11522" width="14.875" style="62" customWidth="1"/>
    <col min="11523" max="11523" width="13.25" style="62" customWidth="1"/>
    <col min="11524" max="11524" width="4.75" style="62" customWidth="1"/>
    <col min="11525" max="11525" width="6.875" style="62" customWidth="1"/>
    <col min="11526" max="11526" width="7.75" style="62" customWidth="1"/>
    <col min="11527" max="11527" width="5.625" style="62" customWidth="1"/>
    <col min="11528" max="11528" width="18.5" style="62" customWidth="1"/>
    <col min="11529" max="11529" width="5.125" style="62" customWidth="1"/>
    <col min="11530" max="11530" width="14.375" style="62" customWidth="1"/>
    <col min="11531" max="11535" width="13.625" style="62" customWidth="1"/>
    <col min="11536" max="11554" width="6.625" style="62" customWidth="1"/>
    <col min="11555" max="11772" width="9" style="62"/>
    <col min="11773" max="11773" width="7.75" style="62" customWidth="1"/>
    <col min="11774" max="11774" width="8.25" style="62" customWidth="1"/>
    <col min="11775" max="11775" width="2.875" style="62" customWidth="1"/>
    <col min="11776" max="11776" width="10" style="62" customWidth="1"/>
    <col min="11777" max="11777" width="14.375" style="62" customWidth="1"/>
    <col min="11778" max="11778" width="14.875" style="62" customWidth="1"/>
    <col min="11779" max="11779" width="13.25" style="62" customWidth="1"/>
    <col min="11780" max="11780" width="4.75" style="62" customWidth="1"/>
    <col min="11781" max="11781" width="6.875" style="62" customWidth="1"/>
    <col min="11782" max="11782" width="7.75" style="62" customWidth="1"/>
    <col min="11783" max="11783" width="5.625" style="62" customWidth="1"/>
    <col min="11784" max="11784" width="18.5" style="62" customWidth="1"/>
    <col min="11785" max="11785" width="5.125" style="62" customWidth="1"/>
    <col min="11786" max="11786" width="14.375" style="62" customWidth="1"/>
    <col min="11787" max="11791" width="13.625" style="62" customWidth="1"/>
    <col min="11792" max="11810" width="6.625" style="62" customWidth="1"/>
    <col min="11811" max="12028" width="9" style="62"/>
    <col min="12029" max="12029" width="7.75" style="62" customWidth="1"/>
    <col min="12030" max="12030" width="8.25" style="62" customWidth="1"/>
    <col min="12031" max="12031" width="2.875" style="62" customWidth="1"/>
    <col min="12032" max="12032" width="10" style="62" customWidth="1"/>
    <col min="12033" max="12033" width="14.375" style="62" customWidth="1"/>
    <col min="12034" max="12034" width="14.875" style="62" customWidth="1"/>
    <col min="12035" max="12035" width="13.25" style="62" customWidth="1"/>
    <col min="12036" max="12036" width="4.75" style="62" customWidth="1"/>
    <col min="12037" max="12037" width="6.875" style="62" customWidth="1"/>
    <col min="12038" max="12038" width="7.75" style="62" customWidth="1"/>
    <col min="12039" max="12039" width="5.625" style="62" customWidth="1"/>
    <col min="12040" max="12040" width="18.5" style="62" customWidth="1"/>
    <col min="12041" max="12041" width="5.125" style="62" customWidth="1"/>
    <col min="12042" max="12042" width="14.375" style="62" customWidth="1"/>
    <col min="12043" max="12047" width="13.625" style="62" customWidth="1"/>
    <col min="12048" max="12066" width="6.625" style="62" customWidth="1"/>
    <col min="12067" max="12284" width="9" style="62"/>
    <col min="12285" max="12285" width="7.75" style="62" customWidth="1"/>
    <col min="12286" max="12286" width="8.25" style="62" customWidth="1"/>
    <col min="12287" max="12287" width="2.875" style="62" customWidth="1"/>
    <col min="12288" max="12288" width="10" style="62" customWidth="1"/>
    <col min="12289" max="12289" width="14.375" style="62" customWidth="1"/>
    <col min="12290" max="12290" width="14.875" style="62" customWidth="1"/>
    <col min="12291" max="12291" width="13.25" style="62" customWidth="1"/>
    <col min="12292" max="12292" width="4.75" style="62" customWidth="1"/>
    <col min="12293" max="12293" width="6.875" style="62" customWidth="1"/>
    <col min="12294" max="12294" width="7.75" style="62" customWidth="1"/>
    <col min="12295" max="12295" width="5.625" style="62" customWidth="1"/>
    <col min="12296" max="12296" width="18.5" style="62" customWidth="1"/>
    <col min="12297" max="12297" width="5.125" style="62" customWidth="1"/>
    <col min="12298" max="12298" width="14.375" style="62" customWidth="1"/>
    <col min="12299" max="12303" width="13.625" style="62" customWidth="1"/>
    <col min="12304" max="12322" width="6.625" style="62" customWidth="1"/>
    <col min="12323" max="12540" width="9" style="62"/>
    <col min="12541" max="12541" width="7.75" style="62" customWidth="1"/>
    <col min="12542" max="12542" width="8.25" style="62" customWidth="1"/>
    <col min="12543" max="12543" width="2.875" style="62" customWidth="1"/>
    <col min="12544" max="12544" width="10" style="62" customWidth="1"/>
    <col min="12545" max="12545" width="14.375" style="62" customWidth="1"/>
    <col min="12546" max="12546" width="14.875" style="62" customWidth="1"/>
    <col min="12547" max="12547" width="13.25" style="62" customWidth="1"/>
    <col min="12548" max="12548" width="4.75" style="62" customWidth="1"/>
    <col min="12549" max="12549" width="6.875" style="62" customWidth="1"/>
    <col min="12550" max="12550" width="7.75" style="62" customWidth="1"/>
    <col min="12551" max="12551" width="5.625" style="62" customWidth="1"/>
    <col min="12552" max="12552" width="18.5" style="62" customWidth="1"/>
    <col min="12553" max="12553" width="5.125" style="62" customWidth="1"/>
    <col min="12554" max="12554" width="14.375" style="62" customWidth="1"/>
    <col min="12555" max="12559" width="13.625" style="62" customWidth="1"/>
    <col min="12560" max="12578" width="6.625" style="62" customWidth="1"/>
    <col min="12579" max="12796" width="9" style="62"/>
    <col min="12797" max="12797" width="7.75" style="62" customWidth="1"/>
    <col min="12798" max="12798" width="8.25" style="62" customWidth="1"/>
    <col min="12799" max="12799" width="2.875" style="62" customWidth="1"/>
    <col min="12800" max="12800" width="10" style="62" customWidth="1"/>
    <col min="12801" max="12801" width="14.375" style="62" customWidth="1"/>
    <col min="12802" max="12802" width="14.875" style="62" customWidth="1"/>
    <col min="12803" max="12803" width="13.25" style="62" customWidth="1"/>
    <col min="12804" max="12804" width="4.75" style="62" customWidth="1"/>
    <col min="12805" max="12805" width="6.875" style="62" customWidth="1"/>
    <col min="12806" max="12806" width="7.75" style="62" customWidth="1"/>
    <col min="12807" max="12807" width="5.625" style="62" customWidth="1"/>
    <col min="12808" max="12808" width="18.5" style="62" customWidth="1"/>
    <col min="12809" max="12809" width="5.125" style="62" customWidth="1"/>
    <col min="12810" max="12810" width="14.375" style="62" customWidth="1"/>
    <col min="12811" max="12815" width="13.625" style="62" customWidth="1"/>
    <col min="12816" max="12834" width="6.625" style="62" customWidth="1"/>
    <col min="12835" max="13052" width="9" style="62"/>
    <col min="13053" max="13053" width="7.75" style="62" customWidth="1"/>
    <col min="13054" max="13054" width="8.25" style="62" customWidth="1"/>
    <col min="13055" max="13055" width="2.875" style="62" customWidth="1"/>
    <col min="13056" max="13056" width="10" style="62" customWidth="1"/>
    <col min="13057" max="13057" width="14.375" style="62" customWidth="1"/>
    <col min="13058" max="13058" width="14.875" style="62" customWidth="1"/>
    <col min="13059" max="13059" width="13.25" style="62" customWidth="1"/>
    <col min="13060" max="13060" width="4.75" style="62" customWidth="1"/>
    <col min="13061" max="13061" width="6.875" style="62" customWidth="1"/>
    <col min="13062" max="13062" width="7.75" style="62" customWidth="1"/>
    <col min="13063" max="13063" width="5.625" style="62" customWidth="1"/>
    <col min="13064" max="13064" width="18.5" style="62" customWidth="1"/>
    <col min="13065" max="13065" width="5.125" style="62" customWidth="1"/>
    <col min="13066" max="13066" width="14.375" style="62" customWidth="1"/>
    <col min="13067" max="13071" width="13.625" style="62" customWidth="1"/>
    <col min="13072" max="13090" width="6.625" style="62" customWidth="1"/>
    <col min="13091" max="13308" width="9" style="62"/>
    <col min="13309" max="13309" width="7.75" style="62" customWidth="1"/>
    <col min="13310" max="13310" width="8.25" style="62" customWidth="1"/>
    <col min="13311" max="13311" width="2.875" style="62" customWidth="1"/>
    <col min="13312" max="13312" width="10" style="62" customWidth="1"/>
    <col min="13313" max="13313" width="14.375" style="62" customWidth="1"/>
    <col min="13314" max="13314" width="14.875" style="62" customWidth="1"/>
    <col min="13315" max="13315" width="13.25" style="62" customWidth="1"/>
    <col min="13316" max="13316" width="4.75" style="62" customWidth="1"/>
    <col min="13317" max="13317" width="6.875" style="62" customWidth="1"/>
    <col min="13318" max="13318" width="7.75" style="62" customWidth="1"/>
    <col min="13319" max="13319" width="5.625" style="62" customWidth="1"/>
    <col min="13320" max="13320" width="18.5" style="62" customWidth="1"/>
    <col min="13321" max="13321" width="5.125" style="62" customWidth="1"/>
    <col min="13322" max="13322" width="14.375" style="62" customWidth="1"/>
    <col min="13323" max="13327" width="13.625" style="62" customWidth="1"/>
    <col min="13328" max="13346" width="6.625" style="62" customWidth="1"/>
    <col min="13347" max="13564" width="9" style="62"/>
    <col min="13565" max="13565" width="7.75" style="62" customWidth="1"/>
    <col min="13566" max="13566" width="8.25" style="62" customWidth="1"/>
    <col min="13567" max="13567" width="2.875" style="62" customWidth="1"/>
    <col min="13568" max="13568" width="10" style="62" customWidth="1"/>
    <col min="13569" max="13569" width="14.375" style="62" customWidth="1"/>
    <col min="13570" max="13570" width="14.875" style="62" customWidth="1"/>
    <col min="13571" max="13571" width="13.25" style="62" customWidth="1"/>
    <col min="13572" max="13572" width="4.75" style="62" customWidth="1"/>
    <col min="13573" max="13573" width="6.875" style="62" customWidth="1"/>
    <col min="13574" max="13574" width="7.75" style="62" customWidth="1"/>
    <col min="13575" max="13575" width="5.625" style="62" customWidth="1"/>
    <col min="13576" max="13576" width="18.5" style="62" customWidth="1"/>
    <col min="13577" max="13577" width="5.125" style="62" customWidth="1"/>
    <col min="13578" max="13578" width="14.375" style="62" customWidth="1"/>
    <col min="13579" max="13583" width="13.625" style="62" customWidth="1"/>
    <col min="13584" max="13602" width="6.625" style="62" customWidth="1"/>
    <col min="13603" max="13820" width="9" style="62"/>
    <col min="13821" max="13821" width="7.75" style="62" customWidth="1"/>
    <col min="13822" max="13822" width="8.25" style="62" customWidth="1"/>
    <col min="13823" max="13823" width="2.875" style="62" customWidth="1"/>
    <col min="13824" max="13824" width="10" style="62" customWidth="1"/>
    <col min="13825" max="13825" width="14.375" style="62" customWidth="1"/>
    <col min="13826" max="13826" width="14.875" style="62" customWidth="1"/>
    <col min="13827" max="13827" width="13.25" style="62" customWidth="1"/>
    <col min="13828" max="13828" width="4.75" style="62" customWidth="1"/>
    <col min="13829" max="13829" width="6.875" style="62" customWidth="1"/>
    <col min="13830" max="13830" width="7.75" style="62" customWidth="1"/>
    <col min="13831" max="13831" width="5.625" style="62" customWidth="1"/>
    <col min="13832" max="13832" width="18.5" style="62" customWidth="1"/>
    <col min="13833" max="13833" width="5.125" style="62" customWidth="1"/>
    <col min="13834" max="13834" width="14.375" style="62" customWidth="1"/>
    <col min="13835" max="13839" width="13.625" style="62" customWidth="1"/>
    <col min="13840" max="13858" width="6.625" style="62" customWidth="1"/>
    <col min="13859" max="14076" width="9" style="62"/>
    <col min="14077" max="14077" width="7.75" style="62" customWidth="1"/>
    <col min="14078" max="14078" width="8.25" style="62" customWidth="1"/>
    <col min="14079" max="14079" width="2.875" style="62" customWidth="1"/>
    <col min="14080" max="14080" width="10" style="62" customWidth="1"/>
    <col min="14081" max="14081" width="14.375" style="62" customWidth="1"/>
    <col min="14082" max="14082" width="14.875" style="62" customWidth="1"/>
    <col min="14083" max="14083" width="13.25" style="62" customWidth="1"/>
    <col min="14084" max="14084" width="4.75" style="62" customWidth="1"/>
    <col min="14085" max="14085" width="6.875" style="62" customWidth="1"/>
    <col min="14086" max="14086" width="7.75" style="62" customWidth="1"/>
    <col min="14087" max="14087" width="5.625" style="62" customWidth="1"/>
    <col min="14088" max="14088" width="18.5" style="62" customWidth="1"/>
    <col min="14089" max="14089" width="5.125" style="62" customWidth="1"/>
    <col min="14090" max="14090" width="14.375" style="62" customWidth="1"/>
    <col min="14091" max="14095" width="13.625" style="62" customWidth="1"/>
    <col min="14096" max="14114" width="6.625" style="62" customWidth="1"/>
    <col min="14115" max="14332" width="9" style="62"/>
    <col min="14333" max="14333" width="7.75" style="62" customWidth="1"/>
    <col min="14334" max="14334" width="8.25" style="62" customWidth="1"/>
    <col min="14335" max="14335" width="2.875" style="62" customWidth="1"/>
    <col min="14336" max="14336" width="10" style="62" customWidth="1"/>
    <col min="14337" max="14337" width="14.375" style="62" customWidth="1"/>
    <col min="14338" max="14338" width="14.875" style="62" customWidth="1"/>
    <col min="14339" max="14339" width="13.25" style="62" customWidth="1"/>
    <col min="14340" max="14340" width="4.75" style="62" customWidth="1"/>
    <col min="14341" max="14341" width="6.875" style="62" customWidth="1"/>
    <col min="14342" max="14342" width="7.75" style="62" customWidth="1"/>
    <col min="14343" max="14343" width="5.625" style="62" customWidth="1"/>
    <col min="14344" max="14344" width="18.5" style="62" customWidth="1"/>
    <col min="14345" max="14345" width="5.125" style="62" customWidth="1"/>
    <col min="14346" max="14346" width="14.375" style="62" customWidth="1"/>
    <col min="14347" max="14351" width="13.625" style="62" customWidth="1"/>
    <col min="14352" max="14370" width="6.625" style="62" customWidth="1"/>
    <col min="14371" max="14588" width="9" style="62"/>
    <col min="14589" max="14589" width="7.75" style="62" customWidth="1"/>
    <col min="14590" max="14590" width="8.25" style="62" customWidth="1"/>
    <col min="14591" max="14591" width="2.875" style="62" customWidth="1"/>
    <col min="14592" max="14592" width="10" style="62" customWidth="1"/>
    <col min="14593" max="14593" width="14.375" style="62" customWidth="1"/>
    <col min="14594" max="14594" width="14.875" style="62" customWidth="1"/>
    <col min="14595" max="14595" width="13.25" style="62" customWidth="1"/>
    <col min="14596" max="14596" width="4.75" style="62" customWidth="1"/>
    <col min="14597" max="14597" width="6.875" style="62" customWidth="1"/>
    <col min="14598" max="14598" width="7.75" style="62" customWidth="1"/>
    <col min="14599" max="14599" width="5.625" style="62" customWidth="1"/>
    <col min="14600" max="14600" width="18.5" style="62" customWidth="1"/>
    <col min="14601" max="14601" width="5.125" style="62" customWidth="1"/>
    <col min="14602" max="14602" width="14.375" style="62" customWidth="1"/>
    <col min="14603" max="14607" width="13.625" style="62" customWidth="1"/>
    <col min="14608" max="14626" width="6.625" style="62" customWidth="1"/>
    <col min="14627" max="14844" width="9" style="62"/>
    <col min="14845" max="14845" width="7.75" style="62" customWidth="1"/>
    <col min="14846" max="14846" width="8.25" style="62" customWidth="1"/>
    <col min="14847" max="14847" width="2.875" style="62" customWidth="1"/>
    <col min="14848" max="14848" width="10" style="62" customWidth="1"/>
    <col min="14849" max="14849" width="14.375" style="62" customWidth="1"/>
    <col min="14850" max="14850" width="14.875" style="62" customWidth="1"/>
    <col min="14851" max="14851" width="13.25" style="62" customWidth="1"/>
    <col min="14852" max="14852" width="4.75" style="62" customWidth="1"/>
    <col min="14853" max="14853" width="6.875" style="62" customWidth="1"/>
    <col min="14854" max="14854" width="7.75" style="62" customWidth="1"/>
    <col min="14855" max="14855" width="5.625" style="62" customWidth="1"/>
    <col min="14856" max="14856" width="18.5" style="62" customWidth="1"/>
    <col min="14857" max="14857" width="5.125" style="62" customWidth="1"/>
    <col min="14858" max="14858" width="14.375" style="62" customWidth="1"/>
    <col min="14859" max="14863" width="13.625" style="62" customWidth="1"/>
    <col min="14864" max="14882" width="6.625" style="62" customWidth="1"/>
    <col min="14883" max="15100" width="9" style="62"/>
    <col min="15101" max="15101" width="7.75" style="62" customWidth="1"/>
    <col min="15102" max="15102" width="8.25" style="62" customWidth="1"/>
    <col min="15103" max="15103" width="2.875" style="62" customWidth="1"/>
    <col min="15104" max="15104" width="10" style="62" customWidth="1"/>
    <col min="15105" max="15105" width="14.375" style="62" customWidth="1"/>
    <col min="15106" max="15106" width="14.875" style="62" customWidth="1"/>
    <col min="15107" max="15107" width="13.25" style="62" customWidth="1"/>
    <col min="15108" max="15108" width="4.75" style="62" customWidth="1"/>
    <col min="15109" max="15109" width="6.875" style="62" customWidth="1"/>
    <col min="15110" max="15110" width="7.75" style="62" customWidth="1"/>
    <col min="15111" max="15111" width="5.625" style="62" customWidth="1"/>
    <col min="15112" max="15112" width="18.5" style="62" customWidth="1"/>
    <col min="15113" max="15113" width="5.125" style="62" customWidth="1"/>
    <col min="15114" max="15114" width="14.375" style="62" customWidth="1"/>
    <col min="15115" max="15119" width="13.625" style="62" customWidth="1"/>
    <col min="15120" max="15138" width="6.625" style="62" customWidth="1"/>
    <col min="15139" max="15356" width="9" style="62"/>
    <col min="15357" max="15357" width="7.75" style="62" customWidth="1"/>
    <col min="15358" max="15358" width="8.25" style="62" customWidth="1"/>
    <col min="15359" max="15359" width="2.875" style="62" customWidth="1"/>
    <col min="15360" max="15360" width="10" style="62" customWidth="1"/>
    <col min="15361" max="15361" width="14.375" style="62" customWidth="1"/>
    <col min="15362" max="15362" width="14.875" style="62" customWidth="1"/>
    <col min="15363" max="15363" width="13.25" style="62" customWidth="1"/>
    <col min="15364" max="15364" width="4.75" style="62" customWidth="1"/>
    <col min="15365" max="15365" width="6.875" style="62" customWidth="1"/>
    <col min="15366" max="15366" width="7.75" style="62" customWidth="1"/>
    <col min="15367" max="15367" width="5.625" style="62" customWidth="1"/>
    <col min="15368" max="15368" width="18.5" style="62" customWidth="1"/>
    <col min="15369" max="15369" width="5.125" style="62" customWidth="1"/>
    <col min="15370" max="15370" width="14.375" style="62" customWidth="1"/>
    <col min="15371" max="15375" width="13.625" style="62" customWidth="1"/>
    <col min="15376" max="15394" width="6.625" style="62" customWidth="1"/>
    <col min="15395" max="15612" width="9" style="62"/>
    <col min="15613" max="15613" width="7.75" style="62" customWidth="1"/>
    <col min="15614" max="15614" width="8.25" style="62" customWidth="1"/>
    <col min="15615" max="15615" width="2.875" style="62" customWidth="1"/>
    <col min="15616" max="15616" width="10" style="62" customWidth="1"/>
    <col min="15617" max="15617" width="14.375" style="62" customWidth="1"/>
    <col min="15618" max="15618" width="14.875" style="62" customWidth="1"/>
    <col min="15619" max="15619" width="13.25" style="62" customWidth="1"/>
    <col min="15620" max="15620" width="4.75" style="62" customWidth="1"/>
    <col min="15621" max="15621" width="6.875" style="62" customWidth="1"/>
    <col min="15622" max="15622" width="7.75" style="62" customWidth="1"/>
    <col min="15623" max="15623" width="5.625" style="62" customWidth="1"/>
    <col min="15624" max="15624" width="18.5" style="62" customWidth="1"/>
    <col min="15625" max="15625" width="5.125" style="62" customWidth="1"/>
    <col min="15626" max="15626" width="14.375" style="62" customWidth="1"/>
    <col min="15627" max="15631" width="13.625" style="62" customWidth="1"/>
    <col min="15632" max="15650" width="6.625" style="62" customWidth="1"/>
    <col min="15651" max="15868" width="9" style="62"/>
    <col min="15869" max="15869" width="7.75" style="62" customWidth="1"/>
    <col min="15870" max="15870" width="8.25" style="62" customWidth="1"/>
    <col min="15871" max="15871" width="2.875" style="62" customWidth="1"/>
    <col min="15872" max="15872" width="10" style="62" customWidth="1"/>
    <col min="15873" max="15873" width="14.375" style="62" customWidth="1"/>
    <col min="15874" max="15874" width="14.875" style="62" customWidth="1"/>
    <col min="15875" max="15875" width="13.25" style="62" customWidth="1"/>
    <col min="15876" max="15876" width="4.75" style="62" customWidth="1"/>
    <col min="15877" max="15877" width="6.875" style="62" customWidth="1"/>
    <col min="15878" max="15878" width="7.75" style="62" customWidth="1"/>
    <col min="15879" max="15879" width="5.625" style="62" customWidth="1"/>
    <col min="15880" max="15880" width="18.5" style="62" customWidth="1"/>
    <col min="15881" max="15881" width="5.125" style="62" customWidth="1"/>
    <col min="15882" max="15882" width="14.375" style="62" customWidth="1"/>
    <col min="15883" max="15887" width="13.625" style="62" customWidth="1"/>
    <col min="15888" max="15906" width="6.625" style="62" customWidth="1"/>
    <col min="15907" max="16124" width="9" style="62"/>
    <col min="16125" max="16125" width="7.75" style="62" customWidth="1"/>
    <col min="16126" max="16126" width="8.25" style="62" customWidth="1"/>
    <col min="16127" max="16127" width="2.875" style="62" customWidth="1"/>
    <col min="16128" max="16128" width="10" style="62" customWidth="1"/>
    <col min="16129" max="16129" width="14.375" style="62" customWidth="1"/>
    <col min="16130" max="16130" width="14.875" style="62" customWidth="1"/>
    <col min="16131" max="16131" width="13.25" style="62" customWidth="1"/>
    <col min="16132" max="16132" width="4.75" style="62" customWidth="1"/>
    <col min="16133" max="16133" width="6.875" style="62" customWidth="1"/>
    <col min="16134" max="16134" width="7.75" style="62" customWidth="1"/>
    <col min="16135" max="16135" width="5.625" style="62" customWidth="1"/>
    <col min="16136" max="16136" width="18.5" style="62" customWidth="1"/>
    <col min="16137" max="16137" width="5.125" style="62" customWidth="1"/>
    <col min="16138" max="16138" width="14.375" style="62" customWidth="1"/>
    <col min="16139" max="16143" width="13.625" style="62" customWidth="1"/>
    <col min="16144" max="16162" width="6.625" style="62" customWidth="1"/>
    <col min="16163" max="16380" width="9" style="62"/>
    <col min="16381" max="16384" width="8.625" style="62" customWidth="1"/>
  </cols>
  <sheetData>
    <row r="1" spans="1:31" s="60" customFormat="1" ht="21.95" customHeight="1">
      <c r="A1" s="322"/>
      <c r="B1" s="322"/>
      <c r="C1" s="124"/>
      <c r="L1" s="125"/>
      <c r="N1" s="126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s="60" customFormat="1" ht="27.95" customHeight="1">
      <c r="A2" s="323" t="s">
        <v>281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125"/>
      <c r="N2" s="126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</row>
    <row r="3" spans="1:31" s="60" customFormat="1" ht="24.95" customHeight="1">
      <c r="A3" s="324" t="str">
        <f>내역서!A3:D3</f>
        <v>○ 공  사  명 :</v>
      </c>
      <c r="B3" s="324"/>
      <c r="C3" s="325" t="e">
        <f>청구서!G3</f>
        <v>#REF!</v>
      </c>
      <c r="D3" s="325"/>
      <c r="E3" s="325"/>
      <c r="F3" s="325"/>
      <c r="G3" s="325"/>
      <c r="H3" s="325"/>
      <c r="I3" s="325"/>
      <c r="J3" s="325"/>
      <c r="L3" s="125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</row>
    <row r="4" spans="1:31" s="60" customFormat="1" ht="24.95" customHeight="1">
      <c r="A4" s="324" t="s">
        <v>222</v>
      </c>
      <c r="B4" s="324"/>
      <c r="C4" s="325" t="str">
        <f xml:space="preserve"> "일금 " &amp; NUMBERSTRING(I4, 1) &amp; "원정"</f>
        <v>일금 칠억이천칠백육십칠만구천이백팔십사원정</v>
      </c>
      <c r="D4" s="325"/>
      <c r="E4" s="325"/>
      <c r="F4" s="325"/>
      <c r="G4" s="325"/>
      <c r="H4" s="110" t="s">
        <v>182</v>
      </c>
      <c r="I4" s="326">
        <f>청구서!L8</f>
        <v>727679284.20000005</v>
      </c>
      <c r="J4" s="326"/>
      <c r="K4" s="91" t="s">
        <v>183</v>
      </c>
      <c r="L4" s="125"/>
      <c r="M4" s="125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</row>
    <row r="5" spans="1:31" s="60" customFormat="1" ht="24.95" customHeight="1">
      <c r="A5" s="327" t="s">
        <v>223</v>
      </c>
      <c r="B5" s="327"/>
      <c r="C5" s="328" t="str">
        <f xml:space="preserve"> "일금 " &amp; NUMBERSTRING(I5, 1) &amp; "원정"</f>
        <v>일금 영원정</v>
      </c>
      <c r="D5" s="328"/>
      <c r="E5" s="328"/>
      <c r="F5" s="328"/>
      <c r="G5" s="328"/>
      <c r="H5" s="110" t="s">
        <v>182</v>
      </c>
      <c r="I5" s="329">
        <f>H18</f>
        <v>0</v>
      </c>
      <c r="J5" s="329"/>
      <c r="K5" s="91" t="s">
        <v>183</v>
      </c>
      <c r="L5" s="125"/>
      <c r="M5" s="125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</row>
    <row r="6" spans="1:31" s="60" customFormat="1" ht="38.25" customHeight="1">
      <c r="A6" s="128" t="s">
        <v>224</v>
      </c>
      <c r="B6" s="330" t="s">
        <v>225</v>
      </c>
      <c r="C6" s="331"/>
      <c r="D6" s="128" t="s">
        <v>226</v>
      </c>
      <c r="E6" s="128" t="s">
        <v>227</v>
      </c>
      <c r="F6" s="128" t="s">
        <v>228</v>
      </c>
      <c r="G6" s="128" t="s">
        <v>229</v>
      </c>
      <c r="H6" s="330" t="s">
        <v>230</v>
      </c>
      <c r="I6" s="331"/>
      <c r="J6" s="330" t="s">
        <v>231</v>
      </c>
      <c r="K6" s="332"/>
      <c r="L6" s="125"/>
      <c r="M6" s="125"/>
      <c r="N6" s="126"/>
      <c r="O6" s="127"/>
      <c r="P6" s="129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</row>
    <row r="7" spans="1:31" s="60" customFormat="1" ht="54.95" customHeight="1">
      <c r="A7" s="130" t="s">
        <v>232</v>
      </c>
      <c r="B7" s="330" t="s">
        <v>233</v>
      </c>
      <c r="C7" s="331"/>
      <c r="D7" s="130" t="str">
        <f>청구서!D24</f>
        <v>부강종합건설㈜</v>
      </c>
      <c r="E7" s="131" t="s">
        <v>234</v>
      </c>
      <c r="F7" s="132">
        <f>L7-L11</f>
        <v>727679284.20000005</v>
      </c>
      <c r="G7" s="133"/>
      <c r="H7" s="333">
        <f>내역서!D30</f>
        <v>0</v>
      </c>
      <c r="I7" s="334"/>
      <c r="J7" s="335">
        <f t="shared" ref="J7:J18" si="0">G7+H7</f>
        <v>0</v>
      </c>
      <c r="K7" s="336"/>
      <c r="L7" s="125">
        <f>청구서!L8</f>
        <v>727679284.20000005</v>
      </c>
      <c r="M7" s="125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</row>
    <row r="8" spans="1:31" s="60" customFormat="1" ht="54.95" customHeight="1">
      <c r="A8" s="130"/>
      <c r="B8" s="330"/>
      <c r="C8" s="331"/>
      <c r="D8" s="130"/>
      <c r="E8" s="130"/>
      <c r="F8" s="133"/>
      <c r="G8" s="133"/>
      <c r="H8" s="333"/>
      <c r="I8" s="334"/>
      <c r="J8" s="335">
        <f t="shared" si="0"/>
        <v>0</v>
      </c>
      <c r="K8" s="336"/>
      <c r="L8" s="125">
        <v>0</v>
      </c>
      <c r="M8" s="125"/>
      <c r="N8" s="126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</row>
    <row r="9" spans="1:31" s="60" customFormat="1" ht="54.95" customHeight="1">
      <c r="A9" s="130"/>
      <c r="B9" s="330"/>
      <c r="C9" s="331"/>
      <c r="D9" s="130"/>
      <c r="E9" s="130"/>
      <c r="F9" s="133"/>
      <c r="G9" s="133"/>
      <c r="H9" s="333"/>
      <c r="I9" s="334"/>
      <c r="J9" s="335">
        <f t="shared" si="0"/>
        <v>0</v>
      </c>
      <c r="K9" s="336"/>
      <c r="L9" s="125">
        <v>0</v>
      </c>
      <c r="M9" s="125"/>
      <c r="N9" s="126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</row>
    <row r="10" spans="1:31" s="60" customFormat="1" ht="30" customHeight="1">
      <c r="A10" s="330" t="s">
        <v>235</v>
      </c>
      <c r="B10" s="339"/>
      <c r="C10" s="339"/>
      <c r="D10" s="339"/>
      <c r="E10" s="331"/>
      <c r="F10" s="134">
        <f>SUM(F7:F9)</f>
        <v>727679284.20000005</v>
      </c>
      <c r="G10" s="134">
        <f>SUM(G7:G9)</f>
        <v>0</v>
      </c>
      <c r="H10" s="333">
        <f>SUM(H7:I9)</f>
        <v>0</v>
      </c>
      <c r="I10" s="334"/>
      <c r="J10" s="335">
        <f t="shared" si="0"/>
        <v>0</v>
      </c>
      <c r="K10" s="336"/>
      <c r="L10" s="125"/>
      <c r="M10" s="125"/>
      <c r="N10" s="126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</row>
    <row r="11" spans="1:31" s="60" customFormat="1" ht="54.95" customHeight="1">
      <c r="A11" s="345" t="s">
        <v>236</v>
      </c>
      <c r="B11" s="348"/>
      <c r="C11" s="349"/>
      <c r="D11" s="135"/>
      <c r="E11" s="136"/>
      <c r="F11" s="137"/>
      <c r="G11" s="134"/>
      <c r="H11" s="333"/>
      <c r="I11" s="334"/>
      <c r="J11" s="335">
        <f t="shared" si="0"/>
        <v>0</v>
      </c>
      <c r="K11" s="336"/>
      <c r="L11" s="125"/>
      <c r="M11" s="125"/>
      <c r="N11" s="126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</row>
    <row r="12" spans="1:31" s="60" customFormat="1" ht="54.95" customHeight="1">
      <c r="A12" s="346"/>
      <c r="B12" s="330"/>
      <c r="C12" s="331"/>
      <c r="D12" s="135"/>
      <c r="E12" s="135"/>
      <c r="F12" s="137"/>
      <c r="G12" s="134"/>
      <c r="H12" s="333"/>
      <c r="I12" s="334"/>
      <c r="J12" s="335">
        <f t="shared" si="0"/>
        <v>0</v>
      </c>
      <c r="K12" s="336"/>
      <c r="L12" s="125">
        <v>0</v>
      </c>
      <c r="N12" s="126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</row>
    <row r="13" spans="1:31" s="60" customFormat="1" ht="54.95" customHeight="1">
      <c r="A13" s="346"/>
      <c r="B13" s="337"/>
      <c r="C13" s="338"/>
      <c r="D13" s="135"/>
      <c r="E13" s="135"/>
      <c r="F13" s="134"/>
      <c r="G13" s="134"/>
      <c r="H13" s="333"/>
      <c r="I13" s="334"/>
      <c r="J13" s="335">
        <f t="shared" si="0"/>
        <v>0</v>
      </c>
      <c r="K13" s="336"/>
      <c r="L13" s="125">
        <v>0</v>
      </c>
      <c r="N13" s="126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</row>
    <row r="14" spans="1:31" s="60" customFormat="1" ht="54.95" customHeight="1">
      <c r="A14" s="346"/>
      <c r="B14" s="330"/>
      <c r="C14" s="331"/>
      <c r="D14" s="135"/>
      <c r="E14" s="131"/>
      <c r="F14" s="134"/>
      <c r="G14" s="134"/>
      <c r="H14" s="333"/>
      <c r="I14" s="334"/>
      <c r="J14" s="335">
        <f t="shared" si="0"/>
        <v>0</v>
      </c>
      <c r="K14" s="336"/>
      <c r="L14" s="125">
        <f>F14-G14</f>
        <v>0</v>
      </c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</row>
    <row r="15" spans="1:31" s="60" customFormat="1" ht="54.95" customHeight="1">
      <c r="A15" s="346"/>
      <c r="B15" s="330"/>
      <c r="C15" s="331"/>
      <c r="D15" s="135"/>
      <c r="E15" s="135"/>
      <c r="F15" s="134"/>
      <c r="G15" s="134"/>
      <c r="H15" s="333"/>
      <c r="I15" s="334"/>
      <c r="J15" s="335">
        <f t="shared" si="0"/>
        <v>0</v>
      </c>
      <c r="K15" s="336"/>
      <c r="L15" s="125">
        <v>0</v>
      </c>
      <c r="N15" s="126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</row>
    <row r="16" spans="1:31" s="60" customFormat="1" ht="54.95" customHeight="1">
      <c r="A16" s="347"/>
      <c r="B16" s="330"/>
      <c r="C16" s="331"/>
      <c r="D16" s="135"/>
      <c r="E16" s="135"/>
      <c r="F16" s="134"/>
      <c r="G16" s="134">
        <v>0</v>
      </c>
      <c r="H16" s="333"/>
      <c r="I16" s="334"/>
      <c r="J16" s="335">
        <f t="shared" si="0"/>
        <v>0</v>
      </c>
      <c r="K16" s="336"/>
      <c r="L16" s="125">
        <v>0</v>
      </c>
      <c r="N16" s="126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</row>
    <row r="17" spans="1:31" s="60" customFormat="1" ht="30" customHeight="1">
      <c r="A17" s="330" t="s">
        <v>237</v>
      </c>
      <c r="B17" s="339"/>
      <c r="C17" s="339"/>
      <c r="D17" s="339"/>
      <c r="E17" s="331"/>
      <c r="F17" s="134">
        <f>SUM(F11:F16)</f>
        <v>0</v>
      </c>
      <c r="G17" s="134">
        <f>SUM(G14:G16)</f>
        <v>0</v>
      </c>
      <c r="H17" s="333">
        <f>SUM(H11:I16)</f>
        <v>0</v>
      </c>
      <c r="I17" s="334"/>
      <c r="J17" s="335">
        <f t="shared" si="0"/>
        <v>0</v>
      </c>
      <c r="K17" s="336"/>
      <c r="L17" s="125">
        <v>0</v>
      </c>
      <c r="N17" s="126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</row>
    <row r="18" spans="1:31" s="60" customFormat="1" ht="30" customHeight="1">
      <c r="A18" s="340" t="s">
        <v>238</v>
      </c>
      <c r="B18" s="341"/>
      <c r="C18" s="341"/>
      <c r="D18" s="341"/>
      <c r="E18" s="342"/>
      <c r="F18" s="138">
        <f>F10+F17</f>
        <v>727679284.20000005</v>
      </c>
      <c r="G18" s="138">
        <f>G10+G17</f>
        <v>0</v>
      </c>
      <c r="H18" s="343">
        <f>H10+H17</f>
        <v>0</v>
      </c>
      <c r="I18" s="344"/>
      <c r="J18" s="343">
        <f t="shared" si="0"/>
        <v>0</v>
      </c>
      <c r="K18" s="344"/>
      <c r="L18" s="125">
        <v>20570000</v>
      </c>
      <c r="N18" s="126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</row>
    <row r="19" spans="1:31" s="60" customFormat="1" ht="39.950000000000003" customHeight="1">
      <c r="F19" s="139"/>
      <c r="G19" s="61"/>
      <c r="L19" s="125"/>
      <c r="N19" s="126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</row>
    <row r="20" spans="1:31" s="60" customFormat="1" ht="39.950000000000003" customHeight="1">
      <c r="G20" s="140"/>
      <c r="L20" s="125"/>
      <c r="N20" s="126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</row>
    <row r="21" spans="1:31" s="60" customFormat="1" ht="39.950000000000003" customHeight="1">
      <c r="G21" s="61"/>
      <c r="L21" s="125"/>
      <c r="N21" s="126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</row>
    <row r="22" spans="1:31" s="60" customFormat="1" ht="39.950000000000003" customHeight="1">
      <c r="G22" s="140"/>
      <c r="L22" s="125"/>
      <c r="N22" s="126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</row>
    <row r="23" spans="1:31" s="60" customFormat="1" ht="30" customHeight="1">
      <c r="G23" s="61"/>
      <c r="L23" s="125"/>
      <c r="N23" s="126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</row>
    <row r="24" spans="1:31" s="60" customFormat="1" ht="30" customHeight="1">
      <c r="G24" s="61"/>
      <c r="L24" s="125"/>
      <c r="N24" s="126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</row>
    <row r="25" spans="1:31" s="60" customFormat="1" ht="30" customHeight="1">
      <c r="G25" s="61"/>
      <c r="L25" s="125"/>
      <c r="N25" s="126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</row>
    <row r="26" spans="1:31" s="60" customFormat="1" ht="30" customHeight="1">
      <c r="G26" s="61"/>
      <c r="L26" s="125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</row>
    <row r="27" spans="1:31" s="60" customFormat="1" ht="30" customHeight="1">
      <c r="G27" s="61"/>
      <c r="L27" s="125"/>
      <c r="N27" s="126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</row>
    <row r="28" spans="1:31" s="60" customFormat="1" ht="30" customHeight="1">
      <c r="G28" s="61"/>
      <c r="L28" s="125"/>
      <c r="N28" s="126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</row>
    <row r="29" spans="1:31" s="60" customFormat="1" ht="30" customHeight="1">
      <c r="G29" s="61"/>
      <c r="L29" s="125"/>
      <c r="N29" s="126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</row>
    <row r="30" spans="1:31" s="60" customFormat="1" ht="30" customHeight="1">
      <c r="G30" s="61"/>
      <c r="L30" s="125"/>
      <c r="N30" s="126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</row>
    <row r="31" spans="1:31" s="60" customFormat="1" ht="30" customHeight="1">
      <c r="G31" s="61"/>
      <c r="L31" s="125"/>
      <c r="N31" s="126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</row>
    <row r="32" spans="1:31" s="60" customFormat="1" ht="30" customHeight="1">
      <c r="G32" s="61"/>
      <c r="L32" s="125"/>
      <c r="N32" s="126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</row>
    <row r="33" spans="7:31" s="60" customFormat="1" ht="30" customHeight="1">
      <c r="G33" s="61"/>
      <c r="L33" s="125"/>
      <c r="N33" s="126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</row>
    <row r="34" spans="7:31" s="60" customFormat="1" ht="30" customHeight="1">
      <c r="G34" s="61"/>
      <c r="L34" s="125"/>
      <c r="N34" s="126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</row>
    <row r="35" spans="7:31" s="60" customFormat="1" ht="30" customHeight="1">
      <c r="G35" s="61"/>
      <c r="L35" s="125"/>
      <c r="N35" s="126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</row>
    <row r="36" spans="7:31" s="60" customFormat="1" ht="30" customHeight="1">
      <c r="G36" s="61"/>
      <c r="L36" s="125"/>
      <c r="N36" s="126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</row>
    <row r="37" spans="7:31" s="60" customFormat="1" ht="30" customHeight="1">
      <c r="G37" s="61"/>
      <c r="L37" s="125"/>
      <c r="N37" s="126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</row>
    <row r="38" spans="7:31" s="60" customFormat="1" ht="30" customHeight="1">
      <c r="G38" s="61"/>
      <c r="L38" s="125"/>
      <c r="N38" s="126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</row>
    <row r="39" spans="7:31" s="60" customFormat="1" ht="30" customHeight="1">
      <c r="G39" s="61"/>
      <c r="L39" s="125"/>
      <c r="N39" s="126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</row>
    <row r="40" spans="7:31" s="60" customFormat="1" ht="30" customHeight="1">
      <c r="G40" s="61"/>
      <c r="L40" s="125"/>
      <c r="N40" s="126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</row>
    <row r="41" spans="7:31" s="60" customFormat="1" ht="30" customHeight="1">
      <c r="G41" s="61"/>
      <c r="L41" s="125"/>
      <c r="N41" s="126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</row>
    <row r="42" spans="7:31" s="60" customFormat="1" ht="30" customHeight="1">
      <c r="G42" s="61"/>
      <c r="L42" s="125"/>
      <c r="N42" s="126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</row>
    <row r="43" spans="7:31" s="60" customFormat="1" ht="30" customHeight="1">
      <c r="G43" s="61"/>
      <c r="L43" s="125"/>
      <c r="N43" s="126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</row>
    <row r="44" spans="7:31" s="60" customFormat="1" ht="30" customHeight="1">
      <c r="G44" s="61"/>
      <c r="L44" s="125"/>
      <c r="N44" s="126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</row>
    <row r="45" spans="7:31" s="60" customFormat="1" ht="30" customHeight="1">
      <c r="G45" s="61"/>
      <c r="L45" s="125"/>
      <c r="N45" s="126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</row>
    <row r="46" spans="7:31" s="60" customFormat="1" ht="30" customHeight="1">
      <c r="G46" s="61"/>
      <c r="L46" s="125"/>
      <c r="N46" s="126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</row>
    <row r="47" spans="7:31" s="60" customFormat="1" ht="30" customHeight="1">
      <c r="G47" s="61"/>
      <c r="L47" s="125"/>
      <c r="N47" s="126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</row>
    <row r="48" spans="7:31" s="60" customFormat="1" ht="30" customHeight="1">
      <c r="G48" s="61"/>
      <c r="L48" s="125"/>
      <c r="N48" s="126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</row>
    <row r="49" spans="1:31" s="60" customFormat="1" ht="30" customHeight="1">
      <c r="G49" s="61"/>
      <c r="L49" s="125"/>
      <c r="N49" s="126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</row>
    <row r="50" spans="1:31" s="60" customFormat="1" ht="30" customHeight="1">
      <c r="G50" s="61"/>
      <c r="L50" s="125"/>
      <c r="N50" s="126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</row>
    <row r="51" spans="1:31" s="60" customFormat="1" ht="30" customHeight="1">
      <c r="A51" s="62"/>
      <c r="B51" s="62"/>
      <c r="C51" s="62"/>
      <c r="D51" s="62"/>
      <c r="E51" s="62"/>
      <c r="F51" s="62"/>
      <c r="G51" s="123"/>
      <c r="H51" s="62"/>
      <c r="I51" s="62"/>
      <c r="J51" s="62"/>
      <c r="K51" s="62"/>
      <c r="L51" s="125"/>
      <c r="N51" s="126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</row>
    <row r="52" spans="1:31" s="60" customFormat="1" ht="30" customHeight="1">
      <c r="A52" s="62"/>
      <c r="B52" s="62"/>
      <c r="C52" s="62"/>
      <c r="D52" s="62"/>
      <c r="E52" s="62"/>
      <c r="F52" s="62"/>
      <c r="G52" s="123"/>
      <c r="H52" s="62"/>
      <c r="I52" s="62"/>
      <c r="J52" s="62"/>
      <c r="K52" s="62"/>
      <c r="L52" s="125"/>
      <c r="N52" s="126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</row>
    <row r="53" spans="1:31" s="60" customFormat="1" ht="27.95" customHeight="1">
      <c r="A53" s="62"/>
      <c r="B53" s="62"/>
      <c r="C53" s="62"/>
      <c r="D53" s="62"/>
      <c r="E53" s="62"/>
      <c r="F53" s="62"/>
      <c r="G53" s="123"/>
      <c r="H53" s="62"/>
      <c r="I53" s="62"/>
      <c r="J53" s="62"/>
      <c r="K53" s="62"/>
      <c r="L53" s="125"/>
      <c r="N53" s="126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</row>
    <row r="54" spans="1:31" s="60" customFormat="1" ht="27.95" customHeight="1">
      <c r="A54" s="62"/>
      <c r="B54" s="62"/>
      <c r="C54" s="62"/>
      <c r="D54" s="62"/>
      <c r="E54" s="62"/>
      <c r="F54" s="62"/>
      <c r="G54" s="123"/>
      <c r="H54" s="62"/>
      <c r="I54" s="62"/>
      <c r="J54" s="62"/>
      <c r="K54" s="62"/>
      <c r="L54" s="125"/>
      <c r="N54" s="126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</row>
    <row r="55" spans="1:31" s="60" customFormat="1" ht="27.95" customHeight="1">
      <c r="A55" s="62"/>
      <c r="B55" s="62"/>
      <c r="C55" s="62"/>
      <c r="D55" s="62"/>
      <c r="E55" s="62"/>
      <c r="F55" s="62"/>
      <c r="G55" s="123"/>
      <c r="H55" s="62"/>
      <c r="I55" s="62"/>
      <c r="J55" s="62"/>
      <c r="K55" s="62"/>
      <c r="L55" s="125"/>
      <c r="N55" s="126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</row>
    <row r="56" spans="1:31" s="60" customFormat="1" ht="27.95" customHeight="1">
      <c r="A56" s="62"/>
      <c r="B56" s="62"/>
      <c r="C56" s="62"/>
      <c r="D56" s="62"/>
      <c r="E56" s="62"/>
      <c r="F56" s="62"/>
      <c r="G56" s="123"/>
      <c r="H56" s="62"/>
      <c r="I56" s="62"/>
      <c r="J56" s="62"/>
      <c r="K56" s="62"/>
      <c r="L56" s="125"/>
      <c r="N56" s="126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</row>
    <row r="57" spans="1:31" ht="27.95" customHeight="1"/>
    <row r="58" spans="1:31" ht="27.95" customHeight="1"/>
    <row r="59" spans="1:31" ht="27.95" customHeight="1"/>
    <row r="60" spans="1:31" ht="27.95" customHeight="1"/>
    <row r="61" spans="1:31" ht="27.95" customHeight="1"/>
    <row r="62" spans="1:31" ht="27.95" customHeight="1"/>
    <row r="63" spans="1:31" ht="27.95" customHeight="1"/>
    <row r="64" spans="1:31" ht="27.95" customHeight="1"/>
    <row r="65" ht="27.95" customHeight="1"/>
    <row r="66" ht="27.95" customHeight="1"/>
    <row r="67" ht="27.95" customHeight="1"/>
    <row r="68" ht="27.95" customHeight="1"/>
    <row r="69" ht="27.95" customHeight="1"/>
    <row r="70" ht="27.95" customHeight="1"/>
    <row r="71" ht="27.95" customHeight="1"/>
    <row r="72" ht="27.95" customHeight="1"/>
    <row r="73" ht="27.95" customHeight="1"/>
    <row r="74" ht="27.95" customHeight="1"/>
    <row r="75" ht="27.95" customHeight="1"/>
    <row r="76" ht="27.95" customHeight="1"/>
    <row r="77" ht="27.95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</sheetData>
  <mergeCells count="50">
    <mergeCell ref="A18:E18"/>
    <mergeCell ref="H18:I18"/>
    <mergeCell ref="J18:K18"/>
    <mergeCell ref="B16:C16"/>
    <mergeCell ref="H16:I16"/>
    <mergeCell ref="J16:K16"/>
    <mergeCell ref="A17:E17"/>
    <mergeCell ref="H17:I17"/>
    <mergeCell ref="J17:K17"/>
    <mergeCell ref="A11:A16"/>
    <mergeCell ref="B11:C11"/>
    <mergeCell ref="H11:I11"/>
    <mergeCell ref="J11:K11"/>
    <mergeCell ref="B12:C12"/>
    <mergeCell ref="H12:I12"/>
    <mergeCell ref="J12:K12"/>
    <mergeCell ref="B14:C14"/>
    <mergeCell ref="H14:I14"/>
    <mergeCell ref="J14:K14"/>
    <mergeCell ref="B15:C15"/>
    <mergeCell ref="H15:I15"/>
    <mergeCell ref="J15:K15"/>
    <mergeCell ref="B13:C13"/>
    <mergeCell ref="H13:I13"/>
    <mergeCell ref="J13:K13"/>
    <mergeCell ref="B9:C9"/>
    <mergeCell ref="H9:I9"/>
    <mergeCell ref="J9:K9"/>
    <mergeCell ref="A10:E10"/>
    <mergeCell ref="H10:I10"/>
    <mergeCell ref="J10:K10"/>
    <mergeCell ref="B7:C7"/>
    <mergeCell ref="H7:I7"/>
    <mergeCell ref="J7:K7"/>
    <mergeCell ref="B8:C8"/>
    <mergeCell ref="H8:I8"/>
    <mergeCell ref="J8:K8"/>
    <mergeCell ref="A5:B5"/>
    <mergeCell ref="C5:G5"/>
    <mergeCell ref="I5:J5"/>
    <mergeCell ref="B6:C6"/>
    <mergeCell ref="H6:I6"/>
    <mergeCell ref="J6:K6"/>
    <mergeCell ref="A1:B1"/>
    <mergeCell ref="A2:K2"/>
    <mergeCell ref="A3:B3"/>
    <mergeCell ref="C3:J3"/>
    <mergeCell ref="A4:B4"/>
    <mergeCell ref="C4:G4"/>
    <mergeCell ref="I4:J4"/>
  </mergeCells>
  <phoneticPr fontId="4" type="noConversion"/>
  <printOptions horizontalCentered="1"/>
  <pageMargins left="0.31" right="0.24" top="0.74803149606299213" bottom="0.51181102362204722" header="0.19685039370078741" footer="0.15748031496062992"/>
  <pageSetup paperSize="9" scale="9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5" tint="0.59999389629810485"/>
  </sheetPr>
  <dimension ref="A1:Q201"/>
  <sheetViews>
    <sheetView showZeros="0" view="pageBreakPreview" zoomScale="85" zoomScaleNormal="100" zoomScaleSheetLayoutView="85" workbookViewId="0">
      <selection activeCell="H11" sqref="H11"/>
    </sheetView>
  </sheetViews>
  <sheetFormatPr defaultColWidth="9" defaultRowHeight="16.5"/>
  <cols>
    <col min="1" max="1" width="15.875" style="142" customWidth="1"/>
    <col min="2" max="2" width="8.25" style="142" bestFit="1" customWidth="1"/>
    <col min="3" max="3" width="9.125" style="142" customWidth="1"/>
    <col min="4" max="4" width="15" style="142" bestFit="1" customWidth="1"/>
    <col min="5" max="5" width="13.25" style="142" customWidth="1"/>
    <col min="6" max="6" width="19.625" style="142" customWidth="1"/>
    <col min="7" max="7" width="16.75" style="114" customWidth="1"/>
    <col min="8" max="8" width="15.25" style="142" customWidth="1"/>
    <col min="9" max="26" width="6.625" style="142" customWidth="1"/>
    <col min="27" max="254" width="9" style="142"/>
    <col min="255" max="255" width="15.875" style="142" customWidth="1"/>
    <col min="256" max="256" width="14.625" style="142" customWidth="1"/>
    <col min="257" max="257" width="13.75" style="142" customWidth="1"/>
    <col min="258" max="258" width="13.25" style="142" customWidth="1"/>
    <col min="259" max="259" width="19.625" style="142" customWidth="1"/>
    <col min="260" max="260" width="16.75" style="142" customWidth="1"/>
    <col min="261" max="261" width="6.625" style="142" customWidth="1"/>
    <col min="262" max="262" width="36.125" style="142" customWidth="1"/>
    <col min="263" max="282" width="6.625" style="142" customWidth="1"/>
    <col min="283" max="510" width="9" style="142"/>
    <col min="511" max="511" width="15.875" style="142" customWidth="1"/>
    <col min="512" max="512" width="14.625" style="142" customWidth="1"/>
    <col min="513" max="513" width="13.75" style="142" customWidth="1"/>
    <col min="514" max="514" width="13.25" style="142" customWidth="1"/>
    <col min="515" max="515" width="19.625" style="142" customWidth="1"/>
    <col min="516" max="516" width="16.75" style="142" customWidth="1"/>
    <col min="517" max="517" width="6.625" style="142" customWidth="1"/>
    <col min="518" max="518" width="36.125" style="142" customWidth="1"/>
    <col min="519" max="538" width="6.625" style="142" customWidth="1"/>
    <col min="539" max="766" width="9" style="142"/>
    <col min="767" max="767" width="15.875" style="142" customWidth="1"/>
    <col min="768" max="768" width="14.625" style="142" customWidth="1"/>
    <col min="769" max="769" width="13.75" style="142" customWidth="1"/>
    <col min="770" max="770" width="13.25" style="142" customWidth="1"/>
    <col min="771" max="771" width="19.625" style="142" customWidth="1"/>
    <col min="772" max="772" width="16.75" style="142" customWidth="1"/>
    <col min="773" max="773" width="6.625" style="142" customWidth="1"/>
    <col min="774" max="774" width="36.125" style="142" customWidth="1"/>
    <col min="775" max="794" width="6.625" style="142" customWidth="1"/>
    <col min="795" max="1022" width="9" style="142"/>
    <col min="1023" max="1023" width="15.875" style="142" customWidth="1"/>
    <col min="1024" max="1024" width="14.625" style="142" customWidth="1"/>
    <col min="1025" max="1025" width="13.75" style="142" customWidth="1"/>
    <col min="1026" max="1026" width="13.25" style="142" customWidth="1"/>
    <col min="1027" max="1027" width="19.625" style="142" customWidth="1"/>
    <col min="1028" max="1028" width="16.75" style="142" customWidth="1"/>
    <col min="1029" max="1029" width="6.625" style="142" customWidth="1"/>
    <col min="1030" max="1030" width="36.125" style="142" customWidth="1"/>
    <col min="1031" max="1050" width="6.625" style="142" customWidth="1"/>
    <col min="1051" max="1278" width="9" style="142"/>
    <col min="1279" max="1279" width="15.875" style="142" customWidth="1"/>
    <col min="1280" max="1280" width="14.625" style="142" customWidth="1"/>
    <col min="1281" max="1281" width="13.75" style="142" customWidth="1"/>
    <col min="1282" max="1282" width="13.25" style="142" customWidth="1"/>
    <col min="1283" max="1283" width="19.625" style="142" customWidth="1"/>
    <col min="1284" max="1284" width="16.75" style="142" customWidth="1"/>
    <col min="1285" max="1285" width="6.625" style="142" customWidth="1"/>
    <col min="1286" max="1286" width="36.125" style="142" customWidth="1"/>
    <col min="1287" max="1306" width="6.625" style="142" customWidth="1"/>
    <col min="1307" max="1534" width="9" style="142"/>
    <col min="1535" max="1535" width="15.875" style="142" customWidth="1"/>
    <col min="1536" max="1536" width="14.625" style="142" customWidth="1"/>
    <col min="1537" max="1537" width="13.75" style="142" customWidth="1"/>
    <col min="1538" max="1538" width="13.25" style="142" customWidth="1"/>
    <col min="1539" max="1539" width="19.625" style="142" customWidth="1"/>
    <col min="1540" max="1540" width="16.75" style="142" customWidth="1"/>
    <col min="1541" max="1541" width="6.625" style="142" customWidth="1"/>
    <col min="1542" max="1542" width="36.125" style="142" customWidth="1"/>
    <col min="1543" max="1562" width="6.625" style="142" customWidth="1"/>
    <col min="1563" max="1790" width="9" style="142"/>
    <col min="1791" max="1791" width="15.875" style="142" customWidth="1"/>
    <col min="1792" max="1792" width="14.625" style="142" customWidth="1"/>
    <col min="1793" max="1793" width="13.75" style="142" customWidth="1"/>
    <col min="1794" max="1794" width="13.25" style="142" customWidth="1"/>
    <col min="1795" max="1795" width="19.625" style="142" customWidth="1"/>
    <col min="1796" max="1796" width="16.75" style="142" customWidth="1"/>
    <col min="1797" max="1797" width="6.625" style="142" customWidth="1"/>
    <col min="1798" max="1798" width="36.125" style="142" customWidth="1"/>
    <col min="1799" max="1818" width="6.625" style="142" customWidth="1"/>
    <col min="1819" max="2046" width="9" style="142"/>
    <col min="2047" max="2047" width="15.875" style="142" customWidth="1"/>
    <col min="2048" max="2048" width="14.625" style="142" customWidth="1"/>
    <col min="2049" max="2049" width="13.75" style="142" customWidth="1"/>
    <col min="2050" max="2050" width="13.25" style="142" customWidth="1"/>
    <col min="2051" max="2051" width="19.625" style="142" customWidth="1"/>
    <col min="2052" max="2052" width="16.75" style="142" customWidth="1"/>
    <col min="2053" max="2053" width="6.625" style="142" customWidth="1"/>
    <col min="2054" max="2054" width="36.125" style="142" customWidth="1"/>
    <col min="2055" max="2074" width="6.625" style="142" customWidth="1"/>
    <col min="2075" max="2302" width="9" style="142"/>
    <col min="2303" max="2303" width="15.875" style="142" customWidth="1"/>
    <col min="2304" max="2304" width="14.625" style="142" customWidth="1"/>
    <col min="2305" max="2305" width="13.75" style="142" customWidth="1"/>
    <col min="2306" max="2306" width="13.25" style="142" customWidth="1"/>
    <col min="2307" max="2307" width="19.625" style="142" customWidth="1"/>
    <col min="2308" max="2308" width="16.75" style="142" customWidth="1"/>
    <col min="2309" max="2309" width="6.625" style="142" customWidth="1"/>
    <col min="2310" max="2310" width="36.125" style="142" customWidth="1"/>
    <col min="2311" max="2330" width="6.625" style="142" customWidth="1"/>
    <col min="2331" max="2558" width="9" style="142"/>
    <col min="2559" max="2559" width="15.875" style="142" customWidth="1"/>
    <col min="2560" max="2560" width="14.625" style="142" customWidth="1"/>
    <col min="2561" max="2561" width="13.75" style="142" customWidth="1"/>
    <col min="2562" max="2562" width="13.25" style="142" customWidth="1"/>
    <col min="2563" max="2563" width="19.625" style="142" customWidth="1"/>
    <col min="2564" max="2564" width="16.75" style="142" customWidth="1"/>
    <col min="2565" max="2565" width="6.625" style="142" customWidth="1"/>
    <col min="2566" max="2566" width="36.125" style="142" customWidth="1"/>
    <col min="2567" max="2586" width="6.625" style="142" customWidth="1"/>
    <col min="2587" max="2814" width="9" style="142"/>
    <col min="2815" max="2815" width="15.875" style="142" customWidth="1"/>
    <col min="2816" max="2816" width="14.625" style="142" customWidth="1"/>
    <col min="2817" max="2817" width="13.75" style="142" customWidth="1"/>
    <col min="2818" max="2818" width="13.25" style="142" customWidth="1"/>
    <col min="2819" max="2819" width="19.625" style="142" customWidth="1"/>
    <col min="2820" max="2820" width="16.75" style="142" customWidth="1"/>
    <col min="2821" max="2821" width="6.625" style="142" customWidth="1"/>
    <col min="2822" max="2822" width="36.125" style="142" customWidth="1"/>
    <col min="2823" max="2842" width="6.625" style="142" customWidth="1"/>
    <col min="2843" max="3070" width="9" style="142"/>
    <col min="3071" max="3071" width="15.875" style="142" customWidth="1"/>
    <col min="3072" max="3072" width="14.625" style="142" customWidth="1"/>
    <col min="3073" max="3073" width="13.75" style="142" customWidth="1"/>
    <col min="3074" max="3074" width="13.25" style="142" customWidth="1"/>
    <col min="3075" max="3075" width="19.625" style="142" customWidth="1"/>
    <col min="3076" max="3076" width="16.75" style="142" customWidth="1"/>
    <col min="3077" max="3077" width="6.625" style="142" customWidth="1"/>
    <col min="3078" max="3078" width="36.125" style="142" customWidth="1"/>
    <col min="3079" max="3098" width="6.625" style="142" customWidth="1"/>
    <col min="3099" max="3326" width="9" style="142"/>
    <col min="3327" max="3327" width="15.875" style="142" customWidth="1"/>
    <col min="3328" max="3328" width="14.625" style="142" customWidth="1"/>
    <col min="3329" max="3329" width="13.75" style="142" customWidth="1"/>
    <col min="3330" max="3330" width="13.25" style="142" customWidth="1"/>
    <col min="3331" max="3331" width="19.625" style="142" customWidth="1"/>
    <col min="3332" max="3332" width="16.75" style="142" customWidth="1"/>
    <col min="3333" max="3333" width="6.625" style="142" customWidth="1"/>
    <col min="3334" max="3334" width="36.125" style="142" customWidth="1"/>
    <col min="3335" max="3354" width="6.625" style="142" customWidth="1"/>
    <col min="3355" max="3582" width="9" style="142"/>
    <col min="3583" max="3583" width="15.875" style="142" customWidth="1"/>
    <col min="3584" max="3584" width="14.625" style="142" customWidth="1"/>
    <col min="3585" max="3585" width="13.75" style="142" customWidth="1"/>
    <col min="3586" max="3586" width="13.25" style="142" customWidth="1"/>
    <col min="3587" max="3587" width="19.625" style="142" customWidth="1"/>
    <col min="3588" max="3588" width="16.75" style="142" customWidth="1"/>
    <col min="3589" max="3589" width="6.625" style="142" customWidth="1"/>
    <col min="3590" max="3590" width="36.125" style="142" customWidth="1"/>
    <col min="3591" max="3610" width="6.625" style="142" customWidth="1"/>
    <col min="3611" max="3838" width="9" style="142"/>
    <col min="3839" max="3839" width="15.875" style="142" customWidth="1"/>
    <col min="3840" max="3840" width="14.625" style="142" customWidth="1"/>
    <col min="3841" max="3841" width="13.75" style="142" customWidth="1"/>
    <col min="3842" max="3842" width="13.25" style="142" customWidth="1"/>
    <col min="3843" max="3843" width="19.625" style="142" customWidth="1"/>
    <col min="3844" max="3844" width="16.75" style="142" customWidth="1"/>
    <col min="3845" max="3845" width="6.625" style="142" customWidth="1"/>
    <col min="3846" max="3846" width="36.125" style="142" customWidth="1"/>
    <col min="3847" max="3866" width="6.625" style="142" customWidth="1"/>
    <col min="3867" max="4094" width="9" style="142"/>
    <col min="4095" max="4095" width="15.875" style="142" customWidth="1"/>
    <col min="4096" max="4096" width="14.625" style="142" customWidth="1"/>
    <col min="4097" max="4097" width="13.75" style="142" customWidth="1"/>
    <col min="4098" max="4098" width="13.25" style="142" customWidth="1"/>
    <col min="4099" max="4099" width="19.625" style="142" customWidth="1"/>
    <col min="4100" max="4100" width="16.75" style="142" customWidth="1"/>
    <col min="4101" max="4101" width="6.625" style="142" customWidth="1"/>
    <col min="4102" max="4102" width="36.125" style="142" customWidth="1"/>
    <col min="4103" max="4122" width="6.625" style="142" customWidth="1"/>
    <col min="4123" max="4350" width="9" style="142"/>
    <col min="4351" max="4351" width="15.875" style="142" customWidth="1"/>
    <col min="4352" max="4352" width="14.625" style="142" customWidth="1"/>
    <col min="4353" max="4353" width="13.75" style="142" customWidth="1"/>
    <col min="4354" max="4354" width="13.25" style="142" customWidth="1"/>
    <col min="4355" max="4355" width="19.625" style="142" customWidth="1"/>
    <col min="4356" max="4356" width="16.75" style="142" customWidth="1"/>
    <col min="4357" max="4357" width="6.625" style="142" customWidth="1"/>
    <col min="4358" max="4358" width="36.125" style="142" customWidth="1"/>
    <col min="4359" max="4378" width="6.625" style="142" customWidth="1"/>
    <col min="4379" max="4606" width="9" style="142"/>
    <col min="4607" max="4607" width="15.875" style="142" customWidth="1"/>
    <col min="4608" max="4608" width="14.625" style="142" customWidth="1"/>
    <col min="4609" max="4609" width="13.75" style="142" customWidth="1"/>
    <col min="4610" max="4610" width="13.25" style="142" customWidth="1"/>
    <col min="4611" max="4611" width="19.625" style="142" customWidth="1"/>
    <col min="4612" max="4612" width="16.75" style="142" customWidth="1"/>
    <col min="4613" max="4613" width="6.625" style="142" customWidth="1"/>
    <col min="4614" max="4614" width="36.125" style="142" customWidth="1"/>
    <col min="4615" max="4634" width="6.625" style="142" customWidth="1"/>
    <col min="4635" max="4862" width="9" style="142"/>
    <col min="4863" max="4863" width="15.875" style="142" customWidth="1"/>
    <col min="4864" max="4864" width="14.625" style="142" customWidth="1"/>
    <col min="4865" max="4865" width="13.75" style="142" customWidth="1"/>
    <col min="4866" max="4866" width="13.25" style="142" customWidth="1"/>
    <col min="4867" max="4867" width="19.625" style="142" customWidth="1"/>
    <col min="4868" max="4868" width="16.75" style="142" customWidth="1"/>
    <col min="4869" max="4869" width="6.625" style="142" customWidth="1"/>
    <col min="4870" max="4870" width="36.125" style="142" customWidth="1"/>
    <col min="4871" max="4890" width="6.625" style="142" customWidth="1"/>
    <col min="4891" max="5118" width="9" style="142"/>
    <col min="5119" max="5119" width="15.875" style="142" customWidth="1"/>
    <col min="5120" max="5120" width="14.625" style="142" customWidth="1"/>
    <col min="5121" max="5121" width="13.75" style="142" customWidth="1"/>
    <col min="5122" max="5122" width="13.25" style="142" customWidth="1"/>
    <col min="5123" max="5123" width="19.625" style="142" customWidth="1"/>
    <col min="5124" max="5124" width="16.75" style="142" customWidth="1"/>
    <col min="5125" max="5125" width="6.625" style="142" customWidth="1"/>
    <col min="5126" max="5126" width="36.125" style="142" customWidth="1"/>
    <col min="5127" max="5146" width="6.625" style="142" customWidth="1"/>
    <col min="5147" max="5374" width="9" style="142"/>
    <col min="5375" max="5375" width="15.875" style="142" customWidth="1"/>
    <col min="5376" max="5376" width="14.625" style="142" customWidth="1"/>
    <col min="5377" max="5377" width="13.75" style="142" customWidth="1"/>
    <col min="5378" max="5378" width="13.25" style="142" customWidth="1"/>
    <col min="5379" max="5379" width="19.625" style="142" customWidth="1"/>
    <col min="5380" max="5380" width="16.75" style="142" customWidth="1"/>
    <col min="5381" max="5381" width="6.625" style="142" customWidth="1"/>
    <col min="5382" max="5382" width="36.125" style="142" customWidth="1"/>
    <col min="5383" max="5402" width="6.625" style="142" customWidth="1"/>
    <col min="5403" max="5630" width="9" style="142"/>
    <col min="5631" max="5631" width="15.875" style="142" customWidth="1"/>
    <col min="5632" max="5632" width="14.625" style="142" customWidth="1"/>
    <col min="5633" max="5633" width="13.75" style="142" customWidth="1"/>
    <col min="5634" max="5634" width="13.25" style="142" customWidth="1"/>
    <col min="5635" max="5635" width="19.625" style="142" customWidth="1"/>
    <col min="5636" max="5636" width="16.75" style="142" customWidth="1"/>
    <col min="5637" max="5637" width="6.625" style="142" customWidth="1"/>
    <col min="5638" max="5638" width="36.125" style="142" customWidth="1"/>
    <col min="5639" max="5658" width="6.625" style="142" customWidth="1"/>
    <col min="5659" max="5886" width="9" style="142"/>
    <col min="5887" max="5887" width="15.875" style="142" customWidth="1"/>
    <col min="5888" max="5888" width="14.625" style="142" customWidth="1"/>
    <col min="5889" max="5889" width="13.75" style="142" customWidth="1"/>
    <col min="5890" max="5890" width="13.25" style="142" customWidth="1"/>
    <col min="5891" max="5891" width="19.625" style="142" customWidth="1"/>
    <col min="5892" max="5892" width="16.75" style="142" customWidth="1"/>
    <col min="5893" max="5893" width="6.625" style="142" customWidth="1"/>
    <col min="5894" max="5894" width="36.125" style="142" customWidth="1"/>
    <col min="5895" max="5914" width="6.625" style="142" customWidth="1"/>
    <col min="5915" max="6142" width="9" style="142"/>
    <col min="6143" max="6143" width="15.875" style="142" customWidth="1"/>
    <col min="6144" max="6144" width="14.625" style="142" customWidth="1"/>
    <col min="6145" max="6145" width="13.75" style="142" customWidth="1"/>
    <col min="6146" max="6146" width="13.25" style="142" customWidth="1"/>
    <col min="6147" max="6147" width="19.625" style="142" customWidth="1"/>
    <col min="6148" max="6148" width="16.75" style="142" customWidth="1"/>
    <col min="6149" max="6149" width="6.625" style="142" customWidth="1"/>
    <col min="6150" max="6150" width="36.125" style="142" customWidth="1"/>
    <col min="6151" max="6170" width="6.625" style="142" customWidth="1"/>
    <col min="6171" max="6398" width="9" style="142"/>
    <col min="6399" max="6399" width="15.875" style="142" customWidth="1"/>
    <col min="6400" max="6400" width="14.625" style="142" customWidth="1"/>
    <col min="6401" max="6401" width="13.75" style="142" customWidth="1"/>
    <col min="6402" max="6402" width="13.25" style="142" customWidth="1"/>
    <col min="6403" max="6403" width="19.625" style="142" customWidth="1"/>
    <col min="6404" max="6404" width="16.75" style="142" customWidth="1"/>
    <col min="6405" max="6405" width="6.625" style="142" customWidth="1"/>
    <col min="6406" max="6406" width="36.125" style="142" customWidth="1"/>
    <col min="6407" max="6426" width="6.625" style="142" customWidth="1"/>
    <col min="6427" max="6654" width="9" style="142"/>
    <col min="6655" max="6655" width="15.875" style="142" customWidth="1"/>
    <col min="6656" max="6656" width="14.625" style="142" customWidth="1"/>
    <col min="6657" max="6657" width="13.75" style="142" customWidth="1"/>
    <col min="6658" max="6658" width="13.25" style="142" customWidth="1"/>
    <col min="6659" max="6659" width="19.625" style="142" customWidth="1"/>
    <col min="6660" max="6660" width="16.75" style="142" customWidth="1"/>
    <col min="6661" max="6661" width="6.625" style="142" customWidth="1"/>
    <col min="6662" max="6662" width="36.125" style="142" customWidth="1"/>
    <col min="6663" max="6682" width="6.625" style="142" customWidth="1"/>
    <col min="6683" max="6910" width="9" style="142"/>
    <col min="6911" max="6911" width="15.875" style="142" customWidth="1"/>
    <col min="6912" max="6912" width="14.625" style="142" customWidth="1"/>
    <col min="6913" max="6913" width="13.75" style="142" customWidth="1"/>
    <col min="6914" max="6914" width="13.25" style="142" customWidth="1"/>
    <col min="6915" max="6915" width="19.625" style="142" customWidth="1"/>
    <col min="6916" max="6916" width="16.75" style="142" customWidth="1"/>
    <col min="6917" max="6917" width="6.625" style="142" customWidth="1"/>
    <col min="6918" max="6918" width="36.125" style="142" customWidth="1"/>
    <col min="6919" max="6938" width="6.625" style="142" customWidth="1"/>
    <col min="6939" max="7166" width="9" style="142"/>
    <col min="7167" max="7167" width="15.875" style="142" customWidth="1"/>
    <col min="7168" max="7168" width="14.625" style="142" customWidth="1"/>
    <col min="7169" max="7169" width="13.75" style="142" customWidth="1"/>
    <col min="7170" max="7170" width="13.25" style="142" customWidth="1"/>
    <col min="7171" max="7171" width="19.625" style="142" customWidth="1"/>
    <col min="7172" max="7172" width="16.75" style="142" customWidth="1"/>
    <col min="7173" max="7173" width="6.625" style="142" customWidth="1"/>
    <col min="7174" max="7174" width="36.125" style="142" customWidth="1"/>
    <col min="7175" max="7194" width="6.625" style="142" customWidth="1"/>
    <col min="7195" max="7422" width="9" style="142"/>
    <col min="7423" max="7423" width="15.875" style="142" customWidth="1"/>
    <col min="7424" max="7424" width="14.625" style="142" customWidth="1"/>
    <col min="7425" max="7425" width="13.75" style="142" customWidth="1"/>
    <col min="7426" max="7426" width="13.25" style="142" customWidth="1"/>
    <col min="7427" max="7427" width="19.625" style="142" customWidth="1"/>
    <col min="7428" max="7428" width="16.75" style="142" customWidth="1"/>
    <col min="7429" max="7429" width="6.625" style="142" customWidth="1"/>
    <col min="7430" max="7430" width="36.125" style="142" customWidth="1"/>
    <col min="7431" max="7450" width="6.625" style="142" customWidth="1"/>
    <col min="7451" max="7678" width="9" style="142"/>
    <col min="7679" max="7679" width="15.875" style="142" customWidth="1"/>
    <col min="7680" max="7680" width="14.625" style="142" customWidth="1"/>
    <col min="7681" max="7681" width="13.75" style="142" customWidth="1"/>
    <col min="7682" max="7682" width="13.25" style="142" customWidth="1"/>
    <col min="7683" max="7683" width="19.625" style="142" customWidth="1"/>
    <col min="7684" max="7684" width="16.75" style="142" customWidth="1"/>
    <col min="7685" max="7685" width="6.625" style="142" customWidth="1"/>
    <col min="7686" max="7686" width="36.125" style="142" customWidth="1"/>
    <col min="7687" max="7706" width="6.625" style="142" customWidth="1"/>
    <col min="7707" max="7934" width="9" style="142"/>
    <col min="7935" max="7935" width="15.875" style="142" customWidth="1"/>
    <col min="7936" max="7936" width="14.625" style="142" customWidth="1"/>
    <col min="7937" max="7937" width="13.75" style="142" customWidth="1"/>
    <col min="7938" max="7938" width="13.25" style="142" customWidth="1"/>
    <col min="7939" max="7939" width="19.625" style="142" customWidth="1"/>
    <col min="7940" max="7940" width="16.75" style="142" customWidth="1"/>
    <col min="7941" max="7941" width="6.625" style="142" customWidth="1"/>
    <col min="7942" max="7942" width="36.125" style="142" customWidth="1"/>
    <col min="7943" max="7962" width="6.625" style="142" customWidth="1"/>
    <col min="7963" max="8190" width="9" style="142"/>
    <col min="8191" max="8191" width="15.875" style="142" customWidth="1"/>
    <col min="8192" max="8192" width="14.625" style="142" customWidth="1"/>
    <col min="8193" max="8193" width="13.75" style="142" customWidth="1"/>
    <col min="8194" max="8194" width="13.25" style="142" customWidth="1"/>
    <col min="8195" max="8195" width="19.625" style="142" customWidth="1"/>
    <col min="8196" max="8196" width="16.75" style="142" customWidth="1"/>
    <col min="8197" max="8197" width="6.625" style="142" customWidth="1"/>
    <col min="8198" max="8198" width="36.125" style="142" customWidth="1"/>
    <col min="8199" max="8218" width="6.625" style="142" customWidth="1"/>
    <col min="8219" max="8446" width="9" style="142"/>
    <col min="8447" max="8447" width="15.875" style="142" customWidth="1"/>
    <col min="8448" max="8448" width="14.625" style="142" customWidth="1"/>
    <col min="8449" max="8449" width="13.75" style="142" customWidth="1"/>
    <col min="8450" max="8450" width="13.25" style="142" customWidth="1"/>
    <col min="8451" max="8451" width="19.625" style="142" customWidth="1"/>
    <col min="8452" max="8452" width="16.75" style="142" customWidth="1"/>
    <col min="8453" max="8453" width="6.625" style="142" customWidth="1"/>
    <col min="8454" max="8454" width="36.125" style="142" customWidth="1"/>
    <col min="8455" max="8474" width="6.625" style="142" customWidth="1"/>
    <col min="8475" max="8702" width="9" style="142"/>
    <col min="8703" max="8703" width="15.875" style="142" customWidth="1"/>
    <col min="8704" max="8704" width="14.625" style="142" customWidth="1"/>
    <col min="8705" max="8705" width="13.75" style="142" customWidth="1"/>
    <col min="8706" max="8706" width="13.25" style="142" customWidth="1"/>
    <col min="8707" max="8707" width="19.625" style="142" customWidth="1"/>
    <col min="8708" max="8708" width="16.75" style="142" customWidth="1"/>
    <col min="8709" max="8709" width="6.625" style="142" customWidth="1"/>
    <col min="8710" max="8710" width="36.125" style="142" customWidth="1"/>
    <col min="8711" max="8730" width="6.625" style="142" customWidth="1"/>
    <col min="8731" max="8958" width="9" style="142"/>
    <col min="8959" max="8959" width="15.875" style="142" customWidth="1"/>
    <col min="8960" max="8960" width="14.625" style="142" customWidth="1"/>
    <col min="8961" max="8961" width="13.75" style="142" customWidth="1"/>
    <col min="8962" max="8962" width="13.25" style="142" customWidth="1"/>
    <col min="8963" max="8963" width="19.625" style="142" customWidth="1"/>
    <col min="8964" max="8964" width="16.75" style="142" customWidth="1"/>
    <col min="8965" max="8965" width="6.625" style="142" customWidth="1"/>
    <col min="8966" max="8966" width="36.125" style="142" customWidth="1"/>
    <col min="8967" max="8986" width="6.625" style="142" customWidth="1"/>
    <col min="8987" max="9214" width="9" style="142"/>
    <col min="9215" max="9215" width="15.875" style="142" customWidth="1"/>
    <col min="9216" max="9216" width="14.625" style="142" customWidth="1"/>
    <col min="9217" max="9217" width="13.75" style="142" customWidth="1"/>
    <col min="9218" max="9218" width="13.25" style="142" customWidth="1"/>
    <col min="9219" max="9219" width="19.625" style="142" customWidth="1"/>
    <col min="9220" max="9220" width="16.75" style="142" customWidth="1"/>
    <col min="9221" max="9221" width="6.625" style="142" customWidth="1"/>
    <col min="9222" max="9222" width="36.125" style="142" customWidth="1"/>
    <col min="9223" max="9242" width="6.625" style="142" customWidth="1"/>
    <col min="9243" max="9470" width="9" style="142"/>
    <col min="9471" max="9471" width="15.875" style="142" customWidth="1"/>
    <col min="9472" max="9472" width="14.625" style="142" customWidth="1"/>
    <col min="9473" max="9473" width="13.75" style="142" customWidth="1"/>
    <col min="9474" max="9474" width="13.25" style="142" customWidth="1"/>
    <col min="9475" max="9475" width="19.625" style="142" customWidth="1"/>
    <col min="9476" max="9476" width="16.75" style="142" customWidth="1"/>
    <col min="9477" max="9477" width="6.625" style="142" customWidth="1"/>
    <col min="9478" max="9478" width="36.125" style="142" customWidth="1"/>
    <col min="9479" max="9498" width="6.625" style="142" customWidth="1"/>
    <col min="9499" max="9726" width="9" style="142"/>
    <col min="9727" max="9727" width="15.875" style="142" customWidth="1"/>
    <col min="9728" max="9728" width="14.625" style="142" customWidth="1"/>
    <col min="9729" max="9729" width="13.75" style="142" customWidth="1"/>
    <col min="9730" max="9730" width="13.25" style="142" customWidth="1"/>
    <col min="9731" max="9731" width="19.625" style="142" customWidth="1"/>
    <col min="9732" max="9732" width="16.75" style="142" customWidth="1"/>
    <col min="9733" max="9733" width="6.625" style="142" customWidth="1"/>
    <col min="9734" max="9734" width="36.125" style="142" customWidth="1"/>
    <col min="9735" max="9754" width="6.625" style="142" customWidth="1"/>
    <col min="9755" max="9982" width="9" style="142"/>
    <col min="9983" max="9983" width="15.875" style="142" customWidth="1"/>
    <col min="9984" max="9984" width="14.625" style="142" customWidth="1"/>
    <col min="9985" max="9985" width="13.75" style="142" customWidth="1"/>
    <col min="9986" max="9986" width="13.25" style="142" customWidth="1"/>
    <col min="9987" max="9987" width="19.625" style="142" customWidth="1"/>
    <col min="9988" max="9988" width="16.75" style="142" customWidth="1"/>
    <col min="9989" max="9989" width="6.625" style="142" customWidth="1"/>
    <col min="9990" max="9990" width="36.125" style="142" customWidth="1"/>
    <col min="9991" max="10010" width="6.625" style="142" customWidth="1"/>
    <col min="10011" max="10238" width="9" style="142"/>
    <col min="10239" max="10239" width="15.875" style="142" customWidth="1"/>
    <col min="10240" max="10240" width="14.625" style="142" customWidth="1"/>
    <col min="10241" max="10241" width="13.75" style="142" customWidth="1"/>
    <col min="10242" max="10242" width="13.25" style="142" customWidth="1"/>
    <col min="10243" max="10243" width="19.625" style="142" customWidth="1"/>
    <col min="10244" max="10244" width="16.75" style="142" customWidth="1"/>
    <col min="10245" max="10245" width="6.625" style="142" customWidth="1"/>
    <col min="10246" max="10246" width="36.125" style="142" customWidth="1"/>
    <col min="10247" max="10266" width="6.625" style="142" customWidth="1"/>
    <col min="10267" max="10494" width="9" style="142"/>
    <col min="10495" max="10495" width="15.875" style="142" customWidth="1"/>
    <col min="10496" max="10496" width="14.625" style="142" customWidth="1"/>
    <col min="10497" max="10497" width="13.75" style="142" customWidth="1"/>
    <col min="10498" max="10498" width="13.25" style="142" customWidth="1"/>
    <col min="10499" max="10499" width="19.625" style="142" customWidth="1"/>
    <col min="10500" max="10500" width="16.75" style="142" customWidth="1"/>
    <col min="10501" max="10501" width="6.625" style="142" customWidth="1"/>
    <col min="10502" max="10502" width="36.125" style="142" customWidth="1"/>
    <col min="10503" max="10522" width="6.625" style="142" customWidth="1"/>
    <col min="10523" max="10750" width="9" style="142"/>
    <col min="10751" max="10751" width="15.875" style="142" customWidth="1"/>
    <col min="10752" max="10752" width="14.625" style="142" customWidth="1"/>
    <col min="10753" max="10753" width="13.75" style="142" customWidth="1"/>
    <col min="10754" max="10754" width="13.25" style="142" customWidth="1"/>
    <col min="10755" max="10755" width="19.625" style="142" customWidth="1"/>
    <col min="10756" max="10756" width="16.75" style="142" customWidth="1"/>
    <col min="10757" max="10757" width="6.625" style="142" customWidth="1"/>
    <col min="10758" max="10758" width="36.125" style="142" customWidth="1"/>
    <col min="10759" max="10778" width="6.625" style="142" customWidth="1"/>
    <col min="10779" max="11006" width="9" style="142"/>
    <col min="11007" max="11007" width="15.875" style="142" customWidth="1"/>
    <col min="11008" max="11008" width="14.625" style="142" customWidth="1"/>
    <col min="11009" max="11009" width="13.75" style="142" customWidth="1"/>
    <col min="11010" max="11010" width="13.25" style="142" customWidth="1"/>
    <col min="11011" max="11011" width="19.625" style="142" customWidth="1"/>
    <col min="11012" max="11012" width="16.75" style="142" customWidth="1"/>
    <col min="11013" max="11013" width="6.625" style="142" customWidth="1"/>
    <col min="11014" max="11014" width="36.125" style="142" customWidth="1"/>
    <col min="11015" max="11034" width="6.625" style="142" customWidth="1"/>
    <col min="11035" max="11262" width="9" style="142"/>
    <col min="11263" max="11263" width="15.875" style="142" customWidth="1"/>
    <col min="11264" max="11264" width="14.625" style="142" customWidth="1"/>
    <col min="11265" max="11265" width="13.75" style="142" customWidth="1"/>
    <col min="11266" max="11266" width="13.25" style="142" customWidth="1"/>
    <col min="11267" max="11267" width="19.625" style="142" customWidth="1"/>
    <col min="11268" max="11268" width="16.75" style="142" customWidth="1"/>
    <col min="11269" max="11269" width="6.625" style="142" customWidth="1"/>
    <col min="11270" max="11270" width="36.125" style="142" customWidth="1"/>
    <col min="11271" max="11290" width="6.625" style="142" customWidth="1"/>
    <col min="11291" max="11518" width="9" style="142"/>
    <col min="11519" max="11519" width="15.875" style="142" customWidth="1"/>
    <col min="11520" max="11520" width="14.625" style="142" customWidth="1"/>
    <col min="11521" max="11521" width="13.75" style="142" customWidth="1"/>
    <col min="11522" max="11522" width="13.25" style="142" customWidth="1"/>
    <col min="11523" max="11523" width="19.625" style="142" customWidth="1"/>
    <col min="11524" max="11524" width="16.75" style="142" customWidth="1"/>
    <col min="11525" max="11525" width="6.625" style="142" customWidth="1"/>
    <col min="11526" max="11526" width="36.125" style="142" customWidth="1"/>
    <col min="11527" max="11546" width="6.625" style="142" customWidth="1"/>
    <col min="11547" max="11774" width="9" style="142"/>
    <col min="11775" max="11775" width="15.875" style="142" customWidth="1"/>
    <col min="11776" max="11776" width="14.625" style="142" customWidth="1"/>
    <col min="11777" max="11777" width="13.75" style="142" customWidth="1"/>
    <col min="11778" max="11778" width="13.25" style="142" customWidth="1"/>
    <col min="11779" max="11779" width="19.625" style="142" customWidth="1"/>
    <col min="11780" max="11780" width="16.75" style="142" customWidth="1"/>
    <col min="11781" max="11781" width="6.625" style="142" customWidth="1"/>
    <col min="11782" max="11782" width="36.125" style="142" customWidth="1"/>
    <col min="11783" max="11802" width="6.625" style="142" customWidth="1"/>
    <col min="11803" max="12030" width="9" style="142"/>
    <col min="12031" max="12031" width="15.875" style="142" customWidth="1"/>
    <col min="12032" max="12032" width="14.625" style="142" customWidth="1"/>
    <col min="12033" max="12033" width="13.75" style="142" customWidth="1"/>
    <col min="12034" max="12034" width="13.25" style="142" customWidth="1"/>
    <col min="12035" max="12035" width="19.625" style="142" customWidth="1"/>
    <col min="12036" max="12036" width="16.75" style="142" customWidth="1"/>
    <col min="12037" max="12037" width="6.625" style="142" customWidth="1"/>
    <col min="12038" max="12038" width="36.125" style="142" customWidth="1"/>
    <col min="12039" max="12058" width="6.625" style="142" customWidth="1"/>
    <col min="12059" max="12286" width="9" style="142"/>
    <col min="12287" max="12287" width="15.875" style="142" customWidth="1"/>
    <col min="12288" max="12288" width="14.625" style="142" customWidth="1"/>
    <col min="12289" max="12289" width="13.75" style="142" customWidth="1"/>
    <col min="12290" max="12290" width="13.25" style="142" customWidth="1"/>
    <col min="12291" max="12291" width="19.625" style="142" customWidth="1"/>
    <col min="12292" max="12292" width="16.75" style="142" customWidth="1"/>
    <col min="12293" max="12293" width="6.625" style="142" customWidth="1"/>
    <col min="12294" max="12294" width="36.125" style="142" customWidth="1"/>
    <col min="12295" max="12314" width="6.625" style="142" customWidth="1"/>
    <col min="12315" max="12542" width="9" style="142"/>
    <col min="12543" max="12543" width="15.875" style="142" customWidth="1"/>
    <col min="12544" max="12544" width="14.625" style="142" customWidth="1"/>
    <col min="12545" max="12545" width="13.75" style="142" customWidth="1"/>
    <col min="12546" max="12546" width="13.25" style="142" customWidth="1"/>
    <col min="12547" max="12547" width="19.625" style="142" customWidth="1"/>
    <col min="12548" max="12548" width="16.75" style="142" customWidth="1"/>
    <col min="12549" max="12549" width="6.625" style="142" customWidth="1"/>
    <col min="12550" max="12550" width="36.125" style="142" customWidth="1"/>
    <col min="12551" max="12570" width="6.625" style="142" customWidth="1"/>
    <col min="12571" max="12798" width="9" style="142"/>
    <col min="12799" max="12799" width="15.875" style="142" customWidth="1"/>
    <col min="12800" max="12800" width="14.625" style="142" customWidth="1"/>
    <col min="12801" max="12801" width="13.75" style="142" customWidth="1"/>
    <col min="12802" max="12802" width="13.25" style="142" customWidth="1"/>
    <col min="12803" max="12803" width="19.625" style="142" customWidth="1"/>
    <col min="12804" max="12804" width="16.75" style="142" customWidth="1"/>
    <col min="12805" max="12805" width="6.625" style="142" customWidth="1"/>
    <col min="12806" max="12806" width="36.125" style="142" customWidth="1"/>
    <col min="12807" max="12826" width="6.625" style="142" customWidth="1"/>
    <col min="12827" max="13054" width="9" style="142"/>
    <col min="13055" max="13055" width="15.875" style="142" customWidth="1"/>
    <col min="13056" max="13056" width="14.625" style="142" customWidth="1"/>
    <col min="13057" max="13057" width="13.75" style="142" customWidth="1"/>
    <col min="13058" max="13058" width="13.25" style="142" customWidth="1"/>
    <col min="13059" max="13059" width="19.625" style="142" customWidth="1"/>
    <col min="13060" max="13060" width="16.75" style="142" customWidth="1"/>
    <col min="13061" max="13061" width="6.625" style="142" customWidth="1"/>
    <col min="13062" max="13062" width="36.125" style="142" customWidth="1"/>
    <col min="13063" max="13082" width="6.625" style="142" customWidth="1"/>
    <col min="13083" max="13310" width="9" style="142"/>
    <col min="13311" max="13311" width="15.875" style="142" customWidth="1"/>
    <col min="13312" max="13312" width="14.625" style="142" customWidth="1"/>
    <col min="13313" max="13313" width="13.75" style="142" customWidth="1"/>
    <col min="13314" max="13314" width="13.25" style="142" customWidth="1"/>
    <col min="13315" max="13315" width="19.625" style="142" customWidth="1"/>
    <col min="13316" max="13316" width="16.75" style="142" customWidth="1"/>
    <col min="13317" max="13317" width="6.625" style="142" customWidth="1"/>
    <col min="13318" max="13318" width="36.125" style="142" customWidth="1"/>
    <col min="13319" max="13338" width="6.625" style="142" customWidth="1"/>
    <col min="13339" max="13566" width="9" style="142"/>
    <col min="13567" max="13567" width="15.875" style="142" customWidth="1"/>
    <col min="13568" max="13568" width="14.625" style="142" customWidth="1"/>
    <col min="13569" max="13569" width="13.75" style="142" customWidth="1"/>
    <col min="13570" max="13570" width="13.25" style="142" customWidth="1"/>
    <col min="13571" max="13571" width="19.625" style="142" customWidth="1"/>
    <col min="13572" max="13572" width="16.75" style="142" customWidth="1"/>
    <col min="13573" max="13573" width="6.625" style="142" customWidth="1"/>
    <col min="13574" max="13574" width="36.125" style="142" customWidth="1"/>
    <col min="13575" max="13594" width="6.625" style="142" customWidth="1"/>
    <col min="13595" max="13822" width="9" style="142"/>
    <col min="13823" max="13823" width="15.875" style="142" customWidth="1"/>
    <col min="13824" max="13824" width="14.625" style="142" customWidth="1"/>
    <col min="13825" max="13825" width="13.75" style="142" customWidth="1"/>
    <col min="13826" max="13826" width="13.25" style="142" customWidth="1"/>
    <col min="13827" max="13827" width="19.625" style="142" customWidth="1"/>
    <col min="13828" max="13828" width="16.75" style="142" customWidth="1"/>
    <col min="13829" max="13829" width="6.625" style="142" customWidth="1"/>
    <col min="13830" max="13830" width="36.125" style="142" customWidth="1"/>
    <col min="13831" max="13850" width="6.625" style="142" customWidth="1"/>
    <col min="13851" max="14078" width="9" style="142"/>
    <col min="14079" max="14079" width="15.875" style="142" customWidth="1"/>
    <col min="14080" max="14080" width="14.625" style="142" customWidth="1"/>
    <col min="14081" max="14081" width="13.75" style="142" customWidth="1"/>
    <col min="14082" max="14082" width="13.25" style="142" customWidth="1"/>
    <col min="14083" max="14083" width="19.625" style="142" customWidth="1"/>
    <col min="14084" max="14084" width="16.75" style="142" customWidth="1"/>
    <col min="14085" max="14085" width="6.625" style="142" customWidth="1"/>
    <col min="14086" max="14086" width="36.125" style="142" customWidth="1"/>
    <col min="14087" max="14106" width="6.625" style="142" customWidth="1"/>
    <col min="14107" max="14334" width="9" style="142"/>
    <col min="14335" max="14335" width="15.875" style="142" customWidth="1"/>
    <col min="14336" max="14336" width="14.625" style="142" customWidth="1"/>
    <col min="14337" max="14337" width="13.75" style="142" customWidth="1"/>
    <col min="14338" max="14338" width="13.25" style="142" customWidth="1"/>
    <col min="14339" max="14339" width="19.625" style="142" customWidth="1"/>
    <col min="14340" max="14340" width="16.75" style="142" customWidth="1"/>
    <col min="14341" max="14341" width="6.625" style="142" customWidth="1"/>
    <col min="14342" max="14342" width="36.125" style="142" customWidth="1"/>
    <col min="14343" max="14362" width="6.625" style="142" customWidth="1"/>
    <col min="14363" max="14590" width="9" style="142"/>
    <col min="14591" max="14591" width="15.875" style="142" customWidth="1"/>
    <col min="14592" max="14592" width="14.625" style="142" customWidth="1"/>
    <col min="14593" max="14593" width="13.75" style="142" customWidth="1"/>
    <col min="14594" max="14594" width="13.25" style="142" customWidth="1"/>
    <col min="14595" max="14595" width="19.625" style="142" customWidth="1"/>
    <col min="14596" max="14596" width="16.75" style="142" customWidth="1"/>
    <col min="14597" max="14597" width="6.625" style="142" customWidth="1"/>
    <col min="14598" max="14598" width="36.125" style="142" customWidth="1"/>
    <col min="14599" max="14618" width="6.625" style="142" customWidth="1"/>
    <col min="14619" max="14846" width="9" style="142"/>
    <col min="14847" max="14847" width="15.875" style="142" customWidth="1"/>
    <col min="14848" max="14848" width="14.625" style="142" customWidth="1"/>
    <col min="14849" max="14849" width="13.75" style="142" customWidth="1"/>
    <col min="14850" max="14850" width="13.25" style="142" customWidth="1"/>
    <col min="14851" max="14851" width="19.625" style="142" customWidth="1"/>
    <col min="14852" max="14852" width="16.75" style="142" customWidth="1"/>
    <col min="14853" max="14853" width="6.625" style="142" customWidth="1"/>
    <col min="14854" max="14854" width="36.125" style="142" customWidth="1"/>
    <col min="14855" max="14874" width="6.625" style="142" customWidth="1"/>
    <col min="14875" max="15102" width="9" style="142"/>
    <col min="15103" max="15103" width="15.875" style="142" customWidth="1"/>
    <col min="15104" max="15104" width="14.625" style="142" customWidth="1"/>
    <col min="15105" max="15105" width="13.75" style="142" customWidth="1"/>
    <col min="15106" max="15106" width="13.25" style="142" customWidth="1"/>
    <col min="15107" max="15107" width="19.625" style="142" customWidth="1"/>
    <col min="15108" max="15108" width="16.75" style="142" customWidth="1"/>
    <col min="15109" max="15109" width="6.625" style="142" customWidth="1"/>
    <col min="15110" max="15110" width="36.125" style="142" customWidth="1"/>
    <col min="15111" max="15130" width="6.625" style="142" customWidth="1"/>
    <col min="15131" max="15358" width="9" style="142"/>
    <col min="15359" max="15359" width="15.875" style="142" customWidth="1"/>
    <col min="15360" max="15360" width="14.625" style="142" customWidth="1"/>
    <col min="15361" max="15361" width="13.75" style="142" customWidth="1"/>
    <col min="15362" max="15362" width="13.25" style="142" customWidth="1"/>
    <col min="15363" max="15363" width="19.625" style="142" customWidth="1"/>
    <col min="15364" max="15364" width="16.75" style="142" customWidth="1"/>
    <col min="15365" max="15365" width="6.625" style="142" customWidth="1"/>
    <col min="15366" max="15366" width="36.125" style="142" customWidth="1"/>
    <col min="15367" max="15386" width="6.625" style="142" customWidth="1"/>
    <col min="15387" max="15614" width="9" style="142"/>
    <col min="15615" max="15615" width="15.875" style="142" customWidth="1"/>
    <col min="15616" max="15616" width="14.625" style="142" customWidth="1"/>
    <col min="15617" max="15617" width="13.75" style="142" customWidth="1"/>
    <col min="15618" max="15618" width="13.25" style="142" customWidth="1"/>
    <col min="15619" max="15619" width="19.625" style="142" customWidth="1"/>
    <col min="15620" max="15620" width="16.75" style="142" customWidth="1"/>
    <col min="15621" max="15621" width="6.625" style="142" customWidth="1"/>
    <col min="15622" max="15622" width="36.125" style="142" customWidth="1"/>
    <col min="15623" max="15642" width="6.625" style="142" customWidth="1"/>
    <col min="15643" max="15870" width="9" style="142"/>
    <col min="15871" max="15871" width="15.875" style="142" customWidth="1"/>
    <col min="15872" max="15872" width="14.625" style="142" customWidth="1"/>
    <col min="15873" max="15873" width="13.75" style="142" customWidth="1"/>
    <col min="15874" max="15874" width="13.25" style="142" customWidth="1"/>
    <col min="15875" max="15875" width="19.625" style="142" customWidth="1"/>
    <col min="15876" max="15876" width="16.75" style="142" customWidth="1"/>
    <col min="15877" max="15877" width="6.625" style="142" customWidth="1"/>
    <col min="15878" max="15878" width="36.125" style="142" customWidth="1"/>
    <col min="15879" max="15898" width="6.625" style="142" customWidth="1"/>
    <col min="15899" max="16126" width="9" style="142"/>
    <col min="16127" max="16127" width="15.875" style="142" customWidth="1"/>
    <col min="16128" max="16128" width="14.625" style="142" customWidth="1"/>
    <col min="16129" max="16129" width="13.75" style="142" customWidth="1"/>
    <col min="16130" max="16130" width="13.25" style="142" customWidth="1"/>
    <col min="16131" max="16131" width="19.625" style="142" customWidth="1"/>
    <col min="16132" max="16132" width="16.75" style="142" customWidth="1"/>
    <col min="16133" max="16133" width="6.625" style="142" customWidth="1"/>
    <col min="16134" max="16134" width="36.125" style="142" customWidth="1"/>
    <col min="16135" max="16154" width="6.625" style="142" customWidth="1"/>
    <col min="16155" max="16384" width="9" style="142"/>
  </cols>
  <sheetData>
    <row r="1" spans="1:17" ht="20.100000000000001" customHeight="1">
      <c r="A1" s="351" t="s">
        <v>280</v>
      </c>
      <c r="B1" s="351"/>
      <c r="C1" s="351"/>
      <c r="D1" s="351"/>
      <c r="E1" s="351"/>
      <c r="F1" s="351"/>
      <c r="G1" s="351"/>
    </row>
    <row r="2" spans="1:17" ht="20.100000000000001" customHeight="1">
      <c r="A2" s="351"/>
      <c r="B2" s="351"/>
      <c r="C2" s="351"/>
      <c r="D2" s="351"/>
      <c r="E2" s="351"/>
      <c r="F2" s="351"/>
      <c r="G2" s="351"/>
    </row>
    <row r="3" spans="1:17" ht="30" customHeight="1">
      <c r="A3" s="143" t="s">
        <v>239</v>
      </c>
      <c r="B3" s="352" t="e">
        <f>청구서!G3</f>
        <v>#REF!</v>
      </c>
      <c r="C3" s="352"/>
      <c r="D3" s="352"/>
      <c r="E3" s="352"/>
      <c r="F3" s="352"/>
      <c r="G3" s="352"/>
    </row>
    <row r="4" spans="1:17" s="145" customFormat="1" ht="20.100000000000001" customHeight="1">
      <c r="A4" s="144" t="s">
        <v>240</v>
      </c>
      <c r="B4" s="144" t="s">
        <v>241</v>
      </c>
      <c r="C4" s="144" t="s">
        <v>242</v>
      </c>
      <c r="D4" s="144" t="s">
        <v>243</v>
      </c>
      <c r="E4" s="144" t="s">
        <v>68</v>
      </c>
      <c r="F4" s="144" t="s">
        <v>1</v>
      </c>
      <c r="G4" s="144" t="s">
        <v>244</v>
      </c>
    </row>
    <row r="5" spans="1:17" ht="20.100000000000001" customHeight="1">
      <c r="A5" s="146" t="str">
        <f>청구서!O35</f>
        <v>부강종합건설㈜</v>
      </c>
      <c r="B5" s="147" t="str">
        <f>IFERROR(VLOOKUP(C5,#REF!,2,0)," ")</f>
        <v xml:space="preserve"> </v>
      </c>
      <c r="C5" s="148" t="e">
        <f>#REF!</f>
        <v>#REF!</v>
      </c>
      <c r="D5" s="147" t="str">
        <f>IFERROR(VLOOKUP(C5,#REF!,6,0)," ")</f>
        <v xml:space="preserve"> </v>
      </c>
      <c r="E5" s="147" t="str">
        <f>IFERROR(VLOOKUP(C5,#REF!,7,0)," ")</f>
        <v xml:space="preserve"> </v>
      </c>
      <c r="F5" s="147" t="str">
        <f>IFERROR(VLOOKUP(C5,#REF!,8,0)," ")</f>
        <v xml:space="preserve"> </v>
      </c>
      <c r="G5" s="147" t="str">
        <f>IFERROR(VLOOKUP(C5,#REF!,5,0)," ")</f>
        <v xml:space="preserve"> </v>
      </c>
      <c r="H5" s="353" t="s">
        <v>295</v>
      </c>
      <c r="I5" s="354"/>
      <c r="J5" s="354"/>
      <c r="K5" s="354"/>
      <c r="L5" s="354"/>
      <c r="M5" s="354"/>
      <c r="N5" s="354"/>
      <c r="O5" s="354"/>
      <c r="P5" s="354"/>
      <c r="Q5" s="354"/>
    </row>
    <row r="6" spans="1:17" ht="20.100000000000001" customHeight="1">
      <c r="A6" s="146"/>
      <c r="B6" s="147" t="str">
        <f>IFERROR(VLOOKUP(C6,#REF!,2,0)," ")</f>
        <v xml:space="preserve"> </v>
      </c>
      <c r="C6" s="148" t="e">
        <f>#REF!</f>
        <v>#REF!</v>
      </c>
      <c r="D6" s="147" t="str">
        <f>IFERROR(VLOOKUP(C6,#REF!,6,0)," ")</f>
        <v xml:space="preserve"> </v>
      </c>
      <c r="E6" s="147" t="str">
        <f>IFERROR(VLOOKUP(C6,#REF!,7,0)," ")</f>
        <v xml:space="preserve"> </v>
      </c>
      <c r="F6" s="147" t="str">
        <f>IFERROR(VLOOKUP(C6,#REF!,8,0)," ")</f>
        <v xml:space="preserve"> </v>
      </c>
      <c r="G6" s="147" t="str">
        <f>IFERROR(VLOOKUP(C6,#REF!,5,0)," ")</f>
        <v xml:space="preserve"> </v>
      </c>
      <c r="H6" s="353"/>
      <c r="I6" s="354"/>
      <c r="J6" s="354"/>
      <c r="K6" s="354"/>
      <c r="L6" s="354"/>
      <c r="M6" s="354"/>
      <c r="N6" s="354"/>
      <c r="O6" s="354"/>
      <c r="P6" s="354"/>
      <c r="Q6" s="354"/>
    </row>
    <row r="7" spans="1:17" ht="20.100000000000001" customHeight="1">
      <c r="A7" s="146"/>
      <c r="B7" s="147" t="str">
        <f>IFERROR(VLOOKUP(C7,#REF!,2,0)," ")</f>
        <v xml:space="preserve"> </v>
      </c>
      <c r="C7" s="148" t="e">
        <f>#REF!</f>
        <v>#REF!</v>
      </c>
      <c r="D7" s="147" t="str">
        <f>IFERROR(VLOOKUP(C7,#REF!,6,0)," ")</f>
        <v xml:space="preserve"> </v>
      </c>
      <c r="E7" s="147" t="str">
        <f>IFERROR(VLOOKUP(C7,#REF!,7,0)," ")</f>
        <v xml:space="preserve"> </v>
      </c>
      <c r="F7" s="147" t="str">
        <f>IFERROR(VLOOKUP(C7,#REF!,8,0)," ")</f>
        <v xml:space="preserve"> </v>
      </c>
      <c r="G7" s="147" t="str">
        <f>IFERROR(VLOOKUP(C7,#REF!,5,0)," ")</f>
        <v xml:space="preserve"> </v>
      </c>
      <c r="H7" s="353"/>
      <c r="I7" s="354"/>
      <c r="J7" s="354"/>
      <c r="K7" s="354"/>
      <c r="L7" s="354"/>
      <c r="M7" s="354"/>
      <c r="N7" s="354"/>
      <c r="O7" s="354"/>
      <c r="P7" s="354"/>
      <c r="Q7" s="354"/>
    </row>
    <row r="8" spans="1:17" ht="20.100000000000001" customHeight="1">
      <c r="A8" s="146"/>
      <c r="B8" s="147" t="str">
        <f>IFERROR(VLOOKUP(C8,#REF!,2,0)," ")</f>
        <v xml:space="preserve"> </v>
      </c>
      <c r="C8" s="148" t="s">
        <v>176</v>
      </c>
      <c r="D8" s="147" t="str">
        <f>IFERROR(VLOOKUP(C8,#REF!,6,0)," ")</f>
        <v xml:space="preserve"> </v>
      </c>
      <c r="E8" s="147" t="str">
        <f>IFERROR(VLOOKUP(C8,#REF!,7,0)," ")</f>
        <v xml:space="preserve"> </v>
      </c>
      <c r="F8" s="147" t="str">
        <f>IFERROR(VLOOKUP(C8,#REF!,8,0)," ")</f>
        <v xml:space="preserve"> </v>
      </c>
      <c r="G8" s="147" t="str">
        <f>IFERROR(VLOOKUP(C8,#REF!,5,0)," ")</f>
        <v xml:space="preserve"> </v>
      </c>
      <c r="H8" s="353"/>
      <c r="I8" s="354"/>
      <c r="J8" s="354"/>
      <c r="K8" s="354"/>
      <c r="L8" s="354"/>
      <c r="M8" s="354"/>
      <c r="N8" s="354"/>
      <c r="O8" s="354"/>
      <c r="P8" s="354"/>
      <c r="Q8" s="354"/>
    </row>
    <row r="9" spans="1:17" ht="20.100000000000001" customHeight="1">
      <c r="A9" s="146"/>
      <c r="B9" s="147" t="str">
        <f>IFERROR(VLOOKUP(C9,#REF!,2,0)," ")</f>
        <v xml:space="preserve"> </v>
      </c>
      <c r="C9" s="148" t="e">
        <f>#REF!</f>
        <v>#REF!</v>
      </c>
      <c r="D9" s="147" t="str">
        <f>IFERROR(VLOOKUP(C9,#REF!,6,0)," ")</f>
        <v xml:space="preserve"> </v>
      </c>
      <c r="E9" s="147" t="str">
        <f>IFERROR(VLOOKUP(C9,#REF!,7,0)," ")</f>
        <v xml:space="preserve"> </v>
      </c>
      <c r="F9" s="147" t="str">
        <f>IFERROR(VLOOKUP(C9,#REF!,8,0)," ")</f>
        <v xml:space="preserve"> </v>
      </c>
      <c r="G9" s="147" t="str">
        <f>IFERROR(VLOOKUP(C9,#REF!,5,0)," ")</f>
        <v xml:space="preserve"> </v>
      </c>
      <c r="H9" s="353"/>
      <c r="I9" s="354"/>
      <c r="J9" s="354"/>
      <c r="K9" s="354"/>
      <c r="L9" s="354"/>
      <c r="M9" s="354"/>
      <c r="N9" s="354"/>
      <c r="O9" s="354"/>
      <c r="P9" s="354"/>
      <c r="Q9" s="354"/>
    </row>
    <row r="10" spans="1:17" ht="20.100000000000001" customHeight="1">
      <c r="A10" s="146"/>
      <c r="B10" s="147" t="str">
        <f>IFERROR(VLOOKUP(C10,#REF!,2,0)," ")</f>
        <v xml:space="preserve"> </v>
      </c>
      <c r="C10" s="148" t="e">
        <f>#REF!</f>
        <v>#REF!</v>
      </c>
      <c r="D10" s="147" t="str">
        <f>IFERROR(VLOOKUP(C10,#REF!,6,0)," ")</f>
        <v xml:space="preserve"> </v>
      </c>
      <c r="E10" s="147" t="str">
        <f>IFERROR(VLOOKUP(C10,#REF!,7,0)," ")</f>
        <v xml:space="preserve"> </v>
      </c>
      <c r="F10" s="147" t="str">
        <f>IFERROR(VLOOKUP(C10,#REF!,8,0)," ")</f>
        <v xml:space="preserve"> </v>
      </c>
      <c r="G10" s="147" t="str">
        <f>IFERROR(VLOOKUP(C10,#REF!,5,0)," ")</f>
        <v xml:space="preserve"> </v>
      </c>
      <c r="H10" s="353"/>
      <c r="I10" s="354"/>
      <c r="J10" s="354"/>
      <c r="K10" s="354"/>
      <c r="L10" s="354"/>
      <c r="M10" s="354"/>
      <c r="N10" s="354"/>
      <c r="O10" s="354"/>
      <c r="P10" s="354"/>
      <c r="Q10" s="354"/>
    </row>
    <row r="11" spans="1:17" ht="20.100000000000001" customHeight="1">
      <c r="A11" s="146"/>
      <c r="B11" s="147" t="str">
        <f>IFERROR(VLOOKUP(C11,#REF!,2,0)," ")</f>
        <v xml:space="preserve"> </v>
      </c>
      <c r="C11" s="148" t="e">
        <f>#REF!</f>
        <v>#REF!</v>
      </c>
      <c r="D11" s="147" t="str">
        <f>IFERROR(VLOOKUP(C11,#REF!,6,0)," ")</f>
        <v xml:space="preserve"> </v>
      </c>
      <c r="E11" s="147" t="str">
        <f>IFERROR(VLOOKUP(C11,#REF!,7,0)," ")</f>
        <v xml:space="preserve"> </v>
      </c>
      <c r="F11" s="147" t="str">
        <f>IFERROR(VLOOKUP(C11,#REF!,8,0)," ")</f>
        <v xml:space="preserve"> </v>
      </c>
      <c r="G11" s="147" t="str">
        <f>IFERROR(VLOOKUP(C11,#REF!,5,0)," ")</f>
        <v xml:space="preserve"> </v>
      </c>
    </row>
    <row r="12" spans="1:17" ht="20.100000000000001" customHeight="1">
      <c r="A12" s="146"/>
      <c r="B12" s="147" t="str">
        <f>IFERROR(VLOOKUP(C12,#REF!,2,0)," ")</f>
        <v xml:space="preserve"> </v>
      </c>
      <c r="C12" s="148" t="e">
        <f>#REF!</f>
        <v>#REF!</v>
      </c>
      <c r="D12" s="147" t="str">
        <f>IFERROR(VLOOKUP(C12,#REF!,6,0)," ")</f>
        <v xml:space="preserve"> </v>
      </c>
      <c r="E12" s="147" t="str">
        <f>IFERROR(VLOOKUP(C12,#REF!,7,0)," ")</f>
        <v xml:space="preserve"> </v>
      </c>
      <c r="F12" s="147" t="str">
        <f>IFERROR(VLOOKUP(C12,#REF!,8,0)," ")</f>
        <v xml:space="preserve"> </v>
      </c>
      <c r="G12" s="147" t="str">
        <f>IFERROR(VLOOKUP(C12,#REF!,5,0)," ")</f>
        <v xml:space="preserve"> </v>
      </c>
    </row>
    <row r="13" spans="1:17" ht="20.100000000000001" customHeight="1">
      <c r="A13" s="146"/>
      <c r="B13" s="147" t="str">
        <f>IFERROR(VLOOKUP(C13,#REF!,2,0)," ")</f>
        <v xml:space="preserve"> </v>
      </c>
      <c r="C13" s="148" t="e">
        <f>#REF!</f>
        <v>#REF!</v>
      </c>
      <c r="D13" s="147" t="str">
        <f>IFERROR(VLOOKUP(C13,#REF!,6,0)," ")</f>
        <v xml:space="preserve"> </v>
      </c>
      <c r="E13" s="147" t="str">
        <f>IFERROR(VLOOKUP(C13,#REF!,7,0)," ")</f>
        <v xml:space="preserve"> </v>
      </c>
      <c r="F13" s="147" t="str">
        <f>IFERROR(VLOOKUP(C13,#REF!,8,0)," ")</f>
        <v xml:space="preserve"> </v>
      </c>
      <c r="G13" s="147" t="str">
        <f>IFERROR(VLOOKUP(C13,#REF!,5,0)," ")</f>
        <v xml:space="preserve"> </v>
      </c>
    </row>
    <row r="14" spans="1:17" ht="20.100000000000001" customHeight="1">
      <c r="A14" s="146"/>
      <c r="B14" s="147" t="str">
        <f>IFERROR(VLOOKUP(C14,#REF!,2,0)," ")</f>
        <v xml:space="preserve"> </v>
      </c>
      <c r="C14" s="148" t="e">
        <f>#REF!</f>
        <v>#REF!</v>
      </c>
      <c r="D14" s="147" t="str">
        <f>IFERROR(VLOOKUP(C14,#REF!,6,0)," ")</f>
        <v xml:space="preserve"> </v>
      </c>
      <c r="E14" s="147" t="str">
        <f>IFERROR(VLOOKUP(C14,#REF!,7,0)," ")</f>
        <v xml:space="preserve"> </v>
      </c>
      <c r="F14" s="147" t="str">
        <f>IFERROR(VLOOKUP(C14,#REF!,8,0)," ")</f>
        <v xml:space="preserve"> </v>
      </c>
      <c r="G14" s="147" t="str">
        <f>IFERROR(VLOOKUP(C14,#REF!,5,0)," ")</f>
        <v xml:space="preserve"> </v>
      </c>
    </row>
    <row r="15" spans="1:17" ht="20.100000000000001" customHeight="1">
      <c r="A15" s="146"/>
      <c r="B15" s="147" t="str">
        <f>IFERROR(VLOOKUP(C15,#REF!,2,0)," ")</f>
        <v xml:space="preserve"> </v>
      </c>
      <c r="C15" s="148" t="e">
        <f>#REF!</f>
        <v>#REF!</v>
      </c>
      <c r="D15" s="147" t="str">
        <f>IFERROR(VLOOKUP(C15,#REF!,6,0)," ")</f>
        <v xml:space="preserve"> </v>
      </c>
      <c r="E15" s="147" t="str">
        <f>IFERROR(VLOOKUP(C15,#REF!,7,0)," ")</f>
        <v xml:space="preserve"> </v>
      </c>
      <c r="F15" s="147" t="str">
        <f>IFERROR(VLOOKUP(C15,#REF!,8,0)," ")</f>
        <v xml:space="preserve"> </v>
      </c>
      <c r="G15" s="147" t="str">
        <f>IFERROR(VLOOKUP(C15,#REF!,5,0)," ")</f>
        <v xml:space="preserve"> </v>
      </c>
    </row>
    <row r="16" spans="1:17" ht="20.100000000000001" customHeight="1">
      <c r="A16" s="146"/>
      <c r="B16" s="147" t="str">
        <f>IFERROR(VLOOKUP(C16,#REF!,2,0)," ")</f>
        <v xml:space="preserve"> </v>
      </c>
      <c r="C16" s="148" t="e">
        <f>#REF!</f>
        <v>#REF!</v>
      </c>
      <c r="D16" s="147" t="str">
        <f>IFERROR(VLOOKUP(C16,#REF!,6,0)," ")</f>
        <v xml:space="preserve"> </v>
      </c>
      <c r="E16" s="147" t="str">
        <f>IFERROR(VLOOKUP(C16,#REF!,7,0)," ")</f>
        <v xml:space="preserve"> </v>
      </c>
      <c r="F16" s="147" t="str">
        <f>IFERROR(VLOOKUP(C16,#REF!,8,0)," ")</f>
        <v xml:space="preserve"> </v>
      </c>
      <c r="G16" s="147" t="str">
        <f>IFERROR(VLOOKUP(C16,#REF!,5,0)," ")</f>
        <v xml:space="preserve"> </v>
      </c>
    </row>
    <row r="17" spans="1:8" ht="20.100000000000001" customHeight="1">
      <c r="A17" s="146"/>
      <c r="B17" s="147" t="str">
        <f>IFERROR(VLOOKUP(C17,#REF!,2,0)," ")</f>
        <v xml:space="preserve"> </v>
      </c>
      <c r="C17" s="148" t="e">
        <f>#REF!</f>
        <v>#REF!</v>
      </c>
      <c r="D17" s="147" t="str">
        <f>IFERROR(VLOOKUP(C17,#REF!,6,0)," ")</f>
        <v xml:space="preserve"> </v>
      </c>
      <c r="E17" s="147" t="str">
        <f>IFERROR(VLOOKUP(C17,#REF!,7,0)," ")</f>
        <v xml:space="preserve"> </v>
      </c>
      <c r="F17" s="147" t="str">
        <f>IFERROR(VLOOKUP(C17,#REF!,8,0)," ")</f>
        <v xml:space="preserve"> </v>
      </c>
      <c r="G17" s="147" t="str">
        <f>IFERROR(VLOOKUP(C17,#REF!,5,0)," ")</f>
        <v xml:space="preserve"> </v>
      </c>
    </row>
    <row r="18" spans="1:8" ht="20.100000000000001" customHeight="1">
      <c r="A18" s="146"/>
      <c r="B18" s="147" t="str">
        <f>IFERROR(VLOOKUP(C18,#REF!,2,0)," ")</f>
        <v xml:space="preserve"> </v>
      </c>
      <c r="C18" s="148" t="e">
        <f>#REF!</f>
        <v>#REF!</v>
      </c>
      <c r="D18" s="147" t="str">
        <f>IFERROR(VLOOKUP(C18,#REF!,6,0)," ")</f>
        <v xml:space="preserve"> </v>
      </c>
      <c r="E18" s="147" t="str">
        <f>IFERROR(VLOOKUP(C18,#REF!,7,0)," ")</f>
        <v xml:space="preserve"> </v>
      </c>
      <c r="F18" s="147" t="str">
        <f>IFERROR(VLOOKUP(C18,#REF!,8,0)," ")</f>
        <v xml:space="preserve"> </v>
      </c>
      <c r="G18" s="147" t="str">
        <f>IFERROR(VLOOKUP(C18,#REF!,5,0)," ")</f>
        <v xml:space="preserve"> </v>
      </c>
    </row>
    <row r="19" spans="1:8" ht="20.100000000000001" customHeight="1">
      <c r="A19" s="146"/>
      <c r="B19" s="147" t="str">
        <f>IFERROR(VLOOKUP(C19,#REF!,2,0)," ")</f>
        <v xml:space="preserve"> </v>
      </c>
      <c r="C19" s="148" t="e">
        <f>#REF!</f>
        <v>#REF!</v>
      </c>
      <c r="D19" s="147" t="str">
        <f>IFERROR(VLOOKUP(C19,#REF!,6,0)," ")</f>
        <v xml:space="preserve"> </v>
      </c>
      <c r="E19" s="147" t="str">
        <f>IFERROR(VLOOKUP(C19,#REF!,7,0)," ")</f>
        <v xml:space="preserve"> </v>
      </c>
      <c r="F19" s="147" t="str">
        <f>IFERROR(VLOOKUP(C19,#REF!,8,0)," ")</f>
        <v xml:space="preserve"> </v>
      </c>
      <c r="G19" s="147" t="str">
        <f>IFERROR(VLOOKUP(C19,#REF!,5,0)," ")</f>
        <v xml:space="preserve"> </v>
      </c>
    </row>
    <row r="20" spans="1:8" ht="20.100000000000001" customHeight="1">
      <c r="A20" s="146"/>
      <c r="B20" s="147" t="str">
        <f>IFERROR(VLOOKUP(C20,#REF!,2,0)," ")</f>
        <v xml:space="preserve"> </v>
      </c>
      <c r="C20" s="148" t="e">
        <f>#REF!</f>
        <v>#REF!</v>
      </c>
      <c r="D20" s="147" t="str">
        <f>IFERROR(VLOOKUP(C20,#REF!,6,0)," ")</f>
        <v xml:space="preserve"> </v>
      </c>
      <c r="E20" s="147" t="str">
        <f>IFERROR(VLOOKUP(C20,#REF!,7,0)," ")</f>
        <v xml:space="preserve"> </v>
      </c>
      <c r="F20" s="147" t="str">
        <f>IFERROR(VLOOKUP(C20,#REF!,8,0)," ")</f>
        <v xml:space="preserve"> </v>
      </c>
      <c r="G20" s="147" t="str">
        <f>IFERROR(VLOOKUP(C20,#REF!,5,0)," ")</f>
        <v xml:space="preserve"> </v>
      </c>
    </row>
    <row r="21" spans="1:8" ht="20.100000000000001" customHeight="1">
      <c r="A21" s="146"/>
      <c r="B21" s="147" t="str">
        <f>IFERROR(VLOOKUP(C21,#REF!,2,0)," ")</f>
        <v xml:space="preserve"> </v>
      </c>
      <c r="C21" s="148" t="e">
        <f>#REF!</f>
        <v>#REF!</v>
      </c>
      <c r="D21" s="147" t="str">
        <f>IFERROR(VLOOKUP(C21,#REF!,6,0)," ")</f>
        <v xml:space="preserve"> </v>
      </c>
      <c r="E21" s="147" t="str">
        <f>IFERROR(VLOOKUP(C21,#REF!,7,0)," ")</f>
        <v xml:space="preserve"> </v>
      </c>
      <c r="F21" s="147" t="str">
        <f>IFERROR(VLOOKUP(C21,#REF!,8,0)," ")</f>
        <v xml:space="preserve"> </v>
      </c>
      <c r="G21" s="147" t="str">
        <f>IFERROR(VLOOKUP(C21,#REF!,5,0)," ")</f>
        <v xml:space="preserve"> </v>
      </c>
    </row>
    <row r="22" spans="1:8" ht="20.100000000000001" customHeight="1">
      <c r="A22" s="146"/>
      <c r="B22" s="147" t="str">
        <f>IFERROR(VLOOKUP(C22,#REF!,2,0)," ")</f>
        <v xml:space="preserve"> </v>
      </c>
      <c r="C22" s="148" t="e">
        <f>#REF!</f>
        <v>#REF!</v>
      </c>
      <c r="D22" s="147" t="str">
        <f>IFERROR(VLOOKUP(C22,#REF!,6,0)," ")</f>
        <v xml:space="preserve"> </v>
      </c>
      <c r="E22" s="147" t="str">
        <f>IFERROR(VLOOKUP(C22,#REF!,7,0)," ")</f>
        <v xml:space="preserve"> </v>
      </c>
      <c r="F22" s="147" t="str">
        <f>IFERROR(VLOOKUP(C22,#REF!,8,0)," ")</f>
        <v xml:space="preserve"> </v>
      </c>
      <c r="G22" s="147" t="str">
        <f>IFERROR(VLOOKUP(C22,#REF!,5,0)," ")</f>
        <v xml:space="preserve"> </v>
      </c>
    </row>
    <row r="23" spans="1:8" ht="20.100000000000001" customHeight="1">
      <c r="A23" s="146"/>
      <c r="B23" s="147" t="str">
        <f>IFERROR(VLOOKUP(C23,#REF!,2,0)," ")</f>
        <v xml:space="preserve"> </v>
      </c>
      <c r="C23" s="148" t="e">
        <f>#REF!</f>
        <v>#REF!</v>
      </c>
      <c r="D23" s="147" t="str">
        <f>IFERROR(VLOOKUP(C23,#REF!,6,0)," ")</f>
        <v xml:space="preserve"> </v>
      </c>
      <c r="E23" s="147" t="str">
        <f>IFERROR(VLOOKUP(C23,#REF!,7,0)," ")</f>
        <v xml:space="preserve"> </v>
      </c>
      <c r="F23" s="147" t="str">
        <f>IFERROR(VLOOKUP(C23,#REF!,8,0)," ")</f>
        <v xml:space="preserve"> </v>
      </c>
      <c r="G23" s="147" t="str">
        <f>IFERROR(VLOOKUP(C23,#REF!,5,0)," ")</f>
        <v xml:space="preserve"> </v>
      </c>
    </row>
    <row r="24" spans="1:8" ht="20.100000000000001" customHeight="1">
      <c r="A24" s="146"/>
      <c r="B24" s="147" t="str">
        <f>IFERROR(VLOOKUP(C24,#REF!,2,0)," ")</f>
        <v xml:space="preserve"> </v>
      </c>
      <c r="C24" s="148" t="e">
        <f>#REF!</f>
        <v>#REF!</v>
      </c>
      <c r="D24" s="147" t="str">
        <f>IFERROR(VLOOKUP(C24,#REF!,6,0)," ")</f>
        <v xml:space="preserve"> </v>
      </c>
      <c r="E24" s="147" t="str">
        <f>IFERROR(VLOOKUP(C24,#REF!,7,0)," ")</f>
        <v xml:space="preserve"> </v>
      </c>
      <c r="F24" s="147" t="str">
        <f>IFERROR(VLOOKUP(C24,#REF!,8,0)," ")</f>
        <v xml:space="preserve"> </v>
      </c>
      <c r="G24" s="147" t="str">
        <f>IFERROR(VLOOKUP(C24,#REF!,5,0)," ")</f>
        <v xml:space="preserve"> </v>
      </c>
    </row>
    <row r="25" spans="1:8" ht="20.100000000000001" customHeight="1">
      <c r="A25" s="146"/>
      <c r="B25" s="147" t="str">
        <f>IFERROR(VLOOKUP(C25,#REF!,2,0)," ")</f>
        <v xml:space="preserve"> </v>
      </c>
      <c r="C25" s="148" t="e">
        <f>#REF!</f>
        <v>#REF!</v>
      </c>
      <c r="D25" s="147" t="str">
        <f>IFERROR(VLOOKUP(C25,#REF!,6,0)," ")</f>
        <v xml:space="preserve"> </v>
      </c>
      <c r="E25" s="147" t="str">
        <f>IFERROR(VLOOKUP(C25,#REF!,7,0)," ")</f>
        <v xml:space="preserve"> </v>
      </c>
      <c r="F25" s="147" t="str">
        <f>IFERROR(VLOOKUP(C25,#REF!,8,0)," ")</f>
        <v xml:space="preserve"> </v>
      </c>
      <c r="G25" s="147" t="str">
        <f>IFERROR(VLOOKUP(C25,#REF!,5,0)," ")</f>
        <v xml:space="preserve"> </v>
      </c>
    </row>
    <row r="26" spans="1:8" ht="20.100000000000001" customHeight="1">
      <c r="A26" s="146"/>
      <c r="B26" s="147" t="str">
        <f>IFERROR(VLOOKUP(C26,#REF!,2,0)," ")</f>
        <v xml:space="preserve"> </v>
      </c>
      <c r="C26" s="148" t="e">
        <f>#REF!</f>
        <v>#REF!</v>
      </c>
      <c r="D26" s="147" t="str">
        <f>IFERROR(VLOOKUP(C26,#REF!,6,0)," ")</f>
        <v xml:space="preserve"> </v>
      </c>
      <c r="E26" s="147" t="str">
        <f>IFERROR(VLOOKUP(C26,#REF!,7,0)," ")</f>
        <v xml:space="preserve"> </v>
      </c>
      <c r="F26" s="147" t="str">
        <f>IFERROR(VLOOKUP(C26,#REF!,8,0)," ")</f>
        <v xml:space="preserve"> </v>
      </c>
      <c r="G26" s="147" t="str">
        <f>IFERROR(VLOOKUP(C26,#REF!,5,0)," ")</f>
        <v xml:space="preserve"> </v>
      </c>
    </row>
    <row r="27" spans="1:8" ht="20.100000000000001" customHeight="1">
      <c r="A27" s="146"/>
      <c r="B27" s="147" t="str">
        <f>IFERROR(VLOOKUP(C27,#REF!,2,0)," ")</f>
        <v xml:space="preserve"> </v>
      </c>
      <c r="C27" s="148" t="e">
        <f>#REF!</f>
        <v>#REF!</v>
      </c>
      <c r="D27" s="147" t="str">
        <f>IFERROR(VLOOKUP(C27,#REF!,6,0)," ")</f>
        <v xml:space="preserve"> </v>
      </c>
      <c r="E27" s="147" t="str">
        <f>IFERROR(VLOOKUP(C27,#REF!,7,0)," ")</f>
        <v xml:space="preserve"> </v>
      </c>
      <c r="F27" s="147" t="str">
        <f>IFERROR(VLOOKUP(C27,#REF!,8,0)," ")</f>
        <v xml:space="preserve"> </v>
      </c>
      <c r="G27" s="147" t="str">
        <f>IFERROR(VLOOKUP(C27,#REF!,5,0)," ")</f>
        <v xml:space="preserve"> </v>
      </c>
    </row>
    <row r="28" spans="1:8" s="153" customFormat="1" ht="18" customHeight="1">
      <c r="A28" s="149" t="s">
        <v>245</v>
      </c>
      <c r="B28" s="149"/>
      <c r="C28" s="149"/>
      <c r="D28" s="150">
        <f>SUM(D5:D27)</f>
        <v>0</v>
      </c>
      <c r="E28" s="150"/>
      <c r="F28" s="151"/>
      <c r="G28" s="151"/>
      <c r="H28" s="152"/>
    </row>
    <row r="29" spans="1:8" s="153" customFormat="1" ht="18" customHeight="1">
      <c r="A29" s="154" t="s">
        <v>246</v>
      </c>
      <c r="B29" s="154"/>
      <c r="C29" s="154"/>
      <c r="D29" s="155">
        <f>D28*0.1</f>
        <v>0</v>
      </c>
      <c r="E29" s="155"/>
      <c r="F29" s="156"/>
      <c r="G29" s="156"/>
      <c r="H29" s="152"/>
    </row>
    <row r="30" spans="1:8" s="153" customFormat="1" ht="18" customHeight="1">
      <c r="A30" s="154" t="s">
        <v>247</v>
      </c>
      <c r="B30" s="154"/>
      <c r="C30" s="154"/>
      <c r="D30" s="155">
        <f>D28+D29</f>
        <v>0</v>
      </c>
      <c r="E30" s="155"/>
      <c r="F30" s="156"/>
      <c r="G30" s="156"/>
      <c r="H30" s="152"/>
    </row>
    <row r="31" spans="1:8" s="145" customFormat="1" ht="18" customHeight="1">
      <c r="A31" s="144" t="s">
        <v>248</v>
      </c>
      <c r="B31" s="144" t="s">
        <v>241</v>
      </c>
      <c r="C31" s="144" t="s">
        <v>242</v>
      </c>
      <c r="D31" s="157" t="s">
        <v>210</v>
      </c>
      <c r="E31" s="144" t="s">
        <v>68</v>
      </c>
      <c r="F31" s="144" t="s">
        <v>1</v>
      </c>
      <c r="G31" s="144" t="s">
        <v>244</v>
      </c>
    </row>
    <row r="32" spans="1:8" ht="18" customHeight="1">
      <c r="A32" s="146"/>
      <c r="B32" s="147" t="str">
        <f>IFERROR(VLOOKUP(C32,#REF!,2,0)," ")</f>
        <v xml:space="preserve"> </v>
      </c>
      <c r="C32" s="148" t="e">
        <f>#REF!</f>
        <v>#REF!</v>
      </c>
      <c r="D32" s="147" t="str">
        <f>IFERROR(VLOOKUP(C32,#REF!,6,0)," ")</f>
        <v xml:space="preserve"> </v>
      </c>
      <c r="E32" s="147" t="str">
        <f>IFERROR(VLOOKUP(C32,#REF!,7,0)," ")</f>
        <v xml:space="preserve"> </v>
      </c>
      <c r="F32" s="147" t="str">
        <f>IFERROR(VLOOKUP(C32,#REF!,8,0)," ")</f>
        <v xml:space="preserve"> </v>
      </c>
      <c r="G32" s="147" t="s">
        <v>309</v>
      </c>
    </row>
    <row r="33" spans="1:8" ht="18" customHeight="1">
      <c r="A33" s="146"/>
      <c r="B33" s="147" t="str">
        <f>IFERROR(VLOOKUP(C33,#REF!,2,0)," ")</f>
        <v xml:space="preserve"> </v>
      </c>
      <c r="C33" s="148" t="e">
        <f>#REF!</f>
        <v>#REF!</v>
      </c>
      <c r="D33" s="147" t="str">
        <f>IFERROR(VLOOKUP(C33,#REF!,6,0)," ")</f>
        <v xml:space="preserve"> </v>
      </c>
      <c r="E33" s="147" t="str">
        <f>IFERROR(VLOOKUP(C33,#REF!,7,0)," ")</f>
        <v xml:space="preserve"> </v>
      </c>
      <c r="F33" s="147" t="str">
        <f>IFERROR(VLOOKUP(C33,#REF!,8,0)," ")</f>
        <v xml:space="preserve"> </v>
      </c>
      <c r="G33" s="147" t="s">
        <v>309</v>
      </c>
    </row>
    <row r="34" spans="1:8" ht="18" customHeight="1">
      <c r="A34" s="146"/>
      <c r="B34" s="147" t="str">
        <f>IFERROR(VLOOKUP(C34,#REF!,2,0)," ")</f>
        <v xml:space="preserve"> </v>
      </c>
      <c r="C34" s="148" t="e">
        <f>#REF!</f>
        <v>#REF!</v>
      </c>
      <c r="D34" s="147" t="str">
        <f>IFERROR(VLOOKUP(C34,#REF!,6,0)," ")</f>
        <v xml:space="preserve"> </v>
      </c>
      <c r="E34" s="147" t="str">
        <f>IFERROR(VLOOKUP(C34,#REF!,7,0)," ")</f>
        <v xml:space="preserve"> </v>
      </c>
      <c r="F34" s="147" t="str">
        <f>IFERROR(VLOOKUP(C34,#REF!,8,0)," ")</f>
        <v xml:space="preserve"> </v>
      </c>
      <c r="G34" s="147" t="s">
        <v>309</v>
      </c>
    </row>
    <row r="35" spans="1:8" ht="18" customHeight="1">
      <c r="A35" s="146"/>
      <c r="B35" s="147" t="str">
        <f>IFERROR(VLOOKUP(C35,#REF!,2,0)," ")</f>
        <v xml:space="preserve"> </v>
      </c>
      <c r="C35" s="148" t="e">
        <f>#REF!</f>
        <v>#REF!</v>
      </c>
      <c r="D35" s="147" t="str">
        <f>IFERROR(VLOOKUP(C35,#REF!,6,0)," ")</f>
        <v xml:space="preserve"> </v>
      </c>
      <c r="E35" s="147" t="str">
        <f>IFERROR(VLOOKUP(C35,#REF!,7,0)," ")</f>
        <v xml:space="preserve"> </v>
      </c>
      <c r="F35" s="147" t="str">
        <f>IFERROR(VLOOKUP(C35,#REF!,8,0)," ")</f>
        <v xml:space="preserve"> </v>
      </c>
      <c r="G35" s="147" t="s">
        <v>309</v>
      </c>
    </row>
    <row r="36" spans="1:8" ht="18" customHeight="1">
      <c r="A36" s="146"/>
      <c r="B36" s="147" t="str">
        <f>IFERROR(VLOOKUP(C36,#REF!,2,0)," ")</f>
        <v xml:space="preserve"> </v>
      </c>
      <c r="C36" s="148" t="e">
        <f>#REF!</f>
        <v>#REF!</v>
      </c>
      <c r="D36" s="147" t="str">
        <f>IFERROR(VLOOKUP(C36,#REF!,6,0)," ")</f>
        <v xml:space="preserve"> </v>
      </c>
      <c r="E36" s="147" t="str">
        <f>IFERROR(VLOOKUP(C36,#REF!,7,0)," ")</f>
        <v xml:space="preserve"> </v>
      </c>
      <c r="F36" s="147" t="str">
        <f>IFERROR(VLOOKUP(C36,#REF!,8,0)," ")</f>
        <v xml:space="preserve"> </v>
      </c>
      <c r="G36" s="147" t="s">
        <v>309</v>
      </c>
    </row>
    <row r="37" spans="1:8" ht="18" customHeight="1">
      <c r="A37" s="146"/>
      <c r="B37" s="147" t="str">
        <f>IFERROR(VLOOKUP(C37,#REF!,2,0)," ")</f>
        <v xml:space="preserve"> </v>
      </c>
      <c r="C37" s="148" t="e">
        <f>#REF!</f>
        <v>#REF!</v>
      </c>
      <c r="D37" s="147" t="str">
        <f>IFERROR(VLOOKUP(C37,#REF!,6,0)," ")</f>
        <v xml:space="preserve"> </v>
      </c>
      <c r="E37" s="147" t="str">
        <f>IFERROR(VLOOKUP(C37,#REF!,7,0)," ")</f>
        <v xml:space="preserve"> </v>
      </c>
      <c r="F37" s="147" t="str">
        <f>IFERROR(VLOOKUP(C37,#REF!,8,0)," ")</f>
        <v xml:space="preserve"> </v>
      </c>
      <c r="G37" s="147" t="s">
        <v>309</v>
      </c>
    </row>
    <row r="38" spans="1:8" ht="18" customHeight="1">
      <c r="A38" s="146"/>
      <c r="B38" s="147" t="str">
        <f>IFERROR(VLOOKUP(C38,#REF!,2,0)," ")</f>
        <v xml:space="preserve"> </v>
      </c>
      <c r="C38" s="148" t="e">
        <f>#REF!</f>
        <v>#REF!</v>
      </c>
      <c r="D38" s="147" t="str">
        <f>IFERROR(VLOOKUP(C38,#REF!,6,0)," ")</f>
        <v xml:space="preserve"> </v>
      </c>
      <c r="E38" s="147" t="str">
        <f>IFERROR(VLOOKUP(C38,#REF!,7,0)," ")</f>
        <v xml:space="preserve"> </v>
      </c>
      <c r="F38" s="147" t="str">
        <f>IFERROR(VLOOKUP(C38,#REF!,8,0)," ")</f>
        <v xml:space="preserve"> </v>
      </c>
      <c r="G38" s="147" t="s">
        <v>309</v>
      </c>
    </row>
    <row r="39" spans="1:8" ht="18" customHeight="1">
      <c r="A39" s="146"/>
      <c r="B39" s="147" t="str">
        <f>IFERROR(VLOOKUP(C39,#REF!,2,0)," ")</f>
        <v xml:space="preserve"> </v>
      </c>
      <c r="C39" s="148" t="e">
        <f>#REF!</f>
        <v>#REF!</v>
      </c>
      <c r="D39" s="147" t="str">
        <f>IFERROR(VLOOKUP(C39,#REF!,6,0)," ")</f>
        <v xml:space="preserve"> </v>
      </c>
      <c r="E39" s="147" t="str">
        <f>IFERROR(VLOOKUP(C39,#REF!,7,0)," ")</f>
        <v xml:space="preserve"> </v>
      </c>
      <c r="F39" s="147" t="str">
        <f>IFERROR(VLOOKUP(C39,#REF!,8,0)," ")</f>
        <v xml:space="preserve"> </v>
      </c>
      <c r="G39" s="147" t="s">
        <v>309</v>
      </c>
    </row>
    <row r="40" spans="1:8" ht="18" customHeight="1">
      <c r="A40" s="146"/>
      <c r="B40" s="147" t="str">
        <f>IFERROR(VLOOKUP(C40,#REF!,2,0)," ")</f>
        <v xml:space="preserve"> </v>
      </c>
      <c r="C40" s="148" t="e">
        <f>#REF!</f>
        <v>#REF!</v>
      </c>
      <c r="D40" s="147" t="str">
        <f>IFERROR(VLOOKUP(C40,#REF!,6,0)," ")</f>
        <v xml:space="preserve"> </v>
      </c>
      <c r="E40" s="147" t="str">
        <f>IFERROR(VLOOKUP(C40,#REF!,7,0)," ")</f>
        <v xml:space="preserve"> </v>
      </c>
      <c r="F40" s="147" t="str">
        <f>IFERROR(VLOOKUP(C40,#REF!,8,0)," ")</f>
        <v xml:space="preserve"> </v>
      </c>
      <c r="G40" s="147" t="s">
        <v>309</v>
      </c>
    </row>
    <row r="41" spans="1:8" ht="18" customHeight="1">
      <c r="A41" s="146"/>
      <c r="B41" s="147" t="str">
        <f>IFERROR(VLOOKUP(C41,#REF!,2,0)," ")</f>
        <v xml:space="preserve"> </v>
      </c>
      <c r="C41" s="148" t="e">
        <f>#REF!</f>
        <v>#REF!</v>
      </c>
      <c r="D41" s="147" t="str">
        <f>IFERROR(VLOOKUP(C41,#REF!,6,0)," ")</f>
        <v xml:space="preserve"> </v>
      </c>
      <c r="E41" s="147" t="str">
        <f>IFERROR(VLOOKUP(C41,#REF!,7,0)," ")</f>
        <v xml:space="preserve"> </v>
      </c>
      <c r="F41" s="147" t="str">
        <f>IFERROR(VLOOKUP(C41,#REF!,8,0)," ")</f>
        <v xml:space="preserve"> </v>
      </c>
      <c r="G41" s="147" t="s">
        <v>309</v>
      </c>
    </row>
    <row r="42" spans="1:8" ht="18" hidden="1" customHeight="1">
      <c r="A42" s="158"/>
      <c r="B42" s="158"/>
      <c r="C42" s="158"/>
      <c r="D42" s="159"/>
      <c r="E42" s="158"/>
      <c r="F42" s="158"/>
      <c r="G42" s="158"/>
    </row>
    <row r="43" spans="1:8" ht="18" hidden="1" customHeight="1">
      <c r="A43" s="158"/>
      <c r="B43" s="158"/>
      <c r="C43" s="158"/>
      <c r="D43" s="159"/>
      <c r="E43" s="158"/>
      <c r="F43" s="158"/>
      <c r="G43" s="158"/>
    </row>
    <row r="44" spans="1:8" ht="18" hidden="1" customHeight="1">
      <c r="A44" s="158"/>
      <c r="B44" s="158"/>
      <c r="C44" s="158"/>
      <c r="D44" s="159"/>
      <c r="E44" s="158"/>
      <c r="F44" s="158"/>
      <c r="G44" s="158"/>
    </row>
    <row r="45" spans="1:8" s="153" customFormat="1" ht="18" customHeight="1">
      <c r="A45" s="149" t="s">
        <v>249</v>
      </c>
      <c r="B45" s="149"/>
      <c r="C45" s="149"/>
      <c r="D45" s="150">
        <f>SUM(D32:D44)</f>
        <v>0</v>
      </c>
      <c r="E45" s="150"/>
      <c r="F45" s="151"/>
      <c r="G45" s="151"/>
      <c r="H45" s="152"/>
    </row>
    <row r="46" spans="1:8" s="153" customFormat="1" ht="18" customHeight="1">
      <c r="A46" s="154" t="s">
        <v>246</v>
      </c>
      <c r="B46" s="154"/>
      <c r="C46" s="154"/>
      <c r="D46" s="155">
        <f>D45*0.1</f>
        <v>0</v>
      </c>
      <c r="E46" s="155"/>
      <c r="F46" s="156"/>
      <c r="G46" s="156"/>
      <c r="H46" s="152"/>
    </row>
    <row r="47" spans="1:8" s="153" customFormat="1" ht="18" customHeight="1">
      <c r="A47" s="154" t="s">
        <v>247</v>
      </c>
      <c r="B47" s="154"/>
      <c r="C47" s="154"/>
      <c r="D47" s="155">
        <f>D45+D46</f>
        <v>0</v>
      </c>
      <c r="E47" s="155"/>
      <c r="F47" s="156"/>
      <c r="G47" s="156"/>
      <c r="H47" s="152"/>
    </row>
    <row r="48" spans="1:8" s="164" customFormat="1" ht="18" customHeight="1">
      <c r="A48" s="160" t="s">
        <v>250</v>
      </c>
      <c r="B48" s="160"/>
      <c r="C48" s="160"/>
      <c r="D48" s="161">
        <f>D28+D45</f>
        <v>0</v>
      </c>
      <c r="E48" s="161"/>
      <c r="F48" s="162"/>
      <c r="G48" s="162"/>
      <c r="H48" s="163"/>
    </row>
    <row r="49" spans="1:8" s="164" customFormat="1" ht="18" customHeight="1">
      <c r="A49" s="165" t="s">
        <v>246</v>
      </c>
      <c r="B49" s="165"/>
      <c r="C49" s="165"/>
      <c r="D49" s="166">
        <f>D48*0.1</f>
        <v>0</v>
      </c>
      <c r="E49" s="166"/>
      <c r="F49" s="167"/>
      <c r="G49" s="167"/>
      <c r="H49" s="163"/>
    </row>
    <row r="50" spans="1:8" s="164" customFormat="1" ht="18" customHeight="1">
      <c r="A50" s="165" t="s">
        <v>247</v>
      </c>
      <c r="B50" s="165"/>
      <c r="C50" s="165"/>
      <c r="D50" s="166">
        <f>D48+D49</f>
        <v>0</v>
      </c>
      <c r="E50" s="166"/>
      <c r="F50" s="167"/>
      <c r="G50" s="167"/>
      <c r="H50" s="163"/>
    </row>
    <row r="51" spans="1:8" ht="18" customHeight="1">
      <c r="A51" s="355" t="s">
        <v>251</v>
      </c>
      <c r="B51" s="356"/>
      <c r="C51" s="357"/>
      <c r="D51" s="168">
        <f>D50</f>
        <v>0</v>
      </c>
      <c r="E51" s="168"/>
      <c r="F51" s="169"/>
      <c r="G51" s="169"/>
    </row>
    <row r="52" spans="1:8" ht="18" customHeight="1">
      <c r="A52" s="358" t="s">
        <v>252</v>
      </c>
      <c r="B52" s="358"/>
      <c r="C52" s="358"/>
      <c r="D52" s="358"/>
      <c r="E52" s="358"/>
      <c r="F52" s="358"/>
      <c r="G52" s="358"/>
    </row>
    <row r="53" spans="1:8" ht="18" customHeight="1">
      <c r="A53" s="350" t="s">
        <v>253</v>
      </c>
      <c r="B53" s="350"/>
      <c r="C53" s="350"/>
      <c r="D53" s="350"/>
      <c r="E53" s="350"/>
      <c r="F53" s="350"/>
      <c r="G53" s="350"/>
    </row>
    <row r="54" spans="1:8" ht="39.950000000000003" customHeight="1">
      <c r="B54" s="170"/>
      <c r="C54" s="170"/>
      <c r="D54" s="170"/>
      <c r="E54" s="359" t="str">
        <f>"- 작성자 : 현장대리인    "&amp;H54&amp;"                    (인)"</f>
        <v>- 작성자 : 현장대리인    정명덕                    (인)</v>
      </c>
      <c r="F54" s="359"/>
      <c r="G54" s="359"/>
      <c r="H54" s="171" t="s">
        <v>254</v>
      </c>
    </row>
    <row r="55" spans="1:8" ht="39.950000000000003" customHeight="1">
      <c r="B55" s="170"/>
      <c r="C55" s="170"/>
      <c r="D55" s="170"/>
      <c r="E55" s="359" t="str">
        <f>"- 확인자 : 감리자          "&amp;H55&amp;"                    (인)"</f>
        <v>- 확인자 : 감리자          정명덕                    (인)</v>
      </c>
      <c r="F55" s="359"/>
      <c r="G55" s="359"/>
      <c r="H55" s="171" t="s">
        <v>254</v>
      </c>
    </row>
    <row r="56" spans="1:8" ht="39.950000000000003" customHeight="1">
      <c r="B56" s="170"/>
      <c r="C56" s="170"/>
      <c r="D56" s="170"/>
      <c r="E56" s="359" t="str">
        <f>"               감독관         "&amp;H56&amp;"                    (인)"</f>
        <v xml:space="preserve">               감독관         정명덕                    (인)</v>
      </c>
      <c r="F56" s="359"/>
      <c r="G56" s="359"/>
      <c r="H56" s="171" t="s">
        <v>254</v>
      </c>
    </row>
    <row r="57" spans="1:8" s="172" customFormat="1" ht="18" customHeight="1">
      <c r="A57" s="360"/>
      <c r="B57" s="360"/>
      <c r="C57" s="360"/>
      <c r="D57" s="360"/>
      <c r="E57" s="360"/>
      <c r="F57" s="360"/>
      <c r="G57" s="360"/>
    </row>
    <row r="58" spans="1:8" s="172" customFormat="1" ht="18" customHeight="1">
      <c r="A58" s="361"/>
      <c r="B58" s="361"/>
      <c r="C58" s="361"/>
      <c r="D58" s="361"/>
      <c r="E58" s="361"/>
      <c r="F58" s="361"/>
      <c r="G58" s="361"/>
    </row>
    <row r="59" spans="1:8" ht="18" customHeight="1"/>
    <row r="60" spans="1:8" ht="18" customHeight="1"/>
    <row r="61" spans="1:8" ht="18" customHeight="1"/>
    <row r="62" spans="1:8" ht="18" customHeight="1"/>
    <row r="63" spans="1:8" ht="18" customHeight="1"/>
    <row r="64" spans="1:8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</sheetData>
  <mergeCells count="11">
    <mergeCell ref="E54:G54"/>
    <mergeCell ref="E55:G55"/>
    <mergeCell ref="E56:G56"/>
    <mergeCell ref="A57:G57"/>
    <mergeCell ref="A58:G58"/>
    <mergeCell ref="A53:G53"/>
    <mergeCell ref="A1:G2"/>
    <mergeCell ref="B3:G3"/>
    <mergeCell ref="H5:Q10"/>
    <mergeCell ref="A51:C51"/>
    <mergeCell ref="A52:G52"/>
  </mergeCells>
  <phoneticPr fontId="4" type="noConversion"/>
  <printOptions horizontalCentered="1"/>
  <pageMargins left="0.19685039370078741" right="0.19685039370078741" top="0.98425196850393704" bottom="0.31496062992125984" header="0.19685039370078741" footer="0.15748031496062992"/>
  <pageSetup paperSize="9" scale="83" orientation="portrait" r:id="rId1"/>
  <headerFooter alignWithMargins="0"/>
  <rowBreaks count="1" manualBreakCount="1">
    <brk id="57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FFCCFF"/>
  </sheetPr>
  <dimension ref="A1:X39"/>
  <sheetViews>
    <sheetView showGridLines="0" showZeros="0" topLeftCell="A22" zoomScale="90" zoomScaleNormal="90" zoomScaleSheetLayoutView="100" workbookViewId="0">
      <selection activeCell="X19" sqref="X19"/>
    </sheetView>
  </sheetViews>
  <sheetFormatPr defaultColWidth="9" defaultRowHeight="16.5"/>
  <cols>
    <col min="1" max="6" width="4.625" style="3" customWidth="1"/>
    <col min="7" max="8" width="6.625" style="3" customWidth="1"/>
    <col min="9" max="10" width="5.625" style="3" customWidth="1"/>
    <col min="11" max="12" width="6.625" style="3" customWidth="1"/>
    <col min="13" max="20" width="4.625" style="3" customWidth="1"/>
    <col min="21" max="21" width="16" style="3" customWidth="1"/>
    <col min="22" max="22" width="10.625" style="3" customWidth="1"/>
    <col min="23" max="23" width="8.625" style="3" customWidth="1"/>
    <col min="24" max="24" width="30.125" style="3" bestFit="1" customWidth="1"/>
    <col min="25" max="25" width="4.125" style="3" bestFit="1" customWidth="1"/>
    <col min="26" max="26" width="9.125" style="3" bestFit="1" customWidth="1"/>
    <col min="27" max="27" width="4.625" style="3" customWidth="1"/>
    <col min="28" max="28" width="6.375" style="3" bestFit="1" customWidth="1"/>
    <col min="29" max="67" width="4.625" style="3" customWidth="1"/>
    <col min="68" max="16384" width="9" style="3"/>
  </cols>
  <sheetData>
    <row r="1" spans="1:24">
      <c r="A1" s="377" t="s">
        <v>16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</row>
    <row r="2" spans="1:24">
      <c r="A2" s="378"/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</row>
    <row r="3" spans="1:24">
      <c r="A3" s="379" t="s">
        <v>17</v>
      </c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1"/>
    </row>
    <row r="4" spans="1:24" ht="21.95" customHeight="1">
      <c r="A4" s="382" t="s">
        <v>18</v>
      </c>
      <c r="B4" s="383"/>
      <c r="C4" s="383"/>
      <c r="D4" s="384"/>
      <c r="E4" s="384"/>
      <c r="F4" s="384"/>
      <c r="G4" s="384"/>
      <c r="H4" s="384"/>
      <c r="I4" s="383" t="s">
        <v>19</v>
      </c>
      <c r="J4" s="383"/>
      <c r="K4" s="383"/>
      <c r="L4" s="385" t="str">
        <f>IF(ISERROR(VLOOKUP(D4,#REF!,5,0)),"",VLOOKUP(D4,#REF!,5,0))</f>
        <v/>
      </c>
      <c r="M4" s="385"/>
      <c r="N4" s="385"/>
      <c r="O4" s="385"/>
      <c r="P4" s="385"/>
      <c r="Q4" s="385"/>
      <c r="R4" s="386"/>
    </row>
    <row r="5" spans="1:24" ht="21.95" customHeight="1">
      <c r="A5" s="364" t="s">
        <v>20</v>
      </c>
      <c r="B5" s="365"/>
      <c r="C5" s="365"/>
      <c r="D5" s="366" t="str">
        <f>IF(ISERROR(VLOOKUP(D4,#REF!,6,0)),"",VLOOKUP(D4,#REF!,6,0))</f>
        <v/>
      </c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8"/>
    </row>
    <row r="6" spans="1:24" ht="21.95" customHeight="1">
      <c r="A6" s="369" t="s">
        <v>21</v>
      </c>
      <c r="B6" s="370"/>
      <c r="C6" s="370"/>
      <c r="D6" s="371" t="str">
        <f>IF(ISERROR(VLOOKUP(D4,#REF!,7,0)),"",VLOOKUP(D4,#REF!,7,0))</f>
        <v/>
      </c>
      <c r="E6" s="371"/>
      <c r="F6" s="371"/>
      <c r="G6" s="371"/>
      <c r="H6" s="371"/>
      <c r="I6" s="370" t="s">
        <v>22</v>
      </c>
      <c r="J6" s="370"/>
      <c r="K6" s="370"/>
      <c r="L6" s="372" t="str">
        <f>IF(ISERROR(VLOOKUP(D4,#REF!,9,0)),"",VLOOKUP(D4,#REF!,9,0))</f>
        <v/>
      </c>
      <c r="M6" s="372"/>
      <c r="N6" s="371" t="str">
        <f>IF(ISERROR(VLOOKUP(D4,#REF!,10,0)),"",VLOOKUP(D4,#REF!,10,0))</f>
        <v/>
      </c>
      <c r="O6" s="371"/>
      <c r="P6" s="371"/>
      <c r="Q6" s="371"/>
      <c r="R6" s="373"/>
    </row>
    <row r="7" spans="1:24" ht="9.9499999999999993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4" ht="21.95" customHeight="1">
      <c r="A8" s="387" t="e">
        <f>"  상기인을 본인의 대리인으로 정하여 ["&amp;V8&amp;"] 「"&amp;V9&amp;"」 하수급인  「"&amp;V10&amp;"」의"</f>
        <v>#REF!</v>
      </c>
      <c r="B8" s="388"/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388"/>
      <c r="Q8" s="388"/>
      <c r="R8" s="389"/>
      <c r="U8" s="8" t="s">
        <v>40</v>
      </c>
      <c r="V8" s="362" t="e">
        <f>#REF!</f>
        <v>#REF!</v>
      </c>
      <c r="W8" s="362"/>
      <c r="X8" s="362"/>
    </row>
    <row r="9" spans="1:24" ht="21.95" customHeight="1">
      <c r="A9" s="387" t="str">
        <f>" 근로자로서 「"&amp;V10&amp;"」이(가) 지급하여야할 ["&amp;V11&amp;" "&amp;W11&amp;"] 노무비를 원수급자인 「"&amp;V9&amp;"」와(과) 하수급인"</f>
        <v xml:space="preserve"> 근로자로서 「(주)하도급 회사」이(가) 지급하여야할 [2023년 1월] 노무비를 원수급자인 「부강종합건설㈜」와(과) 하수급인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389"/>
      <c r="U9" s="11" t="s">
        <v>41</v>
      </c>
      <c r="V9" s="363" t="s">
        <v>202</v>
      </c>
      <c r="W9" s="363"/>
      <c r="X9" s="363"/>
    </row>
    <row r="10" spans="1:24" ht="21.95" customHeight="1">
      <c r="A10" s="390" t="str">
        <f>" 「"&amp;V10&amp;"」로부터 수령할 노무비와 기타 모든 사항을 수임인에게 일체의 권한을 위임하고 위임후에 따른"</f>
        <v xml:space="preserve"> 「(주)하도급 회사」로부터 수령할 노무비와 기타 모든 사항을 수임인에게 일체의 권한을 위임하고 위임후에 따른</v>
      </c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1"/>
      <c r="N10" s="391"/>
      <c r="O10" s="391"/>
      <c r="P10" s="391"/>
      <c r="Q10" s="391"/>
      <c r="R10" s="392"/>
      <c r="U10" s="11" t="s">
        <v>42</v>
      </c>
      <c r="V10" s="363" t="s">
        <v>46</v>
      </c>
      <c r="W10" s="363"/>
      <c r="X10" s="363"/>
    </row>
    <row r="11" spans="1:24" ht="21.95" customHeight="1">
      <c r="A11" s="374" t="s">
        <v>44</v>
      </c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5"/>
      <c r="R11" s="376"/>
      <c r="U11" s="9" t="s">
        <v>43</v>
      </c>
      <c r="V11" s="12" t="s">
        <v>296</v>
      </c>
      <c r="W11" s="13" t="s">
        <v>56</v>
      </c>
      <c r="X11" s="10"/>
    </row>
    <row r="12" spans="1:24" ht="21.95" customHeight="1" thickBot="1">
      <c r="A12" s="374" t="s">
        <v>45</v>
      </c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5"/>
      <c r="P12" s="375"/>
      <c r="Q12" s="375"/>
      <c r="R12" s="376"/>
    </row>
    <row r="13" spans="1:24" ht="9.9499999999999993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V13" s="6"/>
    </row>
    <row r="14" spans="1:24" ht="27.95" customHeight="1">
      <c r="A14" s="393" t="s">
        <v>18</v>
      </c>
      <c r="B14" s="393"/>
      <c r="C14" s="393" t="s">
        <v>19</v>
      </c>
      <c r="D14" s="393"/>
      <c r="E14" s="393"/>
      <c r="F14" s="393"/>
      <c r="G14" s="394" t="s">
        <v>20</v>
      </c>
      <c r="H14" s="394"/>
      <c r="I14" s="394"/>
      <c r="J14" s="394"/>
      <c r="K14" s="394"/>
      <c r="L14" s="394"/>
      <c r="M14" s="393" t="s">
        <v>23</v>
      </c>
      <c r="N14" s="393"/>
      <c r="O14" s="393"/>
      <c r="P14" s="393" t="s">
        <v>24</v>
      </c>
      <c r="Q14" s="393"/>
      <c r="R14" s="393"/>
    </row>
    <row r="15" spans="1:24" ht="27.95" customHeight="1">
      <c r="A15" s="395"/>
      <c r="B15" s="395"/>
      <c r="C15" s="396"/>
      <c r="D15" s="396"/>
      <c r="E15" s="396"/>
      <c r="F15" s="396"/>
      <c r="G15" s="397"/>
      <c r="H15" s="397"/>
      <c r="I15" s="397"/>
      <c r="J15" s="397"/>
      <c r="K15" s="397"/>
      <c r="L15" s="397"/>
      <c r="M15" s="398" t="str">
        <f ca="1">IFERROR(VLOOKUP(A15,INDIRECT(#REF!&amp;"!$B$7:$BA$93"),33,FALSE),"")</f>
        <v/>
      </c>
      <c r="N15" s="398"/>
      <c r="O15" s="398"/>
      <c r="P15" s="395"/>
      <c r="Q15" s="395"/>
      <c r="R15" s="395"/>
      <c r="V15" s="6"/>
    </row>
    <row r="16" spans="1:24" ht="27.95" customHeight="1">
      <c r="A16" s="399"/>
      <c r="B16" s="399"/>
      <c r="C16" s="400"/>
      <c r="D16" s="400"/>
      <c r="E16" s="400"/>
      <c r="F16" s="400"/>
      <c r="G16" s="401"/>
      <c r="H16" s="402"/>
      <c r="I16" s="402"/>
      <c r="J16" s="402"/>
      <c r="K16" s="402"/>
      <c r="L16" s="403"/>
      <c r="M16" s="404" t="str">
        <f ca="1">IFERROR(VLOOKUP(A16,INDIRECT(#REF!&amp;"!$B$7:$BA$93"),33,FALSE),"")</f>
        <v/>
      </c>
      <c r="N16" s="404"/>
      <c r="O16" s="404"/>
      <c r="P16" s="399"/>
      <c r="Q16" s="399"/>
      <c r="R16" s="399"/>
    </row>
    <row r="17" spans="1:24" ht="27.95" customHeight="1">
      <c r="A17" s="399"/>
      <c r="B17" s="399"/>
      <c r="C17" s="400"/>
      <c r="D17" s="400"/>
      <c r="E17" s="400"/>
      <c r="F17" s="400"/>
      <c r="G17" s="401"/>
      <c r="H17" s="402"/>
      <c r="I17" s="402"/>
      <c r="J17" s="402"/>
      <c r="K17" s="402"/>
      <c r="L17" s="403"/>
      <c r="M17" s="404" t="str">
        <f ca="1">IFERROR(VLOOKUP(A17,INDIRECT(#REF!&amp;"!$B$7:$BA$93"),33,FALSE),"")</f>
        <v/>
      </c>
      <c r="N17" s="404"/>
      <c r="O17" s="404"/>
      <c r="P17" s="399"/>
      <c r="Q17" s="399"/>
      <c r="R17" s="399"/>
      <c r="X17" s="7"/>
    </row>
    <row r="18" spans="1:24" ht="27.95" customHeight="1">
      <c r="A18" s="405"/>
      <c r="B18" s="406"/>
      <c r="C18" s="400"/>
      <c r="D18" s="400"/>
      <c r="E18" s="400"/>
      <c r="F18" s="400"/>
      <c r="G18" s="401"/>
      <c r="H18" s="402"/>
      <c r="I18" s="402"/>
      <c r="J18" s="402"/>
      <c r="K18" s="402"/>
      <c r="L18" s="403"/>
      <c r="M18" s="404" t="str">
        <f ca="1">IFERROR(VLOOKUP(A18,INDIRECT(#REF!&amp;"!$B$7:$BA$93"),33,FALSE),"")</f>
        <v/>
      </c>
      <c r="N18" s="404"/>
      <c r="O18" s="404"/>
      <c r="P18" s="399"/>
      <c r="Q18" s="399"/>
      <c r="R18" s="399"/>
      <c r="X18" s="7"/>
    </row>
    <row r="19" spans="1:24" ht="27.95" customHeight="1">
      <c r="A19" s="399"/>
      <c r="B19" s="399"/>
      <c r="C19" s="400"/>
      <c r="D19" s="400"/>
      <c r="E19" s="400"/>
      <c r="F19" s="400"/>
      <c r="G19" s="401"/>
      <c r="H19" s="402"/>
      <c r="I19" s="402"/>
      <c r="J19" s="402"/>
      <c r="K19" s="402"/>
      <c r="L19" s="403"/>
      <c r="M19" s="404" t="str">
        <f ca="1">IFERROR(VLOOKUP(A19,INDIRECT(#REF!&amp;"!$B$7:$BA$93"),33,FALSE),"")</f>
        <v/>
      </c>
      <c r="N19" s="404"/>
      <c r="O19" s="404"/>
      <c r="P19" s="399"/>
      <c r="Q19" s="399"/>
      <c r="R19" s="399"/>
    </row>
    <row r="20" spans="1:24" ht="27.95" customHeight="1">
      <c r="A20" s="405"/>
      <c r="B20" s="406"/>
      <c r="C20" s="400" t="str">
        <f>IF(ISERROR(VLOOKUP(A20,#REF!,5,0)),"",VLOOKUP(A20,#REF!,5,0))</f>
        <v/>
      </c>
      <c r="D20" s="400"/>
      <c r="E20" s="400"/>
      <c r="F20" s="400"/>
      <c r="G20" s="401" t="str">
        <f>IF(ISERROR(VLOOKUP(A20,#REF!,6,0)),"",VLOOKUP(A20,#REF!,4,0))</f>
        <v/>
      </c>
      <c r="H20" s="402"/>
      <c r="I20" s="402"/>
      <c r="J20" s="402"/>
      <c r="K20" s="402"/>
      <c r="L20" s="403"/>
      <c r="M20" s="404" t="str">
        <f ca="1">IFERROR(VLOOKUP(A20,INDIRECT(#REF!&amp;"!$B$7:$BA$93"),33,FALSE),"")</f>
        <v/>
      </c>
      <c r="N20" s="404"/>
      <c r="O20" s="404"/>
      <c r="P20" s="399"/>
      <c r="Q20" s="399"/>
      <c r="R20" s="399"/>
    </row>
    <row r="21" spans="1:24" ht="27.95" customHeight="1">
      <c r="A21" s="399"/>
      <c r="B21" s="399"/>
      <c r="C21" s="400" t="str">
        <f>IF(ISERROR(VLOOKUP(A21,#REF!,5,0)),"",VLOOKUP(A21,#REF!,5,0))</f>
        <v/>
      </c>
      <c r="D21" s="400"/>
      <c r="E21" s="400"/>
      <c r="F21" s="400"/>
      <c r="G21" s="401" t="str">
        <f>IF(ISERROR(VLOOKUP(A21,#REF!,6,0)),"",VLOOKUP(A21,#REF!,4,0))</f>
        <v/>
      </c>
      <c r="H21" s="402"/>
      <c r="I21" s="402"/>
      <c r="J21" s="402"/>
      <c r="K21" s="402"/>
      <c r="L21" s="403"/>
      <c r="M21" s="404" t="str">
        <f ca="1">IFERROR(VLOOKUP(A21,INDIRECT(#REF!&amp;"!$B$7:$BA$93"),33,FALSE),"")</f>
        <v/>
      </c>
      <c r="N21" s="404"/>
      <c r="O21" s="404"/>
      <c r="P21" s="399"/>
      <c r="Q21" s="399"/>
      <c r="R21" s="399"/>
    </row>
    <row r="22" spans="1:24" ht="27.95" customHeight="1">
      <c r="A22" s="399"/>
      <c r="B22" s="399"/>
      <c r="C22" s="400" t="str">
        <f>IF(ISERROR(VLOOKUP(A22,#REF!,5,0)),"",VLOOKUP(A22,#REF!,5,0))</f>
        <v/>
      </c>
      <c r="D22" s="400"/>
      <c r="E22" s="400"/>
      <c r="F22" s="400"/>
      <c r="G22" s="401" t="str">
        <f>IF(ISERROR(VLOOKUP(A22,#REF!,6,0)),"",VLOOKUP(A22,#REF!,4,0))</f>
        <v/>
      </c>
      <c r="H22" s="402"/>
      <c r="I22" s="402"/>
      <c r="J22" s="402"/>
      <c r="K22" s="402"/>
      <c r="L22" s="403"/>
      <c r="M22" s="404" t="str">
        <f ca="1">IFERROR(VLOOKUP(A22,INDIRECT(#REF!&amp;"!$B$7:$BA$93"),33,FALSE),"")</f>
        <v/>
      </c>
      <c r="N22" s="404"/>
      <c r="O22" s="404"/>
      <c r="P22" s="399"/>
      <c r="Q22" s="399"/>
      <c r="R22" s="399"/>
    </row>
    <row r="23" spans="1:24" ht="27.95" customHeight="1">
      <c r="A23" s="399"/>
      <c r="B23" s="399"/>
      <c r="C23" s="400" t="str">
        <f>IF(ISERROR(VLOOKUP(A23,#REF!,5,0)),"",VLOOKUP(A23,#REF!,5,0))</f>
        <v/>
      </c>
      <c r="D23" s="400"/>
      <c r="E23" s="400"/>
      <c r="F23" s="400"/>
      <c r="G23" s="401" t="str">
        <f>IF(ISERROR(VLOOKUP(A23,#REF!,6,0)),"",VLOOKUP(A23,#REF!,4,0))</f>
        <v/>
      </c>
      <c r="H23" s="402"/>
      <c r="I23" s="402"/>
      <c r="J23" s="402"/>
      <c r="K23" s="402"/>
      <c r="L23" s="403"/>
      <c r="M23" s="404" t="str">
        <f ca="1">IFERROR(VLOOKUP(A23,INDIRECT(#REF!&amp;"!$B$7:$BA$93"),33,FALSE),"")</f>
        <v/>
      </c>
      <c r="N23" s="404"/>
      <c r="O23" s="404"/>
      <c r="P23" s="399"/>
      <c r="Q23" s="399"/>
      <c r="R23" s="399"/>
    </row>
    <row r="24" spans="1:24" ht="27.95" customHeight="1">
      <c r="A24" s="399"/>
      <c r="B24" s="399"/>
      <c r="C24" s="400" t="str">
        <f>IF(ISERROR(VLOOKUP(A24,#REF!,5,0)),"",VLOOKUP(A24,#REF!,5,0))</f>
        <v/>
      </c>
      <c r="D24" s="400"/>
      <c r="E24" s="400"/>
      <c r="F24" s="400"/>
      <c r="G24" s="401" t="str">
        <f>IF(ISERROR(VLOOKUP(A24,#REF!,6,0)),"",VLOOKUP(A24,#REF!,4,0))</f>
        <v/>
      </c>
      <c r="H24" s="402"/>
      <c r="I24" s="402"/>
      <c r="J24" s="402"/>
      <c r="K24" s="402"/>
      <c r="L24" s="403"/>
      <c r="M24" s="404" t="str">
        <f ca="1">IFERROR(VLOOKUP(A24,INDIRECT(#REF!&amp;"!$B$7:$BA$93"),33,FALSE),"")</f>
        <v/>
      </c>
      <c r="N24" s="404"/>
      <c r="O24" s="404"/>
      <c r="P24" s="399"/>
      <c r="Q24" s="399"/>
      <c r="R24" s="399"/>
    </row>
    <row r="25" spans="1:24" ht="27.95" customHeight="1">
      <c r="A25" s="399"/>
      <c r="B25" s="399"/>
      <c r="C25" s="400" t="str">
        <f>IF(ISERROR(VLOOKUP(A25,#REF!,5,0)),"",VLOOKUP(A25,#REF!,5,0))</f>
        <v/>
      </c>
      <c r="D25" s="400"/>
      <c r="E25" s="400"/>
      <c r="F25" s="400"/>
      <c r="G25" s="401" t="str">
        <f>IF(ISERROR(VLOOKUP(A25,#REF!,6,0)),"",VLOOKUP(A25,#REF!,4,0))</f>
        <v/>
      </c>
      <c r="H25" s="402"/>
      <c r="I25" s="402"/>
      <c r="J25" s="402"/>
      <c r="K25" s="402"/>
      <c r="L25" s="403"/>
      <c r="M25" s="404" t="str">
        <f ca="1">IFERROR(VLOOKUP(A25,INDIRECT(#REF!&amp;"!$B$7:$BA$93"),33,FALSE),"")</f>
        <v/>
      </c>
      <c r="N25" s="404"/>
      <c r="O25" s="404"/>
      <c r="P25" s="399"/>
      <c r="Q25" s="399"/>
      <c r="R25" s="399"/>
    </row>
    <row r="26" spans="1:24" ht="27.95" customHeight="1">
      <c r="A26" s="399"/>
      <c r="B26" s="399"/>
      <c r="C26" s="400" t="str">
        <f>IF(ISERROR(VLOOKUP(A26,#REF!,5,0)),"",VLOOKUP(A26,#REF!,5,0))</f>
        <v/>
      </c>
      <c r="D26" s="400"/>
      <c r="E26" s="400"/>
      <c r="F26" s="400"/>
      <c r="G26" s="401" t="str">
        <f>IF(ISERROR(VLOOKUP(A26,#REF!,6,0)),"",VLOOKUP(A26,#REF!,4,0))</f>
        <v/>
      </c>
      <c r="H26" s="402"/>
      <c r="I26" s="402"/>
      <c r="J26" s="402"/>
      <c r="K26" s="402"/>
      <c r="L26" s="403"/>
      <c r="M26" s="404" t="str">
        <f ca="1">IFERROR(VLOOKUP(A26,INDIRECT(#REF!&amp;"!$B$7:$BA$93"),33,FALSE),"")</f>
        <v/>
      </c>
      <c r="N26" s="404"/>
      <c r="O26" s="404"/>
      <c r="P26" s="399"/>
      <c r="Q26" s="399"/>
      <c r="R26" s="399"/>
    </row>
    <row r="27" spans="1:24" ht="27.95" customHeight="1">
      <c r="A27" s="399"/>
      <c r="B27" s="399"/>
      <c r="C27" s="400" t="str">
        <f>IF(ISERROR(VLOOKUP(A27,#REF!,5,0)),"",VLOOKUP(A27,#REF!,5,0))</f>
        <v/>
      </c>
      <c r="D27" s="400"/>
      <c r="E27" s="400"/>
      <c r="F27" s="400"/>
      <c r="G27" s="401" t="str">
        <f>IF(ISERROR(VLOOKUP(A27,#REF!,6,0)),"",VLOOKUP(A27,#REF!,4,0))</f>
        <v/>
      </c>
      <c r="H27" s="402"/>
      <c r="I27" s="402"/>
      <c r="J27" s="402"/>
      <c r="K27" s="402"/>
      <c r="L27" s="403"/>
      <c r="M27" s="404" t="str">
        <f ca="1">IFERROR(VLOOKUP(A27,INDIRECT(#REF!&amp;"!$B$7:$BA$93"),33,FALSE),"")</f>
        <v/>
      </c>
      <c r="N27" s="404"/>
      <c r="O27" s="404"/>
      <c r="P27" s="399"/>
      <c r="Q27" s="399"/>
      <c r="R27" s="399"/>
    </row>
    <row r="28" spans="1:24" ht="27.95" customHeight="1">
      <c r="A28" s="399"/>
      <c r="B28" s="399"/>
      <c r="C28" s="400" t="str">
        <f>IF(ISERROR(VLOOKUP(A28,#REF!,5,0)),"",VLOOKUP(A28,#REF!,5,0))</f>
        <v/>
      </c>
      <c r="D28" s="400"/>
      <c r="E28" s="400"/>
      <c r="F28" s="400"/>
      <c r="G28" s="401" t="str">
        <f>IF(ISERROR(VLOOKUP(A28,#REF!,6,0)),"",VLOOKUP(A28,#REF!,4,0))</f>
        <v/>
      </c>
      <c r="H28" s="402"/>
      <c r="I28" s="402"/>
      <c r="J28" s="402"/>
      <c r="K28" s="402"/>
      <c r="L28" s="403"/>
      <c r="M28" s="404" t="str">
        <f ca="1">IFERROR(VLOOKUP(A28,INDIRECT(#REF!&amp;"!$B$7:$BA$93"),33,FALSE),"")</f>
        <v/>
      </c>
      <c r="N28" s="404"/>
      <c r="O28" s="404"/>
      <c r="P28" s="399"/>
      <c r="Q28" s="399"/>
      <c r="R28" s="399"/>
    </row>
    <row r="29" spans="1:24" ht="27.95" customHeight="1">
      <c r="A29" s="399"/>
      <c r="B29" s="399"/>
      <c r="C29" s="400" t="str">
        <f>IF(ISERROR(VLOOKUP(A29,#REF!,5,0)),"",VLOOKUP(A29,#REF!,5,0))</f>
        <v/>
      </c>
      <c r="D29" s="400"/>
      <c r="E29" s="400"/>
      <c r="F29" s="400"/>
      <c r="G29" s="401" t="str">
        <f>IF(ISERROR(VLOOKUP(A29,#REF!,6,0)),"",VLOOKUP(A29,#REF!,4,0))</f>
        <v/>
      </c>
      <c r="H29" s="402"/>
      <c r="I29" s="402"/>
      <c r="J29" s="402"/>
      <c r="K29" s="402"/>
      <c r="L29" s="403"/>
      <c r="M29" s="404" t="str">
        <f ca="1">IFERROR(VLOOKUP(A29,INDIRECT(#REF!&amp;"!$B$7:$BA$93"),33,FALSE),"")</f>
        <v/>
      </c>
      <c r="N29" s="404"/>
      <c r="O29" s="404"/>
      <c r="P29" s="399"/>
      <c r="Q29" s="399"/>
      <c r="R29" s="399"/>
    </row>
    <row r="30" spans="1:24" ht="27.95" customHeight="1">
      <c r="A30" s="399"/>
      <c r="B30" s="399"/>
      <c r="C30" s="400" t="str">
        <f>IF(ISERROR(VLOOKUP(A30,#REF!,5,0)),"",VLOOKUP(A30,#REF!,5,0))</f>
        <v/>
      </c>
      <c r="D30" s="400"/>
      <c r="E30" s="400"/>
      <c r="F30" s="400"/>
      <c r="G30" s="401" t="str">
        <f>IF(ISERROR(VLOOKUP(A30,#REF!,6,0)),"",VLOOKUP(A30,#REF!,4,0))</f>
        <v/>
      </c>
      <c r="H30" s="402"/>
      <c r="I30" s="402"/>
      <c r="J30" s="402"/>
      <c r="K30" s="402"/>
      <c r="L30" s="403"/>
      <c r="M30" s="404" t="str">
        <f ca="1">IFERROR(VLOOKUP(A30,INDIRECT(#REF!&amp;"!$B$7:$BA$93"),33,FALSE),"")</f>
        <v/>
      </c>
      <c r="N30" s="404"/>
      <c r="O30" s="404"/>
      <c r="P30" s="399"/>
      <c r="Q30" s="399"/>
      <c r="R30" s="399"/>
    </row>
    <row r="31" spans="1:24" ht="27.95" customHeight="1">
      <c r="A31" s="399"/>
      <c r="B31" s="399"/>
      <c r="C31" s="400" t="str">
        <f>IF(ISERROR(VLOOKUP(A31,#REF!,5,0)),"",VLOOKUP(A31,#REF!,5,0))</f>
        <v/>
      </c>
      <c r="D31" s="400"/>
      <c r="E31" s="400"/>
      <c r="F31" s="400"/>
      <c r="G31" s="401" t="str">
        <f>IF(ISERROR(VLOOKUP(A31,#REF!,6,0)),"",VLOOKUP(A31,#REF!,4,0))</f>
        <v/>
      </c>
      <c r="H31" s="402"/>
      <c r="I31" s="402"/>
      <c r="J31" s="402"/>
      <c r="K31" s="402"/>
      <c r="L31" s="403"/>
      <c r="M31" s="404" t="str">
        <f ca="1">IFERROR(VLOOKUP(A31,INDIRECT(#REF!&amp;"!$B$7:$BA$93"),33,FALSE),"")</f>
        <v/>
      </c>
      <c r="N31" s="404"/>
      <c r="O31" s="404"/>
      <c r="P31" s="399"/>
      <c r="Q31" s="399"/>
      <c r="R31" s="399"/>
    </row>
    <row r="32" spans="1:24" ht="27.95" customHeight="1">
      <c r="A32" s="399"/>
      <c r="B32" s="399"/>
      <c r="C32" s="400" t="str">
        <f>IF(ISERROR(VLOOKUP(A32,#REF!,5,0)),"",VLOOKUP(A32,#REF!,5,0))</f>
        <v/>
      </c>
      <c r="D32" s="400"/>
      <c r="E32" s="400"/>
      <c r="F32" s="400"/>
      <c r="G32" s="401" t="str">
        <f>IF(ISERROR(VLOOKUP(A32,#REF!,6,0)),"",VLOOKUP(A32,#REF!,4,0))</f>
        <v/>
      </c>
      <c r="H32" s="402"/>
      <c r="I32" s="402"/>
      <c r="J32" s="402"/>
      <c r="K32" s="402"/>
      <c r="L32" s="403"/>
      <c r="M32" s="404" t="str">
        <f ca="1">IFERROR(VLOOKUP(A32,INDIRECT(#REF!&amp;"!$B$7:$BA$93"),33,FALSE),"")</f>
        <v/>
      </c>
      <c r="N32" s="404"/>
      <c r="O32" s="404"/>
      <c r="P32" s="399"/>
      <c r="Q32" s="399"/>
      <c r="R32" s="399"/>
    </row>
    <row r="33" spans="1:18" ht="27.95" customHeight="1">
      <c r="A33" s="399"/>
      <c r="B33" s="399"/>
      <c r="C33" s="400" t="str">
        <f>IF(ISERROR(VLOOKUP(A33,#REF!,5,0)),"",VLOOKUP(A33,#REF!,5,0))</f>
        <v/>
      </c>
      <c r="D33" s="400"/>
      <c r="E33" s="400"/>
      <c r="F33" s="400"/>
      <c r="G33" s="401" t="str">
        <f>IF(ISERROR(VLOOKUP(A33,#REF!,6,0)),"",VLOOKUP(A33,#REF!,4,0))</f>
        <v/>
      </c>
      <c r="H33" s="402"/>
      <c r="I33" s="402"/>
      <c r="J33" s="402"/>
      <c r="K33" s="402"/>
      <c r="L33" s="403"/>
      <c r="M33" s="404" t="str">
        <f ca="1">IFERROR(VLOOKUP(A33,INDIRECT(#REF!&amp;"!$B$7:$BA$93"),33,FALSE),"")</f>
        <v/>
      </c>
      <c r="N33" s="404"/>
      <c r="O33" s="404"/>
      <c r="P33" s="399"/>
      <c r="Q33" s="399"/>
      <c r="R33" s="399"/>
    </row>
    <row r="34" spans="1:18" ht="27.95" customHeight="1">
      <c r="A34" s="407"/>
      <c r="B34" s="407"/>
      <c r="C34" s="408" t="str">
        <f>IF(ISERROR(VLOOKUP(A34,#REF!,5,0)),"",VLOOKUP(A34,#REF!,5,0))</f>
        <v/>
      </c>
      <c r="D34" s="408"/>
      <c r="E34" s="408"/>
      <c r="F34" s="408"/>
      <c r="G34" s="409" t="str">
        <f>IF(ISERROR(VLOOKUP(A34,#REF!,6,0)),"",VLOOKUP(A34,#REF!,4,0))</f>
        <v/>
      </c>
      <c r="H34" s="410"/>
      <c r="I34" s="410"/>
      <c r="J34" s="410"/>
      <c r="K34" s="410"/>
      <c r="L34" s="411"/>
      <c r="M34" s="412" t="str">
        <f ca="1">IFERROR(VLOOKUP(A34,INDIRECT(#REF!&amp;"!$B$7:$BA$93"),33,FALSE),"")</f>
        <v/>
      </c>
      <c r="N34" s="412"/>
      <c r="O34" s="412"/>
      <c r="P34" s="407"/>
      <c r="Q34" s="407"/>
      <c r="R34" s="407"/>
    </row>
    <row r="35" spans="1:18" ht="24.95" customHeight="1"/>
    <row r="36" spans="1:18" ht="24.95" customHeight="1"/>
    <row r="37" spans="1:18" ht="24.95" customHeight="1"/>
    <row r="38" spans="1:18" ht="24.95" customHeight="1"/>
    <row r="39" spans="1:18" ht="24.95" customHeight="1"/>
  </sheetData>
  <mergeCells count="126">
    <mergeCell ref="A32:B32"/>
    <mergeCell ref="C32:F32"/>
    <mergeCell ref="G32:L32"/>
    <mergeCell ref="M32:O32"/>
    <mergeCell ref="P32:R32"/>
    <mergeCell ref="A34:B34"/>
    <mergeCell ref="C34:F34"/>
    <mergeCell ref="G34:L34"/>
    <mergeCell ref="M34:O34"/>
    <mergeCell ref="P34:R34"/>
    <mergeCell ref="A33:B33"/>
    <mergeCell ref="C33:F33"/>
    <mergeCell ref="G33:L33"/>
    <mergeCell ref="M33:O33"/>
    <mergeCell ref="P33:R33"/>
    <mergeCell ref="A30:B30"/>
    <mergeCell ref="C30:F30"/>
    <mergeCell ref="G30:L30"/>
    <mergeCell ref="M30:O30"/>
    <mergeCell ref="P30:R30"/>
    <mergeCell ref="A31:B31"/>
    <mergeCell ref="C31:F31"/>
    <mergeCell ref="G31:L31"/>
    <mergeCell ref="M31:O31"/>
    <mergeCell ref="P31:R31"/>
    <mergeCell ref="A28:B28"/>
    <mergeCell ref="C28:F28"/>
    <mergeCell ref="G28:L28"/>
    <mergeCell ref="M28:O28"/>
    <mergeCell ref="P28:R28"/>
    <mergeCell ref="A29:B29"/>
    <mergeCell ref="C29:F29"/>
    <mergeCell ref="G29:L29"/>
    <mergeCell ref="M29:O29"/>
    <mergeCell ref="P29:R29"/>
    <mergeCell ref="A26:B26"/>
    <mergeCell ref="C26:F26"/>
    <mergeCell ref="G26:L26"/>
    <mergeCell ref="M26:O26"/>
    <mergeCell ref="P26:R26"/>
    <mergeCell ref="A27:B27"/>
    <mergeCell ref="C27:F27"/>
    <mergeCell ref="G27:L27"/>
    <mergeCell ref="M27:O27"/>
    <mergeCell ref="P27:R27"/>
    <mergeCell ref="A24:B24"/>
    <mergeCell ref="C24:F24"/>
    <mergeCell ref="G24:L24"/>
    <mergeCell ref="M24:O24"/>
    <mergeCell ref="P24:R24"/>
    <mergeCell ref="A25:B25"/>
    <mergeCell ref="C25:F25"/>
    <mergeCell ref="G25:L25"/>
    <mergeCell ref="M25:O25"/>
    <mergeCell ref="P25:R25"/>
    <mergeCell ref="A22:B22"/>
    <mergeCell ref="C22:F22"/>
    <mergeCell ref="G22:L22"/>
    <mergeCell ref="M22:O22"/>
    <mergeCell ref="P22:R22"/>
    <mergeCell ref="A23:B23"/>
    <mergeCell ref="C23:F23"/>
    <mergeCell ref="G23:L23"/>
    <mergeCell ref="M23:O23"/>
    <mergeCell ref="P23:R23"/>
    <mergeCell ref="A20:B20"/>
    <mergeCell ref="C20:F20"/>
    <mergeCell ref="G20:L20"/>
    <mergeCell ref="M20:O20"/>
    <mergeCell ref="P20:R20"/>
    <mergeCell ref="A21:B21"/>
    <mergeCell ref="C21:F21"/>
    <mergeCell ref="G21:L21"/>
    <mergeCell ref="M21:O21"/>
    <mergeCell ref="P21:R21"/>
    <mergeCell ref="A18:B18"/>
    <mergeCell ref="C18:F18"/>
    <mergeCell ref="G18:L18"/>
    <mergeCell ref="M18:O18"/>
    <mergeCell ref="P18:R18"/>
    <mergeCell ref="A19:B19"/>
    <mergeCell ref="C19:F19"/>
    <mergeCell ref="G19:L19"/>
    <mergeCell ref="M19:O19"/>
    <mergeCell ref="P19:R19"/>
    <mergeCell ref="A16:B16"/>
    <mergeCell ref="C16:F16"/>
    <mergeCell ref="G16:L16"/>
    <mergeCell ref="M16:O16"/>
    <mergeCell ref="P16:R16"/>
    <mergeCell ref="A17:B17"/>
    <mergeCell ref="C17:F17"/>
    <mergeCell ref="G17:L17"/>
    <mergeCell ref="M17:O17"/>
    <mergeCell ref="P17:R17"/>
    <mergeCell ref="A12:R12"/>
    <mergeCell ref="A14:B14"/>
    <mergeCell ref="C14:F14"/>
    <mergeCell ref="G14:L14"/>
    <mergeCell ref="M14:O14"/>
    <mergeCell ref="P14:R14"/>
    <mergeCell ref="A15:B15"/>
    <mergeCell ref="C15:F15"/>
    <mergeCell ref="G15:L15"/>
    <mergeCell ref="M15:O15"/>
    <mergeCell ref="P15:R15"/>
    <mergeCell ref="A11:R11"/>
    <mergeCell ref="A1:R2"/>
    <mergeCell ref="A3:R3"/>
    <mergeCell ref="A4:C4"/>
    <mergeCell ref="D4:H4"/>
    <mergeCell ref="I4:K4"/>
    <mergeCell ref="L4:R4"/>
    <mergeCell ref="A8:R8"/>
    <mergeCell ref="A9:R9"/>
    <mergeCell ref="A10:R10"/>
    <mergeCell ref="V8:X8"/>
    <mergeCell ref="V9:X9"/>
    <mergeCell ref="V10:X10"/>
    <mergeCell ref="A5:C5"/>
    <mergeCell ref="D5:R5"/>
    <mergeCell ref="A6:C6"/>
    <mergeCell ref="D6:H6"/>
    <mergeCell ref="I6:K6"/>
    <mergeCell ref="L6:M6"/>
    <mergeCell ref="N6:R6"/>
  </mergeCells>
  <phoneticPr fontId="4" type="noConversion"/>
  <pageMargins left="0.78740157480314965" right="0.19685039370078741" top="0.59055118110236227" bottom="0.19685039370078741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B4D4-CC03-429C-9691-0F481D05D47E}">
  <sheetPr codeName="Sheet11">
    <tabColor rgb="FFFF0000"/>
    <pageSetUpPr fitToPage="1"/>
  </sheetPr>
  <dimension ref="A1:AZ155"/>
  <sheetViews>
    <sheetView showGridLines="0" showZeros="0" tabSelected="1" view="pageBreakPreview" zoomScale="80" zoomScaleNormal="80" zoomScaleSheetLayoutView="80" workbookViewId="0">
      <pane xSplit="2" ySplit="6" topLeftCell="C7" activePane="bottomRight" state="frozen"/>
      <selection activeCell="R23" sqref="R23"/>
      <selection pane="topRight" activeCell="R23" sqref="R23"/>
      <selection pane="bottomLeft" activeCell="R23" sqref="R23"/>
      <selection pane="bottomRight" sqref="A1:AZ1"/>
    </sheetView>
  </sheetViews>
  <sheetFormatPr defaultColWidth="9" defaultRowHeight="16.5"/>
  <cols>
    <col min="1" max="1" width="4.625" style="1" customWidth="1"/>
    <col min="2" max="2" width="12.625" style="1" customWidth="1"/>
    <col min="3" max="6" width="4.625" style="1" customWidth="1"/>
    <col min="7" max="9" width="5.625" style="1" customWidth="1"/>
    <col min="10" max="30" width="4.125" style="1" customWidth="1"/>
    <col min="31" max="32" width="5.125" style="1" customWidth="1"/>
    <col min="33" max="33" width="9.625" style="1" customWidth="1"/>
    <col min="34" max="36" width="4.625" style="1" customWidth="1"/>
    <col min="37" max="48" width="4.375" style="1" customWidth="1"/>
    <col min="49" max="51" width="4.625" style="1" customWidth="1"/>
    <col min="52" max="52" width="12.625" style="1" customWidth="1"/>
    <col min="53" max="138" width="4.625" style="1" customWidth="1"/>
    <col min="139" max="16384" width="9" style="1"/>
  </cols>
  <sheetData>
    <row r="1" spans="1:52" ht="39.950000000000003" customHeight="1">
      <c r="A1" s="413" t="s">
        <v>37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  <c r="AK1" s="413"/>
      <c r="AL1" s="413"/>
      <c r="AM1" s="413"/>
      <c r="AN1" s="413"/>
      <c r="AO1" s="413"/>
      <c r="AP1" s="413"/>
      <c r="AQ1" s="413"/>
      <c r="AR1" s="413"/>
      <c r="AS1" s="413"/>
      <c r="AT1" s="413"/>
      <c r="AU1" s="413"/>
      <c r="AV1" s="413"/>
      <c r="AW1" s="413"/>
      <c r="AX1" s="413"/>
      <c r="AY1" s="413"/>
      <c r="AZ1" s="413"/>
    </row>
    <row r="2" spans="1:52" ht="27.95" customHeight="1">
      <c r="A2" s="414" t="s">
        <v>174</v>
      </c>
      <c r="B2" s="415"/>
      <c r="C2" s="416" t="s">
        <v>361</v>
      </c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7"/>
      <c r="O2" s="418" t="s">
        <v>33</v>
      </c>
      <c r="P2" s="419"/>
      <c r="Q2" s="419"/>
      <c r="R2" s="419"/>
      <c r="S2" s="419"/>
      <c r="T2" s="419"/>
      <c r="U2" s="420"/>
      <c r="V2" s="15"/>
      <c r="W2" s="16"/>
      <c r="X2" s="16"/>
      <c r="Y2" s="421">
        <v>2026</v>
      </c>
      <c r="Z2" s="421"/>
      <c r="AA2" s="421"/>
      <c r="AB2" s="421"/>
      <c r="AC2" s="423">
        <v>4</v>
      </c>
      <c r="AD2" s="423"/>
      <c r="AE2" s="423"/>
      <c r="AF2" s="425"/>
      <c r="AG2" s="17"/>
      <c r="AH2" s="427" t="s">
        <v>25</v>
      </c>
      <c r="AI2" s="428"/>
      <c r="AJ2" s="429"/>
      <c r="AK2" s="430" t="s">
        <v>362</v>
      </c>
      <c r="AL2" s="431"/>
      <c r="AM2" s="431"/>
      <c r="AN2" s="432" t="s">
        <v>26</v>
      </c>
      <c r="AO2" s="433"/>
      <c r="AP2" s="434"/>
      <c r="AQ2" s="433" t="s">
        <v>27</v>
      </c>
      <c r="AR2" s="433"/>
      <c r="AS2" s="452"/>
      <c r="AT2" s="453" t="s">
        <v>35</v>
      </c>
      <c r="AU2" s="433"/>
      <c r="AV2" s="452"/>
      <c r="AW2" s="454" t="s">
        <v>28</v>
      </c>
      <c r="AX2" s="455"/>
      <c r="AY2" s="455"/>
      <c r="AZ2" s="456"/>
    </row>
    <row r="3" spans="1:52" ht="27.95" customHeight="1">
      <c r="A3" s="457" t="s">
        <v>173</v>
      </c>
      <c r="B3" s="458"/>
      <c r="C3" s="459" t="s">
        <v>363</v>
      </c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60"/>
      <c r="O3" s="461">
        <v>46113</v>
      </c>
      <c r="P3" s="462"/>
      <c r="Q3" s="462"/>
      <c r="R3" s="14" t="s">
        <v>47</v>
      </c>
      <c r="S3" s="461">
        <v>46142</v>
      </c>
      <c r="T3" s="462"/>
      <c r="U3" s="463"/>
      <c r="V3" s="18"/>
      <c r="W3" s="19"/>
      <c r="X3" s="19"/>
      <c r="Y3" s="422"/>
      <c r="Z3" s="422"/>
      <c r="AA3" s="422"/>
      <c r="AB3" s="422"/>
      <c r="AC3" s="424"/>
      <c r="AD3" s="424"/>
      <c r="AE3" s="424"/>
      <c r="AF3" s="426"/>
      <c r="AG3" s="20"/>
      <c r="AH3" s="439">
        <v>33425000</v>
      </c>
      <c r="AI3" s="436"/>
      <c r="AJ3" s="438"/>
      <c r="AK3" s="439">
        <v>262930</v>
      </c>
      <c r="AL3" s="436"/>
      <c r="AM3" s="436"/>
      <c r="AN3" s="435">
        <v>1198200</v>
      </c>
      <c r="AO3" s="436"/>
      <c r="AP3" s="437"/>
      <c r="AQ3" s="436">
        <v>574560</v>
      </c>
      <c r="AR3" s="436"/>
      <c r="AS3" s="438"/>
      <c r="AT3" s="439">
        <v>2035690</v>
      </c>
      <c r="AU3" s="436"/>
      <c r="AV3" s="438"/>
      <c r="AW3" s="440">
        <v>31389310</v>
      </c>
      <c r="AX3" s="441"/>
      <c r="AY3" s="441"/>
      <c r="AZ3" s="442"/>
    </row>
    <row r="4" spans="1:52" ht="9.9499999999999993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"/>
    </row>
    <row r="5" spans="1:52" ht="24.95" customHeight="1">
      <c r="A5" s="443" t="s">
        <v>2</v>
      </c>
      <c r="B5" s="444" t="s">
        <v>3</v>
      </c>
      <c r="C5" s="446" t="s">
        <v>14</v>
      </c>
      <c r="D5" s="447"/>
      <c r="E5" s="447"/>
      <c r="F5" s="448"/>
      <c r="G5" s="449" t="s">
        <v>29</v>
      </c>
      <c r="H5" s="449"/>
      <c r="I5" s="449"/>
      <c r="J5" s="449"/>
      <c r="K5" s="449"/>
      <c r="L5" s="449"/>
      <c r="M5" s="449"/>
      <c r="N5" s="450"/>
      <c r="O5" s="215">
        <v>46113</v>
      </c>
      <c r="P5" s="216">
        <v>46114</v>
      </c>
      <c r="Q5" s="216">
        <v>46115</v>
      </c>
      <c r="R5" s="216">
        <v>46116</v>
      </c>
      <c r="S5" s="217">
        <v>46117</v>
      </c>
      <c r="T5" s="218">
        <v>46118</v>
      </c>
      <c r="U5" s="216">
        <v>46119</v>
      </c>
      <c r="V5" s="216">
        <v>46120</v>
      </c>
      <c r="W5" s="216">
        <v>46121</v>
      </c>
      <c r="X5" s="217">
        <v>46122</v>
      </c>
      <c r="Y5" s="218">
        <v>46123</v>
      </c>
      <c r="Z5" s="216">
        <v>46124</v>
      </c>
      <c r="AA5" s="216">
        <v>46125</v>
      </c>
      <c r="AB5" s="216">
        <v>46126</v>
      </c>
      <c r="AC5" s="216">
        <v>46127</v>
      </c>
      <c r="AD5" s="219"/>
      <c r="AE5" s="451" t="s">
        <v>4</v>
      </c>
      <c r="AF5" s="451"/>
      <c r="AG5" s="475" t="s">
        <v>34</v>
      </c>
      <c r="AH5" s="470" t="s">
        <v>5</v>
      </c>
      <c r="AI5" s="470"/>
      <c r="AJ5" s="470"/>
      <c r="AK5" s="477" t="s">
        <v>38</v>
      </c>
      <c r="AL5" s="477"/>
      <c r="AM5" s="478"/>
      <c r="AN5" s="479" t="s">
        <v>6</v>
      </c>
      <c r="AO5" s="479"/>
      <c r="AP5" s="479"/>
      <c r="AQ5" s="479" t="s">
        <v>7</v>
      </c>
      <c r="AR5" s="479"/>
      <c r="AS5" s="480"/>
      <c r="AT5" s="451" t="s">
        <v>8</v>
      </c>
      <c r="AU5" s="451"/>
      <c r="AV5" s="451"/>
      <c r="AW5" s="470" t="s">
        <v>9</v>
      </c>
      <c r="AX5" s="470"/>
      <c r="AY5" s="470"/>
      <c r="AZ5" s="464" t="s">
        <v>36</v>
      </c>
    </row>
    <row r="6" spans="1:52" ht="24.95" customHeight="1">
      <c r="A6" s="443"/>
      <c r="B6" s="445"/>
      <c r="C6" s="427" t="s">
        <v>32</v>
      </c>
      <c r="D6" s="428"/>
      <c r="E6" s="428"/>
      <c r="F6" s="466"/>
      <c r="G6" s="467" t="s">
        <v>30</v>
      </c>
      <c r="H6" s="467"/>
      <c r="I6" s="468"/>
      <c r="J6" s="467" t="s">
        <v>31</v>
      </c>
      <c r="K6" s="467"/>
      <c r="L6" s="467"/>
      <c r="M6" s="467"/>
      <c r="N6" s="469"/>
      <c r="O6" s="220">
        <v>46128</v>
      </c>
      <c r="P6" s="221">
        <v>46129</v>
      </c>
      <c r="Q6" s="221">
        <v>46130</v>
      </c>
      <c r="R6" s="221">
        <v>46131</v>
      </c>
      <c r="S6" s="222">
        <v>46132</v>
      </c>
      <c r="T6" s="223">
        <v>46133</v>
      </c>
      <c r="U6" s="221">
        <v>46134</v>
      </c>
      <c r="V6" s="221">
        <v>46135</v>
      </c>
      <c r="W6" s="221">
        <v>46136</v>
      </c>
      <c r="X6" s="222">
        <v>46137</v>
      </c>
      <c r="Y6" s="223">
        <v>46138</v>
      </c>
      <c r="Z6" s="221">
        <v>46139</v>
      </c>
      <c r="AA6" s="221">
        <v>46140</v>
      </c>
      <c r="AB6" s="221">
        <v>46141</v>
      </c>
      <c r="AC6" s="221">
        <v>46142</v>
      </c>
      <c r="AD6" s="221" t="s">
        <v>15</v>
      </c>
      <c r="AE6" s="470" t="s">
        <v>10</v>
      </c>
      <c r="AF6" s="470"/>
      <c r="AG6" s="476"/>
      <c r="AH6" s="470"/>
      <c r="AI6" s="470"/>
      <c r="AJ6" s="470"/>
      <c r="AK6" s="471" t="s">
        <v>39</v>
      </c>
      <c r="AL6" s="471"/>
      <c r="AM6" s="472"/>
      <c r="AN6" s="473" t="s">
        <v>11</v>
      </c>
      <c r="AO6" s="473"/>
      <c r="AP6" s="473"/>
      <c r="AQ6" s="473" t="s">
        <v>12</v>
      </c>
      <c r="AR6" s="473"/>
      <c r="AS6" s="474"/>
      <c r="AT6" s="470" t="s">
        <v>13</v>
      </c>
      <c r="AU6" s="470"/>
      <c r="AV6" s="470"/>
      <c r="AW6" s="470"/>
      <c r="AX6" s="470"/>
      <c r="AY6" s="470"/>
      <c r="AZ6" s="465"/>
    </row>
    <row r="7" spans="1:52" ht="20.100000000000001" customHeight="1">
      <c r="A7" s="481">
        <v>1</v>
      </c>
      <c r="B7" s="58" t="s">
        <v>335</v>
      </c>
      <c r="C7" s="483" t="s">
        <v>310</v>
      </c>
      <c r="D7" s="483"/>
      <c r="E7" s="483"/>
      <c r="F7" s="484"/>
      <c r="G7" s="485" t="s">
        <v>299</v>
      </c>
      <c r="H7" s="486"/>
      <c r="I7" s="486"/>
      <c r="J7" s="486"/>
      <c r="K7" s="486"/>
      <c r="L7" s="486"/>
      <c r="M7" s="486"/>
      <c r="N7" s="487"/>
      <c r="O7" s="226"/>
      <c r="P7" s="227"/>
      <c r="Q7" s="227"/>
      <c r="R7" s="227"/>
      <c r="S7" s="235"/>
      <c r="T7" s="226">
        <v>1</v>
      </c>
      <c r="U7" s="227">
        <v>1</v>
      </c>
      <c r="V7" s="227">
        <v>1</v>
      </c>
      <c r="W7" s="227">
        <v>0.5</v>
      </c>
      <c r="X7" s="228">
        <v>1</v>
      </c>
      <c r="Y7" s="229">
        <v>1</v>
      </c>
      <c r="Z7" s="224">
        <v>1</v>
      </c>
      <c r="AA7" s="227">
        <v>1</v>
      </c>
      <c r="AB7" s="227">
        <v>1</v>
      </c>
      <c r="AC7" s="227">
        <v>1</v>
      </c>
      <c r="AD7" s="230"/>
      <c r="AE7" s="488">
        <v>22</v>
      </c>
      <c r="AF7" s="489"/>
      <c r="AG7" s="490">
        <v>250000</v>
      </c>
      <c r="AH7" s="492">
        <v>5375000</v>
      </c>
      <c r="AI7" s="493"/>
      <c r="AJ7" s="494"/>
      <c r="AK7" s="498">
        <v>56700</v>
      </c>
      <c r="AL7" s="499"/>
      <c r="AM7" s="499"/>
      <c r="AN7" s="499">
        <v>193230</v>
      </c>
      <c r="AO7" s="499"/>
      <c r="AP7" s="499"/>
      <c r="AQ7" s="512" t="s">
        <v>364</v>
      </c>
      <c r="AR7" s="513"/>
      <c r="AS7" s="513"/>
      <c r="AT7" s="514">
        <v>329360</v>
      </c>
      <c r="AU7" s="515"/>
      <c r="AV7" s="516"/>
      <c r="AW7" s="517">
        <v>5045640</v>
      </c>
      <c r="AX7" s="518"/>
      <c r="AY7" s="519"/>
      <c r="AZ7" s="523" t="s">
        <v>297</v>
      </c>
    </row>
    <row r="8" spans="1:52" ht="20.100000000000001" customHeight="1">
      <c r="A8" s="482"/>
      <c r="B8" s="59" t="s">
        <v>53</v>
      </c>
      <c r="C8" s="500" t="s">
        <v>302</v>
      </c>
      <c r="D8" s="500"/>
      <c r="E8" s="500"/>
      <c r="F8" s="501"/>
      <c r="G8" s="502" t="s">
        <v>50</v>
      </c>
      <c r="H8" s="503"/>
      <c r="I8" s="504"/>
      <c r="J8" s="502" t="s">
        <v>318</v>
      </c>
      <c r="K8" s="503"/>
      <c r="L8" s="503"/>
      <c r="M8" s="503"/>
      <c r="N8" s="505"/>
      <c r="O8" s="231">
        <v>1</v>
      </c>
      <c r="P8" s="232">
        <v>1</v>
      </c>
      <c r="Q8" s="232">
        <v>1</v>
      </c>
      <c r="R8" s="225"/>
      <c r="S8" s="233">
        <v>1</v>
      </c>
      <c r="T8" s="231">
        <v>1</v>
      </c>
      <c r="U8" s="232">
        <v>1</v>
      </c>
      <c r="V8" s="232">
        <v>1</v>
      </c>
      <c r="W8" s="232">
        <v>1</v>
      </c>
      <c r="X8" s="234">
        <v>1</v>
      </c>
      <c r="Y8" s="236"/>
      <c r="Z8" s="232">
        <v>1</v>
      </c>
      <c r="AA8" s="232"/>
      <c r="AB8" s="232">
        <v>1</v>
      </c>
      <c r="AC8" s="232">
        <v>1</v>
      </c>
      <c r="AD8" s="234"/>
      <c r="AE8" s="506">
        <v>21.5</v>
      </c>
      <c r="AF8" s="507"/>
      <c r="AG8" s="491"/>
      <c r="AH8" s="495"/>
      <c r="AI8" s="496"/>
      <c r="AJ8" s="497"/>
      <c r="AK8" s="508">
        <v>5670</v>
      </c>
      <c r="AL8" s="509"/>
      <c r="AM8" s="509"/>
      <c r="AN8" s="509">
        <v>25390</v>
      </c>
      <c r="AO8" s="509"/>
      <c r="AP8" s="509"/>
      <c r="AQ8" s="510">
        <v>48370</v>
      </c>
      <c r="AR8" s="511"/>
      <c r="AS8" s="511"/>
      <c r="AT8" s="525"/>
      <c r="AU8" s="526"/>
      <c r="AV8" s="527"/>
      <c r="AW8" s="520"/>
      <c r="AX8" s="521"/>
      <c r="AY8" s="522"/>
      <c r="AZ8" s="524"/>
    </row>
    <row r="9" spans="1:52" ht="20.100000000000001" customHeight="1">
      <c r="A9" s="481">
        <v>2</v>
      </c>
      <c r="B9" s="58" t="s">
        <v>336</v>
      </c>
      <c r="C9" s="483" t="s">
        <v>311</v>
      </c>
      <c r="D9" s="483"/>
      <c r="E9" s="483"/>
      <c r="F9" s="484"/>
      <c r="G9" s="485" t="s">
        <v>300</v>
      </c>
      <c r="H9" s="486"/>
      <c r="I9" s="486"/>
      <c r="J9" s="486"/>
      <c r="K9" s="486"/>
      <c r="L9" s="486"/>
      <c r="M9" s="486"/>
      <c r="N9" s="487"/>
      <c r="O9" s="226"/>
      <c r="P9" s="227"/>
      <c r="Q9" s="227"/>
      <c r="R9" s="227"/>
      <c r="S9" s="235"/>
      <c r="T9" s="226">
        <v>1</v>
      </c>
      <c r="U9" s="227">
        <v>1</v>
      </c>
      <c r="V9" s="227">
        <v>1</v>
      </c>
      <c r="W9" s="227"/>
      <c r="X9" s="228"/>
      <c r="Y9" s="229">
        <v>1</v>
      </c>
      <c r="Z9" s="224">
        <v>1</v>
      </c>
      <c r="AA9" s="227">
        <v>1</v>
      </c>
      <c r="AB9" s="227">
        <v>1</v>
      </c>
      <c r="AC9" s="227">
        <v>1</v>
      </c>
      <c r="AD9" s="230"/>
      <c r="AE9" s="488">
        <v>18</v>
      </c>
      <c r="AF9" s="489"/>
      <c r="AG9" s="490">
        <v>200000</v>
      </c>
      <c r="AH9" s="492">
        <v>3600000</v>
      </c>
      <c r="AI9" s="493"/>
      <c r="AJ9" s="494"/>
      <c r="AK9" s="498">
        <v>24300</v>
      </c>
      <c r="AL9" s="499"/>
      <c r="AM9" s="499"/>
      <c r="AN9" s="499">
        <v>129420</v>
      </c>
      <c r="AO9" s="499"/>
      <c r="AP9" s="499"/>
      <c r="AQ9" s="512" t="s">
        <v>364</v>
      </c>
      <c r="AR9" s="530"/>
      <c r="AS9" s="531"/>
      <c r="AT9" s="514">
        <v>205550</v>
      </c>
      <c r="AU9" s="515"/>
      <c r="AV9" s="516"/>
      <c r="AW9" s="517">
        <v>3394450</v>
      </c>
      <c r="AX9" s="518"/>
      <c r="AY9" s="519"/>
      <c r="AZ9" s="523" t="s">
        <v>342</v>
      </c>
    </row>
    <row r="10" spans="1:52" ht="20.100000000000001" customHeight="1">
      <c r="A10" s="482"/>
      <c r="B10" s="59" t="s">
        <v>54</v>
      </c>
      <c r="C10" s="500" t="s">
        <v>303</v>
      </c>
      <c r="D10" s="500"/>
      <c r="E10" s="500"/>
      <c r="F10" s="501"/>
      <c r="G10" s="502" t="s">
        <v>50</v>
      </c>
      <c r="H10" s="503"/>
      <c r="I10" s="504"/>
      <c r="J10" s="502" t="s">
        <v>319</v>
      </c>
      <c r="K10" s="503"/>
      <c r="L10" s="503"/>
      <c r="M10" s="503"/>
      <c r="N10" s="505"/>
      <c r="O10" s="231">
        <v>1</v>
      </c>
      <c r="P10" s="232">
        <v>1</v>
      </c>
      <c r="Q10" s="232">
        <v>1</v>
      </c>
      <c r="R10" s="225"/>
      <c r="S10" s="233">
        <v>1</v>
      </c>
      <c r="T10" s="231">
        <v>1</v>
      </c>
      <c r="U10" s="232">
        <v>1</v>
      </c>
      <c r="V10" s="232">
        <v>1</v>
      </c>
      <c r="W10" s="232">
        <v>1</v>
      </c>
      <c r="X10" s="234">
        <v>1</v>
      </c>
      <c r="Y10" s="236"/>
      <c r="Z10" s="232"/>
      <c r="AA10" s="232"/>
      <c r="AB10" s="232"/>
      <c r="AC10" s="232">
        <v>1</v>
      </c>
      <c r="AD10" s="234"/>
      <c r="AE10" s="528">
        <v>18</v>
      </c>
      <c r="AF10" s="529"/>
      <c r="AG10" s="491"/>
      <c r="AH10" s="495"/>
      <c r="AI10" s="496"/>
      <c r="AJ10" s="497"/>
      <c r="AK10" s="508">
        <v>2430</v>
      </c>
      <c r="AL10" s="509"/>
      <c r="AM10" s="509"/>
      <c r="AN10" s="509">
        <v>17000</v>
      </c>
      <c r="AO10" s="509"/>
      <c r="AP10" s="509"/>
      <c r="AQ10" s="510">
        <v>32400</v>
      </c>
      <c r="AR10" s="511"/>
      <c r="AS10" s="511"/>
      <c r="AT10" s="525"/>
      <c r="AU10" s="526"/>
      <c r="AV10" s="527"/>
      <c r="AW10" s="520"/>
      <c r="AX10" s="521"/>
      <c r="AY10" s="522"/>
      <c r="AZ10" s="524"/>
    </row>
    <row r="11" spans="1:52" ht="20.100000000000001" customHeight="1">
      <c r="A11" s="481">
        <v>3</v>
      </c>
      <c r="B11" s="58" t="s">
        <v>337</v>
      </c>
      <c r="C11" s="483" t="s">
        <v>312</v>
      </c>
      <c r="D11" s="483"/>
      <c r="E11" s="483"/>
      <c r="F11" s="484"/>
      <c r="G11" s="485" t="s">
        <v>301</v>
      </c>
      <c r="H11" s="486"/>
      <c r="I11" s="486"/>
      <c r="J11" s="486"/>
      <c r="K11" s="486"/>
      <c r="L11" s="486"/>
      <c r="M11" s="486"/>
      <c r="N11" s="487"/>
      <c r="O11" s="226"/>
      <c r="P11" s="227"/>
      <c r="Q11" s="227"/>
      <c r="R11" s="227"/>
      <c r="S11" s="235"/>
      <c r="T11" s="226">
        <v>1</v>
      </c>
      <c r="U11" s="227">
        <v>1</v>
      </c>
      <c r="V11" s="227">
        <v>1</v>
      </c>
      <c r="W11" s="227">
        <v>0.5</v>
      </c>
      <c r="X11" s="228">
        <v>1</v>
      </c>
      <c r="Y11" s="229">
        <v>1</v>
      </c>
      <c r="Z11" s="224">
        <v>1</v>
      </c>
      <c r="AA11" s="227">
        <v>1</v>
      </c>
      <c r="AB11" s="227">
        <v>1</v>
      </c>
      <c r="AC11" s="227">
        <v>1</v>
      </c>
      <c r="AD11" s="230"/>
      <c r="AE11" s="488">
        <v>22</v>
      </c>
      <c r="AF11" s="489"/>
      <c r="AG11" s="490">
        <v>190000</v>
      </c>
      <c r="AH11" s="492">
        <v>4085000</v>
      </c>
      <c r="AI11" s="493"/>
      <c r="AJ11" s="494"/>
      <c r="AK11" s="498">
        <v>22680</v>
      </c>
      <c r="AL11" s="499"/>
      <c r="AM11" s="499"/>
      <c r="AN11" s="499">
        <v>146850</v>
      </c>
      <c r="AO11" s="499"/>
      <c r="AP11" s="499"/>
      <c r="AQ11" s="532">
        <v>194030</v>
      </c>
      <c r="AR11" s="513"/>
      <c r="AS11" s="533"/>
      <c r="AT11" s="514">
        <v>421870</v>
      </c>
      <c r="AU11" s="515"/>
      <c r="AV11" s="516"/>
      <c r="AW11" s="517">
        <v>3663130</v>
      </c>
      <c r="AX11" s="518"/>
      <c r="AY11" s="519"/>
      <c r="AZ11" s="523" t="s">
        <v>298</v>
      </c>
    </row>
    <row r="12" spans="1:52" ht="20.100000000000001" customHeight="1">
      <c r="A12" s="482"/>
      <c r="B12" s="59" t="s">
        <v>54</v>
      </c>
      <c r="C12" s="500" t="s">
        <v>304</v>
      </c>
      <c r="D12" s="500"/>
      <c r="E12" s="500"/>
      <c r="F12" s="501"/>
      <c r="G12" s="502" t="s">
        <v>48</v>
      </c>
      <c r="H12" s="503"/>
      <c r="I12" s="504"/>
      <c r="J12" s="502" t="s">
        <v>320</v>
      </c>
      <c r="K12" s="503"/>
      <c r="L12" s="503"/>
      <c r="M12" s="503"/>
      <c r="N12" s="505"/>
      <c r="O12" s="231">
        <v>1</v>
      </c>
      <c r="P12" s="232">
        <v>1</v>
      </c>
      <c r="Q12" s="232">
        <v>1</v>
      </c>
      <c r="R12" s="225"/>
      <c r="S12" s="233">
        <v>1</v>
      </c>
      <c r="T12" s="231">
        <v>1</v>
      </c>
      <c r="U12" s="232">
        <v>1</v>
      </c>
      <c r="V12" s="232">
        <v>1</v>
      </c>
      <c r="W12" s="232">
        <v>1</v>
      </c>
      <c r="X12" s="234">
        <v>1</v>
      </c>
      <c r="Y12" s="236"/>
      <c r="Z12" s="232">
        <v>1</v>
      </c>
      <c r="AA12" s="232"/>
      <c r="AB12" s="232">
        <v>1</v>
      </c>
      <c r="AC12" s="232">
        <v>1</v>
      </c>
      <c r="AD12" s="234"/>
      <c r="AE12" s="528">
        <v>21.5</v>
      </c>
      <c r="AF12" s="529"/>
      <c r="AG12" s="491"/>
      <c r="AH12" s="495"/>
      <c r="AI12" s="496"/>
      <c r="AJ12" s="497"/>
      <c r="AK12" s="508">
        <v>2260</v>
      </c>
      <c r="AL12" s="509"/>
      <c r="AM12" s="509"/>
      <c r="AN12" s="509">
        <v>19290</v>
      </c>
      <c r="AO12" s="509"/>
      <c r="AP12" s="509"/>
      <c r="AQ12" s="510">
        <v>36760</v>
      </c>
      <c r="AR12" s="511"/>
      <c r="AS12" s="511"/>
      <c r="AT12" s="525"/>
      <c r="AU12" s="526"/>
      <c r="AV12" s="527"/>
      <c r="AW12" s="520"/>
      <c r="AX12" s="521"/>
      <c r="AY12" s="522"/>
      <c r="AZ12" s="524"/>
    </row>
    <row r="13" spans="1:52" ht="20.100000000000001" customHeight="1">
      <c r="A13" s="481">
        <v>4</v>
      </c>
      <c r="B13" s="58" t="s">
        <v>338</v>
      </c>
      <c r="C13" s="483" t="s">
        <v>321</v>
      </c>
      <c r="D13" s="483"/>
      <c r="E13" s="483"/>
      <c r="F13" s="484"/>
      <c r="G13" s="485" t="s">
        <v>306</v>
      </c>
      <c r="H13" s="486"/>
      <c r="I13" s="486"/>
      <c r="J13" s="486"/>
      <c r="K13" s="486"/>
      <c r="L13" s="486"/>
      <c r="M13" s="486"/>
      <c r="N13" s="487"/>
      <c r="O13" s="226"/>
      <c r="P13" s="227"/>
      <c r="Q13" s="227"/>
      <c r="R13" s="227"/>
      <c r="S13" s="235"/>
      <c r="T13" s="226">
        <v>1</v>
      </c>
      <c r="U13" s="227">
        <v>1</v>
      </c>
      <c r="V13" s="227">
        <v>1</v>
      </c>
      <c r="W13" s="227">
        <v>0.5</v>
      </c>
      <c r="X13" s="228">
        <v>1</v>
      </c>
      <c r="Y13" s="229">
        <v>1</v>
      </c>
      <c r="Z13" s="224">
        <v>1</v>
      </c>
      <c r="AA13" s="227">
        <v>1</v>
      </c>
      <c r="AB13" s="227">
        <v>1</v>
      </c>
      <c r="AC13" s="227">
        <v>1</v>
      </c>
      <c r="AD13" s="230"/>
      <c r="AE13" s="488">
        <v>22</v>
      </c>
      <c r="AF13" s="489"/>
      <c r="AG13" s="490">
        <v>190000</v>
      </c>
      <c r="AH13" s="492">
        <v>4085000</v>
      </c>
      <c r="AI13" s="493"/>
      <c r="AJ13" s="494"/>
      <c r="AK13" s="498">
        <v>22680</v>
      </c>
      <c r="AL13" s="499"/>
      <c r="AM13" s="499"/>
      <c r="AN13" s="499">
        <v>146850</v>
      </c>
      <c r="AO13" s="499"/>
      <c r="AP13" s="499"/>
      <c r="AQ13" s="532" t="s">
        <v>364</v>
      </c>
      <c r="AR13" s="513"/>
      <c r="AS13" s="533"/>
      <c r="AT13" s="514">
        <v>227840</v>
      </c>
      <c r="AU13" s="515"/>
      <c r="AV13" s="516"/>
      <c r="AW13" s="517">
        <v>3857160</v>
      </c>
      <c r="AX13" s="518"/>
      <c r="AY13" s="519"/>
      <c r="AZ13" s="523" t="s">
        <v>305</v>
      </c>
    </row>
    <row r="14" spans="1:52" ht="20.100000000000001" customHeight="1">
      <c r="A14" s="482"/>
      <c r="B14" s="59" t="s">
        <v>54</v>
      </c>
      <c r="C14" s="500" t="s">
        <v>307</v>
      </c>
      <c r="D14" s="500"/>
      <c r="E14" s="500"/>
      <c r="F14" s="501"/>
      <c r="G14" s="502" t="s">
        <v>50</v>
      </c>
      <c r="H14" s="503"/>
      <c r="I14" s="504"/>
      <c r="J14" s="502" t="s">
        <v>308</v>
      </c>
      <c r="K14" s="503"/>
      <c r="L14" s="503"/>
      <c r="M14" s="503"/>
      <c r="N14" s="505"/>
      <c r="O14" s="231">
        <v>1</v>
      </c>
      <c r="P14" s="232">
        <v>1</v>
      </c>
      <c r="Q14" s="232">
        <v>1</v>
      </c>
      <c r="R14" s="225"/>
      <c r="S14" s="233">
        <v>1</v>
      </c>
      <c r="T14" s="231">
        <v>1</v>
      </c>
      <c r="U14" s="232">
        <v>1</v>
      </c>
      <c r="V14" s="232">
        <v>1</v>
      </c>
      <c r="W14" s="232">
        <v>1</v>
      </c>
      <c r="X14" s="234">
        <v>1</v>
      </c>
      <c r="Y14" s="236"/>
      <c r="Z14" s="232">
        <v>1</v>
      </c>
      <c r="AA14" s="232"/>
      <c r="AB14" s="232">
        <v>1</v>
      </c>
      <c r="AC14" s="232">
        <v>1</v>
      </c>
      <c r="AD14" s="234"/>
      <c r="AE14" s="528">
        <v>21.5</v>
      </c>
      <c r="AF14" s="529"/>
      <c r="AG14" s="491"/>
      <c r="AH14" s="495"/>
      <c r="AI14" s="496"/>
      <c r="AJ14" s="497"/>
      <c r="AK14" s="508">
        <v>2260</v>
      </c>
      <c r="AL14" s="509"/>
      <c r="AM14" s="509"/>
      <c r="AN14" s="509">
        <v>19290</v>
      </c>
      <c r="AO14" s="509"/>
      <c r="AP14" s="509"/>
      <c r="AQ14" s="510">
        <v>36760</v>
      </c>
      <c r="AR14" s="511"/>
      <c r="AS14" s="511"/>
      <c r="AT14" s="525"/>
      <c r="AU14" s="526"/>
      <c r="AV14" s="527"/>
      <c r="AW14" s="520"/>
      <c r="AX14" s="521"/>
      <c r="AY14" s="522"/>
      <c r="AZ14" s="524"/>
    </row>
    <row r="15" spans="1:52" ht="20.100000000000001" customHeight="1">
      <c r="A15" s="481">
        <v>5</v>
      </c>
      <c r="B15" s="58" t="s">
        <v>339</v>
      </c>
      <c r="C15" s="483" t="s">
        <v>314</v>
      </c>
      <c r="D15" s="483"/>
      <c r="E15" s="483"/>
      <c r="F15" s="484"/>
      <c r="G15" s="485" t="s">
        <v>315</v>
      </c>
      <c r="H15" s="486"/>
      <c r="I15" s="486"/>
      <c r="J15" s="486"/>
      <c r="K15" s="486"/>
      <c r="L15" s="486"/>
      <c r="M15" s="486"/>
      <c r="N15" s="487"/>
      <c r="O15" s="226"/>
      <c r="P15" s="227"/>
      <c r="Q15" s="227"/>
      <c r="R15" s="227"/>
      <c r="S15" s="235"/>
      <c r="T15" s="226">
        <v>1</v>
      </c>
      <c r="U15" s="227">
        <v>1</v>
      </c>
      <c r="V15" s="227">
        <v>1</v>
      </c>
      <c r="W15" s="227">
        <v>0.5</v>
      </c>
      <c r="X15" s="228">
        <v>1</v>
      </c>
      <c r="Y15" s="229">
        <v>1</v>
      </c>
      <c r="Z15" s="224">
        <v>1</v>
      </c>
      <c r="AA15" s="227">
        <v>1</v>
      </c>
      <c r="AB15" s="227">
        <v>1</v>
      </c>
      <c r="AC15" s="227">
        <v>1</v>
      </c>
      <c r="AD15" s="230"/>
      <c r="AE15" s="488">
        <v>22</v>
      </c>
      <c r="AF15" s="489"/>
      <c r="AG15" s="490">
        <v>210000</v>
      </c>
      <c r="AH15" s="492">
        <v>4515000</v>
      </c>
      <c r="AI15" s="493"/>
      <c r="AJ15" s="494"/>
      <c r="AK15" s="498">
        <v>34020</v>
      </c>
      <c r="AL15" s="499"/>
      <c r="AM15" s="499"/>
      <c r="AN15" s="499">
        <v>162310</v>
      </c>
      <c r="AO15" s="499"/>
      <c r="AP15" s="499"/>
      <c r="AQ15" s="532" t="s">
        <v>364</v>
      </c>
      <c r="AR15" s="513"/>
      <c r="AS15" s="533"/>
      <c r="AT15" s="514">
        <v>261680</v>
      </c>
      <c r="AU15" s="515"/>
      <c r="AV15" s="516"/>
      <c r="AW15" s="517">
        <v>4253320</v>
      </c>
      <c r="AX15" s="518"/>
      <c r="AY15" s="519"/>
      <c r="AZ15" s="523" t="s">
        <v>313</v>
      </c>
    </row>
    <row r="16" spans="1:52" ht="20.100000000000001" customHeight="1">
      <c r="A16" s="482"/>
      <c r="B16" s="59" t="s">
        <v>54</v>
      </c>
      <c r="C16" s="500" t="s">
        <v>316</v>
      </c>
      <c r="D16" s="500"/>
      <c r="E16" s="500"/>
      <c r="F16" s="501"/>
      <c r="G16" s="502" t="s">
        <v>52</v>
      </c>
      <c r="H16" s="503"/>
      <c r="I16" s="504"/>
      <c r="J16" s="502" t="s">
        <v>325</v>
      </c>
      <c r="K16" s="503"/>
      <c r="L16" s="503"/>
      <c r="M16" s="503"/>
      <c r="N16" s="505"/>
      <c r="O16" s="231">
        <v>1</v>
      </c>
      <c r="P16" s="232">
        <v>1</v>
      </c>
      <c r="Q16" s="232">
        <v>1</v>
      </c>
      <c r="R16" s="225"/>
      <c r="S16" s="233">
        <v>1</v>
      </c>
      <c r="T16" s="231">
        <v>1</v>
      </c>
      <c r="U16" s="232">
        <v>1</v>
      </c>
      <c r="V16" s="232">
        <v>1</v>
      </c>
      <c r="W16" s="232">
        <v>1</v>
      </c>
      <c r="X16" s="234">
        <v>1</v>
      </c>
      <c r="Y16" s="236"/>
      <c r="Z16" s="232">
        <v>1</v>
      </c>
      <c r="AA16" s="232"/>
      <c r="AB16" s="232">
        <v>1</v>
      </c>
      <c r="AC16" s="232">
        <v>1</v>
      </c>
      <c r="AD16" s="234"/>
      <c r="AE16" s="528">
        <v>21.5</v>
      </c>
      <c r="AF16" s="529"/>
      <c r="AG16" s="491"/>
      <c r="AH16" s="495"/>
      <c r="AI16" s="496"/>
      <c r="AJ16" s="497"/>
      <c r="AK16" s="508">
        <v>3400</v>
      </c>
      <c r="AL16" s="509"/>
      <c r="AM16" s="509"/>
      <c r="AN16" s="509">
        <v>21320</v>
      </c>
      <c r="AO16" s="509"/>
      <c r="AP16" s="509"/>
      <c r="AQ16" s="510">
        <v>40630</v>
      </c>
      <c r="AR16" s="511"/>
      <c r="AS16" s="511"/>
      <c r="AT16" s="525"/>
      <c r="AU16" s="526"/>
      <c r="AV16" s="527"/>
      <c r="AW16" s="520"/>
      <c r="AX16" s="521"/>
      <c r="AY16" s="522"/>
      <c r="AZ16" s="524"/>
    </row>
    <row r="17" spans="1:52" ht="20.100000000000001" customHeight="1">
      <c r="A17" s="481">
        <v>6</v>
      </c>
      <c r="B17" s="58" t="s">
        <v>340</v>
      </c>
      <c r="C17" s="483" t="s">
        <v>331</v>
      </c>
      <c r="D17" s="483"/>
      <c r="E17" s="483"/>
      <c r="F17" s="484"/>
      <c r="G17" s="485" t="s">
        <v>332</v>
      </c>
      <c r="H17" s="486"/>
      <c r="I17" s="486"/>
      <c r="J17" s="486"/>
      <c r="K17" s="486"/>
      <c r="L17" s="486"/>
      <c r="M17" s="486"/>
      <c r="N17" s="487"/>
      <c r="O17" s="226"/>
      <c r="P17" s="227"/>
      <c r="Q17" s="227"/>
      <c r="R17" s="227"/>
      <c r="S17" s="235"/>
      <c r="T17" s="226"/>
      <c r="U17" s="227"/>
      <c r="V17" s="227"/>
      <c r="W17" s="227"/>
      <c r="X17" s="228"/>
      <c r="Y17" s="229"/>
      <c r="Z17" s="224"/>
      <c r="AA17" s="227"/>
      <c r="AB17" s="227"/>
      <c r="AC17" s="227">
        <v>1</v>
      </c>
      <c r="AD17" s="230"/>
      <c r="AE17" s="488">
        <v>2</v>
      </c>
      <c r="AF17" s="489"/>
      <c r="AG17" s="490">
        <v>210000</v>
      </c>
      <c r="AH17" s="534">
        <v>420000</v>
      </c>
      <c r="AI17" s="535"/>
      <c r="AJ17" s="536"/>
      <c r="AK17" s="541">
        <v>3240</v>
      </c>
      <c r="AL17" s="513"/>
      <c r="AM17" s="498"/>
      <c r="AN17" s="532">
        <v>0</v>
      </c>
      <c r="AO17" s="513"/>
      <c r="AP17" s="498"/>
      <c r="AQ17" s="532" t="s">
        <v>364</v>
      </c>
      <c r="AR17" s="513"/>
      <c r="AS17" s="533"/>
      <c r="AT17" s="514">
        <v>3560</v>
      </c>
      <c r="AU17" s="515"/>
      <c r="AV17" s="516"/>
      <c r="AW17" s="517">
        <v>416440</v>
      </c>
      <c r="AX17" s="518"/>
      <c r="AY17" s="519"/>
      <c r="AZ17" s="523" t="s">
        <v>317</v>
      </c>
    </row>
    <row r="18" spans="1:52" ht="20.100000000000001" customHeight="1">
      <c r="A18" s="482"/>
      <c r="B18" s="59" t="s">
        <v>54</v>
      </c>
      <c r="C18" s="500" t="s">
        <v>333</v>
      </c>
      <c r="D18" s="500"/>
      <c r="E18" s="500"/>
      <c r="F18" s="501"/>
      <c r="G18" s="502" t="s">
        <v>50</v>
      </c>
      <c r="H18" s="503"/>
      <c r="I18" s="504"/>
      <c r="J18" s="502" t="s">
        <v>334</v>
      </c>
      <c r="K18" s="503"/>
      <c r="L18" s="503"/>
      <c r="M18" s="503"/>
      <c r="N18" s="505"/>
      <c r="O18" s="231">
        <v>1</v>
      </c>
      <c r="P18" s="232"/>
      <c r="Q18" s="232"/>
      <c r="R18" s="225"/>
      <c r="S18" s="233"/>
      <c r="T18" s="231"/>
      <c r="U18" s="232"/>
      <c r="V18" s="232"/>
      <c r="W18" s="232"/>
      <c r="X18" s="234"/>
      <c r="Y18" s="236"/>
      <c r="Z18" s="232"/>
      <c r="AA18" s="232"/>
      <c r="AB18" s="232"/>
      <c r="AC18" s="232"/>
      <c r="AD18" s="234"/>
      <c r="AE18" s="528">
        <v>2</v>
      </c>
      <c r="AF18" s="529"/>
      <c r="AG18" s="491"/>
      <c r="AH18" s="537"/>
      <c r="AI18" s="538"/>
      <c r="AJ18" s="539"/>
      <c r="AK18" s="540">
        <v>320</v>
      </c>
      <c r="AL18" s="511"/>
      <c r="AM18" s="508"/>
      <c r="AN18" s="509">
        <v>0</v>
      </c>
      <c r="AO18" s="509"/>
      <c r="AP18" s="509"/>
      <c r="AQ18" s="510" t="s">
        <v>365</v>
      </c>
      <c r="AR18" s="511"/>
      <c r="AS18" s="511"/>
      <c r="AT18" s="525"/>
      <c r="AU18" s="526"/>
      <c r="AV18" s="527"/>
      <c r="AW18" s="520"/>
      <c r="AX18" s="521"/>
      <c r="AY18" s="522"/>
      <c r="AZ18" s="524"/>
    </row>
    <row r="19" spans="1:52" ht="20.100000000000001" customHeight="1">
      <c r="A19" s="481">
        <v>7</v>
      </c>
      <c r="B19" s="58" t="s">
        <v>341</v>
      </c>
      <c r="C19" s="483" t="s">
        <v>327</v>
      </c>
      <c r="D19" s="483"/>
      <c r="E19" s="483"/>
      <c r="F19" s="484"/>
      <c r="G19" s="485" t="s">
        <v>328</v>
      </c>
      <c r="H19" s="486"/>
      <c r="I19" s="486"/>
      <c r="J19" s="486"/>
      <c r="K19" s="486"/>
      <c r="L19" s="486"/>
      <c r="M19" s="486"/>
      <c r="N19" s="487"/>
      <c r="O19" s="226"/>
      <c r="P19" s="227"/>
      <c r="Q19" s="227"/>
      <c r="R19" s="227"/>
      <c r="S19" s="235"/>
      <c r="T19" s="226"/>
      <c r="U19" s="227"/>
      <c r="V19" s="227"/>
      <c r="W19" s="227"/>
      <c r="X19" s="228"/>
      <c r="Y19" s="229"/>
      <c r="Z19" s="224"/>
      <c r="AA19" s="227"/>
      <c r="AB19" s="227"/>
      <c r="AC19" s="227"/>
      <c r="AD19" s="230"/>
      <c r="AE19" s="488">
        <v>1</v>
      </c>
      <c r="AF19" s="489"/>
      <c r="AG19" s="490">
        <v>195000</v>
      </c>
      <c r="AH19" s="534">
        <v>195000</v>
      </c>
      <c r="AI19" s="535"/>
      <c r="AJ19" s="536"/>
      <c r="AK19" s="541">
        <v>1210</v>
      </c>
      <c r="AL19" s="513"/>
      <c r="AM19" s="498"/>
      <c r="AN19" s="532">
        <v>0</v>
      </c>
      <c r="AO19" s="513"/>
      <c r="AP19" s="498"/>
      <c r="AQ19" s="532" t="s">
        <v>364</v>
      </c>
      <c r="AR19" s="513"/>
      <c r="AS19" s="533"/>
      <c r="AT19" s="514">
        <v>1330</v>
      </c>
      <c r="AU19" s="515"/>
      <c r="AV19" s="516"/>
      <c r="AW19" s="517">
        <v>193670</v>
      </c>
      <c r="AX19" s="518"/>
      <c r="AY19" s="519"/>
      <c r="AZ19" s="523" t="s">
        <v>326</v>
      </c>
    </row>
    <row r="20" spans="1:52" ht="20.100000000000001" customHeight="1">
      <c r="A20" s="482"/>
      <c r="B20" s="59" t="s">
        <v>54</v>
      </c>
      <c r="C20" s="500" t="s">
        <v>329</v>
      </c>
      <c r="D20" s="500"/>
      <c r="E20" s="500"/>
      <c r="F20" s="501"/>
      <c r="G20" s="502" t="s">
        <v>50</v>
      </c>
      <c r="H20" s="503"/>
      <c r="I20" s="504"/>
      <c r="J20" s="502" t="s">
        <v>330</v>
      </c>
      <c r="K20" s="503"/>
      <c r="L20" s="503"/>
      <c r="M20" s="503"/>
      <c r="N20" s="505"/>
      <c r="O20" s="231">
        <v>1</v>
      </c>
      <c r="P20" s="232"/>
      <c r="Q20" s="232"/>
      <c r="R20" s="225"/>
      <c r="S20" s="233"/>
      <c r="T20" s="231"/>
      <c r="U20" s="232"/>
      <c r="V20" s="232"/>
      <c r="W20" s="232"/>
      <c r="X20" s="234"/>
      <c r="Y20" s="236"/>
      <c r="Z20" s="232"/>
      <c r="AA20" s="232"/>
      <c r="AB20" s="232"/>
      <c r="AC20" s="232"/>
      <c r="AD20" s="234"/>
      <c r="AE20" s="528">
        <v>1</v>
      </c>
      <c r="AF20" s="529"/>
      <c r="AG20" s="491"/>
      <c r="AH20" s="537"/>
      <c r="AI20" s="538"/>
      <c r="AJ20" s="539"/>
      <c r="AK20" s="540">
        <v>120</v>
      </c>
      <c r="AL20" s="511"/>
      <c r="AM20" s="508"/>
      <c r="AN20" s="509">
        <v>0</v>
      </c>
      <c r="AO20" s="509"/>
      <c r="AP20" s="509"/>
      <c r="AQ20" s="510" t="s">
        <v>365</v>
      </c>
      <c r="AR20" s="511"/>
      <c r="AS20" s="511"/>
      <c r="AT20" s="525"/>
      <c r="AU20" s="526"/>
      <c r="AV20" s="527"/>
      <c r="AW20" s="520"/>
      <c r="AX20" s="521"/>
      <c r="AY20" s="522"/>
      <c r="AZ20" s="524"/>
    </row>
    <row r="21" spans="1:52" ht="20.100000000000001" customHeight="1">
      <c r="A21" s="481">
        <v>8</v>
      </c>
      <c r="B21" s="58" t="s">
        <v>345</v>
      </c>
      <c r="C21" s="483" t="s">
        <v>348</v>
      </c>
      <c r="D21" s="483"/>
      <c r="E21" s="483"/>
      <c r="F21" s="484"/>
      <c r="G21" s="485" t="s">
        <v>350</v>
      </c>
      <c r="H21" s="486"/>
      <c r="I21" s="486"/>
      <c r="J21" s="486"/>
      <c r="K21" s="486"/>
      <c r="L21" s="486"/>
      <c r="M21" s="486"/>
      <c r="N21" s="487"/>
      <c r="O21" s="226"/>
      <c r="P21" s="227"/>
      <c r="Q21" s="227"/>
      <c r="R21" s="227"/>
      <c r="S21" s="235"/>
      <c r="T21" s="226"/>
      <c r="U21" s="227"/>
      <c r="V21" s="227"/>
      <c r="W21" s="227"/>
      <c r="X21" s="228"/>
      <c r="Y21" s="229"/>
      <c r="Z21" s="224"/>
      <c r="AA21" s="227"/>
      <c r="AB21" s="227"/>
      <c r="AC21" s="227">
        <v>1</v>
      </c>
      <c r="AD21" s="230"/>
      <c r="AE21" s="488">
        <v>2</v>
      </c>
      <c r="AF21" s="489"/>
      <c r="AG21" s="490">
        <v>195000</v>
      </c>
      <c r="AH21" s="534">
        <v>390000</v>
      </c>
      <c r="AI21" s="535"/>
      <c r="AJ21" s="536"/>
      <c r="AK21" s="541">
        <v>2420</v>
      </c>
      <c r="AL21" s="513"/>
      <c r="AM21" s="498"/>
      <c r="AN21" s="532">
        <v>0</v>
      </c>
      <c r="AO21" s="513"/>
      <c r="AP21" s="498"/>
      <c r="AQ21" s="532" t="s">
        <v>364</v>
      </c>
      <c r="AR21" s="513"/>
      <c r="AS21" s="533"/>
      <c r="AT21" s="514">
        <v>6170</v>
      </c>
      <c r="AU21" s="515"/>
      <c r="AV21" s="516"/>
      <c r="AW21" s="517">
        <v>383830</v>
      </c>
      <c r="AX21" s="518"/>
      <c r="AY21" s="519"/>
      <c r="AZ21" s="523" t="s">
        <v>366</v>
      </c>
    </row>
    <row r="22" spans="1:52" ht="20.100000000000001" customHeight="1">
      <c r="A22" s="482"/>
      <c r="B22" s="59" t="s">
        <v>54</v>
      </c>
      <c r="C22" s="500" t="s">
        <v>352</v>
      </c>
      <c r="D22" s="500"/>
      <c r="E22" s="500"/>
      <c r="F22" s="501"/>
      <c r="G22" s="502" t="s">
        <v>50</v>
      </c>
      <c r="H22" s="503"/>
      <c r="I22" s="504"/>
      <c r="J22" s="502" t="s">
        <v>354</v>
      </c>
      <c r="K22" s="503"/>
      <c r="L22" s="503"/>
      <c r="M22" s="503"/>
      <c r="N22" s="505"/>
      <c r="O22" s="231">
        <v>1</v>
      </c>
      <c r="P22" s="232"/>
      <c r="Q22" s="232"/>
      <c r="R22" s="225"/>
      <c r="S22" s="233"/>
      <c r="T22" s="231"/>
      <c r="U22" s="232"/>
      <c r="V22" s="232"/>
      <c r="W22" s="232"/>
      <c r="X22" s="234"/>
      <c r="Y22" s="236"/>
      <c r="Z22" s="232"/>
      <c r="AA22" s="232"/>
      <c r="AB22" s="232"/>
      <c r="AC22" s="232"/>
      <c r="AD22" s="234"/>
      <c r="AE22" s="528">
        <v>2</v>
      </c>
      <c r="AF22" s="529"/>
      <c r="AG22" s="491"/>
      <c r="AH22" s="537"/>
      <c r="AI22" s="538"/>
      <c r="AJ22" s="539"/>
      <c r="AK22" s="540">
        <v>240</v>
      </c>
      <c r="AL22" s="511"/>
      <c r="AM22" s="508"/>
      <c r="AN22" s="509">
        <v>0</v>
      </c>
      <c r="AO22" s="509"/>
      <c r="AP22" s="509"/>
      <c r="AQ22" s="510">
        <v>3510</v>
      </c>
      <c r="AR22" s="511"/>
      <c r="AS22" s="511"/>
      <c r="AT22" s="525"/>
      <c r="AU22" s="526"/>
      <c r="AV22" s="527"/>
      <c r="AW22" s="520"/>
      <c r="AX22" s="521"/>
      <c r="AY22" s="522"/>
      <c r="AZ22" s="524"/>
    </row>
    <row r="23" spans="1:52" ht="20.100000000000001" customHeight="1">
      <c r="A23" s="481">
        <v>9</v>
      </c>
      <c r="B23" s="58" t="s">
        <v>346</v>
      </c>
      <c r="C23" s="483" t="s">
        <v>347</v>
      </c>
      <c r="D23" s="483"/>
      <c r="E23" s="483"/>
      <c r="F23" s="484"/>
      <c r="G23" s="485" t="s">
        <v>349</v>
      </c>
      <c r="H23" s="486"/>
      <c r="I23" s="486"/>
      <c r="J23" s="486"/>
      <c r="K23" s="486"/>
      <c r="L23" s="486"/>
      <c r="M23" s="486"/>
      <c r="N23" s="487"/>
      <c r="O23" s="226"/>
      <c r="P23" s="227"/>
      <c r="Q23" s="227"/>
      <c r="R23" s="227"/>
      <c r="S23" s="235"/>
      <c r="T23" s="226"/>
      <c r="U23" s="227"/>
      <c r="V23" s="227"/>
      <c r="W23" s="227"/>
      <c r="X23" s="228"/>
      <c r="Y23" s="229"/>
      <c r="Z23" s="224"/>
      <c r="AA23" s="227"/>
      <c r="AB23" s="227"/>
      <c r="AC23" s="227">
        <v>1</v>
      </c>
      <c r="AD23" s="230"/>
      <c r="AE23" s="488">
        <v>2</v>
      </c>
      <c r="AF23" s="489"/>
      <c r="AG23" s="490">
        <v>180000</v>
      </c>
      <c r="AH23" s="534">
        <v>360000</v>
      </c>
      <c r="AI23" s="535"/>
      <c r="AJ23" s="536"/>
      <c r="AK23" s="541">
        <v>1620</v>
      </c>
      <c r="AL23" s="513"/>
      <c r="AM23" s="498"/>
      <c r="AN23" s="532">
        <v>0</v>
      </c>
      <c r="AO23" s="513"/>
      <c r="AP23" s="498"/>
      <c r="AQ23" s="532" t="s">
        <v>364</v>
      </c>
      <c r="AR23" s="513"/>
      <c r="AS23" s="533"/>
      <c r="AT23" s="514">
        <v>1780</v>
      </c>
      <c r="AU23" s="515"/>
      <c r="AV23" s="516"/>
      <c r="AW23" s="517">
        <v>358220</v>
      </c>
      <c r="AX23" s="518"/>
      <c r="AY23" s="519"/>
      <c r="AZ23" s="523" t="s">
        <v>367</v>
      </c>
    </row>
    <row r="24" spans="1:52" ht="20.100000000000001" customHeight="1">
      <c r="A24" s="482"/>
      <c r="B24" s="59" t="s">
        <v>54</v>
      </c>
      <c r="C24" s="500" t="s">
        <v>351</v>
      </c>
      <c r="D24" s="500"/>
      <c r="E24" s="500"/>
      <c r="F24" s="501"/>
      <c r="G24" s="502" t="s">
        <v>50</v>
      </c>
      <c r="H24" s="503"/>
      <c r="I24" s="504"/>
      <c r="J24" s="502" t="s">
        <v>353</v>
      </c>
      <c r="K24" s="503"/>
      <c r="L24" s="503"/>
      <c r="M24" s="503"/>
      <c r="N24" s="505"/>
      <c r="O24" s="231">
        <v>1</v>
      </c>
      <c r="P24" s="232"/>
      <c r="Q24" s="232"/>
      <c r="R24" s="225"/>
      <c r="S24" s="233"/>
      <c r="T24" s="231"/>
      <c r="U24" s="232"/>
      <c r="V24" s="232"/>
      <c r="W24" s="232"/>
      <c r="X24" s="234"/>
      <c r="Y24" s="236"/>
      <c r="Z24" s="232"/>
      <c r="AA24" s="232"/>
      <c r="AB24" s="232"/>
      <c r="AC24" s="232"/>
      <c r="AD24" s="234"/>
      <c r="AE24" s="528">
        <v>2</v>
      </c>
      <c r="AF24" s="529"/>
      <c r="AG24" s="491"/>
      <c r="AH24" s="537"/>
      <c r="AI24" s="538"/>
      <c r="AJ24" s="539"/>
      <c r="AK24" s="540">
        <v>160</v>
      </c>
      <c r="AL24" s="511"/>
      <c r="AM24" s="508"/>
      <c r="AN24" s="509">
        <v>0</v>
      </c>
      <c r="AO24" s="509"/>
      <c r="AP24" s="509"/>
      <c r="AQ24" s="510" t="s">
        <v>365</v>
      </c>
      <c r="AR24" s="511"/>
      <c r="AS24" s="511"/>
      <c r="AT24" s="525"/>
      <c r="AU24" s="526"/>
      <c r="AV24" s="527"/>
      <c r="AW24" s="520"/>
      <c r="AX24" s="521"/>
      <c r="AY24" s="522"/>
      <c r="AZ24" s="524"/>
    </row>
    <row r="25" spans="1:52" ht="20.100000000000001" customHeight="1">
      <c r="A25" s="481">
        <v>10</v>
      </c>
      <c r="B25" s="58" t="s">
        <v>343</v>
      </c>
      <c r="C25" s="483" t="s">
        <v>368</v>
      </c>
      <c r="D25" s="483"/>
      <c r="E25" s="483"/>
      <c r="F25" s="484"/>
      <c r="G25" s="485" t="s">
        <v>369</v>
      </c>
      <c r="H25" s="486"/>
      <c r="I25" s="486"/>
      <c r="J25" s="486"/>
      <c r="K25" s="486"/>
      <c r="L25" s="486"/>
      <c r="M25" s="486"/>
      <c r="N25" s="487"/>
      <c r="O25" s="226"/>
      <c r="P25" s="227"/>
      <c r="Q25" s="227"/>
      <c r="R25" s="227"/>
      <c r="S25" s="235"/>
      <c r="T25" s="226"/>
      <c r="U25" s="227"/>
      <c r="V25" s="227"/>
      <c r="W25" s="227"/>
      <c r="X25" s="228">
        <v>1</v>
      </c>
      <c r="Y25" s="229">
        <v>1</v>
      </c>
      <c r="Z25" s="224">
        <v>1</v>
      </c>
      <c r="AA25" s="227">
        <v>1</v>
      </c>
      <c r="AB25" s="227">
        <v>1</v>
      </c>
      <c r="AC25" s="227">
        <v>1</v>
      </c>
      <c r="AD25" s="230"/>
      <c r="AE25" s="488">
        <v>7</v>
      </c>
      <c r="AF25" s="489"/>
      <c r="AG25" s="490">
        <v>200000</v>
      </c>
      <c r="AH25" s="542">
        <v>1400000</v>
      </c>
      <c r="AI25" s="543"/>
      <c r="AJ25" s="544"/>
      <c r="AK25" s="541">
        <v>9450</v>
      </c>
      <c r="AL25" s="513"/>
      <c r="AM25" s="498"/>
      <c r="AN25" s="532">
        <v>0</v>
      </c>
      <c r="AO25" s="513"/>
      <c r="AP25" s="498"/>
      <c r="AQ25" s="532" t="s">
        <v>364</v>
      </c>
      <c r="AR25" s="513"/>
      <c r="AS25" s="533"/>
      <c r="AT25" s="514">
        <v>22990</v>
      </c>
      <c r="AU25" s="515"/>
      <c r="AV25" s="516"/>
      <c r="AW25" s="517">
        <v>1377010</v>
      </c>
      <c r="AX25" s="518"/>
      <c r="AY25" s="519"/>
      <c r="AZ25" s="523" t="s">
        <v>370</v>
      </c>
    </row>
    <row r="26" spans="1:52" ht="20.100000000000001" customHeight="1">
      <c r="A26" s="482"/>
      <c r="B26" s="59" t="s">
        <v>54</v>
      </c>
      <c r="C26" s="500" t="s">
        <v>371</v>
      </c>
      <c r="D26" s="500"/>
      <c r="E26" s="500"/>
      <c r="F26" s="501"/>
      <c r="G26" s="502" t="s">
        <v>49</v>
      </c>
      <c r="H26" s="503"/>
      <c r="I26" s="504"/>
      <c r="J26" s="502" t="s">
        <v>372</v>
      </c>
      <c r="K26" s="503"/>
      <c r="L26" s="503"/>
      <c r="M26" s="503"/>
      <c r="N26" s="505"/>
      <c r="O26" s="231"/>
      <c r="P26" s="232"/>
      <c r="Q26" s="232"/>
      <c r="R26" s="225"/>
      <c r="S26" s="233"/>
      <c r="T26" s="231">
        <v>1</v>
      </c>
      <c r="U26" s="232"/>
      <c r="V26" s="232"/>
      <c r="W26" s="232"/>
      <c r="X26" s="234"/>
      <c r="Y26" s="236"/>
      <c r="Z26" s="232"/>
      <c r="AA26" s="232"/>
      <c r="AB26" s="232"/>
      <c r="AC26" s="232"/>
      <c r="AD26" s="234"/>
      <c r="AE26" s="528">
        <v>7</v>
      </c>
      <c r="AF26" s="529"/>
      <c r="AG26" s="491"/>
      <c r="AH26" s="545"/>
      <c r="AI26" s="546"/>
      <c r="AJ26" s="547"/>
      <c r="AK26" s="540">
        <v>940</v>
      </c>
      <c r="AL26" s="511"/>
      <c r="AM26" s="508"/>
      <c r="AN26" s="509">
        <v>0</v>
      </c>
      <c r="AO26" s="509"/>
      <c r="AP26" s="509"/>
      <c r="AQ26" s="510">
        <v>12600</v>
      </c>
      <c r="AR26" s="511"/>
      <c r="AS26" s="511"/>
      <c r="AT26" s="525"/>
      <c r="AU26" s="526"/>
      <c r="AV26" s="527"/>
      <c r="AW26" s="520"/>
      <c r="AX26" s="521"/>
      <c r="AY26" s="522"/>
      <c r="AZ26" s="524"/>
    </row>
    <row r="27" spans="1:52" ht="20.100000000000001" customHeight="1">
      <c r="A27" s="481">
        <v>11</v>
      </c>
      <c r="B27" s="58" t="s">
        <v>344</v>
      </c>
      <c r="C27" s="483" t="s">
        <v>373</v>
      </c>
      <c r="D27" s="483"/>
      <c r="E27" s="483"/>
      <c r="F27" s="484"/>
      <c r="G27" s="485" t="s">
        <v>374</v>
      </c>
      <c r="H27" s="486"/>
      <c r="I27" s="486"/>
      <c r="J27" s="486"/>
      <c r="K27" s="486"/>
      <c r="L27" s="486"/>
      <c r="M27" s="486"/>
      <c r="N27" s="487"/>
      <c r="O27" s="226"/>
      <c r="P27" s="227"/>
      <c r="Q27" s="227"/>
      <c r="R27" s="227"/>
      <c r="S27" s="235"/>
      <c r="T27" s="226"/>
      <c r="U27" s="227"/>
      <c r="V27" s="227"/>
      <c r="W27" s="227"/>
      <c r="X27" s="228">
        <v>1</v>
      </c>
      <c r="Y27" s="229">
        <v>1</v>
      </c>
      <c r="Z27" s="224">
        <v>1</v>
      </c>
      <c r="AA27" s="227">
        <v>1</v>
      </c>
      <c r="AB27" s="227">
        <v>1</v>
      </c>
      <c r="AC27" s="227">
        <v>1</v>
      </c>
      <c r="AD27" s="230"/>
      <c r="AE27" s="488">
        <v>15</v>
      </c>
      <c r="AF27" s="489"/>
      <c r="AG27" s="490">
        <v>200000</v>
      </c>
      <c r="AH27" s="542">
        <v>3000000</v>
      </c>
      <c r="AI27" s="543"/>
      <c r="AJ27" s="544"/>
      <c r="AK27" s="541">
        <v>20250</v>
      </c>
      <c r="AL27" s="513"/>
      <c r="AM27" s="498"/>
      <c r="AN27" s="532">
        <v>107850</v>
      </c>
      <c r="AO27" s="513"/>
      <c r="AP27" s="498"/>
      <c r="AQ27" s="532">
        <v>142500</v>
      </c>
      <c r="AR27" s="513"/>
      <c r="AS27" s="533"/>
      <c r="AT27" s="514">
        <v>313790</v>
      </c>
      <c r="AU27" s="515"/>
      <c r="AV27" s="516"/>
      <c r="AW27" s="517">
        <v>2686210</v>
      </c>
      <c r="AX27" s="518"/>
      <c r="AY27" s="519"/>
      <c r="AZ27" s="523" t="s">
        <v>375</v>
      </c>
    </row>
    <row r="28" spans="1:52" ht="20.100000000000001" customHeight="1">
      <c r="A28" s="482"/>
      <c r="B28" s="59" t="s">
        <v>54</v>
      </c>
      <c r="C28" s="500" t="s">
        <v>376</v>
      </c>
      <c r="D28" s="500"/>
      <c r="E28" s="500"/>
      <c r="F28" s="501"/>
      <c r="G28" s="502" t="s">
        <v>49</v>
      </c>
      <c r="H28" s="503"/>
      <c r="I28" s="504"/>
      <c r="J28" s="502" t="s">
        <v>377</v>
      </c>
      <c r="K28" s="503"/>
      <c r="L28" s="503"/>
      <c r="M28" s="503"/>
      <c r="N28" s="505"/>
      <c r="O28" s="231">
        <v>1</v>
      </c>
      <c r="P28" s="232">
        <v>1</v>
      </c>
      <c r="Q28" s="232">
        <v>1</v>
      </c>
      <c r="R28" s="225"/>
      <c r="S28" s="233">
        <v>1</v>
      </c>
      <c r="T28" s="231">
        <v>1</v>
      </c>
      <c r="U28" s="232">
        <v>1</v>
      </c>
      <c r="V28" s="232">
        <v>1</v>
      </c>
      <c r="W28" s="232">
        <v>1</v>
      </c>
      <c r="X28" s="234">
        <v>1</v>
      </c>
      <c r="Y28" s="236"/>
      <c r="Z28" s="232"/>
      <c r="AA28" s="232"/>
      <c r="AB28" s="232"/>
      <c r="AC28" s="232"/>
      <c r="AD28" s="234"/>
      <c r="AE28" s="528">
        <v>15</v>
      </c>
      <c r="AF28" s="529"/>
      <c r="AG28" s="491"/>
      <c r="AH28" s="545"/>
      <c r="AI28" s="546"/>
      <c r="AJ28" s="547"/>
      <c r="AK28" s="540">
        <v>2020</v>
      </c>
      <c r="AL28" s="511"/>
      <c r="AM28" s="508"/>
      <c r="AN28" s="509">
        <v>14170</v>
      </c>
      <c r="AO28" s="509"/>
      <c r="AP28" s="509"/>
      <c r="AQ28" s="510">
        <v>27000</v>
      </c>
      <c r="AR28" s="511"/>
      <c r="AS28" s="511"/>
      <c r="AT28" s="525"/>
      <c r="AU28" s="526"/>
      <c r="AV28" s="527"/>
      <c r="AW28" s="520"/>
      <c r="AX28" s="521"/>
      <c r="AY28" s="522"/>
      <c r="AZ28" s="524"/>
    </row>
    <row r="29" spans="1:52" ht="20.100000000000001" customHeight="1">
      <c r="A29" s="481">
        <v>12</v>
      </c>
      <c r="B29" s="58" t="s">
        <v>355</v>
      </c>
      <c r="C29" s="483" t="s">
        <v>378</v>
      </c>
      <c r="D29" s="483"/>
      <c r="E29" s="483"/>
      <c r="F29" s="484"/>
      <c r="G29" s="485" t="s">
        <v>379</v>
      </c>
      <c r="H29" s="486"/>
      <c r="I29" s="486"/>
      <c r="J29" s="486"/>
      <c r="K29" s="486"/>
      <c r="L29" s="486"/>
      <c r="M29" s="486"/>
      <c r="N29" s="487"/>
      <c r="O29" s="226"/>
      <c r="P29" s="227"/>
      <c r="Q29" s="227"/>
      <c r="R29" s="227"/>
      <c r="S29" s="235"/>
      <c r="T29" s="226"/>
      <c r="U29" s="227"/>
      <c r="V29" s="227"/>
      <c r="W29" s="227"/>
      <c r="X29" s="228">
        <v>1</v>
      </c>
      <c r="Y29" s="229">
        <v>1</v>
      </c>
      <c r="Z29" s="224">
        <v>1</v>
      </c>
      <c r="AA29" s="227">
        <v>1</v>
      </c>
      <c r="AB29" s="227">
        <v>1</v>
      </c>
      <c r="AC29" s="227">
        <v>1</v>
      </c>
      <c r="AD29" s="230"/>
      <c r="AE29" s="488">
        <v>15</v>
      </c>
      <c r="AF29" s="489"/>
      <c r="AG29" s="490">
        <v>200000</v>
      </c>
      <c r="AH29" s="542">
        <v>3000000</v>
      </c>
      <c r="AI29" s="543"/>
      <c r="AJ29" s="544"/>
      <c r="AK29" s="541">
        <v>20250</v>
      </c>
      <c r="AL29" s="513"/>
      <c r="AM29" s="498"/>
      <c r="AN29" s="532">
        <v>107850</v>
      </c>
      <c r="AO29" s="513"/>
      <c r="AP29" s="498"/>
      <c r="AQ29" s="532" t="s">
        <v>364</v>
      </c>
      <c r="AR29" s="513"/>
      <c r="AS29" s="533"/>
      <c r="AT29" s="514">
        <v>144290</v>
      </c>
      <c r="AU29" s="515"/>
      <c r="AV29" s="516"/>
      <c r="AW29" s="517">
        <v>2855710</v>
      </c>
      <c r="AX29" s="518"/>
      <c r="AY29" s="519"/>
      <c r="AZ29" s="548" t="s">
        <v>358</v>
      </c>
    </row>
    <row r="30" spans="1:52" ht="20.100000000000001" customHeight="1">
      <c r="A30" s="482"/>
      <c r="B30" s="59" t="s">
        <v>54</v>
      </c>
      <c r="C30" s="500" t="s">
        <v>380</v>
      </c>
      <c r="D30" s="500"/>
      <c r="E30" s="500"/>
      <c r="F30" s="501"/>
      <c r="G30" s="502" t="s">
        <v>48</v>
      </c>
      <c r="H30" s="503"/>
      <c r="I30" s="504"/>
      <c r="J30" s="502" t="s">
        <v>381</v>
      </c>
      <c r="K30" s="503"/>
      <c r="L30" s="503"/>
      <c r="M30" s="503"/>
      <c r="N30" s="505"/>
      <c r="O30" s="231">
        <v>1</v>
      </c>
      <c r="P30" s="232">
        <v>1</v>
      </c>
      <c r="Q30" s="232">
        <v>1</v>
      </c>
      <c r="R30" s="225"/>
      <c r="S30" s="233">
        <v>1</v>
      </c>
      <c r="T30" s="231">
        <v>1</v>
      </c>
      <c r="U30" s="232">
        <v>1</v>
      </c>
      <c r="V30" s="232">
        <v>1</v>
      </c>
      <c r="W30" s="232">
        <v>1</v>
      </c>
      <c r="X30" s="234">
        <v>1</v>
      </c>
      <c r="Y30" s="236"/>
      <c r="Z30" s="232"/>
      <c r="AA30" s="232"/>
      <c r="AB30" s="232"/>
      <c r="AC30" s="232"/>
      <c r="AD30" s="234"/>
      <c r="AE30" s="528">
        <v>15</v>
      </c>
      <c r="AF30" s="529"/>
      <c r="AG30" s="491"/>
      <c r="AH30" s="545"/>
      <c r="AI30" s="546"/>
      <c r="AJ30" s="547"/>
      <c r="AK30" s="540">
        <v>2020</v>
      </c>
      <c r="AL30" s="511"/>
      <c r="AM30" s="508"/>
      <c r="AN30" s="509">
        <v>14170</v>
      </c>
      <c r="AO30" s="509"/>
      <c r="AP30" s="509"/>
      <c r="AQ30" s="510" t="s">
        <v>382</v>
      </c>
      <c r="AR30" s="511"/>
      <c r="AS30" s="511"/>
      <c r="AT30" s="525"/>
      <c r="AU30" s="526"/>
      <c r="AV30" s="527"/>
      <c r="AW30" s="520"/>
      <c r="AX30" s="521"/>
      <c r="AY30" s="522"/>
      <c r="AZ30" s="549"/>
    </row>
    <row r="31" spans="1:52" ht="20.100000000000001" customHeight="1">
      <c r="A31" s="481">
        <v>13</v>
      </c>
      <c r="B31" s="58" t="s">
        <v>356</v>
      </c>
      <c r="C31" s="483" t="s">
        <v>383</v>
      </c>
      <c r="D31" s="483"/>
      <c r="E31" s="483"/>
      <c r="F31" s="484"/>
      <c r="G31" s="485" t="s">
        <v>384</v>
      </c>
      <c r="H31" s="486"/>
      <c r="I31" s="486"/>
      <c r="J31" s="486"/>
      <c r="K31" s="486"/>
      <c r="L31" s="486"/>
      <c r="M31" s="486"/>
      <c r="N31" s="487"/>
      <c r="O31" s="226"/>
      <c r="P31" s="227"/>
      <c r="Q31" s="227"/>
      <c r="R31" s="227"/>
      <c r="S31" s="235"/>
      <c r="T31" s="226"/>
      <c r="U31" s="227"/>
      <c r="V31" s="227"/>
      <c r="W31" s="227"/>
      <c r="X31" s="228">
        <v>1</v>
      </c>
      <c r="Y31" s="229">
        <v>1</v>
      </c>
      <c r="Z31" s="224"/>
      <c r="AA31" s="227">
        <v>1</v>
      </c>
      <c r="AB31" s="227">
        <v>1</v>
      </c>
      <c r="AC31" s="227">
        <v>1</v>
      </c>
      <c r="AD31" s="230"/>
      <c r="AE31" s="488">
        <v>6</v>
      </c>
      <c r="AF31" s="489"/>
      <c r="AG31" s="490">
        <v>200000</v>
      </c>
      <c r="AH31" s="542">
        <v>1200000</v>
      </c>
      <c r="AI31" s="543"/>
      <c r="AJ31" s="544"/>
      <c r="AK31" s="541">
        <v>8100</v>
      </c>
      <c r="AL31" s="513"/>
      <c r="AM31" s="498"/>
      <c r="AN31" s="532">
        <v>0</v>
      </c>
      <c r="AO31" s="513"/>
      <c r="AP31" s="498"/>
      <c r="AQ31" s="532">
        <v>0</v>
      </c>
      <c r="AR31" s="513"/>
      <c r="AS31" s="533"/>
      <c r="AT31" s="514">
        <v>8910</v>
      </c>
      <c r="AU31" s="515"/>
      <c r="AV31" s="516"/>
      <c r="AW31" s="517">
        <v>1191090</v>
      </c>
      <c r="AX31" s="518"/>
      <c r="AY31" s="519"/>
      <c r="AZ31" s="548" t="s">
        <v>359</v>
      </c>
    </row>
    <row r="32" spans="1:52" ht="20.100000000000001" customHeight="1">
      <c r="A32" s="482"/>
      <c r="B32" s="59" t="s">
        <v>54</v>
      </c>
      <c r="C32" s="500" t="s">
        <v>385</v>
      </c>
      <c r="D32" s="500"/>
      <c r="E32" s="500"/>
      <c r="F32" s="501"/>
      <c r="G32" s="502" t="s">
        <v>49</v>
      </c>
      <c r="H32" s="503"/>
      <c r="I32" s="504"/>
      <c r="J32" s="502" t="s">
        <v>386</v>
      </c>
      <c r="K32" s="503"/>
      <c r="L32" s="503"/>
      <c r="M32" s="503"/>
      <c r="N32" s="505"/>
      <c r="O32" s="231">
        <v>1</v>
      </c>
      <c r="P32" s="232"/>
      <c r="Q32" s="232"/>
      <c r="R32" s="225"/>
      <c r="S32" s="233"/>
      <c r="T32" s="231"/>
      <c r="U32" s="232"/>
      <c r="V32" s="232"/>
      <c r="W32" s="232"/>
      <c r="X32" s="234"/>
      <c r="Y32" s="236"/>
      <c r="Z32" s="232"/>
      <c r="AA32" s="232"/>
      <c r="AB32" s="232"/>
      <c r="AC32" s="232"/>
      <c r="AD32" s="234"/>
      <c r="AE32" s="528">
        <v>6</v>
      </c>
      <c r="AF32" s="529"/>
      <c r="AG32" s="491"/>
      <c r="AH32" s="545"/>
      <c r="AI32" s="546"/>
      <c r="AJ32" s="547"/>
      <c r="AK32" s="540">
        <v>810</v>
      </c>
      <c r="AL32" s="511"/>
      <c r="AM32" s="508"/>
      <c r="AN32" s="509">
        <v>0</v>
      </c>
      <c r="AO32" s="509"/>
      <c r="AP32" s="509"/>
      <c r="AQ32" s="510" t="s">
        <v>382</v>
      </c>
      <c r="AR32" s="511"/>
      <c r="AS32" s="511"/>
      <c r="AT32" s="525"/>
      <c r="AU32" s="526"/>
      <c r="AV32" s="527"/>
      <c r="AW32" s="520"/>
      <c r="AX32" s="521"/>
      <c r="AY32" s="522"/>
      <c r="AZ32" s="549"/>
    </row>
    <row r="33" spans="1:52" ht="20.100000000000001" customHeight="1">
      <c r="A33" s="481">
        <v>14</v>
      </c>
      <c r="B33" s="58" t="s">
        <v>357</v>
      </c>
      <c r="C33" s="483" t="s">
        <v>322</v>
      </c>
      <c r="D33" s="483"/>
      <c r="E33" s="483"/>
      <c r="F33" s="484"/>
      <c r="G33" s="485" t="s">
        <v>387</v>
      </c>
      <c r="H33" s="486"/>
      <c r="I33" s="486"/>
      <c r="J33" s="486"/>
      <c r="K33" s="486"/>
      <c r="L33" s="486"/>
      <c r="M33" s="486"/>
      <c r="N33" s="487"/>
      <c r="O33" s="226"/>
      <c r="P33" s="227"/>
      <c r="Q33" s="227"/>
      <c r="R33" s="227"/>
      <c r="S33" s="235"/>
      <c r="T33" s="226"/>
      <c r="U33" s="227"/>
      <c r="V33" s="227"/>
      <c r="W33" s="227"/>
      <c r="X33" s="228"/>
      <c r="Y33" s="229"/>
      <c r="Z33" s="224"/>
      <c r="AA33" s="227"/>
      <c r="AB33" s="227"/>
      <c r="AC33" s="227"/>
      <c r="AD33" s="230"/>
      <c r="AE33" s="488">
        <v>9</v>
      </c>
      <c r="AF33" s="489"/>
      <c r="AG33" s="490">
        <v>200000</v>
      </c>
      <c r="AH33" s="542">
        <v>1800000</v>
      </c>
      <c r="AI33" s="543"/>
      <c r="AJ33" s="544"/>
      <c r="AK33" s="541">
        <v>12150</v>
      </c>
      <c r="AL33" s="513"/>
      <c r="AM33" s="498"/>
      <c r="AN33" s="532">
        <v>64710</v>
      </c>
      <c r="AO33" s="513"/>
      <c r="AP33" s="498"/>
      <c r="AQ33" s="532" t="s">
        <v>364</v>
      </c>
      <c r="AR33" s="513"/>
      <c r="AS33" s="533"/>
      <c r="AT33" s="514">
        <v>86570</v>
      </c>
      <c r="AU33" s="515"/>
      <c r="AV33" s="516"/>
      <c r="AW33" s="517">
        <v>1713430</v>
      </c>
      <c r="AX33" s="518"/>
      <c r="AY33" s="519"/>
      <c r="AZ33" s="548" t="s">
        <v>360</v>
      </c>
    </row>
    <row r="34" spans="1:52" ht="20.100000000000001" customHeight="1">
      <c r="A34" s="482"/>
      <c r="B34" s="59" t="s">
        <v>54</v>
      </c>
      <c r="C34" s="500" t="s">
        <v>323</v>
      </c>
      <c r="D34" s="500"/>
      <c r="E34" s="500"/>
      <c r="F34" s="501"/>
      <c r="G34" s="502" t="s">
        <v>49</v>
      </c>
      <c r="H34" s="503"/>
      <c r="I34" s="504"/>
      <c r="J34" s="502" t="s">
        <v>324</v>
      </c>
      <c r="K34" s="503"/>
      <c r="L34" s="503"/>
      <c r="M34" s="503"/>
      <c r="N34" s="505"/>
      <c r="O34" s="231">
        <v>1</v>
      </c>
      <c r="P34" s="232">
        <v>1</v>
      </c>
      <c r="Q34" s="232">
        <v>1</v>
      </c>
      <c r="R34" s="225"/>
      <c r="S34" s="233">
        <v>1</v>
      </c>
      <c r="T34" s="231">
        <v>1</v>
      </c>
      <c r="U34" s="232">
        <v>1</v>
      </c>
      <c r="V34" s="232">
        <v>1</v>
      </c>
      <c r="W34" s="232">
        <v>1</v>
      </c>
      <c r="X34" s="234">
        <v>1</v>
      </c>
      <c r="Y34" s="236"/>
      <c r="Z34" s="232"/>
      <c r="AA34" s="232"/>
      <c r="AB34" s="232"/>
      <c r="AC34" s="232"/>
      <c r="AD34" s="234"/>
      <c r="AE34" s="528">
        <v>9</v>
      </c>
      <c r="AF34" s="529"/>
      <c r="AG34" s="491"/>
      <c r="AH34" s="545"/>
      <c r="AI34" s="546"/>
      <c r="AJ34" s="547"/>
      <c r="AK34" s="540">
        <v>1210</v>
      </c>
      <c r="AL34" s="511"/>
      <c r="AM34" s="508"/>
      <c r="AN34" s="509">
        <v>8500</v>
      </c>
      <c r="AO34" s="509"/>
      <c r="AP34" s="509"/>
      <c r="AQ34" s="510" t="s">
        <v>382</v>
      </c>
      <c r="AR34" s="511"/>
      <c r="AS34" s="511"/>
      <c r="AT34" s="525"/>
      <c r="AU34" s="526"/>
      <c r="AV34" s="527"/>
      <c r="AW34" s="520"/>
      <c r="AX34" s="521"/>
      <c r="AY34" s="522"/>
      <c r="AZ34" s="549"/>
    </row>
    <row r="35" spans="1:52" ht="20.100000000000001" customHeight="1">
      <c r="A35" s="481">
        <v>15</v>
      </c>
      <c r="B35" s="58"/>
      <c r="C35" s="483" t="s">
        <v>15</v>
      </c>
      <c r="D35" s="483"/>
      <c r="E35" s="483"/>
      <c r="F35" s="484"/>
      <c r="G35" s="485" t="s">
        <v>15</v>
      </c>
      <c r="H35" s="486"/>
      <c r="I35" s="486"/>
      <c r="J35" s="486"/>
      <c r="K35" s="486"/>
      <c r="L35" s="486"/>
      <c r="M35" s="486"/>
      <c r="N35" s="487"/>
      <c r="O35" s="226"/>
      <c r="P35" s="227"/>
      <c r="Q35" s="227"/>
      <c r="R35" s="227"/>
      <c r="S35" s="235"/>
      <c r="T35" s="226"/>
      <c r="U35" s="227"/>
      <c r="V35" s="227"/>
      <c r="W35" s="227"/>
      <c r="X35" s="228"/>
      <c r="Y35" s="229"/>
      <c r="Z35" s="224"/>
      <c r="AA35" s="227"/>
      <c r="AB35" s="227"/>
      <c r="AC35" s="227"/>
      <c r="AD35" s="230"/>
      <c r="AE35" s="562">
        <v>0</v>
      </c>
      <c r="AF35" s="563"/>
      <c r="AG35" s="490"/>
      <c r="AH35" s="550">
        <v>0</v>
      </c>
      <c r="AI35" s="551"/>
      <c r="AJ35" s="552"/>
      <c r="AK35" s="541">
        <v>0</v>
      </c>
      <c r="AL35" s="513"/>
      <c r="AM35" s="498"/>
      <c r="AN35" s="532">
        <v>0</v>
      </c>
      <c r="AO35" s="513"/>
      <c r="AP35" s="498"/>
      <c r="AQ35" s="532">
        <v>0</v>
      </c>
      <c r="AR35" s="513"/>
      <c r="AS35" s="533"/>
      <c r="AT35" s="514">
        <v>0</v>
      </c>
      <c r="AU35" s="515"/>
      <c r="AV35" s="516"/>
      <c r="AW35" s="556">
        <v>0</v>
      </c>
      <c r="AX35" s="557"/>
      <c r="AY35" s="558"/>
      <c r="AZ35" s="523"/>
    </row>
    <row r="36" spans="1:52" ht="20.100000000000001" customHeight="1">
      <c r="A36" s="482"/>
      <c r="B36" s="59" t="s">
        <v>15</v>
      </c>
      <c r="C36" s="500" t="s">
        <v>15</v>
      </c>
      <c r="D36" s="500"/>
      <c r="E36" s="500"/>
      <c r="F36" s="501"/>
      <c r="G36" s="502" t="s">
        <v>15</v>
      </c>
      <c r="H36" s="503"/>
      <c r="I36" s="504"/>
      <c r="J36" s="502" t="s">
        <v>15</v>
      </c>
      <c r="K36" s="503"/>
      <c r="L36" s="503"/>
      <c r="M36" s="503"/>
      <c r="N36" s="505"/>
      <c r="O36" s="231"/>
      <c r="P36" s="232"/>
      <c r="Q36" s="232"/>
      <c r="R36" s="225"/>
      <c r="S36" s="233"/>
      <c r="T36" s="231"/>
      <c r="U36" s="232"/>
      <c r="V36" s="232"/>
      <c r="W36" s="232"/>
      <c r="X36" s="234"/>
      <c r="Y36" s="236"/>
      <c r="Z36" s="232"/>
      <c r="AA36" s="232"/>
      <c r="AB36" s="232"/>
      <c r="AC36" s="232"/>
      <c r="AD36" s="234"/>
      <c r="AE36" s="528">
        <v>0</v>
      </c>
      <c r="AF36" s="529"/>
      <c r="AG36" s="491"/>
      <c r="AH36" s="553"/>
      <c r="AI36" s="554"/>
      <c r="AJ36" s="555"/>
      <c r="AK36" s="540">
        <v>0</v>
      </c>
      <c r="AL36" s="511"/>
      <c r="AM36" s="508"/>
      <c r="AN36" s="509">
        <v>0</v>
      </c>
      <c r="AO36" s="509"/>
      <c r="AP36" s="509"/>
      <c r="AQ36" s="510">
        <v>0</v>
      </c>
      <c r="AR36" s="511"/>
      <c r="AS36" s="511"/>
      <c r="AT36" s="525"/>
      <c r="AU36" s="526"/>
      <c r="AV36" s="527"/>
      <c r="AW36" s="559"/>
      <c r="AX36" s="560"/>
      <c r="AY36" s="561"/>
      <c r="AZ36" s="524"/>
    </row>
    <row r="37" spans="1:52" ht="20.100000000000001" customHeight="1">
      <c r="A37" s="481">
        <v>16</v>
      </c>
      <c r="B37" s="58"/>
      <c r="C37" s="483" t="s">
        <v>15</v>
      </c>
      <c r="D37" s="483"/>
      <c r="E37" s="483"/>
      <c r="F37" s="484"/>
      <c r="G37" s="485" t="s">
        <v>15</v>
      </c>
      <c r="H37" s="486"/>
      <c r="I37" s="486"/>
      <c r="J37" s="486"/>
      <c r="K37" s="486"/>
      <c r="L37" s="486"/>
      <c r="M37" s="486"/>
      <c r="N37" s="487"/>
      <c r="O37" s="226"/>
      <c r="P37" s="227"/>
      <c r="Q37" s="227"/>
      <c r="R37" s="227"/>
      <c r="S37" s="235"/>
      <c r="T37" s="226"/>
      <c r="U37" s="227"/>
      <c r="V37" s="227"/>
      <c r="W37" s="227"/>
      <c r="X37" s="228"/>
      <c r="Y37" s="229"/>
      <c r="Z37" s="224"/>
      <c r="AA37" s="227"/>
      <c r="AB37" s="227"/>
      <c r="AC37" s="227"/>
      <c r="AD37" s="230"/>
      <c r="AE37" s="562">
        <v>0</v>
      </c>
      <c r="AF37" s="563"/>
      <c r="AG37" s="490"/>
      <c r="AH37" s="550">
        <v>0</v>
      </c>
      <c r="AI37" s="551"/>
      <c r="AJ37" s="552"/>
      <c r="AK37" s="541">
        <v>0</v>
      </c>
      <c r="AL37" s="513"/>
      <c r="AM37" s="498"/>
      <c r="AN37" s="532">
        <v>0</v>
      </c>
      <c r="AO37" s="513"/>
      <c r="AP37" s="498"/>
      <c r="AQ37" s="532">
        <v>0</v>
      </c>
      <c r="AR37" s="513"/>
      <c r="AS37" s="533"/>
      <c r="AT37" s="514">
        <v>0</v>
      </c>
      <c r="AU37" s="515"/>
      <c r="AV37" s="516"/>
      <c r="AW37" s="556">
        <v>0</v>
      </c>
      <c r="AX37" s="557"/>
      <c r="AY37" s="558"/>
      <c r="AZ37" s="523"/>
    </row>
    <row r="38" spans="1:52" ht="20.100000000000001" customHeight="1">
      <c r="A38" s="482"/>
      <c r="B38" s="59" t="s">
        <v>15</v>
      </c>
      <c r="C38" s="500" t="s">
        <v>15</v>
      </c>
      <c r="D38" s="500"/>
      <c r="E38" s="500"/>
      <c r="F38" s="501"/>
      <c r="G38" s="502" t="s">
        <v>15</v>
      </c>
      <c r="H38" s="503"/>
      <c r="I38" s="504"/>
      <c r="J38" s="502" t="s">
        <v>15</v>
      </c>
      <c r="K38" s="503"/>
      <c r="L38" s="503"/>
      <c r="M38" s="503"/>
      <c r="N38" s="505"/>
      <c r="O38" s="231"/>
      <c r="P38" s="232"/>
      <c r="Q38" s="232"/>
      <c r="R38" s="225"/>
      <c r="S38" s="233"/>
      <c r="T38" s="231"/>
      <c r="U38" s="232"/>
      <c r="V38" s="232"/>
      <c r="W38" s="232"/>
      <c r="X38" s="234"/>
      <c r="Y38" s="236"/>
      <c r="Z38" s="232"/>
      <c r="AA38" s="232"/>
      <c r="AB38" s="232"/>
      <c r="AC38" s="232"/>
      <c r="AD38" s="234"/>
      <c r="AE38" s="528">
        <v>0</v>
      </c>
      <c r="AF38" s="529"/>
      <c r="AG38" s="491"/>
      <c r="AH38" s="553"/>
      <c r="AI38" s="554"/>
      <c r="AJ38" s="555"/>
      <c r="AK38" s="540">
        <v>0</v>
      </c>
      <c r="AL38" s="511"/>
      <c r="AM38" s="508"/>
      <c r="AN38" s="509">
        <v>0</v>
      </c>
      <c r="AO38" s="509"/>
      <c r="AP38" s="509"/>
      <c r="AQ38" s="510">
        <v>0</v>
      </c>
      <c r="AR38" s="511"/>
      <c r="AS38" s="511"/>
      <c r="AT38" s="525"/>
      <c r="AU38" s="526"/>
      <c r="AV38" s="527"/>
      <c r="AW38" s="559"/>
      <c r="AX38" s="560"/>
      <c r="AY38" s="561"/>
      <c r="AZ38" s="524"/>
    </row>
    <row r="39" spans="1:52" ht="20.100000000000001" customHeight="1">
      <c r="A39" s="481">
        <v>17</v>
      </c>
      <c r="B39" s="58"/>
      <c r="C39" s="483" t="s">
        <v>15</v>
      </c>
      <c r="D39" s="483"/>
      <c r="E39" s="483"/>
      <c r="F39" s="484"/>
      <c r="G39" s="485" t="s">
        <v>15</v>
      </c>
      <c r="H39" s="486"/>
      <c r="I39" s="486"/>
      <c r="J39" s="486"/>
      <c r="K39" s="486"/>
      <c r="L39" s="486"/>
      <c r="M39" s="486"/>
      <c r="N39" s="487"/>
      <c r="O39" s="226"/>
      <c r="P39" s="227"/>
      <c r="Q39" s="227"/>
      <c r="R39" s="227"/>
      <c r="S39" s="235"/>
      <c r="T39" s="226"/>
      <c r="U39" s="227"/>
      <c r="V39" s="227"/>
      <c r="W39" s="227"/>
      <c r="X39" s="228"/>
      <c r="Y39" s="229"/>
      <c r="Z39" s="224"/>
      <c r="AA39" s="227"/>
      <c r="AB39" s="227"/>
      <c r="AC39" s="227"/>
      <c r="AD39" s="230"/>
      <c r="AE39" s="562">
        <v>0</v>
      </c>
      <c r="AF39" s="563"/>
      <c r="AG39" s="490"/>
      <c r="AH39" s="550">
        <v>0</v>
      </c>
      <c r="AI39" s="551"/>
      <c r="AJ39" s="552"/>
      <c r="AK39" s="541">
        <v>0</v>
      </c>
      <c r="AL39" s="513"/>
      <c r="AM39" s="498"/>
      <c r="AN39" s="532">
        <v>0</v>
      </c>
      <c r="AO39" s="513"/>
      <c r="AP39" s="498"/>
      <c r="AQ39" s="532">
        <v>0</v>
      </c>
      <c r="AR39" s="513"/>
      <c r="AS39" s="533"/>
      <c r="AT39" s="514">
        <v>0</v>
      </c>
      <c r="AU39" s="515"/>
      <c r="AV39" s="516"/>
      <c r="AW39" s="556">
        <v>0</v>
      </c>
      <c r="AX39" s="557"/>
      <c r="AY39" s="558"/>
      <c r="AZ39" s="523"/>
    </row>
    <row r="40" spans="1:52" ht="20.100000000000001" customHeight="1">
      <c r="A40" s="482"/>
      <c r="B40" s="59" t="s">
        <v>15</v>
      </c>
      <c r="C40" s="500" t="s">
        <v>15</v>
      </c>
      <c r="D40" s="500"/>
      <c r="E40" s="500"/>
      <c r="F40" s="501"/>
      <c r="G40" s="502" t="s">
        <v>15</v>
      </c>
      <c r="H40" s="503"/>
      <c r="I40" s="504"/>
      <c r="J40" s="502" t="s">
        <v>15</v>
      </c>
      <c r="K40" s="503"/>
      <c r="L40" s="503"/>
      <c r="M40" s="503"/>
      <c r="N40" s="505"/>
      <c r="O40" s="231"/>
      <c r="P40" s="232"/>
      <c r="Q40" s="232"/>
      <c r="R40" s="225"/>
      <c r="S40" s="233"/>
      <c r="T40" s="231"/>
      <c r="U40" s="232"/>
      <c r="V40" s="232"/>
      <c r="W40" s="232"/>
      <c r="X40" s="234"/>
      <c r="Y40" s="236"/>
      <c r="Z40" s="232"/>
      <c r="AA40" s="232"/>
      <c r="AB40" s="232"/>
      <c r="AC40" s="232"/>
      <c r="AD40" s="234"/>
      <c r="AE40" s="528">
        <v>0</v>
      </c>
      <c r="AF40" s="529"/>
      <c r="AG40" s="491"/>
      <c r="AH40" s="553"/>
      <c r="AI40" s="554"/>
      <c r="AJ40" s="555"/>
      <c r="AK40" s="540">
        <v>0</v>
      </c>
      <c r="AL40" s="511"/>
      <c r="AM40" s="508"/>
      <c r="AN40" s="509">
        <v>0</v>
      </c>
      <c r="AO40" s="509"/>
      <c r="AP40" s="509"/>
      <c r="AQ40" s="510">
        <v>0</v>
      </c>
      <c r="AR40" s="511"/>
      <c r="AS40" s="511"/>
      <c r="AT40" s="525"/>
      <c r="AU40" s="526"/>
      <c r="AV40" s="527"/>
      <c r="AW40" s="559"/>
      <c r="AX40" s="560"/>
      <c r="AY40" s="561"/>
      <c r="AZ40" s="524"/>
    </row>
    <row r="41" spans="1:52" ht="20.100000000000001" customHeight="1">
      <c r="A41" s="481">
        <v>18</v>
      </c>
      <c r="B41" s="58"/>
      <c r="C41" s="483" t="s">
        <v>15</v>
      </c>
      <c r="D41" s="483"/>
      <c r="E41" s="483"/>
      <c r="F41" s="484"/>
      <c r="G41" s="485" t="s">
        <v>15</v>
      </c>
      <c r="H41" s="486"/>
      <c r="I41" s="486"/>
      <c r="J41" s="486"/>
      <c r="K41" s="486"/>
      <c r="L41" s="486"/>
      <c r="M41" s="486"/>
      <c r="N41" s="487"/>
      <c r="O41" s="226"/>
      <c r="P41" s="227"/>
      <c r="Q41" s="227"/>
      <c r="R41" s="227"/>
      <c r="S41" s="235"/>
      <c r="T41" s="226"/>
      <c r="U41" s="227"/>
      <c r="V41" s="227"/>
      <c r="W41" s="227"/>
      <c r="X41" s="228"/>
      <c r="Y41" s="229"/>
      <c r="Z41" s="224"/>
      <c r="AA41" s="227"/>
      <c r="AB41" s="227"/>
      <c r="AC41" s="227"/>
      <c r="AD41" s="230"/>
      <c r="AE41" s="562">
        <v>0</v>
      </c>
      <c r="AF41" s="563"/>
      <c r="AG41" s="490"/>
      <c r="AH41" s="550">
        <v>0</v>
      </c>
      <c r="AI41" s="551"/>
      <c r="AJ41" s="552"/>
      <c r="AK41" s="541">
        <v>0</v>
      </c>
      <c r="AL41" s="513"/>
      <c r="AM41" s="498"/>
      <c r="AN41" s="532">
        <v>0</v>
      </c>
      <c r="AO41" s="513"/>
      <c r="AP41" s="498"/>
      <c r="AQ41" s="532">
        <v>0</v>
      </c>
      <c r="AR41" s="513"/>
      <c r="AS41" s="533"/>
      <c r="AT41" s="514">
        <v>0</v>
      </c>
      <c r="AU41" s="515"/>
      <c r="AV41" s="516"/>
      <c r="AW41" s="556">
        <v>0</v>
      </c>
      <c r="AX41" s="557"/>
      <c r="AY41" s="558"/>
      <c r="AZ41" s="523"/>
    </row>
    <row r="42" spans="1:52" ht="20.100000000000001" customHeight="1">
      <c r="A42" s="482"/>
      <c r="B42" s="59" t="s">
        <v>15</v>
      </c>
      <c r="C42" s="500" t="s">
        <v>15</v>
      </c>
      <c r="D42" s="500"/>
      <c r="E42" s="500"/>
      <c r="F42" s="501"/>
      <c r="G42" s="502" t="s">
        <v>15</v>
      </c>
      <c r="H42" s="503"/>
      <c r="I42" s="504"/>
      <c r="J42" s="502" t="s">
        <v>15</v>
      </c>
      <c r="K42" s="503"/>
      <c r="L42" s="503"/>
      <c r="M42" s="503"/>
      <c r="N42" s="505"/>
      <c r="O42" s="231"/>
      <c r="P42" s="232"/>
      <c r="Q42" s="232"/>
      <c r="R42" s="225"/>
      <c r="S42" s="233"/>
      <c r="T42" s="231"/>
      <c r="U42" s="232"/>
      <c r="V42" s="232"/>
      <c r="W42" s="232"/>
      <c r="X42" s="234"/>
      <c r="Y42" s="236"/>
      <c r="Z42" s="232"/>
      <c r="AA42" s="232"/>
      <c r="AB42" s="232"/>
      <c r="AC42" s="232"/>
      <c r="AD42" s="234"/>
      <c r="AE42" s="528">
        <v>0</v>
      </c>
      <c r="AF42" s="529"/>
      <c r="AG42" s="491"/>
      <c r="AH42" s="553"/>
      <c r="AI42" s="554"/>
      <c r="AJ42" s="555"/>
      <c r="AK42" s="540">
        <v>0</v>
      </c>
      <c r="AL42" s="511"/>
      <c r="AM42" s="508"/>
      <c r="AN42" s="509">
        <v>0</v>
      </c>
      <c r="AO42" s="509"/>
      <c r="AP42" s="509"/>
      <c r="AQ42" s="510">
        <v>0</v>
      </c>
      <c r="AR42" s="511"/>
      <c r="AS42" s="511"/>
      <c r="AT42" s="525"/>
      <c r="AU42" s="526"/>
      <c r="AV42" s="527"/>
      <c r="AW42" s="559"/>
      <c r="AX42" s="560"/>
      <c r="AY42" s="561"/>
      <c r="AZ42" s="524"/>
    </row>
    <row r="43" spans="1:52" ht="20.100000000000001" customHeight="1">
      <c r="A43" s="481">
        <v>19</v>
      </c>
      <c r="B43" s="58"/>
      <c r="C43" s="483" t="s">
        <v>15</v>
      </c>
      <c r="D43" s="483"/>
      <c r="E43" s="483"/>
      <c r="F43" s="484"/>
      <c r="G43" s="485" t="s">
        <v>15</v>
      </c>
      <c r="H43" s="486"/>
      <c r="I43" s="486"/>
      <c r="J43" s="486"/>
      <c r="K43" s="486"/>
      <c r="L43" s="486"/>
      <c r="M43" s="486"/>
      <c r="N43" s="487"/>
      <c r="O43" s="226"/>
      <c r="P43" s="227"/>
      <c r="Q43" s="227"/>
      <c r="R43" s="227"/>
      <c r="S43" s="235"/>
      <c r="T43" s="226"/>
      <c r="U43" s="227"/>
      <c r="V43" s="227"/>
      <c r="W43" s="227"/>
      <c r="X43" s="228"/>
      <c r="Y43" s="229"/>
      <c r="Z43" s="224"/>
      <c r="AA43" s="227"/>
      <c r="AB43" s="227"/>
      <c r="AC43" s="227"/>
      <c r="AD43" s="230"/>
      <c r="AE43" s="562">
        <v>0</v>
      </c>
      <c r="AF43" s="563"/>
      <c r="AG43" s="490"/>
      <c r="AH43" s="550">
        <v>0</v>
      </c>
      <c r="AI43" s="551"/>
      <c r="AJ43" s="552"/>
      <c r="AK43" s="541">
        <v>0</v>
      </c>
      <c r="AL43" s="513"/>
      <c r="AM43" s="498"/>
      <c r="AN43" s="532">
        <v>0</v>
      </c>
      <c r="AO43" s="513"/>
      <c r="AP43" s="498"/>
      <c r="AQ43" s="532">
        <v>0</v>
      </c>
      <c r="AR43" s="513"/>
      <c r="AS43" s="533"/>
      <c r="AT43" s="514">
        <v>0</v>
      </c>
      <c r="AU43" s="515"/>
      <c r="AV43" s="516"/>
      <c r="AW43" s="556">
        <v>0</v>
      </c>
      <c r="AX43" s="557"/>
      <c r="AY43" s="558"/>
      <c r="AZ43" s="523"/>
    </row>
    <row r="44" spans="1:52" ht="20.100000000000001" customHeight="1">
      <c r="A44" s="482"/>
      <c r="B44" s="59" t="s">
        <v>15</v>
      </c>
      <c r="C44" s="500" t="s">
        <v>15</v>
      </c>
      <c r="D44" s="500"/>
      <c r="E44" s="500"/>
      <c r="F44" s="501"/>
      <c r="G44" s="502" t="s">
        <v>15</v>
      </c>
      <c r="H44" s="503"/>
      <c r="I44" s="504"/>
      <c r="J44" s="502" t="s">
        <v>15</v>
      </c>
      <c r="K44" s="503"/>
      <c r="L44" s="503"/>
      <c r="M44" s="503"/>
      <c r="N44" s="505"/>
      <c r="O44" s="231"/>
      <c r="P44" s="232"/>
      <c r="Q44" s="232"/>
      <c r="R44" s="225"/>
      <c r="S44" s="233"/>
      <c r="T44" s="231"/>
      <c r="U44" s="232"/>
      <c r="V44" s="232"/>
      <c r="W44" s="232"/>
      <c r="X44" s="234"/>
      <c r="Y44" s="236"/>
      <c r="Z44" s="232"/>
      <c r="AA44" s="232"/>
      <c r="AB44" s="232"/>
      <c r="AC44" s="232"/>
      <c r="AD44" s="234"/>
      <c r="AE44" s="528">
        <v>0</v>
      </c>
      <c r="AF44" s="529"/>
      <c r="AG44" s="491"/>
      <c r="AH44" s="553"/>
      <c r="AI44" s="554"/>
      <c r="AJ44" s="555"/>
      <c r="AK44" s="540">
        <v>0</v>
      </c>
      <c r="AL44" s="511"/>
      <c r="AM44" s="508"/>
      <c r="AN44" s="509">
        <v>0</v>
      </c>
      <c r="AO44" s="509"/>
      <c r="AP44" s="509"/>
      <c r="AQ44" s="510">
        <v>0</v>
      </c>
      <c r="AR44" s="511"/>
      <c r="AS44" s="511"/>
      <c r="AT44" s="525"/>
      <c r="AU44" s="526"/>
      <c r="AV44" s="527"/>
      <c r="AW44" s="559"/>
      <c r="AX44" s="560"/>
      <c r="AY44" s="561"/>
      <c r="AZ44" s="524"/>
    </row>
    <row r="45" spans="1:52" ht="20.100000000000001" customHeight="1">
      <c r="A45" s="481">
        <v>20</v>
      </c>
      <c r="B45" s="58"/>
      <c r="C45" s="483" t="s">
        <v>15</v>
      </c>
      <c r="D45" s="483"/>
      <c r="E45" s="483"/>
      <c r="F45" s="484"/>
      <c r="G45" s="485" t="s">
        <v>15</v>
      </c>
      <c r="H45" s="486"/>
      <c r="I45" s="486"/>
      <c r="J45" s="486"/>
      <c r="K45" s="486"/>
      <c r="L45" s="486"/>
      <c r="M45" s="486"/>
      <c r="N45" s="487"/>
      <c r="O45" s="226"/>
      <c r="P45" s="227"/>
      <c r="Q45" s="227"/>
      <c r="R45" s="227"/>
      <c r="S45" s="235"/>
      <c r="T45" s="226"/>
      <c r="U45" s="227"/>
      <c r="V45" s="227"/>
      <c r="W45" s="227"/>
      <c r="X45" s="228"/>
      <c r="Y45" s="229"/>
      <c r="Z45" s="224"/>
      <c r="AA45" s="227"/>
      <c r="AB45" s="227"/>
      <c r="AC45" s="227"/>
      <c r="AD45" s="230"/>
      <c r="AE45" s="562">
        <v>0</v>
      </c>
      <c r="AF45" s="563"/>
      <c r="AG45" s="490"/>
      <c r="AH45" s="550">
        <v>0</v>
      </c>
      <c r="AI45" s="551"/>
      <c r="AJ45" s="552"/>
      <c r="AK45" s="541">
        <v>0</v>
      </c>
      <c r="AL45" s="513"/>
      <c r="AM45" s="498"/>
      <c r="AN45" s="532">
        <v>0</v>
      </c>
      <c r="AO45" s="513"/>
      <c r="AP45" s="498"/>
      <c r="AQ45" s="532">
        <v>0</v>
      </c>
      <c r="AR45" s="513"/>
      <c r="AS45" s="533"/>
      <c r="AT45" s="514">
        <v>0</v>
      </c>
      <c r="AU45" s="515"/>
      <c r="AV45" s="516"/>
      <c r="AW45" s="556">
        <v>0</v>
      </c>
      <c r="AX45" s="557"/>
      <c r="AY45" s="558"/>
      <c r="AZ45" s="523"/>
    </row>
    <row r="46" spans="1:52" ht="20.100000000000001" customHeight="1">
      <c r="A46" s="482"/>
      <c r="B46" s="59" t="s">
        <v>15</v>
      </c>
      <c r="C46" s="500" t="s">
        <v>15</v>
      </c>
      <c r="D46" s="500"/>
      <c r="E46" s="500"/>
      <c r="F46" s="501"/>
      <c r="G46" s="502" t="s">
        <v>15</v>
      </c>
      <c r="H46" s="503"/>
      <c r="I46" s="504"/>
      <c r="J46" s="502" t="s">
        <v>15</v>
      </c>
      <c r="K46" s="503"/>
      <c r="L46" s="503"/>
      <c r="M46" s="503"/>
      <c r="N46" s="505"/>
      <c r="O46" s="231"/>
      <c r="P46" s="232"/>
      <c r="Q46" s="232"/>
      <c r="R46" s="225"/>
      <c r="S46" s="233"/>
      <c r="T46" s="231"/>
      <c r="U46" s="232"/>
      <c r="V46" s="232"/>
      <c r="W46" s="232"/>
      <c r="X46" s="234"/>
      <c r="Y46" s="236"/>
      <c r="Z46" s="232"/>
      <c r="AA46" s="232"/>
      <c r="AB46" s="232"/>
      <c r="AC46" s="232"/>
      <c r="AD46" s="234"/>
      <c r="AE46" s="528">
        <v>0</v>
      </c>
      <c r="AF46" s="529"/>
      <c r="AG46" s="491"/>
      <c r="AH46" s="553"/>
      <c r="AI46" s="554"/>
      <c r="AJ46" s="555"/>
      <c r="AK46" s="540">
        <v>0</v>
      </c>
      <c r="AL46" s="511"/>
      <c r="AM46" s="508"/>
      <c r="AN46" s="509">
        <v>0</v>
      </c>
      <c r="AO46" s="509"/>
      <c r="AP46" s="509"/>
      <c r="AQ46" s="510">
        <v>0</v>
      </c>
      <c r="AR46" s="511"/>
      <c r="AS46" s="511"/>
      <c r="AT46" s="525"/>
      <c r="AU46" s="526"/>
      <c r="AV46" s="527"/>
      <c r="AW46" s="559"/>
      <c r="AX46" s="560"/>
      <c r="AY46" s="561"/>
      <c r="AZ46" s="524"/>
    </row>
    <row r="47" spans="1:52" ht="20.100000000000001" hidden="1" customHeight="1">
      <c r="A47" s="481">
        <v>21</v>
      </c>
      <c r="B47" s="58"/>
      <c r="C47" s="483" t="s">
        <v>15</v>
      </c>
      <c r="D47" s="483"/>
      <c r="E47" s="483"/>
      <c r="F47" s="484"/>
      <c r="G47" s="485" t="s">
        <v>15</v>
      </c>
      <c r="H47" s="486"/>
      <c r="I47" s="486"/>
      <c r="J47" s="486"/>
      <c r="K47" s="486"/>
      <c r="L47" s="486"/>
      <c r="M47" s="486"/>
      <c r="N47" s="487"/>
      <c r="O47" s="226"/>
      <c r="P47" s="227"/>
      <c r="Q47" s="227"/>
      <c r="R47" s="227"/>
      <c r="S47" s="235"/>
      <c r="T47" s="226"/>
      <c r="U47" s="227"/>
      <c r="V47" s="227"/>
      <c r="W47" s="227"/>
      <c r="X47" s="228"/>
      <c r="Y47" s="229"/>
      <c r="Z47" s="224"/>
      <c r="AA47" s="227"/>
      <c r="AB47" s="227"/>
      <c r="AC47" s="227"/>
      <c r="AD47" s="230"/>
      <c r="AE47" s="562">
        <v>0</v>
      </c>
      <c r="AF47" s="563"/>
      <c r="AG47" s="490"/>
      <c r="AH47" s="550">
        <v>0</v>
      </c>
      <c r="AI47" s="551"/>
      <c r="AJ47" s="552"/>
      <c r="AK47" s="541">
        <v>0</v>
      </c>
      <c r="AL47" s="513"/>
      <c r="AM47" s="498"/>
      <c r="AN47" s="532">
        <v>0</v>
      </c>
      <c r="AO47" s="513"/>
      <c r="AP47" s="498"/>
      <c r="AQ47" s="532">
        <v>0</v>
      </c>
      <c r="AR47" s="513"/>
      <c r="AS47" s="533"/>
      <c r="AT47" s="514">
        <v>0</v>
      </c>
      <c r="AU47" s="515"/>
      <c r="AV47" s="516"/>
      <c r="AW47" s="556">
        <v>0</v>
      </c>
      <c r="AX47" s="557"/>
      <c r="AY47" s="558"/>
      <c r="AZ47" s="523"/>
    </row>
    <row r="48" spans="1:52" ht="20.100000000000001" hidden="1" customHeight="1">
      <c r="A48" s="482"/>
      <c r="B48" s="59" t="s">
        <v>15</v>
      </c>
      <c r="C48" s="500" t="s">
        <v>15</v>
      </c>
      <c r="D48" s="500"/>
      <c r="E48" s="500"/>
      <c r="F48" s="501"/>
      <c r="G48" s="502" t="s">
        <v>15</v>
      </c>
      <c r="H48" s="503"/>
      <c r="I48" s="504"/>
      <c r="J48" s="502" t="s">
        <v>15</v>
      </c>
      <c r="K48" s="503"/>
      <c r="L48" s="503"/>
      <c r="M48" s="503"/>
      <c r="N48" s="505"/>
      <c r="O48" s="231"/>
      <c r="P48" s="232"/>
      <c r="Q48" s="232"/>
      <c r="R48" s="225"/>
      <c r="S48" s="233"/>
      <c r="T48" s="231"/>
      <c r="U48" s="232"/>
      <c r="V48" s="232"/>
      <c r="W48" s="232"/>
      <c r="X48" s="234"/>
      <c r="Y48" s="236"/>
      <c r="Z48" s="232"/>
      <c r="AA48" s="232"/>
      <c r="AB48" s="232"/>
      <c r="AC48" s="232"/>
      <c r="AD48" s="234"/>
      <c r="AE48" s="528">
        <v>0</v>
      </c>
      <c r="AF48" s="529"/>
      <c r="AG48" s="491"/>
      <c r="AH48" s="553"/>
      <c r="AI48" s="554"/>
      <c r="AJ48" s="555"/>
      <c r="AK48" s="540">
        <v>0</v>
      </c>
      <c r="AL48" s="511"/>
      <c r="AM48" s="508"/>
      <c r="AN48" s="509">
        <v>0</v>
      </c>
      <c r="AO48" s="509"/>
      <c r="AP48" s="509"/>
      <c r="AQ48" s="510">
        <v>0</v>
      </c>
      <c r="AR48" s="511"/>
      <c r="AS48" s="511"/>
      <c r="AT48" s="525"/>
      <c r="AU48" s="526"/>
      <c r="AV48" s="527"/>
      <c r="AW48" s="559"/>
      <c r="AX48" s="560"/>
      <c r="AY48" s="561"/>
      <c r="AZ48" s="524"/>
    </row>
    <row r="49" spans="1:52" ht="20.100000000000001" hidden="1" customHeight="1">
      <c r="A49" s="481">
        <v>22</v>
      </c>
      <c r="B49" s="58"/>
      <c r="C49" s="483" t="s">
        <v>15</v>
      </c>
      <c r="D49" s="483"/>
      <c r="E49" s="483"/>
      <c r="F49" s="484"/>
      <c r="G49" s="485" t="s">
        <v>15</v>
      </c>
      <c r="H49" s="486"/>
      <c r="I49" s="486"/>
      <c r="J49" s="486"/>
      <c r="K49" s="486"/>
      <c r="L49" s="486"/>
      <c r="M49" s="486"/>
      <c r="N49" s="487"/>
      <c r="O49" s="226"/>
      <c r="P49" s="227"/>
      <c r="Q49" s="227"/>
      <c r="R49" s="227"/>
      <c r="S49" s="235"/>
      <c r="T49" s="226"/>
      <c r="U49" s="227"/>
      <c r="V49" s="227"/>
      <c r="W49" s="227"/>
      <c r="X49" s="228"/>
      <c r="Y49" s="229"/>
      <c r="Z49" s="224"/>
      <c r="AA49" s="227"/>
      <c r="AB49" s="227"/>
      <c r="AC49" s="227"/>
      <c r="AD49" s="230"/>
      <c r="AE49" s="562">
        <v>0</v>
      </c>
      <c r="AF49" s="563"/>
      <c r="AG49" s="490"/>
      <c r="AH49" s="550">
        <v>0</v>
      </c>
      <c r="AI49" s="551"/>
      <c r="AJ49" s="552"/>
      <c r="AK49" s="541">
        <v>0</v>
      </c>
      <c r="AL49" s="513"/>
      <c r="AM49" s="498"/>
      <c r="AN49" s="532">
        <v>0</v>
      </c>
      <c r="AO49" s="513"/>
      <c r="AP49" s="498"/>
      <c r="AQ49" s="532">
        <v>0</v>
      </c>
      <c r="AR49" s="513"/>
      <c r="AS49" s="533"/>
      <c r="AT49" s="514">
        <v>0</v>
      </c>
      <c r="AU49" s="515"/>
      <c r="AV49" s="516"/>
      <c r="AW49" s="556">
        <v>0</v>
      </c>
      <c r="AX49" s="557"/>
      <c r="AY49" s="558"/>
      <c r="AZ49" s="523"/>
    </row>
    <row r="50" spans="1:52" ht="20.100000000000001" hidden="1" customHeight="1">
      <c r="A50" s="482"/>
      <c r="B50" s="59" t="s">
        <v>15</v>
      </c>
      <c r="C50" s="500" t="s">
        <v>15</v>
      </c>
      <c r="D50" s="500"/>
      <c r="E50" s="500"/>
      <c r="F50" s="501"/>
      <c r="G50" s="502" t="s">
        <v>15</v>
      </c>
      <c r="H50" s="503"/>
      <c r="I50" s="504"/>
      <c r="J50" s="502" t="s">
        <v>15</v>
      </c>
      <c r="K50" s="503"/>
      <c r="L50" s="503"/>
      <c r="M50" s="503"/>
      <c r="N50" s="505"/>
      <c r="O50" s="231"/>
      <c r="P50" s="232"/>
      <c r="Q50" s="232"/>
      <c r="R50" s="225"/>
      <c r="S50" s="233"/>
      <c r="T50" s="231"/>
      <c r="U50" s="232"/>
      <c r="V50" s="232"/>
      <c r="W50" s="232"/>
      <c r="X50" s="234"/>
      <c r="Y50" s="236"/>
      <c r="Z50" s="232"/>
      <c r="AA50" s="232"/>
      <c r="AB50" s="232"/>
      <c r="AC50" s="232"/>
      <c r="AD50" s="234"/>
      <c r="AE50" s="528">
        <v>0</v>
      </c>
      <c r="AF50" s="529"/>
      <c r="AG50" s="491"/>
      <c r="AH50" s="553"/>
      <c r="AI50" s="554"/>
      <c r="AJ50" s="555"/>
      <c r="AK50" s="540">
        <v>0</v>
      </c>
      <c r="AL50" s="511"/>
      <c r="AM50" s="508"/>
      <c r="AN50" s="509">
        <v>0</v>
      </c>
      <c r="AO50" s="509"/>
      <c r="AP50" s="509"/>
      <c r="AQ50" s="510">
        <v>0</v>
      </c>
      <c r="AR50" s="511"/>
      <c r="AS50" s="511"/>
      <c r="AT50" s="525"/>
      <c r="AU50" s="526"/>
      <c r="AV50" s="527"/>
      <c r="AW50" s="559"/>
      <c r="AX50" s="560"/>
      <c r="AY50" s="561"/>
      <c r="AZ50" s="524"/>
    </row>
    <row r="51" spans="1:52" ht="20.100000000000001" hidden="1" customHeight="1">
      <c r="A51" s="481">
        <v>23</v>
      </c>
      <c r="B51" s="58"/>
      <c r="C51" s="483" t="s">
        <v>15</v>
      </c>
      <c r="D51" s="483"/>
      <c r="E51" s="483"/>
      <c r="F51" s="484"/>
      <c r="G51" s="485" t="s">
        <v>15</v>
      </c>
      <c r="H51" s="486"/>
      <c r="I51" s="486"/>
      <c r="J51" s="486"/>
      <c r="K51" s="486"/>
      <c r="L51" s="486"/>
      <c r="M51" s="486"/>
      <c r="N51" s="487"/>
      <c r="O51" s="226"/>
      <c r="P51" s="227"/>
      <c r="Q51" s="227"/>
      <c r="R51" s="227"/>
      <c r="S51" s="235"/>
      <c r="T51" s="226"/>
      <c r="U51" s="227"/>
      <c r="V51" s="227"/>
      <c r="W51" s="227"/>
      <c r="X51" s="228"/>
      <c r="Y51" s="229"/>
      <c r="Z51" s="224"/>
      <c r="AA51" s="227"/>
      <c r="AB51" s="227"/>
      <c r="AC51" s="227"/>
      <c r="AD51" s="230"/>
      <c r="AE51" s="562">
        <v>0</v>
      </c>
      <c r="AF51" s="563"/>
      <c r="AG51" s="490"/>
      <c r="AH51" s="550">
        <v>0</v>
      </c>
      <c r="AI51" s="551"/>
      <c r="AJ51" s="552"/>
      <c r="AK51" s="541">
        <v>0</v>
      </c>
      <c r="AL51" s="513"/>
      <c r="AM51" s="498"/>
      <c r="AN51" s="532">
        <v>0</v>
      </c>
      <c r="AO51" s="513"/>
      <c r="AP51" s="498"/>
      <c r="AQ51" s="532">
        <v>0</v>
      </c>
      <c r="AR51" s="513"/>
      <c r="AS51" s="533"/>
      <c r="AT51" s="514">
        <v>0</v>
      </c>
      <c r="AU51" s="515"/>
      <c r="AV51" s="516"/>
      <c r="AW51" s="556">
        <v>0</v>
      </c>
      <c r="AX51" s="557"/>
      <c r="AY51" s="558"/>
      <c r="AZ51" s="523"/>
    </row>
    <row r="52" spans="1:52" ht="20.100000000000001" hidden="1" customHeight="1">
      <c r="A52" s="482"/>
      <c r="B52" s="59" t="s">
        <v>15</v>
      </c>
      <c r="C52" s="500" t="s">
        <v>15</v>
      </c>
      <c r="D52" s="500"/>
      <c r="E52" s="500"/>
      <c r="F52" s="501"/>
      <c r="G52" s="502" t="s">
        <v>15</v>
      </c>
      <c r="H52" s="503"/>
      <c r="I52" s="504"/>
      <c r="J52" s="502" t="s">
        <v>15</v>
      </c>
      <c r="K52" s="503"/>
      <c r="L52" s="503"/>
      <c r="M52" s="503"/>
      <c r="N52" s="505"/>
      <c r="O52" s="231"/>
      <c r="P52" s="232"/>
      <c r="Q52" s="232"/>
      <c r="R52" s="225"/>
      <c r="S52" s="233"/>
      <c r="T52" s="231"/>
      <c r="U52" s="232"/>
      <c r="V52" s="232"/>
      <c r="W52" s="232"/>
      <c r="X52" s="234"/>
      <c r="Y52" s="236"/>
      <c r="Z52" s="232"/>
      <c r="AA52" s="232"/>
      <c r="AB52" s="232"/>
      <c r="AC52" s="232"/>
      <c r="AD52" s="234"/>
      <c r="AE52" s="528">
        <v>0</v>
      </c>
      <c r="AF52" s="529"/>
      <c r="AG52" s="491"/>
      <c r="AH52" s="553"/>
      <c r="AI52" s="554"/>
      <c r="AJ52" s="555"/>
      <c r="AK52" s="540">
        <v>0</v>
      </c>
      <c r="AL52" s="511"/>
      <c r="AM52" s="508"/>
      <c r="AN52" s="509">
        <v>0</v>
      </c>
      <c r="AO52" s="509"/>
      <c r="AP52" s="509"/>
      <c r="AQ52" s="510">
        <v>0</v>
      </c>
      <c r="AR52" s="511"/>
      <c r="AS52" s="511"/>
      <c r="AT52" s="525"/>
      <c r="AU52" s="526"/>
      <c r="AV52" s="527"/>
      <c r="AW52" s="559"/>
      <c r="AX52" s="560"/>
      <c r="AY52" s="561"/>
      <c r="AZ52" s="524"/>
    </row>
    <row r="53" spans="1:52" ht="20.100000000000001" hidden="1" customHeight="1">
      <c r="A53" s="481">
        <v>24</v>
      </c>
      <c r="B53" s="58"/>
      <c r="C53" s="483" t="s">
        <v>15</v>
      </c>
      <c r="D53" s="483"/>
      <c r="E53" s="483"/>
      <c r="F53" s="484"/>
      <c r="G53" s="485" t="s">
        <v>15</v>
      </c>
      <c r="H53" s="486"/>
      <c r="I53" s="486"/>
      <c r="J53" s="486"/>
      <c r="K53" s="486"/>
      <c r="L53" s="486"/>
      <c r="M53" s="486"/>
      <c r="N53" s="487"/>
      <c r="O53" s="226"/>
      <c r="P53" s="227"/>
      <c r="Q53" s="227"/>
      <c r="R53" s="227"/>
      <c r="S53" s="235"/>
      <c r="T53" s="226"/>
      <c r="U53" s="227"/>
      <c r="V53" s="227"/>
      <c r="W53" s="227"/>
      <c r="X53" s="228"/>
      <c r="Y53" s="229"/>
      <c r="Z53" s="224"/>
      <c r="AA53" s="227"/>
      <c r="AB53" s="227"/>
      <c r="AC53" s="227"/>
      <c r="AD53" s="230"/>
      <c r="AE53" s="562">
        <v>0</v>
      </c>
      <c r="AF53" s="563"/>
      <c r="AG53" s="490"/>
      <c r="AH53" s="550">
        <v>0</v>
      </c>
      <c r="AI53" s="551"/>
      <c r="AJ53" s="552"/>
      <c r="AK53" s="541">
        <v>0</v>
      </c>
      <c r="AL53" s="513"/>
      <c r="AM53" s="498"/>
      <c r="AN53" s="532">
        <v>0</v>
      </c>
      <c r="AO53" s="513"/>
      <c r="AP53" s="498"/>
      <c r="AQ53" s="532">
        <v>0</v>
      </c>
      <c r="AR53" s="513"/>
      <c r="AS53" s="533"/>
      <c r="AT53" s="514">
        <v>0</v>
      </c>
      <c r="AU53" s="515"/>
      <c r="AV53" s="516"/>
      <c r="AW53" s="556">
        <v>0</v>
      </c>
      <c r="AX53" s="557"/>
      <c r="AY53" s="558"/>
      <c r="AZ53" s="523"/>
    </row>
    <row r="54" spans="1:52" ht="20.100000000000001" hidden="1" customHeight="1">
      <c r="A54" s="482"/>
      <c r="B54" s="59" t="s">
        <v>15</v>
      </c>
      <c r="C54" s="500" t="s">
        <v>15</v>
      </c>
      <c r="D54" s="500"/>
      <c r="E54" s="500"/>
      <c r="F54" s="501"/>
      <c r="G54" s="502" t="s">
        <v>15</v>
      </c>
      <c r="H54" s="503"/>
      <c r="I54" s="504"/>
      <c r="J54" s="502" t="s">
        <v>15</v>
      </c>
      <c r="K54" s="503"/>
      <c r="L54" s="503"/>
      <c r="M54" s="503"/>
      <c r="N54" s="505"/>
      <c r="O54" s="231"/>
      <c r="P54" s="232"/>
      <c r="Q54" s="232"/>
      <c r="R54" s="225"/>
      <c r="S54" s="233"/>
      <c r="T54" s="231"/>
      <c r="U54" s="232"/>
      <c r="V54" s="232"/>
      <c r="W54" s="232"/>
      <c r="X54" s="234"/>
      <c r="Y54" s="236"/>
      <c r="Z54" s="232"/>
      <c r="AA54" s="232"/>
      <c r="AB54" s="232"/>
      <c r="AC54" s="232"/>
      <c r="AD54" s="234"/>
      <c r="AE54" s="528">
        <v>0</v>
      </c>
      <c r="AF54" s="529"/>
      <c r="AG54" s="491"/>
      <c r="AH54" s="553"/>
      <c r="AI54" s="554"/>
      <c r="AJ54" s="555"/>
      <c r="AK54" s="540">
        <v>0</v>
      </c>
      <c r="AL54" s="511"/>
      <c r="AM54" s="508"/>
      <c r="AN54" s="509">
        <v>0</v>
      </c>
      <c r="AO54" s="509"/>
      <c r="AP54" s="509"/>
      <c r="AQ54" s="510">
        <v>0</v>
      </c>
      <c r="AR54" s="511"/>
      <c r="AS54" s="511"/>
      <c r="AT54" s="525"/>
      <c r="AU54" s="526"/>
      <c r="AV54" s="527"/>
      <c r="AW54" s="559"/>
      <c r="AX54" s="560"/>
      <c r="AY54" s="561"/>
      <c r="AZ54" s="524"/>
    </row>
    <row r="55" spans="1:52" ht="20.100000000000001" hidden="1" customHeight="1">
      <c r="A55" s="481">
        <v>25</v>
      </c>
      <c r="B55" s="58"/>
      <c r="C55" s="483" t="s">
        <v>15</v>
      </c>
      <c r="D55" s="483"/>
      <c r="E55" s="483"/>
      <c r="F55" s="484"/>
      <c r="G55" s="485" t="s">
        <v>15</v>
      </c>
      <c r="H55" s="486"/>
      <c r="I55" s="486"/>
      <c r="J55" s="486"/>
      <c r="K55" s="486"/>
      <c r="L55" s="486"/>
      <c r="M55" s="486"/>
      <c r="N55" s="487"/>
      <c r="O55" s="226"/>
      <c r="P55" s="227"/>
      <c r="Q55" s="227"/>
      <c r="R55" s="227"/>
      <c r="S55" s="235"/>
      <c r="T55" s="226"/>
      <c r="U55" s="227"/>
      <c r="V55" s="227"/>
      <c r="W55" s="227"/>
      <c r="X55" s="228"/>
      <c r="Y55" s="229"/>
      <c r="Z55" s="224"/>
      <c r="AA55" s="227"/>
      <c r="AB55" s="227"/>
      <c r="AC55" s="227"/>
      <c r="AD55" s="230"/>
      <c r="AE55" s="562">
        <v>0</v>
      </c>
      <c r="AF55" s="563"/>
      <c r="AG55" s="490"/>
      <c r="AH55" s="550">
        <v>0</v>
      </c>
      <c r="AI55" s="551"/>
      <c r="AJ55" s="552"/>
      <c r="AK55" s="541">
        <v>0</v>
      </c>
      <c r="AL55" s="513"/>
      <c r="AM55" s="498"/>
      <c r="AN55" s="532">
        <v>0</v>
      </c>
      <c r="AO55" s="513"/>
      <c r="AP55" s="498"/>
      <c r="AQ55" s="532">
        <v>0</v>
      </c>
      <c r="AR55" s="513"/>
      <c r="AS55" s="533"/>
      <c r="AT55" s="514">
        <v>0</v>
      </c>
      <c r="AU55" s="515"/>
      <c r="AV55" s="516"/>
      <c r="AW55" s="556">
        <v>0</v>
      </c>
      <c r="AX55" s="557"/>
      <c r="AY55" s="558"/>
      <c r="AZ55" s="523"/>
    </row>
    <row r="56" spans="1:52" ht="20.100000000000001" hidden="1" customHeight="1">
      <c r="A56" s="482"/>
      <c r="B56" s="59" t="s">
        <v>15</v>
      </c>
      <c r="C56" s="500" t="s">
        <v>15</v>
      </c>
      <c r="D56" s="500"/>
      <c r="E56" s="500"/>
      <c r="F56" s="501"/>
      <c r="G56" s="502" t="s">
        <v>15</v>
      </c>
      <c r="H56" s="503"/>
      <c r="I56" s="504"/>
      <c r="J56" s="502" t="s">
        <v>15</v>
      </c>
      <c r="K56" s="503"/>
      <c r="L56" s="503"/>
      <c r="M56" s="503"/>
      <c r="N56" s="505"/>
      <c r="O56" s="231"/>
      <c r="P56" s="232"/>
      <c r="Q56" s="232"/>
      <c r="R56" s="225"/>
      <c r="S56" s="233"/>
      <c r="T56" s="231"/>
      <c r="U56" s="232"/>
      <c r="V56" s="232"/>
      <c r="W56" s="232"/>
      <c r="X56" s="234"/>
      <c r="Y56" s="236"/>
      <c r="Z56" s="232"/>
      <c r="AA56" s="232"/>
      <c r="AB56" s="232"/>
      <c r="AC56" s="232"/>
      <c r="AD56" s="234"/>
      <c r="AE56" s="528">
        <v>0</v>
      </c>
      <c r="AF56" s="529"/>
      <c r="AG56" s="491"/>
      <c r="AH56" s="553"/>
      <c r="AI56" s="554"/>
      <c r="AJ56" s="555"/>
      <c r="AK56" s="540">
        <v>0</v>
      </c>
      <c r="AL56" s="511"/>
      <c r="AM56" s="508"/>
      <c r="AN56" s="509">
        <v>0</v>
      </c>
      <c r="AO56" s="509"/>
      <c r="AP56" s="509"/>
      <c r="AQ56" s="510">
        <v>0</v>
      </c>
      <c r="AR56" s="511"/>
      <c r="AS56" s="511"/>
      <c r="AT56" s="525"/>
      <c r="AU56" s="526"/>
      <c r="AV56" s="527"/>
      <c r="AW56" s="559"/>
      <c r="AX56" s="560"/>
      <c r="AY56" s="561"/>
      <c r="AZ56" s="524"/>
    </row>
    <row r="57" spans="1:52" ht="20.100000000000001" hidden="1" customHeight="1">
      <c r="A57" s="481">
        <v>26</v>
      </c>
      <c r="B57" s="58"/>
      <c r="C57" s="483" t="s">
        <v>15</v>
      </c>
      <c r="D57" s="483"/>
      <c r="E57" s="483"/>
      <c r="F57" s="484"/>
      <c r="G57" s="485" t="s">
        <v>15</v>
      </c>
      <c r="H57" s="486"/>
      <c r="I57" s="486"/>
      <c r="J57" s="486"/>
      <c r="K57" s="486"/>
      <c r="L57" s="486"/>
      <c r="M57" s="486"/>
      <c r="N57" s="487"/>
      <c r="O57" s="226"/>
      <c r="P57" s="227"/>
      <c r="Q57" s="227"/>
      <c r="R57" s="227"/>
      <c r="S57" s="235"/>
      <c r="T57" s="226"/>
      <c r="U57" s="227"/>
      <c r="V57" s="227"/>
      <c r="W57" s="227"/>
      <c r="X57" s="228"/>
      <c r="Y57" s="229"/>
      <c r="Z57" s="224"/>
      <c r="AA57" s="227"/>
      <c r="AB57" s="227"/>
      <c r="AC57" s="227"/>
      <c r="AD57" s="230"/>
      <c r="AE57" s="562">
        <v>0</v>
      </c>
      <c r="AF57" s="563"/>
      <c r="AG57" s="490"/>
      <c r="AH57" s="550">
        <v>0</v>
      </c>
      <c r="AI57" s="551"/>
      <c r="AJ57" s="552"/>
      <c r="AK57" s="541">
        <v>0</v>
      </c>
      <c r="AL57" s="513"/>
      <c r="AM57" s="498"/>
      <c r="AN57" s="532">
        <v>0</v>
      </c>
      <c r="AO57" s="513"/>
      <c r="AP57" s="498"/>
      <c r="AQ57" s="532">
        <v>0</v>
      </c>
      <c r="AR57" s="513"/>
      <c r="AS57" s="533"/>
      <c r="AT57" s="514">
        <v>0</v>
      </c>
      <c r="AU57" s="515"/>
      <c r="AV57" s="516"/>
      <c r="AW57" s="556">
        <v>0</v>
      </c>
      <c r="AX57" s="557"/>
      <c r="AY57" s="558"/>
      <c r="AZ57" s="523"/>
    </row>
    <row r="58" spans="1:52" ht="20.100000000000001" hidden="1" customHeight="1">
      <c r="A58" s="482"/>
      <c r="B58" s="59" t="s">
        <v>15</v>
      </c>
      <c r="C58" s="500" t="s">
        <v>15</v>
      </c>
      <c r="D58" s="500"/>
      <c r="E58" s="500"/>
      <c r="F58" s="501"/>
      <c r="G58" s="502" t="s">
        <v>15</v>
      </c>
      <c r="H58" s="503"/>
      <c r="I58" s="504"/>
      <c r="J58" s="502" t="s">
        <v>15</v>
      </c>
      <c r="K58" s="503"/>
      <c r="L58" s="503"/>
      <c r="M58" s="503"/>
      <c r="N58" s="505"/>
      <c r="O58" s="231"/>
      <c r="P58" s="232"/>
      <c r="Q58" s="232"/>
      <c r="R58" s="225"/>
      <c r="S58" s="233"/>
      <c r="T58" s="231"/>
      <c r="U58" s="232"/>
      <c r="V58" s="232"/>
      <c r="W58" s="232"/>
      <c r="X58" s="234"/>
      <c r="Y58" s="236"/>
      <c r="Z58" s="232"/>
      <c r="AA58" s="232"/>
      <c r="AB58" s="232"/>
      <c r="AC58" s="232"/>
      <c r="AD58" s="234"/>
      <c r="AE58" s="528">
        <v>0</v>
      </c>
      <c r="AF58" s="529"/>
      <c r="AG58" s="491"/>
      <c r="AH58" s="553"/>
      <c r="AI58" s="554"/>
      <c r="AJ58" s="555"/>
      <c r="AK58" s="540">
        <v>0</v>
      </c>
      <c r="AL58" s="511"/>
      <c r="AM58" s="508"/>
      <c r="AN58" s="509">
        <v>0</v>
      </c>
      <c r="AO58" s="509"/>
      <c r="AP58" s="509"/>
      <c r="AQ58" s="510">
        <v>0</v>
      </c>
      <c r="AR58" s="511"/>
      <c r="AS58" s="511"/>
      <c r="AT58" s="525"/>
      <c r="AU58" s="526"/>
      <c r="AV58" s="527"/>
      <c r="AW58" s="559"/>
      <c r="AX58" s="560"/>
      <c r="AY58" s="561"/>
      <c r="AZ58" s="524"/>
    </row>
    <row r="59" spans="1:52" ht="20.100000000000001" hidden="1" customHeight="1">
      <c r="A59" s="481">
        <v>27</v>
      </c>
      <c r="B59" s="58"/>
      <c r="C59" s="483" t="s">
        <v>15</v>
      </c>
      <c r="D59" s="483"/>
      <c r="E59" s="483"/>
      <c r="F59" s="484"/>
      <c r="G59" s="485" t="s">
        <v>15</v>
      </c>
      <c r="H59" s="486"/>
      <c r="I59" s="486"/>
      <c r="J59" s="486"/>
      <c r="K59" s="486"/>
      <c r="L59" s="486"/>
      <c r="M59" s="486"/>
      <c r="N59" s="487"/>
      <c r="O59" s="226"/>
      <c r="P59" s="227"/>
      <c r="Q59" s="227"/>
      <c r="R59" s="227"/>
      <c r="S59" s="235"/>
      <c r="T59" s="226"/>
      <c r="U59" s="227"/>
      <c r="V59" s="227"/>
      <c r="W59" s="227"/>
      <c r="X59" s="228"/>
      <c r="Y59" s="229"/>
      <c r="Z59" s="224"/>
      <c r="AA59" s="227"/>
      <c r="AB59" s="227"/>
      <c r="AC59" s="227"/>
      <c r="AD59" s="230"/>
      <c r="AE59" s="562">
        <v>0</v>
      </c>
      <c r="AF59" s="563"/>
      <c r="AG59" s="490"/>
      <c r="AH59" s="550">
        <v>0</v>
      </c>
      <c r="AI59" s="551"/>
      <c r="AJ59" s="552"/>
      <c r="AK59" s="541">
        <v>0</v>
      </c>
      <c r="AL59" s="513"/>
      <c r="AM59" s="498"/>
      <c r="AN59" s="532">
        <v>0</v>
      </c>
      <c r="AO59" s="513"/>
      <c r="AP59" s="498"/>
      <c r="AQ59" s="532">
        <v>0</v>
      </c>
      <c r="AR59" s="513"/>
      <c r="AS59" s="533"/>
      <c r="AT59" s="514">
        <v>0</v>
      </c>
      <c r="AU59" s="515"/>
      <c r="AV59" s="516"/>
      <c r="AW59" s="556">
        <v>0</v>
      </c>
      <c r="AX59" s="557"/>
      <c r="AY59" s="558"/>
      <c r="AZ59" s="523"/>
    </row>
    <row r="60" spans="1:52" ht="20.100000000000001" hidden="1" customHeight="1">
      <c r="A60" s="482"/>
      <c r="B60" s="59" t="s">
        <v>15</v>
      </c>
      <c r="C60" s="500" t="s">
        <v>15</v>
      </c>
      <c r="D60" s="500"/>
      <c r="E60" s="500"/>
      <c r="F60" s="501"/>
      <c r="G60" s="502" t="s">
        <v>15</v>
      </c>
      <c r="H60" s="503"/>
      <c r="I60" s="504"/>
      <c r="J60" s="502" t="s">
        <v>15</v>
      </c>
      <c r="K60" s="503"/>
      <c r="L60" s="503"/>
      <c r="M60" s="503"/>
      <c r="N60" s="505"/>
      <c r="O60" s="231"/>
      <c r="P60" s="232"/>
      <c r="Q60" s="232"/>
      <c r="R60" s="225"/>
      <c r="S60" s="233"/>
      <c r="T60" s="231"/>
      <c r="U60" s="232"/>
      <c r="V60" s="232"/>
      <c r="W60" s="232"/>
      <c r="X60" s="234"/>
      <c r="Y60" s="236"/>
      <c r="Z60" s="232"/>
      <c r="AA60" s="232"/>
      <c r="AB60" s="232"/>
      <c r="AC60" s="232"/>
      <c r="AD60" s="234"/>
      <c r="AE60" s="528">
        <v>0</v>
      </c>
      <c r="AF60" s="529"/>
      <c r="AG60" s="491"/>
      <c r="AH60" s="553"/>
      <c r="AI60" s="554"/>
      <c r="AJ60" s="555"/>
      <c r="AK60" s="540">
        <v>0</v>
      </c>
      <c r="AL60" s="511"/>
      <c r="AM60" s="508"/>
      <c r="AN60" s="509">
        <v>0</v>
      </c>
      <c r="AO60" s="509"/>
      <c r="AP60" s="509"/>
      <c r="AQ60" s="510">
        <v>0</v>
      </c>
      <c r="AR60" s="511"/>
      <c r="AS60" s="511"/>
      <c r="AT60" s="525"/>
      <c r="AU60" s="526"/>
      <c r="AV60" s="527"/>
      <c r="AW60" s="559"/>
      <c r="AX60" s="560"/>
      <c r="AY60" s="561"/>
      <c r="AZ60" s="524"/>
    </row>
    <row r="61" spans="1:52" ht="20.100000000000001" hidden="1" customHeight="1">
      <c r="A61" s="481">
        <v>28</v>
      </c>
      <c r="B61" s="58"/>
      <c r="C61" s="483" t="s">
        <v>15</v>
      </c>
      <c r="D61" s="483"/>
      <c r="E61" s="483"/>
      <c r="F61" s="484"/>
      <c r="G61" s="485" t="s">
        <v>15</v>
      </c>
      <c r="H61" s="486"/>
      <c r="I61" s="486"/>
      <c r="J61" s="486"/>
      <c r="K61" s="486"/>
      <c r="L61" s="486"/>
      <c r="M61" s="486"/>
      <c r="N61" s="487"/>
      <c r="O61" s="226"/>
      <c r="P61" s="227"/>
      <c r="Q61" s="227"/>
      <c r="R61" s="227"/>
      <c r="S61" s="235"/>
      <c r="T61" s="226"/>
      <c r="U61" s="227"/>
      <c r="V61" s="227"/>
      <c r="W61" s="227"/>
      <c r="X61" s="228"/>
      <c r="Y61" s="229"/>
      <c r="Z61" s="224"/>
      <c r="AA61" s="227"/>
      <c r="AB61" s="227"/>
      <c r="AC61" s="227"/>
      <c r="AD61" s="230"/>
      <c r="AE61" s="562">
        <v>0</v>
      </c>
      <c r="AF61" s="563"/>
      <c r="AG61" s="490"/>
      <c r="AH61" s="550">
        <v>0</v>
      </c>
      <c r="AI61" s="551"/>
      <c r="AJ61" s="552"/>
      <c r="AK61" s="541">
        <v>0</v>
      </c>
      <c r="AL61" s="513"/>
      <c r="AM61" s="498"/>
      <c r="AN61" s="532">
        <v>0</v>
      </c>
      <c r="AO61" s="513"/>
      <c r="AP61" s="498"/>
      <c r="AQ61" s="532">
        <v>0</v>
      </c>
      <c r="AR61" s="513"/>
      <c r="AS61" s="533"/>
      <c r="AT61" s="514">
        <v>0</v>
      </c>
      <c r="AU61" s="515"/>
      <c r="AV61" s="516"/>
      <c r="AW61" s="556">
        <v>0</v>
      </c>
      <c r="AX61" s="557"/>
      <c r="AY61" s="558"/>
      <c r="AZ61" s="523"/>
    </row>
    <row r="62" spans="1:52" ht="20.100000000000001" hidden="1" customHeight="1">
      <c r="A62" s="482"/>
      <c r="B62" s="59" t="s">
        <v>15</v>
      </c>
      <c r="C62" s="500" t="s">
        <v>15</v>
      </c>
      <c r="D62" s="500"/>
      <c r="E62" s="500"/>
      <c r="F62" s="501"/>
      <c r="G62" s="502" t="s">
        <v>15</v>
      </c>
      <c r="H62" s="503"/>
      <c r="I62" s="504"/>
      <c r="J62" s="502" t="s">
        <v>15</v>
      </c>
      <c r="K62" s="503"/>
      <c r="L62" s="503"/>
      <c r="M62" s="503"/>
      <c r="N62" s="505"/>
      <c r="O62" s="231"/>
      <c r="P62" s="232"/>
      <c r="Q62" s="232"/>
      <c r="R62" s="225"/>
      <c r="S62" s="233"/>
      <c r="T62" s="231"/>
      <c r="U62" s="232"/>
      <c r="V62" s="232"/>
      <c r="W62" s="232"/>
      <c r="X62" s="234"/>
      <c r="Y62" s="236"/>
      <c r="Z62" s="232"/>
      <c r="AA62" s="232"/>
      <c r="AB62" s="232"/>
      <c r="AC62" s="232"/>
      <c r="AD62" s="234"/>
      <c r="AE62" s="528">
        <v>0</v>
      </c>
      <c r="AF62" s="529"/>
      <c r="AG62" s="491"/>
      <c r="AH62" s="553"/>
      <c r="AI62" s="554"/>
      <c r="AJ62" s="555"/>
      <c r="AK62" s="540">
        <v>0</v>
      </c>
      <c r="AL62" s="511"/>
      <c r="AM62" s="508"/>
      <c r="AN62" s="509">
        <v>0</v>
      </c>
      <c r="AO62" s="509"/>
      <c r="AP62" s="509"/>
      <c r="AQ62" s="510">
        <v>0</v>
      </c>
      <c r="AR62" s="511"/>
      <c r="AS62" s="511"/>
      <c r="AT62" s="525"/>
      <c r="AU62" s="526"/>
      <c r="AV62" s="527"/>
      <c r="AW62" s="559"/>
      <c r="AX62" s="560"/>
      <c r="AY62" s="561"/>
      <c r="AZ62" s="524"/>
    </row>
    <row r="63" spans="1:52" ht="20.100000000000001" hidden="1" customHeight="1">
      <c r="A63" s="481">
        <v>29</v>
      </c>
      <c r="B63" s="58"/>
      <c r="C63" s="483" t="s">
        <v>15</v>
      </c>
      <c r="D63" s="483"/>
      <c r="E63" s="483"/>
      <c r="F63" s="484"/>
      <c r="G63" s="485" t="s">
        <v>15</v>
      </c>
      <c r="H63" s="486"/>
      <c r="I63" s="486"/>
      <c r="J63" s="486"/>
      <c r="K63" s="486"/>
      <c r="L63" s="486"/>
      <c r="M63" s="486"/>
      <c r="N63" s="487"/>
      <c r="O63" s="226"/>
      <c r="P63" s="227"/>
      <c r="Q63" s="227"/>
      <c r="R63" s="227"/>
      <c r="S63" s="235"/>
      <c r="T63" s="226"/>
      <c r="U63" s="227"/>
      <c r="V63" s="227"/>
      <c r="W63" s="227"/>
      <c r="X63" s="228"/>
      <c r="Y63" s="229"/>
      <c r="Z63" s="224"/>
      <c r="AA63" s="227"/>
      <c r="AB63" s="227"/>
      <c r="AC63" s="227"/>
      <c r="AD63" s="230"/>
      <c r="AE63" s="562">
        <v>0</v>
      </c>
      <c r="AF63" s="563"/>
      <c r="AG63" s="490"/>
      <c r="AH63" s="550">
        <v>0</v>
      </c>
      <c r="AI63" s="551"/>
      <c r="AJ63" s="552"/>
      <c r="AK63" s="541">
        <v>0</v>
      </c>
      <c r="AL63" s="513"/>
      <c r="AM63" s="498"/>
      <c r="AN63" s="532">
        <v>0</v>
      </c>
      <c r="AO63" s="513"/>
      <c r="AP63" s="498"/>
      <c r="AQ63" s="532">
        <v>0</v>
      </c>
      <c r="AR63" s="513"/>
      <c r="AS63" s="533"/>
      <c r="AT63" s="514">
        <v>0</v>
      </c>
      <c r="AU63" s="515"/>
      <c r="AV63" s="516"/>
      <c r="AW63" s="556">
        <v>0</v>
      </c>
      <c r="AX63" s="557"/>
      <c r="AY63" s="558"/>
      <c r="AZ63" s="523"/>
    </row>
    <row r="64" spans="1:52" ht="20.100000000000001" hidden="1" customHeight="1">
      <c r="A64" s="482"/>
      <c r="B64" s="59" t="s">
        <v>15</v>
      </c>
      <c r="C64" s="500" t="s">
        <v>15</v>
      </c>
      <c r="D64" s="500"/>
      <c r="E64" s="500"/>
      <c r="F64" s="501"/>
      <c r="G64" s="502" t="s">
        <v>15</v>
      </c>
      <c r="H64" s="503"/>
      <c r="I64" s="504"/>
      <c r="J64" s="502" t="s">
        <v>15</v>
      </c>
      <c r="K64" s="503"/>
      <c r="L64" s="503"/>
      <c r="M64" s="503"/>
      <c r="N64" s="505"/>
      <c r="O64" s="231"/>
      <c r="P64" s="232"/>
      <c r="Q64" s="232"/>
      <c r="R64" s="225"/>
      <c r="S64" s="233"/>
      <c r="T64" s="231"/>
      <c r="U64" s="232"/>
      <c r="V64" s="232"/>
      <c r="W64" s="232"/>
      <c r="X64" s="234"/>
      <c r="Y64" s="236"/>
      <c r="Z64" s="232"/>
      <c r="AA64" s="232"/>
      <c r="AB64" s="232"/>
      <c r="AC64" s="232"/>
      <c r="AD64" s="234"/>
      <c r="AE64" s="528">
        <v>0</v>
      </c>
      <c r="AF64" s="529"/>
      <c r="AG64" s="491"/>
      <c r="AH64" s="553"/>
      <c r="AI64" s="554"/>
      <c r="AJ64" s="555"/>
      <c r="AK64" s="540">
        <v>0</v>
      </c>
      <c r="AL64" s="511"/>
      <c r="AM64" s="508"/>
      <c r="AN64" s="509">
        <v>0</v>
      </c>
      <c r="AO64" s="509"/>
      <c r="AP64" s="509"/>
      <c r="AQ64" s="510">
        <v>0</v>
      </c>
      <c r="AR64" s="511"/>
      <c r="AS64" s="511"/>
      <c r="AT64" s="525"/>
      <c r="AU64" s="526"/>
      <c r="AV64" s="527"/>
      <c r="AW64" s="559"/>
      <c r="AX64" s="560"/>
      <c r="AY64" s="561"/>
      <c r="AZ64" s="524"/>
    </row>
    <row r="65" spans="1:52" ht="20.100000000000001" hidden="1" customHeight="1">
      <c r="A65" s="481">
        <v>30</v>
      </c>
      <c r="B65" s="58"/>
      <c r="C65" s="483" t="s">
        <v>15</v>
      </c>
      <c r="D65" s="483"/>
      <c r="E65" s="483"/>
      <c r="F65" s="484"/>
      <c r="G65" s="485" t="s">
        <v>15</v>
      </c>
      <c r="H65" s="486"/>
      <c r="I65" s="486"/>
      <c r="J65" s="486"/>
      <c r="K65" s="486"/>
      <c r="L65" s="486"/>
      <c r="M65" s="486"/>
      <c r="N65" s="487"/>
      <c r="O65" s="226"/>
      <c r="P65" s="227"/>
      <c r="Q65" s="227"/>
      <c r="R65" s="227"/>
      <c r="S65" s="235"/>
      <c r="T65" s="226"/>
      <c r="U65" s="227"/>
      <c r="V65" s="227"/>
      <c r="W65" s="227"/>
      <c r="X65" s="228"/>
      <c r="Y65" s="229"/>
      <c r="Z65" s="224"/>
      <c r="AA65" s="227"/>
      <c r="AB65" s="227"/>
      <c r="AC65" s="227"/>
      <c r="AD65" s="230"/>
      <c r="AE65" s="562">
        <v>0</v>
      </c>
      <c r="AF65" s="563"/>
      <c r="AG65" s="490"/>
      <c r="AH65" s="550">
        <v>0</v>
      </c>
      <c r="AI65" s="551"/>
      <c r="AJ65" s="552"/>
      <c r="AK65" s="541">
        <v>0</v>
      </c>
      <c r="AL65" s="513"/>
      <c r="AM65" s="498"/>
      <c r="AN65" s="532">
        <v>0</v>
      </c>
      <c r="AO65" s="513"/>
      <c r="AP65" s="498"/>
      <c r="AQ65" s="532">
        <v>0</v>
      </c>
      <c r="AR65" s="513"/>
      <c r="AS65" s="533"/>
      <c r="AT65" s="514">
        <v>0</v>
      </c>
      <c r="AU65" s="515"/>
      <c r="AV65" s="516"/>
      <c r="AW65" s="556">
        <v>0</v>
      </c>
      <c r="AX65" s="557"/>
      <c r="AY65" s="558"/>
      <c r="AZ65" s="523"/>
    </row>
    <row r="66" spans="1:52" ht="20.100000000000001" hidden="1" customHeight="1">
      <c r="A66" s="482"/>
      <c r="B66" s="59" t="s">
        <v>15</v>
      </c>
      <c r="C66" s="500" t="s">
        <v>15</v>
      </c>
      <c r="D66" s="500"/>
      <c r="E66" s="500"/>
      <c r="F66" s="501"/>
      <c r="G66" s="502" t="s">
        <v>15</v>
      </c>
      <c r="H66" s="503"/>
      <c r="I66" s="504"/>
      <c r="J66" s="502" t="s">
        <v>15</v>
      </c>
      <c r="K66" s="503"/>
      <c r="L66" s="503"/>
      <c r="M66" s="503"/>
      <c r="N66" s="505"/>
      <c r="O66" s="231"/>
      <c r="P66" s="232"/>
      <c r="Q66" s="232"/>
      <c r="R66" s="225"/>
      <c r="S66" s="233"/>
      <c r="T66" s="231"/>
      <c r="U66" s="232"/>
      <c r="V66" s="232"/>
      <c r="W66" s="232"/>
      <c r="X66" s="234"/>
      <c r="Y66" s="236"/>
      <c r="Z66" s="232"/>
      <c r="AA66" s="232"/>
      <c r="AB66" s="232"/>
      <c r="AC66" s="232"/>
      <c r="AD66" s="234"/>
      <c r="AE66" s="528">
        <v>0</v>
      </c>
      <c r="AF66" s="529"/>
      <c r="AG66" s="491"/>
      <c r="AH66" s="553"/>
      <c r="AI66" s="554"/>
      <c r="AJ66" s="555"/>
      <c r="AK66" s="540">
        <v>0</v>
      </c>
      <c r="AL66" s="511"/>
      <c r="AM66" s="508"/>
      <c r="AN66" s="509">
        <v>0</v>
      </c>
      <c r="AO66" s="509"/>
      <c r="AP66" s="509"/>
      <c r="AQ66" s="510">
        <v>0</v>
      </c>
      <c r="AR66" s="511"/>
      <c r="AS66" s="511"/>
      <c r="AT66" s="525"/>
      <c r="AU66" s="526"/>
      <c r="AV66" s="527"/>
      <c r="AW66" s="559"/>
      <c r="AX66" s="560"/>
      <c r="AY66" s="561"/>
      <c r="AZ66" s="524"/>
    </row>
    <row r="67" spans="1:52" ht="20.100000000000001" hidden="1" customHeight="1">
      <c r="A67" s="481">
        <v>31</v>
      </c>
      <c r="B67" s="58"/>
      <c r="C67" s="483" t="s">
        <v>15</v>
      </c>
      <c r="D67" s="483"/>
      <c r="E67" s="483"/>
      <c r="F67" s="484"/>
      <c r="G67" s="485" t="s">
        <v>15</v>
      </c>
      <c r="H67" s="486"/>
      <c r="I67" s="486"/>
      <c r="J67" s="486"/>
      <c r="K67" s="486"/>
      <c r="L67" s="486"/>
      <c r="M67" s="486"/>
      <c r="N67" s="487"/>
      <c r="O67" s="226"/>
      <c r="P67" s="227"/>
      <c r="Q67" s="227"/>
      <c r="R67" s="227"/>
      <c r="S67" s="235"/>
      <c r="T67" s="226"/>
      <c r="U67" s="227"/>
      <c r="V67" s="227"/>
      <c r="W67" s="227"/>
      <c r="X67" s="228"/>
      <c r="Y67" s="229"/>
      <c r="Z67" s="224"/>
      <c r="AA67" s="227"/>
      <c r="AB67" s="227"/>
      <c r="AC67" s="227"/>
      <c r="AD67" s="230"/>
      <c r="AE67" s="562">
        <v>0</v>
      </c>
      <c r="AF67" s="563"/>
      <c r="AG67" s="490"/>
      <c r="AH67" s="550">
        <v>0</v>
      </c>
      <c r="AI67" s="551"/>
      <c r="AJ67" s="552"/>
      <c r="AK67" s="541">
        <v>0</v>
      </c>
      <c r="AL67" s="513"/>
      <c r="AM67" s="498"/>
      <c r="AN67" s="532">
        <v>0</v>
      </c>
      <c r="AO67" s="513"/>
      <c r="AP67" s="498"/>
      <c r="AQ67" s="532">
        <v>0</v>
      </c>
      <c r="AR67" s="513"/>
      <c r="AS67" s="533"/>
      <c r="AT67" s="514">
        <v>0</v>
      </c>
      <c r="AU67" s="515"/>
      <c r="AV67" s="516"/>
      <c r="AW67" s="556">
        <v>0</v>
      </c>
      <c r="AX67" s="557"/>
      <c r="AY67" s="558"/>
      <c r="AZ67" s="523"/>
    </row>
    <row r="68" spans="1:52" ht="20.100000000000001" hidden="1" customHeight="1">
      <c r="A68" s="482"/>
      <c r="B68" s="59" t="s">
        <v>15</v>
      </c>
      <c r="C68" s="500" t="s">
        <v>15</v>
      </c>
      <c r="D68" s="500"/>
      <c r="E68" s="500"/>
      <c r="F68" s="501"/>
      <c r="G68" s="502" t="s">
        <v>15</v>
      </c>
      <c r="H68" s="503"/>
      <c r="I68" s="504"/>
      <c r="J68" s="502" t="s">
        <v>15</v>
      </c>
      <c r="K68" s="503"/>
      <c r="L68" s="503"/>
      <c r="M68" s="503"/>
      <c r="N68" s="505"/>
      <c r="O68" s="231"/>
      <c r="P68" s="232"/>
      <c r="Q68" s="232"/>
      <c r="R68" s="225"/>
      <c r="S68" s="233"/>
      <c r="T68" s="231"/>
      <c r="U68" s="232"/>
      <c r="V68" s="232"/>
      <c r="W68" s="232"/>
      <c r="X68" s="234"/>
      <c r="Y68" s="236"/>
      <c r="Z68" s="232"/>
      <c r="AA68" s="232"/>
      <c r="AB68" s="232"/>
      <c r="AC68" s="232"/>
      <c r="AD68" s="234"/>
      <c r="AE68" s="528">
        <v>0</v>
      </c>
      <c r="AF68" s="529"/>
      <c r="AG68" s="491"/>
      <c r="AH68" s="553"/>
      <c r="AI68" s="554"/>
      <c r="AJ68" s="555"/>
      <c r="AK68" s="540">
        <v>0</v>
      </c>
      <c r="AL68" s="511"/>
      <c r="AM68" s="508"/>
      <c r="AN68" s="509">
        <v>0</v>
      </c>
      <c r="AO68" s="509"/>
      <c r="AP68" s="509"/>
      <c r="AQ68" s="510">
        <v>0</v>
      </c>
      <c r="AR68" s="511"/>
      <c r="AS68" s="511"/>
      <c r="AT68" s="525"/>
      <c r="AU68" s="526"/>
      <c r="AV68" s="527"/>
      <c r="AW68" s="559"/>
      <c r="AX68" s="560"/>
      <c r="AY68" s="561"/>
      <c r="AZ68" s="524"/>
    </row>
    <row r="69" spans="1:52" ht="20.100000000000001" hidden="1" customHeight="1">
      <c r="A69" s="481">
        <v>32</v>
      </c>
      <c r="B69" s="58"/>
      <c r="C69" s="483" t="s">
        <v>15</v>
      </c>
      <c r="D69" s="483"/>
      <c r="E69" s="483"/>
      <c r="F69" s="484"/>
      <c r="G69" s="485" t="s">
        <v>15</v>
      </c>
      <c r="H69" s="486"/>
      <c r="I69" s="486"/>
      <c r="J69" s="486"/>
      <c r="K69" s="486"/>
      <c r="L69" s="486"/>
      <c r="M69" s="486"/>
      <c r="N69" s="487"/>
      <c r="O69" s="226"/>
      <c r="P69" s="227"/>
      <c r="Q69" s="227"/>
      <c r="R69" s="227"/>
      <c r="S69" s="235"/>
      <c r="T69" s="226"/>
      <c r="U69" s="227"/>
      <c r="V69" s="227"/>
      <c r="W69" s="227"/>
      <c r="X69" s="228"/>
      <c r="Y69" s="229"/>
      <c r="Z69" s="224"/>
      <c r="AA69" s="227"/>
      <c r="AB69" s="227"/>
      <c r="AC69" s="227"/>
      <c r="AD69" s="230"/>
      <c r="AE69" s="562">
        <v>0</v>
      </c>
      <c r="AF69" s="563"/>
      <c r="AG69" s="490"/>
      <c r="AH69" s="550">
        <v>0</v>
      </c>
      <c r="AI69" s="551"/>
      <c r="AJ69" s="552"/>
      <c r="AK69" s="541">
        <v>0</v>
      </c>
      <c r="AL69" s="513"/>
      <c r="AM69" s="498"/>
      <c r="AN69" s="532">
        <v>0</v>
      </c>
      <c r="AO69" s="513"/>
      <c r="AP69" s="498"/>
      <c r="AQ69" s="532">
        <v>0</v>
      </c>
      <c r="AR69" s="513"/>
      <c r="AS69" s="533"/>
      <c r="AT69" s="514">
        <v>0</v>
      </c>
      <c r="AU69" s="515"/>
      <c r="AV69" s="516"/>
      <c r="AW69" s="556">
        <v>0</v>
      </c>
      <c r="AX69" s="557"/>
      <c r="AY69" s="558"/>
      <c r="AZ69" s="523"/>
    </row>
    <row r="70" spans="1:52" ht="20.100000000000001" hidden="1" customHeight="1">
      <c r="A70" s="482"/>
      <c r="B70" s="59" t="s">
        <v>15</v>
      </c>
      <c r="C70" s="500" t="s">
        <v>15</v>
      </c>
      <c r="D70" s="500"/>
      <c r="E70" s="500"/>
      <c r="F70" s="501"/>
      <c r="G70" s="502" t="s">
        <v>15</v>
      </c>
      <c r="H70" s="503"/>
      <c r="I70" s="504"/>
      <c r="J70" s="502" t="s">
        <v>15</v>
      </c>
      <c r="K70" s="503"/>
      <c r="L70" s="503"/>
      <c r="M70" s="503"/>
      <c r="N70" s="505"/>
      <c r="O70" s="231"/>
      <c r="P70" s="232"/>
      <c r="Q70" s="232"/>
      <c r="R70" s="225"/>
      <c r="S70" s="233"/>
      <c r="T70" s="231"/>
      <c r="U70" s="232"/>
      <c r="V70" s="232"/>
      <c r="W70" s="232"/>
      <c r="X70" s="234"/>
      <c r="Y70" s="236"/>
      <c r="Z70" s="232"/>
      <c r="AA70" s="232"/>
      <c r="AB70" s="232"/>
      <c r="AC70" s="232"/>
      <c r="AD70" s="234"/>
      <c r="AE70" s="528">
        <v>0</v>
      </c>
      <c r="AF70" s="529"/>
      <c r="AG70" s="491"/>
      <c r="AH70" s="553"/>
      <c r="AI70" s="554"/>
      <c r="AJ70" s="555"/>
      <c r="AK70" s="540">
        <v>0</v>
      </c>
      <c r="AL70" s="511"/>
      <c r="AM70" s="508"/>
      <c r="AN70" s="509">
        <v>0</v>
      </c>
      <c r="AO70" s="509"/>
      <c r="AP70" s="509"/>
      <c r="AQ70" s="510">
        <v>0</v>
      </c>
      <c r="AR70" s="511"/>
      <c r="AS70" s="511"/>
      <c r="AT70" s="525"/>
      <c r="AU70" s="526"/>
      <c r="AV70" s="527"/>
      <c r="AW70" s="559"/>
      <c r="AX70" s="560"/>
      <c r="AY70" s="561"/>
      <c r="AZ70" s="524"/>
    </row>
    <row r="71" spans="1:52" ht="20.100000000000001" hidden="1" customHeight="1">
      <c r="A71" s="481">
        <v>33</v>
      </c>
      <c r="B71" s="58"/>
      <c r="C71" s="483" t="s">
        <v>15</v>
      </c>
      <c r="D71" s="483"/>
      <c r="E71" s="483"/>
      <c r="F71" s="484"/>
      <c r="G71" s="485" t="s">
        <v>15</v>
      </c>
      <c r="H71" s="486"/>
      <c r="I71" s="486"/>
      <c r="J71" s="486"/>
      <c r="K71" s="486"/>
      <c r="L71" s="486"/>
      <c r="M71" s="486"/>
      <c r="N71" s="487"/>
      <c r="O71" s="226"/>
      <c r="P71" s="227"/>
      <c r="Q71" s="227"/>
      <c r="R71" s="227"/>
      <c r="S71" s="235"/>
      <c r="T71" s="226"/>
      <c r="U71" s="227"/>
      <c r="V71" s="227"/>
      <c r="W71" s="227"/>
      <c r="X71" s="228"/>
      <c r="Y71" s="229"/>
      <c r="Z71" s="224"/>
      <c r="AA71" s="227"/>
      <c r="AB71" s="227"/>
      <c r="AC71" s="227"/>
      <c r="AD71" s="230"/>
      <c r="AE71" s="562">
        <v>0</v>
      </c>
      <c r="AF71" s="563"/>
      <c r="AG71" s="490"/>
      <c r="AH71" s="550">
        <v>0</v>
      </c>
      <c r="AI71" s="551"/>
      <c r="AJ71" s="552"/>
      <c r="AK71" s="541">
        <v>0</v>
      </c>
      <c r="AL71" s="513"/>
      <c r="AM71" s="498"/>
      <c r="AN71" s="532">
        <v>0</v>
      </c>
      <c r="AO71" s="513"/>
      <c r="AP71" s="498"/>
      <c r="AQ71" s="532">
        <v>0</v>
      </c>
      <c r="AR71" s="513"/>
      <c r="AS71" s="533"/>
      <c r="AT71" s="514">
        <v>0</v>
      </c>
      <c r="AU71" s="515"/>
      <c r="AV71" s="516"/>
      <c r="AW71" s="556">
        <v>0</v>
      </c>
      <c r="AX71" s="557"/>
      <c r="AY71" s="558"/>
      <c r="AZ71" s="523"/>
    </row>
    <row r="72" spans="1:52" ht="20.100000000000001" hidden="1" customHeight="1">
      <c r="A72" s="482"/>
      <c r="B72" s="59" t="s">
        <v>15</v>
      </c>
      <c r="C72" s="500" t="s">
        <v>15</v>
      </c>
      <c r="D72" s="500"/>
      <c r="E72" s="500"/>
      <c r="F72" s="501"/>
      <c r="G72" s="502" t="s">
        <v>15</v>
      </c>
      <c r="H72" s="503"/>
      <c r="I72" s="504"/>
      <c r="J72" s="502" t="s">
        <v>15</v>
      </c>
      <c r="K72" s="503"/>
      <c r="L72" s="503"/>
      <c r="M72" s="503"/>
      <c r="N72" s="505"/>
      <c r="O72" s="231"/>
      <c r="P72" s="232"/>
      <c r="Q72" s="232"/>
      <c r="R72" s="225"/>
      <c r="S72" s="233"/>
      <c r="T72" s="231"/>
      <c r="U72" s="232"/>
      <c r="V72" s="232"/>
      <c r="W72" s="232"/>
      <c r="X72" s="234"/>
      <c r="Y72" s="236"/>
      <c r="Z72" s="232"/>
      <c r="AA72" s="232"/>
      <c r="AB72" s="232"/>
      <c r="AC72" s="232"/>
      <c r="AD72" s="234"/>
      <c r="AE72" s="528">
        <v>0</v>
      </c>
      <c r="AF72" s="529"/>
      <c r="AG72" s="491"/>
      <c r="AH72" s="553"/>
      <c r="AI72" s="554"/>
      <c r="AJ72" s="555"/>
      <c r="AK72" s="540">
        <v>0</v>
      </c>
      <c r="AL72" s="511"/>
      <c r="AM72" s="508"/>
      <c r="AN72" s="509">
        <v>0</v>
      </c>
      <c r="AO72" s="509"/>
      <c r="AP72" s="509"/>
      <c r="AQ72" s="510">
        <v>0</v>
      </c>
      <c r="AR72" s="511"/>
      <c r="AS72" s="511"/>
      <c r="AT72" s="525"/>
      <c r="AU72" s="526"/>
      <c r="AV72" s="527"/>
      <c r="AW72" s="559"/>
      <c r="AX72" s="560"/>
      <c r="AY72" s="561"/>
      <c r="AZ72" s="524"/>
    </row>
    <row r="73" spans="1:52" ht="20.100000000000001" hidden="1" customHeight="1">
      <c r="A73" s="481">
        <v>34</v>
      </c>
      <c r="B73" s="58"/>
      <c r="C73" s="483" t="s">
        <v>15</v>
      </c>
      <c r="D73" s="483"/>
      <c r="E73" s="483"/>
      <c r="F73" s="484"/>
      <c r="G73" s="485" t="s">
        <v>15</v>
      </c>
      <c r="H73" s="486"/>
      <c r="I73" s="486"/>
      <c r="J73" s="486"/>
      <c r="K73" s="486"/>
      <c r="L73" s="486"/>
      <c r="M73" s="486"/>
      <c r="N73" s="487"/>
      <c r="O73" s="226"/>
      <c r="P73" s="227"/>
      <c r="Q73" s="227"/>
      <c r="R73" s="227"/>
      <c r="S73" s="235"/>
      <c r="T73" s="226"/>
      <c r="U73" s="227"/>
      <c r="V73" s="227"/>
      <c r="W73" s="227"/>
      <c r="X73" s="228"/>
      <c r="Y73" s="229"/>
      <c r="Z73" s="224"/>
      <c r="AA73" s="227"/>
      <c r="AB73" s="227"/>
      <c r="AC73" s="227"/>
      <c r="AD73" s="230"/>
      <c r="AE73" s="562">
        <v>0</v>
      </c>
      <c r="AF73" s="563"/>
      <c r="AG73" s="490"/>
      <c r="AH73" s="550">
        <v>0</v>
      </c>
      <c r="AI73" s="551"/>
      <c r="AJ73" s="552"/>
      <c r="AK73" s="541">
        <v>0</v>
      </c>
      <c r="AL73" s="513"/>
      <c r="AM73" s="498"/>
      <c r="AN73" s="532">
        <v>0</v>
      </c>
      <c r="AO73" s="513"/>
      <c r="AP73" s="498"/>
      <c r="AQ73" s="532">
        <v>0</v>
      </c>
      <c r="AR73" s="513"/>
      <c r="AS73" s="533"/>
      <c r="AT73" s="514">
        <v>0</v>
      </c>
      <c r="AU73" s="515"/>
      <c r="AV73" s="516"/>
      <c r="AW73" s="556">
        <v>0</v>
      </c>
      <c r="AX73" s="557"/>
      <c r="AY73" s="558"/>
      <c r="AZ73" s="523"/>
    </row>
    <row r="74" spans="1:52" ht="20.100000000000001" hidden="1" customHeight="1">
      <c r="A74" s="482"/>
      <c r="B74" s="59" t="s">
        <v>15</v>
      </c>
      <c r="C74" s="500" t="s">
        <v>15</v>
      </c>
      <c r="D74" s="500"/>
      <c r="E74" s="500"/>
      <c r="F74" s="501"/>
      <c r="G74" s="502" t="s">
        <v>15</v>
      </c>
      <c r="H74" s="503"/>
      <c r="I74" s="504"/>
      <c r="J74" s="502" t="s">
        <v>15</v>
      </c>
      <c r="K74" s="503"/>
      <c r="L74" s="503"/>
      <c r="M74" s="503"/>
      <c r="N74" s="505"/>
      <c r="O74" s="231"/>
      <c r="P74" s="232"/>
      <c r="Q74" s="232"/>
      <c r="R74" s="225"/>
      <c r="S74" s="233"/>
      <c r="T74" s="231"/>
      <c r="U74" s="232"/>
      <c r="V74" s="232"/>
      <c r="W74" s="232"/>
      <c r="X74" s="234"/>
      <c r="Y74" s="236"/>
      <c r="Z74" s="232"/>
      <c r="AA74" s="232"/>
      <c r="AB74" s="232"/>
      <c r="AC74" s="232"/>
      <c r="AD74" s="234"/>
      <c r="AE74" s="528">
        <v>0</v>
      </c>
      <c r="AF74" s="529"/>
      <c r="AG74" s="491"/>
      <c r="AH74" s="553"/>
      <c r="AI74" s="554"/>
      <c r="AJ74" s="555"/>
      <c r="AK74" s="540">
        <v>0</v>
      </c>
      <c r="AL74" s="511"/>
      <c r="AM74" s="508"/>
      <c r="AN74" s="509">
        <v>0</v>
      </c>
      <c r="AO74" s="509"/>
      <c r="AP74" s="509"/>
      <c r="AQ74" s="510">
        <v>0</v>
      </c>
      <c r="AR74" s="511"/>
      <c r="AS74" s="511"/>
      <c r="AT74" s="525"/>
      <c r="AU74" s="526"/>
      <c r="AV74" s="527"/>
      <c r="AW74" s="559"/>
      <c r="AX74" s="560"/>
      <c r="AY74" s="561"/>
      <c r="AZ74" s="524"/>
    </row>
    <row r="75" spans="1:52" ht="20.100000000000001" hidden="1" customHeight="1">
      <c r="A75" s="481">
        <v>35</v>
      </c>
      <c r="B75" s="58"/>
      <c r="C75" s="483" t="s">
        <v>15</v>
      </c>
      <c r="D75" s="483"/>
      <c r="E75" s="483"/>
      <c r="F75" s="484"/>
      <c r="G75" s="485" t="s">
        <v>15</v>
      </c>
      <c r="H75" s="486"/>
      <c r="I75" s="486"/>
      <c r="J75" s="486"/>
      <c r="K75" s="486"/>
      <c r="L75" s="486"/>
      <c r="M75" s="486"/>
      <c r="N75" s="487"/>
      <c r="O75" s="226"/>
      <c r="P75" s="227"/>
      <c r="Q75" s="227"/>
      <c r="R75" s="227"/>
      <c r="S75" s="235"/>
      <c r="T75" s="226"/>
      <c r="U75" s="227"/>
      <c r="V75" s="227"/>
      <c r="W75" s="227"/>
      <c r="X75" s="228"/>
      <c r="Y75" s="229"/>
      <c r="Z75" s="224"/>
      <c r="AA75" s="227"/>
      <c r="AB75" s="227"/>
      <c r="AC75" s="227"/>
      <c r="AD75" s="230"/>
      <c r="AE75" s="562">
        <v>0</v>
      </c>
      <c r="AF75" s="563"/>
      <c r="AG75" s="490"/>
      <c r="AH75" s="550">
        <v>0</v>
      </c>
      <c r="AI75" s="551"/>
      <c r="AJ75" s="552"/>
      <c r="AK75" s="541">
        <v>0</v>
      </c>
      <c r="AL75" s="513"/>
      <c r="AM75" s="498"/>
      <c r="AN75" s="532">
        <v>0</v>
      </c>
      <c r="AO75" s="513"/>
      <c r="AP75" s="498"/>
      <c r="AQ75" s="532">
        <v>0</v>
      </c>
      <c r="AR75" s="513"/>
      <c r="AS75" s="533"/>
      <c r="AT75" s="514">
        <v>0</v>
      </c>
      <c r="AU75" s="515"/>
      <c r="AV75" s="516"/>
      <c r="AW75" s="556">
        <v>0</v>
      </c>
      <c r="AX75" s="557"/>
      <c r="AY75" s="558"/>
      <c r="AZ75" s="523"/>
    </row>
    <row r="76" spans="1:52" ht="20.100000000000001" hidden="1" customHeight="1">
      <c r="A76" s="482"/>
      <c r="B76" s="59" t="s">
        <v>15</v>
      </c>
      <c r="C76" s="500" t="s">
        <v>15</v>
      </c>
      <c r="D76" s="500"/>
      <c r="E76" s="500"/>
      <c r="F76" s="501"/>
      <c r="G76" s="502" t="s">
        <v>15</v>
      </c>
      <c r="H76" s="503"/>
      <c r="I76" s="504"/>
      <c r="J76" s="502" t="s">
        <v>15</v>
      </c>
      <c r="K76" s="503"/>
      <c r="L76" s="503"/>
      <c r="M76" s="503"/>
      <c r="N76" s="505"/>
      <c r="O76" s="231"/>
      <c r="P76" s="232"/>
      <c r="Q76" s="232"/>
      <c r="R76" s="225"/>
      <c r="S76" s="233"/>
      <c r="T76" s="231"/>
      <c r="U76" s="232"/>
      <c r="V76" s="232"/>
      <c r="W76" s="232"/>
      <c r="X76" s="234"/>
      <c r="Y76" s="236"/>
      <c r="Z76" s="232"/>
      <c r="AA76" s="232"/>
      <c r="AB76" s="232"/>
      <c r="AC76" s="232"/>
      <c r="AD76" s="234"/>
      <c r="AE76" s="528">
        <v>0</v>
      </c>
      <c r="AF76" s="529"/>
      <c r="AG76" s="491"/>
      <c r="AH76" s="553"/>
      <c r="AI76" s="554"/>
      <c r="AJ76" s="555"/>
      <c r="AK76" s="540">
        <v>0</v>
      </c>
      <c r="AL76" s="511"/>
      <c r="AM76" s="508"/>
      <c r="AN76" s="509">
        <v>0</v>
      </c>
      <c r="AO76" s="509"/>
      <c r="AP76" s="509"/>
      <c r="AQ76" s="510">
        <v>0</v>
      </c>
      <c r="AR76" s="511"/>
      <c r="AS76" s="511"/>
      <c r="AT76" s="525"/>
      <c r="AU76" s="526"/>
      <c r="AV76" s="527"/>
      <c r="AW76" s="559"/>
      <c r="AX76" s="560"/>
      <c r="AY76" s="561"/>
      <c r="AZ76" s="524"/>
    </row>
    <row r="77" spans="1:52" ht="20.100000000000001" hidden="1" customHeight="1">
      <c r="A77" s="481">
        <v>36</v>
      </c>
      <c r="B77" s="58"/>
      <c r="C77" s="483" t="s">
        <v>15</v>
      </c>
      <c r="D77" s="483"/>
      <c r="E77" s="483"/>
      <c r="F77" s="484"/>
      <c r="G77" s="485" t="s">
        <v>15</v>
      </c>
      <c r="H77" s="486"/>
      <c r="I77" s="486"/>
      <c r="J77" s="486"/>
      <c r="K77" s="486"/>
      <c r="L77" s="486"/>
      <c r="M77" s="486"/>
      <c r="N77" s="487"/>
      <c r="O77" s="226"/>
      <c r="P77" s="227"/>
      <c r="Q77" s="227"/>
      <c r="R77" s="227"/>
      <c r="S77" s="235"/>
      <c r="T77" s="226"/>
      <c r="U77" s="227"/>
      <c r="V77" s="227"/>
      <c r="W77" s="227"/>
      <c r="X77" s="228"/>
      <c r="Y77" s="229"/>
      <c r="Z77" s="224"/>
      <c r="AA77" s="227"/>
      <c r="AB77" s="227"/>
      <c r="AC77" s="227"/>
      <c r="AD77" s="230"/>
      <c r="AE77" s="562">
        <v>0</v>
      </c>
      <c r="AF77" s="563"/>
      <c r="AG77" s="490"/>
      <c r="AH77" s="550">
        <v>0</v>
      </c>
      <c r="AI77" s="551"/>
      <c r="AJ77" s="552"/>
      <c r="AK77" s="541">
        <v>0</v>
      </c>
      <c r="AL77" s="513"/>
      <c r="AM77" s="498"/>
      <c r="AN77" s="532">
        <v>0</v>
      </c>
      <c r="AO77" s="513"/>
      <c r="AP77" s="498"/>
      <c r="AQ77" s="532">
        <v>0</v>
      </c>
      <c r="AR77" s="513"/>
      <c r="AS77" s="533"/>
      <c r="AT77" s="514">
        <v>0</v>
      </c>
      <c r="AU77" s="515"/>
      <c r="AV77" s="516"/>
      <c r="AW77" s="556">
        <v>0</v>
      </c>
      <c r="AX77" s="557"/>
      <c r="AY77" s="558"/>
      <c r="AZ77" s="523"/>
    </row>
    <row r="78" spans="1:52" ht="20.100000000000001" hidden="1" customHeight="1">
      <c r="A78" s="482"/>
      <c r="B78" s="59" t="s">
        <v>15</v>
      </c>
      <c r="C78" s="500" t="s">
        <v>15</v>
      </c>
      <c r="D78" s="500"/>
      <c r="E78" s="500"/>
      <c r="F78" s="501"/>
      <c r="G78" s="502" t="s">
        <v>15</v>
      </c>
      <c r="H78" s="503"/>
      <c r="I78" s="504"/>
      <c r="J78" s="502" t="s">
        <v>15</v>
      </c>
      <c r="K78" s="503"/>
      <c r="L78" s="503"/>
      <c r="M78" s="503"/>
      <c r="N78" s="505"/>
      <c r="O78" s="231"/>
      <c r="P78" s="232"/>
      <c r="Q78" s="232"/>
      <c r="R78" s="225"/>
      <c r="S78" s="233"/>
      <c r="T78" s="231"/>
      <c r="U78" s="232"/>
      <c r="V78" s="232"/>
      <c r="W78" s="232"/>
      <c r="X78" s="234"/>
      <c r="Y78" s="236"/>
      <c r="Z78" s="232"/>
      <c r="AA78" s="232"/>
      <c r="AB78" s="232"/>
      <c r="AC78" s="232"/>
      <c r="AD78" s="234"/>
      <c r="AE78" s="528">
        <v>0</v>
      </c>
      <c r="AF78" s="529"/>
      <c r="AG78" s="491"/>
      <c r="AH78" s="553"/>
      <c r="AI78" s="554"/>
      <c r="AJ78" s="555"/>
      <c r="AK78" s="540">
        <v>0</v>
      </c>
      <c r="AL78" s="511"/>
      <c r="AM78" s="508"/>
      <c r="AN78" s="509">
        <v>0</v>
      </c>
      <c r="AO78" s="509"/>
      <c r="AP78" s="509"/>
      <c r="AQ78" s="510">
        <v>0</v>
      </c>
      <c r="AR78" s="511"/>
      <c r="AS78" s="511"/>
      <c r="AT78" s="525"/>
      <c r="AU78" s="526"/>
      <c r="AV78" s="527"/>
      <c r="AW78" s="559"/>
      <c r="AX78" s="560"/>
      <c r="AY78" s="561"/>
      <c r="AZ78" s="524"/>
    </row>
    <row r="79" spans="1:52" ht="20.100000000000001" hidden="1" customHeight="1">
      <c r="A79" s="481">
        <v>37</v>
      </c>
      <c r="B79" s="58"/>
      <c r="C79" s="483" t="s">
        <v>15</v>
      </c>
      <c r="D79" s="483"/>
      <c r="E79" s="483"/>
      <c r="F79" s="484"/>
      <c r="G79" s="485" t="s">
        <v>15</v>
      </c>
      <c r="H79" s="486"/>
      <c r="I79" s="486"/>
      <c r="J79" s="486"/>
      <c r="K79" s="486"/>
      <c r="L79" s="486"/>
      <c r="M79" s="486"/>
      <c r="N79" s="487"/>
      <c r="O79" s="226"/>
      <c r="P79" s="227"/>
      <c r="Q79" s="227"/>
      <c r="R79" s="227"/>
      <c r="S79" s="235"/>
      <c r="T79" s="226"/>
      <c r="U79" s="227"/>
      <c r="V79" s="227"/>
      <c r="W79" s="227"/>
      <c r="X79" s="228"/>
      <c r="Y79" s="229"/>
      <c r="Z79" s="224"/>
      <c r="AA79" s="227"/>
      <c r="AB79" s="227"/>
      <c r="AC79" s="227"/>
      <c r="AD79" s="230"/>
      <c r="AE79" s="562">
        <v>0</v>
      </c>
      <c r="AF79" s="563"/>
      <c r="AG79" s="490"/>
      <c r="AH79" s="550">
        <v>0</v>
      </c>
      <c r="AI79" s="551"/>
      <c r="AJ79" s="552"/>
      <c r="AK79" s="541">
        <v>0</v>
      </c>
      <c r="AL79" s="513"/>
      <c r="AM79" s="498"/>
      <c r="AN79" s="532">
        <v>0</v>
      </c>
      <c r="AO79" s="513"/>
      <c r="AP79" s="498"/>
      <c r="AQ79" s="532">
        <v>0</v>
      </c>
      <c r="AR79" s="513"/>
      <c r="AS79" s="533"/>
      <c r="AT79" s="514">
        <v>0</v>
      </c>
      <c r="AU79" s="515"/>
      <c r="AV79" s="516"/>
      <c r="AW79" s="556">
        <v>0</v>
      </c>
      <c r="AX79" s="557"/>
      <c r="AY79" s="558"/>
      <c r="AZ79" s="523"/>
    </row>
    <row r="80" spans="1:52" ht="20.100000000000001" hidden="1" customHeight="1">
      <c r="A80" s="482"/>
      <c r="B80" s="59" t="s">
        <v>15</v>
      </c>
      <c r="C80" s="500" t="s">
        <v>15</v>
      </c>
      <c r="D80" s="500"/>
      <c r="E80" s="500"/>
      <c r="F80" s="501"/>
      <c r="G80" s="502" t="s">
        <v>15</v>
      </c>
      <c r="H80" s="503"/>
      <c r="I80" s="504"/>
      <c r="J80" s="502" t="s">
        <v>15</v>
      </c>
      <c r="K80" s="503"/>
      <c r="L80" s="503"/>
      <c r="M80" s="503"/>
      <c r="N80" s="505"/>
      <c r="O80" s="231"/>
      <c r="P80" s="232"/>
      <c r="Q80" s="232"/>
      <c r="R80" s="225"/>
      <c r="S80" s="233"/>
      <c r="T80" s="231"/>
      <c r="U80" s="232"/>
      <c r="V80" s="232"/>
      <c r="W80" s="232"/>
      <c r="X80" s="234"/>
      <c r="Y80" s="236"/>
      <c r="Z80" s="232"/>
      <c r="AA80" s="232"/>
      <c r="AB80" s="232"/>
      <c r="AC80" s="232"/>
      <c r="AD80" s="234"/>
      <c r="AE80" s="528">
        <v>0</v>
      </c>
      <c r="AF80" s="529"/>
      <c r="AG80" s="491"/>
      <c r="AH80" s="553"/>
      <c r="AI80" s="554"/>
      <c r="AJ80" s="555"/>
      <c r="AK80" s="540">
        <v>0</v>
      </c>
      <c r="AL80" s="511"/>
      <c r="AM80" s="508"/>
      <c r="AN80" s="509">
        <v>0</v>
      </c>
      <c r="AO80" s="509"/>
      <c r="AP80" s="509"/>
      <c r="AQ80" s="510">
        <v>0</v>
      </c>
      <c r="AR80" s="511"/>
      <c r="AS80" s="511"/>
      <c r="AT80" s="525"/>
      <c r="AU80" s="526"/>
      <c r="AV80" s="527"/>
      <c r="AW80" s="559"/>
      <c r="AX80" s="560"/>
      <c r="AY80" s="561"/>
      <c r="AZ80" s="524"/>
    </row>
    <row r="81" spans="1:52" ht="20.100000000000001" hidden="1" customHeight="1">
      <c r="A81" s="481">
        <v>38</v>
      </c>
      <c r="B81" s="58"/>
      <c r="C81" s="483" t="s">
        <v>15</v>
      </c>
      <c r="D81" s="483"/>
      <c r="E81" s="483"/>
      <c r="F81" s="484"/>
      <c r="G81" s="485" t="s">
        <v>15</v>
      </c>
      <c r="H81" s="486"/>
      <c r="I81" s="486"/>
      <c r="J81" s="486"/>
      <c r="K81" s="486"/>
      <c r="L81" s="486"/>
      <c r="M81" s="486"/>
      <c r="N81" s="487"/>
      <c r="O81" s="226"/>
      <c r="P81" s="227"/>
      <c r="Q81" s="227"/>
      <c r="R81" s="227"/>
      <c r="S81" s="235"/>
      <c r="T81" s="226"/>
      <c r="U81" s="227"/>
      <c r="V81" s="227"/>
      <c r="W81" s="227"/>
      <c r="X81" s="228"/>
      <c r="Y81" s="229"/>
      <c r="Z81" s="224"/>
      <c r="AA81" s="227"/>
      <c r="AB81" s="227"/>
      <c r="AC81" s="227"/>
      <c r="AD81" s="230"/>
      <c r="AE81" s="562">
        <v>0</v>
      </c>
      <c r="AF81" s="563"/>
      <c r="AG81" s="490"/>
      <c r="AH81" s="550">
        <v>0</v>
      </c>
      <c r="AI81" s="551"/>
      <c r="AJ81" s="552"/>
      <c r="AK81" s="541">
        <v>0</v>
      </c>
      <c r="AL81" s="513"/>
      <c r="AM81" s="498"/>
      <c r="AN81" s="532">
        <v>0</v>
      </c>
      <c r="AO81" s="513"/>
      <c r="AP81" s="498"/>
      <c r="AQ81" s="532">
        <v>0</v>
      </c>
      <c r="AR81" s="513"/>
      <c r="AS81" s="533"/>
      <c r="AT81" s="514">
        <v>0</v>
      </c>
      <c r="AU81" s="515"/>
      <c r="AV81" s="516"/>
      <c r="AW81" s="556">
        <v>0</v>
      </c>
      <c r="AX81" s="557"/>
      <c r="AY81" s="558"/>
      <c r="AZ81" s="523"/>
    </row>
    <row r="82" spans="1:52" ht="20.100000000000001" hidden="1" customHeight="1">
      <c r="A82" s="482"/>
      <c r="B82" s="59" t="s">
        <v>15</v>
      </c>
      <c r="C82" s="500" t="s">
        <v>15</v>
      </c>
      <c r="D82" s="500"/>
      <c r="E82" s="500"/>
      <c r="F82" s="501"/>
      <c r="G82" s="502" t="s">
        <v>15</v>
      </c>
      <c r="H82" s="503"/>
      <c r="I82" s="504"/>
      <c r="J82" s="502" t="s">
        <v>15</v>
      </c>
      <c r="K82" s="503"/>
      <c r="L82" s="503"/>
      <c r="M82" s="503"/>
      <c r="N82" s="505"/>
      <c r="O82" s="231"/>
      <c r="P82" s="232"/>
      <c r="Q82" s="232"/>
      <c r="R82" s="225"/>
      <c r="S82" s="233"/>
      <c r="T82" s="231"/>
      <c r="U82" s="232"/>
      <c r="V82" s="232"/>
      <c r="W82" s="232"/>
      <c r="X82" s="234"/>
      <c r="Y82" s="236"/>
      <c r="Z82" s="232"/>
      <c r="AA82" s="232"/>
      <c r="AB82" s="232"/>
      <c r="AC82" s="232"/>
      <c r="AD82" s="234"/>
      <c r="AE82" s="528">
        <v>0</v>
      </c>
      <c r="AF82" s="529"/>
      <c r="AG82" s="491"/>
      <c r="AH82" s="553"/>
      <c r="AI82" s="554"/>
      <c r="AJ82" s="555"/>
      <c r="AK82" s="540">
        <v>0</v>
      </c>
      <c r="AL82" s="511"/>
      <c r="AM82" s="508"/>
      <c r="AN82" s="509">
        <v>0</v>
      </c>
      <c r="AO82" s="509"/>
      <c r="AP82" s="509"/>
      <c r="AQ82" s="510">
        <v>0</v>
      </c>
      <c r="AR82" s="511"/>
      <c r="AS82" s="511"/>
      <c r="AT82" s="525"/>
      <c r="AU82" s="526"/>
      <c r="AV82" s="527"/>
      <c r="AW82" s="559"/>
      <c r="AX82" s="560"/>
      <c r="AY82" s="561"/>
      <c r="AZ82" s="524"/>
    </row>
    <row r="83" spans="1:52" ht="20.100000000000001" hidden="1" customHeight="1">
      <c r="A83" s="481">
        <v>39</v>
      </c>
      <c r="B83" s="58"/>
      <c r="C83" s="483" t="s">
        <v>15</v>
      </c>
      <c r="D83" s="483"/>
      <c r="E83" s="483"/>
      <c r="F83" s="484"/>
      <c r="G83" s="485" t="s">
        <v>15</v>
      </c>
      <c r="H83" s="486"/>
      <c r="I83" s="486"/>
      <c r="J83" s="486"/>
      <c r="K83" s="486"/>
      <c r="L83" s="486"/>
      <c r="M83" s="486"/>
      <c r="N83" s="487"/>
      <c r="O83" s="226"/>
      <c r="P83" s="227"/>
      <c r="Q83" s="227"/>
      <c r="R83" s="227"/>
      <c r="S83" s="235"/>
      <c r="T83" s="226"/>
      <c r="U83" s="227"/>
      <c r="V83" s="227"/>
      <c r="W83" s="227"/>
      <c r="X83" s="228"/>
      <c r="Y83" s="229"/>
      <c r="Z83" s="224"/>
      <c r="AA83" s="227"/>
      <c r="AB83" s="227"/>
      <c r="AC83" s="227"/>
      <c r="AD83" s="230"/>
      <c r="AE83" s="562">
        <v>0</v>
      </c>
      <c r="AF83" s="563"/>
      <c r="AG83" s="490"/>
      <c r="AH83" s="550">
        <v>0</v>
      </c>
      <c r="AI83" s="551"/>
      <c r="AJ83" s="552"/>
      <c r="AK83" s="541">
        <v>0</v>
      </c>
      <c r="AL83" s="513"/>
      <c r="AM83" s="498"/>
      <c r="AN83" s="532">
        <v>0</v>
      </c>
      <c r="AO83" s="513"/>
      <c r="AP83" s="498"/>
      <c r="AQ83" s="532">
        <v>0</v>
      </c>
      <c r="AR83" s="513"/>
      <c r="AS83" s="533"/>
      <c r="AT83" s="514">
        <v>0</v>
      </c>
      <c r="AU83" s="515"/>
      <c r="AV83" s="516"/>
      <c r="AW83" s="556">
        <v>0</v>
      </c>
      <c r="AX83" s="557"/>
      <c r="AY83" s="558"/>
      <c r="AZ83" s="523"/>
    </row>
    <row r="84" spans="1:52" ht="20.100000000000001" hidden="1" customHeight="1">
      <c r="A84" s="482"/>
      <c r="B84" s="59" t="s">
        <v>15</v>
      </c>
      <c r="C84" s="500" t="s">
        <v>15</v>
      </c>
      <c r="D84" s="500"/>
      <c r="E84" s="500"/>
      <c r="F84" s="501"/>
      <c r="G84" s="502" t="s">
        <v>15</v>
      </c>
      <c r="H84" s="503"/>
      <c r="I84" s="504"/>
      <c r="J84" s="502" t="s">
        <v>15</v>
      </c>
      <c r="K84" s="503"/>
      <c r="L84" s="503"/>
      <c r="M84" s="503"/>
      <c r="N84" s="505"/>
      <c r="O84" s="231"/>
      <c r="P84" s="232"/>
      <c r="Q84" s="232"/>
      <c r="R84" s="225"/>
      <c r="S84" s="233"/>
      <c r="T84" s="231"/>
      <c r="U84" s="232"/>
      <c r="V84" s="232"/>
      <c r="W84" s="232"/>
      <c r="X84" s="234"/>
      <c r="Y84" s="236"/>
      <c r="Z84" s="232"/>
      <c r="AA84" s="232"/>
      <c r="AB84" s="232"/>
      <c r="AC84" s="232"/>
      <c r="AD84" s="234"/>
      <c r="AE84" s="528">
        <v>0</v>
      </c>
      <c r="AF84" s="529"/>
      <c r="AG84" s="491"/>
      <c r="AH84" s="553"/>
      <c r="AI84" s="554"/>
      <c r="AJ84" s="555"/>
      <c r="AK84" s="540">
        <v>0</v>
      </c>
      <c r="AL84" s="511"/>
      <c r="AM84" s="508"/>
      <c r="AN84" s="509">
        <v>0</v>
      </c>
      <c r="AO84" s="509"/>
      <c r="AP84" s="509"/>
      <c r="AQ84" s="510">
        <v>0</v>
      </c>
      <c r="AR84" s="511"/>
      <c r="AS84" s="511"/>
      <c r="AT84" s="525"/>
      <c r="AU84" s="526"/>
      <c r="AV84" s="527"/>
      <c r="AW84" s="559"/>
      <c r="AX84" s="560"/>
      <c r="AY84" s="561"/>
      <c r="AZ84" s="524"/>
    </row>
    <row r="85" spans="1:52" ht="20.100000000000001" hidden="1" customHeight="1">
      <c r="A85" s="481">
        <v>40</v>
      </c>
      <c r="B85" s="58"/>
      <c r="C85" s="483" t="s">
        <v>15</v>
      </c>
      <c r="D85" s="483"/>
      <c r="E85" s="483"/>
      <c r="F85" s="484"/>
      <c r="G85" s="485" t="s">
        <v>15</v>
      </c>
      <c r="H85" s="486"/>
      <c r="I85" s="486"/>
      <c r="J85" s="486"/>
      <c r="K85" s="486"/>
      <c r="L85" s="486"/>
      <c r="M85" s="486"/>
      <c r="N85" s="487"/>
      <c r="O85" s="226"/>
      <c r="P85" s="227"/>
      <c r="Q85" s="227"/>
      <c r="R85" s="227"/>
      <c r="S85" s="235"/>
      <c r="T85" s="226"/>
      <c r="U85" s="227"/>
      <c r="V85" s="227"/>
      <c r="W85" s="227"/>
      <c r="X85" s="228"/>
      <c r="Y85" s="229"/>
      <c r="Z85" s="224"/>
      <c r="AA85" s="227"/>
      <c r="AB85" s="227"/>
      <c r="AC85" s="227"/>
      <c r="AD85" s="230"/>
      <c r="AE85" s="562">
        <v>0</v>
      </c>
      <c r="AF85" s="563"/>
      <c r="AG85" s="490"/>
      <c r="AH85" s="550">
        <v>0</v>
      </c>
      <c r="AI85" s="551"/>
      <c r="AJ85" s="552"/>
      <c r="AK85" s="541">
        <v>0</v>
      </c>
      <c r="AL85" s="513"/>
      <c r="AM85" s="498"/>
      <c r="AN85" s="532">
        <v>0</v>
      </c>
      <c r="AO85" s="513"/>
      <c r="AP85" s="498"/>
      <c r="AQ85" s="532">
        <v>0</v>
      </c>
      <c r="AR85" s="513"/>
      <c r="AS85" s="533"/>
      <c r="AT85" s="514">
        <v>0</v>
      </c>
      <c r="AU85" s="515"/>
      <c r="AV85" s="516"/>
      <c r="AW85" s="556">
        <v>0</v>
      </c>
      <c r="AX85" s="557"/>
      <c r="AY85" s="558"/>
      <c r="AZ85" s="523"/>
    </row>
    <row r="86" spans="1:52" ht="20.100000000000001" hidden="1" customHeight="1">
      <c r="A86" s="482"/>
      <c r="B86" s="59" t="s">
        <v>15</v>
      </c>
      <c r="C86" s="500" t="s">
        <v>15</v>
      </c>
      <c r="D86" s="500"/>
      <c r="E86" s="500"/>
      <c r="F86" s="501"/>
      <c r="G86" s="502" t="s">
        <v>15</v>
      </c>
      <c r="H86" s="503"/>
      <c r="I86" s="504"/>
      <c r="J86" s="502" t="s">
        <v>15</v>
      </c>
      <c r="K86" s="503"/>
      <c r="L86" s="503"/>
      <c r="M86" s="503"/>
      <c r="N86" s="505"/>
      <c r="O86" s="231"/>
      <c r="P86" s="232"/>
      <c r="Q86" s="232"/>
      <c r="R86" s="225"/>
      <c r="S86" s="233"/>
      <c r="T86" s="231"/>
      <c r="U86" s="232"/>
      <c r="V86" s="232"/>
      <c r="W86" s="232"/>
      <c r="X86" s="234"/>
      <c r="Y86" s="236"/>
      <c r="Z86" s="232"/>
      <c r="AA86" s="232"/>
      <c r="AB86" s="232"/>
      <c r="AC86" s="232"/>
      <c r="AD86" s="234"/>
      <c r="AE86" s="528">
        <v>0</v>
      </c>
      <c r="AF86" s="529"/>
      <c r="AG86" s="491"/>
      <c r="AH86" s="553"/>
      <c r="AI86" s="554"/>
      <c r="AJ86" s="555"/>
      <c r="AK86" s="540">
        <v>0</v>
      </c>
      <c r="AL86" s="511"/>
      <c r="AM86" s="508"/>
      <c r="AN86" s="509">
        <v>0</v>
      </c>
      <c r="AO86" s="509"/>
      <c r="AP86" s="509"/>
      <c r="AQ86" s="510">
        <v>0</v>
      </c>
      <c r="AR86" s="511"/>
      <c r="AS86" s="511"/>
      <c r="AT86" s="525"/>
      <c r="AU86" s="526"/>
      <c r="AV86" s="527"/>
      <c r="AW86" s="559"/>
      <c r="AX86" s="560"/>
      <c r="AY86" s="561"/>
      <c r="AZ86" s="524"/>
    </row>
    <row r="87" spans="1:52" ht="20.100000000000001" hidden="1" customHeight="1">
      <c r="A87" s="481">
        <v>41</v>
      </c>
      <c r="B87" s="58"/>
      <c r="C87" s="483" t="s">
        <v>15</v>
      </c>
      <c r="D87" s="483"/>
      <c r="E87" s="483"/>
      <c r="F87" s="484"/>
      <c r="G87" s="485" t="s">
        <v>15</v>
      </c>
      <c r="H87" s="486"/>
      <c r="I87" s="486"/>
      <c r="J87" s="486"/>
      <c r="K87" s="486"/>
      <c r="L87" s="486"/>
      <c r="M87" s="486"/>
      <c r="N87" s="487"/>
      <c r="O87" s="226"/>
      <c r="P87" s="227"/>
      <c r="Q87" s="227"/>
      <c r="R87" s="227"/>
      <c r="S87" s="235"/>
      <c r="T87" s="226"/>
      <c r="U87" s="227"/>
      <c r="V87" s="227"/>
      <c r="W87" s="227"/>
      <c r="X87" s="228"/>
      <c r="Y87" s="229"/>
      <c r="Z87" s="224"/>
      <c r="AA87" s="227"/>
      <c r="AB87" s="227"/>
      <c r="AC87" s="227"/>
      <c r="AD87" s="230"/>
      <c r="AE87" s="562">
        <v>0</v>
      </c>
      <c r="AF87" s="563"/>
      <c r="AG87" s="490"/>
      <c r="AH87" s="550">
        <v>0</v>
      </c>
      <c r="AI87" s="551"/>
      <c r="AJ87" s="552"/>
      <c r="AK87" s="541">
        <v>0</v>
      </c>
      <c r="AL87" s="513"/>
      <c r="AM87" s="498"/>
      <c r="AN87" s="532">
        <v>0</v>
      </c>
      <c r="AO87" s="513"/>
      <c r="AP87" s="498"/>
      <c r="AQ87" s="532">
        <v>0</v>
      </c>
      <c r="AR87" s="513"/>
      <c r="AS87" s="533"/>
      <c r="AT87" s="514">
        <v>0</v>
      </c>
      <c r="AU87" s="515"/>
      <c r="AV87" s="516"/>
      <c r="AW87" s="556">
        <v>0</v>
      </c>
      <c r="AX87" s="557"/>
      <c r="AY87" s="558"/>
      <c r="AZ87" s="523"/>
    </row>
    <row r="88" spans="1:52" ht="20.100000000000001" hidden="1" customHeight="1">
      <c r="A88" s="482"/>
      <c r="B88" s="59" t="s">
        <v>15</v>
      </c>
      <c r="C88" s="500" t="s">
        <v>15</v>
      </c>
      <c r="D88" s="500"/>
      <c r="E88" s="500"/>
      <c r="F88" s="501"/>
      <c r="G88" s="502" t="s">
        <v>15</v>
      </c>
      <c r="H88" s="503"/>
      <c r="I88" s="504"/>
      <c r="J88" s="502" t="s">
        <v>15</v>
      </c>
      <c r="K88" s="503"/>
      <c r="L88" s="503"/>
      <c r="M88" s="503"/>
      <c r="N88" s="505"/>
      <c r="O88" s="231"/>
      <c r="P88" s="232"/>
      <c r="Q88" s="232"/>
      <c r="R88" s="225"/>
      <c r="S88" s="233"/>
      <c r="T88" s="231"/>
      <c r="U88" s="232"/>
      <c r="V88" s="232"/>
      <c r="W88" s="232"/>
      <c r="X88" s="234"/>
      <c r="Y88" s="236"/>
      <c r="Z88" s="232"/>
      <c r="AA88" s="232"/>
      <c r="AB88" s="232"/>
      <c r="AC88" s="232"/>
      <c r="AD88" s="234"/>
      <c r="AE88" s="528">
        <v>0</v>
      </c>
      <c r="AF88" s="529"/>
      <c r="AG88" s="491"/>
      <c r="AH88" s="553"/>
      <c r="AI88" s="554"/>
      <c r="AJ88" s="555"/>
      <c r="AK88" s="540">
        <v>0</v>
      </c>
      <c r="AL88" s="511"/>
      <c r="AM88" s="508"/>
      <c r="AN88" s="509">
        <v>0</v>
      </c>
      <c r="AO88" s="509"/>
      <c r="AP88" s="509"/>
      <c r="AQ88" s="510">
        <v>0</v>
      </c>
      <c r="AR88" s="511"/>
      <c r="AS88" s="511"/>
      <c r="AT88" s="525"/>
      <c r="AU88" s="526"/>
      <c r="AV88" s="527"/>
      <c r="AW88" s="559"/>
      <c r="AX88" s="560"/>
      <c r="AY88" s="561"/>
      <c r="AZ88" s="524"/>
    </row>
    <row r="89" spans="1:52" ht="20.100000000000001" hidden="1" customHeight="1">
      <c r="A89" s="481">
        <v>42</v>
      </c>
      <c r="B89" s="58"/>
      <c r="C89" s="483" t="s">
        <v>15</v>
      </c>
      <c r="D89" s="483"/>
      <c r="E89" s="483"/>
      <c r="F89" s="484"/>
      <c r="G89" s="485" t="s">
        <v>15</v>
      </c>
      <c r="H89" s="486"/>
      <c r="I89" s="486"/>
      <c r="J89" s="486"/>
      <c r="K89" s="486"/>
      <c r="L89" s="486"/>
      <c r="M89" s="486"/>
      <c r="N89" s="487"/>
      <c r="O89" s="226"/>
      <c r="P89" s="227"/>
      <c r="Q89" s="227"/>
      <c r="R89" s="227"/>
      <c r="S89" s="235"/>
      <c r="T89" s="226"/>
      <c r="U89" s="227"/>
      <c r="V89" s="227"/>
      <c r="W89" s="227"/>
      <c r="X89" s="228"/>
      <c r="Y89" s="229"/>
      <c r="Z89" s="224"/>
      <c r="AA89" s="227"/>
      <c r="AB89" s="227"/>
      <c r="AC89" s="227"/>
      <c r="AD89" s="230"/>
      <c r="AE89" s="562">
        <v>0</v>
      </c>
      <c r="AF89" s="563"/>
      <c r="AG89" s="490"/>
      <c r="AH89" s="550">
        <v>0</v>
      </c>
      <c r="AI89" s="551"/>
      <c r="AJ89" s="552"/>
      <c r="AK89" s="541">
        <v>0</v>
      </c>
      <c r="AL89" s="513"/>
      <c r="AM89" s="498"/>
      <c r="AN89" s="532">
        <v>0</v>
      </c>
      <c r="AO89" s="513"/>
      <c r="AP89" s="498"/>
      <c r="AQ89" s="532">
        <v>0</v>
      </c>
      <c r="AR89" s="513"/>
      <c r="AS89" s="533"/>
      <c r="AT89" s="514">
        <v>0</v>
      </c>
      <c r="AU89" s="515"/>
      <c r="AV89" s="516"/>
      <c r="AW89" s="556">
        <v>0</v>
      </c>
      <c r="AX89" s="557"/>
      <c r="AY89" s="558"/>
      <c r="AZ89" s="523"/>
    </row>
    <row r="90" spans="1:52" ht="20.100000000000001" hidden="1" customHeight="1">
      <c r="A90" s="482"/>
      <c r="B90" s="59" t="s">
        <v>15</v>
      </c>
      <c r="C90" s="500" t="s">
        <v>15</v>
      </c>
      <c r="D90" s="500"/>
      <c r="E90" s="500"/>
      <c r="F90" s="501"/>
      <c r="G90" s="502" t="s">
        <v>15</v>
      </c>
      <c r="H90" s="503"/>
      <c r="I90" s="504"/>
      <c r="J90" s="502" t="s">
        <v>15</v>
      </c>
      <c r="K90" s="503"/>
      <c r="L90" s="503"/>
      <c r="M90" s="503"/>
      <c r="N90" s="505"/>
      <c r="O90" s="231"/>
      <c r="P90" s="232"/>
      <c r="Q90" s="232"/>
      <c r="R90" s="225"/>
      <c r="S90" s="233"/>
      <c r="T90" s="231"/>
      <c r="U90" s="232"/>
      <c r="V90" s="232"/>
      <c r="W90" s="232"/>
      <c r="X90" s="234"/>
      <c r="Y90" s="236"/>
      <c r="Z90" s="232"/>
      <c r="AA90" s="232"/>
      <c r="AB90" s="232"/>
      <c r="AC90" s="232"/>
      <c r="AD90" s="234"/>
      <c r="AE90" s="528">
        <v>0</v>
      </c>
      <c r="AF90" s="529"/>
      <c r="AG90" s="491"/>
      <c r="AH90" s="553"/>
      <c r="AI90" s="554"/>
      <c r="AJ90" s="555"/>
      <c r="AK90" s="540">
        <v>0</v>
      </c>
      <c r="AL90" s="511"/>
      <c r="AM90" s="508"/>
      <c r="AN90" s="509">
        <v>0</v>
      </c>
      <c r="AO90" s="509"/>
      <c r="AP90" s="509"/>
      <c r="AQ90" s="510">
        <v>0</v>
      </c>
      <c r="AR90" s="511"/>
      <c r="AS90" s="511"/>
      <c r="AT90" s="525"/>
      <c r="AU90" s="526"/>
      <c r="AV90" s="527"/>
      <c r="AW90" s="559"/>
      <c r="AX90" s="560"/>
      <c r="AY90" s="561"/>
      <c r="AZ90" s="524"/>
    </row>
    <row r="91" spans="1:52" ht="20.100000000000001" hidden="1" customHeight="1">
      <c r="A91" s="481">
        <v>43</v>
      </c>
      <c r="B91" s="58"/>
      <c r="C91" s="483" t="s">
        <v>15</v>
      </c>
      <c r="D91" s="483"/>
      <c r="E91" s="483"/>
      <c r="F91" s="484"/>
      <c r="G91" s="485" t="s">
        <v>15</v>
      </c>
      <c r="H91" s="486"/>
      <c r="I91" s="486"/>
      <c r="J91" s="486"/>
      <c r="K91" s="486"/>
      <c r="L91" s="486"/>
      <c r="M91" s="486"/>
      <c r="N91" s="487"/>
      <c r="O91" s="226"/>
      <c r="P91" s="227"/>
      <c r="Q91" s="227"/>
      <c r="R91" s="227"/>
      <c r="S91" s="235"/>
      <c r="T91" s="226"/>
      <c r="U91" s="227"/>
      <c r="V91" s="227"/>
      <c r="W91" s="227"/>
      <c r="X91" s="228"/>
      <c r="Y91" s="229"/>
      <c r="Z91" s="224"/>
      <c r="AA91" s="227"/>
      <c r="AB91" s="227"/>
      <c r="AC91" s="227"/>
      <c r="AD91" s="230"/>
      <c r="AE91" s="562">
        <v>0</v>
      </c>
      <c r="AF91" s="563"/>
      <c r="AG91" s="490"/>
      <c r="AH91" s="550">
        <v>0</v>
      </c>
      <c r="AI91" s="551"/>
      <c r="AJ91" s="552"/>
      <c r="AK91" s="541">
        <v>0</v>
      </c>
      <c r="AL91" s="513"/>
      <c r="AM91" s="498"/>
      <c r="AN91" s="532">
        <v>0</v>
      </c>
      <c r="AO91" s="513"/>
      <c r="AP91" s="498"/>
      <c r="AQ91" s="532">
        <v>0</v>
      </c>
      <c r="AR91" s="513"/>
      <c r="AS91" s="533"/>
      <c r="AT91" s="514">
        <v>0</v>
      </c>
      <c r="AU91" s="515"/>
      <c r="AV91" s="516"/>
      <c r="AW91" s="556">
        <v>0</v>
      </c>
      <c r="AX91" s="557"/>
      <c r="AY91" s="558"/>
      <c r="AZ91" s="523"/>
    </row>
    <row r="92" spans="1:52" ht="20.100000000000001" hidden="1" customHeight="1">
      <c r="A92" s="482"/>
      <c r="B92" s="59" t="s">
        <v>15</v>
      </c>
      <c r="C92" s="500" t="s">
        <v>15</v>
      </c>
      <c r="D92" s="500"/>
      <c r="E92" s="500"/>
      <c r="F92" s="501"/>
      <c r="G92" s="502" t="s">
        <v>15</v>
      </c>
      <c r="H92" s="503"/>
      <c r="I92" s="504"/>
      <c r="J92" s="502" t="s">
        <v>15</v>
      </c>
      <c r="K92" s="503"/>
      <c r="L92" s="503"/>
      <c r="M92" s="503"/>
      <c r="N92" s="505"/>
      <c r="O92" s="231"/>
      <c r="P92" s="232"/>
      <c r="Q92" s="232"/>
      <c r="R92" s="225"/>
      <c r="S92" s="233"/>
      <c r="T92" s="231"/>
      <c r="U92" s="232"/>
      <c r="V92" s="232"/>
      <c r="W92" s="232"/>
      <c r="X92" s="234"/>
      <c r="Y92" s="236"/>
      <c r="Z92" s="232"/>
      <c r="AA92" s="232"/>
      <c r="AB92" s="232"/>
      <c r="AC92" s="232"/>
      <c r="AD92" s="234"/>
      <c r="AE92" s="528">
        <v>0</v>
      </c>
      <c r="AF92" s="529"/>
      <c r="AG92" s="491"/>
      <c r="AH92" s="553"/>
      <c r="AI92" s="554"/>
      <c r="AJ92" s="555"/>
      <c r="AK92" s="540">
        <v>0</v>
      </c>
      <c r="AL92" s="511"/>
      <c r="AM92" s="508"/>
      <c r="AN92" s="509">
        <v>0</v>
      </c>
      <c r="AO92" s="509"/>
      <c r="AP92" s="509"/>
      <c r="AQ92" s="510">
        <v>0</v>
      </c>
      <c r="AR92" s="511"/>
      <c r="AS92" s="511"/>
      <c r="AT92" s="525"/>
      <c r="AU92" s="526"/>
      <c r="AV92" s="527"/>
      <c r="AW92" s="559"/>
      <c r="AX92" s="560"/>
      <c r="AY92" s="561"/>
      <c r="AZ92" s="524"/>
    </row>
    <row r="93" spans="1:52" ht="20.100000000000001" hidden="1" customHeight="1">
      <c r="A93" s="481">
        <v>44</v>
      </c>
      <c r="B93" s="58"/>
      <c r="C93" s="483" t="s">
        <v>15</v>
      </c>
      <c r="D93" s="483"/>
      <c r="E93" s="483"/>
      <c r="F93" s="484"/>
      <c r="G93" s="485" t="s">
        <v>15</v>
      </c>
      <c r="H93" s="486"/>
      <c r="I93" s="486"/>
      <c r="J93" s="486"/>
      <c r="K93" s="486"/>
      <c r="L93" s="486"/>
      <c r="M93" s="486"/>
      <c r="N93" s="487"/>
      <c r="O93" s="226"/>
      <c r="P93" s="227"/>
      <c r="Q93" s="227"/>
      <c r="R93" s="227"/>
      <c r="S93" s="235"/>
      <c r="T93" s="226"/>
      <c r="U93" s="227"/>
      <c r="V93" s="227"/>
      <c r="W93" s="227"/>
      <c r="X93" s="228"/>
      <c r="Y93" s="229"/>
      <c r="Z93" s="224"/>
      <c r="AA93" s="227"/>
      <c r="AB93" s="227"/>
      <c r="AC93" s="227"/>
      <c r="AD93" s="230"/>
      <c r="AE93" s="562">
        <v>0</v>
      </c>
      <c r="AF93" s="563"/>
      <c r="AG93" s="490"/>
      <c r="AH93" s="550">
        <v>0</v>
      </c>
      <c r="AI93" s="551"/>
      <c r="AJ93" s="552"/>
      <c r="AK93" s="541">
        <v>0</v>
      </c>
      <c r="AL93" s="513"/>
      <c r="AM93" s="498"/>
      <c r="AN93" s="532">
        <v>0</v>
      </c>
      <c r="AO93" s="513"/>
      <c r="AP93" s="498"/>
      <c r="AQ93" s="532">
        <v>0</v>
      </c>
      <c r="AR93" s="513"/>
      <c r="AS93" s="533"/>
      <c r="AT93" s="514">
        <v>0</v>
      </c>
      <c r="AU93" s="515"/>
      <c r="AV93" s="516"/>
      <c r="AW93" s="556">
        <v>0</v>
      </c>
      <c r="AX93" s="557"/>
      <c r="AY93" s="558"/>
      <c r="AZ93" s="523"/>
    </row>
    <row r="94" spans="1:52" ht="20.100000000000001" hidden="1" customHeight="1">
      <c r="A94" s="482"/>
      <c r="B94" s="59" t="s">
        <v>15</v>
      </c>
      <c r="C94" s="500" t="s">
        <v>15</v>
      </c>
      <c r="D94" s="500"/>
      <c r="E94" s="500"/>
      <c r="F94" s="501"/>
      <c r="G94" s="502" t="s">
        <v>15</v>
      </c>
      <c r="H94" s="503"/>
      <c r="I94" s="504"/>
      <c r="J94" s="502" t="s">
        <v>15</v>
      </c>
      <c r="K94" s="503"/>
      <c r="L94" s="503"/>
      <c r="M94" s="503"/>
      <c r="N94" s="505"/>
      <c r="O94" s="231"/>
      <c r="P94" s="232"/>
      <c r="Q94" s="232"/>
      <c r="R94" s="225"/>
      <c r="S94" s="233"/>
      <c r="T94" s="231"/>
      <c r="U94" s="232"/>
      <c r="V94" s="232"/>
      <c r="W94" s="232"/>
      <c r="X94" s="234"/>
      <c r="Y94" s="236"/>
      <c r="Z94" s="232"/>
      <c r="AA94" s="232"/>
      <c r="AB94" s="232"/>
      <c r="AC94" s="232"/>
      <c r="AD94" s="234"/>
      <c r="AE94" s="528">
        <v>0</v>
      </c>
      <c r="AF94" s="529"/>
      <c r="AG94" s="491"/>
      <c r="AH94" s="553"/>
      <c r="AI94" s="554"/>
      <c r="AJ94" s="555"/>
      <c r="AK94" s="540">
        <v>0</v>
      </c>
      <c r="AL94" s="511"/>
      <c r="AM94" s="508"/>
      <c r="AN94" s="509">
        <v>0</v>
      </c>
      <c r="AO94" s="509"/>
      <c r="AP94" s="509"/>
      <c r="AQ94" s="510">
        <v>0</v>
      </c>
      <c r="AR94" s="511"/>
      <c r="AS94" s="511"/>
      <c r="AT94" s="525"/>
      <c r="AU94" s="526"/>
      <c r="AV94" s="527"/>
      <c r="AW94" s="559"/>
      <c r="AX94" s="560"/>
      <c r="AY94" s="561"/>
      <c r="AZ94" s="524"/>
    </row>
    <row r="95" spans="1:52" ht="20.100000000000001" hidden="1" customHeight="1">
      <c r="A95" s="481">
        <v>45</v>
      </c>
      <c r="B95" s="58"/>
      <c r="C95" s="483" t="s">
        <v>15</v>
      </c>
      <c r="D95" s="483"/>
      <c r="E95" s="483"/>
      <c r="F95" s="484"/>
      <c r="G95" s="485" t="s">
        <v>15</v>
      </c>
      <c r="H95" s="486"/>
      <c r="I95" s="486"/>
      <c r="J95" s="486"/>
      <c r="K95" s="486"/>
      <c r="L95" s="486"/>
      <c r="M95" s="486"/>
      <c r="N95" s="487"/>
      <c r="O95" s="226"/>
      <c r="P95" s="227"/>
      <c r="Q95" s="227"/>
      <c r="R95" s="227"/>
      <c r="S95" s="235"/>
      <c r="T95" s="226"/>
      <c r="U95" s="227"/>
      <c r="V95" s="227"/>
      <c r="W95" s="227"/>
      <c r="X95" s="228"/>
      <c r="Y95" s="229"/>
      <c r="Z95" s="224"/>
      <c r="AA95" s="227"/>
      <c r="AB95" s="227"/>
      <c r="AC95" s="227"/>
      <c r="AD95" s="230"/>
      <c r="AE95" s="562">
        <v>0</v>
      </c>
      <c r="AF95" s="563"/>
      <c r="AG95" s="490"/>
      <c r="AH95" s="550">
        <v>0</v>
      </c>
      <c r="AI95" s="551"/>
      <c r="AJ95" s="552"/>
      <c r="AK95" s="541">
        <v>0</v>
      </c>
      <c r="AL95" s="513"/>
      <c r="AM95" s="498"/>
      <c r="AN95" s="532">
        <v>0</v>
      </c>
      <c r="AO95" s="513"/>
      <c r="AP95" s="498"/>
      <c r="AQ95" s="532">
        <v>0</v>
      </c>
      <c r="AR95" s="513"/>
      <c r="AS95" s="533"/>
      <c r="AT95" s="514">
        <v>0</v>
      </c>
      <c r="AU95" s="515"/>
      <c r="AV95" s="516"/>
      <c r="AW95" s="556">
        <v>0</v>
      </c>
      <c r="AX95" s="557"/>
      <c r="AY95" s="558"/>
      <c r="AZ95" s="523"/>
    </row>
    <row r="96" spans="1:52" ht="20.100000000000001" hidden="1" customHeight="1">
      <c r="A96" s="482"/>
      <c r="B96" s="59" t="s">
        <v>15</v>
      </c>
      <c r="C96" s="500" t="s">
        <v>15</v>
      </c>
      <c r="D96" s="500"/>
      <c r="E96" s="500"/>
      <c r="F96" s="501"/>
      <c r="G96" s="502" t="s">
        <v>15</v>
      </c>
      <c r="H96" s="503"/>
      <c r="I96" s="504"/>
      <c r="J96" s="502" t="s">
        <v>15</v>
      </c>
      <c r="K96" s="503"/>
      <c r="L96" s="503"/>
      <c r="M96" s="503"/>
      <c r="N96" s="505"/>
      <c r="O96" s="231"/>
      <c r="P96" s="232"/>
      <c r="Q96" s="232"/>
      <c r="R96" s="225"/>
      <c r="S96" s="233"/>
      <c r="T96" s="231"/>
      <c r="U96" s="232"/>
      <c r="V96" s="232"/>
      <c r="W96" s="232"/>
      <c r="X96" s="234"/>
      <c r="Y96" s="236"/>
      <c r="Z96" s="232"/>
      <c r="AA96" s="232"/>
      <c r="AB96" s="232"/>
      <c r="AC96" s="232"/>
      <c r="AD96" s="234"/>
      <c r="AE96" s="528">
        <v>0</v>
      </c>
      <c r="AF96" s="529"/>
      <c r="AG96" s="491"/>
      <c r="AH96" s="553"/>
      <c r="AI96" s="554"/>
      <c r="AJ96" s="555"/>
      <c r="AK96" s="540">
        <v>0</v>
      </c>
      <c r="AL96" s="511"/>
      <c r="AM96" s="508"/>
      <c r="AN96" s="509">
        <v>0</v>
      </c>
      <c r="AO96" s="509"/>
      <c r="AP96" s="509"/>
      <c r="AQ96" s="510">
        <v>0</v>
      </c>
      <c r="AR96" s="511"/>
      <c r="AS96" s="511"/>
      <c r="AT96" s="525"/>
      <c r="AU96" s="526"/>
      <c r="AV96" s="527"/>
      <c r="AW96" s="559"/>
      <c r="AX96" s="560"/>
      <c r="AY96" s="561"/>
      <c r="AZ96" s="524"/>
    </row>
    <row r="97" spans="1:52" ht="20.100000000000001" hidden="1" customHeight="1">
      <c r="A97" s="481">
        <v>46</v>
      </c>
      <c r="B97" s="58"/>
      <c r="C97" s="483" t="s">
        <v>15</v>
      </c>
      <c r="D97" s="483"/>
      <c r="E97" s="483"/>
      <c r="F97" s="484"/>
      <c r="G97" s="485" t="s">
        <v>15</v>
      </c>
      <c r="H97" s="486"/>
      <c r="I97" s="486"/>
      <c r="J97" s="486"/>
      <c r="K97" s="486"/>
      <c r="L97" s="486"/>
      <c r="M97" s="486"/>
      <c r="N97" s="487"/>
      <c r="O97" s="226"/>
      <c r="P97" s="227"/>
      <c r="Q97" s="227"/>
      <c r="R97" s="227"/>
      <c r="S97" s="235"/>
      <c r="T97" s="226"/>
      <c r="U97" s="227"/>
      <c r="V97" s="227"/>
      <c r="W97" s="227"/>
      <c r="X97" s="228"/>
      <c r="Y97" s="229"/>
      <c r="Z97" s="224"/>
      <c r="AA97" s="227"/>
      <c r="AB97" s="227"/>
      <c r="AC97" s="227"/>
      <c r="AD97" s="230"/>
      <c r="AE97" s="562">
        <v>0</v>
      </c>
      <c r="AF97" s="563"/>
      <c r="AG97" s="490"/>
      <c r="AH97" s="550">
        <v>0</v>
      </c>
      <c r="AI97" s="551"/>
      <c r="AJ97" s="552"/>
      <c r="AK97" s="541">
        <v>0</v>
      </c>
      <c r="AL97" s="513"/>
      <c r="AM97" s="498"/>
      <c r="AN97" s="532">
        <v>0</v>
      </c>
      <c r="AO97" s="513"/>
      <c r="AP97" s="498"/>
      <c r="AQ97" s="532">
        <v>0</v>
      </c>
      <c r="AR97" s="513"/>
      <c r="AS97" s="533"/>
      <c r="AT97" s="514">
        <v>0</v>
      </c>
      <c r="AU97" s="515"/>
      <c r="AV97" s="516"/>
      <c r="AW97" s="556">
        <v>0</v>
      </c>
      <c r="AX97" s="557"/>
      <c r="AY97" s="558"/>
      <c r="AZ97" s="523"/>
    </row>
    <row r="98" spans="1:52" ht="20.100000000000001" hidden="1" customHeight="1">
      <c r="A98" s="482"/>
      <c r="B98" s="59" t="s">
        <v>15</v>
      </c>
      <c r="C98" s="500" t="s">
        <v>15</v>
      </c>
      <c r="D98" s="500"/>
      <c r="E98" s="500"/>
      <c r="F98" s="501"/>
      <c r="G98" s="502" t="s">
        <v>15</v>
      </c>
      <c r="H98" s="503"/>
      <c r="I98" s="504"/>
      <c r="J98" s="502" t="s">
        <v>15</v>
      </c>
      <c r="K98" s="503"/>
      <c r="L98" s="503"/>
      <c r="M98" s="503"/>
      <c r="N98" s="505"/>
      <c r="O98" s="231"/>
      <c r="P98" s="232"/>
      <c r="Q98" s="232"/>
      <c r="R98" s="225"/>
      <c r="S98" s="233"/>
      <c r="T98" s="231"/>
      <c r="U98" s="232"/>
      <c r="V98" s="232"/>
      <c r="W98" s="232"/>
      <c r="X98" s="234"/>
      <c r="Y98" s="236"/>
      <c r="Z98" s="232"/>
      <c r="AA98" s="232"/>
      <c r="AB98" s="232"/>
      <c r="AC98" s="232"/>
      <c r="AD98" s="234"/>
      <c r="AE98" s="528">
        <v>0</v>
      </c>
      <c r="AF98" s="529"/>
      <c r="AG98" s="491"/>
      <c r="AH98" s="553"/>
      <c r="AI98" s="554"/>
      <c r="AJ98" s="555"/>
      <c r="AK98" s="540">
        <v>0</v>
      </c>
      <c r="AL98" s="511"/>
      <c r="AM98" s="508"/>
      <c r="AN98" s="509">
        <v>0</v>
      </c>
      <c r="AO98" s="509"/>
      <c r="AP98" s="509"/>
      <c r="AQ98" s="510">
        <v>0</v>
      </c>
      <c r="AR98" s="511"/>
      <c r="AS98" s="511"/>
      <c r="AT98" s="525"/>
      <c r="AU98" s="526"/>
      <c r="AV98" s="527"/>
      <c r="AW98" s="559"/>
      <c r="AX98" s="560"/>
      <c r="AY98" s="561"/>
      <c r="AZ98" s="524"/>
    </row>
    <row r="99" spans="1:52" ht="20.100000000000001" hidden="1" customHeight="1">
      <c r="A99" s="481">
        <v>47</v>
      </c>
      <c r="B99" s="58"/>
      <c r="C99" s="483" t="s">
        <v>15</v>
      </c>
      <c r="D99" s="483"/>
      <c r="E99" s="483"/>
      <c r="F99" s="484"/>
      <c r="G99" s="485" t="s">
        <v>15</v>
      </c>
      <c r="H99" s="486"/>
      <c r="I99" s="486"/>
      <c r="J99" s="486"/>
      <c r="K99" s="486"/>
      <c r="L99" s="486"/>
      <c r="M99" s="486"/>
      <c r="N99" s="487"/>
      <c r="O99" s="226"/>
      <c r="P99" s="227"/>
      <c r="Q99" s="227"/>
      <c r="R99" s="227"/>
      <c r="S99" s="235"/>
      <c r="T99" s="226"/>
      <c r="U99" s="227"/>
      <c r="V99" s="227"/>
      <c r="W99" s="227"/>
      <c r="X99" s="228"/>
      <c r="Y99" s="229"/>
      <c r="Z99" s="224"/>
      <c r="AA99" s="227"/>
      <c r="AB99" s="227"/>
      <c r="AC99" s="227"/>
      <c r="AD99" s="230"/>
      <c r="AE99" s="562">
        <v>0</v>
      </c>
      <c r="AF99" s="563"/>
      <c r="AG99" s="490"/>
      <c r="AH99" s="550">
        <v>0</v>
      </c>
      <c r="AI99" s="551"/>
      <c r="AJ99" s="552"/>
      <c r="AK99" s="541">
        <v>0</v>
      </c>
      <c r="AL99" s="513"/>
      <c r="AM99" s="498"/>
      <c r="AN99" s="532">
        <v>0</v>
      </c>
      <c r="AO99" s="513"/>
      <c r="AP99" s="498"/>
      <c r="AQ99" s="532">
        <v>0</v>
      </c>
      <c r="AR99" s="513"/>
      <c r="AS99" s="533"/>
      <c r="AT99" s="514">
        <v>0</v>
      </c>
      <c r="AU99" s="515"/>
      <c r="AV99" s="516"/>
      <c r="AW99" s="556">
        <v>0</v>
      </c>
      <c r="AX99" s="557"/>
      <c r="AY99" s="558"/>
      <c r="AZ99" s="523"/>
    </row>
    <row r="100" spans="1:52" ht="20.100000000000001" hidden="1" customHeight="1">
      <c r="A100" s="482"/>
      <c r="B100" s="59" t="s">
        <v>15</v>
      </c>
      <c r="C100" s="500" t="s">
        <v>15</v>
      </c>
      <c r="D100" s="500"/>
      <c r="E100" s="500"/>
      <c r="F100" s="501"/>
      <c r="G100" s="502" t="s">
        <v>15</v>
      </c>
      <c r="H100" s="503"/>
      <c r="I100" s="504"/>
      <c r="J100" s="502" t="s">
        <v>15</v>
      </c>
      <c r="K100" s="503"/>
      <c r="L100" s="503"/>
      <c r="M100" s="503"/>
      <c r="N100" s="505"/>
      <c r="O100" s="231"/>
      <c r="P100" s="232"/>
      <c r="Q100" s="232"/>
      <c r="R100" s="225"/>
      <c r="S100" s="233"/>
      <c r="T100" s="231"/>
      <c r="U100" s="232"/>
      <c r="V100" s="232"/>
      <c r="W100" s="232"/>
      <c r="X100" s="234"/>
      <c r="Y100" s="236"/>
      <c r="Z100" s="232"/>
      <c r="AA100" s="232"/>
      <c r="AB100" s="232"/>
      <c r="AC100" s="232"/>
      <c r="AD100" s="234"/>
      <c r="AE100" s="528">
        <v>0</v>
      </c>
      <c r="AF100" s="529"/>
      <c r="AG100" s="491"/>
      <c r="AH100" s="553"/>
      <c r="AI100" s="554"/>
      <c r="AJ100" s="555"/>
      <c r="AK100" s="540">
        <v>0</v>
      </c>
      <c r="AL100" s="511"/>
      <c r="AM100" s="508"/>
      <c r="AN100" s="509">
        <v>0</v>
      </c>
      <c r="AO100" s="509"/>
      <c r="AP100" s="509"/>
      <c r="AQ100" s="510">
        <v>0</v>
      </c>
      <c r="AR100" s="511"/>
      <c r="AS100" s="511"/>
      <c r="AT100" s="525"/>
      <c r="AU100" s="526"/>
      <c r="AV100" s="527"/>
      <c r="AW100" s="559"/>
      <c r="AX100" s="560"/>
      <c r="AY100" s="561"/>
      <c r="AZ100" s="524"/>
    </row>
    <row r="101" spans="1:52" ht="20.100000000000001" hidden="1" customHeight="1">
      <c r="A101" s="481">
        <v>48</v>
      </c>
      <c r="B101" s="58"/>
      <c r="C101" s="483" t="s">
        <v>15</v>
      </c>
      <c r="D101" s="483"/>
      <c r="E101" s="483"/>
      <c r="F101" s="484"/>
      <c r="G101" s="485" t="s">
        <v>15</v>
      </c>
      <c r="H101" s="486"/>
      <c r="I101" s="486"/>
      <c r="J101" s="486"/>
      <c r="K101" s="486"/>
      <c r="L101" s="486"/>
      <c r="M101" s="486"/>
      <c r="N101" s="487"/>
      <c r="O101" s="226"/>
      <c r="P101" s="227"/>
      <c r="Q101" s="227"/>
      <c r="R101" s="227"/>
      <c r="S101" s="235"/>
      <c r="T101" s="226"/>
      <c r="U101" s="227"/>
      <c r="V101" s="227"/>
      <c r="W101" s="227"/>
      <c r="X101" s="228"/>
      <c r="Y101" s="229"/>
      <c r="Z101" s="224"/>
      <c r="AA101" s="227"/>
      <c r="AB101" s="227"/>
      <c r="AC101" s="227"/>
      <c r="AD101" s="230"/>
      <c r="AE101" s="562">
        <v>0</v>
      </c>
      <c r="AF101" s="563"/>
      <c r="AG101" s="490"/>
      <c r="AH101" s="550">
        <v>0</v>
      </c>
      <c r="AI101" s="551"/>
      <c r="AJ101" s="552"/>
      <c r="AK101" s="541">
        <v>0</v>
      </c>
      <c r="AL101" s="513"/>
      <c r="AM101" s="498"/>
      <c r="AN101" s="532">
        <v>0</v>
      </c>
      <c r="AO101" s="513"/>
      <c r="AP101" s="498"/>
      <c r="AQ101" s="532">
        <v>0</v>
      </c>
      <c r="AR101" s="513"/>
      <c r="AS101" s="533"/>
      <c r="AT101" s="514">
        <v>0</v>
      </c>
      <c r="AU101" s="515"/>
      <c r="AV101" s="516"/>
      <c r="AW101" s="556">
        <v>0</v>
      </c>
      <c r="AX101" s="557"/>
      <c r="AY101" s="558"/>
      <c r="AZ101" s="523"/>
    </row>
    <row r="102" spans="1:52" ht="20.100000000000001" hidden="1" customHeight="1">
      <c r="A102" s="482"/>
      <c r="B102" s="59" t="s">
        <v>15</v>
      </c>
      <c r="C102" s="500" t="s">
        <v>15</v>
      </c>
      <c r="D102" s="500"/>
      <c r="E102" s="500"/>
      <c r="F102" s="501"/>
      <c r="G102" s="502" t="s">
        <v>15</v>
      </c>
      <c r="H102" s="503"/>
      <c r="I102" s="504"/>
      <c r="J102" s="502" t="s">
        <v>15</v>
      </c>
      <c r="K102" s="503"/>
      <c r="L102" s="503"/>
      <c r="M102" s="503"/>
      <c r="N102" s="505"/>
      <c r="O102" s="231"/>
      <c r="P102" s="232"/>
      <c r="Q102" s="232"/>
      <c r="R102" s="225"/>
      <c r="S102" s="233"/>
      <c r="T102" s="231"/>
      <c r="U102" s="232"/>
      <c r="V102" s="232"/>
      <c r="W102" s="232"/>
      <c r="X102" s="234"/>
      <c r="Y102" s="236"/>
      <c r="Z102" s="232"/>
      <c r="AA102" s="232"/>
      <c r="AB102" s="232"/>
      <c r="AC102" s="232"/>
      <c r="AD102" s="234"/>
      <c r="AE102" s="528">
        <v>0</v>
      </c>
      <c r="AF102" s="529"/>
      <c r="AG102" s="491"/>
      <c r="AH102" s="553"/>
      <c r="AI102" s="554"/>
      <c r="AJ102" s="555"/>
      <c r="AK102" s="540">
        <v>0</v>
      </c>
      <c r="AL102" s="511"/>
      <c r="AM102" s="508"/>
      <c r="AN102" s="509">
        <v>0</v>
      </c>
      <c r="AO102" s="509"/>
      <c r="AP102" s="509"/>
      <c r="AQ102" s="510">
        <v>0</v>
      </c>
      <c r="AR102" s="511"/>
      <c r="AS102" s="511"/>
      <c r="AT102" s="525"/>
      <c r="AU102" s="526"/>
      <c r="AV102" s="527"/>
      <c r="AW102" s="559"/>
      <c r="AX102" s="560"/>
      <c r="AY102" s="561"/>
      <c r="AZ102" s="524"/>
    </row>
    <row r="103" spans="1:52" ht="20.100000000000001" hidden="1" customHeight="1">
      <c r="A103" s="481">
        <v>49</v>
      </c>
      <c r="B103" s="58"/>
      <c r="C103" s="483" t="s">
        <v>15</v>
      </c>
      <c r="D103" s="483"/>
      <c r="E103" s="483"/>
      <c r="F103" s="484"/>
      <c r="G103" s="485" t="s">
        <v>15</v>
      </c>
      <c r="H103" s="486"/>
      <c r="I103" s="486"/>
      <c r="J103" s="486"/>
      <c r="K103" s="486"/>
      <c r="L103" s="486"/>
      <c r="M103" s="486"/>
      <c r="N103" s="487"/>
      <c r="O103" s="226"/>
      <c r="P103" s="227"/>
      <c r="Q103" s="227"/>
      <c r="R103" s="227"/>
      <c r="S103" s="235"/>
      <c r="T103" s="226"/>
      <c r="U103" s="227"/>
      <c r="V103" s="227"/>
      <c r="W103" s="227"/>
      <c r="X103" s="228"/>
      <c r="Y103" s="229"/>
      <c r="Z103" s="224"/>
      <c r="AA103" s="227"/>
      <c r="AB103" s="227"/>
      <c r="AC103" s="227"/>
      <c r="AD103" s="230"/>
      <c r="AE103" s="562">
        <v>0</v>
      </c>
      <c r="AF103" s="563"/>
      <c r="AG103" s="490"/>
      <c r="AH103" s="550">
        <v>0</v>
      </c>
      <c r="AI103" s="551"/>
      <c r="AJ103" s="552"/>
      <c r="AK103" s="541">
        <v>0</v>
      </c>
      <c r="AL103" s="513"/>
      <c r="AM103" s="498"/>
      <c r="AN103" s="532">
        <v>0</v>
      </c>
      <c r="AO103" s="513"/>
      <c r="AP103" s="498"/>
      <c r="AQ103" s="532">
        <v>0</v>
      </c>
      <c r="AR103" s="513"/>
      <c r="AS103" s="533"/>
      <c r="AT103" s="514">
        <v>0</v>
      </c>
      <c r="AU103" s="515"/>
      <c r="AV103" s="516"/>
      <c r="AW103" s="556">
        <v>0</v>
      </c>
      <c r="AX103" s="557"/>
      <c r="AY103" s="558"/>
      <c r="AZ103" s="523"/>
    </row>
    <row r="104" spans="1:52" ht="20.100000000000001" hidden="1" customHeight="1">
      <c r="A104" s="482"/>
      <c r="B104" s="59" t="s">
        <v>15</v>
      </c>
      <c r="C104" s="500" t="s">
        <v>15</v>
      </c>
      <c r="D104" s="500"/>
      <c r="E104" s="500"/>
      <c r="F104" s="501"/>
      <c r="G104" s="502" t="s">
        <v>15</v>
      </c>
      <c r="H104" s="503"/>
      <c r="I104" s="504"/>
      <c r="J104" s="502" t="s">
        <v>15</v>
      </c>
      <c r="K104" s="503"/>
      <c r="L104" s="503"/>
      <c r="M104" s="503"/>
      <c r="N104" s="505"/>
      <c r="O104" s="231"/>
      <c r="P104" s="232"/>
      <c r="Q104" s="232"/>
      <c r="R104" s="225"/>
      <c r="S104" s="233"/>
      <c r="T104" s="231"/>
      <c r="U104" s="232"/>
      <c r="V104" s="232"/>
      <c r="W104" s="232"/>
      <c r="X104" s="234"/>
      <c r="Y104" s="236"/>
      <c r="Z104" s="232"/>
      <c r="AA104" s="232"/>
      <c r="AB104" s="232"/>
      <c r="AC104" s="232"/>
      <c r="AD104" s="234"/>
      <c r="AE104" s="528">
        <v>0</v>
      </c>
      <c r="AF104" s="529"/>
      <c r="AG104" s="491"/>
      <c r="AH104" s="553"/>
      <c r="AI104" s="554"/>
      <c r="AJ104" s="555"/>
      <c r="AK104" s="540">
        <v>0</v>
      </c>
      <c r="AL104" s="511"/>
      <c r="AM104" s="508"/>
      <c r="AN104" s="509">
        <v>0</v>
      </c>
      <c r="AO104" s="509"/>
      <c r="AP104" s="509"/>
      <c r="AQ104" s="510">
        <v>0</v>
      </c>
      <c r="AR104" s="511"/>
      <c r="AS104" s="511"/>
      <c r="AT104" s="525"/>
      <c r="AU104" s="526"/>
      <c r="AV104" s="527"/>
      <c r="AW104" s="559"/>
      <c r="AX104" s="560"/>
      <c r="AY104" s="561"/>
      <c r="AZ104" s="524"/>
    </row>
    <row r="105" spans="1:52" ht="20.100000000000001" hidden="1" customHeight="1">
      <c r="A105" s="481">
        <v>50</v>
      </c>
      <c r="B105" s="58"/>
      <c r="C105" s="483" t="s">
        <v>15</v>
      </c>
      <c r="D105" s="483"/>
      <c r="E105" s="483"/>
      <c r="F105" s="484"/>
      <c r="G105" s="485" t="s">
        <v>15</v>
      </c>
      <c r="H105" s="486"/>
      <c r="I105" s="486"/>
      <c r="J105" s="486"/>
      <c r="K105" s="486"/>
      <c r="L105" s="486"/>
      <c r="M105" s="486"/>
      <c r="N105" s="487"/>
      <c r="O105" s="226"/>
      <c r="P105" s="227"/>
      <c r="Q105" s="227"/>
      <c r="R105" s="227"/>
      <c r="S105" s="235"/>
      <c r="T105" s="226"/>
      <c r="U105" s="227"/>
      <c r="V105" s="227"/>
      <c r="W105" s="227"/>
      <c r="X105" s="228"/>
      <c r="Y105" s="229"/>
      <c r="Z105" s="224"/>
      <c r="AA105" s="227"/>
      <c r="AB105" s="227"/>
      <c r="AC105" s="227"/>
      <c r="AD105" s="230"/>
      <c r="AE105" s="562">
        <v>0</v>
      </c>
      <c r="AF105" s="563"/>
      <c r="AG105" s="490"/>
      <c r="AH105" s="550">
        <v>0</v>
      </c>
      <c r="AI105" s="551"/>
      <c r="AJ105" s="552"/>
      <c r="AK105" s="541">
        <v>0</v>
      </c>
      <c r="AL105" s="513"/>
      <c r="AM105" s="498"/>
      <c r="AN105" s="532">
        <v>0</v>
      </c>
      <c r="AO105" s="513"/>
      <c r="AP105" s="498"/>
      <c r="AQ105" s="532">
        <v>0</v>
      </c>
      <c r="AR105" s="513"/>
      <c r="AS105" s="533"/>
      <c r="AT105" s="514">
        <v>0</v>
      </c>
      <c r="AU105" s="515"/>
      <c r="AV105" s="516"/>
      <c r="AW105" s="556">
        <v>0</v>
      </c>
      <c r="AX105" s="557"/>
      <c r="AY105" s="558"/>
      <c r="AZ105" s="523"/>
    </row>
    <row r="106" spans="1:52" ht="20.100000000000001" hidden="1" customHeight="1">
      <c r="A106" s="482"/>
      <c r="B106" s="59" t="s">
        <v>15</v>
      </c>
      <c r="C106" s="500" t="s">
        <v>15</v>
      </c>
      <c r="D106" s="500"/>
      <c r="E106" s="500"/>
      <c r="F106" s="501"/>
      <c r="G106" s="502" t="s">
        <v>15</v>
      </c>
      <c r="H106" s="503"/>
      <c r="I106" s="504"/>
      <c r="J106" s="502" t="s">
        <v>15</v>
      </c>
      <c r="K106" s="503"/>
      <c r="L106" s="503"/>
      <c r="M106" s="503"/>
      <c r="N106" s="505"/>
      <c r="O106" s="231"/>
      <c r="P106" s="232"/>
      <c r="Q106" s="232"/>
      <c r="R106" s="225"/>
      <c r="S106" s="233"/>
      <c r="T106" s="231"/>
      <c r="U106" s="232"/>
      <c r="V106" s="232"/>
      <c r="W106" s="232"/>
      <c r="X106" s="234"/>
      <c r="Y106" s="236"/>
      <c r="Z106" s="232"/>
      <c r="AA106" s="232"/>
      <c r="AB106" s="232"/>
      <c r="AC106" s="232"/>
      <c r="AD106" s="234"/>
      <c r="AE106" s="528">
        <v>0</v>
      </c>
      <c r="AF106" s="529"/>
      <c r="AG106" s="491"/>
      <c r="AH106" s="553"/>
      <c r="AI106" s="554"/>
      <c r="AJ106" s="555"/>
      <c r="AK106" s="540">
        <v>0</v>
      </c>
      <c r="AL106" s="511"/>
      <c r="AM106" s="508"/>
      <c r="AN106" s="509">
        <v>0</v>
      </c>
      <c r="AO106" s="509"/>
      <c r="AP106" s="509"/>
      <c r="AQ106" s="510">
        <v>0</v>
      </c>
      <c r="AR106" s="511"/>
      <c r="AS106" s="511"/>
      <c r="AT106" s="525"/>
      <c r="AU106" s="526"/>
      <c r="AV106" s="527"/>
      <c r="AW106" s="559"/>
      <c r="AX106" s="560"/>
      <c r="AY106" s="561"/>
      <c r="AZ106" s="524"/>
    </row>
    <row r="107" spans="1:52" ht="20.100000000000001" hidden="1" customHeight="1">
      <c r="A107" s="481">
        <v>51</v>
      </c>
      <c r="B107" s="58"/>
      <c r="C107" s="483" t="s">
        <v>15</v>
      </c>
      <c r="D107" s="483"/>
      <c r="E107" s="483"/>
      <c r="F107" s="484"/>
      <c r="G107" s="485" t="s">
        <v>15</v>
      </c>
      <c r="H107" s="486"/>
      <c r="I107" s="486"/>
      <c r="J107" s="486"/>
      <c r="K107" s="486"/>
      <c r="L107" s="486"/>
      <c r="M107" s="486"/>
      <c r="N107" s="487"/>
      <c r="O107" s="226"/>
      <c r="P107" s="227"/>
      <c r="Q107" s="227"/>
      <c r="R107" s="227"/>
      <c r="S107" s="235"/>
      <c r="T107" s="226"/>
      <c r="U107" s="227"/>
      <c r="V107" s="227"/>
      <c r="W107" s="227"/>
      <c r="X107" s="228"/>
      <c r="Y107" s="229"/>
      <c r="Z107" s="224"/>
      <c r="AA107" s="227"/>
      <c r="AB107" s="227"/>
      <c r="AC107" s="227"/>
      <c r="AD107" s="230"/>
      <c r="AE107" s="562">
        <v>0</v>
      </c>
      <c r="AF107" s="563"/>
      <c r="AG107" s="490"/>
      <c r="AH107" s="550">
        <v>0</v>
      </c>
      <c r="AI107" s="551"/>
      <c r="AJ107" s="552"/>
      <c r="AK107" s="541">
        <v>0</v>
      </c>
      <c r="AL107" s="513"/>
      <c r="AM107" s="498"/>
      <c r="AN107" s="532">
        <v>0</v>
      </c>
      <c r="AO107" s="513"/>
      <c r="AP107" s="498"/>
      <c r="AQ107" s="532">
        <v>0</v>
      </c>
      <c r="AR107" s="513"/>
      <c r="AS107" s="533"/>
      <c r="AT107" s="514">
        <v>0</v>
      </c>
      <c r="AU107" s="515"/>
      <c r="AV107" s="516"/>
      <c r="AW107" s="556">
        <v>0</v>
      </c>
      <c r="AX107" s="557"/>
      <c r="AY107" s="558"/>
      <c r="AZ107" s="523"/>
    </row>
    <row r="108" spans="1:52" ht="20.100000000000001" hidden="1" customHeight="1">
      <c r="A108" s="482"/>
      <c r="B108" s="59" t="s">
        <v>15</v>
      </c>
      <c r="C108" s="500" t="s">
        <v>15</v>
      </c>
      <c r="D108" s="500"/>
      <c r="E108" s="500"/>
      <c r="F108" s="501"/>
      <c r="G108" s="502" t="s">
        <v>15</v>
      </c>
      <c r="H108" s="503"/>
      <c r="I108" s="504"/>
      <c r="J108" s="502" t="s">
        <v>15</v>
      </c>
      <c r="K108" s="503"/>
      <c r="L108" s="503"/>
      <c r="M108" s="503"/>
      <c r="N108" s="505"/>
      <c r="O108" s="231"/>
      <c r="P108" s="232"/>
      <c r="Q108" s="232"/>
      <c r="R108" s="225"/>
      <c r="S108" s="233"/>
      <c r="T108" s="231"/>
      <c r="U108" s="232"/>
      <c r="V108" s="232"/>
      <c r="W108" s="232"/>
      <c r="X108" s="234"/>
      <c r="Y108" s="236"/>
      <c r="Z108" s="232"/>
      <c r="AA108" s="232"/>
      <c r="AB108" s="232"/>
      <c r="AC108" s="232"/>
      <c r="AD108" s="234"/>
      <c r="AE108" s="528">
        <v>0</v>
      </c>
      <c r="AF108" s="529"/>
      <c r="AG108" s="491"/>
      <c r="AH108" s="553"/>
      <c r="AI108" s="554"/>
      <c r="AJ108" s="555"/>
      <c r="AK108" s="540">
        <v>0</v>
      </c>
      <c r="AL108" s="511"/>
      <c r="AM108" s="508"/>
      <c r="AN108" s="509">
        <v>0</v>
      </c>
      <c r="AO108" s="509"/>
      <c r="AP108" s="509"/>
      <c r="AQ108" s="510">
        <v>0</v>
      </c>
      <c r="AR108" s="511"/>
      <c r="AS108" s="511"/>
      <c r="AT108" s="525"/>
      <c r="AU108" s="526"/>
      <c r="AV108" s="527"/>
      <c r="AW108" s="559"/>
      <c r="AX108" s="560"/>
      <c r="AY108" s="561"/>
      <c r="AZ108" s="524"/>
    </row>
    <row r="109" spans="1:52" ht="20.100000000000001" hidden="1" customHeight="1">
      <c r="A109" s="481">
        <v>52</v>
      </c>
      <c r="B109" s="58"/>
      <c r="C109" s="483" t="s">
        <v>15</v>
      </c>
      <c r="D109" s="483"/>
      <c r="E109" s="483"/>
      <c r="F109" s="484"/>
      <c r="G109" s="485" t="s">
        <v>15</v>
      </c>
      <c r="H109" s="486"/>
      <c r="I109" s="486"/>
      <c r="J109" s="486"/>
      <c r="K109" s="486"/>
      <c r="L109" s="486"/>
      <c r="M109" s="486"/>
      <c r="N109" s="487"/>
      <c r="O109" s="226"/>
      <c r="P109" s="227"/>
      <c r="Q109" s="227"/>
      <c r="R109" s="227"/>
      <c r="S109" s="235"/>
      <c r="T109" s="226"/>
      <c r="U109" s="227"/>
      <c r="V109" s="227"/>
      <c r="W109" s="227"/>
      <c r="X109" s="228"/>
      <c r="Y109" s="229"/>
      <c r="Z109" s="224"/>
      <c r="AA109" s="227"/>
      <c r="AB109" s="227"/>
      <c r="AC109" s="227"/>
      <c r="AD109" s="230"/>
      <c r="AE109" s="562">
        <v>0</v>
      </c>
      <c r="AF109" s="563"/>
      <c r="AG109" s="490"/>
      <c r="AH109" s="550">
        <v>0</v>
      </c>
      <c r="AI109" s="551"/>
      <c r="AJ109" s="552"/>
      <c r="AK109" s="541">
        <v>0</v>
      </c>
      <c r="AL109" s="513"/>
      <c r="AM109" s="498"/>
      <c r="AN109" s="532">
        <v>0</v>
      </c>
      <c r="AO109" s="513"/>
      <c r="AP109" s="498"/>
      <c r="AQ109" s="532">
        <v>0</v>
      </c>
      <c r="AR109" s="513"/>
      <c r="AS109" s="533"/>
      <c r="AT109" s="514">
        <v>0</v>
      </c>
      <c r="AU109" s="515"/>
      <c r="AV109" s="516"/>
      <c r="AW109" s="556">
        <v>0</v>
      </c>
      <c r="AX109" s="557"/>
      <c r="AY109" s="558"/>
      <c r="AZ109" s="523"/>
    </row>
    <row r="110" spans="1:52" ht="20.100000000000001" hidden="1" customHeight="1">
      <c r="A110" s="482"/>
      <c r="B110" s="59" t="s">
        <v>15</v>
      </c>
      <c r="C110" s="500" t="s">
        <v>15</v>
      </c>
      <c r="D110" s="500"/>
      <c r="E110" s="500"/>
      <c r="F110" s="501"/>
      <c r="G110" s="502" t="s">
        <v>15</v>
      </c>
      <c r="H110" s="503"/>
      <c r="I110" s="504"/>
      <c r="J110" s="502" t="s">
        <v>15</v>
      </c>
      <c r="K110" s="503"/>
      <c r="L110" s="503"/>
      <c r="M110" s="503"/>
      <c r="N110" s="505"/>
      <c r="O110" s="231"/>
      <c r="P110" s="232"/>
      <c r="Q110" s="232"/>
      <c r="R110" s="225"/>
      <c r="S110" s="233"/>
      <c r="T110" s="231"/>
      <c r="U110" s="232"/>
      <c r="V110" s="232"/>
      <c r="W110" s="232"/>
      <c r="X110" s="234"/>
      <c r="Y110" s="236"/>
      <c r="Z110" s="232"/>
      <c r="AA110" s="232"/>
      <c r="AB110" s="232"/>
      <c r="AC110" s="232"/>
      <c r="AD110" s="234"/>
      <c r="AE110" s="528">
        <v>0</v>
      </c>
      <c r="AF110" s="529"/>
      <c r="AG110" s="491"/>
      <c r="AH110" s="553"/>
      <c r="AI110" s="554"/>
      <c r="AJ110" s="555"/>
      <c r="AK110" s="540">
        <v>0</v>
      </c>
      <c r="AL110" s="511"/>
      <c r="AM110" s="508"/>
      <c r="AN110" s="509">
        <v>0</v>
      </c>
      <c r="AO110" s="509"/>
      <c r="AP110" s="509"/>
      <c r="AQ110" s="510">
        <v>0</v>
      </c>
      <c r="AR110" s="511"/>
      <c r="AS110" s="511"/>
      <c r="AT110" s="525"/>
      <c r="AU110" s="526"/>
      <c r="AV110" s="527"/>
      <c r="AW110" s="559"/>
      <c r="AX110" s="560"/>
      <c r="AY110" s="561"/>
      <c r="AZ110" s="524"/>
    </row>
    <row r="111" spans="1:52" ht="20.100000000000001" hidden="1" customHeight="1">
      <c r="A111" s="481">
        <v>53</v>
      </c>
      <c r="B111" s="58"/>
      <c r="C111" s="483" t="s">
        <v>15</v>
      </c>
      <c r="D111" s="483"/>
      <c r="E111" s="483"/>
      <c r="F111" s="484"/>
      <c r="G111" s="485" t="s">
        <v>15</v>
      </c>
      <c r="H111" s="486"/>
      <c r="I111" s="486"/>
      <c r="J111" s="486"/>
      <c r="K111" s="486"/>
      <c r="L111" s="486"/>
      <c r="M111" s="486"/>
      <c r="N111" s="487"/>
      <c r="O111" s="226"/>
      <c r="P111" s="227"/>
      <c r="Q111" s="227"/>
      <c r="R111" s="227"/>
      <c r="S111" s="235"/>
      <c r="T111" s="226"/>
      <c r="U111" s="227"/>
      <c r="V111" s="227"/>
      <c r="W111" s="227"/>
      <c r="X111" s="228"/>
      <c r="Y111" s="229"/>
      <c r="Z111" s="224"/>
      <c r="AA111" s="227"/>
      <c r="AB111" s="227"/>
      <c r="AC111" s="227"/>
      <c r="AD111" s="230"/>
      <c r="AE111" s="562">
        <v>0</v>
      </c>
      <c r="AF111" s="563"/>
      <c r="AG111" s="490"/>
      <c r="AH111" s="550">
        <v>0</v>
      </c>
      <c r="AI111" s="551"/>
      <c r="AJ111" s="552"/>
      <c r="AK111" s="541">
        <v>0</v>
      </c>
      <c r="AL111" s="513"/>
      <c r="AM111" s="498"/>
      <c r="AN111" s="532">
        <v>0</v>
      </c>
      <c r="AO111" s="513"/>
      <c r="AP111" s="498"/>
      <c r="AQ111" s="532">
        <v>0</v>
      </c>
      <c r="AR111" s="513"/>
      <c r="AS111" s="533"/>
      <c r="AT111" s="514">
        <v>0</v>
      </c>
      <c r="AU111" s="515"/>
      <c r="AV111" s="516"/>
      <c r="AW111" s="556">
        <v>0</v>
      </c>
      <c r="AX111" s="557"/>
      <c r="AY111" s="558"/>
      <c r="AZ111" s="523"/>
    </row>
    <row r="112" spans="1:52" ht="20.100000000000001" hidden="1" customHeight="1">
      <c r="A112" s="482"/>
      <c r="B112" s="59" t="s">
        <v>15</v>
      </c>
      <c r="C112" s="500" t="s">
        <v>15</v>
      </c>
      <c r="D112" s="500"/>
      <c r="E112" s="500"/>
      <c r="F112" s="501"/>
      <c r="G112" s="502" t="s">
        <v>15</v>
      </c>
      <c r="H112" s="503"/>
      <c r="I112" s="504"/>
      <c r="J112" s="502" t="s">
        <v>15</v>
      </c>
      <c r="K112" s="503"/>
      <c r="L112" s="503"/>
      <c r="M112" s="503"/>
      <c r="N112" s="505"/>
      <c r="O112" s="231"/>
      <c r="P112" s="232"/>
      <c r="Q112" s="232"/>
      <c r="R112" s="225"/>
      <c r="S112" s="233"/>
      <c r="T112" s="231"/>
      <c r="U112" s="232"/>
      <c r="V112" s="232"/>
      <c r="W112" s="232"/>
      <c r="X112" s="234"/>
      <c r="Y112" s="236"/>
      <c r="Z112" s="232"/>
      <c r="AA112" s="232"/>
      <c r="AB112" s="232"/>
      <c r="AC112" s="232"/>
      <c r="AD112" s="234"/>
      <c r="AE112" s="528">
        <v>0</v>
      </c>
      <c r="AF112" s="529"/>
      <c r="AG112" s="491"/>
      <c r="AH112" s="553"/>
      <c r="AI112" s="554"/>
      <c r="AJ112" s="555"/>
      <c r="AK112" s="540">
        <v>0</v>
      </c>
      <c r="AL112" s="511"/>
      <c r="AM112" s="508"/>
      <c r="AN112" s="509">
        <v>0</v>
      </c>
      <c r="AO112" s="509"/>
      <c r="AP112" s="509"/>
      <c r="AQ112" s="510">
        <v>0</v>
      </c>
      <c r="AR112" s="511"/>
      <c r="AS112" s="511"/>
      <c r="AT112" s="525"/>
      <c r="AU112" s="526"/>
      <c r="AV112" s="527"/>
      <c r="AW112" s="559"/>
      <c r="AX112" s="560"/>
      <c r="AY112" s="561"/>
      <c r="AZ112" s="524"/>
    </row>
    <row r="113" spans="1:52" ht="20.100000000000001" hidden="1" customHeight="1">
      <c r="A113" s="481">
        <v>54</v>
      </c>
      <c r="B113" s="58"/>
      <c r="C113" s="483" t="s">
        <v>15</v>
      </c>
      <c r="D113" s="483"/>
      <c r="E113" s="483"/>
      <c r="F113" s="484"/>
      <c r="G113" s="485" t="s">
        <v>15</v>
      </c>
      <c r="H113" s="486"/>
      <c r="I113" s="486"/>
      <c r="J113" s="486"/>
      <c r="K113" s="486"/>
      <c r="L113" s="486"/>
      <c r="M113" s="486"/>
      <c r="N113" s="487"/>
      <c r="O113" s="226"/>
      <c r="P113" s="227"/>
      <c r="Q113" s="227"/>
      <c r="R113" s="227"/>
      <c r="S113" s="235"/>
      <c r="T113" s="226"/>
      <c r="U113" s="227"/>
      <c r="V113" s="227"/>
      <c r="W113" s="227"/>
      <c r="X113" s="228"/>
      <c r="Y113" s="229"/>
      <c r="Z113" s="224"/>
      <c r="AA113" s="227"/>
      <c r="AB113" s="227"/>
      <c r="AC113" s="227"/>
      <c r="AD113" s="230"/>
      <c r="AE113" s="562">
        <v>0</v>
      </c>
      <c r="AF113" s="563"/>
      <c r="AG113" s="490"/>
      <c r="AH113" s="550">
        <v>0</v>
      </c>
      <c r="AI113" s="551"/>
      <c r="AJ113" s="552"/>
      <c r="AK113" s="541">
        <v>0</v>
      </c>
      <c r="AL113" s="513"/>
      <c r="AM113" s="498"/>
      <c r="AN113" s="532">
        <v>0</v>
      </c>
      <c r="AO113" s="513"/>
      <c r="AP113" s="498"/>
      <c r="AQ113" s="532">
        <v>0</v>
      </c>
      <c r="AR113" s="513"/>
      <c r="AS113" s="533"/>
      <c r="AT113" s="514">
        <v>0</v>
      </c>
      <c r="AU113" s="515"/>
      <c r="AV113" s="516"/>
      <c r="AW113" s="556">
        <v>0</v>
      </c>
      <c r="AX113" s="557"/>
      <c r="AY113" s="558"/>
      <c r="AZ113" s="523"/>
    </row>
    <row r="114" spans="1:52" ht="20.100000000000001" hidden="1" customHeight="1">
      <c r="A114" s="482"/>
      <c r="B114" s="59" t="s">
        <v>15</v>
      </c>
      <c r="C114" s="500" t="s">
        <v>15</v>
      </c>
      <c r="D114" s="500"/>
      <c r="E114" s="500"/>
      <c r="F114" s="501"/>
      <c r="G114" s="502" t="s">
        <v>15</v>
      </c>
      <c r="H114" s="503"/>
      <c r="I114" s="504"/>
      <c r="J114" s="502" t="s">
        <v>15</v>
      </c>
      <c r="K114" s="503"/>
      <c r="L114" s="503"/>
      <c r="M114" s="503"/>
      <c r="N114" s="505"/>
      <c r="O114" s="231"/>
      <c r="P114" s="232"/>
      <c r="Q114" s="232"/>
      <c r="R114" s="225"/>
      <c r="S114" s="233"/>
      <c r="T114" s="231"/>
      <c r="U114" s="232"/>
      <c r="V114" s="232"/>
      <c r="W114" s="232"/>
      <c r="X114" s="234"/>
      <c r="Y114" s="236"/>
      <c r="Z114" s="232"/>
      <c r="AA114" s="232"/>
      <c r="AB114" s="232"/>
      <c r="AC114" s="232"/>
      <c r="AD114" s="234"/>
      <c r="AE114" s="528">
        <v>0</v>
      </c>
      <c r="AF114" s="529"/>
      <c r="AG114" s="491"/>
      <c r="AH114" s="553"/>
      <c r="AI114" s="554"/>
      <c r="AJ114" s="555"/>
      <c r="AK114" s="540">
        <v>0</v>
      </c>
      <c r="AL114" s="511"/>
      <c r="AM114" s="508"/>
      <c r="AN114" s="509">
        <v>0</v>
      </c>
      <c r="AO114" s="509"/>
      <c r="AP114" s="509"/>
      <c r="AQ114" s="510">
        <v>0</v>
      </c>
      <c r="AR114" s="511"/>
      <c r="AS114" s="511"/>
      <c r="AT114" s="525"/>
      <c r="AU114" s="526"/>
      <c r="AV114" s="527"/>
      <c r="AW114" s="559"/>
      <c r="AX114" s="560"/>
      <c r="AY114" s="561"/>
      <c r="AZ114" s="524"/>
    </row>
    <row r="115" spans="1:52" ht="20.100000000000001" hidden="1" customHeight="1">
      <c r="A115" s="481">
        <v>55</v>
      </c>
      <c r="B115" s="58"/>
      <c r="C115" s="483" t="s">
        <v>15</v>
      </c>
      <c r="D115" s="483"/>
      <c r="E115" s="483"/>
      <c r="F115" s="484"/>
      <c r="G115" s="485" t="s">
        <v>15</v>
      </c>
      <c r="H115" s="486"/>
      <c r="I115" s="486"/>
      <c r="J115" s="486"/>
      <c r="K115" s="486"/>
      <c r="L115" s="486"/>
      <c r="M115" s="486"/>
      <c r="N115" s="487"/>
      <c r="O115" s="226"/>
      <c r="P115" s="227"/>
      <c r="Q115" s="227"/>
      <c r="R115" s="227"/>
      <c r="S115" s="235"/>
      <c r="T115" s="226"/>
      <c r="U115" s="227"/>
      <c r="V115" s="227"/>
      <c r="W115" s="227"/>
      <c r="X115" s="228"/>
      <c r="Y115" s="229"/>
      <c r="Z115" s="224"/>
      <c r="AA115" s="227"/>
      <c r="AB115" s="227"/>
      <c r="AC115" s="227"/>
      <c r="AD115" s="230"/>
      <c r="AE115" s="562">
        <v>0</v>
      </c>
      <c r="AF115" s="563"/>
      <c r="AG115" s="490"/>
      <c r="AH115" s="550">
        <v>0</v>
      </c>
      <c r="AI115" s="551"/>
      <c r="AJ115" s="552"/>
      <c r="AK115" s="541">
        <v>0</v>
      </c>
      <c r="AL115" s="513"/>
      <c r="AM115" s="498"/>
      <c r="AN115" s="532">
        <v>0</v>
      </c>
      <c r="AO115" s="513"/>
      <c r="AP115" s="498"/>
      <c r="AQ115" s="532">
        <v>0</v>
      </c>
      <c r="AR115" s="513"/>
      <c r="AS115" s="533"/>
      <c r="AT115" s="514">
        <v>0</v>
      </c>
      <c r="AU115" s="515"/>
      <c r="AV115" s="516"/>
      <c r="AW115" s="556">
        <v>0</v>
      </c>
      <c r="AX115" s="557"/>
      <c r="AY115" s="558"/>
      <c r="AZ115" s="523"/>
    </row>
    <row r="116" spans="1:52" ht="20.100000000000001" hidden="1" customHeight="1">
      <c r="A116" s="482"/>
      <c r="B116" s="59" t="s">
        <v>15</v>
      </c>
      <c r="C116" s="500" t="s">
        <v>15</v>
      </c>
      <c r="D116" s="500"/>
      <c r="E116" s="500"/>
      <c r="F116" s="501"/>
      <c r="G116" s="502" t="s">
        <v>15</v>
      </c>
      <c r="H116" s="503"/>
      <c r="I116" s="504"/>
      <c r="J116" s="502" t="s">
        <v>15</v>
      </c>
      <c r="K116" s="503"/>
      <c r="L116" s="503"/>
      <c r="M116" s="503"/>
      <c r="N116" s="505"/>
      <c r="O116" s="231"/>
      <c r="P116" s="232"/>
      <c r="Q116" s="232"/>
      <c r="R116" s="225"/>
      <c r="S116" s="233"/>
      <c r="T116" s="231"/>
      <c r="U116" s="232"/>
      <c r="V116" s="232"/>
      <c r="W116" s="232"/>
      <c r="X116" s="234"/>
      <c r="Y116" s="236"/>
      <c r="Z116" s="232"/>
      <c r="AA116" s="232"/>
      <c r="AB116" s="232"/>
      <c r="AC116" s="232"/>
      <c r="AD116" s="234"/>
      <c r="AE116" s="528">
        <v>0</v>
      </c>
      <c r="AF116" s="529"/>
      <c r="AG116" s="491"/>
      <c r="AH116" s="553"/>
      <c r="AI116" s="554"/>
      <c r="AJ116" s="555"/>
      <c r="AK116" s="540">
        <v>0</v>
      </c>
      <c r="AL116" s="511"/>
      <c r="AM116" s="508"/>
      <c r="AN116" s="509">
        <v>0</v>
      </c>
      <c r="AO116" s="509"/>
      <c r="AP116" s="509"/>
      <c r="AQ116" s="510">
        <v>0</v>
      </c>
      <c r="AR116" s="511"/>
      <c r="AS116" s="511"/>
      <c r="AT116" s="525"/>
      <c r="AU116" s="526"/>
      <c r="AV116" s="527"/>
      <c r="AW116" s="559"/>
      <c r="AX116" s="560"/>
      <c r="AY116" s="561"/>
      <c r="AZ116" s="524"/>
    </row>
    <row r="117" spans="1:52" ht="20.100000000000001" hidden="1" customHeight="1">
      <c r="A117" s="481">
        <v>56</v>
      </c>
      <c r="B117" s="58"/>
      <c r="C117" s="483" t="s">
        <v>15</v>
      </c>
      <c r="D117" s="483"/>
      <c r="E117" s="483"/>
      <c r="F117" s="484"/>
      <c r="G117" s="485" t="s">
        <v>15</v>
      </c>
      <c r="H117" s="486"/>
      <c r="I117" s="486"/>
      <c r="J117" s="486"/>
      <c r="K117" s="486"/>
      <c r="L117" s="486"/>
      <c r="M117" s="486"/>
      <c r="N117" s="487"/>
      <c r="O117" s="226"/>
      <c r="P117" s="227"/>
      <c r="Q117" s="227"/>
      <c r="R117" s="227"/>
      <c r="S117" s="235"/>
      <c r="T117" s="226"/>
      <c r="U117" s="227"/>
      <c r="V117" s="227"/>
      <c r="W117" s="227"/>
      <c r="X117" s="228"/>
      <c r="Y117" s="229"/>
      <c r="Z117" s="224"/>
      <c r="AA117" s="227"/>
      <c r="AB117" s="227"/>
      <c r="AC117" s="227"/>
      <c r="AD117" s="230"/>
      <c r="AE117" s="562">
        <v>0</v>
      </c>
      <c r="AF117" s="563"/>
      <c r="AG117" s="490"/>
      <c r="AH117" s="550">
        <v>0</v>
      </c>
      <c r="AI117" s="551"/>
      <c r="AJ117" s="552"/>
      <c r="AK117" s="541">
        <v>0</v>
      </c>
      <c r="AL117" s="513"/>
      <c r="AM117" s="498"/>
      <c r="AN117" s="532">
        <v>0</v>
      </c>
      <c r="AO117" s="513"/>
      <c r="AP117" s="498"/>
      <c r="AQ117" s="532">
        <v>0</v>
      </c>
      <c r="AR117" s="513"/>
      <c r="AS117" s="533"/>
      <c r="AT117" s="514">
        <v>0</v>
      </c>
      <c r="AU117" s="515"/>
      <c r="AV117" s="516"/>
      <c r="AW117" s="556">
        <v>0</v>
      </c>
      <c r="AX117" s="557"/>
      <c r="AY117" s="558"/>
      <c r="AZ117" s="523"/>
    </row>
    <row r="118" spans="1:52" ht="20.100000000000001" hidden="1" customHeight="1">
      <c r="A118" s="482"/>
      <c r="B118" s="59" t="s">
        <v>15</v>
      </c>
      <c r="C118" s="500" t="s">
        <v>15</v>
      </c>
      <c r="D118" s="500"/>
      <c r="E118" s="500"/>
      <c r="F118" s="501"/>
      <c r="G118" s="502" t="s">
        <v>15</v>
      </c>
      <c r="H118" s="503"/>
      <c r="I118" s="504"/>
      <c r="J118" s="502" t="s">
        <v>15</v>
      </c>
      <c r="K118" s="503"/>
      <c r="L118" s="503"/>
      <c r="M118" s="503"/>
      <c r="N118" s="505"/>
      <c r="O118" s="231"/>
      <c r="P118" s="232"/>
      <c r="Q118" s="232"/>
      <c r="R118" s="225"/>
      <c r="S118" s="233"/>
      <c r="T118" s="231"/>
      <c r="U118" s="232"/>
      <c r="V118" s="232"/>
      <c r="W118" s="232"/>
      <c r="X118" s="234"/>
      <c r="Y118" s="236"/>
      <c r="Z118" s="232"/>
      <c r="AA118" s="232"/>
      <c r="AB118" s="232"/>
      <c r="AC118" s="232"/>
      <c r="AD118" s="234"/>
      <c r="AE118" s="528">
        <v>0</v>
      </c>
      <c r="AF118" s="529"/>
      <c r="AG118" s="491"/>
      <c r="AH118" s="553"/>
      <c r="AI118" s="554"/>
      <c r="AJ118" s="555"/>
      <c r="AK118" s="540">
        <v>0</v>
      </c>
      <c r="AL118" s="511"/>
      <c r="AM118" s="508"/>
      <c r="AN118" s="509">
        <v>0</v>
      </c>
      <c r="AO118" s="509"/>
      <c r="AP118" s="509"/>
      <c r="AQ118" s="510">
        <v>0</v>
      </c>
      <c r="AR118" s="511"/>
      <c r="AS118" s="511"/>
      <c r="AT118" s="525"/>
      <c r="AU118" s="526"/>
      <c r="AV118" s="527"/>
      <c r="AW118" s="559"/>
      <c r="AX118" s="560"/>
      <c r="AY118" s="561"/>
      <c r="AZ118" s="524"/>
    </row>
    <row r="119" spans="1:52" ht="20.100000000000001" hidden="1" customHeight="1">
      <c r="A119" s="481">
        <v>57</v>
      </c>
      <c r="B119" s="58"/>
      <c r="C119" s="483" t="s">
        <v>15</v>
      </c>
      <c r="D119" s="483"/>
      <c r="E119" s="483"/>
      <c r="F119" s="484"/>
      <c r="G119" s="485" t="s">
        <v>15</v>
      </c>
      <c r="H119" s="486"/>
      <c r="I119" s="486"/>
      <c r="J119" s="486"/>
      <c r="K119" s="486"/>
      <c r="L119" s="486"/>
      <c r="M119" s="486"/>
      <c r="N119" s="487"/>
      <c r="O119" s="226"/>
      <c r="P119" s="227"/>
      <c r="Q119" s="227"/>
      <c r="R119" s="227"/>
      <c r="S119" s="235"/>
      <c r="T119" s="226"/>
      <c r="U119" s="227"/>
      <c r="V119" s="227"/>
      <c r="W119" s="227"/>
      <c r="X119" s="228"/>
      <c r="Y119" s="229"/>
      <c r="Z119" s="224"/>
      <c r="AA119" s="227"/>
      <c r="AB119" s="227"/>
      <c r="AC119" s="227"/>
      <c r="AD119" s="230"/>
      <c r="AE119" s="562">
        <v>0</v>
      </c>
      <c r="AF119" s="563"/>
      <c r="AG119" s="490"/>
      <c r="AH119" s="550">
        <v>0</v>
      </c>
      <c r="AI119" s="551"/>
      <c r="AJ119" s="552"/>
      <c r="AK119" s="541">
        <v>0</v>
      </c>
      <c r="AL119" s="513"/>
      <c r="AM119" s="498"/>
      <c r="AN119" s="532">
        <v>0</v>
      </c>
      <c r="AO119" s="513"/>
      <c r="AP119" s="498"/>
      <c r="AQ119" s="532">
        <v>0</v>
      </c>
      <c r="AR119" s="513"/>
      <c r="AS119" s="533"/>
      <c r="AT119" s="514">
        <v>0</v>
      </c>
      <c r="AU119" s="515"/>
      <c r="AV119" s="516"/>
      <c r="AW119" s="556">
        <v>0</v>
      </c>
      <c r="AX119" s="557"/>
      <c r="AY119" s="558"/>
      <c r="AZ119" s="523"/>
    </row>
    <row r="120" spans="1:52" ht="20.100000000000001" hidden="1" customHeight="1">
      <c r="A120" s="482"/>
      <c r="B120" s="59" t="s">
        <v>15</v>
      </c>
      <c r="C120" s="500" t="s">
        <v>15</v>
      </c>
      <c r="D120" s="500"/>
      <c r="E120" s="500"/>
      <c r="F120" s="501"/>
      <c r="G120" s="502" t="s">
        <v>15</v>
      </c>
      <c r="H120" s="503"/>
      <c r="I120" s="504"/>
      <c r="J120" s="502" t="s">
        <v>15</v>
      </c>
      <c r="K120" s="503"/>
      <c r="L120" s="503"/>
      <c r="M120" s="503"/>
      <c r="N120" s="505"/>
      <c r="O120" s="231"/>
      <c r="P120" s="232"/>
      <c r="Q120" s="232"/>
      <c r="R120" s="225"/>
      <c r="S120" s="233"/>
      <c r="T120" s="231"/>
      <c r="U120" s="232"/>
      <c r="V120" s="232"/>
      <c r="W120" s="232"/>
      <c r="X120" s="234"/>
      <c r="Y120" s="236"/>
      <c r="Z120" s="232"/>
      <c r="AA120" s="232"/>
      <c r="AB120" s="232"/>
      <c r="AC120" s="232"/>
      <c r="AD120" s="234"/>
      <c r="AE120" s="528">
        <v>0</v>
      </c>
      <c r="AF120" s="529"/>
      <c r="AG120" s="491"/>
      <c r="AH120" s="553"/>
      <c r="AI120" s="554"/>
      <c r="AJ120" s="555"/>
      <c r="AK120" s="540">
        <v>0</v>
      </c>
      <c r="AL120" s="511"/>
      <c r="AM120" s="508"/>
      <c r="AN120" s="509">
        <v>0</v>
      </c>
      <c r="AO120" s="509"/>
      <c r="AP120" s="509"/>
      <c r="AQ120" s="510">
        <v>0</v>
      </c>
      <c r="AR120" s="511"/>
      <c r="AS120" s="511"/>
      <c r="AT120" s="525"/>
      <c r="AU120" s="526"/>
      <c r="AV120" s="527"/>
      <c r="AW120" s="559"/>
      <c r="AX120" s="560"/>
      <c r="AY120" s="561"/>
      <c r="AZ120" s="524"/>
    </row>
    <row r="121" spans="1:52" ht="20.100000000000001" hidden="1" customHeight="1">
      <c r="A121" s="481">
        <v>58</v>
      </c>
      <c r="B121" s="58"/>
      <c r="C121" s="483" t="s">
        <v>15</v>
      </c>
      <c r="D121" s="483"/>
      <c r="E121" s="483"/>
      <c r="F121" s="484"/>
      <c r="G121" s="485" t="s">
        <v>15</v>
      </c>
      <c r="H121" s="486"/>
      <c r="I121" s="486"/>
      <c r="J121" s="486"/>
      <c r="K121" s="486"/>
      <c r="L121" s="486"/>
      <c r="M121" s="486"/>
      <c r="N121" s="487"/>
      <c r="O121" s="226"/>
      <c r="P121" s="227"/>
      <c r="Q121" s="227"/>
      <c r="R121" s="227"/>
      <c r="S121" s="235"/>
      <c r="T121" s="226"/>
      <c r="U121" s="227"/>
      <c r="V121" s="227"/>
      <c r="W121" s="227"/>
      <c r="X121" s="228"/>
      <c r="Y121" s="229"/>
      <c r="Z121" s="224"/>
      <c r="AA121" s="227"/>
      <c r="AB121" s="227"/>
      <c r="AC121" s="227"/>
      <c r="AD121" s="230"/>
      <c r="AE121" s="562">
        <v>0</v>
      </c>
      <c r="AF121" s="563"/>
      <c r="AG121" s="490"/>
      <c r="AH121" s="550">
        <v>0</v>
      </c>
      <c r="AI121" s="551"/>
      <c r="AJ121" s="552"/>
      <c r="AK121" s="541">
        <v>0</v>
      </c>
      <c r="AL121" s="513"/>
      <c r="AM121" s="498"/>
      <c r="AN121" s="532">
        <v>0</v>
      </c>
      <c r="AO121" s="513"/>
      <c r="AP121" s="498"/>
      <c r="AQ121" s="532">
        <v>0</v>
      </c>
      <c r="AR121" s="513"/>
      <c r="AS121" s="533"/>
      <c r="AT121" s="514">
        <v>0</v>
      </c>
      <c r="AU121" s="515"/>
      <c r="AV121" s="516"/>
      <c r="AW121" s="556">
        <v>0</v>
      </c>
      <c r="AX121" s="557"/>
      <c r="AY121" s="558"/>
      <c r="AZ121" s="523"/>
    </row>
    <row r="122" spans="1:52" ht="20.100000000000001" hidden="1" customHeight="1">
      <c r="A122" s="482"/>
      <c r="B122" s="59" t="s">
        <v>15</v>
      </c>
      <c r="C122" s="500" t="s">
        <v>15</v>
      </c>
      <c r="D122" s="500"/>
      <c r="E122" s="500"/>
      <c r="F122" s="501"/>
      <c r="G122" s="502" t="s">
        <v>15</v>
      </c>
      <c r="H122" s="503"/>
      <c r="I122" s="504"/>
      <c r="J122" s="502" t="s">
        <v>15</v>
      </c>
      <c r="K122" s="503"/>
      <c r="L122" s="503"/>
      <c r="M122" s="503"/>
      <c r="N122" s="505"/>
      <c r="O122" s="231"/>
      <c r="P122" s="232"/>
      <c r="Q122" s="232"/>
      <c r="R122" s="225"/>
      <c r="S122" s="233"/>
      <c r="T122" s="231"/>
      <c r="U122" s="232"/>
      <c r="V122" s="232"/>
      <c r="W122" s="232"/>
      <c r="X122" s="234"/>
      <c r="Y122" s="236"/>
      <c r="Z122" s="232"/>
      <c r="AA122" s="232"/>
      <c r="AB122" s="232"/>
      <c r="AC122" s="232"/>
      <c r="AD122" s="234"/>
      <c r="AE122" s="528">
        <v>0</v>
      </c>
      <c r="AF122" s="529"/>
      <c r="AG122" s="491"/>
      <c r="AH122" s="553"/>
      <c r="AI122" s="554"/>
      <c r="AJ122" s="555"/>
      <c r="AK122" s="540">
        <v>0</v>
      </c>
      <c r="AL122" s="511"/>
      <c r="AM122" s="508"/>
      <c r="AN122" s="509">
        <v>0</v>
      </c>
      <c r="AO122" s="509"/>
      <c r="AP122" s="509"/>
      <c r="AQ122" s="510">
        <v>0</v>
      </c>
      <c r="AR122" s="511"/>
      <c r="AS122" s="511"/>
      <c r="AT122" s="525"/>
      <c r="AU122" s="526"/>
      <c r="AV122" s="527"/>
      <c r="AW122" s="559"/>
      <c r="AX122" s="560"/>
      <c r="AY122" s="561"/>
      <c r="AZ122" s="524"/>
    </row>
    <row r="123" spans="1:52" ht="20.100000000000001" hidden="1" customHeight="1">
      <c r="A123" s="481">
        <v>59</v>
      </c>
      <c r="B123" s="58"/>
      <c r="C123" s="483" t="s">
        <v>15</v>
      </c>
      <c r="D123" s="483"/>
      <c r="E123" s="483"/>
      <c r="F123" s="484"/>
      <c r="G123" s="485" t="s">
        <v>15</v>
      </c>
      <c r="H123" s="486"/>
      <c r="I123" s="486"/>
      <c r="J123" s="486"/>
      <c r="K123" s="486"/>
      <c r="L123" s="486"/>
      <c r="M123" s="486"/>
      <c r="N123" s="487"/>
      <c r="O123" s="226"/>
      <c r="P123" s="227"/>
      <c r="Q123" s="227"/>
      <c r="R123" s="227"/>
      <c r="S123" s="235"/>
      <c r="T123" s="226"/>
      <c r="U123" s="227"/>
      <c r="V123" s="227"/>
      <c r="W123" s="227"/>
      <c r="X123" s="228"/>
      <c r="Y123" s="229"/>
      <c r="Z123" s="224"/>
      <c r="AA123" s="227"/>
      <c r="AB123" s="227"/>
      <c r="AC123" s="227"/>
      <c r="AD123" s="230"/>
      <c r="AE123" s="562">
        <v>0</v>
      </c>
      <c r="AF123" s="563"/>
      <c r="AG123" s="490"/>
      <c r="AH123" s="550">
        <v>0</v>
      </c>
      <c r="AI123" s="551"/>
      <c r="AJ123" s="552"/>
      <c r="AK123" s="541">
        <v>0</v>
      </c>
      <c r="AL123" s="513"/>
      <c r="AM123" s="498"/>
      <c r="AN123" s="532">
        <v>0</v>
      </c>
      <c r="AO123" s="513"/>
      <c r="AP123" s="498"/>
      <c r="AQ123" s="532">
        <v>0</v>
      </c>
      <c r="AR123" s="513"/>
      <c r="AS123" s="533"/>
      <c r="AT123" s="514">
        <v>0</v>
      </c>
      <c r="AU123" s="515"/>
      <c r="AV123" s="516"/>
      <c r="AW123" s="556">
        <v>0</v>
      </c>
      <c r="AX123" s="557"/>
      <c r="AY123" s="558"/>
      <c r="AZ123" s="523"/>
    </row>
    <row r="124" spans="1:52" ht="20.100000000000001" hidden="1" customHeight="1">
      <c r="A124" s="482"/>
      <c r="B124" s="59" t="s">
        <v>15</v>
      </c>
      <c r="C124" s="500" t="s">
        <v>15</v>
      </c>
      <c r="D124" s="500"/>
      <c r="E124" s="500"/>
      <c r="F124" s="501"/>
      <c r="G124" s="502" t="s">
        <v>15</v>
      </c>
      <c r="H124" s="503"/>
      <c r="I124" s="504"/>
      <c r="J124" s="502" t="s">
        <v>15</v>
      </c>
      <c r="K124" s="503"/>
      <c r="L124" s="503"/>
      <c r="M124" s="503"/>
      <c r="N124" s="505"/>
      <c r="O124" s="231"/>
      <c r="P124" s="232"/>
      <c r="Q124" s="232"/>
      <c r="R124" s="225"/>
      <c r="S124" s="233"/>
      <c r="T124" s="231"/>
      <c r="U124" s="232"/>
      <c r="V124" s="232"/>
      <c r="W124" s="232"/>
      <c r="X124" s="234"/>
      <c r="Y124" s="236"/>
      <c r="Z124" s="232"/>
      <c r="AA124" s="232"/>
      <c r="AB124" s="232"/>
      <c r="AC124" s="232"/>
      <c r="AD124" s="234"/>
      <c r="AE124" s="528">
        <v>0</v>
      </c>
      <c r="AF124" s="529"/>
      <c r="AG124" s="491"/>
      <c r="AH124" s="553"/>
      <c r="AI124" s="554"/>
      <c r="AJ124" s="555"/>
      <c r="AK124" s="540">
        <v>0</v>
      </c>
      <c r="AL124" s="511"/>
      <c r="AM124" s="508"/>
      <c r="AN124" s="509">
        <v>0</v>
      </c>
      <c r="AO124" s="509"/>
      <c r="AP124" s="509"/>
      <c r="AQ124" s="510">
        <v>0</v>
      </c>
      <c r="AR124" s="511"/>
      <c r="AS124" s="511"/>
      <c r="AT124" s="525"/>
      <c r="AU124" s="526"/>
      <c r="AV124" s="527"/>
      <c r="AW124" s="559"/>
      <c r="AX124" s="560"/>
      <c r="AY124" s="561"/>
      <c r="AZ124" s="524"/>
    </row>
    <row r="125" spans="1:52" ht="20.100000000000001" hidden="1" customHeight="1">
      <c r="A125" s="481">
        <v>60</v>
      </c>
      <c r="B125" s="58"/>
      <c r="C125" s="483" t="s">
        <v>15</v>
      </c>
      <c r="D125" s="483"/>
      <c r="E125" s="483"/>
      <c r="F125" s="484"/>
      <c r="G125" s="485" t="s">
        <v>15</v>
      </c>
      <c r="H125" s="486"/>
      <c r="I125" s="486"/>
      <c r="J125" s="486"/>
      <c r="K125" s="486"/>
      <c r="L125" s="486"/>
      <c r="M125" s="486"/>
      <c r="N125" s="487"/>
      <c r="O125" s="226"/>
      <c r="P125" s="227"/>
      <c r="Q125" s="227"/>
      <c r="R125" s="227"/>
      <c r="S125" s="235"/>
      <c r="T125" s="226"/>
      <c r="U125" s="227"/>
      <c r="V125" s="227"/>
      <c r="W125" s="227"/>
      <c r="X125" s="228"/>
      <c r="Y125" s="229"/>
      <c r="Z125" s="224"/>
      <c r="AA125" s="227"/>
      <c r="AB125" s="227"/>
      <c r="AC125" s="227"/>
      <c r="AD125" s="230"/>
      <c r="AE125" s="562">
        <v>0</v>
      </c>
      <c r="AF125" s="563"/>
      <c r="AG125" s="490"/>
      <c r="AH125" s="550">
        <v>0</v>
      </c>
      <c r="AI125" s="551"/>
      <c r="AJ125" s="552"/>
      <c r="AK125" s="541">
        <v>0</v>
      </c>
      <c r="AL125" s="513"/>
      <c r="AM125" s="498"/>
      <c r="AN125" s="532">
        <v>0</v>
      </c>
      <c r="AO125" s="513"/>
      <c r="AP125" s="498"/>
      <c r="AQ125" s="532">
        <v>0</v>
      </c>
      <c r="AR125" s="513"/>
      <c r="AS125" s="533"/>
      <c r="AT125" s="514">
        <v>0</v>
      </c>
      <c r="AU125" s="515"/>
      <c r="AV125" s="516"/>
      <c r="AW125" s="556">
        <v>0</v>
      </c>
      <c r="AX125" s="557"/>
      <c r="AY125" s="558"/>
      <c r="AZ125" s="523"/>
    </row>
    <row r="126" spans="1:52" ht="20.100000000000001" hidden="1" customHeight="1">
      <c r="A126" s="482"/>
      <c r="B126" s="59" t="s">
        <v>15</v>
      </c>
      <c r="C126" s="500" t="s">
        <v>15</v>
      </c>
      <c r="D126" s="500"/>
      <c r="E126" s="500"/>
      <c r="F126" s="501"/>
      <c r="G126" s="502" t="s">
        <v>15</v>
      </c>
      <c r="H126" s="503"/>
      <c r="I126" s="504"/>
      <c r="J126" s="502" t="s">
        <v>15</v>
      </c>
      <c r="K126" s="503"/>
      <c r="L126" s="503"/>
      <c r="M126" s="503"/>
      <c r="N126" s="505"/>
      <c r="O126" s="231"/>
      <c r="P126" s="232"/>
      <c r="Q126" s="232"/>
      <c r="R126" s="225"/>
      <c r="S126" s="233"/>
      <c r="T126" s="231"/>
      <c r="U126" s="232"/>
      <c r="V126" s="232"/>
      <c r="W126" s="232"/>
      <c r="X126" s="234"/>
      <c r="Y126" s="236"/>
      <c r="Z126" s="232"/>
      <c r="AA126" s="232"/>
      <c r="AB126" s="232"/>
      <c r="AC126" s="232"/>
      <c r="AD126" s="234"/>
      <c r="AE126" s="528">
        <v>0</v>
      </c>
      <c r="AF126" s="529"/>
      <c r="AG126" s="491"/>
      <c r="AH126" s="553"/>
      <c r="AI126" s="554"/>
      <c r="AJ126" s="555"/>
      <c r="AK126" s="540">
        <v>0</v>
      </c>
      <c r="AL126" s="511"/>
      <c r="AM126" s="508"/>
      <c r="AN126" s="509">
        <v>0</v>
      </c>
      <c r="AO126" s="509"/>
      <c r="AP126" s="509"/>
      <c r="AQ126" s="510">
        <v>0</v>
      </c>
      <c r="AR126" s="511"/>
      <c r="AS126" s="511"/>
      <c r="AT126" s="525"/>
      <c r="AU126" s="526"/>
      <c r="AV126" s="527"/>
      <c r="AW126" s="559"/>
      <c r="AX126" s="560"/>
      <c r="AY126" s="561"/>
      <c r="AZ126" s="524"/>
    </row>
    <row r="127" spans="1:52" ht="20.100000000000001" hidden="1" customHeight="1">
      <c r="A127" s="481">
        <v>61</v>
      </c>
      <c r="B127" s="58"/>
      <c r="C127" s="483" t="s">
        <v>15</v>
      </c>
      <c r="D127" s="483"/>
      <c r="E127" s="483"/>
      <c r="F127" s="484"/>
      <c r="G127" s="485" t="s">
        <v>15</v>
      </c>
      <c r="H127" s="486"/>
      <c r="I127" s="486"/>
      <c r="J127" s="486"/>
      <c r="K127" s="486"/>
      <c r="L127" s="486"/>
      <c r="M127" s="486"/>
      <c r="N127" s="487"/>
      <c r="O127" s="226"/>
      <c r="P127" s="227"/>
      <c r="Q127" s="227"/>
      <c r="R127" s="227"/>
      <c r="S127" s="235"/>
      <c r="T127" s="226"/>
      <c r="U127" s="227"/>
      <c r="V127" s="227"/>
      <c r="W127" s="227"/>
      <c r="X127" s="228"/>
      <c r="Y127" s="229"/>
      <c r="Z127" s="224"/>
      <c r="AA127" s="227"/>
      <c r="AB127" s="227"/>
      <c r="AC127" s="227"/>
      <c r="AD127" s="230"/>
      <c r="AE127" s="562">
        <v>0</v>
      </c>
      <c r="AF127" s="563"/>
      <c r="AG127" s="490"/>
      <c r="AH127" s="550">
        <v>0</v>
      </c>
      <c r="AI127" s="551"/>
      <c r="AJ127" s="552"/>
      <c r="AK127" s="541">
        <v>0</v>
      </c>
      <c r="AL127" s="513"/>
      <c r="AM127" s="498"/>
      <c r="AN127" s="532">
        <v>0</v>
      </c>
      <c r="AO127" s="513"/>
      <c r="AP127" s="498"/>
      <c r="AQ127" s="532">
        <v>0</v>
      </c>
      <c r="AR127" s="513"/>
      <c r="AS127" s="533"/>
      <c r="AT127" s="514">
        <v>0</v>
      </c>
      <c r="AU127" s="515"/>
      <c r="AV127" s="516"/>
      <c r="AW127" s="556">
        <v>0</v>
      </c>
      <c r="AX127" s="557"/>
      <c r="AY127" s="558"/>
      <c r="AZ127" s="523"/>
    </row>
    <row r="128" spans="1:52" ht="20.100000000000001" hidden="1" customHeight="1">
      <c r="A128" s="482"/>
      <c r="B128" s="59" t="s">
        <v>15</v>
      </c>
      <c r="C128" s="500" t="s">
        <v>15</v>
      </c>
      <c r="D128" s="500"/>
      <c r="E128" s="500"/>
      <c r="F128" s="501"/>
      <c r="G128" s="502" t="s">
        <v>15</v>
      </c>
      <c r="H128" s="503"/>
      <c r="I128" s="504"/>
      <c r="J128" s="502" t="s">
        <v>15</v>
      </c>
      <c r="K128" s="503"/>
      <c r="L128" s="503"/>
      <c r="M128" s="503"/>
      <c r="N128" s="505"/>
      <c r="O128" s="231"/>
      <c r="P128" s="232"/>
      <c r="Q128" s="232"/>
      <c r="R128" s="225"/>
      <c r="S128" s="233"/>
      <c r="T128" s="231"/>
      <c r="U128" s="232"/>
      <c r="V128" s="232"/>
      <c r="W128" s="232"/>
      <c r="X128" s="234"/>
      <c r="Y128" s="236"/>
      <c r="Z128" s="232"/>
      <c r="AA128" s="232"/>
      <c r="AB128" s="232"/>
      <c r="AC128" s="232"/>
      <c r="AD128" s="234"/>
      <c r="AE128" s="528">
        <v>0</v>
      </c>
      <c r="AF128" s="529"/>
      <c r="AG128" s="491"/>
      <c r="AH128" s="553"/>
      <c r="AI128" s="554"/>
      <c r="AJ128" s="555"/>
      <c r="AK128" s="540">
        <v>0</v>
      </c>
      <c r="AL128" s="511"/>
      <c r="AM128" s="508"/>
      <c r="AN128" s="509">
        <v>0</v>
      </c>
      <c r="AO128" s="509"/>
      <c r="AP128" s="509"/>
      <c r="AQ128" s="510">
        <v>0</v>
      </c>
      <c r="AR128" s="511"/>
      <c r="AS128" s="511"/>
      <c r="AT128" s="525"/>
      <c r="AU128" s="526"/>
      <c r="AV128" s="527"/>
      <c r="AW128" s="559"/>
      <c r="AX128" s="560"/>
      <c r="AY128" s="561"/>
      <c r="AZ128" s="524"/>
    </row>
    <row r="129" spans="1:52" ht="20.100000000000001" hidden="1" customHeight="1">
      <c r="A129" s="481">
        <v>62</v>
      </c>
      <c r="B129" s="58"/>
      <c r="C129" s="483" t="s">
        <v>15</v>
      </c>
      <c r="D129" s="483"/>
      <c r="E129" s="483"/>
      <c r="F129" s="484"/>
      <c r="G129" s="485" t="s">
        <v>15</v>
      </c>
      <c r="H129" s="486"/>
      <c r="I129" s="486"/>
      <c r="J129" s="486"/>
      <c r="K129" s="486"/>
      <c r="L129" s="486"/>
      <c r="M129" s="486"/>
      <c r="N129" s="487"/>
      <c r="O129" s="226"/>
      <c r="P129" s="227"/>
      <c r="Q129" s="227"/>
      <c r="R129" s="227"/>
      <c r="S129" s="235"/>
      <c r="T129" s="226"/>
      <c r="U129" s="227"/>
      <c r="V129" s="227"/>
      <c r="W129" s="227"/>
      <c r="X129" s="228"/>
      <c r="Y129" s="229"/>
      <c r="Z129" s="224"/>
      <c r="AA129" s="227"/>
      <c r="AB129" s="227"/>
      <c r="AC129" s="227"/>
      <c r="AD129" s="230"/>
      <c r="AE129" s="562">
        <v>0</v>
      </c>
      <c r="AF129" s="563"/>
      <c r="AG129" s="490"/>
      <c r="AH129" s="550">
        <v>0</v>
      </c>
      <c r="AI129" s="551"/>
      <c r="AJ129" s="552"/>
      <c r="AK129" s="541">
        <v>0</v>
      </c>
      <c r="AL129" s="513"/>
      <c r="AM129" s="498"/>
      <c r="AN129" s="532">
        <v>0</v>
      </c>
      <c r="AO129" s="513"/>
      <c r="AP129" s="498"/>
      <c r="AQ129" s="532">
        <v>0</v>
      </c>
      <c r="AR129" s="513"/>
      <c r="AS129" s="533"/>
      <c r="AT129" s="514">
        <v>0</v>
      </c>
      <c r="AU129" s="515"/>
      <c r="AV129" s="516"/>
      <c r="AW129" s="556">
        <v>0</v>
      </c>
      <c r="AX129" s="557"/>
      <c r="AY129" s="558"/>
      <c r="AZ129" s="523"/>
    </row>
    <row r="130" spans="1:52" ht="20.100000000000001" hidden="1" customHeight="1">
      <c r="A130" s="482"/>
      <c r="B130" s="59" t="s">
        <v>15</v>
      </c>
      <c r="C130" s="500" t="s">
        <v>15</v>
      </c>
      <c r="D130" s="500"/>
      <c r="E130" s="500"/>
      <c r="F130" s="501"/>
      <c r="G130" s="502" t="s">
        <v>15</v>
      </c>
      <c r="H130" s="503"/>
      <c r="I130" s="504"/>
      <c r="J130" s="502" t="s">
        <v>15</v>
      </c>
      <c r="K130" s="503"/>
      <c r="L130" s="503"/>
      <c r="M130" s="503"/>
      <c r="N130" s="505"/>
      <c r="O130" s="231"/>
      <c r="P130" s="232"/>
      <c r="Q130" s="232"/>
      <c r="R130" s="225"/>
      <c r="S130" s="233"/>
      <c r="T130" s="231"/>
      <c r="U130" s="232"/>
      <c r="V130" s="232"/>
      <c r="W130" s="232"/>
      <c r="X130" s="234"/>
      <c r="Y130" s="236"/>
      <c r="Z130" s="232"/>
      <c r="AA130" s="232"/>
      <c r="AB130" s="232"/>
      <c r="AC130" s="232"/>
      <c r="AD130" s="234"/>
      <c r="AE130" s="528">
        <v>0</v>
      </c>
      <c r="AF130" s="529"/>
      <c r="AG130" s="491"/>
      <c r="AH130" s="553"/>
      <c r="AI130" s="554"/>
      <c r="AJ130" s="555"/>
      <c r="AK130" s="540">
        <v>0</v>
      </c>
      <c r="AL130" s="511"/>
      <c r="AM130" s="508"/>
      <c r="AN130" s="509">
        <v>0</v>
      </c>
      <c r="AO130" s="509"/>
      <c r="AP130" s="509"/>
      <c r="AQ130" s="510">
        <v>0</v>
      </c>
      <c r="AR130" s="511"/>
      <c r="AS130" s="511"/>
      <c r="AT130" s="525"/>
      <c r="AU130" s="526"/>
      <c r="AV130" s="527"/>
      <c r="AW130" s="559"/>
      <c r="AX130" s="560"/>
      <c r="AY130" s="561"/>
      <c r="AZ130" s="524"/>
    </row>
    <row r="131" spans="1:52" ht="20.100000000000001" hidden="1" customHeight="1">
      <c r="A131" s="481">
        <v>63</v>
      </c>
      <c r="B131" s="58"/>
      <c r="C131" s="483" t="s">
        <v>15</v>
      </c>
      <c r="D131" s="483"/>
      <c r="E131" s="483"/>
      <c r="F131" s="484"/>
      <c r="G131" s="485" t="s">
        <v>15</v>
      </c>
      <c r="H131" s="486"/>
      <c r="I131" s="486"/>
      <c r="J131" s="486"/>
      <c r="K131" s="486"/>
      <c r="L131" s="486"/>
      <c r="M131" s="486"/>
      <c r="N131" s="487"/>
      <c r="O131" s="226"/>
      <c r="P131" s="227"/>
      <c r="Q131" s="227"/>
      <c r="R131" s="227"/>
      <c r="S131" s="235"/>
      <c r="T131" s="226"/>
      <c r="U131" s="227"/>
      <c r="V131" s="227"/>
      <c r="W131" s="227"/>
      <c r="X131" s="228"/>
      <c r="Y131" s="229"/>
      <c r="Z131" s="224"/>
      <c r="AA131" s="227"/>
      <c r="AB131" s="227"/>
      <c r="AC131" s="227"/>
      <c r="AD131" s="230"/>
      <c r="AE131" s="562">
        <v>0</v>
      </c>
      <c r="AF131" s="563"/>
      <c r="AG131" s="490"/>
      <c r="AH131" s="550">
        <v>0</v>
      </c>
      <c r="AI131" s="551"/>
      <c r="AJ131" s="552"/>
      <c r="AK131" s="541">
        <v>0</v>
      </c>
      <c r="AL131" s="513"/>
      <c r="AM131" s="498"/>
      <c r="AN131" s="532">
        <v>0</v>
      </c>
      <c r="AO131" s="513"/>
      <c r="AP131" s="498"/>
      <c r="AQ131" s="532">
        <v>0</v>
      </c>
      <c r="AR131" s="513"/>
      <c r="AS131" s="533"/>
      <c r="AT131" s="514">
        <v>0</v>
      </c>
      <c r="AU131" s="515"/>
      <c r="AV131" s="516"/>
      <c r="AW131" s="556">
        <v>0</v>
      </c>
      <c r="AX131" s="557"/>
      <c r="AY131" s="558"/>
      <c r="AZ131" s="523"/>
    </row>
    <row r="132" spans="1:52" ht="20.100000000000001" hidden="1" customHeight="1">
      <c r="A132" s="482"/>
      <c r="B132" s="59" t="s">
        <v>15</v>
      </c>
      <c r="C132" s="500" t="s">
        <v>15</v>
      </c>
      <c r="D132" s="500"/>
      <c r="E132" s="500"/>
      <c r="F132" s="501"/>
      <c r="G132" s="502" t="s">
        <v>15</v>
      </c>
      <c r="H132" s="503"/>
      <c r="I132" s="504"/>
      <c r="J132" s="502" t="s">
        <v>15</v>
      </c>
      <c r="K132" s="503"/>
      <c r="L132" s="503"/>
      <c r="M132" s="503"/>
      <c r="N132" s="505"/>
      <c r="O132" s="231"/>
      <c r="P132" s="232"/>
      <c r="Q132" s="232"/>
      <c r="R132" s="225"/>
      <c r="S132" s="233"/>
      <c r="T132" s="231"/>
      <c r="U132" s="232"/>
      <c r="V132" s="232"/>
      <c r="W132" s="232"/>
      <c r="X132" s="234"/>
      <c r="Y132" s="236"/>
      <c r="Z132" s="232"/>
      <c r="AA132" s="232"/>
      <c r="AB132" s="232"/>
      <c r="AC132" s="232"/>
      <c r="AD132" s="234"/>
      <c r="AE132" s="528">
        <v>0</v>
      </c>
      <c r="AF132" s="529"/>
      <c r="AG132" s="491"/>
      <c r="AH132" s="553"/>
      <c r="AI132" s="554"/>
      <c r="AJ132" s="555"/>
      <c r="AK132" s="540">
        <v>0</v>
      </c>
      <c r="AL132" s="511"/>
      <c r="AM132" s="508"/>
      <c r="AN132" s="509">
        <v>0</v>
      </c>
      <c r="AO132" s="509"/>
      <c r="AP132" s="509"/>
      <c r="AQ132" s="510">
        <v>0</v>
      </c>
      <c r="AR132" s="511"/>
      <c r="AS132" s="511"/>
      <c r="AT132" s="525"/>
      <c r="AU132" s="526"/>
      <c r="AV132" s="527"/>
      <c r="AW132" s="559"/>
      <c r="AX132" s="560"/>
      <c r="AY132" s="561"/>
      <c r="AZ132" s="524"/>
    </row>
    <row r="133" spans="1:52" ht="20.100000000000001" hidden="1" customHeight="1">
      <c r="A133" s="481">
        <v>64</v>
      </c>
      <c r="B133" s="58"/>
      <c r="C133" s="483" t="s">
        <v>15</v>
      </c>
      <c r="D133" s="483"/>
      <c r="E133" s="483"/>
      <c r="F133" s="484"/>
      <c r="G133" s="485" t="s">
        <v>15</v>
      </c>
      <c r="H133" s="486"/>
      <c r="I133" s="486"/>
      <c r="J133" s="486"/>
      <c r="K133" s="486"/>
      <c r="L133" s="486"/>
      <c r="M133" s="486"/>
      <c r="N133" s="487"/>
      <c r="O133" s="226"/>
      <c r="P133" s="227"/>
      <c r="Q133" s="227"/>
      <c r="R133" s="227"/>
      <c r="S133" s="235"/>
      <c r="T133" s="226"/>
      <c r="U133" s="227"/>
      <c r="V133" s="227"/>
      <c r="W133" s="227"/>
      <c r="X133" s="228"/>
      <c r="Y133" s="229"/>
      <c r="Z133" s="224"/>
      <c r="AA133" s="227"/>
      <c r="AB133" s="227"/>
      <c r="AC133" s="227"/>
      <c r="AD133" s="230"/>
      <c r="AE133" s="562">
        <v>0</v>
      </c>
      <c r="AF133" s="563"/>
      <c r="AG133" s="490"/>
      <c r="AH133" s="550">
        <v>0</v>
      </c>
      <c r="AI133" s="551"/>
      <c r="AJ133" s="552"/>
      <c r="AK133" s="541">
        <v>0</v>
      </c>
      <c r="AL133" s="513"/>
      <c r="AM133" s="498"/>
      <c r="AN133" s="532">
        <v>0</v>
      </c>
      <c r="AO133" s="513"/>
      <c r="AP133" s="498"/>
      <c r="AQ133" s="532">
        <v>0</v>
      </c>
      <c r="AR133" s="513"/>
      <c r="AS133" s="533"/>
      <c r="AT133" s="514">
        <v>0</v>
      </c>
      <c r="AU133" s="515"/>
      <c r="AV133" s="516"/>
      <c r="AW133" s="556">
        <v>0</v>
      </c>
      <c r="AX133" s="557"/>
      <c r="AY133" s="558"/>
      <c r="AZ133" s="523"/>
    </row>
    <row r="134" spans="1:52" ht="20.100000000000001" hidden="1" customHeight="1">
      <c r="A134" s="482"/>
      <c r="B134" s="59" t="s">
        <v>15</v>
      </c>
      <c r="C134" s="500" t="s">
        <v>15</v>
      </c>
      <c r="D134" s="500"/>
      <c r="E134" s="500"/>
      <c r="F134" s="501"/>
      <c r="G134" s="502" t="s">
        <v>15</v>
      </c>
      <c r="H134" s="503"/>
      <c r="I134" s="504"/>
      <c r="J134" s="502" t="s">
        <v>15</v>
      </c>
      <c r="K134" s="503"/>
      <c r="L134" s="503"/>
      <c r="M134" s="503"/>
      <c r="N134" s="505"/>
      <c r="O134" s="231"/>
      <c r="P134" s="232"/>
      <c r="Q134" s="232"/>
      <c r="R134" s="225"/>
      <c r="S134" s="233"/>
      <c r="T134" s="231"/>
      <c r="U134" s="232"/>
      <c r="V134" s="232"/>
      <c r="W134" s="232"/>
      <c r="X134" s="234"/>
      <c r="Y134" s="236"/>
      <c r="Z134" s="232"/>
      <c r="AA134" s="232"/>
      <c r="AB134" s="232"/>
      <c r="AC134" s="232"/>
      <c r="AD134" s="234"/>
      <c r="AE134" s="528">
        <v>0</v>
      </c>
      <c r="AF134" s="529"/>
      <c r="AG134" s="491"/>
      <c r="AH134" s="553"/>
      <c r="AI134" s="554"/>
      <c r="AJ134" s="555"/>
      <c r="AK134" s="540">
        <v>0</v>
      </c>
      <c r="AL134" s="511"/>
      <c r="AM134" s="508"/>
      <c r="AN134" s="509">
        <v>0</v>
      </c>
      <c r="AO134" s="509"/>
      <c r="AP134" s="509"/>
      <c r="AQ134" s="510">
        <v>0</v>
      </c>
      <c r="AR134" s="511"/>
      <c r="AS134" s="511"/>
      <c r="AT134" s="525"/>
      <c r="AU134" s="526"/>
      <c r="AV134" s="527"/>
      <c r="AW134" s="559"/>
      <c r="AX134" s="560"/>
      <c r="AY134" s="561"/>
      <c r="AZ134" s="524"/>
    </row>
    <row r="135" spans="1:52" ht="20.100000000000001" hidden="1" customHeight="1">
      <c r="A135" s="481">
        <v>65</v>
      </c>
      <c r="B135" s="58"/>
      <c r="C135" s="483" t="s">
        <v>15</v>
      </c>
      <c r="D135" s="483"/>
      <c r="E135" s="483"/>
      <c r="F135" s="484"/>
      <c r="G135" s="485" t="s">
        <v>15</v>
      </c>
      <c r="H135" s="486"/>
      <c r="I135" s="486"/>
      <c r="J135" s="486"/>
      <c r="K135" s="486"/>
      <c r="L135" s="486"/>
      <c r="M135" s="486"/>
      <c r="N135" s="487"/>
      <c r="O135" s="226"/>
      <c r="P135" s="227"/>
      <c r="Q135" s="227"/>
      <c r="R135" s="227"/>
      <c r="S135" s="235"/>
      <c r="T135" s="226"/>
      <c r="U135" s="227"/>
      <c r="V135" s="227"/>
      <c r="W135" s="227"/>
      <c r="X135" s="228"/>
      <c r="Y135" s="229"/>
      <c r="Z135" s="224"/>
      <c r="AA135" s="227"/>
      <c r="AB135" s="227"/>
      <c r="AC135" s="227"/>
      <c r="AD135" s="230"/>
      <c r="AE135" s="562">
        <v>0</v>
      </c>
      <c r="AF135" s="563"/>
      <c r="AG135" s="490"/>
      <c r="AH135" s="550">
        <v>0</v>
      </c>
      <c r="AI135" s="551"/>
      <c r="AJ135" s="552"/>
      <c r="AK135" s="541">
        <v>0</v>
      </c>
      <c r="AL135" s="513"/>
      <c r="AM135" s="498"/>
      <c r="AN135" s="532">
        <v>0</v>
      </c>
      <c r="AO135" s="513"/>
      <c r="AP135" s="498"/>
      <c r="AQ135" s="532">
        <v>0</v>
      </c>
      <c r="AR135" s="513"/>
      <c r="AS135" s="533"/>
      <c r="AT135" s="514">
        <v>0</v>
      </c>
      <c r="AU135" s="515"/>
      <c r="AV135" s="516"/>
      <c r="AW135" s="556">
        <v>0</v>
      </c>
      <c r="AX135" s="557"/>
      <c r="AY135" s="558"/>
      <c r="AZ135" s="523"/>
    </row>
    <row r="136" spans="1:52" ht="20.100000000000001" hidden="1" customHeight="1">
      <c r="A136" s="482"/>
      <c r="B136" s="59" t="s">
        <v>15</v>
      </c>
      <c r="C136" s="500" t="s">
        <v>15</v>
      </c>
      <c r="D136" s="500"/>
      <c r="E136" s="500"/>
      <c r="F136" s="501"/>
      <c r="G136" s="502" t="s">
        <v>15</v>
      </c>
      <c r="H136" s="503"/>
      <c r="I136" s="504"/>
      <c r="J136" s="502" t="s">
        <v>15</v>
      </c>
      <c r="K136" s="503"/>
      <c r="L136" s="503"/>
      <c r="M136" s="503"/>
      <c r="N136" s="505"/>
      <c r="O136" s="231"/>
      <c r="P136" s="232"/>
      <c r="Q136" s="232"/>
      <c r="R136" s="225"/>
      <c r="S136" s="233"/>
      <c r="T136" s="231"/>
      <c r="U136" s="232"/>
      <c r="V136" s="232"/>
      <c r="W136" s="232"/>
      <c r="X136" s="234"/>
      <c r="Y136" s="236"/>
      <c r="Z136" s="232"/>
      <c r="AA136" s="232"/>
      <c r="AB136" s="232"/>
      <c r="AC136" s="232"/>
      <c r="AD136" s="234"/>
      <c r="AE136" s="528">
        <v>0</v>
      </c>
      <c r="AF136" s="529"/>
      <c r="AG136" s="491"/>
      <c r="AH136" s="553"/>
      <c r="AI136" s="554"/>
      <c r="AJ136" s="555"/>
      <c r="AK136" s="540">
        <v>0</v>
      </c>
      <c r="AL136" s="511"/>
      <c r="AM136" s="508"/>
      <c r="AN136" s="509">
        <v>0</v>
      </c>
      <c r="AO136" s="509"/>
      <c r="AP136" s="509"/>
      <c r="AQ136" s="510">
        <v>0</v>
      </c>
      <c r="AR136" s="511"/>
      <c r="AS136" s="511"/>
      <c r="AT136" s="525"/>
      <c r="AU136" s="526"/>
      <c r="AV136" s="527"/>
      <c r="AW136" s="559"/>
      <c r="AX136" s="560"/>
      <c r="AY136" s="561"/>
      <c r="AZ136" s="524"/>
    </row>
    <row r="137" spans="1:52" ht="20.100000000000001" hidden="1" customHeight="1">
      <c r="A137" s="481">
        <v>66</v>
      </c>
      <c r="B137" s="58"/>
      <c r="C137" s="483" t="s">
        <v>15</v>
      </c>
      <c r="D137" s="483"/>
      <c r="E137" s="483"/>
      <c r="F137" s="484"/>
      <c r="G137" s="485" t="s">
        <v>15</v>
      </c>
      <c r="H137" s="486"/>
      <c r="I137" s="486"/>
      <c r="J137" s="486"/>
      <c r="K137" s="486"/>
      <c r="L137" s="486"/>
      <c r="M137" s="486"/>
      <c r="N137" s="487"/>
      <c r="O137" s="226"/>
      <c r="P137" s="227"/>
      <c r="Q137" s="227"/>
      <c r="R137" s="227"/>
      <c r="S137" s="235"/>
      <c r="T137" s="226"/>
      <c r="U137" s="227"/>
      <c r="V137" s="227"/>
      <c r="W137" s="227"/>
      <c r="X137" s="228"/>
      <c r="Y137" s="229"/>
      <c r="Z137" s="224"/>
      <c r="AA137" s="227"/>
      <c r="AB137" s="227"/>
      <c r="AC137" s="227"/>
      <c r="AD137" s="230"/>
      <c r="AE137" s="562">
        <v>0</v>
      </c>
      <c r="AF137" s="563"/>
      <c r="AG137" s="490"/>
      <c r="AH137" s="550">
        <v>0</v>
      </c>
      <c r="AI137" s="551"/>
      <c r="AJ137" s="552"/>
      <c r="AK137" s="541">
        <v>0</v>
      </c>
      <c r="AL137" s="513"/>
      <c r="AM137" s="498"/>
      <c r="AN137" s="532">
        <v>0</v>
      </c>
      <c r="AO137" s="513"/>
      <c r="AP137" s="498"/>
      <c r="AQ137" s="532">
        <v>0</v>
      </c>
      <c r="AR137" s="513"/>
      <c r="AS137" s="533"/>
      <c r="AT137" s="514">
        <v>0</v>
      </c>
      <c r="AU137" s="515"/>
      <c r="AV137" s="516"/>
      <c r="AW137" s="556">
        <v>0</v>
      </c>
      <c r="AX137" s="557"/>
      <c r="AY137" s="558"/>
      <c r="AZ137" s="523"/>
    </row>
    <row r="138" spans="1:52" ht="20.100000000000001" hidden="1" customHeight="1">
      <c r="A138" s="482"/>
      <c r="B138" s="59" t="s">
        <v>15</v>
      </c>
      <c r="C138" s="500" t="s">
        <v>15</v>
      </c>
      <c r="D138" s="500"/>
      <c r="E138" s="500"/>
      <c r="F138" s="501"/>
      <c r="G138" s="502" t="s">
        <v>15</v>
      </c>
      <c r="H138" s="503"/>
      <c r="I138" s="504"/>
      <c r="J138" s="502" t="s">
        <v>15</v>
      </c>
      <c r="K138" s="503"/>
      <c r="L138" s="503"/>
      <c r="M138" s="503"/>
      <c r="N138" s="505"/>
      <c r="O138" s="231"/>
      <c r="P138" s="232"/>
      <c r="Q138" s="232"/>
      <c r="R138" s="225"/>
      <c r="S138" s="233"/>
      <c r="T138" s="231"/>
      <c r="U138" s="232"/>
      <c r="V138" s="232"/>
      <c r="W138" s="232"/>
      <c r="X138" s="234"/>
      <c r="Y138" s="236"/>
      <c r="Z138" s="232"/>
      <c r="AA138" s="232"/>
      <c r="AB138" s="232"/>
      <c r="AC138" s="232"/>
      <c r="AD138" s="234"/>
      <c r="AE138" s="528">
        <v>0</v>
      </c>
      <c r="AF138" s="529"/>
      <c r="AG138" s="491"/>
      <c r="AH138" s="553"/>
      <c r="AI138" s="554"/>
      <c r="AJ138" s="555"/>
      <c r="AK138" s="540">
        <v>0</v>
      </c>
      <c r="AL138" s="511"/>
      <c r="AM138" s="508"/>
      <c r="AN138" s="509">
        <v>0</v>
      </c>
      <c r="AO138" s="509"/>
      <c r="AP138" s="509"/>
      <c r="AQ138" s="510">
        <v>0</v>
      </c>
      <c r="AR138" s="511"/>
      <c r="AS138" s="511"/>
      <c r="AT138" s="525"/>
      <c r="AU138" s="526"/>
      <c r="AV138" s="527"/>
      <c r="AW138" s="559"/>
      <c r="AX138" s="560"/>
      <c r="AY138" s="561"/>
      <c r="AZ138" s="524"/>
    </row>
    <row r="139" spans="1:52" ht="20.100000000000001" hidden="1" customHeight="1">
      <c r="A139" s="481">
        <v>67</v>
      </c>
      <c r="B139" s="58"/>
      <c r="C139" s="483" t="s">
        <v>15</v>
      </c>
      <c r="D139" s="483"/>
      <c r="E139" s="483"/>
      <c r="F139" s="484"/>
      <c r="G139" s="485" t="s">
        <v>15</v>
      </c>
      <c r="H139" s="486"/>
      <c r="I139" s="486"/>
      <c r="J139" s="486"/>
      <c r="K139" s="486"/>
      <c r="L139" s="486"/>
      <c r="M139" s="486"/>
      <c r="N139" s="487"/>
      <c r="O139" s="226"/>
      <c r="P139" s="227"/>
      <c r="Q139" s="227"/>
      <c r="R139" s="227"/>
      <c r="S139" s="235"/>
      <c r="T139" s="226"/>
      <c r="U139" s="227"/>
      <c r="V139" s="227"/>
      <c r="W139" s="227"/>
      <c r="X139" s="228"/>
      <c r="Y139" s="229"/>
      <c r="Z139" s="224"/>
      <c r="AA139" s="227"/>
      <c r="AB139" s="227"/>
      <c r="AC139" s="227"/>
      <c r="AD139" s="230"/>
      <c r="AE139" s="562">
        <v>0</v>
      </c>
      <c r="AF139" s="563"/>
      <c r="AG139" s="490"/>
      <c r="AH139" s="550">
        <v>0</v>
      </c>
      <c r="AI139" s="551"/>
      <c r="AJ139" s="552"/>
      <c r="AK139" s="541">
        <v>0</v>
      </c>
      <c r="AL139" s="513"/>
      <c r="AM139" s="498"/>
      <c r="AN139" s="532">
        <v>0</v>
      </c>
      <c r="AO139" s="513"/>
      <c r="AP139" s="498"/>
      <c r="AQ139" s="532">
        <v>0</v>
      </c>
      <c r="AR139" s="513"/>
      <c r="AS139" s="533"/>
      <c r="AT139" s="514">
        <v>0</v>
      </c>
      <c r="AU139" s="515"/>
      <c r="AV139" s="516"/>
      <c r="AW139" s="556">
        <v>0</v>
      </c>
      <c r="AX139" s="557"/>
      <c r="AY139" s="558"/>
      <c r="AZ139" s="523"/>
    </row>
    <row r="140" spans="1:52" ht="20.100000000000001" hidden="1" customHeight="1">
      <c r="A140" s="482"/>
      <c r="B140" s="59" t="s">
        <v>15</v>
      </c>
      <c r="C140" s="500" t="s">
        <v>15</v>
      </c>
      <c r="D140" s="500"/>
      <c r="E140" s="500"/>
      <c r="F140" s="501"/>
      <c r="G140" s="502" t="s">
        <v>15</v>
      </c>
      <c r="H140" s="503"/>
      <c r="I140" s="504"/>
      <c r="J140" s="502" t="s">
        <v>15</v>
      </c>
      <c r="K140" s="503"/>
      <c r="L140" s="503"/>
      <c r="M140" s="503"/>
      <c r="N140" s="505"/>
      <c r="O140" s="231"/>
      <c r="P140" s="232"/>
      <c r="Q140" s="232"/>
      <c r="R140" s="225"/>
      <c r="S140" s="233"/>
      <c r="T140" s="231"/>
      <c r="U140" s="232"/>
      <c r="V140" s="232"/>
      <c r="W140" s="232"/>
      <c r="X140" s="234"/>
      <c r="Y140" s="236"/>
      <c r="Z140" s="232"/>
      <c r="AA140" s="232"/>
      <c r="AB140" s="232"/>
      <c r="AC140" s="232"/>
      <c r="AD140" s="234"/>
      <c r="AE140" s="528">
        <v>0</v>
      </c>
      <c r="AF140" s="529"/>
      <c r="AG140" s="491"/>
      <c r="AH140" s="553"/>
      <c r="AI140" s="554"/>
      <c r="AJ140" s="555"/>
      <c r="AK140" s="540">
        <v>0</v>
      </c>
      <c r="AL140" s="511"/>
      <c r="AM140" s="508"/>
      <c r="AN140" s="509">
        <v>0</v>
      </c>
      <c r="AO140" s="509"/>
      <c r="AP140" s="509"/>
      <c r="AQ140" s="510">
        <v>0</v>
      </c>
      <c r="AR140" s="511"/>
      <c r="AS140" s="511"/>
      <c r="AT140" s="525"/>
      <c r="AU140" s="526"/>
      <c r="AV140" s="527"/>
      <c r="AW140" s="559"/>
      <c r="AX140" s="560"/>
      <c r="AY140" s="561"/>
      <c r="AZ140" s="524"/>
    </row>
    <row r="141" spans="1:52" ht="20.100000000000001" hidden="1" customHeight="1">
      <c r="A141" s="481">
        <v>68</v>
      </c>
      <c r="B141" s="58"/>
      <c r="C141" s="483" t="s">
        <v>15</v>
      </c>
      <c r="D141" s="483"/>
      <c r="E141" s="483"/>
      <c r="F141" s="484"/>
      <c r="G141" s="485" t="s">
        <v>15</v>
      </c>
      <c r="H141" s="486"/>
      <c r="I141" s="486"/>
      <c r="J141" s="486"/>
      <c r="K141" s="486"/>
      <c r="L141" s="486"/>
      <c r="M141" s="486"/>
      <c r="N141" s="487"/>
      <c r="O141" s="226"/>
      <c r="P141" s="227"/>
      <c r="Q141" s="227"/>
      <c r="R141" s="227"/>
      <c r="S141" s="235"/>
      <c r="T141" s="226"/>
      <c r="U141" s="227"/>
      <c r="V141" s="227"/>
      <c r="W141" s="227"/>
      <c r="X141" s="228"/>
      <c r="Y141" s="229"/>
      <c r="Z141" s="224"/>
      <c r="AA141" s="227"/>
      <c r="AB141" s="227"/>
      <c r="AC141" s="227"/>
      <c r="AD141" s="230"/>
      <c r="AE141" s="562">
        <v>0</v>
      </c>
      <c r="AF141" s="563"/>
      <c r="AG141" s="490"/>
      <c r="AH141" s="550">
        <v>0</v>
      </c>
      <c r="AI141" s="551"/>
      <c r="AJ141" s="552"/>
      <c r="AK141" s="541">
        <v>0</v>
      </c>
      <c r="AL141" s="513"/>
      <c r="AM141" s="498"/>
      <c r="AN141" s="532">
        <v>0</v>
      </c>
      <c r="AO141" s="513"/>
      <c r="AP141" s="498"/>
      <c r="AQ141" s="532">
        <v>0</v>
      </c>
      <c r="AR141" s="513"/>
      <c r="AS141" s="533"/>
      <c r="AT141" s="514">
        <v>0</v>
      </c>
      <c r="AU141" s="515"/>
      <c r="AV141" s="516"/>
      <c r="AW141" s="556">
        <v>0</v>
      </c>
      <c r="AX141" s="557"/>
      <c r="AY141" s="558"/>
      <c r="AZ141" s="523"/>
    </row>
    <row r="142" spans="1:52" ht="20.100000000000001" hidden="1" customHeight="1">
      <c r="A142" s="482"/>
      <c r="B142" s="59" t="s">
        <v>15</v>
      </c>
      <c r="C142" s="500" t="s">
        <v>15</v>
      </c>
      <c r="D142" s="500"/>
      <c r="E142" s="500"/>
      <c r="F142" s="501"/>
      <c r="G142" s="502" t="s">
        <v>15</v>
      </c>
      <c r="H142" s="503"/>
      <c r="I142" s="504"/>
      <c r="J142" s="502" t="s">
        <v>15</v>
      </c>
      <c r="K142" s="503"/>
      <c r="L142" s="503"/>
      <c r="M142" s="503"/>
      <c r="N142" s="505"/>
      <c r="O142" s="231"/>
      <c r="P142" s="232"/>
      <c r="Q142" s="232"/>
      <c r="R142" s="225"/>
      <c r="S142" s="233"/>
      <c r="T142" s="231"/>
      <c r="U142" s="232"/>
      <c r="V142" s="232"/>
      <c r="W142" s="232"/>
      <c r="X142" s="234"/>
      <c r="Y142" s="236"/>
      <c r="Z142" s="232"/>
      <c r="AA142" s="232"/>
      <c r="AB142" s="232"/>
      <c r="AC142" s="232"/>
      <c r="AD142" s="234"/>
      <c r="AE142" s="528">
        <v>0</v>
      </c>
      <c r="AF142" s="529"/>
      <c r="AG142" s="491"/>
      <c r="AH142" s="553"/>
      <c r="AI142" s="554"/>
      <c r="AJ142" s="555"/>
      <c r="AK142" s="540">
        <v>0</v>
      </c>
      <c r="AL142" s="511"/>
      <c r="AM142" s="508"/>
      <c r="AN142" s="509">
        <v>0</v>
      </c>
      <c r="AO142" s="509"/>
      <c r="AP142" s="509"/>
      <c r="AQ142" s="510">
        <v>0</v>
      </c>
      <c r="AR142" s="511"/>
      <c r="AS142" s="511"/>
      <c r="AT142" s="525"/>
      <c r="AU142" s="526"/>
      <c r="AV142" s="527"/>
      <c r="AW142" s="559"/>
      <c r="AX142" s="560"/>
      <c r="AY142" s="561"/>
      <c r="AZ142" s="524"/>
    </row>
    <row r="143" spans="1:52" ht="20.100000000000001" hidden="1" customHeight="1">
      <c r="A143" s="481">
        <v>69</v>
      </c>
      <c r="B143" s="58"/>
      <c r="C143" s="483" t="s">
        <v>15</v>
      </c>
      <c r="D143" s="483"/>
      <c r="E143" s="483"/>
      <c r="F143" s="484"/>
      <c r="G143" s="485" t="s">
        <v>15</v>
      </c>
      <c r="H143" s="486"/>
      <c r="I143" s="486"/>
      <c r="J143" s="486"/>
      <c r="K143" s="486"/>
      <c r="L143" s="486"/>
      <c r="M143" s="486"/>
      <c r="N143" s="487"/>
      <c r="O143" s="226"/>
      <c r="P143" s="227"/>
      <c r="Q143" s="227"/>
      <c r="R143" s="227"/>
      <c r="S143" s="235"/>
      <c r="T143" s="226"/>
      <c r="U143" s="227"/>
      <c r="V143" s="227"/>
      <c r="W143" s="227"/>
      <c r="X143" s="228"/>
      <c r="Y143" s="229"/>
      <c r="Z143" s="224"/>
      <c r="AA143" s="227"/>
      <c r="AB143" s="227"/>
      <c r="AC143" s="227"/>
      <c r="AD143" s="230"/>
      <c r="AE143" s="562">
        <v>0</v>
      </c>
      <c r="AF143" s="563"/>
      <c r="AG143" s="490"/>
      <c r="AH143" s="550">
        <v>0</v>
      </c>
      <c r="AI143" s="551"/>
      <c r="AJ143" s="552"/>
      <c r="AK143" s="541">
        <v>0</v>
      </c>
      <c r="AL143" s="513"/>
      <c r="AM143" s="498"/>
      <c r="AN143" s="532">
        <v>0</v>
      </c>
      <c r="AO143" s="513"/>
      <c r="AP143" s="498"/>
      <c r="AQ143" s="532">
        <v>0</v>
      </c>
      <c r="AR143" s="513"/>
      <c r="AS143" s="533"/>
      <c r="AT143" s="514">
        <v>0</v>
      </c>
      <c r="AU143" s="515"/>
      <c r="AV143" s="516"/>
      <c r="AW143" s="556">
        <v>0</v>
      </c>
      <c r="AX143" s="557"/>
      <c r="AY143" s="558"/>
      <c r="AZ143" s="523"/>
    </row>
    <row r="144" spans="1:52" ht="20.100000000000001" hidden="1" customHeight="1">
      <c r="A144" s="482"/>
      <c r="B144" s="59" t="s">
        <v>15</v>
      </c>
      <c r="C144" s="500" t="s">
        <v>15</v>
      </c>
      <c r="D144" s="500"/>
      <c r="E144" s="500"/>
      <c r="F144" s="501"/>
      <c r="G144" s="502" t="s">
        <v>15</v>
      </c>
      <c r="H144" s="503"/>
      <c r="I144" s="504"/>
      <c r="J144" s="502" t="s">
        <v>15</v>
      </c>
      <c r="K144" s="503"/>
      <c r="L144" s="503"/>
      <c r="M144" s="503"/>
      <c r="N144" s="505"/>
      <c r="O144" s="231"/>
      <c r="P144" s="232"/>
      <c r="Q144" s="232"/>
      <c r="R144" s="225"/>
      <c r="S144" s="233"/>
      <c r="T144" s="231"/>
      <c r="U144" s="232"/>
      <c r="V144" s="232"/>
      <c r="W144" s="232"/>
      <c r="X144" s="234"/>
      <c r="Y144" s="236"/>
      <c r="Z144" s="232"/>
      <c r="AA144" s="232"/>
      <c r="AB144" s="232"/>
      <c r="AC144" s="232"/>
      <c r="AD144" s="234"/>
      <c r="AE144" s="528">
        <v>0</v>
      </c>
      <c r="AF144" s="529"/>
      <c r="AG144" s="491"/>
      <c r="AH144" s="553"/>
      <c r="AI144" s="554"/>
      <c r="AJ144" s="555"/>
      <c r="AK144" s="540">
        <v>0</v>
      </c>
      <c r="AL144" s="511"/>
      <c r="AM144" s="508"/>
      <c r="AN144" s="509">
        <v>0</v>
      </c>
      <c r="AO144" s="509"/>
      <c r="AP144" s="509"/>
      <c r="AQ144" s="510">
        <v>0</v>
      </c>
      <c r="AR144" s="511"/>
      <c r="AS144" s="511"/>
      <c r="AT144" s="525"/>
      <c r="AU144" s="526"/>
      <c r="AV144" s="527"/>
      <c r="AW144" s="559"/>
      <c r="AX144" s="560"/>
      <c r="AY144" s="561"/>
      <c r="AZ144" s="524"/>
    </row>
    <row r="145" spans="1:52" ht="20.100000000000001" hidden="1" customHeight="1">
      <c r="A145" s="481">
        <v>70</v>
      </c>
      <c r="B145" s="58"/>
      <c r="C145" s="483" t="s">
        <v>15</v>
      </c>
      <c r="D145" s="483"/>
      <c r="E145" s="483"/>
      <c r="F145" s="484"/>
      <c r="G145" s="485" t="s">
        <v>15</v>
      </c>
      <c r="H145" s="486"/>
      <c r="I145" s="486"/>
      <c r="J145" s="486"/>
      <c r="K145" s="486"/>
      <c r="L145" s="486"/>
      <c r="M145" s="486"/>
      <c r="N145" s="487"/>
      <c r="O145" s="226"/>
      <c r="P145" s="227"/>
      <c r="Q145" s="227"/>
      <c r="R145" s="227"/>
      <c r="S145" s="235"/>
      <c r="T145" s="226"/>
      <c r="U145" s="227"/>
      <c r="V145" s="227"/>
      <c r="W145" s="227"/>
      <c r="X145" s="228"/>
      <c r="Y145" s="229"/>
      <c r="Z145" s="224"/>
      <c r="AA145" s="227"/>
      <c r="AB145" s="227"/>
      <c r="AC145" s="227"/>
      <c r="AD145" s="230"/>
      <c r="AE145" s="562">
        <v>0</v>
      </c>
      <c r="AF145" s="563"/>
      <c r="AG145" s="490"/>
      <c r="AH145" s="550">
        <v>0</v>
      </c>
      <c r="AI145" s="551"/>
      <c r="AJ145" s="552"/>
      <c r="AK145" s="541">
        <v>0</v>
      </c>
      <c r="AL145" s="513"/>
      <c r="AM145" s="498"/>
      <c r="AN145" s="532">
        <v>0</v>
      </c>
      <c r="AO145" s="513"/>
      <c r="AP145" s="498"/>
      <c r="AQ145" s="532">
        <v>0</v>
      </c>
      <c r="AR145" s="513"/>
      <c r="AS145" s="533"/>
      <c r="AT145" s="514">
        <v>0</v>
      </c>
      <c r="AU145" s="515"/>
      <c r="AV145" s="516"/>
      <c r="AW145" s="556">
        <v>0</v>
      </c>
      <c r="AX145" s="557"/>
      <c r="AY145" s="558"/>
      <c r="AZ145" s="523"/>
    </row>
    <row r="146" spans="1:52" ht="20.100000000000001" hidden="1" customHeight="1">
      <c r="A146" s="482"/>
      <c r="B146" s="59" t="s">
        <v>15</v>
      </c>
      <c r="C146" s="500" t="s">
        <v>15</v>
      </c>
      <c r="D146" s="500"/>
      <c r="E146" s="500"/>
      <c r="F146" s="501"/>
      <c r="G146" s="502" t="s">
        <v>15</v>
      </c>
      <c r="H146" s="503"/>
      <c r="I146" s="504"/>
      <c r="J146" s="502" t="s">
        <v>15</v>
      </c>
      <c r="K146" s="503"/>
      <c r="L146" s="503"/>
      <c r="M146" s="503"/>
      <c r="N146" s="505"/>
      <c r="O146" s="231"/>
      <c r="P146" s="232"/>
      <c r="Q146" s="232"/>
      <c r="R146" s="225"/>
      <c r="S146" s="233"/>
      <c r="T146" s="231"/>
      <c r="U146" s="232"/>
      <c r="V146" s="232"/>
      <c r="W146" s="232"/>
      <c r="X146" s="234"/>
      <c r="Y146" s="236"/>
      <c r="Z146" s="232"/>
      <c r="AA146" s="232"/>
      <c r="AB146" s="232"/>
      <c r="AC146" s="232"/>
      <c r="AD146" s="234"/>
      <c r="AE146" s="528">
        <v>0</v>
      </c>
      <c r="AF146" s="529"/>
      <c r="AG146" s="491"/>
      <c r="AH146" s="553"/>
      <c r="AI146" s="554"/>
      <c r="AJ146" s="555"/>
      <c r="AK146" s="540">
        <v>0</v>
      </c>
      <c r="AL146" s="511"/>
      <c r="AM146" s="508"/>
      <c r="AN146" s="509">
        <v>0</v>
      </c>
      <c r="AO146" s="509"/>
      <c r="AP146" s="509"/>
      <c r="AQ146" s="510">
        <v>0</v>
      </c>
      <c r="AR146" s="511"/>
      <c r="AS146" s="511"/>
      <c r="AT146" s="525"/>
      <c r="AU146" s="526"/>
      <c r="AV146" s="527"/>
      <c r="AW146" s="559"/>
      <c r="AX146" s="560"/>
      <c r="AY146" s="561"/>
      <c r="AZ146" s="524"/>
    </row>
    <row r="147" spans="1:52" ht="20.100000000000001" hidden="1" customHeight="1">
      <c r="A147" s="481">
        <v>71</v>
      </c>
      <c r="B147" s="58"/>
      <c r="C147" s="483" t="s">
        <v>15</v>
      </c>
      <c r="D147" s="483"/>
      <c r="E147" s="483"/>
      <c r="F147" s="484"/>
      <c r="G147" s="485" t="s">
        <v>15</v>
      </c>
      <c r="H147" s="486"/>
      <c r="I147" s="486"/>
      <c r="J147" s="486"/>
      <c r="K147" s="486"/>
      <c r="L147" s="486"/>
      <c r="M147" s="486"/>
      <c r="N147" s="487"/>
      <c r="O147" s="226"/>
      <c r="P147" s="227"/>
      <c r="Q147" s="227"/>
      <c r="R147" s="227"/>
      <c r="S147" s="235"/>
      <c r="T147" s="226"/>
      <c r="U147" s="227"/>
      <c r="V147" s="227"/>
      <c r="W147" s="227"/>
      <c r="X147" s="228"/>
      <c r="Y147" s="229"/>
      <c r="Z147" s="224"/>
      <c r="AA147" s="227"/>
      <c r="AB147" s="227"/>
      <c r="AC147" s="227"/>
      <c r="AD147" s="230"/>
      <c r="AE147" s="562">
        <v>0</v>
      </c>
      <c r="AF147" s="563"/>
      <c r="AG147" s="490"/>
      <c r="AH147" s="550">
        <v>0</v>
      </c>
      <c r="AI147" s="551"/>
      <c r="AJ147" s="552"/>
      <c r="AK147" s="541">
        <v>0</v>
      </c>
      <c r="AL147" s="513"/>
      <c r="AM147" s="498"/>
      <c r="AN147" s="532">
        <v>0</v>
      </c>
      <c r="AO147" s="513"/>
      <c r="AP147" s="498"/>
      <c r="AQ147" s="532">
        <v>0</v>
      </c>
      <c r="AR147" s="513"/>
      <c r="AS147" s="533"/>
      <c r="AT147" s="514">
        <v>0</v>
      </c>
      <c r="AU147" s="515"/>
      <c r="AV147" s="516"/>
      <c r="AW147" s="556">
        <v>0</v>
      </c>
      <c r="AX147" s="557"/>
      <c r="AY147" s="558"/>
      <c r="AZ147" s="523"/>
    </row>
    <row r="148" spans="1:52" ht="20.100000000000001" hidden="1" customHeight="1">
      <c r="A148" s="482"/>
      <c r="B148" s="59" t="s">
        <v>15</v>
      </c>
      <c r="C148" s="500" t="s">
        <v>15</v>
      </c>
      <c r="D148" s="500"/>
      <c r="E148" s="500"/>
      <c r="F148" s="501"/>
      <c r="G148" s="502" t="s">
        <v>15</v>
      </c>
      <c r="H148" s="503"/>
      <c r="I148" s="504"/>
      <c r="J148" s="502" t="s">
        <v>15</v>
      </c>
      <c r="K148" s="503"/>
      <c r="L148" s="503"/>
      <c r="M148" s="503"/>
      <c r="N148" s="505"/>
      <c r="O148" s="231"/>
      <c r="P148" s="232"/>
      <c r="Q148" s="232"/>
      <c r="R148" s="225"/>
      <c r="S148" s="233"/>
      <c r="T148" s="231"/>
      <c r="U148" s="232"/>
      <c r="V148" s="232"/>
      <c r="W148" s="232"/>
      <c r="X148" s="234"/>
      <c r="Y148" s="236"/>
      <c r="Z148" s="232"/>
      <c r="AA148" s="232"/>
      <c r="AB148" s="232"/>
      <c r="AC148" s="232"/>
      <c r="AD148" s="234"/>
      <c r="AE148" s="528">
        <v>0</v>
      </c>
      <c r="AF148" s="529"/>
      <c r="AG148" s="491"/>
      <c r="AH148" s="553"/>
      <c r="AI148" s="554"/>
      <c r="AJ148" s="555"/>
      <c r="AK148" s="540">
        <v>0</v>
      </c>
      <c r="AL148" s="511"/>
      <c r="AM148" s="508"/>
      <c r="AN148" s="509">
        <v>0</v>
      </c>
      <c r="AO148" s="509"/>
      <c r="AP148" s="509"/>
      <c r="AQ148" s="510">
        <v>0</v>
      </c>
      <c r="AR148" s="511"/>
      <c r="AS148" s="511"/>
      <c r="AT148" s="525"/>
      <c r="AU148" s="526"/>
      <c r="AV148" s="527"/>
      <c r="AW148" s="559"/>
      <c r="AX148" s="560"/>
      <c r="AY148" s="561"/>
      <c r="AZ148" s="524"/>
    </row>
    <row r="149" spans="1:52" ht="20.100000000000001" hidden="1" customHeight="1">
      <c r="A149" s="481">
        <v>72</v>
      </c>
      <c r="B149" s="58"/>
      <c r="C149" s="483" t="s">
        <v>15</v>
      </c>
      <c r="D149" s="483"/>
      <c r="E149" s="483"/>
      <c r="F149" s="484"/>
      <c r="G149" s="485" t="s">
        <v>15</v>
      </c>
      <c r="H149" s="486"/>
      <c r="I149" s="486"/>
      <c r="J149" s="486"/>
      <c r="K149" s="486"/>
      <c r="L149" s="486"/>
      <c r="M149" s="486"/>
      <c r="N149" s="487"/>
      <c r="O149" s="226"/>
      <c r="P149" s="227"/>
      <c r="Q149" s="227"/>
      <c r="R149" s="227"/>
      <c r="S149" s="235"/>
      <c r="T149" s="226"/>
      <c r="U149" s="227"/>
      <c r="V149" s="227"/>
      <c r="W149" s="227"/>
      <c r="X149" s="228"/>
      <c r="Y149" s="229"/>
      <c r="Z149" s="224"/>
      <c r="AA149" s="227"/>
      <c r="AB149" s="227"/>
      <c r="AC149" s="227"/>
      <c r="AD149" s="230"/>
      <c r="AE149" s="562">
        <v>0</v>
      </c>
      <c r="AF149" s="563"/>
      <c r="AG149" s="490"/>
      <c r="AH149" s="550">
        <v>0</v>
      </c>
      <c r="AI149" s="551"/>
      <c r="AJ149" s="552"/>
      <c r="AK149" s="541">
        <v>0</v>
      </c>
      <c r="AL149" s="513"/>
      <c r="AM149" s="498"/>
      <c r="AN149" s="532">
        <v>0</v>
      </c>
      <c r="AO149" s="513"/>
      <c r="AP149" s="498"/>
      <c r="AQ149" s="532">
        <v>0</v>
      </c>
      <c r="AR149" s="513"/>
      <c r="AS149" s="533"/>
      <c r="AT149" s="514">
        <v>0</v>
      </c>
      <c r="AU149" s="515"/>
      <c r="AV149" s="516"/>
      <c r="AW149" s="556">
        <v>0</v>
      </c>
      <c r="AX149" s="557"/>
      <c r="AY149" s="558"/>
      <c r="AZ149" s="523"/>
    </row>
    <row r="150" spans="1:52" ht="20.100000000000001" hidden="1" customHeight="1">
      <c r="A150" s="482"/>
      <c r="B150" s="59" t="s">
        <v>15</v>
      </c>
      <c r="C150" s="500" t="s">
        <v>15</v>
      </c>
      <c r="D150" s="500"/>
      <c r="E150" s="500"/>
      <c r="F150" s="501"/>
      <c r="G150" s="502" t="s">
        <v>15</v>
      </c>
      <c r="H150" s="503"/>
      <c r="I150" s="504"/>
      <c r="J150" s="502" t="s">
        <v>15</v>
      </c>
      <c r="K150" s="503"/>
      <c r="L150" s="503"/>
      <c r="M150" s="503"/>
      <c r="N150" s="505"/>
      <c r="O150" s="231"/>
      <c r="P150" s="232"/>
      <c r="Q150" s="232"/>
      <c r="R150" s="225"/>
      <c r="S150" s="233"/>
      <c r="T150" s="231"/>
      <c r="U150" s="232"/>
      <c r="V150" s="232"/>
      <c r="W150" s="232"/>
      <c r="X150" s="234"/>
      <c r="Y150" s="236"/>
      <c r="Z150" s="232"/>
      <c r="AA150" s="232"/>
      <c r="AB150" s="232"/>
      <c r="AC150" s="232"/>
      <c r="AD150" s="234"/>
      <c r="AE150" s="528">
        <v>0</v>
      </c>
      <c r="AF150" s="529"/>
      <c r="AG150" s="491"/>
      <c r="AH150" s="553"/>
      <c r="AI150" s="554"/>
      <c r="AJ150" s="555"/>
      <c r="AK150" s="540">
        <v>0</v>
      </c>
      <c r="AL150" s="511"/>
      <c r="AM150" s="508"/>
      <c r="AN150" s="509">
        <v>0</v>
      </c>
      <c r="AO150" s="509"/>
      <c r="AP150" s="509"/>
      <c r="AQ150" s="510">
        <v>0</v>
      </c>
      <c r="AR150" s="511"/>
      <c r="AS150" s="511"/>
      <c r="AT150" s="525"/>
      <c r="AU150" s="526"/>
      <c r="AV150" s="527"/>
      <c r="AW150" s="559"/>
      <c r="AX150" s="560"/>
      <c r="AY150" s="561"/>
      <c r="AZ150" s="524"/>
    </row>
    <row r="151" spans="1:52" ht="20.100000000000001" hidden="1" customHeight="1">
      <c r="A151" s="481">
        <v>73</v>
      </c>
      <c r="B151" s="58"/>
      <c r="C151" s="483" t="s">
        <v>15</v>
      </c>
      <c r="D151" s="483"/>
      <c r="E151" s="483"/>
      <c r="F151" s="484"/>
      <c r="G151" s="485" t="s">
        <v>15</v>
      </c>
      <c r="H151" s="486"/>
      <c r="I151" s="486"/>
      <c r="J151" s="486"/>
      <c r="K151" s="486"/>
      <c r="L151" s="486"/>
      <c r="M151" s="486"/>
      <c r="N151" s="487"/>
      <c r="O151" s="226"/>
      <c r="P151" s="227"/>
      <c r="Q151" s="227"/>
      <c r="R151" s="227"/>
      <c r="S151" s="235"/>
      <c r="T151" s="226"/>
      <c r="U151" s="227"/>
      <c r="V151" s="227"/>
      <c r="W151" s="227"/>
      <c r="X151" s="228"/>
      <c r="Y151" s="229"/>
      <c r="Z151" s="224"/>
      <c r="AA151" s="227"/>
      <c r="AB151" s="227"/>
      <c r="AC151" s="227"/>
      <c r="AD151" s="230"/>
      <c r="AE151" s="562">
        <v>0</v>
      </c>
      <c r="AF151" s="563"/>
      <c r="AG151" s="490"/>
      <c r="AH151" s="550">
        <v>0</v>
      </c>
      <c r="AI151" s="551"/>
      <c r="AJ151" s="552"/>
      <c r="AK151" s="541">
        <v>0</v>
      </c>
      <c r="AL151" s="513"/>
      <c r="AM151" s="498"/>
      <c r="AN151" s="532">
        <v>0</v>
      </c>
      <c r="AO151" s="513"/>
      <c r="AP151" s="498"/>
      <c r="AQ151" s="532">
        <v>0</v>
      </c>
      <c r="AR151" s="513"/>
      <c r="AS151" s="533"/>
      <c r="AT151" s="514">
        <v>0</v>
      </c>
      <c r="AU151" s="515"/>
      <c r="AV151" s="516"/>
      <c r="AW151" s="556">
        <v>0</v>
      </c>
      <c r="AX151" s="557"/>
      <c r="AY151" s="558"/>
      <c r="AZ151" s="523"/>
    </row>
    <row r="152" spans="1:52" ht="20.100000000000001" hidden="1" customHeight="1">
      <c r="A152" s="482"/>
      <c r="B152" s="59" t="s">
        <v>15</v>
      </c>
      <c r="C152" s="500" t="s">
        <v>15</v>
      </c>
      <c r="D152" s="500"/>
      <c r="E152" s="500"/>
      <c r="F152" s="501"/>
      <c r="G152" s="502" t="s">
        <v>15</v>
      </c>
      <c r="H152" s="503"/>
      <c r="I152" s="504"/>
      <c r="J152" s="502" t="s">
        <v>15</v>
      </c>
      <c r="K152" s="503"/>
      <c r="L152" s="503"/>
      <c r="M152" s="503"/>
      <c r="N152" s="505"/>
      <c r="O152" s="231"/>
      <c r="P152" s="232"/>
      <c r="Q152" s="232"/>
      <c r="R152" s="225"/>
      <c r="S152" s="233"/>
      <c r="T152" s="231"/>
      <c r="U152" s="232"/>
      <c r="V152" s="232"/>
      <c r="W152" s="232"/>
      <c r="X152" s="234"/>
      <c r="Y152" s="236"/>
      <c r="Z152" s="232"/>
      <c r="AA152" s="232"/>
      <c r="AB152" s="232"/>
      <c r="AC152" s="232"/>
      <c r="AD152" s="234"/>
      <c r="AE152" s="528">
        <v>0</v>
      </c>
      <c r="AF152" s="529"/>
      <c r="AG152" s="491"/>
      <c r="AH152" s="553"/>
      <c r="AI152" s="554"/>
      <c r="AJ152" s="555"/>
      <c r="AK152" s="540">
        <v>0</v>
      </c>
      <c r="AL152" s="511"/>
      <c r="AM152" s="508"/>
      <c r="AN152" s="509">
        <v>0</v>
      </c>
      <c r="AO152" s="509"/>
      <c r="AP152" s="509"/>
      <c r="AQ152" s="510">
        <v>0</v>
      </c>
      <c r="AR152" s="511"/>
      <c r="AS152" s="511"/>
      <c r="AT152" s="525"/>
      <c r="AU152" s="526"/>
      <c r="AV152" s="527"/>
      <c r="AW152" s="559"/>
      <c r="AX152" s="560"/>
      <c r="AY152" s="561"/>
      <c r="AZ152" s="524"/>
    </row>
    <row r="153" spans="1:52" ht="20.100000000000001" customHeight="1">
      <c r="A153" s="568" t="s">
        <v>51</v>
      </c>
      <c r="B153" s="569"/>
      <c r="C153" s="569"/>
      <c r="D153" s="569"/>
      <c r="E153" s="569"/>
      <c r="F153" s="569"/>
      <c r="G153" s="569"/>
      <c r="H153" s="569"/>
      <c r="I153" s="569"/>
      <c r="J153" s="569"/>
      <c r="K153" s="569"/>
      <c r="L153" s="569"/>
      <c r="M153" s="569"/>
      <c r="N153" s="570"/>
      <c r="O153" s="239">
        <v>0</v>
      </c>
      <c r="P153" s="240">
        <v>0</v>
      </c>
      <c r="Q153" s="240">
        <v>0</v>
      </c>
      <c r="R153" s="240">
        <v>0</v>
      </c>
      <c r="S153" s="241">
        <v>0</v>
      </c>
      <c r="T153" s="239">
        <v>5</v>
      </c>
      <c r="U153" s="240">
        <v>5</v>
      </c>
      <c r="V153" s="240">
        <v>5</v>
      </c>
      <c r="W153" s="240">
        <v>2</v>
      </c>
      <c r="X153" s="241">
        <v>8</v>
      </c>
      <c r="Y153" s="239">
        <v>9</v>
      </c>
      <c r="Z153" s="240">
        <v>8</v>
      </c>
      <c r="AA153" s="240">
        <v>9</v>
      </c>
      <c r="AB153" s="240">
        <v>9</v>
      </c>
      <c r="AC153" s="240">
        <v>12</v>
      </c>
      <c r="AD153" s="241">
        <v>0</v>
      </c>
      <c r="AE153" s="574">
        <v>165</v>
      </c>
      <c r="AF153" s="575"/>
      <c r="AG153" s="576"/>
      <c r="AH153" s="578">
        <v>33425000</v>
      </c>
      <c r="AI153" s="579"/>
      <c r="AJ153" s="580"/>
      <c r="AK153" s="584">
        <v>239070</v>
      </c>
      <c r="AL153" s="585"/>
      <c r="AM153" s="585"/>
      <c r="AN153" s="585">
        <v>1059070</v>
      </c>
      <c r="AO153" s="585"/>
      <c r="AP153" s="585"/>
      <c r="AQ153" s="585">
        <v>336530</v>
      </c>
      <c r="AR153" s="585"/>
      <c r="AS153" s="586"/>
      <c r="AT153" s="587">
        <v>2035690</v>
      </c>
      <c r="AU153" s="585"/>
      <c r="AV153" s="588"/>
      <c r="AW153" s="578">
        <v>31389310</v>
      </c>
      <c r="AX153" s="579"/>
      <c r="AY153" s="580"/>
      <c r="AZ153" s="237"/>
    </row>
    <row r="154" spans="1:52" ht="20.100000000000001" customHeight="1">
      <c r="A154" s="571"/>
      <c r="B154" s="572"/>
      <c r="C154" s="572"/>
      <c r="D154" s="572"/>
      <c r="E154" s="572"/>
      <c r="F154" s="572"/>
      <c r="G154" s="572"/>
      <c r="H154" s="572"/>
      <c r="I154" s="572"/>
      <c r="J154" s="572"/>
      <c r="K154" s="572"/>
      <c r="L154" s="572"/>
      <c r="M154" s="572"/>
      <c r="N154" s="573"/>
      <c r="O154" s="242">
        <v>13</v>
      </c>
      <c r="P154" s="243">
        <v>8</v>
      </c>
      <c r="Q154" s="243">
        <v>8</v>
      </c>
      <c r="R154" s="243">
        <v>0</v>
      </c>
      <c r="S154" s="244">
        <v>8</v>
      </c>
      <c r="T154" s="242">
        <v>9</v>
      </c>
      <c r="U154" s="243">
        <v>8</v>
      </c>
      <c r="V154" s="243">
        <v>8</v>
      </c>
      <c r="W154" s="243">
        <v>8</v>
      </c>
      <c r="X154" s="244">
        <v>8</v>
      </c>
      <c r="Y154" s="242">
        <v>0</v>
      </c>
      <c r="Z154" s="243">
        <v>4</v>
      </c>
      <c r="AA154" s="243">
        <v>0</v>
      </c>
      <c r="AB154" s="243">
        <v>4</v>
      </c>
      <c r="AC154" s="243">
        <v>5</v>
      </c>
      <c r="AD154" s="244">
        <v>0</v>
      </c>
      <c r="AE154" s="589">
        <v>163</v>
      </c>
      <c r="AF154" s="590"/>
      <c r="AG154" s="577"/>
      <c r="AH154" s="581"/>
      <c r="AI154" s="582"/>
      <c r="AJ154" s="583"/>
      <c r="AK154" s="591">
        <v>23860</v>
      </c>
      <c r="AL154" s="564"/>
      <c r="AM154" s="564"/>
      <c r="AN154" s="564">
        <v>139130</v>
      </c>
      <c r="AO154" s="564"/>
      <c r="AP154" s="564"/>
      <c r="AQ154" s="564">
        <v>238030</v>
      </c>
      <c r="AR154" s="564"/>
      <c r="AS154" s="565"/>
      <c r="AT154" s="566">
        <v>0</v>
      </c>
      <c r="AU154" s="564"/>
      <c r="AV154" s="567"/>
      <c r="AW154" s="581"/>
      <c r="AX154" s="582"/>
      <c r="AY154" s="583"/>
      <c r="AZ154" s="238"/>
    </row>
    <row r="155" spans="1:52" ht="24.95" customHeight="1"/>
  </sheetData>
  <mergeCells count="1518">
    <mergeCell ref="C150:F150"/>
    <mergeCell ref="G150:I150"/>
    <mergeCell ref="J150:N150"/>
    <mergeCell ref="AE150:AF150"/>
    <mergeCell ref="AK150:AM150"/>
    <mergeCell ref="AN150:AP150"/>
    <mergeCell ref="AW153:AY154"/>
    <mergeCell ref="C29:F29"/>
    <mergeCell ref="G29:N29"/>
    <mergeCell ref="C30:F30"/>
    <mergeCell ref="G30:I30"/>
    <mergeCell ref="J30:N30"/>
    <mergeCell ref="C31:F31"/>
    <mergeCell ref="G31:N31"/>
    <mergeCell ref="C32:F32"/>
    <mergeCell ref="G32:I32"/>
    <mergeCell ref="J32:N32"/>
    <mergeCell ref="AN148:AP148"/>
    <mergeCell ref="AQ148:AS148"/>
    <mergeCell ref="AT148:AV148"/>
    <mergeCell ref="AH139:AJ140"/>
    <mergeCell ref="C138:F138"/>
    <mergeCell ref="G138:I138"/>
    <mergeCell ref="J138:N138"/>
    <mergeCell ref="AE138:AF138"/>
    <mergeCell ref="AK138:AM138"/>
    <mergeCell ref="AN138:AP138"/>
    <mergeCell ref="AT137:AV137"/>
    <mergeCell ref="AW137:AY138"/>
    <mergeCell ref="AE154:AF154"/>
    <mergeCell ref="AK154:AM154"/>
    <mergeCell ref="AN154:AP154"/>
    <mergeCell ref="AQ154:AS154"/>
    <mergeCell ref="AT154:AV154"/>
    <mergeCell ref="A153:N154"/>
    <mergeCell ref="AE153:AF153"/>
    <mergeCell ref="AG153:AG154"/>
    <mergeCell ref="AH153:AJ154"/>
    <mergeCell ref="AK153:AM153"/>
    <mergeCell ref="AN153:AP153"/>
    <mergeCell ref="AQ153:AS153"/>
    <mergeCell ref="AT153:AV153"/>
    <mergeCell ref="C152:F152"/>
    <mergeCell ref="G152:I152"/>
    <mergeCell ref="J152:N152"/>
    <mergeCell ref="AE152:AF152"/>
    <mergeCell ref="AK152:AM152"/>
    <mergeCell ref="AN152:AP152"/>
    <mergeCell ref="AK151:AM151"/>
    <mergeCell ref="AN151:AP151"/>
    <mergeCell ref="AQ151:AS151"/>
    <mergeCell ref="AT151:AV151"/>
    <mergeCell ref="A151:A152"/>
    <mergeCell ref="C151:F151"/>
    <mergeCell ref="G151:N151"/>
    <mergeCell ref="AE151:AF151"/>
    <mergeCell ref="AG151:AG152"/>
    <mergeCell ref="AH151:AJ152"/>
    <mergeCell ref="AZ147:AZ148"/>
    <mergeCell ref="AW151:AY152"/>
    <mergeCell ref="AZ151:AZ152"/>
    <mergeCell ref="AT152:AV152"/>
    <mergeCell ref="AQ150:AS150"/>
    <mergeCell ref="AT150:AV150"/>
    <mergeCell ref="AQ152:AS152"/>
    <mergeCell ref="AT145:AV145"/>
    <mergeCell ref="AW145:AY146"/>
    <mergeCell ref="AZ145:AZ146"/>
    <mergeCell ref="AT146:AV146"/>
    <mergeCell ref="C145:F145"/>
    <mergeCell ref="G145:N145"/>
    <mergeCell ref="AE145:AF145"/>
    <mergeCell ref="AG145:AG146"/>
    <mergeCell ref="AH145:AJ146"/>
    <mergeCell ref="AT149:AV149"/>
    <mergeCell ref="AW149:AY150"/>
    <mergeCell ref="AZ149:AZ150"/>
    <mergeCell ref="A149:A150"/>
    <mergeCell ref="C149:F149"/>
    <mergeCell ref="G149:N149"/>
    <mergeCell ref="AE149:AF149"/>
    <mergeCell ref="AG149:AG150"/>
    <mergeCell ref="AH149:AJ150"/>
    <mergeCell ref="AK149:AM149"/>
    <mergeCell ref="AN149:AP149"/>
    <mergeCell ref="AQ149:AS149"/>
    <mergeCell ref="C148:F148"/>
    <mergeCell ref="G148:I148"/>
    <mergeCell ref="J148:N148"/>
    <mergeCell ref="AE148:AF148"/>
    <mergeCell ref="AK148:AM148"/>
    <mergeCell ref="AQ147:AS147"/>
    <mergeCell ref="AT147:AV147"/>
    <mergeCell ref="AW147:AY148"/>
    <mergeCell ref="A143:A144"/>
    <mergeCell ref="C143:F143"/>
    <mergeCell ref="G143:N143"/>
    <mergeCell ref="AE143:AF143"/>
    <mergeCell ref="AG143:AG144"/>
    <mergeCell ref="AH143:AJ144"/>
    <mergeCell ref="AK143:AM143"/>
    <mergeCell ref="AN143:AP143"/>
    <mergeCell ref="AQ143:AS143"/>
    <mergeCell ref="A147:A148"/>
    <mergeCell ref="C147:F147"/>
    <mergeCell ref="G147:N147"/>
    <mergeCell ref="AE147:AF147"/>
    <mergeCell ref="AG147:AG148"/>
    <mergeCell ref="AH147:AJ148"/>
    <mergeCell ref="AK147:AM147"/>
    <mergeCell ref="AN147:AP147"/>
    <mergeCell ref="C146:F146"/>
    <mergeCell ref="G146:I146"/>
    <mergeCell ref="J146:N146"/>
    <mergeCell ref="AE146:AF146"/>
    <mergeCell ref="AK146:AM146"/>
    <mergeCell ref="AN146:AP146"/>
    <mergeCell ref="AQ146:AS146"/>
    <mergeCell ref="AK145:AM145"/>
    <mergeCell ref="AN145:AP145"/>
    <mergeCell ref="AQ145:AS145"/>
    <mergeCell ref="A145:A146"/>
    <mergeCell ref="C142:F142"/>
    <mergeCell ref="G142:I142"/>
    <mergeCell ref="J142:N142"/>
    <mergeCell ref="AE142:AF142"/>
    <mergeCell ref="AK142:AM142"/>
    <mergeCell ref="AN142:AP142"/>
    <mergeCell ref="AQ142:AS142"/>
    <mergeCell ref="AT142:AV142"/>
    <mergeCell ref="AQ141:AS141"/>
    <mergeCell ref="AT141:AV141"/>
    <mergeCell ref="AW141:AY142"/>
    <mergeCell ref="AZ141:AZ142"/>
    <mergeCell ref="AQ144:AS144"/>
    <mergeCell ref="AT144:AV144"/>
    <mergeCell ref="C144:F144"/>
    <mergeCell ref="G144:I144"/>
    <mergeCell ref="J144:N144"/>
    <mergeCell ref="AE144:AF144"/>
    <mergeCell ref="AK144:AM144"/>
    <mergeCell ref="AN144:AP144"/>
    <mergeCell ref="AT143:AV143"/>
    <mergeCell ref="AW143:AY144"/>
    <mergeCell ref="AZ143:AZ144"/>
    <mergeCell ref="A141:A142"/>
    <mergeCell ref="C141:F141"/>
    <mergeCell ref="G141:N141"/>
    <mergeCell ref="AE141:AF141"/>
    <mergeCell ref="AG141:AG142"/>
    <mergeCell ref="AH141:AJ142"/>
    <mergeCell ref="AK141:AM141"/>
    <mergeCell ref="AN141:AP141"/>
    <mergeCell ref="C140:F140"/>
    <mergeCell ref="G140:I140"/>
    <mergeCell ref="J140:N140"/>
    <mergeCell ref="AE140:AF140"/>
    <mergeCell ref="AK140:AM140"/>
    <mergeCell ref="AN140:AP140"/>
    <mergeCell ref="AQ140:AS140"/>
    <mergeCell ref="AK139:AM139"/>
    <mergeCell ref="AN139:AP139"/>
    <mergeCell ref="AQ139:AS139"/>
    <mergeCell ref="AT139:AV139"/>
    <mergeCell ref="AW139:AY140"/>
    <mergeCell ref="AZ139:AZ140"/>
    <mergeCell ref="AT140:AV140"/>
    <mergeCell ref="A139:A140"/>
    <mergeCell ref="C139:F139"/>
    <mergeCell ref="G139:N139"/>
    <mergeCell ref="AE139:AF139"/>
    <mergeCell ref="AG139:AG140"/>
    <mergeCell ref="AZ137:AZ138"/>
    <mergeCell ref="A137:A138"/>
    <mergeCell ref="C137:F137"/>
    <mergeCell ref="G137:N137"/>
    <mergeCell ref="AE137:AF137"/>
    <mergeCell ref="AG137:AG138"/>
    <mergeCell ref="AH137:AJ138"/>
    <mergeCell ref="AK137:AM137"/>
    <mergeCell ref="AN137:AP137"/>
    <mergeCell ref="AQ137:AS137"/>
    <mergeCell ref="C136:F136"/>
    <mergeCell ref="G136:I136"/>
    <mergeCell ref="J136:N136"/>
    <mergeCell ref="AE136:AF136"/>
    <mergeCell ref="AK136:AM136"/>
    <mergeCell ref="AN136:AP136"/>
    <mergeCell ref="AQ136:AS136"/>
    <mergeCell ref="AT136:AV136"/>
    <mergeCell ref="AQ135:AS135"/>
    <mergeCell ref="AT135:AV135"/>
    <mergeCell ref="AW135:AY136"/>
    <mergeCell ref="AZ135:AZ136"/>
    <mergeCell ref="AQ138:AS138"/>
    <mergeCell ref="AT138:AV138"/>
    <mergeCell ref="A135:A136"/>
    <mergeCell ref="C135:F135"/>
    <mergeCell ref="G135:N135"/>
    <mergeCell ref="AE135:AF135"/>
    <mergeCell ref="AG135:AG136"/>
    <mergeCell ref="AH135:AJ136"/>
    <mergeCell ref="AK135:AM135"/>
    <mergeCell ref="AN135:AP135"/>
    <mergeCell ref="C134:F134"/>
    <mergeCell ref="G134:I134"/>
    <mergeCell ref="J134:N134"/>
    <mergeCell ref="AE134:AF134"/>
    <mergeCell ref="AK134:AM134"/>
    <mergeCell ref="AN134:AP134"/>
    <mergeCell ref="AQ134:AS134"/>
    <mergeCell ref="AK133:AM133"/>
    <mergeCell ref="AN133:AP133"/>
    <mergeCell ref="AQ133:AS133"/>
    <mergeCell ref="AT133:AV133"/>
    <mergeCell ref="AW133:AY134"/>
    <mergeCell ref="AZ133:AZ134"/>
    <mergeCell ref="AT134:AV134"/>
    <mergeCell ref="A133:A134"/>
    <mergeCell ref="C133:F133"/>
    <mergeCell ref="G133:N133"/>
    <mergeCell ref="AE133:AF133"/>
    <mergeCell ref="AG133:AG134"/>
    <mergeCell ref="AH133:AJ134"/>
    <mergeCell ref="C132:F132"/>
    <mergeCell ref="G132:I132"/>
    <mergeCell ref="J132:N132"/>
    <mergeCell ref="AE132:AF132"/>
    <mergeCell ref="AK132:AM132"/>
    <mergeCell ref="AN132:AP132"/>
    <mergeCell ref="AT131:AV131"/>
    <mergeCell ref="AW131:AY132"/>
    <mergeCell ref="AZ131:AZ132"/>
    <mergeCell ref="A131:A132"/>
    <mergeCell ref="C131:F131"/>
    <mergeCell ref="G131:N131"/>
    <mergeCell ref="AE131:AF131"/>
    <mergeCell ref="AG131:AG132"/>
    <mergeCell ref="AH131:AJ132"/>
    <mergeCell ref="AK131:AM131"/>
    <mergeCell ref="AN131:AP131"/>
    <mergeCell ref="AQ131:AS131"/>
    <mergeCell ref="C130:F130"/>
    <mergeCell ref="G130:I130"/>
    <mergeCell ref="J130:N130"/>
    <mergeCell ref="AE130:AF130"/>
    <mergeCell ref="AK130:AM130"/>
    <mergeCell ref="AN130:AP130"/>
    <mergeCell ref="AQ130:AS130"/>
    <mergeCell ref="AT130:AV130"/>
    <mergeCell ref="AQ129:AS129"/>
    <mergeCell ref="AT129:AV129"/>
    <mergeCell ref="AW129:AY130"/>
    <mergeCell ref="AZ129:AZ130"/>
    <mergeCell ref="AQ132:AS132"/>
    <mergeCell ref="AT132:AV132"/>
    <mergeCell ref="A129:A130"/>
    <mergeCell ref="C129:F129"/>
    <mergeCell ref="G129:N129"/>
    <mergeCell ref="AE129:AF129"/>
    <mergeCell ref="AG129:AG130"/>
    <mergeCell ref="AH129:AJ130"/>
    <mergeCell ref="AK129:AM129"/>
    <mergeCell ref="AN129:AP129"/>
    <mergeCell ref="C128:F128"/>
    <mergeCell ref="G128:I128"/>
    <mergeCell ref="J128:N128"/>
    <mergeCell ref="AE128:AF128"/>
    <mergeCell ref="AK128:AM128"/>
    <mergeCell ref="AN128:AP128"/>
    <mergeCell ref="AQ128:AS128"/>
    <mergeCell ref="AK127:AM127"/>
    <mergeCell ref="AN127:AP127"/>
    <mergeCell ref="AQ127:AS127"/>
    <mergeCell ref="AT127:AV127"/>
    <mergeCell ref="AW127:AY128"/>
    <mergeCell ref="AZ127:AZ128"/>
    <mergeCell ref="AT128:AV128"/>
    <mergeCell ref="A127:A128"/>
    <mergeCell ref="C127:F127"/>
    <mergeCell ref="G127:N127"/>
    <mergeCell ref="AE127:AF127"/>
    <mergeCell ref="AG127:AG128"/>
    <mergeCell ref="AH127:AJ128"/>
    <mergeCell ref="C126:F126"/>
    <mergeCell ref="G126:I126"/>
    <mergeCell ref="J126:N126"/>
    <mergeCell ref="AE126:AF126"/>
    <mergeCell ref="AK126:AM126"/>
    <mergeCell ref="AN126:AP126"/>
    <mergeCell ref="AT125:AV125"/>
    <mergeCell ref="AW125:AY126"/>
    <mergeCell ref="AZ125:AZ126"/>
    <mergeCell ref="A125:A126"/>
    <mergeCell ref="C125:F125"/>
    <mergeCell ref="G125:N125"/>
    <mergeCell ref="AE125:AF125"/>
    <mergeCell ref="AG125:AG126"/>
    <mergeCell ref="AH125:AJ126"/>
    <mergeCell ref="AK125:AM125"/>
    <mergeCell ref="AN125:AP125"/>
    <mergeCell ref="AQ125:AS125"/>
    <mergeCell ref="C124:F124"/>
    <mergeCell ref="G124:I124"/>
    <mergeCell ref="J124:N124"/>
    <mergeCell ref="AE124:AF124"/>
    <mergeCell ref="AK124:AM124"/>
    <mergeCell ref="AN124:AP124"/>
    <mergeCell ref="AQ124:AS124"/>
    <mergeCell ref="AT124:AV124"/>
    <mergeCell ref="AQ123:AS123"/>
    <mergeCell ref="AT123:AV123"/>
    <mergeCell ref="AW123:AY124"/>
    <mergeCell ref="AZ123:AZ124"/>
    <mergeCell ref="AQ126:AS126"/>
    <mergeCell ref="AT126:AV126"/>
    <mergeCell ref="A123:A124"/>
    <mergeCell ref="C123:F123"/>
    <mergeCell ref="G123:N123"/>
    <mergeCell ref="AE123:AF123"/>
    <mergeCell ref="AG123:AG124"/>
    <mergeCell ref="AH123:AJ124"/>
    <mergeCell ref="AK123:AM123"/>
    <mergeCell ref="AN123:AP123"/>
    <mergeCell ref="C122:F122"/>
    <mergeCell ref="G122:I122"/>
    <mergeCell ref="J122:N122"/>
    <mergeCell ref="AE122:AF122"/>
    <mergeCell ref="AK122:AM122"/>
    <mergeCell ref="AN122:AP122"/>
    <mergeCell ref="AQ122:AS122"/>
    <mergeCell ref="AK121:AM121"/>
    <mergeCell ref="AN121:AP121"/>
    <mergeCell ref="AQ121:AS121"/>
    <mergeCell ref="AT121:AV121"/>
    <mergeCell ref="AW121:AY122"/>
    <mergeCell ref="AZ121:AZ122"/>
    <mergeCell ref="AT122:AV122"/>
    <mergeCell ref="A121:A122"/>
    <mergeCell ref="C121:F121"/>
    <mergeCell ref="G121:N121"/>
    <mergeCell ref="AE121:AF121"/>
    <mergeCell ref="AG121:AG122"/>
    <mergeCell ref="AH121:AJ122"/>
    <mergeCell ref="C120:F120"/>
    <mergeCell ref="G120:I120"/>
    <mergeCell ref="J120:N120"/>
    <mergeCell ref="AE120:AF120"/>
    <mergeCell ref="AK120:AM120"/>
    <mergeCell ref="AN120:AP120"/>
    <mergeCell ref="AT119:AV119"/>
    <mergeCell ref="AW119:AY120"/>
    <mergeCell ref="AZ119:AZ120"/>
    <mergeCell ref="A119:A120"/>
    <mergeCell ref="C119:F119"/>
    <mergeCell ref="G119:N119"/>
    <mergeCell ref="AE119:AF119"/>
    <mergeCell ref="AG119:AG120"/>
    <mergeCell ref="AH119:AJ120"/>
    <mergeCell ref="AK119:AM119"/>
    <mergeCell ref="AN119:AP119"/>
    <mergeCell ref="AQ119:AS119"/>
    <mergeCell ref="C118:F118"/>
    <mergeCell ref="G118:I118"/>
    <mergeCell ref="J118:N118"/>
    <mergeCell ref="AE118:AF118"/>
    <mergeCell ref="AK118:AM118"/>
    <mergeCell ref="AN118:AP118"/>
    <mergeCell ref="AQ118:AS118"/>
    <mergeCell ref="AT118:AV118"/>
    <mergeCell ref="AQ117:AS117"/>
    <mergeCell ref="AT117:AV117"/>
    <mergeCell ref="AW117:AY118"/>
    <mergeCell ref="AZ117:AZ118"/>
    <mergeCell ref="AQ120:AS120"/>
    <mergeCell ref="AT120:AV120"/>
    <mergeCell ref="A117:A118"/>
    <mergeCell ref="C117:F117"/>
    <mergeCell ref="G117:N117"/>
    <mergeCell ref="AE117:AF117"/>
    <mergeCell ref="AG117:AG118"/>
    <mergeCell ref="AH117:AJ118"/>
    <mergeCell ref="AK117:AM117"/>
    <mergeCell ref="AN117:AP117"/>
    <mergeCell ref="C116:F116"/>
    <mergeCell ref="G116:I116"/>
    <mergeCell ref="J116:N116"/>
    <mergeCell ref="AE116:AF116"/>
    <mergeCell ref="AK116:AM116"/>
    <mergeCell ref="AN116:AP116"/>
    <mergeCell ref="AQ116:AS116"/>
    <mergeCell ref="AK115:AM115"/>
    <mergeCell ref="AN115:AP115"/>
    <mergeCell ref="AQ115:AS115"/>
    <mergeCell ref="AT115:AV115"/>
    <mergeCell ref="AW115:AY116"/>
    <mergeCell ref="AZ115:AZ116"/>
    <mergeCell ref="AT116:AV116"/>
    <mergeCell ref="A115:A116"/>
    <mergeCell ref="C115:F115"/>
    <mergeCell ref="G115:N115"/>
    <mergeCell ref="AE115:AF115"/>
    <mergeCell ref="AG115:AG116"/>
    <mergeCell ref="AH115:AJ116"/>
    <mergeCell ref="C114:F114"/>
    <mergeCell ref="G114:I114"/>
    <mergeCell ref="J114:N114"/>
    <mergeCell ref="AE114:AF114"/>
    <mergeCell ref="AK114:AM114"/>
    <mergeCell ref="AN114:AP114"/>
    <mergeCell ref="AT113:AV113"/>
    <mergeCell ref="AW113:AY114"/>
    <mergeCell ref="AZ113:AZ114"/>
    <mergeCell ref="A113:A114"/>
    <mergeCell ref="C113:F113"/>
    <mergeCell ref="G113:N113"/>
    <mergeCell ref="AE113:AF113"/>
    <mergeCell ref="AG113:AG114"/>
    <mergeCell ref="AH113:AJ114"/>
    <mergeCell ref="AK113:AM113"/>
    <mergeCell ref="AN113:AP113"/>
    <mergeCell ref="AQ113:AS113"/>
    <mergeCell ref="C112:F112"/>
    <mergeCell ref="G112:I112"/>
    <mergeCell ref="J112:N112"/>
    <mergeCell ref="AE112:AF112"/>
    <mergeCell ref="AK112:AM112"/>
    <mergeCell ref="AN112:AP112"/>
    <mergeCell ref="AQ112:AS112"/>
    <mergeCell ref="AT112:AV112"/>
    <mergeCell ref="AQ111:AS111"/>
    <mergeCell ref="AT111:AV111"/>
    <mergeCell ref="AW111:AY112"/>
    <mergeCell ref="AZ111:AZ112"/>
    <mergeCell ref="AQ114:AS114"/>
    <mergeCell ref="AT114:AV114"/>
    <mergeCell ref="A111:A112"/>
    <mergeCell ref="C111:F111"/>
    <mergeCell ref="G111:N111"/>
    <mergeCell ref="AE111:AF111"/>
    <mergeCell ref="AG111:AG112"/>
    <mergeCell ref="AH111:AJ112"/>
    <mergeCell ref="AK111:AM111"/>
    <mergeCell ref="AN111:AP111"/>
    <mergeCell ref="C110:F110"/>
    <mergeCell ref="G110:I110"/>
    <mergeCell ref="J110:N110"/>
    <mergeCell ref="AE110:AF110"/>
    <mergeCell ref="AK110:AM110"/>
    <mergeCell ref="AN110:AP110"/>
    <mergeCell ref="AQ110:AS110"/>
    <mergeCell ref="AK109:AM109"/>
    <mergeCell ref="AN109:AP109"/>
    <mergeCell ref="AQ109:AS109"/>
    <mergeCell ref="AT109:AV109"/>
    <mergeCell ref="AW109:AY110"/>
    <mergeCell ref="AZ109:AZ110"/>
    <mergeCell ref="AT110:AV110"/>
    <mergeCell ref="A109:A110"/>
    <mergeCell ref="C109:F109"/>
    <mergeCell ref="G109:N109"/>
    <mergeCell ref="AE109:AF109"/>
    <mergeCell ref="AG109:AG110"/>
    <mergeCell ref="AH109:AJ110"/>
    <mergeCell ref="C108:F108"/>
    <mergeCell ref="G108:I108"/>
    <mergeCell ref="J108:N108"/>
    <mergeCell ref="AE108:AF108"/>
    <mergeCell ref="AK108:AM108"/>
    <mergeCell ref="AN108:AP108"/>
    <mergeCell ref="AT107:AV107"/>
    <mergeCell ref="AW107:AY108"/>
    <mergeCell ref="AZ107:AZ108"/>
    <mergeCell ref="A107:A108"/>
    <mergeCell ref="C107:F107"/>
    <mergeCell ref="G107:N107"/>
    <mergeCell ref="AE107:AF107"/>
    <mergeCell ref="AG107:AG108"/>
    <mergeCell ref="AH107:AJ108"/>
    <mergeCell ref="AK107:AM107"/>
    <mergeCell ref="AN107:AP107"/>
    <mergeCell ref="AQ107:AS107"/>
    <mergeCell ref="C106:F106"/>
    <mergeCell ref="G106:I106"/>
    <mergeCell ref="J106:N106"/>
    <mergeCell ref="AE106:AF106"/>
    <mergeCell ref="AK106:AM106"/>
    <mergeCell ref="AN106:AP106"/>
    <mergeCell ref="AQ106:AS106"/>
    <mergeCell ref="AT106:AV106"/>
    <mergeCell ref="AQ105:AS105"/>
    <mergeCell ref="AT105:AV105"/>
    <mergeCell ref="AW105:AY106"/>
    <mergeCell ref="AZ105:AZ106"/>
    <mergeCell ref="AQ108:AS108"/>
    <mergeCell ref="AT108:AV108"/>
    <mergeCell ref="A105:A106"/>
    <mergeCell ref="C105:F105"/>
    <mergeCell ref="G105:N105"/>
    <mergeCell ref="AE105:AF105"/>
    <mergeCell ref="AG105:AG106"/>
    <mergeCell ref="AH105:AJ106"/>
    <mergeCell ref="AK105:AM105"/>
    <mergeCell ref="AN105:AP105"/>
    <mergeCell ref="C104:F104"/>
    <mergeCell ref="G104:I104"/>
    <mergeCell ref="J104:N104"/>
    <mergeCell ref="AE104:AF104"/>
    <mergeCell ref="AK104:AM104"/>
    <mergeCell ref="AN104:AP104"/>
    <mergeCell ref="AQ104:AS104"/>
    <mergeCell ref="AK103:AM103"/>
    <mergeCell ref="AN103:AP103"/>
    <mergeCell ref="AQ103:AS103"/>
    <mergeCell ref="AT103:AV103"/>
    <mergeCell ref="AW103:AY104"/>
    <mergeCell ref="AZ103:AZ104"/>
    <mergeCell ref="AT104:AV104"/>
    <mergeCell ref="A103:A104"/>
    <mergeCell ref="C103:F103"/>
    <mergeCell ref="G103:N103"/>
    <mergeCell ref="AE103:AF103"/>
    <mergeCell ref="AG103:AG104"/>
    <mergeCell ref="AH103:AJ104"/>
    <mergeCell ref="C102:F102"/>
    <mergeCell ref="G102:I102"/>
    <mergeCell ref="J102:N102"/>
    <mergeCell ref="AE102:AF102"/>
    <mergeCell ref="AK102:AM102"/>
    <mergeCell ref="AN102:AP102"/>
    <mergeCell ref="AT101:AV101"/>
    <mergeCell ref="AW101:AY102"/>
    <mergeCell ref="AZ101:AZ102"/>
    <mergeCell ref="A101:A102"/>
    <mergeCell ref="C101:F101"/>
    <mergeCell ref="G101:N101"/>
    <mergeCell ref="AE101:AF101"/>
    <mergeCell ref="AG101:AG102"/>
    <mergeCell ref="AH101:AJ102"/>
    <mergeCell ref="AK101:AM101"/>
    <mergeCell ref="AN101:AP101"/>
    <mergeCell ref="AQ101:AS101"/>
    <mergeCell ref="C100:F100"/>
    <mergeCell ref="G100:I100"/>
    <mergeCell ref="J100:N100"/>
    <mergeCell ref="AE100:AF100"/>
    <mergeCell ref="AK100:AM100"/>
    <mergeCell ref="AN100:AP100"/>
    <mergeCell ref="AQ100:AS100"/>
    <mergeCell ref="AT100:AV100"/>
    <mergeCell ref="AQ99:AS99"/>
    <mergeCell ref="AT99:AV99"/>
    <mergeCell ref="AW99:AY100"/>
    <mergeCell ref="AZ99:AZ100"/>
    <mergeCell ref="AQ102:AS102"/>
    <mergeCell ref="AT102:AV102"/>
    <mergeCell ref="A99:A100"/>
    <mergeCell ref="C99:F99"/>
    <mergeCell ref="G99:N99"/>
    <mergeCell ref="AE99:AF99"/>
    <mergeCell ref="AG99:AG100"/>
    <mergeCell ref="AH99:AJ100"/>
    <mergeCell ref="AK99:AM99"/>
    <mergeCell ref="AN99:AP99"/>
    <mergeCell ref="C98:F98"/>
    <mergeCell ref="G98:I98"/>
    <mergeCell ref="J98:N98"/>
    <mergeCell ref="AE98:AF98"/>
    <mergeCell ref="AK98:AM98"/>
    <mergeCell ref="AN98:AP98"/>
    <mergeCell ref="AQ98:AS98"/>
    <mergeCell ref="AK97:AM97"/>
    <mergeCell ref="AN97:AP97"/>
    <mergeCell ref="AQ97:AS97"/>
    <mergeCell ref="AT97:AV97"/>
    <mergeCell ref="AW97:AY98"/>
    <mergeCell ref="AZ97:AZ98"/>
    <mergeCell ref="AT98:AV98"/>
    <mergeCell ref="A97:A98"/>
    <mergeCell ref="C97:F97"/>
    <mergeCell ref="G97:N97"/>
    <mergeCell ref="AE97:AF97"/>
    <mergeCell ref="AG97:AG98"/>
    <mergeCell ref="AH97:AJ98"/>
    <mergeCell ref="C96:F96"/>
    <mergeCell ref="G96:I96"/>
    <mergeCell ref="J96:N96"/>
    <mergeCell ref="AE96:AF96"/>
    <mergeCell ref="AK96:AM96"/>
    <mergeCell ref="AN96:AP96"/>
    <mergeCell ref="AT95:AV95"/>
    <mergeCell ref="AW95:AY96"/>
    <mergeCell ref="AZ95:AZ96"/>
    <mergeCell ref="A95:A96"/>
    <mergeCell ref="C95:F95"/>
    <mergeCell ref="G95:N95"/>
    <mergeCell ref="AE95:AF95"/>
    <mergeCell ref="AG95:AG96"/>
    <mergeCell ref="AH95:AJ96"/>
    <mergeCell ref="AK95:AM95"/>
    <mergeCell ref="AN95:AP95"/>
    <mergeCell ref="AQ95:AS95"/>
    <mergeCell ref="C94:F94"/>
    <mergeCell ref="G94:I94"/>
    <mergeCell ref="J94:N94"/>
    <mergeCell ref="AE94:AF94"/>
    <mergeCell ref="AK94:AM94"/>
    <mergeCell ref="AN94:AP94"/>
    <mergeCell ref="AQ94:AS94"/>
    <mergeCell ref="AT94:AV94"/>
    <mergeCell ref="AQ93:AS93"/>
    <mergeCell ref="AT93:AV93"/>
    <mergeCell ref="AW93:AY94"/>
    <mergeCell ref="AZ93:AZ94"/>
    <mergeCell ref="AQ96:AS96"/>
    <mergeCell ref="AT96:AV96"/>
    <mergeCell ref="A93:A94"/>
    <mergeCell ref="C93:F93"/>
    <mergeCell ref="G93:N93"/>
    <mergeCell ref="AE93:AF93"/>
    <mergeCell ref="AG93:AG94"/>
    <mergeCell ref="AH93:AJ94"/>
    <mergeCell ref="AK93:AM93"/>
    <mergeCell ref="AN93:AP93"/>
    <mergeCell ref="C92:F92"/>
    <mergeCell ref="G92:I92"/>
    <mergeCell ref="J92:N92"/>
    <mergeCell ref="AE92:AF92"/>
    <mergeCell ref="AK92:AM92"/>
    <mergeCell ref="AN92:AP92"/>
    <mergeCell ref="AQ92:AS92"/>
    <mergeCell ref="AK91:AM91"/>
    <mergeCell ref="AN91:AP91"/>
    <mergeCell ref="AQ91:AS91"/>
    <mergeCell ref="AT91:AV91"/>
    <mergeCell ref="AW91:AY92"/>
    <mergeCell ref="AZ91:AZ92"/>
    <mergeCell ref="AT92:AV92"/>
    <mergeCell ref="A91:A92"/>
    <mergeCell ref="C91:F91"/>
    <mergeCell ref="G91:N91"/>
    <mergeCell ref="AE91:AF91"/>
    <mergeCell ref="AG91:AG92"/>
    <mergeCell ref="AH91:AJ92"/>
    <mergeCell ref="C90:F90"/>
    <mergeCell ref="G90:I90"/>
    <mergeCell ref="J90:N90"/>
    <mergeCell ref="AE90:AF90"/>
    <mergeCell ref="AK90:AM90"/>
    <mergeCell ref="AN90:AP90"/>
    <mergeCell ref="AT89:AV89"/>
    <mergeCell ref="AW89:AY90"/>
    <mergeCell ref="AZ89:AZ90"/>
    <mergeCell ref="A89:A90"/>
    <mergeCell ref="C89:F89"/>
    <mergeCell ref="G89:N89"/>
    <mergeCell ref="AE89:AF89"/>
    <mergeCell ref="AG89:AG90"/>
    <mergeCell ref="AH89:AJ90"/>
    <mergeCell ref="AK89:AM89"/>
    <mergeCell ref="AN89:AP89"/>
    <mergeCell ref="AQ89:AS89"/>
    <mergeCell ref="C88:F88"/>
    <mergeCell ref="G88:I88"/>
    <mergeCell ref="J88:N88"/>
    <mergeCell ref="AE88:AF88"/>
    <mergeCell ref="AK88:AM88"/>
    <mergeCell ref="AN88:AP88"/>
    <mergeCell ref="AQ88:AS88"/>
    <mergeCell ref="AT88:AV88"/>
    <mergeCell ref="AQ87:AS87"/>
    <mergeCell ref="AT87:AV87"/>
    <mergeCell ref="AW87:AY88"/>
    <mergeCell ref="AZ87:AZ88"/>
    <mergeCell ref="AQ90:AS90"/>
    <mergeCell ref="AT90:AV90"/>
    <mergeCell ref="A87:A88"/>
    <mergeCell ref="C87:F87"/>
    <mergeCell ref="G87:N87"/>
    <mergeCell ref="AE87:AF87"/>
    <mergeCell ref="AG87:AG88"/>
    <mergeCell ref="AH87:AJ88"/>
    <mergeCell ref="AK87:AM87"/>
    <mergeCell ref="AN87:AP87"/>
    <mergeCell ref="C86:F86"/>
    <mergeCell ref="G86:I86"/>
    <mergeCell ref="J86:N86"/>
    <mergeCell ref="AE86:AF86"/>
    <mergeCell ref="AK86:AM86"/>
    <mergeCell ref="AN86:AP86"/>
    <mergeCell ref="AQ86:AS86"/>
    <mergeCell ref="AK85:AM85"/>
    <mergeCell ref="AN85:AP85"/>
    <mergeCell ref="AQ85:AS85"/>
    <mergeCell ref="AT85:AV85"/>
    <mergeCell ref="AW85:AY86"/>
    <mergeCell ref="AZ85:AZ86"/>
    <mergeCell ref="AT86:AV86"/>
    <mergeCell ref="A85:A86"/>
    <mergeCell ref="C85:F85"/>
    <mergeCell ref="G85:N85"/>
    <mergeCell ref="AE85:AF85"/>
    <mergeCell ref="AG85:AG86"/>
    <mergeCell ref="AH85:AJ86"/>
    <mergeCell ref="C84:F84"/>
    <mergeCell ref="G84:I84"/>
    <mergeCell ref="J84:N84"/>
    <mergeCell ref="AE84:AF84"/>
    <mergeCell ref="AK84:AM84"/>
    <mergeCell ref="AN84:AP84"/>
    <mergeCell ref="AT83:AV83"/>
    <mergeCell ref="AW83:AY84"/>
    <mergeCell ref="AZ83:AZ84"/>
    <mergeCell ref="A83:A84"/>
    <mergeCell ref="C83:F83"/>
    <mergeCell ref="G83:N83"/>
    <mergeCell ref="AE83:AF83"/>
    <mergeCell ref="AG83:AG84"/>
    <mergeCell ref="AH83:AJ84"/>
    <mergeCell ref="AK83:AM83"/>
    <mergeCell ref="AN83:AP83"/>
    <mergeCell ref="AQ83:AS83"/>
    <mergeCell ref="C82:F82"/>
    <mergeCell ref="G82:I82"/>
    <mergeCell ref="J82:N82"/>
    <mergeCell ref="AE82:AF82"/>
    <mergeCell ref="AK82:AM82"/>
    <mergeCell ref="AN82:AP82"/>
    <mergeCell ref="AQ82:AS82"/>
    <mergeCell ref="AT82:AV82"/>
    <mergeCell ref="AQ81:AS81"/>
    <mergeCell ref="AT81:AV81"/>
    <mergeCell ref="AW81:AY82"/>
    <mergeCell ref="AZ81:AZ82"/>
    <mergeCell ref="AQ84:AS84"/>
    <mergeCell ref="AT84:AV84"/>
    <mergeCell ref="A81:A82"/>
    <mergeCell ref="C81:F81"/>
    <mergeCell ref="G81:N81"/>
    <mergeCell ref="AE81:AF81"/>
    <mergeCell ref="AG81:AG82"/>
    <mergeCell ref="AH81:AJ82"/>
    <mergeCell ref="AK81:AM81"/>
    <mergeCell ref="AN81:AP81"/>
    <mergeCell ref="C80:F80"/>
    <mergeCell ref="G80:I80"/>
    <mergeCell ref="J80:N80"/>
    <mergeCell ref="AE80:AF80"/>
    <mergeCell ref="AK80:AM80"/>
    <mergeCell ref="AN80:AP80"/>
    <mergeCell ref="AQ80:AS80"/>
    <mergeCell ref="AK79:AM79"/>
    <mergeCell ref="AN79:AP79"/>
    <mergeCell ref="AQ79:AS79"/>
    <mergeCell ref="AT79:AV79"/>
    <mergeCell ref="AW79:AY80"/>
    <mergeCell ref="AZ79:AZ80"/>
    <mergeCell ref="AT80:AV80"/>
    <mergeCell ref="A79:A80"/>
    <mergeCell ref="C79:F79"/>
    <mergeCell ref="G79:N79"/>
    <mergeCell ref="AE79:AF79"/>
    <mergeCell ref="AG79:AG80"/>
    <mergeCell ref="AH79:AJ80"/>
    <mergeCell ref="C78:F78"/>
    <mergeCell ref="G78:I78"/>
    <mergeCell ref="J78:N78"/>
    <mergeCell ref="AE78:AF78"/>
    <mergeCell ref="AK78:AM78"/>
    <mergeCell ref="AN78:AP78"/>
    <mergeCell ref="AT77:AV77"/>
    <mergeCell ref="AW77:AY78"/>
    <mergeCell ref="AZ77:AZ78"/>
    <mergeCell ref="A77:A78"/>
    <mergeCell ref="C77:F77"/>
    <mergeCell ref="G77:N77"/>
    <mergeCell ref="AE77:AF77"/>
    <mergeCell ref="AG77:AG78"/>
    <mergeCell ref="AH77:AJ78"/>
    <mergeCell ref="AK77:AM77"/>
    <mergeCell ref="AN77:AP77"/>
    <mergeCell ref="AQ77:AS77"/>
    <mergeCell ref="C76:F76"/>
    <mergeCell ref="G76:I76"/>
    <mergeCell ref="J76:N76"/>
    <mergeCell ref="AE76:AF76"/>
    <mergeCell ref="AK76:AM76"/>
    <mergeCell ref="AN76:AP76"/>
    <mergeCell ref="AQ76:AS76"/>
    <mergeCell ref="AT76:AV76"/>
    <mergeCell ref="AQ75:AS75"/>
    <mergeCell ref="AT75:AV75"/>
    <mergeCell ref="AW75:AY76"/>
    <mergeCell ref="AZ75:AZ76"/>
    <mergeCell ref="AQ78:AS78"/>
    <mergeCell ref="AT78:AV78"/>
    <mergeCell ref="A75:A76"/>
    <mergeCell ref="C75:F75"/>
    <mergeCell ref="G75:N75"/>
    <mergeCell ref="AE75:AF75"/>
    <mergeCell ref="AG75:AG76"/>
    <mergeCell ref="AH75:AJ76"/>
    <mergeCell ref="AK75:AM75"/>
    <mergeCell ref="AN75:AP75"/>
    <mergeCell ref="C74:F74"/>
    <mergeCell ref="G74:I74"/>
    <mergeCell ref="J74:N74"/>
    <mergeCell ref="AE74:AF74"/>
    <mergeCell ref="AK74:AM74"/>
    <mergeCell ref="AN74:AP74"/>
    <mergeCell ref="AQ74:AS74"/>
    <mergeCell ref="AK73:AM73"/>
    <mergeCell ref="AN73:AP73"/>
    <mergeCell ref="AQ73:AS73"/>
    <mergeCell ref="AT73:AV73"/>
    <mergeCell ref="AW73:AY74"/>
    <mergeCell ref="AZ73:AZ74"/>
    <mergeCell ref="AT74:AV74"/>
    <mergeCell ref="A73:A74"/>
    <mergeCell ref="C73:F73"/>
    <mergeCell ref="G73:N73"/>
    <mergeCell ref="AE73:AF73"/>
    <mergeCell ref="AG73:AG74"/>
    <mergeCell ref="AH73:AJ74"/>
    <mergeCell ref="C72:F72"/>
    <mergeCell ref="G72:I72"/>
    <mergeCell ref="J72:N72"/>
    <mergeCell ref="AE72:AF72"/>
    <mergeCell ref="AK72:AM72"/>
    <mergeCell ref="AN72:AP72"/>
    <mergeCell ref="AT71:AV71"/>
    <mergeCell ref="AW71:AY72"/>
    <mergeCell ref="AZ71:AZ72"/>
    <mergeCell ref="A71:A72"/>
    <mergeCell ref="C71:F71"/>
    <mergeCell ref="G71:N71"/>
    <mergeCell ref="AE71:AF71"/>
    <mergeCell ref="AG71:AG72"/>
    <mergeCell ref="AH71:AJ72"/>
    <mergeCell ref="AK71:AM71"/>
    <mergeCell ref="AN71:AP71"/>
    <mergeCell ref="AQ71:AS71"/>
    <mergeCell ref="C70:F70"/>
    <mergeCell ref="G70:I70"/>
    <mergeCell ref="J70:N70"/>
    <mergeCell ref="AE70:AF70"/>
    <mergeCell ref="AK70:AM70"/>
    <mergeCell ref="AN70:AP70"/>
    <mergeCell ref="AQ70:AS70"/>
    <mergeCell ref="AT70:AV70"/>
    <mergeCell ref="AQ69:AS69"/>
    <mergeCell ref="AT69:AV69"/>
    <mergeCell ref="AW69:AY70"/>
    <mergeCell ref="AZ69:AZ70"/>
    <mergeCell ref="AQ72:AS72"/>
    <mergeCell ref="AT72:AV72"/>
    <mergeCell ref="A69:A70"/>
    <mergeCell ref="C69:F69"/>
    <mergeCell ref="G69:N69"/>
    <mergeCell ref="AE69:AF69"/>
    <mergeCell ref="AG69:AG70"/>
    <mergeCell ref="AH69:AJ70"/>
    <mergeCell ref="AK69:AM69"/>
    <mergeCell ref="AN69:AP69"/>
    <mergeCell ref="C68:F68"/>
    <mergeCell ref="G68:I68"/>
    <mergeCell ref="J68:N68"/>
    <mergeCell ref="AE68:AF68"/>
    <mergeCell ref="AK68:AM68"/>
    <mergeCell ref="AN68:AP68"/>
    <mergeCell ref="AQ68:AS68"/>
    <mergeCell ref="AK67:AM67"/>
    <mergeCell ref="AN67:AP67"/>
    <mergeCell ref="AQ67:AS67"/>
    <mergeCell ref="AT67:AV67"/>
    <mergeCell ref="AW67:AY68"/>
    <mergeCell ref="AZ67:AZ68"/>
    <mergeCell ref="AT68:AV68"/>
    <mergeCell ref="A67:A68"/>
    <mergeCell ref="C67:F67"/>
    <mergeCell ref="G67:N67"/>
    <mergeCell ref="AE67:AF67"/>
    <mergeCell ref="AG67:AG68"/>
    <mergeCell ref="AH67:AJ68"/>
    <mergeCell ref="C66:F66"/>
    <mergeCell ref="G66:I66"/>
    <mergeCell ref="J66:N66"/>
    <mergeCell ref="AE66:AF66"/>
    <mergeCell ref="AK66:AM66"/>
    <mergeCell ref="AN66:AP66"/>
    <mergeCell ref="AT65:AV65"/>
    <mergeCell ref="AW65:AY66"/>
    <mergeCell ref="AZ65:AZ66"/>
    <mergeCell ref="A65:A66"/>
    <mergeCell ref="C65:F65"/>
    <mergeCell ref="G65:N65"/>
    <mergeCell ref="AE65:AF65"/>
    <mergeCell ref="AG65:AG66"/>
    <mergeCell ref="AH65:AJ66"/>
    <mergeCell ref="AK65:AM65"/>
    <mergeCell ref="AN65:AP65"/>
    <mergeCell ref="AQ65:AS65"/>
    <mergeCell ref="C64:F64"/>
    <mergeCell ref="G64:I64"/>
    <mergeCell ref="J64:N64"/>
    <mergeCell ref="AE64:AF64"/>
    <mergeCell ref="AK64:AM64"/>
    <mergeCell ref="AN64:AP64"/>
    <mergeCell ref="AQ64:AS64"/>
    <mergeCell ref="AT64:AV64"/>
    <mergeCell ref="AQ63:AS63"/>
    <mergeCell ref="AT63:AV63"/>
    <mergeCell ref="AW63:AY64"/>
    <mergeCell ref="AZ63:AZ64"/>
    <mergeCell ref="AQ66:AS66"/>
    <mergeCell ref="AT66:AV66"/>
    <mergeCell ref="A63:A64"/>
    <mergeCell ref="C63:F63"/>
    <mergeCell ref="G63:N63"/>
    <mergeCell ref="AE63:AF63"/>
    <mergeCell ref="AG63:AG64"/>
    <mergeCell ref="AH63:AJ64"/>
    <mergeCell ref="AK63:AM63"/>
    <mergeCell ref="AN63:AP63"/>
    <mergeCell ref="C62:F62"/>
    <mergeCell ref="G62:I62"/>
    <mergeCell ref="J62:N62"/>
    <mergeCell ref="AE62:AF62"/>
    <mergeCell ref="AK62:AM62"/>
    <mergeCell ref="AN62:AP62"/>
    <mergeCell ref="AQ62:AS62"/>
    <mergeCell ref="AK61:AM61"/>
    <mergeCell ref="AN61:AP61"/>
    <mergeCell ref="AQ61:AS61"/>
    <mergeCell ref="AT61:AV61"/>
    <mergeCell ref="AW61:AY62"/>
    <mergeCell ref="AZ61:AZ62"/>
    <mergeCell ref="AT62:AV62"/>
    <mergeCell ref="A61:A62"/>
    <mergeCell ref="C61:F61"/>
    <mergeCell ref="G61:N61"/>
    <mergeCell ref="AE61:AF61"/>
    <mergeCell ref="AG61:AG62"/>
    <mergeCell ref="AH61:AJ62"/>
    <mergeCell ref="C60:F60"/>
    <mergeCell ref="G60:I60"/>
    <mergeCell ref="J60:N60"/>
    <mergeCell ref="AE60:AF60"/>
    <mergeCell ref="AK60:AM60"/>
    <mergeCell ref="AN60:AP60"/>
    <mergeCell ref="AT59:AV59"/>
    <mergeCell ref="AW59:AY60"/>
    <mergeCell ref="AZ59:AZ60"/>
    <mergeCell ref="A59:A60"/>
    <mergeCell ref="C59:F59"/>
    <mergeCell ref="G59:N59"/>
    <mergeCell ref="AE59:AF59"/>
    <mergeCell ref="AG59:AG60"/>
    <mergeCell ref="AH59:AJ60"/>
    <mergeCell ref="AK59:AM59"/>
    <mergeCell ref="AN59:AP59"/>
    <mergeCell ref="AQ59:AS59"/>
    <mergeCell ref="C58:F58"/>
    <mergeCell ref="G58:I58"/>
    <mergeCell ref="J58:N58"/>
    <mergeCell ref="AE58:AF58"/>
    <mergeCell ref="AK58:AM58"/>
    <mergeCell ref="AN58:AP58"/>
    <mergeCell ref="AQ58:AS58"/>
    <mergeCell ref="AT58:AV58"/>
    <mergeCell ref="AQ57:AS57"/>
    <mergeCell ref="AT57:AV57"/>
    <mergeCell ref="AW57:AY58"/>
    <mergeCell ref="AZ57:AZ58"/>
    <mergeCell ref="AQ60:AS60"/>
    <mergeCell ref="AT60:AV60"/>
    <mergeCell ref="A57:A58"/>
    <mergeCell ref="C57:F57"/>
    <mergeCell ref="G57:N57"/>
    <mergeCell ref="AE57:AF57"/>
    <mergeCell ref="AG57:AG58"/>
    <mergeCell ref="AH57:AJ58"/>
    <mergeCell ref="AK57:AM57"/>
    <mergeCell ref="AN57:AP57"/>
    <mergeCell ref="C56:F56"/>
    <mergeCell ref="G56:I56"/>
    <mergeCell ref="J56:N56"/>
    <mergeCell ref="AE56:AF56"/>
    <mergeCell ref="AK56:AM56"/>
    <mergeCell ref="AN56:AP56"/>
    <mergeCell ref="AQ56:AS56"/>
    <mergeCell ref="AK55:AM55"/>
    <mergeCell ref="AN55:AP55"/>
    <mergeCell ref="AQ55:AS55"/>
    <mergeCell ref="AT55:AV55"/>
    <mergeCell ref="AW55:AY56"/>
    <mergeCell ref="AZ55:AZ56"/>
    <mergeCell ref="AT56:AV56"/>
    <mergeCell ref="A55:A56"/>
    <mergeCell ref="C55:F55"/>
    <mergeCell ref="G55:N55"/>
    <mergeCell ref="AE55:AF55"/>
    <mergeCell ref="AG55:AG56"/>
    <mergeCell ref="AH55:AJ56"/>
    <mergeCell ref="C54:F54"/>
    <mergeCell ref="G54:I54"/>
    <mergeCell ref="J54:N54"/>
    <mergeCell ref="AE54:AF54"/>
    <mergeCell ref="AK54:AM54"/>
    <mergeCell ref="AN54:AP54"/>
    <mergeCell ref="AT53:AV53"/>
    <mergeCell ref="AW53:AY54"/>
    <mergeCell ref="AZ53:AZ54"/>
    <mergeCell ref="A53:A54"/>
    <mergeCell ref="C53:F53"/>
    <mergeCell ref="G53:N53"/>
    <mergeCell ref="AE53:AF53"/>
    <mergeCell ref="AG53:AG54"/>
    <mergeCell ref="AH53:AJ54"/>
    <mergeCell ref="AK53:AM53"/>
    <mergeCell ref="AN53:AP53"/>
    <mergeCell ref="AQ53:AS53"/>
    <mergeCell ref="C52:F52"/>
    <mergeCell ref="G52:I52"/>
    <mergeCell ref="J52:N52"/>
    <mergeCell ref="AE52:AF52"/>
    <mergeCell ref="AK52:AM52"/>
    <mergeCell ref="AN52:AP52"/>
    <mergeCell ref="AQ52:AS52"/>
    <mergeCell ref="AT52:AV52"/>
    <mergeCell ref="AQ51:AS51"/>
    <mergeCell ref="AT51:AV51"/>
    <mergeCell ref="AW51:AY52"/>
    <mergeCell ref="AZ51:AZ52"/>
    <mergeCell ref="AQ54:AS54"/>
    <mergeCell ref="AT54:AV54"/>
    <mergeCell ref="A51:A52"/>
    <mergeCell ref="C51:F51"/>
    <mergeCell ref="G51:N51"/>
    <mergeCell ref="AE51:AF51"/>
    <mergeCell ref="AG51:AG52"/>
    <mergeCell ref="AH51:AJ52"/>
    <mergeCell ref="AK51:AM51"/>
    <mergeCell ref="AN51:AP51"/>
    <mergeCell ref="C50:F50"/>
    <mergeCell ref="G50:I50"/>
    <mergeCell ref="J50:N50"/>
    <mergeCell ref="AE50:AF50"/>
    <mergeCell ref="AK50:AM50"/>
    <mergeCell ref="AN50:AP50"/>
    <mergeCell ref="AQ50:AS50"/>
    <mergeCell ref="AK49:AM49"/>
    <mergeCell ref="AN49:AP49"/>
    <mergeCell ref="AQ49:AS49"/>
    <mergeCell ref="AT49:AV49"/>
    <mergeCell ref="AW49:AY50"/>
    <mergeCell ref="AZ49:AZ50"/>
    <mergeCell ref="AT50:AV50"/>
    <mergeCell ref="A49:A50"/>
    <mergeCell ref="C49:F49"/>
    <mergeCell ref="G49:N49"/>
    <mergeCell ref="AE49:AF49"/>
    <mergeCell ref="AG49:AG50"/>
    <mergeCell ref="AH49:AJ50"/>
    <mergeCell ref="C48:F48"/>
    <mergeCell ref="G48:I48"/>
    <mergeCell ref="J48:N48"/>
    <mergeCell ref="AE48:AF48"/>
    <mergeCell ref="AK48:AM48"/>
    <mergeCell ref="AN48:AP48"/>
    <mergeCell ref="AT47:AV47"/>
    <mergeCell ref="AW47:AY48"/>
    <mergeCell ref="AZ47:AZ48"/>
    <mergeCell ref="A47:A48"/>
    <mergeCell ref="C47:F47"/>
    <mergeCell ref="G47:N47"/>
    <mergeCell ref="AE47:AF47"/>
    <mergeCell ref="AG47:AG48"/>
    <mergeCell ref="AH47:AJ48"/>
    <mergeCell ref="AK47:AM47"/>
    <mergeCell ref="AN47:AP47"/>
    <mergeCell ref="AQ47:AS47"/>
    <mergeCell ref="C46:F46"/>
    <mergeCell ref="G46:I46"/>
    <mergeCell ref="J46:N46"/>
    <mergeCell ref="AE46:AF46"/>
    <mergeCell ref="AK46:AM46"/>
    <mergeCell ref="AN46:AP46"/>
    <mergeCell ref="AQ46:AS46"/>
    <mergeCell ref="AT46:AV46"/>
    <mergeCell ref="AQ45:AS45"/>
    <mergeCell ref="AT45:AV45"/>
    <mergeCell ref="AW45:AY46"/>
    <mergeCell ref="AZ45:AZ46"/>
    <mergeCell ref="AQ48:AS48"/>
    <mergeCell ref="AT48:AV48"/>
    <mergeCell ref="A45:A46"/>
    <mergeCell ref="C45:F45"/>
    <mergeCell ref="G45:N45"/>
    <mergeCell ref="AE45:AF45"/>
    <mergeCell ref="AG45:AG46"/>
    <mergeCell ref="AH45:AJ46"/>
    <mergeCell ref="AK45:AM45"/>
    <mergeCell ref="AN45:AP45"/>
    <mergeCell ref="C44:F44"/>
    <mergeCell ref="G44:I44"/>
    <mergeCell ref="J44:N44"/>
    <mergeCell ref="AE44:AF44"/>
    <mergeCell ref="AK44:AM44"/>
    <mergeCell ref="AN44:AP44"/>
    <mergeCell ref="AQ44:AS44"/>
    <mergeCell ref="AK43:AM43"/>
    <mergeCell ref="AN43:AP43"/>
    <mergeCell ref="AQ43:AS43"/>
    <mergeCell ref="AT43:AV43"/>
    <mergeCell ref="AW43:AY44"/>
    <mergeCell ref="AZ43:AZ44"/>
    <mergeCell ref="AT44:AV44"/>
    <mergeCell ref="A43:A44"/>
    <mergeCell ref="C43:F43"/>
    <mergeCell ref="G43:N43"/>
    <mergeCell ref="AE43:AF43"/>
    <mergeCell ref="AG43:AG44"/>
    <mergeCell ref="AH43:AJ44"/>
    <mergeCell ref="C42:F42"/>
    <mergeCell ref="G42:I42"/>
    <mergeCell ref="J42:N42"/>
    <mergeCell ref="AE42:AF42"/>
    <mergeCell ref="AK42:AM42"/>
    <mergeCell ref="AN42:AP42"/>
    <mergeCell ref="AT41:AV41"/>
    <mergeCell ref="AW41:AY42"/>
    <mergeCell ref="AZ41:AZ42"/>
    <mergeCell ref="A41:A42"/>
    <mergeCell ref="C41:F41"/>
    <mergeCell ref="G41:N41"/>
    <mergeCell ref="AE41:AF41"/>
    <mergeCell ref="AG41:AG42"/>
    <mergeCell ref="AH41:AJ42"/>
    <mergeCell ref="AK41:AM41"/>
    <mergeCell ref="AN41:AP41"/>
    <mergeCell ref="AQ41:AS41"/>
    <mergeCell ref="C40:F40"/>
    <mergeCell ref="G40:I40"/>
    <mergeCell ref="J40:N40"/>
    <mergeCell ref="AE40:AF40"/>
    <mergeCell ref="AK40:AM40"/>
    <mergeCell ref="AN40:AP40"/>
    <mergeCell ref="AQ40:AS40"/>
    <mergeCell ref="AT40:AV40"/>
    <mergeCell ref="AQ39:AS39"/>
    <mergeCell ref="AT39:AV39"/>
    <mergeCell ref="AW39:AY40"/>
    <mergeCell ref="AZ39:AZ40"/>
    <mergeCell ref="AQ42:AS42"/>
    <mergeCell ref="AT42:AV42"/>
    <mergeCell ref="A39:A40"/>
    <mergeCell ref="C39:F39"/>
    <mergeCell ref="G39:N39"/>
    <mergeCell ref="AE39:AF39"/>
    <mergeCell ref="AG39:AG40"/>
    <mergeCell ref="AH39:AJ40"/>
    <mergeCell ref="AK39:AM39"/>
    <mergeCell ref="AN39:AP39"/>
    <mergeCell ref="C38:F38"/>
    <mergeCell ref="G38:I38"/>
    <mergeCell ref="J38:N38"/>
    <mergeCell ref="AE38:AF38"/>
    <mergeCell ref="AK38:AM38"/>
    <mergeCell ref="AN38:AP38"/>
    <mergeCell ref="AQ38:AS38"/>
    <mergeCell ref="AK37:AM37"/>
    <mergeCell ref="AN37:AP37"/>
    <mergeCell ref="AQ37:AS37"/>
    <mergeCell ref="AT37:AV37"/>
    <mergeCell ref="AW37:AY38"/>
    <mergeCell ref="AZ37:AZ38"/>
    <mergeCell ref="AT38:AV38"/>
    <mergeCell ref="A37:A38"/>
    <mergeCell ref="C37:F37"/>
    <mergeCell ref="G37:N37"/>
    <mergeCell ref="AE37:AF37"/>
    <mergeCell ref="AG37:AG38"/>
    <mergeCell ref="AH37:AJ38"/>
    <mergeCell ref="C36:F36"/>
    <mergeCell ref="G36:I36"/>
    <mergeCell ref="J36:N36"/>
    <mergeCell ref="AE36:AF36"/>
    <mergeCell ref="AK36:AM36"/>
    <mergeCell ref="AN36:AP36"/>
    <mergeCell ref="AT35:AV35"/>
    <mergeCell ref="AW35:AY36"/>
    <mergeCell ref="AZ35:AZ36"/>
    <mergeCell ref="A35:A36"/>
    <mergeCell ref="C35:F35"/>
    <mergeCell ref="G35:N35"/>
    <mergeCell ref="AE35:AF35"/>
    <mergeCell ref="AG35:AG36"/>
    <mergeCell ref="AH35:AJ36"/>
    <mergeCell ref="AK35:AM35"/>
    <mergeCell ref="AN35:AP35"/>
    <mergeCell ref="AQ35:AS35"/>
    <mergeCell ref="AE34:AF34"/>
    <mergeCell ref="AK34:AM34"/>
    <mergeCell ref="AN34:AP34"/>
    <mergeCell ref="AQ34:AS34"/>
    <mergeCell ref="AT34:AV34"/>
    <mergeCell ref="AQ33:AS33"/>
    <mergeCell ref="AT33:AV33"/>
    <mergeCell ref="AW33:AY34"/>
    <mergeCell ref="AZ33:AZ34"/>
    <mergeCell ref="AQ36:AS36"/>
    <mergeCell ref="AT36:AV36"/>
    <mergeCell ref="A33:A34"/>
    <mergeCell ref="C33:F33"/>
    <mergeCell ref="G33:N33"/>
    <mergeCell ref="AE33:AF33"/>
    <mergeCell ref="AG33:AG34"/>
    <mergeCell ref="AH33:AJ34"/>
    <mergeCell ref="AK33:AM33"/>
    <mergeCell ref="AN33:AP33"/>
    <mergeCell ref="AE32:AF32"/>
    <mergeCell ref="AK32:AM32"/>
    <mergeCell ref="AN32:AP32"/>
    <mergeCell ref="AQ32:AS32"/>
    <mergeCell ref="AK31:AM31"/>
    <mergeCell ref="AN31:AP31"/>
    <mergeCell ref="AQ31:AS31"/>
    <mergeCell ref="AT31:AV31"/>
    <mergeCell ref="AW31:AY32"/>
    <mergeCell ref="AZ31:AZ32"/>
    <mergeCell ref="AT32:AV32"/>
    <mergeCell ref="A31:A32"/>
    <mergeCell ref="AE31:AF31"/>
    <mergeCell ref="AG31:AG32"/>
    <mergeCell ref="AH31:AJ32"/>
    <mergeCell ref="C34:F34"/>
    <mergeCell ref="G34:I34"/>
    <mergeCell ref="J34:N34"/>
    <mergeCell ref="AE30:AF30"/>
    <mergeCell ref="AK30:AM30"/>
    <mergeCell ref="AN30:AP30"/>
    <mergeCell ref="AT29:AV29"/>
    <mergeCell ref="AW29:AY30"/>
    <mergeCell ref="AZ29:AZ30"/>
    <mergeCell ref="A29:A30"/>
    <mergeCell ref="AE29:AF29"/>
    <mergeCell ref="AG29:AG30"/>
    <mergeCell ref="AH29:AJ30"/>
    <mergeCell ref="AK29:AM29"/>
    <mergeCell ref="AN29:AP29"/>
    <mergeCell ref="AQ29:AS29"/>
    <mergeCell ref="C28:F28"/>
    <mergeCell ref="G28:I28"/>
    <mergeCell ref="J28:N28"/>
    <mergeCell ref="AE28:AF28"/>
    <mergeCell ref="AK28:AM28"/>
    <mergeCell ref="AN28:AP28"/>
    <mergeCell ref="AQ28:AS28"/>
    <mergeCell ref="AT28:AV28"/>
    <mergeCell ref="AQ27:AS27"/>
    <mergeCell ref="AT27:AV27"/>
    <mergeCell ref="AW27:AY28"/>
    <mergeCell ref="AZ27:AZ28"/>
    <mergeCell ref="AQ30:AS30"/>
    <mergeCell ref="AT30:AV30"/>
    <mergeCell ref="A27:A28"/>
    <mergeCell ref="C27:F27"/>
    <mergeCell ref="G27:N27"/>
    <mergeCell ref="AE27:AF27"/>
    <mergeCell ref="AG27:AG28"/>
    <mergeCell ref="AH27:AJ28"/>
    <mergeCell ref="AK27:AM27"/>
    <mergeCell ref="AN27:AP27"/>
    <mergeCell ref="C26:F26"/>
    <mergeCell ref="G26:I26"/>
    <mergeCell ref="J26:N26"/>
    <mergeCell ref="AE26:AF26"/>
    <mergeCell ref="AK26:AM26"/>
    <mergeCell ref="AN26:AP26"/>
    <mergeCell ref="AQ26:AS26"/>
    <mergeCell ref="AK25:AM25"/>
    <mergeCell ref="AN25:AP25"/>
    <mergeCell ref="AQ25:AS25"/>
    <mergeCell ref="AT25:AV25"/>
    <mergeCell ref="AW25:AY26"/>
    <mergeCell ref="AZ25:AZ26"/>
    <mergeCell ref="AT26:AV26"/>
    <mergeCell ref="A25:A26"/>
    <mergeCell ref="C25:F25"/>
    <mergeCell ref="G25:N25"/>
    <mergeCell ref="AE25:AF25"/>
    <mergeCell ref="AG25:AG26"/>
    <mergeCell ref="AH25:AJ26"/>
    <mergeCell ref="C24:F24"/>
    <mergeCell ref="G24:I24"/>
    <mergeCell ref="J24:N24"/>
    <mergeCell ref="AE24:AF24"/>
    <mergeCell ref="AK24:AM24"/>
    <mergeCell ref="AN24:AP24"/>
    <mergeCell ref="AT23:AV23"/>
    <mergeCell ref="AW23:AY24"/>
    <mergeCell ref="AZ23:AZ24"/>
    <mergeCell ref="A23:A24"/>
    <mergeCell ref="C23:F23"/>
    <mergeCell ref="G23:N23"/>
    <mergeCell ref="AE23:AF23"/>
    <mergeCell ref="AG23:AG24"/>
    <mergeCell ref="AH23:AJ24"/>
    <mergeCell ref="AK23:AM23"/>
    <mergeCell ref="AN23:AP23"/>
    <mergeCell ref="AQ23:AS23"/>
    <mergeCell ref="C22:F22"/>
    <mergeCell ref="G22:I22"/>
    <mergeCell ref="J22:N22"/>
    <mergeCell ref="AE22:AF22"/>
    <mergeCell ref="AK22:AM22"/>
    <mergeCell ref="AN22:AP22"/>
    <mergeCell ref="AQ22:AS22"/>
    <mergeCell ref="AT22:AV22"/>
    <mergeCell ref="AQ21:AS21"/>
    <mergeCell ref="AT21:AV21"/>
    <mergeCell ref="AW21:AY22"/>
    <mergeCell ref="AZ21:AZ22"/>
    <mergeCell ref="AQ24:AS24"/>
    <mergeCell ref="AT24:AV24"/>
    <mergeCell ref="A21:A22"/>
    <mergeCell ref="C21:F21"/>
    <mergeCell ref="G21:N21"/>
    <mergeCell ref="AE21:AF21"/>
    <mergeCell ref="AG21:AG22"/>
    <mergeCell ref="AH21:AJ22"/>
    <mergeCell ref="AK21:AM21"/>
    <mergeCell ref="AN21:AP21"/>
    <mergeCell ref="C20:F20"/>
    <mergeCell ref="G20:I20"/>
    <mergeCell ref="J20:N20"/>
    <mergeCell ref="AE20:AF20"/>
    <mergeCell ref="AK20:AM20"/>
    <mergeCell ref="AN20:AP20"/>
    <mergeCell ref="AQ20:AS20"/>
    <mergeCell ref="AK19:AM19"/>
    <mergeCell ref="AN19:AP19"/>
    <mergeCell ref="AQ19:AS19"/>
    <mergeCell ref="AT19:AV19"/>
    <mergeCell ref="AW19:AY20"/>
    <mergeCell ref="AZ19:AZ20"/>
    <mergeCell ref="AT20:AV20"/>
    <mergeCell ref="A19:A20"/>
    <mergeCell ref="C19:F19"/>
    <mergeCell ref="G19:N19"/>
    <mergeCell ref="AE19:AF19"/>
    <mergeCell ref="AG19:AG20"/>
    <mergeCell ref="AH19:AJ20"/>
    <mergeCell ref="C18:F18"/>
    <mergeCell ref="G18:I18"/>
    <mergeCell ref="J18:N18"/>
    <mergeCell ref="AE18:AF18"/>
    <mergeCell ref="AK18:AM18"/>
    <mergeCell ref="AN18:AP18"/>
    <mergeCell ref="AT17:AV17"/>
    <mergeCell ref="AW17:AY18"/>
    <mergeCell ref="AZ17:AZ18"/>
    <mergeCell ref="A17:A18"/>
    <mergeCell ref="C17:F17"/>
    <mergeCell ref="G17:N17"/>
    <mergeCell ref="AE17:AF17"/>
    <mergeCell ref="AG17:AG18"/>
    <mergeCell ref="AH17:AJ18"/>
    <mergeCell ref="AK17:AM17"/>
    <mergeCell ref="AN17:AP17"/>
    <mergeCell ref="AQ17:AS17"/>
    <mergeCell ref="C16:F16"/>
    <mergeCell ref="G16:I16"/>
    <mergeCell ref="J16:N16"/>
    <mergeCell ref="AE16:AF16"/>
    <mergeCell ref="AK16:AM16"/>
    <mergeCell ref="AN16:AP16"/>
    <mergeCell ref="AQ16:AS16"/>
    <mergeCell ref="AT16:AV16"/>
    <mergeCell ref="AQ15:AS15"/>
    <mergeCell ref="AT15:AV15"/>
    <mergeCell ref="AW15:AY16"/>
    <mergeCell ref="AZ15:AZ16"/>
    <mergeCell ref="AQ18:AS18"/>
    <mergeCell ref="AT18:AV18"/>
    <mergeCell ref="A15:A16"/>
    <mergeCell ref="C15:F15"/>
    <mergeCell ref="G15:N15"/>
    <mergeCell ref="AE15:AF15"/>
    <mergeCell ref="AG15:AG16"/>
    <mergeCell ref="AH15:AJ16"/>
    <mergeCell ref="AK15:AM15"/>
    <mergeCell ref="AN15:AP15"/>
    <mergeCell ref="C14:F14"/>
    <mergeCell ref="G14:I14"/>
    <mergeCell ref="J14:N14"/>
    <mergeCell ref="AE14:AF14"/>
    <mergeCell ref="AK14:AM14"/>
    <mergeCell ref="AN14:AP14"/>
    <mergeCell ref="AQ14:AS14"/>
    <mergeCell ref="AK13:AM13"/>
    <mergeCell ref="AN13:AP13"/>
    <mergeCell ref="AQ13:AS13"/>
    <mergeCell ref="AT13:AV13"/>
    <mergeCell ref="AW13:AY14"/>
    <mergeCell ref="AZ13:AZ14"/>
    <mergeCell ref="AT14:AV14"/>
    <mergeCell ref="A13:A14"/>
    <mergeCell ref="C13:F13"/>
    <mergeCell ref="G13:N13"/>
    <mergeCell ref="AE13:AF13"/>
    <mergeCell ref="AG13:AG14"/>
    <mergeCell ref="AH13:AJ14"/>
    <mergeCell ref="C12:F12"/>
    <mergeCell ref="G12:I12"/>
    <mergeCell ref="J12:N12"/>
    <mergeCell ref="AE12:AF12"/>
    <mergeCell ref="AK12:AM12"/>
    <mergeCell ref="AN12:AP12"/>
    <mergeCell ref="AT11:AV11"/>
    <mergeCell ref="AW11:AY12"/>
    <mergeCell ref="AZ11:AZ12"/>
    <mergeCell ref="A11:A12"/>
    <mergeCell ref="C11:F11"/>
    <mergeCell ref="G11:N11"/>
    <mergeCell ref="AE11:AF11"/>
    <mergeCell ref="AG11:AG12"/>
    <mergeCell ref="AH11:AJ12"/>
    <mergeCell ref="AK11:AM11"/>
    <mergeCell ref="AN11:AP11"/>
    <mergeCell ref="AQ11:AS11"/>
    <mergeCell ref="C10:F10"/>
    <mergeCell ref="G10:I10"/>
    <mergeCell ref="J10:N10"/>
    <mergeCell ref="AE10:AF10"/>
    <mergeCell ref="AK10:AM10"/>
    <mergeCell ref="AN10:AP10"/>
    <mergeCell ref="AQ10:AS10"/>
    <mergeCell ref="AT10:AV10"/>
    <mergeCell ref="AQ9:AS9"/>
    <mergeCell ref="AT9:AV9"/>
    <mergeCell ref="AW9:AY10"/>
    <mergeCell ref="AZ9:AZ10"/>
    <mergeCell ref="AQ12:AS12"/>
    <mergeCell ref="AT12:AV12"/>
    <mergeCell ref="A9:A10"/>
    <mergeCell ref="C9:F9"/>
    <mergeCell ref="G9:N9"/>
    <mergeCell ref="AE9:AF9"/>
    <mergeCell ref="AG9:AG10"/>
    <mergeCell ref="AH9:AJ10"/>
    <mergeCell ref="AK9:AM9"/>
    <mergeCell ref="AN9:AP9"/>
    <mergeCell ref="C8:F8"/>
    <mergeCell ref="G8:I8"/>
    <mergeCell ref="J8:N8"/>
    <mergeCell ref="AE8:AF8"/>
    <mergeCell ref="AK8:AM8"/>
    <mergeCell ref="AN8:AP8"/>
    <mergeCell ref="AQ8:AS8"/>
    <mergeCell ref="AK7:AM7"/>
    <mergeCell ref="AN7:AP7"/>
    <mergeCell ref="AQ7:AS7"/>
    <mergeCell ref="AT7:AV7"/>
    <mergeCell ref="AW7:AY8"/>
    <mergeCell ref="AZ7:AZ8"/>
    <mergeCell ref="AT8:AV8"/>
    <mergeCell ref="A7:A8"/>
    <mergeCell ref="C7:F7"/>
    <mergeCell ref="G7:N7"/>
    <mergeCell ref="AE7:AF7"/>
    <mergeCell ref="AG7:AG8"/>
    <mergeCell ref="AH7:AJ8"/>
    <mergeCell ref="C6:F6"/>
    <mergeCell ref="G6:I6"/>
    <mergeCell ref="J6:N6"/>
    <mergeCell ref="AE6:AF6"/>
    <mergeCell ref="AK6:AM6"/>
    <mergeCell ref="AN6:AP6"/>
    <mergeCell ref="AQ6:AS6"/>
    <mergeCell ref="AT6:AV6"/>
    <mergeCell ref="AW5:AY6"/>
    <mergeCell ref="AZ5:AZ6"/>
    <mergeCell ref="AG5:AG6"/>
    <mergeCell ref="AH5:AJ6"/>
    <mergeCell ref="AK5:AM5"/>
    <mergeCell ref="AN5:AP5"/>
    <mergeCell ref="AQ5:AS5"/>
    <mergeCell ref="AT5:AV5"/>
    <mergeCell ref="A1:AZ1"/>
    <mergeCell ref="A2:B2"/>
    <mergeCell ref="C2:N2"/>
    <mergeCell ref="O2:U2"/>
    <mergeCell ref="Y2:AB3"/>
    <mergeCell ref="AC2:AE3"/>
    <mergeCell ref="AF2:AF3"/>
    <mergeCell ref="AH2:AJ2"/>
    <mergeCell ref="AK2:AM2"/>
    <mergeCell ref="AN2:AP2"/>
    <mergeCell ref="AN3:AP3"/>
    <mergeCell ref="AQ3:AS3"/>
    <mergeCell ref="AT3:AV3"/>
    <mergeCell ref="AW3:AZ3"/>
    <mergeCell ref="A5:A6"/>
    <mergeCell ref="B5:B6"/>
    <mergeCell ref="C5:F5"/>
    <mergeCell ref="G5:N5"/>
    <mergeCell ref="AE5:AF5"/>
    <mergeCell ref="AQ2:AS2"/>
    <mergeCell ref="AT2:AV2"/>
    <mergeCell ref="AW2:AZ2"/>
    <mergeCell ref="A3:B3"/>
    <mergeCell ref="C3:N3"/>
    <mergeCell ref="O3:Q3"/>
    <mergeCell ref="S3:U3"/>
    <mergeCell ref="AH3:AJ3"/>
    <mergeCell ref="AK3:AM3"/>
  </mergeCells>
  <phoneticPr fontId="4" type="noConversion"/>
  <conditionalFormatting sqref="O5:AD6">
    <cfRule type="expression" dxfId="3" priority="5">
      <formula>WEEKDAY(O5)=1</formula>
    </cfRule>
  </conditionalFormatting>
  <conditionalFormatting sqref="AE35:AF35 AE37:AF37 AE39:AF39 AE41:AF41 AE43:AF43 AE45:AF45 AE47:AF47 AE49:AF49 AE51:AF51 AE53:AF53 AE55:AF55 AE57:AF57 AE59:AF59 AE61:AF61 AE63:AF63 AE65:AF65 AE67:AF67 AE69:AF69 AE71:AF71 AE73:AF73 AE75:AF75 AE77:AF77 AE79:AF79 AE81:AF81 AE83:AF83 AE85:AF85 AE87:AF87 AE89:AF89 AE91:AF91 AE93:AF93 AE95:AF95 AE97:AF97 AE99:AF99 AE101:AF101 AE103:AF103 AE105:AF105 AE107:AF107 AE109:AF109 AE111:AF111 AE113:AF113 AE115:AF115 AE117:AF117 AE119:AF119 AE121:AF121 AE123:AF123 AE125:AF125 AE127:AF127 AE129:AF129 AE131:AF131 AE133:AF133 AE135:AF135 AE137:AF137 AE139:AF139 AE141:AF141 AE143:AF143 AE145:AF145 AE147:AF147 AE149:AF149 AE151:AF151">
    <cfRule type="cellIs" dxfId="2" priority="3" operator="greaterThan">
      <formula>7</formula>
    </cfRule>
  </conditionalFormatting>
  <conditionalFormatting sqref="AQ1:AS1048576">
    <cfRule type="cellIs" dxfId="1" priority="6" operator="equal">
      <formula>"60세이상"</formula>
    </cfRule>
  </conditionalFormatting>
  <printOptions horizontalCentered="1"/>
  <pageMargins left="0.59055118110236227" right="0.27559055118110237" top="0.59055118110236227" bottom="0.19685039370078741" header="0" footer="0"/>
  <pageSetup paperSize="9" scale="5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4241" r:id="rId4" name="Spinner 1">
              <controlPr defaultSize="0" print="0" autoPict="0">
                <anchor>
                  <from>
                    <xdr:col>30</xdr:col>
                    <xdr:colOff>361950</xdr:colOff>
                    <xdr:row>1</xdr:row>
                    <xdr:rowOff>152400</xdr:rowOff>
                  </from>
                  <to>
                    <xdr:col>31</xdr:col>
                    <xdr:colOff>247650</xdr:colOff>
                    <xdr:row>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242" r:id="rId5" name="Spinner 2">
              <controlPr defaultSize="0" print="0" autoPict="0">
                <anchor>
                  <from>
                    <xdr:col>27</xdr:col>
                    <xdr:colOff>285750</xdr:colOff>
                    <xdr:row>1</xdr:row>
                    <xdr:rowOff>152400</xdr:rowOff>
                  </from>
                  <to>
                    <xdr:col>28</xdr:col>
                    <xdr:colOff>247650</xdr:colOff>
                    <xdr:row>2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>
    <tabColor theme="5" tint="0.59999389629810485"/>
    <pageSetUpPr fitToPage="1"/>
  </sheetPr>
  <dimension ref="A1:U110"/>
  <sheetViews>
    <sheetView view="pageBreakPreview" zoomScaleNormal="100" zoomScaleSheetLayoutView="100" workbookViewId="0">
      <selection activeCell="B15" sqref="B15:J15"/>
    </sheetView>
  </sheetViews>
  <sheetFormatPr defaultColWidth="8.875" defaultRowHeight="26.25"/>
  <cols>
    <col min="1" max="1" width="3.375" style="173" customWidth="1"/>
    <col min="2" max="2" width="2.625" style="173" customWidth="1"/>
    <col min="3" max="3" width="6" style="173" customWidth="1"/>
    <col min="4" max="4" width="1.875" style="173" customWidth="1"/>
    <col min="5" max="5" width="16.375" style="173" bestFit="1" customWidth="1"/>
    <col min="6" max="6" width="8.875" style="173"/>
    <col min="7" max="7" width="2.125" style="173" customWidth="1"/>
    <col min="8" max="8" width="12.25" style="173" customWidth="1"/>
    <col min="9" max="9" width="2.125" style="173" customWidth="1"/>
    <col min="10" max="10" width="10.25" style="173" customWidth="1"/>
    <col min="11" max="11" width="3" style="173" customWidth="1"/>
    <col min="12" max="12" width="2.25" style="173" customWidth="1"/>
    <col min="13" max="256" width="8.875" style="173"/>
    <col min="257" max="257" width="3.375" style="173" customWidth="1"/>
    <col min="258" max="258" width="2.625" style="173" customWidth="1"/>
    <col min="259" max="259" width="14.25" style="173" customWidth="1"/>
    <col min="260" max="260" width="1.875" style="173" customWidth="1"/>
    <col min="261" max="261" width="16.375" style="173" bestFit="1" customWidth="1"/>
    <col min="262" max="262" width="8.875" style="173"/>
    <col min="263" max="263" width="2.125" style="173" customWidth="1"/>
    <col min="264" max="264" width="12.25" style="173" customWidth="1"/>
    <col min="265" max="265" width="2.125" style="173" customWidth="1"/>
    <col min="266" max="266" width="10.25" style="173" customWidth="1"/>
    <col min="267" max="267" width="3" style="173" customWidth="1"/>
    <col min="268" max="268" width="2.25" style="173" customWidth="1"/>
    <col min="269" max="512" width="8.875" style="173"/>
    <col min="513" max="513" width="3.375" style="173" customWidth="1"/>
    <col min="514" max="514" width="2.625" style="173" customWidth="1"/>
    <col min="515" max="515" width="14.25" style="173" customWidth="1"/>
    <col min="516" max="516" width="1.875" style="173" customWidth="1"/>
    <col min="517" max="517" width="16.375" style="173" bestFit="1" customWidth="1"/>
    <col min="518" max="518" width="8.875" style="173"/>
    <col min="519" max="519" width="2.125" style="173" customWidth="1"/>
    <col min="520" max="520" width="12.25" style="173" customWidth="1"/>
    <col min="521" max="521" width="2.125" style="173" customWidth="1"/>
    <col min="522" max="522" width="10.25" style="173" customWidth="1"/>
    <col min="523" max="523" width="3" style="173" customWidth="1"/>
    <col min="524" max="524" width="2.25" style="173" customWidth="1"/>
    <col min="525" max="768" width="8.875" style="173"/>
    <col min="769" max="769" width="3.375" style="173" customWidth="1"/>
    <col min="770" max="770" width="2.625" style="173" customWidth="1"/>
    <col min="771" max="771" width="14.25" style="173" customWidth="1"/>
    <col min="772" max="772" width="1.875" style="173" customWidth="1"/>
    <col min="773" max="773" width="16.375" style="173" bestFit="1" customWidth="1"/>
    <col min="774" max="774" width="8.875" style="173"/>
    <col min="775" max="775" width="2.125" style="173" customWidth="1"/>
    <col min="776" max="776" width="12.25" style="173" customWidth="1"/>
    <col min="777" max="777" width="2.125" style="173" customWidth="1"/>
    <col min="778" max="778" width="10.25" style="173" customWidth="1"/>
    <col min="779" max="779" width="3" style="173" customWidth="1"/>
    <col min="780" max="780" width="2.25" style="173" customWidth="1"/>
    <col min="781" max="1024" width="8.875" style="173"/>
    <col min="1025" max="1025" width="3.375" style="173" customWidth="1"/>
    <col min="1026" max="1026" width="2.625" style="173" customWidth="1"/>
    <col min="1027" max="1027" width="14.25" style="173" customWidth="1"/>
    <col min="1028" max="1028" width="1.875" style="173" customWidth="1"/>
    <col min="1029" max="1029" width="16.375" style="173" bestFit="1" customWidth="1"/>
    <col min="1030" max="1030" width="8.875" style="173"/>
    <col min="1031" max="1031" width="2.125" style="173" customWidth="1"/>
    <col min="1032" max="1032" width="12.25" style="173" customWidth="1"/>
    <col min="1033" max="1033" width="2.125" style="173" customWidth="1"/>
    <col min="1034" max="1034" width="10.25" style="173" customWidth="1"/>
    <col min="1035" max="1035" width="3" style="173" customWidth="1"/>
    <col min="1036" max="1036" width="2.25" style="173" customWidth="1"/>
    <col min="1037" max="1280" width="8.875" style="173"/>
    <col min="1281" max="1281" width="3.375" style="173" customWidth="1"/>
    <col min="1282" max="1282" width="2.625" style="173" customWidth="1"/>
    <col min="1283" max="1283" width="14.25" style="173" customWidth="1"/>
    <col min="1284" max="1284" width="1.875" style="173" customWidth="1"/>
    <col min="1285" max="1285" width="16.375" style="173" bestFit="1" customWidth="1"/>
    <col min="1286" max="1286" width="8.875" style="173"/>
    <col min="1287" max="1287" width="2.125" style="173" customWidth="1"/>
    <col min="1288" max="1288" width="12.25" style="173" customWidth="1"/>
    <col min="1289" max="1289" width="2.125" style="173" customWidth="1"/>
    <col min="1290" max="1290" width="10.25" style="173" customWidth="1"/>
    <col min="1291" max="1291" width="3" style="173" customWidth="1"/>
    <col min="1292" max="1292" width="2.25" style="173" customWidth="1"/>
    <col min="1293" max="1536" width="8.875" style="173"/>
    <col min="1537" max="1537" width="3.375" style="173" customWidth="1"/>
    <col min="1538" max="1538" width="2.625" style="173" customWidth="1"/>
    <col min="1539" max="1539" width="14.25" style="173" customWidth="1"/>
    <col min="1540" max="1540" width="1.875" style="173" customWidth="1"/>
    <col min="1541" max="1541" width="16.375" style="173" bestFit="1" customWidth="1"/>
    <col min="1542" max="1542" width="8.875" style="173"/>
    <col min="1543" max="1543" width="2.125" style="173" customWidth="1"/>
    <col min="1544" max="1544" width="12.25" style="173" customWidth="1"/>
    <col min="1545" max="1545" width="2.125" style="173" customWidth="1"/>
    <col min="1546" max="1546" width="10.25" style="173" customWidth="1"/>
    <col min="1547" max="1547" width="3" style="173" customWidth="1"/>
    <col min="1548" max="1548" width="2.25" style="173" customWidth="1"/>
    <col min="1549" max="1792" width="8.875" style="173"/>
    <col min="1793" max="1793" width="3.375" style="173" customWidth="1"/>
    <col min="1794" max="1794" width="2.625" style="173" customWidth="1"/>
    <col min="1795" max="1795" width="14.25" style="173" customWidth="1"/>
    <col min="1796" max="1796" width="1.875" style="173" customWidth="1"/>
    <col min="1797" max="1797" width="16.375" style="173" bestFit="1" customWidth="1"/>
    <col min="1798" max="1798" width="8.875" style="173"/>
    <col min="1799" max="1799" width="2.125" style="173" customWidth="1"/>
    <col min="1800" max="1800" width="12.25" style="173" customWidth="1"/>
    <col min="1801" max="1801" width="2.125" style="173" customWidth="1"/>
    <col min="1802" max="1802" width="10.25" style="173" customWidth="1"/>
    <col min="1803" max="1803" width="3" style="173" customWidth="1"/>
    <col min="1804" max="1804" width="2.25" style="173" customWidth="1"/>
    <col min="1805" max="2048" width="8.875" style="173"/>
    <col min="2049" max="2049" width="3.375" style="173" customWidth="1"/>
    <col min="2050" max="2050" width="2.625" style="173" customWidth="1"/>
    <col min="2051" max="2051" width="14.25" style="173" customWidth="1"/>
    <col min="2052" max="2052" width="1.875" style="173" customWidth="1"/>
    <col min="2053" max="2053" width="16.375" style="173" bestFit="1" customWidth="1"/>
    <col min="2054" max="2054" width="8.875" style="173"/>
    <col min="2055" max="2055" width="2.125" style="173" customWidth="1"/>
    <col min="2056" max="2056" width="12.25" style="173" customWidth="1"/>
    <col min="2057" max="2057" width="2.125" style="173" customWidth="1"/>
    <col min="2058" max="2058" width="10.25" style="173" customWidth="1"/>
    <col min="2059" max="2059" width="3" style="173" customWidth="1"/>
    <col min="2060" max="2060" width="2.25" style="173" customWidth="1"/>
    <col min="2061" max="2304" width="8.875" style="173"/>
    <col min="2305" max="2305" width="3.375" style="173" customWidth="1"/>
    <col min="2306" max="2306" width="2.625" style="173" customWidth="1"/>
    <col min="2307" max="2307" width="14.25" style="173" customWidth="1"/>
    <col min="2308" max="2308" width="1.875" style="173" customWidth="1"/>
    <col min="2309" max="2309" width="16.375" style="173" bestFit="1" customWidth="1"/>
    <col min="2310" max="2310" width="8.875" style="173"/>
    <col min="2311" max="2311" width="2.125" style="173" customWidth="1"/>
    <col min="2312" max="2312" width="12.25" style="173" customWidth="1"/>
    <col min="2313" max="2313" width="2.125" style="173" customWidth="1"/>
    <col min="2314" max="2314" width="10.25" style="173" customWidth="1"/>
    <col min="2315" max="2315" width="3" style="173" customWidth="1"/>
    <col min="2316" max="2316" width="2.25" style="173" customWidth="1"/>
    <col min="2317" max="2560" width="8.875" style="173"/>
    <col min="2561" max="2561" width="3.375" style="173" customWidth="1"/>
    <col min="2562" max="2562" width="2.625" style="173" customWidth="1"/>
    <col min="2563" max="2563" width="14.25" style="173" customWidth="1"/>
    <col min="2564" max="2564" width="1.875" style="173" customWidth="1"/>
    <col min="2565" max="2565" width="16.375" style="173" bestFit="1" customWidth="1"/>
    <col min="2566" max="2566" width="8.875" style="173"/>
    <col min="2567" max="2567" width="2.125" style="173" customWidth="1"/>
    <col min="2568" max="2568" width="12.25" style="173" customWidth="1"/>
    <col min="2569" max="2569" width="2.125" style="173" customWidth="1"/>
    <col min="2570" max="2570" width="10.25" style="173" customWidth="1"/>
    <col min="2571" max="2571" width="3" style="173" customWidth="1"/>
    <col min="2572" max="2572" width="2.25" style="173" customWidth="1"/>
    <col min="2573" max="2816" width="8.875" style="173"/>
    <col min="2817" max="2817" width="3.375" style="173" customWidth="1"/>
    <col min="2818" max="2818" width="2.625" style="173" customWidth="1"/>
    <col min="2819" max="2819" width="14.25" style="173" customWidth="1"/>
    <col min="2820" max="2820" width="1.875" style="173" customWidth="1"/>
    <col min="2821" max="2821" width="16.375" style="173" bestFit="1" customWidth="1"/>
    <col min="2822" max="2822" width="8.875" style="173"/>
    <col min="2823" max="2823" width="2.125" style="173" customWidth="1"/>
    <col min="2824" max="2824" width="12.25" style="173" customWidth="1"/>
    <col min="2825" max="2825" width="2.125" style="173" customWidth="1"/>
    <col min="2826" max="2826" width="10.25" style="173" customWidth="1"/>
    <col min="2827" max="2827" width="3" style="173" customWidth="1"/>
    <col min="2828" max="2828" width="2.25" style="173" customWidth="1"/>
    <col min="2829" max="3072" width="8.875" style="173"/>
    <col min="3073" max="3073" width="3.375" style="173" customWidth="1"/>
    <col min="3074" max="3074" width="2.625" style="173" customWidth="1"/>
    <col min="3075" max="3075" width="14.25" style="173" customWidth="1"/>
    <col min="3076" max="3076" width="1.875" style="173" customWidth="1"/>
    <col min="3077" max="3077" width="16.375" style="173" bestFit="1" customWidth="1"/>
    <col min="3078" max="3078" width="8.875" style="173"/>
    <col min="3079" max="3079" width="2.125" style="173" customWidth="1"/>
    <col min="3080" max="3080" width="12.25" style="173" customWidth="1"/>
    <col min="3081" max="3081" width="2.125" style="173" customWidth="1"/>
    <col min="3082" max="3082" width="10.25" style="173" customWidth="1"/>
    <col min="3083" max="3083" width="3" style="173" customWidth="1"/>
    <col min="3084" max="3084" width="2.25" style="173" customWidth="1"/>
    <col min="3085" max="3328" width="8.875" style="173"/>
    <col min="3329" max="3329" width="3.375" style="173" customWidth="1"/>
    <col min="3330" max="3330" width="2.625" style="173" customWidth="1"/>
    <col min="3331" max="3331" width="14.25" style="173" customWidth="1"/>
    <col min="3332" max="3332" width="1.875" style="173" customWidth="1"/>
    <col min="3333" max="3333" width="16.375" style="173" bestFit="1" customWidth="1"/>
    <col min="3334" max="3334" width="8.875" style="173"/>
    <col min="3335" max="3335" width="2.125" style="173" customWidth="1"/>
    <col min="3336" max="3336" width="12.25" style="173" customWidth="1"/>
    <col min="3337" max="3337" width="2.125" style="173" customWidth="1"/>
    <col min="3338" max="3338" width="10.25" style="173" customWidth="1"/>
    <col min="3339" max="3339" width="3" style="173" customWidth="1"/>
    <col min="3340" max="3340" width="2.25" style="173" customWidth="1"/>
    <col min="3341" max="3584" width="8.875" style="173"/>
    <col min="3585" max="3585" width="3.375" style="173" customWidth="1"/>
    <col min="3586" max="3586" width="2.625" style="173" customWidth="1"/>
    <col min="3587" max="3587" width="14.25" style="173" customWidth="1"/>
    <col min="3588" max="3588" width="1.875" style="173" customWidth="1"/>
    <col min="3589" max="3589" width="16.375" style="173" bestFit="1" customWidth="1"/>
    <col min="3590" max="3590" width="8.875" style="173"/>
    <col min="3591" max="3591" width="2.125" style="173" customWidth="1"/>
    <col min="3592" max="3592" width="12.25" style="173" customWidth="1"/>
    <col min="3593" max="3593" width="2.125" style="173" customWidth="1"/>
    <col min="3594" max="3594" width="10.25" style="173" customWidth="1"/>
    <col min="3595" max="3595" width="3" style="173" customWidth="1"/>
    <col min="3596" max="3596" width="2.25" style="173" customWidth="1"/>
    <col min="3597" max="3840" width="8.875" style="173"/>
    <col min="3841" max="3841" width="3.375" style="173" customWidth="1"/>
    <col min="3842" max="3842" width="2.625" style="173" customWidth="1"/>
    <col min="3843" max="3843" width="14.25" style="173" customWidth="1"/>
    <col min="3844" max="3844" width="1.875" style="173" customWidth="1"/>
    <col min="3845" max="3845" width="16.375" style="173" bestFit="1" customWidth="1"/>
    <col min="3846" max="3846" width="8.875" style="173"/>
    <col min="3847" max="3847" width="2.125" style="173" customWidth="1"/>
    <col min="3848" max="3848" width="12.25" style="173" customWidth="1"/>
    <col min="3849" max="3849" width="2.125" style="173" customWidth="1"/>
    <col min="3850" max="3850" width="10.25" style="173" customWidth="1"/>
    <col min="3851" max="3851" width="3" style="173" customWidth="1"/>
    <col min="3852" max="3852" width="2.25" style="173" customWidth="1"/>
    <col min="3853" max="4096" width="8.875" style="173"/>
    <col min="4097" max="4097" width="3.375" style="173" customWidth="1"/>
    <col min="4098" max="4098" width="2.625" style="173" customWidth="1"/>
    <col min="4099" max="4099" width="14.25" style="173" customWidth="1"/>
    <col min="4100" max="4100" width="1.875" style="173" customWidth="1"/>
    <col min="4101" max="4101" width="16.375" style="173" bestFit="1" customWidth="1"/>
    <col min="4102" max="4102" width="8.875" style="173"/>
    <col min="4103" max="4103" width="2.125" style="173" customWidth="1"/>
    <col min="4104" max="4104" width="12.25" style="173" customWidth="1"/>
    <col min="4105" max="4105" width="2.125" style="173" customWidth="1"/>
    <col min="4106" max="4106" width="10.25" style="173" customWidth="1"/>
    <col min="4107" max="4107" width="3" style="173" customWidth="1"/>
    <col min="4108" max="4108" width="2.25" style="173" customWidth="1"/>
    <col min="4109" max="4352" width="8.875" style="173"/>
    <col min="4353" max="4353" width="3.375" style="173" customWidth="1"/>
    <col min="4354" max="4354" width="2.625" style="173" customWidth="1"/>
    <col min="4355" max="4355" width="14.25" style="173" customWidth="1"/>
    <col min="4356" max="4356" width="1.875" style="173" customWidth="1"/>
    <col min="4357" max="4357" width="16.375" style="173" bestFit="1" customWidth="1"/>
    <col min="4358" max="4358" width="8.875" style="173"/>
    <col min="4359" max="4359" width="2.125" style="173" customWidth="1"/>
    <col min="4360" max="4360" width="12.25" style="173" customWidth="1"/>
    <col min="4361" max="4361" width="2.125" style="173" customWidth="1"/>
    <col min="4362" max="4362" width="10.25" style="173" customWidth="1"/>
    <col min="4363" max="4363" width="3" style="173" customWidth="1"/>
    <col min="4364" max="4364" width="2.25" style="173" customWidth="1"/>
    <col min="4365" max="4608" width="8.875" style="173"/>
    <col min="4609" max="4609" width="3.375" style="173" customWidth="1"/>
    <col min="4610" max="4610" width="2.625" style="173" customWidth="1"/>
    <col min="4611" max="4611" width="14.25" style="173" customWidth="1"/>
    <col min="4612" max="4612" width="1.875" style="173" customWidth="1"/>
    <col min="4613" max="4613" width="16.375" style="173" bestFit="1" customWidth="1"/>
    <col min="4614" max="4614" width="8.875" style="173"/>
    <col min="4615" max="4615" width="2.125" style="173" customWidth="1"/>
    <col min="4616" max="4616" width="12.25" style="173" customWidth="1"/>
    <col min="4617" max="4617" width="2.125" style="173" customWidth="1"/>
    <col min="4618" max="4618" width="10.25" style="173" customWidth="1"/>
    <col min="4619" max="4619" width="3" style="173" customWidth="1"/>
    <col min="4620" max="4620" width="2.25" style="173" customWidth="1"/>
    <col min="4621" max="4864" width="8.875" style="173"/>
    <col min="4865" max="4865" width="3.375" style="173" customWidth="1"/>
    <col min="4866" max="4866" width="2.625" style="173" customWidth="1"/>
    <col min="4867" max="4867" width="14.25" style="173" customWidth="1"/>
    <col min="4868" max="4868" width="1.875" style="173" customWidth="1"/>
    <col min="4869" max="4869" width="16.375" style="173" bestFit="1" customWidth="1"/>
    <col min="4870" max="4870" width="8.875" style="173"/>
    <col min="4871" max="4871" width="2.125" style="173" customWidth="1"/>
    <col min="4872" max="4872" width="12.25" style="173" customWidth="1"/>
    <col min="4873" max="4873" width="2.125" style="173" customWidth="1"/>
    <col min="4874" max="4874" width="10.25" style="173" customWidth="1"/>
    <col min="4875" max="4875" width="3" style="173" customWidth="1"/>
    <col min="4876" max="4876" width="2.25" style="173" customWidth="1"/>
    <col min="4877" max="5120" width="8.875" style="173"/>
    <col min="5121" max="5121" width="3.375" style="173" customWidth="1"/>
    <col min="5122" max="5122" width="2.625" style="173" customWidth="1"/>
    <col min="5123" max="5123" width="14.25" style="173" customWidth="1"/>
    <col min="5124" max="5124" width="1.875" style="173" customWidth="1"/>
    <col min="5125" max="5125" width="16.375" style="173" bestFit="1" customWidth="1"/>
    <col min="5126" max="5126" width="8.875" style="173"/>
    <col min="5127" max="5127" width="2.125" style="173" customWidth="1"/>
    <col min="5128" max="5128" width="12.25" style="173" customWidth="1"/>
    <col min="5129" max="5129" width="2.125" style="173" customWidth="1"/>
    <col min="5130" max="5130" width="10.25" style="173" customWidth="1"/>
    <col min="5131" max="5131" width="3" style="173" customWidth="1"/>
    <col min="5132" max="5132" width="2.25" style="173" customWidth="1"/>
    <col min="5133" max="5376" width="8.875" style="173"/>
    <col min="5377" max="5377" width="3.375" style="173" customWidth="1"/>
    <col min="5378" max="5378" width="2.625" style="173" customWidth="1"/>
    <col min="5379" max="5379" width="14.25" style="173" customWidth="1"/>
    <col min="5380" max="5380" width="1.875" style="173" customWidth="1"/>
    <col min="5381" max="5381" width="16.375" style="173" bestFit="1" customWidth="1"/>
    <col min="5382" max="5382" width="8.875" style="173"/>
    <col min="5383" max="5383" width="2.125" style="173" customWidth="1"/>
    <col min="5384" max="5384" width="12.25" style="173" customWidth="1"/>
    <col min="5385" max="5385" width="2.125" style="173" customWidth="1"/>
    <col min="5386" max="5386" width="10.25" style="173" customWidth="1"/>
    <col min="5387" max="5387" width="3" style="173" customWidth="1"/>
    <col min="5388" max="5388" width="2.25" style="173" customWidth="1"/>
    <col min="5389" max="5632" width="8.875" style="173"/>
    <col min="5633" max="5633" width="3.375" style="173" customWidth="1"/>
    <col min="5634" max="5634" width="2.625" style="173" customWidth="1"/>
    <col min="5635" max="5635" width="14.25" style="173" customWidth="1"/>
    <col min="5636" max="5636" width="1.875" style="173" customWidth="1"/>
    <col min="5637" max="5637" width="16.375" style="173" bestFit="1" customWidth="1"/>
    <col min="5638" max="5638" width="8.875" style="173"/>
    <col min="5639" max="5639" width="2.125" style="173" customWidth="1"/>
    <col min="5640" max="5640" width="12.25" style="173" customWidth="1"/>
    <col min="5641" max="5641" width="2.125" style="173" customWidth="1"/>
    <col min="5642" max="5642" width="10.25" style="173" customWidth="1"/>
    <col min="5643" max="5643" width="3" style="173" customWidth="1"/>
    <col min="5644" max="5644" width="2.25" style="173" customWidth="1"/>
    <col min="5645" max="5888" width="8.875" style="173"/>
    <col min="5889" max="5889" width="3.375" style="173" customWidth="1"/>
    <col min="5890" max="5890" width="2.625" style="173" customWidth="1"/>
    <col min="5891" max="5891" width="14.25" style="173" customWidth="1"/>
    <col min="5892" max="5892" width="1.875" style="173" customWidth="1"/>
    <col min="5893" max="5893" width="16.375" style="173" bestFit="1" customWidth="1"/>
    <col min="5894" max="5894" width="8.875" style="173"/>
    <col min="5895" max="5895" width="2.125" style="173" customWidth="1"/>
    <col min="5896" max="5896" width="12.25" style="173" customWidth="1"/>
    <col min="5897" max="5897" width="2.125" style="173" customWidth="1"/>
    <col min="5898" max="5898" width="10.25" style="173" customWidth="1"/>
    <col min="5899" max="5899" width="3" style="173" customWidth="1"/>
    <col min="5900" max="5900" width="2.25" style="173" customWidth="1"/>
    <col min="5901" max="6144" width="8.875" style="173"/>
    <col min="6145" max="6145" width="3.375" style="173" customWidth="1"/>
    <col min="6146" max="6146" width="2.625" style="173" customWidth="1"/>
    <col min="6147" max="6147" width="14.25" style="173" customWidth="1"/>
    <col min="6148" max="6148" width="1.875" style="173" customWidth="1"/>
    <col min="6149" max="6149" width="16.375" style="173" bestFit="1" customWidth="1"/>
    <col min="6150" max="6150" width="8.875" style="173"/>
    <col min="6151" max="6151" width="2.125" style="173" customWidth="1"/>
    <col min="6152" max="6152" width="12.25" style="173" customWidth="1"/>
    <col min="6153" max="6153" width="2.125" style="173" customWidth="1"/>
    <col min="6154" max="6154" width="10.25" style="173" customWidth="1"/>
    <col min="6155" max="6155" width="3" style="173" customWidth="1"/>
    <col min="6156" max="6156" width="2.25" style="173" customWidth="1"/>
    <col min="6157" max="6400" width="8.875" style="173"/>
    <col min="6401" max="6401" width="3.375" style="173" customWidth="1"/>
    <col min="6402" max="6402" width="2.625" style="173" customWidth="1"/>
    <col min="6403" max="6403" width="14.25" style="173" customWidth="1"/>
    <col min="6404" max="6404" width="1.875" style="173" customWidth="1"/>
    <col min="6405" max="6405" width="16.375" style="173" bestFit="1" customWidth="1"/>
    <col min="6406" max="6406" width="8.875" style="173"/>
    <col min="6407" max="6407" width="2.125" style="173" customWidth="1"/>
    <col min="6408" max="6408" width="12.25" style="173" customWidth="1"/>
    <col min="6409" max="6409" width="2.125" style="173" customWidth="1"/>
    <col min="6410" max="6410" width="10.25" style="173" customWidth="1"/>
    <col min="6411" max="6411" width="3" style="173" customWidth="1"/>
    <col min="6412" max="6412" width="2.25" style="173" customWidth="1"/>
    <col min="6413" max="6656" width="8.875" style="173"/>
    <col min="6657" max="6657" width="3.375" style="173" customWidth="1"/>
    <col min="6658" max="6658" width="2.625" style="173" customWidth="1"/>
    <col min="6659" max="6659" width="14.25" style="173" customWidth="1"/>
    <col min="6660" max="6660" width="1.875" style="173" customWidth="1"/>
    <col min="6661" max="6661" width="16.375" style="173" bestFit="1" customWidth="1"/>
    <col min="6662" max="6662" width="8.875" style="173"/>
    <col min="6663" max="6663" width="2.125" style="173" customWidth="1"/>
    <col min="6664" max="6664" width="12.25" style="173" customWidth="1"/>
    <col min="6665" max="6665" width="2.125" style="173" customWidth="1"/>
    <col min="6666" max="6666" width="10.25" style="173" customWidth="1"/>
    <col min="6667" max="6667" width="3" style="173" customWidth="1"/>
    <col min="6668" max="6668" width="2.25" style="173" customWidth="1"/>
    <col min="6669" max="6912" width="8.875" style="173"/>
    <col min="6913" max="6913" width="3.375" style="173" customWidth="1"/>
    <col min="6914" max="6914" width="2.625" style="173" customWidth="1"/>
    <col min="6915" max="6915" width="14.25" style="173" customWidth="1"/>
    <col min="6916" max="6916" width="1.875" style="173" customWidth="1"/>
    <col min="6917" max="6917" width="16.375" style="173" bestFit="1" customWidth="1"/>
    <col min="6918" max="6918" width="8.875" style="173"/>
    <col min="6919" max="6919" width="2.125" style="173" customWidth="1"/>
    <col min="6920" max="6920" width="12.25" style="173" customWidth="1"/>
    <col min="6921" max="6921" width="2.125" style="173" customWidth="1"/>
    <col min="6922" max="6922" width="10.25" style="173" customWidth="1"/>
    <col min="6923" max="6923" width="3" style="173" customWidth="1"/>
    <col min="6924" max="6924" width="2.25" style="173" customWidth="1"/>
    <col min="6925" max="7168" width="8.875" style="173"/>
    <col min="7169" max="7169" width="3.375" style="173" customWidth="1"/>
    <col min="7170" max="7170" width="2.625" style="173" customWidth="1"/>
    <col min="7171" max="7171" width="14.25" style="173" customWidth="1"/>
    <col min="7172" max="7172" width="1.875" style="173" customWidth="1"/>
    <col min="7173" max="7173" width="16.375" style="173" bestFit="1" customWidth="1"/>
    <col min="7174" max="7174" width="8.875" style="173"/>
    <col min="7175" max="7175" width="2.125" style="173" customWidth="1"/>
    <col min="7176" max="7176" width="12.25" style="173" customWidth="1"/>
    <col min="7177" max="7177" width="2.125" style="173" customWidth="1"/>
    <col min="7178" max="7178" width="10.25" style="173" customWidth="1"/>
    <col min="7179" max="7179" width="3" style="173" customWidth="1"/>
    <col min="7180" max="7180" width="2.25" style="173" customWidth="1"/>
    <col min="7181" max="7424" width="8.875" style="173"/>
    <col min="7425" max="7425" width="3.375" style="173" customWidth="1"/>
    <col min="7426" max="7426" width="2.625" style="173" customWidth="1"/>
    <col min="7427" max="7427" width="14.25" style="173" customWidth="1"/>
    <col min="7428" max="7428" width="1.875" style="173" customWidth="1"/>
    <col min="7429" max="7429" width="16.375" style="173" bestFit="1" customWidth="1"/>
    <col min="7430" max="7430" width="8.875" style="173"/>
    <col min="7431" max="7431" width="2.125" style="173" customWidth="1"/>
    <col min="7432" max="7432" width="12.25" style="173" customWidth="1"/>
    <col min="7433" max="7433" width="2.125" style="173" customWidth="1"/>
    <col min="7434" max="7434" width="10.25" style="173" customWidth="1"/>
    <col min="7435" max="7435" width="3" style="173" customWidth="1"/>
    <col min="7436" max="7436" width="2.25" style="173" customWidth="1"/>
    <col min="7437" max="7680" width="8.875" style="173"/>
    <col min="7681" max="7681" width="3.375" style="173" customWidth="1"/>
    <col min="7682" max="7682" width="2.625" style="173" customWidth="1"/>
    <col min="7683" max="7683" width="14.25" style="173" customWidth="1"/>
    <col min="7684" max="7684" width="1.875" style="173" customWidth="1"/>
    <col min="7685" max="7685" width="16.375" style="173" bestFit="1" customWidth="1"/>
    <col min="7686" max="7686" width="8.875" style="173"/>
    <col min="7687" max="7687" width="2.125" style="173" customWidth="1"/>
    <col min="7688" max="7688" width="12.25" style="173" customWidth="1"/>
    <col min="7689" max="7689" width="2.125" style="173" customWidth="1"/>
    <col min="7690" max="7690" width="10.25" style="173" customWidth="1"/>
    <col min="7691" max="7691" width="3" style="173" customWidth="1"/>
    <col min="7692" max="7692" width="2.25" style="173" customWidth="1"/>
    <col min="7693" max="7936" width="8.875" style="173"/>
    <col min="7937" max="7937" width="3.375" style="173" customWidth="1"/>
    <col min="7938" max="7938" width="2.625" style="173" customWidth="1"/>
    <col min="7939" max="7939" width="14.25" style="173" customWidth="1"/>
    <col min="7940" max="7940" width="1.875" style="173" customWidth="1"/>
    <col min="7941" max="7941" width="16.375" style="173" bestFit="1" customWidth="1"/>
    <col min="7942" max="7942" width="8.875" style="173"/>
    <col min="7943" max="7943" width="2.125" style="173" customWidth="1"/>
    <col min="7944" max="7944" width="12.25" style="173" customWidth="1"/>
    <col min="7945" max="7945" width="2.125" style="173" customWidth="1"/>
    <col min="7946" max="7946" width="10.25" style="173" customWidth="1"/>
    <col min="7947" max="7947" width="3" style="173" customWidth="1"/>
    <col min="7948" max="7948" width="2.25" style="173" customWidth="1"/>
    <col min="7949" max="8192" width="8.875" style="173"/>
    <col min="8193" max="8193" width="3.375" style="173" customWidth="1"/>
    <col min="8194" max="8194" width="2.625" style="173" customWidth="1"/>
    <col min="8195" max="8195" width="14.25" style="173" customWidth="1"/>
    <col min="8196" max="8196" width="1.875" style="173" customWidth="1"/>
    <col min="8197" max="8197" width="16.375" style="173" bestFit="1" customWidth="1"/>
    <col min="8198" max="8198" width="8.875" style="173"/>
    <col min="8199" max="8199" width="2.125" style="173" customWidth="1"/>
    <col min="8200" max="8200" width="12.25" style="173" customWidth="1"/>
    <col min="8201" max="8201" width="2.125" style="173" customWidth="1"/>
    <col min="8202" max="8202" width="10.25" style="173" customWidth="1"/>
    <col min="8203" max="8203" width="3" style="173" customWidth="1"/>
    <col min="8204" max="8204" width="2.25" style="173" customWidth="1"/>
    <col min="8205" max="8448" width="8.875" style="173"/>
    <col min="8449" max="8449" width="3.375" style="173" customWidth="1"/>
    <col min="8450" max="8450" width="2.625" style="173" customWidth="1"/>
    <col min="8451" max="8451" width="14.25" style="173" customWidth="1"/>
    <col min="8452" max="8452" width="1.875" style="173" customWidth="1"/>
    <col min="8453" max="8453" width="16.375" style="173" bestFit="1" customWidth="1"/>
    <col min="8454" max="8454" width="8.875" style="173"/>
    <col min="8455" max="8455" width="2.125" style="173" customWidth="1"/>
    <col min="8456" max="8456" width="12.25" style="173" customWidth="1"/>
    <col min="8457" max="8457" width="2.125" style="173" customWidth="1"/>
    <col min="8458" max="8458" width="10.25" style="173" customWidth="1"/>
    <col min="8459" max="8459" width="3" style="173" customWidth="1"/>
    <col min="8460" max="8460" width="2.25" style="173" customWidth="1"/>
    <col min="8461" max="8704" width="8.875" style="173"/>
    <col min="8705" max="8705" width="3.375" style="173" customWidth="1"/>
    <col min="8706" max="8706" width="2.625" style="173" customWidth="1"/>
    <col min="8707" max="8707" width="14.25" style="173" customWidth="1"/>
    <col min="8708" max="8708" width="1.875" style="173" customWidth="1"/>
    <col min="8709" max="8709" width="16.375" style="173" bestFit="1" customWidth="1"/>
    <col min="8710" max="8710" width="8.875" style="173"/>
    <col min="8711" max="8711" width="2.125" style="173" customWidth="1"/>
    <col min="8712" max="8712" width="12.25" style="173" customWidth="1"/>
    <col min="8713" max="8713" width="2.125" style="173" customWidth="1"/>
    <col min="8714" max="8714" width="10.25" style="173" customWidth="1"/>
    <col min="8715" max="8715" width="3" style="173" customWidth="1"/>
    <col min="8716" max="8716" width="2.25" style="173" customWidth="1"/>
    <col min="8717" max="8960" width="8.875" style="173"/>
    <col min="8961" max="8961" width="3.375" style="173" customWidth="1"/>
    <col min="8962" max="8962" width="2.625" style="173" customWidth="1"/>
    <col min="8963" max="8963" width="14.25" style="173" customWidth="1"/>
    <col min="8964" max="8964" width="1.875" style="173" customWidth="1"/>
    <col min="8965" max="8965" width="16.375" style="173" bestFit="1" customWidth="1"/>
    <col min="8966" max="8966" width="8.875" style="173"/>
    <col min="8967" max="8967" width="2.125" style="173" customWidth="1"/>
    <col min="8968" max="8968" width="12.25" style="173" customWidth="1"/>
    <col min="8969" max="8969" width="2.125" style="173" customWidth="1"/>
    <col min="8970" max="8970" width="10.25" style="173" customWidth="1"/>
    <col min="8971" max="8971" width="3" style="173" customWidth="1"/>
    <col min="8972" max="8972" width="2.25" style="173" customWidth="1"/>
    <col min="8973" max="9216" width="8.875" style="173"/>
    <col min="9217" max="9217" width="3.375" style="173" customWidth="1"/>
    <col min="9218" max="9218" width="2.625" style="173" customWidth="1"/>
    <col min="9219" max="9219" width="14.25" style="173" customWidth="1"/>
    <col min="9220" max="9220" width="1.875" style="173" customWidth="1"/>
    <col min="9221" max="9221" width="16.375" style="173" bestFit="1" customWidth="1"/>
    <col min="9222" max="9222" width="8.875" style="173"/>
    <col min="9223" max="9223" width="2.125" style="173" customWidth="1"/>
    <col min="9224" max="9224" width="12.25" style="173" customWidth="1"/>
    <col min="9225" max="9225" width="2.125" style="173" customWidth="1"/>
    <col min="9226" max="9226" width="10.25" style="173" customWidth="1"/>
    <col min="9227" max="9227" width="3" style="173" customWidth="1"/>
    <col min="9228" max="9228" width="2.25" style="173" customWidth="1"/>
    <col min="9229" max="9472" width="8.875" style="173"/>
    <col min="9473" max="9473" width="3.375" style="173" customWidth="1"/>
    <col min="9474" max="9474" width="2.625" style="173" customWidth="1"/>
    <col min="9475" max="9475" width="14.25" style="173" customWidth="1"/>
    <col min="9476" max="9476" width="1.875" style="173" customWidth="1"/>
    <col min="9477" max="9477" width="16.375" style="173" bestFit="1" customWidth="1"/>
    <col min="9478" max="9478" width="8.875" style="173"/>
    <col min="9479" max="9479" width="2.125" style="173" customWidth="1"/>
    <col min="9480" max="9480" width="12.25" style="173" customWidth="1"/>
    <col min="9481" max="9481" width="2.125" style="173" customWidth="1"/>
    <col min="9482" max="9482" width="10.25" style="173" customWidth="1"/>
    <col min="9483" max="9483" width="3" style="173" customWidth="1"/>
    <col min="9484" max="9484" width="2.25" style="173" customWidth="1"/>
    <col min="9485" max="9728" width="8.875" style="173"/>
    <col min="9729" max="9729" width="3.375" style="173" customWidth="1"/>
    <col min="9730" max="9730" width="2.625" style="173" customWidth="1"/>
    <col min="9731" max="9731" width="14.25" style="173" customWidth="1"/>
    <col min="9732" max="9732" width="1.875" style="173" customWidth="1"/>
    <col min="9733" max="9733" width="16.375" style="173" bestFit="1" customWidth="1"/>
    <col min="9734" max="9734" width="8.875" style="173"/>
    <col min="9735" max="9735" width="2.125" style="173" customWidth="1"/>
    <col min="9736" max="9736" width="12.25" style="173" customWidth="1"/>
    <col min="9737" max="9737" width="2.125" style="173" customWidth="1"/>
    <col min="9738" max="9738" width="10.25" style="173" customWidth="1"/>
    <col min="9739" max="9739" width="3" style="173" customWidth="1"/>
    <col min="9740" max="9740" width="2.25" style="173" customWidth="1"/>
    <col min="9741" max="9984" width="8.875" style="173"/>
    <col min="9985" max="9985" width="3.375" style="173" customWidth="1"/>
    <col min="9986" max="9986" width="2.625" style="173" customWidth="1"/>
    <col min="9987" max="9987" width="14.25" style="173" customWidth="1"/>
    <col min="9988" max="9988" width="1.875" style="173" customWidth="1"/>
    <col min="9989" max="9989" width="16.375" style="173" bestFit="1" customWidth="1"/>
    <col min="9990" max="9990" width="8.875" style="173"/>
    <col min="9991" max="9991" width="2.125" style="173" customWidth="1"/>
    <col min="9992" max="9992" width="12.25" style="173" customWidth="1"/>
    <col min="9993" max="9993" width="2.125" style="173" customWidth="1"/>
    <col min="9994" max="9994" width="10.25" style="173" customWidth="1"/>
    <col min="9995" max="9995" width="3" style="173" customWidth="1"/>
    <col min="9996" max="9996" width="2.25" style="173" customWidth="1"/>
    <col min="9997" max="10240" width="8.875" style="173"/>
    <col min="10241" max="10241" width="3.375" style="173" customWidth="1"/>
    <col min="10242" max="10242" width="2.625" style="173" customWidth="1"/>
    <col min="10243" max="10243" width="14.25" style="173" customWidth="1"/>
    <col min="10244" max="10244" width="1.875" style="173" customWidth="1"/>
    <col min="10245" max="10245" width="16.375" style="173" bestFit="1" customWidth="1"/>
    <col min="10246" max="10246" width="8.875" style="173"/>
    <col min="10247" max="10247" width="2.125" style="173" customWidth="1"/>
    <col min="10248" max="10248" width="12.25" style="173" customWidth="1"/>
    <col min="10249" max="10249" width="2.125" style="173" customWidth="1"/>
    <col min="10250" max="10250" width="10.25" style="173" customWidth="1"/>
    <col min="10251" max="10251" width="3" style="173" customWidth="1"/>
    <col min="10252" max="10252" width="2.25" style="173" customWidth="1"/>
    <col min="10253" max="10496" width="8.875" style="173"/>
    <col min="10497" max="10497" width="3.375" style="173" customWidth="1"/>
    <col min="10498" max="10498" width="2.625" style="173" customWidth="1"/>
    <col min="10499" max="10499" width="14.25" style="173" customWidth="1"/>
    <col min="10500" max="10500" width="1.875" style="173" customWidth="1"/>
    <col min="10501" max="10501" width="16.375" style="173" bestFit="1" customWidth="1"/>
    <col min="10502" max="10502" width="8.875" style="173"/>
    <col min="10503" max="10503" width="2.125" style="173" customWidth="1"/>
    <col min="10504" max="10504" width="12.25" style="173" customWidth="1"/>
    <col min="10505" max="10505" width="2.125" style="173" customWidth="1"/>
    <col min="10506" max="10506" width="10.25" style="173" customWidth="1"/>
    <col min="10507" max="10507" width="3" style="173" customWidth="1"/>
    <col min="10508" max="10508" width="2.25" style="173" customWidth="1"/>
    <col min="10509" max="10752" width="8.875" style="173"/>
    <col min="10753" max="10753" width="3.375" style="173" customWidth="1"/>
    <col min="10754" max="10754" width="2.625" style="173" customWidth="1"/>
    <col min="10755" max="10755" width="14.25" style="173" customWidth="1"/>
    <col min="10756" max="10756" width="1.875" style="173" customWidth="1"/>
    <col min="10757" max="10757" width="16.375" style="173" bestFit="1" customWidth="1"/>
    <col min="10758" max="10758" width="8.875" style="173"/>
    <col min="10759" max="10759" width="2.125" style="173" customWidth="1"/>
    <col min="10760" max="10760" width="12.25" style="173" customWidth="1"/>
    <col min="10761" max="10761" width="2.125" style="173" customWidth="1"/>
    <col min="10762" max="10762" width="10.25" style="173" customWidth="1"/>
    <col min="10763" max="10763" width="3" style="173" customWidth="1"/>
    <col min="10764" max="10764" width="2.25" style="173" customWidth="1"/>
    <col min="10765" max="11008" width="8.875" style="173"/>
    <col min="11009" max="11009" width="3.375" style="173" customWidth="1"/>
    <col min="11010" max="11010" width="2.625" style="173" customWidth="1"/>
    <col min="11011" max="11011" width="14.25" style="173" customWidth="1"/>
    <col min="11012" max="11012" width="1.875" style="173" customWidth="1"/>
    <col min="11013" max="11013" width="16.375" style="173" bestFit="1" customWidth="1"/>
    <col min="11014" max="11014" width="8.875" style="173"/>
    <col min="11015" max="11015" width="2.125" style="173" customWidth="1"/>
    <col min="11016" max="11016" width="12.25" style="173" customWidth="1"/>
    <col min="11017" max="11017" width="2.125" style="173" customWidth="1"/>
    <col min="11018" max="11018" width="10.25" style="173" customWidth="1"/>
    <col min="11019" max="11019" width="3" style="173" customWidth="1"/>
    <col min="11020" max="11020" width="2.25" style="173" customWidth="1"/>
    <col min="11021" max="11264" width="8.875" style="173"/>
    <col min="11265" max="11265" width="3.375" style="173" customWidth="1"/>
    <col min="11266" max="11266" width="2.625" style="173" customWidth="1"/>
    <col min="11267" max="11267" width="14.25" style="173" customWidth="1"/>
    <col min="11268" max="11268" width="1.875" style="173" customWidth="1"/>
    <col min="11269" max="11269" width="16.375" style="173" bestFit="1" customWidth="1"/>
    <col min="11270" max="11270" width="8.875" style="173"/>
    <col min="11271" max="11271" width="2.125" style="173" customWidth="1"/>
    <col min="11272" max="11272" width="12.25" style="173" customWidth="1"/>
    <col min="11273" max="11273" width="2.125" style="173" customWidth="1"/>
    <col min="11274" max="11274" width="10.25" style="173" customWidth="1"/>
    <col min="11275" max="11275" width="3" style="173" customWidth="1"/>
    <col min="11276" max="11276" width="2.25" style="173" customWidth="1"/>
    <col min="11277" max="11520" width="8.875" style="173"/>
    <col min="11521" max="11521" width="3.375" style="173" customWidth="1"/>
    <col min="11522" max="11522" width="2.625" style="173" customWidth="1"/>
    <col min="11523" max="11523" width="14.25" style="173" customWidth="1"/>
    <col min="11524" max="11524" width="1.875" style="173" customWidth="1"/>
    <col min="11525" max="11525" width="16.375" style="173" bestFit="1" customWidth="1"/>
    <col min="11526" max="11526" width="8.875" style="173"/>
    <col min="11527" max="11527" width="2.125" style="173" customWidth="1"/>
    <col min="11528" max="11528" width="12.25" style="173" customWidth="1"/>
    <col min="11529" max="11529" width="2.125" style="173" customWidth="1"/>
    <col min="11530" max="11530" width="10.25" style="173" customWidth="1"/>
    <col min="11531" max="11531" width="3" style="173" customWidth="1"/>
    <col min="11532" max="11532" width="2.25" style="173" customWidth="1"/>
    <col min="11533" max="11776" width="8.875" style="173"/>
    <col min="11777" max="11777" width="3.375" style="173" customWidth="1"/>
    <col min="11778" max="11778" width="2.625" style="173" customWidth="1"/>
    <col min="11779" max="11779" width="14.25" style="173" customWidth="1"/>
    <col min="11780" max="11780" width="1.875" style="173" customWidth="1"/>
    <col min="11781" max="11781" width="16.375" style="173" bestFit="1" customWidth="1"/>
    <col min="11782" max="11782" width="8.875" style="173"/>
    <col min="11783" max="11783" width="2.125" style="173" customWidth="1"/>
    <col min="11784" max="11784" width="12.25" style="173" customWidth="1"/>
    <col min="11785" max="11785" width="2.125" style="173" customWidth="1"/>
    <col min="11786" max="11786" width="10.25" style="173" customWidth="1"/>
    <col min="11787" max="11787" width="3" style="173" customWidth="1"/>
    <col min="11788" max="11788" width="2.25" style="173" customWidth="1"/>
    <col min="11789" max="12032" width="8.875" style="173"/>
    <col min="12033" max="12033" width="3.375" style="173" customWidth="1"/>
    <col min="12034" max="12034" width="2.625" style="173" customWidth="1"/>
    <col min="12035" max="12035" width="14.25" style="173" customWidth="1"/>
    <col min="12036" max="12036" width="1.875" style="173" customWidth="1"/>
    <col min="12037" max="12037" width="16.375" style="173" bestFit="1" customWidth="1"/>
    <col min="12038" max="12038" width="8.875" style="173"/>
    <col min="12039" max="12039" width="2.125" style="173" customWidth="1"/>
    <col min="12040" max="12040" width="12.25" style="173" customWidth="1"/>
    <col min="12041" max="12041" width="2.125" style="173" customWidth="1"/>
    <col min="12042" max="12042" width="10.25" style="173" customWidth="1"/>
    <col min="12043" max="12043" width="3" style="173" customWidth="1"/>
    <col min="12044" max="12044" width="2.25" style="173" customWidth="1"/>
    <col min="12045" max="12288" width="8.875" style="173"/>
    <col min="12289" max="12289" width="3.375" style="173" customWidth="1"/>
    <col min="12290" max="12290" width="2.625" style="173" customWidth="1"/>
    <col min="12291" max="12291" width="14.25" style="173" customWidth="1"/>
    <col min="12292" max="12292" width="1.875" style="173" customWidth="1"/>
    <col min="12293" max="12293" width="16.375" style="173" bestFit="1" customWidth="1"/>
    <col min="12294" max="12294" width="8.875" style="173"/>
    <col min="12295" max="12295" width="2.125" style="173" customWidth="1"/>
    <col min="12296" max="12296" width="12.25" style="173" customWidth="1"/>
    <col min="12297" max="12297" width="2.125" style="173" customWidth="1"/>
    <col min="12298" max="12298" width="10.25" style="173" customWidth="1"/>
    <col min="12299" max="12299" width="3" style="173" customWidth="1"/>
    <col min="12300" max="12300" width="2.25" style="173" customWidth="1"/>
    <col min="12301" max="12544" width="8.875" style="173"/>
    <col min="12545" max="12545" width="3.375" style="173" customWidth="1"/>
    <col min="12546" max="12546" width="2.625" style="173" customWidth="1"/>
    <col min="12547" max="12547" width="14.25" style="173" customWidth="1"/>
    <col min="12548" max="12548" width="1.875" style="173" customWidth="1"/>
    <col min="12549" max="12549" width="16.375" style="173" bestFit="1" customWidth="1"/>
    <col min="12550" max="12550" width="8.875" style="173"/>
    <col min="12551" max="12551" width="2.125" style="173" customWidth="1"/>
    <col min="12552" max="12552" width="12.25" style="173" customWidth="1"/>
    <col min="12553" max="12553" width="2.125" style="173" customWidth="1"/>
    <col min="12554" max="12554" width="10.25" style="173" customWidth="1"/>
    <col min="12555" max="12555" width="3" style="173" customWidth="1"/>
    <col min="12556" max="12556" width="2.25" style="173" customWidth="1"/>
    <col min="12557" max="12800" width="8.875" style="173"/>
    <col min="12801" max="12801" width="3.375" style="173" customWidth="1"/>
    <col min="12802" max="12802" width="2.625" style="173" customWidth="1"/>
    <col min="12803" max="12803" width="14.25" style="173" customWidth="1"/>
    <col min="12804" max="12804" width="1.875" style="173" customWidth="1"/>
    <col min="12805" max="12805" width="16.375" style="173" bestFit="1" customWidth="1"/>
    <col min="12806" max="12806" width="8.875" style="173"/>
    <col min="12807" max="12807" width="2.125" style="173" customWidth="1"/>
    <col min="12808" max="12808" width="12.25" style="173" customWidth="1"/>
    <col min="12809" max="12809" width="2.125" style="173" customWidth="1"/>
    <col min="12810" max="12810" width="10.25" style="173" customWidth="1"/>
    <col min="12811" max="12811" width="3" style="173" customWidth="1"/>
    <col min="12812" max="12812" width="2.25" style="173" customWidth="1"/>
    <col min="12813" max="13056" width="8.875" style="173"/>
    <col min="13057" max="13057" width="3.375" style="173" customWidth="1"/>
    <col min="13058" max="13058" width="2.625" style="173" customWidth="1"/>
    <col min="13059" max="13059" width="14.25" style="173" customWidth="1"/>
    <col min="13060" max="13060" width="1.875" style="173" customWidth="1"/>
    <col min="13061" max="13061" width="16.375" style="173" bestFit="1" customWidth="1"/>
    <col min="13062" max="13062" width="8.875" style="173"/>
    <col min="13063" max="13063" width="2.125" style="173" customWidth="1"/>
    <col min="13064" max="13064" width="12.25" style="173" customWidth="1"/>
    <col min="13065" max="13065" width="2.125" style="173" customWidth="1"/>
    <col min="13066" max="13066" width="10.25" style="173" customWidth="1"/>
    <col min="13067" max="13067" width="3" style="173" customWidth="1"/>
    <col min="13068" max="13068" width="2.25" style="173" customWidth="1"/>
    <col min="13069" max="13312" width="8.875" style="173"/>
    <col min="13313" max="13313" width="3.375" style="173" customWidth="1"/>
    <col min="13314" max="13314" width="2.625" style="173" customWidth="1"/>
    <col min="13315" max="13315" width="14.25" style="173" customWidth="1"/>
    <col min="13316" max="13316" width="1.875" style="173" customWidth="1"/>
    <col min="13317" max="13317" width="16.375" style="173" bestFit="1" customWidth="1"/>
    <col min="13318" max="13318" width="8.875" style="173"/>
    <col min="13319" max="13319" width="2.125" style="173" customWidth="1"/>
    <col min="13320" max="13320" width="12.25" style="173" customWidth="1"/>
    <col min="13321" max="13321" width="2.125" style="173" customWidth="1"/>
    <col min="13322" max="13322" width="10.25" style="173" customWidth="1"/>
    <col min="13323" max="13323" width="3" style="173" customWidth="1"/>
    <col min="13324" max="13324" width="2.25" style="173" customWidth="1"/>
    <col min="13325" max="13568" width="8.875" style="173"/>
    <col min="13569" max="13569" width="3.375" style="173" customWidth="1"/>
    <col min="13570" max="13570" width="2.625" style="173" customWidth="1"/>
    <col min="13571" max="13571" width="14.25" style="173" customWidth="1"/>
    <col min="13572" max="13572" width="1.875" style="173" customWidth="1"/>
    <col min="13573" max="13573" width="16.375" style="173" bestFit="1" customWidth="1"/>
    <col min="13574" max="13574" width="8.875" style="173"/>
    <col min="13575" max="13575" width="2.125" style="173" customWidth="1"/>
    <col min="13576" max="13576" width="12.25" style="173" customWidth="1"/>
    <col min="13577" max="13577" width="2.125" style="173" customWidth="1"/>
    <col min="13578" max="13578" width="10.25" style="173" customWidth="1"/>
    <col min="13579" max="13579" width="3" style="173" customWidth="1"/>
    <col min="13580" max="13580" width="2.25" style="173" customWidth="1"/>
    <col min="13581" max="13824" width="8.875" style="173"/>
    <col min="13825" max="13825" width="3.375" style="173" customWidth="1"/>
    <col min="13826" max="13826" width="2.625" style="173" customWidth="1"/>
    <col min="13827" max="13827" width="14.25" style="173" customWidth="1"/>
    <col min="13828" max="13828" width="1.875" style="173" customWidth="1"/>
    <col min="13829" max="13829" width="16.375" style="173" bestFit="1" customWidth="1"/>
    <col min="13830" max="13830" width="8.875" style="173"/>
    <col min="13831" max="13831" width="2.125" style="173" customWidth="1"/>
    <col min="13832" max="13832" width="12.25" style="173" customWidth="1"/>
    <col min="13833" max="13833" width="2.125" style="173" customWidth="1"/>
    <col min="13834" max="13834" width="10.25" style="173" customWidth="1"/>
    <col min="13835" max="13835" width="3" style="173" customWidth="1"/>
    <col min="13836" max="13836" width="2.25" style="173" customWidth="1"/>
    <col min="13837" max="14080" width="8.875" style="173"/>
    <col min="14081" max="14081" width="3.375" style="173" customWidth="1"/>
    <col min="14082" max="14082" width="2.625" style="173" customWidth="1"/>
    <col min="14083" max="14083" width="14.25" style="173" customWidth="1"/>
    <col min="14084" max="14084" width="1.875" style="173" customWidth="1"/>
    <col min="14085" max="14085" width="16.375" style="173" bestFit="1" customWidth="1"/>
    <col min="14086" max="14086" width="8.875" style="173"/>
    <col min="14087" max="14087" width="2.125" style="173" customWidth="1"/>
    <col min="14088" max="14088" width="12.25" style="173" customWidth="1"/>
    <col min="14089" max="14089" width="2.125" style="173" customWidth="1"/>
    <col min="14090" max="14090" width="10.25" style="173" customWidth="1"/>
    <col min="14091" max="14091" width="3" style="173" customWidth="1"/>
    <col min="14092" max="14092" width="2.25" style="173" customWidth="1"/>
    <col min="14093" max="14336" width="8.875" style="173"/>
    <col min="14337" max="14337" width="3.375" style="173" customWidth="1"/>
    <col min="14338" max="14338" width="2.625" style="173" customWidth="1"/>
    <col min="14339" max="14339" width="14.25" style="173" customWidth="1"/>
    <col min="14340" max="14340" width="1.875" style="173" customWidth="1"/>
    <col min="14341" max="14341" width="16.375" style="173" bestFit="1" customWidth="1"/>
    <col min="14342" max="14342" width="8.875" style="173"/>
    <col min="14343" max="14343" width="2.125" style="173" customWidth="1"/>
    <col min="14344" max="14344" width="12.25" style="173" customWidth="1"/>
    <col min="14345" max="14345" width="2.125" style="173" customWidth="1"/>
    <col min="14346" max="14346" width="10.25" style="173" customWidth="1"/>
    <col min="14347" max="14347" width="3" style="173" customWidth="1"/>
    <col min="14348" max="14348" width="2.25" style="173" customWidth="1"/>
    <col min="14349" max="14592" width="8.875" style="173"/>
    <col min="14593" max="14593" width="3.375" style="173" customWidth="1"/>
    <col min="14594" max="14594" width="2.625" style="173" customWidth="1"/>
    <col min="14595" max="14595" width="14.25" style="173" customWidth="1"/>
    <col min="14596" max="14596" width="1.875" style="173" customWidth="1"/>
    <col min="14597" max="14597" width="16.375" style="173" bestFit="1" customWidth="1"/>
    <col min="14598" max="14598" width="8.875" style="173"/>
    <col min="14599" max="14599" width="2.125" style="173" customWidth="1"/>
    <col min="14600" max="14600" width="12.25" style="173" customWidth="1"/>
    <col min="14601" max="14601" width="2.125" style="173" customWidth="1"/>
    <col min="14602" max="14602" width="10.25" style="173" customWidth="1"/>
    <col min="14603" max="14603" width="3" style="173" customWidth="1"/>
    <col min="14604" max="14604" width="2.25" style="173" customWidth="1"/>
    <col min="14605" max="14848" width="8.875" style="173"/>
    <col min="14849" max="14849" width="3.375" style="173" customWidth="1"/>
    <col min="14850" max="14850" width="2.625" style="173" customWidth="1"/>
    <col min="14851" max="14851" width="14.25" style="173" customWidth="1"/>
    <col min="14852" max="14852" width="1.875" style="173" customWidth="1"/>
    <col min="14853" max="14853" width="16.375" style="173" bestFit="1" customWidth="1"/>
    <col min="14854" max="14854" width="8.875" style="173"/>
    <col min="14855" max="14855" width="2.125" style="173" customWidth="1"/>
    <col min="14856" max="14856" width="12.25" style="173" customWidth="1"/>
    <col min="14857" max="14857" width="2.125" style="173" customWidth="1"/>
    <col min="14858" max="14858" width="10.25" style="173" customWidth="1"/>
    <col min="14859" max="14859" width="3" style="173" customWidth="1"/>
    <col min="14860" max="14860" width="2.25" style="173" customWidth="1"/>
    <col min="14861" max="15104" width="8.875" style="173"/>
    <col min="15105" max="15105" width="3.375" style="173" customWidth="1"/>
    <col min="15106" max="15106" width="2.625" style="173" customWidth="1"/>
    <col min="15107" max="15107" width="14.25" style="173" customWidth="1"/>
    <col min="15108" max="15108" width="1.875" style="173" customWidth="1"/>
    <col min="15109" max="15109" width="16.375" style="173" bestFit="1" customWidth="1"/>
    <col min="15110" max="15110" width="8.875" style="173"/>
    <col min="15111" max="15111" width="2.125" style="173" customWidth="1"/>
    <col min="15112" max="15112" width="12.25" style="173" customWidth="1"/>
    <col min="15113" max="15113" width="2.125" style="173" customWidth="1"/>
    <col min="15114" max="15114" width="10.25" style="173" customWidth="1"/>
    <col min="15115" max="15115" width="3" style="173" customWidth="1"/>
    <col min="15116" max="15116" width="2.25" style="173" customWidth="1"/>
    <col min="15117" max="15360" width="8.875" style="173"/>
    <col min="15361" max="15361" width="3.375" style="173" customWidth="1"/>
    <col min="15362" max="15362" width="2.625" style="173" customWidth="1"/>
    <col min="15363" max="15363" width="14.25" style="173" customWidth="1"/>
    <col min="15364" max="15364" width="1.875" style="173" customWidth="1"/>
    <col min="15365" max="15365" width="16.375" style="173" bestFit="1" customWidth="1"/>
    <col min="15366" max="15366" width="8.875" style="173"/>
    <col min="15367" max="15367" width="2.125" style="173" customWidth="1"/>
    <col min="15368" max="15368" width="12.25" style="173" customWidth="1"/>
    <col min="15369" max="15369" width="2.125" style="173" customWidth="1"/>
    <col min="15370" max="15370" width="10.25" style="173" customWidth="1"/>
    <col min="15371" max="15371" width="3" style="173" customWidth="1"/>
    <col min="15372" max="15372" width="2.25" style="173" customWidth="1"/>
    <col min="15373" max="15616" width="8.875" style="173"/>
    <col min="15617" max="15617" width="3.375" style="173" customWidth="1"/>
    <col min="15618" max="15618" width="2.625" style="173" customWidth="1"/>
    <col min="15619" max="15619" width="14.25" style="173" customWidth="1"/>
    <col min="15620" max="15620" width="1.875" style="173" customWidth="1"/>
    <col min="15621" max="15621" width="16.375" style="173" bestFit="1" customWidth="1"/>
    <col min="15622" max="15622" width="8.875" style="173"/>
    <col min="15623" max="15623" width="2.125" style="173" customWidth="1"/>
    <col min="15624" max="15624" width="12.25" style="173" customWidth="1"/>
    <col min="15625" max="15625" width="2.125" style="173" customWidth="1"/>
    <col min="15626" max="15626" width="10.25" style="173" customWidth="1"/>
    <col min="15627" max="15627" width="3" style="173" customWidth="1"/>
    <col min="15628" max="15628" width="2.25" style="173" customWidth="1"/>
    <col min="15629" max="15872" width="8.875" style="173"/>
    <col min="15873" max="15873" width="3.375" style="173" customWidth="1"/>
    <col min="15874" max="15874" width="2.625" style="173" customWidth="1"/>
    <col min="15875" max="15875" width="14.25" style="173" customWidth="1"/>
    <col min="15876" max="15876" width="1.875" style="173" customWidth="1"/>
    <col min="15877" max="15877" width="16.375" style="173" bestFit="1" customWidth="1"/>
    <col min="15878" max="15878" width="8.875" style="173"/>
    <col min="15879" max="15879" width="2.125" style="173" customWidth="1"/>
    <col min="15880" max="15880" width="12.25" style="173" customWidth="1"/>
    <col min="15881" max="15881" width="2.125" style="173" customWidth="1"/>
    <col min="15882" max="15882" width="10.25" style="173" customWidth="1"/>
    <col min="15883" max="15883" width="3" style="173" customWidth="1"/>
    <col min="15884" max="15884" width="2.25" style="173" customWidth="1"/>
    <col min="15885" max="16128" width="8.875" style="173"/>
    <col min="16129" max="16129" width="3.375" style="173" customWidth="1"/>
    <col min="16130" max="16130" width="2.625" style="173" customWidth="1"/>
    <col min="16131" max="16131" width="14.25" style="173" customWidth="1"/>
    <col min="16132" max="16132" width="1.875" style="173" customWidth="1"/>
    <col min="16133" max="16133" width="16.375" style="173" bestFit="1" customWidth="1"/>
    <col min="16134" max="16134" width="8.875" style="173"/>
    <col min="16135" max="16135" width="2.125" style="173" customWidth="1"/>
    <col min="16136" max="16136" width="12.25" style="173" customWidth="1"/>
    <col min="16137" max="16137" width="2.125" style="173" customWidth="1"/>
    <col min="16138" max="16138" width="10.25" style="173" customWidth="1"/>
    <col min="16139" max="16139" width="3" style="173" customWidth="1"/>
    <col min="16140" max="16140" width="2.25" style="173" customWidth="1"/>
    <col min="16141" max="16384" width="8.875" style="173"/>
  </cols>
  <sheetData>
    <row r="1" spans="2:12" ht="61.9" customHeight="1"/>
    <row r="2" spans="2:12" ht="31.5">
      <c r="B2" s="593" t="s">
        <v>255</v>
      </c>
      <c r="C2" s="593"/>
      <c r="D2" s="593"/>
      <c r="E2" s="593"/>
      <c r="F2" s="593"/>
      <c r="G2" s="593"/>
      <c r="H2" s="593"/>
      <c r="I2" s="593"/>
      <c r="J2" s="593"/>
      <c r="K2" s="174"/>
      <c r="L2" s="174"/>
    </row>
    <row r="3" spans="2:12" s="175" customFormat="1" ht="48.6" customHeight="1"/>
    <row r="4" spans="2:12" s="178" customFormat="1" ht="22.9" customHeight="1">
      <c r="B4" s="176"/>
      <c r="C4" s="177" t="s">
        <v>256</v>
      </c>
      <c r="D4" s="177" t="s">
        <v>257</v>
      </c>
      <c r="E4" s="175" t="e">
        <f>청구서!G3</f>
        <v>#REF!</v>
      </c>
      <c r="F4" s="175"/>
      <c r="G4" s="175"/>
      <c r="H4" s="175"/>
      <c r="I4" s="175"/>
      <c r="J4" s="175"/>
      <c r="K4" s="175"/>
      <c r="L4" s="175"/>
    </row>
    <row r="5" spans="2:12" s="178" customFormat="1" ht="13.5">
      <c r="B5" s="176"/>
      <c r="C5" s="177"/>
      <c r="D5" s="177"/>
      <c r="E5" s="179"/>
      <c r="F5" s="175"/>
      <c r="G5" s="175"/>
      <c r="H5" s="175"/>
      <c r="I5" s="175"/>
      <c r="J5" s="175"/>
      <c r="K5" s="175"/>
      <c r="L5" s="175"/>
    </row>
    <row r="6" spans="2:12" s="175" customFormat="1" ht="13.5">
      <c r="B6" s="594"/>
      <c r="C6" s="594"/>
      <c r="D6" s="594"/>
      <c r="E6" s="594"/>
      <c r="F6" s="594"/>
      <c r="G6" s="594"/>
      <c r="H6" s="594"/>
      <c r="I6" s="594"/>
      <c r="J6" s="594"/>
      <c r="K6" s="180"/>
      <c r="L6" s="180"/>
    </row>
    <row r="7" spans="2:12" s="178" customFormat="1" ht="35.450000000000003" customHeight="1">
      <c r="B7" s="592" t="s">
        <v>258</v>
      </c>
      <c r="C7" s="592"/>
      <c r="D7" s="592"/>
      <c r="E7" s="592"/>
      <c r="F7" s="592"/>
      <c r="G7" s="592"/>
      <c r="H7" s="592"/>
      <c r="I7" s="592"/>
      <c r="J7" s="592"/>
      <c r="K7" s="175"/>
      <c r="L7" s="175"/>
    </row>
    <row r="8" spans="2:12" s="178" customFormat="1" ht="35.450000000000003" customHeight="1">
      <c r="B8" s="592" t="s">
        <v>259</v>
      </c>
      <c r="C8" s="592"/>
      <c r="D8" s="592"/>
      <c r="E8" s="592"/>
      <c r="F8" s="592"/>
      <c r="G8" s="592"/>
      <c r="H8" s="592"/>
      <c r="I8" s="592"/>
      <c r="J8" s="592"/>
      <c r="K8" s="175"/>
      <c r="L8" s="175"/>
    </row>
    <row r="9" spans="2:12" s="178" customFormat="1" ht="35.450000000000003" customHeight="1">
      <c r="B9" s="592" t="s">
        <v>260</v>
      </c>
      <c r="C9" s="592"/>
      <c r="D9" s="592"/>
      <c r="E9" s="592"/>
      <c r="F9" s="592"/>
      <c r="G9" s="592"/>
      <c r="H9" s="592"/>
      <c r="I9" s="592"/>
      <c r="J9" s="592"/>
      <c r="K9" s="175"/>
      <c r="L9" s="175"/>
    </row>
    <row r="10" spans="2:12" s="178" customFormat="1" ht="23.45" customHeight="1">
      <c r="B10" s="592"/>
      <c r="C10" s="592"/>
      <c r="D10" s="592"/>
      <c r="E10" s="592"/>
      <c r="F10" s="592"/>
      <c r="G10" s="592"/>
      <c r="H10" s="592"/>
      <c r="I10" s="592"/>
      <c r="J10" s="592"/>
      <c r="K10" s="175"/>
      <c r="L10" s="175"/>
    </row>
    <row r="11" spans="2:12" s="175" customFormat="1" ht="13.5">
      <c r="B11" s="592"/>
      <c r="C11" s="592"/>
      <c r="D11" s="592"/>
      <c r="E11" s="592"/>
      <c r="F11" s="592"/>
      <c r="G11" s="592"/>
      <c r="H11" s="592"/>
      <c r="I11" s="592"/>
      <c r="J11" s="592"/>
      <c r="K11" s="180"/>
      <c r="L11" s="180"/>
    </row>
    <row r="12" spans="2:12" s="175" customFormat="1" ht="13.5">
      <c r="B12" s="592"/>
      <c r="C12" s="592"/>
      <c r="D12" s="592"/>
      <c r="E12" s="592"/>
      <c r="F12" s="592"/>
      <c r="G12" s="592"/>
      <c r="H12" s="592"/>
      <c r="I12" s="592"/>
      <c r="J12" s="592"/>
      <c r="K12" s="180"/>
      <c r="L12" s="180"/>
    </row>
    <row r="13" spans="2:12" s="175" customFormat="1" ht="13.5">
      <c r="B13" s="592"/>
      <c r="C13" s="592"/>
      <c r="D13" s="592"/>
      <c r="E13" s="592"/>
      <c r="F13" s="592"/>
      <c r="G13" s="592"/>
      <c r="H13" s="592"/>
      <c r="I13" s="592"/>
      <c r="J13" s="592"/>
      <c r="K13" s="180"/>
      <c r="L13" s="180"/>
    </row>
    <row r="14" spans="2:12" s="175" customFormat="1" ht="13.5">
      <c r="B14" s="592"/>
      <c r="C14" s="592"/>
      <c r="D14" s="592"/>
      <c r="E14" s="592"/>
      <c r="F14" s="592"/>
      <c r="G14" s="592"/>
      <c r="H14" s="592"/>
      <c r="I14" s="592"/>
      <c r="J14" s="592"/>
      <c r="K14" s="180"/>
      <c r="L14" s="180"/>
    </row>
    <row r="15" spans="2:12" s="175" customFormat="1" ht="13.5">
      <c r="B15" s="592"/>
      <c r="C15" s="592"/>
      <c r="D15" s="592"/>
      <c r="E15" s="592"/>
      <c r="F15" s="592"/>
      <c r="G15" s="592"/>
      <c r="H15" s="592"/>
      <c r="I15" s="592"/>
      <c r="J15" s="592"/>
      <c r="K15" s="180"/>
      <c r="L15" s="180"/>
    </row>
    <row r="16" spans="2:12" s="175" customFormat="1" ht="13.5">
      <c r="B16" s="592"/>
      <c r="C16" s="592"/>
      <c r="D16" s="592"/>
      <c r="E16" s="592"/>
      <c r="F16" s="592"/>
      <c r="G16" s="592"/>
      <c r="H16" s="592"/>
      <c r="I16" s="592"/>
      <c r="J16" s="592"/>
      <c r="K16" s="180"/>
      <c r="L16" s="180"/>
    </row>
    <row r="17" spans="2:21" s="175" customFormat="1" ht="13.5">
      <c r="B17" s="592"/>
      <c r="C17" s="592"/>
      <c r="D17" s="592"/>
      <c r="E17" s="592"/>
      <c r="F17" s="592"/>
      <c r="G17" s="592"/>
      <c r="H17" s="592"/>
      <c r="I17" s="592"/>
      <c r="J17" s="592"/>
      <c r="K17" s="180"/>
      <c r="L17" s="180"/>
    </row>
    <row r="18" spans="2:21" s="175" customFormat="1" ht="13.5">
      <c r="B18" s="592"/>
      <c r="C18" s="592"/>
      <c r="D18" s="592"/>
      <c r="E18" s="592"/>
      <c r="F18" s="592"/>
      <c r="G18" s="592"/>
      <c r="H18" s="592"/>
      <c r="I18" s="592"/>
      <c r="J18" s="592"/>
      <c r="K18" s="180"/>
      <c r="L18" s="180"/>
      <c r="U18" s="181"/>
    </row>
    <row r="19" spans="2:21" s="175" customFormat="1" ht="13.5">
      <c r="B19" s="592"/>
      <c r="C19" s="592"/>
      <c r="D19" s="592"/>
      <c r="E19" s="592"/>
      <c r="F19" s="592"/>
      <c r="G19" s="592"/>
      <c r="H19" s="592"/>
      <c r="I19" s="592"/>
      <c r="J19" s="592"/>
      <c r="K19" s="180"/>
      <c r="L19" s="180"/>
    </row>
    <row r="20" spans="2:21" s="175" customFormat="1" ht="13.5">
      <c r="B20" s="592"/>
      <c r="C20" s="592"/>
      <c r="D20" s="592"/>
      <c r="E20" s="592"/>
      <c r="F20" s="592"/>
      <c r="G20" s="592"/>
      <c r="H20" s="592"/>
      <c r="I20" s="592"/>
      <c r="J20" s="592"/>
      <c r="K20" s="180"/>
      <c r="L20" s="180"/>
    </row>
    <row r="21" spans="2:21" s="175" customFormat="1" ht="24" customHeight="1">
      <c r="B21" s="596" t="str">
        <f>청구서!A32</f>
        <v>2023 년  02 월      일</v>
      </c>
      <c r="C21" s="596"/>
      <c r="D21" s="596"/>
      <c r="E21" s="596"/>
      <c r="F21" s="596"/>
      <c r="G21" s="596"/>
      <c r="H21" s="596"/>
      <c r="I21" s="596"/>
      <c r="J21" s="596"/>
    </row>
    <row r="22" spans="2:21" s="183" customFormat="1" ht="19.5">
      <c r="C22" s="597"/>
      <c r="D22" s="597"/>
      <c r="E22" s="597"/>
      <c r="F22" s="597"/>
      <c r="G22" s="597"/>
      <c r="H22" s="597"/>
      <c r="I22" s="597"/>
      <c r="J22" s="597"/>
      <c r="K22" s="597"/>
      <c r="L22" s="184"/>
    </row>
    <row r="23" spans="2:21" s="186" customFormat="1" ht="17.25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</row>
    <row r="24" spans="2:21" s="186" customFormat="1" ht="25.15" customHeight="1">
      <c r="F24" s="177" t="s">
        <v>261</v>
      </c>
      <c r="G24" s="182" t="s">
        <v>257</v>
      </c>
      <c r="H24" s="595" t="str">
        <f>청구서!O35</f>
        <v>부강종합건설㈜</v>
      </c>
      <c r="I24" s="595"/>
      <c r="J24" s="595"/>
    </row>
    <row r="25" spans="2:21" s="186" customFormat="1" ht="25.15" customHeight="1">
      <c r="F25" s="177" t="s">
        <v>55</v>
      </c>
      <c r="G25" s="182" t="s">
        <v>257</v>
      </c>
      <c r="H25" s="592" t="str">
        <f>청구서!O36</f>
        <v xml:space="preserve">경남 합천군 </v>
      </c>
      <c r="I25" s="592"/>
      <c r="J25" s="592"/>
    </row>
    <row r="26" spans="2:21" s="186" customFormat="1" ht="25.15" customHeight="1">
      <c r="F26" s="177" t="s">
        <v>262</v>
      </c>
      <c r="G26" s="182" t="s">
        <v>257</v>
      </c>
      <c r="H26" s="187" t="str">
        <f>청구서!O37</f>
        <v>김 0 0</v>
      </c>
      <c r="I26" s="187" t="s">
        <v>263</v>
      </c>
      <c r="J26" s="175"/>
    </row>
    <row r="27" spans="2:21" s="186" customFormat="1" ht="106.15" customHeight="1">
      <c r="B27" s="185"/>
      <c r="C27" s="185"/>
      <c r="D27" s="185"/>
      <c r="E27" s="185"/>
      <c r="F27" s="188"/>
      <c r="G27" s="189"/>
      <c r="H27" s="190"/>
      <c r="I27" s="190"/>
      <c r="J27" s="185"/>
      <c r="K27" s="185"/>
      <c r="L27" s="185"/>
    </row>
    <row r="28" spans="2:21" s="186" customFormat="1" ht="19.5">
      <c r="B28" s="191" t="str">
        <f>청구서!A49</f>
        <v>경상남도교육지원청귀하</v>
      </c>
      <c r="C28" s="191"/>
      <c r="D28" s="191"/>
      <c r="E28" s="191"/>
      <c r="F28" s="191"/>
      <c r="G28" s="191"/>
      <c r="H28" s="191"/>
    </row>
    <row r="108" spans="1:9">
      <c r="A108" s="192"/>
      <c r="I108" s="193"/>
    </row>
    <row r="109" spans="1:9">
      <c r="A109" s="192"/>
      <c r="I109" s="193"/>
    </row>
    <row r="110" spans="1:9">
      <c r="A110" s="194"/>
      <c r="B110" s="195"/>
      <c r="C110" s="195"/>
      <c r="D110" s="195"/>
      <c r="E110" s="195"/>
      <c r="F110" s="195"/>
      <c r="G110" s="195"/>
      <c r="H110" s="195"/>
      <c r="I110" s="196"/>
    </row>
  </sheetData>
  <mergeCells count="20">
    <mergeCell ref="H24:J24"/>
    <mergeCell ref="H25:J25"/>
    <mergeCell ref="B17:J17"/>
    <mergeCell ref="B18:J18"/>
    <mergeCell ref="B19:J19"/>
    <mergeCell ref="B20:J20"/>
    <mergeCell ref="B21:J21"/>
    <mergeCell ref="C22:K22"/>
    <mergeCell ref="B16:J16"/>
    <mergeCell ref="B2:J2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</mergeCells>
  <phoneticPr fontId="4" type="noConversion"/>
  <pageMargins left="1.2204724409448819" right="0.23622047244094488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>
    <tabColor theme="5" tint="0.59999389629810485"/>
  </sheetPr>
  <dimension ref="A1:I110"/>
  <sheetViews>
    <sheetView view="pageBreakPreview" zoomScaleNormal="100" zoomScaleSheetLayoutView="100" workbookViewId="0">
      <selection activeCell="B15" sqref="B15:J15"/>
    </sheetView>
  </sheetViews>
  <sheetFormatPr defaultRowHeight="16.5"/>
  <cols>
    <col min="1" max="1" width="2.125" style="198" customWidth="1"/>
    <col min="2" max="2" width="28.5" style="198" customWidth="1"/>
    <col min="3" max="3" width="53" style="198" customWidth="1"/>
    <col min="4" max="4" width="11.375" style="198" customWidth="1"/>
    <col min="5" max="5" width="1.875" style="198" customWidth="1"/>
    <col min="6" max="16384" width="9" style="198"/>
  </cols>
  <sheetData>
    <row r="1" spans="2:4">
      <c r="B1" s="197" t="s">
        <v>264</v>
      </c>
    </row>
    <row r="2" spans="2:4">
      <c r="B2" s="199" t="s">
        <v>265</v>
      </c>
    </row>
    <row r="3" spans="2:4" ht="34.9" customHeight="1">
      <c r="B3" s="600" t="s">
        <v>266</v>
      </c>
      <c r="C3" s="600"/>
      <c r="D3" s="600"/>
    </row>
    <row r="4" spans="2:4">
      <c r="B4" s="197" t="s">
        <v>265</v>
      </c>
    </row>
    <row r="5" spans="2:4" ht="53.45" customHeight="1">
      <c r="B5" s="601" t="s">
        <v>267</v>
      </c>
      <c r="C5" s="601"/>
      <c r="D5" s="601"/>
    </row>
    <row r="6" spans="2:4" ht="17.25" thickBot="1">
      <c r="B6" s="197" t="s">
        <v>265</v>
      </c>
    </row>
    <row r="7" spans="2:4" ht="27.6" customHeight="1">
      <c r="B7" s="200" t="s">
        <v>268</v>
      </c>
      <c r="C7" s="602" t="str">
        <f>청구서!H24</f>
        <v>농협은행</v>
      </c>
      <c r="D7" s="603"/>
    </row>
    <row r="8" spans="2:4" ht="27.6" customHeight="1">
      <c r="B8" s="201" t="s">
        <v>269</v>
      </c>
      <c r="C8" s="598"/>
      <c r="D8" s="599"/>
    </row>
    <row r="9" spans="2:4" ht="27.6" customHeight="1">
      <c r="B9" s="201" t="s">
        <v>270</v>
      </c>
      <c r="C9" s="598" t="str">
        <f>청구서!I24</f>
        <v>355-0062-3586-33</v>
      </c>
      <c r="D9" s="599"/>
    </row>
    <row r="10" spans="2:4" ht="27.6" customHeight="1">
      <c r="B10" s="201" t="s">
        <v>271</v>
      </c>
      <c r="C10" s="598" t="str">
        <f>청구서!D24</f>
        <v>부강종합건설㈜</v>
      </c>
      <c r="D10" s="599"/>
    </row>
    <row r="11" spans="2:4" ht="27.6" customHeight="1" thickBot="1">
      <c r="B11" s="202" t="s">
        <v>272</v>
      </c>
      <c r="C11" s="604" t="s">
        <v>273</v>
      </c>
      <c r="D11" s="605"/>
    </row>
    <row r="12" spans="2:4" ht="47.45" customHeight="1">
      <c r="B12" s="197" t="s">
        <v>265</v>
      </c>
    </row>
    <row r="13" spans="2:4" ht="30" customHeight="1">
      <c r="B13" s="199" t="s">
        <v>274</v>
      </c>
    </row>
    <row r="14" spans="2:4" ht="30" customHeight="1">
      <c r="B14" s="606" t="s">
        <v>275</v>
      </c>
      <c r="C14" s="606"/>
      <c r="D14" s="606"/>
    </row>
    <row r="15" spans="2:4" ht="30" customHeight="1">
      <c r="B15" s="606" t="s">
        <v>276</v>
      </c>
      <c r="C15" s="606"/>
      <c r="D15" s="606"/>
    </row>
    <row r="16" spans="2:4" ht="31.15" customHeight="1">
      <c r="B16" s="197" t="s">
        <v>265</v>
      </c>
    </row>
    <row r="17" spans="2:4" ht="31.15" customHeight="1">
      <c r="B17" s="607" t="str">
        <f>각서!B21</f>
        <v>2023 년  02 월      일</v>
      </c>
      <c r="C17" s="607"/>
      <c r="D17" s="607"/>
    </row>
    <row r="19" spans="2:4" ht="35.450000000000003" customHeight="1">
      <c r="B19" s="204" t="s">
        <v>217</v>
      </c>
      <c r="C19" s="203" t="str">
        <f>각서!H24</f>
        <v>부강종합건설㈜</v>
      </c>
      <c r="D19" s="203"/>
    </row>
    <row r="20" spans="2:4" ht="35.450000000000003" customHeight="1">
      <c r="B20" s="205" t="s">
        <v>277</v>
      </c>
      <c r="C20" s="203" t="str">
        <f>각서!H25</f>
        <v xml:space="preserve">경남 합천군 </v>
      </c>
      <c r="D20" s="203"/>
    </row>
    <row r="21" spans="2:4" ht="35.450000000000003" customHeight="1">
      <c r="B21" s="204" t="s">
        <v>219</v>
      </c>
      <c r="C21" s="203" t="str">
        <f>각서!H26</f>
        <v>김 0 0</v>
      </c>
      <c r="D21" s="203"/>
    </row>
    <row r="22" spans="2:4" ht="35.450000000000003" customHeight="1">
      <c r="B22" s="601"/>
      <c r="C22" s="601"/>
      <c r="D22" s="601"/>
    </row>
    <row r="23" spans="2:4" ht="35.450000000000003" customHeight="1">
      <c r="B23" s="197"/>
      <c r="C23" s="197"/>
      <c r="D23" s="197"/>
    </row>
    <row r="24" spans="2:4" ht="24" customHeight="1">
      <c r="B24" s="197" t="s">
        <v>265</v>
      </c>
      <c r="D24" s="206" t="s">
        <v>278</v>
      </c>
    </row>
    <row r="25" spans="2:4" ht="56.45" customHeight="1">
      <c r="D25" s="207" t="s">
        <v>265</v>
      </c>
    </row>
    <row r="26" spans="2:4" ht="40.15" customHeight="1"/>
    <row r="27" spans="2:4" ht="27" customHeight="1">
      <c r="B27" s="208" t="str">
        <f>각서!B28</f>
        <v>경상남도교육지원청귀하</v>
      </c>
    </row>
    <row r="28" spans="2:4">
      <c r="B28" s="209" t="s">
        <v>265</v>
      </c>
    </row>
    <row r="108" spans="1:9">
      <c r="A108" s="210"/>
      <c r="I108" s="211"/>
    </row>
    <row r="109" spans="1:9">
      <c r="A109" s="210"/>
      <c r="I109" s="211"/>
    </row>
    <row r="110" spans="1:9">
      <c r="A110" s="212"/>
      <c r="B110" s="213"/>
      <c r="C110" s="213"/>
      <c r="D110" s="213"/>
      <c r="E110" s="213"/>
      <c r="F110" s="213"/>
      <c r="G110" s="213"/>
      <c r="H110" s="213"/>
      <c r="I110" s="214"/>
    </row>
  </sheetData>
  <mergeCells count="11">
    <mergeCell ref="C11:D11"/>
    <mergeCell ref="B14:D14"/>
    <mergeCell ref="B15:D15"/>
    <mergeCell ref="B17:D17"/>
    <mergeCell ref="B22:D22"/>
    <mergeCell ref="C10:D10"/>
    <mergeCell ref="B3:D3"/>
    <mergeCell ref="B5:D5"/>
    <mergeCell ref="C7:D7"/>
    <mergeCell ref="C8:D8"/>
    <mergeCell ref="C9:D9"/>
  </mergeCells>
  <phoneticPr fontId="4" type="noConversion"/>
  <pageMargins left="0.7" right="0.7" top="0.75" bottom="0.75" header="0.3" footer="0.3"/>
  <pageSetup paperSize="9" scale="8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9"/>
  <dimension ref="B1:BA131"/>
  <sheetViews>
    <sheetView showGridLines="0" zoomScaleNormal="100" zoomScaleSheetLayoutView="90" workbookViewId="0">
      <selection activeCell="AB15" sqref="AB15"/>
    </sheetView>
  </sheetViews>
  <sheetFormatPr defaultRowHeight="16.5"/>
  <cols>
    <col min="1" max="1" width="0.875" customWidth="1"/>
    <col min="3" max="4" width="1.125" customWidth="1"/>
    <col min="5" max="6" width="2.125" customWidth="1"/>
    <col min="7" max="7" width="3.875" customWidth="1"/>
    <col min="8" max="8" width="3.125" customWidth="1"/>
    <col min="9" max="9" width="0.5" customWidth="1"/>
    <col min="10" max="11" width="3.125" customWidth="1"/>
    <col min="12" max="12" width="4.875" customWidth="1"/>
    <col min="13" max="13" width="2.125" customWidth="1"/>
    <col min="14" max="18" width="3.125" customWidth="1"/>
    <col min="19" max="22" width="2.125" customWidth="1"/>
    <col min="23" max="23" width="3.5" customWidth="1"/>
    <col min="24" max="37" width="2.125" customWidth="1"/>
    <col min="38" max="38" width="5.625" customWidth="1"/>
    <col min="39" max="41" width="3.5" customWidth="1"/>
    <col min="42" max="42" width="0.875" customWidth="1"/>
    <col min="43" max="43" width="11.875" customWidth="1"/>
    <col min="44" max="49" width="1.125" customWidth="1"/>
    <col min="50" max="50" width="5.375" bestFit="1" customWidth="1"/>
    <col min="51" max="51" width="6" style="23" bestFit="1" customWidth="1"/>
    <col min="52" max="52" width="42.25" customWidth="1"/>
  </cols>
  <sheetData>
    <row r="1" spans="2:53" ht="6.95" customHeight="1"/>
    <row r="2" spans="2:53" ht="30" customHeight="1">
      <c r="B2" s="24"/>
      <c r="C2" s="25"/>
      <c r="D2" s="25"/>
      <c r="E2" s="25"/>
      <c r="F2" s="25"/>
      <c r="G2" s="25"/>
      <c r="H2" s="25"/>
      <c r="I2" s="25"/>
      <c r="J2" s="25"/>
      <c r="K2" s="25"/>
      <c r="L2" s="622" t="s">
        <v>69</v>
      </c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25"/>
      <c r="AK2" s="25"/>
      <c r="AL2" s="25"/>
      <c r="AM2" s="25"/>
      <c r="AN2" s="25"/>
      <c r="AO2" s="25"/>
      <c r="AZ2" s="26" t="e">
        <f>IF(X15&lt;9620,"최저임금 위반, 일당을 올리십시오.","")</f>
        <v>#REF!</v>
      </c>
      <c r="BA2" s="27" t="s">
        <v>172</v>
      </c>
    </row>
    <row r="3" spans="2:53" ht="15" customHeight="1" thickBot="1">
      <c r="B3" s="24"/>
      <c r="C3" s="25"/>
      <c r="D3" s="25"/>
      <c r="E3" s="25"/>
      <c r="F3" s="25"/>
      <c r="G3" s="25"/>
      <c r="H3" s="25"/>
      <c r="I3" s="25"/>
      <c r="J3" s="25"/>
      <c r="K3" s="25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5"/>
      <c r="AK3" s="25"/>
      <c r="AL3" s="25"/>
      <c r="AM3" s="25"/>
      <c r="AN3" s="25"/>
      <c r="AO3" s="25"/>
      <c r="AR3" s="29"/>
    </row>
    <row r="4" spans="2:53" ht="16.5" customHeight="1">
      <c r="B4" s="623" t="s">
        <v>70</v>
      </c>
      <c r="C4" s="624"/>
      <c r="D4" s="624"/>
      <c r="E4" s="624" t="s">
        <v>71</v>
      </c>
      <c r="F4" s="624"/>
      <c r="G4" s="624"/>
      <c r="H4" s="619" t="s">
        <v>169</v>
      </c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0"/>
      <c r="W4" s="620"/>
      <c r="X4" s="620"/>
      <c r="Y4" s="620"/>
      <c r="Z4" s="620"/>
      <c r="AA4" s="627"/>
      <c r="AB4" s="628" t="s">
        <v>72</v>
      </c>
      <c r="AC4" s="629"/>
      <c r="AD4" s="629"/>
      <c r="AE4" s="629"/>
      <c r="AF4" s="629"/>
      <c r="AG4" s="612"/>
      <c r="AH4" s="620" t="s">
        <v>171</v>
      </c>
      <c r="AI4" s="620"/>
      <c r="AJ4" s="620"/>
      <c r="AK4" s="620"/>
      <c r="AL4" s="620"/>
      <c r="AM4" s="620"/>
      <c r="AN4" s="620"/>
      <c r="AO4" s="621"/>
    </row>
    <row r="5" spans="2:53" ht="16.5" customHeight="1">
      <c r="B5" s="625"/>
      <c r="C5" s="626"/>
      <c r="D5" s="626"/>
      <c r="E5" s="626" t="s">
        <v>73</v>
      </c>
      <c r="F5" s="626"/>
      <c r="G5" s="626"/>
      <c r="H5" s="630" t="s">
        <v>170</v>
      </c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  <c r="X5" s="631"/>
      <c r="Y5" s="631"/>
      <c r="Z5" s="631"/>
      <c r="AA5" s="631"/>
      <c r="AB5" s="631"/>
      <c r="AC5" s="631"/>
      <c r="AD5" s="631"/>
      <c r="AE5" s="631"/>
      <c r="AF5" s="631"/>
      <c r="AG5" s="631"/>
      <c r="AH5" s="631"/>
      <c r="AI5" s="631"/>
      <c r="AJ5" s="631"/>
      <c r="AK5" s="631"/>
      <c r="AL5" s="631"/>
      <c r="AM5" s="631"/>
      <c r="AN5" s="631"/>
      <c r="AO5" s="632"/>
    </row>
    <row r="6" spans="2:53" ht="17.25" customHeight="1">
      <c r="B6" s="625" t="s">
        <v>74</v>
      </c>
      <c r="C6" s="626"/>
      <c r="D6" s="626"/>
      <c r="E6" s="626" t="s">
        <v>75</v>
      </c>
      <c r="F6" s="626"/>
      <c r="G6" s="626"/>
      <c r="H6" s="635" t="s">
        <v>175</v>
      </c>
      <c r="I6" s="636"/>
      <c r="J6" s="636"/>
      <c r="K6" s="636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637" t="s">
        <v>0</v>
      </c>
      <c r="X6" s="638"/>
      <c r="Y6" s="638"/>
      <c r="Z6" s="638"/>
      <c r="AA6" s="638"/>
      <c r="AB6" s="630" t="e">
        <f>VLOOKUP(H6,#REF!,2,FALSE)</f>
        <v>#REF!</v>
      </c>
      <c r="AC6" s="631"/>
      <c r="AD6" s="631"/>
      <c r="AE6" s="631"/>
      <c r="AF6" s="631"/>
      <c r="AG6" s="631"/>
      <c r="AH6" s="631"/>
      <c r="AI6" s="631"/>
      <c r="AJ6" s="631"/>
      <c r="AK6" s="631"/>
      <c r="AL6" s="631"/>
      <c r="AM6" s="631"/>
      <c r="AN6" s="631"/>
      <c r="AO6" s="632"/>
    </row>
    <row r="7" spans="2:53" ht="17.25" thickBot="1">
      <c r="B7" s="633"/>
      <c r="C7" s="634"/>
      <c r="D7" s="634"/>
      <c r="E7" s="634" t="s">
        <v>73</v>
      </c>
      <c r="F7" s="634"/>
      <c r="G7" s="634"/>
      <c r="H7" s="639" t="e">
        <f>VLOOKUP(AB6,#REF!,2,FALSE)</f>
        <v>#REF!</v>
      </c>
      <c r="I7" s="640"/>
      <c r="J7" s="640"/>
      <c r="K7" s="640"/>
      <c r="L7" s="640"/>
      <c r="M7" s="640"/>
      <c r="N7" s="640"/>
      <c r="O7" s="640"/>
      <c r="P7" s="640"/>
      <c r="Q7" s="640"/>
      <c r="R7" s="640"/>
      <c r="S7" s="640"/>
      <c r="T7" s="640"/>
      <c r="U7" s="640"/>
      <c r="V7" s="640"/>
      <c r="W7" s="640"/>
      <c r="X7" s="640"/>
      <c r="Y7" s="640"/>
      <c r="Z7" s="640"/>
      <c r="AA7" s="641"/>
      <c r="AB7" s="642" t="s">
        <v>76</v>
      </c>
      <c r="AC7" s="643"/>
      <c r="AD7" s="643"/>
      <c r="AE7" s="643"/>
      <c r="AF7" s="643"/>
      <c r="AG7" s="644"/>
      <c r="AH7" s="639" t="e">
        <f>VLOOKUP(AB6,#REF!,3,FALSE)</f>
        <v>#REF!</v>
      </c>
      <c r="AI7" s="640"/>
      <c r="AJ7" s="640"/>
      <c r="AK7" s="640"/>
      <c r="AL7" s="640"/>
      <c r="AM7" s="640"/>
      <c r="AN7" s="640"/>
      <c r="AO7" s="645"/>
    </row>
    <row r="8" spans="2:53" ht="30" customHeight="1" thickBot="1">
      <c r="B8" s="608" t="s">
        <v>77</v>
      </c>
      <c r="C8" s="609"/>
      <c r="D8" s="609"/>
      <c r="E8" s="609"/>
      <c r="F8" s="609"/>
      <c r="G8" s="609"/>
      <c r="H8" s="609"/>
      <c r="I8" s="609"/>
      <c r="J8" s="609"/>
      <c r="K8" s="609"/>
      <c r="L8" s="609"/>
      <c r="M8" s="609"/>
      <c r="N8" s="609"/>
      <c r="O8" s="609"/>
      <c r="P8" s="609"/>
      <c r="Q8" s="609"/>
      <c r="R8" s="609"/>
      <c r="S8" s="609"/>
      <c r="T8" s="609"/>
      <c r="U8" s="609"/>
      <c r="V8" s="609"/>
      <c r="W8" s="609"/>
      <c r="X8" s="609"/>
      <c r="Y8" s="609"/>
      <c r="Z8" s="609"/>
      <c r="AA8" s="609"/>
      <c r="AB8" s="609"/>
      <c r="AC8" s="609"/>
      <c r="AD8" s="609"/>
      <c r="AE8" s="609"/>
      <c r="AF8" s="609"/>
      <c r="AG8" s="609"/>
      <c r="AH8" s="609"/>
      <c r="AI8" s="609"/>
      <c r="AJ8" s="609"/>
      <c r="AK8" s="609"/>
      <c r="AL8" s="609"/>
      <c r="AM8" s="609"/>
      <c r="AN8" s="609"/>
      <c r="AO8" s="610"/>
    </row>
    <row r="9" spans="2:53">
      <c r="B9" s="611" t="s">
        <v>78</v>
      </c>
      <c r="C9" s="612"/>
      <c r="D9" s="613" t="e">
        <f>#REF!</f>
        <v>#REF!</v>
      </c>
      <c r="E9" s="614"/>
      <c r="F9" s="614"/>
      <c r="G9" s="614"/>
      <c r="H9" s="614"/>
      <c r="I9" s="614"/>
      <c r="J9" s="614"/>
      <c r="K9" s="614"/>
      <c r="L9" s="614"/>
      <c r="M9" s="614"/>
      <c r="N9" s="614"/>
      <c r="O9" s="614"/>
      <c r="P9" s="614"/>
      <c r="Q9" s="614"/>
      <c r="R9" s="614"/>
      <c r="S9" s="614"/>
      <c r="T9" s="614"/>
      <c r="U9" s="614"/>
      <c r="V9" s="614"/>
      <c r="W9" s="614"/>
      <c r="X9" s="614"/>
      <c r="Y9" s="614"/>
      <c r="Z9" s="615"/>
      <c r="AA9" s="616" t="s">
        <v>79</v>
      </c>
      <c r="AB9" s="617"/>
      <c r="AC9" s="617"/>
      <c r="AD9" s="617"/>
      <c r="AE9" s="617"/>
      <c r="AF9" s="617"/>
      <c r="AG9" s="617"/>
      <c r="AH9" s="618"/>
      <c r="AI9" s="619" t="e">
        <f>VLOOKUP(H6,#REF!,52,FALSE)</f>
        <v>#REF!</v>
      </c>
      <c r="AJ9" s="620"/>
      <c r="AK9" s="620"/>
      <c r="AL9" s="620"/>
      <c r="AM9" s="620"/>
      <c r="AN9" s="620"/>
      <c r="AO9" s="621"/>
    </row>
    <row r="10" spans="2:53" ht="15.6" customHeight="1">
      <c r="B10" s="646" t="s">
        <v>80</v>
      </c>
      <c r="C10" s="647"/>
      <c r="D10" s="652" t="e">
        <f>#REF!</f>
        <v>#REF!</v>
      </c>
      <c r="E10" s="653"/>
      <c r="F10" s="653"/>
      <c r="G10" s="653"/>
      <c r="H10" s="654" t="s">
        <v>81</v>
      </c>
      <c r="I10" s="654"/>
      <c r="J10" s="655" t="e">
        <f>#REF!</f>
        <v>#REF!</v>
      </c>
      <c r="K10" s="655"/>
      <c r="L10" s="655"/>
      <c r="M10" s="655"/>
      <c r="N10" s="656" t="s">
        <v>82</v>
      </c>
      <c r="O10" s="656"/>
      <c r="P10" s="656"/>
      <c r="Q10" s="656"/>
      <c r="R10" s="656"/>
      <c r="S10" s="657" t="s">
        <v>161</v>
      </c>
      <c r="T10" s="657"/>
      <c r="U10" s="657"/>
      <c r="V10" s="657"/>
      <c r="W10" s="657"/>
      <c r="X10" s="657"/>
      <c r="Y10" s="657"/>
      <c r="Z10" s="657"/>
      <c r="AA10" s="657"/>
      <c r="AB10" s="657"/>
      <c r="AC10" s="657"/>
      <c r="AD10" s="657"/>
      <c r="AE10" s="657"/>
      <c r="AF10" s="657"/>
      <c r="AG10" s="657"/>
      <c r="AH10" s="657"/>
      <c r="AI10" s="657"/>
      <c r="AJ10" s="657"/>
      <c r="AK10" s="657"/>
      <c r="AL10" s="657"/>
      <c r="AM10" s="657"/>
      <c r="AN10" s="657"/>
      <c r="AO10" s="658"/>
    </row>
    <row r="11" spans="2:53" ht="15.6" customHeight="1">
      <c r="B11" s="648"/>
      <c r="C11" s="649"/>
      <c r="D11" s="662" t="s">
        <v>162</v>
      </c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4"/>
    </row>
    <row r="12" spans="2:53" ht="15.6" customHeight="1">
      <c r="B12" s="648"/>
      <c r="C12" s="649"/>
      <c r="D12" s="665" t="s">
        <v>163</v>
      </c>
      <c r="E12" s="665"/>
      <c r="F12" s="665"/>
      <c r="G12" s="665"/>
      <c r="H12" s="665"/>
      <c r="I12" s="665"/>
      <c r="J12" s="665"/>
      <c r="K12" s="665"/>
      <c r="L12" s="665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  <c r="AB12" s="665"/>
      <c r="AC12" s="665"/>
      <c r="AD12" s="665"/>
      <c r="AE12" s="665"/>
      <c r="AF12" s="665"/>
      <c r="AG12" s="665"/>
      <c r="AH12" s="665"/>
      <c r="AI12" s="665"/>
      <c r="AJ12" s="665"/>
      <c r="AK12" s="665"/>
      <c r="AL12" s="665"/>
      <c r="AM12" s="665"/>
      <c r="AN12" s="665"/>
      <c r="AO12" s="666"/>
    </row>
    <row r="13" spans="2:53" ht="15.6" customHeight="1">
      <c r="B13" s="648"/>
      <c r="C13" s="649"/>
      <c r="D13" s="667" t="s">
        <v>164</v>
      </c>
      <c r="E13" s="665"/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  <c r="AC13" s="665"/>
      <c r="AD13" s="665"/>
      <c r="AE13" s="665"/>
      <c r="AF13" s="665"/>
      <c r="AG13" s="665"/>
      <c r="AH13" s="665"/>
      <c r="AI13" s="665"/>
      <c r="AJ13" s="665"/>
      <c r="AK13" s="665"/>
      <c r="AL13" s="665"/>
      <c r="AM13" s="665"/>
      <c r="AN13" s="665"/>
      <c r="AO13" s="666"/>
    </row>
    <row r="14" spans="2:53">
      <c r="B14" s="650"/>
      <c r="C14" s="651"/>
      <c r="D14" s="668" t="s">
        <v>160</v>
      </c>
      <c r="E14" s="669"/>
      <c r="F14" s="669"/>
      <c r="G14" s="669"/>
      <c r="H14" s="669"/>
      <c r="I14" s="669"/>
      <c r="J14" s="669"/>
      <c r="K14" s="669"/>
      <c r="L14" s="669"/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  <c r="AB14" s="669"/>
      <c r="AC14" s="669"/>
      <c r="AD14" s="669"/>
      <c r="AE14" s="669"/>
      <c r="AF14" s="669"/>
      <c r="AG14" s="669"/>
      <c r="AH14" s="669"/>
      <c r="AI14" s="669"/>
      <c r="AJ14" s="669"/>
      <c r="AK14" s="669"/>
      <c r="AL14" s="669"/>
      <c r="AM14" s="669"/>
      <c r="AN14" s="669"/>
      <c r="AO14" s="670"/>
    </row>
    <row r="15" spans="2:53" ht="15.6" customHeight="1">
      <c r="B15" s="625" t="s">
        <v>83</v>
      </c>
      <c r="C15" s="626"/>
      <c r="D15" s="671" t="s">
        <v>84</v>
      </c>
      <c r="E15" s="671"/>
      <c r="F15" s="671"/>
      <c r="G15" s="671"/>
      <c r="H15" s="671"/>
      <c r="I15" s="671"/>
      <c r="J15" s="671"/>
      <c r="K15" s="671"/>
      <c r="L15" s="671"/>
      <c r="M15" s="671"/>
      <c r="N15" s="671"/>
      <c r="O15" s="672" t="e">
        <f>AD25</f>
        <v>#REF!</v>
      </c>
      <c r="P15" s="672"/>
      <c r="Q15" s="672"/>
      <c r="R15" s="672"/>
      <c r="S15" s="673" t="s">
        <v>85</v>
      </c>
      <c r="T15" s="673"/>
      <c r="U15" s="673"/>
      <c r="V15" s="673"/>
      <c r="W15" s="32" t="s">
        <v>86</v>
      </c>
      <c r="X15" s="672" t="e">
        <f>O15/8</f>
        <v>#REF!</v>
      </c>
      <c r="Y15" s="672"/>
      <c r="Z15" s="672"/>
      <c r="AA15" s="672"/>
      <c r="AB15" s="33" t="s">
        <v>87</v>
      </c>
      <c r="AC15" s="657" t="s">
        <v>88</v>
      </c>
      <c r="AD15" s="657"/>
      <c r="AE15" s="657"/>
      <c r="AF15" s="657"/>
      <c r="AG15" s="657"/>
      <c r="AH15" s="657"/>
      <c r="AI15" s="657"/>
      <c r="AJ15" s="657"/>
      <c r="AK15" s="657"/>
      <c r="AL15" s="657"/>
      <c r="AM15" s="657"/>
      <c r="AN15" s="657"/>
      <c r="AO15" s="658"/>
    </row>
    <row r="16" spans="2:53" ht="15.6" customHeight="1">
      <c r="B16" s="625"/>
      <c r="C16" s="626"/>
      <c r="D16" s="659" t="s">
        <v>89</v>
      </c>
      <c r="E16" s="660"/>
      <c r="F16" s="660"/>
      <c r="G16" s="660"/>
      <c r="H16" s="660"/>
      <c r="I16" s="660"/>
      <c r="J16" s="660"/>
      <c r="K16" s="660"/>
      <c r="L16" s="660"/>
      <c r="M16" s="660"/>
      <c r="N16" s="660"/>
      <c r="O16" s="660"/>
      <c r="P16" s="660"/>
      <c r="Q16" s="660"/>
      <c r="R16" s="660"/>
      <c r="S16" s="660"/>
      <c r="T16" s="660"/>
      <c r="U16" s="660"/>
      <c r="V16" s="660"/>
      <c r="W16" s="660"/>
      <c r="X16" s="660"/>
      <c r="Y16" s="660"/>
      <c r="Z16" s="660"/>
      <c r="AA16" s="660"/>
      <c r="AB16" s="660"/>
      <c r="AC16" s="660"/>
      <c r="AD16" s="660"/>
      <c r="AE16" s="660"/>
      <c r="AF16" s="660"/>
      <c r="AG16" s="660"/>
      <c r="AH16" s="660"/>
      <c r="AI16" s="660"/>
      <c r="AJ16" s="660"/>
      <c r="AK16" s="660"/>
      <c r="AL16" s="660"/>
      <c r="AM16" s="660"/>
      <c r="AN16" s="660"/>
      <c r="AO16" s="661"/>
    </row>
    <row r="17" spans="2:52" ht="15.6" customHeight="1">
      <c r="B17" s="625"/>
      <c r="C17" s="626"/>
      <c r="D17" s="659" t="s">
        <v>90</v>
      </c>
      <c r="E17" s="660"/>
      <c r="F17" s="660"/>
      <c r="G17" s="660"/>
      <c r="H17" s="660"/>
      <c r="I17" s="660"/>
      <c r="J17" s="660"/>
      <c r="K17" s="660"/>
      <c r="L17" s="660"/>
      <c r="M17" s="660"/>
      <c r="N17" s="660"/>
      <c r="O17" s="660"/>
      <c r="P17" s="660"/>
      <c r="Q17" s="660"/>
      <c r="R17" s="660"/>
      <c r="S17" s="660"/>
      <c r="T17" s="660"/>
      <c r="U17" s="660"/>
      <c r="V17" s="660"/>
      <c r="W17" s="660"/>
      <c r="X17" s="660"/>
      <c r="Y17" s="660"/>
      <c r="Z17" s="660"/>
      <c r="AA17" s="660"/>
      <c r="AB17" s="660"/>
      <c r="AC17" s="660"/>
      <c r="AD17" s="660"/>
      <c r="AE17" s="660"/>
      <c r="AF17" s="660"/>
      <c r="AG17" s="660"/>
      <c r="AH17" s="660"/>
      <c r="AI17" s="660"/>
      <c r="AJ17" s="660"/>
      <c r="AK17" s="660"/>
      <c r="AL17" s="660"/>
      <c r="AM17" s="660"/>
      <c r="AN17" s="660"/>
      <c r="AO17" s="661"/>
    </row>
    <row r="18" spans="2:52" ht="15.6" customHeight="1">
      <c r="B18" s="625"/>
      <c r="C18" s="626"/>
      <c r="D18" s="659" t="s">
        <v>91</v>
      </c>
      <c r="E18" s="660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660"/>
      <c r="Q18" s="660"/>
      <c r="R18" s="660"/>
      <c r="S18" s="660"/>
      <c r="T18" s="660"/>
      <c r="U18" s="660"/>
      <c r="V18" s="660"/>
      <c r="W18" s="660"/>
      <c r="X18" s="660"/>
      <c r="Y18" s="660"/>
      <c r="Z18" s="660"/>
      <c r="AA18" s="660"/>
      <c r="AB18" s="660"/>
      <c r="AC18" s="660"/>
      <c r="AD18" s="660"/>
      <c r="AE18" s="660"/>
      <c r="AF18" s="660"/>
      <c r="AG18" s="660"/>
      <c r="AH18" s="660"/>
      <c r="AI18" s="660"/>
      <c r="AJ18" s="660"/>
      <c r="AK18" s="660"/>
      <c r="AL18" s="660"/>
      <c r="AM18" s="660"/>
      <c r="AN18" s="660"/>
      <c r="AO18" s="661"/>
    </row>
    <row r="19" spans="2:52" ht="15.6" customHeight="1">
      <c r="B19" s="625"/>
      <c r="C19" s="626"/>
      <c r="D19" s="659" t="s">
        <v>92</v>
      </c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660"/>
      <c r="AB19" s="660"/>
      <c r="AC19" s="660"/>
      <c r="AD19" s="660"/>
      <c r="AE19" s="660"/>
      <c r="AF19" s="660"/>
      <c r="AG19" s="660"/>
      <c r="AH19" s="660"/>
      <c r="AI19" s="660"/>
      <c r="AJ19" s="660"/>
      <c r="AK19" s="660"/>
      <c r="AL19" s="660"/>
      <c r="AM19" s="660"/>
      <c r="AN19" s="660"/>
      <c r="AO19" s="661"/>
    </row>
    <row r="20" spans="2:52" ht="15.6" customHeight="1">
      <c r="B20" s="625"/>
      <c r="C20" s="626"/>
      <c r="D20" s="659" t="s">
        <v>93</v>
      </c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60"/>
      <c r="AB20" s="660"/>
      <c r="AC20" s="660"/>
      <c r="AD20" s="660"/>
      <c r="AE20" s="660"/>
      <c r="AF20" s="660"/>
      <c r="AG20" s="660"/>
      <c r="AH20" s="660"/>
      <c r="AI20" s="660"/>
      <c r="AJ20" s="660"/>
      <c r="AK20" s="660"/>
      <c r="AL20" s="660"/>
      <c r="AM20" s="660"/>
      <c r="AN20" s="660"/>
      <c r="AO20" s="661"/>
      <c r="AV20" s="34"/>
    </row>
    <row r="21" spans="2:52" ht="15.6" customHeight="1">
      <c r="B21" s="625"/>
      <c r="C21" s="626"/>
      <c r="D21" s="659" t="s">
        <v>94</v>
      </c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0"/>
      <c r="AB21" s="660"/>
      <c r="AC21" s="660"/>
      <c r="AD21" s="660"/>
      <c r="AE21" s="660"/>
      <c r="AF21" s="660"/>
      <c r="AG21" s="660"/>
      <c r="AH21" s="660"/>
      <c r="AI21" s="660"/>
      <c r="AJ21" s="660"/>
      <c r="AK21" s="660"/>
      <c r="AL21" s="660"/>
      <c r="AM21" s="660"/>
      <c r="AN21" s="660"/>
      <c r="AO21" s="661"/>
    </row>
    <row r="22" spans="2:52" ht="15.6" customHeight="1">
      <c r="B22" s="625"/>
      <c r="C22" s="626"/>
      <c r="D22" s="659" t="s">
        <v>95</v>
      </c>
      <c r="E22" s="660"/>
      <c r="F22" s="660"/>
      <c r="G22" s="660"/>
      <c r="H22" s="660"/>
      <c r="I22" s="660"/>
      <c r="J22" s="660"/>
      <c r="K22" s="660"/>
      <c r="L22" s="660"/>
      <c r="M22" s="660"/>
      <c r="N22" s="660"/>
      <c r="O22" s="660"/>
      <c r="P22" s="660"/>
      <c r="Q22" s="660"/>
      <c r="R22" s="660"/>
      <c r="S22" s="660"/>
      <c r="T22" s="660"/>
      <c r="U22" s="660"/>
      <c r="V22" s="660"/>
      <c r="W22" s="660"/>
      <c r="X22" s="660"/>
      <c r="Y22" s="660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1"/>
    </row>
    <row r="23" spans="2:52" ht="15.6" customHeight="1">
      <c r="B23" s="625"/>
      <c r="C23" s="626"/>
      <c r="D23" s="659" t="s">
        <v>149</v>
      </c>
      <c r="E23" s="660"/>
      <c r="F23" s="660"/>
      <c r="G23" s="660"/>
      <c r="H23" s="660"/>
      <c r="I23" s="660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  <c r="AC23" s="660"/>
      <c r="AD23" s="660"/>
      <c r="AE23" s="660"/>
      <c r="AF23" s="660"/>
      <c r="AG23" s="660"/>
      <c r="AH23" s="660"/>
      <c r="AI23" s="711" t="e">
        <f>VLOOKUP(H6,#REF!,32,FALSE)</f>
        <v>#REF!</v>
      </c>
      <c r="AJ23" s="711"/>
      <c r="AK23" s="711"/>
      <c r="AL23" s="711"/>
      <c r="AM23" s="711"/>
      <c r="AN23" s="711"/>
      <c r="AO23" s="712"/>
    </row>
    <row r="24" spans="2:52" ht="15.6" customHeight="1">
      <c r="B24" s="625"/>
      <c r="C24" s="626"/>
      <c r="D24" s="674" t="s">
        <v>150</v>
      </c>
      <c r="E24" s="675"/>
      <c r="F24" s="675"/>
      <c r="G24" s="675"/>
      <c r="H24" s="675"/>
      <c r="I24" s="675"/>
      <c r="J24" s="675"/>
      <c r="K24" s="675"/>
      <c r="L24" s="675"/>
      <c r="M24" s="675"/>
      <c r="N24" s="675"/>
      <c r="O24" s="675"/>
      <c r="P24" s="675"/>
      <c r="Q24" s="675"/>
      <c r="R24" s="675"/>
      <c r="S24" s="675"/>
      <c r="T24" s="675"/>
      <c r="U24" s="675"/>
      <c r="V24" s="675"/>
      <c r="W24" s="675"/>
      <c r="X24" s="675"/>
      <c r="Y24" s="675"/>
      <c r="Z24" s="675"/>
      <c r="AA24" s="675"/>
      <c r="AB24" s="675"/>
      <c r="AC24" s="675"/>
      <c r="AD24" s="675"/>
      <c r="AE24" s="675"/>
      <c r="AF24" s="675"/>
      <c r="AG24" s="675"/>
      <c r="AH24" s="675"/>
      <c r="AI24" s="675"/>
      <c r="AJ24" s="675"/>
      <c r="AK24" s="675"/>
      <c r="AL24" s="675"/>
      <c r="AM24" s="675"/>
      <c r="AN24" s="675"/>
      <c r="AO24" s="676"/>
      <c r="AX24" s="717" t="s">
        <v>147</v>
      </c>
      <c r="AY24" s="717"/>
      <c r="AZ24" s="717"/>
    </row>
    <row r="25" spans="2:52">
      <c r="B25" s="625"/>
      <c r="C25" s="626"/>
      <c r="D25" s="677" t="s">
        <v>151</v>
      </c>
      <c r="E25" s="678"/>
      <c r="F25" s="678"/>
      <c r="G25" s="683" t="s">
        <v>96</v>
      </c>
      <c r="H25" s="684"/>
      <c r="I25" s="684"/>
      <c r="J25" s="684"/>
      <c r="K25" s="684"/>
      <c r="L25" s="685"/>
      <c r="M25" s="686">
        <v>40</v>
      </c>
      <c r="N25" s="687"/>
      <c r="O25" s="687"/>
      <c r="P25" s="688" t="s">
        <v>97</v>
      </c>
      <c r="Q25" s="688"/>
      <c r="R25" s="689" t="s">
        <v>98</v>
      </c>
      <c r="S25" s="690"/>
      <c r="T25" s="690"/>
      <c r="U25" s="691"/>
      <c r="V25" s="692">
        <f>8*5*4.345</f>
        <v>173.79999999999998</v>
      </c>
      <c r="W25" s="692"/>
      <c r="X25" s="688" t="s">
        <v>99</v>
      </c>
      <c r="Y25" s="688"/>
      <c r="Z25" s="688"/>
      <c r="AA25" s="693">
        <f t="shared" ref="AA25:AA30" si="0">V25/($V$25+$V$26+$V$27+$V$28+$V$29+$V$30)*100</f>
        <v>58.563871011220812</v>
      </c>
      <c r="AB25" s="692"/>
      <c r="AC25" s="35" t="s">
        <v>100</v>
      </c>
      <c r="AD25" s="694" t="e">
        <f t="shared" ref="AD25:AD30" si="1">ROUND($AI$23*AA25%,-1)</f>
        <v>#REF!</v>
      </c>
      <c r="AE25" s="695"/>
      <c r="AF25" s="695"/>
      <c r="AG25" s="695"/>
      <c r="AH25" s="695"/>
      <c r="AI25" s="695"/>
      <c r="AJ25" s="695"/>
      <c r="AK25" s="36" t="s">
        <v>101</v>
      </c>
      <c r="AL25" s="696"/>
      <c r="AM25" s="697"/>
      <c r="AN25" s="697"/>
      <c r="AO25" s="698"/>
      <c r="AX25" s="43" t="s">
        <v>103</v>
      </c>
      <c r="AY25" s="44">
        <v>3</v>
      </c>
      <c r="AZ25" s="45" t="s">
        <v>146</v>
      </c>
    </row>
    <row r="26" spans="2:52">
      <c r="B26" s="625"/>
      <c r="C26" s="626"/>
      <c r="D26" s="679"/>
      <c r="E26" s="680"/>
      <c r="F26" s="680"/>
      <c r="G26" s="683" t="s">
        <v>102</v>
      </c>
      <c r="H26" s="684"/>
      <c r="I26" s="684"/>
      <c r="J26" s="684"/>
      <c r="K26" s="684"/>
      <c r="L26" s="685"/>
      <c r="M26" s="718">
        <v>12</v>
      </c>
      <c r="N26" s="719"/>
      <c r="O26" s="719"/>
      <c r="P26" s="706" t="s">
        <v>97</v>
      </c>
      <c r="Q26" s="706"/>
      <c r="R26" s="707" t="s">
        <v>98</v>
      </c>
      <c r="S26" s="708"/>
      <c r="T26" s="708"/>
      <c r="U26" s="709"/>
      <c r="V26" s="710">
        <f>M26*4.345*1.5</f>
        <v>78.210000000000008</v>
      </c>
      <c r="W26" s="710"/>
      <c r="X26" s="706" t="s">
        <v>99</v>
      </c>
      <c r="Y26" s="706"/>
      <c r="Z26" s="706"/>
      <c r="AA26" s="693">
        <f t="shared" si="0"/>
        <v>26.353741955049369</v>
      </c>
      <c r="AB26" s="692"/>
      <c r="AC26" s="37" t="s">
        <v>100</v>
      </c>
      <c r="AD26" s="694" t="e">
        <f t="shared" si="1"/>
        <v>#REF!</v>
      </c>
      <c r="AE26" s="695"/>
      <c r="AF26" s="695"/>
      <c r="AG26" s="695"/>
      <c r="AH26" s="695"/>
      <c r="AI26" s="695"/>
      <c r="AJ26" s="695"/>
      <c r="AK26" s="38" t="s">
        <v>101</v>
      </c>
      <c r="AL26" s="699"/>
      <c r="AM26" s="700"/>
      <c r="AN26" s="700"/>
      <c r="AO26" s="701"/>
      <c r="AX26" s="46" t="s">
        <v>67</v>
      </c>
      <c r="AY26" s="47" t="s">
        <v>109</v>
      </c>
      <c r="AZ26" s="48"/>
    </row>
    <row r="27" spans="2:52">
      <c r="B27" s="625"/>
      <c r="C27" s="626"/>
      <c r="D27" s="679"/>
      <c r="E27" s="680"/>
      <c r="F27" s="680"/>
      <c r="G27" s="683" t="s">
        <v>104</v>
      </c>
      <c r="H27" s="684"/>
      <c r="I27" s="684"/>
      <c r="J27" s="684"/>
      <c r="K27" s="684"/>
      <c r="L27" s="685"/>
      <c r="M27" s="718">
        <v>8</v>
      </c>
      <c r="N27" s="719"/>
      <c r="O27" s="719"/>
      <c r="P27" s="706" t="s">
        <v>97</v>
      </c>
      <c r="Q27" s="706"/>
      <c r="R27" s="707" t="s">
        <v>98</v>
      </c>
      <c r="S27" s="708"/>
      <c r="T27" s="708"/>
      <c r="U27" s="709"/>
      <c r="V27" s="710">
        <f>8*4.345</f>
        <v>34.76</v>
      </c>
      <c r="W27" s="710"/>
      <c r="X27" s="706" t="s">
        <v>99</v>
      </c>
      <c r="Y27" s="706"/>
      <c r="Z27" s="706"/>
      <c r="AA27" s="693">
        <f t="shared" si="0"/>
        <v>11.712774202244162</v>
      </c>
      <c r="AB27" s="692"/>
      <c r="AC27" s="37" t="s">
        <v>100</v>
      </c>
      <c r="AD27" s="694" t="e">
        <f t="shared" si="1"/>
        <v>#REF!</v>
      </c>
      <c r="AE27" s="695"/>
      <c r="AF27" s="695"/>
      <c r="AG27" s="695"/>
      <c r="AH27" s="695"/>
      <c r="AI27" s="695"/>
      <c r="AJ27" s="695"/>
      <c r="AK27" s="38" t="s">
        <v>101</v>
      </c>
      <c r="AL27" s="699"/>
      <c r="AM27" s="700"/>
      <c r="AN27" s="700"/>
      <c r="AO27" s="701"/>
      <c r="AX27" s="46" t="s">
        <v>57</v>
      </c>
      <c r="AY27" s="47">
        <v>1</v>
      </c>
      <c r="AZ27" s="48" t="s">
        <v>140</v>
      </c>
    </row>
    <row r="28" spans="2:52">
      <c r="B28" s="625"/>
      <c r="C28" s="626"/>
      <c r="D28" s="679"/>
      <c r="E28" s="680"/>
      <c r="F28" s="680"/>
      <c r="G28" s="683" t="s">
        <v>105</v>
      </c>
      <c r="H28" s="684"/>
      <c r="I28" s="684"/>
      <c r="J28" s="684"/>
      <c r="K28" s="684"/>
      <c r="L28" s="685"/>
      <c r="M28" s="704">
        <v>0</v>
      </c>
      <c r="N28" s="705"/>
      <c r="O28" s="705"/>
      <c r="P28" s="706" t="s">
        <v>106</v>
      </c>
      <c r="Q28" s="706"/>
      <c r="R28" s="707" t="s">
        <v>107</v>
      </c>
      <c r="S28" s="708"/>
      <c r="T28" s="708"/>
      <c r="U28" s="709"/>
      <c r="V28" s="710">
        <f>M28*8*1.5</f>
        <v>0</v>
      </c>
      <c r="W28" s="710"/>
      <c r="X28" s="706" t="s">
        <v>99</v>
      </c>
      <c r="Y28" s="706"/>
      <c r="Z28" s="706"/>
      <c r="AA28" s="693">
        <f t="shared" si="0"/>
        <v>0</v>
      </c>
      <c r="AB28" s="692"/>
      <c r="AC28" s="37" t="s">
        <v>100</v>
      </c>
      <c r="AD28" s="694" t="e">
        <f t="shared" si="1"/>
        <v>#REF!</v>
      </c>
      <c r="AE28" s="695"/>
      <c r="AF28" s="695"/>
      <c r="AG28" s="695"/>
      <c r="AH28" s="695"/>
      <c r="AI28" s="695"/>
      <c r="AJ28" s="695"/>
      <c r="AK28" s="38" t="s">
        <v>101</v>
      </c>
      <c r="AL28" s="699"/>
      <c r="AM28" s="700"/>
      <c r="AN28" s="700"/>
      <c r="AO28" s="701"/>
      <c r="AX28" s="46" t="s">
        <v>58</v>
      </c>
      <c r="AY28" s="49" t="s">
        <v>109</v>
      </c>
      <c r="AZ28" s="50"/>
    </row>
    <row r="29" spans="2:52">
      <c r="B29" s="625"/>
      <c r="C29" s="626"/>
      <c r="D29" s="679"/>
      <c r="E29" s="680"/>
      <c r="F29" s="680"/>
      <c r="G29" s="683" t="s">
        <v>108</v>
      </c>
      <c r="H29" s="684"/>
      <c r="I29" s="684"/>
      <c r="J29" s="684"/>
      <c r="K29" s="684"/>
      <c r="L29" s="685"/>
      <c r="M29" s="704">
        <v>0</v>
      </c>
      <c r="N29" s="705"/>
      <c r="O29" s="705"/>
      <c r="P29" s="706" t="s">
        <v>106</v>
      </c>
      <c r="Q29" s="706"/>
      <c r="R29" s="707" t="s">
        <v>107</v>
      </c>
      <c r="S29" s="708"/>
      <c r="T29" s="708"/>
      <c r="U29" s="709"/>
      <c r="V29" s="710">
        <f>M29*8*1</f>
        <v>0</v>
      </c>
      <c r="W29" s="710"/>
      <c r="X29" s="706" t="s">
        <v>99</v>
      </c>
      <c r="Y29" s="706"/>
      <c r="Z29" s="706"/>
      <c r="AA29" s="693">
        <f t="shared" si="0"/>
        <v>0</v>
      </c>
      <c r="AB29" s="692"/>
      <c r="AC29" s="37" t="s">
        <v>100</v>
      </c>
      <c r="AD29" s="694" t="e">
        <f t="shared" si="1"/>
        <v>#REF!</v>
      </c>
      <c r="AE29" s="695"/>
      <c r="AF29" s="695"/>
      <c r="AG29" s="695"/>
      <c r="AH29" s="695"/>
      <c r="AI29" s="695"/>
      <c r="AJ29" s="695"/>
      <c r="AK29" s="38" t="s">
        <v>101</v>
      </c>
      <c r="AL29" s="699"/>
      <c r="AM29" s="700"/>
      <c r="AN29" s="700"/>
      <c r="AO29" s="701"/>
      <c r="AX29" s="46" t="s">
        <v>59</v>
      </c>
      <c r="AY29" s="49">
        <v>2</v>
      </c>
      <c r="AZ29" s="48" t="s">
        <v>144</v>
      </c>
    </row>
    <row r="30" spans="2:52">
      <c r="B30" s="625"/>
      <c r="C30" s="626"/>
      <c r="D30" s="681"/>
      <c r="E30" s="682"/>
      <c r="F30" s="682"/>
      <c r="G30" s="683" t="s">
        <v>110</v>
      </c>
      <c r="H30" s="684"/>
      <c r="I30" s="684"/>
      <c r="J30" s="684"/>
      <c r="K30" s="684"/>
      <c r="L30" s="685"/>
      <c r="M30" s="718">
        <v>10</v>
      </c>
      <c r="N30" s="719"/>
      <c r="O30" s="719"/>
      <c r="P30" s="706" t="s">
        <v>97</v>
      </c>
      <c r="Q30" s="706"/>
      <c r="R30" s="707" t="s">
        <v>98</v>
      </c>
      <c r="S30" s="708"/>
      <c r="T30" s="708"/>
      <c r="U30" s="709"/>
      <c r="V30" s="710">
        <v>10</v>
      </c>
      <c r="W30" s="710"/>
      <c r="X30" s="706" t="s">
        <v>99</v>
      </c>
      <c r="Y30" s="706"/>
      <c r="Z30" s="706"/>
      <c r="AA30" s="693">
        <f t="shared" si="0"/>
        <v>3.3696128314856626</v>
      </c>
      <c r="AB30" s="692"/>
      <c r="AC30" s="37" t="s">
        <v>100</v>
      </c>
      <c r="AD30" s="694" t="e">
        <f t="shared" si="1"/>
        <v>#REF!</v>
      </c>
      <c r="AE30" s="695"/>
      <c r="AF30" s="695"/>
      <c r="AG30" s="695"/>
      <c r="AH30" s="695"/>
      <c r="AI30" s="695"/>
      <c r="AJ30" s="695"/>
      <c r="AK30" s="38" t="s">
        <v>101</v>
      </c>
      <c r="AL30" s="702"/>
      <c r="AM30" s="695"/>
      <c r="AN30" s="695"/>
      <c r="AO30" s="703"/>
      <c r="AX30" s="46" t="s">
        <v>60</v>
      </c>
      <c r="AY30" s="49">
        <v>1</v>
      </c>
      <c r="AZ30" s="51" t="s">
        <v>143</v>
      </c>
    </row>
    <row r="31" spans="2:52" ht="15" customHeight="1">
      <c r="B31" s="625"/>
      <c r="C31" s="626"/>
      <c r="D31" s="671" t="s">
        <v>137</v>
      </c>
      <c r="E31" s="657"/>
      <c r="F31" s="657"/>
      <c r="G31" s="657"/>
      <c r="H31" s="657"/>
      <c r="I31" s="657"/>
      <c r="J31" s="657"/>
      <c r="K31" s="657"/>
      <c r="L31" s="657"/>
      <c r="M31" s="657"/>
      <c r="N31" s="657"/>
      <c r="O31" s="657"/>
      <c r="P31" s="657"/>
      <c r="Q31" s="657"/>
      <c r="R31" s="657"/>
      <c r="S31" s="657"/>
      <c r="T31" s="657"/>
      <c r="U31" s="657"/>
      <c r="V31" s="657"/>
      <c r="W31" s="657"/>
      <c r="X31" s="657"/>
      <c r="Y31" s="657"/>
      <c r="Z31" s="657"/>
      <c r="AA31" s="657"/>
      <c r="AB31" s="657"/>
      <c r="AC31" s="657"/>
      <c r="AD31" s="657"/>
      <c r="AE31" s="657"/>
      <c r="AF31" s="657"/>
      <c r="AG31" s="657"/>
      <c r="AH31" s="657"/>
      <c r="AI31" s="657"/>
      <c r="AJ31" s="657"/>
      <c r="AK31" s="657"/>
      <c r="AL31" s="657"/>
      <c r="AM31" s="657"/>
      <c r="AN31" s="657"/>
      <c r="AO31" s="658"/>
      <c r="AX31" s="46" t="s">
        <v>61</v>
      </c>
      <c r="AY31" s="49" t="s">
        <v>109</v>
      </c>
      <c r="AZ31" s="51"/>
    </row>
    <row r="32" spans="2:52" ht="15" customHeight="1">
      <c r="B32" s="625"/>
      <c r="C32" s="626"/>
      <c r="D32" s="691" t="s">
        <v>165</v>
      </c>
      <c r="E32" s="688"/>
      <c r="F32" s="688"/>
      <c r="G32" s="688"/>
      <c r="H32" s="688"/>
      <c r="I32" s="688"/>
      <c r="J32" s="688"/>
      <c r="K32" s="688"/>
      <c r="L32" s="688"/>
      <c r="M32" s="688"/>
      <c r="N32" s="688"/>
      <c r="O32" s="688"/>
      <c r="P32" s="688"/>
      <c r="Q32" s="688"/>
      <c r="R32" s="720" t="s">
        <v>138</v>
      </c>
      <c r="S32" s="720"/>
      <c r="T32" s="720"/>
      <c r="U32" s="720"/>
      <c r="V32" s="720"/>
      <c r="W32" s="720"/>
      <c r="X32" s="720"/>
      <c r="Y32" s="720"/>
      <c r="Z32" s="720"/>
      <c r="AA32" s="721" t="e">
        <f>VLOOKUP(AB6,#REF!,5,FALSE)&amp;"  "&amp;VLOOKUP(AB6,#REF!,6,FALSE)&amp;", 예금주  "&amp;VLOOKUP(AB6,#REF!,7,FALSE)</f>
        <v>#REF!</v>
      </c>
      <c r="AB32" s="721"/>
      <c r="AC32" s="721"/>
      <c r="AD32" s="721"/>
      <c r="AE32" s="721"/>
      <c r="AF32" s="721"/>
      <c r="AG32" s="721"/>
      <c r="AH32" s="721"/>
      <c r="AI32" s="721"/>
      <c r="AJ32" s="721"/>
      <c r="AK32" s="721"/>
      <c r="AL32" s="721"/>
      <c r="AM32" s="721"/>
      <c r="AN32" s="721"/>
      <c r="AO32" s="722"/>
      <c r="AX32" s="46" t="s">
        <v>62</v>
      </c>
      <c r="AY32" s="49">
        <v>1</v>
      </c>
      <c r="AZ32" s="51" t="s">
        <v>148</v>
      </c>
    </row>
    <row r="33" spans="2:52" ht="14.1" customHeight="1">
      <c r="B33" s="646" t="s">
        <v>111</v>
      </c>
      <c r="C33" s="647"/>
      <c r="D33" s="724" t="s">
        <v>154</v>
      </c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  <c r="P33" s="725"/>
      <c r="Q33" s="725"/>
      <c r="R33" s="725"/>
      <c r="S33" s="725"/>
      <c r="T33" s="725"/>
      <c r="U33" s="725"/>
      <c r="V33" s="725"/>
      <c r="W33" s="725"/>
      <c r="X33" s="725"/>
      <c r="Y33" s="725"/>
      <c r="Z33" s="725"/>
      <c r="AA33" s="725"/>
      <c r="AB33" s="725"/>
      <c r="AC33" s="725"/>
      <c r="AD33" s="725"/>
      <c r="AE33" s="725"/>
      <c r="AF33" s="725"/>
      <c r="AG33" s="725"/>
      <c r="AH33" s="725"/>
      <c r="AI33" s="725"/>
      <c r="AJ33" s="725"/>
      <c r="AK33" s="725"/>
      <c r="AL33" s="725"/>
      <c r="AM33" s="725"/>
      <c r="AN33" s="725"/>
      <c r="AO33" s="726"/>
      <c r="AX33" s="46" t="s">
        <v>63</v>
      </c>
      <c r="AY33" s="47" t="s">
        <v>112</v>
      </c>
      <c r="AZ33" s="51" t="s">
        <v>141</v>
      </c>
    </row>
    <row r="34" spans="2:52" ht="14.1" customHeight="1">
      <c r="B34" s="648"/>
      <c r="C34" s="649"/>
      <c r="D34" s="727"/>
      <c r="E34" s="728"/>
      <c r="F34" s="728"/>
      <c r="G34" s="728"/>
      <c r="H34" s="728"/>
      <c r="I34" s="728"/>
      <c r="J34" s="728"/>
      <c r="K34" s="728"/>
      <c r="L34" s="728"/>
      <c r="M34" s="728"/>
      <c r="N34" s="728"/>
      <c r="O34" s="728"/>
      <c r="P34" s="728"/>
      <c r="Q34" s="728"/>
      <c r="R34" s="728"/>
      <c r="S34" s="728"/>
      <c r="T34" s="728"/>
      <c r="U34" s="728"/>
      <c r="V34" s="728"/>
      <c r="W34" s="728"/>
      <c r="X34" s="728"/>
      <c r="Y34" s="728"/>
      <c r="Z34" s="728"/>
      <c r="AA34" s="728"/>
      <c r="AB34" s="728"/>
      <c r="AC34" s="728"/>
      <c r="AD34" s="728"/>
      <c r="AE34" s="728"/>
      <c r="AF34" s="728"/>
      <c r="AG34" s="728"/>
      <c r="AH34" s="728"/>
      <c r="AI34" s="728"/>
      <c r="AJ34" s="728"/>
      <c r="AK34" s="728"/>
      <c r="AL34" s="728"/>
      <c r="AM34" s="728"/>
      <c r="AN34" s="728"/>
      <c r="AO34" s="729"/>
      <c r="AX34" s="46" t="s">
        <v>64</v>
      </c>
      <c r="AY34" s="49">
        <v>3</v>
      </c>
      <c r="AZ34" s="51" t="s">
        <v>145</v>
      </c>
    </row>
    <row r="35" spans="2:52" ht="14.1" customHeight="1">
      <c r="B35" s="648"/>
      <c r="C35" s="649"/>
      <c r="D35" s="727"/>
      <c r="E35" s="728"/>
      <c r="F35" s="728"/>
      <c r="G35" s="728"/>
      <c r="H35" s="728"/>
      <c r="I35" s="728"/>
      <c r="J35" s="728"/>
      <c r="K35" s="728"/>
      <c r="L35" s="728"/>
      <c r="M35" s="728"/>
      <c r="N35" s="728"/>
      <c r="O35" s="728"/>
      <c r="P35" s="728"/>
      <c r="Q35" s="728"/>
      <c r="R35" s="728"/>
      <c r="S35" s="728"/>
      <c r="T35" s="728"/>
      <c r="U35" s="728"/>
      <c r="V35" s="728"/>
      <c r="W35" s="728"/>
      <c r="X35" s="728"/>
      <c r="Y35" s="728"/>
      <c r="Z35" s="728"/>
      <c r="AA35" s="728"/>
      <c r="AB35" s="728"/>
      <c r="AC35" s="728"/>
      <c r="AD35" s="728"/>
      <c r="AE35" s="728"/>
      <c r="AF35" s="728"/>
      <c r="AG35" s="728"/>
      <c r="AH35" s="728"/>
      <c r="AI35" s="728"/>
      <c r="AJ35" s="728"/>
      <c r="AK35" s="728"/>
      <c r="AL35" s="728"/>
      <c r="AM35" s="728"/>
      <c r="AN35" s="728"/>
      <c r="AO35" s="729"/>
      <c r="AX35" s="46" t="s">
        <v>65</v>
      </c>
      <c r="AY35" s="49" t="s">
        <v>109</v>
      </c>
      <c r="AZ35" s="51"/>
    </row>
    <row r="36" spans="2:52" ht="14.1" customHeight="1" thickBot="1">
      <c r="B36" s="650"/>
      <c r="C36" s="651"/>
      <c r="D36" s="730"/>
      <c r="E36" s="731"/>
      <c r="F36" s="731"/>
      <c r="G36" s="731"/>
      <c r="H36" s="731"/>
      <c r="I36" s="731"/>
      <c r="J36" s="731"/>
      <c r="K36" s="731"/>
      <c r="L36" s="731"/>
      <c r="M36" s="731"/>
      <c r="N36" s="731"/>
      <c r="O36" s="731"/>
      <c r="P36" s="731"/>
      <c r="Q36" s="731"/>
      <c r="R36" s="731"/>
      <c r="S36" s="731"/>
      <c r="T36" s="731"/>
      <c r="U36" s="731"/>
      <c r="V36" s="731"/>
      <c r="W36" s="731"/>
      <c r="X36" s="731"/>
      <c r="Y36" s="731"/>
      <c r="Z36" s="731"/>
      <c r="AA36" s="731"/>
      <c r="AB36" s="731"/>
      <c r="AC36" s="731"/>
      <c r="AD36" s="731"/>
      <c r="AE36" s="731"/>
      <c r="AF36" s="731"/>
      <c r="AG36" s="731"/>
      <c r="AH36" s="731"/>
      <c r="AI36" s="731"/>
      <c r="AJ36" s="731"/>
      <c r="AK36" s="731"/>
      <c r="AL36" s="731"/>
      <c r="AM36" s="731"/>
      <c r="AN36" s="731"/>
      <c r="AO36" s="732"/>
      <c r="AX36" s="52" t="s">
        <v>66</v>
      </c>
      <c r="AY36" s="53">
        <v>2</v>
      </c>
      <c r="AZ36" s="54" t="s">
        <v>142</v>
      </c>
    </row>
    <row r="37" spans="2:52" ht="30" customHeight="1" thickTop="1">
      <c r="B37" s="713" t="s">
        <v>113</v>
      </c>
      <c r="C37" s="714"/>
      <c r="D37" s="708" t="s">
        <v>114</v>
      </c>
      <c r="E37" s="708"/>
      <c r="F37" s="708"/>
      <c r="G37" s="708"/>
      <c r="H37" s="70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Y37" s="708"/>
      <c r="Z37" s="708"/>
      <c r="AA37" s="708"/>
      <c r="AB37" s="708"/>
      <c r="AC37" s="708"/>
      <c r="AD37" s="708"/>
      <c r="AE37" s="708"/>
      <c r="AF37" s="708"/>
      <c r="AG37" s="708"/>
      <c r="AH37" s="708"/>
      <c r="AI37" s="708"/>
      <c r="AJ37" s="708"/>
      <c r="AK37" s="708"/>
      <c r="AL37" s="708"/>
      <c r="AM37" s="708"/>
      <c r="AN37" s="708"/>
      <c r="AO37" s="723"/>
      <c r="AX37" s="55" t="s">
        <v>116</v>
      </c>
      <c r="AY37" s="56">
        <f>SUM(AY25:AY36)</f>
        <v>13</v>
      </c>
      <c r="AZ37" s="57"/>
    </row>
    <row r="38" spans="2:52" ht="39.950000000000003" customHeight="1">
      <c r="B38" s="713" t="s">
        <v>115</v>
      </c>
      <c r="C38" s="714"/>
      <c r="D38" s="715" t="s">
        <v>152</v>
      </c>
      <c r="E38" s="715"/>
      <c r="F38" s="715"/>
      <c r="G38" s="715"/>
      <c r="H38" s="715"/>
      <c r="I38" s="715"/>
      <c r="J38" s="715"/>
      <c r="K38" s="715"/>
      <c r="L38" s="715"/>
      <c r="M38" s="715"/>
      <c r="N38" s="715"/>
      <c r="O38" s="715"/>
      <c r="P38" s="715"/>
      <c r="Q38" s="715"/>
      <c r="R38" s="715"/>
      <c r="S38" s="715"/>
      <c r="T38" s="715"/>
      <c r="U38" s="715"/>
      <c r="V38" s="715"/>
      <c r="W38" s="715"/>
      <c r="X38" s="715"/>
      <c r="Y38" s="715"/>
      <c r="Z38" s="715"/>
      <c r="AA38" s="715"/>
      <c r="AB38" s="715"/>
      <c r="AC38" s="715"/>
      <c r="AD38" s="715"/>
      <c r="AE38" s="715"/>
      <c r="AF38" s="715"/>
      <c r="AG38" s="715"/>
      <c r="AH38" s="715"/>
      <c r="AI38" s="715"/>
      <c r="AJ38" s="715"/>
      <c r="AK38" s="715"/>
      <c r="AL38" s="715"/>
      <c r="AM38" s="715"/>
      <c r="AN38" s="715"/>
      <c r="AO38" s="716"/>
      <c r="AX38" s="41"/>
      <c r="AY38" s="42"/>
      <c r="AZ38" s="41"/>
    </row>
    <row r="39" spans="2:52" ht="105" customHeight="1">
      <c r="B39" s="713" t="s">
        <v>117</v>
      </c>
      <c r="C39" s="714"/>
      <c r="D39" s="708" t="s">
        <v>118</v>
      </c>
      <c r="E39" s="708"/>
      <c r="F39" s="708"/>
      <c r="G39" s="708"/>
      <c r="H39" s="70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Y39" s="708"/>
      <c r="Z39" s="708"/>
      <c r="AA39" s="708"/>
      <c r="AB39" s="708"/>
      <c r="AC39" s="708"/>
      <c r="AD39" s="708"/>
      <c r="AE39" s="708"/>
      <c r="AF39" s="708"/>
      <c r="AG39" s="708"/>
      <c r="AH39" s="708"/>
      <c r="AI39" s="708"/>
      <c r="AJ39" s="708"/>
      <c r="AK39" s="708"/>
      <c r="AL39" s="708"/>
      <c r="AM39" s="708"/>
      <c r="AN39" s="708"/>
      <c r="AO39" s="723"/>
    </row>
    <row r="40" spans="2:52" ht="30.75" customHeight="1">
      <c r="B40" s="713" t="s">
        <v>119</v>
      </c>
      <c r="C40" s="714"/>
      <c r="D40" s="708" t="s">
        <v>120</v>
      </c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708"/>
      <c r="AB40" s="708"/>
      <c r="AC40" s="708"/>
      <c r="AD40" s="708"/>
      <c r="AE40" s="708"/>
      <c r="AF40" s="708"/>
      <c r="AG40" s="708"/>
      <c r="AH40" s="708"/>
      <c r="AI40" s="708"/>
      <c r="AJ40" s="708"/>
      <c r="AK40" s="708"/>
      <c r="AL40" s="708"/>
      <c r="AM40" s="708"/>
      <c r="AN40" s="708"/>
      <c r="AO40" s="723"/>
    </row>
    <row r="41" spans="2:52" ht="15.6" customHeight="1">
      <c r="B41" s="646" t="s">
        <v>121</v>
      </c>
      <c r="C41" s="647"/>
      <c r="D41" s="733" t="s">
        <v>122</v>
      </c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3"/>
      <c r="AO41" s="734"/>
    </row>
    <row r="42" spans="2:52" ht="15.6" customHeight="1">
      <c r="B42" s="648"/>
      <c r="C42" s="649"/>
      <c r="D42" s="667" t="s">
        <v>123</v>
      </c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  <c r="AB42" s="665"/>
      <c r="AC42" s="665"/>
      <c r="AD42" s="665"/>
      <c r="AE42" s="665"/>
      <c r="AF42" s="665"/>
      <c r="AG42" s="665"/>
      <c r="AH42" s="665"/>
      <c r="AI42" s="665"/>
      <c r="AJ42" s="665"/>
      <c r="AK42" s="665"/>
      <c r="AL42" s="665"/>
      <c r="AM42" s="665"/>
      <c r="AN42" s="665"/>
      <c r="AO42" s="666"/>
    </row>
    <row r="43" spans="2:52" ht="15.6" customHeight="1">
      <c r="B43" s="648"/>
      <c r="C43" s="649"/>
      <c r="D43" s="659" t="s">
        <v>153</v>
      </c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0"/>
      <c r="P43" s="660"/>
      <c r="Q43" s="660"/>
      <c r="R43" s="660"/>
      <c r="S43" s="660"/>
      <c r="T43" s="660"/>
      <c r="U43" s="660"/>
      <c r="V43" s="660"/>
      <c r="W43" s="660"/>
      <c r="X43" s="660"/>
      <c r="Y43" s="660"/>
      <c r="Z43" s="660"/>
      <c r="AA43" s="660"/>
      <c r="AB43" s="660"/>
      <c r="AC43" s="660"/>
      <c r="AD43" s="660"/>
      <c r="AE43" s="660"/>
      <c r="AF43" s="660"/>
      <c r="AG43" s="660"/>
      <c r="AH43" s="660"/>
      <c r="AI43" s="660"/>
      <c r="AJ43" s="660"/>
      <c r="AK43" s="660"/>
      <c r="AL43" s="660"/>
      <c r="AM43" s="660"/>
      <c r="AN43" s="660"/>
      <c r="AO43" s="661"/>
    </row>
    <row r="44" spans="2:52">
      <c r="B44" s="650"/>
      <c r="C44" s="651"/>
      <c r="D44" s="735" t="s">
        <v>156</v>
      </c>
      <c r="E44" s="736"/>
      <c r="F44" s="736"/>
      <c r="G44" s="736"/>
      <c r="H44" s="736"/>
      <c r="I44" s="736"/>
      <c r="J44" s="736"/>
      <c r="K44" s="736"/>
      <c r="L44" s="736"/>
      <c r="M44" s="736"/>
      <c r="N44" s="736"/>
      <c r="O44" s="736"/>
      <c r="P44" s="736"/>
      <c r="Q44" s="736"/>
      <c r="R44" s="736"/>
      <c r="S44" s="736"/>
      <c r="T44" s="736"/>
      <c r="U44" s="736"/>
      <c r="V44" s="736"/>
      <c r="W44" s="736"/>
      <c r="X44" s="736"/>
      <c r="Y44" s="736"/>
      <c r="Z44" s="736"/>
      <c r="AA44" s="736"/>
      <c r="AB44" s="736"/>
      <c r="AC44" s="736"/>
      <c r="AD44" s="736"/>
      <c r="AE44" s="736"/>
      <c r="AF44" s="736"/>
      <c r="AG44" s="736"/>
      <c r="AH44" s="736"/>
      <c r="AI44" s="736"/>
      <c r="AJ44" s="736"/>
      <c r="AK44" s="736"/>
      <c r="AL44" s="736"/>
      <c r="AM44" s="736"/>
      <c r="AN44" s="736"/>
      <c r="AO44" s="737"/>
    </row>
    <row r="45" spans="2:52" ht="15" customHeight="1">
      <c r="B45" s="646" t="s">
        <v>124</v>
      </c>
      <c r="C45" s="647"/>
      <c r="D45" s="708" t="s">
        <v>125</v>
      </c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708"/>
      <c r="AB45" s="708"/>
      <c r="AC45" s="708"/>
      <c r="AD45" s="708"/>
      <c r="AE45" s="708"/>
      <c r="AF45" s="708"/>
      <c r="AG45" s="708"/>
      <c r="AH45" s="708"/>
      <c r="AI45" s="708"/>
      <c r="AJ45" s="708"/>
      <c r="AK45" s="708"/>
      <c r="AL45" s="708"/>
      <c r="AM45" s="708"/>
      <c r="AN45" s="708"/>
      <c r="AO45" s="723"/>
    </row>
    <row r="46" spans="2:52">
      <c r="B46" s="648"/>
      <c r="C46" s="649"/>
      <c r="D46" s="741" t="s">
        <v>126</v>
      </c>
      <c r="E46" s="742"/>
      <c r="F46" s="742"/>
      <c r="G46" s="742"/>
      <c r="H46" s="742"/>
      <c r="I46" s="742"/>
      <c r="J46" s="742"/>
      <c r="K46" s="742" t="s">
        <v>127</v>
      </c>
      <c r="L46" s="742"/>
      <c r="M46" s="742"/>
      <c r="N46" s="742"/>
      <c r="O46" s="742"/>
      <c r="P46" s="742"/>
      <c r="Q46" s="742"/>
      <c r="R46" s="742" t="s">
        <v>128</v>
      </c>
      <c r="S46" s="742"/>
      <c r="T46" s="742"/>
      <c r="U46" s="742"/>
      <c r="V46" s="742"/>
      <c r="W46" s="742"/>
      <c r="X46" s="742"/>
      <c r="Y46" s="742"/>
      <c r="Z46" s="742" t="s">
        <v>129</v>
      </c>
      <c r="AA46" s="742"/>
      <c r="AB46" s="742"/>
      <c r="AC46" s="742"/>
      <c r="AD46" s="742"/>
      <c r="AE46" s="742"/>
      <c r="AF46" s="742"/>
      <c r="AG46" s="742"/>
      <c r="AH46" s="742" t="s">
        <v>130</v>
      </c>
      <c r="AI46" s="742"/>
      <c r="AJ46" s="742"/>
      <c r="AK46" s="742"/>
      <c r="AL46" s="742"/>
      <c r="AM46" s="742" t="s">
        <v>131</v>
      </c>
      <c r="AN46" s="742"/>
      <c r="AO46" s="753"/>
    </row>
    <row r="47" spans="2:52">
      <c r="B47" s="648"/>
      <c r="C47" s="649"/>
      <c r="D47" s="754" t="s">
        <v>15</v>
      </c>
      <c r="E47" s="755"/>
      <c r="F47" s="755"/>
      <c r="G47" s="755"/>
      <c r="H47" s="755"/>
      <c r="I47" s="755"/>
      <c r="J47" s="755"/>
      <c r="K47" s="756" t="s">
        <v>15</v>
      </c>
      <c r="L47" s="756"/>
      <c r="M47" s="756"/>
      <c r="N47" s="756"/>
      <c r="O47" s="756"/>
      <c r="P47" s="756"/>
      <c r="Q47" s="756"/>
      <c r="R47" s="756" t="s">
        <v>15</v>
      </c>
      <c r="S47" s="756"/>
      <c r="T47" s="756"/>
      <c r="U47" s="756"/>
      <c r="V47" s="756"/>
      <c r="W47" s="756"/>
      <c r="X47" s="756"/>
      <c r="Y47" s="756"/>
      <c r="Z47" s="756" t="s">
        <v>15</v>
      </c>
      <c r="AA47" s="756"/>
      <c r="AB47" s="756"/>
      <c r="AC47" s="756"/>
      <c r="AD47" s="756"/>
      <c r="AE47" s="756"/>
      <c r="AF47" s="756"/>
      <c r="AG47" s="756"/>
      <c r="AH47" s="756" t="s">
        <v>15</v>
      </c>
      <c r="AI47" s="756"/>
      <c r="AJ47" s="756"/>
      <c r="AK47" s="756"/>
      <c r="AL47" s="756"/>
      <c r="AM47" s="756" t="s">
        <v>15</v>
      </c>
      <c r="AN47" s="756"/>
      <c r="AO47" s="757"/>
    </row>
    <row r="48" spans="2:52" ht="15.6" customHeight="1">
      <c r="B48" s="648"/>
      <c r="C48" s="738"/>
      <c r="D48" s="733" t="s">
        <v>132</v>
      </c>
      <c r="E48" s="733"/>
      <c r="F48" s="733"/>
      <c r="G48" s="733"/>
      <c r="H48" s="733"/>
      <c r="I48" s="733"/>
      <c r="J48" s="733"/>
      <c r="K48" s="733"/>
      <c r="L48" s="733"/>
      <c r="M48" s="733"/>
      <c r="N48" s="733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  <c r="Z48" s="733"/>
      <c r="AA48" s="733"/>
      <c r="AB48" s="733"/>
      <c r="AC48" s="733"/>
      <c r="AD48" s="733"/>
      <c r="AE48" s="733"/>
      <c r="AF48" s="733"/>
      <c r="AG48" s="733"/>
      <c r="AH48" s="733"/>
      <c r="AI48" s="733"/>
      <c r="AJ48" s="733"/>
      <c r="AK48" s="733"/>
      <c r="AL48" s="733"/>
      <c r="AM48" s="733"/>
      <c r="AN48" s="733"/>
      <c r="AO48" s="734"/>
    </row>
    <row r="49" spans="2:41" ht="15.6" customHeight="1">
      <c r="B49" s="648"/>
      <c r="C49" s="738"/>
      <c r="D49" s="659" t="s">
        <v>157</v>
      </c>
      <c r="E49" s="660"/>
      <c r="F49" s="660"/>
      <c r="G49" s="660"/>
      <c r="H49" s="660"/>
      <c r="I49" s="660"/>
      <c r="J49" s="660"/>
      <c r="K49" s="660"/>
      <c r="L49" s="660"/>
      <c r="M49" s="660"/>
      <c r="N49" s="660"/>
      <c r="O49" s="660"/>
      <c r="P49" s="660"/>
      <c r="Q49" s="660"/>
      <c r="R49" s="660"/>
      <c r="S49" s="660"/>
      <c r="T49" s="660"/>
      <c r="U49" s="660"/>
      <c r="V49" s="660"/>
      <c r="W49" s="660"/>
      <c r="X49" s="660"/>
      <c r="Y49" s="660"/>
      <c r="Z49" s="660"/>
      <c r="AA49" s="660"/>
      <c r="AB49" s="660"/>
      <c r="AC49" s="660"/>
      <c r="AD49" s="660"/>
      <c r="AE49" s="660"/>
      <c r="AF49" s="660"/>
      <c r="AG49" s="660"/>
      <c r="AH49" s="660"/>
      <c r="AI49" s="660"/>
      <c r="AJ49" s="660"/>
      <c r="AK49" s="660"/>
      <c r="AL49" s="660"/>
      <c r="AM49" s="660"/>
      <c r="AN49" s="660"/>
      <c r="AO49" s="661"/>
    </row>
    <row r="50" spans="2:41" ht="15.6" customHeight="1">
      <c r="B50" s="648"/>
      <c r="C50" s="738"/>
      <c r="D50" s="691" t="s">
        <v>158</v>
      </c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8"/>
      <c r="P50" s="688"/>
      <c r="Q50" s="688"/>
      <c r="R50" s="688"/>
      <c r="S50" s="688"/>
      <c r="T50" s="688"/>
      <c r="U50" s="688"/>
      <c r="V50" s="688"/>
      <c r="W50" s="688"/>
      <c r="X50" s="688"/>
      <c r="Y50" s="688"/>
      <c r="Z50" s="688"/>
      <c r="AA50" s="688"/>
      <c r="AB50" s="688"/>
      <c r="AC50" s="688"/>
      <c r="AD50" s="688"/>
      <c r="AE50" s="688"/>
      <c r="AF50" s="688"/>
      <c r="AG50" s="688"/>
      <c r="AH50" s="688"/>
      <c r="AI50" s="688"/>
      <c r="AJ50" s="688"/>
      <c r="AK50" s="688"/>
      <c r="AL50" s="688"/>
      <c r="AM50" s="688"/>
      <c r="AN50" s="688"/>
      <c r="AO50" s="743"/>
    </row>
    <row r="51" spans="2:41" ht="24.95" customHeight="1" thickBot="1">
      <c r="B51" s="739"/>
      <c r="C51" s="740"/>
      <c r="D51" s="744" t="s">
        <v>155</v>
      </c>
      <c r="E51" s="744"/>
      <c r="F51" s="744"/>
      <c r="G51" s="744"/>
      <c r="H51" s="744"/>
      <c r="I51" s="744"/>
      <c r="J51" s="744"/>
      <c r="K51" s="744"/>
      <c r="L51" s="744"/>
      <c r="M51" s="744"/>
      <c r="N51" s="744"/>
      <c r="O51" s="744"/>
      <c r="P51" s="744"/>
      <c r="Q51" s="744"/>
      <c r="R51" s="744"/>
      <c r="S51" s="744"/>
      <c r="T51" s="744"/>
      <c r="U51" s="744"/>
      <c r="V51" s="744"/>
      <c r="W51" s="744"/>
      <c r="X51" s="744"/>
      <c r="Y51" s="744"/>
      <c r="Z51" s="744"/>
      <c r="AA51" s="744"/>
      <c r="AB51" s="744"/>
      <c r="AC51" s="744"/>
      <c r="AD51" s="744"/>
      <c r="AE51" s="744"/>
      <c r="AF51" s="744"/>
      <c r="AG51" s="744"/>
      <c r="AH51" s="744"/>
      <c r="AI51" s="744"/>
      <c r="AJ51" s="744"/>
      <c r="AK51" s="744"/>
      <c r="AL51" s="744"/>
      <c r="AM51" s="744"/>
      <c r="AN51" s="744"/>
      <c r="AO51" s="745"/>
    </row>
    <row r="52" spans="2:41">
      <c r="B52" s="746" t="s">
        <v>139</v>
      </c>
      <c r="C52" s="747"/>
      <c r="D52" s="747"/>
      <c r="E52" s="747"/>
      <c r="F52" s="747"/>
      <c r="G52" s="747"/>
      <c r="H52" s="747"/>
      <c r="I52" s="747"/>
      <c r="J52" s="747"/>
      <c r="K52" s="747"/>
      <c r="L52" s="747"/>
      <c r="M52" s="747"/>
      <c r="N52" s="747"/>
      <c r="O52" s="747"/>
      <c r="P52" s="747"/>
      <c r="Q52" s="747"/>
      <c r="R52" s="747"/>
      <c r="S52" s="747"/>
      <c r="T52" s="747"/>
      <c r="U52" s="747"/>
      <c r="V52" s="747"/>
      <c r="W52" s="747"/>
      <c r="X52" s="747"/>
      <c r="Y52" s="747"/>
      <c r="Z52" s="747"/>
      <c r="AA52" s="747"/>
      <c r="AB52" s="747"/>
      <c r="AC52" s="747"/>
      <c r="AD52" s="747"/>
      <c r="AE52" s="747"/>
      <c r="AF52" s="747"/>
      <c r="AG52" s="747"/>
      <c r="AH52" s="747"/>
      <c r="AI52" s="747"/>
      <c r="AJ52" s="747"/>
      <c r="AK52" s="747"/>
      <c r="AL52" s="747"/>
      <c r="AM52" s="747"/>
      <c r="AN52" s="747"/>
      <c r="AO52" s="748"/>
    </row>
    <row r="53" spans="2:41" ht="14.1" customHeight="1">
      <c r="B53" s="749" t="s">
        <v>159</v>
      </c>
      <c r="C53" s="750"/>
      <c r="D53" s="750"/>
      <c r="E53" s="750"/>
      <c r="F53" s="750"/>
      <c r="G53" s="750"/>
      <c r="H53" s="750"/>
      <c r="I53" s="750"/>
      <c r="J53" s="750"/>
      <c r="K53" s="750"/>
      <c r="L53" s="750"/>
      <c r="M53" s="750"/>
      <c r="N53" s="750"/>
      <c r="O53" s="750"/>
      <c r="P53" s="750"/>
      <c r="Q53" s="750"/>
      <c r="R53" s="750"/>
      <c r="S53" s="750"/>
      <c r="T53" s="750"/>
      <c r="U53" s="751" t="s">
        <v>133</v>
      </c>
      <c r="V53" s="751"/>
      <c r="W53" s="751"/>
      <c r="X53" s="751"/>
      <c r="Y53" s="751"/>
      <c r="Z53" s="751"/>
      <c r="AA53" s="751"/>
      <c r="AB53" s="751"/>
      <c r="AC53" s="751"/>
      <c r="AD53" s="751"/>
      <c r="AE53" s="751"/>
      <c r="AF53" s="751"/>
      <c r="AG53" s="751"/>
      <c r="AH53" s="751"/>
      <c r="AI53" s="751"/>
      <c r="AJ53" s="751"/>
      <c r="AK53" s="751"/>
      <c r="AL53" s="751"/>
      <c r="AM53" s="751"/>
      <c r="AN53" s="751"/>
      <c r="AO53" s="752"/>
    </row>
    <row r="54" spans="2:41" ht="16.5" customHeight="1">
      <c r="B54" s="764" t="s">
        <v>134</v>
      </c>
      <c r="C54" s="765"/>
      <c r="D54" s="765"/>
      <c r="E54" s="765"/>
      <c r="F54" s="765"/>
      <c r="G54" s="766" t="str">
        <f>H4</f>
        <v>아름다운건설㈜</v>
      </c>
      <c r="H54" s="766"/>
      <c r="I54" s="766"/>
      <c r="J54" s="766"/>
      <c r="K54" s="766"/>
      <c r="L54" s="766"/>
      <c r="M54" s="766"/>
      <c r="N54" s="766"/>
      <c r="O54" s="766"/>
      <c r="P54" s="766"/>
      <c r="Q54" s="767"/>
      <c r="R54" s="767"/>
      <c r="S54" s="767"/>
      <c r="T54" s="767"/>
      <c r="U54" s="765" t="s">
        <v>167</v>
      </c>
      <c r="V54" s="765"/>
      <c r="W54" s="765"/>
      <c r="X54" s="765"/>
      <c r="Y54" s="765"/>
      <c r="Z54" s="768" t="e">
        <f>H7</f>
        <v>#REF!</v>
      </c>
      <c r="AA54" s="768"/>
      <c r="AB54" s="768"/>
      <c r="AC54" s="768"/>
      <c r="AD54" s="768"/>
      <c r="AE54" s="768"/>
      <c r="AF54" s="768"/>
      <c r="AG54" s="768"/>
      <c r="AH54" s="768"/>
      <c r="AI54" s="768"/>
      <c r="AJ54" s="768"/>
      <c r="AK54" s="768"/>
      <c r="AL54" s="768"/>
      <c r="AM54" s="768"/>
      <c r="AN54" s="768"/>
      <c r="AO54" s="769"/>
    </row>
    <row r="55" spans="2:41" ht="16.5" customHeight="1">
      <c r="B55" s="764" t="s">
        <v>135</v>
      </c>
      <c r="C55" s="765"/>
      <c r="D55" s="765"/>
      <c r="E55" s="765"/>
      <c r="F55" s="765"/>
      <c r="G55" s="766" t="str">
        <f>AH4&amp;"                  (인)"</f>
        <v>김  대  표                  (인)</v>
      </c>
      <c r="H55" s="766"/>
      <c r="I55" s="766"/>
      <c r="J55" s="766"/>
      <c r="K55" s="766"/>
      <c r="L55" s="766"/>
      <c r="M55" s="766"/>
      <c r="N55" s="766"/>
      <c r="O55" s="766"/>
      <c r="P55" s="766"/>
      <c r="Q55" s="767"/>
      <c r="R55" s="767"/>
      <c r="S55" s="767"/>
      <c r="T55" s="767"/>
      <c r="U55" s="765" t="s">
        <v>136</v>
      </c>
      <c r="V55" s="765"/>
      <c r="W55" s="765"/>
      <c r="X55" s="765"/>
      <c r="Y55" s="765"/>
      <c r="Z55" s="770" t="e">
        <f>AB6</f>
        <v>#REF!</v>
      </c>
      <c r="AA55" s="770"/>
      <c r="AB55" s="770"/>
      <c r="AC55" s="770"/>
      <c r="AD55" s="770"/>
      <c r="AE55" s="770"/>
      <c r="AF55" s="770"/>
      <c r="AG55" s="770"/>
      <c r="AH55" s="770"/>
      <c r="AI55" s="770"/>
      <c r="AJ55" s="770"/>
      <c r="AK55" s="770"/>
      <c r="AL55" s="770"/>
      <c r="AM55" s="770"/>
      <c r="AN55" s="770"/>
      <c r="AO55" s="769"/>
    </row>
    <row r="56" spans="2:41" ht="17.25" customHeight="1" thickBot="1">
      <c r="B56" s="758" t="s">
        <v>166</v>
      </c>
      <c r="C56" s="759"/>
      <c r="D56" s="759"/>
      <c r="E56" s="759"/>
      <c r="F56" s="759"/>
      <c r="G56" s="760" t="str">
        <f>H5</f>
        <v>서울 대전 대구 부산 찍고</v>
      </c>
      <c r="H56" s="760"/>
      <c r="I56" s="760"/>
      <c r="J56" s="760"/>
      <c r="K56" s="760"/>
      <c r="L56" s="760"/>
      <c r="M56" s="760"/>
      <c r="N56" s="760"/>
      <c r="O56" s="760"/>
      <c r="P56" s="760"/>
      <c r="Q56" s="761"/>
      <c r="R56" s="761"/>
      <c r="S56" s="761"/>
      <c r="T56" s="761"/>
      <c r="U56" s="759" t="s">
        <v>168</v>
      </c>
      <c r="V56" s="759"/>
      <c r="W56" s="759"/>
      <c r="X56" s="759"/>
      <c r="Y56" s="759"/>
      <c r="Z56" s="762" t="str">
        <f>H6&amp;"                  (인)"</f>
        <v>A                  (인)</v>
      </c>
      <c r="AA56" s="762"/>
      <c r="AB56" s="762"/>
      <c r="AC56" s="762"/>
      <c r="AD56" s="762"/>
      <c r="AE56" s="762"/>
      <c r="AF56" s="762"/>
      <c r="AG56" s="762"/>
      <c r="AH56" s="762"/>
      <c r="AI56" s="762"/>
      <c r="AJ56" s="762"/>
      <c r="AK56" s="762"/>
      <c r="AL56" s="762"/>
      <c r="AM56" s="763"/>
      <c r="AN56" s="763"/>
      <c r="AO56" s="39"/>
    </row>
    <row r="57" spans="2:41" ht="4.5" customHeight="1">
      <c r="G57" s="40"/>
      <c r="H57" s="40"/>
      <c r="I57" s="40"/>
      <c r="J57" s="40"/>
      <c r="K57" s="40"/>
      <c r="L57" s="40"/>
      <c r="M57" s="40"/>
      <c r="N57" s="40"/>
      <c r="O57" s="40"/>
      <c r="P57" s="40"/>
    </row>
    <row r="59" spans="2:41" hidden="1">
      <c r="B59" s="22" t="e">
        <f>#REF!</f>
        <v>#REF!</v>
      </c>
    </row>
    <row r="60" spans="2:41" hidden="1">
      <c r="B60" s="22" t="e">
        <f>#REF!</f>
        <v>#REF!</v>
      </c>
    </row>
    <row r="61" spans="2:41" hidden="1">
      <c r="B61" s="22" t="e">
        <f>#REF!</f>
        <v>#REF!</v>
      </c>
    </row>
    <row r="62" spans="2:41" hidden="1">
      <c r="B62" s="22" t="e">
        <f>#REF!</f>
        <v>#REF!</v>
      </c>
    </row>
    <row r="63" spans="2:41" hidden="1">
      <c r="B63" s="22" t="e">
        <f>#REF!</f>
        <v>#REF!</v>
      </c>
    </row>
    <row r="64" spans="2:41" hidden="1">
      <c r="B64" s="22" t="e">
        <f>#REF!</f>
        <v>#REF!</v>
      </c>
    </row>
    <row r="65" spans="2:2" hidden="1">
      <c r="B65" s="22" t="e">
        <f>#REF!</f>
        <v>#REF!</v>
      </c>
    </row>
    <row r="66" spans="2:2" hidden="1">
      <c r="B66" s="22" t="e">
        <f>#REF!</f>
        <v>#REF!</v>
      </c>
    </row>
    <row r="67" spans="2:2" hidden="1">
      <c r="B67" s="22" t="e">
        <f>#REF!</f>
        <v>#REF!</v>
      </c>
    </row>
    <row r="68" spans="2:2" hidden="1">
      <c r="B68" s="22" t="e">
        <f>#REF!</f>
        <v>#REF!</v>
      </c>
    </row>
    <row r="69" spans="2:2" hidden="1">
      <c r="B69" s="22" t="e">
        <f>#REF!</f>
        <v>#REF!</v>
      </c>
    </row>
    <row r="70" spans="2:2" hidden="1">
      <c r="B70" s="22" t="e">
        <f>#REF!</f>
        <v>#REF!</v>
      </c>
    </row>
    <row r="71" spans="2:2" hidden="1">
      <c r="B71" s="22" t="e">
        <f>#REF!</f>
        <v>#REF!</v>
      </c>
    </row>
    <row r="72" spans="2:2" hidden="1">
      <c r="B72" s="22" t="e">
        <f>#REF!</f>
        <v>#REF!</v>
      </c>
    </row>
    <row r="73" spans="2:2" hidden="1">
      <c r="B73" s="22" t="e">
        <f>#REF!</f>
        <v>#REF!</v>
      </c>
    </row>
    <row r="74" spans="2:2" hidden="1">
      <c r="B74" s="22" t="e">
        <f>#REF!</f>
        <v>#REF!</v>
      </c>
    </row>
    <row r="75" spans="2:2" hidden="1">
      <c r="B75" s="22" t="e">
        <f>#REF!</f>
        <v>#REF!</v>
      </c>
    </row>
    <row r="76" spans="2:2" hidden="1">
      <c r="B76" s="22" t="e">
        <f>#REF!</f>
        <v>#REF!</v>
      </c>
    </row>
    <row r="77" spans="2:2" hidden="1">
      <c r="B77" s="22" t="e">
        <f>#REF!</f>
        <v>#REF!</v>
      </c>
    </row>
    <row r="78" spans="2:2" hidden="1">
      <c r="B78" s="22" t="e">
        <f>#REF!</f>
        <v>#REF!</v>
      </c>
    </row>
    <row r="79" spans="2:2" hidden="1">
      <c r="B79" s="22" t="e">
        <f>#REF!</f>
        <v>#REF!</v>
      </c>
    </row>
    <row r="80" spans="2:2" hidden="1">
      <c r="B80" s="22" t="e">
        <f>#REF!</f>
        <v>#REF!</v>
      </c>
    </row>
    <row r="81" spans="2:2" hidden="1">
      <c r="B81" s="22" t="e">
        <f>#REF!</f>
        <v>#REF!</v>
      </c>
    </row>
    <row r="82" spans="2:2" hidden="1">
      <c r="B82" s="22" t="e">
        <f>#REF!</f>
        <v>#REF!</v>
      </c>
    </row>
    <row r="83" spans="2:2" hidden="1">
      <c r="B83" s="22" t="e">
        <f>#REF!</f>
        <v>#REF!</v>
      </c>
    </row>
    <row r="84" spans="2:2" hidden="1">
      <c r="B84" s="22" t="e">
        <f>#REF!</f>
        <v>#REF!</v>
      </c>
    </row>
    <row r="85" spans="2:2" hidden="1">
      <c r="B85" s="22" t="e">
        <f>#REF!</f>
        <v>#REF!</v>
      </c>
    </row>
    <row r="86" spans="2:2" hidden="1">
      <c r="B86" s="22" t="e">
        <f>#REF!</f>
        <v>#REF!</v>
      </c>
    </row>
    <row r="87" spans="2:2" hidden="1">
      <c r="B87" s="22" t="e">
        <f>#REF!</f>
        <v>#REF!</v>
      </c>
    </row>
    <row r="88" spans="2:2" hidden="1">
      <c r="B88" s="22" t="e">
        <f>#REF!</f>
        <v>#REF!</v>
      </c>
    </row>
    <row r="89" spans="2:2" hidden="1">
      <c r="B89" s="22" t="e">
        <f>#REF!</f>
        <v>#REF!</v>
      </c>
    </row>
    <row r="90" spans="2:2" hidden="1">
      <c r="B90" s="22" t="e">
        <f>#REF!</f>
        <v>#REF!</v>
      </c>
    </row>
    <row r="91" spans="2:2" hidden="1">
      <c r="B91" s="22" t="e">
        <f>#REF!</f>
        <v>#REF!</v>
      </c>
    </row>
    <row r="92" spans="2:2" hidden="1">
      <c r="B92" s="22" t="e">
        <f>#REF!</f>
        <v>#REF!</v>
      </c>
    </row>
    <row r="93" spans="2:2" hidden="1">
      <c r="B93" s="22" t="e">
        <f>#REF!</f>
        <v>#REF!</v>
      </c>
    </row>
    <row r="94" spans="2:2" hidden="1">
      <c r="B94" s="22" t="e">
        <f>#REF!</f>
        <v>#REF!</v>
      </c>
    </row>
    <row r="95" spans="2:2" hidden="1">
      <c r="B95" s="22" t="e">
        <f>#REF!</f>
        <v>#REF!</v>
      </c>
    </row>
    <row r="96" spans="2:2" hidden="1">
      <c r="B96" s="22" t="e">
        <f>#REF!</f>
        <v>#REF!</v>
      </c>
    </row>
    <row r="97" spans="2:2" hidden="1">
      <c r="B97" s="22" t="e">
        <f>#REF!</f>
        <v>#REF!</v>
      </c>
    </row>
    <row r="98" spans="2:2" hidden="1">
      <c r="B98" s="22" t="e">
        <f>#REF!</f>
        <v>#REF!</v>
      </c>
    </row>
    <row r="99" spans="2:2" hidden="1">
      <c r="B99" s="22" t="e">
        <f>#REF!</f>
        <v>#REF!</v>
      </c>
    </row>
    <row r="100" spans="2:2" hidden="1">
      <c r="B100" s="22" t="e">
        <f>#REF!</f>
        <v>#REF!</v>
      </c>
    </row>
    <row r="101" spans="2:2" hidden="1">
      <c r="B101" s="22" t="e">
        <f>#REF!</f>
        <v>#REF!</v>
      </c>
    </row>
    <row r="102" spans="2:2" hidden="1">
      <c r="B102" s="22" t="e">
        <f>#REF!</f>
        <v>#REF!</v>
      </c>
    </row>
    <row r="103" spans="2:2" hidden="1">
      <c r="B103" s="22" t="e">
        <f>#REF!</f>
        <v>#REF!</v>
      </c>
    </row>
    <row r="104" spans="2:2" hidden="1">
      <c r="B104" s="22" t="e">
        <f>#REF!</f>
        <v>#REF!</v>
      </c>
    </row>
    <row r="105" spans="2:2" hidden="1">
      <c r="B105" s="22" t="e">
        <f>#REF!</f>
        <v>#REF!</v>
      </c>
    </row>
    <row r="106" spans="2:2" hidden="1">
      <c r="B106" s="22" t="e">
        <f>#REF!</f>
        <v>#REF!</v>
      </c>
    </row>
    <row r="107" spans="2:2" hidden="1">
      <c r="B107" s="22" t="e">
        <f>#REF!</f>
        <v>#REF!</v>
      </c>
    </row>
    <row r="108" spans="2:2" hidden="1">
      <c r="B108" s="22" t="e">
        <f>#REF!</f>
        <v>#REF!</v>
      </c>
    </row>
    <row r="109" spans="2:2" hidden="1">
      <c r="B109" s="22" t="e">
        <f>#REF!</f>
        <v>#REF!</v>
      </c>
    </row>
    <row r="110" spans="2:2" hidden="1">
      <c r="B110" s="22" t="e">
        <f>#REF!</f>
        <v>#REF!</v>
      </c>
    </row>
    <row r="111" spans="2:2" hidden="1">
      <c r="B111" s="22" t="e">
        <f>#REF!</f>
        <v>#REF!</v>
      </c>
    </row>
    <row r="112" spans="2:2" hidden="1">
      <c r="B112" s="22" t="e">
        <f>#REF!</f>
        <v>#REF!</v>
      </c>
    </row>
    <row r="113" spans="2:2" hidden="1">
      <c r="B113" s="22" t="e">
        <f>#REF!</f>
        <v>#REF!</v>
      </c>
    </row>
    <row r="114" spans="2:2" hidden="1">
      <c r="B114" s="22" t="e">
        <f>#REF!</f>
        <v>#REF!</v>
      </c>
    </row>
    <row r="115" spans="2:2" hidden="1">
      <c r="B115" s="22" t="e">
        <f>#REF!</f>
        <v>#REF!</v>
      </c>
    </row>
    <row r="116" spans="2:2" hidden="1">
      <c r="B116" s="22" t="e">
        <f>#REF!</f>
        <v>#REF!</v>
      </c>
    </row>
    <row r="117" spans="2:2" hidden="1">
      <c r="B117" s="22" t="e">
        <f>#REF!</f>
        <v>#REF!</v>
      </c>
    </row>
    <row r="118" spans="2:2" hidden="1">
      <c r="B118" s="22" t="e">
        <f>#REF!</f>
        <v>#REF!</v>
      </c>
    </row>
    <row r="119" spans="2:2" hidden="1">
      <c r="B119" s="22" t="e">
        <f>#REF!</f>
        <v>#REF!</v>
      </c>
    </row>
    <row r="120" spans="2:2" hidden="1">
      <c r="B120" s="22" t="e">
        <f>#REF!</f>
        <v>#REF!</v>
      </c>
    </row>
    <row r="121" spans="2:2" hidden="1">
      <c r="B121" s="22" t="e">
        <f>#REF!</f>
        <v>#REF!</v>
      </c>
    </row>
    <row r="122" spans="2:2" hidden="1">
      <c r="B122" s="22" t="e">
        <f>#REF!</f>
        <v>#REF!</v>
      </c>
    </row>
    <row r="123" spans="2:2" hidden="1">
      <c r="B123" s="22" t="e">
        <f>#REF!</f>
        <v>#REF!</v>
      </c>
    </row>
    <row r="124" spans="2:2" hidden="1">
      <c r="B124" s="22" t="e">
        <f>#REF!</f>
        <v>#REF!</v>
      </c>
    </row>
    <row r="125" spans="2:2" hidden="1">
      <c r="B125" s="22" t="e">
        <f>#REF!</f>
        <v>#REF!</v>
      </c>
    </row>
    <row r="126" spans="2:2" hidden="1">
      <c r="B126" s="22" t="e">
        <f>#REF!</f>
        <v>#REF!</v>
      </c>
    </row>
    <row r="127" spans="2:2" hidden="1">
      <c r="B127" s="22" t="e">
        <f>#REF!</f>
        <v>#REF!</v>
      </c>
    </row>
    <row r="128" spans="2:2" hidden="1">
      <c r="B128" s="22" t="e">
        <f>#REF!</f>
        <v>#REF!</v>
      </c>
    </row>
    <row r="129" spans="2:2" hidden="1">
      <c r="B129" s="22" t="e">
        <f>#REF!</f>
        <v>#REF!</v>
      </c>
    </row>
    <row r="130" spans="2:2" hidden="1">
      <c r="B130" s="22" t="e">
        <f>#REF!</f>
        <v>#REF!</v>
      </c>
    </row>
    <row r="131" spans="2:2" hidden="1">
      <c r="B131" s="22" t="e">
        <f>#REF!</f>
        <v>#REF!</v>
      </c>
    </row>
  </sheetData>
  <mergeCells count="155">
    <mergeCell ref="B56:F56"/>
    <mergeCell ref="G56:P56"/>
    <mergeCell ref="Q56:T56"/>
    <mergeCell ref="U56:Y56"/>
    <mergeCell ref="Z56:AL56"/>
    <mergeCell ref="AM56:AN56"/>
    <mergeCell ref="B54:F54"/>
    <mergeCell ref="G54:P54"/>
    <mergeCell ref="Q54:T54"/>
    <mergeCell ref="U54:Y54"/>
    <mergeCell ref="Z54:AO54"/>
    <mergeCell ref="B55:F55"/>
    <mergeCell ref="G55:P55"/>
    <mergeCell ref="Q55:T55"/>
    <mergeCell ref="U55:Y55"/>
    <mergeCell ref="Z55:AO55"/>
    <mergeCell ref="B52:AO52"/>
    <mergeCell ref="B53:T53"/>
    <mergeCell ref="U53:AO53"/>
    <mergeCell ref="Z46:AG46"/>
    <mergeCell ref="AH46:AL46"/>
    <mergeCell ref="AM46:AO46"/>
    <mergeCell ref="D47:J47"/>
    <mergeCell ref="K47:Q47"/>
    <mergeCell ref="R47:Y47"/>
    <mergeCell ref="Z47:AG47"/>
    <mergeCell ref="AH47:AL47"/>
    <mergeCell ref="AM47:AO47"/>
    <mergeCell ref="B41:C44"/>
    <mergeCell ref="D41:AO41"/>
    <mergeCell ref="D42:AO42"/>
    <mergeCell ref="D43:AO43"/>
    <mergeCell ref="D44:AO44"/>
    <mergeCell ref="B45:C51"/>
    <mergeCell ref="D45:AO45"/>
    <mergeCell ref="D46:J46"/>
    <mergeCell ref="K46:Q46"/>
    <mergeCell ref="R46:Y46"/>
    <mergeCell ref="D48:AO48"/>
    <mergeCell ref="D49:AO49"/>
    <mergeCell ref="D50:AO50"/>
    <mergeCell ref="D51:AO51"/>
    <mergeCell ref="B39:C39"/>
    <mergeCell ref="D39:AO39"/>
    <mergeCell ref="B40:C40"/>
    <mergeCell ref="D40:AO40"/>
    <mergeCell ref="AA30:AB30"/>
    <mergeCell ref="AD30:AJ30"/>
    <mergeCell ref="B33:C36"/>
    <mergeCell ref="D33:AO36"/>
    <mergeCell ref="B37:C37"/>
    <mergeCell ref="D37:AO37"/>
    <mergeCell ref="G30:L30"/>
    <mergeCell ref="M30:O30"/>
    <mergeCell ref="P30:Q30"/>
    <mergeCell ref="R30:U30"/>
    <mergeCell ref="V30:W30"/>
    <mergeCell ref="X30:Z30"/>
    <mergeCell ref="B15:C32"/>
    <mergeCell ref="AD29:AJ29"/>
    <mergeCell ref="G28:L28"/>
    <mergeCell ref="M28:O28"/>
    <mergeCell ref="P28:Q28"/>
    <mergeCell ref="R28:U28"/>
    <mergeCell ref="V28:W28"/>
    <mergeCell ref="X28:Z28"/>
    <mergeCell ref="B38:C38"/>
    <mergeCell ref="D38:AO38"/>
    <mergeCell ref="AX24:AZ24"/>
    <mergeCell ref="AA26:AB26"/>
    <mergeCell ref="AD26:AJ26"/>
    <mergeCell ref="AA27:AB27"/>
    <mergeCell ref="AD27:AJ27"/>
    <mergeCell ref="G27:L27"/>
    <mergeCell ref="M27:O27"/>
    <mergeCell ref="P27:Q27"/>
    <mergeCell ref="R27:U27"/>
    <mergeCell ref="V27:W27"/>
    <mergeCell ref="X27:Z27"/>
    <mergeCell ref="G26:L26"/>
    <mergeCell ref="M26:O26"/>
    <mergeCell ref="P26:Q26"/>
    <mergeCell ref="R26:U26"/>
    <mergeCell ref="V26:W26"/>
    <mergeCell ref="X26:Z26"/>
    <mergeCell ref="D31:AO31"/>
    <mergeCell ref="D32:Q32"/>
    <mergeCell ref="R32:Z32"/>
    <mergeCell ref="AA32:AO32"/>
    <mergeCell ref="D21:AO21"/>
    <mergeCell ref="D22:AO22"/>
    <mergeCell ref="D24:AO24"/>
    <mergeCell ref="D25:F30"/>
    <mergeCell ref="G25:L25"/>
    <mergeCell ref="M25:O25"/>
    <mergeCell ref="P25:Q25"/>
    <mergeCell ref="R25:U25"/>
    <mergeCell ref="V25:W25"/>
    <mergeCell ref="X25:Z25"/>
    <mergeCell ref="AA25:AB25"/>
    <mergeCell ref="AD25:AJ25"/>
    <mergeCell ref="AL25:AO30"/>
    <mergeCell ref="AA28:AB28"/>
    <mergeCell ref="AD28:AJ28"/>
    <mergeCell ref="G29:L29"/>
    <mergeCell ref="M29:O29"/>
    <mergeCell ref="P29:Q29"/>
    <mergeCell ref="R29:U29"/>
    <mergeCell ref="V29:W29"/>
    <mergeCell ref="X29:Z29"/>
    <mergeCell ref="AA29:AB29"/>
    <mergeCell ref="D23:AH23"/>
    <mergeCell ref="AI23:AO23"/>
    <mergeCell ref="D19:AO19"/>
    <mergeCell ref="D20:AO20"/>
    <mergeCell ref="S10:AO10"/>
    <mergeCell ref="D11:AO11"/>
    <mergeCell ref="D12:AO12"/>
    <mergeCell ref="D13:AO13"/>
    <mergeCell ref="D14:AO14"/>
    <mergeCell ref="D15:N15"/>
    <mergeCell ref="O15:R15"/>
    <mergeCell ref="S15:V15"/>
    <mergeCell ref="X15:AA15"/>
    <mergeCell ref="B10:C14"/>
    <mergeCell ref="D10:G10"/>
    <mergeCell ref="H10:I10"/>
    <mergeCell ref="J10:M10"/>
    <mergeCell ref="N10:R10"/>
    <mergeCell ref="AC15:AO15"/>
    <mergeCell ref="D16:AO16"/>
    <mergeCell ref="D17:AO17"/>
    <mergeCell ref="D18:AO18"/>
    <mergeCell ref="B8:AO8"/>
    <mergeCell ref="B9:C9"/>
    <mergeCell ref="D9:Z9"/>
    <mergeCell ref="AA9:AH9"/>
    <mergeCell ref="AI9:AO9"/>
    <mergeCell ref="L2:AI2"/>
    <mergeCell ref="B4:D5"/>
    <mergeCell ref="E4:G4"/>
    <mergeCell ref="H4:AA4"/>
    <mergeCell ref="AB4:AG4"/>
    <mergeCell ref="AH4:AO4"/>
    <mergeCell ref="E5:G5"/>
    <mergeCell ref="H5:AO5"/>
    <mergeCell ref="B6:D7"/>
    <mergeCell ref="E6:G6"/>
    <mergeCell ref="H6:K6"/>
    <mergeCell ref="W6:AA6"/>
    <mergeCell ref="AB6:AO6"/>
    <mergeCell ref="E7:G7"/>
    <mergeCell ref="H7:AA7"/>
    <mergeCell ref="AB7:AG7"/>
    <mergeCell ref="AH7:AO7"/>
  </mergeCells>
  <phoneticPr fontId="4" type="noConversion"/>
  <conditionalFormatting sqref="AZ2 AR3">
    <cfRule type="containsText" dxfId="0" priority="1" operator="containsText" text="최저임금">
      <formula>NOT(ISERROR(SEARCH("최저임금",AR2)))</formula>
    </cfRule>
  </conditionalFormatting>
  <dataValidations count="1">
    <dataValidation type="list" allowBlank="1" showInputMessage="1" showErrorMessage="1" sqref="H6:K6" xr:uid="{00000000-0002-0000-1A00-000000000000}">
      <formula1>근로계약서명단</formula1>
    </dataValidation>
  </dataValidations>
  <printOptions horizontalCentered="1"/>
  <pageMargins left="0.19685039370078741" right="0.19685039370078741" top="0.51181102362204722" bottom="0.31496062992125984" header="0.31496062992125984" footer="0.31496062992125984"/>
  <pageSetup paperSize="9" scale="73" orientation="portrait" r:id="rId1"/>
  <colBreaks count="1" manualBreakCount="1">
    <brk id="41" max="56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청구서</vt:lpstr>
      <vt:lpstr>집계표</vt:lpstr>
      <vt:lpstr>내역서</vt:lpstr>
      <vt:lpstr>위임장</vt:lpstr>
      <vt:lpstr>4월</vt:lpstr>
      <vt:lpstr>각서</vt:lpstr>
      <vt:lpstr>계좌입금의뢰신고서</vt:lpstr>
      <vt:lpstr>근로계약서</vt:lpstr>
      <vt:lpstr>'4월'!Print_Area</vt:lpstr>
      <vt:lpstr>각서!Print_Area</vt:lpstr>
      <vt:lpstr>계좌입금의뢰신고서!Print_Area</vt:lpstr>
      <vt:lpstr>근로계약서!Print_Area</vt:lpstr>
      <vt:lpstr>내역서!Print_Area</vt:lpstr>
      <vt:lpstr>위임장!Print_Area</vt:lpstr>
      <vt:lpstr>집계표!Print_Area</vt:lpstr>
      <vt:lpstr>청구서!Print_Area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Jeonghun Lee</cp:lastModifiedBy>
  <cp:lastPrinted>2026-05-04T06:42:35Z</cp:lastPrinted>
  <dcterms:created xsi:type="dcterms:W3CDTF">2019-01-28T03:57:02Z</dcterms:created>
  <dcterms:modified xsi:type="dcterms:W3CDTF">2026-08-19T05:31:20Z</dcterms:modified>
  <cp:contentStatus/>
</cp:coreProperties>
</file>