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construction-erp\sample_files\"/>
    </mc:Choice>
  </mc:AlternateContent>
  <xr:revisionPtr revIDLastSave="0" documentId="13_ncr:1_{DC2B1564-C56A-4207-9FCB-385EFD8034D7}" xr6:coauthVersionLast="47" xr6:coauthVersionMax="47" xr10:uidLastSave="{00000000-0000-0000-0000-000000000000}"/>
  <bookViews>
    <workbookView xWindow="28680" yWindow="-120" windowWidth="29040" windowHeight="15720" firstSheet="1" activeTab="3" xr2:uid="{907250F9-0ED8-426C-AABB-C1FFAFE0EAD9}"/>
  </bookViews>
  <sheets>
    <sheet name="표지" sheetId="1" state="hidden" r:id="rId1"/>
    <sheet name="갑지(도급)" sheetId="2" r:id="rId2"/>
    <sheet name="원가계산서" sheetId="3" state="hidden" r:id="rId3"/>
    <sheet name="내역서총괄표(도급)" sheetId="4" r:id="rId4"/>
    <sheet name="도급계약내역서" sheetId="5" r:id="rId5"/>
    <sheet name="제경비산출서(전체)" sheetId="16" r:id="rId6"/>
    <sheet name="적용제경비산출서" sheetId="17" r:id="rId7"/>
    <sheet name="설계내역서" sheetId="15" r:id="rId8"/>
    <sheet name="일위대가총괄표" sheetId="6" r:id="rId9"/>
    <sheet name="일위대가" sheetId="7" r:id="rId10"/>
    <sheet name="단가산출총괄표" sheetId="8" state="hidden" r:id="rId11"/>
    <sheet name="단가산출" sheetId="9" state="hidden" r:id="rId12"/>
    <sheet name="기계경비총괄표" sheetId="10" state="hidden" r:id="rId13"/>
    <sheet name="기계경비" sheetId="11" state="hidden" r:id="rId14"/>
    <sheet name="기계경비적용기준" sheetId="12" state="hidden" r:id="rId15"/>
    <sheet name="자재단가" sheetId="13" state="hidden" r:id="rId16"/>
    <sheet name="노임단가" sheetId="14" state="hidden" r:id="rId17"/>
  </sheets>
  <definedNames>
    <definedName name="_xlnm.Print_Area" localSheetId="13">기계경비!$B$1:$AD$117</definedName>
    <definedName name="_xlnm.Print_Area" localSheetId="12">기계경비총괄표!$B$1:$I$22</definedName>
    <definedName name="_xlnm.Print_Area" localSheetId="3">'내역서총괄표(도급)'!$A$1:$J$28</definedName>
    <definedName name="_xlnm.Print_Area" localSheetId="16">노임단가!$B$1:$G$33</definedName>
    <definedName name="_xlnm.Print_Area" localSheetId="11">단가산출!$B$2:$DA$538</definedName>
    <definedName name="_xlnm.Print_Area" localSheetId="10">단가산출총괄표!$B$1:$J$13</definedName>
    <definedName name="_xlnm.Print_Area" localSheetId="4">도급계약내역서!$A$1:$N$215</definedName>
    <definedName name="_xlnm.Print_Area" localSheetId="7">설계내역서!$B$2:$O$236</definedName>
    <definedName name="_xlnm.Print_Area" localSheetId="2">원가계산서!$B$1:$H$34</definedName>
    <definedName name="_xlnm.Print_Area" localSheetId="9">일위대가!$B$2:$O$207</definedName>
    <definedName name="_xlnm.Print_Area" localSheetId="8">일위대가총괄표!$B$1:$J$36</definedName>
    <definedName name="_xlnm.Print_Area" localSheetId="15">자재단가!$B$2:$S$36</definedName>
    <definedName name="_xlnm.Print_Area" localSheetId="6">적용제경비산출서!$A$1:$N$24</definedName>
    <definedName name="_xlnm.Print_Area" localSheetId="5">'제경비산출서(전체)'!$A$1:$O$24</definedName>
    <definedName name="_xlnm.Print_Titles" localSheetId="13">기계경비!$1:$3</definedName>
    <definedName name="_xlnm.Print_Titles" localSheetId="12">기계경비총괄표!$1:$3</definedName>
    <definedName name="_xlnm.Print_Titles" localSheetId="3">'내역서총괄표(도급)'!$1:$3</definedName>
    <definedName name="_xlnm.Print_Titles" localSheetId="16">노임단가!$1:$3</definedName>
    <definedName name="_xlnm.Print_Titles" localSheetId="11">단가산출!$1:$3</definedName>
    <definedName name="_xlnm.Print_Titles" localSheetId="10">단가산출총괄표!$1:$3</definedName>
    <definedName name="_xlnm.Print_Titles" localSheetId="4">도급계약내역서!$1:$4</definedName>
    <definedName name="_xlnm.Print_Titles" localSheetId="7">설계내역서!$1:$4</definedName>
    <definedName name="_xlnm.Print_Titles" localSheetId="2">원가계산서!$1:$3</definedName>
    <definedName name="_xlnm.Print_Titles" localSheetId="9">일위대가!$1:$4</definedName>
    <definedName name="_xlnm.Print_Titles" localSheetId="8">일위대가총괄표!$1:$3</definedName>
    <definedName name="_xlnm.Print_Titles" localSheetId="15">자재단가!$1:$4</definedName>
  </definedNames>
  <calcPr calcId="191029"/>
</workbook>
</file>

<file path=xl/calcChain.xml><?xml version="1.0" encoding="utf-8"?>
<calcChain xmlns="http://schemas.openxmlformats.org/spreadsheetml/2006/main">
  <c r="M205" i="5" l="1"/>
  <c r="AC5" i="11" l="1"/>
  <c r="AC4" i="11" s="1"/>
  <c r="I4" i="10" s="1"/>
  <c r="P38" i="9" s="1"/>
  <c r="I8" i="11"/>
  <c r="AC11" i="11"/>
  <c r="AC12" i="11"/>
  <c r="Z12" i="11" s="1"/>
  <c r="I15" i="11"/>
  <c r="AC18" i="11"/>
  <c r="Z18" i="11" s="1"/>
  <c r="I21" i="11"/>
  <c r="AA21" i="11"/>
  <c r="AC24" i="11"/>
  <c r="AC23" i="11" s="1"/>
  <c r="I7" i="10" s="1"/>
  <c r="P59" i="9" s="1"/>
  <c r="Z24" i="11"/>
  <c r="I27" i="11"/>
  <c r="AC30" i="11"/>
  <c r="Z30" i="11" s="1"/>
  <c r="AC29" i="11"/>
  <c r="I8" i="10" s="1"/>
  <c r="P66" i="9" s="1"/>
  <c r="I33" i="11"/>
  <c r="AC36" i="11"/>
  <c r="I39" i="11"/>
  <c r="AC42" i="11"/>
  <c r="I45" i="11"/>
  <c r="AC48" i="11"/>
  <c r="AC47" i="11"/>
  <c r="I11" i="10" s="1"/>
  <c r="P445" i="9" s="1"/>
  <c r="I51" i="11"/>
  <c r="AC54" i="11"/>
  <c r="Z54" i="11" s="1"/>
  <c r="I57" i="11"/>
  <c r="AC60" i="11"/>
  <c r="AC59" i="11"/>
  <c r="I13" i="10"/>
  <c r="Z60" i="11"/>
  <c r="I63" i="11"/>
  <c r="AC66" i="11"/>
  <c r="AC65" i="11"/>
  <c r="I14" i="10" s="1"/>
  <c r="Q161" i="9" s="1"/>
  <c r="AL161" i="9" s="1"/>
  <c r="DA162" i="9" s="1"/>
  <c r="I69" i="11"/>
  <c r="AC72" i="11"/>
  <c r="AC71" i="11" s="1"/>
  <c r="I15" i="10" s="1"/>
  <c r="P321" i="9" s="1"/>
  <c r="AT321" i="9" s="1"/>
  <c r="DA322" i="9" s="1"/>
  <c r="Q352" i="9" s="1"/>
  <c r="I75" i="11"/>
  <c r="AA75" i="11"/>
  <c r="Z78" i="11"/>
  <c r="AC78" i="11"/>
  <c r="AC77" i="11"/>
  <c r="I81" i="11"/>
  <c r="AC84" i="11"/>
  <c r="AC83" i="11" s="1"/>
  <c r="I17" i="10" s="1"/>
  <c r="P432" i="9" s="1"/>
  <c r="AJ432" i="9" s="1"/>
  <c r="DA433" i="9" s="1"/>
  <c r="I87" i="11"/>
  <c r="AB89" i="11"/>
  <c r="H18" i="10"/>
  <c r="AC90" i="11"/>
  <c r="Z90" i="11" s="1"/>
  <c r="AC94" i="11"/>
  <c r="AC93" i="11" s="1"/>
  <c r="I19" i="10" s="1"/>
  <c r="AB95" i="11"/>
  <c r="I97" i="11"/>
  <c r="AC100" i="11"/>
  <c r="I103" i="11"/>
  <c r="I104" i="11"/>
  <c r="AC107" i="11"/>
  <c r="I110" i="11"/>
  <c r="Z113" i="11"/>
  <c r="AC113" i="11"/>
  <c r="AC112" i="11"/>
  <c r="I22" i="10" s="1"/>
  <c r="I116" i="11"/>
  <c r="E21" i="12"/>
  <c r="E22" i="12"/>
  <c r="E23" i="12"/>
  <c r="E24" i="12"/>
  <c r="E25" i="12"/>
  <c r="I16" i="10"/>
  <c r="P417" i="9" s="1"/>
  <c r="Z15" i="9"/>
  <c r="BZ22" i="9" s="1"/>
  <c r="AH16" i="9"/>
  <c r="AW16" i="9" s="1"/>
  <c r="T20" i="9"/>
  <c r="BD20" i="9"/>
  <c r="AG20" i="9"/>
  <c r="AP20" i="9"/>
  <c r="BT20" i="9" s="1"/>
  <c r="T22" i="9"/>
  <c r="BC22" i="9" s="1"/>
  <c r="AG22" i="9"/>
  <c r="BN22" i="9" s="1"/>
  <c r="AP22" i="9"/>
  <c r="BS22" i="9" s="1"/>
  <c r="AQ30" i="9"/>
  <c r="BA30" i="9"/>
  <c r="AK36" i="9"/>
  <c r="AR36" i="9"/>
  <c r="AK37" i="9"/>
  <c r="AK38" i="9"/>
  <c r="AK43" i="9"/>
  <c r="AJ50" i="9"/>
  <c r="AQ50" i="9"/>
  <c r="AJ51" i="9"/>
  <c r="AJ52" i="9"/>
  <c r="AK57" i="9"/>
  <c r="AK64" i="9"/>
  <c r="AK71" i="9"/>
  <c r="AK78" i="9"/>
  <c r="AK85" i="9"/>
  <c r="AK92" i="9"/>
  <c r="AD116" i="9"/>
  <c r="BM120" i="9"/>
  <c r="AP122" i="9"/>
  <c r="BA124" i="9"/>
  <c r="AO126" i="9"/>
  <c r="T132" i="9"/>
  <c r="AS132" i="9"/>
  <c r="AG132" i="9"/>
  <c r="BD132" i="9" s="1"/>
  <c r="U134" i="9"/>
  <c r="AU134" i="9"/>
  <c r="AH134" i="9"/>
  <c r="BF134" i="9"/>
  <c r="BK134" i="9"/>
  <c r="U140" i="9"/>
  <c r="T144" i="9"/>
  <c r="Q150" i="9"/>
  <c r="AD150" i="9" s="1"/>
  <c r="Q154" i="9"/>
  <c r="AD183" i="9"/>
  <c r="W217" i="9" s="1"/>
  <c r="BM187" i="9"/>
  <c r="AP189" i="9"/>
  <c r="BB191" i="9"/>
  <c r="AO193" i="9"/>
  <c r="T199" i="9"/>
  <c r="AG199" i="9"/>
  <c r="BD199" i="9"/>
  <c r="U201" i="9"/>
  <c r="AH201" i="9"/>
  <c r="BF201" i="9"/>
  <c r="BK201" i="9"/>
  <c r="U207" i="9"/>
  <c r="T211" i="9"/>
  <c r="Q217" i="9"/>
  <c r="AD217" i="9" s="1"/>
  <c r="Q221" i="9"/>
  <c r="Y251" i="9"/>
  <c r="BM255" i="9"/>
  <c r="AP257" i="9"/>
  <c r="BB259" i="9"/>
  <c r="AO261" i="9"/>
  <c r="T267" i="9"/>
  <c r="AS267" i="9"/>
  <c r="AG267" i="9"/>
  <c r="BD267" i="9" s="1"/>
  <c r="U269" i="9"/>
  <c r="AH269" i="9"/>
  <c r="BF269" i="9"/>
  <c r="U275" i="9"/>
  <c r="T279" i="9"/>
  <c r="Q285" i="9"/>
  <c r="AC285" i="9"/>
  <c r="Q289" i="9"/>
  <c r="Q296" i="9"/>
  <c r="AM296" i="9" s="1"/>
  <c r="DA297" i="9" s="1"/>
  <c r="Y303" i="9" s="1"/>
  <c r="AC319" i="9"/>
  <c r="AE319" i="9"/>
  <c r="AM319" i="9"/>
  <c r="AT319" i="9"/>
  <c r="AA320" i="9"/>
  <c r="AH320" i="9"/>
  <c r="AN320" i="9"/>
  <c r="AA321" i="9"/>
  <c r="AH321" i="9"/>
  <c r="AN321" i="9"/>
  <c r="BB326" i="9"/>
  <c r="BH326" i="9"/>
  <c r="BB328" i="9"/>
  <c r="BH328" i="9"/>
  <c r="BP330" i="9"/>
  <c r="BV330" i="9"/>
  <c r="AG332" i="9"/>
  <c r="AM332" i="9"/>
  <c r="AT334" i="9"/>
  <c r="BB334" i="9"/>
  <c r="AW336" i="9"/>
  <c r="BE336" i="9"/>
  <c r="W341" i="9"/>
  <c r="T346" i="9"/>
  <c r="AG346" i="9"/>
  <c r="AN346" i="9"/>
  <c r="AT346" i="9" s="1"/>
  <c r="CY346" i="9" s="1"/>
  <c r="CX346" i="9" s="1"/>
  <c r="DA355" i="9"/>
  <c r="I9" i="8" s="1"/>
  <c r="BT359" i="9"/>
  <c r="AL361" i="9"/>
  <c r="S367" i="9"/>
  <c r="V378" i="9"/>
  <c r="AL390" i="9"/>
  <c r="BJ417" i="9" s="1"/>
  <c r="AL398" i="9"/>
  <c r="K403" i="9"/>
  <c r="AT405" i="9" s="1"/>
  <c r="Z403" i="9"/>
  <c r="AB411" i="9"/>
  <c r="L405" i="9"/>
  <c r="AH405" i="9"/>
  <c r="AY405" i="9" s="1"/>
  <c r="AK405" i="9"/>
  <c r="L407" i="9"/>
  <c r="AQ409" i="9" s="1"/>
  <c r="AA407" i="9"/>
  <c r="AV409" i="9"/>
  <c r="AG409" i="9"/>
  <c r="K411" i="9"/>
  <c r="AN413" i="9"/>
  <c r="AQ413" i="9"/>
  <c r="AN415" i="9"/>
  <c r="BM415" i="9"/>
  <c r="AR416" i="9"/>
  <c r="BW416" i="9" s="1"/>
  <c r="AN417" i="9"/>
  <c r="BM417" i="9"/>
  <c r="K424" i="9"/>
  <c r="AE426" i="9" s="1"/>
  <c r="Z424" i="9"/>
  <c r="AE428" i="9" s="1"/>
  <c r="S426" i="9"/>
  <c r="AR426" i="9" s="1"/>
  <c r="AL428" i="9" s="1"/>
  <c r="V426" i="9"/>
  <c r="AM426" i="9" s="1"/>
  <c r="L428" i="9"/>
  <c r="AA428" i="9"/>
  <c r="K437" i="9"/>
  <c r="AE439" i="9"/>
  <c r="Z437" i="9"/>
  <c r="AE441" i="9"/>
  <c r="S439" i="9"/>
  <c r="AJ439" i="9"/>
  <c r="V439" i="9"/>
  <c r="AM439" i="9" s="1"/>
  <c r="L441" i="9"/>
  <c r="K450" i="9"/>
  <c r="Z450" i="9"/>
  <c r="AE454" i="9"/>
  <c r="S452" i="9"/>
  <c r="AJ452" i="9"/>
  <c r="V452" i="9"/>
  <c r="AM452" i="9" s="1"/>
  <c r="L454" i="9"/>
  <c r="K479" i="9"/>
  <c r="AC482" i="9" s="1"/>
  <c r="K499" i="9"/>
  <c r="AC502" i="9" s="1"/>
  <c r="AI501" i="9"/>
  <c r="K517" i="9"/>
  <c r="X517" i="9"/>
  <c r="AH517" i="9" s="1"/>
  <c r="AB517" i="9"/>
  <c r="AW517" i="9"/>
  <c r="K519" i="9"/>
  <c r="BG521" i="9"/>
  <c r="Y519" i="9"/>
  <c r="AV523" i="9"/>
  <c r="L521" i="9"/>
  <c r="AI521" i="9" s="1"/>
  <c r="AP521" i="9"/>
  <c r="P527" i="9"/>
  <c r="R5" i="13"/>
  <c r="AF30" i="9" s="1"/>
  <c r="BH30" i="9" s="1"/>
  <c r="CZ30" i="9" s="1"/>
  <c r="Q107" i="9" s="1"/>
  <c r="R6" i="13"/>
  <c r="K7" i="12"/>
  <c r="R7" i="13"/>
  <c r="R8" i="13"/>
  <c r="R9" i="13"/>
  <c r="R10" i="13"/>
  <c r="R11" i="13"/>
  <c r="R12" i="13"/>
  <c r="R13" i="13"/>
  <c r="BB120" i="9" s="1"/>
  <c r="BV120" i="9" s="1"/>
  <c r="R14" i="13"/>
  <c r="R15" i="13"/>
  <c r="AQ259" i="9" s="1"/>
  <c r="BK259" i="9" s="1"/>
  <c r="R16" i="13"/>
  <c r="AD193" i="9" s="1"/>
  <c r="AX193" i="9" s="1"/>
  <c r="R17" i="13"/>
  <c r="AQ326" i="9"/>
  <c r="BO326" i="9" s="1"/>
  <c r="R18" i="13"/>
  <c r="AQ328" i="9" s="1"/>
  <c r="BO328" i="9" s="1"/>
  <c r="R19" i="13"/>
  <c r="BE330" i="9"/>
  <c r="R20" i="13"/>
  <c r="V332" i="9" s="1"/>
  <c r="AT332" i="9" s="1"/>
  <c r="R21" i="13"/>
  <c r="AI334" i="9"/>
  <c r="R22" i="13"/>
  <c r="AL336" i="9" s="1"/>
  <c r="BK336" i="9" s="1"/>
  <c r="R23" i="13"/>
  <c r="BG359" i="9" s="1"/>
  <c r="R24" i="13"/>
  <c r="Z361" i="9" s="1"/>
  <c r="AS361" i="9" s="1"/>
  <c r="R25" i="13"/>
  <c r="R26" i="13"/>
  <c r="R27" i="13"/>
  <c r="R28" i="13"/>
  <c r="R29" i="13"/>
  <c r="R30" i="13"/>
  <c r="R31" i="13"/>
  <c r="R32" i="13"/>
  <c r="R33" i="13"/>
  <c r="R34" i="13"/>
  <c r="R35" i="13"/>
  <c r="R36" i="13"/>
  <c r="J49" i="11"/>
  <c r="AB49" i="11" s="1"/>
  <c r="J73" i="11"/>
  <c r="AB73" i="11"/>
  <c r="Z73" i="11"/>
  <c r="J85" i="11"/>
  <c r="AB85" i="11" s="1"/>
  <c r="J31" i="11"/>
  <c r="AB31" i="11"/>
  <c r="J55" i="11"/>
  <c r="AB55" i="11"/>
  <c r="J79" i="11"/>
  <c r="AB79" i="11" s="1"/>
  <c r="Z79" i="11" s="1"/>
  <c r="J108" i="11"/>
  <c r="AB108" i="11"/>
  <c r="Z108" i="11" s="1"/>
  <c r="J6" i="11"/>
  <c r="AB6" i="11" s="1"/>
  <c r="CX30" i="9"/>
  <c r="AP124" i="9"/>
  <c r="BJ124" i="9" s="1"/>
  <c r="AQ191" i="9"/>
  <c r="BK191" i="9" s="1"/>
  <c r="AE189" i="9"/>
  <c r="AY189" i="9" s="1"/>
  <c r="AE122" i="9"/>
  <c r="AY122" i="9" s="1"/>
  <c r="AE257" i="9"/>
  <c r="AY257" i="9"/>
  <c r="AC503" i="9"/>
  <c r="AA454" i="9"/>
  <c r="AE452" i="9"/>
  <c r="BJ415" i="9"/>
  <c r="X411" i="9"/>
  <c r="BB405" i="9"/>
  <c r="BG405" i="9"/>
  <c r="AL409" i="9" s="1"/>
  <c r="AU269" i="9"/>
  <c r="BT416" i="9"/>
  <c r="AH150" i="9"/>
  <c r="BQ134" i="9"/>
  <c r="CH22" i="9"/>
  <c r="AC41" i="11"/>
  <c r="I10" i="10"/>
  <c r="Q80" i="9"/>
  <c r="Z42" i="11"/>
  <c r="AC10" i="11"/>
  <c r="I5" i="10" s="1"/>
  <c r="P45" i="9" s="1"/>
  <c r="Z11" i="11"/>
  <c r="AA51" i="11"/>
  <c r="AA63" i="11"/>
  <c r="Z63" i="11"/>
  <c r="AA45" i="11"/>
  <c r="Z45" i="11" s="1"/>
  <c r="AA41" i="11"/>
  <c r="G10" i="10" s="1"/>
  <c r="P78" i="9" s="1"/>
  <c r="AA27" i="11"/>
  <c r="AA23" i="11" s="1"/>
  <c r="G7" i="10" s="1"/>
  <c r="AA39" i="11"/>
  <c r="Z39" i="11"/>
  <c r="Z66" i="11"/>
  <c r="AA35" i="11"/>
  <c r="Z35" i="11" s="1"/>
  <c r="J74" i="11"/>
  <c r="AB74" i="11" s="1"/>
  <c r="Z74" i="11" s="1"/>
  <c r="Z6" i="11"/>
  <c r="J56" i="11"/>
  <c r="AB56" i="11"/>
  <c r="Z56" i="11" s="1"/>
  <c r="AA59" i="11"/>
  <c r="G13" i="10" s="1"/>
  <c r="P152" i="9" s="1"/>
  <c r="AL152" i="9" s="1"/>
  <c r="CY155" i="9" s="1"/>
  <c r="Q166" i="9" s="1"/>
  <c r="Z85" i="11"/>
  <c r="J96" i="11"/>
  <c r="AB96" i="11"/>
  <c r="Z95" i="11"/>
  <c r="Z51" i="11"/>
  <c r="AA47" i="11"/>
  <c r="AD261" i="9"/>
  <c r="AX261" i="9" s="1"/>
  <c r="AD126" i="9"/>
  <c r="AX126" i="9" s="1"/>
  <c r="BI267" i="9"/>
  <c r="BK269" i="9"/>
  <c r="BP269" i="9"/>
  <c r="AG285" i="9"/>
  <c r="W285" i="9"/>
  <c r="AB426" i="9"/>
  <c r="AQ405" i="9"/>
  <c r="AB452" i="9"/>
  <c r="AR452" i="9"/>
  <c r="AL454" i="9" s="1"/>
  <c r="AB439" i="9"/>
  <c r="P87" i="9"/>
  <c r="BO20" i="9"/>
  <c r="CJ20" i="9"/>
  <c r="R24" i="9" s="1"/>
  <c r="CY24" i="9" s="1"/>
  <c r="AU521" i="9"/>
  <c r="AT417" i="9"/>
  <c r="AB152" i="9"/>
  <c r="AB153" i="9"/>
  <c r="AB160" i="9"/>
  <c r="AB161" i="9"/>
  <c r="Y168" i="9"/>
  <c r="Z27" i="11"/>
  <c r="Z55" i="11"/>
  <c r="AA441" i="9"/>
  <c r="Z21" i="11"/>
  <c r="AA17" i="11"/>
  <c r="G6" i="10" s="1"/>
  <c r="P50" i="9" s="1"/>
  <c r="J7" i="11"/>
  <c r="AB7" i="11" s="1"/>
  <c r="Z7" i="11"/>
  <c r="BI334" i="9"/>
  <c r="Z75" i="11"/>
  <c r="AA71" i="11"/>
  <c r="J101" i="11"/>
  <c r="AB101" i="11"/>
  <c r="Z36" i="11"/>
  <c r="AC35" i="11"/>
  <c r="I9" i="10"/>
  <c r="P73" i="9" s="1"/>
  <c r="AA110" i="11"/>
  <c r="AA91" i="11"/>
  <c r="AA116" i="11"/>
  <c r="AA112" i="11" s="1"/>
  <c r="AA8" i="11"/>
  <c r="AA69" i="11"/>
  <c r="AA65" i="11" s="1"/>
  <c r="AA103" i="11"/>
  <c r="Z103" i="11" s="1"/>
  <c r="AA57" i="11"/>
  <c r="AA53" i="11" s="1"/>
  <c r="G12" i="10" s="1"/>
  <c r="AA97" i="11"/>
  <c r="Z97" i="11" s="1"/>
  <c r="AA33" i="11"/>
  <c r="AA87" i="11"/>
  <c r="AA15" i="11"/>
  <c r="AA81" i="11"/>
  <c r="AB481" i="9"/>
  <c r="AC483" i="9"/>
  <c r="J61" i="11"/>
  <c r="AB61" i="11" s="1"/>
  <c r="J43" i="11"/>
  <c r="AB43" i="11" s="1"/>
  <c r="J67" i="11"/>
  <c r="AB67" i="11" s="1"/>
  <c r="J13" i="11"/>
  <c r="AB13" i="11"/>
  <c r="J25" i="11"/>
  <c r="AB25" i="11" s="1"/>
  <c r="J37" i="11"/>
  <c r="AB37" i="11" s="1"/>
  <c r="J38" i="11" s="1"/>
  <c r="J19" i="11"/>
  <c r="AB19" i="11"/>
  <c r="J20" i="11" s="1"/>
  <c r="CC330" i="9"/>
  <c r="BN267" i="9"/>
  <c r="J114" i="11"/>
  <c r="AB114" i="11"/>
  <c r="BC409" i="9"/>
  <c r="AX413" i="9" s="1"/>
  <c r="Z107" i="11"/>
  <c r="AC106" i="11"/>
  <c r="I21" i="10" s="1"/>
  <c r="BI199" i="9"/>
  <c r="AH217" i="9"/>
  <c r="AA104" i="11"/>
  <c r="Z104" i="11" s="1"/>
  <c r="BI132" i="9"/>
  <c r="W150" i="9"/>
  <c r="AS199" i="9"/>
  <c r="BO199" i="9"/>
  <c r="AC99" i="11"/>
  <c r="I20" i="10"/>
  <c r="Z100" i="11"/>
  <c r="Z48" i="11"/>
  <c r="Z84" i="11"/>
  <c r="Z5" i="11"/>
  <c r="AA29" i="11"/>
  <c r="Z33" i="11"/>
  <c r="AB20" i="11"/>
  <c r="Z20" i="11" s="1"/>
  <c r="Z19" i="11"/>
  <c r="AB38" i="11"/>
  <c r="AB35" i="11" s="1"/>
  <c r="H9" i="10" s="1"/>
  <c r="P72" i="9" s="1"/>
  <c r="Z38" i="11"/>
  <c r="Z37" i="11"/>
  <c r="Z101" i="11"/>
  <c r="J102" i="11"/>
  <c r="AB102" i="11"/>
  <c r="Z102" i="11"/>
  <c r="G15" i="10"/>
  <c r="AA10" i="11"/>
  <c r="Z15" i="11"/>
  <c r="Z96" i="11"/>
  <c r="AB93" i="11"/>
  <c r="H19" i="10"/>
  <c r="AA83" i="11"/>
  <c r="Z87" i="11"/>
  <c r="P287" i="9"/>
  <c r="AL287" i="9"/>
  <c r="P219" i="9"/>
  <c r="AM219" i="9" s="1"/>
  <c r="Z13" i="11"/>
  <c r="Z57" i="11"/>
  <c r="AA93" i="11"/>
  <c r="AA4" i="11"/>
  <c r="Z8" i="11"/>
  <c r="AB296" i="9"/>
  <c r="AB294" i="9"/>
  <c r="AB288" i="9"/>
  <c r="AB289" i="9"/>
  <c r="AB287" i="9"/>
  <c r="AB295" i="9"/>
  <c r="AN289" i="9"/>
  <c r="DA290" i="9"/>
  <c r="Q303" i="9" s="1"/>
  <c r="Z116" i="11"/>
  <c r="AS428" i="9"/>
  <c r="AB432" i="9" s="1"/>
  <c r="BF413" i="9"/>
  <c r="BN416" i="9" s="1"/>
  <c r="AP411" i="9"/>
  <c r="BD415" i="9" s="1"/>
  <c r="Z25" i="11"/>
  <c r="AQ454" i="9"/>
  <c r="AB227" i="9"/>
  <c r="AB219" i="9"/>
  <c r="AB221" i="9"/>
  <c r="AB220" i="9"/>
  <c r="AB228" i="9"/>
  <c r="AM221" i="9"/>
  <c r="DA222" i="9"/>
  <c r="AB226" i="9"/>
  <c r="Z91" i="11"/>
  <c r="AA89" i="11"/>
  <c r="AB4" i="11"/>
  <c r="H4" i="10" s="1"/>
  <c r="Q37" i="9" s="1"/>
  <c r="Z110" i="11"/>
  <c r="AA106" i="11"/>
  <c r="G11" i="10"/>
  <c r="R271" i="9"/>
  <c r="CY271" i="9" s="1"/>
  <c r="Q235" i="9"/>
  <c r="AB99" i="11"/>
  <c r="H20" i="10"/>
  <c r="G5" i="10"/>
  <c r="P43" i="9" s="1"/>
  <c r="AB17" i="11"/>
  <c r="H6" i="10" s="1"/>
  <c r="CY290" i="9"/>
  <c r="Q301" i="9" s="1"/>
  <c r="P319" i="9"/>
  <c r="AZ319" i="9"/>
  <c r="CY322" i="9" s="1"/>
  <c r="CY222" i="9"/>
  <c r="G14" i="10"/>
  <c r="G8" i="10"/>
  <c r="G21" i="10"/>
  <c r="AB430" i="9"/>
  <c r="G4" i="10"/>
  <c r="Q36" i="9" s="1"/>
  <c r="Q308" i="9"/>
  <c r="F4" i="10"/>
  <c r="P159" i="9"/>
  <c r="AK159" i="9" s="1"/>
  <c r="P294" i="9"/>
  <c r="AL294" i="9" s="1"/>
  <c r="P226" i="9"/>
  <c r="AL226" i="9" s="1"/>
  <c r="P456" i="9"/>
  <c r="AK456" i="9"/>
  <c r="P92" i="9"/>
  <c r="Q233" i="9"/>
  <c r="CY459" i="9"/>
  <c r="AU201" i="9" l="1"/>
  <c r="BQ201" i="9"/>
  <c r="Q465" i="9"/>
  <c r="Q106" i="9"/>
  <c r="AK463" i="9"/>
  <c r="AB59" i="11"/>
  <c r="Z61" i="11"/>
  <c r="J62" i="11"/>
  <c r="AB62" i="11" s="1"/>
  <c r="Z62" i="11" s="1"/>
  <c r="Z43" i="11"/>
  <c r="J44" i="11"/>
  <c r="AB44" i="11" s="1"/>
  <c r="Z44" i="11" s="1"/>
  <c r="R203" i="9"/>
  <c r="AH303" i="9"/>
  <c r="DA304" i="9" s="1"/>
  <c r="Y310" i="9" s="1"/>
  <c r="Z67" i="11"/>
  <c r="J68" i="11"/>
  <c r="AB68" i="11" s="1"/>
  <c r="Z68" i="11" s="1"/>
  <c r="R128" i="9"/>
  <c r="P85" i="9"/>
  <c r="AR85" i="9" s="1"/>
  <c r="Q482" i="9"/>
  <c r="AI482" i="9" s="1"/>
  <c r="CZ484" i="9" s="1"/>
  <c r="Q489" i="9" s="1"/>
  <c r="CZ491" i="9" s="1"/>
  <c r="CZ475" i="9" s="1"/>
  <c r="H11" i="8" s="1"/>
  <c r="Q502" i="9"/>
  <c r="AI502" i="9" s="1"/>
  <c r="CZ504" i="9" s="1"/>
  <c r="Q509" i="9" s="1"/>
  <c r="CZ511" i="9" s="1"/>
  <c r="CZ493" i="9" s="1"/>
  <c r="H12" i="8" s="1"/>
  <c r="CY229" i="9"/>
  <c r="G19" i="10"/>
  <c r="Z93" i="11"/>
  <c r="CY297" i="9"/>
  <c r="CY162" i="9"/>
  <c r="AB458" i="9"/>
  <c r="AB456" i="9"/>
  <c r="AB457" i="9"/>
  <c r="P57" i="9"/>
  <c r="Q51" i="9"/>
  <c r="P338" i="9"/>
  <c r="G22" i="10"/>
  <c r="G9" i="10"/>
  <c r="P443" i="9"/>
  <c r="AL233" i="9"/>
  <c r="G17" i="10"/>
  <c r="AJ426" i="9"/>
  <c r="Z81" i="11"/>
  <c r="AA77" i="11"/>
  <c r="Z4" i="11"/>
  <c r="BA521" i="9"/>
  <c r="BO522" i="9"/>
  <c r="P483" i="9"/>
  <c r="AI483" i="9" s="1"/>
  <c r="DA484" i="9" s="1"/>
  <c r="Q490" i="9" s="1"/>
  <c r="DA491" i="9" s="1"/>
  <c r="DA475" i="9" s="1"/>
  <c r="I11" i="8" s="1"/>
  <c r="P503" i="9"/>
  <c r="AI503" i="9" s="1"/>
  <c r="DA504" i="9" s="1"/>
  <c r="Q510" i="9" s="1"/>
  <c r="DA511" i="9" s="1"/>
  <c r="DA493" i="9" s="1"/>
  <c r="I12" i="8" s="1"/>
  <c r="AB431" i="9"/>
  <c r="CA359" i="9"/>
  <c r="R363" i="9" s="1"/>
  <c r="J86" i="11"/>
  <c r="AB86" i="11" s="1"/>
  <c r="Z86" i="11" s="1"/>
  <c r="AB83" i="11"/>
  <c r="H17" i="10" s="1"/>
  <c r="P431" i="9" s="1"/>
  <c r="AJ431" i="9" s="1"/>
  <c r="CZ433" i="9" s="1"/>
  <c r="BR417" i="9"/>
  <c r="DA418" i="9" s="1"/>
  <c r="G279" i="9"/>
  <c r="J115" i="11"/>
  <c r="AB115" i="11" s="1"/>
  <c r="Z115" i="11" s="1"/>
  <c r="Q350" i="9"/>
  <c r="AB416" i="9"/>
  <c r="AQ37" i="9"/>
  <c r="CZ39" i="9" s="1"/>
  <c r="AB71" i="11"/>
  <c r="AK350" i="9"/>
  <c r="AB415" i="9"/>
  <c r="Z279" i="9"/>
  <c r="DA279" i="9" s="1"/>
  <c r="G18" i="10"/>
  <c r="Z17" i="11"/>
  <c r="BD417" i="9"/>
  <c r="P64" i="9"/>
  <c r="AR64" i="9" s="1"/>
  <c r="AA99" i="11"/>
  <c r="Z49" i="11"/>
  <c r="J50" i="11"/>
  <c r="AB50" i="11" s="1"/>
  <c r="AB417" i="9"/>
  <c r="Z114" i="11"/>
  <c r="Z350" i="9"/>
  <c r="BH416" i="9"/>
  <c r="AR43" i="9"/>
  <c r="J80" i="11"/>
  <c r="AB80" i="11" s="1"/>
  <c r="Z69" i="11"/>
  <c r="J26" i="11"/>
  <c r="AB26" i="11" s="1"/>
  <c r="Z26" i="11" s="1"/>
  <c r="J14" i="11"/>
  <c r="AB14" i="11" s="1"/>
  <c r="Z14" i="11" s="1"/>
  <c r="AB501" i="9"/>
  <c r="AB53" i="11"/>
  <c r="BB255" i="9"/>
  <c r="BV255" i="9" s="1"/>
  <c r="R263" i="9" s="1"/>
  <c r="BB187" i="9"/>
  <c r="BV187" i="9" s="1"/>
  <c r="R195" i="9" s="1"/>
  <c r="J109" i="11"/>
  <c r="AB109" i="11" s="1"/>
  <c r="Z31" i="11"/>
  <c r="J32" i="11"/>
  <c r="AB32" i="11" s="1"/>
  <c r="AH411" i="9"/>
  <c r="AB154" i="9"/>
  <c r="AB159" i="9"/>
  <c r="AL154" i="9"/>
  <c r="DA155" i="9" s="1"/>
  <c r="AG413" i="9"/>
  <c r="AR439" i="9"/>
  <c r="BO132" i="9"/>
  <c r="R136" i="9" s="1"/>
  <c r="Q228" i="9"/>
  <c r="AM228" i="9" s="1"/>
  <c r="DA229" i="9" s="1"/>
  <c r="Y235" i="9" s="1"/>
  <c r="AN16" i="9"/>
  <c r="AC89" i="11"/>
  <c r="I18" i="10" s="1"/>
  <c r="BB16" i="9"/>
  <c r="AX50" i="9" s="1"/>
  <c r="CB20" i="9"/>
  <c r="AC53" i="11"/>
  <c r="I12" i="10" s="1"/>
  <c r="AC17" i="11"/>
  <c r="I6" i="10" s="1"/>
  <c r="Q52" i="9" s="1"/>
  <c r="Z72" i="11"/>
  <c r="Z94" i="11"/>
  <c r="CY53" i="9" l="1"/>
  <c r="AH235" i="9"/>
  <c r="DA236" i="9" s="1"/>
  <c r="Y242" i="9" s="1"/>
  <c r="Z32" i="11"/>
  <c r="AB29" i="11"/>
  <c r="Y166" i="9"/>
  <c r="AH166" i="9"/>
  <c r="Q464" i="9"/>
  <c r="CY236" i="9"/>
  <c r="Z140" i="9"/>
  <c r="CZ140" i="9" s="1"/>
  <c r="CZ128" i="9"/>
  <c r="G140" i="9"/>
  <c r="P525" i="9"/>
  <c r="AL525" i="9" s="1"/>
  <c r="AB65" i="11"/>
  <c r="CY88" i="9"/>
  <c r="AB41" i="11"/>
  <c r="Z50" i="11"/>
  <c r="AB47" i="11"/>
  <c r="AJ59" i="9"/>
  <c r="DA60" i="9" s="1"/>
  <c r="AO101" i="9" s="1"/>
  <c r="Q100" i="9"/>
  <c r="Q472" i="9"/>
  <c r="AQ52" i="9"/>
  <c r="DA53" i="9" s="1"/>
  <c r="AH101" i="9" s="1"/>
  <c r="AB10" i="11"/>
  <c r="AR92" i="9"/>
  <c r="Z80" i="11"/>
  <c r="AB77" i="11"/>
  <c r="H16" i="10" s="1"/>
  <c r="P416" i="9" s="1"/>
  <c r="AQ38" i="9"/>
  <c r="DA39" i="9" s="1"/>
  <c r="P458" i="9"/>
  <c r="AK458" i="9" s="1"/>
  <c r="DA459" i="9" s="1"/>
  <c r="AK465" i="9" s="1"/>
  <c r="P94" i="9"/>
  <c r="AK94" i="9" s="1"/>
  <c r="DA95" i="9" s="1"/>
  <c r="BY101" i="9" s="1"/>
  <c r="AK73" i="9"/>
  <c r="DA74" i="9" s="1"/>
  <c r="BD101" i="9" s="1"/>
  <c r="AK87" i="9"/>
  <c r="DA88" i="9" s="1"/>
  <c r="BR101" i="9" s="1"/>
  <c r="AL301" i="9"/>
  <c r="AA301" i="9"/>
  <c r="G20" i="10"/>
  <c r="Z99" i="11"/>
  <c r="CY67" i="9"/>
  <c r="AB66" i="9"/>
  <c r="AB71" i="9"/>
  <c r="AB93" i="9"/>
  <c r="AC38" i="9"/>
  <c r="AB92" i="9"/>
  <c r="AB52" i="9"/>
  <c r="AC36" i="9"/>
  <c r="AB58" i="9"/>
  <c r="AB86" i="9"/>
  <c r="AB59" i="9"/>
  <c r="AB50" i="9"/>
  <c r="AB94" i="9"/>
  <c r="AB65" i="9"/>
  <c r="AB78" i="9"/>
  <c r="AC37" i="9"/>
  <c r="AB85" i="9"/>
  <c r="AB51" i="9"/>
  <c r="AB87" i="9"/>
  <c r="AB64" i="9"/>
  <c r="AB73" i="9"/>
  <c r="AB79" i="9"/>
  <c r="AB80" i="9"/>
  <c r="AB57" i="9"/>
  <c r="AB43" i="9"/>
  <c r="AB44" i="9"/>
  <c r="AB45" i="9"/>
  <c r="AB72" i="9"/>
  <c r="CY136" i="9"/>
  <c r="G144" i="9"/>
  <c r="Z144" i="9"/>
  <c r="DA144" i="9" s="1"/>
  <c r="F9" i="10"/>
  <c r="P71" i="9"/>
  <c r="AR71" i="9" s="1"/>
  <c r="Z109" i="11"/>
  <c r="AB106" i="11"/>
  <c r="AB112" i="11"/>
  <c r="G16" i="10"/>
  <c r="Z77" i="11"/>
  <c r="Z211" i="9"/>
  <c r="DA211" i="9" s="1"/>
  <c r="G211" i="9"/>
  <c r="CY203" i="9"/>
  <c r="AB23" i="11"/>
  <c r="CZ342" i="9"/>
  <c r="AB341" i="9"/>
  <c r="DA342" i="9" s="1"/>
  <c r="J341" i="9"/>
  <c r="AK72" i="9"/>
  <c r="CZ74" i="9" s="1"/>
  <c r="AY100" i="9" s="1"/>
  <c r="CZ195" i="9"/>
  <c r="Z207" i="9"/>
  <c r="CZ207" i="9" s="1"/>
  <c r="G207" i="9"/>
  <c r="Y367" i="9"/>
  <c r="CY367" i="9" s="1"/>
  <c r="CZ363" i="9"/>
  <c r="Q372" i="9" s="1"/>
  <c r="CZ374" i="9" s="1"/>
  <c r="CZ355" i="9" s="1"/>
  <c r="H9" i="8" s="1"/>
  <c r="G367" i="9"/>
  <c r="F19" i="10"/>
  <c r="AL441" i="9"/>
  <c r="AQ441" i="9"/>
  <c r="AR78" i="9"/>
  <c r="Z275" i="9"/>
  <c r="CZ275" i="9" s="1"/>
  <c r="G275" i="9"/>
  <c r="CZ263" i="9"/>
  <c r="Z53" i="11"/>
  <c r="H12" i="10"/>
  <c r="Z89" i="11"/>
  <c r="F6" i="10"/>
  <c r="AA233" i="9"/>
  <c r="AB525" i="9"/>
  <c r="AB527" i="9"/>
  <c r="AB526" i="9"/>
  <c r="AL527" i="9"/>
  <c r="DA528" i="9" s="1"/>
  <c r="Q534" i="9" s="1"/>
  <c r="DA535" i="9" s="1"/>
  <c r="DA513" i="9" s="1"/>
  <c r="I13" i="8" s="1"/>
  <c r="AK80" i="9"/>
  <c r="DA81" i="9" s="1"/>
  <c r="BK101" i="9" s="1"/>
  <c r="AK66" i="9"/>
  <c r="DA67" i="9" s="1"/>
  <c r="AW101" i="9" s="1"/>
  <c r="F18" i="10"/>
  <c r="AQ51" i="9"/>
  <c r="CZ53" i="9" s="1"/>
  <c r="AF100" i="9" s="1"/>
  <c r="Q168" i="9"/>
  <c r="AH168" i="9"/>
  <c r="DA169" i="9" s="1"/>
  <c r="Y175" i="9" s="1"/>
  <c r="CX279" i="9"/>
  <c r="Q310" i="9"/>
  <c r="AJ310" i="9"/>
  <c r="DA311" i="9" s="1"/>
  <c r="DA245" i="9" s="1"/>
  <c r="I7" i="8" s="1"/>
  <c r="Z83" i="11"/>
  <c r="AR57" i="9"/>
  <c r="H13" i="10"/>
  <c r="Z59" i="11"/>
  <c r="F17" i="10"/>
  <c r="P430" i="9"/>
  <c r="AJ430" i="9" s="1"/>
  <c r="AZ36" i="9"/>
  <c r="Z71" i="11"/>
  <c r="H15" i="10"/>
  <c r="CY46" i="9"/>
  <c r="AJ45" i="9"/>
  <c r="DA46" i="9" s="1"/>
  <c r="AA101" i="9" s="1"/>
  <c r="CY353" i="9"/>
  <c r="Q101" i="9" l="1"/>
  <c r="CG101" i="9"/>
  <c r="DA102" i="9" s="1"/>
  <c r="Q108" i="9" s="1"/>
  <c r="DA109" i="9" s="1"/>
  <c r="DA4" i="9" s="1"/>
  <c r="I4" i="8" s="1"/>
  <c r="CY169" i="9"/>
  <c r="H21" i="10"/>
  <c r="F21" i="10" s="1"/>
  <c r="Z106" i="11"/>
  <c r="AW99" i="9"/>
  <c r="Z23" i="11"/>
  <c r="H7" i="10"/>
  <c r="CY60" i="9"/>
  <c r="F20" i="10"/>
  <c r="P501" i="9"/>
  <c r="AP501" i="9" s="1"/>
  <c r="P481" i="9"/>
  <c r="AH481" i="9" s="1"/>
  <c r="AX416" i="9"/>
  <c r="CA416" i="9"/>
  <c r="CZ418" i="9" s="1"/>
  <c r="Z41" i="11"/>
  <c r="H10" i="10"/>
  <c r="Y99" i="9"/>
  <c r="AF74" i="9"/>
  <c r="CY74" i="9"/>
  <c r="H8" i="10"/>
  <c r="Z29" i="11"/>
  <c r="Q241" i="9"/>
  <c r="BU99" i="9"/>
  <c r="Q242" i="9"/>
  <c r="AH242" i="9"/>
  <c r="DA243" i="9" s="1"/>
  <c r="DA178" i="9" s="1"/>
  <c r="I6" i="8" s="1"/>
  <c r="CX211" i="9"/>
  <c r="H22" i="10"/>
  <c r="Z112" i="11"/>
  <c r="CX207" i="9"/>
  <c r="AB241" i="9"/>
  <c r="H14" i="10"/>
  <c r="Z65" i="11"/>
  <c r="CY313" i="9"/>
  <c r="G8" i="8" s="1"/>
  <c r="H11" i="10"/>
  <c r="Z47" i="11"/>
  <c r="S342" i="9"/>
  <c r="CY528" i="9"/>
  <c r="AA352" i="9"/>
  <c r="AL352" i="9"/>
  <c r="DA353" i="9" s="1"/>
  <c r="DA313" i="9" s="1"/>
  <c r="I8" i="8" s="1"/>
  <c r="Q173" i="9"/>
  <c r="F13" i="10"/>
  <c r="Q220" i="9"/>
  <c r="AM220" i="9" s="1"/>
  <c r="Q153" i="9"/>
  <c r="AL153" i="9" s="1"/>
  <c r="Q288" i="9"/>
  <c r="AN288" i="9" s="1"/>
  <c r="Z10" i="11"/>
  <c r="H5" i="10"/>
  <c r="Q175" i="9"/>
  <c r="CX144" i="9"/>
  <c r="AH175" i="9"/>
  <c r="DA176" i="9" s="1"/>
  <c r="DA111" i="9" s="1"/>
  <c r="I5" i="8" s="1"/>
  <c r="P93" i="9"/>
  <c r="AK93" i="9" s="1"/>
  <c r="CZ95" i="9" s="1"/>
  <c r="BT100" i="9" s="1"/>
  <c r="P457" i="9"/>
  <c r="AK457" i="9" s="1"/>
  <c r="F12" i="10"/>
  <c r="CX275" i="9"/>
  <c r="AB309" i="9"/>
  <c r="CX367" i="9"/>
  <c r="Q371" i="9"/>
  <c r="Q240" i="9"/>
  <c r="AL240" i="9"/>
  <c r="F15" i="10"/>
  <c r="P320" i="9"/>
  <c r="AT320" i="9" s="1"/>
  <c r="Q174" i="9"/>
  <c r="AF433" i="9"/>
  <c r="CY433" i="9"/>
  <c r="CX140" i="9"/>
  <c r="AB174" i="9"/>
  <c r="AL53" i="9"/>
  <c r="CX53" i="9"/>
  <c r="AG99" i="9"/>
  <c r="CY304" i="9"/>
  <c r="AA240" i="9"/>
  <c r="AM39" i="9"/>
  <c r="CY39" i="9"/>
  <c r="AA351" i="9"/>
  <c r="CX342" i="9"/>
  <c r="CY95" i="9"/>
  <c r="AF95" i="9"/>
  <c r="F16" i="10"/>
  <c r="P415" i="9"/>
  <c r="CY81" i="9"/>
  <c r="AK445" i="9"/>
  <c r="DA446" i="9" s="1"/>
  <c r="AB443" i="9"/>
  <c r="AB445" i="9"/>
  <c r="AB444" i="9"/>
  <c r="Q309" i="9"/>
  <c r="AK443" i="9"/>
  <c r="AA308" i="9" l="1"/>
  <c r="AL308" i="9"/>
  <c r="CY243" i="9"/>
  <c r="P44" i="9"/>
  <c r="AJ44" i="9" s="1"/>
  <c r="F5" i="10"/>
  <c r="BE99" i="9"/>
  <c r="CX74" i="9"/>
  <c r="AA173" i="9"/>
  <c r="CY446" i="9"/>
  <c r="Q471" i="9"/>
  <c r="AC484" i="9"/>
  <c r="CY484" i="9"/>
  <c r="CZ155" i="9"/>
  <c r="AH155" i="9"/>
  <c r="Z465" i="9"/>
  <c r="AW465" i="9"/>
  <c r="DA466" i="9" s="1"/>
  <c r="AC504" i="9"/>
  <c r="CY504" i="9"/>
  <c r="CZ222" i="9"/>
  <c r="AH222" i="9"/>
  <c r="AO99" i="9"/>
  <c r="CZ322" i="9"/>
  <c r="AC322" i="9"/>
  <c r="CX95" i="9"/>
  <c r="CC99" i="9"/>
  <c r="Q532" i="9"/>
  <c r="CX433" i="9"/>
  <c r="AW463" i="9"/>
  <c r="Q463" i="9"/>
  <c r="P58" i="9"/>
  <c r="AK58" i="9" s="1"/>
  <c r="F7" i="10"/>
  <c r="P526" i="9"/>
  <c r="AN526" i="9" s="1"/>
  <c r="F22" i="10"/>
  <c r="CZ290" i="9"/>
  <c r="AH290" i="9"/>
  <c r="F29" i="3"/>
  <c r="L29" i="3"/>
  <c r="Q99" i="9"/>
  <c r="CL99" i="9"/>
  <c r="CX39" i="9"/>
  <c r="P444" i="9"/>
  <c r="AK444" i="9" s="1"/>
  <c r="CZ446" i="9" s="1"/>
  <c r="P86" i="9"/>
  <c r="AK86" i="9" s="1"/>
  <c r="F11" i="10"/>
  <c r="BQ415" i="9"/>
  <c r="AT415" i="9"/>
  <c r="CZ459" i="9"/>
  <c r="AF459" i="9"/>
  <c r="AL173" i="9"/>
  <c r="BM99" i="9"/>
  <c r="Q160" i="9"/>
  <c r="AL160" i="9" s="1"/>
  <c r="Q227" i="9"/>
  <c r="AM227" i="9" s="1"/>
  <c r="Q295" i="9"/>
  <c r="AM295" i="9" s="1"/>
  <c r="F14" i="10"/>
  <c r="Q79" i="9"/>
  <c r="AK79" i="9" s="1"/>
  <c r="F10" i="10"/>
  <c r="R374" i="9"/>
  <c r="CY374" i="9"/>
  <c r="P65" i="9"/>
  <c r="AK65" i="9" s="1"/>
  <c r="F8" i="10"/>
  <c r="CZ60" i="9" l="1"/>
  <c r="AF60" i="9"/>
  <c r="CY176" i="9"/>
  <c r="Q302" i="9"/>
  <c r="AH302" i="9"/>
  <c r="CX290" i="9"/>
  <c r="CY178" i="9"/>
  <c r="G6" i="8" s="1"/>
  <c r="CZ162" i="9"/>
  <c r="AG162" i="9"/>
  <c r="CY535" i="9"/>
  <c r="AH234" i="9"/>
  <c r="Q234" i="9"/>
  <c r="CX222" i="9"/>
  <c r="CY102" i="9"/>
  <c r="BL418" i="9"/>
  <c r="CY418" i="9"/>
  <c r="Q508" i="9"/>
  <c r="CX504" i="9"/>
  <c r="AM464" i="9"/>
  <c r="CX459" i="9"/>
  <c r="AC472" i="9"/>
  <c r="AO472" i="9"/>
  <c r="DA473" i="9" s="1"/>
  <c r="DA376" i="9" s="1"/>
  <c r="I10" i="8" s="1"/>
  <c r="CZ67" i="9"/>
  <c r="AF67" i="9"/>
  <c r="CY311" i="9"/>
  <c r="CZ229" i="9"/>
  <c r="AG229" i="9"/>
  <c r="CZ46" i="9"/>
  <c r="AE46" i="9"/>
  <c r="CY466" i="9"/>
  <c r="R466" i="9"/>
  <c r="CX484" i="9"/>
  <c r="Q488" i="9"/>
  <c r="AB464" i="9"/>
  <c r="AY464" i="9"/>
  <c r="CZ466" i="9" s="1"/>
  <c r="AB463" i="9"/>
  <c r="CX446" i="9"/>
  <c r="Q351" i="9"/>
  <c r="AL351" i="9"/>
  <c r="CX322" i="9"/>
  <c r="CZ528" i="9"/>
  <c r="AH528" i="9"/>
  <c r="AF446" i="9"/>
  <c r="Q167" i="9"/>
  <c r="CX155" i="9"/>
  <c r="CY355" i="9"/>
  <c r="G9" i="8" s="1"/>
  <c r="CX374" i="9"/>
  <c r="CX355" i="9" s="1"/>
  <c r="CZ297" i="9"/>
  <c r="AG297" i="9"/>
  <c r="CZ88" i="9"/>
  <c r="AF88" i="9"/>
  <c r="CZ81" i="9"/>
  <c r="AF81" i="9"/>
  <c r="AR100" i="9" l="1"/>
  <c r="CX67" i="9"/>
  <c r="BF100" i="9"/>
  <c r="CX81" i="9"/>
  <c r="CZ304" i="9"/>
  <c r="R304" i="9"/>
  <c r="CZ236" i="9"/>
  <c r="R236" i="9"/>
  <c r="CY491" i="9"/>
  <c r="R491" i="9"/>
  <c r="AK100" i="9"/>
  <c r="CX60" i="9"/>
  <c r="BM100" i="9"/>
  <c r="CX88" i="9"/>
  <c r="Y100" i="9"/>
  <c r="BZ100" i="9"/>
  <c r="CX46" i="9"/>
  <c r="Y167" i="9"/>
  <c r="CX162" i="9"/>
  <c r="Q533" i="9"/>
  <c r="CX528" i="9"/>
  <c r="AE167" i="9"/>
  <c r="Y234" i="9"/>
  <c r="CX229" i="9"/>
  <c r="F33" i="3"/>
  <c r="L33" i="3"/>
  <c r="Y302" i="9"/>
  <c r="CX297" i="9"/>
  <c r="R511" i="9"/>
  <c r="CY511" i="9"/>
  <c r="CX466" i="9"/>
  <c r="AE470" i="9"/>
  <c r="Q470" i="9"/>
  <c r="CX418" i="9"/>
  <c r="AR470" i="9"/>
  <c r="CZ353" i="9"/>
  <c r="R353" i="9"/>
  <c r="CY245" i="9"/>
  <c r="G7" i="8" s="1"/>
  <c r="F9" i="8"/>
  <c r="AC471" i="9"/>
  <c r="AO471" i="9"/>
  <c r="CZ473" i="9" s="1"/>
  <c r="CZ376" i="9" s="1"/>
  <c r="H10" i="8" s="1"/>
  <c r="Y106" i="9"/>
  <c r="AJ106" i="9"/>
  <c r="CY111" i="9"/>
  <c r="G5" i="8" s="1"/>
  <c r="CY513" i="9"/>
  <c r="G13" i="8" s="1"/>
  <c r="CX491" i="9" l="1"/>
  <c r="CX475" i="9" s="1"/>
  <c r="CY475" i="9"/>
  <c r="G11" i="8" s="1"/>
  <c r="F11" i="8" s="1"/>
  <c r="CZ535" i="9"/>
  <c r="R535" i="9"/>
  <c r="CZ313" i="9"/>
  <c r="H8" i="8" s="1"/>
  <c r="CX353" i="9"/>
  <c r="CX313" i="9" s="1"/>
  <c r="AJ241" i="9"/>
  <c r="AS241" i="9"/>
  <c r="CX236" i="9"/>
  <c r="CZ102" i="9"/>
  <c r="R102" i="9"/>
  <c r="AJ309" i="9"/>
  <c r="AU309" i="9"/>
  <c r="CX304" i="9"/>
  <c r="CY473" i="9"/>
  <c r="R473" i="9"/>
  <c r="CZ169" i="9"/>
  <c r="R169" i="9"/>
  <c r="CY109" i="9"/>
  <c r="CY493" i="9"/>
  <c r="G12" i="8" s="1"/>
  <c r="CX511" i="9"/>
  <c r="CX493" i="9" s="1"/>
  <c r="AJ174" i="9" l="1"/>
  <c r="AS174" i="9"/>
  <c r="CX169" i="9"/>
  <c r="CZ243" i="9"/>
  <c r="R243" i="9"/>
  <c r="W107" i="9"/>
  <c r="AF107" i="9"/>
  <c r="CX102" i="9"/>
  <c r="CY4" i="9"/>
  <c r="G4" i="8" s="1"/>
  <c r="F8" i="8"/>
  <c r="CY376" i="9"/>
  <c r="G10" i="8" s="1"/>
  <c r="CX473" i="9"/>
  <c r="CX376" i="9" s="1"/>
  <c r="F12" i="8"/>
  <c r="CZ311" i="9"/>
  <c r="R311" i="9"/>
  <c r="CZ513" i="9"/>
  <c r="H13" i="8" s="1"/>
  <c r="CX535" i="9"/>
  <c r="CX513" i="9" s="1"/>
  <c r="CZ176" i="9" l="1"/>
  <c r="R176" i="9"/>
  <c r="CZ178" i="9"/>
  <c r="H6" i="8" s="1"/>
  <c r="CX243" i="9"/>
  <c r="CX178" i="9" s="1"/>
  <c r="CZ109" i="9"/>
  <c r="R109" i="9"/>
  <c r="F13" i="8"/>
  <c r="F10" i="8"/>
  <c r="CZ245" i="9"/>
  <c r="H7" i="8" s="1"/>
  <c r="CX311" i="9"/>
  <c r="CX245" i="9" s="1"/>
  <c r="CZ111" i="9" l="1"/>
  <c r="H5" i="8" s="1"/>
  <c r="CX176" i="9"/>
  <c r="CX111" i="9" s="1"/>
  <c r="F7" i="8"/>
  <c r="CZ4" i="9"/>
  <c r="H4" i="8" s="1"/>
  <c r="CX109" i="9"/>
  <c r="CX4" i="9" s="1"/>
  <c r="F6" i="8"/>
  <c r="F28" i="3"/>
  <c r="L28" i="3"/>
  <c r="F5" i="8" l="1"/>
  <c r="F4" i="8"/>
  <c r="F11" i="3" l="1"/>
  <c r="F5" i="3" l="1"/>
  <c r="F7" i="3" s="1"/>
  <c r="F8" i="3" l="1"/>
  <c r="F22" i="3"/>
  <c r="F19" i="3"/>
  <c r="F18" i="3"/>
  <c r="F20" i="3"/>
  <c r="F9" i="3" l="1"/>
  <c r="F10" i="3" s="1"/>
  <c r="F15" i="3"/>
  <c r="F14" i="3"/>
  <c r="F17" i="3"/>
  <c r="F13" i="3" l="1"/>
  <c r="F12" i="3"/>
  <c r="F23" i="3"/>
  <c r="F16" i="3"/>
  <c r="F24" i="3" l="1"/>
  <c r="F25" i="3" l="1"/>
  <c r="F26" i="3" l="1"/>
  <c r="F27" i="3" l="1"/>
  <c r="F30" i="3"/>
  <c r="L52" i="3" l="1"/>
  <c r="F31" i="3" s="1"/>
  <c r="F32" i="3" l="1"/>
  <c r="F34" i="3" l="1"/>
</calcChain>
</file>

<file path=xl/sharedStrings.xml><?xml version="1.0" encoding="utf-8"?>
<sst xmlns="http://schemas.openxmlformats.org/spreadsheetml/2006/main" count="7513" uniqueCount="1259">
  <si>
    <t>보수용 모르타르</t>
  </si>
  <si>
    <t>시공구간이</t>
  </si>
  <si>
    <t>규  격</t>
  </si>
  <si>
    <t>단  가</t>
  </si>
  <si>
    <t>4 × 0.03595</t>
  </si>
  <si>
    <t>◈</t>
  </si>
  <si>
    <t>年</t>
  </si>
  <si>
    <t>(일반용)</t>
  </si>
  <si>
    <t>물탱크</t>
  </si>
  <si>
    <t>17. 교량점검차</t>
  </si>
  <si>
    <t>비     고</t>
  </si>
  <si>
    <t>모터 그레이더</t>
  </si>
  <si>
    <t>방 수 공</t>
  </si>
  <si>
    <t>I × 0.1</t>
  </si>
  <si>
    <t>2.53%</t>
  </si>
  <si>
    <t>일위17참조</t>
  </si>
  <si>
    <t>주입공법, 주간</t>
  </si>
  <si>
    <t>2.차선도색(융착식,일반형)-운행도로,차량부분통제(수동식,백색실선) [㎡]</t>
  </si>
  <si>
    <t>628(24.11)</t>
  </si>
  <si>
    <t>제13호표</t>
  </si>
  <si>
    <t>BA-ARA</t>
  </si>
  <si>
    <t>4 × 0.0475</t>
  </si>
  <si>
    <t>(8~15Ton)</t>
  </si>
  <si>
    <t>-</t>
  </si>
  <si>
    <t>잡  품</t>
  </si>
  <si>
    <t>228(26.2)</t>
  </si>
  <si>
    <t>14</t>
  </si>
  <si>
    <t>수 량</t>
  </si>
  <si>
    <t>자</t>
  </si>
  <si>
    <t>호평IC교(하)</t>
  </si>
  <si>
    <t>시공량</t>
  </si>
  <si>
    <t>31</t>
  </si>
  <si>
    <t>단면처리</t>
  </si>
  <si>
    <t>벽체T=50mm (야간)</t>
  </si>
  <si>
    <t>N2</t>
  </si>
  <si>
    <t>로우더</t>
  </si>
  <si>
    <t>재료비 소수 1 미만 절하</t>
  </si>
  <si>
    <t>조합공통품목, WC-6, 가열, 1등급</t>
  </si>
  <si>
    <t>일반용</t>
  </si>
  <si>
    <t>고정테이프</t>
  </si>
  <si>
    <t>벽체T=10mm (야간)</t>
  </si>
  <si>
    <t>제11호표</t>
  </si>
  <si>
    <t>용해기</t>
  </si>
  <si>
    <t>특별인부</t>
  </si>
  <si>
    <t>일위15참조</t>
  </si>
  <si>
    <t>mm</t>
  </si>
  <si>
    <t>0.7㎥</t>
  </si>
  <si>
    <t>2-6-1</t>
  </si>
  <si>
    <t>제17호표</t>
  </si>
  <si>
    <t>Q</t>
  </si>
  <si>
    <t>교통안전표지판</t>
  </si>
  <si>
    <t>9 × 0.1314</t>
  </si>
  <si>
    <t>0.57</t>
  </si>
  <si>
    <t>경유</t>
  </si>
  <si>
    <t>보통인부</t>
  </si>
  <si>
    <t>경    비</t>
  </si>
  <si>
    <t>일위13참조</t>
  </si>
  <si>
    <t>(2.5Ton)</t>
  </si>
  <si>
    <t>본품은</t>
  </si>
  <si>
    <t>같이</t>
  </si>
  <si>
    <t>화물차운전사</t>
  </si>
  <si>
    <t>잡    품</t>
  </si>
  <si>
    <t>267(26.2)</t>
  </si>
  <si>
    <t>부가가치세</t>
  </si>
  <si>
    <t>운반대수</t>
  </si>
  <si>
    <t>100</t>
  </si>
  <si>
    <t>7. 탠덤 로울러(자주식)</t>
  </si>
  <si>
    <t>구분</t>
  </si>
  <si>
    <t>90</t>
  </si>
  <si>
    <t>㎡임</t>
  </si>
  <si>
    <t>중급기술자</t>
  </si>
  <si>
    <t>이                  윤</t>
  </si>
  <si>
    <t>0.4%</t>
  </si>
  <si>
    <t>13.14%</t>
  </si>
  <si>
    <t>일위11참조</t>
  </si>
  <si>
    <t>경장비</t>
  </si>
  <si>
    <t>6.로봇신호수 설치 및 철거(한팔용)[조]</t>
  </si>
  <si>
    <t>B × 0.0356</t>
  </si>
  <si>
    <t>50</t>
  </si>
  <si>
    <t>설치비의</t>
  </si>
  <si>
    <t>발전기</t>
  </si>
  <si>
    <t>제15호표</t>
  </si>
  <si>
    <t>경비성단가</t>
  </si>
  <si>
    <t>&lt; 유리알 살포량은 '2022 교통노면표시 설치관리 업무편람(경찰청)' p.138 참조 &gt;</t>
  </si>
  <si>
    <t>(16000ℓ)</t>
  </si>
  <si>
    <t>12V60A</t>
  </si>
  <si>
    <t>일위대가</t>
  </si>
  <si>
    <t>2025년도</t>
  </si>
  <si>
    <t>단수정리</t>
  </si>
  <si>
    <t>)</t>
  </si>
  <si>
    <t>10</t>
  </si>
  <si>
    <t>f</t>
  </si>
  <si>
    <t>재포장하는</t>
  </si>
  <si>
    <t>PE드럼(분리형)</t>
  </si>
  <si>
    <t>도   급   예   정   액</t>
  </si>
  <si>
    <t>아스팔트페이버(피니셔)</t>
  </si>
  <si>
    <t>1/8*16/12*25/20*12/10</t>
  </si>
  <si>
    <t>균열 주입제(에폭시)</t>
  </si>
  <si>
    <t>553(19.8)</t>
  </si>
  <si>
    <t>제9호표</t>
  </si>
  <si>
    <t>운반</t>
  </si>
  <si>
    <t>물가정보</t>
  </si>
  <si>
    <t>보수공</t>
  </si>
  <si>
    <t>Cm</t>
  </si>
  <si>
    <t>라바콘</t>
  </si>
  <si>
    <t>사능1교(상)</t>
  </si>
  <si>
    <t>기계경비</t>
  </si>
  <si>
    <t>4. 아스팔트페이버(피니셔)</t>
  </si>
  <si>
    <t>단산3참조</t>
  </si>
  <si>
    <t>제28호표</t>
  </si>
  <si>
    <t>노무비의</t>
  </si>
  <si>
    <t>실선</t>
  </si>
  <si>
    <t>기본재료비</t>
  </si>
  <si>
    <t>2-7-1</t>
  </si>
  <si>
    <t>화   폐</t>
  </si>
  <si>
    <t>탱</t>
  </si>
  <si>
    <t>(4.5Ton)</t>
  </si>
  <si>
    <t>라인마커</t>
  </si>
  <si>
    <t>유로(E)</t>
  </si>
  <si>
    <t>폐기물운반비(상차제외)</t>
  </si>
  <si>
    <t>비            목</t>
  </si>
  <si>
    <t>퇴 직  공 제  부 금 비</t>
  </si>
  <si>
    <t>경    유</t>
  </si>
  <si>
    <t>/</t>
  </si>
  <si>
    <t>환  율</t>
  </si>
  <si>
    <t>16</t>
  </si>
  <si>
    <t>없는</t>
  </si>
  <si>
    <t>18</t>
  </si>
  <si>
    <t>단산1참조</t>
  </si>
  <si>
    <t>n</t>
  </si>
  <si>
    <t>주재료비의</t>
  </si>
  <si>
    <t>융착식프라이머</t>
  </si>
  <si>
    <t>can</t>
  </si>
  <si>
    <t>비   고</t>
  </si>
  <si>
    <t>휘</t>
  </si>
  <si>
    <t>2-1-2</t>
  </si>
  <si>
    <t>min</t>
  </si>
  <si>
    <t>팁</t>
  </si>
  <si>
    <t>엔(100￥)</t>
  </si>
  <si>
    <t>1102(26.2)</t>
  </si>
  <si>
    <t>단산7참조</t>
  </si>
  <si>
    <t>적용한다</t>
  </si>
  <si>
    <t>천정 붗칠2회</t>
  </si>
  <si>
    <t>0.95</t>
  </si>
  <si>
    <t>(1호,고휘도)</t>
  </si>
  <si>
    <t>차</t>
  </si>
  <si>
    <t>1호,고휘도</t>
  </si>
  <si>
    <t>퇴직공제부금비</t>
  </si>
  <si>
    <t>+</t>
  </si>
  <si>
    <t>￦×</t>
  </si>
  <si>
    <t>노임계수</t>
  </si>
  <si>
    <t>12</t>
  </si>
  <si>
    <t>일위28참조</t>
  </si>
  <si>
    <t>배치인원</t>
  </si>
  <si>
    <t>부   가   가   치   세</t>
  </si>
  <si>
    <t>0.7㎥(발파)</t>
  </si>
  <si>
    <t>교면복합시트</t>
  </si>
  <si>
    <t>%</t>
  </si>
  <si>
    <t>2.0m</t>
  </si>
  <si>
    <t>(A + B + C)</t>
  </si>
  <si>
    <t>경</t>
  </si>
  <si>
    <t>대</t>
  </si>
  <si>
    <t>1112(24.11)</t>
  </si>
  <si>
    <t>(A + 4 + 6) ×0.00081</t>
  </si>
  <si>
    <t>탠</t>
  </si>
  <si>
    <t>4.</t>
  </si>
  <si>
    <t>회절삭후</t>
  </si>
  <si>
    <t>4 × 0.165</t>
  </si>
  <si>
    <t>신구운교(춘천)</t>
  </si>
  <si>
    <t>운</t>
  </si>
  <si>
    <t>mm기준시</t>
  </si>
  <si>
    <t>16000ℓ</t>
  </si>
  <si>
    <t>초급기술자</t>
  </si>
  <si>
    <t>남양주시청</t>
  </si>
  <si>
    <t>471(26.2)</t>
  </si>
  <si>
    <t>공</t>
  </si>
  <si>
    <t>단산5참조</t>
  </si>
  <si>
    <t>건설기계운전사</t>
  </si>
  <si>
    <t>비    고</t>
  </si>
  <si>
    <t>타이어</t>
  </si>
  <si>
    <t>기준</t>
  </si>
  <si>
    <t>총     공    사     비</t>
  </si>
  <si>
    <t>(D + E + F + G + H)</t>
  </si>
  <si>
    <t>9.굴절차(22M (야간))[일] (야간)</t>
  </si>
  <si>
    <t>연결되어있는</t>
  </si>
  <si>
    <t>SSR-COAT-C</t>
  </si>
  <si>
    <t>차량</t>
  </si>
  <si>
    <t>아</t>
  </si>
  <si>
    <t>일위8참조</t>
  </si>
  <si>
    <t>폐콘크리트</t>
  </si>
  <si>
    <t>단산9참조</t>
  </si>
  <si>
    <t>벽체 (야간)</t>
  </si>
  <si>
    <t>제22호표</t>
  </si>
  <si>
    <t>G</t>
  </si>
  <si>
    <t>2-3-2</t>
  </si>
  <si>
    <t>자재소계</t>
  </si>
  <si>
    <t>3.6m(일반용)</t>
  </si>
  <si>
    <t>No</t>
  </si>
  <si>
    <t>5-1</t>
  </si>
  <si>
    <t>일위26참조</t>
  </si>
  <si>
    <t>잡재료비</t>
  </si>
  <si>
    <t>교대</t>
  </si>
  <si>
    <t>제3호표</t>
  </si>
  <si>
    <t>일위4참조</t>
  </si>
  <si>
    <t>(360×360×700mm)</t>
  </si>
  <si>
    <t>5. 교통안전관리비(주간)[일]</t>
  </si>
  <si>
    <t>아스팔트유제</t>
  </si>
  <si>
    <t>1-1-1</t>
  </si>
  <si>
    <t>622(26.2)</t>
  </si>
  <si>
    <t>I</t>
  </si>
  <si>
    <t>국도46호선 신구운교 등</t>
  </si>
  <si>
    <t>아스콘포장</t>
  </si>
  <si>
    <t>EA</t>
  </si>
  <si>
    <t>조달청</t>
  </si>
  <si>
    <t>견적가1</t>
  </si>
  <si>
    <t>3.595%</t>
  </si>
  <si>
    <t>산     출     경    비</t>
  </si>
  <si>
    <t>천정T=30mm (야간)</t>
  </si>
  <si>
    <t>─</t>
  </si>
  <si>
    <t>t4</t>
  </si>
  <si>
    <t>노무비 소수 1 미만 절하</t>
  </si>
  <si>
    <t>일위24참조</t>
  </si>
  <si>
    <t>다</t>
  </si>
  <si>
    <t>18. 굴착기(무한궤도)</t>
  </si>
  <si>
    <t>JJ교면복합시트 T=0.5mm</t>
  </si>
  <si>
    <t>1</t>
  </si>
  <si>
    <t>2-5-1</t>
  </si>
  <si>
    <t>2-4</t>
  </si>
  <si>
    <t>~</t>
  </si>
  <si>
    <t>㎥당</t>
  </si>
  <si>
    <t>바닥판 하면</t>
  </si>
  <si>
    <t>(3.0m)</t>
  </si>
  <si>
    <t>4.5Ton</t>
  </si>
  <si>
    <t>제20호표</t>
  </si>
  <si>
    <t>멀티코트B</t>
  </si>
  <si>
    <t>21</t>
  </si>
  <si>
    <t>4 × 0.023</t>
  </si>
  <si>
    <t>4.75%</t>
  </si>
  <si>
    <t>천정</t>
  </si>
  <si>
    <t>손    료</t>
  </si>
  <si>
    <t>VAT별도(경비)</t>
  </si>
  <si>
    <t>JJ교면도막방수제 t=2.0mm</t>
  </si>
  <si>
    <t>일위6참조</t>
  </si>
  <si>
    <t>제1호표</t>
  </si>
  <si>
    <t>22M</t>
  </si>
  <si>
    <t>의</t>
  </si>
  <si>
    <t>굴삭기(무한궤도)</t>
  </si>
  <si>
    <t>177(26.2)</t>
  </si>
  <si>
    <t>포 장 공</t>
  </si>
  <si>
    <t>150</t>
  </si>
  <si>
    <t>3.0m</t>
  </si>
  <si>
    <t>적성교</t>
  </si>
  <si>
    <t>일반도로</t>
  </si>
  <si>
    <t>5</t>
  </si>
  <si>
    <t>거래가격</t>
  </si>
  <si>
    <t>제7호표</t>
  </si>
  <si>
    <t>,공구및</t>
  </si>
  <si>
    <t>300×900×900×2T,오각(고휘도)</t>
  </si>
  <si>
    <t>25</t>
  </si>
  <si>
    <t>부대공</t>
  </si>
  <si>
    <t>KSM-6080(백색,R5)</t>
  </si>
  <si>
    <t>2.3%</t>
  </si>
  <si>
    <t>Qd</t>
  </si>
  <si>
    <t>0.9%</t>
  </si>
  <si>
    <t>( 4 + 5 )</t>
  </si>
  <si>
    <t>일위22참조</t>
  </si>
  <si>
    <t>문자</t>
  </si>
  <si>
    <t>114(26.2)</t>
  </si>
  <si>
    <t>2026년(건설)</t>
  </si>
  <si>
    <t>사</t>
  </si>
  <si>
    <t>제26호표</t>
  </si>
  <si>
    <t>자재단가</t>
  </si>
  <si>
    <t>시설물</t>
  </si>
  <si>
    <t>2.5Ton</t>
  </si>
  <si>
    <t>C</t>
  </si>
  <si>
    <t>호평IC교 (상)</t>
  </si>
  <si>
    <t>이윤</t>
  </si>
  <si>
    <t>10.폐기물상차 (백호0.7㎥) [㎥]</t>
  </si>
  <si>
    <t>제5호표</t>
  </si>
  <si>
    <t>일위2참조</t>
  </si>
  <si>
    <t>백호0.7㎥</t>
  </si>
  <si>
    <t>1585(26.3)</t>
  </si>
  <si>
    <t>로봇신호수(한팔형)</t>
  </si>
  <si>
    <t>품질시험비</t>
  </si>
  <si>
    <t>확장공사등의</t>
  </si>
  <si>
    <t>머캐덤로울러(자주식)</t>
  </si>
  <si>
    <t>소형노면파쇄기(0.95㎥) 손료</t>
  </si>
  <si>
    <t>2026.1.6</t>
  </si>
  <si>
    <t>고급기술자</t>
  </si>
  <si>
    <t>요율</t>
  </si>
  <si>
    <t>고용보험료</t>
  </si>
  <si>
    <t>제24호표</t>
  </si>
  <si>
    <t>수동식,백색실선</t>
  </si>
  <si>
    <t>하32(26.2)</t>
  </si>
  <si>
    <t>단위</t>
  </si>
  <si>
    <t>일위20참조</t>
  </si>
  <si>
    <t>M</t>
  </si>
  <si>
    <t>규    격</t>
  </si>
  <si>
    <t>제19호표</t>
  </si>
  <si>
    <t>또는</t>
  </si>
  <si>
    <t>자동차전용도로</t>
  </si>
  <si>
    <t>싸인카</t>
  </si>
  <si>
    <t>1189(26.2)</t>
  </si>
  <si>
    <t>Φ15mm,그물망형, 야간</t>
  </si>
  <si>
    <t>%적용</t>
  </si>
  <si>
    <t>소</t>
  </si>
  <si>
    <t>549(25.12)</t>
  </si>
  <si>
    <t>미 장 공</t>
  </si>
  <si>
    <t>&lt; 유리알 살포량은 '교통노면표시 설치관리매뉴얼(경찰청)' 기준 &gt;</t>
  </si>
  <si>
    <t>=</t>
  </si>
  <si>
    <t>1/8*16/12*25/20*24/5</t>
  </si>
  <si>
    <t>단가산출총괄표</t>
  </si>
  <si>
    <t>3</t>
  </si>
  <si>
    <t>일위31참조</t>
  </si>
  <si>
    <t>2-6</t>
  </si>
  <si>
    <t>수동식,문자.기호</t>
  </si>
  <si>
    <t>날</t>
  </si>
  <si>
    <t>유공관</t>
  </si>
  <si>
    <t>합  계</t>
  </si>
  <si>
    <t>표면보수(SSR공법)</t>
  </si>
  <si>
    <t>JJ 시트식 복합 교면방수 (야간)</t>
  </si>
  <si>
    <t>16000</t>
  </si>
  <si>
    <t>1.아스팔트 포장 절삭후 아스팔트 덧씌우기 (A-Type (1회절삭,2회포장)-야간작업) [㎡]</t>
  </si>
  <si>
    <t>철근방청제</t>
  </si>
  <si>
    <t>23</t>
  </si>
  <si>
    <t>노 무 비</t>
  </si>
  <si>
    <t>12. 싸인카</t>
  </si>
  <si>
    <t>및</t>
  </si>
  <si>
    <t>1-1-3</t>
  </si>
  <si>
    <t>머</t>
  </si>
  <si>
    <t>0.57㎥</t>
  </si>
  <si>
    <t>247(26.2)</t>
  </si>
  <si>
    <t>도로용 접착제</t>
  </si>
  <si>
    <t>등</t>
  </si>
  <si>
    <t>기     타     경    비</t>
  </si>
  <si>
    <t>K</t>
  </si>
  <si>
    <t>(K + L)</t>
  </si>
  <si>
    <t>15. 혼합.압송 일체형 뿜칠기계</t>
  </si>
  <si>
    <t>디스트리뷰터</t>
  </si>
  <si>
    <t>신호수</t>
  </si>
  <si>
    <t>작업설.부산물등(△)</t>
  </si>
  <si>
    <t>총공사비</t>
  </si>
  <si>
    <t>E</t>
  </si>
  <si>
    <t>16. 발전기</t>
  </si>
  <si>
    <t>일위33참조</t>
  </si>
  <si>
    <t>8.굴절차(22M)[일]</t>
  </si>
  <si>
    <t>마</t>
  </si>
  <si>
    <t>트럭트랙터및평판트레일러</t>
  </si>
  <si>
    <t>9. 물탱크</t>
  </si>
  <si>
    <t>안전 관리 계획서 작성</t>
  </si>
  <si>
    <t>방호벽 및 중분대</t>
  </si>
  <si>
    <t>제경비</t>
  </si>
  <si>
    <t>제31호표</t>
  </si>
  <si>
    <t>덤프트럭</t>
  </si>
  <si>
    <t>4.차선도색(융착식,일반형)-운행도로,차량부분통제(수동식,문자.기호) [㎡]</t>
  </si>
  <si>
    <t>부412(26.3)</t>
  </si>
  <si>
    <t>597(26.2)</t>
  </si>
  <si>
    <t>철근방청처리</t>
  </si>
  <si>
    <t>t2</t>
  </si>
  <si>
    <t>SSR코트 - 하도</t>
  </si>
  <si>
    <t>Φ15mm,그물망형</t>
  </si>
  <si>
    <t>(3800ℓ)</t>
  </si>
  <si>
    <t>단수조정</t>
  </si>
  <si>
    <t>자재</t>
  </si>
  <si>
    <t>(10~12Ton)</t>
  </si>
  <si>
    <t>A</t>
  </si>
  <si>
    <t>조</t>
  </si>
  <si>
    <t>산재보험료</t>
  </si>
  <si>
    <t>일위19참조</t>
  </si>
  <si>
    <t>두께</t>
  </si>
  <si>
    <t>재료비의</t>
  </si>
  <si>
    <t>DNS-7500</t>
  </si>
  <si>
    <t>탄성퍼티</t>
  </si>
  <si>
    <t>도로표지용페인트(융착식)</t>
  </si>
  <si>
    <t>팁(날)</t>
  </si>
  <si>
    <t>관급</t>
  </si>
  <si>
    <t>2-2-2</t>
  </si>
  <si>
    <t>차선도색(융착식,일반형)-운행도로,차량부분통제</t>
  </si>
  <si>
    <t>셔</t>
  </si>
  <si>
    <t>가격정보</t>
  </si>
  <si>
    <t>관   급   자   재   대</t>
  </si>
  <si>
    <t>조종교</t>
  </si>
  <si>
    <t>노면파쇄기</t>
  </si>
  <si>
    <t>30km이하,덤프15톤</t>
  </si>
  <si>
    <t>금    액</t>
  </si>
  <si>
    <t>차선도색</t>
  </si>
  <si>
    <t>경  비</t>
  </si>
  <si>
    <t>산    출    근    거</t>
  </si>
  <si>
    <t>하도급대금지급보증수수료</t>
  </si>
  <si>
    <t>5.</t>
  </si>
  <si>
    <t>29</t>
  </si>
  <si>
    <t>÷</t>
  </si>
  <si>
    <t>9</t>
  </si>
  <si>
    <t>제33호표</t>
  </si>
  <si>
    <t>기계경비총괄표</t>
  </si>
  <si>
    <t>보수공사</t>
  </si>
  <si>
    <t>(A + 4 + 6) × 0.004</t>
  </si>
  <si>
    <t>2-2</t>
  </si>
  <si>
    <t>교통안전관리비</t>
  </si>
  <si>
    <t>한팔용</t>
  </si>
  <si>
    <t>부분통제시</t>
  </si>
  <si>
    <t>1.</t>
  </si>
  <si>
    <t>7</t>
  </si>
  <si>
    <t>2-4-1</t>
  </si>
  <si>
    <t>천정할증</t>
  </si>
  <si>
    <t>트레일러</t>
  </si>
  <si>
    <t>인건비</t>
  </si>
  <si>
    <t>고속도로</t>
  </si>
  <si>
    <t>에폭시주입기구부품</t>
  </si>
  <si>
    <t>Φ15mm, 그물망형</t>
  </si>
  <si>
    <t>27</t>
  </si>
  <si>
    <t>야간할증</t>
  </si>
  <si>
    <t>크</t>
  </si>
  <si>
    <t>건설기계대여금지급보증서발급액</t>
  </si>
  <si>
    <t>일반기계운전사</t>
  </si>
  <si>
    <t>의정부국토관리사무소</t>
  </si>
  <si>
    <t>환   경   보   전   비</t>
  </si>
  <si>
    <t>611(21.2)</t>
  </si>
  <si>
    <t>단산2참조</t>
  </si>
  <si>
    <t>제29호표</t>
  </si>
  <si>
    <t>자주식운반</t>
  </si>
  <si>
    <t>로봇신호수</t>
  </si>
  <si>
    <t>2020</t>
  </si>
  <si>
    <t>금   액</t>
  </si>
  <si>
    <t>30×5000</t>
  </si>
  <si>
    <t>연   금   보   험   료</t>
  </si>
  <si>
    <t>1. 노면파쇄기</t>
  </si>
  <si>
    <t>계산결과값 자리수</t>
  </si>
  <si>
    <t>제8호표</t>
  </si>
  <si>
    <t>멀티코트 B</t>
  </si>
  <si>
    <t>도급예정액</t>
  </si>
  <si>
    <t>(</t>
  </si>
  <si>
    <t>노면파쇄기용</t>
  </si>
  <si>
    <t>11</t>
  </si>
  <si>
    <t>km</t>
  </si>
  <si>
    <t>손율</t>
  </si>
  <si>
    <t>계</t>
  </si>
  <si>
    <t>총        원        가</t>
  </si>
  <si>
    <t>철근방청단면보수(SSR공법)</t>
  </si>
  <si>
    <t>굴절차</t>
  </si>
  <si>
    <t>비</t>
  </si>
  <si>
    <t>수  량</t>
  </si>
  <si>
    <t>14.88%</t>
  </si>
  <si>
    <t>국도46호선 호평IC교(상)</t>
  </si>
  <si>
    <t>6-1-1바탕처리</t>
  </si>
  <si>
    <t>프라이머 바름</t>
  </si>
  <si>
    <t>공구손료</t>
  </si>
  <si>
    <t>품   명</t>
  </si>
  <si>
    <t>7.중기운반(아스콘포장)[식]</t>
  </si>
  <si>
    <t>탠덤로울러(자주식)</t>
  </si>
  <si>
    <t>원가계산서</t>
  </si>
  <si>
    <t>건강보험료</t>
  </si>
  <si>
    <t>일   반   관   리   비</t>
  </si>
  <si>
    <t>벽체T=30mm (야간)</t>
  </si>
  <si>
    <t>배터리</t>
  </si>
  <si>
    <t>콘크리트면처리(치핑)</t>
  </si>
  <si>
    <t>소모량</t>
  </si>
  <si>
    <t>8. 아스팔트 디스트리뷰터</t>
  </si>
  <si>
    <t>사능1교(하)</t>
  </si>
  <si>
    <t>혼합물의 포설(아스팔트)</t>
  </si>
  <si>
    <t>인력품의</t>
  </si>
  <si>
    <t>,</t>
  </si>
  <si>
    <t>15</t>
  </si>
  <si>
    <t>(A + 4 + 6) ×0.009</t>
  </si>
  <si>
    <t>건   강   보   험   료</t>
  </si>
  <si>
    <t>노인장기요양  보 험 료</t>
  </si>
  <si>
    <t>콘크리트 균열보수</t>
  </si>
  <si>
    <t>주연료의</t>
  </si>
  <si>
    <t>2-1-1</t>
  </si>
  <si>
    <t>단산6참조</t>
  </si>
  <si>
    <t>Multy Coat B</t>
  </si>
  <si>
    <t>덤</t>
  </si>
  <si>
    <t>건설기계조장</t>
  </si>
  <si>
    <t>일위29참조</t>
  </si>
  <si>
    <t>(300×900×900×2T,오각(고휘도)</t>
  </si>
  <si>
    <t>(노면파쇄기용)</t>
  </si>
  <si>
    <t>m</t>
  </si>
  <si>
    <t>kg</t>
  </si>
  <si>
    <t>교면방수</t>
  </si>
  <si>
    <t>To</t>
  </si>
  <si>
    <t>0.95㎥</t>
  </si>
  <si>
    <t>1451(26.2)</t>
  </si>
  <si>
    <t>원</t>
  </si>
  <si>
    <t>직   접   재   료   비</t>
  </si>
  <si>
    <t>일위9참조</t>
  </si>
  <si>
    <t>설치비</t>
  </si>
  <si>
    <t>유지보수</t>
  </si>
  <si>
    <t>(12V60A)</t>
  </si>
  <si>
    <t>조달 26.2</t>
  </si>
  <si>
    <t>호평 IC교 (상)</t>
  </si>
  <si>
    <t>30</t>
  </si>
  <si>
    <t>2-7-2</t>
  </si>
  <si>
    <t>경우</t>
  </si>
  <si>
    <t>755(19.8)</t>
  </si>
  <si>
    <t>단가산출</t>
  </si>
  <si>
    <t>단산4참조</t>
  </si>
  <si>
    <t>나</t>
  </si>
  <si>
    <t>개</t>
  </si>
  <si>
    <t>재료비</t>
  </si>
  <si>
    <t>1-1</t>
  </si>
  <si>
    <t>천정 (야간)</t>
  </si>
  <si>
    <t>등과</t>
  </si>
  <si>
    <t>일위16참조</t>
  </si>
  <si>
    <t>(자주식)</t>
  </si>
  <si>
    <t>일당시공량</t>
  </si>
  <si>
    <t>순   공  사    원   가</t>
  </si>
  <si>
    <t>산 업 안 전 보건관리비</t>
  </si>
  <si>
    <t>소                  계</t>
  </si>
  <si>
    <t>개소</t>
  </si>
  <si>
    <t>머캐덤 로울러(자주식)</t>
  </si>
  <si>
    <t>1/8*16/12*25/20*24/15</t>
  </si>
  <si>
    <t>당초합계</t>
  </si>
  <si>
    <t>제12호표</t>
  </si>
  <si>
    <t>㎥는</t>
  </si>
  <si>
    <t>계산값</t>
  </si>
  <si>
    <t>몰탈바르기</t>
  </si>
  <si>
    <t>3.0</t>
  </si>
  <si>
    <t>13</t>
  </si>
  <si>
    <t>일위대가총괄표</t>
  </si>
  <si>
    <t>공사에서</t>
  </si>
  <si>
    <t>품    명</t>
  </si>
  <si>
    <t>회</t>
  </si>
  <si>
    <t>178(26.2)</t>
  </si>
  <si>
    <t>제10호표</t>
  </si>
  <si>
    <t>(0.57㎥)</t>
  </si>
  <si>
    <t>기계경비적용기준</t>
  </si>
  <si>
    <t>하150(26.3)</t>
  </si>
  <si>
    <t>2-6-2</t>
  </si>
  <si>
    <t>일위14참조</t>
  </si>
  <si>
    <t>교통표지판</t>
  </si>
  <si>
    <t>야간</t>
  </si>
  <si>
    <t>5.2%</t>
  </si>
  <si>
    <t>개소모</t>
  </si>
  <si>
    <t>프로판가스</t>
  </si>
  <si>
    <t>캐</t>
  </si>
  <si>
    <t>5. 머캐덤 로울러(자주식)</t>
  </si>
  <si>
    <t>(설치시1,500×1,850×800본체)</t>
  </si>
  <si>
    <t>톤</t>
  </si>
  <si>
    <t>재 료 비</t>
  </si>
  <si>
    <t>32</t>
  </si>
  <si>
    <t>당초경비</t>
  </si>
  <si>
    <t>N1</t>
  </si>
  <si>
    <t>D/M</t>
  </si>
  <si>
    <t>16.5%</t>
  </si>
  <si>
    <t>모터그레이더</t>
  </si>
  <si>
    <t>폐기물상차</t>
  </si>
  <si>
    <t>V</t>
  </si>
  <si>
    <t>(600,원형(고휘도)</t>
  </si>
  <si>
    <t>에폭시계신너</t>
  </si>
  <si>
    <t>229(26.2)</t>
  </si>
  <si>
    <t>아스팔트 프라이머</t>
  </si>
  <si>
    <t>안전관리책임자</t>
  </si>
  <si>
    <t>시간당</t>
  </si>
  <si>
    <t>달러($)</t>
  </si>
  <si>
    <t>폐기물처리비</t>
  </si>
  <si>
    <t>명    칭</t>
  </si>
  <si>
    <t>제16호표</t>
  </si>
  <si>
    <t>합</t>
  </si>
  <si>
    <t>유리알</t>
  </si>
  <si>
    <t>포장</t>
  </si>
  <si>
    <t>직   접   노   무   비</t>
  </si>
  <si>
    <t>주입공법</t>
  </si>
  <si>
    <t>일위12참조</t>
  </si>
  <si>
    <t>아스팔트 포장 절삭후 아스팔트 덧씌우기</t>
  </si>
  <si>
    <t>파선</t>
  </si>
  <si>
    <t>인부소계</t>
  </si>
  <si>
    <t>Ton</t>
  </si>
  <si>
    <t>22M (야간)</t>
  </si>
  <si>
    <t>600,원형(고휘도)</t>
  </si>
  <si>
    <t>1권555(19.8)</t>
  </si>
  <si>
    <t>1/8*16/12*25/20</t>
  </si>
  <si>
    <t>압축강도, 부착강도</t>
  </si>
  <si>
    <t>˚</t>
  </si>
  <si>
    <t xml:space="preserve"> </t>
  </si>
  <si>
    <t>㎥</t>
  </si>
  <si>
    <t>6.</t>
  </si>
  <si>
    <t>3800ℓ</t>
  </si>
  <si>
    <t>19</t>
  </si>
  <si>
    <t>당초노무비</t>
  </si>
  <si>
    <t>8%</t>
  </si>
  <si>
    <t>1.01%</t>
  </si>
  <si>
    <t>노면표시</t>
  </si>
  <si>
    <t>10. 덤프트럭</t>
  </si>
  <si>
    <t>호  표</t>
  </si>
  <si>
    <t>일위10참조</t>
  </si>
  <si>
    <t>(도로용접착제)</t>
  </si>
  <si>
    <t>운행도로</t>
  </si>
  <si>
    <t>.</t>
  </si>
  <si>
    <t>마르크(M)</t>
  </si>
  <si>
    <t>17</t>
  </si>
  <si>
    <t>((A + 4 + L/1.1) × 0.0253) + 3,300,000</t>
  </si>
  <si>
    <t>공사기간(투입일 정산)</t>
  </si>
  <si>
    <t>제14호표</t>
  </si>
  <si>
    <t>코아채취</t>
  </si>
  <si>
    <t>2.</t>
  </si>
  <si>
    <t>균열보수용</t>
  </si>
  <si>
    <t>㎡</t>
  </si>
  <si>
    <t>로봇신호수 설치 및 철거</t>
  </si>
  <si>
    <t>hr</t>
  </si>
  <si>
    <t>장</t>
  </si>
  <si>
    <t>호평IC교(상)</t>
  </si>
  <si>
    <t>일위30참조</t>
  </si>
  <si>
    <t>고압물청소</t>
  </si>
  <si>
    <t>,기호</t>
  </si>
  <si>
    <t>:</t>
  </si>
  <si>
    <t>산   재   보   험   료</t>
  </si>
  <si>
    <t>순</t>
  </si>
  <si>
    <t>3. 로우더(타이어)</t>
  </si>
  <si>
    <t>유통물가</t>
  </si>
  <si>
    <t>천정T=50mm (야간)</t>
  </si>
  <si>
    <t>로우더(타이어)+소형노면파쇄기</t>
  </si>
  <si>
    <t>2. 로우더(타이어)+소형노면파쇄기</t>
  </si>
  <si>
    <t>콘크리트 균열보수(야간)</t>
  </si>
  <si>
    <t>주간</t>
  </si>
  <si>
    <t>가</t>
  </si>
  <si>
    <t>469(26.2)</t>
  </si>
  <si>
    <t>2-4-2</t>
  </si>
  <si>
    <t>천정T=10mm (야간)</t>
  </si>
  <si>
    <t>단면보수(SSR공법)</t>
  </si>
  <si>
    <t>타이어로울러(자주식)</t>
  </si>
  <si>
    <t>1586(26.3)</t>
  </si>
  <si>
    <t>24</t>
  </si>
  <si>
    <t>제18호표</t>
  </si>
  <si>
    <t>연성포장</t>
  </si>
  <si>
    <t>A-Type (1회절삭,2회포장)-야간작업</t>
  </si>
  <si>
    <t>&lt; 2024년 품셈신설. 유지보수 2-1-4 &gt;</t>
  </si>
  <si>
    <t>23734488</t>
  </si>
  <si>
    <t>국도46호선</t>
  </si>
  <si>
    <t>(B + C + E)  ×0.1488</t>
  </si>
  <si>
    <t>2-1</t>
  </si>
  <si>
    <t>아스팔트프라이머</t>
  </si>
  <si>
    <t>내황산염단면복구재</t>
  </si>
  <si>
    <t>RSC-4</t>
  </si>
  <si>
    <t>225(26.2)</t>
  </si>
  <si>
    <t>아스팔트 디스트리뷰터</t>
  </si>
  <si>
    <t>'26年 개정</t>
  </si>
  <si>
    <t>504(26.2)</t>
  </si>
  <si>
    <t>SSR코트 - 상도</t>
  </si>
  <si>
    <t>안전관리계획서작성</t>
  </si>
  <si>
    <t>교량점검차</t>
  </si>
  <si>
    <t>도막방수제,시트 시공</t>
  </si>
  <si>
    <t>4</t>
  </si>
  <si>
    <t>1035(23.10)</t>
  </si>
  <si>
    <t>SSR코트 - 상도</t>
  </si>
  <si>
    <t>4</t>
  </si>
  <si>
    <t>t1</t>
  </si>
  <si>
    <t>잡품</t>
  </si>
  <si>
    <t>SSR-M100</t>
  </si>
  <si>
    <t>노임단가</t>
  </si>
  <si>
    <t>규   격</t>
  </si>
  <si>
    <t>개정품셈</t>
  </si>
  <si>
    <t>손   료</t>
  </si>
  <si>
    <t>L</t>
  </si>
  <si>
    <t>(0.7㎥)</t>
  </si>
  <si>
    <t>11. 덤프트럭</t>
  </si>
  <si>
    <t>일위32참조</t>
  </si>
  <si>
    <t>아스팔트디스트리뷰터</t>
  </si>
  <si>
    <t>내역서총괄표</t>
  </si>
  <si>
    <t>2-2-1</t>
  </si>
  <si>
    <t>손료</t>
  </si>
  <si>
    <t>ℓ</t>
  </si>
  <si>
    <t>수동식,백색파선</t>
  </si>
  <si>
    <t>(KSM-6080(백색,R5)</t>
  </si>
  <si>
    <t>1438(26.2)</t>
  </si>
  <si>
    <t>B</t>
  </si>
  <si>
    <t>식</t>
  </si>
  <si>
    <t>242(26.2)</t>
  </si>
  <si>
    <t>도 장 공</t>
  </si>
  <si>
    <t>H</t>
  </si>
  <si>
    <t>일위18참조</t>
  </si>
  <si>
    <t>회전식경광등</t>
  </si>
  <si>
    <t>경     비</t>
  </si>
  <si>
    <t>혼합.압송 일체형 뿜칠기계</t>
  </si>
  <si>
    <t>10~12Ton</t>
  </si>
  <si>
    <t>1/8*16/12*25/20*14/12</t>
  </si>
  <si>
    <t>SSR코트 - 중도</t>
  </si>
  <si>
    <t>167(26.2)</t>
  </si>
  <si>
    <t>평면교차로가</t>
  </si>
  <si>
    <t>14. 모터 그레이더</t>
  </si>
  <si>
    <t>공 사 이 행 보증수수료</t>
  </si>
  <si>
    <t>고   용   보   험   료</t>
  </si>
  <si>
    <t>(1 + 2 + 3 )</t>
  </si>
  <si>
    <t>아스팔트 포장 절삭 후 덧씌우기</t>
  </si>
  <si>
    <t>안전관리계획서작성비</t>
  </si>
  <si>
    <t>토목</t>
  </si>
  <si>
    <t>60Lmin(7.5KW)</t>
  </si>
  <si>
    <t>적용단가</t>
  </si>
  <si>
    <t>(6:18)</t>
  </si>
  <si>
    <t>주연료</t>
  </si>
  <si>
    <t>환경보전비</t>
  </si>
  <si>
    <t>제30호표</t>
  </si>
  <si>
    <t>라</t>
  </si>
  <si>
    <t>0.69</t>
  </si>
  <si>
    <t>폐  기  물  처  리  비</t>
  </si>
  <si>
    <t>F</t>
  </si>
  <si>
    <t>간접노무비</t>
  </si>
  <si>
    <t>설치시 1,500×1,850×800 본체</t>
  </si>
  <si>
    <t>q</t>
  </si>
  <si>
    <t>굴착기(무한궤도)</t>
  </si>
  <si>
    <t>×</t>
  </si>
  <si>
    <t>노무비</t>
  </si>
  <si>
    <t>연금보험료</t>
  </si>
  <si>
    <t>360×360×700mm</t>
  </si>
  <si>
    <t>900,삼각(고휘도)</t>
  </si>
  <si>
    <t>총원가</t>
  </si>
  <si>
    <t>일반관리비</t>
  </si>
  <si>
    <t>3800</t>
  </si>
  <si>
    <t>(5~8Ton)</t>
  </si>
  <si>
    <t>50kW</t>
  </si>
  <si>
    <t>13. 트럭트랙터및평판트레일러</t>
  </si>
  <si>
    <t>합     계</t>
  </si>
  <si>
    <t>D × 0.08</t>
  </si>
  <si>
    <t>간   접   노   무   비</t>
  </si>
  <si>
    <t>20</t>
  </si>
  <si>
    <t>제32호표</t>
  </si>
  <si>
    <t>(900,삼각(고휘도)</t>
  </si>
  <si>
    <t>,용해기</t>
  </si>
  <si>
    <t>경  비 소수 1 미만 절하</t>
  </si>
  <si>
    <t>하151(26.3)</t>
  </si>
  <si>
    <t>2-5</t>
  </si>
  <si>
    <t>교면복합씰</t>
  </si>
  <si>
    <t>page</t>
  </si>
  <si>
    <t>중기운반</t>
  </si>
  <si>
    <t>일위5참조</t>
  </si>
  <si>
    <t>제2호표</t>
  </si>
  <si>
    <t>(A + B) × 0.052</t>
  </si>
  <si>
    <t>3.차선도색(융착식,일반형)-운행도로,차량부분통제(수동식,백색파선) [㎡]</t>
  </si>
  <si>
    <t>마감재도포</t>
  </si>
  <si>
    <t>SSR-COAT-P</t>
  </si>
  <si>
    <t>B × 0.0101</t>
  </si>
  <si>
    <t>노</t>
  </si>
  <si>
    <t>sec</t>
  </si>
  <si>
    <t>t3</t>
  </si>
  <si>
    <t>밀링깊이</t>
  </si>
  <si>
    <t>산업안전보건관리비</t>
  </si>
  <si>
    <t>단산10참조</t>
  </si>
  <si>
    <t>제23호표</t>
  </si>
  <si>
    <t>현</t>
  </si>
  <si>
    <t>환 율 (/￦)</t>
  </si>
  <si>
    <t>(I + J)</t>
  </si>
  <si>
    <t>일위27참조</t>
  </si>
  <si>
    <t>니</t>
  </si>
  <si>
    <t>0.081%</t>
  </si>
  <si>
    <t>철근녹제거</t>
  </si>
  <si>
    <t>Type</t>
  </si>
  <si>
    <t>10(-7)</t>
  </si>
  <si>
    <t>172(26.2)</t>
  </si>
  <si>
    <t>26</t>
  </si>
  <si>
    <t>일</t>
  </si>
  <si>
    <t>792(21.2)</t>
  </si>
  <si>
    <t>2-3</t>
  </si>
  <si>
    <t>일위7참조</t>
  </si>
  <si>
    <t>기술료</t>
  </si>
  <si>
    <t>아스팔트스프레이어</t>
  </si>
  <si>
    <t>이하</t>
  </si>
  <si>
    <t>로우더(타이어)</t>
  </si>
  <si>
    <t>2026년(상)</t>
  </si>
  <si>
    <t>밀도</t>
  </si>
  <si>
    <t>노임</t>
  </si>
  <si>
    <t>2025년(하)-노임증가율반영</t>
  </si>
  <si>
    <t>6</t>
  </si>
  <si>
    <t>관급자재대</t>
  </si>
  <si>
    <t>(0.95㎥)</t>
  </si>
  <si>
    <t>2026.2.2. 매매기준율</t>
  </si>
  <si>
    <t>8</t>
  </si>
  <si>
    <t>일위25참조</t>
  </si>
  <si>
    <t>234(26.2)</t>
  </si>
  <si>
    <t>인</t>
  </si>
  <si>
    <t>제21호표</t>
  </si>
  <si>
    <t>벽체 붗칠2회</t>
  </si>
  <si>
    <t>6. 타이어 로울러(자주식)</t>
  </si>
  <si>
    <t>Φ550×850</t>
  </si>
  <si>
    <t>28</t>
  </si>
  <si>
    <t>3.56%</t>
  </si>
  <si>
    <t>노인장기요양보험료</t>
  </si>
  <si>
    <t>일위23참조</t>
  </si>
  <si>
    <t>교각</t>
  </si>
  <si>
    <t>※</t>
  </si>
  <si>
    <t>간   접   재   료   비</t>
  </si>
  <si>
    <t>기구손료</t>
  </si>
  <si>
    <t>22</t>
  </si>
  <si>
    <t>바</t>
  </si>
  <si>
    <t>2</t>
  </si>
  <si>
    <t>무</t>
  </si>
  <si>
    <t>순공사원가</t>
  </si>
  <si>
    <t>2-7</t>
  </si>
  <si>
    <t>2-5-2</t>
  </si>
  <si>
    <t>제27호표</t>
  </si>
  <si>
    <t>교면물빼기 유공관</t>
  </si>
  <si>
    <t>바탕처리</t>
  </si>
  <si>
    <t>아스콘(관급)-서울,인천,경기(강북,노원,도봉구 제외)</t>
  </si>
  <si>
    <t>244(26.2)</t>
  </si>
  <si>
    <t>물가자료</t>
  </si>
  <si>
    <t>재</t>
  </si>
  <si>
    <t>로우더(0.95㎥) 손료</t>
  </si>
  <si>
    <t>품     명</t>
  </si>
  <si>
    <t>일위1참조</t>
  </si>
  <si>
    <t>벽체</t>
  </si>
  <si>
    <t>제6호표</t>
  </si>
  <si>
    <t>(20Ton)</t>
  </si>
  <si>
    <t>철거</t>
  </si>
  <si>
    <t>합    계</t>
  </si>
  <si>
    <t>제25호표</t>
  </si>
  <si>
    <t>19. 굴삭기(무한궤도)</t>
  </si>
  <si>
    <t>5-2</t>
  </si>
  <si>
    <t>탠덤 로울러(자주식)</t>
  </si>
  <si>
    <t>5~8Ton</t>
  </si>
  <si>
    <t>(2.0m)</t>
  </si>
  <si>
    <t>타이어 로울러(자주식)</t>
  </si>
  <si>
    <t>SSR-COAT-T</t>
  </si>
  <si>
    <t>D</t>
  </si>
  <si>
    <t>2-3-1</t>
  </si>
  <si>
    <t>일위21참조</t>
  </si>
  <si>
    <t>물</t>
  </si>
  <si>
    <t>8~15Ton</t>
  </si>
  <si>
    <t>J</t>
  </si>
  <si>
    <t>료</t>
  </si>
  <si>
    <t>기타경비</t>
  </si>
  <si>
    <t>공구및잡재료비</t>
  </si>
  <si>
    <t>제4호표</t>
  </si>
  <si>
    <t>일위3참조</t>
  </si>
  <si>
    <t>산   출   근   거</t>
  </si>
  <si>
    <t>합계의</t>
  </si>
  <si>
    <t>자주식</t>
  </si>
  <si>
    <t>당초재료비</t>
  </si>
  <si>
    <t>10%</t>
  </si>
  <si>
    <t>반</t>
  </si>
  <si>
    <t>20Ton</t>
  </si>
  <si>
    <t>융착식 프라이머</t>
  </si>
  <si>
    <t>공종</t>
  </si>
  <si>
    <t>순 공 사 비</t>
  </si>
  <si>
    <t>(Φ550×850)</t>
  </si>
  <si>
    <t>3.</t>
  </si>
  <si>
    <t>파운드(L)</t>
  </si>
  <si>
    <t/>
  </si>
  <si>
    <t>계   약   내   역   서</t>
    <phoneticPr fontId="8" type="noConversion"/>
  </si>
  <si>
    <t>공사명</t>
    <phoneticPr fontId="8" type="noConversion"/>
  </si>
  <si>
    <t>:</t>
    <phoneticPr fontId="8" type="noConversion"/>
  </si>
  <si>
    <t>전체계약금액</t>
    <phoneticPr fontId="8" type="noConversion"/>
  </si>
  <si>
    <t>(</t>
    <phoneticPr fontId="8" type="noConversion"/>
  </si>
  <si>
    <t>\</t>
    <phoneticPr fontId="8" type="noConversion"/>
  </si>
  <si>
    <t>)</t>
    <phoneticPr fontId="8" type="noConversion"/>
  </si>
  <si>
    <t>공사개요</t>
    <phoneticPr fontId="8" type="noConversion"/>
  </si>
  <si>
    <r>
      <t>위 공사에 대하여 붙임과 같이</t>
    </r>
    <r>
      <rPr>
        <b/>
        <sz val="16"/>
        <rFont val="굴림"/>
        <family val="3"/>
        <charset val="129"/>
      </rPr>
      <t xml:space="preserve"> 계약내역서</t>
    </r>
    <r>
      <rPr>
        <sz val="16"/>
        <rFont val="굴림"/>
        <family val="3"/>
        <charset val="129"/>
      </rPr>
      <t>를 제출합니다.</t>
    </r>
    <phoneticPr fontId="8" type="noConversion"/>
  </si>
  <si>
    <t>상호</t>
    <phoneticPr fontId="8" type="noConversion"/>
  </si>
  <si>
    <t>대표자</t>
    <phoneticPr fontId="8" type="noConversion"/>
  </si>
  <si>
    <t>( 인 )</t>
    <phoneticPr fontId="16" type="noConversion"/>
  </si>
  <si>
    <t>주소</t>
    <phoneticPr fontId="8" type="noConversion"/>
  </si>
  <si>
    <t>의정부국토관리사무소장 귀하</t>
    <phoneticPr fontId="8" type="noConversion"/>
  </si>
  <si>
    <t>국도46호선 호평ic교(상) 등 포장 및 시설물 보수공사</t>
    <phoneticPr fontId="8" type="noConversion"/>
  </si>
  <si>
    <t>2026년   03 월   27 일</t>
    <phoneticPr fontId="8" type="noConversion"/>
  </si>
  <si>
    <t>호평 ic교(상) : 아스팔트 포장 절삭 후 덧씌우기, 국도46호선 신구운교 외 5개소 : 단면보수</t>
    <phoneticPr fontId="8" type="noConversion"/>
  </si>
  <si>
    <t>주식회사 아 산</t>
    <phoneticPr fontId="8" type="noConversion"/>
  </si>
  <si>
    <t>진 익 주</t>
    <phoneticPr fontId="8" type="noConversion"/>
  </si>
  <si>
    <t xml:space="preserve">경기도 남양주시 다산중앙로146번길 70-123, 2층                                 </t>
    <phoneticPr fontId="8" type="noConversion"/>
  </si>
  <si>
    <t>설계내역서</t>
    <phoneticPr fontId="8" type="noConversion"/>
  </si>
  <si>
    <t>도 급 금 액</t>
    <phoneticPr fontId="8" type="noConversion"/>
  </si>
  <si>
    <t>계약내역서</t>
    <phoneticPr fontId="8" type="noConversion"/>
  </si>
  <si>
    <t>투찰율</t>
    <phoneticPr fontId="8" type="noConversion"/>
  </si>
  <si>
    <t>제 경 비 산 출 내 역 서</t>
    <phoneticPr fontId="8" type="noConversion"/>
  </si>
  <si>
    <t>공 종 명</t>
  </si>
  <si>
    <t>설계금액</t>
    <phoneticPr fontId="8" type="noConversion"/>
  </si>
  <si>
    <t>도급금액</t>
    <phoneticPr fontId="8" type="noConversion"/>
  </si>
  <si>
    <t>산 출 근 거</t>
    <phoneticPr fontId="8" type="noConversion"/>
  </si>
  <si>
    <t>비 고</t>
    <phoneticPr fontId="8" type="noConversion"/>
  </si>
  <si>
    <t xml:space="preserve"> 가. 직접공사비</t>
    <phoneticPr fontId="8" type="noConversion"/>
  </si>
  <si>
    <t xml:space="preserve">   1.간 접 노 무 비</t>
    <phoneticPr fontId="8" type="noConversion"/>
  </si>
  <si>
    <t>÷</t>
    <phoneticPr fontId="8" type="noConversion"/>
  </si>
  <si>
    <t>×</t>
    <phoneticPr fontId="8" type="noConversion"/>
  </si>
  <si>
    <t>=</t>
    <phoneticPr fontId="8" type="noConversion"/>
  </si>
  <si>
    <t>≒</t>
    <phoneticPr fontId="8" type="noConversion"/>
  </si>
  <si>
    <t xml:space="preserve">   2.산 재 보 험 료</t>
    <phoneticPr fontId="8" type="noConversion"/>
  </si>
  <si>
    <t xml:space="preserve">   3.고 용 보 험 료</t>
    <phoneticPr fontId="8" type="noConversion"/>
  </si>
  <si>
    <t xml:space="preserve">   4.건 강 보 험 료</t>
    <phoneticPr fontId="8" type="noConversion"/>
  </si>
  <si>
    <t>설계가 반영</t>
    <phoneticPr fontId="8" type="noConversion"/>
  </si>
  <si>
    <t xml:space="preserve">   5.연 금 보 험 료</t>
    <phoneticPr fontId="8" type="noConversion"/>
  </si>
  <si>
    <t xml:space="preserve">   6.노인장기요양보험료</t>
    <phoneticPr fontId="8" type="noConversion"/>
  </si>
  <si>
    <t xml:space="preserve">   7.퇴직공제부금비</t>
    <phoneticPr fontId="8" type="noConversion"/>
  </si>
  <si>
    <t xml:space="preserve">   8.건설기계대여대금</t>
    <phoneticPr fontId="8" type="noConversion"/>
  </si>
  <si>
    <t xml:space="preserve">   10.환 경 보 전 비</t>
    <phoneticPr fontId="8" type="noConversion"/>
  </si>
  <si>
    <t xml:space="preserve">   11.하도급대금지급보증수수료</t>
    <phoneticPr fontId="8" type="noConversion"/>
  </si>
  <si>
    <t xml:space="preserve">   12.기  타  경  비</t>
    <phoneticPr fontId="8" type="noConversion"/>
  </si>
  <si>
    <t xml:space="preserve"> 나. 소         계</t>
    <phoneticPr fontId="8" type="noConversion"/>
  </si>
  <si>
    <t xml:space="preserve">   13.일 반 관 리 비</t>
    <phoneticPr fontId="8" type="noConversion"/>
  </si>
  <si>
    <t xml:space="preserve">   14.이          윤</t>
    <phoneticPr fontId="8" type="noConversion"/>
  </si>
  <si>
    <t>이윤조정</t>
    <phoneticPr fontId="8" type="noConversion"/>
  </si>
  <si>
    <t xml:space="preserve">   15.안전관리계획서작성</t>
    <phoneticPr fontId="8" type="noConversion"/>
  </si>
  <si>
    <t xml:space="preserve">   16.폐기물처리비</t>
    <phoneticPr fontId="8" type="noConversion"/>
  </si>
  <si>
    <t xml:space="preserve"> 라. 공  급  가  액</t>
    <phoneticPr fontId="8" type="noConversion"/>
  </si>
  <si>
    <t xml:space="preserve">   17.부 가 가 치 세</t>
    <phoneticPr fontId="8" type="noConversion"/>
  </si>
  <si>
    <t xml:space="preserve"> 마. 도 급 공 사 비</t>
    <phoneticPr fontId="8" type="noConversion"/>
  </si>
  <si>
    <t>공사명 : 국도46호선 호평ic교(상) 등 포장 및 시설물 보수공사</t>
    <phoneticPr fontId="8" type="noConversion"/>
  </si>
  <si>
    <t>적 용 제 경 비 산 출 서</t>
    <phoneticPr fontId="30" type="noConversion"/>
  </si>
  <si>
    <t>구 분</t>
    <phoneticPr fontId="30" type="noConversion"/>
  </si>
  <si>
    <t>도급금액</t>
    <phoneticPr fontId="30" type="noConversion"/>
  </si>
  <si>
    <t>산 출 근 거</t>
    <phoneticPr fontId="30" type="noConversion"/>
  </si>
  <si>
    <t>적용 제경비율</t>
    <phoneticPr fontId="8" type="noConversion"/>
  </si>
  <si>
    <t>- 순공사비 = 직접공사비</t>
    <phoneticPr fontId="30" type="noConversion"/>
  </si>
  <si>
    <t>가. 간접노무비</t>
    <phoneticPr fontId="8" type="noConversion"/>
  </si>
  <si>
    <t>순공사비</t>
    <phoneticPr fontId="8" type="noConversion"/>
  </si>
  <si>
    <t>나. 산재보험료</t>
    <phoneticPr fontId="8" type="noConversion"/>
  </si>
  <si>
    <t>다. 고용보험료</t>
    <phoneticPr fontId="8" type="noConversion"/>
  </si>
  <si>
    <t>라. 건강보험료</t>
    <phoneticPr fontId="8" type="noConversion"/>
  </si>
  <si>
    <t>마. 연금보험료</t>
    <phoneticPr fontId="8" type="noConversion"/>
  </si>
  <si>
    <t>바. 노인장기요양보험료</t>
    <phoneticPr fontId="8" type="noConversion"/>
  </si>
  <si>
    <t>사. 퇴직공제부금비</t>
    <phoneticPr fontId="8" type="noConversion"/>
  </si>
  <si>
    <t>아. 건설기계대여대금지급보증서</t>
    <phoneticPr fontId="8" type="noConversion"/>
  </si>
  <si>
    <t>자. 산업안전보건관리비</t>
    <phoneticPr fontId="8" type="noConversion"/>
  </si>
  <si>
    <t>차. 환경보전비</t>
    <phoneticPr fontId="8" type="noConversion"/>
  </si>
  <si>
    <t>카. 하도급대금지급보증수수료</t>
    <phoneticPr fontId="8" type="noConversion"/>
  </si>
  <si>
    <t>타. 기타경비</t>
    <phoneticPr fontId="8" type="noConversion"/>
  </si>
  <si>
    <t xml:space="preserve">  1. 순공사원가</t>
    <phoneticPr fontId="8" type="noConversion"/>
  </si>
  <si>
    <t xml:space="preserve">  2. 일반관리비</t>
    <phoneticPr fontId="8" type="noConversion"/>
  </si>
  <si>
    <t>순공사원가</t>
    <phoneticPr fontId="8" type="noConversion"/>
  </si>
  <si>
    <t xml:space="preserve">  3. 이        윤</t>
    <phoneticPr fontId="8" type="noConversion"/>
  </si>
  <si>
    <t xml:space="preserve">  4. 안전관리계획서작성</t>
    <phoneticPr fontId="8" type="noConversion"/>
  </si>
  <si>
    <t xml:space="preserve">  5. 폐기물처리비</t>
    <phoneticPr fontId="8" type="noConversion"/>
  </si>
  <si>
    <t xml:space="preserve"> 공 급 가 액</t>
    <phoneticPr fontId="8" type="noConversion"/>
  </si>
  <si>
    <t xml:space="preserve">  6. 부가가치세</t>
    <phoneticPr fontId="8" type="noConversion"/>
  </si>
  <si>
    <t xml:space="preserve"> Ⅰ.도 급 액</t>
    <phoneticPr fontId="8" type="noConversion"/>
  </si>
  <si>
    <t>관급자재대</t>
    <phoneticPr fontId="8" type="noConversion"/>
  </si>
  <si>
    <t>안전관리계획서 작성</t>
    <phoneticPr fontId="8" type="noConversion"/>
  </si>
  <si>
    <t>폐기물처리비</t>
    <phoneticPr fontId="8" type="noConversion"/>
  </si>
  <si>
    <t>식</t>
    <phoneticPr fontId="8" type="noConversion"/>
  </si>
  <si>
    <t xml:space="preserve">   9.산 업 안 전 보 건 관 리 비</t>
    <phoneticPr fontId="8" type="noConversion"/>
  </si>
  <si>
    <t>일금 오억칠천일백이만이천칠백원정</t>
  </si>
  <si>
    <t>110,285,258</t>
  </si>
  <si>
    <t>64,798,890</t>
  </si>
  <si>
    <t>6,099,788</t>
  </si>
  <si>
    <t>77,210,481</t>
  </si>
  <si>
    <t>42,523,522</t>
  </si>
  <si>
    <t>21,844,583</t>
  </si>
  <si>
    <t>37,700,000</t>
  </si>
  <si>
    <t>108,354,908</t>
  </si>
  <si>
    <t>61,266,379</t>
  </si>
  <si>
    <t>3,565,702</t>
  </si>
  <si>
    <t>1,930,350</t>
  </si>
  <si>
    <t>3,532,511</t>
  </si>
  <si>
    <t>2,534,086</t>
  </si>
  <si>
    <t>2,999,433</t>
  </si>
  <si>
    <t>1,482,225</t>
  </si>
  <si>
    <t>1,714,539</t>
  </si>
  <si>
    <t>1,703,281</t>
  </si>
  <si>
    <t>1,063,453</t>
  </si>
  <si>
    <t>27,998</t>
  </si>
  <si>
    <t>279,280</t>
  </si>
  <si>
    <t>519,510</t>
  </si>
  <si>
    <t>6,350</t>
  </si>
  <si>
    <t>791,502</t>
  </si>
  <si>
    <t>225,394</t>
  </si>
  <si>
    <t>11,085</t>
  </si>
  <si>
    <t>57,403</t>
  </si>
  <si>
    <t>18,714</t>
  </si>
  <si>
    <t>876</t>
  </si>
  <si>
    <t>575,096</t>
  </si>
  <si>
    <t>299,835</t>
  </si>
  <si>
    <t>9,687</t>
  </si>
  <si>
    <t>1,296,152</t>
  </si>
  <si>
    <t>418,772</t>
  </si>
  <si>
    <t>1,686,541</t>
  </si>
  <si>
    <t>13,034,608</t>
  </si>
  <si>
    <t>5,467,202</t>
  </si>
  <si>
    <t>3,531,721</t>
  </si>
  <si>
    <t>10,502,040</t>
  </si>
  <si>
    <t>4,706,996</t>
  </si>
  <si>
    <t>159,596</t>
  </si>
  <si>
    <t>7,320,758</t>
  </si>
  <si>
    <t>3,441,056</t>
  </si>
  <si>
    <t>106,032</t>
  </si>
  <si>
    <t>1,585,580</t>
  </si>
  <si>
    <t>715,884</t>
  </si>
  <si>
    <t>28,374</t>
  </si>
  <si>
    <t>1,595,702</t>
  </si>
  <si>
    <t>550,056</t>
  </si>
  <si>
    <t>25,190</t>
  </si>
  <si>
    <t>2,532,568</t>
  </si>
  <si>
    <t>760,206</t>
  </si>
  <si>
    <t>3,372,125</t>
  </si>
  <si>
    <t>24,351,330</t>
  </si>
  <si>
    <t>14,307,594</t>
  </si>
  <si>
    <t>5,661,091</t>
  </si>
  <si>
    <t>20,078,391</t>
  </si>
  <si>
    <t>12,983,533</t>
  </si>
  <si>
    <t>344,072</t>
  </si>
  <si>
    <t>5,976,182</t>
  </si>
  <si>
    <t>2,714,304</t>
  </si>
  <si>
    <t>97,225</t>
  </si>
  <si>
    <t>6,199,699</t>
  </si>
  <si>
    <t>5,962,294</t>
  </si>
  <si>
    <t>110,033</t>
  </si>
  <si>
    <t>3,228,454</t>
  </si>
  <si>
    <t>1,138,287</t>
  </si>
  <si>
    <t>51,319</t>
  </si>
  <si>
    <t>4,674,056</t>
  </si>
  <si>
    <t>3,168,648</t>
  </si>
  <si>
    <t>85,495</t>
  </si>
  <si>
    <t>4,272,939</t>
  </si>
  <si>
    <t>1,324,061</t>
  </si>
  <si>
    <t>5,317,019</t>
  </si>
  <si>
    <t>12,815,681</t>
  </si>
  <si>
    <t>8,242,449</t>
  </si>
  <si>
    <t>3,708,903</t>
  </si>
  <si>
    <t>9,781,460</t>
  </si>
  <si>
    <t>7,260,581</t>
  </si>
  <si>
    <t>177,425</t>
  </si>
  <si>
    <t>3,494,612</t>
  </si>
  <si>
    <t>3,362,481</t>
  </si>
  <si>
    <t>71,337</t>
  </si>
  <si>
    <t>3,378,925</t>
  </si>
  <si>
    <t>2,510,660</t>
  </si>
  <si>
    <t>57,641</t>
  </si>
  <si>
    <t>1,007,221</t>
  </si>
  <si>
    <t>437,391</t>
  </si>
  <si>
    <t>16,424</t>
  </si>
  <si>
    <t>1,900,702</t>
  </si>
  <si>
    <t>950,049</t>
  </si>
  <si>
    <t>32,023</t>
  </si>
  <si>
    <t>3,034,221</t>
  </si>
  <si>
    <t>981,868</t>
  </si>
  <si>
    <t>3,531,478</t>
  </si>
  <si>
    <t>3,852,197</t>
  </si>
  <si>
    <t>1,979,830</t>
  </si>
  <si>
    <t>1,730,011</t>
  </si>
  <si>
    <t>2,556,045</t>
  </si>
  <si>
    <t>1,561,058</t>
  </si>
  <si>
    <t>43,470</t>
  </si>
  <si>
    <t>370,318</t>
  </si>
  <si>
    <t>447,306</t>
  </si>
  <si>
    <t>7,606</t>
  </si>
  <si>
    <t>1,167,825</t>
  </si>
  <si>
    <t>580,460</t>
  </si>
  <si>
    <t>17,511</t>
  </si>
  <si>
    <t>345,484</t>
  </si>
  <si>
    <t>224,979</t>
  </si>
  <si>
    <t>6,183</t>
  </si>
  <si>
    <t>672,418</t>
  </si>
  <si>
    <t>308,313</t>
  </si>
  <si>
    <t>12,170</t>
  </si>
  <si>
    <t>9,186,294</t>
  </si>
  <si>
    <t>6,329,001</t>
  </si>
  <si>
    <t>1,985,402</t>
  </si>
  <si>
    <t>7,388,489</t>
  </si>
  <si>
    <t>5,688,567</t>
  </si>
  <si>
    <t>139,508</t>
  </si>
  <si>
    <t>3,383,010</t>
  </si>
  <si>
    <t>3,775,422</t>
  </si>
  <si>
    <t>77,622</t>
  </si>
  <si>
    <t>1,765,696</t>
  </si>
  <si>
    <t>1,070,604</t>
  </si>
  <si>
    <t>26,795</t>
  </si>
  <si>
    <t>1,952,768</t>
  </si>
  <si>
    <t>748,971</t>
  </si>
  <si>
    <t>30,711</t>
  </si>
  <si>
    <t>287,015</t>
  </si>
  <si>
    <t>93,570</t>
  </si>
  <si>
    <t>4,380</t>
  </si>
  <si>
    <t>1,797,805</t>
  </si>
  <si>
    <t>640,434</t>
  </si>
  <si>
    <t>1,845,894</t>
  </si>
  <si>
    <t>10,970,938</t>
  </si>
  <si>
    <t>4,715,221</t>
  </si>
  <si>
    <t>3,512,916</t>
  </si>
  <si>
    <t>8,438,370</t>
  </si>
  <si>
    <t>3,955,015</t>
  </si>
  <si>
    <t>140,791</t>
  </si>
  <si>
    <t>2,252,470</t>
  </si>
  <si>
    <t>1,255,710</t>
  </si>
  <si>
    <t>39,433</t>
  </si>
  <si>
    <t>948,341</t>
  </si>
  <si>
    <t>906,028</t>
  </si>
  <si>
    <t>19,379</t>
  </si>
  <si>
    <t>2,728,245</t>
  </si>
  <si>
    <t>886,116</t>
  </si>
  <si>
    <t>41,777</t>
  </si>
  <si>
    <t>2,509,314</t>
  </si>
  <si>
    <t>907,161</t>
  </si>
  <si>
    <t>40,202</t>
  </si>
  <si>
    <t>15,618,976</t>
  </si>
  <si>
    <t>0</t>
  </si>
  <si>
    <t>2,265,627</t>
  </si>
  <si>
    <t>37,645,120</t>
  </si>
  <si>
    <t>공사명 : 국도46호선 호평ic교(상) 등 포장 및 시설물 보수공사</t>
  </si>
  <si>
    <t>121,695,188</t>
  </si>
  <si>
    <t>71,502,290</t>
  </si>
  <si>
    <t>6,710,835</t>
  </si>
  <si>
    <t>119,565,140</t>
  </si>
  <si>
    <t>67,604,336</t>
  </si>
  <si>
    <t>3,936,499</t>
  </si>
  <si>
    <t>4,055</t>
  </si>
  <si>
    <t>1,333</t>
  </si>
  <si>
    <t>1,640</t>
  </si>
  <si>
    <t>2,130,048</t>
  </si>
  <si>
    <t>3,897,954</t>
  </si>
  <si>
    <t>2,774,336</t>
  </si>
  <si>
    <t>3,185</t>
  </si>
  <si>
    <t>23,913</t>
  </si>
  <si>
    <t>385</t>
  </si>
  <si>
    <t>6,371</t>
  </si>
  <si>
    <t>25,365</t>
  </si>
  <si>
    <t>770</t>
  </si>
  <si>
    <t>17,698</t>
  </si>
  <si>
    <t>26,218</t>
  </si>
  <si>
    <t>2,141</t>
  </si>
  <si>
    <t>85,196,231</t>
  </si>
  <si>
    <t>46,921,986</t>
  </si>
  <si>
    <t>24,093,958</t>
  </si>
  <si>
    <t>3,309,659</t>
  </si>
  <si>
    <t>1,635,537</t>
  </si>
  <si>
    <t>1,891,873</t>
  </si>
  <si>
    <t>1,879,450</t>
  </si>
  <si>
    <t>1,173,451</t>
  </si>
  <si>
    <t>30,902</t>
  </si>
  <si>
    <t>308,166</t>
  </si>
  <si>
    <t>573,240</t>
  </si>
  <si>
    <t>7,008</t>
  </si>
  <si>
    <t>873,367</t>
  </si>
  <si>
    <t>248,711</t>
  </si>
  <si>
    <t>12,234</t>
  </si>
  <si>
    <t>63,340</t>
  </si>
  <si>
    <t>20,650</t>
  </si>
  <si>
    <t>967</t>
  </si>
  <si>
    <t>634,577</t>
  </si>
  <si>
    <t>330,850</t>
  </si>
  <si>
    <t>10,693</t>
  </si>
  <si>
    <t>1,430,209</t>
  </si>
  <si>
    <t>462,086</t>
  </si>
  <si>
    <t>1,860,971</t>
  </si>
  <si>
    <t>810,756</t>
  </si>
  <si>
    <t>132,160</t>
  </si>
  <si>
    <t>1,684,080</t>
  </si>
  <si>
    <t>2,541</t>
  </si>
  <si>
    <t>838</t>
  </si>
  <si>
    <t>1,057</t>
  </si>
  <si>
    <t>14,382,759</t>
  </si>
  <si>
    <t>6,032,719</t>
  </si>
  <si>
    <t>3,897,026</t>
  </si>
  <si>
    <t>11,588,257</t>
  </si>
  <si>
    <t>5,193,885</t>
  </si>
  <si>
    <t>176,141</t>
  </si>
  <si>
    <t>8,077,930</t>
  </si>
  <si>
    <t>3,796,980</t>
  </si>
  <si>
    <t>117,012</t>
  </si>
  <si>
    <t>1,749,584</t>
  </si>
  <si>
    <t>789,944</t>
  </si>
  <si>
    <t>31,322</t>
  </si>
  <si>
    <t>1,760,743</t>
  </si>
  <si>
    <t>606,961</t>
  </si>
  <si>
    <t>27,807</t>
  </si>
  <si>
    <t>2,794,502</t>
  </si>
  <si>
    <t>838,834</t>
  </si>
  <si>
    <t>3,720,885</t>
  </si>
  <si>
    <t>26,869,937</t>
  </si>
  <si>
    <t>15,787,515</t>
  </si>
  <si>
    <t>6,236,468</t>
  </si>
  <si>
    <t>22,155,064</t>
  </si>
  <si>
    <t>14,326,507</t>
  </si>
  <si>
    <t>379,778</t>
  </si>
  <si>
    <t>6,594,285</t>
  </si>
  <si>
    <t>2,995,081</t>
  </si>
  <si>
    <t>107,323</t>
  </si>
  <si>
    <t>6,840,915</t>
  </si>
  <si>
    <t>6,578,977</t>
  </si>
  <si>
    <t>121,431</t>
  </si>
  <si>
    <t>3,562,369</t>
  </si>
  <si>
    <t>1,256,046</t>
  </si>
  <si>
    <t>56,651</t>
  </si>
  <si>
    <t>5,157,495</t>
  </si>
  <si>
    <t>3,496,403</t>
  </si>
  <si>
    <t>94,373</t>
  </si>
  <si>
    <t>4,714,873</t>
  </si>
  <si>
    <t>1,461,008</t>
  </si>
  <si>
    <t>5,856,690</t>
  </si>
  <si>
    <t>14,141,184</t>
  </si>
  <si>
    <t>9,094,995</t>
  </si>
  <si>
    <t>4,092,554</t>
  </si>
  <si>
    <t>10,793,145</t>
  </si>
  <si>
    <t>8,011,573</t>
  </si>
  <si>
    <t>195,835</t>
  </si>
  <si>
    <t>3,856,065</t>
  </si>
  <si>
    <t>3,710,268</t>
  </si>
  <si>
    <t>78,742</t>
  </si>
  <si>
    <t>3,728,395</t>
  </si>
  <si>
    <t>2,770,344</t>
  </si>
  <si>
    <t>63,614</t>
  </si>
  <si>
    <t>1,111,396</t>
  </si>
  <si>
    <t>482,637</t>
  </si>
  <si>
    <t>18,130</t>
  </si>
  <si>
    <t>2,097,289</t>
  </si>
  <si>
    <t>1,048,324</t>
  </si>
  <si>
    <t>35,349</t>
  </si>
  <si>
    <t>3,348,039</t>
  </si>
  <si>
    <t>1,083,422</t>
  </si>
  <si>
    <t>3,896,719</t>
  </si>
  <si>
    <t>4,250,625</t>
  </si>
  <si>
    <t>2,184,615</t>
  </si>
  <si>
    <t>1,908,951</t>
  </si>
  <si>
    <t>2,820,416</t>
  </si>
  <si>
    <t>1,722,529</t>
  </si>
  <si>
    <t>47,980</t>
  </si>
  <si>
    <t>408,620</t>
  </si>
  <si>
    <t>493,570</t>
  </si>
  <si>
    <t>8,395</t>
  </si>
  <si>
    <t>1,288,609</t>
  </si>
  <si>
    <t>640,500</t>
  </si>
  <si>
    <t>19,325</t>
  </si>
  <si>
    <t>381,217</t>
  </si>
  <si>
    <t>248,250</t>
  </si>
  <si>
    <t>6,825</t>
  </si>
  <si>
    <t>741,970</t>
  </si>
  <si>
    <t>340,209</t>
  </si>
  <si>
    <t>13,435</t>
  </si>
  <si>
    <t>10,136,422</t>
  </si>
  <si>
    <t>6,983,632</t>
  </si>
  <si>
    <t>2,190,790</t>
  </si>
  <si>
    <t>8,152,676</t>
  </si>
  <si>
    <t>6,276,958</t>
  </si>
  <si>
    <t>153,985</t>
  </si>
  <si>
    <t>3,732,922</t>
  </si>
  <si>
    <t>4,165,918</t>
  </si>
  <si>
    <t>85,679</t>
  </si>
  <si>
    <t>1,948,317</t>
  </si>
  <si>
    <t>1,181,340</t>
  </si>
  <si>
    <t>29,570</t>
  </si>
  <si>
    <t>2,154,737</t>
  </si>
  <si>
    <t>826,450</t>
  </si>
  <si>
    <t>33,901</t>
  </si>
  <si>
    <t>316,700</t>
  </si>
  <si>
    <t>103,250</t>
  </si>
  <si>
    <t>4,835</t>
  </si>
  <si>
    <t>1,983,746</t>
  </si>
  <si>
    <t>706,674</t>
  </si>
  <si>
    <t>2,036,805</t>
  </si>
  <si>
    <t>12,105,645</t>
  </si>
  <si>
    <t>5,202,973</t>
  </si>
  <si>
    <t>3,876,296</t>
  </si>
  <si>
    <t>9,311,143</t>
  </si>
  <si>
    <t>4,364,139</t>
  </si>
  <si>
    <t>155,411</t>
  </si>
  <si>
    <t>2,485,445</t>
  </si>
  <si>
    <t>1,385,603</t>
  </si>
  <si>
    <t>43,529</t>
  </si>
  <si>
    <t>1,046,429</t>
  </si>
  <si>
    <t>999,740</t>
  </si>
  <si>
    <t>21,386</t>
  </si>
  <si>
    <t>3,010,419</t>
  </si>
  <si>
    <t>977,787</t>
  </si>
  <si>
    <t>46,117</t>
  </si>
  <si>
    <t>2,768,850</t>
  </si>
  <si>
    <t>1,001,009</t>
  </si>
  <si>
    <t>44,379</t>
  </si>
  <si>
    <t>206,891,419</t>
  </si>
  <si>
    <t>118,424,276</t>
  </si>
  <si>
    <t>30,804,793</t>
  </si>
  <si>
    <t>501,302</t>
  </si>
  <si>
    <t>369,025</t>
  </si>
  <si>
    <t>244,588</t>
  </si>
  <si>
    <t>175,834</t>
  </si>
  <si>
    <t>42,250</t>
  </si>
  <si>
    <t>84,500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</si>
</sst>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#,##0.0########"/>
    <numFmt numFmtId="178" formatCode="#,##0.##"/>
    <numFmt numFmtId="179" formatCode="#,##0.#######"/>
    <numFmt numFmtId="180" formatCode="&quot;₩&quot;#,##0"/>
    <numFmt numFmtId="181" formatCode="yyyy&quot;년&quot;\ m&quot;월&quot;\ d&quot;일&quot;;@"/>
    <numFmt numFmtId="182" formatCode="0.0000%"/>
    <numFmt numFmtId="183" formatCode="#,##0_);[Red]\(#,##0\)"/>
    <numFmt numFmtId="184" formatCode="General;\-General\,&quot;&quot;;@"/>
    <numFmt numFmtId="185" formatCode="0.000%"/>
    <numFmt numFmtId="186" formatCode="0.000000%"/>
    <numFmt numFmtId="187" formatCode="_(* #,##0_);_(* \(#,##0\);_(* &quot;-&quot;??_);_(@_)"/>
    <numFmt numFmtId="188" formatCode="#,##0.00_);[Red]\(#,##0.00\)"/>
    <numFmt numFmtId="189" formatCode="#,##0.00000000;[Red]\-#,##0.00000000"/>
    <numFmt numFmtId="190" formatCode="#,##0_ "/>
  </numFmts>
  <fonts count="56">
    <font>
      <sz val="10"/>
      <color indexed="8"/>
      <name val="Arial"/>
      <family val="2"/>
    </font>
    <font>
      <b/>
      <sz val="18"/>
      <color indexed="8"/>
      <name val="굴림체"/>
      <family val="3"/>
    </font>
    <font>
      <b/>
      <sz val="25"/>
      <color indexed="8"/>
      <name val="굴림체"/>
      <family val="3"/>
    </font>
    <font>
      <b/>
      <sz val="20"/>
      <color indexed="8"/>
      <name val="Arial"/>
      <family val="2"/>
    </font>
    <font>
      <b/>
      <sz val="9"/>
      <color indexed="8"/>
      <name val="굴림체"/>
      <family val="3"/>
    </font>
    <font>
      <sz val="9"/>
      <color indexed="8"/>
      <name val="굴림체"/>
      <family val="3"/>
    </font>
    <font>
      <b/>
      <sz val="13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2"/>
      <name val="굴림"/>
      <family val="3"/>
      <charset val="129"/>
    </font>
    <font>
      <b/>
      <sz val="24"/>
      <name val="굴림"/>
      <family val="3"/>
      <charset val="129"/>
    </font>
    <font>
      <sz val="18"/>
      <name val="굴림"/>
      <family val="3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sz val="16"/>
      <name val="굴림"/>
      <family val="3"/>
      <charset val="129"/>
    </font>
    <font>
      <b/>
      <sz val="16"/>
      <name val="굴림"/>
      <family val="3"/>
      <charset val="129"/>
    </font>
    <font>
      <sz val="8"/>
      <name val="굴림체"/>
      <family val="3"/>
    </font>
    <font>
      <b/>
      <u/>
      <sz val="13"/>
      <name val="굴림"/>
      <family val="3"/>
      <charset val="129"/>
    </font>
    <font>
      <b/>
      <sz val="20"/>
      <name val="굴림"/>
      <family val="3"/>
      <charset val="129"/>
    </font>
    <font>
      <b/>
      <sz val="14"/>
      <name val="굴림"/>
      <family val="3"/>
      <charset val="129"/>
    </font>
    <font>
      <b/>
      <sz val="20"/>
      <color indexed="8"/>
      <name val="굴림체"/>
      <family val="3"/>
    </font>
    <font>
      <sz val="10"/>
      <color indexed="8"/>
      <name val="굴림체"/>
      <family val="3"/>
    </font>
    <font>
      <b/>
      <sz val="20"/>
      <color indexed="8"/>
      <name val="굴림"/>
      <family val="3"/>
      <charset val="129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b/>
      <sz val="10"/>
      <name val="굴림체"/>
      <family val="3"/>
    </font>
    <font>
      <sz val="11"/>
      <name val="돋움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8"/>
      <name val="굴림체"/>
      <family val="3"/>
      <charset val="129"/>
    </font>
    <font>
      <b/>
      <sz val="11"/>
      <color indexed="8"/>
      <name val="굴림체"/>
      <family val="3"/>
      <charset val="129"/>
    </font>
    <font>
      <b/>
      <sz val="11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sz val="11"/>
      <name val="굴림"/>
      <family val="3"/>
      <charset val="129"/>
    </font>
    <font>
      <sz val="11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10"/>
      <color rgb="FFFF0000"/>
      <name val="Arial"/>
      <family val="2"/>
    </font>
    <font>
      <b/>
      <sz val="20"/>
      <color rgb="FF000000"/>
      <name val="굴림체"/>
      <family val="3"/>
      <charset val="129"/>
    </font>
    <font>
      <b/>
      <sz val="20"/>
      <color rgb="FF000000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0"/>
      </bottom>
      <diagonal/>
    </border>
    <border>
      <left style="hair">
        <color indexed="64"/>
      </left>
      <right style="hair">
        <color indexed="64"/>
      </right>
      <top/>
      <bottom style="thin">
        <color indexed="0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9" fontId="7" fillId="0" borderId="0"/>
    <xf numFmtId="176" fontId="7" fillId="0" borderId="0"/>
    <xf numFmtId="41" fontId="31" fillId="0" borderId="0" applyFont="0" applyFill="0" applyBorder="0" applyAlignment="0" applyProtection="0"/>
    <xf numFmtId="0" fontId="7" fillId="0" borderId="0"/>
    <xf numFmtId="0" fontId="39" fillId="0" borderId="0">
      <alignment vertical="center"/>
    </xf>
    <xf numFmtId="0" fontId="29" fillId="0" borderId="0"/>
  </cellStyleXfs>
  <cellXfs count="38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vertical="center"/>
    </xf>
    <xf numFmtId="3" fontId="5" fillId="0" borderId="9" xfId="0" applyNumberFormat="1" applyFont="1" applyBorder="1" applyAlignment="1">
      <alignment vertical="center"/>
    </xf>
    <xf numFmtId="3" fontId="5" fillId="0" borderId="18" xfId="0" applyNumberFormat="1" applyFont="1" applyBorder="1" applyAlignment="1">
      <alignment vertical="center"/>
    </xf>
    <xf numFmtId="3" fontId="5" fillId="0" borderId="19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3" fontId="4" fillId="0" borderId="20" xfId="0" applyNumberFormat="1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3" fontId="0" fillId="0" borderId="0" xfId="0" applyNumberFormat="1"/>
    <xf numFmtId="3" fontId="5" fillId="0" borderId="23" xfId="0" applyNumberFormat="1" applyFont="1" applyBorder="1" applyAlignment="1">
      <alignment horizontal="center" vertical="center"/>
    </xf>
    <xf numFmtId="3" fontId="5" fillId="0" borderId="24" xfId="0" applyNumberFormat="1" applyFont="1" applyBorder="1" applyAlignment="1">
      <alignment horizontal="left" vertical="center"/>
    </xf>
    <xf numFmtId="3" fontId="5" fillId="0" borderId="24" xfId="0" applyNumberFormat="1" applyFont="1" applyBorder="1" applyAlignment="1">
      <alignment horizontal="center" vertical="center"/>
    </xf>
    <xf numFmtId="3" fontId="5" fillId="0" borderId="24" xfId="0" applyNumberFormat="1" applyFont="1" applyBorder="1" applyAlignment="1">
      <alignment vertical="center"/>
    </xf>
    <xf numFmtId="3" fontId="5" fillId="0" borderId="25" xfId="0" applyNumberFormat="1" applyFont="1" applyBorder="1" applyAlignment="1">
      <alignment horizontal="left" vertical="center"/>
    </xf>
    <xf numFmtId="3" fontId="5" fillId="0" borderId="26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left" vertical="center"/>
    </xf>
    <xf numFmtId="3" fontId="5" fillId="0" borderId="19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left" vertical="center"/>
    </xf>
    <xf numFmtId="3" fontId="5" fillId="0" borderId="27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28" xfId="0" applyBorder="1"/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29" xfId="0" applyBorder="1"/>
    <xf numFmtId="177" fontId="0" fillId="0" borderId="29" xfId="0" applyNumberFormat="1" applyBorder="1"/>
    <xf numFmtId="0" fontId="0" fillId="0" borderId="30" xfId="0" applyBorder="1"/>
    <xf numFmtId="0" fontId="0" fillId="0" borderId="29" xfId="0" applyBorder="1" applyAlignment="1">
      <alignment horizontal="center"/>
    </xf>
    <xf numFmtId="3" fontId="0" fillId="0" borderId="29" xfId="0" applyNumberFormat="1" applyBorder="1" applyAlignment="1">
      <alignment horizontal="right"/>
    </xf>
    <xf numFmtId="3" fontId="0" fillId="0" borderId="29" xfId="0" applyNumberFormat="1" applyBorder="1"/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3" fontId="4" fillId="0" borderId="23" xfId="0" applyNumberFormat="1" applyFont="1" applyBorder="1" applyAlignment="1">
      <alignment horizontal="left" vertical="center"/>
    </xf>
    <xf numFmtId="3" fontId="4" fillId="0" borderId="24" xfId="0" applyNumberFormat="1" applyFont="1" applyBorder="1" applyAlignment="1">
      <alignment horizontal="left" vertical="center"/>
    </xf>
    <xf numFmtId="3" fontId="5" fillId="0" borderId="33" xfId="0" applyNumberFormat="1" applyFont="1" applyBorder="1" applyAlignment="1">
      <alignment vertical="center"/>
    </xf>
    <xf numFmtId="3" fontId="5" fillId="0" borderId="27" xfId="0" applyNumberFormat="1" applyFont="1" applyBorder="1" applyAlignment="1">
      <alignment horizontal="right" vertical="center"/>
    </xf>
    <xf numFmtId="3" fontId="5" fillId="0" borderId="24" xfId="0" applyNumberFormat="1" applyFont="1" applyBorder="1" applyAlignment="1">
      <alignment horizontal="right" vertical="center"/>
    </xf>
    <xf numFmtId="3" fontId="5" fillId="0" borderId="25" xfId="0" applyNumberFormat="1" applyFont="1" applyBorder="1" applyAlignment="1">
      <alignment vertical="center"/>
    </xf>
    <xf numFmtId="3" fontId="5" fillId="0" borderId="23" xfId="0" applyNumberFormat="1" applyFont="1" applyBorder="1" applyAlignment="1">
      <alignment horizontal="left" vertical="center"/>
    </xf>
    <xf numFmtId="178" fontId="5" fillId="0" borderId="24" xfId="0" applyNumberFormat="1" applyFont="1" applyBorder="1" applyAlignment="1">
      <alignment vertical="center"/>
    </xf>
    <xf numFmtId="3" fontId="5" fillId="0" borderId="26" xfId="0" applyNumberFormat="1" applyFont="1" applyBorder="1" applyAlignment="1">
      <alignment horizontal="left" vertical="center"/>
    </xf>
    <xf numFmtId="3" fontId="5" fillId="0" borderId="18" xfId="0" applyNumberFormat="1" applyFont="1" applyBorder="1" applyAlignment="1">
      <alignment horizontal="right" vertical="center"/>
    </xf>
    <xf numFmtId="178" fontId="5" fillId="0" borderId="19" xfId="0" applyNumberFormat="1" applyFont="1" applyBorder="1" applyAlignment="1">
      <alignment vertical="center"/>
    </xf>
    <xf numFmtId="179" fontId="5" fillId="0" borderId="9" xfId="0" applyNumberFormat="1" applyFont="1" applyBorder="1" applyAlignment="1">
      <alignment vertical="center"/>
    </xf>
    <xf numFmtId="3" fontId="5" fillId="0" borderId="25" xfId="0" applyNumberFormat="1" applyFont="1" applyBorder="1" applyAlignment="1">
      <alignment horizontal="right" vertical="center"/>
    </xf>
    <xf numFmtId="3" fontId="5" fillId="0" borderId="19" xfId="0" applyNumberFormat="1" applyFont="1" applyBorder="1" applyAlignment="1">
      <alignment horizontal="right" vertical="center"/>
    </xf>
    <xf numFmtId="3" fontId="5" fillId="0" borderId="11" xfId="0" applyNumberFormat="1" applyFont="1" applyBorder="1" applyAlignment="1">
      <alignment horizontal="right" vertical="center"/>
    </xf>
    <xf numFmtId="179" fontId="4" fillId="0" borderId="14" xfId="0" applyNumberFormat="1" applyFont="1" applyBorder="1" applyAlignment="1">
      <alignment horizontal="center" vertical="center"/>
    </xf>
    <xf numFmtId="179" fontId="4" fillId="0" borderId="39" xfId="0" applyNumberFormat="1" applyFont="1" applyBorder="1" applyAlignment="1">
      <alignment horizontal="center" vertical="center"/>
    </xf>
    <xf numFmtId="179" fontId="5" fillId="0" borderId="12" xfId="0" applyNumberFormat="1" applyFont="1" applyBorder="1" applyAlignment="1">
      <alignment vertical="center"/>
    </xf>
    <xf numFmtId="179" fontId="5" fillId="0" borderId="0" xfId="0" applyNumberFormat="1" applyFont="1" applyAlignment="1">
      <alignment vertical="center"/>
    </xf>
    <xf numFmtId="179" fontId="5" fillId="0" borderId="13" xfId="0" applyNumberFormat="1" applyFont="1" applyBorder="1" applyAlignment="1">
      <alignment vertical="center"/>
    </xf>
    <xf numFmtId="179" fontId="4" fillId="0" borderId="12" xfId="0" applyNumberFormat="1" applyFont="1" applyBorder="1" applyAlignment="1">
      <alignment horizontal="left" vertical="center"/>
    </xf>
    <xf numFmtId="3" fontId="4" fillId="0" borderId="40" xfId="0" applyNumberFormat="1" applyFont="1" applyBorder="1" applyAlignment="1">
      <alignment horizontal="right" vertical="center"/>
    </xf>
    <xf numFmtId="3" fontId="4" fillId="0" borderId="37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79" fontId="5" fillId="0" borderId="40" xfId="0" applyNumberFormat="1" applyFont="1" applyBorder="1" applyAlignment="1">
      <alignment horizontal="right" vertical="center"/>
    </xf>
    <xf numFmtId="179" fontId="5" fillId="0" borderId="37" xfId="0" applyNumberFormat="1" applyFont="1" applyBorder="1" applyAlignment="1">
      <alignment horizontal="right" vertical="center"/>
    </xf>
    <xf numFmtId="179" fontId="5" fillId="0" borderId="18" xfId="0" applyNumberFormat="1" applyFont="1" applyBorder="1" applyAlignment="1">
      <alignment horizontal="right" vertical="center"/>
    </xf>
    <xf numFmtId="179" fontId="5" fillId="0" borderId="41" xfId="0" applyNumberFormat="1" applyFont="1" applyBorder="1" applyAlignment="1">
      <alignment horizontal="right" vertical="center"/>
    </xf>
    <xf numFmtId="3" fontId="5" fillId="0" borderId="40" xfId="0" applyNumberFormat="1" applyFont="1" applyBorder="1" applyAlignment="1">
      <alignment horizontal="right" vertical="center"/>
    </xf>
    <xf numFmtId="3" fontId="4" fillId="0" borderId="23" xfId="0" applyNumberFormat="1" applyFont="1" applyBorder="1" applyAlignment="1">
      <alignment horizontal="center" vertical="center"/>
    </xf>
    <xf numFmtId="3" fontId="4" fillId="0" borderId="24" xfId="0" applyNumberFormat="1" applyFont="1" applyBorder="1" applyAlignment="1">
      <alignment horizontal="center" vertical="center"/>
    </xf>
    <xf numFmtId="3" fontId="4" fillId="0" borderId="24" xfId="0" applyNumberFormat="1" applyFont="1" applyBorder="1" applyAlignment="1">
      <alignment horizontal="right" vertical="center"/>
    </xf>
    <xf numFmtId="3" fontId="4" fillId="0" borderId="25" xfId="0" applyNumberFormat="1" applyFont="1" applyBorder="1" applyAlignment="1">
      <alignment horizontal="left" vertical="center"/>
    </xf>
    <xf numFmtId="177" fontId="5" fillId="0" borderId="24" xfId="0" applyNumberFormat="1" applyFont="1" applyBorder="1" applyAlignment="1">
      <alignment vertical="center"/>
    </xf>
    <xf numFmtId="3" fontId="4" fillId="0" borderId="24" xfId="0" applyNumberFormat="1" applyFont="1" applyBorder="1" applyAlignment="1">
      <alignment vertical="center"/>
    </xf>
    <xf numFmtId="177" fontId="5" fillId="0" borderId="19" xfId="0" applyNumberFormat="1" applyFont="1" applyBorder="1" applyAlignment="1">
      <alignment vertical="center"/>
    </xf>
    <xf numFmtId="3" fontId="4" fillId="0" borderId="26" xfId="0" applyNumberFormat="1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left" vertical="center"/>
    </xf>
    <xf numFmtId="3" fontId="4" fillId="0" borderId="19" xfId="0" applyNumberFormat="1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right" vertical="center"/>
    </xf>
    <xf numFmtId="3" fontId="4" fillId="0" borderId="11" xfId="0" applyNumberFormat="1" applyFont="1" applyBorder="1" applyAlignment="1">
      <alignment horizontal="left" vertical="center"/>
    </xf>
    <xf numFmtId="3" fontId="4" fillId="0" borderId="26" xfId="0" applyNumberFormat="1" applyFont="1" applyBorder="1" applyAlignment="1">
      <alignment horizontal="left" vertical="center"/>
    </xf>
    <xf numFmtId="3" fontId="4" fillId="0" borderId="27" xfId="0" applyNumberFormat="1" applyFont="1" applyBorder="1" applyAlignment="1">
      <alignment vertical="center"/>
    </xf>
    <xf numFmtId="3" fontId="5" fillId="0" borderId="42" xfId="0" applyNumberFormat="1" applyFont="1" applyBorder="1" applyAlignment="1">
      <alignment horizontal="left" vertical="center"/>
    </xf>
    <xf numFmtId="3" fontId="5" fillId="0" borderId="17" xfId="0" applyNumberFormat="1" applyFont="1" applyBorder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3" fontId="5" fillId="0" borderId="40" xfId="0" applyNumberFormat="1" applyFont="1" applyBorder="1" applyAlignment="1">
      <alignment horizontal="left" vertical="center"/>
    </xf>
    <xf numFmtId="3" fontId="5" fillId="0" borderId="17" xfId="0" applyNumberFormat="1" applyFont="1" applyBorder="1" applyAlignment="1">
      <alignment horizontal="right" vertical="center"/>
    </xf>
    <xf numFmtId="3" fontId="5" fillId="0" borderId="10" xfId="0" applyNumberFormat="1" applyFont="1" applyBorder="1" applyAlignment="1">
      <alignment horizontal="left" vertical="center"/>
    </xf>
    <xf numFmtId="3" fontId="5" fillId="0" borderId="33" xfId="0" applyNumberFormat="1" applyFont="1" applyBorder="1" applyAlignment="1">
      <alignment horizontal="left" vertical="center"/>
    </xf>
    <xf numFmtId="3" fontId="5" fillId="0" borderId="27" xfId="0" applyNumberFormat="1" applyFont="1" applyBorder="1" applyAlignment="1">
      <alignment horizontal="left" vertical="center"/>
    </xf>
    <xf numFmtId="3" fontId="5" fillId="0" borderId="43" xfId="0" applyNumberFormat="1" applyFont="1" applyBorder="1" applyAlignment="1">
      <alignment horizontal="left" vertical="center"/>
    </xf>
    <xf numFmtId="3" fontId="5" fillId="0" borderId="13" xfId="0" applyNumberFormat="1" applyFont="1" applyBorder="1" applyAlignment="1">
      <alignment horizontal="left" vertical="center"/>
    </xf>
    <xf numFmtId="3" fontId="5" fillId="0" borderId="9" xfId="0" applyNumberFormat="1" applyFont="1" applyBorder="1" applyAlignment="1">
      <alignment horizontal="left" vertical="center"/>
    </xf>
    <xf numFmtId="3" fontId="5" fillId="0" borderId="18" xfId="0" applyNumberFormat="1" applyFont="1" applyBorder="1" applyAlignment="1">
      <alignment horizontal="left" vertical="center"/>
    </xf>
    <xf numFmtId="0" fontId="9" fillId="0" borderId="35" xfId="5" applyFont="1" applyBorder="1">
      <alignment vertical="center"/>
    </xf>
    <xf numFmtId="0" fontId="9" fillId="0" borderId="34" xfId="5" applyFont="1" applyBorder="1">
      <alignment vertical="center"/>
    </xf>
    <xf numFmtId="0" fontId="9" fillId="0" borderId="34" xfId="5" applyFont="1" applyBorder="1" applyAlignment="1">
      <alignment horizontal="center" vertical="center"/>
    </xf>
    <xf numFmtId="0" fontId="9" fillId="0" borderId="36" xfId="5" applyFont="1" applyBorder="1">
      <alignment vertical="center"/>
    </xf>
    <xf numFmtId="0" fontId="9" fillId="0" borderId="0" xfId="5" applyFont="1">
      <alignment vertical="center"/>
    </xf>
    <xf numFmtId="0" fontId="10" fillId="0" borderId="12" xfId="5" applyFont="1" applyBorder="1">
      <alignment vertical="center"/>
    </xf>
    <xf numFmtId="0" fontId="10" fillId="0" borderId="0" xfId="5" applyFont="1">
      <alignment vertical="center"/>
    </xf>
    <xf numFmtId="0" fontId="10" fillId="0" borderId="10" xfId="5" applyFont="1" applyBorder="1">
      <alignment vertical="center"/>
    </xf>
    <xf numFmtId="0" fontId="9" fillId="0" borderId="12" xfId="5" applyFont="1" applyBorder="1">
      <alignment vertical="center"/>
    </xf>
    <xf numFmtId="0" fontId="9" fillId="0" borderId="0" xfId="5" applyFont="1" applyAlignment="1">
      <alignment horizontal="center" vertical="center"/>
    </xf>
    <xf numFmtId="0" fontId="11" fillId="0" borderId="0" xfId="5" applyFont="1" applyAlignment="1">
      <alignment horizontal="distributed" vertical="center"/>
    </xf>
    <xf numFmtId="0" fontId="9" fillId="0" borderId="10" xfId="5" applyFont="1" applyBorder="1">
      <alignment vertical="center"/>
    </xf>
    <xf numFmtId="0" fontId="9" fillId="0" borderId="33" xfId="5" applyFont="1" applyBorder="1" applyAlignment="1">
      <alignment horizontal="center" vertical="center"/>
    </xf>
    <xf numFmtId="3" fontId="12" fillId="0" borderId="33" xfId="5" applyNumberFormat="1" applyFont="1" applyBorder="1">
      <alignment vertical="center"/>
    </xf>
    <xf numFmtId="0" fontId="9" fillId="0" borderId="33" xfId="5" applyFont="1" applyBorder="1">
      <alignment vertical="center"/>
    </xf>
    <xf numFmtId="0" fontId="9" fillId="0" borderId="0" xfId="5" applyFont="1" applyAlignment="1">
      <alignment horizontal="distributed" vertical="center"/>
    </xf>
    <xf numFmtId="0" fontId="12" fillId="0" borderId="33" xfId="5" applyFont="1" applyBorder="1">
      <alignment vertical="center"/>
    </xf>
    <xf numFmtId="41" fontId="12" fillId="0" borderId="33" xfId="5" applyNumberFormat="1" applyFont="1" applyBorder="1" applyAlignment="1">
      <alignment horizontal="center" vertical="center" wrapText="1"/>
    </xf>
    <xf numFmtId="180" fontId="12" fillId="0" borderId="33" xfId="5" applyNumberFormat="1" applyFont="1" applyBorder="1">
      <alignment vertical="center"/>
    </xf>
    <xf numFmtId="0" fontId="12" fillId="0" borderId="0" xfId="5" applyFont="1" applyAlignment="1">
      <alignment horizontal="distributed" vertical="center"/>
    </xf>
    <xf numFmtId="0" fontId="12" fillId="0" borderId="0" xfId="5" applyFont="1">
      <alignment vertical="center"/>
    </xf>
    <xf numFmtId="41" fontId="12" fillId="0" borderId="0" xfId="5" applyNumberFormat="1" applyFont="1" applyAlignment="1">
      <alignment horizontal="center" vertical="center" wrapText="1"/>
    </xf>
    <xf numFmtId="41" fontId="12" fillId="0" borderId="0" xfId="5" applyNumberFormat="1" applyFont="1" applyAlignment="1">
      <alignment horizontal="left" vertical="center" wrapText="1"/>
    </xf>
    <xf numFmtId="180" fontId="12" fillId="0" borderId="0" xfId="5" applyNumberFormat="1" applyFont="1">
      <alignment vertical="center"/>
    </xf>
    <xf numFmtId="41" fontId="12" fillId="0" borderId="33" xfId="5" applyNumberFormat="1" applyFont="1" applyBorder="1" applyAlignment="1">
      <alignment vertical="center" wrapText="1"/>
    </xf>
    <xf numFmtId="0" fontId="13" fillId="0" borderId="0" xfId="5" applyFont="1" applyAlignment="1">
      <alignment horizontal="left" vertical="center"/>
    </xf>
    <xf numFmtId="0" fontId="9" fillId="0" borderId="0" xfId="5" applyFont="1" applyAlignment="1">
      <alignment horizontal="left" vertical="center"/>
    </xf>
    <xf numFmtId="0" fontId="9" fillId="0" borderId="10" xfId="5" applyFont="1" applyBorder="1" applyAlignment="1">
      <alignment horizontal="left" vertical="center"/>
    </xf>
    <xf numFmtId="0" fontId="13" fillId="0" borderId="0" xfId="5" applyFont="1">
      <alignment vertical="center"/>
    </xf>
    <xf numFmtId="0" fontId="12" fillId="0" borderId="12" xfId="5" applyFont="1" applyBorder="1">
      <alignment vertical="center"/>
    </xf>
    <xf numFmtId="0" fontId="12" fillId="0" borderId="0" xfId="5" applyFont="1" applyAlignment="1">
      <alignment horizontal="center" vertical="center"/>
    </xf>
    <xf numFmtId="0" fontId="12" fillId="0" borderId="10" xfId="5" applyFont="1" applyBorder="1">
      <alignment vertical="center"/>
    </xf>
    <xf numFmtId="0" fontId="18" fillId="0" borderId="0" xfId="5" applyFont="1">
      <alignment vertical="center"/>
    </xf>
    <xf numFmtId="0" fontId="19" fillId="0" borderId="0" xfId="5" applyFont="1" applyAlignment="1">
      <alignment horizontal="center" vertical="center"/>
    </xf>
    <xf numFmtId="0" fontId="9" fillId="0" borderId="13" xfId="5" applyFont="1" applyBorder="1">
      <alignment vertical="center"/>
    </xf>
    <xf numFmtId="0" fontId="9" fillId="0" borderId="9" xfId="5" applyFont="1" applyBorder="1">
      <alignment vertical="center"/>
    </xf>
    <xf numFmtId="0" fontId="9" fillId="0" borderId="9" xfId="5" applyFont="1" applyBorder="1" applyAlignment="1">
      <alignment horizontal="center" vertical="center"/>
    </xf>
    <xf numFmtId="0" fontId="9" fillId="0" borderId="11" xfId="5" applyFont="1" applyBorder="1">
      <alignment vertical="center"/>
    </xf>
    <xf numFmtId="0" fontId="40" fillId="0" borderId="0" xfId="0" applyFont="1" applyAlignment="1">
      <alignment horizontal="right"/>
    </xf>
    <xf numFmtId="41" fontId="7" fillId="0" borderId="0" xfId="2" applyNumberFormat="1"/>
    <xf numFmtId="0" fontId="4" fillId="0" borderId="0" xfId="0" applyFont="1" applyAlignment="1">
      <alignment horizontal="left" vertical="center"/>
    </xf>
    <xf numFmtId="183" fontId="23" fillId="0" borderId="0" xfId="0" applyNumberFormat="1" applyFont="1"/>
    <xf numFmtId="0" fontId="41" fillId="0" borderId="0" xfId="0" applyFont="1"/>
    <xf numFmtId="0" fontId="23" fillId="0" borderId="0" xfId="0" applyFont="1"/>
    <xf numFmtId="0" fontId="23" fillId="0" borderId="0" xfId="0" applyFont="1" applyAlignment="1">
      <alignment horizontal="right"/>
    </xf>
    <xf numFmtId="0" fontId="24" fillId="0" borderId="0" xfId="0" applyFont="1"/>
    <xf numFmtId="41" fontId="24" fillId="0" borderId="0" xfId="2" applyNumberFormat="1" applyFont="1"/>
    <xf numFmtId="0" fontId="26" fillId="0" borderId="0" xfId="0" applyFont="1" applyAlignment="1">
      <alignment vertical="center"/>
    </xf>
    <xf numFmtId="185" fontId="7" fillId="0" borderId="0" xfId="1" applyNumberFormat="1"/>
    <xf numFmtId="186" fontId="7" fillId="0" borderId="0" xfId="1" applyNumberFormat="1"/>
    <xf numFmtId="43" fontId="26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41" fontId="24" fillId="0" borderId="0" xfId="2" applyNumberFormat="1" applyFont="1" applyAlignment="1">
      <alignment vertical="center"/>
    </xf>
    <xf numFmtId="43" fontId="25" fillId="0" borderId="0" xfId="0" applyNumberFormat="1" applyFont="1" applyAlignment="1">
      <alignment vertical="center"/>
    </xf>
    <xf numFmtId="41" fontId="25" fillId="0" borderId="0" xfId="2" applyNumberFormat="1" applyFont="1" applyAlignment="1">
      <alignment vertical="center"/>
    </xf>
    <xf numFmtId="0" fontId="0" fillId="0" borderId="0" xfId="0" applyAlignment="1">
      <alignment horizontal="right"/>
    </xf>
    <xf numFmtId="0" fontId="27" fillId="0" borderId="0" xfId="0" applyFont="1"/>
    <xf numFmtId="183" fontId="27" fillId="0" borderId="0" xfId="0" applyNumberFormat="1" applyFont="1"/>
    <xf numFmtId="41" fontId="28" fillId="0" borderId="0" xfId="0" applyNumberFormat="1" applyFont="1"/>
    <xf numFmtId="0" fontId="27" fillId="0" borderId="0" xfId="0" applyFont="1" applyAlignment="1">
      <alignment horizontal="right"/>
    </xf>
    <xf numFmtId="41" fontId="27" fillId="0" borderId="0" xfId="2" applyNumberFormat="1" applyFont="1"/>
    <xf numFmtId="183" fontId="0" fillId="0" borderId="0" xfId="0" applyNumberFormat="1"/>
    <xf numFmtId="0" fontId="42" fillId="0" borderId="0" xfId="0" applyFont="1"/>
    <xf numFmtId="0" fontId="43" fillId="0" borderId="0" xfId="0" applyFont="1"/>
    <xf numFmtId="0" fontId="44" fillId="0" borderId="0" xfId="0" applyFont="1"/>
    <xf numFmtId="187" fontId="7" fillId="0" borderId="0" xfId="2" applyNumberFormat="1"/>
    <xf numFmtId="41" fontId="0" fillId="0" borderId="0" xfId="0" applyNumberFormat="1" applyAlignment="1">
      <alignment horizontal="right"/>
    </xf>
    <xf numFmtId="43" fontId="0" fillId="0" borderId="0" xfId="0" applyNumberFormat="1" applyAlignment="1">
      <alignment horizontal="right"/>
    </xf>
    <xf numFmtId="188" fontId="45" fillId="0" borderId="0" xfId="6" applyNumberFormat="1" applyFont="1" applyAlignment="1">
      <alignment vertical="center"/>
    </xf>
    <xf numFmtId="40" fontId="45" fillId="0" borderId="0" xfId="6" applyNumberFormat="1" applyFont="1" applyAlignment="1">
      <alignment vertical="center"/>
    </xf>
    <xf numFmtId="0" fontId="45" fillId="0" borderId="0" xfId="6" applyFont="1" applyAlignment="1">
      <alignment vertical="center"/>
    </xf>
    <xf numFmtId="0" fontId="46" fillId="2" borderId="9" xfId="6" applyFont="1" applyFill="1" applyBorder="1" applyAlignment="1">
      <alignment horizontal="center" vertical="center"/>
    </xf>
    <xf numFmtId="40" fontId="47" fillId="0" borderId="0" xfId="6" applyNumberFormat="1" applyFont="1" applyAlignment="1">
      <alignment horizontal="right" vertical="center"/>
    </xf>
    <xf numFmtId="0" fontId="47" fillId="0" borderId="0" xfId="6" applyFont="1" applyAlignment="1">
      <alignment horizontal="right" vertical="center"/>
    </xf>
    <xf numFmtId="188" fontId="47" fillId="0" borderId="0" xfId="6" applyNumberFormat="1" applyFont="1" applyAlignment="1">
      <alignment vertical="center"/>
    </xf>
    <xf numFmtId="40" fontId="47" fillId="0" borderId="0" xfId="6" applyNumberFormat="1" applyFont="1" applyAlignment="1">
      <alignment vertical="center"/>
    </xf>
    <xf numFmtId="41" fontId="47" fillId="0" borderId="0" xfId="6" applyNumberFormat="1" applyFont="1" applyAlignment="1">
      <alignment vertical="center"/>
    </xf>
    <xf numFmtId="0" fontId="47" fillId="0" borderId="0" xfId="6" applyFont="1" applyAlignment="1">
      <alignment vertical="center"/>
    </xf>
    <xf numFmtId="188" fontId="48" fillId="0" borderId="0" xfId="6" applyNumberFormat="1" applyFont="1" applyAlignment="1">
      <alignment vertical="center"/>
    </xf>
    <xf numFmtId="189" fontId="48" fillId="0" borderId="0" xfId="6" applyNumberFormat="1" applyFont="1" applyAlignment="1">
      <alignment vertical="center"/>
    </xf>
    <xf numFmtId="0" fontId="48" fillId="0" borderId="0" xfId="6" applyFont="1" applyAlignment="1">
      <alignment horizontal="right" vertical="center"/>
    </xf>
    <xf numFmtId="187" fontId="49" fillId="0" borderId="0" xfId="2" applyNumberFormat="1" applyFont="1" applyAlignment="1">
      <alignment vertical="center"/>
    </xf>
    <xf numFmtId="0" fontId="47" fillId="0" borderId="0" xfId="6" applyFont="1" applyAlignment="1">
      <alignment horizontal="left" vertical="center"/>
    </xf>
    <xf numFmtId="0" fontId="48" fillId="0" borderId="44" xfId="0" applyFont="1" applyBorder="1" applyAlignment="1">
      <alignment horizontal="center" vertical="center"/>
    </xf>
    <xf numFmtId="0" fontId="48" fillId="0" borderId="0" xfId="0" applyFont="1" applyAlignment="1">
      <alignment vertical="center"/>
    </xf>
    <xf numFmtId="190" fontId="48" fillId="0" borderId="44" xfId="0" applyNumberFormat="1" applyFont="1" applyBorder="1" applyAlignment="1">
      <alignment vertical="center"/>
    </xf>
    <xf numFmtId="0" fontId="48" fillId="0" borderId="0" xfId="0" applyFont="1" applyAlignment="1">
      <alignment horizontal="left" vertical="center"/>
    </xf>
    <xf numFmtId="190" fontId="47" fillId="0" borderId="44" xfId="0" applyNumberFormat="1" applyFont="1" applyBorder="1" applyAlignment="1">
      <alignment vertical="center"/>
    </xf>
    <xf numFmtId="0" fontId="45" fillId="0" borderId="0" xfId="6" applyFont="1" applyAlignment="1">
      <alignment horizontal="right" vertical="center"/>
    </xf>
    <xf numFmtId="190" fontId="0" fillId="0" borderId="0" xfId="0" applyNumberFormat="1"/>
    <xf numFmtId="3" fontId="24" fillId="0" borderId="0" xfId="0" applyNumberFormat="1" applyFont="1"/>
    <xf numFmtId="185" fontId="50" fillId="0" borderId="0" xfId="0" applyNumberFormat="1" applyFont="1" applyAlignment="1">
      <alignment horizontal="center"/>
    </xf>
    <xf numFmtId="3" fontId="32" fillId="0" borderId="44" xfId="0" applyNumberFormat="1" applyFont="1" applyBorder="1" applyAlignment="1">
      <alignment horizontal="left" vertical="center"/>
    </xf>
    <xf numFmtId="3" fontId="33" fillId="0" borderId="44" xfId="0" applyNumberFormat="1" applyFont="1" applyBorder="1" applyAlignment="1">
      <alignment vertical="center"/>
    </xf>
    <xf numFmtId="3" fontId="34" fillId="0" borderId="44" xfId="0" applyNumberFormat="1" applyFont="1" applyBorder="1" applyAlignment="1">
      <alignment horizontal="center" vertical="center"/>
    </xf>
    <xf numFmtId="3" fontId="34" fillId="0" borderId="44" xfId="0" applyNumberFormat="1" applyFont="1" applyBorder="1" applyAlignment="1">
      <alignment horizontal="right" vertical="center"/>
    </xf>
    <xf numFmtId="3" fontId="33" fillId="0" borderId="44" xfId="0" applyNumberFormat="1" applyFont="1" applyBorder="1" applyAlignment="1">
      <alignment horizontal="left" vertical="center"/>
    </xf>
    <xf numFmtId="3" fontId="33" fillId="0" borderId="44" xfId="0" applyNumberFormat="1" applyFont="1" applyBorder="1" applyAlignment="1">
      <alignment horizontal="center" vertical="center"/>
    </xf>
    <xf numFmtId="3" fontId="33" fillId="0" borderId="44" xfId="0" applyNumberFormat="1" applyFont="1" applyBorder="1" applyAlignment="1">
      <alignment horizontal="right" vertical="center"/>
    </xf>
    <xf numFmtId="185" fontId="33" fillId="0" borderId="44" xfId="0" applyNumberFormat="1" applyFont="1" applyBorder="1" applyAlignment="1">
      <alignment horizontal="center" vertical="center"/>
    </xf>
    <xf numFmtId="185" fontId="34" fillId="0" borderId="44" xfId="0" applyNumberFormat="1" applyFont="1" applyBorder="1" applyAlignment="1">
      <alignment horizontal="center" vertical="center"/>
    </xf>
    <xf numFmtId="177" fontId="33" fillId="0" borderId="44" xfId="0" applyNumberFormat="1" applyFont="1" applyBorder="1" applyAlignment="1">
      <alignment vertical="center"/>
    </xf>
    <xf numFmtId="3" fontId="34" fillId="0" borderId="44" xfId="0" applyNumberFormat="1" applyFont="1" applyBorder="1" applyAlignment="1">
      <alignment horizontal="left" vertical="center"/>
    </xf>
    <xf numFmtId="185" fontId="33" fillId="0" borderId="44" xfId="0" applyNumberFormat="1" applyFont="1" applyBorder="1" applyAlignment="1">
      <alignment horizontal="left" vertical="center"/>
    </xf>
    <xf numFmtId="3" fontId="34" fillId="0" borderId="44" xfId="0" applyNumberFormat="1" applyFont="1" applyBorder="1" applyAlignment="1">
      <alignment vertical="center"/>
    </xf>
    <xf numFmtId="3" fontId="34" fillId="3" borderId="44" xfId="0" applyNumberFormat="1" applyFont="1" applyFill="1" applyBorder="1" applyAlignment="1">
      <alignment horizontal="center" vertical="center"/>
    </xf>
    <xf numFmtId="3" fontId="33" fillId="0" borderId="23" xfId="0" applyNumberFormat="1" applyFont="1" applyBorder="1" applyAlignment="1">
      <alignment horizontal="left" vertical="center"/>
    </xf>
    <xf numFmtId="3" fontId="33" fillId="0" borderId="24" xfId="0" applyNumberFormat="1" applyFont="1" applyBorder="1" applyAlignment="1">
      <alignment horizontal="left" vertical="center"/>
    </xf>
    <xf numFmtId="3" fontId="33" fillId="0" borderId="24" xfId="0" applyNumberFormat="1" applyFont="1" applyBorder="1" applyAlignment="1">
      <alignment vertical="center"/>
    </xf>
    <xf numFmtId="3" fontId="33" fillId="0" borderId="24" xfId="0" applyNumberFormat="1" applyFont="1" applyBorder="1" applyAlignment="1">
      <alignment horizontal="center" vertical="center"/>
    </xf>
    <xf numFmtId="190" fontId="33" fillId="0" borderId="24" xfId="0" applyNumberFormat="1" applyFont="1" applyBorder="1" applyAlignment="1">
      <alignment horizontal="right" vertical="center"/>
    </xf>
    <xf numFmtId="3" fontId="33" fillId="0" borderId="25" xfId="0" applyNumberFormat="1" applyFont="1" applyBorder="1" applyAlignment="1">
      <alignment horizontal="left" vertical="center"/>
    </xf>
    <xf numFmtId="190" fontId="33" fillId="0" borderId="24" xfId="0" applyNumberFormat="1" applyFont="1" applyBorder="1" applyAlignment="1">
      <alignment vertical="center"/>
    </xf>
    <xf numFmtId="3" fontId="33" fillId="0" borderId="26" xfId="0" applyNumberFormat="1" applyFont="1" applyBorder="1" applyAlignment="1">
      <alignment horizontal="left" vertical="center"/>
    </xf>
    <xf numFmtId="3" fontId="33" fillId="0" borderId="19" xfId="0" applyNumberFormat="1" applyFont="1" applyBorder="1" applyAlignment="1">
      <alignment horizontal="left" vertical="center"/>
    </xf>
    <xf numFmtId="190" fontId="33" fillId="0" borderId="19" xfId="0" applyNumberFormat="1" applyFont="1" applyBorder="1" applyAlignment="1">
      <alignment vertical="center"/>
    </xf>
    <xf numFmtId="3" fontId="33" fillId="0" borderId="19" xfId="0" applyNumberFormat="1" applyFont="1" applyBorder="1" applyAlignment="1">
      <alignment horizontal="center" vertical="center"/>
    </xf>
    <xf numFmtId="190" fontId="33" fillId="0" borderId="19" xfId="0" applyNumberFormat="1" applyFont="1" applyBorder="1" applyAlignment="1">
      <alignment horizontal="right" vertical="center"/>
    </xf>
    <xf numFmtId="3" fontId="33" fillId="0" borderId="11" xfId="0" applyNumberFormat="1" applyFont="1" applyBorder="1" applyAlignment="1">
      <alignment horizontal="left" vertical="center"/>
    </xf>
    <xf numFmtId="3" fontId="34" fillId="0" borderId="23" xfId="0" applyNumberFormat="1" applyFont="1" applyBorder="1" applyAlignment="1">
      <alignment horizontal="left" vertical="center"/>
    </xf>
    <xf numFmtId="3" fontId="34" fillId="0" borderId="24" xfId="0" applyNumberFormat="1" applyFont="1" applyBorder="1" applyAlignment="1">
      <alignment horizontal="left" vertical="center"/>
    </xf>
    <xf numFmtId="190" fontId="34" fillId="0" borderId="24" xfId="0" applyNumberFormat="1" applyFont="1" applyBorder="1" applyAlignment="1">
      <alignment vertical="center"/>
    </xf>
    <xf numFmtId="3" fontId="34" fillId="0" borderId="24" xfId="0" applyNumberFormat="1" applyFont="1" applyBorder="1" applyAlignment="1">
      <alignment horizontal="center" vertical="center"/>
    </xf>
    <xf numFmtId="190" fontId="34" fillId="0" borderId="24" xfId="0" applyNumberFormat="1" applyFont="1" applyBorder="1" applyAlignment="1">
      <alignment horizontal="right" vertical="center"/>
    </xf>
    <xf numFmtId="3" fontId="34" fillId="0" borderId="25" xfId="0" applyNumberFormat="1" applyFont="1" applyBorder="1" applyAlignment="1">
      <alignment horizontal="left" vertical="center"/>
    </xf>
    <xf numFmtId="177" fontId="33" fillId="0" borderId="24" xfId="0" applyNumberFormat="1" applyFont="1" applyBorder="1" applyAlignment="1">
      <alignment vertical="center"/>
    </xf>
    <xf numFmtId="3" fontId="34" fillId="0" borderId="24" xfId="0" applyNumberFormat="1" applyFont="1" applyBorder="1" applyAlignment="1">
      <alignment vertical="center"/>
    </xf>
    <xf numFmtId="3" fontId="34" fillId="0" borderId="26" xfId="0" applyNumberFormat="1" applyFont="1" applyBorder="1" applyAlignment="1">
      <alignment horizontal="left" vertical="center"/>
    </xf>
    <xf numFmtId="3" fontId="34" fillId="0" borderId="19" xfId="0" applyNumberFormat="1" applyFont="1" applyBorder="1" applyAlignment="1">
      <alignment horizontal="left" vertical="center"/>
    </xf>
    <xf numFmtId="3" fontId="34" fillId="0" borderId="19" xfId="0" applyNumberFormat="1" applyFont="1" applyBorder="1" applyAlignment="1">
      <alignment vertical="center"/>
    </xf>
    <xf numFmtId="3" fontId="34" fillId="0" borderId="19" xfId="0" applyNumberFormat="1" applyFont="1" applyBorder="1" applyAlignment="1">
      <alignment horizontal="center" vertical="center"/>
    </xf>
    <xf numFmtId="190" fontId="34" fillId="0" borderId="19" xfId="0" applyNumberFormat="1" applyFont="1" applyBorder="1" applyAlignment="1">
      <alignment horizontal="right" vertical="center"/>
    </xf>
    <xf numFmtId="190" fontId="34" fillId="0" borderId="19" xfId="0" applyNumberFormat="1" applyFont="1" applyBorder="1" applyAlignment="1">
      <alignment vertical="center"/>
    </xf>
    <xf numFmtId="3" fontId="34" fillId="0" borderId="11" xfId="0" applyNumberFormat="1" applyFont="1" applyBorder="1" applyAlignment="1">
      <alignment horizontal="left" vertical="center"/>
    </xf>
    <xf numFmtId="3" fontId="32" fillId="3" borderId="20" xfId="0" applyNumberFormat="1" applyFont="1" applyFill="1" applyBorder="1" applyAlignment="1">
      <alignment horizontal="center" vertical="center"/>
    </xf>
    <xf numFmtId="3" fontId="34" fillId="3" borderId="15" xfId="0" applyNumberFormat="1" applyFont="1" applyFill="1" applyBorder="1" applyAlignment="1">
      <alignment horizontal="center" vertical="center"/>
    </xf>
    <xf numFmtId="3" fontId="34" fillId="3" borderId="16" xfId="0" applyNumberFormat="1" applyFont="1" applyFill="1" applyBorder="1" applyAlignment="1">
      <alignment horizontal="center" vertical="center"/>
    </xf>
    <xf numFmtId="184" fontId="35" fillId="3" borderId="44" xfId="0" applyNumberFormat="1" applyFont="1" applyFill="1" applyBorder="1" applyAlignment="1">
      <alignment horizontal="center" vertical="center"/>
    </xf>
    <xf numFmtId="183" fontId="35" fillId="3" borderId="44" xfId="0" applyNumberFormat="1" applyFont="1" applyFill="1" applyBorder="1" applyAlignment="1">
      <alignment horizontal="center" vertical="center"/>
    </xf>
    <xf numFmtId="184" fontId="13" fillId="3" borderId="44" xfId="0" applyNumberFormat="1" applyFont="1" applyFill="1" applyBorder="1" applyAlignment="1">
      <alignment horizontal="center" vertical="center"/>
    </xf>
    <xf numFmtId="0" fontId="35" fillId="3" borderId="44" xfId="0" applyFont="1" applyFill="1" applyBorder="1" applyAlignment="1">
      <alignment horizontal="center" vertical="center"/>
    </xf>
    <xf numFmtId="184" fontId="36" fillId="0" borderId="53" xfId="0" applyNumberFormat="1" applyFont="1" applyBorder="1" applyAlignment="1">
      <alignment vertical="center"/>
    </xf>
    <xf numFmtId="41" fontId="36" fillId="0" borderId="53" xfId="0" applyNumberFormat="1" applyFont="1" applyBorder="1" applyAlignment="1">
      <alignment vertical="center" shrinkToFit="1"/>
    </xf>
    <xf numFmtId="41" fontId="37" fillId="0" borderId="53" xfId="0" applyNumberFormat="1" applyFont="1" applyBorder="1" applyAlignment="1">
      <alignment vertical="center" shrinkToFit="1"/>
    </xf>
    <xf numFmtId="41" fontId="36" fillId="0" borderId="43" xfId="0" applyNumberFormat="1" applyFont="1" applyBorder="1" applyAlignment="1">
      <alignment vertical="center" shrinkToFit="1"/>
    </xf>
    <xf numFmtId="41" fontId="36" fillId="0" borderId="33" xfId="0" applyNumberFormat="1" applyFont="1" applyBorder="1" applyAlignment="1">
      <alignment horizontal="right" vertical="center" shrinkToFit="1"/>
    </xf>
    <xf numFmtId="41" fontId="36" fillId="0" borderId="33" xfId="0" applyNumberFormat="1" applyFont="1" applyBorder="1" applyAlignment="1">
      <alignment vertical="center" shrinkToFit="1"/>
    </xf>
    <xf numFmtId="41" fontId="36" fillId="0" borderId="25" xfId="0" applyNumberFormat="1" applyFont="1" applyBorder="1" applyAlignment="1">
      <alignment horizontal="right" vertical="center" shrinkToFit="1"/>
    </xf>
    <xf numFmtId="0" fontId="36" fillId="0" borderId="53" xfId="0" applyFont="1" applyBorder="1" applyAlignment="1">
      <alignment vertical="center"/>
    </xf>
    <xf numFmtId="184" fontId="36" fillId="0" borderId="54" xfId="0" applyNumberFormat="1" applyFont="1" applyBorder="1" applyAlignment="1">
      <alignment vertical="center"/>
    </xf>
    <xf numFmtId="41" fontId="36" fillId="0" borderId="54" xfId="0" applyNumberFormat="1" applyFont="1" applyBorder="1" applyAlignment="1">
      <alignment vertical="center" shrinkToFit="1"/>
    </xf>
    <xf numFmtId="41" fontId="37" fillId="0" borderId="54" xfId="0" applyNumberFormat="1" applyFont="1" applyBorder="1" applyAlignment="1">
      <alignment vertical="center" shrinkToFit="1"/>
    </xf>
    <xf numFmtId="41" fontId="36" fillId="0" borderId="55" xfId="0" applyNumberFormat="1" applyFont="1" applyBorder="1" applyAlignment="1">
      <alignment horizontal="center" vertical="center" shrinkToFit="1"/>
    </xf>
    <xf numFmtId="41" fontId="36" fillId="0" borderId="56" xfId="0" applyNumberFormat="1" applyFont="1" applyBorder="1" applyAlignment="1">
      <alignment horizontal="right" vertical="center" shrinkToFit="1"/>
    </xf>
    <xf numFmtId="41" fontId="36" fillId="0" borderId="56" xfId="0" applyNumberFormat="1" applyFont="1" applyBorder="1" applyAlignment="1">
      <alignment horizontal="center" vertical="center" shrinkToFit="1"/>
    </xf>
    <xf numFmtId="41" fontId="36" fillId="0" borderId="57" xfId="0" applyNumberFormat="1" applyFont="1" applyBorder="1" applyAlignment="1">
      <alignment horizontal="right" vertical="center" shrinkToFit="1"/>
    </xf>
    <xf numFmtId="10" fontId="38" fillId="0" borderId="54" xfId="1" applyNumberFormat="1" applyFont="1" applyBorder="1" applyAlignment="1">
      <alignment vertical="center"/>
    </xf>
    <xf numFmtId="10" fontId="38" fillId="0" borderId="54" xfId="1" applyNumberFormat="1" applyFont="1" applyBorder="1" applyAlignment="1">
      <alignment horizontal="center" vertical="center"/>
    </xf>
    <xf numFmtId="41" fontId="36" fillId="0" borderId="55" xfId="0" applyNumberFormat="1" applyFont="1" applyBorder="1" applyAlignment="1">
      <alignment vertical="center" shrinkToFit="1"/>
    </xf>
    <xf numFmtId="41" fontId="36" fillId="0" borderId="56" xfId="0" applyNumberFormat="1" applyFont="1" applyBorder="1" applyAlignment="1">
      <alignment vertical="center" shrinkToFit="1"/>
    </xf>
    <xf numFmtId="0" fontId="36" fillId="0" borderId="54" xfId="0" applyFont="1" applyBorder="1" applyAlignment="1">
      <alignment vertical="center"/>
    </xf>
    <xf numFmtId="184" fontId="35" fillId="0" borderId="58" xfId="0" applyNumberFormat="1" applyFont="1" applyBorder="1" applyAlignment="1">
      <alignment vertical="center"/>
    </xf>
    <xf numFmtId="41" fontId="35" fillId="0" borderId="58" xfId="0" applyNumberFormat="1" applyFont="1" applyBorder="1" applyAlignment="1">
      <alignment vertical="center" shrinkToFit="1"/>
    </xf>
    <xf numFmtId="41" fontId="35" fillId="0" borderId="59" xfId="0" applyNumberFormat="1" applyFont="1" applyBorder="1" applyAlignment="1">
      <alignment vertical="center" shrinkToFit="1"/>
    </xf>
    <xf numFmtId="41" fontId="35" fillId="0" borderId="38" xfId="0" applyNumberFormat="1" applyFont="1" applyBorder="1" applyAlignment="1">
      <alignment horizontal="right" vertical="center" shrinkToFit="1"/>
    </xf>
    <xf numFmtId="41" fontId="35" fillId="0" borderId="38" xfId="0" applyNumberFormat="1" applyFont="1" applyBorder="1" applyAlignment="1">
      <alignment vertical="center" shrinkToFit="1"/>
    </xf>
    <xf numFmtId="41" fontId="35" fillId="0" borderId="60" xfId="0" applyNumberFormat="1" applyFont="1" applyBorder="1" applyAlignment="1">
      <alignment horizontal="right" vertical="center" shrinkToFit="1"/>
    </xf>
    <xf numFmtId="0" fontId="35" fillId="0" borderId="58" xfId="0" applyFont="1" applyBorder="1" applyAlignment="1">
      <alignment vertical="center"/>
    </xf>
    <xf numFmtId="0" fontId="53" fillId="3" borderId="35" xfId="6" applyFont="1" applyFill="1" applyBorder="1" applyAlignment="1">
      <alignment horizontal="center" vertical="center"/>
    </xf>
    <xf numFmtId="0" fontId="53" fillId="3" borderId="61" xfId="6" applyFont="1" applyFill="1" applyBorder="1" applyAlignment="1">
      <alignment horizontal="center" vertical="center"/>
    </xf>
    <xf numFmtId="0" fontId="53" fillId="3" borderId="44" xfId="6" applyFont="1" applyFill="1" applyBorder="1" applyAlignment="1">
      <alignment horizontal="center" vertical="center"/>
    </xf>
    <xf numFmtId="0" fontId="54" fillId="2" borderId="62" xfId="6" quotePrefix="1" applyFont="1" applyFill="1" applyBorder="1" applyAlignment="1">
      <alignment horizontal="left" vertical="center" indent="1"/>
    </xf>
    <xf numFmtId="41" fontId="54" fillId="2" borderId="63" xfId="3" applyFont="1" applyFill="1" applyBorder="1" applyAlignment="1">
      <alignment vertical="center"/>
    </xf>
    <xf numFmtId="41" fontId="54" fillId="2" borderId="62" xfId="3" applyFont="1" applyFill="1" applyBorder="1" applyAlignment="1">
      <alignment vertical="center"/>
    </xf>
    <xf numFmtId="3" fontId="53" fillId="2" borderId="63" xfId="6" applyNumberFormat="1" applyFont="1" applyFill="1" applyBorder="1" applyAlignment="1">
      <alignment horizontal="center" vertical="center"/>
    </xf>
    <xf numFmtId="0" fontId="37" fillId="0" borderId="55" xfId="0" applyFont="1" applyBorder="1" applyAlignment="1">
      <alignment horizontal="left" vertical="center" indent="1"/>
    </xf>
    <xf numFmtId="41" fontId="54" fillId="2" borderId="54" xfId="3" applyFont="1" applyFill="1" applyBorder="1" applyAlignment="1">
      <alignment vertical="center"/>
    </xf>
    <xf numFmtId="183" fontId="54" fillId="2" borderId="55" xfId="3" applyNumberFormat="1" applyFont="1" applyFill="1" applyBorder="1" applyAlignment="1">
      <alignment horizontal="right" vertical="center"/>
    </xf>
    <xf numFmtId="0" fontId="54" fillId="2" borderId="56" xfId="6" applyFont="1" applyFill="1" applyBorder="1" applyAlignment="1">
      <alignment horizontal="center" vertical="center"/>
    </xf>
    <xf numFmtId="183" fontId="54" fillId="2" borderId="56" xfId="3" applyNumberFormat="1" applyFont="1" applyFill="1" applyBorder="1" applyAlignment="1">
      <alignment horizontal="right" vertical="center"/>
    </xf>
    <xf numFmtId="41" fontId="54" fillId="2" borderId="56" xfId="6" applyNumberFormat="1" applyFont="1" applyFill="1" applyBorder="1" applyAlignment="1">
      <alignment horizontal="center" vertical="center"/>
    </xf>
    <xf numFmtId="183" fontId="54" fillId="2" borderId="56" xfId="6" applyNumberFormat="1" applyFont="1" applyFill="1" applyBorder="1" applyAlignment="1">
      <alignment horizontal="right" vertical="center"/>
    </xf>
    <xf numFmtId="3" fontId="54" fillId="2" borderId="56" xfId="6" applyNumberFormat="1" applyFont="1" applyFill="1" applyBorder="1" applyAlignment="1">
      <alignment horizontal="center" vertical="center"/>
    </xf>
    <xf numFmtId="182" fontId="55" fillId="2" borderId="56" xfId="1" applyNumberFormat="1" applyFont="1" applyFill="1" applyBorder="1" applyAlignment="1">
      <alignment horizontal="center" vertical="center"/>
    </xf>
    <xf numFmtId="186" fontId="55" fillId="0" borderId="57" xfId="1" applyNumberFormat="1" applyFont="1" applyBorder="1" applyAlignment="1">
      <alignment horizontal="center" vertical="center"/>
    </xf>
    <xf numFmtId="183" fontId="54" fillId="2" borderId="56" xfId="6" applyNumberFormat="1" applyFont="1" applyFill="1" applyBorder="1" applyAlignment="1">
      <alignment horizontal="center" vertical="center"/>
    </xf>
    <xf numFmtId="0" fontId="54" fillId="2" borderId="54" xfId="6" applyFont="1" applyFill="1" applyBorder="1" applyAlignment="1">
      <alignment horizontal="center" vertical="center"/>
    </xf>
    <xf numFmtId="41" fontId="54" fillId="2" borderId="54" xfId="6" applyNumberFormat="1" applyFont="1" applyFill="1" applyBorder="1" applyAlignment="1">
      <alignment horizontal="center" vertical="center"/>
    </xf>
    <xf numFmtId="0" fontId="37" fillId="0" borderId="55" xfId="0" applyFont="1" applyBorder="1" applyAlignment="1">
      <alignment horizontal="left" vertical="center"/>
    </xf>
    <xf numFmtId="41" fontId="53" fillId="2" borderId="56" xfId="6" applyNumberFormat="1" applyFont="1" applyFill="1" applyBorder="1" applyAlignment="1">
      <alignment horizontal="right" vertical="center"/>
    </xf>
    <xf numFmtId="0" fontId="53" fillId="2" borderId="56" xfId="6" applyFont="1" applyFill="1" applyBorder="1" applyAlignment="1">
      <alignment horizontal="center" vertical="center"/>
    </xf>
    <xf numFmtId="41" fontId="53" fillId="2" borderId="56" xfId="6" applyNumberFormat="1" applyFont="1" applyFill="1" applyBorder="1" applyAlignment="1">
      <alignment horizontal="center" vertical="center"/>
    </xf>
    <xf numFmtId="0" fontId="53" fillId="2" borderId="57" xfId="6" applyFont="1" applyFill="1" applyBorder="1" applyAlignment="1">
      <alignment horizontal="right" vertical="center"/>
    </xf>
    <xf numFmtId="0" fontId="53" fillId="2" borderId="54" xfId="6" applyFont="1" applyFill="1" applyBorder="1" applyAlignment="1">
      <alignment horizontal="center" vertical="center"/>
    </xf>
    <xf numFmtId="0" fontId="13" fillId="0" borderId="59" xfId="0" applyFont="1" applyBorder="1" applyAlignment="1">
      <alignment horizontal="left" vertical="center"/>
    </xf>
    <xf numFmtId="41" fontId="54" fillId="2" borderId="58" xfId="3" applyFont="1" applyFill="1" applyBorder="1" applyAlignment="1">
      <alignment vertical="center"/>
    </xf>
    <xf numFmtId="41" fontId="53" fillId="2" borderId="38" xfId="6" applyNumberFormat="1" applyFont="1" applyFill="1" applyBorder="1" applyAlignment="1">
      <alignment horizontal="right" vertical="center"/>
    </xf>
    <xf numFmtId="0" fontId="53" fillId="2" borderId="38" xfId="6" applyFont="1" applyFill="1" applyBorder="1" applyAlignment="1">
      <alignment horizontal="center" vertical="center"/>
    </xf>
    <xf numFmtId="41" fontId="53" fillId="2" borderId="38" xfId="6" applyNumberFormat="1" applyFont="1" applyFill="1" applyBorder="1" applyAlignment="1">
      <alignment horizontal="center" vertical="center"/>
    </xf>
    <xf numFmtId="0" fontId="53" fillId="2" borderId="60" xfId="6" applyFont="1" applyFill="1" applyBorder="1" applyAlignment="1">
      <alignment horizontal="right" vertical="center"/>
    </xf>
    <xf numFmtId="0" fontId="53" fillId="2" borderId="58" xfId="6" applyFont="1" applyFill="1" applyBorder="1" applyAlignment="1">
      <alignment horizontal="center" vertical="center"/>
    </xf>
    <xf numFmtId="3" fontId="33" fillId="0" borderId="24" xfId="0" applyNumberFormat="1" applyFont="1" applyBorder="1" applyAlignment="1">
      <alignment horizontal="right" vertical="center"/>
    </xf>
    <xf numFmtId="3" fontId="34" fillId="0" borderId="24" xfId="0" applyNumberFormat="1" applyFont="1" applyBorder="1" applyAlignment="1">
      <alignment horizontal="right" vertical="center"/>
    </xf>
    <xf numFmtId="190" fontId="33" fillId="0" borderId="0" xfId="0" applyNumberFormat="1" applyFont="1" applyAlignment="1">
      <alignment horizontal="right" vertical="center"/>
    </xf>
    <xf numFmtId="3" fontId="33" fillId="0" borderId="0" xfId="0" applyNumberFormat="1" applyFont="1" applyAlignment="1">
      <alignment horizontal="left" vertical="center"/>
    </xf>
    <xf numFmtId="190" fontId="34" fillId="0" borderId="0" xfId="0" applyNumberFormat="1" applyFont="1" applyAlignment="1">
      <alignment horizontal="right" vertical="center"/>
    </xf>
    <xf numFmtId="3" fontId="34" fillId="0" borderId="0" xfId="0" applyNumberFormat="1" applyFont="1" applyAlignment="1">
      <alignment horizontal="left" vertical="center"/>
    </xf>
    <xf numFmtId="3" fontId="32" fillId="0" borderId="44" xfId="0" applyNumberFormat="1" applyFont="1" applyBorder="1" applyAlignment="1">
      <alignment vertical="center"/>
    </xf>
    <xf numFmtId="3" fontId="32" fillId="0" borderId="44" xfId="0" applyNumberFormat="1" applyFont="1" applyBorder="1" applyAlignment="1">
      <alignment horizontal="center" vertical="center"/>
    </xf>
    <xf numFmtId="3" fontId="32" fillId="0" borderId="44" xfId="0" applyNumberFormat="1" applyFont="1" applyBorder="1" applyAlignment="1">
      <alignment horizontal="right" vertical="center"/>
    </xf>
    <xf numFmtId="0" fontId="33" fillId="0" borderId="44" xfId="0" applyFont="1" applyBorder="1" applyAlignment="1">
      <alignment horizontal="right" vertical="center"/>
    </xf>
    <xf numFmtId="0" fontId="12" fillId="0" borderId="0" xfId="5" applyFont="1" applyAlignment="1">
      <alignment horizontal="distributed" vertical="center"/>
    </xf>
    <xf numFmtId="0" fontId="12" fillId="0" borderId="0" xfId="5" applyFont="1" applyAlignment="1">
      <alignment horizontal="left" vertical="center" wrapText="1" indent="1"/>
    </xf>
    <xf numFmtId="0" fontId="12" fillId="0" borderId="10" xfId="5" applyFont="1" applyBorder="1" applyAlignment="1">
      <alignment horizontal="left" vertical="center" wrapText="1" indent="1"/>
    </xf>
    <xf numFmtId="0" fontId="17" fillId="0" borderId="0" xfId="5" applyFont="1" applyAlignment="1">
      <alignment horizontal="center" vertical="center"/>
    </xf>
    <xf numFmtId="41" fontId="12" fillId="0" borderId="0" xfId="5" applyNumberFormat="1" applyFont="1" applyAlignment="1">
      <alignment horizontal="left" vertical="center" wrapText="1"/>
    </xf>
    <xf numFmtId="0" fontId="12" fillId="0" borderId="33" xfId="5" applyFont="1" applyBorder="1" applyAlignment="1">
      <alignment horizontal="distributed" vertical="center"/>
    </xf>
    <xf numFmtId="0" fontId="14" fillId="0" borderId="0" xfId="5" applyFont="1" applyAlignment="1">
      <alignment horizontal="center" vertical="center"/>
    </xf>
    <xf numFmtId="181" fontId="12" fillId="0" borderId="0" xfId="5" applyNumberFormat="1" applyFont="1" applyAlignment="1">
      <alignment horizontal="right" vertical="center"/>
    </xf>
    <xf numFmtId="0" fontId="12" fillId="0" borderId="0" xfId="5" applyFont="1" applyAlignment="1">
      <alignment horizontal="center" vertical="center"/>
    </xf>
    <xf numFmtId="0" fontId="10" fillId="0" borderId="12" xfId="5" applyFont="1" applyBorder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10" fillId="0" borderId="10" xfId="5" applyFont="1" applyBorder="1" applyAlignment="1">
      <alignment horizontal="center" vertical="center"/>
    </xf>
    <xf numFmtId="0" fontId="9" fillId="0" borderId="0" xfId="5" applyFont="1" applyAlignment="1">
      <alignment horizontal="distributed" vertical="center"/>
    </xf>
    <xf numFmtId="41" fontId="12" fillId="0" borderId="33" xfId="5" applyNumberFormat="1" applyFont="1" applyBorder="1" applyAlignment="1">
      <alignment horizontal="left" vertical="center" wrapText="1"/>
    </xf>
    <xf numFmtId="3" fontId="4" fillId="0" borderId="45" xfId="0" applyNumberFormat="1" applyFont="1" applyBorder="1" applyAlignment="1">
      <alignment horizontal="center" vertical="center"/>
    </xf>
    <xf numFmtId="3" fontId="4" fillId="0" borderId="4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3" fontId="32" fillId="3" borderId="44" xfId="0" applyNumberFormat="1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41" fontId="36" fillId="0" borderId="55" xfId="0" applyNumberFormat="1" applyFont="1" applyBorder="1" applyAlignment="1">
      <alignment horizontal="center" vertical="center"/>
    </xf>
    <xf numFmtId="41" fontId="36" fillId="0" borderId="56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5" fillId="3" borderId="44" xfId="0" applyFont="1" applyFill="1" applyBorder="1" applyAlignment="1">
      <alignment horizontal="center" vertical="center"/>
    </xf>
    <xf numFmtId="0" fontId="46" fillId="2" borderId="0" xfId="6" applyFont="1" applyFill="1" applyAlignment="1">
      <alignment horizontal="center" vertical="center"/>
    </xf>
    <xf numFmtId="0" fontId="53" fillId="3" borderId="45" xfId="6" applyFont="1" applyFill="1" applyBorder="1" applyAlignment="1">
      <alignment horizontal="center" vertical="center"/>
    </xf>
    <xf numFmtId="0" fontId="53" fillId="3" borderId="46" xfId="6" applyFont="1" applyFill="1" applyBorder="1" applyAlignment="1">
      <alignment horizontal="center" vertical="center"/>
    </xf>
    <xf numFmtId="0" fontId="53" fillId="3" borderId="16" xfId="6" applyFont="1" applyFill="1" applyBorder="1" applyAlignment="1">
      <alignment horizontal="center" vertical="center"/>
    </xf>
    <xf numFmtId="3" fontId="53" fillId="2" borderId="64" xfId="6" applyNumberFormat="1" applyFont="1" applyFill="1" applyBorder="1" applyAlignment="1">
      <alignment horizontal="center" vertical="center"/>
    </xf>
    <xf numFmtId="0" fontId="55" fillId="2" borderId="64" xfId="4" applyFont="1" applyFill="1" applyBorder="1" applyAlignment="1">
      <alignment horizontal="center" vertical="center"/>
    </xf>
    <xf numFmtId="0" fontId="55" fillId="2" borderId="65" xfId="4" applyFont="1" applyFill="1" applyBorder="1" applyAlignment="1">
      <alignment horizontal="center" vertical="center"/>
    </xf>
    <xf numFmtId="0" fontId="55" fillId="2" borderId="62" xfId="4" applyFont="1" applyFill="1" applyBorder="1" applyAlignment="1">
      <alignment horizontal="center" vertical="center"/>
    </xf>
    <xf numFmtId="3" fontId="4" fillId="0" borderId="50" xfId="0" applyNumberFormat="1" applyFont="1" applyBorder="1" applyAlignment="1">
      <alignment horizontal="center" vertical="center"/>
    </xf>
    <xf numFmtId="3" fontId="4" fillId="0" borderId="51" xfId="0" applyNumberFormat="1" applyFont="1" applyBorder="1" applyAlignment="1">
      <alignment horizontal="center" vertical="center"/>
    </xf>
    <xf numFmtId="3" fontId="4" fillId="0" borderId="36" xfId="0" applyNumberFormat="1" applyFont="1" applyBorder="1" applyAlignment="1">
      <alignment horizontal="center" vertical="center"/>
    </xf>
    <xf numFmtId="3" fontId="4" fillId="0" borderId="52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3" fontId="4" fillId="0" borderId="47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3" fontId="4" fillId="0" borderId="49" xfId="0" applyNumberFormat="1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179" fontId="4" fillId="0" borderId="45" xfId="0" applyNumberFormat="1" applyFont="1" applyBorder="1" applyAlignment="1">
      <alignment horizontal="center" vertical="center"/>
    </xf>
    <xf numFmtId="179" fontId="4" fillId="0" borderId="46" xfId="0" applyNumberFormat="1" applyFont="1" applyBorder="1" applyAlignment="1">
      <alignment horizontal="center" vertical="center"/>
    </xf>
    <xf numFmtId="3" fontId="5" fillId="0" borderId="33" xfId="0" applyNumberFormat="1" applyFont="1" applyBorder="1" applyAlignment="1">
      <alignment vertical="center"/>
    </xf>
    <xf numFmtId="179" fontId="5" fillId="0" borderId="33" xfId="0" applyNumberFormat="1" applyFont="1" applyBorder="1" applyAlignment="1">
      <alignment vertical="center"/>
    </xf>
    <xf numFmtId="178" fontId="5" fillId="0" borderId="33" xfId="0" applyNumberFormat="1" applyFont="1" applyBorder="1" applyAlignment="1">
      <alignment vertical="center"/>
    </xf>
    <xf numFmtId="3" fontId="5" fillId="0" borderId="9" xfId="0" applyNumberFormat="1" applyFont="1" applyBorder="1" applyAlignment="1">
      <alignment vertical="center"/>
    </xf>
    <xf numFmtId="179" fontId="5" fillId="0" borderId="9" xfId="0" applyNumberFormat="1" applyFont="1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0" xfId="0" applyFont="1" applyAlignment="1">
      <alignment vertical="center"/>
    </xf>
  </cellXfs>
  <cellStyles count="7">
    <cellStyle name="백분율" xfId="1" builtinId="5"/>
    <cellStyle name="쉼표 [0]" xfId="2" builtinId="6"/>
    <cellStyle name="쉼표 [0]_금성검문소내역(덧씌우기제외)" xfId="3" xr:uid="{ABC12083-77E6-497D-BEC0-42976F6DACEB}"/>
    <cellStyle name="표준" xfId="0" builtinId="0"/>
    <cellStyle name="표준 189" xfId="4" xr:uid="{AC9D5377-E8BC-4014-817F-D18E035FADBD}"/>
    <cellStyle name="표준 3 3" xfId="5" xr:uid="{0F49780E-0A1E-49F2-8B79-831FE34B1C0A}"/>
    <cellStyle name="표준_화순 람덕과선교 보수" xfId="6" xr:uid="{D3D40BCF-F5EA-4025-911D-829952BAE7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3407-9E41-4C57-8100-FAE6D8E3876C}">
  <dimension ref="B1:DM41"/>
  <sheetViews>
    <sheetView showGridLines="0" workbookViewId="0"/>
  </sheetViews>
  <sheetFormatPr defaultRowHeight="12.75"/>
  <cols>
    <col min="1" max="141" width="1.140625" customWidth="1"/>
    <col min="142" max="163" width="0.85546875" customWidth="1"/>
  </cols>
  <sheetData>
    <row r="1" spans="2:117" ht="12.6" customHeight="1"/>
    <row r="2" spans="2:117" ht="12.6" customHeight="1"/>
    <row r="3" spans="2:117" ht="12.6" customHeight="1"/>
    <row r="4" spans="2:117" ht="12.6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8"/>
    </row>
    <row r="5" spans="2:117" ht="12.6" customHeight="1">
      <c r="B5" s="6"/>
      <c r="DM5" s="9"/>
    </row>
    <row r="6" spans="2:117" ht="20.100000000000001" customHeight="1">
      <c r="B6" s="6"/>
      <c r="F6" s="1" t="s">
        <v>87</v>
      </c>
      <c r="DM6" s="9"/>
    </row>
    <row r="7" spans="2:117" ht="12.6" customHeight="1">
      <c r="B7" s="6"/>
      <c r="DM7" s="9"/>
    </row>
    <row r="8" spans="2:117" ht="12.6" customHeight="1">
      <c r="B8" s="6"/>
      <c r="DM8" s="9"/>
    </row>
    <row r="9" spans="2:117" ht="12.6" customHeight="1">
      <c r="B9" s="6"/>
      <c r="DM9" s="9"/>
    </row>
    <row r="10" spans="2:117" ht="12.6" customHeight="1">
      <c r="B10" s="6"/>
      <c r="DM10" s="9"/>
    </row>
    <row r="11" spans="2:117" ht="12.6" customHeight="1">
      <c r="B11" s="6"/>
      <c r="DM11" s="9"/>
    </row>
    <row r="12" spans="2:117" ht="12.6" customHeight="1">
      <c r="B12" s="6"/>
      <c r="DM12" s="9"/>
    </row>
    <row r="13" spans="2:117" ht="12.6" customHeight="1">
      <c r="B13" s="6"/>
      <c r="DM13" s="9"/>
    </row>
    <row r="14" spans="2:117" ht="12.6" customHeight="1">
      <c r="B14" s="6"/>
      <c r="DM14" s="9"/>
    </row>
    <row r="15" spans="2:117" ht="12.6" customHeight="1">
      <c r="B15" s="6"/>
      <c r="DM15" s="9"/>
    </row>
    <row r="16" spans="2:117" ht="27.95" customHeight="1">
      <c r="B16" s="6"/>
      <c r="D16" s="2" t="s">
        <v>627</v>
      </c>
      <c r="AC16" s="2" t="s">
        <v>600</v>
      </c>
      <c r="BE16" s="2" t="s">
        <v>333</v>
      </c>
      <c r="BL16" s="2" t="s">
        <v>559</v>
      </c>
      <c r="BW16" s="2" t="s">
        <v>327</v>
      </c>
      <c r="CC16" s="2" t="s">
        <v>272</v>
      </c>
      <c r="CS16" s="2" t="s">
        <v>395</v>
      </c>
      <c r="DM16" s="9"/>
    </row>
    <row r="17" spans="2:117" ht="12.6" customHeight="1">
      <c r="B17" s="6"/>
      <c r="DM17" s="9"/>
    </row>
    <row r="18" spans="2:117" ht="12.6" customHeight="1">
      <c r="B18" s="6"/>
      <c r="DM18" s="9"/>
    </row>
    <row r="19" spans="2:117" ht="12.6" customHeight="1">
      <c r="B19" s="6"/>
      <c r="DM19" s="9"/>
    </row>
    <row r="20" spans="2:117" ht="12.6" customHeight="1">
      <c r="B20" s="6"/>
      <c r="DM20" s="9"/>
    </row>
    <row r="21" spans="2:117" ht="12.6" customHeight="1">
      <c r="B21" s="6"/>
      <c r="DM21" s="9"/>
    </row>
    <row r="22" spans="2:117" ht="12.6" customHeight="1">
      <c r="B22" s="6"/>
      <c r="DM22" s="9"/>
    </row>
    <row r="23" spans="2:117" ht="12.6" customHeight="1">
      <c r="B23" s="6"/>
      <c r="DM23" s="9"/>
    </row>
    <row r="24" spans="2:117" ht="12.6" customHeight="1">
      <c r="B24" s="6"/>
      <c r="DM24" s="9"/>
    </row>
    <row r="25" spans="2:117" ht="12.6" customHeight="1">
      <c r="B25" s="6"/>
      <c r="DM25" s="9"/>
    </row>
    <row r="26" spans="2:117" ht="12.6" customHeight="1">
      <c r="B26" s="6"/>
      <c r="DM26" s="9"/>
    </row>
    <row r="27" spans="2:117" ht="12.6" customHeight="1">
      <c r="B27" s="6"/>
      <c r="DM27" s="9"/>
    </row>
    <row r="28" spans="2:117" ht="12.6" customHeight="1">
      <c r="B28" s="6"/>
      <c r="DM28" s="9"/>
    </row>
    <row r="29" spans="2:117" ht="12.6" customHeight="1">
      <c r="B29" s="6"/>
      <c r="DM29" s="9"/>
    </row>
    <row r="30" spans="2:117" ht="12.6" customHeight="1">
      <c r="B30" s="6"/>
      <c r="DM30" s="9"/>
    </row>
    <row r="31" spans="2:117" ht="12.6" customHeight="1">
      <c r="B31" s="6"/>
      <c r="DM31" s="9"/>
    </row>
    <row r="32" spans="2:117" ht="12.6" customHeight="1">
      <c r="B32" s="6"/>
      <c r="DM32" s="9"/>
    </row>
    <row r="33" spans="2:117" ht="20.100000000000001" customHeight="1">
      <c r="B33" s="6"/>
      <c r="AR33" s="1" t="s">
        <v>415</v>
      </c>
      <c r="DM33" s="9"/>
    </row>
    <row r="34" spans="2:117" ht="12.6" customHeight="1">
      <c r="B34" s="6"/>
      <c r="DM34" s="9"/>
    </row>
    <row r="35" spans="2:117" ht="12.6" customHeight="1">
      <c r="B35" s="6"/>
      <c r="DM35" s="9"/>
    </row>
    <row r="36" spans="2:117" ht="12.6" customHeight="1">
      <c r="B36" s="6"/>
      <c r="DM36" s="9"/>
    </row>
    <row r="37" spans="2:117" ht="12.6" customHeight="1">
      <c r="B37" s="6"/>
      <c r="DM37" s="9"/>
    </row>
    <row r="38" spans="2:117" ht="12.6" customHeight="1">
      <c r="B38" s="6"/>
      <c r="DM38" s="9"/>
    </row>
    <row r="39" spans="2:117" ht="12.6" customHeight="1">
      <c r="B39" s="6"/>
      <c r="DM39" s="9"/>
    </row>
    <row r="40" spans="2:117" ht="12.6" customHeight="1">
      <c r="B40" s="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10"/>
    </row>
    <row r="41" spans="2:117" ht="12.6" customHeight="1"/>
  </sheetData>
  <phoneticPr fontId="8" type="noConversion"/>
  <pageMargins left="0.98425196850393704" right="7.874015748031496E-2" top="0.27559055118110237" bottom="0.78740157480314965" header="0.5" footer="0.5"/>
  <pageSetup paperSize="9" orientation="landscape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2C83-AFC6-46C4-BB5C-F78DD5A253BF}">
  <sheetPr>
    <tabColor rgb="FF00B0F0"/>
  </sheetPr>
  <dimension ref="A1:AV21"/>
  <sheetViews>
    <sheetView showGridLines="0" view="pageBreakPreview" zoomScaleNormal="100" zoomScaleSheetLayoutView="100" workbookViewId="0">
      <selection sqref="A1:XFD1048576"/>
    </sheetView>
  </sheetViews>
  <sheetFormatPr defaultRowHeight="14.25"/>
  <cols>
    <col min="1" max="4" width="2.28515625" style="120" customWidth="1"/>
    <col min="5" max="10" width="3.42578125" style="120" customWidth="1"/>
    <col min="11" max="11" width="2.28515625" style="125" customWidth="1"/>
    <col min="12" max="27" width="3.28515625" style="120" customWidth="1"/>
    <col min="28" max="29" width="2.140625" style="120" customWidth="1"/>
    <col min="30" max="39" width="2.7109375" style="120" customWidth="1"/>
    <col min="40" max="48" width="2.28515625" style="120" customWidth="1"/>
  </cols>
  <sheetData>
    <row r="1" spans="1:48" s="120" customFormat="1" ht="30" customHeight="1">
      <c r="A1" s="116"/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9"/>
    </row>
    <row r="2" spans="1:48" s="120" customFormat="1" ht="34.5" customHeight="1">
      <c r="A2" s="336" t="s">
        <v>835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8"/>
    </row>
    <row r="3" spans="1:48" s="120" customFormat="1" ht="30" customHeight="1">
      <c r="A3" s="121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3"/>
    </row>
    <row r="4" spans="1:48" s="120" customFormat="1" ht="21" customHeight="1">
      <c r="A4" s="124"/>
      <c r="K4" s="125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V4" s="127"/>
    </row>
    <row r="5" spans="1:48" s="120" customFormat="1" ht="21" customHeight="1">
      <c r="A5" s="124"/>
      <c r="K5" s="125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V5" s="127"/>
    </row>
    <row r="6" spans="1:48" s="120" customFormat="1" ht="28.5" customHeight="1">
      <c r="A6" s="124"/>
      <c r="E6" s="332" t="s">
        <v>836</v>
      </c>
      <c r="F6" s="332"/>
      <c r="G6" s="332"/>
      <c r="H6" s="332"/>
      <c r="I6" s="332"/>
      <c r="J6" s="332"/>
      <c r="K6" s="128" t="s">
        <v>837</v>
      </c>
      <c r="L6" s="129" t="s">
        <v>849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V6" s="127"/>
    </row>
    <row r="7" spans="1:48" s="120" customFormat="1" ht="19.5" customHeight="1">
      <c r="A7" s="124"/>
      <c r="E7" s="339"/>
      <c r="F7" s="339"/>
      <c r="G7" s="339"/>
      <c r="H7" s="339"/>
      <c r="I7" s="339"/>
      <c r="J7" s="339"/>
      <c r="K7" s="125"/>
      <c r="AV7" s="127"/>
    </row>
    <row r="8" spans="1:48" s="120" customFormat="1" ht="24.75" customHeight="1">
      <c r="A8" s="124"/>
      <c r="E8" s="332" t="s">
        <v>838</v>
      </c>
      <c r="F8" s="332"/>
      <c r="G8" s="332"/>
      <c r="H8" s="332"/>
      <c r="I8" s="332"/>
      <c r="J8" s="332"/>
      <c r="K8" s="128" t="s">
        <v>837</v>
      </c>
      <c r="L8" s="132" t="s">
        <v>925</v>
      </c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3"/>
      <c r="AB8" s="130"/>
      <c r="AC8" s="130"/>
      <c r="AD8" s="132" t="s">
        <v>839</v>
      </c>
      <c r="AE8" s="132" t="s">
        <v>840</v>
      </c>
      <c r="AF8" s="340">
        <v>571022700</v>
      </c>
      <c r="AG8" s="340"/>
      <c r="AH8" s="340"/>
      <c r="AI8" s="340"/>
      <c r="AJ8" s="340"/>
      <c r="AK8" s="340"/>
      <c r="AL8" s="340"/>
      <c r="AM8" s="134" t="s">
        <v>841</v>
      </c>
      <c r="AV8" s="127"/>
    </row>
    <row r="9" spans="1:48" s="120" customFormat="1" ht="24.75" customHeight="1">
      <c r="A9" s="124"/>
      <c r="E9" s="327"/>
      <c r="F9" s="327"/>
      <c r="G9" s="327"/>
      <c r="H9" s="327"/>
      <c r="I9" s="327"/>
      <c r="J9" s="327"/>
      <c r="K9" s="125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7"/>
      <c r="AD9" s="136"/>
      <c r="AE9" s="136"/>
      <c r="AF9" s="331"/>
      <c r="AG9" s="331"/>
      <c r="AH9" s="331"/>
      <c r="AI9" s="331"/>
      <c r="AJ9" s="331"/>
      <c r="AK9" s="331"/>
      <c r="AL9" s="331"/>
      <c r="AM9" s="139"/>
      <c r="AV9" s="127"/>
    </row>
    <row r="10" spans="1:48" s="120" customFormat="1" ht="27.75" customHeight="1">
      <c r="A10" s="124"/>
      <c r="E10" s="135"/>
      <c r="F10" s="135"/>
      <c r="G10" s="135"/>
      <c r="H10" s="135"/>
      <c r="I10" s="135"/>
      <c r="J10" s="135"/>
      <c r="K10" s="125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7"/>
      <c r="AD10" s="136"/>
      <c r="AE10" s="136"/>
      <c r="AF10" s="138"/>
      <c r="AG10" s="138"/>
      <c r="AH10" s="138"/>
      <c r="AI10" s="138"/>
      <c r="AJ10" s="138"/>
      <c r="AK10" s="138"/>
      <c r="AL10" s="138"/>
      <c r="AM10" s="139"/>
      <c r="AV10" s="127"/>
    </row>
    <row r="11" spans="1:48" s="120" customFormat="1" ht="28.5" customHeight="1">
      <c r="A11" s="124"/>
      <c r="E11" s="332" t="s">
        <v>842</v>
      </c>
      <c r="F11" s="332"/>
      <c r="G11" s="332"/>
      <c r="H11" s="332"/>
      <c r="I11" s="332"/>
      <c r="J11" s="332"/>
      <c r="K11" s="128" t="s">
        <v>837</v>
      </c>
      <c r="L11" s="132" t="s">
        <v>851</v>
      </c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3"/>
      <c r="AB11" s="130"/>
      <c r="AC11" s="130"/>
      <c r="AD11" s="132"/>
      <c r="AE11" s="132"/>
      <c r="AF11" s="140"/>
      <c r="AG11" s="140"/>
      <c r="AH11" s="140"/>
      <c r="AI11" s="140"/>
      <c r="AJ11" s="140"/>
      <c r="AK11" s="140"/>
      <c r="AL11" s="140"/>
      <c r="AM11" s="134"/>
      <c r="AN11" s="141"/>
      <c r="AO11" s="141"/>
      <c r="AP11" s="141"/>
      <c r="AQ11" s="141"/>
      <c r="AR11" s="141"/>
      <c r="AS11" s="141"/>
      <c r="AT11" s="141"/>
      <c r="AU11" s="142"/>
      <c r="AV11" s="143"/>
    </row>
    <row r="12" spans="1:48" s="120" customFormat="1" ht="14.25" customHeight="1">
      <c r="A12" s="124"/>
      <c r="E12" s="131"/>
      <c r="F12" s="131"/>
      <c r="G12" s="131"/>
      <c r="H12" s="131"/>
      <c r="I12" s="131"/>
      <c r="J12" s="131"/>
      <c r="K12" s="125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V12" s="127"/>
    </row>
    <row r="13" spans="1:48" s="120" customFormat="1" ht="14.25" customHeight="1">
      <c r="A13" s="124"/>
      <c r="E13" s="125"/>
      <c r="F13" s="125"/>
      <c r="G13" s="125"/>
      <c r="H13" s="125"/>
      <c r="I13" s="125"/>
      <c r="K13" s="125"/>
      <c r="AV13" s="127"/>
    </row>
    <row r="14" spans="1:48" s="120" customFormat="1" ht="30" customHeight="1">
      <c r="A14" s="124"/>
      <c r="E14" s="125"/>
      <c r="F14" s="125"/>
      <c r="G14" s="125"/>
      <c r="H14" s="125"/>
      <c r="I14" s="125"/>
      <c r="J14" s="333" t="s">
        <v>843</v>
      </c>
      <c r="K14" s="333"/>
      <c r="L14" s="333"/>
      <c r="M14" s="333"/>
      <c r="N14" s="333"/>
      <c r="O14" s="333"/>
      <c r="P14" s="333"/>
      <c r="Q14" s="333"/>
      <c r="R14" s="333"/>
      <c r="S14" s="333"/>
      <c r="T14" s="333"/>
      <c r="U14" s="333"/>
      <c r="V14" s="333"/>
      <c r="W14" s="333"/>
      <c r="X14" s="333"/>
      <c r="Y14" s="333"/>
      <c r="Z14" s="333"/>
      <c r="AA14" s="333"/>
      <c r="AB14" s="333"/>
      <c r="AC14" s="333"/>
      <c r="AD14" s="333"/>
      <c r="AE14" s="333"/>
      <c r="AF14" s="333"/>
      <c r="AG14" s="333"/>
      <c r="AH14" s="333"/>
      <c r="AI14" s="333"/>
      <c r="AJ14" s="333"/>
      <c r="AK14" s="333"/>
      <c r="AL14" s="333"/>
      <c r="AM14" s="333"/>
      <c r="AN14" s="333"/>
      <c r="AO14" s="333"/>
      <c r="AP14" s="333"/>
      <c r="AV14" s="127"/>
    </row>
    <row r="15" spans="1:48" s="120" customFormat="1" ht="14.25" customHeight="1">
      <c r="A15" s="124"/>
      <c r="E15" s="125"/>
      <c r="F15" s="125"/>
      <c r="G15" s="125"/>
      <c r="H15" s="125"/>
      <c r="I15" s="125"/>
      <c r="K15" s="125"/>
      <c r="AV15" s="127"/>
    </row>
    <row r="16" spans="1:48" s="120" customFormat="1" ht="24.75" customHeight="1">
      <c r="A16" s="124"/>
      <c r="E16" s="125"/>
      <c r="F16" s="125"/>
      <c r="G16" s="125"/>
      <c r="H16" s="125"/>
      <c r="I16" s="125"/>
      <c r="K16" s="125"/>
      <c r="X16" s="334" t="s">
        <v>850</v>
      </c>
      <c r="Y16" s="334"/>
      <c r="Z16" s="334"/>
      <c r="AA16" s="334"/>
      <c r="AB16" s="334"/>
      <c r="AC16" s="334"/>
      <c r="AD16" s="334"/>
      <c r="AE16" s="334"/>
      <c r="AF16" s="334"/>
      <c r="AG16" s="334"/>
      <c r="AH16" s="334"/>
      <c r="AI16" s="334"/>
      <c r="AV16" s="127"/>
    </row>
    <row r="17" spans="1:48" s="120" customFormat="1" ht="24.75" customHeight="1">
      <c r="A17" s="124"/>
      <c r="E17" s="125"/>
      <c r="F17" s="125"/>
      <c r="G17" s="125"/>
      <c r="H17" s="125"/>
      <c r="I17" s="125"/>
      <c r="K17" s="125"/>
      <c r="AV17" s="127"/>
    </row>
    <row r="18" spans="1:48" s="136" customFormat="1" ht="37.5" customHeight="1">
      <c r="A18" s="145"/>
      <c r="K18" s="146"/>
      <c r="T18" s="327" t="s">
        <v>844</v>
      </c>
      <c r="U18" s="327"/>
      <c r="V18" s="327"/>
      <c r="W18" s="327"/>
      <c r="X18" s="146" t="s">
        <v>837</v>
      </c>
      <c r="Y18" s="335" t="s">
        <v>852</v>
      </c>
      <c r="Z18" s="335"/>
      <c r="AA18" s="335"/>
      <c r="AB18" s="335"/>
      <c r="AC18" s="335"/>
      <c r="AD18" s="335"/>
      <c r="AE18" s="335"/>
      <c r="AF18" s="335"/>
      <c r="AG18" s="335"/>
      <c r="AI18" s="327" t="s">
        <v>845</v>
      </c>
      <c r="AJ18" s="327"/>
      <c r="AK18" s="327"/>
      <c r="AL18" s="327"/>
      <c r="AM18" s="146" t="s">
        <v>837</v>
      </c>
      <c r="AN18" s="335" t="s">
        <v>853</v>
      </c>
      <c r="AO18" s="335"/>
      <c r="AP18" s="335"/>
      <c r="AQ18" s="335"/>
      <c r="AR18" s="335"/>
      <c r="AS18" s="335" t="s">
        <v>846</v>
      </c>
      <c r="AT18" s="335"/>
      <c r="AU18" s="335"/>
      <c r="AV18" s="147"/>
    </row>
    <row r="19" spans="1:48" s="136" customFormat="1" ht="37.5" customHeight="1">
      <c r="A19" s="145"/>
      <c r="K19" s="146"/>
      <c r="T19" s="327" t="s">
        <v>847</v>
      </c>
      <c r="U19" s="327"/>
      <c r="V19" s="327"/>
      <c r="W19" s="327"/>
      <c r="X19" s="146" t="s">
        <v>837</v>
      </c>
      <c r="Y19" s="328" t="s">
        <v>854</v>
      </c>
      <c r="Z19" s="328"/>
      <c r="AA19" s="328"/>
      <c r="AB19" s="328"/>
      <c r="AC19" s="328"/>
      <c r="AD19" s="328"/>
      <c r="AE19" s="328"/>
      <c r="AF19" s="328"/>
      <c r="AG19" s="328"/>
      <c r="AH19" s="328"/>
      <c r="AI19" s="328"/>
      <c r="AJ19" s="328"/>
      <c r="AK19" s="328"/>
      <c r="AL19" s="328"/>
      <c r="AM19" s="328"/>
      <c r="AN19" s="328"/>
      <c r="AO19" s="328"/>
      <c r="AP19" s="328"/>
      <c r="AQ19" s="328"/>
      <c r="AR19" s="328"/>
      <c r="AS19" s="328"/>
      <c r="AT19" s="328"/>
      <c r="AU19" s="328"/>
      <c r="AV19" s="329"/>
    </row>
    <row r="20" spans="1:48" s="120" customFormat="1" ht="30" customHeight="1">
      <c r="A20" s="124"/>
      <c r="D20" s="330" t="s">
        <v>848</v>
      </c>
      <c r="E20" s="330"/>
      <c r="F20" s="330"/>
      <c r="G20" s="330"/>
      <c r="H20" s="330"/>
      <c r="I20" s="330"/>
      <c r="J20" s="330"/>
      <c r="K20" s="330"/>
      <c r="L20" s="330"/>
      <c r="M20" s="330"/>
      <c r="N20" s="330"/>
      <c r="O20" s="330"/>
      <c r="P20" s="330"/>
      <c r="Q20" s="330"/>
      <c r="R20" s="148"/>
      <c r="S20" s="149"/>
      <c r="AV20" s="127"/>
    </row>
    <row r="21" spans="1:48" s="120" customFormat="1" ht="15" customHeight="1">
      <c r="A21" s="150"/>
      <c r="B21" s="151"/>
      <c r="C21" s="151"/>
      <c r="D21" s="151"/>
      <c r="E21" s="151"/>
      <c r="F21" s="151"/>
      <c r="G21" s="151"/>
      <c r="H21" s="151"/>
      <c r="I21" s="151"/>
      <c r="J21" s="151"/>
      <c r="K21" s="152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3"/>
    </row>
  </sheetData>
  <mergeCells count="18">
    <mergeCell ref="A2:AV2"/>
    <mergeCell ref="E6:J6"/>
    <mergeCell ref="E7:J7"/>
    <mergeCell ref="E8:J8"/>
    <mergeCell ref="AF8:AL8"/>
    <mergeCell ref="T19:W19"/>
    <mergeCell ref="Y19:AV19"/>
    <mergeCell ref="D20:Q20"/>
    <mergeCell ref="E9:J9"/>
    <mergeCell ref="AF9:AL9"/>
    <mergeCell ref="E11:J11"/>
    <mergeCell ref="J14:AP14"/>
    <mergeCell ref="X16:AI16"/>
    <mergeCell ref="T18:W18"/>
    <mergeCell ref="Y18:AG18"/>
    <mergeCell ref="AI18:AL18"/>
    <mergeCell ref="AN18:AR18"/>
    <mergeCell ref="AS18:AU18"/>
  </mergeCells>
  <phoneticPr fontId="8" type="noConversion"/>
  <pageMargins left="0.78740157480314965" right="7.874015748031496E-2" top="0.27559055118110237" bottom="0.78740157480314965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4DD3-E499-440C-B31F-AAD9C3515A69}">
  <dimension ref="B1:L52"/>
  <sheetViews>
    <sheetView workbookViewId="0">
      <pane ySplit="3" topLeftCell="A16" activePane="bottomLeft" state="frozen"/>
      <selection pane="bottomLeft" activeCell="F12" sqref="F12"/>
    </sheetView>
  </sheetViews>
  <sheetFormatPr defaultRowHeight="12.75"/>
  <cols>
    <col min="1" max="1" width="0.7109375" customWidth="1"/>
    <col min="2" max="3" width="2.7109375" customWidth="1"/>
    <col min="4" max="4" width="19.28515625" customWidth="1"/>
    <col min="5" max="5" width="4.7109375" customWidth="1"/>
    <col min="6" max="6" width="19.140625" customWidth="1"/>
    <col min="7" max="7" width="5.42578125" customWidth="1"/>
    <col min="8" max="8" width="35.5703125" customWidth="1"/>
  </cols>
  <sheetData>
    <row r="1" spans="2:8" ht="24.95" customHeight="1">
      <c r="B1" s="343" t="s">
        <v>450</v>
      </c>
      <c r="C1" s="343"/>
      <c r="D1" s="343"/>
      <c r="E1" s="343"/>
      <c r="F1" s="343"/>
      <c r="G1" s="343"/>
      <c r="H1" s="343"/>
    </row>
    <row r="2" spans="2:8" ht="9.9499999999999993" customHeight="1">
      <c r="B2" s="344"/>
      <c r="C2" s="344"/>
      <c r="D2" s="344"/>
      <c r="E2" s="344"/>
      <c r="F2" s="344"/>
      <c r="G2" s="344"/>
      <c r="H2" s="344"/>
    </row>
    <row r="3" spans="2:8" ht="33.6" customHeight="1">
      <c r="B3" s="341" t="s">
        <v>120</v>
      </c>
      <c r="C3" s="342"/>
      <c r="D3" s="342"/>
      <c r="E3" s="16" t="s">
        <v>67</v>
      </c>
      <c r="F3" s="17" t="s">
        <v>384</v>
      </c>
      <c r="G3" s="17" t="s">
        <v>289</v>
      </c>
      <c r="H3" s="18" t="s">
        <v>821</v>
      </c>
    </row>
    <row r="4" spans="2:8" ht="22.35" customHeight="1">
      <c r="B4" s="104" t="s">
        <v>834</v>
      </c>
      <c r="C4" s="105" t="s">
        <v>793</v>
      </c>
      <c r="D4" s="106" t="s">
        <v>483</v>
      </c>
      <c r="E4" s="107" t="s">
        <v>225</v>
      </c>
      <c r="F4" s="19"/>
      <c r="G4" s="108" t="s">
        <v>834</v>
      </c>
      <c r="H4" s="109" t="s">
        <v>834</v>
      </c>
    </row>
    <row r="5" spans="2:8" ht="22.35" customHeight="1">
      <c r="B5" s="104" t="s">
        <v>834</v>
      </c>
      <c r="C5" s="105" t="s">
        <v>816</v>
      </c>
      <c r="D5" s="106" t="s">
        <v>778</v>
      </c>
      <c r="E5" s="107" t="s">
        <v>782</v>
      </c>
      <c r="F5" s="108">
        <f>도급계약내역서!K182</f>
        <v>107322412</v>
      </c>
      <c r="G5" s="108" t="s">
        <v>834</v>
      </c>
      <c r="H5" s="109" t="s">
        <v>834</v>
      </c>
    </row>
    <row r="6" spans="2:8" ht="22.35" customHeight="1">
      <c r="B6" s="104" t="s">
        <v>834</v>
      </c>
      <c r="C6" s="105" t="s">
        <v>440</v>
      </c>
      <c r="D6" s="110" t="s">
        <v>340</v>
      </c>
      <c r="E6" s="111" t="s">
        <v>312</v>
      </c>
      <c r="F6" s="31"/>
      <c r="G6" s="65" t="s">
        <v>834</v>
      </c>
      <c r="H6" s="32" t="s">
        <v>834</v>
      </c>
    </row>
    <row r="7" spans="2:8" ht="22.35" customHeight="1">
      <c r="B7" s="104" t="s">
        <v>834</v>
      </c>
      <c r="C7" s="29" t="s">
        <v>834</v>
      </c>
      <c r="D7" s="110" t="s">
        <v>507</v>
      </c>
      <c r="E7" s="111" t="s">
        <v>365</v>
      </c>
      <c r="F7" s="31">
        <f>TRUNC((F4+F5+F6),0)</f>
        <v>107322412</v>
      </c>
      <c r="G7" s="65" t="s">
        <v>834</v>
      </c>
      <c r="H7" s="32" t="s">
        <v>681</v>
      </c>
    </row>
    <row r="8" spans="2:8" ht="22.35" customHeight="1">
      <c r="B8" s="104" t="s">
        <v>573</v>
      </c>
      <c r="C8" s="105" t="s">
        <v>730</v>
      </c>
      <c r="D8" s="106" t="s">
        <v>560</v>
      </c>
      <c r="E8" s="107" t="s">
        <v>641</v>
      </c>
      <c r="F8" s="108">
        <f>도급계약내역서!I182</f>
        <v>187495739</v>
      </c>
      <c r="G8" s="108" t="s">
        <v>834</v>
      </c>
      <c r="H8" s="109" t="s">
        <v>834</v>
      </c>
    </row>
    <row r="9" spans="2:8" ht="22.35" customHeight="1">
      <c r="B9" s="104" t="s">
        <v>606</v>
      </c>
      <c r="C9" s="105" t="s">
        <v>783</v>
      </c>
      <c r="D9" s="110" t="s">
        <v>712</v>
      </c>
      <c r="E9" s="111" t="s">
        <v>253</v>
      </c>
      <c r="F9" s="31">
        <f>TRUNC(F8*0.165,0)</f>
        <v>30936796</v>
      </c>
      <c r="G9" s="65" t="s">
        <v>543</v>
      </c>
      <c r="H9" s="32" t="s">
        <v>167</v>
      </c>
    </row>
    <row r="10" spans="2:8" ht="22.35" customHeight="1">
      <c r="B10" s="104" t="s">
        <v>573</v>
      </c>
      <c r="C10" s="29" t="s">
        <v>440</v>
      </c>
      <c r="D10" s="110" t="s">
        <v>507</v>
      </c>
      <c r="E10" s="111" t="s">
        <v>664</v>
      </c>
      <c r="F10" s="31">
        <f>TRUNC((F8+F9),0)</f>
        <v>218432535</v>
      </c>
      <c r="G10" s="65" t="s">
        <v>834</v>
      </c>
      <c r="H10" s="32" t="s">
        <v>264</v>
      </c>
    </row>
    <row r="11" spans="2:8" ht="22.35" customHeight="1">
      <c r="B11" s="104" t="s">
        <v>175</v>
      </c>
      <c r="C11" s="105" t="s">
        <v>834</v>
      </c>
      <c r="D11" s="106" t="s">
        <v>216</v>
      </c>
      <c r="E11" s="107" t="s">
        <v>760</v>
      </c>
      <c r="F11" s="108">
        <f>도급계약내역서!M182</f>
        <v>27944371</v>
      </c>
      <c r="G11" s="108" t="s">
        <v>834</v>
      </c>
      <c r="H11" s="109" t="s">
        <v>834</v>
      </c>
    </row>
    <row r="12" spans="2:8" ht="22.35" customHeight="1">
      <c r="B12" s="104" t="s">
        <v>573</v>
      </c>
      <c r="C12" s="105" t="s">
        <v>834</v>
      </c>
      <c r="D12" s="106" t="s">
        <v>605</v>
      </c>
      <c r="E12" s="107" t="s">
        <v>402</v>
      </c>
      <c r="F12" s="19">
        <f>TRUNC(F10*0.0356,0)</f>
        <v>7776198</v>
      </c>
      <c r="G12" s="108" t="s">
        <v>773</v>
      </c>
      <c r="H12" s="109" t="s">
        <v>77</v>
      </c>
    </row>
    <row r="13" spans="2:8" ht="22.35" customHeight="1">
      <c r="B13" s="104" t="s">
        <v>269</v>
      </c>
      <c r="C13" s="105" t="s">
        <v>834</v>
      </c>
      <c r="D13" s="106" t="s">
        <v>680</v>
      </c>
      <c r="E13" s="107" t="s">
        <v>764</v>
      </c>
      <c r="F13" s="19">
        <f>TRUNC(F10*0.0101,0)</f>
        <v>2206168</v>
      </c>
      <c r="G13" s="108" t="s">
        <v>580</v>
      </c>
      <c r="H13" s="109" t="s">
        <v>729</v>
      </c>
    </row>
    <row r="14" spans="2:8" ht="22.35" customHeight="1">
      <c r="B14" s="104" t="s">
        <v>573</v>
      </c>
      <c r="C14" s="105" t="s">
        <v>160</v>
      </c>
      <c r="D14" s="106" t="s">
        <v>464</v>
      </c>
      <c r="E14" s="107" t="s">
        <v>392</v>
      </c>
      <c r="F14" s="19">
        <f>TRUNC(F8*0.03595,0)</f>
        <v>6740471</v>
      </c>
      <c r="G14" s="108" t="s">
        <v>215</v>
      </c>
      <c r="H14" s="109" t="s">
        <v>4</v>
      </c>
    </row>
    <row r="15" spans="2:8" ht="22.35" customHeight="1">
      <c r="B15" s="104" t="s">
        <v>482</v>
      </c>
      <c r="C15" s="105" t="s">
        <v>834</v>
      </c>
      <c r="D15" s="106" t="s">
        <v>425</v>
      </c>
      <c r="E15" s="107" t="s">
        <v>90</v>
      </c>
      <c r="F15" s="19">
        <f>TRUNC(F8*0.0475,0)</f>
        <v>8906047</v>
      </c>
      <c r="G15" s="108" t="s">
        <v>237</v>
      </c>
      <c r="H15" s="109" t="s">
        <v>21</v>
      </c>
    </row>
    <row r="16" spans="2:8" ht="22.35" customHeight="1">
      <c r="B16" s="104" t="s">
        <v>834</v>
      </c>
      <c r="C16" s="105" t="s">
        <v>834</v>
      </c>
      <c r="D16" s="106" t="s">
        <v>465</v>
      </c>
      <c r="E16" s="107" t="s">
        <v>433</v>
      </c>
      <c r="F16" s="19">
        <f>TRUNC(F14*0.1314,0)</f>
        <v>885697</v>
      </c>
      <c r="G16" s="108" t="s">
        <v>73</v>
      </c>
      <c r="H16" s="109" t="s">
        <v>51</v>
      </c>
    </row>
    <row r="17" spans="2:12" ht="22.35" customHeight="1">
      <c r="B17" s="104" t="s">
        <v>614</v>
      </c>
      <c r="C17" s="105" t="s">
        <v>834</v>
      </c>
      <c r="D17" s="106" t="s">
        <v>121</v>
      </c>
      <c r="E17" s="107" t="s">
        <v>151</v>
      </c>
      <c r="F17" s="19">
        <f>TRUNC(F8*0.023,0)</f>
        <v>4312401</v>
      </c>
      <c r="G17" s="108" t="s">
        <v>261</v>
      </c>
      <c r="H17" s="109" t="s">
        <v>236</v>
      </c>
    </row>
    <row r="18" spans="2:12" ht="22.35" customHeight="1">
      <c r="B18" s="104" t="s">
        <v>834</v>
      </c>
      <c r="C18" s="105" t="s">
        <v>834</v>
      </c>
      <c r="D18" s="106" t="s">
        <v>413</v>
      </c>
      <c r="E18" s="107" t="s">
        <v>517</v>
      </c>
      <c r="F18" s="19">
        <f>TRUNC((F7+F8+F11)*0.004,0)</f>
        <v>1291050</v>
      </c>
      <c r="G18" s="108" t="s">
        <v>72</v>
      </c>
      <c r="H18" s="109" t="s">
        <v>396</v>
      </c>
    </row>
    <row r="19" spans="2:12" ht="22.35" customHeight="1">
      <c r="B19" s="104" t="s">
        <v>573</v>
      </c>
      <c r="C19" s="105" t="s">
        <v>834</v>
      </c>
      <c r="D19" s="106" t="s">
        <v>506</v>
      </c>
      <c r="E19" s="107" t="s">
        <v>26</v>
      </c>
      <c r="F19" s="19">
        <f>TRUNC(((F7+F8+F33/1.1)*0.0253)+3300000,0)</f>
        <v>11625999</v>
      </c>
      <c r="G19" s="108" t="s">
        <v>14</v>
      </c>
      <c r="H19" s="109" t="s">
        <v>590</v>
      </c>
    </row>
    <row r="20" spans="2:12" ht="22.35" customHeight="1">
      <c r="B20" s="104" t="s">
        <v>834</v>
      </c>
      <c r="C20" s="105" t="s">
        <v>834</v>
      </c>
      <c r="D20" s="106" t="s">
        <v>416</v>
      </c>
      <c r="E20" s="107" t="s">
        <v>462</v>
      </c>
      <c r="F20" s="19">
        <f>TRUNC((F7+F8+F11)*0.009,0)</f>
        <v>2904862</v>
      </c>
      <c r="G20" s="108" t="s">
        <v>263</v>
      </c>
      <c r="H20" s="109" t="s">
        <v>463</v>
      </c>
    </row>
    <row r="21" spans="2:12" ht="22.35" customHeight="1">
      <c r="B21" s="104" t="s">
        <v>834</v>
      </c>
      <c r="C21" s="105" t="s">
        <v>834</v>
      </c>
      <c r="D21" s="106" t="s">
        <v>679</v>
      </c>
      <c r="E21" s="107" t="s">
        <v>125</v>
      </c>
      <c r="F21" s="19"/>
      <c r="G21" s="108" t="s">
        <v>834</v>
      </c>
      <c r="H21" s="109" t="s">
        <v>834</v>
      </c>
    </row>
    <row r="22" spans="2:12" ht="22.35" customHeight="1">
      <c r="B22" s="104" t="s">
        <v>834</v>
      </c>
      <c r="C22" s="105" t="s">
        <v>440</v>
      </c>
      <c r="D22" s="106" t="s">
        <v>388</v>
      </c>
      <c r="E22" s="107" t="s">
        <v>589</v>
      </c>
      <c r="F22" s="19">
        <f>TRUNC((F7+F8+F11)*0.00081,0)</f>
        <v>261437</v>
      </c>
      <c r="G22" s="108" t="s">
        <v>742</v>
      </c>
      <c r="H22" s="109" t="s">
        <v>163</v>
      </c>
    </row>
    <row r="23" spans="2:12" ht="22.35" customHeight="1">
      <c r="B23" s="104" t="s">
        <v>834</v>
      </c>
      <c r="C23" s="105" t="s">
        <v>834</v>
      </c>
      <c r="D23" s="110" t="s">
        <v>334</v>
      </c>
      <c r="E23" s="111" t="s">
        <v>127</v>
      </c>
      <c r="F23" s="31">
        <f>TRUNC((F7+F10)*0.052,0)</f>
        <v>16939257</v>
      </c>
      <c r="G23" s="65" t="s">
        <v>531</v>
      </c>
      <c r="H23" s="32" t="s">
        <v>725</v>
      </c>
    </row>
    <row r="24" spans="2:12" ht="22.35" customHeight="1">
      <c r="B24" s="67" t="s">
        <v>834</v>
      </c>
      <c r="C24" s="29" t="s">
        <v>834</v>
      </c>
      <c r="D24" s="110" t="s">
        <v>507</v>
      </c>
      <c r="E24" s="111" t="s">
        <v>274</v>
      </c>
      <c r="F24" s="31">
        <f>TRUNC((F11+F12+F13+F14+F15+F16+F17+F18+F19+F20+F21+F22+F23),0)</f>
        <v>91793958</v>
      </c>
      <c r="G24" s="65" t="s">
        <v>834</v>
      </c>
      <c r="H24" s="32" t="s">
        <v>687</v>
      </c>
    </row>
    <row r="25" spans="2:12" ht="22.35" customHeight="1">
      <c r="B25" s="112" t="s">
        <v>834</v>
      </c>
      <c r="C25" s="110" t="s">
        <v>834</v>
      </c>
      <c r="D25" s="110" t="s">
        <v>505</v>
      </c>
      <c r="E25" s="111" t="s">
        <v>810</v>
      </c>
      <c r="F25" s="31">
        <f>TRUNC((F7+F10+F24),0)</f>
        <v>417548905</v>
      </c>
      <c r="G25" s="65" t="s">
        <v>834</v>
      </c>
      <c r="H25" s="32" t="s">
        <v>159</v>
      </c>
    </row>
    <row r="26" spans="2:12" ht="22.35" customHeight="1">
      <c r="B26" s="112" t="s">
        <v>834</v>
      </c>
      <c r="C26" s="110" t="s">
        <v>834</v>
      </c>
      <c r="D26" s="110" t="s">
        <v>452</v>
      </c>
      <c r="E26" s="111" t="s">
        <v>342</v>
      </c>
      <c r="F26" s="31">
        <f>TRUNC(F25*0.08,0)</f>
        <v>33403912</v>
      </c>
      <c r="G26" s="65" t="s">
        <v>579</v>
      </c>
      <c r="H26" s="32" t="s">
        <v>711</v>
      </c>
    </row>
    <row r="27" spans="2:12" ht="22.35" customHeight="1">
      <c r="B27" s="112" t="s">
        <v>834</v>
      </c>
      <c r="C27" s="110" t="s">
        <v>834</v>
      </c>
      <c r="D27" s="110" t="s">
        <v>71</v>
      </c>
      <c r="E27" s="111" t="s">
        <v>694</v>
      </c>
      <c r="F27" s="31">
        <f>TRUNC((F10+F24+F26)*0.1488,0)-18214</f>
        <v>51113990</v>
      </c>
      <c r="G27" s="65" t="s">
        <v>442</v>
      </c>
      <c r="H27" s="32" t="s">
        <v>628</v>
      </c>
    </row>
    <row r="28" spans="2:12" ht="22.35" customHeight="1">
      <c r="B28" s="112" t="s">
        <v>834</v>
      </c>
      <c r="C28" s="110" t="s">
        <v>834</v>
      </c>
      <c r="D28" s="110" t="s">
        <v>349</v>
      </c>
      <c r="E28" s="111" t="s">
        <v>193</v>
      </c>
      <c r="F28" s="65">
        <f>도급계약내역서!G198</f>
        <v>17884603</v>
      </c>
      <c r="G28" s="65" t="s">
        <v>834</v>
      </c>
      <c r="H28" s="32" t="s">
        <v>834</v>
      </c>
      <c r="L28">
        <f>도급계약내역서!G198</f>
        <v>17884603</v>
      </c>
    </row>
    <row r="29" spans="2:12" ht="22.35" customHeight="1">
      <c r="B29" s="112" t="s">
        <v>834</v>
      </c>
      <c r="C29" s="110" t="s">
        <v>834</v>
      </c>
      <c r="D29" s="110" t="s">
        <v>693</v>
      </c>
      <c r="E29" s="111" t="s">
        <v>668</v>
      </c>
      <c r="F29" s="65">
        <f>도급계약내역서!G202</f>
        <v>454308</v>
      </c>
      <c r="G29" s="65" t="s">
        <v>834</v>
      </c>
      <c r="H29" s="32" t="s">
        <v>834</v>
      </c>
      <c r="L29">
        <f>도급계약내역서!G202</f>
        <v>454308</v>
      </c>
    </row>
    <row r="30" spans="2:12" ht="22.35" customHeight="1">
      <c r="B30" s="112" t="s">
        <v>834</v>
      </c>
      <c r="C30" s="110" t="s">
        <v>834</v>
      </c>
      <c r="D30" s="110" t="s">
        <v>437</v>
      </c>
      <c r="E30" s="111" t="s">
        <v>209</v>
      </c>
      <c r="F30" s="31">
        <f>TRUNC((F25+F26+F27+F28+F29),0)</f>
        <v>520405718</v>
      </c>
      <c r="G30" s="65" t="s">
        <v>834</v>
      </c>
      <c r="H30" s="32" t="s">
        <v>182</v>
      </c>
    </row>
    <row r="31" spans="2:12" ht="22.35" customHeight="1">
      <c r="B31" s="112" t="s">
        <v>834</v>
      </c>
      <c r="C31" s="110" t="s">
        <v>834</v>
      </c>
      <c r="D31" s="110" t="s">
        <v>154</v>
      </c>
      <c r="E31" s="111" t="s">
        <v>815</v>
      </c>
      <c r="F31" s="31">
        <f>IF(L52&lt;&gt; "0.9",TRUNC(F30*0.1,0),TRUNC(F30*0.1,0)+1)</f>
        <v>52040571</v>
      </c>
      <c r="G31" s="65" t="s">
        <v>825</v>
      </c>
      <c r="H31" s="32" t="s">
        <v>13</v>
      </c>
    </row>
    <row r="32" spans="2:12" ht="22.35" customHeight="1">
      <c r="B32" s="112" t="s">
        <v>834</v>
      </c>
      <c r="C32" s="110" t="s">
        <v>834</v>
      </c>
      <c r="D32" s="110" t="s">
        <v>94</v>
      </c>
      <c r="E32" s="111" t="s">
        <v>335</v>
      </c>
      <c r="F32" s="31">
        <f>TRUNC((F30+F31),5)</f>
        <v>572446289</v>
      </c>
      <c r="G32" s="65" t="s">
        <v>834</v>
      </c>
      <c r="H32" s="32" t="s">
        <v>739</v>
      </c>
    </row>
    <row r="33" spans="2:12" ht="22.35" customHeight="1">
      <c r="B33" s="112" t="s">
        <v>834</v>
      </c>
      <c r="C33" s="110" t="s">
        <v>834</v>
      </c>
      <c r="D33" s="110" t="s">
        <v>380</v>
      </c>
      <c r="E33" s="111" t="s">
        <v>652</v>
      </c>
      <c r="F33" s="65">
        <f>도급계약내역서!G212</f>
        <v>37700000</v>
      </c>
      <c r="G33" s="65" t="s">
        <v>834</v>
      </c>
      <c r="H33" s="32" t="s">
        <v>834</v>
      </c>
      <c r="L33">
        <f>도급계약내역서!G212</f>
        <v>37700000</v>
      </c>
    </row>
    <row r="34" spans="2:12" ht="22.35" customHeight="1">
      <c r="B34" s="113" t="s">
        <v>834</v>
      </c>
      <c r="C34" s="114" t="s">
        <v>834</v>
      </c>
      <c r="D34" s="114" t="s">
        <v>181</v>
      </c>
      <c r="E34" s="115" t="s">
        <v>296</v>
      </c>
      <c r="F34" s="22">
        <f>TRUNC((F32+F33),0)</f>
        <v>610146289</v>
      </c>
      <c r="G34" s="74" t="s">
        <v>834</v>
      </c>
      <c r="H34" s="36" t="s">
        <v>336</v>
      </c>
    </row>
    <row r="35" spans="2:12">
      <c r="B35" s="23"/>
      <c r="C35" s="23"/>
      <c r="D35" s="23"/>
      <c r="E35" s="23"/>
      <c r="F35" s="23"/>
      <c r="G35" s="23"/>
      <c r="H35" s="23"/>
    </row>
    <row r="52" spans="12:12">
      <c r="L52" t="str">
        <f>RIGHT(F30*0.1,3)</f>
        <v>1.8</v>
      </c>
    </row>
  </sheetData>
  <mergeCells count="2">
    <mergeCell ref="B3:D3"/>
    <mergeCell ref="B1:H2"/>
  </mergeCells>
  <phoneticPr fontId="8" type="noConversion"/>
  <pageMargins left="0.78740157480314965" right="7.874015748031496E-2" top="0.94488188976377963" bottom="0.59055118110236215" header="0.5" footer="0.5"/>
  <pageSetup paperSize="9" orientation="portrait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3E14-870A-42C1-AFD8-D4FE97CF1206}">
  <sheetPr>
    <tabColor rgb="FF00B0F0"/>
  </sheetPr>
  <dimension ref="A1:L29"/>
  <sheetViews>
    <sheetView tabSelected="1" view="pageBreakPreview" zoomScale="80" zoomScaleNormal="100" zoomScaleSheetLayoutView="80" workbookViewId="0">
      <pane ySplit="3" topLeftCell="A4" activePane="bottomLeft" state="frozen"/>
      <selection activeCell="BA9" sqref="BA9"/>
      <selection pane="bottomLeft" activeCell="C3" sqref="C3"/>
    </sheetView>
  </sheetViews>
  <sheetFormatPr defaultRowHeight="12.75"/>
  <cols>
    <col min="1" max="1" width="7.42578125" customWidth="1"/>
    <col min="2" max="2" width="37" customWidth="1"/>
    <col min="3" max="3" width="23.85546875" customWidth="1"/>
    <col min="4" max="4" width="12.85546875" customWidth="1"/>
    <col min="5" max="5" width="7.42578125" customWidth="1"/>
    <col min="6" max="6" width="35" customWidth="1"/>
    <col min="7" max="9" width="18.28515625" bestFit="1" customWidth="1"/>
    <col min="10" max="10" width="12.85546875" customWidth="1"/>
    <col min="12" max="12" width="12.7109375" bestFit="1" customWidth="1"/>
  </cols>
  <sheetData>
    <row r="1" spans="1:12" ht="28.5" customHeight="1">
      <c r="A1" s="343" t="s">
        <v>657</v>
      </c>
      <c r="B1" s="343"/>
      <c r="C1" s="343"/>
      <c r="D1" s="343"/>
      <c r="E1" s="343"/>
      <c r="F1" s="343"/>
      <c r="G1" s="343"/>
      <c r="H1" s="343"/>
      <c r="I1" s="343"/>
      <c r="J1" s="343"/>
    </row>
    <row r="2" spans="1:12" ht="23.25" customHeight="1">
      <c r="A2" s="179" t="s">
        <v>891</v>
      </c>
      <c r="B2" s="180"/>
    </row>
    <row r="3" spans="1:12" ht="30.75" customHeight="1">
      <c r="A3" s="250" t="s">
        <v>829</v>
      </c>
      <c r="B3" s="251" t="s">
        <v>520</v>
      </c>
      <c r="C3" s="251" t="s">
        <v>649</v>
      </c>
      <c r="D3" s="251" t="s">
        <v>27</v>
      </c>
      <c r="E3" s="251" t="s">
        <v>294</v>
      </c>
      <c r="F3" s="251" t="s">
        <v>856</v>
      </c>
      <c r="G3" s="251" t="s">
        <v>700</v>
      </c>
      <c r="H3" s="251" t="s">
        <v>498</v>
      </c>
      <c r="I3" s="251" t="s">
        <v>55</v>
      </c>
      <c r="J3" s="252" t="s">
        <v>178</v>
      </c>
    </row>
    <row r="4" spans="1:12" ht="21" customHeight="1">
      <c r="A4" s="222" t="s">
        <v>401</v>
      </c>
      <c r="B4" s="223" t="s">
        <v>443</v>
      </c>
      <c r="C4" s="223" t="s">
        <v>834</v>
      </c>
      <c r="D4" s="224"/>
      <c r="E4" s="225" t="s">
        <v>834</v>
      </c>
      <c r="F4" s="226">
        <v>181183936</v>
      </c>
      <c r="G4" s="317">
        <v>110285258</v>
      </c>
      <c r="H4" s="317">
        <v>64798890</v>
      </c>
      <c r="I4" s="317">
        <v>6099788</v>
      </c>
      <c r="J4" s="227" t="s">
        <v>834</v>
      </c>
    </row>
    <row r="5" spans="1:12" ht="21" customHeight="1">
      <c r="A5" s="222" t="s">
        <v>594</v>
      </c>
      <c r="B5" s="223" t="s">
        <v>210</v>
      </c>
      <c r="C5" s="223" t="s">
        <v>834</v>
      </c>
      <c r="D5" s="224"/>
      <c r="E5" s="225" t="s">
        <v>834</v>
      </c>
      <c r="F5" s="226">
        <v>141578586</v>
      </c>
      <c r="G5" s="317">
        <v>77210481</v>
      </c>
      <c r="H5" s="317">
        <v>42523522</v>
      </c>
      <c r="I5" s="317">
        <v>21844583</v>
      </c>
      <c r="J5" s="227" t="s">
        <v>834</v>
      </c>
    </row>
    <row r="6" spans="1:12" ht="21" customHeight="1">
      <c r="A6" s="222" t="s">
        <v>834</v>
      </c>
      <c r="B6" s="223" t="s">
        <v>830</v>
      </c>
      <c r="C6" s="223" t="s">
        <v>834</v>
      </c>
      <c r="D6" s="224"/>
      <c r="E6" s="225" t="s">
        <v>834</v>
      </c>
      <c r="F6" s="226">
        <v>322762522</v>
      </c>
      <c r="G6" s="317">
        <v>187495739</v>
      </c>
      <c r="H6" s="317">
        <v>107322412</v>
      </c>
      <c r="I6" s="317">
        <v>27944371</v>
      </c>
      <c r="J6" s="227" t="s">
        <v>834</v>
      </c>
      <c r="L6" s="205"/>
    </row>
    <row r="7" spans="1:12" ht="21" customHeight="1">
      <c r="A7" s="222" t="s">
        <v>834</v>
      </c>
      <c r="B7" s="223" t="s">
        <v>695</v>
      </c>
      <c r="C7" s="223" t="s">
        <v>834</v>
      </c>
      <c r="D7" s="228">
        <v>1</v>
      </c>
      <c r="E7" s="225" t="s">
        <v>923</v>
      </c>
      <c r="F7" s="226">
        <v>30939448</v>
      </c>
      <c r="G7" s="228">
        <v>30939448</v>
      </c>
      <c r="H7" s="228"/>
      <c r="I7" s="228"/>
      <c r="J7" s="227" t="s">
        <v>834</v>
      </c>
    </row>
    <row r="8" spans="1:12" ht="21" customHeight="1">
      <c r="A8" s="222" t="s">
        <v>834</v>
      </c>
      <c r="B8" s="223" t="s">
        <v>367</v>
      </c>
      <c r="C8" s="223" t="s">
        <v>834</v>
      </c>
      <c r="D8" s="228">
        <v>1</v>
      </c>
      <c r="E8" s="225" t="s">
        <v>923</v>
      </c>
      <c r="F8" s="226">
        <v>7776864</v>
      </c>
      <c r="G8" s="228"/>
      <c r="H8" s="228"/>
      <c r="I8" s="228">
        <v>7776864</v>
      </c>
      <c r="J8" s="227" t="s">
        <v>834</v>
      </c>
    </row>
    <row r="9" spans="1:12" ht="21" customHeight="1">
      <c r="A9" s="222" t="s">
        <v>834</v>
      </c>
      <c r="B9" s="223" t="s">
        <v>290</v>
      </c>
      <c r="C9" s="223" t="s">
        <v>834</v>
      </c>
      <c r="D9" s="228">
        <v>1</v>
      </c>
      <c r="E9" s="225" t="s">
        <v>665</v>
      </c>
      <c r="F9" s="226">
        <v>2206356</v>
      </c>
      <c r="G9" s="228"/>
      <c r="H9" s="228"/>
      <c r="I9" s="228">
        <v>2206356</v>
      </c>
      <c r="J9" s="227" t="s">
        <v>834</v>
      </c>
    </row>
    <row r="10" spans="1:12" ht="21" customHeight="1">
      <c r="A10" s="222" t="s">
        <v>834</v>
      </c>
      <c r="B10" s="223" t="s">
        <v>451</v>
      </c>
      <c r="C10" s="223" t="s">
        <v>834</v>
      </c>
      <c r="D10" s="228">
        <v>1</v>
      </c>
      <c r="E10" s="225" t="s">
        <v>665</v>
      </c>
      <c r="F10" s="226">
        <v>7437746</v>
      </c>
      <c r="G10" s="228"/>
      <c r="H10" s="228"/>
      <c r="I10" s="228">
        <v>7437746</v>
      </c>
      <c r="J10" s="227" t="s">
        <v>834</v>
      </c>
    </row>
    <row r="11" spans="1:12" ht="21" customHeight="1">
      <c r="A11" s="222" t="s">
        <v>834</v>
      </c>
      <c r="B11" s="223" t="s">
        <v>701</v>
      </c>
      <c r="C11" s="223" t="s">
        <v>834</v>
      </c>
      <c r="D11" s="228">
        <v>1</v>
      </c>
      <c r="E11" s="225" t="s">
        <v>665</v>
      </c>
      <c r="F11" s="226">
        <v>9827342</v>
      </c>
      <c r="G11" s="228"/>
      <c r="H11" s="228"/>
      <c r="I11" s="228">
        <v>9827342</v>
      </c>
      <c r="J11" s="227" t="s">
        <v>834</v>
      </c>
    </row>
    <row r="12" spans="1:12" ht="21" customHeight="1">
      <c r="A12" s="222" t="s">
        <v>834</v>
      </c>
      <c r="B12" s="223" t="s">
        <v>774</v>
      </c>
      <c r="C12" s="223" t="s">
        <v>834</v>
      </c>
      <c r="D12" s="228">
        <v>1</v>
      </c>
      <c r="E12" s="225" t="s">
        <v>665</v>
      </c>
      <c r="F12" s="226">
        <v>977319</v>
      </c>
      <c r="G12" s="228"/>
      <c r="H12" s="228"/>
      <c r="I12" s="228">
        <v>977319</v>
      </c>
      <c r="J12" s="227" t="s">
        <v>834</v>
      </c>
    </row>
    <row r="13" spans="1:12" ht="21" customHeight="1">
      <c r="A13" s="222" t="s">
        <v>834</v>
      </c>
      <c r="B13" s="223" t="s">
        <v>147</v>
      </c>
      <c r="C13" s="223" t="s">
        <v>834</v>
      </c>
      <c r="D13" s="228">
        <v>1</v>
      </c>
      <c r="E13" s="225" t="s">
        <v>665</v>
      </c>
      <c r="F13" s="226">
        <v>4758502</v>
      </c>
      <c r="G13" s="228"/>
      <c r="H13" s="228"/>
      <c r="I13" s="228">
        <v>4758502</v>
      </c>
      <c r="J13" s="227" t="s">
        <v>834</v>
      </c>
    </row>
    <row r="14" spans="1:12" ht="21" customHeight="1">
      <c r="A14" s="222" t="s">
        <v>834</v>
      </c>
      <c r="B14" s="223" t="s">
        <v>413</v>
      </c>
      <c r="C14" s="223" t="s">
        <v>834</v>
      </c>
      <c r="D14" s="228">
        <v>1</v>
      </c>
      <c r="E14" s="225" t="s">
        <v>665</v>
      </c>
      <c r="F14" s="226">
        <v>1291049</v>
      </c>
      <c r="G14" s="228"/>
      <c r="H14" s="228"/>
      <c r="I14" s="228">
        <v>1291049</v>
      </c>
      <c r="J14" s="227" t="s">
        <v>834</v>
      </c>
    </row>
    <row r="15" spans="1:12" ht="21" customHeight="1">
      <c r="A15" s="229" t="s">
        <v>834</v>
      </c>
      <c r="B15" s="230" t="s">
        <v>734</v>
      </c>
      <c r="C15" s="230" t="s">
        <v>834</v>
      </c>
      <c r="D15" s="231">
        <v>1</v>
      </c>
      <c r="E15" s="232" t="s">
        <v>665</v>
      </c>
      <c r="F15" s="233">
        <v>12397587</v>
      </c>
      <c r="G15" s="231"/>
      <c r="H15" s="231"/>
      <c r="I15" s="231">
        <v>12397587</v>
      </c>
      <c r="J15" s="234" t="s">
        <v>834</v>
      </c>
    </row>
    <row r="16" spans="1:12" ht="21" customHeight="1">
      <c r="A16" s="222" t="s">
        <v>834</v>
      </c>
      <c r="B16" s="223" t="s">
        <v>689</v>
      </c>
      <c r="C16" s="223" t="s">
        <v>834</v>
      </c>
      <c r="D16" s="228">
        <v>1</v>
      </c>
      <c r="E16" s="225" t="s">
        <v>665</v>
      </c>
      <c r="F16" s="226">
        <v>2904862</v>
      </c>
      <c r="G16" s="228"/>
      <c r="H16" s="228"/>
      <c r="I16" s="228">
        <v>2904862</v>
      </c>
      <c r="J16" s="227" t="s">
        <v>834</v>
      </c>
    </row>
    <row r="17" spans="1:11" ht="21" customHeight="1">
      <c r="A17" s="222" t="s">
        <v>834</v>
      </c>
      <c r="B17" s="223" t="s">
        <v>388</v>
      </c>
      <c r="C17" s="223" t="s">
        <v>834</v>
      </c>
      <c r="D17" s="228">
        <v>1</v>
      </c>
      <c r="E17" s="225" t="s">
        <v>665</v>
      </c>
      <c r="F17" s="226">
        <v>261437</v>
      </c>
      <c r="G17" s="228"/>
      <c r="H17" s="228"/>
      <c r="I17" s="228">
        <v>261437</v>
      </c>
      <c r="J17" s="227" t="s">
        <v>834</v>
      </c>
    </row>
    <row r="18" spans="1:11" ht="21" customHeight="1">
      <c r="A18" s="222" t="s">
        <v>834</v>
      </c>
      <c r="B18" s="223" t="s">
        <v>817</v>
      </c>
      <c r="C18" s="223" t="s">
        <v>834</v>
      </c>
      <c r="D18" s="228">
        <v>1</v>
      </c>
      <c r="E18" s="225" t="s">
        <v>665</v>
      </c>
      <c r="F18" s="226">
        <v>16940698</v>
      </c>
      <c r="G18" s="228"/>
      <c r="H18" s="228"/>
      <c r="I18" s="228">
        <v>16940698</v>
      </c>
      <c r="J18" s="227" t="s">
        <v>834</v>
      </c>
    </row>
    <row r="19" spans="1:11" s="161" customFormat="1" ht="21" customHeight="1">
      <c r="A19" s="235" t="s">
        <v>834</v>
      </c>
      <c r="B19" s="236" t="s">
        <v>784</v>
      </c>
      <c r="C19" s="236" t="s">
        <v>834</v>
      </c>
      <c r="D19" s="237">
        <v>1</v>
      </c>
      <c r="E19" s="238" t="s">
        <v>665</v>
      </c>
      <c r="F19" s="239">
        <v>420481732</v>
      </c>
      <c r="G19" s="237">
        <v>218435187</v>
      </c>
      <c r="H19" s="237">
        <v>107322412</v>
      </c>
      <c r="I19" s="237">
        <v>94724133</v>
      </c>
      <c r="J19" s="240" t="s">
        <v>834</v>
      </c>
      <c r="K19" s="206"/>
    </row>
    <row r="20" spans="1:11" ht="21" customHeight="1">
      <c r="A20" s="222" t="s">
        <v>834</v>
      </c>
      <c r="B20" s="223" t="s">
        <v>705</v>
      </c>
      <c r="C20" s="223" t="s">
        <v>834</v>
      </c>
      <c r="D20" s="228">
        <v>1</v>
      </c>
      <c r="E20" s="225" t="s">
        <v>665</v>
      </c>
      <c r="F20" s="226">
        <v>33638537</v>
      </c>
      <c r="G20" s="228"/>
      <c r="H20" s="228"/>
      <c r="I20" s="228">
        <v>33638537</v>
      </c>
      <c r="J20" s="227" t="s">
        <v>834</v>
      </c>
    </row>
    <row r="21" spans="1:11" ht="21" customHeight="1">
      <c r="A21" s="222" t="s">
        <v>834</v>
      </c>
      <c r="B21" s="223" t="s">
        <v>276</v>
      </c>
      <c r="C21" s="223" t="s">
        <v>834</v>
      </c>
      <c r="D21" s="228">
        <v>1</v>
      </c>
      <c r="E21" s="225" t="s">
        <v>665</v>
      </c>
      <c r="F21" s="226">
        <v>46652366</v>
      </c>
      <c r="G21" s="228"/>
      <c r="H21" s="228"/>
      <c r="I21" s="228">
        <v>46652366</v>
      </c>
      <c r="J21" s="227" t="s">
        <v>834</v>
      </c>
    </row>
    <row r="22" spans="1:11" ht="21" customHeight="1">
      <c r="A22" s="222"/>
      <c r="B22" s="223" t="s">
        <v>921</v>
      </c>
      <c r="C22" s="223"/>
      <c r="D22" s="241"/>
      <c r="E22" s="225"/>
      <c r="F22" s="226">
        <v>17884603</v>
      </c>
      <c r="G22" s="224">
        <v>15618976</v>
      </c>
      <c r="H22" s="228"/>
      <c r="I22" s="228">
        <v>2265627</v>
      </c>
      <c r="J22" s="227"/>
    </row>
    <row r="23" spans="1:11" ht="21" customHeight="1">
      <c r="A23" s="222"/>
      <c r="B23" s="223" t="s">
        <v>922</v>
      </c>
      <c r="C23" s="223"/>
      <c r="D23" s="241"/>
      <c r="E23" s="225"/>
      <c r="F23" s="226">
        <v>454308</v>
      </c>
      <c r="G23" s="228"/>
      <c r="H23" s="228"/>
      <c r="I23" s="228">
        <v>454308</v>
      </c>
      <c r="J23" s="227"/>
    </row>
    <row r="24" spans="1:11" s="161" customFormat="1" ht="21" customHeight="1">
      <c r="A24" s="235" t="s">
        <v>834</v>
      </c>
      <c r="B24" s="236" t="s">
        <v>704</v>
      </c>
      <c r="C24" s="236" t="s">
        <v>834</v>
      </c>
      <c r="D24" s="242"/>
      <c r="E24" s="238" t="s">
        <v>834</v>
      </c>
      <c r="F24" s="239">
        <v>519111546</v>
      </c>
      <c r="G24" s="237">
        <v>234054163</v>
      </c>
      <c r="H24" s="237">
        <v>107322412</v>
      </c>
      <c r="I24" s="237">
        <v>177734971</v>
      </c>
      <c r="J24" s="240" t="s">
        <v>834</v>
      </c>
    </row>
    <row r="25" spans="1:11" ht="21" customHeight="1">
      <c r="A25" s="222" t="s">
        <v>834</v>
      </c>
      <c r="B25" s="223" t="s">
        <v>63</v>
      </c>
      <c r="C25" s="223" t="s">
        <v>834</v>
      </c>
      <c r="D25" s="224">
        <v>10</v>
      </c>
      <c r="E25" s="225" t="s">
        <v>157</v>
      </c>
      <c r="F25" s="226">
        <v>51911154</v>
      </c>
      <c r="G25" s="228"/>
      <c r="H25" s="228"/>
      <c r="I25" s="228">
        <v>51911154</v>
      </c>
      <c r="J25" s="227" t="s">
        <v>834</v>
      </c>
    </row>
    <row r="26" spans="1:11" s="161" customFormat="1" ht="21" customHeight="1">
      <c r="A26" s="235" t="s">
        <v>834</v>
      </c>
      <c r="B26" s="236" t="s">
        <v>430</v>
      </c>
      <c r="C26" s="236" t="s">
        <v>834</v>
      </c>
      <c r="D26" s="242"/>
      <c r="E26" s="238" t="s">
        <v>834</v>
      </c>
      <c r="F26" s="239">
        <v>571022700</v>
      </c>
      <c r="G26" s="237">
        <v>234054163</v>
      </c>
      <c r="H26" s="237">
        <v>107322412</v>
      </c>
      <c r="I26" s="237">
        <v>229646125</v>
      </c>
      <c r="J26" s="240" t="s">
        <v>834</v>
      </c>
    </row>
    <row r="27" spans="1:11" s="161" customFormat="1" ht="21" customHeight="1">
      <c r="A27" s="235"/>
      <c r="B27" s="236" t="s">
        <v>920</v>
      </c>
      <c r="C27" s="236"/>
      <c r="D27" s="242"/>
      <c r="E27" s="238"/>
      <c r="F27" s="239">
        <v>37700000</v>
      </c>
      <c r="G27" s="237"/>
      <c r="H27" s="318">
        <v>37700000</v>
      </c>
      <c r="I27" s="237"/>
      <c r="J27" s="240"/>
    </row>
    <row r="28" spans="1:11" s="161" customFormat="1" ht="21" customHeight="1">
      <c r="A28" s="243" t="s">
        <v>834</v>
      </c>
      <c r="B28" s="244" t="s">
        <v>341</v>
      </c>
      <c r="C28" s="244" t="s">
        <v>834</v>
      </c>
      <c r="D28" s="245"/>
      <c r="E28" s="246" t="s">
        <v>834</v>
      </c>
      <c r="F28" s="247">
        <v>608722700</v>
      </c>
      <c r="G28" s="248">
        <v>234054163</v>
      </c>
      <c r="H28" s="248">
        <v>145022412</v>
      </c>
      <c r="I28" s="248">
        <v>229646125</v>
      </c>
      <c r="J28" s="249" t="s">
        <v>834</v>
      </c>
    </row>
    <row r="29" spans="1:11">
      <c r="A29" s="23"/>
      <c r="B29" s="23"/>
      <c r="C29" s="23"/>
      <c r="D29" s="23"/>
      <c r="E29" s="23"/>
      <c r="F29" s="23"/>
      <c r="G29" s="23"/>
      <c r="H29" s="23"/>
      <c r="I29" s="23"/>
      <c r="J29" s="23"/>
    </row>
  </sheetData>
  <mergeCells count="1">
    <mergeCell ref="A1:J1"/>
  </mergeCells>
  <phoneticPr fontId="8" type="noConversion"/>
  <printOptions horizontalCentered="1"/>
  <pageMargins left="0.19685039370078741" right="7.874015748031496E-2" top="0.39370078740157483" bottom="0.19685039370078741" header="0.51181102362204722" footer="0.51181102362204722"/>
  <pageSetup paperSize="9" scale="7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DF45-D1ED-4DBA-93FE-5FEE8C65012A}">
  <sheetPr>
    <tabColor rgb="FF00B0F0"/>
  </sheetPr>
  <dimension ref="A1:Q237"/>
  <sheetViews>
    <sheetView showZeros="0" zoomScale="90" zoomScaleNormal="90" zoomScaleSheetLayoutView="80" workbookViewId="0">
      <pane xSplit="1" ySplit="4" topLeftCell="B197" activePane="bottomRight" state="frozen"/>
      <selection pane="topRight" activeCell="B1" sqref="B1"/>
      <selection pane="bottomLeft" activeCell="A5" sqref="A5"/>
      <selection pane="bottomRight" activeCell="I198" sqref="I198"/>
    </sheetView>
  </sheetViews>
  <sheetFormatPr defaultRowHeight="12.75" outlineLevelCol="1"/>
  <cols>
    <col min="1" max="1" width="6.7109375" customWidth="1"/>
    <col min="2" max="2" width="48.28515625" customWidth="1"/>
    <col min="3" max="3" width="33.140625" hidden="1" customWidth="1"/>
    <col min="4" max="4" width="7.5703125" hidden="1" customWidth="1"/>
    <col min="5" max="5" width="9.5703125" hidden="1" customWidth="1"/>
    <col min="6" max="6" width="23" hidden="1" customWidth="1"/>
    <col min="7" max="7" width="26.140625" customWidth="1"/>
    <col min="8" max="8" width="11.7109375" hidden="1" customWidth="1" outlineLevel="1"/>
    <col min="9" max="9" width="14.7109375" customWidth="1" outlineLevel="1"/>
    <col min="10" max="10" width="11.7109375" hidden="1" customWidth="1" outlineLevel="1"/>
    <col min="11" max="11" width="14.7109375" customWidth="1" outlineLevel="1"/>
    <col min="12" max="12" width="11.7109375" hidden="1" customWidth="1" outlineLevel="1"/>
    <col min="13" max="13" width="14.7109375" customWidth="1" outlineLevel="1"/>
    <col min="14" max="14" width="12" customWidth="1"/>
    <col min="16" max="16" width="18.28515625" bestFit="1" customWidth="1"/>
    <col min="17" max="17" width="11.85546875" customWidth="1"/>
  </cols>
  <sheetData>
    <row r="1" spans="1:17" ht="24.95" customHeight="1">
      <c r="A1" s="346" t="s">
        <v>857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</row>
    <row r="2" spans="1:17" ht="9.9499999999999993" customHeight="1">
      <c r="A2" s="348"/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</row>
    <row r="3" spans="1:17" ht="24" customHeight="1">
      <c r="A3" s="345" t="s">
        <v>829</v>
      </c>
      <c r="B3" s="345" t="s">
        <v>520</v>
      </c>
      <c r="C3" s="345" t="s">
        <v>649</v>
      </c>
      <c r="D3" s="345" t="s">
        <v>441</v>
      </c>
      <c r="E3" s="345" t="s">
        <v>294</v>
      </c>
      <c r="F3" s="345" t="s">
        <v>856</v>
      </c>
      <c r="G3" s="345"/>
      <c r="H3" s="345" t="s">
        <v>325</v>
      </c>
      <c r="I3" s="345"/>
      <c r="J3" s="345" t="s">
        <v>538</v>
      </c>
      <c r="K3" s="345"/>
      <c r="L3" s="345" t="s">
        <v>671</v>
      </c>
      <c r="M3" s="345"/>
      <c r="N3" s="345" t="s">
        <v>178</v>
      </c>
      <c r="O3" s="154" t="s">
        <v>858</v>
      </c>
      <c r="P3" s="207">
        <v>0.90627000000000002</v>
      </c>
    </row>
    <row r="4" spans="1:17" ht="19.7" customHeight="1">
      <c r="A4" s="345"/>
      <c r="B4" s="345"/>
      <c r="C4" s="345"/>
      <c r="D4" s="345"/>
      <c r="E4" s="345"/>
      <c r="F4" s="221" t="s">
        <v>3</v>
      </c>
      <c r="G4" s="221" t="s">
        <v>423</v>
      </c>
      <c r="H4" s="221" t="s">
        <v>3</v>
      </c>
      <c r="I4" s="221" t="s">
        <v>423</v>
      </c>
      <c r="J4" s="221" t="s">
        <v>3</v>
      </c>
      <c r="K4" s="221" t="s">
        <v>423</v>
      </c>
      <c r="L4" s="221" t="s">
        <v>3</v>
      </c>
      <c r="M4" s="221" t="s">
        <v>423</v>
      </c>
      <c r="N4" s="345"/>
    </row>
    <row r="5" spans="1:17" ht="19.7" customHeight="1">
      <c r="A5" s="208" t="s">
        <v>401</v>
      </c>
      <c r="B5" s="208" t="s">
        <v>443</v>
      </c>
      <c r="C5" s="208" t="s">
        <v>834</v>
      </c>
      <c r="D5" s="209"/>
      <c r="E5" s="210" t="s">
        <v>834</v>
      </c>
      <c r="F5" s="209">
        <v>0</v>
      </c>
      <c r="G5" s="211">
        <v>181183936</v>
      </c>
      <c r="H5" s="209"/>
      <c r="I5" s="211" t="s">
        <v>926</v>
      </c>
      <c r="J5" s="209"/>
      <c r="K5" s="211" t="s">
        <v>927</v>
      </c>
      <c r="L5" s="209"/>
      <c r="M5" s="211" t="s">
        <v>928</v>
      </c>
      <c r="N5" s="208"/>
      <c r="P5" s="27">
        <v>187495739</v>
      </c>
    </row>
    <row r="6" spans="1:17" ht="19.7" customHeight="1">
      <c r="A6" s="208" t="s">
        <v>499</v>
      </c>
      <c r="B6" s="208" t="s">
        <v>489</v>
      </c>
      <c r="C6" s="208" t="s">
        <v>834</v>
      </c>
      <c r="D6" s="209"/>
      <c r="E6" s="210" t="s">
        <v>834</v>
      </c>
      <c r="F6" s="209">
        <v>0</v>
      </c>
      <c r="G6" s="211">
        <v>181183936</v>
      </c>
      <c r="H6" s="209"/>
      <c r="I6" s="211" t="s">
        <v>926</v>
      </c>
      <c r="J6" s="209"/>
      <c r="K6" s="211" t="s">
        <v>927</v>
      </c>
      <c r="L6" s="209"/>
      <c r="M6" s="211" t="s">
        <v>928</v>
      </c>
      <c r="N6" s="208"/>
      <c r="P6" s="27"/>
    </row>
    <row r="7" spans="1:17" ht="19.7" customHeight="1">
      <c r="A7" s="208" t="s">
        <v>207</v>
      </c>
      <c r="B7" s="208" t="s">
        <v>682</v>
      </c>
      <c r="C7" s="208" t="s">
        <v>834</v>
      </c>
      <c r="D7" s="209"/>
      <c r="E7" s="210" t="s">
        <v>834</v>
      </c>
      <c r="F7" s="209">
        <v>0</v>
      </c>
      <c r="G7" s="211">
        <v>173186989</v>
      </c>
      <c r="H7" s="209"/>
      <c r="I7" s="211" t="s">
        <v>933</v>
      </c>
      <c r="J7" s="209"/>
      <c r="K7" s="211" t="s">
        <v>934</v>
      </c>
      <c r="L7" s="209"/>
      <c r="M7" s="211" t="s">
        <v>935</v>
      </c>
      <c r="N7" s="208"/>
    </row>
    <row r="8" spans="1:17" ht="19.7" customHeight="1">
      <c r="A8" s="212" t="s">
        <v>834</v>
      </c>
      <c r="B8" s="212" t="s">
        <v>563</v>
      </c>
      <c r="C8" s="212" t="s">
        <v>624</v>
      </c>
      <c r="D8" s="209">
        <v>1969</v>
      </c>
      <c r="E8" s="213" t="s">
        <v>596</v>
      </c>
      <c r="F8" s="209">
        <v>6368</v>
      </c>
      <c r="G8" s="214">
        <v>12538592</v>
      </c>
      <c r="H8" s="214">
        <v>3674</v>
      </c>
      <c r="I8" s="214">
        <v>7234106</v>
      </c>
      <c r="J8" s="214">
        <v>1208</v>
      </c>
      <c r="K8" s="214">
        <v>2378552</v>
      </c>
      <c r="L8" s="214">
        <v>1486</v>
      </c>
      <c r="M8" s="214">
        <v>2925934</v>
      </c>
      <c r="N8" s="215">
        <v>0.90627000000000002</v>
      </c>
      <c r="Q8" s="27">
        <v>187495739</v>
      </c>
    </row>
    <row r="9" spans="1:17" ht="19.7" customHeight="1">
      <c r="A9" s="212" t="s">
        <v>834</v>
      </c>
      <c r="B9" s="212" t="s">
        <v>478</v>
      </c>
      <c r="C9" s="212" t="s">
        <v>320</v>
      </c>
      <c r="D9" s="209">
        <v>1969</v>
      </c>
      <c r="E9" s="213" t="s">
        <v>596</v>
      </c>
      <c r="F9" s="209">
        <v>80540</v>
      </c>
      <c r="G9" s="214">
        <v>158583260</v>
      </c>
      <c r="H9" s="214">
        <v>51208</v>
      </c>
      <c r="I9" s="214">
        <v>100828552</v>
      </c>
      <c r="J9" s="214">
        <v>29010</v>
      </c>
      <c r="K9" s="214">
        <v>57120690</v>
      </c>
      <c r="L9" s="214">
        <v>322</v>
      </c>
      <c r="M9" s="214">
        <v>634018</v>
      </c>
      <c r="N9" s="215">
        <v>0.90627000000000002</v>
      </c>
    </row>
    <row r="10" spans="1:17" ht="19.7" customHeight="1">
      <c r="A10" s="212" t="s">
        <v>834</v>
      </c>
      <c r="B10" s="212" t="s">
        <v>788</v>
      </c>
      <c r="C10" s="212" t="s">
        <v>303</v>
      </c>
      <c r="D10" s="209">
        <v>125</v>
      </c>
      <c r="E10" s="213" t="s">
        <v>296</v>
      </c>
      <c r="F10" s="209">
        <v>11301</v>
      </c>
      <c r="G10" s="214">
        <v>1412625</v>
      </c>
      <c r="H10" s="214">
        <v>2338</v>
      </c>
      <c r="I10" s="214">
        <v>292250</v>
      </c>
      <c r="J10" s="214">
        <v>8917</v>
      </c>
      <c r="K10" s="214">
        <v>1114625</v>
      </c>
      <c r="L10" s="214">
        <v>46</v>
      </c>
      <c r="M10" s="214">
        <v>5750</v>
      </c>
      <c r="N10" s="215">
        <v>0.90627000000000002</v>
      </c>
    </row>
    <row r="11" spans="1:17" ht="19.7" customHeight="1">
      <c r="A11" s="212" t="s">
        <v>834</v>
      </c>
      <c r="B11" s="212" t="s">
        <v>206</v>
      </c>
      <c r="C11" s="212" t="s">
        <v>632</v>
      </c>
      <c r="D11" s="209">
        <v>4</v>
      </c>
      <c r="E11" s="213" t="s">
        <v>542</v>
      </c>
      <c r="F11" s="209">
        <v>163128</v>
      </c>
      <c r="G11" s="214">
        <v>652512</v>
      </c>
      <c r="H11" s="214">
        <v>0</v>
      </c>
      <c r="I11" s="214">
        <v>0</v>
      </c>
      <c r="J11" s="214">
        <v>163128</v>
      </c>
      <c r="K11" s="214">
        <v>652512</v>
      </c>
      <c r="L11" s="214">
        <v>0</v>
      </c>
      <c r="M11" s="214">
        <v>0</v>
      </c>
      <c r="N11" s="215">
        <v>0.90627000000000002</v>
      </c>
    </row>
    <row r="12" spans="1:17" ht="19.7" customHeight="1">
      <c r="A12" s="208" t="s">
        <v>328</v>
      </c>
      <c r="B12" s="208" t="s">
        <v>259</v>
      </c>
      <c r="C12" s="208" t="s">
        <v>834</v>
      </c>
      <c r="D12" s="209"/>
      <c r="E12" s="210" t="s">
        <v>834</v>
      </c>
      <c r="F12" s="209">
        <v>0</v>
      </c>
      <c r="G12" s="211">
        <v>7996947</v>
      </c>
      <c r="H12" s="209">
        <v>0</v>
      </c>
      <c r="I12" s="211" t="s">
        <v>936</v>
      </c>
      <c r="J12" s="209">
        <v>0</v>
      </c>
      <c r="K12" s="211" t="s">
        <v>937</v>
      </c>
      <c r="L12" s="209">
        <v>0</v>
      </c>
      <c r="M12" s="211" t="s">
        <v>938</v>
      </c>
      <c r="N12" s="216"/>
    </row>
    <row r="13" spans="1:17" ht="19.7" customHeight="1">
      <c r="A13" s="212" t="s">
        <v>834</v>
      </c>
      <c r="B13" s="212" t="s">
        <v>377</v>
      </c>
      <c r="C13" s="212" t="s">
        <v>292</v>
      </c>
      <c r="D13" s="209">
        <v>65</v>
      </c>
      <c r="E13" s="213" t="s">
        <v>596</v>
      </c>
      <c r="F13" s="209">
        <v>24905</v>
      </c>
      <c r="G13" s="214">
        <v>1618825</v>
      </c>
      <c r="H13" s="214">
        <v>2886</v>
      </c>
      <c r="I13" s="214">
        <v>187590</v>
      </c>
      <c r="J13" s="214">
        <v>21671</v>
      </c>
      <c r="K13" s="214">
        <v>1408615</v>
      </c>
      <c r="L13" s="214">
        <v>348</v>
      </c>
      <c r="M13" s="214">
        <v>22620</v>
      </c>
      <c r="N13" s="215">
        <v>0.90627000000000002</v>
      </c>
    </row>
    <row r="14" spans="1:17" ht="19.7" customHeight="1">
      <c r="A14" s="212" t="s">
        <v>834</v>
      </c>
      <c r="B14" s="212" t="s">
        <v>377</v>
      </c>
      <c r="C14" s="212" t="s">
        <v>661</v>
      </c>
      <c r="D14" s="209">
        <v>5</v>
      </c>
      <c r="E14" s="213" t="s">
        <v>596</v>
      </c>
      <c r="F14" s="209">
        <v>29457</v>
      </c>
      <c r="G14" s="214">
        <v>147285</v>
      </c>
      <c r="H14" s="214">
        <v>5773</v>
      </c>
      <c r="I14" s="214">
        <v>28865</v>
      </c>
      <c r="J14" s="214">
        <v>22987</v>
      </c>
      <c r="K14" s="214">
        <v>114935</v>
      </c>
      <c r="L14" s="214">
        <v>697</v>
      </c>
      <c r="M14" s="214">
        <v>3485</v>
      </c>
      <c r="N14" s="215">
        <v>0.90627000000000002</v>
      </c>
    </row>
    <row r="15" spans="1:17" ht="19.7" customHeight="1">
      <c r="A15" s="212" t="s">
        <v>834</v>
      </c>
      <c r="B15" s="212" t="s">
        <v>377</v>
      </c>
      <c r="C15" s="212" t="s">
        <v>315</v>
      </c>
      <c r="D15" s="209">
        <v>72</v>
      </c>
      <c r="E15" s="213" t="s">
        <v>596</v>
      </c>
      <c r="F15" s="209">
        <v>41739</v>
      </c>
      <c r="G15" s="214">
        <v>3005208</v>
      </c>
      <c r="H15" s="214">
        <v>16039</v>
      </c>
      <c r="I15" s="214">
        <v>1154808</v>
      </c>
      <c r="J15" s="214">
        <v>23760</v>
      </c>
      <c r="K15" s="214">
        <v>1710720</v>
      </c>
      <c r="L15" s="214">
        <v>1940</v>
      </c>
      <c r="M15" s="214">
        <v>139680</v>
      </c>
      <c r="N15" s="215">
        <v>0.90627000000000002</v>
      </c>
    </row>
    <row r="16" spans="1:17" ht="19.7" customHeight="1">
      <c r="A16" s="212" t="s">
        <v>834</v>
      </c>
      <c r="B16" s="212" t="s">
        <v>398</v>
      </c>
      <c r="C16" s="212" t="s">
        <v>530</v>
      </c>
      <c r="D16" s="209">
        <v>1</v>
      </c>
      <c r="E16" s="213" t="s">
        <v>748</v>
      </c>
      <c r="F16" s="209">
        <v>882668</v>
      </c>
      <c r="G16" s="214">
        <v>882668</v>
      </c>
      <c r="H16" s="214">
        <v>501653</v>
      </c>
      <c r="I16" s="214">
        <v>501653</v>
      </c>
      <c r="J16" s="214">
        <v>221662</v>
      </c>
      <c r="K16" s="214">
        <v>221662</v>
      </c>
      <c r="L16" s="214">
        <v>159353</v>
      </c>
      <c r="M16" s="214">
        <v>159353</v>
      </c>
      <c r="N16" s="215">
        <v>0.90627000000000002</v>
      </c>
    </row>
    <row r="17" spans="1:14" ht="19.7" customHeight="1">
      <c r="A17" s="212" t="s">
        <v>834</v>
      </c>
      <c r="B17" s="212" t="s">
        <v>597</v>
      </c>
      <c r="C17" s="212" t="s">
        <v>530</v>
      </c>
      <c r="D17" s="209">
        <v>1</v>
      </c>
      <c r="E17" s="213" t="s">
        <v>366</v>
      </c>
      <c r="F17" s="209">
        <v>134013</v>
      </c>
      <c r="G17" s="214">
        <v>134013</v>
      </c>
      <c r="H17" s="214">
        <v>57434</v>
      </c>
      <c r="I17" s="214">
        <v>57434</v>
      </c>
      <c r="J17" s="214">
        <v>76579</v>
      </c>
      <c r="K17" s="214">
        <v>76579</v>
      </c>
      <c r="L17" s="214">
        <v>0</v>
      </c>
      <c r="M17" s="214">
        <v>0</v>
      </c>
      <c r="N17" s="215">
        <v>0.90627000000000002</v>
      </c>
    </row>
    <row r="18" spans="1:14" ht="19.7" customHeight="1">
      <c r="A18" s="212" t="s">
        <v>834</v>
      </c>
      <c r="B18" s="212" t="s">
        <v>722</v>
      </c>
      <c r="C18" s="212" t="s">
        <v>211</v>
      </c>
      <c r="D18" s="209">
        <v>1</v>
      </c>
      <c r="E18" s="213" t="s">
        <v>665</v>
      </c>
      <c r="F18" s="209">
        <v>1996896</v>
      </c>
      <c r="G18" s="214">
        <v>1996896</v>
      </c>
      <c r="H18" s="214">
        <v>0</v>
      </c>
      <c r="I18" s="214">
        <v>0</v>
      </c>
      <c r="J18" s="214">
        <v>0</v>
      </c>
      <c r="K18" s="214">
        <v>0</v>
      </c>
      <c r="L18" s="214">
        <v>1996896</v>
      </c>
      <c r="M18" s="214">
        <v>1996896</v>
      </c>
      <c r="N18" s="215">
        <v>0.90627000000000002</v>
      </c>
    </row>
    <row r="19" spans="1:14" ht="19.7" customHeight="1">
      <c r="A19" s="212" t="s">
        <v>834</v>
      </c>
      <c r="B19" s="212" t="s">
        <v>283</v>
      </c>
      <c r="C19" s="212" t="s">
        <v>623</v>
      </c>
      <c r="D19" s="209">
        <v>1</v>
      </c>
      <c r="E19" s="213" t="s">
        <v>665</v>
      </c>
      <c r="F19" s="209">
        <v>212052</v>
      </c>
      <c r="G19" s="214">
        <v>212052</v>
      </c>
      <c r="H19" s="214">
        <v>0</v>
      </c>
      <c r="I19" s="214">
        <v>0</v>
      </c>
      <c r="J19" s="214">
        <v>0</v>
      </c>
      <c r="K19" s="214">
        <v>0</v>
      </c>
      <c r="L19" s="214">
        <v>212052</v>
      </c>
      <c r="M19" s="214">
        <v>212052</v>
      </c>
      <c r="N19" s="215"/>
    </row>
    <row r="20" spans="1:14" ht="19.7" customHeight="1">
      <c r="A20" s="212" t="s">
        <v>834</v>
      </c>
      <c r="B20" s="212" t="s">
        <v>834</v>
      </c>
      <c r="C20" s="212" t="s">
        <v>834</v>
      </c>
      <c r="D20" s="209"/>
      <c r="E20" s="213" t="s">
        <v>834</v>
      </c>
      <c r="F20" s="209">
        <v>0</v>
      </c>
      <c r="G20" s="214">
        <v>0</v>
      </c>
      <c r="H20" s="209">
        <v>0</v>
      </c>
      <c r="I20" s="209"/>
      <c r="J20" s="209">
        <v>0</v>
      </c>
      <c r="K20" s="209"/>
      <c r="L20" s="209">
        <v>0</v>
      </c>
      <c r="M20" s="209"/>
      <c r="N20" s="215"/>
    </row>
    <row r="21" spans="1:14" ht="19.7" customHeight="1">
      <c r="A21" s="208" t="s">
        <v>594</v>
      </c>
      <c r="B21" s="208" t="s">
        <v>210</v>
      </c>
      <c r="C21" s="208" t="s">
        <v>834</v>
      </c>
      <c r="D21" s="209"/>
      <c r="E21" s="210" t="s">
        <v>834</v>
      </c>
      <c r="F21" s="209">
        <v>0</v>
      </c>
      <c r="G21" s="211">
        <v>141578586</v>
      </c>
      <c r="H21" s="209">
        <v>0</v>
      </c>
      <c r="I21" s="211" t="s">
        <v>929</v>
      </c>
      <c r="J21" s="209">
        <v>0</v>
      </c>
      <c r="K21" s="211" t="s">
        <v>930</v>
      </c>
      <c r="L21" s="209">
        <v>0</v>
      </c>
      <c r="M21" s="211" t="s">
        <v>931</v>
      </c>
      <c r="N21" s="216"/>
    </row>
    <row r="22" spans="1:14" ht="19.7" customHeight="1">
      <c r="A22" s="208" t="s">
        <v>629</v>
      </c>
      <c r="B22" s="208" t="s">
        <v>168</v>
      </c>
      <c r="C22" s="208" t="s">
        <v>834</v>
      </c>
      <c r="D22" s="209"/>
      <c r="E22" s="210" t="s">
        <v>834</v>
      </c>
      <c r="F22" s="209">
        <v>0</v>
      </c>
      <c r="G22" s="211">
        <v>6196197</v>
      </c>
      <c r="H22" s="209">
        <v>0</v>
      </c>
      <c r="I22" s="211" t="s">
        <v>939</v>
      </c>
      <c r="J22" s="209">
        <v>0</v>
      </c>
      <c r="K22" s="211" t="s">
        <v>940</v>
      </c>
      <c r="L22" s="209">
        <v>0</v>
      </c>
      <c r="M22" s="211" t="s">
        <v>941</v>
      </c>
      <c r="N22" s="216"/>
    </row>
    <row r="23" spans="1:14" ht="19.7" customHeight="1">
      <c r="A23" s="208" t="s">
        <v>468</v>
      </c>
      <c r="B23" s="208" t="s">
        <v>102</v>
      </c>
      <c r="C23" s="208" t="s">
        <v>834</v>
      </c>
      <c r="D23" s="209"/>
      <c r="E23" s="210" t="s">
        <v>834</v>
      </c>
      <c r="F23" s="209">
        <v>0</v>
      </c>
      <c r="G23" s="211">
        <v>2794732</v>
      </c>
      <c r="H23" s="209">
        <v>0</v>
      </c>
      <c r="I23" s="211" t="s">
        <v>942</v>
      </c>
      <c r="J23" s="209">
        <v>0</v>
      </c>
      <c r="K23" s="211" t="s">
        <v>943</v>
      </c>
      <c r="L23" s="209">
        <v>0</v>
      </c>
      <c r="M23" s="211" t="s">
        <v>944</v>
      </c>
      <c r="N23" s="216"/>
    </row>
    <row r="24" spans="1:14" ht="19.7" customHeight="1">
      <c r="A24" s="208" t="s">
        <v>834</v>
      </c>
      <c r="B24" s="208" t="s">
        <v>350</v>
      </c>
      <c r="C24" s="208" t="s">
        <v>834</v>
      </c>
      <c r="D24" s="209"/>
      <c r="E24" s="210" t="s">
        <v>834</v>
      </c>
      <c r="F24" s="209">
        <v>0</v>
      </c>
      <c r="G24" s="211">
        <v>805140</v>
      </c>
      <c r="H24" s="209">
        <v>0</v>
      </c>
      <c r="I24" s="211" t="s">
        <v>945</v>
      </c>
      <c r="J24" s="209">
        <v>0</v>
      </c>
      <c r="K24" s="211" t="s">
        <v>946</v>
      </c>
      <c r="L24" s="209">
        <v>0</v>
      </c>
      <c r="M24" s="211" t="s">
        <v>947</v>
      </c>
      <c r="N24" s="216"/>
    </row>
    <row r="25" spans="1:14" ht="19.7" customHeight="1">
      <c r="A25" s="212" t="s">
        <v>834</v>
      </c>
      <c r="B25" s="212" t="s">
        <v>438</v>
      </c>
      <c r="C25" s="212" t="s">
        <v>33</v>
      </c>
      <c r="D25" s="209">
        <v>2</v>
      </c>
      <c r="E25" s="213" t="s">
        <v>596</v>
      </c>
      <c r="F25" s="209">
        <v>402570</v>
      </c>
      <c r="G25" s="214">
        <v>805140</v>
      </c>
      <c r="H25" s="214">
        <v>139640</v>
      </c>
      <c r="I25" s="214">
        <v>279280</v>
      </c>
      <c r="J25" s="214">
        <v>259755</v>
      </c>
      <c r="K25" s="214">
        <v>519510</v>
      </c>
      <c r="L25" s="214">
        <v>3175</v>
      </c>
      <c r="M25" s="214">
        <v>6350</v>
      </c>
      <c r="N25" s="215">
        <v>0.90627000000000002</v>
      </c>
    </row>
    <row r="26" spans="1:14" ht="19.7" customHeight="1">
      <c r="A26" s="208" t="s">
        <v>834</v>
      </c>
      <c r="B26" s="208" t="s">
        <v>230</v>
      </c>
      <c r="C26" s="208" t="s">
        <v>834</v>
      </c>
      <c r="D26" s="209"/>
      <c r="E26" s="210" t="s">
        <v>834</v>
      </c>
      <c r="F26" s="209">
        <v>0</v>
      </c>
      <c r="G26" s="211">
        <v>1027981</v>
      </c>
      <c r="H26" s="209">
        <v>0</v>
      </c>
      <c r="I26" s="211" t="s">
        <v>948</v>
      </c>
      <c r="J26" s="209">
        <v>0</v>
      </c>
      <c r="K26" s="211" t="s">
        <v>949</v>
      </c>
      <c r="L26" s="209">
        <v>0</v>
      </c>
      <c r="M26" s="211" t="s">
        <v>950</v>
      </c>
      <c r="N26" s="216"/>
    </row>
    <row r="27" spans="1:14" ht="19.7" customHeight="1">
      <c r="A27" s="212" t="s">
        <v>834</v>
      </c>
      <c r="B27" s="212" t="s">
        <v>319</v>
      </c>
      <c r="C27" s="212" t="s">
        <v>500</v>
      </c>
      <c r="D27" s="209">
        <v>10</v>
      </c>
      <c r="E27" s="213" t="s">
        <v>596</v>
      </c>
      <c r="F27" s="209">
        <v>91558</v>
      </c>
      <c r="G27" s="214">
        <v>915580</v>
      </c>
      <c r="H27" s="214">
        <v>70059</v>
      </c>
      <c r="I27" s="214">
        <v>700590</v>
      </c>
      <c r="J27" s="214">
        <v>20572</v>
      </c>
      <c r="K27" s="214">
        <v>205720</v>
      </c>
      <c r="L27" s="214">
        <v>927</v>
      </c>
      <c r="M27" s="214">
        <v>9270</v>
      </c>
      <c r="N27" s="215">
        <v>0.90627000000000002</v>
      </c>
    </row>
    <row r="28" spans="1:14" ht="19.7" customHeight="1">
      <c r="A28" s="212" t="s">
        <v>834</v>
      </c>
      <c r="B28" s="212" t="s">
        <v>612</v>
      </c>
      <c r="C28" s="212" t="s">
        <v>561</v>
      </c>
      <c r="D28" s="209">
        <v>3</v>
      </c>
      <c r="E28" s="213" t="s">
        <v>476</v>
      </c>
      <c r="F28" s="209">
        <v>37467</v>
      </c>
      <c r="G28" s="214">
        <v>112401</v>
      </c>
      <c r="H28" s="214">
        <v>30304</v>
      </c>
      <c r="I28" s="214">
        <v>90912</v>
      </c>
      <c r="J28" s="214">
        <v>6558</v>
      </c>
      <c r="K28" s="214">
        <v>19674</v>
      </c>
      <c r="L28" s="214">
        <v>605</v>
      </c>
      <c r="M28" s="214">
        <v>1815</v>
      </c>
      <c r="N28" s="215">
        <v>0.90627000000000002</v>
      </c>
    </row>
    <row r="29" spans="1:14" ht="19.7" customHeight="1">
      <c r="A29" s="208" t="s">
        <v>834</v>
      </c>
      <c r="B29" s="208" t="s">
        <v>201</v>
      </c>
      <c r="C29" s="208" t="s">
        <v>834</v>
      </c>
      <c r="D29" s="209"/>
      <c r="E29" s="210" t="s">
        <v>834</v>
      </c>
      <c r="F29" s="209">
        <v>0</v>
      </c>
      <c r="G29" s="211">
        <v>76993</v>
      </c>
      <c r="H29" s="209">
        <v>0</v>
      </c>
      <c r="I29" s="211" t="s">
        <v>951</v>
      </c>
      <c r="J29" s="209">
        <v>0</v>
      </c>
      <c r="K29" s="211" t="s">
        <v>952</v>
      </c>
      <c r="L29" s="209">
        <v>0</v>
      </c>
      <c r="M29" s="211" t="s">
        <v>953</v>
      </c>
      <c r="N29" s="216"/>
    </row>
    <row r="30" spans="1:14" ht="19.7" customHeight="1">
      <c r="A30" s="212" t="s">
        <v>834</v>
      </c>
      <c r="B30" s="212" t="s">
        <v>319</v>
      </c>
      <c r="C30" s="212" t="s">
        <v>191</v>
      </c>
      <c r="D30" s="209">
        <v>1</v>
      </c>
      <c r="E30" s="213" t="s">
        <v>596</v>
      </c>
      <c r="F30" s="209">
        <v>76993</v>
      </c>
      <c r="G30" s="214">
        <v>76993</v>
      </c>
      <c r="H30" s="214">
        <v>57403</v>
      </c>
      <c r="I30" s="214">
        <v>57403</v>
      </c>
      <c r="J30" s="214">
        <v>18714</v>
      </c>
      <c r="K30" s="214">
        <v>18714</v>
      </c>
      <c r="L30" s="214">
        <v>876</v>
      </c>
      <c r="M30" s="214">
        <v>876</v>
      </c>
      <c r="N30" s="215">
        <v>0.90627000000000002</v>
      </c>
    </row>
    <row r="31" spans="1:14" ht="19.7" customHeight="1">
      <c r="A31" s="208" t="s">
        <v>834</v>
      </c>
      <c r="B31" s="208" t="s">
        <v>776</v>
      </c>
      <c r="C31" s="208" t="s">
        <v>834</v>
      </c>
      <c r="D31" s="209"/>
      <c r="E31" s="210" t="s">
        <v>834</v>
      </c>
      <c r="F31" s="209">
        <v>0</v>
      </c>
      <c r="G31" s="211">
        <v>884618</v>
      </c>
      <c r="H31" s="209">
        <v>0</v>
      </c>
      <c r="I31" s="211" t="s">
        <v>954</v>
      </c>
      <c r="J31" s="209">
        <v>0</v>
      </c>
      <c r="K31" s="211" t="s">
        <v>955</v>
      </c>
      <c r="L31" s="209">
        <v>0</v>
      </c>
      <c r="M31" s="211" t="s">
        <v>956</v>
      </c>
      <c r="N31" s="216"/>
    </row>
    <row r="32" spans="1:14" ht="19.7" customHeight="1">
      <c r="A32" s="212" t="s">
        <v>834</v>
      </c>
      <c r="B32" s="212" t="s">
        <v>319</v>
      </c>
      <c r="C32" s="212" t="s">
        <v>191</v>
      </c>
      <c r="D32" s="209">
        <v>8</v>
      </c>
      <c r="E32" s="213" t="s">
        <v>596</v>
      </c>
      <c r="F32" s="209">
        <v>76993</v>
      </c>
      <c r="G32" s="214">
        <v>615944</v>
      </c>
      <c r="H32" s="214">
        <v>57403</v>
      </c>
      <c r="I32" s="214">
        <v>459224</v>
      </c>
      <c r="J32" s="214">
        <v>18714</v>
      </c>
      <c r="K32" s="214">
        <v>149712</v>
      </c>
      <c r="L32" s="214">
        <v>876</v>
      </c>
      <c r="M32" s="214">
        <v>7008</v>
      </c>
      <c r="N32" s="215">
        <v>0.90627000000000002</v>
      </c>
    </row>
    <row r="33" spans="1:14" ht="19.7" customHeight="1">
      <c r="A33" s="212" t="s">
        <v>834</v>
      </c>
      <c r="B33" s="212" t="s">
        <v>618</v>
      </c>
      <c r="C33" s="212" t="s">
        <v>453</v>
      </c>
      <c r="D33" s="209">
        <v>1</v>
      </c>
      <c r="E33" s="213" t="s">
        <v>596</v>
      </c>
      <c r="F33" s="209">
        <v>268674</v>
      </c>
      <c r="G33" s="214">
        <v>268674</v>
      </c>
      <c r="H33" s="214">
        <v>115872</v>
      </c>
      <c r="I33" s="214">
        <v>115872</v>
      </c>
      <c r="J33" s="214">
        <v>150123</v>
      </c>
      <c r="K33" s="214">
        <v>150123</v>
      </c>
      <c r="L33" s="214">
        <v>2679</v>
      </c>
      <c r="M33" s="214">
        <v>2679</v>
      </c>
      <c r="N33" s="215">
        <v>0.90627000000000002</v>
      </c>
    </row>
    <row r="34" spans="1:14" ht="19.7" customHeight="1">
      <c r="A34" s="208" t="s">
        <v>135</v>
      </c>
      <c r="B34" s="208" t="s">
        <v>259</v>
      </c>
      <c r="C34" s="208" t="s">
        <v>834</v>
      </c>
      <c r="D34" s="209"/>
      <c r="E34" s="210" t="s">
        <v>834</v>
      </c>
      <c r="F34" s="209">
        <v>0</v>
      </c>
      <c r="G34" s="211">
        <v>3401465</v>
      </c>
      <c r="H34" s="209">
        <v>0</v>
      </c>
      <c r="I34" s="211" t="s">
        <v>957</v>
      </c>
      <c r="J34" s="209">
        <v>0</v>
      </c>
      <c r="K34" s="211" t="s">
        <v>958</v>
      </c>
      <c r="L34" s="209">
        <v>0</v>
      </c>
      <c r="M34" s="211" t="s">
        <v>959</v>
      </c>
      <c r="N34" s="216"/>
    </row>
    <row r="35" spans="1:14" ht="19.7" customHeight="1">
      <c r="A35" s="212" t="s">
        <v>834</v>
      </c>
      <c r="B35" s="212" t="s">
        <v>439</v>
      </c>
      <c r="C35" s="212" t="s">
        <v>567</v>
      </c>
      <c r="D35" s="209">
        <v>1</v>
      </c>
      <c r="E35" s="213" t="s">
        <v>748</v>
      </c>
      <c r="F35" s="209">
        <v>2380766</v>
      </c>
      <c r="G35" s="214">
        <v>2380766</v>
      </c>
      <c r="H35" s="214">
        <v>734763</v>
      </c>
      <c r="I35" s="214">
        <v>734763</v>
      </c>
      <c r="J35" s="214">
        <v>119772</v>
      </c>
      <c r="K35" s="214">
        <v>119772</v>
      </c>
      <c r="L35" s="214">
        <v>1526231</v>
      </c>
      <c r="M35" s="214">
        <v>1526231</v>
      </c>
      <c r="N35" s="215">
        <v>0.90627000000000002</v>
      </c>
    </row>
    <row r="36" spans="1:14" ht="19.7" customHeight="1">
      <c r="A36" s="212" t="s">
        <v>834</v>
      </c>
      <c r="B36" s="212" t="s">
        <v>398</v>
      </c>
      <c r="C36" s="212" t="s">
        <v>530</v>
      </c>
      <c r="D36" s="209">
        <v>1</v>
      </c>
      <c r="E36" s="213" t="s">
        <v>748</v>
      </c>
      <c r="F36" s="209">
        <v>882668</v>
      </c>
      <c r="G36" s="214">
        <v>882668</v>
      </c>
      <c r="H36" s="214">
        <v>501653</v>
      </c>
      <c r="I36" s="214">
        <v>501653</v>
      </c>
      <c r="J36" s="214">
        <v>221662</v>
      </c>
      <c r="K36" s="214">
        <v>221662</v>
      </c>
      <c r="L36" s="214">
        <v>159353</v>
      </c>
      <c r="M36" s="214">
        <v>159353</v>
      </c>
      <c r="N36" s="215">
        <v>0.90627000000000002</v>
      </c>
    </row>
    <row r="37" spans="1:14" ht="19.7" customHeight="1">
      <c r="A37" s="212" t="s">
        <v>834</v>
      </c>
      <c r="B37" s="212" t="s">
        <v>597</v>
      </c>
      <c r="C37" s="212" t="s">
        <v>530</v>
      </c>
      <c r="D37" s="209">
        <v>1</v>
      </c>
      <c r="E37" s="213" t="s">
        <v>366</v>
      </c>
      <c r="F37" s="209">
        <v>134013</v>
      </c>
      <c r="G37" s="214">
        <v>134013</v>
      </c>
      <c r="H37" s="214">
        <v>57434</v>
      </c>
      <c r="I37" s="214">
        <v>57434</v>
      </c>
      <c r="J37" s="214">
        <v>76579</v>
      </c>
      <c r="K37" s="214">
        <v>76579</v>
      </c>
      <c r="L37" s="214">
        <v>0</v>
      </c>
      <c r="M37" s="214">
        <v>0</v>
      </c>
      <c r="N37" s="215">
        <v>0.90627000000000002</v>
      </c>
    </row>
    <row r="38" spans="1:14" ht="19.7" customHeight="1">
      <c r="A38" s="212" t="s">
        <v>834</v>
      </c>
      <c r="B38" s="212" t="s">
        <v>545</v>
      </c>
      <c r="C38" s="212" t="s">
        <v>280</v>
      </c>
      <c r="D38" s="209">
        <v>1</v>
      </c>
      <c r="E38" s="213" t="s">
        <v>574</v>
      </c>
      <c r="F38" s="209">
        <v>4018</v>
      </c>
      <c r="G38" s="214">
        <v>4018</v>
      </c>
      <c r="H38" s="214">
        <v>2302</v>
      </c>
      <c r="I38" s="214">
        <v>2302</v>
      </c>
      <c r="J38" s="214">
        <v>759</v>
      </c>
      <c r="K38" s="214">
        <v>759</v>
      </c>
      <c r="L38" s="214">
        <v>957</v>
      </c>
      <c r="M38" s="214">
        <v>957</v>
      </c>
      <c r="N38" s="215">
        <v>0.90627000000000002</v>
      </c>
    </row>
    <row r="39" spans="1:14" ht="19.7" customHeight="1">
      <c r="A39" s="212" t="s">
        <v>834</v>
      </c>
      <c r="B39" s="212" t="s">
        <v>834</v>
      </c>
      <c r="C39" s="212" t="s">
        <v>834</v>
      </c>
      <c r="D39" s="209"/>
      <c r="E39" s="213" t="s">
        <v>834</v>
      </c>
      <c r="F39" s="209">
        <v>0</v>
      </c>
      <c r="G39" s="214">
        <v>0</v>
      </c>
      <c r="H39" s="209">
        <v>0</v>
      </c>
      <c r="I39" s="209"/>
      <c r="J39" s="209">
        <v>0</v>
      </c>
      <c r="K39" s="209"/>
      <c r="L39" s="209">
        <v>0</v>
      </c>
      <c r="M39" s="209"/>
      <c r="N39" s="215"/>
    </row>
    <row r="40" spans="1:14" ht="19.7" customHeight="1">
      <c r="A40" s="208" t="s">
        <v>397</v>
      </c>
      <c r="B40" s="208" t="s">
        <v>381</v>
      </c>
      <c r="C40" s="208" t="s">
        <v>834</v>
      </c>
      <c r="D40" s="209"/>
      <c r="E40" s="210" t="s">
        <v>834</v>
      </c>
      <c r="F40" s="209">
        <v>0</v>
      </c>
      <c r="G40" s="211">
        <v>22033531</v>
      </c>
      <c r="H40" s="209">
        <v>0</v>
      </c>
      <c r="I40" s="211" t="s">
        <v>960</v>
      </c>
      <c r="J40" s="209">
        <v>0</v>
      </c>
      <c r="K40" s="211" t="s">
        <v>961</v>
      </c>
      <c r="L40" s="209">
        <v>0</v>
      </c>
      <c r="M40" s="211" t="s">
        <v>962</v>
      </c>
      <c r="N40" s="216"/>
    </row>
    <row r="41" spans="1:14" ht="19.7" customHeight="1">
      <c r="A41" s="208" t="s">
        <v>658</v>
      </c>
      <c r="B41" s="208" t="s">
        <v>102</v>
      </c>
      <c r="C41" s="208" t="s">
        <v>834</v>
      </c>
      <c r="D41" s="209"/>
      <c r="E41" s="210" t="s">
        <v>834</v>
      </c>
      <c r="F41" s="209">
        <v>0</v>
      </c>
      <c r="G41" s="211">
        <v>15368632</v>
      </c>
      <c r="H41" s="209">
        <v>0</v>
      </c>
      <c r="I41" s="211" t="s">
        <v>963</v>
      </c>
      <c r="J41" s="209">
        <v>0</v>
      </c>
      <c r="K41" s="211" t="s">
        <v>964</v>
      </c>
      <c r="L41" s="209">
        <v>0</v>
      </c>
      <c r="M41" s="211" t="s">
        <v>965</v>
      </c>
      <c r="N41" s="216"/>
    </row>
    <row r="42" spans="1:14" ht="19.7" customHeight="1">
      <c r="A42" s="208" t="s">
        <v>834</v>
      </c>
      <c r="B42" s="208" t="s">
        <v>230</v>
      </c>
      <c r="C42" s="208" t="s">
        <v>834</v>
      </c>
      <c r="D42" s="209"/>
      <c r="E42" s="210" t="s">
        <v>834</v>
      </c>
      <c r="F42" s="209">
        <v>0</v>
      </c>
      <c r="G42" s="211">
        <v>10867846</v>
      </c>
      <c r="H42" s="209">
        <v>0</v>
      </c>
      <c r="I42" s="211" t="s">
        <v>966</v>
      </c>
      <c r="J42" s="209">
        <v>0</v>
      </c>
      <c r="K42" s="211" t="s">
        <v>967</v>
      </c>
      <c r="L42" s="209">
        <v>0</v>
      </c>
      <c r="M42" s="211" t="s">
        <v>968</v>
      </c>
      <c r="N42" s="216"/>
    </row>
    <row r="43" spans="1:14" ht="19.7" customHeight="1">
      <c r="A43" s="212" t="s">
        <v>834</v>
      </c>
      <c r="B43" s="212" t="s">
        <v>319</v>
      </c>
      <c r="C43" s="212" t="s">
        <v>500</v>
      </c>
      <c r="D43" s="209">
        <v>84</v>
      </c>
      <c r="E43" s="213" t="s">
        <v>596</v>
      </c>
      <c r="F43" s="209">
        <v>91558</v>
      </c>
      <c r="G43" s="214">
        <v>7690872</v>
      </c>
      <c r="H43" s="214">
        <v>70059</v>
      </c>
      <c r="I43" s="214">
        <v>5884956</v>
      </c>
      <c r="J43" s="214">
        <v>20572</v>
      </c>
      <c r="K43" s="214">
        <v>1728048</v>
      </c>
      <c r="L43" s="214">
        <v>927</v>
      </c>
      <c r="M43" s="214">
        <v>77868</v>
      </c>
      <c r="N43" s="215">
        <v>0.90627000000000002</v>
      </c>
    </row>
    <row r="44" spans="1:14" ht="19.7" customHeight="1">
      <c r="A44" s="212" t="s">
        <v>834</v>
      </c>
      <c r="B44" s="212" t="s">
        <v>618</v>
      </c>
      <c r="C44" s="212" t="s">
        <v>617</v>
      </c>
      <c r="D44" s="209">
        <v>10</v>
      </c>
      <c r="E44" s="213" t="s">
        <v>596</v>
      </c>
      <c r="F44" s="209">
        <v>150553</v>
      </c>
      <c r="G44" s="214">
        <v>1505530</v>
      </c>
      <c r="H44" s="214">
        <v>82371</v>
      </c>
      <c r="I44" s="214">
        <v>823710</v>
      </c>
      <c r="J44" s="214">
        <v>66656</v>
      </c>
      <c r="K44" s="214">
        <v>666560</v>
      </c>
      <c r="L44" s="214">
        <v>1526</v>
      </c>
      <c r="M44" s="214">
        <v>15260</v>
      </c>
      <c r="N44" s="215">
        <v>0.90627000000000002</v>
      </c>
    </row>
    <row r="45" spans="1:14" ht="19.7" customHeight="1">
      <c r="A45" s="212" t="s">
        <v>834</v>
      </c>
      <c r="B45" s="212" t="s">
        <v>438</v>
      </c>
      <c r="C45" s="212" t="s">
        <v>609</v>
      </c>
      <c r="D45" s="209">
        <v>4</v>
      </c>
      <c r="E45" s="213" t="s">
        <v>596</v>
      </c>
      <c r="F45" s="209">
        <v>417861</v>
      </c>
      <c r="G45" s="214">
        <v>1671444</v>
      </c>
      <c r="H45" s="214">
        <v>153023</v>
      </c>
      <c r="I45" s="214">
        <v>612092</v>
      </c>
      <c r="J45" s="214">
        <v>261612</v>
      </c>
      <c r="K45" s="214">
        <v>1046448</v>
      </c>
      <c r="L45" s="214">
        <v>3226</v>
      </c>
      <c r="M45" s="214">
        <v>12904</v>
      </c>
      <c r="N45" s="215">
        <v>0.90627000000000002</v>
      </c>
    </row>
    <row r="46" spans="1:14" ht="19.7" customHeight="1">
      <c r="A46" s="208" t="s">
        <v>834</v>
      </c>
      <c r="B46" s="208" t="s">
        <v>201</v>
      </c>
      <c r="C46" s="208" t="s">
        <v>834</v>
      </c>
      <c r="D46" s="209"/>
      <c r="E46" s="210" t="s">
        <v>834</v>
      </c>
      <c r="F46" s="209">
        <v>0</v>
      </c>
      <c r="G46" s="211">
        <v>2329838</v>
      </c>
      <c r="H46" s="209">
        <v>0</v>
      </c>
      <c r="I46" s="211" t="s">
        <v>969</v>
      </c>
      <c r="J46" s="209">
        <v>0</v>
      </c>
      <c r="K46" s="211" t="s">
        <v>970</v>
      </c>
      <c r="L46" s="209">
        <v>0</v>
      </c>
      <c r="M46" s="211" t="s">
        <v>971</v>
      </c>
      <c r="N46" s="216"/>
    </row>
    <row r="47" spans="1:14" ht="19.7" customHeight="1">
      <c r="A47" s="212" t="s">
        <v>834</v>
      </c>
      <c r="B47" s="212" t="s">
        <v>319</v>
      </c>
      <c r="C47" s="212" t="s">
        <v>191</v>
      </c>
      <c r="D47" s="209">
        <v>14</v>
      </c>
      <c r="E47" s="213" t="s">
        <v>596</v>
      </c>
      <c r="F47" s="209">
        <v>76993</v>
      </c>
      <c r="G47" s="214">
        <v>1077902</v>
      </c>
      <c r="H47" s="214">
        <v>57403</v>
      </c>
      <c r="I47" s="214">
        <v>803642</v>
      </c>
      <c r="J47" s="214">
        <v>18714</v>
      </c>
      <c r="K47" s="214">
        <v>261996</v>
      </c>
      <c r="L47" s="214">
        <v>876</v>
      </c>
      <c r="M47" s="214">
        <v>12264</v>
      </c>
      <c r="N47" s="215">
        <v>0.90627000000000002</v>
      </c>
    </row>
    <row r="48" spans="1:14" ht="19.7" customHeight="1">
      <c r="A48" s="212" t="s">
        <v>834</v>
      </c>
      <c r="B48" s="212" t="s">
        <v>618</v>
      </c>
      <c r="C48" s="212" t="s">
        <v>40</v>
      </c>
      <c r="D48" s="209">
        <v>6</v>
      </c>
      <c r="E48" s="213" t="s">
        <v>596</v>
      </c>
      <c r="F48" s="209">
        <v>133722</v>
      </c>
      <c r="G48" s="214">
        <v>802332</v>
      </c>
      <c r="H48" s="214">
        <v>69715</v>
      </c>
      <c r="I48" s="214">
        <v>418290</v>
      </c>
      <c r="J48" s="214">
        <v>62532</v>
      </c>
      <c r="K48" s="214">
        <v>375192</v>
      </c>
      <c r="L48" s="214">
        <v>1475</v>
      </c>
      <c r="M48" s="214">
        <v>8850</v>
      </c>
      <c r="N48" s="215">
        <v>0.90627000000000002</v>
      </c>
    </row>
    <row r="49" spans="1:14" ht="19.7" customHeight="1">
      <c r="A49" s="212" t="s">
        <v>834</v>
      </c>
      <c r="B49" s="212" t="s">
        <v>612</v>
      </c>
      <c r="C49" s="212" t="s">
        <v>561</v>
      </c>
      <c r="D49" s="209">
        <v>12</v>
      </c>
      <c r="E49" s="213" t="s">
        <v>476</v>
      </c>
      <c r="F49" s="209">
        <v>37467</v>
      </c>
      <c r="G49" s="214">
        <v>449604</v>
      </c>
      <c r="H49" s="214">
        <v>30304</v>
      </c>
      <c r="I49" s="214">
        <v>363648</v>
      </c>
      <c r="J49" s="214">
        <v>6558</v>
      </c>
      <c r="K49" s="214">
        <v>78696</v>
      </c>
      <c r="L49" s="214">
        <v>605</v>
      </c>
      <c r="M49" s="214">
        <v>7260</v>
      </c>
      <c r="N49" s="215">
        <v>0.90627000000000002</v>
      </c>
    </row>
    <row r="50" spans="1:14" ht="19.7" customHeight="1">
      <c r="A50" s="208" t="s">
        <v>834</v>
      </c>
      <c r="B50" s="208" t="s">
        <v>776</v>
      </c>
      <c r="C50" s="208" t="s">
        <v>834</v>
      </c>
      <c r="D50" s="209"/>
      <c r="E50" s="210" t="s">
        <v>834</v>
      </c>
      <c r="F50" s="209">
        <v>0</v>
      </c>
      <c r="G50" s="211">
        <v>2170948</v>
      </c>
      <c r="H50" s="209">
        <v>0</v>
      </c>
      <c r="I50" s="211" t="s">
        <v>972</v>
      </c>
      <c r="J50" s="209">
        <v>0</v>
      </c>
      <c r="K50" s="211" t="s">
        <v>973</v>
      </c>
      <c r="L50" s="209">
        <v>0</v>
      </c>
      <c r="M50" s="211" t="s">
        <v>974</v>
      </c>
      <c r="N50" s="216"/>
    </row>
    <row r="51" spans="1:14" ht="19.7" customHeight="1">
      <c r="A51" s="212" t="s">
        <v>834</v>
      </c>
      <c r="B51" s="212" t="s">
        <v>319</v>
      </c>
      <c r="C51" s="212" t="s">
        <v>191</v>
      </c>
      <c r="D51" s="209">
        <v>25</v>
      </c>
      <c r="E51" s="213" t="s">
        <v>596</v>
      </c>
      <c r="F51" s="209">
        <v>76993</v>
      </c>
      <c r="G51" s="214">
        <v>1924825</v>
      </c>
      <c r="H51" s="214">
        <v>57403</v>
      </c>
      <c r="I51" s="214">
        <v>1435075</v>
      </c>
      <c r="J51" s="214">
        <v>18714</v>
      </c>
      <c r="K51" s="214">
        <v>467850</v>
      </c>
      <c r="L51" s="214">
        <v>876</v>
      </c>
      <c r="M51" s="214">
        <v>21900</v>
      </c>
      <c r="N51" s="215">
        <v>0.90627000000000002</v>
      </c>
    </row>
    <row r="52" spans="1:14" ht="19.7" customHeight="1">
      <c r="A52" s="212" t="s">
        <v>834</v>
      </c>
      <c r="B52" s="212" t="s">
        <v>618</v>
      </c>
      <c r="C52" s="212" t="s">
        <v>40</v>
      </c>
      <c r="D52" s="209">
        <v>1</v>
      </c>
      <c r="E52" s="213" t="s">
        <v>596</v>
      </c>
      <c r="F52" s="209">
        <v>133722</v>
      </c>
      <c r="G52" s="214">
        <v>133722</v>
      </c>
      <c r="H52" s="214">
        <v>69715</v>
      </c>
      <c r="I52" s="214">
        <v>69715</v>
      </c>
      <c r="J52" s="214">
        <v>62532</v>
      </c>
      <c r="K52" s="214">
        <v>62532</v>
      </c>
      <c r="L52" s="214">
        <v>1475</v>
      </c>
      <c r="M52" s="214">
        <v>1475</v>
      </c>
      <c r="N52" s="215">
        <v>0.90627000000000002</v>
      </c>
    </row>
    <row r="53" spans="1:14" ht="19.7" customHeight="1">
      <c r="A53" s="212" t="s">
        <v>834</v>
      </c>
      <c r="B53" s="212" t="s">
        <v>612</v>
      </c>
      <c r="C53" s="212" t="s">
        <v>561</v>
      </c>
      <c r="D53" s="209">
        <v>3</v>
      </c>
      <c r="E53" s="213" t="s">
        <v>476</v>
      </c>
      <c r="F53" s="209">
        <v>37467</v>
      </c>
      <c r="G53" s="214">
        <v>112401</v>
      </c>
      <c r="H53" s="214">
        <v>30304</v>
      </c>
      <c r="I53" s="214">
        <v>90912</v>
      </c>
      <c r="J53" s="214">
        <v>6558</v>
      </c>
      <c r="K53" s="214">
        <v>19674</v>
      </c>
      <c r="L53" s="214">
        <v>605</v>
      </c>
      <c r="M53" s="214">
        <v>1815</v>
      </c>
      <c r="N53" s="215">
        <v>0.90627000000000002</v>
      </c>
    </row>
    <row r="54" spans="1:14" ht="19.7" customHeight="1">
      <c r="A54" s="208" t="s">
        <v>376</v>
      </c>
      <c r="B54" s="208" t="s">
        <v>259</v>
      </c>
      <c r="C54" s="208" t="s">
        <v>834</v>
      </c>
      <c r="D54" s="209"/>
      <c r="E54" s="210" t="s">
        <v>834</v>
      </c>
      <c r="F54" s="209">
        <v>0</v>
      </c>
      <c r="G54" s="211">
        <v>6664899</v>
      </c>
      <c r="H54" s="209">
        <v>0</v>
      </c>
      <c r="I54" s="211" t="s">
        <v>975</v>
      </c>
      <c r="J54" s="209">
        <v>0</v>
      </c>
      <c r="K54" s="211" t="s">
        <v>976</v>
      </c>
      <c r="L54" s="209">
        <v>0</v>
      </c>
      <c r="M54" s="211" t="s">
        <v>977</v>
      </c>
      <c r="N54" s="216"/>
    </row>
    <row r="55" spans="1:14" ht="19.7" customHeight="1">
      <c r="A55" s="212" t="s">
        <v>834</v>
      </c>
      <c r="B55" s="212" t="s">
        <v>439</v>
      </c>
      <c r="C55" s="212" t="s">
        <v>567</v>
      </c>
      <c r="D55" s="209">
        <v>2</v>
      </c>
      <c r="E55" s="213" t="s">
        <v>748</v>
      </c>
      <c r="F55" s="209">
        <v>2380766</v>
      </c>
      <c r="G55" s="214">
        <v>4761532</v>
      </c>
      <c r="H55" s="214">
        <v>734763</v>
      </c>
      <c r="I55" s="214">
        <v>1469526</v>
      </c>
      <c r="J55" s="214">
        <v>119772</v>
      </c>
      <c r="K55" s="214">
        <v>239544</v>
      </c>
      <c r="L55" s="214">
        <v>1526231</v>
      </c>
      <c r="M55" s="214">
        <v>3052462</v>
      </c>
      <c r="N55" s="215">
        <v>0.90627000000000002</v>
      </c>
    </row>
    <row r="56" spans="1:14" ht="19.7" customHeight="1">
      <c r="A56" s="212" t="s">
        <v>834</v>
      </c>
      <c r="B56" s="212" t="s">
        <v>398</v>
      </c>
      <c r="C56" s="212" t="s">
        <v>530</v>
      </c>
      <c r="D56" s="209">
        <v>2</v>
      </c>
      <c r="E56" s="213" t="s">
        <v>748</v>
      </c>
      <c r="F56" s="209">
        <v>882668</v>
      </c>
      <c r="G56" s="214">
        <v>1765336</v>
      </c>
      <c r="H56" s="214">
        <v>501653</v>
      </c>
      <c r="I56" s="214">
        <v>1003306</v>
      </c>
      <c r="J56" s="214">
        <v>221662</v>
      </c>
      <c r="K56" s="214">
        <v>443324</v>
      </c>
      <c r="L56" s="214">
        <v>159353</v>
      </c>
      <c r="M56" s="214">
        <v>318706</v>
      </c>
      <c r="N56" s="215">
        <v>0.90627000000000002</v>
      </c>
    </row>
    <row r="57" spans="1:14" ht="19.7" customHeight="1">
      <c r="A57" s="212" t="s">
        <v>834</v>
      </c>
      <c r="B57" s="212" t="s">
        <v>597</v>
      </c>
      <c r="C57" s="212" t="s">
        <v>530</v>
      </c>
      <c r="D57" s="209">
        <v>1</v>
      </c>
      <c r="E57" s="213" t="s">
        <v>366</v>
      </c>
      <c r="F57" s="209">
        <v>134013</v>
      </c>
      <c r="G57" s="214">
        <v>134013</v>
      </c>
      <c r="H57" s="214">
        <v>57434</v>
      </c>
      <c r="I57" s="214">
        <v>57434</v>
      </c>
      <c r="J57" s="214">
        <v>76579</v>
      </c>
      <c r="K57" s="214">
        <v>76579</v>
      </c>
      <c r="L57" s="214">
        <v>0</v>
      </c>
      <c r="M57" s="214">
        <v>0</v>
      </c>
      <c r="N57" s="215">
        <v>0.90627000000000002</v>
      </c>
    </row>
    <row r="58" spans="1:14" ht="19.7" customHeight="1">
      <c r="A58" s="212" t="s">
        <v>834</v>
      </c>
      <c r="B58" s="212" t="s">
        <v>545</v>
      </c>
      <c r="C58" s="212" t="s">
        <v>280</v>
      </c>
      <c r="D58" s="209">
        <v>1</v>
      </c>
      <c r="E58" s="213" t="s">
        <v>574</v>
      </c>
      <c r="F58" s="209">
        <v>4018</v>
      </c>
      <c r="G58" s="214">
        <v>4018</v>
      </c>
      <c r="H58" s="214">
        <v>2302</v>
      </c>
      <c r="I58" s="214">
        <v>2302</v>
      </c>
      <c r="J58" s="214">
        <v>759</v>
      </c>
      <c r="K58" s="214">
        <v>759</v>
      </c>
      <c r="L58" s="214">
        <v>957</v>
      </c>
      <c r="M58" s="214">
        <v>957</v>
      </c>
      <c r="N58" s="215">
        <v>0.90627000000000002</v>
      </c>
    </row>
    <row r="59" spans="1:14" ht="19.7" customHeight="1">
      <c r="A59" s="212" t="s">
        <v>834</v>
      </c>
      <c r="B59" s="212" t="s">
        <v>834</v>
      </c>
      <c r="C59" s="212" t="s">
        <v>834</v>
      </c>
      <c r="D59" s="209"/>
      <c r="E59" s="213" t="s">
        <v>834</v>
      </c>
      <c r="F59" s="209">
        <v>0</v>
      </c>
      <c r="G59" s="214">
        <v>0</v>
      </c>
      <c r="H59" s="209">
        <v>0</v>
      </c>
      <c r="I59" s="209"/>
      <c r="J59" s="209">
        <v>0</v>
      </c>
      <c r="K59" s="209"/>
      <c r="L59" s="209">
        <v>0</v>
      </c>
      <c r="M59" s="209"/>
      <c r="N59" s="215"/>
    </row>
    <row r="60" spans="1:14" ht="19.7" customHeight="1">
      <c r="A60" s="208" t="s">
        <v>750</v>
      </c>
      <c r="B60" s="208" t="s">
        <v>105</v>
      </c>
      <c r="C60" s="208" t="s">
        <v>834</v>
      </c>
      <c r="D60" s="209"/>
      <c r="E60" s="210" t="s">
        <v>834</v>
      </c>
      <c r="F60" s="209">
        <v>0</v>
      </c>
      <c r="G60" s="211">
        <v>44320015</v>
      </c>
      <c r="H60" s="209">
        <v>0</v>
      </c>
      <c r="I60" s="211" t="s">
        <v>978</v>
      </c>
      <c r="J60" s="209">
        <v>0</v>
      </c>
      <c r="K60" s="211" t="s">
        <v>979</v>
      </c>
      <c r="L60" s="209">
        <v>0</v>
      </c>
      <c r="M60" s="211" t="s">
        <v>980</v>
      </c>
      <c r="N60" s="216"/>
    </row>
    <row r="61" spans="1:14" ht="19.7" customHeight="1">
      <c r="A61" s="208" t="s">
        <v>811</v>
      </c>
      <c r="B61" s="208" t="s">
        <v>102</v>
      </c>
      <c r="C61" s="208" t="s">
        <v>834</v>
      </c>
      <c r="D61" s="209"/>
      <c r="E61" s="210" t="s">
        <v>834</v>
      </c>
      <c r="F61" s="209">
        <v>0</v>
      </c>
      <c r="G61" s="211">
        <v>33405996</v>
      </c>
      <c r="H61" s="209">
        <v>0</v>
      </c>
      <c r="I61" s="211" t="s">
        <v>981</v>
      </c>
      <c r="J61" s="209">
        <v>0</v>
      </c>
      <c r="K61" s="211" t="s">
        <v>982</v>
      </c>
      <c r="L61" s="209">
        <v>0</v>
      </c>
      <c r="M61" s="211" t="s">
        <v>983</v>
      </c>
      <c r="N61" s="216"/>
    </row>
    <row r="62" spans="1:14" ht="19.7" customHeight="1">
      <c r="A62" s="208" t="s">
        <v>834</v>
      </c>
      <c r="B62" s="208" t="s">
        <v>350</v>
      </c>
      <c r="C62" s="208" t="s">
        <v>834</v>
      </c>
      <c r="D62" s="209"/>
      <c r="E62" s="210" t="s">
        <v>834</v>
      </c>
      <c r="F62" s="209">
        <v>0</v>
      </c>
      <c r="G62" s="211">
        <v>8787711</v>
      </c>
      <c r="H62" s="209">
        <v>0</v>
      </c>
      <c r="I62" s="211" t="s">
        <v>984</v>
      </c>
      <c r="J62" s="209">
        <v>0</v>
      </c>
      <c r="K62" s="211" t="s">
        <v>985</v>
      </c>
      <c r="L62" s="209">
        <v>0</v>
      </c>
      <c r="M62" s="211" t="s">
        <v>986</v>
      </c>
      <c r="N62" s="216"/>
    </row>
    <row r="63" spans="1:14" ht="19.7" customHeight="1">
      <c r="A63" s="212" t="s">
        <v>834</v>
      </c>
      <c r="B63" s="212" t="s">
        <v>319</v>
      </c>
      <c r="C63" s="212" t="s">
        <v>191</v>
      </c>
      <c r="D63" s="209">
        <v>90</v>
      </c>
      <c r="E63" s="213" t="s">
        <v>596</v>
      </c>
      <c r="F63" s="209">
        <v>76993</v>
      </c>
      <c r="G63" s="214">
        <v>6929370</v>
      </c>
      <c r="H63" s="214">
        <v>57403</v>
      </c>
      <c r="I63" s="214">
        <v>5166270</v>
      </c>
      <c r="J63" s="214">
        <v>18714</v>
      </c>
      <c r="K63" s="214">
        <v>1684260</v>
      </c>
      <c r="L63" s="214">
        <v>876</v>
      </c>
      <c r="M63" s="214">
        <v>78840</v>
      </c>
      <c r="N63" s="215">
        <v>0.90627000000000002</v>
      </c>
    </row>
    <row r="64" spans="1:14" ht="19.7" customHeight="1">
      <c r="A64" s="212" t="s">
        <v>834</v>
      </c>
      <c r="B64" s="212" t="s">
        <v>618</v>
      </c>
      <c r="C64" s="212" t="s">
        <v>453</v>
      </c>
      <c r="D64" s="209">
        <v>5</v>
      </c>
      <c r="E64" s="213" t="s">
        <v>596</v>
      </c>
      <c r="F64" s="209">
        <v>268674</v>
      </c>
      <c r="G64" s="214">
        <v>1343370</v>
      </c>
      <c r="H64" s="214">
        <v>115872</v>
      </c>
      <c r="I64" s="214">
        <v>579360</v>
      </c>
      <c r="J64" s="214">
        <v>150123</v>
      </c>
      <c r="K64" s="214">
        <v>750615</v>
      </c>
      <c r="L64" s="214">
        <v>2679</v>
      </c>
      <c r="M64" s="214">
        <v>13395</v>
      </c>
      <c r="N64" s="215">
        <v>0.90627000000000002</v>
      </c>
    </row>
    <row r="65" spans="1:14" ht="19.7" customHeight="1">
      <c r="A65" s="212" t="s">
        <v>834</v>
      </c>
      <c r="B65" s="212" t="s">
        <v>438</v>
      </c>
      <c r="C65" s="212" t="s">
        <v>33</v>
      </c>
      <c r="D65" s="209">
        <v>1</v>
      </c>
      <c r="E65" s="213" t="s">
        <v>596</v>
      </c>
      <c r="F65" s="209">
        <v>402570</v>
      </c>
      <c r="G65" s="214">
        <v>402570</v>
      </c>
      <c r="H65" s="214">
        <v>139640</v>
      </c>
      <c r="I65" s="214">
        <v>139640</v>
      </c>
      <c r="J65" s="214">
        <v>259755</v>
      </c>
      <c r="K65" s="214">
        <v>259755</v>
      </c>
      <c r="L65" s="214">
        <v>3175</v>
      </c>
      <c r="M65" s="214">
        <v>3175</v>
      </c>
      <c r="N65" s="215">
        <v>0.90627000000000002</v>
      </c>
    </row>
    <row r="66" spans="1:14" ht="19.7" customHeight="1">
      <c r="A66" s="212" t="s">
        <v>834</v>
      </c>
      <c r="B66" s="212" t="s">
        <v>612</v>
      </c>
      <c r="C66" s="212" t="s">
        <v>561</v>
      </c>
      <c r="D66" s="209">
        <v>3</v>
      </c>
      <c r="E66" s="213" t="s">
        <v>476</v>
      </c>
      <c r="F66" s="209">
        <v>37467</v>
      </c>
      <c r="G66" s="214">
        <v>112401</v>
      </c>
      <c r="H66" s="214">
        <v>30304</v>
      </c>
      <c r="I66" s="214">
        <v>90912</v>
      </c>
      <c r="J66" s="214">
        <v>6558</v>
      </c>
      <c r="K66" s="214">
        <v>19674</v>
      </c>
      <c r="L66" s="214">
        <v>605</v>
      </c>
      <c r="M66" s="214">
        <v>1815</v>
      </c>
      <c r="N66" s="215">
        <v>0.90627000000000002</v>
      </c>
    </row>
    <row r="67" spans="1:14" ht="19.7" customHeight="1">
      <c r="A67" s="208" t="s">
        <v>834</v>
      </c>
      <c r="B67" s="208" t="s">
        <v>230</v>
      </c>
      <c r="C67" s="208" t="s">
        <v>834</v>
      </c>
      <c r="D67" s="209"/>
      <c r="E67" s="210" t="s">
        <v>834</v>
      </c>
      <c r="F67" s="209">
        <v>0</v>
      </c>
      <c r="G67" s="211">
        <v>12272026</v>
      </c>
      <c r="H67" s="209">
        <v>0</v>
      </c>
      <c r="I67" s="211" t="s">
        <v>987</v>
      </c>
      <c r="J67" s="209">
        <v>0</v>
      </c>
      <c r="K67" s="211" t="s">
        <v>988</v>
      </c>
      <c r="L67" s="209">
        <v>0</v>
      </c>
      <c r="M67" s="211" t="s">
        <v>989</v>
      </c>
      <c r="N67" s="216"/>
    </row>
    <row r="68" spans="1:14" ht="19.7" customHeight="1">
      <c r="A68" s="212" t="s">
        <v>834</v>
      </c>
      <c r="B68" s="212" t="s">
        <v>319</v>
      </c>
      <c r="C68" s="212" t="s">
        <v>500</v>
      </c>
      <c r="D68" s="209">
        <v>38</v>
      </c>
      <c r="E68" s="213" t="s">
        <v>596</v>
      </c>
      <c r="F68" s="209">
        <v>91558</v>
      </c>
      <c r="G68" s="214">
        <v>3479204</v>
      </c>
      <c r="H68" s="214">
        <v>70059</v>
      </c>
      <c r="I68" s="214">
        <v>2662242</v>
      </c>
      <c r="J68" s="214">
        <v>20572</v>
      </c>
      <c r="K68" s="214">
        <v>781736</v>
      </c>
      <c r="L68" s="214">
        <v>927</v>
      </c>
      <c r="M68" s="214">
        <v>35226</v>
      </c>
      <c r="N68" s="215">
        <v>0.90627000000000002</v>
      </c>
    </row>
    <row r="69" spans="1:14" ht="19.7" customHeight="1">
      <c r="A69" s="212" t="s">
        <v>834</v>
      </c>
      <c r="B69" s="212" t="s">
        <v>618</v>
      </c>
      <c r="C69" s="212" t="s">
        <v>217</v>
      </c>
      <c r="D69" s="209">
        <v>13</v>
      </c>
      <c r="E69" s="213" t="s">
        <v>596</v>
      </c>
      <c r="F69" s="209">
        <v>287771</v>
      </c>
      <c r="G69" s="214">
        <v>3741023</v>
      </c>
      <c r="H69" s="214">
        <v>128529</v>
      </c>
      <c r="I69" s="214">
        <v>1670877</v>
      </c>
      <c r="J69" s="214">
        <v>156512</v>
      </c>
      <c r="K69" s="214">
        <v>2034656</v>
      </c>
      <c r="L69" s="214">
        <v>2730</v>
      </c>
      <c r="M69" s="214">
        <v>35490</v>
      </c>
      <c r="N69" s="215">
        <v>0.90627000000000002</v>
      </c>
    </row>
    <row r="70" spans="1:14" ht="19.7" customHeight="1">
      <c r="A70" s="212" t="s">
        <v>834</v>
      </c>
      <c r="B70" s="212" t="s">
        <v>438</v>
      </c>
      <c r="C70" s="212" t="s">
        <v>609</v>
      </c>
      <c r="D70" s="209">
        <v>12</v>
      </c>
      <c r="E70" s="213" t="s">
        <v>596</v>
      </c>
      <c r="F70" s="209">
        <v>417861</v>
      </c>
      <c r="G70" s="214">
        <v>5014332</v>
      </c>
      <c r="H70" s="214">
        <v>153023</v>
      </c>
      <c r="I70" s="214">
        <v>1836276</v>
      </c>
      <c r="J70" s="214">
        <v>261612</v>
      </c>
      <c r="K70" s="214">
        <v>3139344</v>
      </c>
      <c r="L70" s="214">
        <v>3226</v>
      </c>
      <c r="M70" s="214">
        <v>38712</v>
      </c>
      <c r="N70" s="215">
        <v>0.90627000000000002</v>
      </c>
    </row>
    <row r="71" spans="1:14" ht="19.7" customHeight="1">
      <c r="A71" s="212" t="s">
        <v>834</v>
      </c>
      <c r="B71" s="212" t="s">
        <v>612</v>
      </c>
      <c r="C71" s="212" t="s">
        <v>561</v>
      </c>
      <c r="D71" s="209">
        <v>1</v>
      </c>
      <c r="E71" s="213" t="s">
        <v>476</v>
      </c>
      <c r="F71" s="209">
        <v>37467</v>
      </c>
      <c r="G71" s="214">
        <v>37467</v>
      </c>
      <c r="H71" s="214">
        <v>30304</v>
      </c>
      <c r="I71" s="214">
        <v>30304</v>
      </c>
      <c r="J71" s="214">
        <v>6558</v>
      </c>
      <c r="K71" s="214">
        <v>6558</v>
      </c>
      <c r="L71" s="214">
        <v>605</v>
      </c>
      <c r="M71" s="214">
        <v>605</v>
      </c>
      <c r="N71" s="215">
        <v>0.90627000000000002</v>
      </c>
    </row>
    <row r="72" spans="1:14" ht="19.7" customHeight="1">
      <c r="A72" s="208" t="s">
        <v>834</v>
      </c>
      <c r="B72" s="208" t="s">
        <v>201</v>
      </c>
      <c r="C72" s="208" t="s">
        <v>834</v>
      </c>
      <c r="D72" s="209"/>
      <c r="E72" s="210" t="s">
        <v>834</v>
      </c>
      <c r="F72" s="209">
        <v>0</v>
      </c>
      <c r="G72" s="211">
        <v>4418060</v>
      </c>
      <c r="H72" s="209">
        <v>0</v>
      </c>
      <c r="I72" s="211" t="s">
        <v>990</v>
      </c>
      <c r="J72" s="209">
        <v>0</v>
      </c>
      <c r="K72" s="211" t="s">
        <v>991</v>
      </c>
      <c r="L72" s="209">
        <v>0</v>
      </c>
      <c r="M72" s="211" t="s">
        <v>992</v>
      </c>
      <c r="N72" s="216"/>
    </row>
    <row r="73" spans="1:14" ht="19.7" customHeight="1">
      <c r="A73" s="212" t="s">
        <v>834</v>
      </c>
      <c r="B73" s="212" t="s">
        <v>319</v>
      </c>
      <c r="C73" s="212" t="s">
        <v>191</v>
      </c>
      <c r="D73" s="209">
        <v>50</v>
      </c>
      <c r="E73" s="213" t="s">
        <v>596</v>
      </c>
      <c r="F73" s="209">
        <v>76993</v>
      </c>
      <c r="G73" s="214">
        <v>3849650</v>
      </c>
      <c r="H73" s="214">
        <v>57403</v>
      </c>
      <c r="I73" s="214">
        <v>2870150</v>
      </c>
      <c r="J73" s="214">
        <v>18714</v>
      </c>
      <c r="K73" s="214">
        <v>935700</v>
      </c>
      <c r="L73" s="214">
        <v>876</v>
      </c>
      <c r="M73" s="214">
        <v>43800</v>
      </c>
      <c r="N73" s="215">
        <v>0.90627000000000002</v>
      </c>
    </row>
    <row r="74" spans="1:14" ht="19.7" customHeight="1">
      <c r="A74" s="212" t="s">
        <v>834</v>
      </c>
      <c r="B74" s="212" t="s">
        <v>618</v>
      </c>
      <c r="C74" s="212" t="s">
        <v>453</v>
      </c>
      <c r="D74" s="209">
        <v>1</v>
      </c>
      <c r="E74" s="213" t="s">
        <v>596</v>
      </c>
      <c r="F74" s="209">
        <v>268674</v>
      </c>
      <c r="G74" s="214">
        <v>268674</v>
      </c>
      <c r="H74" s="214">
        <v>115872</v>
      </c>
      <c r="I74" s="214">
        <v>115872</v>
      </c>
      <c r="J74" s="214">
        <v>150123</v>
      </c>
      <c r="K74" s="214">
        <v>150123</v>
      </c>
      <c r="L74" s="214">
        <v>2679</v>
      </c>
      <c r="M74" s="214">
        <v>2679</v>
      </c>
      <c r="N74" s="215">
        <v>0.90627000000000002</v>
      </c>
    </row>
    <row r="75" spans="1:14" ht="19.7" customHeight="1">
      <c r="A75" s="212" t="s">
        <v>834</v>
      </c>
      <c r="B75" s="212" t="s">
        <v>612</v>
      </c>
      <c r="C75" s="212" t="s">
        <v>561</v>
      </c>
      <c r="D75" s="209">
        <v>8</v>
      </c>
      <c r="E75" s="213" t="s">
        <v>476</v>
      </c>
      <c r="F75" s="209">
        <v>37467</v>
      </c>
      <c r="G75" s="214">
        <v>299736</v>
      </c>
      <c r="H75" s="214">
        <v>30304</v>
      </c>
      <c r="I75" s="214">
        <v>242432</v>
      </c>
      <c r="J75" s="214">
        <v>6558</v>
      </c>
      <c r="K75" s="214">
        <v>52464</v>
      </c>
      <c r="L75" s="214">
        <v>605</v>
      </c>
      <c r="M75" s="214">
        <v>4840</v>
      </c>
      <c r="N75" s="215">
        <v>0.90627000000000002</v>
      </c>
    </row>
    <row r="76" spans="1:14" ht="19.7" customHeight="1">
      <c r="A76" s="208" t="s">
        <v>834</v>
      </c>
      <c r="B76" s="208" t="s">
        <v>776</v>
      </c>
      <c r="C76" s="208" t="s">
        <v>834</v>
      </c>
      <c r="D76" s="209"/>
      <c r="E76" s="210" t="s">
        <v>834</v>
      </c>
      <c r="F76" s="209">
        <v>0</v>
      </c>
      <c r="G76" s="211">
        <v>7928199</v>
      </c>
      <c r="H76" s="209">
        <v>0</v>
      </c>
      <c r="I76" s="211" t="s">
        <v>993</v>
      </c>
      <c r="J76" s="209">
        <v>0</v>
      </c>
      <c r="K76" s="211" t="s">
        <v>994</v>
      </c>
      <c r="L76" s="209">
        <v>0</v>
      </c>
      <c r="M76" s="211" t="s">
        <v>995</v>
      </c>
      <c r="N76" s="216"/>
    </row>
    <row r="77" spans="1:14" ht="19.7" customHeight="1">
      <c r="A77" s="212" t="s">
        <v>834</v>
      </c>
      <c r="B77" s="212" t="s">
        <v>319</v>
      </c>
      <c r="C77" s="212" t="s">
        <v>191</v>
      </c>
      <c r="D77" s="209">
        <v>48</v>
      </c>
      <c r="E77" s="213" t="s">
        <v>596</v>
      </c>
      <c r="F77" s="209">
        <v>76993</v>
      </c>
      <c r="G77" s="214">
        <v>3695664</v>
      </c>
      <c r="H77" s="214">
        <v>57403</v>
      </c>
      <c r="I77" s="214">
        <v>2755344</v>
      </c>
      <c r="J77" s="214">
        <v>18714</v>
      </c>
      <c r="K77" s="214">
        <v>898272</v>
      </c>
      <c r="L77" s="214">
        <v>876</v>
      </c>
      <c r="M77" s="214">
        <v>42048</v>
      </c>
      <c r="N77" s="215">
        <v>0.90627000000000002</v>
      </c>
    </row>
    <row r="78" spans="1:14" ht="19.7" customHeight="1">
      <c r="A78" s="212" t="s">
        <v>834</v>
      </c>
      <c r="B78" s="212" t="s">
        <v>618</v>
      </c>
      <c r="C78" s="212" t="s">
        <v>453</v>
      </c>
      <c r="D78" s="209">
        <v>13</v>
      </c>
      <c r="E78" s="213" t="s">
        <v>596</v>
      </c>
      <c r="F78" s="209">
        <v>268674</v>
      </c>
      <c r="G78" s="214">
        <v>3492762</v>
      </c>
      <c r="H78" s="214">
        <v>115872</v>
      </c>
      <c r="I78" s="214">
        <v>1506336</v>
      </c>
      <c r="J78" s="214">
        <v>150123</v>
      </c>
      <c r="K78" s="214">
        <v>1951599</v>
      </c>
      <c r="L78" s="214">
        <v>2679</v>
      </c>
      <c r="M78" s="214">
        <v>34827</v>
      </c>
      <c r="N78" s="215">
        <v>0.90627000000000002</v>
      </c>
    </row>
    <row r="79" spans="1:14" ht="19.7" customHeight="1">
      <c r="A79" s="212" t="s">
        <v>834</v>
      </c>
      <c r="B79" s="212" t="s">
        <v>438</v>
      </c>
      <c r="C79" s="212" t="s">
        <v>33</v>
      </c>
      <c r="D79" s="209">
        <v>1</v>
      </c>
      <c r="E79" s="213" t="s">
        <v>596</v>
      </c>
      <c r="F79" s="209">
        <v>402570</v>
      </c>
      <c r="G79" s="214">
        <v>402570</v>
      </c>
      <c r="H79" s="214">
        <v>139640</v>
      </c>
      <c r="I79" s="214">
        <v>139640</v>
      </c>
      <c r="J79" s="214">
        <v>259755</v>
      </c>
      <c r="K79" s="214">
        <v>259755</v>
      </c>
      <c r="L79" s="214">
        <v>3175</v>
      </c>
      <c r="M79" s="214">
        <v>3175</v>
      </c>
      <c r="N79" s="215">
        <v>0.90627000000000002</v>
      </c>
    </row>
    <row r="80" spans="1:14" ht="19.7" customHeight="1">
      <c r="A80" s="212" t="s">
        <v>834</v>
      </c>
      <c r="B80" s="212" t="s">
        <v>612</v>
      </c>
      <c r="C80" s="212" t="s">
        <v>561</v>
      </c>
      <c r="D80" s="209">
        <v>9</v>
      </c>
      <c r="E80" s="213" t="s">
        <v>476</v>
      </c>
      <c r="F80" s="209">
        <v>37467</v>
      </c>
      <c r="G80" s="214">
        <v>337203</v>
      </c>
      <c r="H80" s="214">
        <v>30304</v>
      </c>
      <c r="I80" s="214">
        <v>272736</v>
      </c>
      <c r="J80" s="214">
        <v>6558</v>
      </c>
      <c r="K80" s="214">
        <v>59022</v>
      </c>
      <c r="L80" s="214">
        <v>605</v>
      </c>
      <c r="M80" s="214">
        <v>5445</v>
      </c>
      <c r="N80" s="215">
        <v>0.90627000000000002</v>
      </c>
    </row>
    <row r="81" spans="1:14" ht="19.7" customHeight="1">
      <c r="A81" s="208" t="s">
        <v>194</v>
      </c>
      <c r="B81" s="208" t="s">
        <v>259</v>
      </c>
      <c r="C81" s="208" t="s">
        <v>834</v>
      </c>
      <c r="D81" s="209"/>
      <c r="E81" s="210" t="s">
        <v>834</v>
      </c>
      <c r="F81" s="209">
        <v>0</v>
      </c>
      <c r="G81" s="211">
        <v>10914019</v>
      </c>
      <c r="H81" s="209">
        <v>0</v>
      </c>
      <c r="I81" s="211" t="s">
        <v>996</v>
      </c>
      <c r="J81" s="209">
        <v>0</v>
      </c>
      <c r="K81" s="211" t="s">
        <v>997</v>
      </c>
      <c r="L81" s="209">
        <v>0</v>
      </c>
      <c r="M81" s="211" t="s">
        <v>998</v>
      </c>
      <c r="N81" s="216"/>
    </row>
    <row r="82" spans="1:14" ht="19.7" customHeight="1">
      <c r="A82" s="212" t="s">
        <v>834</v>
      </c>
      <c r="B82" s="212" t="s">
        <v>439</v>
      </c>
      <c r="C82" s="212" t="s">
        <v>567</v>
      </c>
      <c r="D82" s="209">
        <v>3</v>
      </c>
      <c r="E82" s="213" t="s">
        <v>748</v>
      </c>
      <c r="F82" s="209">
        <v>2380766</v>
      </c>
      <c r="G82" s="214">
        <v>7142298</v>
      </c>
      <c r="H82" s="214">
        <v>734763</v>
      </c>
      <c r="I82" s="214">
        <v>2204289</v>
      </c>
      <c r="J82" s="214">
        <v>119772</v>
      </c>
      <c r="K82" s="214">
        <v>359316</v>
      </c>
      <c r="L82" s="214">
        <v>1526231</v>
      </c>
      <c r="M82" s="214">
        <v>4578693</v>
      </c>
      <c r="N82" s="215">
        <v>0.90627000000000002</v>
      </c>
    </row>
    <row r="83" spans="1:14" ht="19.7" customHeight="1">
      <c r="A83" s="212" t="s">
        <v>834</v>
      </c>
      <c r="B83" s="212" t="s">
        <v>398</v>
      </c>
      <c r="C83" s="212" t="s">
        <v>530</v>
      </c>
      <c r="D83" s="209">
        <v>4</v>
      </c>
      <c r="E83" s="213" t="s">
        <v>748</v>
      </c>
      <c r="F83" s="209">
        <v>882668</v>
      </c>
      <c r="G83" s="214">
        <v>3530672</v>
      </c>
      <c r="H83" s="214">
        <v>501653</v>
      </c>
      <c r="I83" s="214">
        <v>2006612</v>
      </c>
      <c r="J83" s="214">
        <v>221662</v>
      </c>
      <c r="K83" s="214">
        <v>886648</v>
      </c>
      <c r="L83" s="214">
        <v>159353</v>
      </c>
      <c r="M83" s="214">
        <v>637412</v>
      </c>
      <c r="N83" s="215">
        <v>0.90627000000000002</v>
      </c>
    </row>
    <row r="84" spans="1:14" ht="19.7" customHeight="1">
      <c r="A84" s="212" t="s">
        <v>834</v>
      </c>
      <c r="B84" s="212" t="s">
        <v>597</v>
      </c>
      <c r="C84" s="212" t="s">
        <v>530</v>
      </c>
      <c r="D84" s="209">
        <v>1</v>
      </c>
      <c r="E84" s="213" t="s">
        <v>366</v>
      </c>
      <c r="F84" s="209">
        <v>134013</v>
      </c>
      <c r="G84" s="214">
        <v>134013</v>
      </c>
      <c r="H84" s="214">
        <v>57434</v>
      </c>
      <c r="I84" s="214">
        <v>57434</v>
      </c>
      <c r="J84" s="214">
        <v>76579</v>
      </c>
      <c r="K84" s="214">
        <v>76579</v>
      </c>
      <c r="L84" s="214">
        <v>0</v>
      </c>
      <c r="M84" s="214">
        <v>0</v>
      </c>
      <c r="N84" s="215">
        <v>0.90627000000000002</v>
      </c>
    </row>
    <row r="85" spans="1:14" ht="19.7" customHeight="1">
      <c r="A85" s="212" t="s">
        <v>834</v>
      </c>
      <c r="B85" s="212" t="s">
        <v>545</v>
      </c>
      <c r="C85" s="212" t="s">
        <v>280</v>
      </c>
      <c r="D85" s="209">
        <v>2</v>
      </c>
      <c r="E85" s="213" t="s">
        <v>574</v>
      </c>
      <c r="F85" s="209">
        <v>4018</v>
      </c>
      <c r="G85" s="214">
        <v>8036</v>
      </c>
      <c r="H85" s="214">
        <v>2302</v>
      </c>
      <c r="I85" s="214">
        <v>4604</v>
      </c>
      <c r="J85" s="214">
        <v>759</v>
      </c>
      <c r="K85" s="214">
        <v>1518</v>
      </c>
      <c r="L85" s="214">
        <v>957</v>
      </c>
      <c r="M85" s="214">
        <v>1914</v>
      </c>
      <c r="N85" s="215">
        <v>0.90627000000000002</v>
      </c>
    </row>
    <row r="86" spans="1:14" ht="19.7" customHeight="1">
      <c r="A86" s="212" t="s">
        <v>834</v>
      </c>
      <c r="B86" s="212" t="s">
        <v>283</v>
      </c>
      <c r="C86" s="212" t="s">
        <v>571</v>
      </c>
      <c r="D86" s="209">
        <v>1</v>
      </c>
      <c r="E86" s="213" t="s">
        <v>665</v>
      </c>
      <c r="F86" s="209">
        <v>99000</v>
      </c>
      <c r="G86" s="214">
        <v>99000</v>
      </c>
      <c r="H86" s="214">
        <v>0</v>
      </c>
      <c r="I86" s="214">
        <v>0</v>
      </c>
      <c r="J86" s="214">
        <v>0</v>
      </c>
      <c r="K86" s="214">
        <v>0</v>
      </c>
      <c r="L86" s="214">
        <v>99000</v>
      </c>
      <c r="M86" s="214">
        <v>99000</v>
      </c>
      <c r="N86" s="215"/>
    </row>
    <row r="87" spans="1:14" ht="19.7" customHeight="1">
      <c r="A87" s="212" t="s">
        <v>834</v>
      </c>
      <c r="B87" s="212" t="s">
        <v>834</v>
      </c>
      <c r="C87" s="212" t="s">
        <v>834</v>
      </c>
      <c r="D87" s="209"/>
      <c r="E87" s="213" t="s">
        <v>834</v>
      </c>
      <c r="F87" s="209">
        <v>0</v>
      </c>
      <c r="G87" s="214">
        <v>0</v>
      </c>
      <c r="H87" s="209">
        <v>0</v>
      </c>
      <c r="I87" s="209"/>
      <c r="J87" s="209">
        <v>0</v>
      </c>
      <c r="K87" s="209"/>
      <c r="L87" s="209">
        <v>0</v>
      </c>
      <c r="M87" s="209"/>
      <c r="N87" s="215"/>
    </row>
    <row r="88" spans="1:14" ht="19.7" customHeight="1">
      <c r="A88" s="208" t="s">
        <v>227</v>
      </c>
      <c r="B88" s="208" t="s">
        <v>458</v>
      </c>
      <c r="C88" s="208" t="s">
        <v>834</v>
      </c>
      <c r="D88" s="209"/>
      <c r="E88" s="210" t="s">
        <v>834</v>
      </c>
      <c r="F88" s="209">
        <v>0</v>
      </c>
      <c r="G88" s="211">
        <v>24767033</v>
      </c>
      <c r="H88" s="209">
        <v>0</v>
      </c>
      <c r="I88" s="211" t="s">
        <v>999</v>
      </c>
      <c r="J88" s="209">
        <v>0</v>
      </c>
      <c r="K88" s="211" t="s">
        <v>1000</v>
      </c>
      <c r="L88" s="209">
        <v>0</v>
      </c>
      <c r="M88" s="211" t="s">
        <v>1001</v>
      </c>
      <c r="N88" s="216"/>
    </row>
    <row r="89" spans="1:14" ht="19.7" customHeight="1">
      <c r="A89" s="208" t="s">
        <v>403</v>
      </c>
      <c r="B89" s="208" t="s">
        <v>102</v>
      </c>
      <c r="C89" s="208" t="s">
        <v>834</v>
      </c>
      <c r="D89" s="209"/>
      <c r="E89" s="210" t="s">
        <v>834</v>
      </c>
      <c r="F89" s="209">
        <v>0</v>
      </c>
      <c r="G89" s="211">
        <v>17219466</v>
      </c>
      <c r="H89" s="209">
        <v>0</v>
      </c>
      <c r="I89" s="211" t="s">
        <v>1002</v>
      </c>
      <c r="J89" s="209">
        <v>0</v>
      </c>
      <c r="K89" s="211" t="s">
        <v>1003</v>
      </c>
      <c r="L89" s="209">
        <v>0</v>
      </c>
      <c r="M89" s="211" t="s">
        <v>1004</v>
      </c>
      <c r="N89" s="216"/>
    </row>
    <row r="90" spans="1:14" ht="19.7" customHeight="1">
      <c r="A90" s="208" t="s">
        <v>834</v>
      </c>
      <c r="B90" s="208" t="s">
        <v>350</v>
      </c>
      <c r="C90" s="208" t="s">
        <v>834</v>
      </c>
      <c r="D90" s="209"/>
      <c r="E90" s="210" t="s">
        <v>834</v>
      </c>
      <c r="F90" s="209">
        <v>0</v>
      </c>
      <c r="G90" s="211">
        <v>6928430</v>
      </c>
      <c r="H90" s="209">
        <v>0</v>
      </c>
      <c r="I90" s="211" t="s">
        <v>1005</v>
      </c>
      <c r="J90" s="209">
        <v>0</v>
      </c>
      <c r="K90" s="211" t="s">
        <v>1006</v>
      </c>
      <c r="L90" s="209">
        <v>0</v>
      </c>
      <c r="M90" s="211" t="s">
        <v>1007</v>
      </c>
      <c r="N90" s="216"/>
    </row>
    <row r="91" spans="1:14" ht="19.7" customHeight="1">
      <c r="A91" s="212" t="s">
        <v>834</v>
      </c>
      <c r="B91" s="212" t="s">
        <v>319</v>
      </c>
      <c r="C91" s="212" t="s">
        <v>191</v>
      </c>
      <c r="D91" s="209">
        <v>20</v>
      </c>
      <c r="E91" s="213" t="s">
        <v>596</v>
      </c>
      <c r="F91" s="209">
        <v>76993</v>
      </c>
      <c r="G91" s="214">
        <v>1539860</v>
      </c>
      <c r="H91" s="214">
        <v>57403</v>
      </c>
      <c r="I91" s="214">
        <v>1148060</v>
      </c>
      <c r="J91" s="214">
        <v>18714</v>
      </c>
      <c r="K91" s="214">
        <v>374280</v>
      </c>
      <c r="L91" s="214">
        <v>876</v>
      </c>
      <c r="M91" s="214">
        <v>17520</v>
      </c>
      <c r="N91" s="215">
        <v>0.90627000000000002</v>
      </c>
    </row>
    <row r="92" spans="1:14" ht="19.7" customHeight="1">
      <c r="A92" s="212" t="s">
        <v>834</v>
      </c>
      <c r="B92" s="212" t="s">
        <v>618</v>
      </c>
      <c r="C92" s="212" t="s">
        <v>453</v>
      </c>
      <c r="D92" s="209">
        <v>18</v>
      </c>
      <c r="E92" s="213" t="s">
        <v>596</v>
      </c>
      <c r="F92" s="209">
        <v>268674</v>
      </c>
      <c r="G92" s="214">
        <v>4836132</v>
      </c>
      <c r="H92" s="214">
        <v>115872</v>
      </c>
      <c r="I92" s="214">
        <v>2085696</v>
      </c>
      <c r="J92" s="214">
        <v>150123</v>
      </c>
      <c r="K92" s="214">
        <v>2702214</v>
      </c>
      <c r="L92" s="214">
        <v>2679</v>
      </c>
      <c r="M92" s="214">
        <v>48222</v>
      </c>
      <c r="N92" s="215">
        <v>0.90627000000000002</v>
      </c>
    </row>
    <row r="93" spans="1:14" ht="19.7" customHeight="1">
      <c r="A93" s="212" t="s">
        <v>834</v>
      </c>
      <c r="B93" s="212" t="s">
        <v>438</v>
      </c>
      <c r="C93" s="212" t="s">
        <v>33</v>
      </c>
      <c r="D93" s="209">
        <v>1</v>
      </c>
      <c r="E93" s="213" t="s">
        <v>596</v>
      </c>
      <c r="F93" s="209">
        <v>402570</v>
      </c>
      <c r="G93" s="214">
        <v>402570</v>
      </c>
      <c r="H93" s="214">
        <v>139640</v>
      </c>
      <c r="I93" s="214">
        <v>139640</v>
      </c>
      <c r="J93" s="214">
        <v>259755</v>
      </c>
      <c r="K93" s="214">
        <v>259755</v>
      </c>
      <c r="L93" s="214">
        <v>3175</v>
      </c>
      <c r="M93" s="214">
        <v>3175</v>
      </c>
      <c r="N93" s="215">
        <v>0.90627000000000002</v>
      </c>
    </row>
    <row r="94" spans="1:14" ht="19.7" customHeight="1">
      <c r="A94" s="212" t="s">
        <v>834</v>
      </c>
      <c r="B94" s="212" t="s">
        <v>612</v>
      </c>
      <c r="C94" s="212" t="s">
        <v>561</v>
      </c>
      <c r="D94" s="209">
        <v>4</v>
      </c>
      <c r="E94" s="213" t="s">
        <v>476</v>
      </c>
      <c r="F94" s="209">
        <v>37467</v>
      </c>
      <c r="G94" s="214">
        <v>149868</v>
      </c>
      <c r="H94" s="214">
        <v>30304</v>
      </c>
      <c r="I94" s="214">
        <v>121216</v>
      </c>
      <c r="J94" s="214">
        <v>6558</v>
      </c>
      <c r="K94" s="214">
        <v>26232</v>
      </c>
      <c r="L94" s="214">
        <v>605</v>
      </c>
      <c r="M94" s="214">
        <v>2420</v>
      </c>
      <c r="N94" s="215">
        <v>0.90627000000000002</v>
      </c>
    </row>
    <row r="95" spans="1:14" ht="19.7" customHeight="1">
      <c r="A95" s="208" t="s">
        <v>834</v>
      </c>
      <c r="B95" s="208" t="s">
        <v>230</v>
      </c>
      <c r="C95" s="208" t="s">
        <v>834</v>
      </c>
      <c r="D95" s="209"/>
      <c r="E95" s="210" t="s">
        <v>834</v>
      </c>
      <c r="F95" s="209">
        <v>0</v>
      </c>
      <c r="G95" s="211">
        <v>5947226</v>
      </c>
      <c r="H95" s="209">
        <v>0</v>
      </c>
      <c r="I95" s="211" t="s">
        <v>1008</v>
      </c>
      <c r="J95" s="209">
        <v>0</v>
      </c>
      <c r="K95" s="211" t="s">
        <v>1009</v>
      </c>
      <c r="L95" s="209">
        <v>0</v>
      </c>
      <c r="M95" s="211" t="s">
        <v>1010</v>
      </c>
      <c r="N95" s="216"/>
    </row>
    <row r="96" spans="1:14" ht="19.7" customHeight="1">
      <c r="A96" s="212" t="s">
        <v>834</v>
      </c>
      <c r="B96" s="212" t="s">
        <v>319</v>
      </c>
      <c r="C96" s="212" t="s">
        <v>500</v>
      </c>
      <c r="D96" s="209">
        <v>25</v>
      </c>
      <c r="E96" s="213" t="s">
        <v>596</v>
      </c>
      <c r="F96" s="209">
        <v>91558</v>
      </c>
      <c r="G96" s="214">
        <v>2288950</v>
      </c>
      <c r="H96" s="214">
        <v>70059</v>
      </c>
      <c r="I96" s="214">
        <v>1751475</v>
      </c>
      <c r="J96" s="214">
        <v>20572</v>
      </c>
      <c r="K96" s="214">
        <v>514300</v>
      </c>
      <c r="L96" s="214">
        <v>927</v>
      </c>
      <c r="M96" s="214">
        <v>23175</v>
      </c>
      <c r="N96" s="215">
        <v>0.90627000000000002</v>
      </c>
    </row>
    <row r="97" spans="1:14" ht="19.7" customHeight="1">
      <c r="A97" s="212" t="s">
        <v>834</v>
      </c>
      <c r="B97" s="212" t="s">
        <v>618</v>
      </c>
      <c r="C97" s="212" t="s">
        <v>217</v>
      </c>
      <c r="D97" s="209">
        <v>11</v>
      </c>
      <c r="E97" s="213" t="s">
        <v>596</v>
      </c>
      <c r="F97" s="209">
        <v>287771</v>
      </c>
      <c r="G97" s="214">
        <v>3165481</v>
      </c>
      <c r="H97" s="214">
        <v>128529</v>
      </c>
      <c r="I97" s="214">
        <v>1413819</v>
      </c>
      <c r="J97" s="214">
        <v>156512</v>
      </c>
      <c r="K97" s="214">
        <v>1721632</v>
      </c>
      <c r="L97" s="214">
        <v>2730</v>
      </c>
      <c r="M97" s="214">
        <v>30030</v>
      </c>
      <c r="N97" s="215">
        <v>0.90627000000000002</v>
      </c>
    </row>
    <row r="98" spans="1:14" ht="19.7" customHeight="1">
      <c r="A98" s="212" t="s">
        <v>834</v>
      </c>
      <c r="B98" s="212" t="s">
        <v>438</v>
      </c>
      <c r="C98" s="212" t="s">
        <v>609</v>
      </c>
      <c r="D98" s="209">
        <v>1</v>
      </c>
      <c r="E98" s="213" t="s">
        <v>596</v>
      </c>
      <c r="F98" s="209">
        <v>417861</v>
      </c>
      <c r="G98" s="214">
        <v>417861</v>
      </c>
      <c r="H98" s="214">
        <v>153023</v>
      </c>
      <c r="I98" s="214">
        <v>153023</v>
      </c>
      <c r="J98" s="214">
        <v>261612</v>
      </c>
      <c r="K98" s="214">
        <v>261612</v>
      </c>
      <c r="L98" s="214">
        <v>3226</v>
      </c>
      <c r="M98" s="214">
        <v>3226</v>
      </c>
      <c r="N98" s="215">
        <v>0.90627000000000002</v>
      </c>
    </row>
    <row r="99" spans="1:14" ht="19.7" customHeight="1">
      <c r="A99" s="212" t="s">
        <v>834</v>
      </c>
      <c r="B99" s="212" t="s">
        <v>612</v>
      </c>
      <c r="C99" s="212" t="s">
        <v>561</v>
      </c>
      <c r="D99" s="209">
        <v>2</v>
      </c>
      <c r="E99" s="213" t="s">
        <v>476</v>
      </c>
      <c r="F99" s="209">
        <v>37467</v>
      </c>
      <c r="G99" s="214">
        <v>74934</v>
      </c>
      <c r="H99" s="214">
        <v>30304</v>
      </c>
      <c r="I99" s="214">
        <v>60608</v>
      </c>
      <c r="J99" s="214">
        <v>6558</v>
      </c>
      <c r="K99" s="214">
        <v>13116</v>
      </c>
      <c r="L99" s="214">
        <v>605</v>
      </c>
      <c r="M99" s="214">
        <v>1210</v>
      </c>
      <c r="N99" s="215">
        <v>0.90627000000000002</v>
      </c>
    </row>
    <row r="100" spans="1:14" ht="19.7" customHeight="1">
      <c r="A100" s="208" t="s">
        <v>834</v>
      </c>
      <c r="B100" s="208" t="s">
        <v>201</v>
      </c>
      <c r="C100" s="208" t="s">
        <v>834</v>
      </c>
      <c r="D100" s="209"/>
      <c r="E100" s="210" t="s">
        <v>834</v>
      </c>
      <c r="F100" s="209">
        <v>0</v>
      </c>
      <c r="G100" s="211">
        <v>1461036</v>
      </c>
      <c r="H100" s="209">
        <v>0</v>
      </c>
      <c r="I100" s="211" t="s">
        <v>1011</v>
      </c>
      <c r="J100" s="209">
        <v>0</v>
      </c>
      <c r="K100" s="211" t="s">
        <v>1012</v>
      </c>
      <c r="L100" s="209">
        <v>0</v>
      </c>
      <c r="M100" s="211" t="s">
        <v>1013</v>
      </c>
      <c r="N100" s="216"/>
    </row>
    <row r="101" spans="1:14" ht="19.7" customHeight="1">
      <c r="A101" s="212" t="s">
        <v>834</v>
      </c>
      <c r="B101" s="212" t="s">
        <v>319</v>
      </c>
      <c r="C101" s="212" t="s">
        <v>191</v>
      </c>
      <c r="D101" s="209">
        <v>15</v>
      </c>
      <c r="E101" s="213" t="s">
        <v>596</v>
      </c>
      <c r="F101" s="209">
        <v>76993</v>
      </c>
      <c r="G101" s="214">
        <v>1154895</v>
      </c>
      <c r="H101" s="214">
        <v>57403</v>
      </c>
      <c r="I101" s="214">
        <v>861045</v>
      </c>
      <c r="J101" s="214">
        <v>18714</v>
      </c>
      <c r="K101" s="214">
        <v>280710</v>
      </c>
      <c r="L101" s="214">
        <v>876</v>
      </c>
      <c r="M101" s="214">
        <v>13140</v>
      </c>
      <c r="N101" s="215">
        <v>0.90627000000000002</v>
      </c>
    </row>
    <row r="102" spans="1:14" ht="19.7" customHeight="1">
      <c r="A102" s="212" t="s">
        <v>834</v>
      </c>
      <c r="B102" s="212" t="s">
        <v>618</v>
      </c>
      <c r="C102" s="212" t="s">
        <v>453</v>
      </c>
      <c r="D102" s="209">
        <v>1</v>
      </c>
      <c r="E102" s="213" t="s">
        <v>596</v>
      </c>
      <c r="F102" s="209">
        <v>268674</v>
      </c>
      <c r="G102" s="214">
        <v>268674</v>
      </c>
      <c r="H102" s="214">
        <v>115872</v>
      </c>
      <c r="I102" s="214">
        <v>115872</v>
      </c>
      <c r="J102" s="214">
        <v>150123</v>
      </c>
      <c r="K102" s="214">
        <v>150123</v>
      </c>
      <c r="L102" s="214">
        <v>2679</v>
      </c>
      <c r="M102" s="214">
        <v>2679</v>
      </c>
      <c r="N102" s="215">
        <v>0.90627000000000002</v>
      </c>
    </row>
    <row r="103" spans="1:14" ht="19.7" customHeight="1">
      <c r="A103" s="212" t="s">
        <v>834</v>
      </c>
      <c r="B103" s="212" t="s">
        <v>612</v>
      </c>
      <c r="C103" s="212" t="s">
        <v>561</v>
      </c>
      <c r="D103" s="209">
        <v>1</v>
      </c>
      <c r="E103" s="213" t="s">
        <v>476</v>
      </c>
      <c r="F103" s="209">
        <v>37467</v>
      </c>
      <c r="G103" s="214">
        <v>37467</v>
      </c>
      <c r="H103" s="214">
        <v>30304</v>
      </c>
      <c r="I103" s="214">
        <v>30304</v>
      </c>
      <c r="J103" s="214">
        <v>6558</v>
      </c>
      <c r="K103" s="214">
        <v>6558</v>
      </c>
      <c r="L103" s="214">
        <v>605</v>
      </c>
      <c r="M103" s="214">
        <v>605</v>
      </c>
      <c r="N103" s="215">
        <v>0.90627000000000002</v>
      </c>
    </row>
    <row r="104" spans="1:14" ht="19.7" customHeight="1">
      <c r="A104" s="208" t="s">
        <v>834</v>
      </c>
      <c r="B104" s="208" t="s">
        <v>776</v>
      </c>
      <c r="C104" s="208" t="s">
        <v>834</v>
      </c>
      <c r="D104" s="209"/>
      <c r="E104" s="210" t="s">
        <v>834</v>
      </c>
      <c r="F104" s="209">
        <v>0</v>
      </c>
      <c r="G104" s="211">
        <v>2882774</v>
      </c>
      <c r="H104" s="209">
        <v>0</v>
      </c>
      <c r="I104" s="211" t="s">
        <v>1014</v>
      </c>
      <c r="J104" s="209">
        <v>0</v>
      </c>
      <c r="K104" s="211" t="s">
        <v>1015</v>
      </c>
      <c r="L104" s="209">
        <v>0</v>
      </c>
      <c r="M104" s="211" t="s">
        <v>1016</v>
      </c>
      <c r="N104" s="216"/>
    </row>
    <row r="105" spans="1:14" ht="19.7" customHeight="1">
      <c r="A105" s="212" t="s">
        <v>834</v>
      </c>
      <c r="B105" s="212" t="s">
        <v>319</v>
      </c>
      <c r="C105" s="212" t="s">
        <v>191</v>
      </c>
      <c r="D105" s="209">
        <v>26</v>
      </c>
      <c r="E105" s="213" t="s">
        <v>596</v>
      </c>
      <c r="F105" s="209">
        <v>76993</v>
      </c>
      <c r="G105" s="214">
        <v>2001818</v>
      </c>
      <c r="H105" s="214">
        <v>57403</v>
      </c>
      <c r="I105" s="214">
        <v>1492478</v>
      </c>
      <c r="J105" s="214">
        <v>18714</v>
      </c>
      <c r="K105" s="214">
        <v>486564</v>
      </c>
      <c r="L105" s="214">
        <v>876</v>
      </c>
      <c r="M105" s="214">
        <v>22776</v>
      </c>
      <c r="N105" s="215">
        <v>0.90627000000000002</v>
      </c>
    </row>
    <row r="106" spans="1:14" ht="19.7" customHeight="1">
      <c r="A106" s="212" t="s">
        <v>834</v>
      </c>
      <c r="B106" s="212" t="s">
        <v>618</v>
      </c>
      <c r="C106" s="212" t="s">
        <v>453</v>
      </c>
      <c r="D106" s="209">
        <v>3</v>
      </c>
      <c r="E106" s="213" t="s">
        <v>596</v>
      </c>
      <c r="F106" s="209">
        <v>268674</v>
      </c>
      <c r="G106" s="214">
        <v>806022</v>
      </c>
      <c r="H106" s="214">
        <v>115872</v>
      </c>
      <c r="I106" s="214">
        <v>347616</v>
      </c>
      <c r="J106" s="214">
        <v>150123</v>
      </c>
      <c r="K106" s="214">
        <v>450369</v>
      </c>
      <c r="L106" s="214">
        <v>2679</v>
      </c>
      <c r="M106" s="214">
        <v>8037</v>
      </c>
      <c r="N106" s="215">
        <v>0.90627000000000002</v>
      </c>
    </row>
    <row r="107" spans="1:14" ht="19.7" customHeight="1">
      <c r="A107" s="212" t="s">
        <v>834</v>
      </c>
      <c r="B107" s="212" t="s">
        <v>612</v>
      </c>
      <c r="C107" s="212" t="s">
        <v>561</v>
      </c>
      <c r="D107" s="209">
        <v>2</v>
      </c>
      <c r="E107" s="213" t="s">
        <v>476</v>
      </c>
      <c r="F107" s="209">
        <v>37467</v>
      </c>
      <c r="G107" s="214">
        <v>74934</v>
      </c>
      <c r="H107" s="214">
        <v>30304</v>
      </c>
      <c r="I107" s="214">
        <v>60608</v>
      </c>
      <c r="J107" s="214">
        <v>6558</v>
      </c>
      <c r="K107" s="214">
        <v>13116</v>
      </c>
      <c r="L107" s="214">
        <v>605</v>
      </c>
      <c r="M107" s="214">
        <v>1210</v>
      </c>
      <c r="N107" s="215">
        <v>0.90627000000000002</v>
      </c>
    </row>
    <row r="108" spans="1:14" ht="19.7" customHeight="1">
      <c r="A108" s="208" t="s">
        <v>616</v>
      </c>
      <c r="B108" s="208" t="s">
        <v>259</v>
      </c>
      <c r="C108" s="208" t="s">
        <v>834</v>
      </c>
      <c r="D108" s="209"/>
      <c r="E108" s="210" t="s">
        <v>834</v>
      </c>
      <c r="F108" s="209">
        <v>0</v>
      </c>
      <c r="G108" s="211">
        <v>7547567</v>
      </c>
      <c r="H108" s="209">
        <v>0</v>
      </c>
      <c r="I108" s="211" t="s">
        <v>1017</v>
      </c>
      <c r="J108" s="209">
        <v>0</v>
      </c>
      <c r="K108" s="211" t="s">
        <v>1018</v>
      </c>
      <c r="L108" s="209">
        <v>0</v>
      </c>
      <c r="M108" s="211" t="s">
        <v>1019</v>
      </c>
      <c r="N108" s="216"/>
    </row>
    <row r="109" spans="1:14" ht="19.7" customHeight="1">
      <c r="A109" s="212" t="s">
        <v>834</v>
      </c>
      <c r="B109" s="212" t="s">
        <v>439</v>
      </c>
      <c r="C109" s="212" t="s">
        <v>567</v>
      </c>
      <c r="D109" s="209">
        <v>2</v>
      </c>
      <c r="E109" s="213" t="s">
        <v>748</v>
      </c>
      <c r="F109" s="209">
        <v>2380766</v>
      </c>
      <c r="G109" s="214">
        <v>4761532</v>
      </c>
      <c r="H109" s="214">
        <v>734763</v>
      </c>
      <c r="I109" s="214">
        <v>1469526</v>
      </c>
      <c r="J109" s="214">
        <v>119772</v>
      </c>
      <c r="K109" s="214">
        <v>239544</v>
      </c>
      <c r="L109" s="214">
        <v>1526231</v>
      </c>
      <c r="M109" s="214">
        <v>3052462</v>
      </c>
      <c r="N109" s="215">
        <v>0.90627000000000002</v>
      </c>
    </row>
    <row r="110" spans="1:14" ht="19.7" customHeight="1">
      <c r="A110" s="212" t="s">
        <v>834</v>
      </c>
      <c r="B110" s="212" t="s">
        <v>398</v>
      </c>
      <c r="C110" s="212" t="s">
        <v>530</v>
      </c>
      <c r="D110" s="209">
        <v>3</v>
      </c>
      <c r="E110" s="213" t="s">
        <v>748</v>
      </c>
      <c r="F110" s="209">
        <v>882668</v>
      </c>
      <c r="G110" s="214">
        <v>2648004</v>
      </c>
      <c r="H110" s="214">
        <v>501653</v>
      </c>
      <c r="I110" s="214">
        <v>1504959</v>
      </c>
      <c r="J110" s="214">
        <v>221662</v>
      </c>
      <c r="K110" s="214">
        <v>664986</v>
      </c>
      <c r="L110" s="214">
        <v>159353</v>
      </c>
      <c r="M110" s="214">
        <v>478059</v>
      </c>
      <c r="N110" s="215">
        <v>0.90627000000000002</v>
      </c>
    </row>
    <row r="111" spans="1:14" ht="19.7" customHeight="1">
      <c r="A111" s="212" t="s">
        <v>834</v>
      </c>
      <c r="B111" s="212" t="s">
        <v>597</v>
      </c>
      <c r="C111" s="212" t="s">
        <v>530</v>
      </c>
      <c r="D111" s="209">
        <v>1</v>
      </c>
      <c r="E111" s="213" t="s">
        <v>366</v>
      </c>
      <c r="F111" s="209">
        <v>134013</v>
      </c>
      <c r="G111" s="214">
        <v>134013</v>
      </c>
      <c r="H111" s="214">
        <v>57434</v>
      </c>
      <c r="I111" s="214">
        <v>57434</v>
      </c>
      <c r="J111" s="214">
        <v>76579</v>
      </c>
      <c r="K111" s="214">
        <v>76579</v>
      </c>
      <c r="L111" s="214">
        <v>0</v>
      </c>
      <c r="M111" s="214">
        <v>0</v>
      </c>
      <c r="N111" s="215">
        <v>0.90627000000000002</v>
      </c>
    </row>
    <row r="112" spans="1:14" ht="19.7" customHeight="1">
      <c r="A112" s="212" t="s">
        <v>834</v>
      </c>
      <c r="B112" s="212" t="s">
        <v>545</v>
      </c>
      <c r="C112" s="212" t="s">
        <v>280</v>
      </c>
      <c r="D112" s="209">
        <v>1</v>
      </c>
      <c r="E112" s="213" t="s">
        <v>574</v>
      </c>
      <c r="F112" s="209">
        <v>4018</v>
      </c>
      <c r="G112" s="214">
        <v>4018</v>
      </c>
      <c r="H112" s="214">
        <v>2302</v>
      </c>
      <c r="I112" s="214">
        <v>2302</v>
      </c>
      <c r="J112" s="214">
        <v>759</v>
      </c>
      <c r="K112" s="214">
        <v>759</v>
      </c>
      <c r="L112" s="214">
        <v>957</v>
      </c>
      <c r="M112" s="214">
        <v>957</v>
      </c>
      <c r="N112" s="215">
        <v>0.90627000000000002</v>
      </c>
    </row>
    <row r="113" spans="1:14" ht="19.7" customHeight="1">
      <c r="A113" s="212" t="s">
        <v>834</v>
      </c>
      <c r="B113" s="212" t="s">
        <v>834</v>
      </c>
      <c r="C113" s="212" t="s">
        <v>834</v>
      </c>
      <c r="D113" s="209"/>
      <c r="E113" s="213" t="s">
        <v>834</v>
      </c>
      <c r="F113" s="209">
        <v>0</v>
      </c>
      <c r="G113" s="214">
        <v>0</v>
      </c>
      <c r="H113" s="209">
        <v>0</v>
      </c>
      <c r="I113" s="209"/>
      <c r="J113" s="209">
        <v>0</v>
      </c>
      <c r="K113" s="209"/>
      <c r="L113" s="209">
        <v>0</v>
      </c>
      <c r="M113" s="209"/>
      <c r="N113" s="215"/>
    </row>
    <row r="114" spans="1:14" ht="19.7" customHeight="1">
      <c r="A114" s="208" t="s">
        <v>719</v>
      </c>
      <c r="B114" s="208" t="s">
        <v>251</v>
      </c>
      <c r="C114" s="208" t="s">
        <v>834</v>
      </c>
      <c r="D114" s="209"/>
      <c r="E114" s="210" t="s">
        <v>834</v>
      </c>
      <c r="F114" s="209">
        <v>0</v>
      </c>
      <c r="G114" s="211">
        <v>7562038</v>
      </c>
      <c r="H114" s="209">
        <v>0</v>
      </c>
      <c r="I114" s="211" t="s">
        <v>1020</v>
      </c>
      <c r="J114" s="209">
        <v>0</v>
      </c>
      <c r="K114" s="211" t="s">
        <v>1021</v>
      </c>
      <c r="L114" s="209">
        <v>0</v>
      </c>
      <c r="M114" s="211" t="s">
        <v>1022</v>
      </c>
      <c r="N114" s="216"/>
    </row>
    <row r="115" spans="1:14" ht="19.7" customHeight="1">
      <c r="A115" s="208" t="s">
        <v>226</v>
      </c>
      <c r="B115" s="208" t="s">
        <v>102</v>
      </c>
      <c r="C115" s="208" t="s">
        <v>834</v>
      </c>
      <c r="D115" s="209"/>
      <c r="E115" s="210" t="s">
        <v>834</v>
      </c>
      <c r="F115" s="209">
        <v>0</v>
      </c>
      <c r="G115" s="211">
        <v>4160573</v>
      </c>
      <c r="H115" s="209">
        <v>0</v>
      </c>
      <c r="I115" s="211" t="s">
        <v>1023</v>
      </c>
      <c r="J115" s="209">
        <v>0</v>
      </c>
      <c r="K115" s="211" t="s">
        <v>1024</v>
      </c>
      <c r="L115" s="209">
        <v>0</v>
      </c>
      <c r="M115" s="211" t="s">
        <v>1025</v>
      </c>
      <c r="N115" s="216"/>
    </row>
    <row r="116" spans="1:14" ht="19.7" customHeight="1">
      <c r="A116" s="208" t="s">
        <v>834</v>
      </c>
      <c r="B116" s="208" t="s">
        <v>350</v>
      </c>
      <c r="C116" s="208" t="s">
        <v>834</v>
      </c>
      <c r="D116" s="209"/>
      <c r="E116" s="210" t="s">
        <v>834</v>
      </c>
      <c r="F116" s="209">
        <v>0</v>
      </c>
      <c r="G116" s="211">
        <v>825230</v>
      </c>
      <c r="H116" s="209">
        <v>0</v>
      </c>
      <c r="I116" s="211" t="s">
        <v>1026</v>
      </c>
      <c r="J116" s="209">
        <v>0</v>
      </c>
      <c r="K116" s="211" t="s">
        <v>1027</v>
      </c>
      <c r="L116" s="209">
        <v>0</v>
      </c>
      <c r="M116" s="211" t="s">
        <v>1028</v>
      </c>
      <c r="N116" s="216"/>
    </row>
    <row r="117" spans="1:14" ht="19.7" customHeight="1">
      <c r="A117" s="212" t="s">
        <v>834</v>
      </c>
      <c r="B117" s="212" t="s">
        <v>319</v>
      </c>
      <c r="C117" s="212" t="s">
        <v>191</v>
      </c>
      <c r="D117" s="209">
        <v>2</v>
      </c>
      <c r="E117" s="213" t="s">
        <v>596</v>
      </c>
      <c r="F117" s="209">
        <v>76993</v>
      </c>
      <c r="G117" s="214">
        <v>153986</v>
      </c>
      <c r="H117" s="214">
        <v>57403</v>
      </c>
      <c r="I117" s="214">
        <v>114806</v>
      </c>
      <c r="J117" s="214">
        <v>18714</v>
      </c>
      <c r="K117" s="214">
        <v>37428</v>
      </c>
      <c r="L117" s="214">
        <v>876</v>
      </c>
      <c r="M117" s="214">
        <v>1752</v>
      </c>
      <c r="N117" s="215">
        <v>0.90627000000000002</v>
      </c>
    </row>
    <row r="118" spans="1:14" ht="19.7" customHeight="1">
      <c r="A118" s="212" t="s">
        <v>834</v>
      </c>
      <c r="B118" s="212" t="s">
        <v>618</v>
      </c>
      <c r="C118" s="212" t="s">
        <v>453</v>
      </c>
      <c r="D118" s="209">
        <v>1</v>
      </c>
      <c r="E118" s="213" t="s">
        <v>596</v>
      </c>
      <c r="F118" s="209">
        <v>268674</v>
      </c>
      <c r="G118" s="214">
        <v>268674</v>
      </c>
      <c r="H118" s="214">
        <v>115872</v>
      </c>
      <c r="I118" s="214">
        <v>115872</v>
      </c>
      <c r="J118" s="214">
        <v>150123</v>
      </c>
      <c r="K118" s="214">
        <v>150123</v>
      </c>
      <c r="L118" s="214">
        <v>2679</v>
      </c>
      <c r="M118" s="214">
        <v>2679</v>
      </c>
      <c r="N118" s="215">
        <v>0.90627000000000002</v>
      </c>
    </row>
    <row r="119" spans="1:14" ht="19.7" customHeight="1">
      <c r="A119" s="212" t="s">
        <v>834</v>
      </c>
      <c r="B119" s="212" t="s">
        <v>438</v>
      </c>
      <c r="C119" s="212" t="s">
        <v>33</v>
      </c>
      <c r="D119" s="209">
        <v>1</v>
      </c>
      <c r="E119" s="213" t="s">
        <v>596</v>
      </c>
      <c r="F119" s="209">
        <v>402570</v>
      </c>
      <c r="G119" s="214">
        <v>402570</v>
      </c>
      <c r="H119" s="214">
        <v>139640</v>
      </c>
      <c r="I119" s="214">
        <v>139640</v>
      </c>
      <c r="J119" s="214">
        <v>259755</v>
      </c>
      <c r="K119" s="214">
        <v>259755</v>
      </c>
      <c r="L119" s="214">
        <v>3175</v>
      </c>
      <c r="M119" s="214">
        <v>3175</v>
      </c>
      <c r="N119" s="215">
        <v>0.90627000000000002</v>
      </c>
    </row>
    <row r="120" spans="1:14" ht="19.7" customHeight="1">
      <c r="A120" s="208" t="s">
        <v>834</v>
      </c>
      <c r="B120" s="208" t="s">
        <v>230</v>
      </c>
      <c r="C120" s="208" t="s">
        <v>834</v>
      </c>
      <c r="D120" s="209"/>
      <c r="E120" s="210" t="s">
        <v>834</v>
      </c>
      <c r="F120" s="209">
        <v>0</v>
      </c>
      <c r="G120" s="211">
        <v>1765796</v>
      </c>
      <c r="H120" s="209">
        <v>0</v>
      </c>
      <c r="I120" s="211" t="s">
        <v>1029</v>
      </c>
      <c r="J120" s="209">
        <v>0</v>
      </c>
      <c r="K120" s="211" t="s">
        <v>1030</v>
      </c>
      <c r="L120" s="209">
        <v>0</v>
      </c>
      <c r="M120" s="211" t="s">
        <v>1031</v>
      </c>
      <c r="N120" s="216"/>
    </row>
    <row r="121" spans="1:14" ht="19.7" customHeight="1">
      <c r="A121" s="212" t="s">
        <v>834</v>
      </c>
      <c r="B121" s="212" t="s">
        <v>319</v>
      </c>
      <c r="C121" s="212" t="s">
        <v>500</v>
      </c>
      <c r="D121" s="209">
        <v>13</v>
      </c>
      <c r="E121" s="213" t="s">
        <v>596</v>
      </c>
      <c r="F121" s="209">
        <v>91558</v>
      </c>
      <c r="G121" s="214">
        <v>1190254</v>
      </c>
      <c r="H121" s="214">
        <v>70059</v>
      </c>
      <c r="I121" s="214">
        <v>910767</v>
      </c>
      <c r="J121" s="214">
        <v>20572</v>
      </c>
      <c r="K121" s="214">
        <v>267436</v>
      </c>
      <c r="L121" s="214">
        <v>927</v>
      </c>
      <c r="M121" s="214">
        <v>12051</v>
      </c>
      <c r="N121" s="215">
        <v>0.90627000000000002</v>
      </c>
    </row>
    <row r="122" spans="1:14" ht="19.7" customHeight="1">
      <c r="A122" s="212" t="s">
        <v>834</v>
      </c>
      <c r="B122" s="212" t="s">
        <v>618</v>
      </c>
      <c r="C122" s="212" t="s">
        <v>217</v>
      </c>
      <c r="D122" s="209">
        <v>2</v>
      </c>
      <c r="E122" s="213" t="s">
        <v>596</v>
      </c>
      <c r="F122" s="209">
        <v>287771</v>
      </c>
      <c r="G122" s="214">
        <v>575542</v>
      </c>
      <c r="H122" s="214">
        <v>128529</v>
      </c>
      <c r="I122" s="214">
        <v>257058</v>
      </c>
      <c r="J122" s="214">
        <v>156512</v>
      </c>
      <c r="K122" s="214">
        <v>313024</v>
      </c>
      <c r="L122" s="214">
        <v>2730</v>
      </c>
      <c r="M122" s="214">
        <v>5460</v>
      </c>
      <c r="N122" s="215">
        <v>0.90627000000000002</v>
      </c>
    </row>
    <row r="123" spans="1:14" ht="19.7" customHeight="1">
      <c r="A123" s="208" t="s">
        <v>834</v>
      </c>
      <c r="B123" s="208" t="s">
        <v>201</v>
      </c>
      <c r="C123" s="208" t="s">
        <v>834</v>
      </c>
      <c r="D123" s="209"/>
      <c r="E123" s="210" t="s">
        <v>834</v>
      </c>
      <c r="F123" s="209">
        <v>0</v>
      </c>
      <c r="G123" s="211">
        <v>576646</v>
      </c>
      <c r="H123" s="209">
        <v>0</v>
      </c>
      <c r="I123" s="211" t="s">
        <v>1032</v>
      </c>
      <c r="J123" s="209">
        <v>0</v>
      </c>
      <c r="K123" s="211" t="s">
        <v>1033</v>
      </c>
      <c r="L123" s="209">
        <v>0</v>
      </c>
      <c r="M123" s="211" t="s">
        <v>1034</v>
      </c>
      <c r="N123" s="216"/>
    </row>
    <row r="124" spans="1:14" ht="19.7" customHeight="1">
      <c r="A124" s="212" t="s">
        <v>834</v>
      </c>
      <c r="B124" s="212" t="s">
        <v>319</v>
      </c>
      <c r="C124" s="212" t="s">
        <v>191</v>
      </c>
      <c r="D124" s="209">
        <v>4</v>
      </c>
      <c r="E124" s="213" t="s">
        <v>596</v>
      </c>
      <c r="F124" s="209">
        <v>76993</v>
      </c>
      <c r="G124" s="214">
        <v>307972</v>
      </c>
      <c r="H124" s="214">
        <v>57403</v>
      </c>
      <c r="I124" s="214">
        <v>229612</v>
      </c>
      <c r="J124" s="214">
        <v>18714</v>
      </c>
      <c r="K124" s="214">
        <v>74856</v>
      </c>
      <c r="L124" s="214">
        <v>876</v>
      </c>
      <c r="M124" s="214">
        <v>3504</v>
      </c>
      <c r="N124" s="215">
        <v>0.90627000000000002</v>
      </c>
    </row>
    <row r="125" spans="1:14" ht="19.7" customHeight="1">
      <c r="A125" s="212" t="s">
        <v>834</v>
      </c>
      <c r="B125" s="212" t="s">
        <v>618</v>
      </c>
      <c r="C125" s="212" t="s">
        <v>453</v>
      </c>
      <c r="D125" s="209">
        <v>1</v>
      </c>
      <c r="E125" s="213" t="s">
        <v>596</v>
      </c>
      <c r="F125" s="209">
        <v>268674</v>
      </c>
      <c r="G125" s="214">
        <v>268674</v>
      </c>
      <c r="H125" s="214">
        <v>115872</v>
      </c>
      <c r="I125" s="214">
        <v>115872</v>
      </c>
      <c r="J125" s="214">
        <v>150123</v>
      </c>
      <c r="K125" s="214">
        <v>150123</v>
      </c>
      <c r="L125" s="214">
        <v>2679</v>
      </c>
      <c r="M125" s="214">
        <v>2679</v>
      </c>
      <c r="N125" s="215">
        <v>0.90627000000000002</v>
      </c>
    </row>
    <row r="126" spans="1:14" ht="19.7" customHeight="1">
      <c r="A126" s="208" t="s">
        <v>834</v>
      </c>
      <c r="B126" s="208" t="s">
        <v>776</v>
      </c>
      <c r="C126" s="208" t="s">
        <v>834</v>
      </c>
      <c r="D126" s="209"/>
      <c r="E126" s="210" t="s">
        <v>834</v>
      </c>
      <c r="F126" s="209">
        <v>0</v>
      </c>
      <c r="G126" s="211">
        <v>992901</v>
      </c>
      <c r="H126" s="209">
        <v>0</v>
      </c>
      <c r="I126" s="211" t="s">
        <v>1035</v>
      </c>
      <c r="J126" s="209">
        <v>0</v>
      </c>
      <c r="K126" s="211" t="s">
        <v>1036</v>
      </c>
      <c r="L126" s="209">
        <v>0</v>
      </c>
      <c r="M126" s="211" t="s">
        <v>1037</v>
      </c>
      <c r="N126" s="216"/>
    </row>
    <row r="127" spans="1:14" ht="19.7" customHeight="1">
      <c r="A127" s="212" t="s">
        <v>834</v>
      </c>
      <c r="B127" s="212" t="s">
        <v>319</v>
      </c>
      <c r="C127" s="212" t="s">
        <v>191</v>
      </c>
      <c r="D127" s="209">
        <v>6</v>
      </c>
      <c r="E127" s="213" t="s">
        <v>596</v>
      </c>
      <c r="F127" s="209">
        <v>76993</v>
      </c>
      <c r="G127" s="214">
        <v>461958</v>
      </c>
      <c r="H127" s="214">
        <v>57403</v>
      </c>
      <c r="I127" s="214">
        <v>344418</v>
      </c>
      <c r="J127" s="214">
        <v>18714</v>
      </c>
      <c r="K127" s="214">
        <v>112284</v>
      </c>
      <c r="L127" s="214">
        <v>876</v>
      </c>
      <c r="M127" s="214">
        <v>5256</v>
      </c>
      <c r="N127" s="215">
        <v>0.90627000000000002</v>
      </c>
    </row>
    <row r="128" spans="1:14" ht="19.7" customHeight="1">
      <c r="A128" s="212" t="s">
        <v>834</v>
      </c>
      <c r="B128" s="212" t="s">
        <v>618</v>
      </c>
      <c r="C128" s="212" t="s">
        <v>453</v>
      </c>
      <c r="D128" s="209">
        <v>1</v>
      </c>
      <c r="E128" s="213" t="s">
        <v>596</v>
      </c>
      <c r="F128" s="209">
        <v>268674</v>
      </c>
      <c r="G128" s="214">
        <v>268674</v>
      </c>
      <c r="H128" s="214">
        <v>115872</v>
      </c>
      <c r="I128" s="214">
        <v>115872</v>
      </c>
      <c r="J128" s="214">
        <v>150123</v>
      </c>
      <c r="K128" s="214">
        <v>150123</v>
      </c>
      <c r="L128" s="214">
        <v>2679</v>
      </c>
      <c r="M128" s="214">
        <v>2679</v>
      </c>
      <c r="N128" s="215">
        <v>0.90627000000000002</v>
      </c>
    </row>
    <row r="129" spans="1:14" ht="19.7" customHeight="1">
      <c r="A129" s="212" t="s">
        <v>834</v>
      </c>
      <c r="B129" s="212" t="s">
        <v>612</v>
      </c>
      <c r="C129" s="212" t="s">
        <v>561</v>
      </c>
      <c r="D129" s="209">
        <v>7</v>
      </c>
      <c r="E129" s="213" t="s">
        <v>476</v>
      </c>
      <c r="F129" s="209">
        <v>37467</v>
      </c>
      <c r="G129" s="214">
        <v>262269</v>
      </c>
      <c r="H129" s="214">
        <v>30304</v>
      </c>
      <c r="I129" s="214">
        <v>212128</v>
      </c>
      <c r="J129" s="214">
        <v>6558</v>
      </c>
      <c r="K129" s="214">
        <v>45906</v>
      </c>
      <c r="L129" s="214">
        <v>605</v>
      </c>
      <c r="M129" s="214">
        <v>4235</v>
      </c>
      <c r="N129" s="215">
        <v>0.90627000000000002</v>
      </c>
    </row>
    <row r="130" spans="1:14" ht="19.7" customHeight="1">
      <c r="A130" s="208" t="s">
        <v>786</v>
      </c>
      <c r="B130" s="208" t="s">
        <v>259</v>
      </c>
      <c r="C130" s="208" t="s">
        <v>834</v>
      </c>
      <c r="D130" s="209"/>
      <c r="E130" s="210" t="s">
        <v>834</v>
      </c>
      <c r="F130" s="209">
        <v>0</v>
      </c>
      <c r="G130" s="211">
        <v>3401465</v>
      </c>
      <c r="H130" s="209">
        <v>0</v>
      </c>
      <c r="I130" s="211" t="s">
        <v>957</v>
      </c>
      <c r="J130" s="209">
        <v>0</v>
      </c>
      <c r="K130" s="211" t="s">
        <v>958</v>
      </c>
      <c r="L130" s="209">
        <v>0</v>
      </c>
      <c r="M130" s="211" t="s">
        <v>959</v>
      </c>
      <c r="N130" s="216"/>
    </row>
    <row r="131" spans="1:14" ht="19.7" customHeight="1">
      <c r="A131" s="212" t="s">
        <v>834</v>
      </c>
      <c r="B131" s="212" t="s">
        <v>439</v>
      </c>
      <c r="C131" s="212" t="s">
        <v>567</v>
      </c>
      <c r="D131" s="209">
        <v>1</v>
      </c>
      <c r="E131" s="213" t="s">
        <v>748</v>
      </c>
      <c r="F131" s="209">
        <v>2380766</v>
      </c>
      <c r="G131" s="214">
        <v>2380766</v>
      </c>
      <c r="H131" s="214">
        <v>734763</v>
      </c>
      <c r="I131" s="214">
        <v>734763</v>
      </c>
      <c r="J131" s="214">
        <v>119772</v>
      </c>
      <c r="K131" s="214">
        <v>119772</v>
      </c>
      <c r="L131" s="214">
        <v>1526231</v>
      </c>
      <c r="M131" s="214">
        <v>1526231</v>
      </c>
      <c r="N131" s="215">
        <v>0.90627000000000002</v>
      </c>
    </row>
    <row r="132" spans="1:14" ht="19.7" customHeight="1">
      <c r="A132" s="212" t="s">
        <v>834</v>
      </c>
      <c r="B132" s="212" t="s">
        <v>398</v>
      </c>
      <c r="C132" s="212" t="s">
        <v>530</v>
      </c>
      <c r="D132" s="209">
        <v>1</v>
      </c>
      <c r="E132" s="213" t="s">
        <v>748</v>
      </c>
      <c r="F132" s="209">
        <v>882668</v>
      </c>
      <c r="G132" s="214">
        <v>882668</v>
      </c>
      <c r="H132" s="214">
        <v>501653</v>
      </c>
      <c r="I132" s="214">
        <v>501653</v>
      </c>
      <c r="J132" s="214">
        <v>221662</v>
      </c>
      <c r="K132" s="214">
        <v>221662</v>
      </c>
      <c r="L132" s="214">
        <v>159353</v>
      </c>
      <c r="M132" s="214">
        <v>159353</v>
      </c>
      <c r="N132" s="215">
        <v>0.90627000000000002</v>
      </c>
    </row>
    <row r="133" spans="1:14" ht="19.7" customHeight="1">
      <c r="A133" s="212" t="s">
        <v>834</v>
      </c>
      <c r="B133" s="212" t="s">
        <v>597</v>
      </c>
      <c r="C133" s="212" t="s">
        <v>530</v>
      </c>
      <c r="D133" s="209">
        <v>1</v>
      </c>
      <c r="E133" s="213" t="s">
        <v>366</v>
      </c>
      <c r="F133" s="209">
        <v>134013</v>
      </c>
      <c r="G133" s="214">
        <v>134013</v>
      </c>
      <c r="H133" s="214">
        <v>57434</v>
      </c>
      <c r="I133" s="214">
        <v>57434</v>
      </c>
      <c r="J133" s="214">
        <v>76579</v>
      </c>
      <c r="K133" s="214">
        <v>76579</v>
      </c>
      <c r="L133" s="214">
        <v>0</v>
      </c>
      <c r="M133" s="214">
        <v>0</v>
      </c>
      <c r="N133" s="215">
        <v>0.90627000000000002</v>
      </c>
    </row>
    <row r="134" spans="1:14" ht="19.7" customHeight="1">
      <c r="A134" s="212" t="s">
        <v>834</v>
      </c>
      <c r="B134" s="212" t="s">
        <v>545</v>
      </c>
      <c r="C134" s="212" t="s">
        <v>280</v>
      </c>
      <c r="D134" s="209">
        <v>1</v>
      </c>
      <c r="E134" s="213" t="s">
        <v>574</v>
      </c>
      <c r="F134" s="209">
        <v>4018</v>
      </c>
      <c r="G134" s="214">
        <v>4018</v>
      </c>
      <c r="H134" s="214">
        <v>2302</v>
      </c>
      <c r="I134" s="214">
        <v>2302</v>
      </c>
      <c r="J134" s="214">
        <v>759</v>
      </c>
      <c r="K134" s="214">
        <v>759</v>
      </c>
      <c r="L134" s="214">
        <v>957</v>
      </c>
      <c r="M134" s="214">
        <v>957</v>
      </c>
      <c r="N134" s="215">
        <v>0.90627000000000002</v>
      </c>
    </row>
    <row r="135" spans="1:14" ht="19.7" customHeight="1">
      <c r="A135" s="212" t="s">
        <v>834</v>
      </c>
      <c r="B135" s="212" t="s">
        <v>834</v>
      </c>
      <c r="C135" s="212" t="s">
        <v>834</v>
      </c>
      <c r="D135" s="209"/>
      <c r="E135" s="213" t="s">
        <v>834</v>
      </c>
      <c r="F135" s="209">
        <v>0</v>
      </c>
      <c r="G135" s="214">
        <v>0</v>
      </c>
      <c r="H135" s="209">
        <v>0</v>
      </c>
      <c r="I135" s="209"/>
      <c r="J135" s="209">
        <v>0</v>
      </c>
      <c r="K135" s="209"/>
      <c r="L135" s="209">
        <v>0</v>
      </c>
      <c r="M135" s="209"/>
      <c r="N135" s="215"/>
    </row>
    <row r="136" spans="1:14" ht="19.7" customHeight="1">
      <c r="A136" s="208" t="s">
        <v>314</v>
      </c>
      <c r="B136" s="208" t="s">
        <v>600</v>
      </c>
      <c r="C136" s="208" t="s">
        <v>834</v>
      </c>
      <c r="D136" s="209"/>
      <c r="E136" s="210" t="s">
        <v>834</v>
      </c>
      <c r="F136" s="209">
        <v>0</v>
      </c>
      <c r="G136" s="211">
        <v>17500697</v>
      </c>
      <c r="H136" s="209">
        <v>0</v>
      </c>
      <c r="I136" s="211" t="s">
        <v>1038</v>
      </c>
      <c r="J136" s="209">
        <v>0</v>
      </c>
      <c r="K136" s="211" t="s">
        <v>1039</v>
      </c>
      <c r="L136" s="209">
        <v>0</v>
      </c>
      <c r="M136" s="211" t="s">
        <v>1040</v>
      </c>
      <c r="N136" s="216"/>
    </row>
    <row r="137" spans="1:14" ht="19.7" customHeight="1">
      <c r="A137" s="208" t="s">
        <v>47</v>
      </c>
      <c r="B137" s="208" t="s">
        <v>102</v>
      </c>
      <c r="C137" s="208" t="s">
        <v>834</v>
      </c>
      <c r="D137" s="209"/>
      <c r="E137" s="210" t="s">
        <v>834</v>
      </c>
      <c r="F137" s="209">
        <v>0</v>
      </c>
      <c r="G137" s="211">
        <v>13216564</v>
      </c>
      <c r="H137" s="209">
        <v>0</v>
      </c>
      <c r="I137" s="211" t="s">
        <v>1041</v>
      </c>
      <c r="J137" s="209">
        <v>0</v>
      </c>
      <c r="K137" s="211" t="s">
        <v>1042</v>
      </c>
      <c r="L137" s="209">
        <v>0</v>
      </c>
      <c r="M137" s="211" t="s">
        <v>1043</v>
      </c>
      <c r="N137" s="216"/>
    </row>
    <row r="138" spans="1:14" ht="19.7" customHeight="1">
      <c r="A138" s="208" t="s">
        <v>834</v>
      </c>
      <c r="B138" s="208" t="s">
        <v>350</v>
      </c>
      <c r="C138" s="208" t="s">
        <v>834</v>
      </c>
      <c r="D138" s="209"/>
      <c r="E138" s="210" t="s">
        <v>834</v>
      </c>
      <c r="F138" s="209">
        <v>0</v>
      </c>
      <c r="G138" s="211">
        <v>7236054</v>
      </c>
      <c r="H138" s="209">
        <v>0</v>
      </c>
      <c r="I138" s="211" t="s">
        <v>1044</v>
      </c>
      <c r="J138" s="209">
        <v>0</v>
      </c>
      <c r="K138" s="211" t="s">
        <v>1045</v>
      </c>
      <c r="L138" s="209">
        <v>0</v>
      </c>
      <c r="M138" s="211" t="s">
        <v>1046</v>
      </c>
      <c r="N138" s="216"/>
    </row>
    <row r="139" spans="1:14" ht="19.7" customHeight="1">
      <c r="A139" s="212" t="s">
        <v>834</v>
      </c>
      <c r="B139" s="212" t="s">
        <v>319</v>
      </c>
      <c r="C139" s="212" t="s">
        <v>797</v>
      </c>
      <c r="D139" s="209">
        <v>18</v>
      </c>
      <c r="E139" s="213" t="s">
        <v>596</v>
      </c>
      <c r="F139" s="209">
        <v>57859</v>
      </c>
      <c r="G139" s="214">
        <v>1041462</v>
      </c>
      <c r="H139" s="214">
        <v>38269</v>
      </c>
      <c r="I139" s="214">
        <v>688842</v>
      </c>
      <c r="J139" s="214">
        <v>18714</v>
      </c>
      <c r="K139" s="214">
        <v>336852</v>
      </c>
      <c r="L139" s="214">
        <v>876</v>
      </c>
      <c r="M139" s="214">
        <v>15768</v>
      </c>
      <c r="N139" s="215">
        <v>0.90627000000000002</v>
      </c>
    </row>
    <row r="140" spans="1:14" ht="19.7" customHeight="1">
      <c r="A140" s="212" t="s">
        <v>834</v>
      </c>
      <c r="B140" s="212" t="s">
        <v>618</v>
      </c>
      <c r="C140" s="212" t="s">
        <v>453</v>
      </c>
      <c r="D140" s="209">
        <v>21</v>
      </c>
      <c r="E140" s="213" t="s">
        <v>596</v>
      </c>
      <c r="F140" s="209">
        <v>268674</v>
      </c>
      <c r="G140" s="214">
        <v>5642154</v>
      </c>
      <c r="H140" s="214">
        <v>115872</v>
      </c>
      <c r="I140" s="214">
        <v>2433312</v>
      </c>
      <c r="J140" s="214">
        <v>150123</v>
      </c>
      <c r="K140" s="214">
        <v>3152583</v>
      </c>
      <c r="L140" s="214">
        <v>2679</v>
      </c>
      <c r="M140" s="214">
        <v>56259</v>
      </c>
      <c r="N140" s="215">
        <v>0.90627000000000002</v>
      </c>
    </row>
    <row r="141" spans="1:14" ht="19.7" customHeight="1">
      <c r="A141" s="212" t="s">
        <v>834</v>
      </c>
      <c r="B141" s="212" t="s">
        <v>438</v>
      </c>
      <c r="C141" s="212" t="s">
        <v>33</v>
      </c>
      <c r="D141" s="209">
        <v>1</v>
      </c>
      <c r="E141" s="213" t="s">
        <v>596</v>
      </c>
      <c r="F141" s="209">
        <v>402570</v>
      </c>
      <c r="G141" s="214">
        <v>402570</v>
      </c>
      <c r="H141" s="214">
        <v>139640</v>
      </c>
      <c r="I141" s="214">
        <v>139640</v>
      </c>
      <c r="J141" s="214">
        <v>259755</v>
      </c>
      <c r="K141" s="214">
        <v>259755</v>
      </c>
      <c r="L141" s="214">
        <v>3175</v>
      </c>
      <c r="M141" s="214">
        <v>3175</v>
      </c>
      <c r="N141" s="215">
        <v>0.90627000000000002</v>
      </c>
    </row>
    <row r="142" spans="1:14" ht="19.7" customHeight="1">
      <c r="A142" s="212" t="s">
        <v>834</v>
      </c>
      <c r="B142" s="212" t="s">
        <v>612</v>
      </c>
      <c r="C142" s="212" t="s">
        <v>561</v>
      </c>
      <c r="D142" s="209">
        <v>4</v>
      </c>
      <c r="E142" s="213" t="s">
        <v>476</v>
      </c>
      <c r="F142" s="209">
        <v>37467</v>
      </c>
      <c r="G142" s="214">
        <v>149868</v>
      </c>
      <c r="H142" s="214">
        <v>30304</v>
      </c>
      <c r="I142" s="214">
        <v>121216</v>
      </c>
      <c r="J142" s="214">
        <v>6558</v>
      </c>
      <c r="K142" s="214">
        <v>26232</v>
      </c>
      <c r="L142" s="214">
        <v>605</v>
      </c>
      <c r="M142" s="214">
        <v>2420</v>
      </c>
      <c r="N142" s="215">
        <v>0.90627000000000002</v>
      </c>
    </row>
    <row r="143" spans="1:14" ht="19.7" customHeight="1">
      <c r="A143" s="208" t="s">
        <v>834</v>
      </c>
      <c r="B143" s="208" t="s">
        <v>230</v>
      </c>
      <c r="C143" s="208" t="s">
        <v>834</v>
      </c>
      <c r="D143" s="209"/>
      <c r="E143" s="210" t="s">
        <v>834</v>
      </c>
      <c r="F143" s="209">
        <v>0</v>
      </c>
      <c r="G143" s="211">
        <v>2863095</v>
      </c>
      <c r="H143" s="209">
        <v>0</v>
      </c>
      <c r="I143" s="211" t="s">
        <v>1047</v>
      </c>
      <c r="J143" s="209">
        <v>0</v>
      </c>
      <c r="K143" s="211" t="s">
        <v>1048</v>
      </c>
      <c r="L143" s="209">
        <v>0</v>
      </c>
      <c r="M143" s="211" t="s">
        <v>1049</v>
      </c>
      <c r="N143" s="216"/>
    </row>
    <row r="144" spans="1:14" ht="19.7" customHeight="1">
      <c r="A144" s="212" t="s">
        <v>834</v>
      </c>
      <c r="B144" s="212" t="s">
        <v>319</v>
      </c>
      <c r="C144" s="212" t="s">
        <v>500</v>
      </c>
      <c r="D144" s="209">
        <v>19</v>
      </c>
      <c r="E144" s="213" t="s">
        <v>596</v>
      </c>
      <c r="F144" s="209">
        <v>91558</v>
      </c>
      <c r="G144" s="214">
        <v>1739602</v>
      </c>
      <c r="H144" s="214">
        <v>70059</v>
      </c>
      <c r="I144" s="214">
        <v>1331121</v>
      </c>
      <c r="J144" s="214">
        <v>20572</v>
      </c>
      <c r="K144" s="214">
        <v>390868</v>
      </c>
      <c r="L144" s="214">
        <v>927</v>
      </c>
      <c r="M144" s="214">
        <v>17613</v>
      </c>
      <c r="N144" s="215">
        <v>0.90627000000000002</v>
      </c>
    </row>
    <row r="145" spans="1:14" ht="19.7" customHeight="1">
      <c r="A145" s="212" t="s">
        <v>834</v>
      </c>
      <c r="B145" s="212" t="s">
        <v>618</v>
      </c>
      <c r="C145" s="212" t="s">
        <v>217</v>
      </c>
      <c r="D145" s="209">
        <v>1</v>
      </c>
      <c r="E145" s="213" t="s">
        <v>596</v>
      </c>
      <c r="F145" s="209">
        <v>287771</v>
      </c>
      <c r="G145" s="214">
        <v>287771</v>
      </c>
      <c r="H145" s="214">
        <v>128529</v>
      </c>
      <c r="I145" s="214">
        <v>128529</v>
      </c>
      <c r="J145" s="214">
        <v>156512</v>
      </c>
      <c r="K145" s="214">
        <v>156512</v>
      </c>
      <c r="L145" s="214">
        <v>2730</v>
      </c>
      <c r="M145" s="214">
        <v>2730</v>
      </c>
      <c r="N145" s="215">
        <v>0.90627000000000002</v>
      </c>
    </row>
    <row r="146" spans="1:14" ht="19.7" customHeight="1">
      <c r="A146" s="212" t="s">
        <v>834</v>
      </c>
      <c r="B146" s="212" t="s">
        <v>438</v>
      </c>
      <c r="C146" s="212" t="s">
        <v>609</v>
      </c>
      <c r="D146" s="209">
        <v>2</v>
      </c>
      <c r="E146" s="213" t="s">
        <v>596</v>
      </c>
      <c r="F146" s="209">
        <v>417861</v>
      </c>
      <c r="G146" s="214">
        <v>835722</v>
      </c>
      <c r="H146" s="214">
        <v>153023</v>
      </c>
      <c r="I146" s="214">
        <v>306046</v>
      </c>
      <c r="J146" s="214">
        <v>261612</v>
      </c>
      <c r="K146" s="214">
        <v>523224</v>
      </c>
      <c r="L146" s="214">
        <v>3226</v>
      </c>
      <c r="M146" s="214">
        <v>6452</v>
      </c>
      <c r="N146" s="215">
        <v>0.90627000000000002</v>
      </c>
    </row>
    <row r="147" spans="1:14" ht="19.7" customHeight="1">
      <c r="A147" s="208" t="s">
        <v>834</v>
      </c>
      <c r="B147" s="208" t="s">
        <v>201</v>
      </c>
      <c r="C147" s="208" t="s">
        <v>834</v>
      </c>
      <c r="D147" s="209"/>
      <c r="E147" s="210" t="s">
        <v>834</v>
      </c>
      <c r="F147" s="209">
        <v>0</v>
      </c>
      <c r="G147" s="211">
        <v>2732450</v>
      </c>
      <c r="H147" s="209">
        <v>0</v>
      </c>
      <c r="I147" s="211" t="s">
        <v>1050</v>
      </c>
      <c r="J147" s="209">
        <v>0</v>
      </c>
      <c r="K147" s="211" t="s">
        <v>1051</v>
      </c>
      <c r="L147" s="209">
        <v>0</v>
      </c>
      <c r="M147" s="211" t="s">
        <v>1052</v>
      </c>
      <c r="N147" s="216"/>
    </row>
    <row r="148" spans="1:14" ht="19.7" customHeight="1">
      <c r="A148" s="212" t="s">
        <v>834</v>
      </c>
      <c r="B148" s="212" t="s">
        <v>319</v>
      </c>
      <c r="C148" s="212" t="s">
        <v>191</v>
      </c>
      <c r="D148" s="209">
        <v>32</v>
      </c>
      <c r="E148" s="213" t="s">
        <v>596</v>
      </c>
      <c r="F148" s="209">
        <v>76993</v>
      </c>
      <c r="G148" s="214">
        <v>2463776</v>
      </c>
      <c r="H148" s="214">
        <v>57403</v>
      </c>
      <c r="I148" s="214">
        <v>1836896</v>
      </c>
      <c r="J148" s="214">
        <v>18714</v>
      </c>
      <c r="K148" s="214">
        <v>598848</v>
      </c>
      <c r="L148" s="214">
        <v>876</v>
      </c>
      <c r="M148" s="214">
        <v>28032</v>
      </c>
      <c r="N148" s="215">
        <v>0.90627000000000002</v>
      </c>
    </row>
    <row r="149" spans="1:14" ht="19.7" customHeight="1">
      <c r="A149" s="212" t="s">
        <v>834</v>
      </c>
      <c r="B149" s="212" t="s">
        <v>618</v>
      </c>
      <c r="C149" s="212" t="s">
        <v>453</v>
      </c>
      <c r="D149" s="209">
        <v>1</v>
      </c>
      <c r="E149" s="213" t="s">
        <v>596</v>
      </c>
      <c r="F149" s="209">
        <v>268674</v>
      </c>
      <c r="G149" s="214">
        <v>268674</v>
      </c>
      <c r="H149" s="214">
        <v>115872</v>
      </c>
      <c r="I149" s="214">
        <v>115872</v>
      </c>
      <c r="J149" s="214">
        <v>150123</v>
      </c>
      <c r="K149" s="214">
        <v>150123</v>
      </c>
      <c r="L149" s="214">
        <v>2679</v>
      </c>
      <c r="M149" s="214">
        <v>2679</v>
      </c>
      <c r="N149" s="215">
        <v>0.90627000000000002</v>
      </c>
    </row>
    <row r="150" spans="1:14" ht="19.7" customHeight="1">
      <c r="A150" s="208" t="s">
        <v>834</v>
      </c>
      <c r="B150" s="208" t="s">
        <v>776</v>
      </c>
      <c r="C150" s="208" t="s">
        <v>834</v>
      </c>
      <c r="D150" s="209"/>
      <c r="E150" s="210" t="s">
        <v>834</v>
      </c>
      <c r="F150" s="209">
        <v>0</v>
      </c>
      <c r="G150" s="211">
        <v>384965</v>
      </c>
      <c r="H150" s="209">
        <v>0</v>
      </c>
      <c r="I150" s="211" t="s">
        <v>1053</v>
      </c>
      <c r="J150" s="209">
        <v>0</v>
      </c>
      <c r="K150" s="211" t="s">
        <v>1054</v>
      </c>
      <c r="L150" s="209">
        <v>0</v>
      </c>
      <c r="M150" s="211" t="s">
        <v>1055</v>
      </c>
      <c r="N150" s="216"/>
    </row>
    <row r="151" spans="1:14" ht="19.7" customHeight="1">
      <c r="A151" s="212" t="s">
        <v>834</v>
      </c>
      <c r="B151" s="212" t="s">
        <v>319</v>
      </c>
      <c r="C151" s="212" t="s">
        <v>191</v>
      </c>
      <c r="D151" s="209">
        <v>5</v>
      </c>
      <c r="E151" s="213" t="s">
        <v>596</v>
      </c>
      <c r="F151" s="209">
        <v>76993</v>
      </c>
      <c r="G151" s="214">
        <v>384965</v>
      </c>
      <c r="H151" s="214">
        <v>57403</v>
      </c>
      <c r="I151" s="214">
        <v>287015</v>
      </c>
      <c r="J151" s="214">
        <v>18714</v>
      </c>
      <c r="K151" s="214">
        <v>93570</v>
      </c>
      <c r="L151" s="214">
        <v>876</v>
      </c>
      <c r="M151" s="214">
        <v>4380</v>
      </c>
      <c r="N151" s="215">
        <v>0.90627000000000002</v>
      </c>
    </row>
    <row r="152" spans="1:14" ht="19.7" customHeight="1">
      <c r="A152" s="208" t="s">
        <v>527</v>
      </c>
      <c r="B152" s="208" t="s">
        <v>259</v>
      </c>
      <c r="C152" s="208" t="s">
        <v>834</v>
      </c>
      <c r="D152" s="209"/>
      <c r="E152" s="210" t="s">
        <v>834</v>
      </c>
      <c r="F152" s="209">
        <v>0</v>
      </c>
      <c r="G152" s="211">
        <v>4284133</v>
      </c>
      <c r="H152" s="209">
        <v>0</v>
      </c>
      <c r="I152" s="211" t="s">
        <v>1056</v>
      </c>
      <c r="J152" s="209">
        <v>0</v>
      </c>
      <c r="K152" s="211" t="s">
        <v>1057</v>
      </c>
      <c r="L152" s="209">
        <v>0</v>
      </c>
      <c r="M152" s="211" t="s">
        <v>1058</v>
      </c>
      <c r="N152" s="216"/>
    </row>
    <row r="153" spans="1:14" ht="19.7" customHeight="1">
      <c r="A153" s="212" t="s">
        <v>834</v>
      </c>
      <c r="B153" s="212" t="s">
        <v>439</v>
      </c>
      <c r="C153" s="212" t="s">
        <v>567</v>
      </c>
      <c r="D153" s="209">
        <v>1</v>
      </c>
      <c r="E153" s="213" t="s">
        <v>748</v>
      </c>
      <c r="F153" s="209">
        <v>2380766</v>
      </c>
      <c r="G153" s="214">
        <v>2380766</v>
      </c>
      <c r="H153" s="214">
        <v>734763</v>
      </c>
      <c r="I153" s="214">
        <v>734763</v>
      </c>
      <c r="J153" s="214">
        <v>119772</v>
      </c>
      <c r="K153" s="214">
        <v>119772</v>
      </c>
      <c r="L153" s="214">
        <v>1526231</v>
      </c>
      <c r="M153" s="214">
        <v>1526231</v>
      </c>
      <c r="N153" s="215">
        <v>0.90627000000000002</v>
      </c>
    </row>
    <row r="154" spans="1:14" ht="19.7" customHeight="1">
      <c r="A154" s="212" t="s">
        <v>834</v>
      </c>
      <c r="B154" s="212" t="s">
        <v>398</v>
      </c>
      <c r="C154" s="212" t="s">
        <v>530</v>
      </c>
      <c r="D154" s="209">
        <v>2</v>
      </c>
      <c r="E154" s="213" t="s">
        <v>748</v>
      </c>
      <c r="F154" s="209">
        <v>882668</v>
      </c>
      <c r="G154" s="214">
        <v>1765336</v>
      </c>
      <c r="H154" s="214">
        <v>501653</v>
      </c>
      <c r="I154" s="214">
        <v>1003306</v>
      </c>
      <c r="J154" s="214">
        <v>221662</v>
      </c>
      <c r="K154" s="214">
        <v>443324</v>
      </c>
      <c r="L154" s="214">
        <v>159353</v>
      </c>
      <c r="M154" s="214">
        <v>318706</v>
      </c>
      <c r="N154" s="215">
        <v>0.90627000000000002</v>
      </c>
    </row>
    <row r="155" spans="1:14" ht="19.7" customHeight="1">
      <c r="A155" s="212" t="s">
        <v>834</v>
      </c>
      <c r="B155" s="212" t="s">
        <v>597</v>
      </c>
      <c r="C155" s="212" t="s">
        <v>530</v>
      </c>
      <c r="D155" s="209">
        <v>1</v>
      </c>
      <c r="E155" s="213" t="s">
        <v>366</v>
      </c>
      <c r="F155" s="209">
        <v>134013</v>
      </c>
      <c r="G155" s="214">
        <v>134013</v>
      </c>
      <c r="H155" s="214">
        <v>57434</v>
      </c>
      <c r="I155" s="214">
        <v>57434</v>
      </c>
      <c r="J155" s="214">
        <v>76579</v>
      </c>
      <c r="K155" s="214">
        <v>76579</v>
      </c>
      <c r="L155" s="214">
        <v>0</v>
      </c>
      <c r="M155" s="214">
        <v>0</v>
      </c>
      <c r="N155" s="215">
        <v>0.90627000000000002</v>
      </c>
    </row>
    <row r="156" spans="1:14" ht="19.7" customHeight="1">
      <c r="A156" s="212" t="s">
        <v>834</v>
      </c>
      <c r="B156" s="212" t="s">
        <v>545</v>
      </c>
      <c r="C156" s="212" t="s">
        <v>280</v>
      </c>
      <c r="D156" s="209">
        <v>1</v>
      </c>
      <c r="E156" s="213" t="s">
        <v>574</v>
      </c>
      <c r="F156" s="209">
        <v>4018</v>
      </c>
      <c r="G156" s="214">
        <v>4018</v>
      </c>
      <c r="H156" s="214">
        <v>2302</v>
      </c>
      <c r="I156" s="214">
        <v>2302</v>
      </c>
      <c r="J156" s="214">
        <v>759</v>
      </c>
      <c r="K156" s="214">
        <v>759</v>
      </c>
      <c r="L156" s="214">
        <v>957</v>
      </c>
      <c r="M156" s="214">
        <v>957</v>
      </c>
      <c r="N156" s="215">
        <v>0.90627000000000002</v>
      </c>
    </row>
    <row r="157" spans="1:14" ht="19.7" customHeight="1">
      <c r="A157" s="212" t="s">
        <v>834</v>
      </c>
      <c r="B157" s="212" t="s">
        <v>834</v>
      </c>
      <c r="C157" s="212" t="s">
        <v>834</v>
      </c>
      <c r="D157" s="209"/>
      <c r="E157" s="213" t="s">
        <v>834</v>
      </c>
      <c r="F157" s="209">
        <v>0</v>
      </c>
      <c r="G157" s="214">
        <v>0</v>
      </c>
      <c r="H157" s="209">
        <v>0</v>
      </c>
      <c r="I157" s="209"/>
      <c r="J157" s="209">
        <v>0</v>
      </c>
      <c r="K157" s="209"/>
      <c r="L157" s="209">
        <v>0</v>
      </c>
      <c r="M157" s="209"/>
      <c r="N157" s="215"/>
    </row>
    <row r="158" spans="1:14" ht="19.7" customHeight="1">
      <c r="A158" s="208" t="s">
        <v>785</v>
      </c>
      <c r="B158" s="208" t="s">
        <v>29</v>
      </c>
      <c r="C158" s="208" t="s">
        <v>834</v>
      </c>
      <c r="D158" s="209"/>
      <c r="E158" s="210" t="s">
        <v>834</v>
      </c>
      <c r="F158" s="209">
        <v>0</v>
      </c>
      <c r="G158" s="211">
        <v>19199075</v>
      </c>
      <c r="H158" s="209">
        <v>0</v>
      </c>
      <c r="I158" s="211" t="s">
        <v>1059</v>
      </c>
      <c r="J158" s="209">
        <v>0</v>
      </c>
      <c r="K158" s="211" t="s">
        <v>1060</v>
      </c>
      <c r="L158" s="209">
        <v>0</v>
      </c>
      <c r="M158" s="211" t="s">
        <v>1061</v>
      </c>
      <c r="N158" s="216"/>
    </row>
    <row r="159" spans="1:14" ht="19.7" customHeight="1">
      <c r="A159" s="208" t="s">
        <v>113</v>
      </c>
      <c r="B159" s="208" t="s">
        <v>102</v>
      </c>
      <c r="C159" s="208" t="s">
        <v>834</v>
      </c>
      <c r="D159" s="209"/>
      <c r="E159" s="210" t="s">
        <v>834</v>
      </c>
      <c r="F159" s="209">
        <v>0</v>
      </c>
      <c r="G159" s="211">
        <v>12534176</v>
      </c>
      <c r="H159" s="209">
        <v>0</v>
      </c>
      <c r="I159" s="211" t="s">
        <v>1062</v>
      </c>
      <c r="J159" s="209">
        <v>0</v>
      </c>
      <c r="K159" s="211" t="s">
        <v>1063</v>
      </c>
      <c r="L159" s="209">
        <v>0</v>
      </c>
      <c r="M159" s="211" t="s">
        <v>1064</v>
      </c>
      <c r="N159" s="216"/>
    </row>
    <row r="160" spans="1:14" ht="19.7" customHeight="1">
      <c r="A160" s="208" t="s">
        <v>834</v>
      </c>
      <c r="B160" s="208" t="s">
        <v>350</v>
      </c>
      <c r="C160" s="208" t="s">
        <v>834</v>
      </c>
      <c r="D160" s="209"/>
      <c r="E160" s="210" t="s">
        <v>834</v>
      </c>
      <c r="F160" s="209">
        <v>0</v>
      </c>
      <c r="G160" s="211">
        <v>3547613</v>
      </c>
      <c r="H160" s="209">
        <v>0</v>
      </c>
      <c r="I160" s="211" t="s">
        <v>1065</v>
      </c>
      <c r="J160" s="209">
        <v>0</v>
      </c>
      <c r="K160" s="211" t="s">
        <v>1066</v>
      </c>
      <c r="L160" s="209">
        <v>0</v>
      </c>
      <c r="M160" s="211" t="s">
        <v>1067</v>
      </c>
      <c r="N160" s="216"/>
    </row>
    <row r="161" spans="1:14" ht="19.7" customHeight="1">
      <c r="A161" s="212" t="s">
        <v>834</v>
      </c>
      <c r="B161" s="212" t="s">
        <v>319</v>
      </c>
      <c r="C161" s="212" t="s">
        <v>191</v>
      </c>
      <c r="D161" s="209">
        <v>26</v>
      </c>
      <c r="E161" s="213" t="s">
        <v>596</v>
      </c>
      <c r="F161" s="209">
        <v>76993</v>
      </c>
      <c r="G161" s="214">
        <v>2001818</v>
      </c>
      <c r="H161" s="214">
        <v>57403</v>
      </c>
      <c r="I161" s="214">
        <v>1492478</v>
      </c>
      <c r="J161" s="214">
        <v>18714</v>
      </c>
      <c r="K161" s="214">
        <v>486564</v>
      </c>
      <c r="L161" s="214">
        <v>876</v>
      </c>
      <c r="M161" s="214">
        <v>22776</v>
      </c>
      <c r="N161" s="215">
        <v>0.90627000000000002</v>
      </c>
    </row>
    <row r="162" spans="1:14" ht="19.7" customHeight="1">
      <c r="A162" s="212" t="s">
        <v>834</v>
      </c>
      <c r="B162" s="212" t="s">
        <v>618</v>
      </c>
      <c r="C162" s="212" t="s">
        <v>453</v>
      </c>
      <c r="D162" s="209">
        <v>3</v>
      </c>
      <c r="E162" s="213" t="s">
        <v>596</v>
      </c>
      <c r="F162" s="209">
        <v>268674</v>
      </c>
      <c r="G162" s="214">
        <v>806022</v>
      </c>
      <c r="H162" s="214">
        <v>115872</v>
      </c>
      <c r="I162" s="214">
        <v>347616</v>
      </c>
      <c r="J162" s="214">
        <v>150123</v>
      </c>
      <c r="K162" s="214">
        <v>450369</v>
      </c>
      <c r="L162" s="214">
        <v>2679</v>
      </c>
      <c r="M162" s="214">
        <v>8037</v>
      </c>
      <c r="N162" s="215">
        <v>0.90627000000000002</v>
      </c>
    </row>
    <row r="163" spans="1:14" ht="19.7" customHeight="1">
      <c r="A163" s="212" t="s">
        <v>834</v>
      </c>
      <c r="B163" s="212" t="s">
        <v>438</v>
      </c>
      <c r="C163" s="212" t="s">
        <v>33</v>
      </c>
      <c r="D163" s="209">
        <v>1</v>
      </c>
      <c r="E163" s="213" t="s">
        <v>596</v>
      </c>
      <c r="F163" s="209">
        <v>402570</v>
      </c>
      <c r="G163" s="214">
        <v>402570</v>
      </c>
      <c r="H163" s="214">
        <v>139640</v>
      </c>
      <c r="I163" s="214">
        <v>139640</v>
      </c>
      <c r="J163" s="214">
        <v>259755</v>
      </c>
      <c r="K163" s="214">
        <v>259755</v>
      </c>
      <c r="L163" s="214">
        <v>3175</v>
      </c>
      <c r="M163" s="214">
        <v>3175</v>
      </c>
      <c r="N163" s="215">
        <v>0.90627000000000002</v>
      </c>
    </row>
    <row r="164" spans="1:14" ht="19.7" customHeight="1">
      <c r="A164" s="212" t="s">
        <v>834</v>
      </c>
      <c r="B164" s="212" t="s">
        <v>612</v>
      </c>
      <c r="C164" s="212" t="s">
        <v>561</v>
      </c>
      <c r="D164" s="209">
        <v>9</v>
      </c>
      <c r="E164" s="213" t="s">
        <v>476</v>
      </c>
      <c r="F164" s="209">
        <v>37467</v>
      </c>
      <c r="G164" s="214">
        <v>337203</v>
      </c>
      <c r="H164" s="214">
        <v>30304</v>
      </c>
      <c r="I164" s="214">
        <v>272736</v>
      </c>
      <c r="J164" s="214">
        <v>6558</v>
      </c>
      <c r="K164" s="214">
        <v>59022</v>
      </c>
      <c r="L164" s="214">
        <v>605</v>
      </c>
      <c r="M164" s="214">
        <v>5445</v>
      </c>
      <c r="N164" s="215">
        <v>0.90627000000000002</v>
      </c>
    </row>
    <row r="165" spans="1:14" ht="19.7" customHeight="1">
      <c r="A165" s="208" t="s">
        <v>834</v>
      </c>
      <c r="B165" s="208" t="s">
        <v>230</v>
      </c>
      <c r="C165" s="208" t="s">
        <v>834</v>
      </c>
      <c r="D165" s="209"/>
      <c r="E165" s="210" t="s">
        <v>834</v>
      </c>
      <c r="F165" s="209">
        <v>0</v>
      </c>
      <c r="G165" s="211">
        <v>1873748</v>
      </c>
      <c r="H165" s="209">
        <v>0</v>
      </c>
      <c r="I165" s="211" t="s">
        <v>1068</v>
      </c>
      <c r="J165" s="209">
        <v>0</v>
      </c>
      <c r="K165" s="211" t="s">
        <v>1069</v>
      </c>
      <c r="L165" s="209">
        <v>0</v>
      </c>
      <c r="M165" s="211" t="s">
        <v>1070</v>
      </c>
      <c r="N165" s="216"/>
    </row>
    <row r="166" spans="1:14" ht="19.7" customHeight="1">
      <c r="A166" s="212" t="s">
        <v>834</v>
      </c>
      <c r="B166" s="212" t="s">
        <v>319</v>
      </c>
      <c r="C166" s="212" t="s">
        <v>238</v>
      </c>
      <c r="D166" s="209">
        <v>11</v>
      </c>
      <c r="E166" s="213" t="s">
        <v>596</v>
      </c>
      <c r="F166" s="209">
        <v>68205</v>
      </c>
      <c r="G166" s="214">
        <v>750255</v>
      </c>
      <c r="H166" s="214">
        <v>46706</v>
      </c>
      <c r="I166" s="214">
        <v>513766</v>
      </c>
      <c r="J166" s="214">
        <v>20572</v>
      </c>
      <c r="K166" s="214">
        <v>226292</v>
      </c>
      <c r="L166" s="214">
        <v>927</v>
      </c>
      <c r="M166" s="214">
        <v>10197</v>
      </c>
      <c r="N166" s="215">
        <v>0.90627000000000002</v>
      </c>
    </row>
    <row r="167" spans="1:14" ht="19.7" customHeight="1">
      <c r="A167" s="212" t="s">
        <v>834</v>
      </c>
      <c r="B167" s="212" t="s">
        <v>618</v>
      </c>
      <c r="C167" s="212" t="s">
        <v>217</v>
      </c>
      <c r="D167" s="209">
        <v>1</v>
      </c>
      <c r="E167" s="213" t="s">
        <v>596</v>
      </c>
      <c r="F167" s="209">
        <v>287771</v>
      </c>
      <c r="G167" s="214">
        <v>287771</v>
      </c>
      <c r="H167" s="214">
        <v>128529</v>
      </c>
      <c r="I167" s="214">
        <v>128529</v>
      </c>
      <c r="J167" s="214">
        <v>156512</v>
      </c>
      <c r="K167" s="214">
        <v>156512</v>
      </c>
      <c r="L167" s="214">
        <v>2730</v>
      </c>
      <c r="M167" s="214">
        <v>2730</v>
      </c>
      <c r="N167" s="215">
        <v>0.90627000000000002</v>
      </c>
    </row>
    <row r="168" spans="1:14" ht="19.7" customHeight="1">
      <c r="A168" s="212" t="s">
        <v>834</v>
      </c>
      <c r="B168" s="212" t="s">
        <v>438</v>
      </c>
      <c r="C168" s="212" t="s">
        <v>609</v>
      </c>
      <c r="D168" s="209">
        <v>2</v>
      </c>
      <c r="E168" s="213" t="s">
        <v>596</v>
      </c>
      <c r="F168" s="209">
        <v>417861</v>
      </c>
      <c r="G168" s="214">
        <v>835722</v>
      </c>
      <c r="H168" s="214">
        <v>153023</v>
      </c>
      <c r="I168" s="214">
        <v>306046</v>
      </c>
      <c r="J168" s="214">
        <v>261612</v>
      </c>
      <c r="K168" s="214">
        <v>523224</v>
      </c>
      <c r="L168" s="214">
        <v>3226</v>
      </c>
      <c r="M168" s="214">
        <v>6452</v>
      </c>
      <c r="N168" s="215">
        <v>0.90627000000000002</v>
      </c>
    </row>
    <row r="169" spans="1:14" ht="19.7" customHeight="1">
      <c r="A169" s="208" t="s">
        <v>834</v>
      </c>
      <c r="B169" s="208" t="s">
        <v>201</v>
      </c>
      <c r="C169" s="208" t="s">
        <v>834</v>
      </c>
      <c r="D169" s="209"/>
      <c r="E169" s="210" t="s">
        <v>834</v>
      </c>
      <c r="F169" s="209">
        <v>0</v>
      </c>
      <c r="G169" s="211">
        <v>3656138</v>
      </c>
      <c r="H169" s="209">
        <v>0</v>
      </c>
      <c r="I169" s="211" t="s">
        <v>1071</v>
      </c>
      <c r="J169" s="209">
        <v>0</v>
      </c>
      <c r="K169" s="211" t="s">
        <v>1072</v>
      </c>
      <c r="L169" s="209">
        <v>0</v>
      </c>
      <c r="M169" s="211" t="s">
        <v>1073</v>
      </c>
      <c r="N169" s="216"/>
    </row>
    <row r="170" spans="1:14" ht="19.7" customHeight="1">
      <c r="A170" s="212" t="s">
        <v>834</v>
      </c>
      <c r="B170" s="212" t="s">
        <v>319</v>
      </c>
      <c r="C170" s="212" t="s">
        <v>191</v>
      </c>
      <c r="D170" s="209">
        <v>47</v>
      </c>
      <c r="E170" s="213" t="s">
        <v>596</v>
      </c>
      <c r="F170" s="209">
        <v>76993</v>
      </c>
      <c r="G170" s="214">
        <v>3618671</v>
      </c>
      <c r="H170" s="214">
        <v>57403</v>
      </c>
      <c r="I170" s="214">
        <v>2697941</v>
      </c>
      <c r="J170" s="214">
        <v>18714</v>
      </c>
      <c r="K170" s="214">
        <v>879558</v>
      </c>
      <c r="L170" s="214">
        <v>876</v>
      </c>
      <c r="M170" s="214">
        <v>41172</v>
      </c>
      <c r="N170" s="215">
        <v>0.90627000000000002</v>
      </c>
    </row>
    <row r="171" spans="1:14" ht="19.7" customHeight="1">
      <c r="A171" s="212" t="s">
        <v>834</v>
      </c>
      <c r="B171" s="212" t="s">
        <v>612</v>
      </c>
      <c r="C171" s="212" t="s">
        <v>561</v>
      </c>
      <c r="D171" s="209">
        <v>1</v>
      </c>
      <c r="E171" s="213" t="s">
        <v>476</v>
      </c>
      <c r="F171" s="209">
        <v>37467</v>
      </c>
      <c r="G171" s="214">
        <v>37467</v>
      </c>
      <c r="H171" s="214">
        <v>30304</v>
      </c>
      <c r="I171" s="214">
        <v>30304</v>
      </c>
      <c r="J171" s="214">
        <v>6558</v>
      </c>
      <c r="K171" s="214">
        <v>6558</v>
      </c>
      <c r="L171" s="214">
        <v>605</v>
      </c>
      <c r="M171" s="214">
        <v>605</v>
      </c>
      <c r="N171" s="215">
        <v>0.90627000000000002</v>
      </c>
    </row>
    <row r="172" spans="1:14" ht="19.7" customHeight="1">
      <c r="A172" s="208" t="s">
        <v>834</v>
      </c>
      <c r="B172" s="208" t="s">
        <v>776</v>
      </c>
      <c r="C172" s="208" t="s">
        <v>834</v>
      </c>
      <c r="D172" s="209"/>
      <c r="E172" s="210" t="s">
        <v>834</v>
      </c>
      <c r="F172" s="209">
        <v>0</v>
      </c>
      <c r="G172" s="211">
        <v>3456677</v>
      </c>
      <c r="H172" s="209">
        <v>0</v>
      </c>
      <c r="I172" s="211" t="s">
        <v>1074</v>
      </c>
      <c r="J172" s="209">
        <v>0</v>
      </c>
      <c r="K172" s="211" t="s">
        <v>1075</v>
      </c>
      <c r="L172" s="209">
        <v>0</v>
      </c>
      <c r="M172" s="211" t="s">
        <v>1076</v>
      </c>
      <c r="N172" s="216"/>
    </row>
    <row r="173" spans="1:14" ht="19.7" customHeight="1">
      <c r="A173" s="212" t="s">
        <v>834</v>
      </c>
      <c r="B173" s="212" t="s">
        <v>319</v>
      </c>
      <c r="C173" s="212" t="s">
        <v>191</v>
      </c>
      <c r="D173" s="209">
        <v>38</v>
      </c>
      <c r="E173" s="213" t="s">
        <v>596</v>
      </c>
      <c r="F173" s="209">
        <v>76993</v>
      </c>
      <c r="G173" s="214">
        <v>2925734</v>
      </c>
      <c r="H173" s="214">
        <v>57403</v>
      </c>
      <c r="I173" s="214">
        <v>2181314</v>
      </c>
      <c r="J173" s="214">
        <v>18714</v>
      </c>
      <c r="K173" s="214">
        <v>711132</v>
      </c>
      <c r="L173" s="214">
        <v>876</v>
      </c>
      <c r="M173" s="214">
        <v>33288</v>
      </c>
      <c r="N173" s="215">
        <v>0.90627000000000002</v>
      </c>
    </row>
    <row r="174" spans="1:14" ht="19.7" customHeight="1">
      <c r="A174" s="212" t="s">
        <v>834</v>
      </c>
      <c r="B174" s="212" t="s">
        <v>618</v>
      </c>
      <c r="C174" s="212" t="s">
        <v>453</v>
      </c>
      <c r="D174" s="209">
        <v>1</v>
      </c>
      <c r="E174" s="213" t="s">
        <v>596</v>
      </c>
      <c r="F174" s="209">
        <v>268674</v>
      </c>
      <c r="G174" s="214">
        <v>268674</v>
      </c>
      <c r="H174" s="214">
        <v>115872</v>
      </c>
      <c r="I174" s="214">
        <v>115872</v>
      </c>
      <c r="J174" s="214">
        <v>150123</v>
      </c>
      <c r="K174" s="214">
        <v>150123</v>
      </c>
      <c r="L174" s="214">
        <v>2679</v>
      </c>
      <c r="M174" s="214">
        <v>2679</v>
      </c>
      <c r="N174" s="215">
        <v>0.90627000000000002</v>
      </c>
    </row>
    <row r="175" spans="1:14" ht="19.7" customHeight="1">
      <c r="A175" s="212" t="s">
        <v>834</v>
      </c>
      <c r="B175" s="212" t="s">
        <v>612</v>
      </c>
      <c r="C175" s="212" t="s">
        <v>561</v>
      </c>
      <c r="D175" s="209">
        <v>7</v>
      </c>
      <c r="E175" s="213" t="s">
        <v>476</v>
      </c>
      <c r="F175" s="209">
        <v>37467</v>
      </c>
      <c r="G175" s="214">
        <v>262269</v>
      </c>
      <c r="H175" s="214">
        <v>30304</v>
      </c>
      <c r="I175" s="214">
        <v>212128</v>
      </c>
      <c r="J175" s="214">
        <v>6558</v>
      </c>
      <c r="K175" s="214">
        <v>45906</v>
      </c>
      <c r="L175" s="214">
        <v>605</v>
      </c>
      <c r="M175" s="214">
        <v>4235</v>
      </c>
      <c r="N175" s="215">
        <v>0.90627000000000002</v>
      </c>
    </row>
    <row r="176" spans="1:14" ht="19.7" customHeight="1">
      <c r="A176" s="208" t="s">
        <v>491</v>
      </c>
      <c r="B176" s="208" t="s">
        <v>259</v>
      </c>
      <c r="C176" s="208" t="s">
        <v>834</v>
      </c>
      <c r="D176" s="209"/>
      <c r="E176" s="210" t="s">
        <v>834</v>
      </c>
      <c r="F176" s="209">
        <v>0</v>
      </c>
      <c r="G176" s="211">
        <v>6664899</v>
      </c>
      <c r="H176" s="209">
        <v>0</v>
      </c>
      <c r="I176" s="211" t="s">
        <v>975</v>
      </c>
      <c r="J176" s="209">
        <v>0</v>
      </c>
      <c r="K176" s="211" t="s">
        <v>976</v>
      </c>
      <c r="L176" s="209">
        <v>0</v>
      </c>
      <c r="M176" s="211" t="s">
        <v>977</v>
      </c>
      <c r="N176" s="216"/>
    </row>
    <row r="177" spans="1:17" ht="19.7" customHeight="1">
      <c r="A177" s="212" t="s">
        <v>834</v>
      </c>
      <c r="B177" s="212" t="s">
        <v>439</v>
      </c>
      <c r="C177" s="212" t="s">
        <v>567</v>
      </c>
      <c r="D177" s="209">
        <v>2</v>
      </c>
      <c r="E177" s="213" t="s">
        <v>748</v>
      </c>
      <c r="F177" s="209">
        <v>2380766</v>
      </c>
      <c r="G177" s="214">
        <v>4761532</v>
      </c>
      <c r="H177" s="214">
        <v>734763</v>
      </c>
      <c r="I177" s="214">
        <v>1469526</v>
      </c>
      <c r="J177" s="214">
        <v>119772</v>
      </c>
      <c r="K177" s="214">
        <v>239544</v>
      </c>
      <c r="L177" s="214">
        <v>1526231</v>
      </c>
      <c r="M177" s="214">
        <v>3052462</v>
      </c>
      <c r="N177" s="215">
        <v>0.90627000000000002</v>
      </c>
    </row>
    <row r="178" spans="1:17" ht="19.7" customHeight="1">
      <c r="A178" s="212" t="s">
        <v>834</v>
      </c>
      <c r="B178" s="212" t="s">
        <v>398</v>
      </c>
      <c r="C178" s="212" t="s">
        <v>530</v>
      </c>
      <c r="D178" s="209">
        <v>2</v>
      </c>
      <c r="E178" s="213" t="s">
        <v>748</v>
      </c>
      <c r="F178" s="209">
        <v>882668</v>
      </c>
      <c r="G178" s="214">
        <v>1765336</v>
      </c>
      <c r="H178" s="214">
        <v>501653</v>
      </c>
      <c r="I178" s="214">
        <v>1003306</v>
      </c>
      <c r="J178" s="214">
        <v>221662</v>
      </c>
      <c r="K178" s="214">
        <v>443324</v>
      </c>
      <c r="L178" s="214">
        <v>159353</v>
      </c>
      <c r="M178" s="214">
        <v>318706</v>
      </c>
      <c r="N178" s="215">
        <v>0.90627000000000002</v>
      </c>
    </row>
    <row r="179" spans="1:17" ht="19.7" customHeight="1">
      <c r="A179" s="212" t="s">
        <v>834</v>
      </c>
      <c r="B179" s="212" t="s">
        <v>597</v>
      </c>
      <c r="C179" s="212" t="s">
        <v>530</v>
      </c>
      <c r="D179" s="209">
        <v>1</v>
      </c>
      <c r="E179" s="213" t="s">
        <v>366</v>
      </c>
      <c r="F179" s="209">
        <v>134013</v>
      </c>
      <c r="G179" s="214">
        <v>134013</v>
      </c>
      <c r="H179" s="214">
        <v>57434</v>
      </c>
      <c r="I179" s="214">
        <v>57434</v>
      </c>
      <c r="J179" s="214">
        <v>76579</v>
      </c>
      <c r="K179" s="214">
        <v>76579</v>
      </c>
      <c r="L179" s="214">
        <v>0</v>
      </c>
      <c r="M179" s="214">
        <v>0</v>
      </c>
      <c r="N179" s="215">
        <v>0.90627000000000002</v>
      </c>
    </row>
    <row r="180" spans="1:17" ht="19.7" customHeight="1">
      <c r="A180" s="212" t="s">
        <v>834</v>
      </c>
      <c r="B180" s="212" t="s">
        <v>545</v>
      </c>
      <c r="C180" s="212" t="s">
        <v>280</v>
      </c>
      <c r="D180" s="209">
        <v>1</v>
      </c>
      <c r="E180" s="213" t="s">
        <v>574</v>
      </c>
      <c r="F180" s="209">
        <v>4018</v>
      </c>
      <c r="G180" s="214">
        <v>4018</v>
      </c>
      <c r="H180" s="214">
        <v>2302</v>
      </c>
      <c r="I180" s="214">
        <v>2302</v>
      </c>
      <c r="J180" s="214">
        <v>759</v>
      </c>
      <c r="K180" s="214">
        <v>759</v>
      </c>
      <c r="L180" s="214">
        <v>957</v>
      </c>
      <c r="M180" s="214">
        <v>957</v>
      </c>
      <c r="N180" s="215">
        <v>0.90627000000000002</v>
      </c>
    </row>
    <row r="181" spans="1:17" ht="19.7" customHeight="1">
      <c r="A181" s="212" t="s">
        <v>834</v>
      </c>
      <c r="B181" s="212" t="s">
        <v>834</v>
      </c>
      <c r="C181" s="212" t="s">
        <v>834</v>
      </c>
      <c r="D181" s="209"/>
      <c r="E181" s="213" t="s">
        <v>834</v>
      </c>
      <c r="F181" s="209">
        <v>0</v>
      </c>
      <c r="G181" s="214">
        <v>0</v>
      </c>
      <c r="H181" s="209">
        <v>0</v>
      </c>
      <c r="I181" s="209"/>
      <c r="J181" s="209"/>
      <c r="K181" s="209"/>
      <c r="L181" s="209"/>
      <c r="M181" s="209"/>
      <c r="N181" s="215"/>
    </row>
    <row r="182" spans="1:17" ht="19.7" customHeight="1">
      <c r="A182" s="208" t="s">
        <v>834</v>
      </c>
      <c r="B182" s="208" t="s">
        <v>830</v>
      </c>
      <c r="C182" s="208" t="s">
        <v>834</v>
      </c>
      <c r="D182" s="209"/>
      <c r="E182" s="210" t="s">
        <v>834</v>
      </c>
      <c r="F182" s="209">
        <v>0</v>
      </c>
      <c r="G182" s="211">
        <v>322762522</v>
      </c>
      <c r="H182" s="209"/>
      <c r="I182" s="211">
        <v>187495739</v>
      </c>
      <c r="J182" s="209"/>
      <c r="K182" s="211">
        <v>107322412</v>
      </c>
      <c r="L182" s="209"/>
      <c r="M182" s="211">
        <v>27944371</v>
      </c>
      <c r="N182" s="208"/>
    </row>
    <row r="183" spans="1:17" ht="19.7" customHeight="1">
      <c r="A183" s="212" t="s">
        <v>834</v>
      </c>
      <c r="B183" s="212" t="s">
        <v>695</v>
      </c>
      <c r="C183" s="212" t="s">
        <v>834</v>
      </c>
      <c r="D183" s="217">
        <v>16.5</v>
      </c>
      <c r="E183" s="213" t="s">
        <v>157</v>
      </c>
      <c r="F183" s="209">
        <v>0</v>
      </c>
      <c r="G183" s="214">
        <v>30939448</v>
      </c>
      <c r="H183" s="209"/>
      <c r="I183" s="214">
        <v>30939448</v>
      </c>
      <c r="J183" s="209"/>
      <c r="K183" s="209"/>
      <c r="L183" s="209"/>
      <c r="M183" s="214"/>
      <c r="N183" s="212"/>
      <c r="P183" s="319"/>
      <c r="Q183" s="320"/>
    </row>
    <row r="184" spans="1:17" ht="19.7" customHeight="1">
      <c r="A184" s="212" t="s">
        <v>834</v>
      </c>
      <c r="B184" s="212" t="s">
        <v>367</v>
      </c>
      <c r="C184" s="212" t="s">
        <v>834</v>
      </c>
      <c r="D184" s="217">
        <v>3.56</v>
      </c>
      <c r="E184" s="213" t="s">
        <v>157</v>
      </c>
      <c r="F184" s="209">
        <v>0</v>
      </c>
      <c r="G184" s="214">
        <v>7776864</v>
      </c>
      <c r="H184" s="209"/>
      <c r="I184" s="209"/>
      <c r="J184" s="209"/>
      <c r="K184" s="209"/>
      <c r="L184" s="209"/>
      <c r="M184" s="214">
        <v>7776864</v>
      </c>
      <c r="N184" s="212"/>
      <c r="P184" s="319"/>
      <c r="Q184" s="320"/>
    </row>
    <row r="185" spans="1:17" ht="19.7" customHeight="1">
      <c r="A185" s="212" t="s">
        <v>834</v>
      </c>
      <c r="B185" s="212" t="s">
        <v>290</v>
      </c>
      <c r="C185" s="212" t="s">
        <v>834</v>
      </c>
      <c r="D185" s="217">
        <v>1.01</v>
      </c>
      <c r="E185" s="213" t="s">
        <v>157</v>
      </c>
      <c r="F185" s="209">
        <v>0</v>
      </c>
      <c r="G185" s="214">
        <v>2206356</v>
      </c>
      <c r="H185" s="209"/>
      <c r="I185" s="209"/>
      <c r="J185" s="209"/>
      <c r="K185" s="209"/>
      <c r="L185" s="209"/>
      <c r="M185" s="214">
        <v>2206356</v>
      </c>
      <c r="N185" s="212"/>
      <c r="P185" s="319"/>
      <c r="Q185" s="320"/>
    </row>
    <row r="186" spans="1:17" ht="19.7" customHeight="1">
      <c r="A186" s="212" t="s">
        <v>834</v>
      </c>
      <c r="B186" s="212" t="s">
        <v>451</v>
      </c>
      <c r="C186" s="212" t="s">
        <v>834</v>
      </c>
      <c r="D186" s="217">
        <v>3.5950000000000002</v>
      </c>
      <c r="E186" s="213" t="s">
        <v>157</v>
      </c>
      <c r="F186" s="209">
        <v>0</v>
      </c>
      <c r="G186" s="214">
        <v>7437746</v>
      </c>
      <c r="H186" s="209"/>
      <c r="I186" s="209"/>
      <c r="J186" s="209"/>
      <c r="K186" s="209"/>
      <c r="L186" s="209"/>
      <c r="M186" s="214">
        <v>7437746</v>
      </c>
      <c r="N186" s="212"/>
      <c r="P186" s="319"/>
      <c r="Q186" s="320"/>
    </row>
    <row r="187" spans="1:17" ht="19.7" customHeight="1">
      <c r="A187" s="212" t="s">
        <v>834</v>
      </c>
      <c r="B187" s="212" t="s">
        <v>701</v>
      </c>
      <c r="C187" s="212" t="s">
        <v>834</v>
      </c>
      <c r="D187" s="217">
        <v>4.75</v>
      </c>
      <c r="E187" s="213" t="s">
        <v>157</v>
      </c>
      <c r="F187" s="209">
        <v>0</v>
      </c>
      <c r="G187" s="214">
        <v>9827342</v>
      </c>
      <c r="H187" s="209"/>
      <c r="I187" s="209"/>
      <c r="J187" s="209"/>
      <c r="K187" s="209"/>
      <c r="L187" s="209"/>
      <c r="M187" s="214">
        <v>9827342</v>
      </c>
      <c r="N187" s="212"/>
      <c r="P187" s="319"/>
      <c r="Q187" s="320"/>
    </row>
    <row r="188" spans="1:17" ht="19.7" customHeight="1">
      <c r="A188" s="212" t="s">
        <v>834</v>
      </c>
      <c r="B188" s="212" t="s">
        <v>774</v>
      </c>
      <c r="C188" s="212" t="s">
        <v>834</v>
      </c>
      <c r="D188" s="217">
        <v>13.14</v>
      </c>
      <c r="E188" s="213" t="s">
        <v>157</v>
      </c>
      <c r="F188" s="209">
        <v>0</v>
      </c>
      <c r="G188" s="214">
        <v>977319</v>
      </c>
      <c r="H188" s="209"/>
      <c r="I188" s="209"/>
      <c r="J188" s="209"/>
      <c r="K188" s="209"/>
      <c r="L188" s="209"/>
      <c r="M188" s="214">
        <v>977319</v>
      </c>
      <c r="N188" s="212"/>
      <c r="P188" s="319"/>
      <c r="Q188" s="320"/>
    </row>
    <row r="189" spans="1:17" ht="19.7" customHeight="1">
      <c r="A189" s="212" t="s">
        <v>834</v>
      </c>
      <c r="B189" s="212" t="s">
        <v>147</v>
      </c>
      <c r="C189" s="212" t="s">
        <v>834</v>
      </c>
      <c r="D189" s="217">
        <v>2.2999999999999998</v>
      </c>
      <c r="E189" s="213" t="s">
        <v>157</v>
      </c>
      <c r="F189" s="209">
        <v>0</v>
      </c>
      <c r="G189" s="214">
        <v>4758502</v>
      </c>
      <c r="H189" s="209"/>
      <c r="I189" s="209"/>
      <c r="J189" s="209"/>
      <c r="K189" s="209"/>
      <c r="L189" s="209"/>
      <c r="M189" s="214">
        <v>4758502</v>
      </c>
      <c r="N189" s="212"/>
      <c r="P189" s="319"/>
      <c r="Q189" s="320"/>
    </row>
    <row r="190" spans="1:17" ht="19.7" customHeight="1">
      <c r="A190" s="212" t="s">
        <v>834</v>
      </c>
      <c r="B190" s="212" t="s">
        <v>413</v>
      </c>
      <c r="C190" s="212" t="s">
        <v>834</v>
      </c>
      <c r="D190" s="217">
        <v>0.4</v>
      </c>
      <c r="E190" s="213" t="s">
        <v>157</v>
      </c>
      <c r="F190" s="209">
        <v>0</v>
      </c>
      <c r="G190" s="214">
        <v>1291049</v>
      </c>
      <c r="H190" s="209"/>
      <c r="I190" s="209"/>
      <c r="J190" s="209"/>
      <c r="K190" s="209"/>
      <c r="L190" s="209"/>
      <c r="M190" s="214">
        <v>1291049</v>
      </c>
      <c r="N190" s="212"/>
      <c r="P190" s="319"/>
      <c r="Q190" s="320"/>
    </row>
    <row r="191" spans="1:17" ht="19.7" customHeight="1">
      <c r="A191" s="212" t="s">
        <v>834</v>
      </c>
      <c r="B191" s="212" t="s">
        <v>734</v>
      </c>
      <c r="C191" s="212" t="s">
        <v>834</v>
      </c>
      <c r="D191" s="217">
        <v>2.5299999999999998</v>
      </c>
      <c r="E191" s="213" t="s">
        <v>157</v>
      </c>
      <c r="F191" s="209">
        <v>0</v>
      </c>
      <c r="G191" s="214">
        <v>12397587</v>
      </c>
      <c r="H191" s="209"/>
      <c r="I191" s="209"/>
      <c r="J191" s="209"/>
      <c r="K191" s="209"/>
      <c r="L191" s="209"/>
      <c r="M191" s="214">
        <v>12397587</v>
      </c>
      <c r="N191" s="212"/>
      <c r="P191" s="319"/>
      <c r="Q191" s="320"/>
    </row>
    <row r="192" spans="1:17" ht="19.7" customHeight="1">
      <c r="A192" s="212" t="s">
        <v>834</v>
      </c>
      <c r="B192" s="212" t="s">
        <v>689</v>
      </c>
      <c r="C192" s="212" t="s">
        <v>834</v>
      </c>
      <c r="D192" s="217">
        <v>0.9</v>
      </c>
      <c r="E192" s="213" t="s">
        <v>157</v>
      </c>
      <c r="F192" s="209">
        <v>0</v>
      </c>
      <c r="G192" s="214">
        <v>2904862</v>
      </c>
      <c r="H192" s="209"/>
      <c r="I192" s="209"/>
      <c r="J192" s="209"/>
      <c r="K192" s="209"/>
      <c r="L192" s="209"/>
      <c r="M192" s="214">
        <v>2904862</v>
      </c>
      <c r="N192" s="212"/>
      <c r="P192" s="319"/>
      <c r="Q192" s="320"/>
    </row>
    <row r="193" spans="1:17" ht="19.7" customHeight="1">
      <c r="A193" s="212" t="s">
        <v>834</v>
      </c>
      <c r="B193" s="212" t="s">
        <v>388</v>
      </c>
      <c r="C193" s="212" t="s">
        <v>834</v>
      </c>
      <c r="D193" s="217">
        <v>8.1000000000000003E-2</v>
      </c>
      <c r="E193" s="213" t="s">
        <v>157</v>
      </c>
      <c r="F193" s="209">
        <v>0</v>
      </c>
      <c r="G193" s="214">
        <v>261437</v>
      </c>
      <c r="H193" s="209"/>
      <c r="I193" s="209"/>
      <c r="J193" s="209"/>
      <c r="K193" s="209"/>
      <c r="L193" s="209"/>
      <c r="M193" s="214">
        <v>261437</v>
      </c>
      <c r="N193" s="212"/>
      <c r="P193" s="319"/>
      <c r="Q193" s="320"/>
    </row>
    <row r="194" spans="1:17" ht="19.7" customHeight="1">
      <c r="A194" s="212" t="s">
        <v>834</v>
      </c>
      <c r="B194" s="212" t="s">
        <v>817</v>
      </c>
      <c r="C194" s="212" t="s">
        <v>834</v>
      </c>
      <c r="D194" s="217">
        <v>5.2</v>
      </c>
      <c r="E194" s="213" t="s">
        <v>157</v>
      </c>
      <c r="F194" s="209">
        <v>0</v>
      </c>
      <c r="G194" s="214">
        <v>16940698</v>
      </c>
      <c r="H194" s="209"/>
      <c r="I194" s="209"/>
      <c r="J194" s="209"/>
      <c r="K194" s="209"/>
      <c r="L194" s="209"/>
      <c r="M194" s="214">
        <v>16940698</v>
      </c>
      <c r="N194" s="212"/>
      <c r="P194" s="319"/>
      <c r="Q194" s="320"/>
    </row>
    <row r="195" spans="1:17" ht="19.7" customHeight="1">
      <c r="A195" s="212" t="s">
        <v>834</v>
      </c>
      <c r="B195" s="208" t="s">
        <v>784</v>
      </c>
      <c r="C195" s="208" t="s">
        <v>834</v>
      </c>
      <c r="D195" s="323"/>
      <c r="E195" s="324" t="s">
        <v>834</v>
      </c>
      <c r="F195" s="323">
        <v>0</v>
      </c>
      <c r="G195" s="325">
        <v>420481732</v>
      </c>
      <c r="H195" s="323"/>
      <c r="I195" s="323">
        <v>218435187</v>
      </c>
      <c r="J195" s="323"/>
      <c r="K195" s="323">
        <v>107322412</v>
      </c>
      <c r="L195" s="323"/>
      <c r="M195" s="325">
        <v>94724133</v>
      </c>
      <c r="N195" s="212"/>
      <c r="P195" s="321"/>
      <c r="Q195" s="322"/>
    </row>
    <row r="196" spans="1:17" ht="19.7" customHeight="1">
      <c r="A196" s="212" t="s">
        <v>834</v>
      </c>
      <c r="B196" s="212" t="s">
        <v>705</v>
      </c>
      <c r="C196" s="212" t="s">
        <v>834</v>
      </c>
      <c r="D196" s="209">
        <v>8</v>
      </c>
      <c r="E196" s="213" t="s">
        <v>157</v>
      </c>
      <c r="F196" s="209">
        <v>0</v>
      </c>
      <c r="G196" s="214">
        <v>33638537</v>
      </c>
      <c r="H196" s="209"/>
      <c r="I196" s="209"/>
      <c r="J196" s="209"/>
      <c r="K196" s="209"/>
      <c r="L196" s="209"/>
      <c r="M196" s="214">
        <v>33638537</v>
      </c>
      <c r="N196" s="212"/>
      <c r="P196" s="319"/>
      <c r="Q196" s="320"/>
    </row>
    <row r="197" spans="1:17" ht="19.7" customHeight="1">
      <c r="A197" s="212" t="s">
        <v>834</v>
      </c>
      <c r="B197" s="212" t="s">
        <v>276</v>
      </c>
      <c r="C197" s="212" t="s">
        <v>834</v>
      </c>
      <c r="D197" s="217">
        <v>14.88</v>
      </c>
      <c r="E197" s="213" t="s">
        <v>157</v>
      </c>
      <c r="F197" s="209">
        <v>0</v>
      </c>
      <c r="G197" s="214">
        <v>46652366</v>
      </c>
      <c r="H197" s="209"/>
      <c r="I197" s="209"/>
      <c r="J197" s="209"/>
      <c r="K197" s="209"/>
      <c r="L197" s="209"/>
      <c r="M197" s="214">
        <v>46652366</v>
      </c>
      <c r="N197" s="212"/>
      <c r="P197" s="319"/>
      <c r="Q197" s="320"/>
    </row>
    <row r="198" spans="1:17" ht="19.7" customHeight="1">
      <c r="A198" s="218" t="s">
        <v>832</v>
      </c>
      <c r="B198" s="218" t="s">
        <v>638</v>
      </c>
      <c r="C198" s="218" t="s">
        <v>834</v>
      </c>
      <c r="D198" s="209"/>
      <c r="E198" s="210" t="s">
        <v>834</v>
      </c>
      <c r="F198" s="209">
        <v>0</v>
      </c>
      <c r="G198" s="211">
        <v>17884603</v>
      </c>
      <c r="H198" s="209">
        <v>0</v>
      </c>
      <c r="I198" s="211">
        <v>15618976</v>
      </c>
      <c r="J198" s="209"/>
      <c r="K198" s="326">
        <v>0</v>
      </c>
      <c r="L198" s="209"/>
      <c r="M198" s="211">
        <v>2265627</v>
      </c>
      <c r="N198" s="218"/>
    </row>
    <row r="199" spans="1:17" ht="19.7" customHeight="1">
      <c r="A199" s="212" t="s">
        <v>834</v>
      </c>
      <c r="B199" s="212" t="s">
        <v>551</v>
      </c>
      <c r="C199" s="212" t="s">
        <v>591</v>
      </c>
      <c r="D199" s="209">
        <v>60</v>
      </c>
      <c r="E199" s="213" t="s">
        <v>748</v>
      </c>
      <c r="F199" s="209">
        <v>235459</v>
      </c>
      <c r="G199" s="214">
        <v>14127540</v>
      </c>
      <c r="H199" s="214">
        <v>235459</v>
      </c>
      <c r="I199" s="214">
        <v>14127540</v>
      </c>
      <c r="J199" s="214">
        <v>0</v>
      </c>
      <c r="K199" s="214">
        <v>0</v>
      </c>
      <c r="L199" s="214">
        <v>0</v>
      </c>
      <c r="M199" s="214">
        <v>0</v>
      </c>
      <c r="N199" s="212"/>
    </row>
    <row r="200" spans="1:17" ht="19.7" customHeight="1">
      <c r="A200" s="212" t="s">
        <v>834</v>
      </c>
      <c r="B200" s="212" t="s">
        <v>683</v>
      </c>
      <c r="C200" s="212" t="s">
        <v>834</v>
      </c>
      <c r="D200" s="209">
        <v>1</v>
      </c>
      <c r="E200" s="213" t="s">
        <v>665</v>
      </c>
      <c r="F200" s="209">
        <v>3757063</v>
      </c>
      <c r="G200" s="214">
        <v>3757063</v>
      </c>
      <c r="H200" s="214">
        <v>1491436</v>
      </c>
      <c r="I200" s="214">
        <v>1491436</v>
      </c>
      <c r="J200" s="214">
        <v>0</v>
      </c>
      <c r="K200" s="214">
        <v>0</v>
      </c>
      <c r="L200" s="214">
        <v>2265627</v>
      </c>
      <c r="M200" s="214">
        <v>2265627</v>
      </c>
      <c r="N200" s="212"/>
    </row>
    <row r="201" spans="1:17" ht="19.7" customHeight="1">
      <c r="A201" s="212" t="s">
        <v>834</v>
      </c>
      <c r="B201" s="212" t="s">
        <v>834</v>
      </c>
      <c r="C201" s="212" t="s">
        <v>834</v>
      </c>
      <c r="D201" s="209"/>
      <c r="E201" s="213" t="s">
        <v>834</v>
      </c>
      <c r="F201" s="209">
        <v>0</v>
      </c>
      <c r="G201" s="214">
        <v>0</v>
      </c>
      <c r="H201" s="209">
        <v>0</v>
      </c>
      <c r="I201" s="209"/>
      <c r="J201" s="209"/>
      <c r="K201" s="209"/>
      <c r="L201" s="209"/>
      <c r="M201" s="209"/>
      <c r="N201" s="212" t="s">
        <v>834</v>
      </c>
    </row>
    <row r="202" spans="1:17" ht="19.7" customHeight="1">
      <c r="A202" s="208" t="s">
        <v>165</v>
      </c>
      <c r="B202" s="208" t="s">
        <v>554</v>
      </c>
      <c r="C202" s="208" t="s">
        <v>834</v>
      </c>
      <c r="D202" s="209"/>
      <c r="E202" s="210" t="s">
        <v>834</v>
      </c>
      <c r="F202" s="209">
        <v>0</v>
      </c>
      <c r="G202" s="211">
        <v>454308</v>
      </c>
      <c r="H202" s="209">
        <v>0</v>
      </c>
      <c r="I202" s="326">
        <v>0</v>
      </c>
      <c r="J202" s="209"/>
      <c r="K202" s="326">
        <v>0</v>
      </c>
      <c r="L202" s="209"/>
      <c r="M202" s="211">
        <v>454308</v>
      </c>
      <c r="N202" s="208" t="s">
        <v>834</v>
      </c>
    </row>
    <row r="203" spans="1:17" ht="19.7" customHeight="1">
      <c r="A203" s="212" t="s">
        <v>834</v>
      </c>
      <c r="B203" s="212" t="s">
        <v>554</v>
      </c>
      <c r="C203" s="212" t="s">
        <v>189</v>
      </c>
      <c r="D203" s="217">
        <v>9.86</v>
      </c>
      <c r="E203" s="213" t="s">
        <v>566</v>
      </c>
      <c r="F203" s="209">
        <v>28223</v>
      </c>
      <c r="G203" s="214">
        <v>278278</v>
      </c>
      <c r="H203" s="214">
        <v>0</v>
      </c>
      <c r="I203" s="214">
        <v>0</v>
      </c>
      <c r="J203" s="214">
        <v>0</v>
      </c>
      <c r="K203" s="214">
        <v>0</v>
      </c>
      <c r="L203" s="214">
        <v>28223</v>
      </c>
      <c r="M203" s="214">
        <v>278278</v>
      </c>
      <c r="N203" s="219">
        <v>0.90627000000000002</v>
      </c>
    </row>
    <row r="204" spans="1:17" ht="19.7" customHeight="1">
      <c r="A204" s="212" t="s">
        <v>834</v>
      </c>
      <c r="B204" s="212" t="s">
        <v>119</v>
      </c>
      <c r="C204" s="212" t="s">
        <v>383</v>
      </c>
      <c r="D204" s="217">
        <v>9.86</v>
      </c>
      <c r="E204" s="213" t="s">
        <v>566</v>
      </c>
      <c r="F204" s="209">
        <v>17853</v>
      </c>
      <c r="G204" s="214">
        <v>176030</v>
      </c>
      <c r="H204" s="214">
        <v>0</v>
      </c>
      <c r="I204" s="214">
        <v>0</v>
      </c>
      <c r="J204" s="214">
        <v>0</v>
      </c>
      <c r="K204" s="214">
        <v>0</v>
      </c>
      <c r="L204" s="214">
        <v>17853</v>
      </c>
      <c r="M204" s="214">
        <v>176030</v>
      </c>
      <c r="N204" s="219">
        <v>0.90627000000000002</v>
      </c>
    </row>
    <row r="205" spans="1:17" ht="19.7" customHeight="1">
      <c r="A205" s="212" t="s">
        <v>834</v>
      </c>
      <c r="B205" s="208" t="s">
        <v>704</v>
      </c>
      <c r="C205" s="208" t="s">
        <v>834</v>
      </c>
      <c r="D205" s="323"/>
      <c r="E205" s="324" t="s">
        <v>834</v>
      </c>
      <c r="F205" s="323">
        <v>0</v>
      </c>
      <c r="G205" s="325">
        <v>519111546</v>
      </c>
      <c r="H205" s="209"/>
      <c r="I205" s="323">
        <v>218435187</v>
      </c>
      <c r="J205" s="323"/>
      <c r="K205" s="323">
        <v>107322412</v>
      </c>
      <c r="L205" s="209"/>
      <c r="M205" s="323">
        <f>M195+M196+M197+M198+M202</f>
        <v>177734971</v>
      </c>
      <c r="N205" s="212"/>
      <c r="P205" s="319"/>
      <c r="Q205" s="320"/>
    </row>
    <row r="206" spans="1:17" ht="19.7" customHeight="1">
      <c r="A206" s="212" t="s">
        <v>834</v>
      </c>
      <c r="B206" s="212" t="s">
        <v>63</v>
      </c>
      <c r="C206" s="212" t="s">
        <v>834</v>
      </c>
      <c r="D206" s="209">
        <v>10</v>
      </c>
      <c r="E206" s="213" t="s">
        <v>157</v>
      </c>
      <c r="F206" s="209">
        <v>0</v>
      </c>
      <c r="G206" s="214">
        <v>51911154</v>
      </c>
      <c r="H206" s="209"/>
      <c r="I206" s="209"/>
      <c r="J206" s="209"/>
      <c r="K206" s="209"/>
      <c r="L206" s="209"/>
      <c r="M206" s="214">
        <v>51911154</v>
      </c>
      <c r="N206" s="212"/>
      <c r="P206" s="319"/>
      <c r="Q206" s="320"/>
    </row>
    <row r="207" spans="1:17" ht="19.7" customHeight="1">
      <c r="A207" s="212" t="s">
        <v>834</v>
      </c>
      <c r="B207" s="212" t="s">
        <v>430</v>
      </c>
      <c r="C207" s="212" t="s">
        <v>834</v>
      </c>
      <c r="D207" s="209"/>
      <c r="E207" s="213" t="s">
        <v>834</v>
      </c>
      <c r="F207" s="209">
        <v>0</v>
      </c>
      <c r="G207" s="214">
        <v>571022700</v>
      </c>
      <c r="H207" s="209"/>
      <c r="I207" s="209"/>
      <c r="J207" s="209"/>
      <c r="K207" s="209"/>
      <c r="L207" s="209"/>
      <c r="M207" s="209"/>
      <c r="N207" s="212"/>
      <c r="P207" s="321"/>
      <c r="Q207" s="322"/>
    </row>
    <row r="208" spans="1:17" ht="19.7" customHeight="1">
      <c r="A208" s="212" t="s">
        <v>834</v>
      </c>
      <c r="B208" s="212" t="s">
        <v>341</v>
      </c>
      <c r="C208" s="212" t="s">
        <v>834</v>
      </c>
      <c r="D208" s="209"/>
      <c r="E208" s="213" t="s">
        <v>834</v>
      </c>
      <c r="F208" s="209">
        <v>0</v>
      </c>
      <c r="G208" s="214">
        <v>610146289</v>
      </c>
      <c r="H208" s="209"/>
      <c r="I208" s="209"/>
      <c r="J208" s="209"/>
      <c r="K208" s="209"/>
      <c r="L208" s="209"/>
      <c r="M208" s="209"/>
      <c r="N208" s="212"/>
      <c r="P208" s="319"/>
      <c r="Q208" s="320"/>
    </row>
    <row r="209" spans="1:17" ht="19.7" customHeight="1">
      <c r="A209" s="212" t="s">
        <v>834</v>
      </c>
      <c r="B209" s="212" t="s">
        <v>834</v>
      </c>
      <c r="C209" s="212" t="s">
        <v>834</v>
      </c>
      <c r="D209" s="209"/>
      <c r="E209" s="213" t="s">
        <v>834</v>
      </c>
      <c r="F209" s="209">
        <v>0</v>
      </c>
      <c r="G209" s="214">
        <v>0</v>
      </c>
      <c r="H209" s="209">
        <v>0</v>
      </c>
      <c r="I209" s="209"/>
      <c r="J209" s="209"/>
      <c r="K209" s="209"/>
      <c r="L209" s="209"/>
      <c r="M209" s="209"/>
      <c r="N209" s="212"/>
      <c r="P209" s="321"/>
      <c r="Q209" s="322"/>
    </row>
    <row r="210" spans="1:17" ht="19.7" customHeight="1">
      <c r="A210" s="212" t="s">
        <v>834</v>
      </c>
      <c r="B210" s="212" t="s">
        <v>834</v>
      </c>
      <c r="C210" s="212" t="s">
        <v>834</v>
      </c>
      <c r="D210" s="209"/>
      <c r="E210" s="213" t="s">
        <v>834</v>
      </c>
      <c r="F210" s="209">
        <v>0</v>
      </c>
      <c r="G210" s="214">
        <v>0</v>
      </c>
      <c r="H210" s="209"/>
      <c r="I210" s="209"/>
      <c r="J210" s="209"/>
      <c r="K210" s="209"/>
      <c r="L210" s="209"/>
      <c r="M210" s="209"/>
      <c r="N210" s="212" t="s">
        <v>834</v>
      </c>
    </row>
    <row r="211" spans="1:17" ht="19.7" customHeight="1">
      <c r="A211" s="212" t="s">
        <v>834</v>
      </c>
      <c r="B211" s="212" t="s">
        <v>834</v>
      </c>
      <c r="C211" s="212" t="s">
        <v>834</v>
      </c>
      <c r="D211" s="209"/>
      <c r="E211" s="213" t="s">
        <v>834</v>
      </c>
      <c r="F211" s="209">
        <v>0</v>
      </c>
      <c r="G211" s="214">
        <v>0</v>
      </c>
      <c r="H211" s="209"/>
      <c r="I211" s="209"/>
      <c r="J211" s="209"/>
      <c r="K211" s="209"/>
      <c r="L211" s="209"/>
      <c r="M211" s="209"/>
      <c r="N211" s="212" t="s">
        <v>834</v>
      </c>
    </row>
    <row r="212" spans="1:17" ht="19.7" customHeight="1">
      <c r="A212" s="218" t="s">
        <v>389</v>
      </c>
      <c r="B212" s="218" t="s">
        <v>761</v>
      </c>
      <c r="C212" s="218" t="s">
        <v>834</v>
      </c>
      <c r="D212" s="209"/>
      <c r="E212" s="210" t="s">
        <v>834</v>
      </c>
      <c r="F212" s="209">
        <v>0</v>
      </c>
      <c r="G212" s="211">
        <v>37700000</v>
      </c>
      <c r="H212" s="209"/>
      <c r="I212" s="214" t="s">
        <v>1078</v>
      </c>
      <c r="J212" s="209"/>
      <c r="K212" s="211" t="s">
        <v>932</v>
      </c>
      <c r="L212" s="209"/>
      <c r="M212" s="214" t="s">
        <v>1078</v>
      </c>
      <c r="N212" s="218" t="s">
        <v>834</v>
      </c>
    </row>
    <row r="213" spans="1:17" ht="19.7" customHeight="1">
      <c r="A213" s="208" t="s">
        <v>198</v>
      </c>
      <c r="B213" s="208" t="s">
        <v>275</v>
      </c>
      <c r="C213" s="208" t="s">
        <v>834</v>
      </c>
      <c r="D213" s="209"/>
      <c r="E213" s="210" t="s">
        <v>834</v>
      </c>
      <c r="F213" s="209">
        <v>0</v>
      </c>
      <c r="G213" s="211">
        <v>37645120</v>
      </c>
      <c r="H213" s="209"/>
      <c r="I213" s="214" t="s">
        <v>1078</v>
      </c>
      <c r="J213" s="209"/>
      <c r="K213" s="211" t="s">
        <v>1080</v>
      </c>
      <c r="L213" s="209"/>
      <c r="M213" s="214" t="s">
        <v>1078</v>
      </c>
      <c r="N213" s="208" t="s">
        <v>834</v>
      </c>
    </row>
    <row r="214" spans="1:17" ht="19.7" customHeight="1">
      <c r="A214" s="212" t="s">
        <v>834</v>
      </c>
      <c r="B214" s="212" t="s">
        <v>790</v>
      </c>
      <c r="C214" s="212" t="s">
        <v>37</v>
      </c>
      <c r="D214" s="209">
        <v>376</v>
      </c>
      <c r="E214" s="213" t="s">
        <v>537</v>
      </c>
      <c r="F214" s="209">
        <v>100120</v>
      </c>
      <c r="G214" s="214">
        <v>37645120</v>
      </c>
      <c r="H214" s="214"/>
      <c r="I214" s="214">
        <v>0</v>
      </c>
      <c r="J214" s="214">
        <v>100120</v>
      </c>
      <c r="K214" s="214">
        <v>37645120</v>
      </c>
      <c r="L214" s="214">
        <v>0</v>
      </c>
      <c r="M214" s="214">
        <v>0</v>
      </c>
      <c r="N214" s="212" t="s">
        <v>375</v>
      </c>
    </row>
    <row r="215" spans="1:17" ht="19.7" customHeight="1">
      <c r="A215" s="208" t="s">
        <v>804</v>
      </c>
      <c r="B215" s="208" t="s">
        <v>362</v>
      </c>
      <c r="C215" s="208" t="s">
        <v>834</v>
      </c>
      <c r="D215" s="220">
        <v>1</v>
      </c>
      <c r="E215" s="210" t="s">
        <v>665</v>
      </c>
      <c r="F215" s="220">
        <v>54880</v>
      </c>
      <c r="G215" s="211">
        <v>54880</v>
      </c>
      <c r="H215" s="209"/>
      <c r="I215" s="214">
        <v>0</v>
      </c>
      <c r="J215" s="220">
        <v>54880</v>
      </c>
      <c r="K215" s="211">
        <v>54880</v>
      </c>
      <c r="L215" s="209"/>
      <c r="M215" s="214">
        <v>0</v>
      </c>
      <c r="N215" s="208" t="s">
        <v>834</v>
      </c>
    </row>
    <row r="216" spans="1:17" ht="19.7" customHeight="1">
      <c r="A216" s="67" t="s">
        <v>834</v>
      </c>
      <c r="B216" s="29" t="s">
        <v>834</v>
      </c>
      <c r="C216" s="29" t="s">
        <v>834</v>
      </c>
      <c r="D216" s="31"/>
      <c r="E216" s="30" t="s">
        <v>834</v>
      </c>
      <c r="F216" s="37">
        <v>0</v>
      </c>
      <c r="G216" s="65">
        <v>0</v>
      </c>
      <c r="H216" s="37"/>
      <c r="I216" s="31"/>
      <c r="J216" s="37"/>
      <c r="K216" s="31"/>
      <c r="L216" s="37"/>
      <c r="M216" s="31"/>
      <c r="N216" s="32" t="s">
        <v>834</v>
      </c>
    </row>
    <row r="217" spans="1:17" ht="19.7" customHeight="1">
      <c r="A217" s="67" t="s">
        <v>834</v>
      </c>
      <c r="B217" s="29" t="s">
        <v>834</v>
      </c>
      <c r="C217" s="29" t="s">
        <v>834</v>
      </c>
      <c r="D217" s="31"/>
      <c r="E217" s="30" t="s">
        <v>834</v>
      </c>
      <c r="F217" s="37">
        <v>0</v>
      </c>
      <c r="G217" s="65"/>
      <c r="H217" s="37"/>
      <c r="I217" s="31"/>
      <c r="J217" s="37"/>
      <c r="K217" s="31"/>
      <c r="L217" s="37"/>
      <c r="M217" s="31"/>
      <c r="N217" s="32" t="s">
        <v>834</v>
      </c>
    </row>
    <row r="218" spans="1:17" ht="19.7" customHeight="1">
      <c r="A218" s="67" t="s">
        <v>834</v>
      </c>
      <c r="B218" s="29" t="s">
        <v>834</v>
      </c>
      <c r="C218" s="29" t="s">
        <v>834</v>
      </c>
      <c r="D218" s="31"/>
      <c r="E218" s="30" t="s">
        <v>834</v>
      </c>
      <c r="F218" s="37">
        <v>0</v>
      </c>
      <c r="G218" s="65">
        <v>0</v>
      </c>
      <c r="H218" s="37"/>
      <c r="I218" s="31"/>
      <c r="J218" s="37"/>
      <c r="K218" s="31"/>
      <c r="L218" s="37"/>
      <c r="M218" s="31"/>
      <c r="N218" s="32" t="s">
        <v>834</v>
      </c>
    </row>
    <row r="219" spans="1:17" ht="19.7" customHeight="1">
      <c r="A219" s="67" t="s">
        <v>834</v>
      </c>
      <c r="B219" s="29" t="s">
        <v>834</v>
      </c>
      <c r="C219" s="29" t="s">
        <v>834</v>
      </c>
      <c r="D219" s="31"/>
      <c r="E219" s="30" t="s">
        <v>834</v>
      </c>
      <c r="F219" s="37">
        <v>0</v>
      </c>
      <c r="G219" s="65">
        <v>0</v>
      </c>
      <c r="H219" s="37"/>
      <c r="I219" s="31"/>
      <c r="J219" s="37"/>
      <c r="K219" s="31"/>
      <c r="L219" s="37"/>
      <c r="M219" s="31"/>
      <c r="N219" s="32" t="s">
        <v>834</v>
      </c>
    </row>
    <row r="220" spans="1:17" ht="19.7" customHeight="1">
      <c r="A220" s="67" t="s">
        <v>834</v>
      </c>
      <c r="B220" s="29" t="s">
        <v>834</v>
      </c>
      <c r="C220" s="29" t="s">
        <v>834</v>
      </c>
      <c r="D220" s="31"/>
      <c r="E220" s="30" t="s">
        <v>834</v>
      </c>
      <c r="F220" s="37">
        <v>0</v>
      </c>
      <c r="G220" s="65">
        <v>0</v>
      </c>
      <c r="H220" s="37"/>
      <c r="I220" s="31"/>
      <c r="J220" s="37"/>
      <c r="K220" s="31"/>
      <c r="L220" s="37"/>
      <c r="M220" s="31"/>
      <c r="N220" s="32" t="s">
        <v>834</v>
      </c>
    </row>
    <row r="221" spans="1:17" ht="19.7" customHeight="1">
      <c r="A221" s="67" t="s">
        <v>834</v>
      </c>
      <c r="B221" s="29" t="s">
        <v>834</v>
      </c>
      <c r="C221" s="29" t="s">
        <v>834</v>
      </c>
      <c r="D221" s="31"/>
      <c r="E221" s="30" t="s">
        <v>834</v>
      </c>
      <c r="F221" s="37">
        <v>0</v>
      </c>
      <c r="G221" s="65">
        <v>0</v>
      </c>
      <c r="H221" s="37"/>
      <c r="I221" s="31"/>
      <c r="J221" s="37"/>
      <c r="K221" s="31"/>
      <c r="L221" s="37"/>
      <c r="M221" s="31"/>
      <c r="N221" s="32" t="s">
        <v>834</v>
      </c>
    </row>
    <row r="222" spans="1:17" ht="19.7" customHeight="1">
      <c r="A222" s="67" t="s">
        <v>834</v>
      </c>
      <c r="B222" s="29" t="s">
        <v>834</v>
      </c>
      <c r="C222" s="29" t="s">
        <v>834</v>
      </c>
      <c r="D222" s="31"/>
      <c r="E222" s="30" t="s">
        <v>834</v>
      </c>
      <c r="F222" s="37">
        <v>0</v>
      </c>
      <c r="G222" s="65">
        <v>0</v>
      </c>
      <c r="H222" s="37"/>
      <c r="I222" s="31"/>
      <c r="J222" s="37"/>
      <c r="K222" s="31"/>
      <c r="L222" s="37"/>
      <c r="M222" s="31"/>
      <c r="N222" s="32" t="s">
        <v>834</v>
      </c>
    </row>
    <row r="223" spans="1:17" ht="19.7" customHeight="1">
      <c r="A223" s="67" t="s">
        <v>834</v>
      </c>
      <c r="B223" s="29" t="s">
        <v>834</v>
      </c>
      <c r="C223" s="29" t="s">
        <v>834</v>
      </c>
      <c r="D223" s="31"/>
      <c r="E223" s="30" t="s">
        <v>834</v>
      </c>
      <c r="F223" s="37">
        <v>0</v>
      </c>
      <c r="G223" s="65">
        <v>0</v>
      </c>
      <c r="H223" s="37"/>
      <c r="I223" s="31"/>
      <c r="J223" s="37"/>
      <c r="K223" s="31"/>
      <c r="L223" s="37"/>
      <c r="M223" s="31"/>
      <c r="N223" s="32" t="s">
        <v>834</v>
      </c>
    </row>
    <row r="224" spans="1:17" ht="19.7" customHeight="1">
      <c r="A224" s="67" t="s">
        <v>834</v>
      </c>
      <c r="B224" s="29" t="s">
        <v>834</v>
      </c>
      <c r="C224" s="29" t="s">
        <v>834</v>
      </c>
      <c r="D224" s="31"/>
      <c r="E224" s="30" t="s">
        <v>834</v>
      </c>
      <c r="F224" s="37">
        <v>0</v>
      </c>
      <c r="G224" s="65">
        <v>0</v>
      </c>
      <c r="H224" s="37"/>
      <c r="I224" s="31"/>
      <c r="J224" s="37"/>
      <c r="K224" s="31"/>
      <c r="L224" s="37"/>
      <c r="M224" s="31"/>
      <c r="N224" s="32" t="s">
        <v>834</v>
      </c>
    </row>
    <row r="225" spans="1:14" ht="19.7" customHeight="1">
      <c r="A225" s="67" t="s">
        <v>834</v>
      </c>
      <c r="B225" s="29" t="s">
        <v>834</v>
      </c>
      <c r="C225" s="29" t="s">
        <v>834</v>
      </c>
      <c r="D225" s="31"/>
      <c r="E225" s="30" t="s">
        <v>834</v>
      </c>
      <c r="F225" s="37">
        <v>0</v>
      </c>
      <c r="G225" s="65">
        <v>0</v>
      </c>
      <c r="H225" s="37"/>
      <c r="I225" s="31"/>
      <c r="J225" s="37"/>
      <c r="K225" s="31"/>
      <c r="L225" s="37"/>
      <c r="M225" s="31"/>
      <c r="N225" s="32" t="s">
        <v>834</v>
      </c>
    </row>
    <row r="226" spans="1:14" ht="19.7" customHeight="1">
      <c r="A226" s="67" t="s">
        <v>834</v>
      </c>
      <c r="B226" s="29" t="s">
        <v>834</v>
      </c>
      <c r="C226" s="29" t="s">
        <v>834</v>
      </c>
      <c r="D226" s="31"/>
      <c r="E226" s="30" t="s">
        <v>834</v>
      </c>
      <c r="F226" s="37">
        <v>0</v>
      </c>
      <c r="G226" s="65">
        <v>0</v>
      </c>
      <c r="H226" s="37"/>
      <c r="I226" s="31"/>
      <c r="J226" s="37"/>
      <c r="K226" s="31"/>
      <c r="L226" s="37"/>
      <c r="M226" s="31"/>
      <c r="N226" s="32" t="s">
        <v>834</v>
      </c>
    </row>
    <row r="227" spans="1:14" ht="19.7" customHeight="1">
      <c r="A227" s="67" t="s">
        <v>834</v>
      </c>
      <c r="B227" s="29" t="s">
        <v>834</v>
      </c>
      <c r="C227" s="29" t="s">
        <v>834</v>
      </c>
      <c r="D227" s="31"/>
      <c r="E227" s="30" t="s">
        <v>834</v>
      </c>
      <c r="F227" s="37">
        <v>0</v>
      </c>
      <c r="G227" s="65">
        <v>0</v>
      </c>
      <c r="H227" s="37"/>
      <c r="I227" s="31"/>
      <c r="J227" s="37"/>
      <c r="K227" s="31"/>
      <c r="L227" s="37"/>
      <c r="M227" s="31"/>
      <c r="N227" s="32" t="s">
        <v>834</v>
      </c>
    </row>
    <row r="228" spans="1:14" ht="19.7" customHeight="1">
      <c r="A228" s="67" t="s">
        <v>834</v>
      </c>
      <c r="B228" s="29" t="s">
        <v>834</v>
      </c>
      <c r="C228" s="29" t="s">
        <v>834</v>
      </c>
      <c r="D228" s="31"/>
      <c r="E228" s="30" t="s">
        <v>834</v>
      </c>
      <c r="F228" s="37">
        <v>0</v>
      </c>
      <c r="G228" s="65">
        <v>0</v>
      </c>
      <c r="H228" s="37"/>
      <c r="I228" s="31"/>
      <c r="J228" s="37"/>
      <c r="K228" s="31"/>
      <c r="L228" s="37"/>
      <c r="M228" s="31"/>
      <c r="N228" s="32" t="s">
        <v>834</v>
      </c>
    </row>
    <row r="229" spans="1:14" ht="19.7" customHeight="1">
      <c r="A229" s="67" t="s">
        <v>834</v>
      </c>
      <c r="B229" s="29" t="s">
        <v>834</v>
      </c>
      <c r="C229" s="29" t="s">
        <v>834</v>
      </c>
      <c r="D229" s="31"/>
      <c r="E229" s="30" t="s">
        <v>834</v>
      </c>
      <c r="F229" s="37">
        <v>0</v>
      </c>
      <c r="G229" s="65">
        <v>0</v>
      </c>
      <c r="H229" s="37"/>
      <c r="I229" s="31"/>
      <c r="J229" s="37"/>
      <c r="K229" s="31"/>
      <c r="L229" s="37"/>
      <c r="M229" s="31"/>
      <c r="N229" s="32" t="s">
        <v>834</v>
      </c>
    </row>
    <row r="230" spans="1:14" ht="19.7" customHeight="1">
      <c r="A230" s="67" t="s">
        <v>834</v>
      </c>
      <c r="B230" s="29" t="s">
        <v>834</v>
      </c>
      <c r="C230" s="29" t="s">
        <v>834</v>
      </c>
      <c r="D230" s="31"/>
      <c r="E230" s="30" t="s">
        <v>834</v>
      </c>
      <c r="F230" s="37">
        <v>0</v>
      </c>
      <c r="G230" s="65">
        <v>0</v>
      </c>
      <c r="H230" s="37"/>
      <c r="I230" s="31"/>
      <c r="J230" s="37"/>
      <c r="K230" s="31"/>
      <c r="L230" s="37"/>
      <c r="M230" s="31"/>
      <c r="N230" s="32" t="s">
        <v>834</v>
      </c>
    </row>
    <row r="231" spans="1:14" ht="19.7" customHeight="1">
      <c r="A231" s="67" t="s">
        <v>834</v>
      </c>
      <c r="B231" s="29" t="s">
        <v>834</v>
      </c>
      <c r="C231" s="29" t="s">
        <v>834</v>
      </c>
      <c r="D231" s="31"/>
      <c r="E231" s="30" t="s">
        <v>834</v>
      </c>
      <c r="F231" s="37">
        <v>0</v>
      </c>
      <c r="G231" s="65">
        <v>0</v>
      </c>
      <c r="H231" s="37"/>
      <c r="I231" s="31"/>
      <c r="J231" s="37"/>
      <c r="K231" s="31"/>
      <c r="L231" s="37"/>
      <c r="M231" s="31"/>
      <c r="N231" s="32" t="s">
        <v>834</v>
      </c>
    </row>
    <row r="232" spans="1:14" ht="19.7" customHeight="1">
      <c r="A232" s="67" t="s">
        <v>834</v>
      </c>
      <c r="B232" s="29" t="s">
        <v>834</v>
      </c>
      <c r="C232" s="29" t="s">
        <v>834</v>
      </c>
      <c r="D232" s="31"/>
      <c r="E232" s="30" t="s">
        <v>834</v>
      </c>
      <c r="F232" s="37">
        <v>0</v>
      </c>
      <c r="G232" s="65">
        <v>0</v>
      </c>
      <c r="H232" s="37"/>
      <c r="I232" s="31"/>
      <c r="J232" s="37"/>
      <c r="K232" s="31"/>
      <c r="L232" s="37"/>
      <c r="M232" s="31"/>
      <c r="N232" s="32" t="s">
        <v>834</v>
      </c>
    </row>
    <row r="233" spans="1:14" ht="19.7" customHeight="1">
      <c r="A233" s="67" t="s">
        <v>834</v>
      </c>
      <c r="B233" s="29" t="s">
        <v>834</v>
      </c>
      <c r="C233" s="29" t="s">
        <v>834</v>
      </c>
      <c r="D233" s="31"/>
      <c r="E233" s="30" t="s">
        <v>834</v>
      </c>
      <c r="F233" s="37">
        <v>0</v>
      </c>
      <c r="G233" s="65">
        <v>0</v>
      </c>
      <c r="H233" s="37"/>
      <c r="I233" s="31"/>
      <c r="J233" s="37"/>
      <c r="K233" s="31"/>
      <c r="L233" s="37"/>
      <c r="M233" s="31"/>
      <c r="N233" s="32" t="s">
        <v>834</v>
      </c>
    </row>
    <row r="234" spans="1:14" ht="19.7" customHeight="1">
      <c r="A234" s="67" t="s">
        <v>834</v>
      </c>
      <c r="B234" s="29" t="s">
        <v>834</v>
      </c>
      <c r="C234" s="29" t="s">
        <v>834</v>
      </c>
      <c r="D234" s="31"/>
      <c r="E234" s="30" t="s">
        <v>834</v>
      </c>
      <c r="F234" s="37">
        <v>0</v>
      </c>
      <c r="G234" s="65">
        <v>0</v>
      </c>
      <c r="H234" s="37"/>
      <c r="I234" s="31"/>
      <c r="J234" s="37"/>
      <c r="K234" s="31"/>
      <c r="L234" s="37"/>
      <c r="M234" s="31"/>
      <c r="N234" s="32" t="s">
        <v>834</v>
      </c>
    </row>
    <row r="235" spans="1:14" ht="19.7" customHeight="1">
      <c r="A235" s="67" t="s">
        <v>834</v>
      </c>
      <c r="B235" s="29" t="s">
        <v>834</v>
      </c>
      <c r="C235" s="29" t="s">
        <v>834</v>
      </c>
      <c r="D235" s="31"/>
      <c r="E235" s="30" t="s">
        <v>834</v>
      </c>
      <c r="F235" s="37">
        <v>0</v>
      </c>
      <c r="G235" s="65">
        <v>0</v>
      </c>
      <c r="H235" s="37"/>
      <c r="I235" s="31"/>
      <c r="J235" s="37"/>
      <c r="K235" s="31"/>
      <c r="L235" s="37"/>
      <c r="M235" s="31"/>
      <c r="N235" s="32" t="s">
        <v>834</v>
      </c>
    </row>
    <row r="236" spans="1:14">
      <c r="A236" s="69" t="s">
        <v>834</v>
      </c>
      <c r="B236" s="34" t="s">
        <v>834</v>
      </c>
      <c r="C236" s="34" t="s">
        <v>834</v>
      </c>
      <c r="D236" s="22"/>
      <c r="E236" s="35" t="s">
        <v>834</v>
      </c>
      <c r="F236" s="21">
        <v>0</v>
      </c>
      <c r="G236" s="74">
        <v>0</v>
      </c>
      <c r="H236" s="21"/>
      <c r="I236" s="22"/>
      <c r="J236" s="21"/>
      <c r="K236" s="22"/>
      <c r="L236" s="21"/>
      <c r="M236" s="22"/>
      <c r="N236" s="36" t="s">
        <v>834</v>
      </c>
    </row>
    <row r="237" spans="1:14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</row>
  </sheetData>
  <mergeCells count="11">
    <mergeCell ref="N3:N4"/>
    <mergeCell ref="A1:N2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8" type="noConversion"/>
  <printOptions horizontalCentered="1"/>
  <pageMargins left="0.19685039370078741" right="7.874015748031496E-2" top="0.6692913385826772" bottom="0.19685039370078741" header="0.51181102362204722" footer="0.51181102362204722"/>
  <pageSetup paperSize="9" scale="60" fitToHeight="0" orientation="landscape" r:id="rId1"/>
  <headerFooter alignWithMargins="0"/>
  <rowBreaks count="8" manualBreakCount="8">
    <brk id="32" max="13" man="1"/>
    <brk id="58" max="13" man="1"/>
    <brk id="78" max="13" man="1"/>
    <brk id="103" max="13" man="1"/>
    <brk id="128" max="13" man="1"/>
    <brk id="153" max="13" man="1"/>
    <brk id="178" max="13" man="1"/>
    <brk id="197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C148-3DCC-42C8-90ED-9AEAFE76ADAC}">
  <sheetPr>
    <tabColor rgb="FF00B0F0"/>
  </sheetPr>
  <dimension ref="A1:S31"/>
  <sheetViews>
    <sheetView view="pageBreakPreview" zoomScaleNormal="100" zoomScaleSheetLayoutView="100" workbookViewId="0">
      <selection activeCell="E23" sqref="E23"/>
    </sheetView>
  </sheetViews>
  <sheetFormatPr defaultRowHeight="12.75"/>
  <cols>
    <col min="1" max="1" width="25.7109375" customWidth="1"/>
    <col min="2" max="2" width="18.42578125" style="177" customWidth="1"/>
    <col min="3" max="3" width="17.28515625" style="178" customWidth="1"/>
    <col min="4" max="4" width="3.28515625" customWidth="1"/>
    <col min="5" max="5" width="13.5703125" style="171" customWidth="1"/>
    <col min="6" max="6" width="3.5703125" customWidth="1"/>
    <col min="7" max="7" width="13.5703125" style="171" customWidth="1"/>
    <col min="8" max="9" width="3.28515625" customWidth="1"/>
    <col min="10" max="10" width="13.5703125" style="171" customWidth="1"/>
    <col min="11" max="11" width="3.28515625" customWidth="1"/>
    <col min="12" max="12" width="13.5703125" style="171" customWidth="1"/>
    <col min="13" max="13" width="3.28515625" customWidth="1"/>
    <col min="14" max="14" width="13.5703125" style="171" customWidth="1"/>
    <col min="15" max="15" width="10.7109375" customWidth="1"/>
    <col min="17" max="17" width="16.28515625" style="155" bestFit="1" customWidth="1"/>
    <col min="18" max="18" width="17.28515625" bestFit="1" customWidth="1"/>
    <col min="19" max="19" width="17.28515625" style="181" bestFit="1" customWidth="1"/>
  </cols>
  <sheetData>
    <row r="1" spans="1:19" ht="37.5" customHeight="1">
      <c r="A1" s="351" t="s">
        <v>859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</row>
    <row r="2" spans="1:19" s="161" customFormat="1" ht="25.5" customHeight="1">
      <c r="A2" s="156" t="s">
        <v>1081</v>
      </c>
      <c r="B2" s="157"/>
      <c r="C2" s="158"/>
      <c r="D2" s="159"/>
      <c r="E2" s="160"/>
      <c r="F2" s="159"/>
      <c r="G2" s="160"/>
      <c r="H2" s="159"/>
      <c r="I2" s="159"/>
      <c r="J2" s="160"/>
      <c r="K2" s="159"/>
      <c r="L2" s="160"/>
      <c r="M2" s="159"/>
      <c r="N2" s="160"/>
      <c r="O2" s="159"/>
      <c r="Q2" s="162"/>
      <c r="S2" s="181"/>
    </row>
    <row r="3" spans="1:19" s="163" customFormat="1" ht="22.5" customHeight="1">
      <c r="A3" s="253" t="s">
        <v>860</v>
      </c>
      <c r="B3" s="254" t="s">
        <v>861</v>
      </c>
      <c r="C3" s="255" t="s">
        <v>862</v>
      </c>
      <c r="D3" s="352" t="s">
        <v>863</v>
      </c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256" t="s">
        <v>864</v>
      </c>
      <c r="Q3" s="155"/>
      <c r="S3" s="181"/>
    </row>
    <row r="4" spans="1:19" s="163" customFormat="1" ht="22.5" customHeight="1">
      <c r="A4" s="257" t="s">
        <v>865</v>
      </c>
      <c r="B4" s="258">
        <v>356120488</v>
      </c>
      <c r="C4" s="259">
        <v>322762522</v>
      </c>
      <c r="D4" s="260"/>
      <c r="E4" s="261"/>
      <c r="F4" s="262"/>
      <c r="G4" s="261"/>
      <c r="H4" s="262"/>
      <c r="I4" s="262"/>
      <c r="J4" s="261"/>
      <c r="K4" s="262"/>
      <c r="L4" s="261"/>
      <c r="M4" s="262"/>
      <c r="N4" s="263"/>
      <c r="O4" s="264"/>
      <c r="Q4" s="164"/>
      <c r="S4" s="181"/>
    </row>
    <row r="5" spans="1:19" s="163" customFormat="1" ht="22.5" customHeight="1">
      <c r="A5" s="265" t="s">
        <v>866</v>
      </c>
      <c r="B5" s="266">
        <v>34137084</v>
      </c>
      <c r="C5" s="267">
        <v>30939448</v>
      </c>
      <c r="D5" s="268" t="s">
        <v>839</v>
      </c>
      <c r="E5" s="269">
        <v>322762522</v>
      </c>
      <c r="F5" s="270" t="s">
        <v>867</v>
      </c>
      <c r="G5" s="269">
        <v>356120488</v>
      </c>
      <c r="H5" s="270" t="s">
        <v>841</v>
      </c>
      <c r="I5" s="270" t="s">
        <v>868</v>
      </c>
      <c r="J5" s="269">
        <v>34137084</v>
      </c>
      <c r="K5" s="270" t="s">
        <v>869</v>
      </c>
      <c r="L5" s="269">
        <v>30939448</v>
      </c>
      <c r="M5" s="270" t="s">
        <v>870</v>
      </c>
      <c r="N5" s="271">
        <v>30939448</v>
      </c>
      <c r="O5" s="272"/>
      <c r="Q5" s="155"/>
      <c r="R5" s="165">
        <v>9.5858239999999997E-2</v>
      </c>
      <c r="S5" s="181"/>
    </row>
    <row r="6" spans="1:19" s="163" customFormat="1" ht="22.5" customHeight="1">
      <c r="A6" s="265" t="s">
        <v>871</v>
      </c>
      <c r="B6" s="266">
        <v>8580614</v>
      </c>
      <c r="C6" s="267">
        <v>7776864</v>
      </c>
      <c r="D6" s="268" t="s">
        <v>839</v>
      </c>
      <c r="E6" s="269">
        <v>322762522</v>
      </c>
      <c r="F6" s="270" t="s">
        <v>867</v>
      </c>
      <c r="G6" s="269">
        <v>356120488</v>
      </c>
      <c r="H6" s="270" t="s">
        <v>841</v>
      </c>
      <c r="I6" s="270" t="s">
        <v>868</v>
      </c>
      <c r="J6" s="269">
        <v>8580614</v>
      </c>
      <c r="K6" s="270" t="s">
        <v>869</v>
      </c>
      <c r="L6" s="269">
        <v>7776864</v>
      </c>
      <c r="M6" s="270" t="s">
        <v>870</v>
      </c>
      <c r="N6" s="271">
        <v>7776864</v>
      </c>
      <c r="O6" s="272"/>
      <c r="Q6" s="155"/>
      <c r="R6" s="165">
        <v>2.4094689999999998E-2</v>
      </c>
      <c r="S6" s="181"/>
    </row>
    <row r="7" spans="1:19" s="163" customFormat="1" ht="22.5" customHeight="1">
      <c r="A7" s="265" t="s">
        <v>872</v>
      </c>
      <c r="B7" s="266">
        <v>2434387</v>
      </c>
      <c r="C7" s="267">
        <v>2206356</v>
      </c>
      <c r="D7" s="268" t="s">
        <v>839</v>
      </c>
      <c r="E7" s="269">
        <v>322762522</v>
      </c>
      <c r="F7" s="270" t="s">
        <v>867</v>
      </c>
      <c r="G7" s="269">
        <v>356120488</v>
      </c>
      <c r="H7" s="270" t="s">
        <v>841</v>
      </c>
      <c r="I7" s="270" t="s">
        <v>868</v>
      </c>
      <c r="J7" s="269">
        <v>2434387</v>
      </c>
      <c r="K7" s="270" t="s">
        <v>869</v>
      </c>
      <c r="L7" s="269">
        <v>2206356</v>
      </c>
      <c r="M7" s="270" t="s">
        <v>870</v>
      </c>
      <c r="N7" s="271">
        <v>2206356</v>
      </c>
      <c r="O7" s="272"/>
      <c r="Q7" s="155"/>
      <c r="R7" s="165">
        <v>6.8358400000000001E-3</v>
      </c>
      <c r="S7" s="181"/>
    </row>
    <row r="8" spans="1:19" s="163" customFormat="1" ht="22.5" customHeight="1">
      <c r="A8" s="265" t="s">
        <v>873</v>
      </c>
      <c r="B8" s="266">
        <v>7437746</v>
      </c>
      <c r="C8" s="267">
        <v>7437746</v>
      </c>
      <c r="D8" s="349" t="s">
        <v>874</v>
      </c>
      <c r="E8" s="350"/>
      <c r="F8" s="350"/>
      <c r="G8" s="350"/>
      <c r="H8" s="350"/>
      <c r="I8" s="350"/>
      <c r="J8" s="350"/>
      <c r="K8" s="350"/>
      <c r="L8" s="350"/>
      <c r="M8" s="270" t="s">
        <v>870</v>
      </c>
      <c r="N8" s="271">
        <v>7437746</v>
      </c>
      <c r="O8" s="272"/>
      <c r="Q8" s="155"/>
      <c r="R8" s="165">
        <v>2.304401E-2</v>
      </c>
      <c r="S8" s="181"/>
    </row>
    <row r="9" spans="1:19" s="163" customFormat="1" ht="22.5" customHeight="1">
      <c r="A9" s="265" t="s">
        <v>875</v>
      </c>
      <c r="B9" s="266">
        <v>9827342</v>
      </c>
      <c r="C9" s="267">
        <v>9827342</v>
      </c>
      <c r="D9" s="349" t="s">
        <v>874</v>
      </c>
      <c r="E9" s="350"/>
      <c r="F9" s="350"/>
      <c r="G9" s="350"/>
      <c r="H9" s="350"/>
      <c r="I9" s="350"/>
      <c r="J9" s="350"/>
      <c r="K9" s="350"/>
      <c r="L9" s="350"/>
      <c r="M9" s="270" t="s">
        <v>870</v>
      </c>
      <c r="N9" s="271">
        <v>9827342</v>
      </c>
      <c r="O9" s="272"/>
      <c r="Q9" s="155"/>
      <c r="R9" s="165">
        <v>3.044759E-2</v>
      </c>
      <c r="S9" s="181"/>
    </row>
    <row r="10" spans="1:19" s="163" customFormat="1" ht="22.5" customHeight="1">
      <c r="A10" s="265" t="s">
        <v>876</v>
      </c>
      <c r="B10" s="266">
        <v>977319</v>
      </c>
      <c r="C10" s="267">
        <v>977319</v>
      </c>
      <c r="D10" s="349" t="s">
        <v>874</v>
      </c>
      <c r="E10" s="350"/>
      <c r="F10" s="350"/>
      <c r="G10" s="350"/>
      <c r="H10" s="350"/>
      <c r="I10" s="350"/>
      <c r="J10" s="350"/>
      <c r="K10" s="350"/>
      <c r="L10" s="350"/>
      <c r="M10" s="270" t="s">
        <v>870</v>
      </c>
      <c r="N10" s="271">
        <v>977319</v>
      </c>
      <c r="O10" s="272"/>
      <c r="Q10" s="155"/>
      <c r="R10" s="165">
        <v>3.02798E-3</v>
      </c>
      <c r="S10" s="181"/>
    </row>
    <row r="11" spans="1:19" s="163" customFormat="1" ht="22.5" customHeight="1">
      <c r="A11" s="265" t="s">
        <v>877</v>
      </c>
      <c r="B11" s="266">
        <v>4758502</v>
      </c>
      <c r="C11" s="267">
        <v>4758502</v>
      </c>
      <c r="D11" s="349" t="s">
        <v>874</v>
      </c>
      <c r="E11" s="350"/>
      <c r="F11" s="350"/>
      <c r="G11" s="350"/>
      <c r="H11" s="350"/>
      <c r="I11" s="350"/>
      <c r="J11" s="350"/>
      <c r="K11" s="350"/>
      <c r="L11" s="350"/>
      <c r="M11" s="270" t="s">
        <v>870</v>
      </c>
      <c r="N11" s="271">
        <v>4758502</v>
      </c>
      <c r="O11" s="272"/>
      <c r="Q11" s="155"/>
      <c r="R11" s="165">
        <v>1.4743040000000001E-2</v>
      </c>
      <c r="S11" s="181"/>
    </row>
    <row r="12" spans="1:19" s="163" customFormat="1" ht="22.5" customHeight="1">
      <c r="A12" s="265" t="s">
        <v>878</v>
      </c>
      <c r="B12" s="266">
        <v>1424481</v>
      </c>
      <c r="C12" s="267">
        <v>1291049</v>
      </c>
      <c r="D12" s="268" t="s">
        <v>839</v>
      </c>
      <c r="E12" s="269">
        <v>322762522</v>
      </c>
      <c r="F12" s="270" t="s">
        <v>867</v>
      </c>
      <c r="G12" s="269">
        <v>356120488</v>
      </c>
      <c r="H12" s="270" t="s">
        <v>841</v>
      </c>
      <c r="I12" s="270" t="s">
        <v>868</v>
      </c>
      <c r="J12" s="269">
        <v>1424481</v>
      </c>
      <c r="K12" s="270" t="s">
        <v>869</v>
      </c>
      <c r="L12" s="269">
        <v>1291049</v>
      </c>
      <c r="M12" s="270" t="s">
        <v>870</v>
      </c>
      <c r="N12" s="271">
        <v>1291049</v>
      </c>
      <c r="O12" s="272"/>
      <c r="Q12" s="155"/>
      <c r="R12" s="165">
        <v>3.9999900000000001E-3</v>
      </c>
      <c r="S12" s="181"/>
    </row>
    <row r="13" spans="1:19" s="163" customFormat="1" ht="22.5" customHeight="1">
      <c r="A13" s="265" t="s">
        <v>924</v>
      </c>
      <c r="B13" s="266">
        <v>12397587</v>
      </c>
      <c r="C13" s="267">
        <v>12397587</v>
      </c>
      <c r="D13" s="349" t="s">
        <v>874</v>
      </c>
      <c r="E13" s="350"/>
      <c r="F13" s="350"/>
      <c r="G13" s="350"/>
      <c r="H13" s="350"/>
      <c r="I13" s="350"/>
      <c r="J13" s="350"/>
      <c r="K13" s="350"/>
      <c r="L13" s="350"/>
      <c r="M13" s="270" t="s">
        <v>870</v>
      </c>
      <c r="N13" s="271">
        <v>12397587</v>
      </c>
      <c r="O13" s="272"/>
      <c r="Q13" s="155"/>
      <c r="R13" s="165">
        <v>3.8410859999999998E-2</v>
      </c>
      <c r="S13" s="181"/>
    </row>
    <row r="14" spans="1:19" s="163" customFormat="1" ht="22.5" customHeight="1">
      <c r="A14" s="265" t="s">
        <v>879</v>
      </c>
      <c r="B14" s="266">
        <v>3205084</v>
      </c>
      <c r="C14" s="267">
        <v>2904862</v>
      </c>
      <c r="D14" s="268" t="s">
        <v>839</v>
      </c>
      <c r="E14" s="269">
        <v>322762522</v>
      </c>
      <c r="F14" s="270" t="s">
        <v>867</v>
      </c>
      <c r="G14" s="269">
        <v>356120488</v>
      </c>
      <c r="H14" s="270" t="s">
        <v>841</v>
      </c>
      <c r="I14" s="270" t="s">
        <v>868</v>
      </c>
      <c r="J14" s="269">
        <v>3205084</v>
      </c>
      <c r="K14" s="270" t="s">
        <v>869</v>
      </c>
      <c r="L14" s="269">
        <v>2904862</v>
      </c>
      <c r="M14" s="270" t="s">
        <v>870</v>
      </c>
      <c r="N14" s="271">
        <v>2904862</v>
      </c>
      <c r="O14" s="272"/>
      <c r="Q14" s="155"/>
      <c r="R14" s="165">
        <v>8.9999899999999994E-3</v>
      </c>
      <c r="S14" s="181"/>
    </row>
    <row r="15" spans="1:19" s="163" customFormat="1" ht="22.5" customHeight="1">
      <c r="A15" s="265" t="s">
        <v>880</v>
      </c>
      <c r="B15" s="266">
        <v>288457</v>
      </c>
      <c r="C15" s="267">
        <v>261437</v>
      </c>
      <c r="D15" s="268" t="s">
        <v>839</v>
      </c>
      <c r="E15" s="269">
        <v>322762522</v>
      </c>
      <c r="F15" s="270" t="s">
        <v>867</v>
      </c>
      <c r="G15" s="269">
        <v>356120488</v>
      </c>
      <c r="H15" s="270" t="s">
        <v>841</v>
      </c>
      <c r="I15" s="270" t="s">
        <v>868</v>
      </c>
      <c r="J15" s="269">
        <v>288457</v>
      </c>
      <c r="K15" s="270" t="s">
        <v>869</v>
      </c>
      <c r="L15" s="269">
        <v>261437</v>
      </c>
      <c r="M15" s="270" t="s">
        <v>870</v>
      </c>
      <c r="N15" s="271">
        <v>261437</v>
      </c>
      <c r="O15" s="272"/>
      <c r="Q15" s="155"/>
      <c r="R15" s="165">
        <v>8.0999000000000002E-4</v>
      </c>
      <c r="S15" s="181"/>
    </row>
    <row r="16" spans="1:19" s="163" customFormat="1" ht="22.5" customHeight="1">
      <c r="A16" s="265" t="s">
        <v>881</v>
      </c>
      <c r="B16" s="266">
        <v>18691544</v>
      </c>
      <c r="C16" s="267">
        <v>16940698</v>
      </c>
      <c r="D16" s="268" t="s">
        <v>839</v>
      </c>
      <c r="E16" s="269">
        <v>322762522</v>
      </c>
      <c r="F16" s="270" t="s">
        <v>867</v>
      </c>
      <c r="G16" s="269">
        <v>356120488</v>
      </c>
      <c r="H16" s="270" t="s">
        <v>841</v>
      </c>
      <c r="I16" s="270" t="s">
        <v>868</v>
      </c>
      <c r="J16" s="269">
        <v>18691544</v>
      </c>
      <c r="K16" s="270" t="s">
        <v>869</v>
      </c>
      <c r="L16" s="269">
        <v>16940698</v>
      </c>
      <c r="M16" s="270" t="s">
        <v>870</v>
      </c>
      <c r="N16" s="271">
        <v>16940698</v>
      </c>
      <c r="O16" s="272"/>
      <c r="Q16" s="155"/>
      <c r="R16" s="165">
        <v>5.2486570000000003E-2</v>
      </c>
      <c r="S16" s="181"/>
    </row>
    <row r="17" spans="1:19" s="163" customFormat="1" ht="22.5" customHeight="1">
      <c r="A17" s="265" t="s">
        <v>882</v>
      </c>
      <c r="B17" s="266">
        <v>460280635</v>
      </c>
      <c r="C17" s="267">
        <v>420481732</v>
      </c>
      <c r="D17" s="268"/>
      <c r="E17" s="269"/>
      <c r="F17" s="270"/>
      <c r="G17" s="269"/>
      <c r="H17" s="270"/>
      <c r="I17" s="270"/>
      <c r="J17" s="269"/>
      <c r="K17" s="270"/>
      <c r="L17" s="269"/>
      <c r="M17" s="270"/>
      <c r="N17" s="271"/>
      <c r="O17" s="272"/>
      <c r="Q17" s="155"/>
      <c r="R17" s="165"/>
      <c r="S17" s="181"/>
    </row>
    <row r="18" spans="1:19" s="163" customFormat="1" ht="22.5" customHeight="1">
      <c r="A18" s="265" t="s">
        <v>883</v>
      </c>
      <c r="B18" s="266">
        <v>36822450</v>
      </c>
      <c r="C18" s="267">
        <v>33638537</v>
      </c>
      <c r="D18" s="268" t="s">
        <v>839</v>
      </c>
      <c r="E18" s="269">
        <v>420481732</v>
      </c>
      <c r="F18" s="270" t="s">
        <v>867</v>
      </c>
      <c r="G18" s="269">
        <v>460280635</v>
      </c>
      <c r="H18" s="270" t="s">
        <v>841</v>
      </c>
      <c r="I18" s="270" t="s">
        <v>868</v>
      </c>
      <c r="J18" s="269">
        <v>36822450</v>
      </c>
      <c r="K18" s="270" t="s">
        <v>869</v>
      </c>
      <c r="L18" s="269">
        <v>33638537</v>
      </c>
      <c r="M18" s="270" t="s">
        <v>870</v>
      </c>
      <c r="N18" s="271">
        <v>33638537</v>
      </c>
      <c r="O18" s="272"/>
      <c r="Q18" s="155"/>
      <c r="R18" s="165">
        <v>7.9999990000000007E-2</v>
      </c>
      <c r="S18" s="181"/>
    </row>
    <row r="19" spans="1:19" s="163" customFormat="1" ht="22.5" customHeight="1">
      <c r="A19" s="265" t="s">
        <v>884</v>
      </c>
      <c r="B19" s="266">
        <v>56329192</v>
      </c>
      <c r="C19" s="267">
        <v>46652366</v>
      </c>
      <c r="D19" s="268" t="s">
        <v>839</v>
      </c>
      <c r="E19" s="269">
        <v>420481732</v>
      </c>
      <c r="F19" s="270" t="s">
        <v>867</v>
      </c>
      <c r="G19" s="269">
        <v>460280635</v>
      </c>
      <c r="H19" s="270" t="s">
        <v>841</v>
      </c>
      <c r="I19" s="270" t="s">
        <v>868</v>
      </c>
      <c r="J19" s="269">
        <v>56329192</v>
      </c>
      <c r="K19" s="270" t="s">
        <v>869</v>
      </c>
      <c r="L19" s="269">
        <v>51458598</v>
      </c>
      <c r="M19" s="270" t="s">
        <v>870</v>
      </c>
      <c r="N19" s="271">
        <v>46652366</v>
      </c>
      <c r="O19" s="273" t="s">
        <v>885</v>
      </c>
      <c r="Q19" s="155">
        <v>0</v>
      </c>
      <c r="R19" s="165">
        <v>0.1109498</v>
      </c>
      <c r="S19" s="181"/>
    </row>
    <row r="20" spans="1:19" s="163" customFormat="1" ht="22.5" customHeight="1">
      <c r="A20" s="265" t="s">
        <v>886</v>
      </c>
      <c r="B20" s="266">
        <v>17884603</v>
      </c>
      <c r="C20" s="267">
        <v>17884603</v>
      </c>
      <c r="D20" s="349" t="s">
        <v>874</v>
      </c>
      <c r="E20" s="350"/>
      <c r="F20" s="350"/>
      <c r="G20" s="350"/>
      <c r="H20" s="350"/>
      <c r="I20" s="350"/>
      <c r="J20" s="350"/>
      <c r="K20" s="350"/>
      <c r="L20" s="350"/>
      <c r="M20" s="270" t="s">
        <v>870</v>
      </c>
      <c r="N20" s="271">
        <v>17884603</v>
      </c>
      <c r="O20" s="272"/>
      <c r="Q20" s="155"/>
      <c r="R20" s="165"/>
      <c r="S20" s="181"/>
    </row>
    <row r="21" spans="1:19" s="163" customFormat="1" ht="22.5" customHeight="1">
      <c r="A21" s="265" t="s">
        <v>887</v>
      </c>
      <c r="B21" s="266">
        <v>501302</v>
      </c>
      <c r="C21" s="267">
        <v>454308</v>
      </c>
      <c r="D21" s="274"/>
      <c r="E21" s="269"/>
      <c r="F21" s="275"/>
      <c r="G21" s="269"/>
      <c r="H21" s="275"/>
      <c r="I21" s="275"/>
      <c r="J21" s="269"/>
      <c r="K21" s="275"/>
      <c r="L21" s="269"/>
      <c r="M21" s="275"/>
      <c r="N21" s="271"/>
      <c r="O21" s="276"/>
      <c r="Q21" s="155"/>
      <c r="R21" s="165"/>
      <c r="S21" s="181"/>
    </row>
    <row r="22" spans="1:19" s="163" customFormat="1" ht="22.5" customHeight="1">
      <c r="A22" s="265" t="s">
        <v>888</v>
      </c>
      <c r="B22" s="266">
        <v>571818182</v>
      </c>
      <c r="C22" s="266">
        <v>519111546</v>
      </c>
      <c r="D22" s="274"/>
      <c r="E22" s="269"/>
      <c r="F22" s="275"/>
      <c r="G22" s="269"/>
      <c r="H22" s="275"/>
      <c r="I22" s="275"/>
      <c r="J22" s="269"/>
      <c r="K22" s="275"/>
      <c r="L22" s="269"/>
      <c r="M22" s="275"/>
      <c r="N22" s="271"/>
      <c r="O22" s="276"/>
      <c r="Q22" s="155"/>
      <c r="R22" s="166"/>
      <c r="S22" s="181"/>
    </row>
    <row r="23" spans="1:19" s="163" customFormat="1" ht="22.5" customHeight="1">
      <c r="A23" s="265" t="s">
        <v>889</v>
      </c>
      <c r="B23" s="266">
        <v>57181818</v>
      </c>
      <c r="C23" s="266">
        <v>51911154</v>
      </c>
      <c r="D23" s="274"/>
      <c r="E23" s="269"/>
      <c r="F23" s="275"/>
      <c r="G23" s="269"/>
      <c r="H23" s="275"/>
      <c r="I23" s="275"/>
      <c r="J23" s="269"/>
      <c r="K23" s="275"/>
      <c r="L23" s="269"/>
      <c r="M23" s="275"/>
      <c r="N23" s="271"/>
      <c r="O23" s="276"/>
      <c r="Q23" s="155">
        <v>0</v>
      </c>
      <c r="R23" s="166"/>
      <c r="S23" s="181"/>
    </row>
    <row r="24" spans="1:19" s="167" customFormat="1" ht="22.5" customHeight="1">
      <c r="A24" s="277" t="s">
        <v>890</v>
      </c>
      <c r="B24" s="278">
        <v>629000000</v>
      </c>
      <c r="C24" s="278">
        <v>571022700</v>
      </c>
      <c r="D24" s="279"/>
      <c r="E24" s="280"/>
      <c r="F24" s="281"/>
      <c r="G24" s="280"/>
      <c r="H24" s="281"/>
      <c r="I24" s="281"/>
      <c r="J24" s="280"/>
      <c r="K24" s="281"/>
      <c r="L24" s="280"/>
      <c r="M24" s="281"/>
      <c r="N24" s="282"/>
      <c r="O24" s="283"/>
      <c r="Q24" s="168">
        <v>571022700</v>
      </c>
      <c r="R24" s="169"/>
      <c r="S24" s="181"/>
    </row>
    <row r="25" spans="1:19" ht="34.5" customHeight="1">
      <c r="B25" s="164"/>
      <c r="C25" s="170"/>
    </row>
    <row r="26" spans="1:19" s="172" customFormat="1" ht="34.5" customHeight="1">
      <c r="B26" s="173"/>
      <c r="C26" s="174">
        <v>571022700</v>
      </c>
      <c r="E26" s="175"/>
      <c r="G26" s="175"/>
      <c r="J26" s="175"/>
      <c r="L26" s="175"/>
      <c r="N26" s="175"/>
      <c r="Q26" s="176"/>
      <c r="S26" s="181"/>
    </row>
    <row r="27" spans="1:19">
      <c r="Q27" s="155">
        <v>0</v>
      </c>
    </row>
    <row r="29" spans="1:19">
      <c r="C29" s="181">
        <v>571022700</v>
      </c>
      <c r="N29" s="182">
        <v>0</v>
      </c>
    </row>
    <row r="31" spans="1:19">
      <c r="N31" s="183">
        <v>0</v>
      </c>
    </row>
  </sheetData>
  <mergeCells count="8">
    <mergeCell ref="D13:L13"/>
    <mergeCell ref="D20:L20"/>
    <mergeCell ref="A1:O1"/>
    <mergeCell ref="D3:N3"/>
    <mergeCell ref="D8:L8"/>
    <mergeCell ref="D9:L9"/>
    <mergeCell ref="D10:L10"/>
    <mergeCell ref="D11:L11"/>
  </mergeCells>
  <phoneticPr fontId="8" type="noConversion"/>
  <printOptions horizontalCentered="1"/>
  <pageMargins left="0.31496062992125984" right="0.70866141732283472" top="0.74803149606299213" bottom="0.74803149606299213" header="0.31496062992125984" footer="0.31496062992125984"/>
  <pageSetup paperSize="9" scale="85" orientation="landscape" r:id="rId1"/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4FF1-2C74-4ED2-A043-7E2723CF2801}">
  <sheetPr>
    <tabColor rgb="FF00B0F0"/>
  </sheetPr>
  <dimension ref="A1:Q60"/>
  <sheetViews>
    <sheetView view="pageBreakPreview" zoomScaleNormal="100" zoomScaleSheetLayoutView="100" workbookViewId="0">
      <selection activeCell="F22" sqref="F22"/>
    </sheetView>
  </sheetViews>
  <sheetFormatPr defaultColWidth="8.85546875" defaultRowHeight="20.25"/>
  <cols>
    <col min="1" max="1" width="30.5703125" style="186" customWidth="1"/>
    <col min="2" max="2" width="21.42578125" style="186" customWidth="1"/>
    <col min="3" max="3" width="2.7109375" style="204" customWidth="1"/>
    <col min="4" max="4" width="2.28515625" style="186" customWidth="1"/>
    <col min="5" max="5" width="13.85546875" style="204" customWidth="1"/>
    <col min="6" max="6" width="3.85546875" style="186" customWidth="1"/>
    <col min="7" max="7" width="16.7109375" style="204" customWidth="1"/>
    <col min="8" max="8" width="4.7109375" style="186" customWidth="1"/>
    <col min="9" max="9" width="2.28515625" style="186" customWidth="1"/>
    <col min="10" max="10" width="14.140625" style="204" customWidth="1"/>
    <col min="11" max="11" width="13.140625" style="204" customWidth="1"/>
    <col min="12" max="12" width="3.85546875" style="186" customWidth="1"/>
    <col min="13" max="13" width="13.140625" style="204" customWidth="1"/>
    <col min="14" max="14" width="10" style="186" customWidth="1"/>
    <col min="15" max="15" width="17.28515625" style="184" bestFit="1" customWidth="1"/>
    <col min="16" max="16" width="14.28515625" style="185" bestFit="1" customWidth="1"/>
    <col min="17" max="17" width="14.28515625" style="186" bestFit="1" customWidth="1"/>
    <col min="18" max="16384" width="8.85546875" style="186"/>
  </cols>
  <sheetData>
    <row r="1" spans="1:17" ht="35.25" customHeight="1">
      <c r="A1" s="353" t="s">
        <v>892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7" ht="9.75" customHeight="1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</row>
    <row r="3" spans="1:17" ht="24" customHeight="1">
      <c r="A3" s="284" t="s">
        <v>893</v>
      </c>
      <c r="B3" s="285" t="s">
        <v>894</v>
      </c>
      <c r="C3" s="354" t="s">
        <v>895</v>
      </c>
      <c r="D3" s="355"/>
      <c r="E3" s="355"/>
      <c r="F3" s="355"/>
      <c r="G3" s="355"/>
      <c r="H3" s="355"/>
      <c r="I3" s="355"/>
      <c r="J3" s="356"/>
      <c r="K3" s="354" t="s">
        <v>896</v>
      </c>
      <c r="L3" s="355"/>
      <c r="M3" s="356"/>
      <c r="N3" s="286" t="s">
        <v>864</v>
      </c>
      <c r="P3" s="188"/>
      <c r="Q3" s="189"/>
    </row>
    <row r="4" spans="1:17" s="193" customFormat="1" ht="24" customHeight="1">
      <c r="A4" s="287" t="s">
        <v>897</v>
      </c>
      <c r="B4" s="288">
        <v>322762522</v>
      </c>
      <c r="C4" s="289"/>
      <c r="D4" s="357"/>
      <c r="E4" s="357"/>
      <c r="F4" s="357"/>
      <c r="G4" s="357"/>
      <c r="H4" s="357"/>
      <c r="I4" s="358"/>
      <c r="J4" s="359"/>
      <c r="K4" s="360"/>
      <c r="L4" s="358"/>
      <c r="M4" s="359"/>
      <c r="N4" s="290"/>
      <c r="O4" s="190"/>
      <c r="P4" s="191"/>
      <c r="Q4" s="192"/>
    </row>
    <row r="5" spans="1:17" s="193" customFormat="1" ht="24" customHeight="1">
      <c r="A5" s="291" t="s">
        <v>898</v>
      </c>
      <c r="B5" s="292">
        <v>30939448</v>
      </c>
      <c r="C5" s="293"/>
      <c r="D5" s="294" t="s">
        <v>839</v>
      </c>
      <c r="E5" s="295">
        <v>30939448</v>
      </c>
      <c r="F5" s="296" t="s">
        <v>867</v>
      </c>
      <c r="G5" s="297">
        <v>322762522</v>
      </c>
      <c r="H5" s="298" t="s">
        <v>841</v>
      </c>
      <c r="I5" s="299" t="s">
        <v>869</v>
      </c>
      <c r="J5" s="300">
        <v>9.5858239999999997E-2</v>
      </c>
      <c r="K5" s="301" t="s">
        <v>899</v>
      </c>
      <c r="L5" s="296" t="s">
        <v>868</v>
      </c>
      <c r="M5" s="300">
        <v>9.5858239999999997E-2</v>
      </c>
      <c r="N5" s="302"/>
      <c r="O5" s="194"/>
      <c r="P5" s="195">
        <v>9.5858239999999997E-2</v>
      </c>
      <c r="Q5" s="192"/>
    </row>
    <row r="6" spans="1:17" s="193" customFormat="1" ht="24" customHeight="1">
      <c r="A6" s="291" t="s">
        <v>900</v>
      </c>
      <c r="B6" s="292">
        <v>7776864</v>
      </c>
      <c r="C6" s="293"/>
      <c r="D6" s="294" t="s">
        <v>839</v>
      </c>
      <c r="E6" s="295">
        <v>7776864</v>
      </c>
      <c r="F6" s="296" t="s">
        <v>867</v>
      </c>
      <c r="G6" s="297">
        <v>322762522</v>
      </c>
      <c r="H6" s="298" t="s">
        <v>841</v>
      </c>
      <c r="I6" s="299" t="s">
        <v>869</v>
      </c>
      <c r="J6" s="300">
        <v>2.4094689999999998E-2</v>
      </c>
      <c r="K6" s="301" t="s">
        <v>899</v>
      </c>
      <c r="L6" s="296" t="s">
        <v>868</v>
      </c>
      <c r="M6" s="300">
        <v>2.4094689999999998E-2</v>
      </c>
      <c r="N6" s="302"/>
      <c r="O6" s="194"/>
      <c r="P6" s="195">
        <v>2.4094689999999998E-2</v>
      </c>
      <c r="Q6" s="192"/>
    </row>
    <row r="7" spans="1:17" s="193" customFormat="1" ht="24" customHeight="1">
      <c r="A7" s="291" t="s">
        <v>901</v>
      </c>
      <c r="B7" s="292">
        <v>2206356</v>
      </c>
      <c r="C7" s="293"/>
      <c r="D7" s="294" t="s">
        <v>839</v>
      </c>
      <c r="E7" s="295">
        <v>2206356</v>
      </c>
      <c r="F7" s="296" t="s">
        <v>867</v>
      </c>
      <c r="G7" s="297">
        <v>322762522</v>
      </c>
      <c r="H7" s="298" t="s">
        <v>841</v>
      </c>
      <c r="I7" s="299" t="s">
        <v>869</v>
      </c>
      <c r="J7" s="300">
        <v>6.8358400000000001E-3</v>
      </c>
      <c r="K7" s="301" t="s">
        <v>899</v>
      </c>
      <c r="L7" s="296" t="s">
        <v>868</v>
      </c>
      <c r="M7" s="300">
        <v>6.8358400000000001E-3</v>
      </c>
      <c r="N7" s="302"/>
      <c r="O7" s="194"/>
      <c r="P7" s="195">
        <v>6.8358400000000001E-3</v>
      </c>
      <c r="Q7" s="192"/>
    </row>
    <row r="8" spans="1:17" s="193" customFormat="1" ht="24" customHeight="1">
      <c r="A8" s="291" t="s">
        <v>902</v>
      </c>
      <c r="B8" s="292">
        <v>7437746</v>
      </c>
      <c r="C8" s="293"/>
      <c r="D8" s="294" t="s">
        <v>839</v>
      </c>
      <c r="E8" s="295">
        <v>7437746</v>
      </c>
      <c r="F8" s="296" t="s">
        <v>867</v>
      </c>
      <c r="G8" s="297">
        <v>322762522</v>
      </c>
      <c r="H8" s="298" t="s">
        <v>841</v>
      </c>
      <c r="I8" s="299" t="s">
        <v>869</v>
      </c>
      <c r="J8" s="300">
        <v>2.304401E-2</v>
      </c>
      <c r="K8" s="301" t="s">
        <v>899</v>
      </c>
      <c r="L8" s="296" t="s">
        <v>868</v>
      </c>
      <c r="M8" s="300">
        <v>2.304401E-2</v>
      </c>
      <c r="N8" s="302"/>
      <c r="O8" s="194"/>
      <c r="P8" s="195">
        <v>2.304401E-2</v>
      </c>
      <c r="Q8" s="192"/>
    </row>
    <row r="9" spans="1:17" s="193" customFormat="1" ht="24" customHeight="1">
      <c r="A9" s="291" t="s">
        <v>903</v>
      </c>
      <c r="B9" s="292">
        <v>9827342</v>
      </c>
      <c r="C9" s="293"/>
      <c r="D9" s="294" t="s">
        <v>839</v>
      </c>
      <c r="E9" s="295">
        <v>9827342</v>
      </c>
      <c r="F9" s="296" t="s">
        <v>867</v>
      </c>
      <c r="G9" s="297">
        <v>322762522</v>
      </c>
      <c r="H9" s="298" t="s">
        <v>841</v>
      </c>
      <c r="I9" s="299" t="s">
        <v>869</v>
      </c>
      <c r="J9" s="300">
        <v>3.044759E-2</v>
      </c>
      <c r="K9" s="301" t="s">
        <v>899</v>
      </c>
      <c r="L9" s="296" t="s">
        <v>868</v>
      </c>
      <c r="M9" s="300">
        <v>3.044759E-2</v>
      </c>
      <c r="N9" s="302"/>
      <c r="O9" s="194"/>
      <c r="P9" s="195">
        <v>3.044759E-2</v>
      </c>
      <c r="Q9" s="192"/>
    </row>
    <row r="10" spans="1:17" s="193" customFormat="1" ht="24" customHeight="1">
      <c r="A10" s="291" t="s">
        <v>904</v>
      </c>
      <c r="B10" s="292">
        <v>977319</v>
      </c>
      <c r="C10" s="293"/>
      <c r="D10" s="294" t="s">
        <v>839</v>
      </c>
      <c r="E10" s="295">
        <v>977319</v>
      </c>
      <c r="F10" s="296" t="s">
        <v>867</v>
      </c>
      <c r="G10" s="297">
        <v>322762522</v>
      </c>
      <c r="H10" s="298" t="s">
        <v>841</v>
      </c>
      <c r="I10" s="299" t="s">
        <v>869</v>
      </c>
      <c r="J10" s="300">
        <v>3.02798E-3</v>
      </c>
      <c r="K10" s="301" t="s">
        <v>899</v>
      </c>
      <c r="L10" s="296" t="s">
        <v>868</v>
      </c>
      <c r="M10" s="300">
        <v>3.02798E-3</v>
      </c>
      <c r="N10" s="302"/>
      <c r="O10" s="194"/>
      <c r="P10" s="195">
        <v>3.02798E-3</v>
      </c>
      <c r="Q10" s="192"/>
    </row>
    <row r="11" spans="1:17" s="193" customFormat="1" ht="24" customHeight="1">
      <c r="A11" s="291" t="s">
        <v>905</v>
      </c>
      <c r="B11" s="292">
        <v>4758502</v>
      </c>
      <c r="C11" s="293"/>
      <c r="D11" s="294" t="s">
        <v>839</v>
      </c>
      <c r="E11" s="295">
        <v>4758502</v>
      </c>
      <c r="F11" s="296" t="s">
        <v>867</v>
      </c>
      <c r="G11" s="297">
        <v>322762522</v>
      </c>
      <c r="H11" s="298" t="s">
        <v>841</v>
      </c>
      <c r="I11" s="299" t="s">
        <v>869</v>
      </c>
      <c r="J11" s="300">
        <v>1.4743040000000001E-2</v>
      </c>
      <c r="K11" s="301" t="s">
        <v>899</v>
      </c>
      <c r="L11" s="296" t="s">
        <v>868</v>
      </c>
      <c r="M11" s="300">
        <v>1.4743040000000001E-2</v>
      </c>
      <c r="N11" s="302"/>
      <c r="O11" s="194"/>
      <c r="P11" s="195">
        <v>1.4743040000000001E-2</v>
      </c>
      <c r="Q11" s="192"/>
    </row>
    <row r="12" spans="1:17" s="193" customFormat="1" ht="24" customHeight="1">
      <c r="A12" s="291" t="s">
        <v>906</v>
      </c>
      <c r="B12" s="292">
        <v>1291049</v>
      </c>
      <c r="C12" s="293"/>
      <c r="D12" s="294" t="s">
        <v>839</v>
      </c>
      <c r="E12" s="295">
        <v>1291049</v>
      </c>
      <c r="F12" s="296" t="s">
        <v>867</v>
      </c>
      <c r="G12" s="297">
        <v>322762522</v>
      </c>
      <c r="H12" s="298" t="s">
        <v>841</v>
      </c>
      <c r="I12" s="299" t="s">
        <v>869</v>
      </c>
      <c r="J12" s="300">
        <v>3.9999900000000001E-3</v>
      </c>
      <c r="K12" s="301" t="s">
        <v>899</v>
      </c>
      <c r="L12" s="296" t="s">
        <v>868</v>
      </c>
      <c r="M12" s="300">
        <v>3.9999900000000001E-3</v>
      </c>
      <c r="N12" s="302"/>
      <c r="O12" s="194"/>
      <c r="P12" s="195">
        <v>3.9999900000000001E-3</v>
      </c>
      <c r="Q12" s="192"/>
    </row>
    <row r="13" spans="1:17" s="193" customFormat="1" ht="24" customHeight="1">
      <c r="A13" s="291" t="s">
        <v>907</v>
      </c>
      <c r="B13" s="292">
        <v>12397587</v>
      </c>
      <c r="C13" s="293"/>
      <c r="D13" s="294" t="s">
        <v>839</v>
      </c>
      <c r="E13" s="295">
        <v>12397587</v>
      </c>
      <c r="F13" s="296" t="s">
        <v>867</v>
      </c>
      <c r="G13" s="297">
        <v>322762522</v>
      </c>
      <c r="H13" s="298" t="s">
        <v>841</v>
      </c>
      <c r="I13" s="299" t="s">
        <v>869</v>
      </c>
      <c r="J13" s="300">
        <v>3.8410859999999998E-2</v>
      </c>
      <c r="K13" s="301" t="s">
        <v>899</v>
      </c>
      <c r="L13" s="296" t="s">
        <v>868</v>
      </c>
      <c r="M13" s="300">
        <v>3.8410859999999998E-2</v>
      </c>
      <c r="N13" s="302"/>
      <c r="O13" s="194"/>
      <c r="P13" s="195">
        <v>3.8410859999999998E-2</v>
      </c>
      <c r="Q13" s="192"/>
    </row>
    <row r="14" spans="1:17" s="193" customFormat="1" ht="24" customHeight="1">
      <c r="A14" s="291" t="s">
        <v>908</v>
      </c>
      <c r="B14" s="292">
        <v>2904862</v>
      </c>
      <c r="C14" s="293"/>
      <c r="D14" s="294" t="s">
        <v>839</v>
      </c>
      <c r="E14" s="295">
        <v>2904862</v>
      </c>
      <c r="F14" s="296" t="s">
        <v>867</v>
      </c>
      <c r="G14" s="297">
        <v>322762522</v>
      </c>
      <c r="H14" s="298" t="s">
        <v>841</v>
      </c>
      <c r="I14" s="299" t="s">
        <v>869</v>
      </c>
      <c r="J14" s="300">
        <v>8.9999899999999994E-3</v>
      </c>
      <c r="K14" s="301" t="s">
        <v>899</v>
      </c>
      <c r="L14" s="296" t="s">
        <v>868</v>
      </c>
      <c r="M14" s="300">
        <v>8.9999899999999994E-3</v>
      </c>
      <c r="N14" s="302"/>
      <c r="O14" s="194"/>
      <c r="P14" s="195">
        <v>8.9999899999999994E-3</v>
      </c>
      <c r="Q14" s="192"/>
    </row>
    <row r="15" spans="1:17" s="193" customFormat="1" ht="24" customHeight="1">
      <c r="A15" s="291" t="s">
        <v>909</v>
      </c>
      <c r="B15" s="292">
        <v>261437</v>
      </c>
      <c r="C15" s="293"/>
      <c r="D15" s="294" t="s">
        <v>839</v>
      </c>
      <c r="E15" s="295">
        <v>261437</v>
      </c>
      <c r="F15" s="296" t="s">
        <v>867</v>
      </c>
      <c r="G15" s="297">
        <v>322762522</v>
      </c>
      <c r="H15" s="298" t="s">
        <v>841</v>
      </c>
      <c r="I15" s="299" t="s">
        <v>869</v>
      </c>
      <c r="J15" s="300">
        <v>8.0999000000000002E-4</v>
      </c>
      <c r="K15" s="301" t="s">
        <v>899</v>
      </c>
      <c r="L15" s="296" t="s">
        <v>868</v>
      </c>
      <c r="M15" s="300">
        <v>8.0999000000000002E-4</v>
      </c>
      <c r="N15" s="303"/>
      <c r="O15" s="194"/>
      <c r="P15" s="195">
        <v>8.0999000000000002E-4</v>
      </c>
      <c r="Q15" s="192"/>
    </row>
    <row r="16" spans="1:17" s="193" customFormat="1" ht="24" customHeight="1">
      <c r="A16" s="291" t="s">
        <v>910</v>
      </c>
      <c r="B16" s="292">
        <v>16940698</v>
      </c>
      <c r="C16" s="293"/>
      <c r="D16" s="294" t="s">
        <v>839</v>
      </c>
      <c r="E16" s="295">
        <v>16940698</v>
      </c>
      <c r="F16" s="296" t="s">
        <v>867</v>
      </c>
      <c r="G16" s="297">
        <v>322762522</v>
      </c>
      <c r="H16" s="298" t="s">
        <v>841</v>
      </c>
      <c r="I16" s="299" t="s">
        <v>869</v>
      </c>
      <c r="J16" s="300">
        <v>5.2486570000000003E-2</v>
      </c>
      <c r="K16" s="301" t="s">
        <v>899</v>
      </c>
      <c r="L16" s="296" t="s">
        <v>868</v>
      </c>
      <c r="M16" s="300">
        <v>5.2486570000000003E-2</v>
      </c>
      <c r="N16" s="302"/>
      <c r="O16" s="194"/>
      <c r="P16" s="195">
        <v>5.2486570000000003E-2</v>
      </c>
      <c r="Q16" s="192"/>
    </row>
    <row r="17" spans="1:17" s="193" customFormat="1" ht="24" customHeight="1">
      <c r="A17" s="304" t="s">
        <v>911</v>
      </c>
      <c r="B17" s="292">
        <v>420481732</v>
      </c>
      <c r="C17" s="293"/>
      <c r="D17" s="294"/>
      <c r="E17" s="295"/>
      <c r="F17" s="296"/>
      <c r="G17" s="297"/>
      <c r="H17" s="298"/>
      <c r="I17" s="299"/>
      <c r="J17" s="300"/>
      <c r="K17" s="301"/>
      <c r="L17" s="296"/>
      <c r="M17" s="300"/>
      <c r="N17" s="302"/>
      <c r="O17" s="190"/>
      <c r="P17" s="191"/>
      <c r="Q17" s="192"/>
    </row>
    <row r="18" spans="1:17" s="193" customFormat="1" ht="24" customHeight="1">
      <c r="A18" s="304" t="s">
        <v>912</v>
      </c>
      <c r="B18" s="292">
        <v>33638537</v>
      </c>
      <c r="C18" s="293"/>
      <c r="D18" s="294" t="s">
        <v>839</v>
      </c>
      <c r="E18" s="295">
        <v>33638537</v>
      </c>
      <c r="F18" s="296" t="s">
        <v>867</v>
      </c>
      <c r="G18" s="297">
        <v>420481732</v>
      </c>
      <c r="H18" s="298" t="s">
        <v>841</v>
      </c>
      <c r="I18" s="299" t="s">
        <v>869</v>
      </c>
      <c r="J18" s="300">
        <v>7.9999990000000007E-2</v>
      </c>
      <c r="K18" s="301" t="s">
        <v>913</v>
      </c>
      <c r="L18" s="296" t="s">
        <v>868</v>
      </c>
      <c r="M18" s="300">
        <v>7.9999990000000007E-2</v>
      </c>
      <c r="N18" s="302"/>
      <c r="O18" s="194"/>
      <c r="P18" s="195">
        <v>7.9999990000000007E-2</v>
      </c>
      <c r="Q18" s="192"/>
    </row>
    <row r="19" spans="1:17" s="193" customFormat="1" ht="24" customHeight="1">
      <c r="A19" s="304" t="s">
        <v>914</v>
      </c>
      <c r="B19" s="292">
        <v>46652366</v>
      </c>
      <c r="C19" s="293"/>
      <c r="D19" s="294" t="s">
        <v>839</v>
      </c>
      <c r="E19" s="295">
        <v>46652366</v>
      </c>
      <c r="F19" s="296" t="s">
        <v>867</v>
      </c>
      <c r="G19" s="297">
        <v>420481732</v>
      </c>
      <c r="H19" s="298" t="s">
        <v>841</v>
      </c>
      <c r="I19" s="299" t="s">
        <v>869</v>
      </c>
      <c r="J19" s="300">
        <v>0.1109498</v>
      </c>
      <c r="K19" s="301" t="s">
        <v>913</v>
      </c>
      <c r="L19" s="296" t="s">
        <v>868</v>
      </c>
      <c r="M19" s="300">
        <v>0.1109498</v>
      </c>
      <c r="N19" s="302"/>
      <c r="O19" s="194"/>
      <c r="P19" s="195">
        <v>0.1109498</v>
      </c>
      <c r="Q19" s="192"/>
    </row>
    <row r="20" spans="1:17" s="193" customFormat="1" ht="24" customHeight="1">
      <c r="A20" s="304" t="s">
        <v>915</v>
      </c>
      <c r="B20" s="292">
        <v>17884603</v>
      </c>
      <c r="C20" s="293"/>
      <c r="D20" s="294"/>
      <c r="E20" s="295"/>
      <c r="F20" s="296"/>
      <c r="G20" s="297"/>
      <c r="H20" s="298"/>
      <c r="I20" s="299"/>
      <c r="J20" s="300"/>
      <c r="K20" s="301"/>
      <c r="L20" s="296"/>
      <c r="M20" s="300"/>
      <c r="N20" s="302"/>
      <c r="O20" s="194"/>
      <c r="P20" s="195"/>
      <c r="Q20" s="192"/>
    </row>
    <row r="21" spans="1:17" s="193" customFormat="1" ht="24" customHeight="1">
      <c r="A21" s="304" t="s">
        <v>916</v>
      </c>
      <c r="B21" s="292">
        <v>454308</v>
      </c>
      <c r="C21" s="293"/>
      <c r="D21" s="294"/>
      <c r="E21" s="295"/>
      <c r="F21" s="296"/>
      <c r="G21" s="297"/>
      <c r="H21" s="298"/>
      <c r="I21" s="299"/>
      <c r="J21" s="300"/>
      <c r="K21" s="301"/>
      <c r="L21" s="296"/>
      <c r="M21" s="300"/>
      <c r="N21" s="302"/>
      <c r="O21" s="194"/>
      <c r="P21" s="195"/>
      <c r="Q21" s="192"/>
    </row>
    <row r="22" spans="1:17" s="193" customFormat="1" ht="24" customHeight="1">
      <c r="A22" s="291" t="s">
        <v>917</v>
      </c>
      <c r="B22" s="292">
        <v>519111546</v>
      </c>
      <c r="C22" s="305"/>
      <c r="D22" s="306"/>
      <c r="E22" s="305"/>
      <c r="F22" s="307"/>
      <c r="G22" s="305"/>
      <c r="H22" s="307"/>
      <c r="I22" s="307"/>
      <c r="J22" s="308"/>
      <c r="K22" s="305"/>
      <c r="L22" s="307"/>
      <c r="M22" s="308"/>
      <c r="N22" s="309"/>
      <c r="O22" s="190"/>
      <c r="P22" s="191"/>
      <c r="Q22" s="192"/>
    </row>
    <row r="23" spans="1:17" s="193" customFormat="1" ht="24" customHeight="1">
      <c r="A23" s="304" t="s">
        <v>918</v>
      </c>
      <c r="B23" s="292">
        <v>51911154</v>
      </c>
      <c r="C23" s="305"/>
      <c r="D23" s="306"/>
      <c r="E23" s="305"/>
      <c r="F23" s="307"/>
      <c r="G23" s="305"/>
      <c r="H23" s="307"/>
      <c r="I23" s="307"/>
      <c r="J23" s="308"/>
      <c r="K23" s="305"/>
      <c r="L23" s="307"/>
      <c r="M23" s="308"/>
      <c r="N23" s="309"/>
      <c r="O23" s="190"/>
      <c r="P23" s="191"/>
      <c r="Q23" s="192"/>
    </row>
    <row r="24" spans="1:17" s="193" customFormat="1" ht="24" customHeight="1">
      <c r="A24" s="310" t="s">
        <v>919</v>
      </c>
      <c r="B24" s="311">
        <v>571022700</v>
      </c>
      <c r="C24" s="312"/>
      <c r="D24" s="313"/>
      <c r="E24" s="312"/>
      <c r="F24" s="314"/>
      <c r="G24" s="312"/>
      <c r="H24" s="314"/>
      <c r="I24" s="314"/>
      <c r="J24" s="315"/>
      <c r="K24" s="312"/>
      <c r="L24" s="314"/>
      <c r="M24" s="315"/>
      <c r="N24" s="316"/>
      <c r="O24" s="190"/>
      <c r="P24" s="191"/>
      <c r="Q24" s="192"/>
    </row>
    <row r="25" spans="1:17" s="193" customFormat="1" ht="24.95" customHeight="1">
      <c r="A25" s="196"/>
      <c r="B25" s="197"/>
      <c r="C25" s="189"/>
      <c r="E25" s="189"/>
      <c r="G25" s="198"/>
      <c r="J25" s="189"/>
      <c r="K25" s="189"/>
      <c r="M25" s="189"/>
      <c r="O25" s="190"/>
      <c r="P25" s="191"/>
    </row>
    <row r="26" spans="1:17" s="193" customFormat="1" ht="24.95" customHeight="1">
      <c r="A26" s="189"/>
      <c r="B26" s="192"/>
      <c r="C26" s="189"/>
      <c r="E26" s="189"/>
      <c r="G26" s="189"/>
      <c r="J26" s="189"/>
      <c r="K26" s="189"/>
      <c r="M26" s="189"/>
      <c r="O26" s="190"/>
      <c r="P26" s="191"/>
    </row>
    <row r="27" spans="1:17" s="193" customFormat="1" ht="24.95" customHeight="1">
      <c r="B27" s="199"/>
      <c r="C27" s="189"/>
      <c r="D27" s="200"/>
      <c r="E27" s="189"/>
      <c r="G27" s="189"/>
      <c r="J27" s="189"/>
      <c r="K27" s="189"/>
      <c r="M27" s="189"/>
      <c r="O27" s="190"/>
      <c r="P27" s="191"/>
    </row>
    <row r="28" spans="1:17" s="193" customFormat="1" ht="24.95" customHeight="1">
      <c r="B28" s="201"/>
      <c r="C28" s="189"/>
      <c r="D28" s="202"/>
      <c r="E28" s="189"/>
      <c r="G28" s="189"/>
      <c r="J28" s="189"/>
      <c r="K28" s="189"/>
      <c r="M28" s="189"/>
      <c r="O28" s="190"/>
      <c r="P28" s="191"/>
    </row>
    <row r="29" spans="1:17" s="193" customFormat="1" ht="24.95" customHeight="1">
      <c r="B29" s="203"/>
      <c r="C29" s="189"/>
      <c r="D29" s="202"/>
      <c r="E29" s="189"/>
      <c r="G29" s="189"/>
      <c r="J29" s="189"/>
      <c r="K29" s="189"/>
      <c r="M29" s="189"/>
      <c r="O29" s="190"/>
      <c r="P29" s="191"/>
    </row>
    <row r="30" spans="1:17" s="193" customFormat="1" ht="24.95" customHeight="1">
      <c r="C30" s="189"/>
      <c r="E30" s="189"/>
      <c r="G30" s="189"/>
      <c r="J30" s="189"/>
      <c r="K30" s="189"/>
      <c r="M30" s="189"/>
      <c r="O30" s="190"/>
      <c r="P30" s="191"/>
    </row>
    <row r="31" spans="1:17" s="193" customFormat="1" ht="24.95" customHeight="1">
      <c r="C31" s="189"/>
      <c r="E31" s="189"/>
      <c r="G31" s="189"/>
      <c r="J31" s="189"/>
      <c r="K31" s="189"/>
      <c r="M31" s="189"/>
      <c r="O31" s="190"/>
      <c r="P31" s="191"/>
    </row>
    <row r="32" spans="1:17" s="193" customFormat="1" ht="24.95" customHeight="1">
      <c r="C32" s="189"/>
      <c r="E32" s="189"/>
      <c r="G32" s="189"/>
      <c r="J32" s="189"/>
      <c r="K32" s="189"/>
      <c r="M32" s="189"/>
      <c r="O32" s="190"/>
      <c r="P32" s="191"/>
    </row>
    <row r="33" spans="3:16" s="193" customFormat="1" ht="24.95" customHeight="1">
      <c r="C33" s="189"/>
      <c r="E33" s="189"/>
      <c r="G33" s="189"/>
      <c r="J33" s="189"/>
      <c r="K33" s="189"/>
      <c r="M33" s="189"/>
      <c r="O33" s="190"/>
      <c r="P33" s="191"/>
    </row>
    <row r="34" spans="3:16" s="193" customFormat="1" ht="24.95" customHeight="1">
      <c r="C34" s="189"/>
      <c r="E34" s="189"/>
      <c r="G34" s="189"/>
      <c r="J34" s="189"/>
      <c r="K34" s="189"/>
      <c r="M34" s="189"/>
      <c r="O34" s="190"/>
      <c r="P34" s="191"/>
    </row>
    <row r="35" spans="3:16" s="193" customFormat="1" ht="24.95" customHeight="1">
      <c r="C35" s="189"/>
      <c r="E35" s="189"/>
      <c r="G35" s="189"/>
      <c r="J35" s="189"/>
      <c r="K35" s="189"/>
      <c r="M35" s="189"/>
      <c r="O35" s="190"/>
      <c r="P35" s="191"/>
    </row>
    <row r="36" spans="3:16" s="193" customFormat="1" ht="24.95" customHeight="1">
      <c r="C36" s="189"/>
      <c r="E36" s="189"/>
      <c r="G36" s="189"/>
      <c r="J36" s="189"/>
      <c r="K36" s="189"/>
      <c r="M36" s="189"/>
      <c r="O36" s="190"/>
      <c r="P36" s="191"/>
    </row>
    <row r="37" spans="3:16" s="193" customFormat="1" ht="24.95" customHeight="1">
      <c r="C37" s="189"/>
      <c r="E37" s="189"/>
      <c r="G37" s="189"/>
      <c r="J37" s="189"/>
      <c r="K37" s="189"/>
      <c r="M37" s="189"/>
      <c r="O37" s="190"/>
      <c r="P37" s="191"/>
    </row>
    <row r="38" spans="3:16" s="193" customFormat="1" ht="24.95" customHeight="1">
      <c r="C38" s="189"/>
      <c r="E38" s="189"/>
      <c r="G38" s="189"/>
      <c r="J38" s="189"/>
      <c r="K38" s="189"/>
      <c r="M38" s="189"/>
      <c r="O38" s="190"/>
      <c r="P38" s="191"/>
    </row>
    <row r="39" spans="3:16" s="193" customFormat="1" ht="24.95" customHeight="1">
      <c r="C39" s="189"/>
      <c r="E39" s="189"/>
      <c r="G39" s="189"/>
      <c r="J39" s="189"/>
      <c r="K39" s="189"/>
      <c r="M39" s="189"/>
      <c r="O39" s="190"/>
      <c r="P39" s="191"/>
    </row>
    <row r="40" spans="3:16" s="193" customFormat="1" ht="24.95" customHeight="1">
      <c r="C40" s="189"/>
      <c r="E40" s="189"/>
      <c r="G40" s="189"/>
      <c r="J40" s="189"/>
      <c r="K40" s="189"/>
      <c r="M40" s="189"/>
      <c r="O40" s="190"/>
      <c r="P40" s="191"/>
    </row>
    <row r="41" spans="3:16" s="193" customFormat="1" ht="24.95" customHeight="1">
      <c r="C41" s="189"/>
      <c r="E41" s="189"/>
      <c r="G41" s="189"/>
      <c r="J41" s="189"/>
      <c r="K41" s="189"/>
      <c r="M41" s="189"/>
      <c r="O41" s="190"/>
      <c r="P41" s="191"/>
    </row>
    <row r="42" spans="3:16" s="193" customFormat="1" ht="24.95" customHeight="1">
      <c r="C42" s="189"/>
      <c r="E42" s="189"/>
      <c r="G42" s="189"/>
      <c r="J42" s="189"/>
      <c r="K42" s="189"/>
      <c r="M42" s="189"/>
      <c r="O42" s="190"/>
      <c r="P42" s="191"/>
    </row>
    <row r="43" spans="3:16" s="193" customFormat="1" ht="24.95" customHeight="1">
      <c r="C43" s="189"/>
      <c r="E43" s="189"/>
      <c r="G43" s="189"/>
      <c r="J43" s="189"/>
      <c r="K43" s="189"/>
      <c r="M43" s="189"/>
      <c r="O43" s="190"/>
      <c r="P43" s="191"/>
    </row>
    <row r="44" spans="3:16" s="193" customFormat="1" ht="24.95" customHeight="1">
      <c r="C44" s="189"/>
      <c r="E44" s="189"/>
      <c r="G44" s="189"/>
      <c r="J44" s="189"/>
      <c r="K44" s="189"/>
      <c r="M44" s="189"/>
      <c r="O44" s="190"/>
      <c r="P44" s="191"/>
    </row>
    <row r="45" spans="3:16" s="193" customFormat="1" ht="24.95" customHeight="1">
      <c r="C45" s="189"/>
      <c r="E45" s="189"/>
      <c r="G45" s="189"/>
      <c r="J45" s="189"/>
      <c r="K45" s="189"/>
      <c r="M45" s="189"/>
      <c r="O45" s="190"/>
      <c r="P45" s="191"/>
    </row>
    <row r="46" spans="3:16" s="193" customFormat="1" ht="24.95" customHeight="1">
      <c r="C46" s="189"/>
      <c r="E46" s="189"/>
      <c r="G46" s="189"/>
      <c r="J46" s="189"/>
      <c r="K46" s="189"/>
      <c r="M46" s="189"/>
      <c r="O46" s="190"/>
      <c r="P46" s="191"/>
    </row>
    <row r="47" spans="3:16" s="193" customFormat="1" ht="24.95" customHeight="1">
      <c r="C47" s="189"/>
      <c r="E47" s="189"/>
      <c r="G47" s="189"/>
      <c r="J47" s="189"/>
      <c r="K47" s="189"/>
      <c r="M47" s="189"/>
      <c r="O47" s="190"/>
      <c r="P47" s="191"/>
    </row>
    <row r="48" spans="3:16" s="193" customFormat="1" ht="24.95" customHeight="1">
      <c r="C48" s="189"/>
      <c r="E48" s="189"/>
      <c r="G48" s="189"/>
      <c r="J48" s="189"/>
      <c r="K48" s="189"/>
      <c r="M48" s="189"/>
      <c r="O48" s="190"/>
      <c r="P48" s="191"/>
    </row>
    <row r="49" spans="3:16" s="193" customFormat="1" ht="24.95" customHeight="1">
      <c r="C49" s="189"/>
      <c r="E49" s="189"/>
      <c r="G49" s="189"/>
      <c r="J49" s="189"/>
      <c r="K49" s="189"/>
      <c r="M49" s="189"/>
      <c r="O49" s="190"/>
      <c r="P49" s="191"/>
    </row>
    <row r="50" spans="3:16" s="193" customFormat="1" ht="24.95" customHeight="1">
      <c r="C50" s="189"/>
      <c r="E50" s="189"/>
      <c r="G50" s="189"/>
      <c r="J50" s="189"/>
      <c r="K50" s="189"/>
      <c r="M50" s="189"/>
      <c r="O50" s="190"/>
      <c r="P50" s="191"/>
    </row>
    <row r="51" spans="3:16" s="193" customFormat="1" ht="24.95" customHeight="1">
      <c r="C51" s="189"/>
      <c r="E51" s="189"/>
      <c r="G51" s="189"/>
      <c r="J51" s="189"/>
      <c r="K51" s="189"/>
      <c r="M51" s="189"/>
      <c r="O51" s="190"/>
      <c r="P51" s="191"/>
    </row>
    <row r="52" spans="3:16" s="193" customFormat="1" ht="24.95" customHeight="1">
      <c r="C52" s="189"/>
      <c r="E52" s="189"/>
      <c r="G52" s="189"/>
      <c r="J52" s="189"/>
      <c r="K52" s="189"/>
      <c r="M52" s="189"/>
      <c r="O52" s="190"/>
      <c r="P52" s="191"/>
    </row>
    <row r="53" spans="3:16" s="193" customFormat="1" ht="24.95" customHeight="1">
      <c r="C53" s="189"/>
      <c r="E53" s="189"/>
      <c r="G53" s="189"/>
      <c r="J53" s="189"/>
      <c r="K53" s="189"/>
      <c r="M53" s="189"/>
      <c r="O53" s="190"/>
      <c r="P53" s="191"/>
    </row>
    <row r="54" spans="3:16" s="193" customFormat="1" ht="24.95" customHeight="1">
      <c r="C54" s="189"/>
      <c r="E54" s="189"/>
      <c r="G54" s="189"/>
      <c r="J54" s="189"/>
      <c r="K54" s="189"/>
      <c r="M54" s="189"/>
      <c r="O54" s="190"/>
      <c r="P54" s="191"/>
    </row>
    <row r="55" spans="3:16" s="193" customFormat="1" ht="24.95" customHeight="1">
      <c r="C55" s="189"/>
      <c r="E55" s="189"/>
      <c r="G55" s="189"/>
      <c r="J55" s="189"/>
      <c r="K55" s="189"/>
      <c r="M55" s="189"/>
      <c r="O55" s="190"/>
      <c r="P55" s="191"/>
    </row>
    <row r="56" spans="3:16" s="193" customFormat="1" ht="24.95" customHeight="1">
      <c r="C56" s="189"/>
      <c r="E56" s="189"/>
      <c r="G56" s="189"/>
      <c r="J56" s="189"/>
      <c r="K56" s="189"/>
      <c r="M56" s="189"/>
      <c r="O56" s="190"/>
      <c r="P56" s="191"/>
    </row>
    <row r="57" spans="3:16" s="193" customFormat="1" ht="24.95" customHeight="1">
      <c r="C57" s="189"/>
      <c r="E57" s="189"/>
      <c r="G57" s="189"/>
      <c r="J57" s="189"/>
      <c r="K57" s="189"/>
      <c r="M57" s="189"/>
      <c r="O57" s="190"/>
      <c r="P57" s="191"/>
    </row>
    <row r="58" spans="3:16" s="193" customFormat="1" ht="24.95" customHeight="1">
      <c r="C58" s="189"/>
      <c r="E58" s="189"/>
      <c r="G58" s="189"/>
      <c r="J58" s="189"/>
      <c r="K58" s="189"/>
      <c r="M58" s="189"/>
      <c r="O58" s="190"/>
      <c r="P58" s="191"/>
    </row>
    <row r="59" spans="3:16" s="193" customFormat="1" ht="24.95" customHeight="1">
      <c r="C59" s="189"/>
      <c r="E59" s="189"/>
      <c r="G59" s="189"/>
      <c r="J59" s="189"/>
      <c r="K59" s="189"/>
      <c r="M59" s="189"/>
      <c r="O59" s="190"/>
      <c r="P59" s="191"/>
    </row>
    <row r="60" spans="3:16" ht="24.95" customHeight="1"/>
  </sheetData>
  <mergeCells count="5">
    <mergeCell ref="A1:N1"/>
    <mergeCell ref="C3:J3"/>
    <mergeCell ref="K3:M3"/>
    <mergeCell ref="D4:J4"/>
    <mergeCell ref="K4:M4"/>
  </mergeCells>
  <phoneticPr fontId="8" type="noConversion"/>
  <printOptions horizontalCentered="1"/>
  <pageMargins left="0.11811023622047245" right="0.70866141732283472" top="0.74803149606299213" bottom="0.74803149606299213" header="0.31496062992125984" footer="0.31496062992125984"/>
  <pageSetup paperSize="9" scale="85" orientation="landscape" r:id="rId1"/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476A-F937-4181-A218-D1556631EC79}">
  <sheetPr>
    <tabColor rgb="FF00B0F0"/>
  </sheetPr>
  <dimension ref="B1:Q237"/>
  <sheetViews>
    <sheetView view="pageBreakPreview" zoomScale="115" zoomScaleNormal="100" zoomScaleSheetLayoutView="115" workbookViewId="0">
      <pane ySplit="4" topLeftCell="A5" activePane="bottomLeft" state="frozen"/>
      <selection activeCell="BA14" sqref="BA14"/>
      <selection pane="bottomLeft" sqref="A1:XFD1048576"/>
    </sheetView>
  </sheetViews>
  <sheetFormatPr defaultRowHeight="12.75"/>
  <cols>
    <col min="1" max="1" width="0.7109375" customWidth="1"/>
    <col min="2" max="2" width="5" customWidth="1"/>
    <col min="3" max="3" width="35.7109375" customWidth="1"/>
    <col min="4" max="4" width="21.42578125" customWidth="1"/>
    <col min="5" max="5" width="5.85546875" customWidth="1"/>
    <col min="6" max="6" width="3.28515625" customWidth="1"/>
    <col min="7" max="7" width="9.28515625" customWidth="1"/>
    <col min="8" max="8" width="13.7109375" customWidth="1"/>
    <col min="9" max="9" width="9" customWidth="1"/>
    <col min="10" max="10" width="13.7109375" customWidth="1"/>
    <col min="11" max="11" width="8.85546875" customWidth="1"/>
    <col min="12" max="12" width="13.7109375" customWidth="1"/>
    <col min="13" max="13" width="9.140625" customWidth="1"/>
    <col min="14" max="14" width="13.7109375" customWidth="1"/>
    <col min="15" max="15" width="6.42578125" customWidth="1"/>
    <col min="17" max="17" width="12" bestFit="1" customWidth="1"/>
  </cols>
  <sheetData>
    <row r="1" spans="2:17" ht="24.95" customHeight="1">
      <c r="B1" s="365" t="s">
        <v>855</v>
      </c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</row>
    <row r="2" spans="2:17" ht="9.9499999999999993" customHeight="1"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</row>
    <row r="3" spans="2:17" ht="15.4" customHeight="1">
      <c r="B3" s="366" t="s">
        <v>829</v>
      </c>
      <c r="C3" s="368" t="s">
        <v>520</v>
      </c>
      <c r="D3" s="368" t="s">
        <v>649</v>
      </c>
      <c r="E3" s="368" t="s">
        <v>441</v>
      </c>
      <c r="F3" s="368" t="s">
        <v>294</v>
      </c>
      <c r="G3" s="361" t="s">
        <v>710</v>
      </c>
      <c r="H3" s="362"/>
      <c r="I3" s="361" t="s">
        <v>325</v>
      </c>
      <c r="J3" s="362"/>
      <c r="K3" s="361" t="s">
        <v>538</v>
      </c>
      <c r="L3" s="362"/>
      <c r="M3" s="361" t="s">
        <v>671</v>
      </c>
      <c r="N3" s="362"/>
      <c r="O3" s="363" t="s">
        <v>178</v>
      </c>
    </row>
    <row r="4" spans="2:17" ht="19.7" customHeight="1">
      <c r="B4" s="367"/>
      <c r="C4" s="369"/>
      <c r="D4" s="369"/>
      <c r="E4" s="369"/>
      <c r="F4" s="369"/>
      <c r="G4" s="26" t="s">
        <v>3</v>
      </c>
      <c r="H4" s="25" t="s">
        <v>423</v>
      </c>
      <c r="I4" s="26" t="s">
        <v>3</v>
      </c>
      <c r="J4" s="25" t="s">
        <v>423</v>
      </c>
      <c r="K4" s="26" t="s">
        <v>3</v>
      </c>
      <c r="L4" s="25" t="s">
        <v>423</v>
      </c>
      <c r="M4" s="26" t="s">
        <v>3</v>
      </c>
      <c r="N4" s="25" t="s">
        <v>423</v>
      </c>
      <c r="O4" s="364"/>
    </row>
    <row r="5" spans="2:17" ht="19.7" customHeight="1">
      <c r="B5" s="61" t="s">
        <v>401</v>
      </c>
      <c r="C5" s="62" t="s">
        <v>443</v>
      </c>
      <c r="D5" s="62" t="s">
        <v>834</v>
      </c>
      <c r="E5" s="31"/>
      <c r="F5" s="91" t="s">
        <v>834</v>
      </c>
      <c r="G5" s="37">
        <v>0</v>
      </c>
      <c r="H5" s="92">
        <v>199908313</v>
      </c>
      <c r="I5" s="37"/>
      <c r="J5" s="92" t="s">
        <v>1082</v>
      </c>
      <c r="K5" s="37"/>
      <c r="L5" s="92" t="s">
        <v>1083</v>
      </c>
      <c r="M5" s="37"/>
      <c r="N5" s="92" t="s">
        <v>1084</v>
      </c>
      <c r="O5" s="93" t="s">
        <v>834</v>
      </c>
      <c r="Q5" s="27">
        <v>30804793</v>
      </c>
    </row>
    <row r="6" spans="2:17" ht="19.7" customHeight="1">
      <c r="B6" s="61" t="s">
        <v>499</v>
      </c>
      <c r="C6" s="62" t="s">
        <v>489</v>
      </c>
      <c r="D6" s="62" t="s">
        <v>834</v>
      </c>
      <c r="E6" s="31"/>
      <c r="F6" s="91" t="s">
        <v>834</v>
      </c>
      <c r="G6" s="37">
        <v>0</v>
      </c>
      <c r="H6" s="92">
        <v>199908313</v>
      </c>
      <c r="I6" s="37"/>
      <c r="J6" s="92" t="s">
        <v>1082</v>
      </c>
      <c r="K6" s="37"/>
      <c r="L6" s="92" t="s">
        <v>1083</v>
      </c>
      <c r="M6" s="37"/>
      <c r="N6" s="92" t="s">
        <v>1084</v>
      </c>
      <c r="O6" s="93" t="s">
        <v>834</v>
      </c>
      <c r="Q6" s="27">
        <v>118424276</v>
      </c>
    </row>
    <row r="7" spans="2:17" ht="19.7" customHeight="1">
      <c r="B7" s="61" t="s">
        <v>207</v>
      </c>
      <c r="C7" s="62" t="s">
        <v>682</v>
      </c>
      <c r="D7" s="62" t="s">
        <v>834</v>
      </c>
      <c r="E7" s="31"/>
      <c r="F7" s="91" t="s">
        <v>834</v>
      </c>
      <c r="G7" s="37">
        <v>0</v>
      </c>
      <c r="H7" s="92">
        <v>191105975</v>
      </c>
      <c r="I7" s="37"/>
      <c r="J7" s="92" t="s">
        <v>1085</v>
      </c>
      <c r="K7" s="37"/>
      <c r="L7" s="92" t="s">
        <v>1086</v>
      </c>
      <c r="M7" s="37"/>
      <c r="N7" s="92" t="s">
        <v>1087</v>
      </c>
      <c r="O7" s="93" t="s">
        <v>834</v>
      </c>
    </row>
    <row r="8" spans="2:17" ht="19.7" customHeight="1">
      <c r="B8" s="67" t="s">
        <v>834</v>
      </c>
      <c r="C8" s="29" t="s">
        <v>563</v>
      </c>
      <c r="D8" s="29" t="s">
        <v>624</v>
      </c>
      <c r="E8" s="31">
        <v>1969</v>
      </c>
      <c r="F8" s="30" t="s">
        <v>596</v>
      </c>
      <c r="G8" s="37">
        <v>7028</v>
      </c>
      <c r="H8" s="65">
        <v>13838132</v>
      </c>
      <c r="I8" s="64" t="s">
        <v>1088</v>
      </c>
      <c r="J8" s="65">
        <v>7984295</v>
      </c>
      <c r="K8" s="64" t="s">
        <v>1089</v>
      </c>
      <c r="L8" s="65">
        <v>2624677</v>
      </c>
      <c r="M8" s="64" t="s">
        <v>1090</v>
      </c>
      <c r="N8" s="65">
        <v>3229160</v>
      </c>
      <c r="O8" s="32" t="s">
        <v>128</v>
      </c>
    </row>
    <row r="9" spans="2:17" ht="19.7" customHeight="1">
      <c r="B9" s="67" t="s">
        <v>834</v>
      </c>
      <c r="C9" s="29" t="s">
        <v>478</v>
      </c>
      <c r="D9" s="29" t="s">
        <v>320</v>
      </c>
      <c r="E9" s="31">
        <v>1969</v>
      </c>
      <c r="F9" s="30" t="s">
        <v>596</v>
      </c>
      <c r="G9" s="37">
        <v>88872</v>
      </c>
      <c r="H9" s="65">
        <v>174988968</v>
      </c>
      <c r="I9" s="64">
        <v>56505</v>
      </c>
      <c r="J9" s="65">
        <v>111258345</v>
      </c>
      <c r="K9" s="64">
        <v>32011</v>
      </c>
      <c r="L9" s="65">
        <v>63029659</v>
      </c>
      <c r="M9" s="64">
        <v>356</v>
      </c>
      <c r="N9" s="65">
        <v>700964</v>
      </c>
      <c r="O9" s="32" t="s">
        <v>796</v>
      </c>
    </row>
    <row r="10" spans="2:17" ht="19.7" customHeight="1">
      <c r="B10" s="67" t="s">
        <v>834</v>
      </c>
      <c r="C10" s="29" t="s">
        <v>788</v>
      </c>
      <c r="D10" s="29" t="s">
        <v>303</v>
      </c>
      <c r="E10" s="31">
        <v>125</v>
      </c>
      <c r="F10" s="30" t="s">
        <v>296</v>
      </c>
      <c r="G10" s="37">
        <v>12471</v>
      </c>
      <c r="H10" s="65">
        <v>1558875</v>
      </c>
      <c r="I10" s="64">
        <v>2580</v>
      </c>
      <c r="J10" s="65">
        <v>322500</v>
      </c>
      <c r="K10" s="64">
        <v>9840</v>
      </c>
      <c r="L10" s="65">
        <v>1230000</v>
      </c>
      <c r="M10" s="64">
        <v>51</v>
      </c>
      <c r="N10" s="65">
        <v>6375</v>
      </c>
      <c r="O10" s="32" t="s">
        <v>723</v>
      </c>
    </row>
    <row r="11" spans="2:17" ht="19.7" customHeight="1">
      <c r="B11" s="67" t="s">
        <v>834</v>
      </c>
      <c r="C11" s="29" t="s">
        <v>206</v>
      </c>
      <c r="D11" s="29" t="s">
        <v>632</v>
      </c>
      <c r="E11" s="31">
        <v>4</v>
      </c>
      <c r="F11" s="30" t="s">
        <v>542</v>
      </c>
      <c r="G11" s="37">
        <v>180000</v>
      </c>
      <c r="H11" s="65">
        <v>720000</v>
      </c>
      <c r="I11" s="64">
        <v>0</v>
      </c>
      <c r="J11" s="65">
        <v>0</v>
      </c>
      <c r="K11" s="64">
        <v>180000</v>
      </c>
      <c r="L11" s="65">
        <v>720000</v>
      </c>
      <c r="M11" s="64">
        <v>0</v>
      </c>
      <c r="N11" s="65">
        <v>0</v>
      </c>
      <c r="O11" s="32" t="s">
        <v>834</v>
      </c>
    </row>
    <row r="12" spans="2:17" ht="19.7" customHeight="1">
      <c r="B12" s="61" t="s">
        <v>328</v>
      </c>
      <c r="C12" s="62" t="s">
        <v>259</v>
      </c>
      <c r="D12" s="62" t="s">
        <v>834</v>
      </c>
      <c r="E12" s="31"/>
      <c r="F12" s="91" t="s">
        <v>834</v>
      </c>
      <c r="G12" s="37">
        <v>0</v>
      </c>
      <c r="H12" s="92">
        <v>8802338</v>
      </c>
      <c r="I12" s="37"/>
      <c r="J12" s="92" t="s">
        <v>1091</v>
      </c>
      <c r="K12" s="37"/>
      <c r="L12" s="92" t="s">
        <v>1092</v>
      </c>
      <c r="M12" s="37"/>
      <c r="N12" s="92" t="s">
        <v>1093</v>
      </c>
      <c r="O12" s="93" t="s">
        <v>834</v>
      </c>
    </row>
    <row r="13" spans="2:17" ht="19.7" customHeight="1">
      <c r="B13" s="67" t="s">
        <v>834</v>
      </c>
      <c r="C13" s="29" t="s">
        <v>377</v>
      </c>
      <c r="D13" s="29" t="s">
        <v>292</v>
      </c>
      <c r="E13" s="31">
        <v>65</v>
      </c>
      <c r="F13" s="30" t="s">
        <v>596</v>
      </c>
      <c r="G13" s="37">
        <v>27483</v>
      </c>
      <c r="H13" s="65">
        <v>1786395</v>
      </c>
      <c r="I13" s="64" t="s">
        <v>1094</v>
      </c>
      <c r="J13" s="65">
        <v>207025</v>
      </c>
      <c r="K13" s="64" t="s">
        <v>1095</v>
      </c>
      <c r="L13" s="65">
        <v>1554345</v>
      </c>
      <c r="M13" s="64" t="s">
        <v>1096</v>
      </c>
      <c r="N13" s="65">
        <v>25025</v>
      </c>
      <c r="O13" s="32" t="s">
        <v>418</v>
      </c>
    </row>
    <row r="14" spans="2:17" ht="19.7" customHeight="1">
      <c r="B14" s="67" t="s">
        <v>834</v>
      </c>
      <c r="C14" s="29" t="s">
        <v>377</v>
      </c>
      <c r="D14" s="29" t="s">
        <v>661</v>
      </c>
      <c r="E14" s="31">
        <v>5</v>
      </c>
      <c r="F14" s="30" t="s">
        <v>596</v>
      </c>
      <c r="G14" s="37">
        <v>32506</v>
      </c>
      <c r="H14" s="65">
        <v>162530</v>
      </c>
      <c r="I14" s="64" t="s">
        <v>1097</v>
      </c>
      <c r="J14" s="65">
        <v>31855</v>
      </c>
      <c r="K14" s="64" t="s">
        <v>1098</v>
      </c>
      <c r="L14" s="65">
        <v>126825</v>
      </c>
      <c r="M14" s="64" t="s">
        <v>1099</v>
      </c>
      <c r="N14" s="65">
        <v>3850</v>
      </c>
      <c r="O14" s="32" t="s">
        <v>108</v>
      </c>
    </row>
    <row r="15" spans="2:17" ht="19.7" customHeight="1">
      <c r="B15" s="67" t="s">
        <v>834</v>
      </c>
      <c r="C15" s="29" t="s">
        <v>377</v>
      </c>
      <c r="D15" s="29" t="s">
        <v>315</v>
      </c>
      <c r="E15" s="31">
        <v>72</v>
      </c>
      <c r="F15" s="30" t="s">
        <v>596</v>
      </c>
      <c r="G15" s="37">
        <v>46057</v>
      </c>
      <c r="H15" s="65">
        <v>3316104</v>
      </c>
      <c r="I15" s="64" t="s">
        <v>1100</v>
      </c>
      <c r="J15" s="65">
        <v>1274256</v>
      </c>
      <c r="K15" s="64" t="s">
        <v>1101</v>
      </c>
      <c r="L15" s="65">
        <v>1887696</v>
      </c>
      <c r="M15" s="64" t="s">
        <v>1102</v>
      </c>
      <c r="N15" s="65">
        <v>154152</v>
      </c>
      <c r="O15" s="32" t="s">
        <v>495</v>
      </c>
    </row>
    <row r="16" spans="2:17" ht="19.7" customHeight="1">
      <c r="B16" s="67" t="s">
        <v>834</v>
      </c>
      <c r="C16" s="29" t="s">
        <v>398</v>
      </c>
      <c r="D16" s="29" t="s">
        <v>530</v>
      </c>
      <c r="E16" s="31">
        <v>1</v>
      </c>
      <c r="F16" s="30" t="s">
        <v>748</v>
      </c>
      <c r="G16" s="37">
        <v>973959</v>
      </c>
      <c r="H16" s="65">
        <v>973959</v>
      </c>
      <c r="I16" s="64">
        <v>553537</v>
      </c>
      <c r="J16" s="65">
        <v>553537</v>
      </c>
      <c r="K16" s="64">
        <v>244588</v>
      </c>
      <c r="L16" s="65">
        <v>244588</v>
      </c>
      <c r="M16" s="64">
        <v>175834</v>
      </c>
      <c r="N16" s="65">
        <v>175834</v>
      </c>
      <c r="O16" s="32" t="s">
        <v>751</v>
      </c>
    </row>
    <row r="17" spans="2:15" ht="19.7" customHeight="1">
      <c r="B17" s="67" t="s">
        <v>834</v>
      </c>
      <c r="C17" s="29" t="s">
        <v>597</v>
      </c>
      <c r="D17" s="29" t="s">
        <v>530</v>
      </c>
      <c r="E17" s="31">
        <v>1</v>
      </c>
      <c r="F17" s="30" t="s">
        <v>366</v>
      </c>
      <c r="G17" s="37">
        <v>147875</v>
      </c>
      <c r="H17" s="65">
        <v>147875</v>
      </c>
      <c r="I17" s="64">
        <v>63375</v>
      </c>
      <c r="J17" s="65">
        <v>63375</v>
      </c>
      <c r="K17" s="64">
        <v>84500</v>
      </c>
      <c r="L17" s="65">
        <v>84500</v>
      </c>
      <c r="M17" s="64">
        <v>0</v>
      </c>
      <c r="N17" s="65">
        <v>0</v>
      </c>
      <c r="O17" s="32" t="s">
        <v>188</v>
      </c>
    </row>
    <row r="18" spans="2:15" ht="19.7" customHeight="1">
      <c r="B18" s="67" t="s">
        <v>834</v>
      </c>
      <c r="C18" s="29" t="s">
        <v>722</v>
      </c>
      <c r="D18" s="29" t="s">
        <v>211</v>
      </c>
      <c r="E18" s="31">
        <v>1</v>
      </c>
      <c r="F18" s="30" t="s">
        <v>665</v>
      </c>
      <c r="G18" s="37">
        <v>2203423</v>
      </c>
      <c r="H18" s="65">
        <v>2203423</v>
      </c>
      <c r="I18" s="64"/>
      <c r="J18" s="65">
        <v>0</v>
      </c>
      <c r="K18" s="64"/>
      <c r="L18" s="65">
        <v>0</v>
      </c>
      <c r="M18" s="64">
        <v>2203423</v>
      </c>
      <c r="N18" s="65">
        <v>2203423</v>
      </c>
      <c r="O18" s="32" t="s">
        <v>140</v>
      </c>
    </row>
    <row r="19" spans="2:15" ht="19.7" customHeight="1">
      <c r="B19" s="67" t="s">
        <v>834</v>
      </c>
      <c r="C19" s="29" t="s">
        <v>283</v>
      </c>
      <c r="D19" s="29" t="s">
        <v>623</v>
      </c>
      <c r="E19" s="31">
        <v>1</v>
      </c>
      <c r="F19" s="30" t="s">
        <v>665</v>
      </c>
      <c r="G19" s="37">
        <v>212052</v>
      </c>
      <c r="H19" s="65">
        <v>212052</v>
      </c>
      <c r="I19" s="64">
        <v>0</v>
      </c>
      <c r="J19" s="65">
        <v>0</v>
      </c>
      <c r="K19" s="64">
        <v>0</v>
      </c>
      <c r="L19" s="65">
        <v>0</v>
      </c>
      <c r="M19" s="64">
        <v>212052</v>
      </c>
      <c r="N19" s="65">
        <v>212052</v>
      </c>
      <c r="O19" s="32" t="s">
        <v>484</v>
      </c>
    </row>
    <row r="20" spans="2:15" ht="19.7" customHeight="1">
      <c r="B20" s="67" t="s">
        <v>834</v>
      </c>
      <c r="C20" s="29" t="s">
        <v>834</v>
      </c>
      <c r="D20" s="29" t="s">
        <v>834</v>
      </c>
      <c r="E20" s="31"/>
      <c r="F20" s="30" t="s">
        <v>834</v>
      </c>
      <c r="G20" s="37">
        <v>0</v>
      </c>
      <c r="H20" s="65">
        <v>0</v>
      </c>
      <c r="I20" s="37"/>
      <c r="J20" s="31"/>
      <c r="K20" s="37"/>
      <c r="L20" s="31"/>
      <c r="M20" s="37"/>
      <c r="N20" s="31"/>
      <c r="O20" s="32" t="s">
        <v>834</v>
      </c>
    </row>
    <row r="21" spans="2:15" ht="19.7" customHeight="1">
      <c r="B21" s="61" t="s">
        <v>594</v>
      </c>
      <c r="C21" s="62" t="s">
        <v>210</v>
      </c>
      <c r="D21" s="62" t="s">
        <v>834</v>
      </c>
      <c r="E21" s="31"/>
      <c r="F21" s="91" t="s">
        <v>834</v>
      </c>
      <c r="G21" s="37">
        <v>0</v>
      </c>
      <c r="H21" s="92">
        <v>156212175</v>
      </c>
      <c r="I21" s="37"/>
      <c r="J21" s="92" t="s">
        <v>1103</v>
      </c>
      <c r="K21" s="37"/>
      <c r="L21" s="92" t="s">
        <v>1104</v>
      </c>
      <c r="M21" s="37"/>
      <c r="N21" s="92" t="s">
        <v>1105</v>
      </c>
      <c r="O21" s="93" t="s">
        <v>834</v>
      </c>
    </row>
    <row r="22" spans="2:15" ht="19.7" customHeight="1">
      <c r="B22" s="61" t="s">
        <v>629</v>
      </c>
      <c r="C22" s="62" t="s">
        <v>168</v>
      </c>
      <c r="D22" s="62" t="s">
        <v>834</v>
      </c>
      <c r="E22" s="31"/>
      <c r="F22" s="91" t="s">
        <v>834</v>
      </c>
      <c r="G22" s="37">
        <v>0</v>
      </c>
      <c r="H22" s="92">
        <v>6837069</v>
      </c>
      <c r="I22" s="37"/>
      <c r="J22" s="92" t="s">
        <v>1106</v>
      </c>
      <c r="K22" s="37"/>
      <c r="L22" s="92" t="s">
        <v>1107</v>
      </c>
      <c r="M22" s="37"/>
      <c r="N22" s="92" t="s">
        <v>1108</v>
      </c>
      <c r="O22" s="93" t="s">
        <v>834</v>
      </c>
    </row>
    <row r="23" spans="2:15" ht="19.7" customHeight="1">
      <c r="B23" s="61" t="s">
        <v>468</v>
      </c>
      <c r="C23" s="62" t="s">
        <v>102</v>
      </c>
      <c r="D23" s="62" t="s">
        <v>834</v>
      </c>
      <c r="E23" s="31"/>
      <c r="F23" s="91" t="s">
        <v>834</v>
      </c>
      <c r="G23" s="37">
        <v>0</v>
      </c>
      <c r="H23" s="92">
        <v>3083803</v>
      </c>
      <c r="I23" s="37"/>
      <c r="J23" s="92" t="s">
        <v>1109</v>
      </c>
      <c r="K23" s="37"/>
      <c r="L23" s="92" t="s">
        <v>1110</v>
      </c>
      <c r="M23" s="37"/>
      <c r="N23" s="92" t="s">
        <v>1111</v>
      </c>
      <c r="O23" s="93" t="s">
        <v>834</v>
      </c>
    </row>
    <row r="24" spans="2:15" ht="19.7" customHeight="1">
      <c r="B24" s="61" t="s">
        <v>834</v>
      </c>
      <c r="C24" s="62" t="s">
        <v>350</v>
      </c>
      <c r="D24" s="62" t="s">
        <v>834</v>
      </c>
      <c r="E24" s="31"/>
      <c r="F24" s="91" t="s">
        <v>834</v>
      </c>
      <c r="G24" s="37">
        <v>0</v>
      </c>
      <c r="H24" s="92">
        <v>888414</v>
      </c>
      <c r="I24" s="37"/>
      <c r="J24" s="92" t="s">
        <v>1112</v>
      </c>
      <c r="K24" s="37"/>
      <c r="L24" s="92" t="s">
        <v>1113</v>
      </c>
      <c r="M24" s="37"/>
      <c r="N24" s="92" t="s">
        <v>1114</v>
      </c>
      <c r="O24" s="93" t="s">
        <v>834</v>
      </c>
    </row>
    <row r="25" spans="2:15" ht="19.7" customHeight="1">
      <c r="B25" s="67" t="s">
        <v>834</v>
      </c>
      <c r="C25" s="29" t="s">
        <v>438</v>
      </c>
      <c r="D25" s="29" t="s">
        <v>33</v>
      </c>
      <c r="E25" s="31">
        <v>2</v>
      </c>
      <c r="F25" s="30" t="s">
        <v>596</v>
      </c>
      <c r="G25" s="37">
        <v>444207</v>
      </c>
      <c r="H25" s="65">
        <v>888414</v>
      </c>
      <c r="I25" s="64">
        <v>154083</v>
      </c>
      <c r="J25" s="65">
        <v>308166</v>
      </c>
      <c r="K25" s="64">
        <v>286620</v>
      </c>
      <c r="L25" s="65">
        <v>573240</v>
      </c>
      <c r="M25" s="64">
        <v>3504</v>
      </c>
      <c r="N25" s="65">
        <v>7008</v>
      </c>
      <c r="O25" s="32" t="s">
        <v>584</v>
      </c>
    </row>
    <row r="26" spans="2:15" ht="19.7" customHeight="1">
      <c r="B26" s="61" t="s">
        <v>834</v>
      </c>
      <c r="C26" s="62" t="s">
        <v>230</v>
      </c>
      <c r="D26" s="62" t="s">
        <v>834</v>
      </c>
      <c r="E26" s="31"/>
      <c r="F26" s="91" t="s">
        <v>834</v>
      </c>
      <c r="G26" s="37">
        <v>0</v>
      </c>
      <c r="H26" s="92">
        <v>1134312</v>
      </c>
      <c r="I26" s="37"/>
      <c r="J26" s="92" t="s">
        <v>1115</v>
      </c>
      <c r="K26" s="37"/>
      <c r="L26" s="92" t="s">
        <v>1116</v>
      </c>
      <c r="M26" s="37"/>
      <c r="N26" s="92" t="s">
        <v>1117</v>
      </c>
      <c r="O26" s="93" t="s">
        <v>834</v>
      </c>
    </row>
    <row r="27" spans="2:15" ht="19.7" customHeight="1">
      <c r="B27" s="67" t="s">
        <v>834</v>
      </c>
      <c r="C27" s="29" t="s">
        <v>319</v>
      </c>
      <c r="D27" s="29" t="s">
        <v>500</v>
      </c>
      <c r="E27" s="31">
        <v>10</v>
      </c>
      <c r="F27" s="30" t="s">
        <v>596</v>
      </c>
      <c r="G27" s="37">
        <v>101028</v>
      </c>
      <c r="H27" s="65">
        <v>1010280</v>
      </c>
      <c r="I27" s="64">
        <v>77305</v>
      </c>
      <c r="J27" s="65">
        <v>773050</v>
      </c>
      <c r="K27" s="64">
        <v>22700</v>
      </c>
      <c r="L27" s="65">
        <v>227000</v>
      </c>
      <c r="M27" s="64">
        <v>1023</v>
      </c>
      <c r="N27" s="65">
        <v>10230</v>
      </c>
      <c r="O27" s="32" t="s">
        <v>15</v>
      </c>
    </row>
    <row r="28" spans="2:15" ht="19.7" customHeight="1">
      <c r="B28" s="67" t="s">
        <v>834</v>
      </c>
      <c r="C28" s="29" t="s">
        <v>612</v>
      </c>
      <c r="D28" s="29" t="s">
        <v>561</v>
      </c>
      <c r="E28" s="31">
        <v>3</v>
      </c>
      <c r="F28" s="30" t="s">
        <v>476</v>
      </c>
      <c r="G28" s="37">
        <v>41344</v>
      </c>
      <c r="H28" s="65">
        <v>124032</v>
      </c>
      <c r="I28" s="64">
        <v>33439</v>
      </c>
      <c r="J28" s="65">
        <v>100317</v>
      </c>
      <c r="K28" s="64">
        <v>7237</v>
      </c>
      <c r="L28" s="65">
        <v>21711</v>
      </c>
      <c r="M28" s="64">
        <v>668</v>
      </c>
      <c r="N28" s="65">
        <v>2004</v>
      </c>
      <c r="O28" s="32" t="s">
        <v>295</v>
      </c>
    </row>
    <row r="29" spans="2:15" ht="19.7" customHeight="1">
      <c r="B29" s="61" t="s">
        <v>834</v>
      </c>
      <c r="C29" s="62" t="s">
        <v>201</v>
      </c>
      <c r="D29" s="62" t="s">
        <v>834</v>
      </c>
      <c r="E29" s="31"/>
      <c r="F29" s="91" t="s">
        <v>834</v>
      </c>
      <c r="G29" s="37">
        <v>0</v>
      </c>
      <c r="H29" s="92">
        <v>84957</v>
      </c>
      <c r="I29" s="37"/>
      <c r="J29" s="92" t="s">
        <v>1118</v>
      </c>
      <c r="K29" s="37"/>
      <c r="L29" s="92" t="s">
        <v>1119</v>
      </c>
      <c r="M29" s="37"/>
      <c r="N29" s="92" t="s">
        <v>1120</v>
      </c>
      <c r="O29" s="93" t="s">
        <v>834</v>
      </c>
    </row>
    <row r="30" spans="2:15" ht="19.7" customHeight="1">
      <c r="B30" s="69" t="s">
        <v>834</v>
      </c>
      <c r="C30" s="34" t="s">
        <v>319</v>
      </c>
      <c r="D30" s="34" t="s">
        <v>191</v>
      </c>
      <c r="E30" s="22">
        <v>1</v>
      </c>
      <c r="F30" s="35" t="s">
        <v>596</v>
      </c>
      <c r="G30" s="21">
        <v>84957</v>
      </c>
      <c r="H30" s="74">
        <v>84957</v>
      </c>
      <c r="I30" s="70">
        <v>63340</v>
      </c>
      <c r="J30" s="74">
        <v>63340</v>
      </c>
      <c r="K30" s="70">
        <v>20650</v>
      </c>
      <c r="L30" s="74">
        <v>20650</v>
      </c>
      <c r="M30" s="70">
        <v>967</v>
      </c>
      <c r="N30" s="74">
        <v>967</v>
      </c>
      <c r="O30" s="36" t="s">
        <v>265</v>
      </c>
    </row>
    <row r="31" spans="2:15" ht="19.7" customHeight="1">
      <c r="B31" s="61" t="s">
        <v>834</v>
      </c>
      <c r="C31" s="62" t="s">
        <v>776</v>
      </c>
      <c r="D31" s="62" t="s">
        <v>834</v>
      </c>
      <c r="E31" s="31"/>
      <c r="F31" s="91" t="s">
        <v>834</v>
      </c>
      <c r="G31" s="37">
        <v>0</v>
      </c>
      <c r="H31" s="92">
        <v>976120</v>
      </c>
      <c r="I31" s="37"/>
      <c r="J31" s="92" t="s">
        <v>1121</v>
      </c>
      <c r="K31" s="37"/>
      <c r="L31" s="92" t="s">
        <v>1122</v>
      </c>
      <c r="M31" s="37"/>
      <c r="N31" s="92" t="s">
        <v>1123</v>
      </c>
      <c r="O31" s="93" t="s">
        <v>834</v>
      </c>
    </row>
    <row r="32" spans="2:15" ht="19.7" customHeight="1">
      <c r="B32" s="67" t="s">
        <v>834</v>
      </c>
      <c r="C32" s="29" t="s">
        <v>319</v>
      </c>
      <c r="D32" s="29" t="s">
        <v>191</v>
      </c>
      <c r="E32" s="31">
        <v>8</v>
      </c>
      <c r="F32" s="30" t="s">
        <v>596</v>
      </c>
      <c r="G32" s="37">
        <v>84957</v>
      </c>
      <c r="H32" s="65">
        <v>679656</v>
      </c>
      <c r="I32" s="64">
        <v>63340</v>
      </c>
      <c r="J32" s="65">
        <v>506720</v>
      </c>
      <c r="K32" s="64">
        <v>20650</v>
      </c>
      <c r="L32" s="65">
        <v>165200</v>
      </c>
      <c r="M32" s="64">
        <v>967</v>
      </c>
      <c r="N32" s="65">
        <v>7736</v>
      </c>
      <c r="O32" s="32" t="s">
        <v>265</v>
      </c>
    </row>
    <row r="33" spans="2:15" ht="19.7" customHeight="1">
      <c r="B33" s="67" t="s">
        <v>834</v>
      </c>
      <c r="C33" s="29" t="s">
        <v>618</v>
      </c>
      <c r="D33" s="29" t="s">
        <v>453</v>
      </c>
      <c r="E33" s="31">
        <v>1</v>
      </c>
      <c r="F33" s="30" t="s">
        <v>596</v>
      </c>
      <c r="G33" s="37">
        <v>296464</v>
      </c>
      <c r="H33" s="65">
        <v>296464</v>
      </c>
      <c r="I33" s="64">
        <v>127857</v>
      </c>
      <c r="J33" s="65">
        <v>127857</v>
      </c>
      <c r="K33" s="64">
        <v>165650</v>
      </c>
      <c r="L33" s="65">
        <v>165650</v>
      </c>
      <c r="M33" s="64">
        <v>2957</v>
      </c>
      <c r="N33" s="65">
        <v>2957</v>
      </c>
      <c r="O33" s="32" t="s">
        <v>775</v>
      </c>
    </row>
    <row r="34" spans="2:15" ht="19.7" customHeight="1">
      <c r="B34" s="61" t="s">
        <v>135</v>
      </c>
      <c r="C34" s="62" t="s">
        <v>259</v>
      </c>
      <c r="D34" s="62" t="s">
        <v>834</v>
      </c>
      <c r="E34" s="31"/>
      <c r="F34" s="91" t="s">
        <v>834</v>
      </c>
      <c r="G34" s="37">
        <v>0</v>
      </c>
      <c r="H34" s="92">
        <v>3753266</v>
      </c>
      <c r="I34" s="37"/>
      <c r="J34" s="92" t="s">
        <v>1124</v>
      </c>
      <c r="K34" s="37"/>
      <c r="L34" s="92" t="s">
        <v>1125</v>
      </c>
      <c r="M34" s="37"/>
      <c r="N34" s="92" t="s">
        <v>1126</v>
      </c>
      <c r="O34" s="93" t="s">
        <v>834</v>
      </c>
    </row>
    <row r="35" spans="2:15" ht="19.7" customHeight="1">
      <c r="B35" s="67" t="s">
        <v>834</v>
      </c>
      <c r="C35" s="29" t="s">
        <v>439</v>
      </c>
      <c r="D35" s="29" t="s">
        <v>567</v>
      </c>
      <c r="E35" s="31">
        <v>1</v>
      </c>
      <c r="F35" s="30" t="s">
        <v>748</v>
      </c>
      <c r="G35" s="37">
        <v>2626996</v>
      </c>
      <c r="H35" s="65">
        <v>2626996</v>
      </c>
      <c r="I35" s="64" t="s">
        <v>1127</v>
      </c>
      <c r="J35" s="65">
        <v>810756</v>
      </c>
      <c r="K35" s="64" t="s">
        <v>1128</v>
      </c>
      <c r="L35" s="65">
        <v>132160</v>
      </c>
      <c r="M35" s="64" t="s">
        <v>1129</v>
      </c>
      <c r="N35" s="65">
        <v>1684080</v>
      </c>
      <c r="O35" s="32" t="s">
        <v>190</v>
      </c>
    </row>
    <row r="36" spans="2:15" ht="19.7" customHeight="1">
      <c r="B36" s="67" t="s">
        <v>834</v>
      </c>
      <c r="C36" s="29" t="s">
        <v>398</v>
      </c>
      <c r="D36" s="29" t="s">
        <v>530</v>
      </c>
      <c r="E36" s="31">
        <v>1</v>
      </c>
      <c r="F36" s="30" t="s">
        <v>748</v>
      </c>
      <c r="G36" s="37">
        <v>973959</v>
      </c>
      <c r="H36" s="65">
        <v>973959</v>
      </c>
      <c r="I36" s="64">
        <v>553537</v>
      </c>
      <c r="J36" s="65">
        <v>553537</v>
      </c>
      <c r="K36" s="64">
        <v>244588</v>
      </c>
      <c r="L36" s="65">
        <v>244588</v>
      </c>
      <c r="M36" s="64">
        <v>175834</v>
      </c>
      <c r="N36" s="65">
        <v>175834</v>
      </c>
      <c r="O36" s="32" t="s">
        <v>751</v>
      </c>
    </row>
    <row r="37" spans="2:15" ht="19.7" customHeight="1">
      <c r="B37" s="67" t="s">
        <v>834</v>
      </c>
      <c r="C37" s="29" t="s">
        <v>597</v>
      </c>
      <c r="D37" s="29" t="s">
        <v>530</v>
      </c>
      <c r="E37" s="31">
        <v>1</v>
      </c>
      <c r="F37" s="30" t="s">
        <v>366</v>
      </c>
      <c r="G37" s="37">
        <v>147875</v>
      </c>
      <c r="H37" s="65">
        <v>147875</v>
      </c>
      <c r="I37" s="64">
        <v>63375</v>
      </c>
      <c r="J37" s="65">
        <v>63375</v>
      </c>
      <c r="K37" s="64">
        <v>84500</v>
      </c>
      <c r="L37" s="65">
        <v>84500</v>
      </c>
      <c r="M37" s="64">
        <v>0</v>
      </c>
      <c r="N37" s="65">
        <v>0</v>
      </c>
      <c r="O37" s="32" t="s">
        <v>188</v>
      </c>
    </row>
    <row r="38" spans="2:15" ht="19.7" customHeight="1">
      <c r="B38" s="67" t="s">
        <v>834</v>
      </c>
      <c r="C38" s="29" t="s">
        <v>545</v>
      </c>
      <c r="D38" s="29" t="s">
        <v>280</v>
      </c>
      <c r="E38" s="31">
        <v>1</v>
      </c>
      <c r="F38" s="30" t="s">
        <v>574</v>
      </c>
      <c r="G38" s="37">
        <v>4436</v>
      </c>
      <c r="H38" s="65">
        <v>4436</v>
      </c>
      <c r="I38" s="64" t="s">
        <v>1130</v>
      </c>
      <c r="J38" s="65">
        <v>2541</v>
      </c>
      <c r="K38" s="64" t="s">
        <v>1131</v>
      </c>
      <c r="L38" s="65">
        <v>838</v>
      </c>
      <c r="M38" s="64" t="s">
        <v>1132</v>
      </c>
      <c r="N38" s="65">
        <v>1057</v>
      </c>
      <c r="O38" s="32" t="s">
        <v>735</v>
      </c>
    </row>
    <row r="39" spans="2:15" ht="19.7" customHeight="1">
      <c r="B39" s="67" t="s">
        <v>834</v>
      </c>
      <c r="C39" s="29" t="s">
        <v>834</v>
      </c>
      <c r="D39" s="29" t="s">
        <v>834</v>
      </c>
      <c r="E39" s="31"/>
      <c r="F39" s="30" t="s">
        <v>834</v>
      </c>
      <c r="G39" s="37">
        <v>0</v>
      </c>
      <c r="H39" s="65">
        <v>0</v>
      </c>
      <c r="I39" s="37"/>
      <c r="J39" s="31"/>
      <c r="K39" s="37"/>
      <c r="L39" s="31"/>
      <c r="M39" s="37"/>
      <c r="N39" s="31"/>
      <c r="O39" s="32" t="s">
        <v>834</v>
      </c>
    </row>
    <row r="40" spans="2:15" ht="19.7" customHeight="1">
      <c r="B40" s="61" t="s">
        <v>397</v>
      </c>
      <c r="C40" s="62" t="s">
        <v>381</v>
      </c>
      <c r="D40" s="62" t="s">
        <v>834</v>
      </c>
      <c r="E40" s="31"/>
      <c r="F40" s="91" t="s">
        <v>834</v>
      </c>
      <c r="G40" s="37">
        <v>0</v>
      </c>
      <c r="H40" s="92">
        <v>24312504</v>
      </c>
      <c r="I40" s="37"/>
      <c r="J40" s="92" t="s">
        <v>1133</v>
      </c>
      <c r="K40" s="37"/>
      <c r="L40" s="92" t="s">
        <v>1134</v>
      </c>
      <c r="M40" s="37"/>
      <c r="N40" s="92" t="s">
        <v>1135</v>
      </c>
      <c r="O40" s="93" t="s">
        <v>834</v>
      </c>
    </row>
    <row r="41" spans="2:15" ht="19.7" customHeight="1">
      <c r="B41" s="61" t="s">
        <v>658</v>
      </c>
      <c r="C41" s="62" t="s">
        <v>102</v>
      </c>
      <c r="D41" s="62" t="s">
        <v>834</v>
      </c>
      <c r="E41" s="31"/>
      <c r="F41" s="91" t="s">
        <v>834</v>
      </c>
      <c r="G41" s="37">
        <v>0</v>
      </c>
      <c r="H41" s="92">
        <v>16958283</v>
      </c>
      <c r="I41" s="37"/>
      <c r="J41" s="92" t="s">
        <v>1136</v>
      </c>
      <c r="K41" s="37"/>
      <c r="L41" s="92" t="s">
        <v>1137</v>
      </c>
      <c r="M41" s="37"/>
      <c r="N41" s="92" t="s">
        <v>1138</v>
      </c>
      <c r="O41" s="93" t="s">
        <v>834</v>
      </c>
    </row>
    <row r="42" spans="2:15" ht="19.7" customHeight="1">
      <c r="B42" s="61" t="s">
        <v>834</v>
      </c>
      <c r="C42" s="62" t="s">
        <v>230</v>
      </c>
      <c r="D42" s="62" t="s">
        <v>834</v>
      </c>
      <c r="E42" s="31"/>
      <c r="F42" s="91" t="s">
        <v>834</v>
      </c>
      <c r="G42" s="37">
        <v>0</v>
      </c>
      <c r="H42" s="92">
        <v>11991922</v>
      </c>
      <c r="I42" s="37"/>
      <c r="J42" s="92" t="s">
        <v>1139</v>
      </c>
      <c r="K42" s="37"/>
      <c r="L42" s="92" t="s">
        <v>1140</v>
      </c>
      <c r="M42" s="37"/>
      <c r="N42" s="92" t="s">
        <v>1141</v>
      </c>
      <c r="O42" s="93" t="s">
        <v>834</v>
      </c>
    </row>
    <row r="43" spans="2:15" ht="19.7" customHeight="1">
      <c r="B43" s="67" t="s">
        <v>834</v>
      </c>
      <c r="C43" s="29" t="s">
        <v>319</v>
      </c>
      <c r="D43" s="29" t="s">
        <v>500</v>
      </c>
      <c r="E43" s="31">
        <v>84</v>
      </c>
      <c r="F43" s="30" t="s">
        <v>596</v>
      </c>
      <c r="G43" s="37">
        <v>101028</v>
      </c>
      <c r="H43" s="65">
        <v>8486352</v>
      </c>
      <c r="I43" s="64">
        <v>77305</v>
      </c>
      <c r="J43" s="65">
        <v>6493620</v>
      </c>
      <c r="K43" s="64">
        <v>22700</v>
      </c>
      <c r="L43" s="65">
        <v>1906800</v>
      </c>
      <c r="M43" s="64">
        <v>1023</v>
      </c>
      <c r="N43" s="65">
        <v>85932</v>
      </c>
      <c r="O43" s="32" t="s">
        <v>15</v>
      </c>
    </row>
    <row r="44" spans="2:15" ht="19.7" customHeight="1">
      <c r="B44" s="67" t="s">
        <v>834</v>
      </c>
      <c r="C44" s="29" t="s">
        <v>618</v>
      </c>
      <c r="D44" s="29" t="s">
        <v>617</v>
      </c>
      <c r="E44" s="31">
        <v>10</v>
      </c>
      <c r="F44" s="30" t="s">
        <v>596</v>
      </c>
      <c r="G44" s="37">
        <v>166125</v>
      </c>
      <c r="H44" s="65">
        <v>1661250</v>
      </c>
      <c r="I44" s="64">
        <v>90891</v>
      </c>
      <c r="J44" s="65">
        <v>908910</v>
      </c>
      <c r="K44" s="64">
        <v>73550</v>
      </c>
      <c r="L44" s="65">
        <v>735500</v>
      </c>
      <c r="M44" s="64">
        <v>1684</v>
      </c>
      <c r="N44" s="65">
        <v>16840</v>
      </c>
      <c r="O44" s="32" t="s">
        <v>221</v>
      </c>
    </row>
    <row r="45" spans="2:15" ht="19.7" customHeight="1">
      <c r="B45" s="67" t="s">
        <v>834</v>
      </c>
      <c r="C45" s="29" t="s">
        <v>438</v>
      </c>
      <c r="D45" s="29" t="s">
        <v>609</v>
      </c>
      <c r="E45" s="31">
        <v>4</v>
      </c>
      <c r="F45" s="30" t="s">
        <v>596</v>
      </c>
      <c r="G45" s="37">
        <v>461080</v>
      </c>
      <c r="H45" s="65">
        <v>1844320</v>
      </c>
      <c r="I45" s="64">
        <v>168850</v>
      </c>
      <c r="J45" s="65">
        <v>675400</v>
      </c>
      <c r="K45" s="64">
        <v>288670</v>
      </c>
      <c r="L45" s="65">
        <v>1154680</v>
      </c>
      <c r="M45" s="64">
        <v>3560</v>
      </c>
      <c r="N45" s="65">
        <v>14240</v>
      </c>
      <c r="O45" s="32" t="s">
        <v>765</v>
      </c>
    </row>
    <row r="46" spans="2:15" ht="19.7" customHeight="1">
      <c r="B46" s="61" t="s">
        <v>834</v>
      </c>
      <c r="C46" s="62" t="s">
        <v>201</v>
      </c>
      <c r="D46" s="62" t="s">
        <v>834</v>
      </c>
      <c r="E46" s="31"/>
      <c r="F46" s="91" t="s">
        <v>834</v>
      </c>
      <c r="G46" s="37">
        <v>0</v>
      </c>
      <c r="H46" s="92">
        <v>2570850</v>
      </c>
      <c r="I46" s="37"/>
      <c r="J46" s="92" t="s">
        <v>1142</v>
      </c>
      <c r="K46" s="37"/>
      <c r="L46" s="92" t="s">
        <v>1143</v>
      </c>
      <c r="M46" s="37"/>
      <c r="N46" s="92" t="s">
        <v>1144</v>
      </c>
      <c r="O46" s="93" t="s">
        <v>834</v>
      </c>
    </row>
    <row r="47" spans="2:15" ht="19.7" customHeight="1">
      <c r="B47" s="67" t="s">
        <v>834</v>
      </c>
      <c r="C47" s="29" t="s">
        <v>319</v>
      </c>
      <c r="D47" s="29" t="s">
        <v>191</v>
      </c>
      <c r="E47" s="31">
        <v>14</v>
      </c>
      <c r="F47" s="30" t="s">
        <v>596</v>
      </c>
      <c r="G47" s="37">
        <v>84957</v>
      </c>
      <c r="H47" s="65">
        <v>1189398</v>
      </c>
      <c r="I47" s="64">
        <v>63340</v>
      </c>
      <c r="J47" s="65">
        <v>886760</v>
      </c>
      <c r="K47" s="64">
        <v>20650</v>
      </c>
      <c r="L47" s="65">
        <v>289100</v>
      </c>
      <c r="M47" s="64">
        <v>967</v>
      </c>
      <c r="N47" s="65">
        <v>13538</v>
      </c>
      <c r="O47" s="32" t="s">
        <v>265</v>
      </c>
    </row>
    <row r="48" spans="2:15" ht="19.7" customHeight="1">
      <c r="B48" s="67" t="s">
        <v>834</v>
      </c>
      <c r="C48" s="29" t="s">
        <v>618</v>
      </c>
      <c r="D48" s="29" t="s">
        <v>40</v>
      </c>
      <c r="E48" s="31">
        <v>6</v>
      </c>
      <c r="F48" s="30" t="s">
        <v>596</v>
      </c>
      <c r="G48" s="37">
        <v>147554</v>
      </c>
      <c r="H48" s="65">
        <v>885324</v>
      </c>
      <c r="I48" s="64">
        <v>76926</v>
      </c>
      <c r="J48" s="65">
        <v>461556</v>
      </c>
      <c r="K48" s="64">
        <v>69000</v>
      </c>
      <c r="L48" s="65">
        <v>414000</v>
      </c>
      <c r="M48" s="64">
        <v>1628</v>
      </c>
      <c r="N48" s="65">
        <v>9768</v>
      </c>
      <c r="O48" s="32" t="s">
        <v>740</v>
      </c>
    </row>
    <row r="49" spans="2:15" ht="19.7" customHeight="1">
      <c r="B49" s="67" t="s">
        <v>834</v>
      </c>
      <c r="C49" s="29" t="s">
        <v>612</v>
      </c>
      <c r="D49" s="29" t="s">
        <v>561</v>
      </c>
      <c r="E49" s="31">
        <v>12</v>
      </c>
      <c r="F49" s="30" t="s">
        <v>476</v>
      </c>
      <c r="G49" s="37">
        <v>41344</v>
      </c>
      <c r="H49" s="65">
        <v>496128</v>
      </c>
      <c r="I49" s="64">
        <v>33439</v>
      </c>
      <c r="J49" s="65">
        <v>401268</v>
      </c>
      <c r="K49" s="64">
        <v>7237</v>
      </c>
      <c r="L49" s="65">
        <v>86844</v>
      </c>
      <c r="M49" s="64">
        <v>668</v>
      </c>
      <c r="N49" s="65">
        <v>8016</v>
      </c>
      <c r="O49" s="32" t="s">
        <v>295</v>
      </c>
    </row>
    <row r="50" spans="2:15" ht="19.7" customHeight="1">
      <c r="B50" s="61" t="s">
        <v>834</v>
      </c>
      <c r="C50" s="62" t="s">
        <v>776</v>
      </c>
      <c r="D50" s="62" t="s">
        <v>834</v>
      </c>
      <c r="E50" s="31"/>
      <c r="F50" s="91" t="s">
        <v>834</v>
      </c>
      <c r="G50" s="37">
        <v>0</v>
      </c>
      <c r="H50" s="92">
        <v>2395511</v>
      </c>
      <c r="I50" s="37"/>
      <c r="J50" s="92" t="s">
        <v>1145</v>
      </c>
      <c r="K50" s="37"/>
      <c r="L50" s="92" t="s">
        <v>1146</v>
      </c>
      <c r="M50" s="37"/>
      <c r="N50" s="92" t="s">
        <v>1147</v>
      </c>
      <c r="O50" s="93" t="s">
        <v>834</v>
      </c>
    </row>
    <row r="51" spans="2:15" ht="19.7" customHeight="1">
      <c r="B51" s="67" t="s">
        <v>834</v>
      </c>
      <c r="C51" s="29" t="s">
        <v>319</v>
      </c>
      <c r="D51" s="29" t="s">
        <v>191</v>
      </c>
      <c r="E51" s="31">
        <v>25</v>
      </c>
      <c r="F51" s="30" t="s">
        <v>596</v>
      </c>
      <c r="G51" s="37">
        <v>84957</v>
      </c>
      <c r="H51" s="65">
        <v>2123925</v>
      </c>
      <c r="I51" s="64">
        <v>63340</v>
      </c>
      <c r="J51" s="65">
        <v>1583500</v>
      </c>
      <c r="K51" s="64">
        <v>20650</v>
      </c>
      <c r="L51" s="65">
        <v>516250</v>
      </c>
      <c r="M51" s="64">
        <v>967</v>
      </c>
      <c r="N51" s="65">
        <v>24175</v>
      </c>
      <c r="O51" s="32" t="s">
        <v>265</v>
      </c>
    </row>
    <row r="52" spans="2:15" ht="19.7" customHeight="1">
      <c r="B52" s="67" t="s">
        <v>834</v>
      </c>
      <c r="C52" s="29" t="s">
        <v>618</v>
      </c>
      <c r="D52" s="29" t="s">
        <v>40</v>
      </c>
      <c r="E52" s="31">
        <v>1</v>
      </c>
      <c r="F52" s="30" t="s">
        <v>596</v>
      </c>
      <c r="G52" s="37">
        <v>147554</v>
      </c>
      <c r="H52" s="65">
        <v>147554</v>
      </c>
      <c r="I52" s="64">
        <v>76926</v>
      </c>
      <c r="J52" s="65">
        <v>76926</v>
      </c>
      <c r="K52" s="64">
        <v>69000</v>
      </c>
      <c r="L52" s="65">
        <v>69000</v>
      </c>
      <c r="M52" s="64">
        <v>1628</v>
      </c>
      <c r="N52" s="65">
        <v>1628</v>
      </c>
      <c r="O52" s="32" t="s">
        <v>740</v>
      </c>
    </row>
    <row r="53" spans="2:15" ht="19.7" customHeight="1">
      <c r="B53" s="67" t="s">
        <v>834</v>
      </c>
      <c r="C53" s="29" t="s">
        <v>612</v>
      </c>
      <c r="D53" s="29" t="s">
        <v>561</v>
      </c>
      <c r="E53" s="31">
        <v>3</v>
      </c>
      <c r="F53" s="30" t="s">
        <v>476</v>
      </c>
      <c r="G53" s="37">
        <v>41344</v>
      </c>
      <c r="H53" s="65">
        <v>124032</v>
      </c>
      <c r="I53" s="64">
        <v>33439</v>
      </c>
      <c r="J53" s="65">
        <v>100317</v>
      </c>
      <c r="K53" s="64">
        <v>7237</v>
      </c>
      <c r="L53" s="65">
        <v>21711</v>
      </c>
      <c r="M53" s="64">
        <v>668</v>
      </c>
      <c r="N53" s="65">
        <v>2004</v>
      </c>
      <c r="O53" s="32" t="s">
        <v>295</v>
      </c>
    </row>
    <row r="54" spans="2:15" ht="19.7" customHeight="1">
      <c r="B54" s="61" t="s">
        <v>376</v>
      </c>
      <c r="C54" s="62" t="s">
        <v>259</v>
      </c>
      <c r="D54" s="62" t="s">
        <v>834</v>
      </c>
      <c r="E54" s="31"/>
      <c r="F54" s="91" t="s">
        <v>834</v>
      </c>
      <c r="G54" s="37">
        <v>0</v>
      </c>
      <c r="H54" s="92">
        <v>7354221</v>
      </c>
      <c r="I54" s="37"/>
      <c r="J54" s="92" t="s">
        <v>1148</v>
      </c>
      <c r="K54" s="37"/>
      <c r="L54" s="92" t="s">
        <v>1149</v>
      </c>
      <c r="M54" s="37"/>
      <c r="N54" s="92" t="s">
        <v>1150</v>
      </c>
      <c r="O54" s="93" t="s">
        <v>834</v>
      </c>
    </row>
    <row r="55" spans="2:15" ht="19.7" customHeight="1">
      <c r="B55" s="67" t="s">
        <v>834</v>
      </c>
      <c r="C55" s="29" t="s">
        <v>439</v>
      </c>
      <c r="D55" s="29" t="s">
        <v>567</v>
      </c>
      <c r="E55" s="31">
        <v>2</v>
      </c>
      <c r="F55" s="30" t="s">
        <v>748</v>
      </c>
      <c r="G55" s="37">
        <v>2626996</v>
      </c>
      <c r="H55" s="65">
        <v>5253992</v>
      </c>
      <c r="I55" s="64" t="s">
        <v>1127</v>
      </c>
      <c r="J55" s="65">
        <v>1621512</v>
      </c>
      <c r="K55" s="64" t="s">
        <v>1128</v>
      </c>
      <c r="L55" s="65">
        <v>264320</v>
      </c>
      <c r="M55" s="64" t="s">
        <v>1129</v>
      </c>
      <c r="N55" s="65">
        <v>3368160</v>
      </c>
      <c r="O55" s="32" t="s">
        <v>190</v>
      </c>
    </row>
    <row r="56" spans="2:15" ht="19.7" customHeight="1">
      <c r="B56" s="69" t="s">
        <v>834</v>
      </c>
      <c r="C56" s="34" t="s">
        <v>398</v>
      </c>
      <c r="D56" s="34" t="s">
        <v>530</v>
      </c>
      <c r="E56" s="22">
        <v>2</v>
      </c>
      <c r="F56" s="35" t="s">
        <v>748</v>
      </c>
      <c r="G56" s="21">
        <v>973959</v>
      </c>
      <c r="H56" s="74">
        <v>1947918</v>
      </c>
      <c r="I56" s="70">
        <v>553537</v>
      </c>
      <c r="J56" s="74">
        <v>1107074</v>
      </c>
      <c r="K56" s="70">
        <v>244588</v>
      </c>
      <c r="L56" s="74">
        <v>489176</v>
      </c>
      <c r="M56" s="70">
        <v>175834</v>
      </c>
      <c r="N56" s="74">
        <v>351668</v>
      </c>
      <c r="O56" s="36" t="s">
        <v>751</v>
      </c>
    </row>
    <row r="57" spans="2:15" ht="19.7" customHeight="1">
      <c r="B57" s="67" t="s">
        <v>834</v>
      </c>
      <c r="C57" s="29" t="s">
        <v>597</v>
      </c>
      <c r="D57" s="29" t="s">
        <v>530</v>
      </c>
      <c r="E57" s="31">
        <v>1</v>
      </c>
      <c r="F57" s="30" t="s">
        <v>366</v>
      </c>
      <c r="G57" s="37">
        <v>147875</v>
      </c>
      <c r="H57" s="65">
        <v>147875</v>
      </c>
      <c r="I57" s="64">
        <v>63375</v>
      </c>
      <c r="J57" s="65">
        <v>63375</v>
      </c>
      <c r="K57" s="64">
        <v>84500</v>
      </c>
      <c r="L57" s="65">
        <v>84500</v>
      </c>
      <c r="M57" s="64">
        <v>0</v>
      </c>
      <c r="N57" s="65">
        <v>0</v>
      </c>
      <c r="O57" s="32" t="s">
        <v>188</v>
      </c>
    </row>
    <row r="58" spans="2:15" ht="19.7" customHeight="1">
      <c r="B58" s="67" t="s">
        <v>834</v>
      </c>
      <c r="C58" s="29" t="s">
        <v>545</v>
      </c>
      <c r="D58" s="29" t="s">
        <v>280</v>
      </c>
      <c r="E58" s="31">
        <v>1</v>
      </c>
      <c r="F58" s="30" t="s">
        <v>574</v>
      </c>
      <c r="G58" s="37">
        <v>4436</v>
      </c>
      <c r="H58" s="65">
        <v>4436</v>
      </c>
      <c r="I58" s="64" t="s">
        <v>1130</v>
      </c>
      <c r="J58" s="65">
        <v>2541</v>
      </c>
      <c r="K58" s="64" t="s">
        <v>1131</v>
      </c>
      <c r="L58" s="65">
        <v>838</v>
      </c>
      <c r="M58" s="64" t="s">
        <v>1132</v>
      </c>
      <c r="N58" s="65">
        <v>1057</v>
      </c>
      <c r="O58" s="32" t="s">
        <v>735</v>
      </c>
    </row>
    <row r="59" spans="2:15" ht="19.7" customHeight="1">
      <c r="B59" s="67" t="s">
        <v>834</v>
      </c>
      <c r="C59" s="29" t="s">
        <v>834</v>
      </c>
      <c r="D59" s="29" t="s">
        <v>834</v>
      </c>
      <c r="E59" s="31"/>
      <c r="F59" s="30" t="s">
        <v>834</v>
      </c>
      <c r="G59" s="37">
        <v>0</v>
      </c>
      <c r="H59" s="65">
        <v>0</v>
      </c>
      <c r="I59" s="37"/>
      <c r="J59" s="31"/>
      <c r="K59" s="37"/>
      <c r="L59" s="31"/>
      <c r="M59" s="37"/>
      <c r="N59" s="31"/>
      <c r="O59" s="32" t="s">
        <v>834</v>
      </c>
    </row>
    <row r="60" spans="2:15" ht="19.7" customHeight="1">
      <c r="B60" s="61" t="s">
        <v>750</v>
      </c>
      <c r="C60" s="62" t="s">
        <v>105</v>
      </c>
      <c r="D60" s="62" t="s">
        <v>834</v>
      </c>
      <c r="E60" s="31"/>
      <c r="F60" s="91" t="s">
        <v>834</v>
      </c>
      <c r="G60" s="37">
        <v>0</v>
      </c>
      <c r="H60" s="92">
        <v>48893920</v>
      </c>
      <c r="I60" s="37"/>
      <c r="J60" s="92" t="s">
        <v>1151</v>
      </c>
      <c r="K60" s="37"/>
      <c r="L60" s="92" t="s">
        <v>1152</v>
      </c>
      <c r="M60" s="37"/>
      <c r="N60" s="92" t="s">
        <v>1153</v>
      </c>
      <c r="O60" s="93" t="s">
        <v>834</v>
      </c>
    </row>
    <row r="61" spans="2:15" ht="19.7" customHeight="1">
      <c r="B61" s="61" t="s">
        <v>811</v>
      </c>
      <c r="C61" s="62" t="s">
        <v>102</v>
      </c>
      <c r="D61" s="62" t="s">
        <v>834</v>
      </c>
      <c r="E61" s="31"/>
      <c r="F61" s="91" t="s">
        <v>834</v>
      </c>
      <c r="G61" s="37">
        <v>0</v>
      </c>
      <c r="H61" s="92">
        <v>36861349</v>
      </c>
      <c r="I61" s="37"/>
      <c r="J61" s="92" t="s">
        <v>1154</v>
      </c>
      <c r="K61" s="37"/>
      <c r="L61" s="92" t="s">
        <v>1155</v>
      </c>
      <c r="M61" s="37"/>
      <c r="N61" s="92" t="s">
        <v>1156</v>
      </c>
      <c r="O61" s="93" t="s">
        <v>834</v>
      </c>
    </row>
    <row r="62" spans="2:15" ht="19.7" customHeight="1">
      <c r="B62" s="61" t="s">
        <v>834</v>
      </c>
      <c r="C62" s="62" t="s">
        <v>350</v>
      </c>
      <c r="D62" s="62" t="s">
        <v>834</v>
      </c>
      <c r="E62" s="31"/>
      <c r="F62" s="91" t="s">
        <v>834</v>
      </c>
      <c r="G62" s="37">
        <v>0</v>
      </c>
      <c r="H62" s="92">
        <v>9696689</v>
      </c>
      <c r="I62" s="37"/>
      <c r="J62" s="92" t="s">
        <v>1157</v>
      </c>
      <c r="K62" s="37"/>
      <c r="L62" s="92" t="s">
        <v>1158</v>
      </c>
      <c r="M62" s="37"/>
      <c r="N62" s="92" t="s">
        <v>1159</v>
      </c>
      <c r="O62" s="93" t="s">
        <v>834</v>
      </c>
    </row>
    <row r="63" spans="2:15" ht="19.7" customHeight="1">
      <c r="B63" s="67" t="s">
        <v>834</v>
      </c>
      <c r="C63" s="29" t="s">
        <v>319</v>
      </c>
      <c r="D63" s="29" t="s">
        <v>191</v>
      </c>
      <c r="E63" s="31">
        <v>90</v>
      </c>
      <c r="F63" s="30" t="s">
        <v>596</v>
      </c>
      <c r="G63" s="37">
        <v>84957</v>
      </c>
      <c r="H63" s="65">
        <v>7646130</v>
      </c>
      <c r="I63" s="64">
        <v>63340</v>
      </c>
      <c r="J63" s="65">
        <v>5700600</v>
      </c>
      <c r="K63" s="64">
        <v>20650</v>
      </c>
      <c r="L63" s="65">
        <v>1858500</v>
      </c>
      <c r="M63" s="64">
        <v>967</v>
      </c>
      <c r="N63" s="65">
        <v>87030</v>
      </c>
      <c r="O63" s="32" t="s">
        <v>265</v>
      </c>
    </row>
    <row r="64" spans="2:15" ht="19.7" customHeight="1">
      <c r="B64" s="67" t="s">
        <v>834</v>
      </c>
      <c r="C64" s="29" t="s">
        <v>618</v>
      </c>
      <c r="D64" s="29" t="s">
        <v>453</v>
      </c>
      <c r="E64" s="31">
        <v>5</v>
      </c>
      <c r="F64" s="30" t="s">
        <v>596</v>
      </c>
      <c r="G64" s="37">
        <v>296464</v>
      </c>
      <c r="H64" s="65">
        <v>1482320</v>
      </c>
      <c r="I64" s="64">
        <v>127857</v>
      </c>
      <c r="J64" s="65">
        <v>639285</v>
      </c>
      <c r="K64" s="64">
        <v>165650</v>
      </c>
      <c r="L64" s="65">
        <v>828250</v>
      </c>
      <c r="M64" s="64">
        <v>2957</v>
      </c>
      <c r="N64" s="65">
        <v>14785</v>
      </c>
      <c r="O64" s="32" t="s">
        <v>775</v>
      </c>
    </row>
    <row r="65" spans="2:15" ht="19.7" customHeight="1">
      <c r="B65" s="67" t="s">
        <v>834</v>
      </c>
      <c r="C65" s="29" t="s">
        <v>438</v>
      </c>
      <c r="D65" s="29" t="s">
        <v>33</v>
      </c>
      <c r="E65" s="31">
        <v>1</v>
      </c>
      <c r="F65" s="30" t="s">
        <v>596</v>
      </c>
      <c r="G65" s="37">
        <v>444207</v>
      </c>
      <c r="H65" s="65">
        <v>444207</v>
      </c>
      <c r="I65" s="64">
        <v>154083</v>
      </c>
      <c r="J65" s="65">
        <v>154083</v>
      </c>
      <c r="K65" s="64">
        <v>286620</v>
      </c>
      <c r="L65" s="65">
        <v>286620</v>
      </c>
      <c r="M65" s="64">
        <v>3504</v>
      </c>
      <c r="N65" s="65">
        <v>3504</v>
      </c>
      <c r="O65" s="32" t="s">
        <v>584</v>
      </c>
    </row>
    <row r="66" spans="2:15" ht="19.7" customHeight="1">
      <c r="B66" s="67" t="s">
        <v>834</v>
      </c>
      <c r="C66" s="29" t="s">
        <v>612</v>
      </c>
      <c r="D66" s="29" t="s">
        <v>561</v>
      </c>
      <c r="E66" s="31">
        <v>3</v>
      </c>
      <c r="F66" s="30" t="s">
        <v>476</v>
      </c>
      <c r="G66" s="37">
        <v>41344</v>
      </c>
      <c r="H66" s="65">
        <v>124032</v>
      </c>
      <c r="I66" s="64">
        <v>33439</v>
      </c>
      <c r="J66" s="65">
        <v>100317</v>
      </c>
      <c r="K66" s="64">
        <v>7237</v>
      </c>
      <c r="L66" s="65">
        <v>21711</v>
      </c>
      <c r="M66" s="64">
        <v>668</v>
      </c>
      <c r="N66" s="65">
        <v>2004</v>
      </c>
      <c r="O66" s="32" t="s">
        <v>295</v>
      </c>
    </row>
    <row r="67" spans="2:15" ht="19.7" customHeight="1">
      <c r="B67" s="61" t="s">
        <v>834</v>
      </c>
      <c r="C67" s="62" t="s">
        <v>230</v>
      </c>
      <c r="D67" s="62" t="s">
        <v>834</v>
      </c>
      <c r="E67" s="31"/>
      <c r="F67" s="91" t="s">
        <v>834</v>
      </c>
      <c r="G67" s="37">
        <v>0</v>
      </c>
      <c r="H67" s="92">
        <v>13541323</v>
      </c>
      <c r="I67" s="37"/>
      <c r="J67" s="92" t="s">
        <v>1160</v>
      </c>
      <c r="K67" s="37"/>
      <c r="L67" s="92" t="s">
        <v>1161</v>
      </c>
      <c r="M67" s="37"/>
      <c r="N67" s="92" t="s">
        <v>1162</v>
      </c>
      <c r="O67" s="93" t="s">
        <v>834</v>
      </c>
    </row>
    <row r="68" spans="2:15" ht="19.7" customHeight="1">
      <c r="B68" s="67" t="s">
        <v>834</v>
      </c>
      <c r="C68" s="29" t="s">
        <v>319</v>
      </c>
      <c r="D68" s="29" t="s">
        <v>500</v>
      </c>
      <c r="E68" s="31">
        <v>38</v>
      </c>
      <c r="F68" s="30" t="s">
        <v>596</v>
      </c>
      <c r="G68" s="37">
        <v>101028</v>
      </c>
      <c r="H68" s="65">
        <v>3839064</v>
      </c>
      <c r="I68" s="64">
        <v>77305</v>
      </c>
      <c r="J68" s="65">
        <v>2937590</v>
      </c>
      <c r="K68" s="64">
        <v>22700</v>
      </c>
      <c r="L68" s="65">
        <v>862600</v>
      </c>
      <c r="M68" s="64">
        <v>1023</v>
      </c>
      <c r="N68" s="65">
        <v>38874</v>
      </c>
      <c r="O68" s="32" t="s">
        <v>15</v>
      </c>
    </row>
    <row r="69" spans="2:15" ht="19.7" customHeight="1">
      <c r="B69" s="67" t="s">
        <v>834</v>
      </c>
      <c r="C69" s="29" t="s">
        <v>618</v>
      </c>
      <c r="D69" s="29" t="s">
        <v>217</v>
      </c>
      <c r="E69" s="31">
        <v>13</v>
      </c>
      <c r="F69" s="30" t="s">
        <v>596</v>
      </c>
      <c r="G69" s="37">
        <v>317535</v>
      </c>
      <c r="H69" s="65">
        <v>4127955</v>
      </c>
      <c r="I69" s="64">
        <v>141822</v>
      </c>
      <c r="J69" s="65">
        <v>1843686</v>
      </c>
      <c r="K69" s="64">
        <v>172700</v>
      </c>
      <c r="L69" s="65">
        <v>2245100</v>
      </c>
      <c r="M69" s="64">
        <v>3013</v>
      </c>
      <c r="N69" s="65">
        <v>39169</v>
      </c>
      <c r="O69" s="32" t="s">
        <v>152</v>
      </c>
    </row>
    <row r="70" spans="2:15" ht="19.7" customHeight="1">
      <c r="B70" s="67" t="s">
        <v>834</v>
      </c>
      <c r="C70" s="29" t="s">
        <v>438</v>
      </c>
      <c r="D70" s="29" t="s">
        <v>609</v>
      </c>
      <c r="E70" s="31">
        <v>12</v>
      </c>
      <c r="F70" s="30" t="s">
        <v>596</v>
      </c>
      <c r="G70" s="37">
        <v>461080</v>
      </c>
      <c r="H70" s="65">
        <v>5532960</v>
      </c>
      <c r="I70" s="64">
        <v>168850</v>
      </c>
      <c r="J70" s="65">
        <v>2026200</v>
      </c>
      <c r="K70" s="64">
        <v>288670</v>
      </c>
      <c r="L70" s="65">
        <v>3464040</v>
      </c>
      <c r="M70" s="64">
        <v>3560</v>
      </c>
      <c r="N70" s="65">
        <v>42720</v>
      </c>
      <c r="O70" s="32" t="s">
        <v>765</v>
      </c>
    </row>
    <row r="71" spans="2:15" ht="19.7" customHeight="1">
      <c r="B71" s="67" t="s">
        <v>834</v>
      </c>
      <c r="C71" s="29" t="s">
        <v>612</v>
      </c>
      <c r="D71" s="29" t="s">
        <v>561</v>
      </c>
      <c r="E71" s="31">
        <v>1</v>
      </c>
      <c r="F71" s="30" t="s">
        <v>476</v>
      </c>
      <c r="G71" s="37">
        <v>41344</v>
      </c>
      <c r="H71" s="65">
        <v>41344</v>
      </c>
      <c r="I71" s="64">
        <v>33439</v>
      </c>
      <c r="J71" s="65">
        <v>33439</v>
      </c>
      <c r="K71" s="64">
        <v>7237</v>
      </c>
      <c r="L71" s="65">
        <v>7237</v>
      </c>
      <c r="M71" s="64">
        <v>668</v>
      </c>
      <c r="N71" s="65">
        <v>668</v>
      </c>
      <c r="O71" s="32" t="s">
        <v>295</v>
      </c>
    </row>
    <row r="72" spans="2:15" ht="19.7" customHeight="1">
      <c r="B72" s="61" t="s">
        <v>834</v>
      </c>
      <c r="C72" s="62" t="s">
        <v>201</v>
      </c>
      <c r="D72" s="62" t="s">
        <v>834</v>
      </c>
      <c r="E72" s="31"/>
      <c r="F72" s="91" t="s">
        <v>834</v>
      </c>
      <c r="G72" s="37">
        <v>0</v>
      </c>
      <c r="H72" s="92">
        <v>4875066</v>
      </c>
      <c r="I72" s="37"/>
      <c r="J72" s="92" t="s">
        <v>1163</v>
      </c>
      <c r="K72" s="37"/>
      <c r="L72" s="92" t="s">
        <v>1164</v>
      </c>
      <c r="M72" s="37"/>
      <c r="N72" s="92" t="s">
        <v>1165</v>
      </c>
      <c r="O72" s="93" t="s">
        <v>834</v>
      </c>
    </row>
    <row r="73" spans="2:15" ht="19.7" customHeight="1">
      <c r="B73" s="67" t="s">
        <v>834</v>
      </c>
      <c r="C73" s="29" t="s">
        <v>319</v>
      </c>
      <c r="D73" s="29" t="s">
        <v>191</v>
      </c>
      <c r="E73" s="31">
        <v>50</v>
      </c>
      <c r="F73" s="30" t="s">
        <v>596</v>
      </c>
      <c r="G73" s="37">
        <v>84957</v>
      </c>
      <c r="H73" s="65">
        <v>4247850</v>
      </c>
      <c r="I73" s="64">
        <v>63340</v>
      </c>
      <c r="J73" s="65">
        <v>3167000</v>
      </c>
      <c r="K73" s="64">
        <v>20650</v>
      </c>
      <c r="L73" s="65">
        <v>1032500</v>
      </c>
      <c r="M73" s="64">
        <v>967</v>
      </c>
      <c r="N73" s="65">
        <v>48350</v>
      </c>
      <c r="O73" s="32" t="s">
        <v>265</v>
      </c>
    </row>
    <row r="74" spans="2:15" ht="19.7" customHeight="1">
      <c r="B74" s="67" t="s">
        <v>834</v>
      </c>
      <c r="C74" s="29" t="s">
        <v>618</v>
      </c>
      <c r="D74" s="29" t="s">
        <v>453</v>
      </c>
      <c r="E74" s="31">
        <v>1</v>
      </c>
      <c r="F74" s="30" t="s">
        <v>596</v>
      </c>
      <c r="G74" s="37">
        <v>296464</v>
      </c>
      <c r="H74" s="65">
        <v>296464</v>
      </c>
      <c r="I74" s="64">
        <v>127857</v>
      </c>
      <c r="J74" s="65">
        <v>127857</v>
      </c>
      <c r="K74" s="64">
        <v>165650</v>
      </c>
      <c r="L74" s="65">
        <v>165650</v>
      </c>
      <c r="M74" s="64">
        <v>2957</v>
      </c>
      <c r="N74" s="65">
        <v>2957</v>
      </c>
      <c r="O74" s="32" t="s">
        <v>775</v>
      </c>
    </row>
    <row r="75" spans="2:15" ht="19.7" customHeight="1">
      <c r="B75" s="67" t="s">
        <v>834</v>
      </c>
      <c r="C75" s="29" t="s">
        <v>612</v>
      </c>
      <c r="D75" s="29" t="s">
        <v>561</v>
      </c>
      <c r="E75" s="31">
        <v>8</v>
      </c>
      <c r="F75" s="30" t="s">
        <v>476</v>
      </c>
      <c r="G75" s="37">
        <v>41344</v>
      </c>
      <c r="H75" s="65">
        <v>330752</v>
      </c>
      <c r="I75" s="64">
        <v>33439</v>
      </c>
      <c r="J75" s="65">
        <v>267512</v>
      </c>
      <c r="K75" s="64">
        <v>7237</v>
      </c>
      <c r="L75" s="65">
        <v>57896</v>
      </c>
      <c r="M75" s="64">
        <v>668</v>
      </c>
      <c r="N75" s="65">
        <v>5344</v>
      </c>
      <c r="O75" s="32" t="s">
        <v>295</v>
      </c>
    </row>
    <row r="76" spans="2:15" ht="19.7" customHeight="1">
      <c r="B76" s="61" t="s">
        <v>834</v>
      </c>
      <c r="C76" s="62" t="s">
        <v>776</v>
      </c>
      <c r="D76" s="62" t="s">
        <v>834</v>
      </c>
      <c r="E76" s="31"/>
      <c r="F76" s="91" t="s">
        <v>834</v>
      </c>
      <c r="G76" s="37">
        <v>0</v>
      </c>
      <c r="H76" s="92">
        <v>8748271</v>
      </c>
      <c r="I76" s="37"/>
      <c r="J76" s="92" t="s">
        <v>1166</v>
      </c>
      <c r="K76" s="37"/>
      <c r="L76" s="92" t="s">
        <v>1167</v>
      </c>
      <c r="M76" s="37"/>
      <c r="N76" s="92" t="s">
        <v>1168</v>
      </c>
      <c r="O76" s="93" t="s">
        <v>834</v>
      </c>
    </row>
    <row r="77" spans="2:15" ht="19.7" customHeight="1">
      <c r="B77" s="67" t="s">
        <v>834</v>
      </c>
      <c r="C77" s="29" t="s">
        <v>319</v>
      </c>
      <c r="D77" s="29" t="s">
        <v>191</v>
      </c>
      <c r="E77" s="31">
        <v>48</v>
      </c>
      <c r="F77" s="30" t="s">
        <v>596</v>
      </c>
      <c r="G77" s="37">
        <v>84957</v>
      </c>
      <c r="H77" s="65">
        <v>4077936</v>
      </c>
      <c r="I77" s="64">
        <v>63340</v>
      </c>
      <c r="J77" s="65">
        <v>3040320</v>
      </c>
      <c r="K77" s="64">
        <v>20650</v>
      </c>
      <c r="L77" s="65">
        <v>991200</v>
      </c>
      <c r="M77" s="64">
        <v>967</v>
      </c>
      <c r="N77" s="65">
        <v>46416</v>
      </c>
      <c r="O77" s="32" t="s">
        <v>265</v>
      </c>
    </row>
    <row r="78" spans="2:15" ht="19.7" customHeight="1">
      <c r="B78" s="67" t="s">
        <v>834</v>
      </c>
      <c r="C78" s="29" t="s">
        <v>618</v>
      </c>
      <c r="D78" s="29" t="s">
        <v>453</v>
      </c>
      <c r="E78" s="31">
        <v>13</v>
      </c>
      <c r="F78" s="30" t="s">
        <v>596</v>
      </c>
      <c r="G78" s="37">
        <v>296464</v>
      </c>
      <c r="H78" s="65">
        <v>3854032</v>
      </c>
      <c r="I78" s="64">
        <v>127857</v>
      </c>
      <c r="J78" s="65">
        <v>1662141</v>
      </c>
      <c r="K78" s="64">
        <v>165650</v>
      </c>
      <c r="L78" s="65">
        <v>2153450</v>
      </c>
      <c r="M78" s="64">
        <v>2957</v>
      </c>
      <c r="N78" s="65">
        <v>38441</v>
      </c>
      <c r="O78" s="32" t="s">
        <v>775</v>
      </c>
    </row>
    <row r="79" spans="2:15" ht="19.7" customHeight="1">
      <c r="B79" s="67" t="s">
        <v>834</v>
      </c>
      <c r="C79" s="29" t="s">
        <v>438</v>
      </c>
      <c r="D79" s="29" t="s">
        <v>33</v>
      </c>
      <c r="E79" s="31">
        <v>1</v>
      </c>
      <c r="F79" s="30" t="s">
        <v>596</v>
      </c>
      <c r="G79" s="37">
        <v>444207</v>
      </c>
      <c r="H79" s="65">
        <v>444207</v>
      </c>
      <c r="I79" s="64">
        <v>154083</v>
      </c>
      <c r="J79" s="65">
        <v>154083</v>
      </c>
      <c r="K79" s="64">
        <v>286620</v>
      </c>
      <c r="L79" s="65">
        <v>286620</v>
      </c>
      <c r="M79" s="64">
        <v>3504</v>
      </c>
      <c r="N79" s="65">
        <v>3504</v>
      </c>
      <c r="O79" s="32" t="s">
        <v>584</v>
      </c>
    </row>
    <row r="80" spans="2:15" ht="19.7" customHeight="1">
      <c r="B80" s="67" t="s">
        <v>834</v>
      </c>
      <c r="C80" s="29" t="s">
        <v>612</v>
      </c>
      <c r="D80" s="29" t="s">
        <v>561</v>
      </c>
      <c r="E80" s="31">
        <v>9</v>
      </c>
      <c r="F80" s="30" t="s">
        <v>476</v>
      </c>
      <c r="G80" s="37">
        <v>41344</v>
      </c>
      <c r="H80" s="65">
        <v>372096</v>
      </c>
      <c r="I80" s="64">
        <v>33439</v>
      </c>
      <c r="J80" s="65">
        <v>300951</v>
      </c>
      <c r="K80" s="64">
        <v>7237</v>
      </c>
      <c r="L80" s="65">
        <v>65133</v>
      </c>
      <c r="M80" s="64">
        <v>668</v>
      </c>
      <c r="N80" s="65">
        <v>6012</v>
      </c>
      <c r="O80" s="32" t="s">
        <v>295</v>
      </c>
    </row>
    <row r="81" spans="2:15" ht="19.7" customHeight="1">
      <c r="B81" s="61" t="s">
        <v>194</v>
      </c>
      <c r="C81" s="62" t="s">
        <v>259</v>
      </c>
      <c r="D81" s="62" t="s">
        <v>834</v>
      </c>
      <c r="E81" s="31"/>
      <c r="F81" s="91" t="s">
        <v>834</v>
      </c>
      <c r="G81" s="37">
        <v>0</v>
      </c>
      <c r="H81" s="92">
        <v>12032571</v>
      </c>
      <c r="I81" s="37"/>
      <c r="J81" s="92" t="s">
        <v>1169</v>
      </c>
      <c r="K81" s="37"/>
      <c r="L81" s="92" t="s">
        <v>1170</v>
      </c>
      <c r="M81" s="37"/>
      <c r="N81" s="92" t="s">
        <v>1171</v>
      </c>
      <c r="O81" s="93" t="s">
        <v>834</v>
      </c>
    </row>
    <row r="82" spans="2:15" ht="19.7" customHeight="1">
      <c r="B82" s="69" t="s">
        <v>834</v>
      </c>
      <c r="C82" s="34" t="s">
        <v>439</v>
      </c>
      <c r="D82" s="34" t="s">
        <v>567</v>
      </c>
      <c r="E82" s="22">
        <v>3</v>
      </c>
      <c r="F82" s="35" t="s">
        <v>748</v>
      </c>
      <c r="G82" s="21">
        <v>2626996</v>
      </c>
      <c r="H82" s="74">
        <v>7880988</v>
      </c>
      <c r="I82" s="70" t="s">
        <v>1127</v>
      </c>
      <c r="J82" s="74">
        <v>2432268</v>
      </c>
      <c r="K82" s="70" t="s">
        <v>1128</v>
      </c>
      <c r="L82" s="74">
        <v>396480</v>
      </c>
      <c r="M82" s="70" t="s">
        <v>1129</v>
      </c>
      <c r="N82" s="74">
        <v>5052240</v>
      </c>
      <c r="O82" s="36" t="s">
        <v>190</v>
      </c>
    </row>
    <row r="83" spans="2:15" ht="19.7" customHeight="1">
      <c r="B83" s="67" t="s">
        <v>834</v>
      </c>
      <c r="C83" s="29" t="s">
        <v>398</v>
      </c>
      <c r="D83" s="29" t="s">
        <v>530</v>
      </c>
      <c r="E83" s="31">
        <v>4</v>
      </c>
      <c r="F83" s="30" t="s">
        <v>748</v>
      </c>
      <c r="G83" s="37">
        <v>973959</v>
      </c>
      <c r="H83" s="65">
        <v>3895836</v>
      </c>
      <c r="I83" s="64">
        <v>553537</v>
      </c>
      <c r="J83" s="65">
        <v>2214148</v>
      </c>
      <c r="K83" s="64">
        <v>244588</v>
      </c>
      <c r="L83" s="65">
        <v>978352</v>
      </c>
      <c r="M83" s="64">
        <v>175834</v>
      </c>
      <c r="N83" s="65">
        <v>703336</v>
      </c>
      <c r="O83" s="32" t="s">
        <v>751</v>
      </c>
    </row>
    <row r="84" spans="2:15" ht="19.7" customHeight="1">
      <c r="B84" s="67" t="s">
        <v>834</v>
      </c>
      <c r="C84" s="29" t="s">
        <v>597</v>
      </c>
      <c r="D84" s="29" t="s">
        <v>530</v>
      </c>
      <c r="E84" s="31">
        <v>1</v>
      </c>
      <c r="F84" s="30" t="s">
        <v>366</v>
      </c>
      <c r="G84" s="37">
        <v>147875</v>
      </c>
      <c r="H84" s="65">
        <v>147875</v>
      </c>
      <c r="I84" s="64">
        <v>63375</v>
      </c>
      <c r="J84" s="65">
        <v>63375</v>
      </c>
      <c r="K84" s="64">
        <v>84500</v>
      </c>
      <c r="L84" s="65">
        <v>84500</v>
      </c>
      <c r="M84" s="64">
        <v>0</v>
      </c>
      <c r="N84" s="65">
        <v>0</v>
      </c>
      <c r="O84" s="32" t="s">
        <v>188</v>
      </c>
    </row>
    <row r="85" spans="2:15" ht="19.7" customHeight="1">
      <c r="B85" s="67" t="s">
        <v>834</v>
      </c>
      <c r="C85" s="29" t="s">
        <v>545</v>
      </c>
      <c r="D85" s="29" t="s">
        <v>280</v>
      </c>
      <c r="E85" s="31">
        <v>2</v>
      </c>
      <c r="F85" s="30" t="s">
        <v>574</v>
      </c>
      <c r="G85" s="37">
        <v>4436</v>
      </c>
      <c r="H85" s="65">
        <v>8872</v>
      </c>
      <c r="I85" s="64" t="s">
        <v>1130</v>
      </c>
      <c r="J85" s="65">
        <v>5082</v>
      </c>
      <c r="K85" s="64" t="s">
        <v>1131</v>
      </c>
      <c r="L85" s="65">
        <v>1676</v>
      </c>
      <c r="M85" s="64" t="s">
        <v>1132</v>
      </c>
      <c r="N85" s="65">
        <v>2114</v>
      </c>
      <c r="O85" s="32" t="s">
        <v>735</v>
      </c>
    </row>
    <row r="86" spans="2:15" ht="19.7" customHeight="1">
      <c r="B86" s="67" t="s">
        <v>834</v>
      </c>
      <c r="C86" s="29" t="s">
        <v>283</v>
      </c>
      <c r="D86" s="29" t="s">
        <v>571</v>
      </c>
      <c r="E86" s="31">
        <v>1</v>
      </c>
      <c r="F86" s="30" t="s">
        <v>665</v>
      </c>
      <c r="G86" s="37">
        <v>99000</v>
      </c>
      <c r="H86" s="65">
        <v>99000</v>
      </c>
      <c r="I86" s="64">
        <v>0</v>
      </c>
      <c r="J86" s="65">
        <v>0</v>
      </c>
      <c r="K86" s="64">
        <v>0</v>
      </c>
      <c r="L86" s="65">
        <v>0</v>
      </c>
      <c r="M86" s="64">
        <v>99000</v>
      </c>
      <c r="N86" s="65">
        <v>99000</v>
      </c>
      <c r="O86" s="32" t="s">
        <v>473</v>
      </c>
    </row>
    <row r="87" spans="2:15" ht="19.7" customHeight="1">
      <c r="B87" s="67" t="s">
        <v>834</v>
      </c>
      <c r="C87" s="29" t="s">
        <v>834</v>
      </c>
      <c r="D87" s="29" t="s">
        <v>834</v>
      </c>
      <c r="E87" s="31"/>
      <c r="F87" s="30" t="s">
        <v>834</v>
      </c>
      <c r="G87" s="37">
        <v>0</v>
      </c>
      <c r="H87" s="65">
        <v>0</v>
      </c>
      <c r="I87" s="37"/>
      <c r="J87" s="31"/>
      <c r="K87" s="37"/>
      <c r="L87" s="31"/>
      <c r="M87" s="37"/>
      <c r="N87" s="31"/>
      <c r="O87" s="32" t="s">
        <v>834</v>
      </c>
    </row>
    <row r="88" spans="2:15" ht="19.7" customHeight="1">
      <c r="B88" s="61" t="s">
        <v>227</v>
      </c>
      <c r="C88" s="62" t="s">
        <v>458</v>
      </c>
      <c r="D88" s="62" t="s">
        <v>834</v>
      </c>
      <c r="E88" s="31"/>
      <c r="F88" s="91" t="s">
        <v>834</v>
      </c>
      <c r="G88" s="37">
        <v>0</v>
      </c>
      <c r="H88" s="92">
        <v>27328733</v>
      </c>
      <c r="I88" s="37"/>
      <c r="J88" s="92" t="s">
        <v>1172</v>
      </c>
      <c r="K88" s="37"/>
      <c r="L88" s="92" t="s">
        <v>1173</v>
      </c>
      <c r="M88" s="37"/>
      <c r="N88" s="92" t="s">
        <v>1174</v>
      </c>
      <c r="O88" s="93" t="s">
        <v>834</v>
      </c>
    </row>
    <row r="89" spans="2:15" ht="19.7" customHeight="1">
      <c r="B89" s="61" t="s">
        <v>403</v>
      </c>
      <c r="C89" s="62" t="s">
        <v>102</v>
      </c>
      <c r="D89" s="62" t="s">
        <v>834</v>
      </c>
      <c r="E89" s="31"/>
      <c r="F89" s="91" t="s">
        <v>834</v>
      </c>
      <c r="G89" s="37">
        <v>0</v>
      </c>
      <c r="H89" s="92">
        <v>19000553</v>
      </c>
      <c r="I89" s="37"/>
      <c r="J89" s="92" t="s">
        <v>1175</v>
      </c>
      <c r="K89" s="37"/>
      <c r="L89" s="92" t="s">
        <v>1176</v>
      </c>
      <c r="M89" s="37"/>
      <c r="N89" s="92" t="s">
        <v>1177</v>
      </c>
      <c r="O89" s="93" t="s">
        <v>834</v>
      </c>
    </row>
    <row r="90" spans="2:15" ht="19.7" customHeight="1">
      <c r="B90" s="61" t="s">
        <v>834</v>
      </c>
      <c r="C90" s="62" t="s">
        <v>350</v>
      </c>
      <c r="D90" s="62" t="s">
        <v>834</v>
      </c>
      <c r="E90" s="31"/>
      <c r="F90" s="91" t="s">
        <v>834</v>
      </c>
      <c r="G90" s="37">
        <v>0</v>
      </c>
      <c r="H90" s="92">
        <v>7645075</v>
      </c>
      <c r="I90" s="37"/>
      <c r="J90" s="92" t="s">
        <v>1178</v>
      </c>
      <c r="K90" s="37"/>
      <c r="L90" s="92" t="s">
        <v>1179</v>
      </c>
      <c r="M90" s="37"/>
      <c r="N90" s="92" t="s">
        <v>1180</v>
      </c>
      <c r="O90" s="93" t="s">
        <v>834</v>
      </c>
    </row>
    <row r="91" spans="2:15" ht="19.7" customHeight="1">
      <c r="B91" s="67" t="s">
        <v>834</v>
      </c>
      <c r="C91" s="29" t="s">
        <v>319</v>
      </c>
      <c r="D91" s="29" t="s">
        <v>191</v>
      </c>
      <c r="E91" s="31">
        <v>20</v>
      </c>
      <c r="F91" s="30" t="s">
        <v>596</v>
      </c>
      <c r="G91" s="37">
        <v>84957</v>
      </c>
      <c r="H91" s="65">
        <v>1699140</v>
      </c>
      <c r="I91" s="64">
        <v>63340</v>
      </c>
      <c r="J91" s="65">
        <v>1266800</v>
      </c>
      <c r="K91" s="64">
        <v>20650</v>
      </c>
      <c r="L91" s="65">
        <v>413000</v>
      </c>
      <c r="M91" s="64">
        <v>967</v>
      </c>
      <c r="N91" s="65">
        <v>19340</v>
      </c>
      <c r="O91" s="32" t="s">
        <v>265</v>
      </c>
    </row>
    <row r="92" spans="2:15" ht="19.7" customHeight="1">
      <c r="B92" s="67" t="s">
        <v>834</v>
      </c>
      <c r="C92" s="29" t="s">
        <v>618</v>
      </c>
      <c r="D92" s="29" t="s">
        <v>453</v>
      </c>
      <c r="E92" s="31">
        <v>18</v>
      </c>
      <c r="F92" s="30" t="s">
        <v>596</v>
      </c>
      <c r="G92" s="37">
        <v>296464</v>
      </c>
      <c r="H92" s="65">
        <v>5336352</v>
      </c>
      <c r="I92" s="64">
        <v>127857</v>
      </c>
      <c r="J92" s="65">
        <v>2301426</v>
      </c>
      <c r="K92" s="64">
        <v>165650</v>
      </c>
      <c r="L92" s="65">
        <v>2981700</v>
      </c>
      <c r="M92" s="64">
        <v>2957</v>
      </c>
      <c r="N92" s="65">
        <v>53226</v>
      </c>
      <c r="O92" s="32" t="s">
        <v>775</v>
      </c>
    </row>
    <row r="93" spans="2:15" ht="19.7" customHeight="1">
      <c r="B93" s="67" t="s">
        <v>834</v>
      </c>
      <c r="C93" s="29" t="s">
        <v>438</v>
      </c>
      <c r="D93" s="29" t="s">
        <v>33</v>
      </c>
      <c r="E93" s="31">
        <v>1</v>
      </c>
      <c r="F93" s="30" t="s">
        <v>596</v>
      </c>
      <c r="G93" s="37">
        <v>444207</v>
      </c>
      <c r="H93" s="65">
        <v>444207</v>
      </c>
      <c r="I93" s="64">
        <v>154083</v>
      </c>
      <c r="J93" s="65">
        <v>154083</v>
      </c>
      <c r="K93" s="64">
        <v>286620</v>
      </c>
      <c r="L93" s="65">
        <v>286620</v>
      </c>
      <c r="M93" s="64">
        <v>3504</v>
      </c>
      <c r="N93" s="65">
        <v>3504</v>
      </c>
      <c r="O93" s="32" t="s">
        <v>584</v>
      </c>
    </row>
    <row r="94" spans="2:15" ht="19.7" customHeight="1">
      <c r="B94" s="67" t="s">
        <v>834</v>
      </c>
      <c r="C94" s="29" t="s">
        <v>612</v>
      </c>
      <c r="D94" s="29" t="s">
        <v>561</v>
      </c>
      <c r="E94" s="31">
        <v>4</v>
      </c>
      <c r="F94" s="30" t="s">
        <v>476</v>
      </c>
      <c r="G94" s="37">
        <v>41344</v>
      </c>
      <c r="H94" s="65">
        <v>165376</v>
      </c>
      <c r="I94" s="64">
        <v>33439</v>
      </c>
      <c r="J94" s="65">
        <v>133756</v>
      </c>
      <c r="K94" s="64">
        <v>7237</v>
      </c>
      <c r="L94" s="65">
        <v>28948</v>
      </c>
      <c r="M94" s="64">
        <v>668</v>
      </c>
      <c r="N94" s="65">
        <v>2672</v>
      </c>
      <c r="O94" s="32" t="s">
        <v>295</v>
      </c>
    </row>
    <row r="95" spans="2:15" ht="19.7" customHeight="1">
      <c r="B95" s="61" t="s">
        <v>834</v>
      </c>
      <c r="C95" s="62" t="s">
        <v>230</v>
      </c>
      <c r="D95" s="62" t="s">
        <v>834</v>
      </c>
      <c r="E95" s="31"/>
      <c r="F95" s="91" t="s">
        <v>834</v>
      </c>
      <c r="G95" s="37">
        <v>0</v>
      </c>
      <c r="H95" s="92">
        <v>6562353</v>
      </c>
      <c r="I95" s="37"/>
      <c r="J95" s="92" t="s">
        <v>1181</v>
      </c>
      <c r="K95" s="37"/>
      <c r="L95" s="92" t="s">
        <v>1182</v>
      </c>
      <c r="M95" s="37"/>
      <c r="N95" s="92" t="s">
        <v>1183</v>
      </c>
      <c r="O95" s="93" t="s">
        <v>834</v>
      </c>
    </row>
    <row r="96" spans="2:15" ht="19.7" customHeight="1">
      <c r="B96" s="67" t="s">
        <v>834</v>
      </c>
      <c r="C96" s="29" t="s">
        <v>319</v>
      </c>
      <c r="D96" s="29" t="s">
        <v>500</v>
      </c>
      <c r="E96" s="31">
        <v>25</v>
      </c>
      <c r="F96" s="30" t="s">
        <v>596</v>
      </c>
      <c r="G96" s="37">
        <v>101028</v>
      </c>
      <c r="H96" s="65">
        <v>2525700</v>
      </c>
      <c r="I96" s="64">
        <v>77305</v>
      </c>
      <c r="J96" s="65">
        <v>1932625</v>
      </c>
      <c r="K96" s="64">
        <v>22700</v>
      </c>
      <c r="L96" s="65">
        <v>567500</v>
      </c>
      <c r="M96" s="64">
        <v>1023</v>
      </c>
      <c r="N96" s="65">
        <v>25575</v>
      </c>
      <c r="O96" s="32" t="s">
        <v>15</v>
      </c>
    </row>
    <row r="97" spans="2:15" ht="19.7" customHeight="1">
      <c r="B97" s="67" t="s">
        <v>834</v>
      </c>
      <c r="C97" s="29" t="s">
        <v>618</v>
      </c>
      <c r="D97" s="29" t="s">
        <v>217</v>
      </c>
      <c r="E97" s="31">
        <v>11</v>
      </c>
      <c r="F97" s="30" t="s">
        <v>596</v>
      </c>
      <c r="G97" s="37">
        <v>317535</v>
      </c>
      <c r="H97" s="65">
        <v>3492885</v>
      </c>
      <c r="I97" s="64">
        <v>141822</v>
      </c>
      <c r="J97" s="65">
        <v>1560042</v>
      </c>
      <c r="K97" s="64">
        <v>172700</v>
      </c>
      <c r="L97" s="65">
        <v>1899700</v>
      </c>
      <c r="M97" s="64">
        <v>3013</v>
      </c>
      <c r="N97" s="65">
        <v>33143</v>
      </c>
      <c r="O97" s="32" t="s">
        <v>152</v>
      </c>
    </row>
    <row r="98" spans="2:15" ht="19.7" customHeight="1">
      <c r="B98" s="67" t="s">
        <v>834</v>
      </c>
      <c r="C98" s="29" t="s">
        <v>438</v>
      </c>
      <c r="D98" s="29" t="s">
        <v>609</v>
      </c>
      <c r="E98" s="31">
        <v>1</v>
      </c>
      <c r="F98" s="30" t="s">
        <v>596</v>
      </c>
      <c r="G98" s="37">
        <v>461080</v>
      </c>
      <c r="H98" s="65">
        <v>461080</v>
      </c>
      <c r="I98" s="64">
        <v>168850</v>
      </c>
      <c r="J98" s="65">
        <v>168850</v>
      </c>
      <c r="K98" s="64">
        <v>288670</v>
      </c>
      <c r="L98" s="65">
        <v>288670</v>
      </c>
      <c r="M98" s="64">
        <v>3560</v>
      </c>
      <c r="N98" s="65">
        <v>3560</v>
      </c>
      <c r="O98" s="32" t="s">
        <v>765</v>
      </c>
    </row>
    <row r="99" spans="2:15" ht="19.7" customHeight="1">
      <c r="B99" s="67" t="s">
        <v>834</v>
      </c>
      <c r="C99" s="29" t="s">
        <v>612</v>
      </c>
      <c r="D99" s="29" t="s">
        <v>561</v>
      </c>
      <c r="E99" s="31">
        <v>2</v>
      </c>
      <c r="F99" s="30" t="s">
        <v>476</v>
      </c>
      <c r="G99" s="37">
        <v>41344</v>
      </c>
      <c r="H99" s="65">
        <v>82688</v>
      </c>
      <c r="I99" s="64">
        <v>33439</v>
      </c>
      <c r="J99" s="65">
        <v>66878</v>
      </c>
      <c r="K99" s="64">
        <v>7237</v>
      </c>
      <c r="L99" s="65">
        <v>14474</v>
      </c>
      <c r="M99" s="64">
        <v>668</v>
      </c>
      <c r="N99" s="65">
        <v>1336</v>
      </c>
      <c r="O99" s="32" t="s">
        <v>295</v>
      </c>
    </row>
    <row r="100" spans="2:15" ht="19.7" customHeight="1">
      <c r="B100" s="61" t="s">
        <v>834</v>
      </c>
      <c r="C100" s="62" t="s">
        <v>201</v>
      </c>
      <c r="D100" s="62" t="s">
        <v>834</v>
      </c>
      <c r="E100" s="31"/>
      <c r="F100" s="91" t="s">
        <v>834</v>
      </c>
      <c r="G100" s="37">
        <v>0</v>
      </c>
      <c r="H100" s="92">
        <v>1612163</v>
      </c>
      <c r="I100" s="37"/>
      <c r="J100" s="92" t="s">
        <v>1184</v>
      </c>
      <c r="K100" s="37"/>
      <c r="L100" s="92" t="s">
        <v>1185</v>
      </c>
      <c r="M100" s="37"/>
      <c r="N100" s="92" t="s">
        <v>1186</v>
      </c>
      <c r="O100" s="93" t="s">
        <v>834</v>
      </c>
    </row>
    <row r="101" spans="2:15" ht="19.7" customHeight="1">
      <c r="B101" s="67" t="s">
        <v>834</v>
      </c>
      <c r="C101" s="29" t="s">
        <v>319</v>
      </c>
      <c r="D101" s="29" t="s">
        <v>191</v>
      </c>
      <c r="E101" s="31">
        <v>15</v>
      </c>
      <c r="F101" s="30" t="s">
        <v>596</v>
      </c>
      <c r="G101" s="37">
        <v>84957</v>
      </c>
      <c r="H101" s="65">
        <v>1274355</v>
      </c>
      <c r="I101" s="64">
        <v>63340</v>
      </c>
      <c r="J101" s="65">
        <v>950100</v>
      </c>
      <c r="K101" s="64">
        <v>20650</v>
      </c>
      <c r="L101" s="65">
        <v>309750</v>
      </c>
      <c r="M101" s="64">
        <v>967</v>
      </c>
      <c r="N101" s="65">
        <v>14505</v>
      </c>
      <c r="O101" s="32" t="s">
        <v>265</v>
      </c>
    </row>
    <row r="102" spans="2:15" ht="19.7" customHeight="1">
      <c r="B102" s="67" t="s">
        <v>834</v>
      </c>
      <c r="C102" s="29" t="s">
        <v>618</v>
      </c>
      <c r="D102" s="29" t="s">
        <v>453</v>
      </c>
      <c r="E102" s="31">
        <v>1</v>
      </c>
      <c r="F102" s="30" t="s">
        <v>596</v>
      </c>
      <c r="G102" s="37">
        <v>296464</v>
      </c>
      <c r="H102" s="65">
        <v>296464</v>
      </c>
      <c r="I102" s="64">
        <v>127857</v>
      </c>
      <c r="J102" s="65">
        <v>127857</v>
      </c>
      <c r="K102" s="64">
        <v>165650</v>
      </c>
      <c r="L102" s="65">
        <v>165650</v>
      </c>
      <c r="M102" s="64">
        <v>2957</v>
      </c>
      <c r="N102" s="65">
        <v>2957</v>
      </c>
      <c r="O102" s="32" t="s">
        <v>775</v>
      </c>
    </row>
    <row r="103" spans="2:15" ht="19.7" customHeight="1">
      <c r="B103" s="67" t="s">
        <v>834</v>
      </c>
      <c r="C103" s="29" t="s">
        <v>612</v>
      </c>
      <c r="D103" s="29" t="s">
        <v>561</v>
      </c>
      <c r="E103" s="31">
        <v>1</v>
      </c>
      <c r="F103" s="30" t="s">
        <v>476</v>
      </c>
      <c r="G103" s="37">
        <v>41344</v>
      </c>
      <c r="H103" s="65">
        <v>41344</v>
      </c>
      <c r="I103" s="64">
        <v>33439</v>
      </c>
      <c r="J103" s="65">
        <v>33439</v>
      </c>
      <c r="K103" s="64">
        <v>7237</v>
      </c>
      <c r="L103" s="65">
        <v>7237</v>
      </c>
      <c r="M103" s="64">
        <v>668</v>
      </c>
      <c r="N103" s="65">
        <v>668</v>
      </c>
      <c r="O103" s="32" t="s">
        <v>295</v>
      </c>
    </row>
    <row r="104" spans="2:15" ht="19.7" customHeight="1">
      <c r="B104" s="61" t="s">
        <v>834</v>
      </c>
      <c r="C104" s="62" t="s">
        <v>776</v>
      </c>
      <c r="D104" s="62" t="s">
        <v>834</v>
      </c>
      <c r="E104" s="31"/>
      <c r="F104" s="91" t="s">
        <v>834</v>
      </c>
      <c r="G104" s="37">
        <v>0</v>
      </c>
      <c r="H104" s="92">
        <v>3180962</v>
      </c>
      <c r="I104" s="37"/>
      <c r="J104" s="92" t="s">
        <v>1187</v>
      </c>
      <c r="K104" s="37"/>
      <c r="L104" s="92" t="s">
        <v>1188</v>
      </c>
      <c r="M104" s="37"/>
      <c r="N104" s="92" t="s">
        <v>1189</v>
      </c>
      <c r="O104" s="93" t="s">
        <v>834</v>
      </c>
    </row>
    <row r="105" spans="2:15" ht="19.7" customHeight="1">
      <c r="B105" s="67" t="s">
        <v>834</v>
      </c>
      <c r="C105" s="29" t="s">
        <v>319</v>
      </c>
      <c r="D105" s="29" t="s">
        <v>191</v>
      </c>
      <c r="E105" s="31">
        <v>26</v>
      </c>
      <c r="F105" s="30" t="s">
        <v>596</v>
      </c>
      <c r="G105" s="37">
        <v>84957</v>
      </c>
      <c r="H105" s="65">
        <v>2208882</v>
      </c>
      <c r="I105" s="64">
        <v>63340</v>
      </c>
      <c r="J105" s="65">
        <v>1646840</v>
      </c>
      <c r="K105" s="64">
        <v>20650</v>
      </c>
      <c r="L105" s="65">
        <v>536900</v>
      </c>
      <c r="M105" s="64">
        <v>967</v>
      </c>
      <c r="N105" s="65">
        <v>25142</v>
      </c>
      <c r="O105" s="32" t="s">
        <v>265</v>
      </c>
    </row>
    <row r="106" spans="2:15" ht="19.7" customHeight="1">
      <c r="B106" s="67" t="s">
        <v>834</v>
      </c>
      <c r="C106" s="29" t="s">
        <v>618</v>
      </c>
      <c r="D106" s="29" t="s">
        <v>453</v>
      </c>
      <c r="E106" s="31">
        <v>3</v>
      </c>
      <c r="F106" s="30" t="s">
        <v>596</v>
      </c>
      <c r="G106" s="37">
        <v>296464</v>
      </c>
      <c r="H106" s="65">
        <v>889392</v>
      </c>
      <c r="I106" s="64">
        <v>127857</v>
      </c>
      <c r="J106" s="65">
        <v>383571</v>
      </c>
      <c r="K106" s="64">
        <v>165650</v>
      </c>
      <c r="L106" s="65">
        <v>496950</v>
      </c>
      <c r="M106" s="64">
        <v>2957</v>
      </c>
      <c r="N106" s="65">
        <v>8871</v>
      </c>
      <c r="O106" s="32" t="s">
        <v>775</v>
      </c>
    </row>
    <row r="107" spans="2:15" ht="19.7" customHeight="1">
      <c r="B107" s="67" t="s">
        <v>834</v>
      </c>
      <c r="C107" s="29" t="s">
        <v>612</v>
      </c>
      <c r="D107" s="29" t="s">
        <v>561</v>
      </c>
      <c r="E107" s="31">
        <v>2</v>
      </c>
      <c r="F107" s="30" t="s">
        <v>476</v>
      </c>
      <c r="G107" s="37">
        <v>41344</v>
      </c>
      <c r="H107" s="65">
        <v>82688</v>
      </c>
      <c r="I107" s="64">
        <v>33439</v>
      </c>
      <c r="J107" s="65">
        <v>66878</v>
      </c>
      <c r="K107" s="64">
        <v>7237</v>
      </c>
      <c r="L107" s="65">
        <v>14474</v>
      </c>
      <c r="M107" s="64">
        <v>668</v>
      </c>
      <c r="N107" s="65">
        <v>1336</v>
      </c>
      <c r="O107" s="32" t="s">
        <v>295</v>
      </c>
    </row>
    <row r="108" spans="2:15" ht="19.7" customHeight="1">
      <c r="B108" s="102" t="s">
        <v>616</v>
      </c>
      <c r="C108" s="98" t="s">
        <v>259</v>
      </c>
      <c r="D108" s="98" t="s">
        <v>834</v>
      </c>
      <c r="E108" s="22"/>
      <c r="F108" s="99" t="s">
        <v>834</v>
      </c>
      <c r="G108" s="21">
        <v>0</v>
      </c>
      <c r="H108" s="100">
        <v>8328180</v>
      </c>
      <c r="I108" s="21"/>
      <c r="J108" s="100" t="s">
        <v>1190</v>
      </c>
      <c r="K108" s="21"/>
      <c r="L108" s="100" t="s">
        <v>1191</v>
      </c>
      <c r="M108" s="21"/>
      <c r="N108" s="100" t="s">
        <v>1192</v>
      </c>
      <c r="O108" s="101" t="s">
        <v>834</v>
      </c>
    </row>
    <row r="109" spans="2:15" ht="19.7" customHeight="1">
      <c r="B109" s="67" t="s">
        <v>834</v>
      </c>
      <c r="C109" s="29" t="s">
        <v>439</v>
      </c>
      <c r="D109" s="29" t="s">
        <v>567</v>
      </c>
      <c r="E109" s="31">
        <v>2</v>
      </c>
      <c r="F109" s="30" t="s">
        <v>748</v>
      </c>
      <c r="G109" s="37">
        <v>2626996</v>
      </c>
      <c r="H109" s="65">
        <v>5253992</v>
      </c>
      <c r="I109" s="64" t="s">
        <v>1127</v>
      </c>
      <c r="J109" s="65">
        <v>1621512</v>
      </c>
      <c r="K109" s="64" t="s">
        <v>1128</v>
      </c>
      <c r="L109" s="65">
        <v>264320</v>
      </c>
      <c r="M109" s="64" t="s">
        <v>1129</v>
      </c>
      <c r="N109" s="65">
        <v>3368160</v>
      </c>
      <c r="O109" s="32" t="s">
        <v>190</v>
      </c>
    </row>
    <row r="110" spans="2:15" ht="19.7" customHeight="1">
      <c r="B110" s="67" t="s">
        <v>834</v>
      </c>
      <c r="C110" s="29" t="s">
        <v>398</v>
      </c>
      <c r="D110" s="29" t="s">
        <v>530</v>
      </c>
      <c r="E110" s="31">
        <v>3</v>
      </c>
      <c r="F110" s="30" t="s">
        <v>748</v>
      </c>
      <c r="G110" s="37">
        <v>973959</v>
      </c>
      <c r="H110" s="65">
        <v>2921877</v>
      </c>
      <c r="I110" s="64">
        <v>553537</v>
      </c>
      <c r="J110" s="65">
        <v>1660611</v>
      </c>
      <c r="K110" s="64">
        <v>244588</v>
      </c>
      <c r="L110" s="65">
        <v>733764</v>
      </c>
      <c r="M110" s="64">
        <v>175834</v>
      </c>
      <c r="N110" s="65">
        <v>527502</v>
      </c>
      <c r="O110" s="32" t="s">
        <v>751</v>
      </c>
    </row>
    <row r="111" spans="2:15" ht="19.7" customHeight="1">
      <c r="B111" s="67" t="s">
        <v>834</v>
      </c>
      <c r="C111" s="29" t="s">
        <v>597</v>
      </c>
      <c r="D111" s="29" t="s">
        <v>530</v>
      </c>
      <c r="E111" s="31">
        <v>1</v>
      </c>
      <c r="F111" s="30" t="s">
        <v>366</v>
      </c>
      <c r="G111" s="37">
        <v>147875</v>
      </c>
      <c r="H111" s="65">
        <v>147875</v>
      </c>
      <c r="I111" s="64">
        <v>63375</v>
      </c>
      <c r="J111" s="65">
        <v>63375</v>
      </c>
      <c r="K111" s="64">
        <v>84500</v>
      </c>
      <c r="L111" s="65">
        <v>84500</v>
      </c>
      <c r="M111" s="64">
        <v>0</v>
      </c>
      <c r="N111" s="65">
        <v>0</v>
      </c>
      <c r="O111" s="32" t="s">
        <v>188</v>
      </c>
    </row>
    <row r="112" spans="2:15" ht="19.7" customHeight="1">
      <c r="B112" s="67" t="s">
        <v>834</v>
      </c>
      <c r="C112" s="29" t="s">
        <v>545</v>
      </c>
      <c r="D112" s="29" t="s">
        <v>280</v>
      </c>
      <c r="E112" s="31">
        <v>1</v>
      </c>
      <c r="F112" s="30" t="s">
        <v>574</v>
      </c>
      <c r="G112" s="37">
        <v>4436</v>
      </c>
      <c r="H112" s="65">
        <v>4436</v>
      </c>
      <c r="I112" s="64" t="s">
        <v>1130</v>
      </c>
      <c r="J112" s="65">
        <v>2541</v>
      </c>
      <c r="K112" s="64" t="s">
        <v>1131</v>
      </c>
      <c r="L112" s="65">
        <v>838</v>
      </c>
      <c r="M112" s="64" t="s">
        <v>1132</v>
      </c>
      <c r="N112" s="65">
        <v>1057</v>
      </c>
      <c r="O112" s="32" t="s">
        <v>735</v>
      </c>
    </row>
    <row r="113" spans="2:15" ht="19.7" customHeight="1">
      <c r="B113" s="67" t="s">
        <v>834</v>
      </c>
      <c r="C113" s="29" t="s">
        <v>834</v>
      </c>
      <c r="D113" s="29" t="s">
        <v>834</v>
      </c>
      <c r="E113" s="31"/>
      <c r="F113" s="30" t="s">
        <v>834</v>
      </c>
      <c r="G113" s="37">
        <v>0</v>
      </c>
      <c r="H113" s="65">
        <v>0</v>
      </c>
      <c r="I113" s="37"/>
      <c r="J113" s="31"/>
      <c r="K113" s="37"/>
      <c r="L113" s="31"/>
      <c r="M113" s="37"/>
      <c r="N113" s="31"/>
      <c r="O113" s="32" t="s">
        <v>834</v>
      </c>
    </row>
    <row r="114" spans="2:15" ht="19.7" customHeight="1">
      <c r="B114" s="61" t="s">
        <v>719</v>
      </c>
      <c r="C114" s="62" t="s">
        <v>251</v>
      </c>
      <c r="D114" s="62" t="s">
        <v>834</v>
      </c>
      <c r="E114" s="31"/>
      <c r="F114" s="91" t="s">
        <v>834</v>
      </c>
      <c r="G114" s="37">
        <v>0</v>
      </c>
      <c r="H114" s="92">
        <v>8344191</v>
      </c>
      <c r="I114" s="37"/>
      <c r="J114" s="92" t="s">
        <v>1193</v>
      </c>
      <c r="K114" s="37"/>
      <c r="L114" s="92" t="s">
        <v>1194</v>
      </c>
      <c r="M114" s="37"/>
      <c r="N114" s="92" t="s">
        <v>1195</v>
      </c>
      <c r="O114" s="93" t="s">
        <v>834</v>
      </c>
    </row>
    <row r="115" spans="2:15" ht="19.7" customHeight="1">
      <c r="B115" s="61" t="s">
        <v>226</v>
      </c>
      <c r="C115" s="62" t="s">
        <v>102</v>
      </c>
      <c r="D115" s="62" t="s">
        <v>834</v>
      </c>
      <c r="E115" s="31"/>
      <c r="F115" s="91" t="s">
        <v>834</v>
      </c>
      <c r="G115" s="37">
        <v>0</v>
      </c>
      <c r="H115" s="92">
        <v>4590925</v>
      </c>
      <c r="I115" s="37"/>
      <c r="J115" s="92" t="s">
        <v>1196</v>
      </c>
      <c r="K115" s="37"/>
      <c r="L115" s="92" t="s">
        <v>1197</v>
      </c>
      <c r="M115" s="37"/>
      <c r="N115" s="92" t="s">
        <v>1198</v>
      </c>
      <c r="O115" s="93" t="s">
        <v>834</v>
      </c>
    </row>
    <row r="116" spans="2:15" ht="19.7" customHeight="1">
      <c r="B116" s="61" t="s">
        <v>834</v>
      </c>
      <c r="C116" s="62" t="s">
        <v>350</v>
      </c>
      <c r="D116" s="62" t="s">
        <v>834</v>
      </c>
      <c r="E116" s="31"/>
      <c r="F116" s="91" t="s">
        <v>834</v>
      </c>
      <c r="G116" s="37">
        <v>0</v>
      </c>
      <c r="H116" s="92">
        <v>910585</v>
      </c>
      <c r="I116" s="37"/>
      <c r="J116" s="92" t="s">
        <v>1199</v>
      </c>
      <c r="K116" s="37"/>
      <c r="L116" s="92" t="s">
        <v>1200</v>
      </c>
      <c r="M116" s="37"/>
      <c r="N116" s="92" t="s">
        <v>1201</v>
      </c>
      <c r="O116" s="93" t="s">
        <v>834</v>
      </c>
    </row>
    <row r="117" spans="2:15" ht="19.7" customHeight="1">
      <c r="B117" s="67" t="s">
        <v>834</v>
      </c>
      <c r="C117" s="29" t="s">
        <v>319</v>
      </c>
      <c r="D117" s="29" t="s">
        <v>191</v>
      </c>
      <c r="E117" s="31">
        <v>2</v>
      </c>
      <c r="F117" s="30" t="s">
        <v>596</v>
      </c>
      <c r="G117" s="37">
        <v>84957</v>
      </c>
      <c r="H117" s="65">
        <v>169914</v>
      </c>
      <c r="I117" s="64">
        <v>63340</v>
      </c>
      <c r="J117" s="65">
        <v>126680</v>
      </c>
      <c r="K117" s="64">
        <v>20650</v>
      </c>
      <c r="L117" s="65">
        <v>41300</v>
      </c>
      <c r="M117" s="64">
        <v>967</v>
      </c>
      <c r="N117" s="65">
        <v>1934</v>
      </c>
      <c r="O117" s="32" t="s">
        <v>265</v>
      </c>
    </row>
    <row r="118" spans="2:15" ht="19.7" customHeight="1">
      <c r="B118" s="67" t="s">
        <v>834</v>
      </c>
      <c r="C118" s="29" t="s">
        <v>618</v>
      </c>
      <c r="D118" s="29" t="s">
        <v>453</v>
      </c>
      <c r="E118" s="31">
        <v>1</v>
      </c>
      <c r="F118" s="30" t="s">
        <v>596</v>
      </c>
      <c r="G118" s="37">
        <v>296464</v>
      </c>
      <c r="H118" s="65">
        <v>296464</v>
      </c>
      <c r="I118" s="64">
        <v>127857</v>
      </c>
      <c r="J118" s="65">
        <v>127857</v>
      </c>
      <c r="K118" s="64">
        <v>165650</v>
      </c>
      <c r="L118" s="65">
        <v>165650</v>
      </c>
      <c r="M118" s="64">
        <v>2957</v>
      </c>
      <c r="N118" s="65">
        <v>2957</v>
      </c>
      <c r="O118" s="32" t="s">
        <v>775</v>
      </c>
    </row>
    <row r="119" spans="2:15" ht="19.7" customHeight="1">
      <c r="B119" s="67" t="s">
        <v>834</v>
      </c>
      <c r="C119" s="29" t="s">
        <v>438</v>
      </c>
      <c r="D119" s="29" t="s">
        <v>33</v>
      </c>
      <c r="E119" s="31">
        <v>1</v>
      </c>
      <c r="F119" s="30" t="s">
        <v>596</v>
      </c>
      <c r="G119" s="37">
        <v>444207</v>
      </c>
      <c r="H119" s="65">
        <v>444207</v>
      </c>
      <c r="I119" s="64">
        <v>154083</v>
      </c>
      <c r="J119" s="65">
        <v>154083</v>
      </c>
      <c r="K119" s="64">
        <v>286620</v>
      </c>
      <c r="L119" s="65">
        <v>286620</v>
      </c>
      <c r="M119" s="64">
        <v>3504</v>
      </c>
      <c r="N119" s="65">
        <v>3504</v>
      </c>
      <c r="O119" s="32" t="s">
        <v>584</v>
      </c>
    </row>
    <row r="120" spans="2:15" ht="19.7" customHeight="1">
      <c r="B120" s="61" t="s">
        <v>834</v>
      </c>
      <c r="C120" s="62" t="s">
        <v>230</v>
      </c>
      <c r="D120" s="62" t="s">
        <v>834</v>
      </c>
      <c r="E120" s="31"/>
      <c r="F120" s="91" t="s">
        <v>834</v>
      </c>
      <c r="G120" s="37">
        <v>0</v>
      </c>
      <c r="H120" s="92">
        <v>1948434</v>
      </c>
      <c r="I120" s="37"/>
      <c r="J120" s="92" t="s">
        <v>1202</v>
      </c>
      <c r="K120" s="37"/>
      <c r="L120" s="92" t="s">
        <v>1203</v>
      </c>
      <c r="M120" s="37"/>
      <c r="N120" s="92" t="s">
        <v>1204</v>
      </c>
      <c r="O120" s="93" t="s">
        <v>834</v>
      </c>
    </row>
    <row r="121" spans="2:15" ht="19.7" customHeight="1">
      <c r="B121" s="67" t="s">
        <v>834</v>
      </c>
      <c r="C121" s="29" t="s">
        <v>319</v>
      </c>
      <c r="D121" s="29" t="s">
        <v>500</v>
      </c>
      <c r="E121" s="31">
        <v>13</v>
      </c>
      <c r="F121" s="30" t="s">
        <v>596</v>
      </c>
      <c r="G121" s="37">
        <v>101028</v>
      </c>
      <c r="H121" s="65">
        <v>1313364</v>
      </c>
      <c r="I121" s="64">
        <v>77305</v>
      </c>
      <c r="J121" s="65">
        <v>1004965</v>
      </c>
      <c r="K121" s="64">
        <v>22700</v>
      </c>
      <c r="L121" s="65">
        <v>295100</v>
      </c>
      <c r="M121" s="64">
        <v>1023</v>
      </c>
      <c r="N121" s="65">
        <v>13299</v>
      </c>
      <c r="O121" s="32" t="s">
        <v>15</v>
      </c>
    </row>
    <row r="122" spans="2:15" ht="19.7" customHeight="1">
      <c r="B122" s="67" t="s">
        <v>834</v>
      </c>
      <c r="C122" s="29" t="s">
        <v>618</v>
      </c>
      <c r="D122" s="29" t="s">
        <v>217</v>
      </c>
      <c r="E122" s="31">
        <v>2</v>
      </c>
      <c r="F122" s="30" t="s">
        <v>596</v>
      </c>
      <c r="G122" s="37">
        <v>317535</v>
      </c>
      <c r="H122" s="65">
        <v>635070</v>
      </c>
      <c r="I122" s="64">
        <v>141822</v>
      </c>
      <c r="J122" s="65">
        <v>283644</v>
      </c>
      <c r="K122" s="64">
        <v>172700</v>
      </c>
      <c r="L122" s="65">
        <v>345400</v>
      </c>
      <c r="M122" s="64">
        <v>3013</v>
      </c>
      <c r="N122" s="65">
        <v>6026</v>
      </c>
      <c r="O122" s="32" t="s">
        <v>152</v>
      </c>
    </row>
    <row r="123" spans="2:15" ht="19.7" customHeight="1">
      <c r="B123" s="61" t="s">
        <v>834</v>
      </c>
      <c r="C123" s="62" t="s">
        <v>201</v>
      </c>
      <c r="D123" s="62" t="s">
        <v>834</v>
      </c>
      <c r="E123" s="31"/>
      <c r="F123" s="91" t="s">
        <v>834</v>
      </c>
      <c r="G123" s="37">
        <v>0</v>
      </c>
      <c r="H123" s="92">
        <v>636292</v>
      </c>
      <c r="I123" s="37"/>
      <c r="J123" s="92" t="s">
        <v>1205</v>
      </c>
      <c r="K123" s="37"/>
      <c r="L123" s="92" t="s">
        <v>1206</v>
      </c>
      <c r="M123" s="37"/>
      <c r="N123" s="92" t="s">
        <v>1207</v>
      </c>
      <c r="O123" s="93" t="s">
        <v>834</v>
      </c>
    </row>
    <row r="124" spans="2:15" ht="19.7" customHeight="1">
      <c r="B124" s="67" t="s">
        <v>834</v>
      </c>
      <c r="C124" s="29" t="s">
        <v>319</v>
      </c>
      <c r="D124" s="29" t="s">
        <v>191</v>
      </c>
      <c r="E124" s="31">
        <v>4</v>
      </c>
      <c r="F124" s="30" t="s">
        <v>596</v>
      </c>
      <c r="G124" s="37">
        <v>84957</v>
      </c>
      <c r="H124" s="65">
        <v>339828</v>
      </c>
      <c r="I124" s="64">
        <v>63340</v>
      </c>
      <c r="J124" s="65">
        <v>253360</v>
      </c>
      <c r="K124" s="64">
        <v>20650</v>
      </c>
      <c r="L124" s="65">
        <v>82600</v>
      </c>
      <c r="M124" s="64">
        <v>967</v>
      </c>
      <c r="N124" s="65">
        <v>3868</v>
      </c>
      <c r="O124" s="32" t="s">
        <v>265</v>
      </c>
    </row>
    <row r="125" spans="2:15" ht="19.7" customHeight="1">
      <c r="B125" s="67" t="s">
        <v>834</v>
      </c>
      <c r="C125" s="29" t="s">
        <v>618</v>
      </c>
      <c r="D125" s="29" t="s">
        <v>453</v>
      </c>
      <c r="E125" s="31">
        <v>1</v>
      </c>
      <c r="F125" s="30" t="s">
        <v>596</v>
      </c>
      <c r="G125" s="37">
        <v>296464</v>
      </c>
      <c r="H125" s="65">
        <v>296464</v>
      </c>
      <c r="I125" s="64">
        <v>127857</v>
      </c>
      <c r="J125" s="65">
        <v>127857</v>
      </c>
      <c r="K125" s="64">
        <v>165650</v>
      </c>
      <c r="L125" s="65">
        <v>165650</v>
      </c>
      <c r="M125" s="64">
        <v>2957</v>
      </c>
      <c r="N125" s="65">
        <v>2957</v>
      </c>
      <c r="O125" s="32" t="s">
        <v>775</v>
      </c>
    </row>
    <row r="126" spans="2:15" ht="19.7" customHeight="1">
      <c r="B126" s="61" t="s">
        <v>834</v>
      </c>
      <c r="C126" s="62" t="s">
        <v>776</v>
      </c>
      <c r="D126" s="62" t="s">
        <v>834</v>
      </c>
      <c r="E126" s="31"/>
      <c r="F126" s="91" t="s">
        <v>834</v>
      </c>
      <c r="G126" s="37">
        <v>0</v>
      </c>
      <c r="H126" s="92">
        <v>1095614</v>
      </c>
      <c r="I126" s="37"/>
      <c r="J126" s="92" t="s">
        <v>1208</v>
      </c>
      <c r="K126" s="37"/>
      <c r="L126" s="92" t="s">
        <v>1209</v>
      </c>
      <c r="M126" s="37"/>
      <c r="N126" s="92" t="s">
        <v>1210</v>
      </c>
      <c r="O126" s="93" t="s">
        <v>834</v>
      </c>
    </row>
    <row r="127" spans="2:15" ht="19.7" customHeight="1">
      <c r="B127" s="67" t="s">
        <v>834</v>
      </c>
      <c r="C127" s="29" t="s">
        <v>319</v>
      </c>
      <c r="D127" s="29" t="s">
        <v>191</v>
      </c>
      <c r="E127" s="31">
        <v>6</v>
      </c>
      <c r="F127" s="30" t="s">
        <v>596</v>
      </c>
      <c r="G127" s="37">
        <v>84957</v>
      </c>
      <c r="H127" s="65">
        <v>509742</v>
      </c>
      <c r="I127" s="64">
        <v>63340</v>
      </c>
      <c r="J127" s="65">
        <v>380040</v>
      </c>
      <c r="K127" s="64">
        <v>20650</v>
      </c>
      <c r="L127" s="65">
        <v>123900</v>
      </c>
      <c r="M127" s="64">
        <v>967</v>
      </c>
      <c r="N127" s="65">
        <v>5802</v>
      </c>
      <c r="O127" s="32" t="s">
        <v>265</v>
      </c>
    </row>
    <row r="128" spans="2:15" ht="19.7" customHeight="1">
      <c r="B128" s="67" t="s">
        <v>834</v>
      </c>
      <c r="C128" s="29" t="s">
        <v>618</v>
      </c>
      <c r="D128" s="29" t="s">
        <v>453</v>
      </c>
      <c r="E128" s="31">
        <v>1</v>
      </c>
      <c r="F128" s="30" t="s">
        <v>596</v>
      </c>
      <c r="G128" s="37">
        <v>296464</v>
      </c>
      <c r="H128" s="65">
        <v>296464</v>
      </c>
      <c r="I128" s="64">
        <v>127857</v>
      </c>
      <c r="J128" s="65">
        <v>127857</v>
      </c>
      <c r="K128" s="64">
        <v>165650</v>
      </c>
      <c r="L128" s="65">
        <v>165650</v>
      </c>
      <c r="M128" s="64">
        <v>2957</v>
      </c>
      <c r="N128" s="65">
        <v>2957</v>
      </c>
      <c r="O128" s="32" t="s">
        <v>775</v>
      </c>
    </row>
    <row r="129" spans="2:15" ht="19.7" customHeight="1">
      <c r="B129" s="67" t="s">
        <v>834</v>
      </c>
      <c r="C129" s="29" t="s">
        <v>612</v>
      </c>
      <c r="D129" s="29" t="s">
        <v>561</v>
      </c>
      <c r="E129" s="31">
        <v>7</v>
      </c>
      <c r="F129" s="30" t="s">
        <v>476</v>
      </c>
      <c r="G129" s="37">
        <v>41344</v>
      </c>
      <c r="H129" s="65">
        <v>289408</v>
      </c>
      <c r="I129" s="64">
        <v>33439</v>
      </c>
      <c r="J129" s="65">
        <v>234073</v>
      </c>
      <c r="K129" s="64">
        <v>7237</v>
      </c>
      <c r="L129" s="65">
        <v>50659</v>
      </c>
      <c r="M129" s="64">
        <v>668</v>
      </c>
      <c r="N129" s="65">
        <v>4676</v>
      </c>
      <c r="O129" s="32" t="s">
        <v>295</v>
      </c>
    </row>
    <row r="130" spans="2:15" ht="19.7" customHeight="1">
      <c r="B130" s="61" t="s">
        <v>786</v>
      </c>
      <c r="C130" s="62" t="s">
        <v>259</v>
      </c>
      <c r="D130" s="62" t="s">
        <v>834</v>
      </c>
      <c r="E130" s="31"/>
      <c r="F130" s="91" t="s">
        <v>834</v>
      </c>
      <c r="G130" s="37">
        <v>0</v>
      </c>
      <c r="H130" s="92">
        <v>3753266</v>
      </c>
      <c r="I130" s="37"/>
      <c r="J130" s="92" t="s">
        <v>1124</v>
      </c>
      <c r="K130" s="37"/>
      <c r="L130" s="92" t="s">
        <v>1125</v>
      </c>
      <c r="M130" s="37"/>
      <c r="N130" s="92" t="s">
        <v>1126</v>
      </c>
      <c r="O130" s="93" t="s">
        <v>834</v>
      </c>
    </row>
    <row r="131" spans="2:15" ht="19.7" customHeight="1">
      <c r="B131" s="67" t="s">
        <v>834</v>
      </c>
      <c r="C131" s="29" t="s">
        <v>439</v>
      </c>
      <c r="D131" s="29" t="s">
        <v>567</v>
      </c>
      <c r="E131" s="31">
        <v>1</v>
      </c>
      <c r="F131" s="30" t="s">
        <v>748</v>
      </c>
      <c r="G131" s="37">
        <v>2626996</v>
      </c>
      <c r="H131" s="65">
        <v>2626996</v>
      </c>
      <c r="I131" s="64" t="s">
        <v>1127</v>
      </c>
      <c r="J131" s="65">
        <v>810756</v>
      </c>
      <c r="K131" s="64" t="s">
        <v>1128</v>
      </c>
      <c r="L131" s="65">
        <v>132160</v>
      </c>
      <c r="M131" s="64" t="s">
        <v>1129</v>
      </c>
      <c r="N131" s="65">
        <v>1684080</v>
      </c>
      <c r="O131" s="32" t="s">
        <v>190</v>
      </c>
    </row>
    <row r="132" spans="2:15" ht="19.7" customHeight="1">
      <c r="B132" s="67" t="s">
        <v>834</v>
      </c>
      <c r="C132" s="29" t="s">
        <v>398</v>
      </c>
      <c r="D132" s="29" t="s">
        <v>530</v>
      </c>
      <c r="E132" s="31">
        <v>1</v>
      </c>
      <c r="F132" s="30" t="s">
        <v>748</v>
      </c>
      <c r="G132" s="37">
        <v>973959</v>
      </c>
      <c r="H132" s="65">
        <v>973959</v>
      </c>
      <c r="I132" s="64">
        <v>553537</v>
      </c>
      <c r="J132" s="65">
        <v>553537</v>
      </c>
      <c r="K132" s="64">
        <v>244588</v>
      </c>
      <c r="L132" s="65">
        <v>244588</v>
      </c>
      <c r="M132" s="64">
        <v>175834</v>
      </c>
      <c r="N132" s="65">
        <v>175834</v>
      </c>
      <c r="O132" s="32" t="s">
        <v>751</v>
      </c>
    </row>
    <row r="133" spans="2:15" ht="19.7" customHeight="1">
      <c r="B133" s="67" t="s">
        <v>834</v>
      </c>
      <c r="C133" s="29" t="s">
        <v>597</v>
      </c>
      <c r="D133" s="29" t="s">
        <v>530</v>
      </c>
      <c r="E133" s="31">
        <v>1</v>
      </c>
      <c r="F133" s="30" t="s">
        <v>366</v>
      </c>
      <c r="G133" s="37">
        <v>147875</v>
      </c>
      <c r="H133" s="65">
        <v>147875</v>
      </c>
      <c r="I133" s="64">
        <v>63375</v>
      </c>
      <c r="J133" s="65">
        <v>63375</v>
      </c>
      <c r="K133" s="64">
        <v>84500</v>
      </c>
      <c r="L133" s="65">
        <v>84500</v>
      </c>
      <c r="M133" s="64">
        <v>0</v>
      </c>
      <c r="N133" s="65">
        <v>0</v>
      </c>
      <c r="O133" s="32" t="s">
        <v>188</v>
      </c>
    </row>
    <row r="134" spans="2:15" ht="19.7" customHeight="1">
      <c r="B134" s="69" t="s">
        <v>834</v>
      </c>
      <c r="C134" s="34" t="s">
        <v>545</v>
      </c>
      <c r="D134" s="34" t="s">
        <v>280</v>
      </c>
      <c r="E134" s="22">
        <v>1</v>
      </c>
      <c r="F134" s="35" t="s">
        <v>574</v>
      </c>
      <c r="G134" s="21">
        <v>4436</v>
      </c>
      <c r="H134" s="74">
        <v>4436</v>
      </c>
      <c r="I134" s="70" t="s">
        <v>1130</v>
      </c>
      <c r="J134" s="74">
        <v>2541</v>
      </c>
      <c r="K134" s="70" t="s">
        <v>1131</v>
      </c>
      <c r="L134" s="74">
        <v>838</v>
      </c>
      <c r="M134" s="70" t="s">
        <v>1132</v>
      </c>
      <c r="N134" s="74">
        <v>1057</v>
      </c>
      <c r="O134" s="36" t="s">
        <v>735</v>
      </c>
    </row>
    <row r="135" spans="2:15" ht="19.7" customHeight="1">
      <c r="B135" s="67" t="s">
        <v>834</v>
      </c>
      <c r="C135" s="29" t="s">
        <v>834</v>
      </c>
      <c r="D135" s="29" t="s">
        <v>834</v>
      </c>
      <c r="E135" s="31"/>
      <c r="F135" s="30" t="s">
        <v>834</v>
      </c>
      <c r="G135" s="37">
        <v>0</v>
      </c>
      <c r="H135" s="65">
        <v>0</v>
      </c>
      <c r="I135" s="37"/>
      <c r="J135" s="31"/>
      <c r="K135" s="37"/>
      <c r="L135" s="31"/>
      <c r="M135" s="37"/>
      <c r="N135" s="31"/>
      <c r="O135" s="32" t="s">
        <v>834</v>
      </c>
    </row>
    <row r="136" spans="2:15" ht="19.7" customHeight="1">
      <c r="B136" s="61" t="s">
        <v>314</v>
      </c>
      <c r="C136" s="62" t="s">
        <v>600</v>
      </c>
      <c r="D136" s="62" t="s">
        <v>834</v>
      </c>
      <c r="E136" s="31"/>
      <c r="F136" s="91" t="s">
        <v>834</v>
      </c>
      <c r="G136" s="37">
        <v>0</v>
      </c>
      <c r="H136" s="92">
        <v>19310844</v>
      </c>
      <c r="I136" s="37"/>
      <c r="J136" s="92" t="s">
        <v>1211</v>
      </c>
      <c r="K136" s="37"/>
      <c r="L136" s="92" t="s">
        <v>1212</v>
      </c>
      <c r="M136" s="37"/>
      <c r="N136" s="92" t="s">
        <v>1213</v>
      </c>
      <c r="O136" s="93" t="s">
        <v>834</v>
      </c>
    </row>
    <row r="137" spans="2:15" ht="19.7" customHeight="1">
      <c r="B137" s="61" t="s">
        <v>47</v>
      </c>
      <c r="C137" s="62" t="s">
        <v>102</v>
      </c>
      <c r="D137" s="62" t="s">
        <v>834</v>
      </c>
      <c r="E137" s="31"/>
      <c r="F137" s="91" t="s">
        <v>834</v>
      </c>
      <c r="G137" s="37">
        <v>0</v>
      </c>
      <c r="H137" s="92">
        <v>14583619</v>
      </c>
      <c r="I137" s="37"/>
      <c r="J137" s="92" t="s">
        <v>1214</v>
      </c>
      <c r="K137" s="37"/>
      <c r="L137" s="92" t="s">
        <v>1215</v>
      </c>
      <c r="M137" s="37"/>
      <c r="N137" s="92" t="s">
        <v>1216</v>
      </c>
      <c r="O137" s="93" t="s">
        <v>834</v>
      </c>
    </row>
    <row r="138" spans="2:15" ht="19.7" customHeight="1">
      <c r="B138" s="61" t="s">
        <v>834</v>
      </c>
      <c r="C138" s="62" t="s">
        <v>350</v>
      </c>
      <c r="D138" s="62" t="s">
        <v>834</v>
      </c>
      <c r="E138" s="31"/>
      <c r="F138" s="91" t="s">
        <v>834</v>
      </c>
      <c r="G138" s="37">
        <v>0</v>
      </c>
      <c r="H138" s="92">
        <v>7984519</v>
      </c>
      <c r="I138" s="37"/>
      <c r="J138" s="92" t="s">
        <v>1217</v>
      </c>
      <c r="K138" s="37"/>
      <c r="L138" s="92" t="s">
        <v>1218</v>
      </c>
      <c r="M138" s="37"/>
      <c r="N138" s="92" t="s">
        <v>1219</v>
      </c>
      <c r="O138" s="93" t="s">
        <v>834</v>
      </c>
    </row>
    <row r="139" spans="2:15" ht="19.7" customHeight="1">
      <c r="B139" s="67" t="s">
        <v>834</v>
      </c>
      <c r="C139" s="29" t="s">
        <v>319</v>
      </c>
      <c r="D139" s="29" t="s">
        <v>797</v>
      </c>
      <c r="E139" s="31">
        <v>18</v>
      </c>
      <c r="F139" s="30" t="s">
        <v>596</v>
      </c>
      <c r="G139" s="37">
        <v>63844</v>
      </c>
      <c r="H139" s="65">
        <v>1149192</v>
      </c>
      <c r="I139" s="64">
        <v>42227</v>
      </c>
      <c r="J139" s="65">
        <v>760086</v>
      </c>
      <c r="K139" s="64">
        <v>20650</v>
      </c>
      <c r="L139" s="65">
        <v>371700</v>
      </c>
      <c r="M139" s="64">
        <v>967</v>
      </c>
      <c r="N139" s="65">
        <v>17406</v>
      </c>
      <c r="O139" s="32" t="s">
        <v>601</v>
      </c>
    </row>
    <row r="140" spans="2:15" ht="19.7" customHeight="1">
      <c r="B140" s="67" t="s">
        <v>834</v>
      </c>
      <c r="C140" s="29" t="s">
        <v>618</v>
      </c>
      <c r="D140" s="29" t="s">
        <v>453</v>
      </c>
      <c r="E140" s="31">
        <v>21</v>
      </c>
      <c r="F140" s="30" t="s">
        <v>596</v>
      </c>
      <c r="G140" s="37">
        <v>296464</v>
      </c>
      <c r="H140" s="65">
        <v>6225744</v>
      </c>
      <c r="I140" s="64">
        <v>127857</v>
      </c>
      <c r="J140" s="65">
        <v>2684997</v>
      </c>
      <c r="K140" s="64">
        <v>165650</v>
      </c>
      <c r="L140" s="65">
        <v>3478650</v>
      </c>
      <c r="M140" s="64">
        <v>2957</v>
      </c>
      <c r="N140" s="65">
        <v>62097</v>
      </c>
      <c r="O140" s="32" t="s">
        <v>775</v>
      </c>
    </row>
    <row r="141" spans="2:15" ht="19.7" customHeight="1">
      <c r="B141" s="67" t="s">
        <v>834</v>
      </c>
      <c r="C141" s="29" t="s">
        <v>438</v>
      </c>
      <c r="D141" s="29" t="s">
        <v>33</v>
      </c>
      <c r="E141" s="31">
        <v>1</v>
      </c>
      <c r="F141" s="30" t="s">
        <v>596</v>
      </c>
      <c r="G141" s="37">
        <v>444207</v>
      </c>
      <c r="H141" s="65">
        <v>444207</v>
      </c>
      <c r="I141" s="64">
        <v>154083</v>
      </c>
      <c r="J141" s="65">
        <v>154083</v>
      </c>
      <c r="K141" s="64">
        <v>286620</v>
      </c>
      <c r="L141" s="65">
        <v>286620</v>
      </c>
      <c r="M141" s="64">
        <v>3504</v>
      </c>
      <c r="N141" s="65">
        <v>3504</v>
      </c>
      <c r="O141" s="32" t="s">
        <v>584</v>
      </c>
    </row>
    <row r="142" spans="2:15" ht="19.7" customHeight="1">
      <c r="B142" s="67" t="s">
        <v>834</v>
      </c>
      <c r="C142" s="29" t="s">
        <v>612</v>
      </c>
      <c r="D142" s="29" t="s">
        <v>561</v>
      </c>
      <c r="E142" s="31">
        <v>4</v>
      </c>
      <c r="F142" s="30" t="s">
        <v>476</v>
      </c>
      <c r="G142" s="37">
        <v>41344</v>
      </c>
      <c r="H142" s="65">
        <v>165376</v>
      </c>
      <c r="I142" s="64">
        <v>33439</v>
      </c>
      <c r="J142" s="65">
        <v>133756</v>
      </c>
      <c r="K142" s="64">
        <v>7237</v>
      </c>
      <c r="L142" s="65">
        <v>28948</v>
      </c>
      <c r="M142" s="64">
        <v>668</v>
      </c>
      <c r="N142" s="65">
        <v>2672</v>
      </c>
      <c r="O142" s="32" t="s">
        <v>295</v>
      </c>
    </row>
    <row r="143" spans="2:15" ht="19.7" customHeight="1">
      <c r="B143" s="61" t="s">
        <v>834</v>
      </c>
      <c r="C143" s="62" t="s">
        <v>230</v>
      </c>
      <c r="D143" s="62" t="s">
        <v>834</v>
      </c>
      <c r="E143" s="31"/>
      <c r="F143" s="91" t="s">
        <v>834</v>
      </c>
      <c r="G143" s="37">
        <v>0</v>
      </c>
      <c r="H143" s="92">
        <v>3159227</v>
      </c>
      <c r="I143" s="37"/>
      <c r="J143" s="92" t="s">
        <v>1220</v>
      </c>
      <c r="K143" s="37"/>
      <c r="L143" s="92" t="s">
        <v>1221</v>
      </c>
      <c r="M143" s="37"/>
      <c r="N143" s="92" t="s">
        <v>1222</v>
      </c>
      <c r="O143" s="93" t="s">
        <v>834</v>
      </c>
    </row>
    <row r="144" spans="2:15" ht="19.7" customHeight="1">
      <c r="B144" s="67" t="s">
        <v>834</v>
      </c>
      <c r="C144" s="29" t="s">
        <v>319</v>
      </c>
      <c r="D144" s="29" t="s">
        <v>500</v>
      </c>
      <c r="E144" s="31">
        <v>19</v>
      </c>
      <c r="F144" s="30" t="s">
        <v>596</v>
      </c>
      <c r="G144" s="37">
        <v>101028</v>
      </c>
      <c r="H144" s="65">
        <v>1919532</v>
      </c>
      <c r="I144" s="64">
        <v>77305</v>
      </c>
      <c r="J144" s="65">
        <v>1468795</v>
      </c>
      <c r="K144" s="64">
        <v>22700</v>
      </c>
      <c r="L144" s="65">
        <v>431300</v>
      </c>
      <c r="M144" s="64">
        <v>1023</v>
      </c>
      <c r="N144" s="65">
        <v>19437</v>
      </c>
      <c r="O144" s="32" t="s">
        <v>15</v>
      </c>
    </row>
    <row r="145" spans="2:15" ht="19.7" customHeight="1">
      <c r="B145" s="67" t="s">
        <v>834</v>
      </c>
      <c r="C145" s="29" t="s">
        <v>618</v>
      </c>
      <c r="D145" s="29" t="s">
        <v>217</v>
      </c>
      <c r="E145" s="31">
        <v>1</v>
      </c>
      <c r="F145" s="30" t="s">
        <v>596</v>
      </c>
      <c r="G145" s="37">
        <v>317535</v>
      </c>
      <c r="H145" s="65">
        <v>317535</v>
      </c>
      <c r="I145" s="64">
        <v>141822</v>
      </c>
      <c r="J145" s="65">
        <v>141822</v>
      </c>
      <c r="K145" s="64">
        <v>172700</v>
      </c>
      <c r="L145" s="65">
        <v>172700</v>
      </c>
      <c r="M145" s="64">
        <v>3013</v>
      </c>
      <c r="N145" s="65">
        <v>3013</v>
      </c>
      <c r="O145" s="32" t="s">
        <v>152</v>
      </c>
    </row>
    <row r="146" spans="2:15" ht="19.7" customHeight="1">
      <c r="B146" s="67" t="s">
        <v>834</v>
      </c>
      <c r="C146" s="29" t="s">
        <v>438</v>
      </c>
      <c r="D146" s="29" t="s">
        <v>609</v>
      </c>
      <c r="E146" s="31">
        <v>2</v>
      </c>
      <c r="F146" s="30" t="s">
        <v>596</v>
      </c>
      <c r="G146" s="37">
        <v>461080</v>
      </c>
      <c r="H146" s="65">
        <v>922160</v>
      </c>
      <c r="I146" s="64">
        <v>168850</v>
      </c>
      <c r="J146" s="65">
        <v>337700</v>
      </c>
      <c r="K146" s="64">
        <v>288670</v>
      </c>
      <c r="L146" s="65">
        <v>577340</v>
      </c>
      <c r="M146" s="64">
        <v>3560</v>
      </c>
      <c r="N146" s="65">
        <v>7120</v>
      </c>
      <c r="O146" s="32" t="s">
        <v>765</v>
      </c>
    </row>
    <row r="147" spans="2:15" ht="19.7" customHeight="1">
      <c r="B147" s="61" t="s">
        <v>834</v>
      </c>
      <c r="C147" s="62" t="s">
        <v>201</v>
      </c>
      <c r="D147" s="62" t="s">
        <v>834</v>
      </c>
      <c r="E147" s="31"/>
      <c r="F147" s="91" t="s">
        <v>834</v>
      </c>
      <c r="G147" s="37">
        <v>0</v>
      </c>
      <c r="H147" s="92">
        <v>3015088</v>
      </c>
      <c r="I147" s="37"/>
      <c r="J147" s="92" t="s">
        <v>1223</v>
      </c>
      <c r="K147" s="37"/>
      <c r="L147" s="92" t="s">
        <v>1224</v>
      </c>
      <c r="M147" s="37"/>
      <c r="N147" s="92" t="s">
        <v>1225</v>
      </c>
      <c r="O147" s="93" t="s">
        <v>834</v>
      </c>
    </row>
    <row r="148" spans="2:15" ht="19.7" customHeight="1">
      <c r="B148" s="67" t="s">
        <v>834</v>
      </c>
      <c r="C148" s="29" t="s">
        <v>319</v>
      </c>
      <c r="D148" s="29" t="s">
        <v>191</v>
      </c>
      <c r="E148" s="31">
        <v>32</v>
      </c>
      <c r="F148" s="30" t="s">
        <v>596</v>
      </c>
      <c r="G148" s="37">
        <v>84957</v>
      </c>
      <c r="H148" s="65">
        <v>2718624</v>
      </c>
      <c r="I148" s="64">
        <v>63340</v>
      </c>
      <c r="J148" s="65">
        <v>2026880</v>
      </c>
      <c r="K148" s="64">
        <v>20650</v>
      </c>
      <c r="L148" s="65">
        <v>660800</v>
      </c>
      <c r="M148" s="64">
        <v>967</v>
      </c>
      <c r="N148" s="65">
        <v>30944</v>
      </c>
      <c r="O148" s="32" t="s">
        <v>265</v>
      </c>
    </row>
    <row r="149" spans="2:15" ht="19.7" customHeight="1">
      <c r="B149" s="67" t="s">
        <v>834</v>
      </c>
      <c r="C149" s="29" t="s">
        <v>618</v>
      </c>
      <c r="D149" s="29" t="s">
        <v>453</v>
      </c>
      <c r="E149" s="31">
        <v>1</v>
      </c>
      <c r="F149" s="30" t="s">
        <v>596</v>
      </c>
      <c r="G149" s="37">
        <v>296464</v>
      </c>
      <c r="H149" s="65">
        <v>296464</v>
      </c>
      <c r="I149" s="64">
        <v>127857</v>
      </c>
      <c r="J149" s="65">
        <v>127857</v>
      </c>
      <c r="K149" s="64">
        <v>165650</v>
      </c>
      <c r="L149" s="65">
        <v>165650</v>
      </c>
      <c r="M149" s="64">
        <v>2957</v>
      </c>
      <c r="N149" s="65">
        <v>2957</v>
      </c>
      <c r="O149" s="32" t="s">
        <v>775</v>
      </c>
    </row>
    <row r="150" spans="2:15" ht="19.7" customHeight="1">
      <c r="B150" s="61" t="s">
        <v>834</v>
      </c>
      <c r="C150" s="62" t="s">
        <v>776</v>
      </c>
      <c r="D150" s="62" t="s">
        <v>834</v>
      </c>
      <c r="E150" s="31"/>
      <c r="F150" s="91" t="s">
        <v>834</v>
      </c>
      <c r="G150" s="37">
        <v>0</v>
      </c>
      <c r="H150" s="92">
        <v>424785</v>
      </c>
      <c r="I150" s="37"/>
      <c r="J150" s="92" t="s">
        <v>1226</v>
      </c>
      <c r="K150" s="37"/>
      <c r="L150" s="92" t="s">
        <v>1227</v>
      </c>
      <c r="M150" s="37"/>
      <c r="N150" s="92" t="s">
        <v>1228</v>
      </c>
      <c r="O150" s="93" t="s">
        <v>834</v>
      </c>
    </row>
    <row r="151" spans="2:15" ht="19.7" customHeight="1">
      <c r="B151" s="67" t="s">
        <v>834</v>
      </c>
      <c r="C151" s="29" t="s">
        <v>319</v>
      </c>
      <c r="D151" s="29" t="s">
        <v>191</v>
      </c>
      <c r="E151" s="31">
        <v>5</v>
      </c>
      <c r="F151" s="30" t="s">
        <v>596</v>
      </c>
      <c r="G151" s="37">
        <v>84957</v>
      </c>
      <c r="H151" s="65">
        <v>424785</v>
      </c>
      <c r="I151" s="64">
        <v>63340</v>
      </c>
      <c r="J151" s="65">
        <v>316700</v>
      </c>
      <c r="K151" s="64">
        <v>20650</v>
      </c>
      <c r="L151" s="65">
        <v>103250</v>
      </c>
      <c r="M151" s="64">
        <v>967</v>
      </c>
      <c r="N151" s="65">
        <v>4835</v>
      </c>
      <c r="O151" s="32" t="s">
        <v>265</v>
      </c>
    </row>
    <row r="152" spans="2:15" ht="19.7" customHeight="1">
      <c r="B152" s="61" t="s">
        <v>527</v>
      </c>
      <c r="C152" s="62" t="s">
        <v>259</v>
      </c>
      <c r="D152" s="62" t="s">
        <v>834</v>
      </c>
      <c r="E152" s="31"/>
      <c r="F152" s="91" t="s">
        <v>834</v>
      </c>
      <c r="G152" s="37">
        <v>0</v>
      </c>
      <c r="H152" s="92">
        <v>4727225</v>
      </c>
      <c r="I152" s="37"/>
      <c r="J152" s="92" t="s">
        <v>1229</v>
      </c>
      <c r="K152" s="37"/>
      <c r="L152" s="92" t="s">
        <v>1230</v>
      </c>
      <c r="M152" s="37"/>
      <c r="N152" s="92" t="s">
        <v>1231</v>
      </c>
      <c r="O152" s="93" t="s">
        <v>834</v>
      </c>
    </row>
    <row r="153" spans="2:15" ht="19.7" customHeight="1">
      <c r="B153" s="67" t="s">
        <v>834</v>
      </c>
      <c r="C153" s="29" t="s">
        <v>439</v>
      </c>
      <c r="D153" s="29" t="s">
        <v>567</v>
      </c>
      <c r="E153" s="31">
        <v>1</v>
      </c>
      <c r="F153" s="30" t="s">
        <v>748</v>
      </c>
      <c r="G153" s="37">
        <v>2626996</v>
      </c>
      <c r="H153" s="65">
        <v>2626996</v>
      </c>
      <c r="I153" s="64" t="s">
        <v>1127</v>
      </c>
      <c r="J153" s="65">
        <v>810756</v>
      </c>
      <c r="K153" s="64" t="s">
        <v>1128</v>
      </c>
      <c r="L153" s="65">
        <v>132160</v>
      </c>
      <c r="M153" s="64" t="s">
        <v>1129</v>
      </c>
      <c r="N153" s="65">
        <v>1684080</v>
      </c>
      <c r="O153" s="32" t="s">
        <v>190</v>
      </c>
    </row>
    <row r="154" spans="2:15" ht="19.7" customHeight="1">
      <c r="B154" s="67" t="s">
        <v>834</v>
      </c>
      <c r="C154" s="29" t="s">
        <v>398</v>
      </c>
      <c r="D154" s="29" t="s">
        <v>530</v>
      </c>
      <c r="E154" s="31">
        <v>2</v>
      </c>
      <c r="F154" s="30" t="s">
        <v>748</v>
      </c>
      <c r="G154" s="37">
        <v>973959</v>
      </c>
      <c r="H154" s="65">
        <v>1947918</v>
      </c>
      <c r="I154" s="64">
        <v>553537</v>
      </c>
      <c r="J154" s="65">
        <v>1107074</v>
      </c>
      <c r="K154" s="64">
        <v>244588</v>
      </c>
      <c r="L154" s="65">
        <v>489176</v>
      </c>
      <c r="M154" s="64">
        <v>175834</v>
      </c>
      <c r="N154" s="65">
        <v>351668</v>
      </c>
      <c r="O154" s="32" t="s">
        <v>751</v>
      </c>
    </row>
    <row r="155" spans="2:15" ht="19.7" customHeight="1">
      <c r="B155" s="67" t="s">
        <v>834</v>
      </c>
      <c r="C155" s="29" t="s">
        <v>597</v>
      </c>
      <c r="D155" s="29" t="s">
        <v>530</v>
      </c>
      <c r="E155" s="31">
        <v>1</v>
      </c>
      <c r="F155" s="30" t="s">
        <v>366</v>
      </c>
      <c r="G155" s="37">
        <v>147875</v>
      </c>
      <c r="H155" s="65">
        <v>147875</v>
      </c>
      <c r="I155" s="64">
        <v>63375</v>
      </c>
      <c r="J155" s="65">
        <v>63375</v>
      </c>
      <c r="K155" s="64">
        <v>84500</v>
      </c>
      <c r="L155" s="65">
        <v>84500</v>
      </c>
      <c r="M155" s="64">
        <v>0</v>
      </c>
      <c r="N155" s="65">
        <v>0</v>
      </c>
      <c r="O155" s="32" t="s">
        <v>188</v>
      </c>
    </row>
    <row r="156" spans="2:15" ht="19.7" customHeight="1">
      <c r="B156" s="67" t="s">
        <v>834</v>
      </c>
      <c r="C156" s="29" t="s">
        <v>545</v>
      </c>
      <c r="D156" s="29" t="s">
        <v>280</v>
      </c>
      <c r="E156" s="31">
        <v>1</v>
      </c>
      <c r="F156" s="30" t="s">
        <v>574</v>
      </c>
      <c r="G156" s="37">
        <v>4436</v>
      </c>
      <c r="H156" s="65">
        <v>4436</v>
      </c>
      <c r="I156" s="64" t="s">
        <v>1130</v>
      </c>
      <c r="J156" s="65">
        <v>2541</v>
      </c>
      <c r="K156" s="64" t="s">
        <v>1131</v>
      </c>
      <c r="L156" s="65">
        <v>838</v>
      </c>
      <c r="M156" s="64" t="s">
        <v>1132</v>
      </c>
      <c r="N156" s="65">
        <v>1057</v>
      </c>
      <c r="O156" s="32" t="s">
        <v>735</v>
      </c>
    </row>
    <row r="157" spans="2:15" ht="19.7" customHeight="1">
      <c r="B157" s="67" t="s">
        <v>834</v>
      </c>
      <c r="C157" s="29" t="s">
        <v>834</v>
      </c>
      <c r="D157" s="29" t="s">
        <v>834</v>
      </c>
      <c r="E157" s="31"/>
      <c r="F157" s="30" t="s">
        <v>834</v>
      </c>
      <c r="G157" s="37">
        <v>0</v>
      </c>
      <c r="H157" s="65">
        <v>0</v>
      </c>
      <c r="I157" s="37"/>
      <c r="J157" s="31"/>
      <c r="K157" s="37"/>
      <c r="L157" s="31"/>
      <c r="M157" s="37"/>
      <c r="N157" s="31"/>
      <c r="O157" s="32" t="s">
        <v>834</v>
      </c>
    </row>
    <row r="158" spans="2:15" ht="19.7" customHeight="1">
      <c r="B158" s="61" t="s">
        <v>785</v>
      </c>
      <c r="C158" s="62" t="s">
        <v>29</v>
      </c>
      <c r="D158" s="62" t="s">
        <v>834</v>
      </c>
      <c r="E158" s="31"/>
      <c r="F158" s="91" t="s">
        <v>834</v>
      </c>
      <c r="G158" s="37">
        <v>0</v>
      </c>
      <c r="H158" s="92">
        <v>21184914</v>
      </c>
      <c r="I158" s="37"/>
      <c r="J158" s="92" t="s">
        <v>1232</v>
      </c>
      <c r="K158" s="37"/>
      <c r="L158" s="92" t="s">
        <v>1233</v>
      </c>
      <c r="M158" s="37"/>
      <c r="N158" s="92" t="s">
        <v>1234</v>
      </c>
      <c r="O158" s="93" t="s">
        <v>834</v>
      </c>
    </row>
    <row r="159" spans="2:15" ht="19.7" customHeight="1">
      <c r="B159" s="61" t="s">
        <v>113</v>
      </c>
      <c r="C159" s="62" t="s">
        <v>102</v>
      </c>
      <c r="D159" s="62" t="s">
        <v>834</v>
      </c>
      <c r="E159" s="31"/>
      <c r="F159" s="91" t="s">
        <v>834</v>
      </c>
      <c r="G159" s="37">
        <v>0</v>
      </c>
      <c r="H159" s="92">
        <v>13830693</v>
      </c>
      <c r="I159" s="37"/>
      <c r="J159" s="92" t="s">
        <v>1235</v>
      </c>
      <c r="K159" s="37"/>
      <c r="L159" s="92" t="s">
        <v>1236</v>
      </c>
      <c r="M159" s="37"/>
      <c r="N159" s="92" t="s">
        <v>1237</v>
      </c>
      <c r="O159" s="93" t="s">
        <v>834</v>
      </c>
    </row>
    <row r="160" spans="2:15" ht="19.7" customHeight="1">
      <c r="B160" s="102" t="s">
        <v>834</v>
      </c>
      <c r="C160" s="98" t="s">
        <v>350</v>
      </c>
      <c r="D160" s="98" t="s">
        <v>834</v>
      </c>
      <c r="E160" s="22"/>
      <c r="F160" s="99" t="s">
        <v>834</v>
      </c>
      <c r="G160" s="21">
        <v>0</v>
      </c>
      <c r="H160" s="100">
        <v>3914577</v>
      </c>
      <c r="I160" s="21"/>
      <c r="J160" s="100" t="s">
        <v>1238</v>
      </c>
      <c r="K160" s="21"/>
      <c r="L160" s="100" t="s">
        <v>1239</v>
      </c>
      <c r="M160" s="21"/>
      <c r="N160" s="100" t="s">
        <v>1240</v>
      </c>
      <c r="O160" s="101" t="s">
        <v>834</v>
      </c>
    </row>
    <row r="161" spans="2:15" ht="19.7" customHeight="1">
      <c r="B161" s="67" t="s">
        <v>834</v>
      </c>
      <c r="C161" s="29" t="s">
        <v>319</v>
      </c>
      <c r="D161" s="29" t="s">
        <v>191</v>
      </c>
      <c r="E161" s="31">
        <v>26</v>
      </c>
      <c r="F161" s="30" t="s">
        <v>596</v>
      </c>
      <c r="G161" s="37">
        <v>84957</v>
      </c>
      <c r="H161" s="65">
        <v>2208882</v>
      </c>
      <c r="I161" s="64">
        <v>63340</v>
      </c>
      <c r="J161" s="65">
        <v>1646840</v>
      </c>
      <c r="K161" s="64">
        <v>20650</v>
      </c>
      <c r="L161" s="65">
        <v>536900</v>
      </c>
      <c r="M161" s="64">
        <v>967</v>
      </c>
      <c r="N161" s="65">
        <v>25142</v>
      </c>
      <c r="O161" s="32" t="s">
        <v>265</v>
      </c>
    </row>
    <row r="162" spans="2:15" ht="19.7" customHeight="1">
      <c r="B162" s="67" t="s">
        <v>834</v>
      </c>
      <c r="C162" s="29" t="s">
        <v>618</v>
      </c>
      <c r="D162" s="29" t="s">
        <v>453</v>
      </c>
      <c r="E162" s="31">
        <v>3</v>
      </c>
      <c r="F162" s="30" t="s">
        <v>596</v>
      </c>
      <c r="G162" s="37">
        <v>296464</v>
      </c>
      <c r="H162" s="65">
        <v>889392</v>
      </c>
      <c r="I162" s="64">
        <v>127857</v>
      </c>
      <c r="J162" s="65">
        <v>383571</v>
      </c>
      <c r="K162" s="64">
        <v>165650</v>
      </c>
      <c r="L162" s="65">
        <v>496950</v>
      </c>
      <c r="M162" s="64">
        <v>2957</v>
      </c>
      <c r="N162" s="65">
        <v>8871</v>
      </c>
      <c r="O162" s="32" t="s">
        <v>775</v>
      </c>
    </row>
    <row r="163" spans="2:15" ht="19.7" customHeight="1">
      <c r="B163" s="67" t="s">
        <v>834</v>
      </c>
      <c r="C163" s="29" t="s">
        <v>438</v>
      </c>
      <c r="D163" s="29" t="s">
        <v>33</v>
      </c>
      <c r="E163" s="31">
        <v>1</v>
      </c>
      <c r="F163" s="30" t="s">
        <v>596</v>
      </c>
      <c r="G163" s="37">
        <v>444207</v>
      </c>
      <c r="H163" s="65">
        <v>444207</v>
      </c>
      <c r="I163" s="64">
        <v>154083</v>
      </c>
      <c r="J163" s="65">
        <v>154083</v>
      </c>
      <c r="K163" s="64">
        <v>286620</v>
      </c>
      <c r="L163" s="65">
        <v>286620</v>
      </c>
      <c r="M163" s="64">
        <v>3504</v>
      </c>
      <c r="N163" s="65">
        <v>3504</v>
      </c>
      <c r="O163" s="32" t="s">
        <v>584</v>
      </c>
    </row>
    <row r="164" spans="2:15" ht="19.7" customHeight="1">
      <c r="B164" s="67" t="s">
        <v>834</v>
      </c>
      <c r="C164" s="29" t="s">
        <v>612</v>
      </c>
      <c r="D164" s="29" t="s">
        <v>561</v>
      </c>
      <c r="E164" s="31">
        <v>9</v>
      </c>
      <c r="F164" s="30" t="s">
        <v>476</v>
      </c>
      <c r="G164" s="37">
        <v>41344</v>
      </c>
      <c r="H164" s="65">
        <v>372096</v>
      </c>
      <c r="I164" s="64">
        <v>33439</v>
      </c>
      <c r="J164" s="65">
        <v>300951</v>
      </c>
      <c r="K164" s="64">
        <v>7237</v>
      </c>
      <c r="L164" s="65">
        <v>65133</v>
      </c>
      <c r="M164" s="64">
        <v>668</v>
      </c>
      <c r="N164" s="65">
        <v>6012</v>
      </c>
      <c r="O164" s="32" t="s">
        <v>295</v>
      </c>
    </row>
    <row r="165" spans="2:15" ht="19.7" customHeight="1">
      <c r="B165" s="61" t="s">
        <v>834</v>
      </c>
      <c r="C165" s="62" t="s">
        <v>230</v>
      </c>
      <c r="D165" s="62" t="s">
        <v>834</v>
      </c>
      <c r="E165" s="31"/>
      <c r="F165" s="91" t="s">
        <v>834</v>
      </c>
      <c r="G165" s="37">
        <v>0</v>
      </c>
      <c r="H165" s="92">
        <v>2067555</v>
      </c>
      <c r="I165" s="37"/>
      <c r="J165" s="92" t="s">
        <v>1241</v>
      </c>
      <c r="K165" s="37"/>
      <c r="L165" s="92" t="s">
        <v>1242</v>
      </c>
      <c r="M165" s="37"/>
      <c r="N165" s="92" t="s">
        <v>1243</v>
      </c>
      <c r="O165" s="93" t="s">
        <v>834</v>
      </c>
    </row>
    <row r="166" spans="2:15" ht="19.7" customHeight="1">
      <c r="B166" s="67" t="s">
        <v>834</v>
      </c>
      <c r="C166" s="29" t="s">
        <v>319</v>
      </c>
      <c r="D166" s="29" t="s">
        <v>238</v>
      </c>
      <c r="E166" s="31">
        <v>11</v>
      </c>
      <c r="F166" s="30" t="s">
        <v>596</v>
      </c>
      <c r="G166" s="37">
        <v>75260</v>
      </c>
      <c r="H166" s="65">
        <v>827860</v>
      </c>
      <c r="I166" s="64">
        <v>51537</v>
      </c>
      <c r="J166" s="65">
        <v>566907</v>
      </c>
      <c r="K166" s="64">
        <v>22700</v>
      </c>
      <c r="L166" s="65">
        <v>249700</v>
      </c>
      <c r="M166" s="64">
        <v>1023</v>
      </c>
      <c r="N166" s="65">
        <v>11253</v>
      </c>
      <c r="O166" s="32" t="s">
        <v>313</v>
      </c>
    </row>
    <row r="167" spans="2:15" ht="19.7" customHeight="1">
      <c r="B167" s="67" t="s">
        <v>834</v>
      </c>
      <c r="C167" s="29" t="s">
        <v>618</v>
      </c>
      <c r="D167" s="29" t="s">
        <v>217</v>
      </c>
      <c r="E167" s="31">
        <v>1</v>
      </c>
      <c r="F167" s="30" t="s">
        <v>596</v>
      </c>
      <c r="G167" s="37">
        <v>317535</v>
      </c>
      <c r="H167" s="65">
        <v>317535</v>
      </c>
      <c r="I167" s="64">
        <v>141822</v>
      </c>
      <c r="J167" s="65">
        <v>141822</v>
      </c>
      <c r="K167" s="64">
        <v>172700</v>
      </c>
      <c r="L167" s="65">
        <v>172700</v>
      </c>
      <c r="M167" s="64">
        <v>3013</v>
      </c>
      <c r="N167" s="65">
        <v>3013</v>
      </c>
      <c r="O167" s="32" t="s">
        <v>152</v>
      </c>
    </row>
    <row r="168" spans="2:15" ht="19.7" customHeight="1">
      <c r="B168" s="67" t="s">
        <v>834</v>
      </c>
      <c r="C168" s="29" t="s">
        <v>438</v>
      </c>
      <c r="D168" s="29" t="s">
        <v>609</v>
      </c>
      <c r="E168" s="31">
        <v>2</v>
      </c>
      <c r="F168" s="30" t="s">
        <v>596</v>
      </c>
      <c r="G168" s="37">
        <v>461080</v>
      </c>
      <c r="H168" s="65">
        <v>922160</v>
      </c>
      <c r="I168" s="64">
        <v>168850</v>
      </c>
      <c r="J168" s="65">
        <v>337700</v>
      </c>
      <c r="K168" s="64">
        <v>288670</v>
      </c>
      <c r="L168" s="65">
        <v>577340</v>
      </c>
      <c r="M168" s="64">
        <v>3560</v>
      </c>
      <c r="N168" s="65">
        <v>7120</v>
      </c>
      <c r="O168" s="32" t="s">
        <v>765</v>
      </c>
    </row>
    <row r="169" spans="2:15" ht="19.7" customHeight="1">
      <c r="B169" s="61" t="s">
        <v>834</v>
      </c>
      <c r="C169" s="62" t="s">
        <v>201</v>
      </c>
      <c r="D169" s="62" t="s">
        <v>834</v>
      </c>
      <c r="E169" s="31"/>
      <c r="F169" s="91" t="s">
        <v>834</v>
      </c>
      <c r="G169" s="37">
        <v>0</v>
      </c>
      <c r="H169" s="92">
        <v>4034323</v>
      </c>
      <c r="I169" s="37"/>
      <c r="J169" s="92" t="s">
        <v>1244</v>
      </c>
      <c r="K169" s="37"/>
      <c r="L169" s="92" t="s">
        <v>1245</v>
      </c>
      <c r="M169" s="37"/>
      <c r="N169" s="92" t="s">
        <v>1246</v>
      </c>
      <c r="O169" s="93" t="s">
        <v>834</v>
      </c>
    </row>
    <row r="170" spans="2:15" ht="19.7" customHeight="1">
      <c r="B170" s="67" t="s">
        <v>834</v>
      </c>
      <c r="C170" s="29" t="s">
        <v>319</v>
      </c>
      <c r="D170" s="29" t="s">
        <v>191</v>
      </c>
      <c r="E170" s="31">
        <v>47</v>
      </c>
      <c r="F170" s="30" t="s">
        <v>596</v>
      </c>
      <c r="G170" s="37">
        <v>84957</v>
      </c>
      <c r="H170" s="65">
        <v>3992979</v>
      </c>
      <c r="I170" s="64">
        <v>63340</v>
      </c>
      <c r="J170" s="65">
        <v>2976980</v>
      </c>
      <c r="K170" s="64">
        <v>20650</v>
      </c>
      <c r="L170" s="65">
        <v>970550</v>
      </c>
      <c r="M170" s="64">
        <v>967</v>
      </c>
      <c r="N170" s="65">
        <v>45449</v>
      </c>
      <c r="O170" s="32" t="s">
        <v>265</v>
      </c>
    </row>
    <row r="171" spans="2:15" ht="19.7" customHeight="1">
      <c r="B171" s="67" t="s">
        <v>834</v>
      </c>
      <c r="C171" s="29" t="s">
        <v>612</v>
      </c>
      <c r="D171" s="29" t="s">
        <v>561</v>
      </c>
      <c r="E171" s="31">
        <v>1</v>
      </c>
      <c r="F171" s="30" t="s">
        <v>476</v>
      </c>
      <c r="G171" s="37">
        <v>41344</v>
      </c>
      <c r="H171" s="65">
        <v>41344</v>
      </c>
      <c r="I171" s="64">
        <v>33439</v>
      </c>
      <c r="J171" s="65">
        <v>33439</v>
      </c>
      <c r="K171" s="64">
        <v>7237</v>
      </c>
      <c r="L171" s="65">
        <v>7237</v>
      </c>
      <c r="M171" s="64">
        <v>668</v>
      </c>
      <c r="N171" s="65">
        <v>668</v>
      </c>
      <c r="O171" s="32" t="s">
        <v>295</v>
      </c>
    </row>
    <row r="172" spans="2:15" ht="19.7" customHeight="1">
      <c r="B172" s="61" t="s">
        <v>834</v>
      </c>
      <c r="C172" s="62" t="s">
        <v>776</v>
      </c>
      <c r="D172" s="62" t="s">
        <v>834</v>
      </c>
      <c r="E172" s="31"/>
      <c r="F172" s="91" t="s">
        <v>834</v>
      </c>
      <c r="G172" s="37">
        <v>0</v>
      </c>
      <c r="H172" s="92">
        <v>3814238</v>
      </c>
      <c r="I172" s="37"/>
      <c r="J172" s="92" t="s">
        <v>1247</v>
      </c>
      <c r="K172" s="37"/>
      <c r="L172" s="92" t="s">
        <v>1248</v>
      </c>
      <c r="M172" s="37"/>
      <c r="N172" s="92" t="s">
        <v>1249</v>
      </c>
      <c r="O172" s="93" t="s">
        <v>834</v>
      </c>
    </row>
    <row r="173" spans="2:15" ht="19.7" customHeight="1">
      <c r="B173" s="67" t="s">
        <v>834</v>
      </c>
      <c r="C173" s="29" t="s">
        <v>319</v>
      </c>
      <c r="D173" s="29" t="s">
        <v>191</v>
      </c>
      <c r="E173" s="31">
        <v>38</v>
      </c>
      <c r="F173" s="30" t="s">
        <v>596</v>
      </c>
      <c r="G173" s="37">
        <v>84957</v>
      </c>
      <c r="H173" s="65">
        <v>3228366</v>
      </c>
      <c r="I173" s="64">
        <v>63340</v>
      </c>
      <c r="J173" s="65">
        <v>2406920</v>
      </c>
      <c r="K173" s="64">
        <v>20650</v>
      </c>
      <c r="L173" s="65">
        <v>784700</v>
      </c>
      <c r="M173" s="64">
        <v>967</v>
      </c>
      <c r="N173" s="65">
        <v>36746</v>
      </c>
      <c r="O173" s="32" t="s">
        <v>265</v>
      </c>
    </row>
    <row r="174" spans="2:15" ht="19.7" customHeight="1">
      <c r="B174" s="67" t="s">
        <v>834</v>
      </c>
      <c r="C174" s="29" t="s">
        <v>618</v>
      </c>
      <c r="D174" s="29" t="s">
        <v>453</v>
      </c>
      <c r="E174" s="31">
        <v>1</v>
      </c>
      <c r="F174" s="30" t="s">
        <v>596</v>
      </c>
      <c r="G174" s="37">
        <v>296464</v>
      </c>
      <c r="H174" s="65">
        <v>296464</v>
      </c>
      <c r="I174" s="64">
        <v>127857</v>
      </c>
      <c r="J174" s="65">
        <v>127857</v>
      </c>
      <c r="K174" s="64">
        <v>165650</v>
      </c>
      <c r="L174" s="65">
        <v>165650</v>
      </c>
      <c r="M174" s="64">
        <v>2957</v>
      </c>
      <c r="N174" s="65">
        <v>2957</v>
      </c>
      <c r="O174" s="32" t="s">
        <v>775</v>
      </c>
    </row>
    <row r="175" spans="2:15" ht="19.7" customHeight="1">
      <c r="B175" s="67" t="s">
        <v>834</v>
      </c>
      <c r="C175" s="29" t="s">
        <v>612</v>
      </c>
      <c r="D175" s="29" t="s">
        <v>561</v>
      </c>
      <c r="E175" s="31">
        <v>7</v>
      </c>
      <c r="F175" s="30" t="s">
        <v>476</v>
      </c>
      <c r="G175" s="37">
        <v>41344</v>
      </c>
      <c r="H175" s="65">
        <v>289408</v>
      </c>
      <c r="I175" s="64">
        <v>33439</v>
      </c>
      <c r="J175" s="65">
        <v>234073</v>
      </c>
      <c r="K175" s="64">
        <v>7237</v>
      </c>
      <c r="L175" s="65">
        <v>50659</v>
      </c>
      <c r="M175" s="64">
        <v>668</v>
      </c>
      <c r="N175" s="65">
        <v>4676</v>
      </c>
      <c r="O175" s="32" t="s">
        <v>295</v>
      </c>
    </row>
    <row r="176" spans="2:15" ht="19.7" customHeight="1">
      <c r="B176" s="61" t="s">
        <v>491</v>
      </c>
      <c r="C176" s="62" t="s">
        <v>259</v>
      </c>
      <c r="D176" s="62" t="s">
        <v>834</v>
      </c>
      <c r="E176" s="31"/>
      <c r="F176" s="91" t="s">
        <v>834</v>
      </c>
      <c r="G176" s="37">
        <v>0</v>
      </c>
      <c r="H176" s="92">
        <v>7354221</v>
      </c>
      <c r="I176" s="37"/>
      <c r="J176" s="92" t="s">
        <v>1148</v>
      </c>
      <c r="K176" s="37"/>
      <c r="L176" s="92" t="s">
        <v>1149</v>
      </c>
      <c r="M176" s="37"/>
      <c r="N176" s="92" t="s">
        <v>1150</v>
      </c>
      <c r="O176" s="93" t="s">
        <v>834</v>
      </c>
    </row>
    <row r="177" spans="2:15" ht="19.7" customHeight="1">
      <c r="B177" s="67" t="s">
        <v>834</v>
      </c>
      <c r="C177" s="29" t="s">
        <v>439</v>
      </c>
      <c r="D177" s="29" t="s">
        <v>567</v>
      </c>
      <c r="E177" s="31">
        <v>2</v>
      </c>
      <c r="F177" s="30" t="s">
        <v>748</v>
      </c>
      <c r="G177" s="37">
        <v>2626996</v>
      </c>
      <c r="H177" s="65">
        <v>5253992</v>
      </c>
      <c r="I177" s="64" t="s">
        <v>1127</v>
      </c>
      <c r="J177" s="65">
        <v>1621512</v>
      </c>
      <c r="K177" s="64" t="s">
        <v>1128</v>
      </c>
      <c r="L177" s="65">
        <v>264320</v>
      </c>
      <c r="M177" s="64" t="s">
        <v>1129</v>
      </c>
      <c r="N177" s="65">
        <v>3368160</v>
      </c>
      <c r="O177" s="32" t="s">
        <v>190</v>
      </c>
    </row>
    <row r="178" spans="2:15" ht="19.7" customHeight="1">
      <c r="B178" s="67" t="s">
        <v>834</v>
      </c>
      <c r="C178" s="29" t="s">
        <v>398</v>
      </c>
      <c r="D178" s="29" t="s">
        <v>530</v>
      </c>
      <c r="E178" s="31">
        <v>2</v>
      </c>
      <c r="F178" s="30" t="s">
        <v>748</v>
      </c>
      <c r="G178" s="37">
        <v>973959</v>
      </c>
      <c r="H178" s="65">
        <v>1947918</v>
      </c>
      <c r="I178" s="64">
        <v>553537</v>
      </c>
      <c r="J178" s="65">
        <v>1107074</v>
      </c>
      <c r="K178" s="64">
        <v>244588</v>
      </c>
      <c r="L178" s="65">
        <v>489176</v>
      </c>
      <c r="M178" s="64">
        <v>175834</v>
      </c>
      <c r="N178" s="65">
        <v>351668</v>
      </c>
      <c r="O178" s="32" t="s">
        <v>751</v>
      </c>
    </row>
    <row r="179" spans="2:15" ht="19.7" customHeight="1">
      <c r="B179" s="67" t="s">
        <v>834</v>
      </c>
      <c r="C179" s="29" t="s">
        <v>597</v>
      </c>
      <c r="D179" s="29" t="s">
        <v>530</v>
      </c>
      <c r="E179" s="31">
        <v>1</v>
      </c>
      <c r="F179" s="30" t="s">
        <v>366</v>
      </c>
      <c r="G179" s="37">
        <v>147875</v>
      </c>
      <c r="H179" s="65">
        <v>147875</v>
      </c>
      <c r="I179" s="64">
        <v>63375</v>
      </c>
      <c r="J179" s="65">
        <v>63375</v>
      </c>
      <c r="K179" s="64">
        <v>84500</v>
      </c>
      <c r="L179" s="65">
        <v>84500</v>
      </c>
      <c r="M179" s="64">
        <v>0</v>
      </c>
      <c r="N179" s="65">
        <v>0</v>
      </c>
      <c r="O179" s="32" t="s">
        <v>188</v>
      </c>
    </row>
    <row r="180" spans="2:15" ht="19.7" customHeight="1">
      <c r="B180" s="67" t="s">
        <v>834</v>
      </c>
      <c r="C180" s="29" t="s">
        <v>545</v>
      </c>
      <c r="D180" s="29" t="s">
        <v>280</v>
      </c>
      <c r="E180" s="31">
        <v>1</v>
      </c>
      <c r="F180" s="30" t="s">
        <v>574</v>
      </c>
      <c r="G180" s="37">
        <v>4436</v>
      </c>
      <c r="H180" s="65">
        <v>4436</v>
      </c>
      <c r="I180" s="64" t="s">
        <v>1130</v>
      </c>
      <c r="J180" s="65">
        <v>2541</v>
      </c>
      <c r="K180" s="64" t="s">
        <v>1131</v>
      </c>
      <c r="L180" s="65">
        <v>838</v>
      </c>
      <c r="M180" s="64" t="s">
        <v>1132</v>
      </c>
      <c r="N180" s="65">
        <v>1057</v>
      </c>
      <c r="O180" s="32" t="s">
        <v>735</v>
      </c>
    </row>
    <row r="181" spans="2:15" ht="19.7" customHeight="1">
      <c r="B181" s="67" t="s">
        <v>834</v>
      </c>
      <c r="C181" s="29" t="s">
        <v>834</v>
      </c>
      <c r="D181" s="29" t="s">
        <v>834</v>
      </c>
      <c r="E181" s="31"/>
      <c r="F181" s="30" t="s">
        <v>834</v>
      </c>
      <c r="G181" s="37">
        <v>0</v>
      </c>
      <c r="H181" s="65">
        <v>0</v>
      </c>
      <c r="I181" s="37"/>
      <c r="J181" s="31"/>
      <c r="K181" s="37"/>
      <c r="L181" s="31"/>
      <c r="M181" s="37"/>
      <c r="N181" s="31"/>
      <c r="O181" s="32" t="s">
        <v>834</v>
      </c>
    </row>
    <row r="182" spans="2:15" ht="19.7" customHeight="1">
      <c r="B182" s="61" t="s">
        <v>834</v>
      </c>
      <c r="C182" s="62" t="s">
        <v>830</v>
      </c>
      <c r="D182" s="62" t="s">
        <v>834</v>
      </c>
      <c r="E182" s="31"/>
      <c r="F182" s="91" t="s">
        <v>834</v>
      </c>
      <c r="G182" s="37">
        <v>0</v>
      </c>
      <c r="H182" s="92">
        <v>356120488</v>
      </c>
      <c r="I182" s="37"/>
      <c r="J182" s="92" t="s">
        <v>1250</v>
      </c>
      <c r="K182" s="37"/>
      <c r="L182" s="92" t="s">
        <v>1251</v>
      </c>
      <c r="M182" s="37"/>
      <c r="N182" s="92" t="s">
        <v>1252</v>
      </c>
      <c r="O182" s="93" t="s">
        <v>834</v>
      </c>
    </row>
    <row r="183" spans="2:15" ht="19.7" customHeight="1">
      <c r="B183" s="67" t="s">
        <v>834</v>
      </c>
      <c r="C183" s="29" t="s">
        <v>695</v>
      </c>
      <c r="D183" s="29" t="s">
        <v>834</v>
      </c>
      <c r="E183" s="94">
        <v>16.5</v>
      </c>
      <c r="F183" s="30" t="s">
        <v>157</v>
      </c>
      <c r="G183" s="37">
        <v>0</v>
      </c>
      <c r="H183" s="65">
        <v>30936796</v>
      </c>
      <c r="I183" s="37"/>
      <c r="J183" s="31"/>
      <c r="K183" s="37"/>
      <c r="L183" s="31"/>
      <c r="M183" s="37"/>
      <c r="N183" s="31"/>
      <c r="O183" s="32" t="s">
        <v>834</v>
      </c>
    </row>
    <row r="184" spans="2:15" ht="19.7" customHeight="1">
      <c r="B184" s="67" t="s">
        <v>834</v>
      </c>
      <c r="C184" s="29" t="s">
        <v>367</v>
      </c>
      <c r="D184" s="29" t="s">
        <v>834</v>
      </c>
      <c r="E184" s="94">
        <v>3.56</v>
      </c>
      <c r="F184" s="30" t="s">
        <v>157</v>
      </c>
      <c r="G184" s="37">
        <v>0</v>
      </c>
      <c r="H184" s="65">
        <v>7776198</v>
      </c>
      <c r="I184" s="37"/>
      <c r="J184" s="31"/>
      <c r="K184" s="37"/>
      <c r="L184" s="31"/>
      <c r="M184" s="37"/>
      <c r="N184" s="31"/>
      <c r="O184" s="32" t="s">
        <v>834</v>
      </c>
    </row>
    <row r="185" spans="2:15" ht="19.7" customHeight="1">
      <c r="B185" s="67" t="s">
        <v>834</v>
      </c>
      <c r="C185" s="29" t="s">
        <v>290</v>
      </c>
      <c r="D185" s="29" t="s">
        <v>834</v>
      </c>
      <c r="E185" s="94">
        <v>1.01</v>
      </c>
      <c r="F185" s="30" t="s">
        <v>157</v>
      </c>
      <c r="G185" s="37">
        <v>0</v>
      </c>
      <c r="H185" s="65">
        <v>2206168</v>
      </c>
      <c r="I185" s="37"/>
      <c r="J185" s="31"/>
      <c r="K185" s="37"/>
      <c r="L185" s="31"/>
      <c r="M185" s="37"/>
      <c r="N185" s="31"/>
      <c r="O185" s="32" t="s">
        <v>834</v>
      </c>
    </row>
    <row r="186" spans="2:15" ht="19.7" customHeight="1">
      <c r="B186" s="69" t="s">
        <v>834</v>
      </c>
      <c r="C186" s="34" t="s">
        <v>451</v>
      </c>
      <c r="D186" s="34" t="s">
        <v>834</v>
      </c>
      <c r="E186" s="96">
        <v>3.5950000000000002</v>
      </c>
      <c r="F186" s="35" t="s">
        <v>157</v>
      </c>
      <c r="G186" s="21">
        <v>0</v>
      </c>
      <c r="H186" s="74">
        <v>6740471</v>
      </c>
      <c r="I186" s="21"/>
      <c r="J186" s="22"/>
      <c r="K186" s="21"/>
      <c r="L186" s="22"/>
      <c r="M186" s="21"/>
      <c r="N186" s="22"/>
      <c r="O186" s="36" t="s">
        <v>834</v>
      </c>
    </row>
    <row r="187" spans="2:15" ht="19.7" customHeight="1">
      <c r="B187" s="67" t="s">
        <v>834</v>
      </c>
      <c r="C187" s="29" t="s">
        <v>701</v>
      </c>
      <c r="D187" s="29" t="s">
        <v>834</v>
      </c>
      <c r="E187" s="94">
        <v>4.75</v>
      </c>
      <c r="F187" s="30" t="s">
        <v>157</v>
      </c>
      <c r="G187" s="37">
        <v>0</v>
      </c>
      <c r="H187" s="65">
        <v>8906047</v>
      </c>
      <c r="I187" s="37"/>
      <c r="J187" s="31"/>
      <c r="K187" s="37"/>
      <c r="L187" s="31"/>
      <c r="M187" s="37"/>
      <c r="N187" s="31"/>
      <c r="O187" s="32" t="s">
        <v>834</v>
      </c>
    </row>
    <row r="188" spans="2:15" ht="19.7" customHeight="1">
      <c r="B188" s="67" t="s">
        <v>834</v>
      </c>
      <c r="C188" s="29" t="s">
        <v>774</v>
      </c>
      <c r="D188" s="29" t="s">
        <v>834</v>
      </c>
      <c r="E188" s="94">
        <v>13.14</v>
      </c>
      <c r="F188" s="30" t="s">
        <v>157</v>
      </c>
      <c r="G188" s="37">
        <v>0</v>
      </c>
      <c r="H188" s="65">
        <v>885697</v>
      </c>
      <c r="I188" s="37"/>
      <c r="J188" s="31"/>
      <c r="K188" s="37"/>
      <c r="L188" s="31"/>
      <c r="M188" s="37"/>
      <c r="N188" s="31"/>
      <c r="O188" s="32" t="s">
        <v>834</v>
      </c>
    </row>
    <row r="189" spans="2:15" ht="19.7" customHeight="1">
      <c r="B189" s="67" t="s">
        <v>834</v>
      </c>
      <c r="C189" s="29" t="s">
        <v>147</v>
      </c>
      <c r="D189" s="29" t="s">
        <v>834</v>
      </c>
      <c r="E189" s="94">
        <v>2.2999999999999998</v>
      </c>
      <c r="F189" s="30" t="s">
        <v>157</v>
      </c>
      <c r="G189" s="37">
        <v>0</v>
      </c>
      <c r="H189" s="65">
        <v>4312401</v>
      </c>
      <c r="I189" s="37"/>
      <c r="J189" s="31"/>
      <c r="K189" s="37"/>
      <c r="L189" s="31"/>
      <c r="M189" s="37"/>
      <c r="N189" s="31"/>
      <c r="O189" s="32" t="s">
        <v>834</v>
      </c>
    </row>
    <row r="190" spans="2:15" ht="19.7" customHeight="1">
      <c r="B190" s="67" t="s">
        <v>834</v>
      </c>
      <c r="C190" s="29" t="s">
        <v>413</v>
      </c>
      <c r="D190" s="29" t="s">
        <v>834</v>
      </c>
      <c r="E190" s="94">
        <v>0.4</v>
      </c>
      <c r="F190" s="30" t="s">
        <v>157</v>
      </c>
      <c r="G190" s="37">
        <v>0</v>
      </c>
      <c r="H190" s="65">
        <v>1291050</v>
      </c>
      <c r="I190" s="37"/>
      <c r="J190" s="31"/>
      <c r="K190" s="37"/>
      <c r="L190" s="31"/>
      <c r="M190" s="37"/>
      <c r="N190" s="31"/>
      <c r="O190" s="32" t="s">
        <v>834</v>
      </c>
    </row>
    <row r="191" spans="2:15" ht="19.7" customHeight="1">
      <c r="B191" s="67" t="s">
        <v>834</v>
      </c>
      <c r="C191" s="29" t="s">
        <v>734</v>
      </c>
      <c r="D191" s="29" t="s">
        <v>834</v>
      </c>
      <c r="E191" s="94">
        <v>2.5299999999999998</v>
      </c>
      <c r="F191" s="30" t="s">
        <v>157</v>
      </c>
      <c r="G191" s="37">
        <v>0</v>
      </c>
      <c r="H191" s="65">
        <v>11625999</v>
      </c>
      <c r="I191" s="37"/>
      <c r="J191" s="31"/>
      <c r="K191" s="37"/>
      <c r="L191" s="31"/>
      <c r="M191" s="37"/>
      <c r="N191" s="31"/>
      <c r="O191" s="32" t="s">
        <v>834</v>
      </c>
    </row>
    <row r="192" spans="2:15" ht="19.7" customHeight="1">
      <c r="B192" s="67" t="s">
        <v>834</v>
      </c>
      <c r="C192" s="29" t="s">
        <v>689</v>
      </c>
      <c r="D192" s="29" t="s">
        <v>834</v>
      </c>
      <c r="E192" s="94">
        <v>0.9</v>
      </c>
      <c r="F192" s="30" t="s">
        <v>157</v>
      </c>
      <c r="G192" s="37">
        <v>0</v>
      </c>
      <c r="H192" s="65">
        <v>2904862</v>
      </c>
      <c r="I192" s="37"/>
      <c r="J192" s="31"/>
      <c r="K192" s="37"/>
      <c r="L192" s="31"/>
      <c r="M192" s="37"/>
      <c r="N192" s="31"/>
      <c r="O192" s="32" t="s">
        <v>834</v>
      </c>
    </row>
    <row r="193" spans="2:15" ht="19.7" customHeight="1">
      <c r="B193" s="67" t="s">
        <v>834</v>
      </c>
      <c r="C193" s="29" t="s">
        <v>388</v>
      </c>
      <c r="D193" s="29" t="s">
        <v>834</v>
      </c>
      <c r="E193" s="94">
        <v>8.1000000000000003E-2</v>
      </c>
      <c r="F193" s="30" t="s">
        <v>157</v>
      </c>
      <c r="G193" s="37">
        <v>0</v>
      </c>
      <c r="H193" s="65">
        <v>261437</v>
      </c>
      <c r="I193" s="37"/>
      <c r="J193" s="31"/>
      <c r="K193" s="37"/>
      <c r="L193" s="31"/>
      <c r="M193" s="37"/>
      <c r="N193" s="31"/>
      <c r="O193" s="32" t="s">
        <v>834</v>
      </c>
    </row>
    <row r="194" spans="2:15" ht="19.7" customHeight="1">
      <c r="B194" s="67" t="s">
        <v>834</v>
      </c>
      <c r="C194" s="29" t="s">
        <v>817</v>
      </c>
      <c r="D194" s="29" t="s">
        <v>834</v>
      </c>
      <c r="E194" s="94">
        <v>5.2</v>
      </c>
      <c r="F194" s="30" t="s">
        <v>157</v>
      </c>
      <c r="G194" s="37">
        <v>0</v>
      </c>
      <c r="H194" s="65">
        <v>16939257</v>
      </c>
      <c r="I194" s="37"/>
      <c r="J194" s="31"/>
      <c r="K194" s="37"/>
      <c r="L194" s="31"/>
      <c r="M194" s="37"/>
      <c r="N194" s="31"/>
      <c r="O194" s="32" t="s">
        <v>834</v>
      </c>
    </row>
    <row r="195" spans="2:15" ht="19.7" customHeight="1">
      <c r="B195" s="67" t="s">
        <v>834</v>
      </c>
      <c r="C195" s="29" t="s">
        <v>784</v>
      </c>
      <c r="D195" s="29" t="s">
        <v>834</v>
      </c>
      <c r="E195" s="31"/>
      <c r="F195" s="30" t="s">
        <v>834</v>
      </c>
      <c r="G195" s="37">
        <v>0</v>
      </c>
      <c r="H195" s="65">
        <v>417548905</v>
      </c>
      <c r="I195" s="37"/>
      <c r="J195" s="31"/>
      <c r="K195" s="37"/>
      <c r="L195" s="31"/>
      <c r="M195" s="37"/>
      <c r="N195" s="31"/>
      <c r="O195" s="32" t="s">
        <v>834</v>
      </c>
    </row>
    <row r="196" spans="2:15" ht="19.7" customHeight="1">
      <c r="B196" s="67" t="s">
        <v>834</v>
      </c>
      <c r="C196" s="29" t="s">
        <v>705</v>
      </c>
      <c r="D196" s="29" t="s">
        <v>834</v>
      </c>
      <c r="E196" s="31">
        <v>8</v>
      </c>
      <c r="F196" s="30" t="s">
        <v>157</v>
      </c>
      <c r="G196" s="37">
        <v>0</v>
      </c>
      <c r="H196" s="65">
        <v>33403912</v>
      </c>
      <c r="I196" s="37"/>
      <c r="J196" s="31"/>
      <c r="K196" s="37"/>
      <c r="L196" s="31"/>
      <c r="M196" s="37"/>
      <c r="N196" s="31"/>
      <c r="O196" s="32" t="s">
        <v>834</v>
      </c>
    </row>
    <row r="197" spans="2:15" ht="19.7" customHeight="1">
      <c r="B197" s="67" t="s">
        <v>834</v>
      </c>
      <c r="C197" s="29" t="s">
        <v>276</v>
      </c>
      <c r="D197" s="29" t="s">
        <v>834</v>
      </c>
      <c r="E197" s="94">
        <v>14.88</v>
      </c>
      <c r="F197" s="30" t="s">
        <v>157</v>
      </c>
      <c r="G197" s="37">
        <v>0</v>
      </c>
      <c r="H197" s="65">
        <v>51113990</v>
      </c>
      <c r="I197" s="37"/>
      <c r="J197" s="31"/>
      <c r="K197" s="37"/>
      <c r="L197" s="31"/>
      <c r="M197" s="37"/>
      <c r="N197" s="31"/>
      <c r="O197" s="32" t="s">
        <v>834</v>
      </c>
    </row>
    <row r="198" spans="2:15" ht="19.7" customHeight="1">
      <c r="B198" s="67" t="s">
        <v>834</v>
      </c>
      <c r="C198" s="29" t="s">
        <v>704</v>
      </c>
      <c r="D198" s="29" t="s">
        <v>834</v>
      </c>
      <c r="E198" s="31"/>
      <c r="F198" s="30" t="s">
        <v>834</v>
      </c>
      <c r="G198" s="37">
        <v>0</v>
      </c>
      <c r="H198" s="65">
        <v>520405718</v>
      </c>
      <c r="I198" s="37"/>
      <c r="J198" s="31"/>
      <c r="K198" s="37"/>
      <c r="L198" s="31"/>
      <c r="M198" s="37"/>
      <c r="N198" s="31"/>
      <c r="O198" s="32" t="s">
        <v>834</v>
      </c>
    </row>
    <row r="199" spans="2:15" ht="19.7" customHeight="1">
      <c r="B199" s="67" t="s">
        <v>834</v>
      </c>
      <c r="C199" s="29" t="s">
        <v>63</v>
      </c>
      <c r="D199" s="29" t="s">
        <v>834</v>
      </c>
      <c r="E199" s="31">
        <v>10</v>
      </c>
      <c r="F199" s="30" t="s">
        <v>157</v>
      </c>
      <c r="G199" s="37">
        <v>0</v>
      </c>
      <c r="H199" s="65">
        <v>52040571</v>
      </c>
      <c r="I199" s="37"/>
      <c r="J199" s="31"/>
      <c r="K199" s="37"/>
      <c r="L199" s="31"/>
      <c r="M199" s="37"/>
      <c r="N199" s="31"/>
      <c r="O199" s="32" t="s">
        <v>834</v>
      </c>
    </row>
    <row r="200" spans="2:15" ht="19.7" customHeight="1">
      <c r="B200" s="67" t="s">
        <v>834</v>
      </c>
      <c r="C200" s="29" t="s">
        <v>430</v>
      </c>
      <c r="D200" s="29" t="s">
        <v>834</v>
      </c>
      <c r="E200" s="31"/>
      <c r="F200" s="30" t="s">
        <v>834</v>
      </c>
      <c r="G200" s="37">
        <v>0</v>
      </c>
      <c r="H200" s="65">
        <v>572446289</v>
      </c>
      <c r="I200" s="37"/>
      <c r="J200" s="31"/>
      <c r="K200" s="37"/>
      <c r="L200" s="31"/>
      <c r="M200" s="37"/>
      <c r="N200" s="31"/>
      <c r="O200" s="32" t="s">
        <v>834</v>
      </c>
    </row>
    <row r="201" spans="2:15" ht="19.7" customHeight="1">
      <c r="B201" s="67" t="s">
        <v>834</v>
      </c>
      <c r="C201" s="29" t="s">
        <v>341</v>
      </c>
      <c r="D201" s="29" t="s">
        <v>834</v>
      </c>
      <c r="E201" s="31"/>
      <c r="F201" s="30" t="s">
        <v>834</v>
      </c>
      <c r="G201" s="37">
        <v>0</v>
      </c>
      <c r="H201" s="65">
        <v>610146289</v>
      </c>
      <c r="I201" s="37"/>
      <c r="J201" s="31"/>
      <c r="K201" s="37"/>
      <c r="L201" s="31"/>
      <c r="M201" s="37"/>
      <c r="N201" s="31"/>
      <c r="O201" s="32" t="s">
        <v>834</v>
      </c>
    </row>
    <row r="202" spans="2:15" ht="19.7" customHeight="1">
      <c r="B202" s="67" t="s">
        <v>834</v>
      </c>
      <c r="C202" s="29" t="s">
        <v>834</v>
      </c>
      <c r="D202" s="29" t="s">
        <v>834</v>
      </c>
      <c r="E202" s="31"/>
      <c r="F202" s="30" t="s">
        <v>834</v>
      </c>
      <c r="G202" s="37">
        <v>0</v>
      </c>
      <c r="H202" s="65">
        <v>0</v>
      </c>
      <c r="I202" s="37"/>
      <c r="J202" s="31"/>
      <c r="K202" s="37"/>
      <c r="L202" s="31"/>
      <c r="M202" s="37"/>
      <c r="N202" s="31"/>
      <c r="O202" s="32" t="s">
        <v>834</v>
      </c>
    </row>
    <row r="203" spans="2:15" ht="19.7" customHeight="1">
      <c r="B203" s="61" t="s">
        <v>832</v>
      </c>
      <c r="C203" s="62" t="s">
        <v>638</v>
      </c>
      <c r="D203" s="62" t="s">
        <v>834</v>
      </c>
      <c r="E203" s="31"/>
      <c r="F203" s="91" t="s">
        <v>834</v>
      </c>
      <c r="G203" s="37">
        <v>0</v>
      </c>
      <c r="H203" s="92">
        <v>17884603</v>
      </c>
      <c r="I203" s="37"/>
      <c r="J203" s="92" t="s">
        <v>1077</v>
      </c>
      <c r="K203" s="37"/>
      <c r="L203" s="65" t="s">
        <v>1078</v>
      </c>
      <c r="M203" s="37"/>
      <c r="N203" s="92" t="s">
        <v>1079</v>
      </c>
      <c r="O203" s="93" t="s">
        <v>834</v>
      </c>
    </row>
    <row r="204" spans="2:15" ht="19.7" customHeight="1">
      <c r="B204" s="67" t="s">
        <v>834</v>
      </c>
      <c r="C204" s="29" t="s">
        <v>551</v>
      </c>
      <c r="D204" s="29" t="s">
        <v>591</v>
      </c>
      <c r="E204" s="31">
        <v>60</v>
      </c>
      <c r="F204" s="30" t="s">
        <v>748</v>
      </c>
      <c r="G204" s="37">
        <v>235459</v>
      </c>
      <c r="H204" s="65">
        <v>14127540</v>
      </c>
      <c r="I204" s="64">
        <v>235459</v>
      </c>
      <c r="J204" s="65">
        <v>14127540</v>
      </c>
      <c r="K204" s="64">
        <v>0</v>
      </c>
      <c r="L204" s="65">
        <v>0</v>
      </c>
      <c r="M204" s="64">
        <v>0</v>
      </c>
      <c r="N204" s="65">
        <v>0</v>
      </c>
      <c r="O204" s="32" t="s">
        <v>655</v>
      </c>
    </row>
    <row r="205" spans="2:15" ht="19.7" customHeight="1">
      <c r="B205" s="67" t="s">
        <v>834</v>
      </c>
      <c r="C205" s="29" t="s">
        <v>683</v>
      </c>
      <c r="D205" s="29" t="s">
        <v>834</v>
      </c>
      <c r="E205" s="31">
        <v>1</v>
      </c>
      <c r="F205" s="30" t="s">
        <v>665</v>
      </c>
      <c r="G205" s="37">
        <v>3757063</v>
      </c>
      <c r="H205" s="65">
        <v>3757063</v>
      </c>
      <c r="I205" s="64">
        <v>1491436</v>
      </c>
      <c r="J205" s="65">
        <v>1491436</v>
      </c>
      <c r="K205" s="64">
        <v>0</v>
      </c>
      <c r="L205" s="65">
        <v>0</v>
      </c>
      <c r="M205" s="64">
        <v>2265627</v>
      </c>
      <c r="N205" s="65">
        <v>2265627</v>
      </c>
      <c r="O205" s="32" t="s">
        <v>344</v>
      </c>
    </row>
    <row r="206" spans="2:15" ht="19.7" customHeight="1">
      <c r="B206" s="67" t="s">
        <v>834</v>
      </c>
      <c r="C206" s="29" t="s">
        <v>834</v>
      </c>
      <c r="D206" s="29" t="s">
        <v>834</v>
      </c>
      <c r="E206" s="31"/>
      <c r="F206" s="30" t="s">
        <v>834</v>
      </c>
      <c r="G206" s="37">
        <v>0</v>
      </c>
      <c r="H206" s="65">
        <v>0</v>
      </c>
      <c r="I206" s="37"/>
      <c r="J206" s="31"/>
      <c r="K206" s="37"/>
      <c r="L206" s="31"/>
      <c r="M206" s="37"/>
      <c r="N206" s="31"/>
      <c r="O206" s="32" t="s">
        <v>834</v>
      </c>
    </row>
    <row r="207" spans="2:15" ht="19.7" customHeight="1">
      <c r="B207" s="61" t="s">
        <v>165</v>
      </c>
      <c r="C207" s="62" t="s">
        <v>554</v>
      </c>
      <c r="D207" s="62" t="s">
        <v>834</v>
      </c>
      <c r="E207" s="31"/>
      <c r="F207" s="91" t="s">
        <v>834</v>
      </c>
      <c r="G207" s="37">
        <v>0</v>
      </c>
      <c r="H207" s="92">
        <v>501302</v>
      </c>
      <c r="I207" s="37"/>
      <c r="J207" s="65" t="s">
        <v>1078</v>
      </c>
      <c r="K207" s="37"/>
      <c r="L207" s="65" t="s">
        <v>1078</v>
      </c>
      <c r="M207" s="37"/>
      <c r="N207" s="92" t="s">
        <v>1253</v>
      </c>
      <c r="O207" s="93" t="s">
        <v>834</v>
      </c>
    </row>
    <row r="208" spans="2:15" ht="19.7" customHeight="1">
      <c r="B208" s="67" t="s">
        <v>834</v>
      </c>
      <c r="C208" s="29" t="s">
        <v>554</v>
      </c>
      <c r="D208" s="29" t="s">
        <v>189</v>
      </c>
      <c r="E208" s="94">
        <v>9.86</v>
      </c>
      <c r="F208" s="30" t="s">
        <v>566</v>
      </c>
      <c r="G208" s="37">
        <v>31142</v>
      </c>
      <c r="H208" s="65">
        <v>307060</v>
      </c>
      <c r="I208" s="64"/>
      <c r="J208" s="65">
        <v>0</v>
      </c>
      <c r="K208" s="64"/>
      <c r="L208" s="65">
        <v>0</v>
      </c>
      <c r="M208" s="64">
        <v>31142</v>
      </c>
      <c r="N208" s="65">
        <v>307060</v>
      </c>
      <c r="O208" s="32" t="s">
        <v>834</v>
      </c>
    </row>
    <row r="209" spans="2:15" ht="19.7" customHeight="1">
      <c r="B209" s="67" t="s">
        <v>834</v>
      </c>
      <c r="C209" s="29" t="s">
        <v>119</v>
      </c>
      <c r="D209" s="29" t="s">
        <v>383</v>
      </c>
      <c r="E209" s="94">
        <v>9.86</v>
      </c>
      <c r="F209" s="30" t="s">
        <v>566</v>
      </c>
      <c r="G209" s="37">
        <v>19700</v>
      </c>
      <c r="H209" s="65">
        <v>194242</v>
      </c>
      <c r="I209" s="64"/>
      <c r="J209" s="65">
        <v>0</v>
      </c>
      <c r="K209" s="64"/>
      <c r="L209" s="65">
        <v>0</v>
      </c>
      <c r="M209" s="64">
        <v>19700</v>
      </c>
      <c r="N209" s="65">
        <v>194242</v>
      </c>
      <c r="O209" s="32" t="s">
        <v>834</v>
      </c>
    </row>
    <row r="210" spans="2:15" ht="19.7" customHeight="1">
      <c r="B210" s="67" t="s">
        <v>834</v>
      </c>
      <c r="C210" s="29" t="s">
        <v>834</v>
      </c>
      <c r="D210" s="29" t="s">
        <v>834</v>
      </c>
      <c r="E210" s="31"/>
      <c r="F210" s="30" t="s">
        <v>834</v>
      </c>
      <c r="G210" s="37">
        <v>0</v>
      </c>
      <c r="H210" s="65">
        <v>0</v>
      </c>
      <c r="I210" s="37"/>
      <c r="J210" s="31"/>
      <c r="K210" s="37"/>
      <c r="L210" s="31"/>
      <c r="M210" s="37"/>
      <c r="N210" s="31"/>
      <c r="O210" s="32" t="s">
        <v>834</v>
      </c>
    </row>
    <row r="211" spans="2:15" ht="19.7" customHeight="1">
      <c r="B211" s="67" t="s">
        <v>834</v>
      </c>
      <c r="C211" s="29" t="s">
        <v>834</v>
      </c>
      <c r="D211" s="29" t="s">
        <v>834</v>
      </c>
      <c r="E211" s="31"/>
      <c r="F211" s="30" t="s">
        <v>834</v>
      </c>
      <c r="G211" s="37">
        <v>0</v>
      </c>
      <c r="H211" s="65">
        <v>0</v>
      </c>
      <c r="I211" s="37"/>
      <c r="J211" s="31"/>
      <c r="K211" s="37"/>
      <c r="L211" s="31"/>
      <c r="M211" s="37"/>
      <c r="N211" s="31"/>
      <c r="O211" s="32" t="s">
        <v>834</v>
      </c>
    </row>
    <row r="212" spans="2:15" ht="19.7" customHeight="1">
      <c r="B212" s="102" t="s">
        <v>389</v>
      </c>
      <c r="C212" s="98" t="s">
        <v>761</v>
      </c>
      <c r="D212" s="98" t="s">
        <v>834</v>
      </c>
      <c r="E212" s="22"/>
      <c r="F212" s="99" t="s">
        <v>834</v>
      </c>
      <c r="G212" s="21">
        <v>0</v>
      </c>
      <c r="H212" s="100">
        <v>37700000</v>
      </c>
      <c r="I212" s="21"/>
      <c r="J212" s="74" t="s">
        <v>1078</v>
      </c>
      <c r="K212" s="21"/>
      <c r="L212" s="100" t="s">
        <v>932</v>
      </c>
      <c r="M212" s="21"/>
      <c r="N212" s="74" t="s">
        <v>1078</v>
      </c>
      <c r="O212" s="101" t="s">
        <v>834</v>
      </c>
    </row>
    <row r="213" spans="2:15" ht="19.7" customHeight="1">
      <c r="B213" s="61" t="s">
        <v>198</v>
      </c>
      <c r="C213" s="62" t="s">
        <v>275</v>
      </c>
      <c r="D213" s="62" t="s">
        <v>834</v>
      </c>
      <c r="E213" s="31"/>
      <c r="F213" s="91" t="s">
        <v>834</v>
      </c>
      <c r="G213" s="37">
        <v>0</v>
      </c>
      <c r="H213" s="92">
        <v>37645120</v>
      </c>
      <c r="I213" s="37"/>
      <c r="J213" s="65" t="s">
        <v>1078</v>
      </c>
      <c r="K213" s="37"/>
      <c r="L213" s="92" t="s">
        <v>1080</v>
      </c>
      <c r="M213" s="37"/>
      <c r="N213" s="65" t="s">
        <v>1078</v>
      </c>
      <c r="O213" s="93" t="s">
        <v>834</v>
      </c>
    </row>
    <row r="214" spans="2:15" ht="19.7" customHeight="1">
      <c r="B214" s="67" t="s">
        <v>834</v>
      </c>
      <c r="C214" s="29" t="s">
        <v>790</v>
      </c>
      <c r="D214" s="29" t="s">
        <v>37</v>
      </c>
      <c r="E214" s="31">
        <v>376</v>
      </c>
      <c r="F214" s="30" t="s">
        <v>537</v>
      </c>
      <c r="G214" s="37">
        <v>100120</v>
      </c>
      <c r="H214" s="65">
        <v>37645120</v>
      </c>
      <c r="I214" s="64">
        <v>0</v>
      </c>
      <c r="J214" s="65">
        <v>0</v>
      </c>
      <c r="K214" s="64">
        <v>100120</v>
      </c>
      <c r="L214" s="65">
        <v>37645120</v>
      </c>
      <c r="M214" s="64">
        <v>0</v>
      </c>
      <c r="N214" s="65">
        <v>0</v>
      </c>
      <c r="O214" s="32" t="s">
        <v>375</v>
      </c>
    </row>
    <row r="215" spans="2:15" ht="19.7" customHeight="1">
      <c r="B215" s="61" t="s">
        <v>804</v>
      </c>
      <c r="C215" s="62" t="s">
        <v>362</v>
      </c>
      <c r="D215" s="62" t="s">
        <v>834</v>
      </c>
      <c r="E215" s="95">
        <v>1</v>
      </c>
      <c r="F215" s="91" t="s">
        <v>665</v>
      </c>
      <c r="G215" s="103">
        <v>54880</v>
      </c>
      <c r="H215" s="92">
        <v>54880</v>
      </c>
      <c r="I215" s="37"/>
      <c r="J215" s="65">
        <v>0</v>
      </c>
      <c r="K215" s="103">
        <v>54880</v>
      </c>
      <c r="L215" s="92">
        <v>54880</v>
      </c>
      <c r="M215" s="37"/>
      <c r="N215" s="65">
        <v>0</v>
      </c>
      <c r="O215" s="93" t="s">
        <v>834</v>
      </c>
    </row>
    <row r="216" spans="2:15" ht="19.7" customHeight="1">
      <c r="B216" s="67" t="s">
        <v>834</v>
      </c>
      <c r="C216" s="29" t="s">
        <v>834</v>
      </c>
      <c r="D216" s="29" t="s">
        <v>834</v>
      </c>
      <c r="E216" s="31"/>
      <c r="F216" s="30" t="s">
        <v>834</v>
      </c>
      <c r="G216" s="37">
        <v>0</v>
      </c>
      <c r="H216" s="65">
        <v>0</v>
      </c>
      <c r="I216" s="37"/>
      <c r="J216" s="31"/>
      <c r="K216" s="37"/>
      <c r="L216" s="31"/>
      <c r="M216" s="37"/>
      <c r="N216" s="31"/>
      <c r="O216" s="32" t="s">
        <v>834</v>
      </c>
    </row>
    <row r="217" spans="2:15" ht="19.7" customHeight="1">
      <c r="B217" s="67" t="s">
        <v>834</v>
      </c>
      <c r="C217" s="29" t="s">
        <v>834</v>
      </c>
      <c r="D217" s="29" t="s">
        <v>834</v>
      </c>
      <c r="E217" s="31"/>
      <c r="F217" s="30" t="s">
        <v>834</v>
      </c>
      <c r="G217" s="37">
        <v>0</v>
      </c>
      <c r="H217" s="65">
        <v>0</v>
      </c>
      <c r="I217" s="37"/>
      <c r="J217" s="31"/>
      <c r="K217" s="37"/>
      <c r="L217" s="31"/>
      <c r="M217" s="37"/>
      <c r="N217" s="31"/>
      <c r="O217" s="32" t="s">
        <v>834</v>
      </c>
    </row>
    <row r="218" spans="2:15" ht="19.7" customHeight="1">
      <c r="B218" s="67" t="s">
        <v>834</v>
      </c>
      <c r="C218" s="29" t="s">
        <v>834</v>
      </c>
      <c r="D218" s="29" t="s">
        <v>834</v>
      </c>
      <c r="E218" s="31"/>
      <c r="F218" s="30" t="s">
        <v>834</v>
      </c>
      <c r="G218" s="37">
        <v>0</v>
      </c>
      <c r="H218" s="65">
        <v>0</v>
      </c>
      <c r="I218" s="37"/>
      <c r="J218" s="31"/>
      <c r="K218" s="37"/>
      <c r="L218" s="31"/>
      <c r="M218" s="37"/>
      <c r="N218" s="31"/>
      <c r="O218" s="32" t="s">
        <v>834</v>
      </c>
    </row>
    <row r="219" spans="2:15" ht="19.7" customHeight="1">
      <c r="B219" s="67" t="s">
        <v>834</v>
      </c>
      <c r="C219" s="29" t="s">
        <v>834</v>
      </c>
      <c r="D219" s="29" t="s">
        <v>834</v>
      </c>
      <c r="E219" s="31"/>
      <c r="F219" s="30" t="s">
        <v>834</v>
      </c>
      <c r="G219" s="37">
        <v>0</v>
      </c>
      <c r="H219" s="65">
        <v>0</v>
      </c>
      <c r="I219" s="37"/>
      <c r="J219" s="31"/>
      <c r="K219" s="37"/>
      <c r="L219" s="31"/>
      <c r="M219" s="37"/>
      <c r="N219" s="31"/>
      <c r="O219" s="32" t="s">
        <v>834</v>
      </c>
    </row>
    <row r="220" spans="2:15" ht="19.7" customHeight="1">
      <c r="B220" s="67" t="s">
        <v>834</v>
      </c>
      <c r="C220" s="29" t="s">
        <v>834</v>
      </c>
      <c r="D220" s="29" t="s">
        <v>834</v>
      </c>
      <c r="E220" s="31"/>
      <c r="F220" s="30" t="s">
        <v>834</v>
      </c>
      <c r="G220" s="37">
        <v>0</v>
      </c>
      <c r="H220" s="65">
        <v>0</v>
      </c>
      <c r="I220" s="37"/>
      <c r="J220" s="31"/>
      <c r="K220" s="37"/>
      <c r="L220" s="31"/>
      <c r="M220" s="37"/>
      <c r="N220" s="31"/>
      <c r="O220" s="32" t="s">
        <v>834</v>
      </c>
    </row>
    <row r="221" spans="2:15" ht="19.7" customHeight="1">
      <c r="B221" s="67" t="s">
        <v>834</v>
      </c>
      <c r="C221" s="29" t="s">
        <v>834</v>
      </c>
      <c r="D221" s="29" t="s">
        <v>834</v>
      </c>
      <c r="E221" s="31"/>
      <c r="F221" s="30" t="s">
        <v>834</v>
      </c>
      <c r="G221" s="37">
        <v>0</v>
      </c>
      <c r="H221" s="65">
        <v>0</v>
      </c>
      <c r="I221" s="37"/>
      <c r="J221" s="31"/>
      <c r="K221" s="37"/>
      <c r="L221" s="31"/>
      <c r="M221" s="37"/>
      <c r="N221" s="31"/>
      <c r="O221" s="32" t="s">
        <v>834</v>
      </c>
    </row>
    <row r="222" spans="2:15" ht="19.7" customHeight="1">
      <c r="B222" s="67" t="s">
        <v>834</v>
      </c>
      <c r="C222" s="29" t="s">
        <v>834</v>
      </c>
      <c r="D222" s="29" t="s">
        <v>834</v>
      </c>
      <c r="E222" s="31"/>
      <c r="F222" s="30" t="s">
        <v>834</v>
      </c>
      <c r="G222" s="37">
        <v>0</v>
      </c>
      <c r="H222" s="65">
        <v>0</v>
      </c>
      <c r="I222" s="37"/>
      <c r="J222" s="31"/>
      <c r="K222" s="37"/>
      <c r="L222" s="31"/>
      <c r="M222" s="37"/>
      <c r="N222" s="31"/>
      <c r="O222" s="32" t="s">
        <v>834</v>
      </c>
    </row>
    <row r="223" spans="2:15" ht="19.7" customHeight="1">
      <c r="B223" s="67" t="s">
        <v>834</v>
      </c>
      <c r="C223" s="29" t="s">
        <v>834</v>
      </c>
      <c r="D223" s="29" t="s">
        <v>834</v>
      </c>
      <c r="E223" s="31"/>
      <c r="F223" s="30" t="s">
        <v>834</v>
      </c>
      <c r="G223" s="37">
        <v>0</v>
      </c>
      <c r="H223" s="65">
        <v>0</v>
      </c>
      <c r="I223" s="37"/>
      <c r="J223" s="31"/>
      <c r="K223" s="37"/>
      <c r="L223" s="31"/>
      <c r="M223" s="37"/>
      <c r="N223" s="31"/>
      <c r="O223" s="32" t="s">
        <v>834</v>
      </c>
    </row>
    <row r="224" spans="2:15" ht="19.7" customHeight="1">
      <c r="B224" s="67" t="s">
        <v>834</v>
      </c>
      <c r="C224" s="29" t="s">
        <v>834</v>
      </c>
      <c r="D224" s="29" t="s">
        <v>834</v>
      </c>
      <c r="E224" s="31"/>
      <c r="F224" s="30" t="s">
        <v>834</v>
      </c>
      <c r="G224" s="37">
        <v>0</v>
      </c>
      <c r="H224" s="65">
        <v>0</v>
      </c>
      <c r="I224" s="37"/>
      <c r="J224" s="31"/>
      <c r="K224" s="37"/>
      <c r="L224" s="31"/>
      <c r="M224" s="37"/>
      <c r="N224" s="31"/>
      <c r="O224" s="32" t="s">
        <v>834</v>
      </c>
    </row>
    <row r="225" spans="2:15" ht="19.7" customHeight="1">
      <c r="B225" s="67" t="s">
        <v>834</v>
      </c>
      <c r="C225" s="29" t="s">
        <v>834</v>
      </c>
      <c r="D225" s="29" t="s">
        <v>834</v>
      </c>
      <c r="E225" s="31"/>
      <c r="F225" s="30" t="s">
        <v>834</v>
      </c>
      <c r="G225" s="37">
        <v>0</v>
      </c>
      <c r="H225" s="65">
        <v>0</v>
      </c>
      <c r="I225" s="37"/>
      <c r="J225" s="31"/>
      <c r="K225" s="37"/>
      <c r="L225" s="31"/>
      <c r="M225" s="37"/>
      <c r="N225" s="31"/>
      <c r="O225" s="32" t="s">
        <v>834</v>
      </c>
    </row>
    <row r="226" spans="2:15" ht="19.7" customHeight="1">
      <c r="B226" s="67" t="s">
        <v>834</v>
      </c>
      <c r="C226" s="29" t="s">
        <v>834</v>
      </c>
      <c r="D226" s="29" t="s">
        <v>834</v>
      </c>
      <c r="E226" s="31"/>
      <c r="F226" s="30" t="s">
        <v>834</v>
      </c>
      <c r="G226" s="37">
        <v>0</v>
      </c>
      <c r="H226" s="65">
        <v>0</v>
      </c>
      <c r="I226" s="37"/>
      <c r="J226" s="31"/>
      <c r="K226" s="37"/>
      <c r="L226" s="31"/>
      <c r="M226" s="37"/>
      <c r="N226" s="31"/>
      <c r="O226" s="32" t="s">
        <v>834</v>
      </c>
    </row>
    <row r="227" spans="2:15" ht="19.7" customHeight="1">
      <c r="B227" s="67" t="s">
        <v>834</v>
      </c>
      <c r="C227" s="29" t="s">
        <v>834</v>
      </c>
      <c r="D227" s="29" t="s">
        <v>834</v>
      </c>
      <c r="E227" s="31"/>
      <c r="F227" s="30" t="s">
        <v>834</v>
      </c>
      <c r="G227" s="37">
        <v>0</v>
      </c>
      <c r="H227" s="65">
        <v>0</v>
      </c>
      <c r="I227" s="37"/>
      <c r="J227" s="31"/>
      <c r="K227" s="37"/>
      <c r="L227" s="31"/>
      <c r="M227" s="37"/>
      <c r="N227" s="31"/>
      <c r="O227" s="32" t="s">
        <v>834</v>
      </c>
    </row>
    <row r="228" spans="2:15" ht="19.7" customHeight="1">
      <c r="B228" s="67" t="s">
        <v>834</v>
      </c>
      <c r="C228" s="29" t="s">
        <v>834</v>
      </c>
      <c r="D228" s="29" t="s">
        <v>834</v>
      </c>
      <c r="E228" s="31"/>
      <c r="F228" s="30" t="s">
        <v>834</v>
      </c>
      <c r="G228" s="37">
        <v>0</v>
      </c>
      <c r="H228" s="65">
        <v>0</v>
      </c>
      <c r="I228" s="37"/>
      <c r="J228" s="31"/>
      <c r="K228" s="37"/>
      <c r="L228" s="31"/>
      <c r="M228" s="37"/>
      <c r="N228" s="31"/>
      <c r="O228" s="32" t="s">
        <v>834</v>
      </c>
    </row>
    <row r="229" spans="2:15" ht="19.7" customHeight="1">
      <c r="B229" s="67" t="s">
        <v>834</v>
      </c>
      <c r="C229" s="29" t="s">
        <v>834</v>
      </c>
      <c r="D229" s="29" t="s">
        <v>834</v>
      </c>
      <c r="E229" s="31"/>
      <c r="F229" s="30" t="s">
        <v>834</v>
      </c>
      <c r="G229" s="37">
        <v>0</v>
      </c>
      <c r="H229" s="65">
        <v>0</v>
      </c>
      <c r="I229" s="37"/>
      <c r="J229" s="31"/>
      <c r="K229" s="37"/>
      <c r="L229" s="31"/>
      <c r="M229" s="37"/>
      <c r="N229" s="31"/>
      <c r="O229" s="32" t="s">
        <v>834</v>
      </c>
    </row>
    <row r="230" spans="2:15" ht="19.7" customHeight="1">
      <c r="B230" s="67" t="s">
        <v>834</v>
      </c>
      <c r="C230" s="29" t="s">
        <v>834</v>
      </c>
      <c r="D230" s="29" t="s">
        <v>834</v>
      </c>
      <c r="E230" s="31"/>
      <c r="F230" s="30" t="s">
        <v>834</v>
      </c>
      <c r="G230" s="37">
        <v>0</v>
      </c>
      <c r="H230" s="65">
        <v>0</v>
      </c>
      <c r="I230" s="37"/>
      <c r="J230" s="31"/>
      <c r="K230" s="37"/>
      <c r="L230" s="31"/>
      <c r="M230" s="37"/>
      <c r="N230" s="31"/>
      <c r="O230" s="32" t="s">
        <v>834</v>
      </c>
    </row>
    <row r="231" spans="2:15" ht="19.7" customHeight="1">
      <c r="B231" s="67" t="s">
        <v>834</v>
      </c>
      <c r="C231" s="29" t="s">
        <v>834</v>
      </c>
      <c r="D231" s="29" t="s">
        <v>834</v>
      </c>
      <c r="E231" s="31"/>
      <c r="F231" s="30" t="s">
        <v>834</v>
      </c>
      <c r="G231" s="37">
        <v>0</v>
      </c>
      <c r="H231" s="65">
        <v>0</v>
      </c>
      <c r="I231" s="37"/>
      <c r="J231" s="31"/>
      <c r="K231" s="37"/>
      <c r="L231" s="31"/>
      <c r="M231" s="37"/>
      <c r="N231" s="31"/>
      <c r="O231" s="32" t="s">
        <v>834</v>
      </c>
    </row>
    <row r="232" spans="2:15" ht="19.7" customHeight="1">
      <c r="B232" s="67" t="s">
        <v>834</v>
      </c>
      <c r="C232" s="29" t="s">
        <v>834</v>
      </c>
      <c r="D232" s="29" t="s">
        <v>834</v>
      </c>
      <c r="E232" s="31"/>
      <c r="F232" s="30" t="s">
        <v>834</v>
      </c>
      <c r="G232" s="37">
        <v>0</v>
      </c>
      <c r="H232" s="65">
        <v>0</v>
      </c>
      <c r="I232" s="37"/>
      <c r="J232" s="31"/>
      <c r="K232" s="37"/>
      <c r="L232" s="31"/>
      <c r="M232" s="37"/>
      <c r="N232" s="31"/>
      <c r="O232" s="32" t="s">
        <v>834</v>
      </c>
    </row>
    <row r="233" spans="2:15" ht="19.7" customHeight="1">
      <c r="B233" s="67" t="s">
        <v>834</v>
      </c>
      <c r="C233" s="29" t="s">
        <v>834</v>
      </c>
      <c r="D233" s="29" t="s">
        <v>834</v>
      </c>
      <c r="E233" s="31"/>
      <c r="F233" s="30" t="s">
        <v>834</v>
      </c>
      <c r="G233" s="37">
        <v>0</v>
      </c>
      <c r="H233" s="65">
        <v>0</v>
      </c>
      <c r="I233" s="37"/>
      <c r="J233" s="31"/>
      <c r="K233" s="37"/>
      <c r="L233" s="31"/>
      <c r="M233" s="37"/>
      <c r="N233" s="31"/>
      <c r="O233" s="32" t="s">
        <v>834</v>
      </c>
    </row>
    <row r="234" spans="2:15" ht="19.7" customHeight="1">
      <c r="B234" s="67" t="s">
        <v>834</v>
      </c>
      <c r="C234" s="29" t="s">
        <v>834</v>
      </c>
      <c r="D234" s="29" t="s">
        <v>834</v>
      </c>
      <c r="E234" s="31"/>
      <c r="F234" s="30" t="s">
        <v>834</v>
      </c>
      <c r="G234" s="37">
        <v>0</v>
      </c>
      <c r="H234" s="65">
        <v>0</v>
      </c>
      <c r="I234" s="37"/>
      <c r="J234" s="31"/>
      <c r="K234" s="37"/>
      <c r="L234" s="31"/>
      <c r="M234" s="37"/>
      <c r="N234" s="31"/>
      <c r="O234" s="32" t="s">
        <v>834</v>
      </c>
    </row>
    <row r="235" spans="2:15" ht="19.7" customHeight="1">
      <c r="B235" s="67" t="s">
        <v>834</v>
      </c>
      <c r="C235" s="29" t="s">
        <v>834</v>
      </c>
      <c r="D235" s="29" t="s">
        <v>834</v>
      </c>
      <c r="E235" s="31"/>
      <c r="F235" s="30" t="s">
        <v>834</v>
      </c>
      <c r="G235" s="37">
        <v>0</v>
      </c>
      <c r="H235" s="65">
        <v>0</v>
      </c>
      <c r="I235" s="37"/>
      <c r="J235" s="31"/>
      <c r="K235" s="37"/>
      <c r="L235" s="31"/>
      <c r="M235" s="37"/>
      <c r="N235" s="31"/>
      <c r="O235" s="32" t="s">
        <v>834</v>
      </c>
    </row>
    <row r="236" spans="2:15">
      <c r="B236" s="69" t="s">
        <v>834</v>
      </c>
      <c r="C236" s="34" t="s">
        <v>834</v>
      </c>
      <c r="D236" s="34" t="s">
        <v>834</v>
      </c>
      <c r="E236" s="22"/>
      <c r="F236" s="35" t="s">
        <v>834</v>
      </c>
      <c r="G236" s="21">
        <v>0</v>
      </c>
      <c r="H236" s="74">
        <v>0</v>
      </c>
      <c r="I236" s="21"/>
      <c r="J236" s="22"/>
      <c r="K236" s="21"/>
      <c r="L236" s="22"/>
      <c r="M236" s="21"/>
      <c r="N236" s="22"/>
      <c r="O236" s="36" t="s">
        <v>834</v>
      </c>
    </row>
    <row r="237" spans="2:15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</row>
  </sheetData>
  <mergeCells count="11">
    <mergeCell ref="M3:N3"/>
    <mergeCell ref="O3:O4"/>
    <mergeCell ref="B1:O2"/>
    <mergeCell ref="B3:B4"/>
    <mergeCell ref="C3:C4"/>
    <mergeCell ref="D3:D4"/>
    <mergeCell ref="E3:E4"/>
    <mergeCell ref="F3:F4"/>
    <mergeCell ref="G3:H3"/>
    <mergeCell ref="I3:J3"/>
    <mergeCell ref="K3:L3"/>
  </mergeCells>
  <phoneticPr fontId="8" type="noConversion"/>
  <printOptions horizontalCentered="1"/>
  <pageMargins left="0.19685039370078741" right="7.874015748031496E-2" top="0.6692913385826772" bottom="0.59055118110236227" header="0.51181102362204722" footer="0.51181102362204722"/>
  <pageSetup paperSize="9" scale="85" orientation="landscape" r:id="rId1"/>
  <headerFooter alignWithMargins="0"/>
  <rowBreaks count="8" manualBreakCount="8">
    <brk id="30" min="2" max="15" man="1"/>
    <brk id="56" min="2" max="15" man="1"/>
    <brk id="82" min="2" max="15" man="1"/>
    <brk id="108" min="2" max="15" man="1"/>
    <brk id="134" min="2" max="15" man="1"/>
    <brk id="160" min="2" max="15" man="1"/>
    <brk id="186" min="2" max="15" man="1"/>
    <brk id="212" min="2" max="1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E35F-93D8-43DE-B8FB-A408DDAC2803}">
  <dimension ref="B1:AC37"/>
  <sheetViews>
    <sheetView workbookViewId="0">
      <pane ySplit="3" topLeftCell="A7" activePane="bottomLeft" state="frozen"/>
      <selection activeCell="A4" sqref="A4"/>
      <selection pane="bottomLeft" sqref="A1:XFD1048576"/>
    </sheetView>
  </sheetViews>
  <sheetFormatPr defaultRowHeight="12.75"/>
  <cols>
    <col min="1" max="1" width="0.7109375" customWidth="1"/>
    <col min="2" max="2" width="10.42578125" customWidth="1"/>
    <col min="3" max="3" width="32.85546875" customWidth="1"/>
    <col min="4" max="4" width="39.85546875" customWidth="1"/>
    <col min="5" max="5" width="6.85546875" customWidth="1"/>
    <col min="6" max="9" width="13" customWidth="1"/>
    <col min="10" max="10" width="12.140625" customWidth="1"/>
  </cols>
  <sheetData>
    <row r="1" spans="2:29" ht="24.95" customHeight="1">
      <c r="B1" s="343" t="s">
        <v>518</v>
      </c>
      <c r="C1" s="343"/>
      <c r="D1" s="343"/>
      <c r="E1" s="343"/>
      <c r="F1" s="343"/>
      <c r="G1" s="343"/>
      <c r="H1" s="343"/>
      <c r="I1" s="343"/>
      <c r="J1" s="343"/>
    </row>
    <row r="2" spans="2:29" ht="9.9499999999999993" customHeight="1">
      <c r="B2" s="344"/>
      <c r="C2" s="344"/>
      <c r="D2" s="344"/>
      <c r="E2" s="344"/>
      <c r="F2" s="344"/>
      <c r="G2" s="344"/>
      <c r="H2" s="344"/>
      <c r="I2" s="344"/>
      <c r="J2" s="344"/>
    </row>
    <row r="3" spans="2:29" ht="30.75" customHeight="1">
      <c r="B3" s="24" t="s">
        <v>583</v>
      </c>
      <c r="C3" s="17" t="s">
        <v>520</v>
      </c>
      <c r="D3" s="17" t="s">
        <v>649</v>
      </c>
      <c r="E3" s="17" t="s">
        <v>294</v>
      </c>
      <c r="F3" s="17" t="s">
        <v>801</v>
      </c>
      <c r="G3" s="17" t="s">
        <v>700</v>
      </c>
      <c r="H3" s="17" t="s">
        <v>498</v>
      </c>
      <c r="I3" s="17" t="s">
        <v>55</v>
      </c>
      <c r="J3" s="18" t="s">
        <v>178</v>
      </c>
      <c r="Z3" t="s">
        <v>511</v>
      </c>
      <c r="AA3" t="s">
        <v>578</v>
      </c>
      <c r="AB3" t="s">
        <v>824</v>
      </c>
      <c r="AC3" t="s">
        <v>540</v>
      </c>
    </row>
    <row r="4" spans="2:29" ht="19.7" customHeight="1">
      <c r="B4" s="28" t="s">
        <v>243</v>
      </c>
      <c r="C4" s="29" t="s">
        <v>478</v>
      </c>
      <c r="D4" s="29" t="s">
        <v>320</v>
      </c>
      <c r="E4" s="30" t="s">
        <v>596</v>
      </c>
      <c r="F4" s="65">
        <v>88872</v>
      </c>
      <c r="G4" s="65">
        <v>56505</v>
      </c>
      <c r="H4" s="65">
        <v>32011</v>
      </c>
      <c r="I4" s="65">
        <v>356</v>
      </c>
      <c r="J4" s="32" t="s">
        <v>834</v>
      </c>
      <c r="Z4" s="27">
        <v>88872</v>
      </c>
      <c r="AA4" s="27">
        <v>56505</v>
      </c>
      <c r="AB4" s="27">
        <v>32011</v>
      </c>
      <c r="AC4" s="27">
        <v>356</v>
      </c>
    </row>
    <row r="5" spans="2:29" ht="19.7" customHeight="1">
      <c r="B5" s="28" t="s">
        <v>724</v>
      </c>
      <c r="C5" s="29" t="s">
        <v>789</v>
      </c>
      <c r="D5" s="29" t="s">
        <v>834</v>
      </c>
      <c r="E5" s="30" t="s">
        <v>596</v>
      </c>
      <c r="F5" s="65">
        <v>9268</v>
      </c>
      <c r="G5" s="65">
        <v>8912</v>
      </c>
      <c r="H5" s="65">
        <v>0</v>
      </c>
      <c r="I5" s="65">
        <v>356</v>
      </c>
      <c r="J5" s="32" t="s">
        <v>444</v>
      </c>
      <c r="Z5" s="27">
        <v>9268</v>
      </c>
      <c r="AA5" s="27">
        <v>8912</v>
      </c>
      <c r="AC5" s="27">
        <v>356</v>
      </c>
    </row>
    <row r="6" spans="2:29" ht="19.7" customHeight="1">
      <c r="B6" s="28" t="s">
        <v>202</v>
      </c>
      <c r="C6" s="29" t="s">
        <v>445</v>
      </c>
      <c r="D6" s="29" t="s">
        <v>470</v>
      </c>
      <c r="E6" s="30" t="s">
        <v>596</v>
      </c>
      <c r="F6" s="65">
        <v>20629</v>
      </c>
      <c r="G6" s="65">
        <v>14293</v>
      </c>
      <c r="H6" s="65">
        <v>6336</v>
      </c>
      <c r="I6" s="65">
        <v>0</v>
      </c>
      <c r="J6" s="32" t="s">
        <v>834</v>
      </c>
      <c r="Z6" s="27">
        <v>20629</v>
      </c>
      <c r="AA6" s="27">
        <v>14293</v>
      </c>
      <c r="AB6" s="27">
        <v>6336</v>
      </c>
    </row>
    <row r="7" spans="2:29" ht="19.7" customHeight="1">
      <c r="B7" s="28" t="s">
        <v>819</v>
      </c>
      <c r="C7" s="29" t="s">
        <v>640</v>
      </c>
      <c r="D7" s="29" t="s">
        <v>834</v>
      </c>
      <c r="E7" s="30" t="s">
        <v>596</v>
      </c>
      <c r="F7" s="65">
        <v>40140</v>
      </c>
      <c r="G7" s="65">
        <v>14465</v>
      </c>
      <c r="H7" s="65">
        <v>25675</v>
      </c>
      <c r="I7" s="65">
        <v>0</v>
      </c>
      <c r="J7" s="32" t="s">
        <v>834</v>
      </c>
      <c r="Z7" s="27">
        <v>40140</v>
      </c>
      <c r="AA7" s="27">
        <v>14465</v>
      </c>
      <c r="AB7" s="27">
        <v>25675</v>
      </c>
    </row>
    <row r="8" spans="2:29" ht="19.7" customHeight="1">
      <c r="B8" s="28" t="s">
        <v>278</v>
      </c>
      <c r="C8" s="29" t="s">
        <v>788</v>
      </c>
      <c r="D8" s="29" t="s">
        <v>303</v>
      </c>
      <c r="E8" s="30" t="s">
        <v>296</v>
      </c>
      <c r="F8" s="65">
        <v>12471</v>
      </c>
      <c r="G8" s="65">
        <v>2580</v>
      </c>
      <c r="H8" s="65">
        <v>9840</v>
      </c>
      <c r="I8" s="65">
        <v>51</v>
      </c>
      <c r="J8" s="32" t="s">
        <v>834</v>
      </c>
      <c r="Z8" s="27">
        <v>12471</v>
      </c>
      <c r="AA8" s="27">
        <v>2580</v>
      </c>
      <c r="AB8" s="27">
        <v>9840</v>
      </c>
      <c r="AC8" s="27">
        <v>51</v>
      </c>
    </row>
    <row r="9" spans="2:29" ht="19.7" customHeight="1">
      <c r="B9" s="28" t="s">
        <v>798</v>
      </c>
      <c r="C9" s="29" t="s">
        <v>788</v>
      </c>
      <c r="D9" s="29" t="s">
        <v>360</v>
      </c>
      <c r="E9" s="30" t="s">
        <v>296</v>
      </c>
      <c r="F9" s="65">
        <v>11611</v>
      </c>
      <c r="G9" s="65">
        <v>1720</v>
      </c>
      <c r="H9" s="65">
        <v>9840</v>
      </c>
      <c r="I9" s="65">
        <v>51</v>
      </c>
      <c r="J9" s="32" t="s">
        <v>834</v>
      </c>
      <c r="Z9" s="27">
        <v>11611</v>
      </c>
      <c r="AA9" s="27">
        <v>1720</v>
      </c>
      <c r="AB9" s="27">
        <v>9840</v>
      </c>
      <c r="AC9" s="27">
        <v>51</v>
      </c>
    </row>
    <row r="10" spans="2:29" ht="19.7" customHeight="1">
      <c r="B10" s="28" t="s">
        <v>255</v>
      </c>
      <c r="C10" s="29" t="s">
        <v>398</v>
      </c>
      <c r="D10" s="29" t="s">
        <v>530</v>
      </c>
      <c r="E10" s="30" t="s">
        <v>748</v>
      </c>
      <c r="F10" s="65">
        <v>973959</v>
      </c>
      <c r="G10" s="65">
        <v>553537</v>
      </c>
      <c r="H10" s="65">
        <v>244588</v>
      </c>
      <c r="I10" s="65">
        <v>175834</v>
      </c>
      <c r="J10" s="32" t="s">
        <v>834</v>
      </c>
      <c r="Z10" s="27">
        <v>973959</v>
      </c>
      <c r="AA10" s="27">
        <v>553537</v>
      </c>
      <c r="AB10" s="27">
        <v>244588</v>
      </c>
      <c r="AC10" s="27">
        <v>175834</v>
      </c>
    </row>
    <row r="11" spans="2:29" ht="19.7" customHeight="1">
      <c r="B11" s="28" t="s">
        <v>428</v>
      </c>
      <c r="C11" s="29" t="s">
        <v>597</v>
      </c>
      <c r="D11" s="29" t="s">
        <v>530</v>
      </c>
      <c r="E11" s="30" t="s">
        <v>366</v>
      </c>
      <c r="F11" s="65">
        <v>147875</v>
      </c>
      <c r="G11" s="65">
        <v>63375</v>
      </c>
      <c r="H11" s="65">
        <v>84500</v>
      </c>
      <c r="I11" s="65">
        <v>0</v>
      </c>
      <c r="J11" s="32" t="s">
        <v>834</v>
      </c>
      <c r="Z11" s="27">
        <v>147875</v>
      </c>
      <c r="AA11" s="27">
        <v>63375</v>
      </c>
      <c r="AB11" s="27">
        <v>84500</v>
      </c>
    </row>
    <row r="12" spans="2:29" ht="19.7" customHeight="1">
      <c r="B12" s="28" t="s">
        <v>99</v>
      </c>
      <c r="C12" s="29" t="s">
        <v>283</v>
      </c>
      <c r="D12" s="29" t="s">
        <v>623</v>
      </c>
      <c r="E12" s="30" t="s">
        <v>665</v>
      </c>
      <c r="F12" s="65">
        <v>212052</v>
      </c>
      <c r="G12" s="65">
        <v>0</v>
      </c>
      <c r="H12" s="65">
        <v>0</v>
      </c>
      <c r="I12" s="65">
        <v>212052</v>
      </c>
      <c r="J12" s="32" t="s">
        <v>834</v>
      </c>
      <c r="Z12" s="27">
        <v>212052</v>
      </c>
      <c r="AC12" s="27">
        <v>212052</v>
      </c>
    </row>
    <row r="13" spans="2:29" ht="19.7" customHeight="1">
      <c r="B13" s="28" t="s">
        <v>523</v>
      </c>
      <c r="C13" s="29" t="s">
        <v>438</v>
      </c>
      <c r="D13" s="29" t="s">
        <v>33</v>
      </c>
      <c r="E13" s="30" t="s">
        <v>596</v>
      </c>
      <c r="F13" s="65">
        <v>444207</v>
      </c>
      <c r="G13" s="65">
        <v>154083</v>
      </c>
      <c r="H13" s="65">
        <v>286620</v>
      </c>
      <c r="I13" s="65">
        <v>3504</v>
      </c>
      <c r="J13" s="32" t="s">
        <v>834</v>
      </c>
      <c r="Z13" s="27">
        <v>444207</v>
      </c>
      <c r="AA13" s="27">
        <v>154083</v>
      </c>
      <c r="AB13" s="27">
        <v>286620</v>
      </c>
      <c r="AC13" s="27">
        <v>3504</v>
      </c>
    </row>
    <row r="14" spans="2:29" ht="19.7" customHeight="1">
      <c r="B14" s="28" t="s">
        <v>41</v>
      </c>
      <c r="C14" s="29" t="s">
        <v>455</v>
      </c>
      <c r="D14" s="29" t="s">
        <v>834</v>
      </c>
      <c r="E14" s="30" t="s">
        <v>596</v>
      </c>
      <c r="F14" s="65">
        <v>6158</v>
      </c>
      <c r="G14" s="65">
        <v>5702</v>
      </c>
      <c r="H14" s="65">
        <v>0</v>
      </c>
      <c r="I14" s="65">
        <v>456</v>
      </c>
      <c r="J14" s="32" t="s">
        <v>834</v>
      </c>
      <c r="Z14" s="27">
        <v>6158</v>
      </c>
      <c r="AA14" s="27">
        <v>5702</v>
      </c>
      <c r="AC14" s="27">
        <v>456</v>
      </c>
    </row>
    <row r="15" spans="2:29" ht="19.7" customHeight="1">
      <c r="B15" s="28" t="s">
        <v>512</v>
      </c>
      <c r="C15" s="29" t="s">
        <v>602</v>
      </c>
      <c r="D15" s="29" t="s">
        <v>834</v>
      </c>
      <c r="E15" s="30" t="s">
        <v>596</v>
      </c>
      <c r="F15" s="65">
        <v>4657</v>
      </c>
      <c r="G15" s="65">
        <v>4522</v>
      </c>
      <c r="H15" s="65">
        <v>0</v>
      </c>
      <c r="I15" s="65">
        <v>135</v>
      </c>
      <c r="J15" s="32" t="s">
        <v>834</v>
      </c>
      <c r="Z15" s="27">
        <v>4657</v>
      </c>
      <c r="AA15" s="27">
        <v>4522</v>
      </c>
      <c r="AC15" s="27">
        <v>135</v>
      </c>
    </row>
    <row r="16" spans="2:29" ht="19.7" customHeight="1">
      <c r="B16" s="28" t="s">
        <v>19</v>
      </c>
      <c r="C16" s="29" t="s">
        <v>743</v>
      </c>
      <c r="D16" s="29" t="s">
        <v>834</v>
      </c>
      <c r="E16" s="30" t="s">
        <v>596</v>
      </c>
      <c r="F16" s="65">
        <v>3594</v>
      </c>
      <c r="G16" s="65">
        <v>3490</v>
      </c>
      <c r="H16" s="65">
        <v>0</v>
      </c>
      <c r="I16" s="65">
        <v>104</v>
      </c>
      <c r="J16" s="32" t="s">
        <v>834</v>
      </c>
      <c r="Z16" s="27">
        <v>3594</v>
      </c>
      <c r="AA16" s="27">
        <v>3490</v>
      </c>
      <c r="AC16" s="27">
        <v>104</v>
      </c>
    </row>
    <row r="17" spans="2:29" ht="19.7" customHeight="1">
      <c r="B17" s="28" t="s">
        <v>592</v>
      </c>
      <c r="C17" s="29" t="s">
        <v>357</v>
      </c>
      <c r="D17" s="29" t="s">
        <v>769</v>
      </c>
      <c r="E17" s="30" t="s">
        <v>596</v>
      </c>
      <c r="F17" s="65">
        <v>5596</v>
      </c>
      <c r="G17" s="65">
        <v>2676</v>
      </c>
      <c r="H17" s="65">
        <v>2920</v>
      </c>
      <c r="I17" s="65">
        <v>0</v>
      </c>
      <c r="J17" s="32" t="s">
        <v>834</v>
      </c>
      <c r="Z17" s="27">
        <v>5596</v>
      </c>
      <c r="AA17" s="27">
        <v>2676</v>
      </c>
      <c r="AB17" s="27">
        <v>2920</v>
      </c>
    </row>
    <row r="18" spans="2:29" ht="19.7" customHeight="1">
      <c r="B18" s="28" t="s">
        <v>81</v>
      </c>
      <c r="C18" s="29" t="s">
        <v>515</v>
      </c>
      <c r="D18" s="29" t="s">
        <v>834</v>
      </c>
      <c r="E18" s="30" t="s">
        <v>596</v>
      </c>
      <c r="F18" s="65">
        <v>1231145</v>
      </c>
      <c r="G18" s="65">
        <v>1131819</v>
      </c>
      <c r="H18" s="65">
        <v>55012</v>
      </c>
      <c r="I18" s="65">
        <v>44314</v>
      </c>
      <c r="J18" s="32" t="s">
        <v>834</v>
      </c>
      <c r="Z18" s="27">
        <v>1231145</v>
      </c>
      <c r="AA18" s="27">
        <v>1131819</v>
      </c>
      <c r="AB18" s="27">
        <v>55012</v>
      </c>
      <c r="AC18" s="27">
        <v>44314</v>
      </c>
    </row>
    <row r="19" spans="2:29" ht="19.7" customHeight="1">
      <c r="B19" s="28" t="s">
        <v>556</v>
      </c>
      <c r="C19" s="29" t="s">
        <v>727</v>
      </c>
      <c r="D19" s="29" t="s">
        <v>797</v>
      </c>
      <c r="E19" s="30" t="s">
        <v>596</v>
      </c>
      <c r="F19" s="65">
        <v>48786</v>
      </c>
      <c r="G19" s="65">
        <v>29742</v>
      </c>
      <c r="H19" s="65">
        <v>18450</v>
      </c>
      <c r="I19" s="65">
        <v>594</v>
      </c>
      <c r="J19" s="32" t="s">
        <v>834</v>
      </c>
      <c r="Z19" s="27">
        <v>48786</v>
      </c>
      <c r="AA19" s="27">
        <v>29742</v>
      </c>
      <c r="AB19" s="27">
        <v>18450</v>
      </c>
      <c r="AC19" s="27">
        <v>594</v>
      </c>
    </row>
    <row r="20" spans="2:29" ht="19.7" customHeight="1">
      <c r="B20" s="28" t="s">
        <v>48</v>
      </c>
      <c r="C20" s="29" t="s">
        <v>319</v>
      </c>
      <c r="D20" s="29" t="s">
        <v>500</v>
      </c>
      <c r="E20" s="30" t="s">
        <v>596</v>
      </c>
      <c r="F20" s="65">
        <v>101028</v>
      </c>
      <c r="G20" s="65">
        <v>77305</v>
      </c>
      <c r="H20" s="65">
        <v>22700</v>
      </c>
      <c r="I20" s="65">
        <v>1023</v>
      </c>
      <c r="J20" s="32" t="s">
        <v>834</v>
      </c>
      <c r="Z20" s="27">
        <v>101028</v>
      </c>
      <c r="AA20" s="27">
        <v>77305</v>
      </c>
      <c r="AB20" s="27">
        <v>22700</v>
      </c>
      <c r="AC20" s="27">
        <v>1023</v>
      </c>
    </row>
    <row r="21" spans="2:29" ht="19.7" customHeight="1">
      <c r="B21" s="28" t="s">
        <v>622</v>
      </c>
      <c r="C21" s="29" t="s">
        <v>32</v>
      </c>
      <c r="D21" s="29" t="s">
        <v>834</v>
      </c>
      <c r="E21" s="30" t="s">
        <v>596</v>
      </c>
      <c r="F21" s="65">
        <v>8201</v>
      </c>
      <c r="G21" s="65">
        <v>7963</v>
      </c>
      <c r="H21" s="65">
        <v>0</v>
      </c>
      <c r="I21" s="65">
        <v>238</v>
      </c>
      <c r="J21" s="32" t="s">
        <v>834</v>
      </c>
      <c r="Z21" s="27">
        <v>8201</v>
      </c>
      <c r="AA21" s="27">
        <v>7963</v>
      </c>
      <c r="AC21" s="27">
        <v>238</v>
      </c>
    </row>
    <row r="22" spans="2:29" ht="19.7" customHeight="1">
      <c r="B22" s="28" t="s">
        <v>298</v>
      </c>
      <c r="C22" s="29" t="s">
        <v>727</v>
      </c>
      <c r="D22" s="29" t="s">
        <v>238</v>
      </c>
      <c r="E22" s="30" t="s">
        <v>596</v>
      </c>
      <c r="F22" s="65">
        <v>60202</v>
      </c>
      <c r="G22" s="65">
        <v>39052</v>
      </c>
      <c r="H22" s="65">
        <v>20500</v>
      </c>
      <c r="I22" s="65">
        <v>650</v>
      </c>
      <c r="J22" s="32" t="s">
        <v>834</v>
      </c>
      <c r="Z22" s="27">
        <v>60202</v>
      </c>
      <c r="AA22" s="27">
        <v>39052</v>
      </c>
      <c r="AB22" s="27">
        <v>20500</v>
      </c>
      <c r="AC22" s="27">
        <v>650</v>
      </c>
    </row>
    <row r="23" spans="2:29" ht="19.7" customHeight="1">
      <c r="B23" s="28" t="s">
        <v>233</v>
      </c>
      <c r="C23" s="29" t="s">
        <v>612</v>
      </c>
      <c r="D23" s="29" t="s">
        <v>561</v>
      </c>
      <c r="E23" s="30" t="s">
        <v>476</v>
      </c>
      <c r="F23" s="65">
        <v>41344</v>
      </c>
      <c r="G23" s="65">
        <v>33439</v>
      </c>
      <c r="H23" s="65">
        <v>7237</v>
      </c>
      <c r="I23" s="65">
        <v>668</v>
      </c>
      <c r="J23" s="32" t="s">
        <v>834</v>
      </c>
      <c r="Z23" s="27">
        <v>41344</v>
      </c>
      <c r="AA23" s="27">
        <v>33439</v>
      </c>
      <c r="AB23" s="27">
        <v>7237</v>
      </c>
      <c r="AC23" s="27">
        <v>668</v>
      </c>
    </row>
    <row r="24" spans="2:29" ht="19.7" customHeight="1">
      <c r="B24" s="28" t="s">
        <v>768</v>
      </c>
      <c r="C24" s="29" t="s">
        <v>466</v>
      </c>
      <c r="D24" s="29" t="s">
        <v>16</v>
      </c>
      <c r="E24" s="30" t="s">
        <v>476</v>
      </c>
      <c r="F24" s="65">
        <v>30198</v>
      </c>
      <c r="G24" s="65">
        <v>22293</v>
      </c>
      <c r="H24" s="65">
        <v>7237</v>
      </c>
      <c r="I24" s="65">
        <v>668</v>
      </c>
      <c r="J24" s="32" t="s">
        <v>834</v>
      </c>
      <c r="Z24" s="27">
        <v>30198</v>
      </c>
      <c r="AA24" s="27">
        <v>22293</v>
      </c>
      <c r="AB24" s="27">
        <v>7237</v>
      </c>
      <c r="AC24" s="27">
        <v>668</v>
      </c>
    </row>
    <row r="25" spans="2:29" ht="19.7" customHeight="1">
      <c r="B25" s="28" t="s">
        <v>192</v>
      </c>
      <c r="C25" s="29" t="s">
        <v>319</v>
      </c>
      <c r="D25" s="29" t="s">
        <v>191</v>
      </c>
      <c r="E25" s="30" t="s">
        <v>596</v>
      </c>
      <c r="F25" s="65">
        <v>84957</v>
      </c>
      <c r="G25" s="65">
        <v>63340</v>
      </c>
      <c r="H25" s="65">
        <v>20650</v>
      </c>
      <c r="I25" s="65">
        <v>967</v>
      </c>
      <c r="J25" s="32" t="s">
        <v>834</v>
      </c>
      <c r="Z25" s="27">
        <v>84957</v>
      </c>
      <c r="AA25" s="27">
        <v>63340</v>
      </c>
      <c r="AB25" s="27">
        <v>20650</v>
      </c>
      <c r="AC25" s="27">
        <v>967</v>
      </c>
    </row>
    <row r="26" spans="2:29" ht="19.7" customHeight="1">
      <c r="B26" s="28" t="s">
        <v>736</v>
      </c>
      <c r="C26" s="29" t="s">
        <v>618</v>
      </c>
      <c r="D26" s="29" t="s">
        <v>453</v>
      </c>
      <c r="E26" s="30" t="s">
        <v>596</v>
      </c>
      <c r="F26" s="65">
        <v>296464</v>
      </c>
      <c r="G26" s="65">
        <v>127857</v>
      </c>
      <c r="H26" s="65">
        <v>165650</v>
      </c>
      <c r="I26" s="65">
        <v>2957</v>
      </c>
      <c r="J26" s="32" t="s">
        <v>834</v>
      </c>
      <c r="Z26" s="27">
        <v>296464</v>
      </c>
      <c r="AA26" s="27">
        <v>127857</v>
      </c>
      <c r="AB26" s="27">
        <v>165650</v>
      </c>
      <c r="AC26" s="27">
        <v>2957</v>
      </c>
    </row>
    <row r="27" spans="2:29" ht="19.7" customHeight="1">
      <c r="B27" s="28" t="s">
        <v>291</v>
      </c>
      <c r="C27" s="29" t="s">
        <v>618</v>
      </c>
      <c r="D27" s="29" t="s">
        <v>617</v>
      </c>
      <c r="E27" s="30" t="s">
        <v>596</v>
      </c>
      <c r="F27" s="65">
        <v>166125</v>
      </c>
      <c r="G27" s="65">
        <v>90891</v>
      </c>
      <c r="H27" s="65">
        <v>73550</v>
      </c>
      <c r="I27" s="65">
        <v>1684</v>
      </c>
      <c r="J27" s="32" t="s">
        <v>834</v>
      </c>
      <c r="Z27" s="27">
        <v>166125</v>
      </c>
      <c r="AA27" s="27">
        <v>90891</v>
      </c>
      <c r="AB27" s="27">
        <v>73550</v>
      </c>
      <c r="AC27" s="27">
        <v>1684</v>
      </c>
    </row>
    <row r="28" spans="2:29" ht="19.7" customHeight="1">
      <c r="B28" s="28" t="s">
        <v>802</v>
      </c>
      <c r="C28" s="29" t="s">
        <v>438</v>
      </c>
      <c r="D28" s="29" t="s">
        <v>609</v>
      </c>
      <c r="E28" s="30" t="s">
        <v>596</v>
      </c>
      <c r="F28" s="65">
        <v>461080</v>
      </c>
      <c r="G28" s="65">
        <v>168850</v>
      </c>
      <c r="H28" s="65">
        <v>288670</v>
      </c>
      <c r="I28" s="65">
        <v>3560</v>
      </c>
      <c r="J28" s="32" t="s">
        <v>834</v>
      </c>
      <c r="Z28" s="27">
        <v>461080</v>
      </c>
      <c r="AA28" s="27">
        <v>168850</v>
      </c>
      <c r="AB28" s="27">
        <v>288670</v>
      </c>
      <c r="AC28" s="27">
        <v>3560</v>
      </c>
    </row>
    <row r="29" spans="2:29" ht="19.7" customHeight="1">
      <c r="B29" s="28" t="s">
        <v>270</v>
      </c>
      <c r="C29" s="29" t="s">
        <v>357</v>
      </c>
      <c r="D29" s="29" t="s">
        <v>142</v>
      </c>
      <c r="E29" s="30" t="s">
        <v>596</v>
      </c>
      <c r="F29" s="65">
        <v>6131</v>
      </c>
      <c r="G29" s="65">
        <v>3211</v>
      </c>
      <c r="H29" s="65">
        <v>2920</v>
      </c>
      <c r="I29" s="65">
        <v>0</v>
      </c>
      <c r="J29" s="32" t="s">
        <v>834</v>
      </c>
      <c r="Z29" s="27">
        <v>6131</v>
      </c>
      <c r="AA29" s="27">
        <v>3211</v>
      </c>
      <c r="AB29" s="27">
        <v>2920</v>
      </c>
    </row>
    <row r="30" spans="2:29" ht="19.7" customHeight="1">
      <c r="B30" s="33" t="s">
        <v>787</v>
      </c>
      <c r="C30" s="34" t="s">
        <v>618</v>
      </c>
      <c r="D30" s="34" t="s">
        <v>40</v>
      </c>
      <c r="E30" s="35" t="s">
        <v>596</v>
      </c>
      <c r="F30" s="74">
        <v>147554</v>
      </c>
      <c r="G30" s="74">
        <v>76926</v>
      </c>
      <c r="H30" s="74">
        <v>69000</v>
      </c>
      <c r="I30" s="74">
        <v>1628</v>
      </c>
      <c r="J30" s="36" t="s">
        <v>834</v>
      </c>
      <c r="Z30" s="27">
        <v>147554</v>
      </c>
      <c r="AA30" s="27">
        <v>76926</v>
      </c>
      <c r="AB30" s="27">
        <v>69000</v>
      </c>
      <c r="AC30" s="27">
        <v>1628</v>
      </c>
    </row>
    <row r="31" spans="2:29" ht="19.7" customHeight="1">
      <c r="B31" s="28" t="s">
        <v>109</v>
      </c>
      <c r="C31" s="29" t="s">
        <v>618</v>
      </c>
      <c r="D31" s="29" t="s">
        <v>217</v>
      </c>
      <c r="E31" s="30" t="s">
        <v>596</v>
      </c>
      <c r="F31" s="65">
        <v>317535</v>
      </c>
      <c r="G31" s="65">
        <v>141822</v>
      </c>
      <c r="H31" s="65">
        <v>172700</v>
      </c>
      <c r="I31" s="65">
        <v>3013</v>
      </c>
      <c r="J31" s="32" t="s">
        <v>834</v>
      </c>
      <c r="Z31" s="27">
        <v>317535</v>
      </c>
      <c r="AA31" s="27">
        <v>141822</v>
      </c>
      <c r="AB31" s="27">
        <v>172700</v>
      </c>
      <c r="AC31" s="27">
        <v>3013</v>
      </c>
    </row>
    <row r="32" spans="2:29" ht="19.7" customHeight="1">
      <c r="B32" s="28" t="s">
        <v>419</v>
      </c>
      <c r="C32" s="29" t="s">
        <v>283</v>
      </c>
      <c r="D32" s="29" t="s">
        <v>571</v>
      </c>
      <c r="E32" s="30" t="s">
        <v>665</v>
      </c>
      <c r="F32" s="65">
        <v>99000</v>
      </c>
      <c r="G32" s="65">
        <v>0</v>
      </c>
      <c r="H32" s="65">
        <v>0</v>
      </c>
      <c r="I32" s="65">
        <v>99000</v>
      </c>
      <c r="J32" s="32" t="s">
        <v>834</v>
      </c>
      <c r="Z32" s="27">
        <v>99000</v>
      </c>
      <c r="AC32" s="27">
        <v>99000</v>
      </c>
    </row>
    <row r="33" spans="2:29" ht="19.7" customHeight="1">
      <c r="B33" s="28" t="s">
        <v>690</v>
      </c>
      <c r="C33" s="29" t="s">
        <v>319</v>
      </c>
      <c r="D33" s="29" t="s">
        <v>797</v>
      </c>
      <c r="E33" s="30" t="s">
        <v>596</v>
      </c>
      <c r="F33" s="65">
        <v>63844</v>
      </c>
      <c r="G33" s="65">
        <v>42227</v>
      </c>
      <c r="H33" s="65">
        <v>20650</v>
      </c>
      <c r="I33" s="65">
        <v>967</v>
      </c>
      <c r="J33" s="32" t="s">
        <v>834</v>
      </c>
      <c r="Z33" s="27">
        <v>63844</v>
      </c>
      <c r="AA33" s="27">
        <v>42227</v>
      </c>
      <c r="AB33" s="27">
        <v>20650</v>
      </c>
      <c r="AC33" s="27">
        <v>967</v>
      </c>
    </row>
    <row r="34" spans="2:29" ht="19.7" customHeight="1">
      <c r="B34" s="28" t="s">
        <v>352</v>
      </c>
      <c r="C34" s="29" t="s">
        <v>319</v>
      </c>
      <c r="D34" s="29" t="s">
        <v>238</v>
      </c>
      <c r="E34" s="30" t="s">
        <v>596</v>
      </c>
      <c r="F34" s="65">
        <v>75260</v>
      </c>
      <c r="G34" s="65">
        <v>51537</v>
      </c>
      <c r="H34" s="65">
        <v>22700</v>
      </c>
      <c r="I34" s="65">
        <v>1023</v>
      </c>
      <c r="J34" s="32" t="s">
        <v>834</v>
      </c>
      <c r="Z34" s="27">
        <v>75260</v>
      </c>
      <c r="AA34" s="27">
        <v>51537</v>
      </c>
      <c r="AB34" s="27">
        <v>22700</v>
      </c>
      <c r="AC34" s="27">
        <v>1023</v>
      </c>
    </row>
    <row r="35" spans="2:29" ht="19.7" customHeight="1">
      <c r="B35" s="28" t="s">
        <v>714</v>
      </c>
      <c r="C35" s="29" t="s">
        <v>551</v>
      </c>
      <c r="D35" s="29" t="s">
        <v>591</v>
      </c>
      <c r="E35" s="30" t="s">
        <v>748</v>
      </c>
      <c r="F35" s="65">
        <v>235459</v>
      </c>
      <c r="G35" s="65">
        <v>235459</v>
      </c>
      <c r="H35" s="65">
        <v>0</v>
      </c>
      <c r="I35" s="65">
        <v>0</v>
      </c>
      <c r="J35" s="32" t="s">
        <v>834</v>
      </c>
      <c r="Z35" s="27">
        <v>235459</v>
      </c>
      <c r="AA35" s="27">
        <v>235459</v>
      </c>
    </row>
    <row r="36" spans="2:29" ht="19.7" customHeight="1">
      <c r="B36" s="33" t="s">
        <v>393</v>
      </c>
      <c r="C36" s="34" t="s">
        <v>683</v>
      </c>
      <c r="D36" s="34" t="s">
        <v>834</v>
      </c>
      <c r="E36" s="35" t="s">
        <v>665</v>
      </c>
      <c r="F36" s="74">
        <v>3757063</v>
      </c>
      <c r="G36" s="74">
        <v>1491436</v>
      </c>
      <c r="H36" s="74">
        <v>0</v>
      </c>
      <c r="I36" s="74">
        <v>2265627</v>
      </c>
      <c r="J36" s="36" t="s">
        <v>834</v>
      </c>
      <c r="Z36" s="27">
        <v>3757063</v>
      </c>
      <c r="AA36" s="27">
        <v>1491436</v>
      </c>
      <c r="AC36" s="27">
        <v>2265627</v>
      </c>
    </row>
    <row r="37" spans="2:29">
      <c r="B37" s="23"/>
      <c r="C37" s="23"/>
      <c r="D37" s="23"/>
      <c r="E37" s="23"/>
      <c r="F37" s="23"/>
      <c r="G37" s="23"/>
      <c r="H37" s="23"/>
      <c r="I37" s="23"/>
      <c r="J37" s="23"/>
    </row>
  </sheetData>
  <mergeCells count="1">
    <mergeCell ref="B1:J2"/>
  </mergeCells>
  <phoneticPr fontId="8" type="noConversion"/>
  <pageMargins left="0.98425196850393704" right="7.874015748031496E-2" top="0.6692913385826772" bottom="0.59055118110236215" header="0.5" footer="0.5"/>
  <pageSetup paperSize="9" scale="85" orientation="landscape" copies="0"/>
  <headerFooter alignWithMargins="0"/>
  <rowBreaks count="1" manualBreakCount="1">
    <brk id="30" min="2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6E39-C8B8-4825-8264-8B045AA99848}">
  <dimension ref="B1:O208"/>
  <sheetViews>
    <sheetView workbookViewId="0">
      <pane ySplit="4" topLeftCell="A35" activePane="bottomLeft" state="frozen"/>
      <selection activeCell="A4" sqref="A4"/>
      <selection pane="bottomLeft" sqref="A1:XFD1048576"/>
    </sheetView>
  </sheetViews>
  <sheetFormatPr defaultRowHeight="12.75"/>
  <cols>
    <col min="1" max="1" width="0.7109375" customWidth="1"/>
    <col min="2" max="2" width="7.28515625" customWidth="1"/>
    <col min="3" max="3" width="23.85546875" customWidth="1"/>
    <col min="4" max="4" width="24.85546875" customWidth="1"/>
    <col min="5" max="5" width="7.5703125" customWidth="1"/>
    <col min="6" max="6" width="3.7109375" customWidth="1"/>
    <col min="7" max="7" width="9.140625" customWidth="1"/>
    <col min="8" max="8" width="10.5703125" customWidth="1"/>
    <col min="9" max="9" width="9.140625" customWidth="1"/>
    <col min="10" max="10" width="10.5703125" customWidth="1"/>
    <col min="11" max="11" width="8.85546875" customWidth="1"/>
    <col min="12" max="12" width="10.28515625" customWidth="1"/>
    <col min="13" max="13" width="8.85546875" customWidth="1"/>
    <col min="14" max="14" width="10.28515625" customWidth="1"/>
    <col min="15" max="15" width="8.7109375" customWidth="1"/>
  </cols>
  <sheetData>
    <row r="1" spans="2:15" ht="24.95" customHeight="1">
      <c r="B1" s="343" t="s">
        <v>86</v>
      </c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</row>
    <row r="2" spans="2:15" ht="9.9499999999999993" customHeight="1"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</row>
    <row r="3" spans="2:15" ht="15.4" customHeight="1">
      <c r="B3" s="366" t="s">
        <v>583</v>
      </c>
      <c r="C3" s="368" t="s">
        <v>520</v>
      </c>
      <c r="D3" s="368" t="s">
        <v>649</v>
      </c>
      <c r="E3" s="368" t="s">
        <v>441</v>
      </c>
      <c r="F3" s="368" t="s">
        <v>294</v>
      </c>
      <c r="G3" s="361" t="s">
        <v>710</v>
      </c>
      <c r="H3" s="362"/>
      <c r="I3" s="361" t="s">
        <v>325</v>
      </c>
      <c r="J3" s="362"/>
      <c r="K3" s="361" t="s">
        <v>538</v>
      </c>
      <c r="L3" s="362"/>
      <c r="M3" s="361" t="s">
        <v>671</v>
      </c>
      <c r="N3" s="362"/>
      <c r="O3" s="363" t="s">
        <v>178</v>
      </c>
    </row>
    <row r="4" spans="2:15" ht="19.7" customHeight="1">
      <c r="B4" s="367"/>
      <c r="C4" s="369"/>
      <c r="D4" s="369"/>
      <c r="E4" s="369"/>
      <c r="F4" s="369"/>
      <c r="G4" s="26" t="s">
        <v>3</v>
      </c>
      <c r="H4" s="25" t="s">
        <v>423</v>
      </c>
      <c r="I4" s="26" t="s">
        <v>3</v>
      </c>
      <c r="J4" s="25" t="s">
        <v>423</v>
      </c>
      <c r="K4" s="26" t="s">
        <v>3</v>
      </c>
      <c r="L4" s="25" t="s">
        <v>423</v>
      </c>
      <c r="M4" s="26" t="s">
        <v>3</v>
      </c>
      <c r="N4" s="25" t="s">
        <v>423</v>
      </c>
      <c r="O4" s="364"/>
    </row>
    <row r="5" spans="2:15" ht="19.7" customHeight="1">
      <c r="B5" s="90" t="s">
        <v>243</v>
      </c>
      <c r="C5" s="62" t="s">
        <v>478</v>
      </c>
      <c r="D5" s="62" t="s">
        <v>320</v>
      </c>
      <c r="E5" s="31"/>
      <c r="F5" s="91" t="s">
        <v>596</v>
      </c>
      <c r="G5" s="37"/>
      <c r="H5" s="92">
        <v>88872</v>
      </c>
      <c r="I5" s="37"/>
      <c r="J5" s="92">
        <v>56505</v>
      </c>
      <c r="K5" s="37"/>
      <c r="L5" s="92">
        <v>32011</v>
      </c>
      <c r="M5" s="37"/>
      <c r="N5" s="92">
        <v>356</v>
      </c>
      <c r="O5" s="93" t="s">
        <v>834</v>
      </c>
    </row>
    <row r="6" spans="2:15" ht="19.7" customHeight="1">
      <c r="B6" s="28" t="s">
        <v>834</v>
      </c>
      <c r="C6" s="29" t="s">
        <v>789</v>
      </c>
      <c r="D6" s="29" t="s">
        <v>834</v>
      </c>
      <c r="E6" s="31">
        <v>1</v>
      </c>
      <c r="F6" s="30" t="s">
        <v>596</v>
      </c>
      <c r="G6" s="37">
        <v>9268</v>
      </c>
      <c r="H6" s="65">
        <v>9268</v>
      </c>
      <c r="I6" s="64">
        <v>8912</v>
      </c>
      <c r="J6" s="65">
        <v>8912</v>
      </c>
      <c r="K6" s="64">
        <v>0</v>
      </c>
      <c r="L6" s="65">
        <v>0</v>
      </c>
      <c r="M6" s="64">
        <v>356</v>
      </c>
      <c r="N6" s="65">
        <v>356</v>
      </c>
      <c r="O6" s="32" t="s">
        <v>279</v>
      </c>
    </row>
    <row r="7" spans="2:15" ht="19.7" customHeight="1">
      <c r="B7" s="28" t="s">
        <v>834</v>
      </c>
      <c r="C7" s="29" t="s">
        <v>445</v>
      </c>
      <c r="D7" s="29" t="s">
        <v>470</v>
      </c>
      <c r="E7" s="31">
        <v>1</v>
      </c>
      <c r="F7" s="30" t="s">
        <v>596</v>
      </c>
      <c r="G7" s="37">
        <v>20629</v>
      </c>
      <c r="H7" s="65">
        <v>20629</v>
      </c>
      <c r="I7" s="64">
        <v>14293</v>
      </c>
      <c r="J7" s="65">
        <v>14293</v>
      </c>
      <c r="K7" s="64">
        <v>6336</v>
      </c>
      <c r="L7" s="65">
        <v>6336</v>
      </c>
      <c r="M7" s="64">
        <v>0</v>
      </c>
      <c r="N7" s="65">
        <v>0</v>
      </c>
      <c r="O7" s="32" t="s">
        <v>820</v>
      </c>
    </row>
    <row r="8" spans="2:15" ht="19.7" customHeight="1">
      <c r="B8" s="28" t="s">
        <v>834</v>
      </c>
      <c r="C8" s="29" t="s">
        <v>640</v>
      </c>
      <c r="D8" s="29" t="s">
        <v>834</v>
      </c>
      <c r="E8" s="31">
        <v>1</v>
      </c>
      <c r="F8" s="30" t="s">
        <v>596</v>
      </c>
      <c r="G8" s="37">
        <v>40140</v>
      </c>
      <c r="H8" s="65">
        <v>40140</v>
      </c>
      <c r="I8" s="64">
        <v>14465</v>
      </c>
      <c r="J8" s="65">
        <v>14465</v>
      </c>
      <c r="K8" s="64">
        <v>25675</v>
      </c>
      <c r="L8" s="65">
        <v>25675</v>
      </c>
      <c r="M8" s="64">
        <v>0</v>
      </c>
      <c r="N8" s="65">
        <v>0</v>
      </c>
      <c r="O8" s="32" t="s">
        <v>203</v>
      </c>
    </row>
    <row r="9" spans="2:15" ht="19.7" customHeight="1">
      <c r="B9" s="28" t="s">
        <v>834</v>
      </c>
      <c r="C9" s="29" t="s">
        <v>411</v>
      </c>
      <c r="D9" s="29" t="s">
        <v>110</v>
      </c>
      <c r="E9" s="31">
        <v>50</v>
      </c>
      <c r="F9" s="30" t="s">
        <v>157</v>
      </c>
      <c r="G9" s="37">
        <v>37670</v>
      </c>
      <c r="H9" s="65">
        <v>18835</v>
      </c>
      <c r="I9" s="37">
        <v>37670</v>
      </c>
      <c r="J9" s="65">
        <v>18835</v>
      </c>
      <c r="K9" s="37"/>
      <c r="L9" s="65">
        <v>0</v>
      </c>
      <c r="M9" s="37"/>
      <c r="N9" s="65">
        <v>0</v>
      </c>
      <c r="O9" s="32" t="s">
        <v>834</v>
      </c>
    </row>
    <row r="10" spans="2:15" ht="19.7" customHeight="1">
      <c r="B10" s="28" t="s">
        <v>834</v>
      </c>
      <c r="C10" s="29" t="s">
        <v>834</v>
      </c>
      <c r="D10" s="29" t="s">
        <v>834</v>
      </c>
      <c r="E10" s="31"/>
      <c r="F10" s="30" t="s">
        <v>834</v>
      </c>
      <c r="G10" s="37"/>
      <c r="H10" s="31"/>
      <c r="I10" s="37"/>
      <c r="J10" s="65">
        <v>0</v>
      </c>
      <c r="K10" s="37"/>
      <c r="L10" s="65">
        <v>0</v>
      </c>
      <c r="M10" s="37"/>
      <c r="N10" s="65">
        <v>0</v>
      </c>
      <c r="O10" s="32" t="s">
        <v>834</v>
      </c>
    </row>
    <row r="11" spans="2:15" ht="19.7" customHeight="1">
      <c r="B11" s="90" t="s">
        <v>724</v>
      </c>
      <c r="C11" s="62" t="s">
        <v>789</v>
      </c>
      <c r="D11" s="62" t="s">
        <v>834</v>
      </c>
      <c r="E11" s="31"/>
      <c r="F11" s="91" t="s">
        <v>596</v>
      </c>
      <c r="G11" s="37"/>
      <c r="H11" s="92">
        <v>9268</v>
      </c>
      <c r="I11" s="37"/>
      <c r="J11" s="92">
        <v>8912</v>
      </c>
      <c r="K11" s="37"/>
      <c r="L11" s="65">
        <v>0</v>
      </c>
      <c r="M11" s="37"/>
      <c r="N11" s="92">
        <v>356</v>
      </c>
      <c r="O11" s="93" t="s">
        <v>444</v>
      </c>
    </row>
    <row r="12" spans="2:15" ht="19.7" customHeight="1">
      <c r="B12" s="28" t="s">
        <v>834</v>
      </c>
      <c r="C12" s="29" t="s">
        <v>12</v>
      </c>
      <c r="D12" s="29" t="s">
        <v>834</v>
      </c>
      <c r="E12" s="94">
        <v>0.03</v>
      </c>
      <c r="F12" s="30" t="s">
        <v>767</v>
      </c>
      <c r="G12" s="37">
        <v>228286</v>
      </c>
      <c r="H12" s="65">
        <v>6848</v>
      </c>
      <c r="I12" s="64">
        <v>228286</v>
      </c>
      <c r="J12" s="65">
        <v>6848</v>
      </c>
      <c r="K12" s="64">
        <v>0</v>
      </c>
      <c r="L12" s="65">
        <v>0</v>
      </c>
      <c r="M12" s="64">
        <v>0</v>
      </c>
      <c r="N12" s="65">
        <v>0</v>
      </c>
      <c r="O12" s="32" t="s">
        <v>834</v>
      </c>
    </row>
    <row r="13" spans="2:15" ht="19.7" customHeight="1">
      <c r="B13" s="28" t="s">
        <v>834</v>
      </c>
      <c r="C13" s="29" t="s">
        <v>54</v>
      </c>
      <c r="D13" s="29" t="s">
        <v>834</v>
      </c>
      <c r="E13" s="94">
        <v>1.2E-2</v>
      </c>
      <c r="F13" s="30" t="s">
        <v>767</v>
      </c>
      <c r="G13" s="37">
        <v>172068</v>
      </c>
      <c r="H13" s="65">
        <v>2064</v>
      </c>
      <c r="I13" s="64">
        <v>172068</v>
      </c>
      <c r="J13" s="65">
        <v>2064</v>
      </c>
      <c r="K13" s="64">
        <v>0</v>
      </c>
      <c r="L13" s="65">
        <v>0</v>
      </c>
      <c r="M13" s="64">
        <v>0</v>
      </c>
      <c r="N13" s="65">
        <v>0</v>
      </c>
      <c r="O13" s="32" t="s">
        <v>834</v>
      </c>
    </row>
    <row r="14" spans="2:15" ht="19.7" customHeight="1">
      <c r="B14" s="28" t="s">
        <v>834</v>
      </c>
      <c r="C14" s="29" t="s">
        <v>106</v>
      </c>
      <c r="D14" s="29" t="s">
        <v>110</v>
      </c>
      <c r="E14" s="31">
        <v>4</v>
      </c>
      <c r="F14" s="30" t="s">
        <v>157</v>
      </c>
      <c r="G14" s="37">
        <v>8912</v>
      </c>
      <c r="H14" s="65">
        <v>356</v>
      </c>
      <c r="I14" s="37"/>
      <c r="J14" s="65">
        <v>0</v>
      </c>
      <c r="K14" s="37"/>
      <c r="L14" s="65">
        <v>0</v>
      </c>
      <c r="M14" s="37">
        <v>8912</v>
      </c>
      <c r="N14" s="65">
        <v>356</v>
      </c>
      <c r="O14" s="32" t="s">
        <v>834</v>
      </c>
    </row>
    <row r="15" spans="2:15" ht="19.7" customHeight="1">
      <c r="B15" s="28" t="s">
        <v>834</v>
      </c>
      <c r="C15" s="29" t="s">
        <v>834</v>
      </c>
      <c r="D15" s="29" t="s">
        <v>834</v>
      </c>
      <c r="E15" s="31"/>
      <c r="F15" s="30" t="s">
        <v>834</v>
      </c>
      <c r="G15" s="37"/>
      <c r="H15" s="31"/>
      <c r="I15" s="37"/>
      <c r="J15" s="65">
        <v>0</v>
      </c>
      <c r="K15" s="37"/>
      <c r="L15" s="65">
        <v>0</v>
      </c>
      <c r="M15" s="37"/>
      <c r="N15" s="65">
        <v>0</v>
      </c>
      <c r="O15" s="32" t="s">
        <v>834</v>
      </c>
    </row>
    <row r="16" spans="2:15" ht="19.7" customHeight="1">
      <c r="B16" s="90" t="s">
        <v>202</v>
      </c>
      <c r="C16" s="62" t="s">
        <v>445</v>
      </c>
      <c r="D16" s="62" t="s">
        <v>470</v>
      </c>
      <c r="E16" s="31"/>
      <c r="F16" s="91" t="s">
        <v>596</v>
      </c>
      <c r="G16" s="37"/>
      <c r="H16" s="92">
        <v>20629</v>
      </c>
      <c r="I16" s="37"/>
      <c r="J16" s="92">
        <v>14293</v>
      </c>
      <c r="K16" s="37"/>
      <c r="L16" s="92">
        <v>6336</v>
      </c>
      <c r="M16" s="37"/>
      <c r="N16" s="65">
        <v>0</v>
      </c>
      <c r="O16" s="93" t="s">
        <v>834</v>
      </c>
    </row>
    <row r="17" spans="2:15" ht="19.7" customHeight="1">
      <c r="B17" s="28" t="s">
        <v>834</v>
      </c>
      <c r="C17" s="29" t="s">
        <v>234</v>
      </c>
      <c r="D17" s="29" t="s">
        <v>630</v>
      </c>
      <c r="E17" s="94">
        <v>0.08</v>
      </c>
      <c r="F17" s="30" t="s">
        <v>132</v>
      </c>
      <c r="G17" s="37">
        <v>79200</v>
      </c>
      <c r="H17" s="65">
        <v>6336</v>
      </c>
      <c r="I17" s="64">
        <v>0</v>
      </c>
      <c r="J17" s="65">
        <v>0</v>
      </c>
      <c r="K17" s="64">
        <v>79200</v>
      </c>
      <c r="L17" s="65">
        <v>6336</v>
      </c>
      <c r="M17" s="64">
        <v>0</v>
      </c>
      <c r="N17" s="65">
        <v>0</v>
      </c>
      <c r="O17" s="32" t="s">
        <v>834</v>
      </c>
    </row>
    <row r="18" spans="2:15" ht="19.7" customHeight="1">
      <c r="B18" s="28" t="s">
        <v>834</v>
      </c>
      <c r="C18" s="29" t="s">
        <v>12</v>
      </c>
      <c r="D18" s="29" t="s">
        <v>834</v>
      </c>
      <c r="E18" s="94">
        <v>0.04</v>
      </c>
      <c r="F18" s="30" t="s">
        <v>767</v>
      </c>
      <c r="G18" s="37">
        <v>228286</v>
      </c>
      <c r="H18" s="65">
        <v>9131</v>
      </c>
      <c r="I18" s="64">
        <v>228286</v>
      </c>
      <c r="J18" s="65">
        <v>9131</v>
      </c>
      <c r="K18" s="64">
        <v>0</v>
      </c>
      <c r="L18" s="65">
        <v>0</v>
      </c>
      <c r="M18" s="64">
        <v>0</v>
      </c>
      <c r="N18" s="65">
        <v>0</v>
      </c>
      <c r="O18" s="32" t="s">
        <v>834</v>
      </c>
    </row>
    <row r="19" spans="2:15" ht="19.7" customHeight="1">
      <c r="B19" s="28" t="s">
        <v>834</v>
      </c>
      <c r="C19" s="29" t="s">
        <v>54</v>
      </c>
      <c r="D19" s="29" t="s">
        <v>834</v>
      </c>
      <c r="E19" s="94">
        <v>0.03</v>
      </c>
      <c r="F19" s="30" t="s">
        <v>767</v>
      </c>
      <c r="G19" s="37">
        <v>172068</v>
      </c>
      <c r="H19" s="65">
        <v>5162</v>
      </c>
      <c r="I19" s="64">
        <v>172068</v>
      </c>
      <c r="J19" s="65">
        <v>5162</v>
      </c>
      <c r="K19" s="64">
        <v>0</v>
      </c>
      <c r="L19" s="65">
        <v>0</v>
      </c>
      <c r="M19" s="64">
        <v>0</v>
      </c>
      <c r="N19" s="65">
        <v>0</v>
      </c>
      <c r="O19" s="32" t="s">
        <v>834</v>
      </c>
    </row>
    <row r="20" spans="2:15" ht="19.7" customHeight="1">
      <c r="B20" s="28" t="s">
        <v>834</v>
      </c>
      <c r="C20" s="29" t="s">
        <v>834</v>
      </c>
      <c r="D20" s="29" t="s">
        <v>834</v>
      </c>
      <c r="E20" s="31"/>
      <c r="F20" s="30" t="s">
        <v>834</v>
      </c>
      <c r="G20" s="37"/>
      <c r="H20" s="31"/>
      <c r="I20" s="37"/>
      <c r="J20" s="65">
        <v>0</v>
      </c>
      <c r="K20" s="37"/>
      <c r="L20" s="65">
        <v>0</v>
      </c>
      <c r="M20" s="37"/>
      <c r="N20" s="65">
        <v>0</v>
      </c>
      <c r="O20" s="32" t="s">
        <v>834</v>
      </c>
    </row>
    <row r="21" spans="2:15" ht="19.7" customHeight="1">
      <c r="B21" s="90" t="s">
        <v>819</v>
      </c>
      <c r="C21" s="62" t="s">
        <v>640</v>
      </c>
      <c r="D21" s="62" t="s">
        <v>834</v>
      </c>
      <c r="E21" s="31"/>
      <c r="F21" s="91" t="s">
        <v>596</v>
      </c>
      <c r="G21" s="37"/>
      <c r="H21" s="92">
        <v>40140</v>
      </c>
      <c r="I21" s="37"/>
      <c r="J21" s="92">
        <v>14465</v>
      </c>
      <c r="K21" s="37"/>
      <c r="L21" s="92">
        <v>25675</v>
      </c>
      <c r="M21" s="37"/>
      <c r="N21" s="65">
        <v>0</v>
      </c>
      <c r="O21" s="93" t="s">
        <v>834</v>
      </c>
    </row>
    <row r="22" spans="2:15" ht="19.7" customHeight="1">
      <c r="B22" s="28" t="s">
        <v>834</v>
      </c>
      <c r="C22" s="29" t="s">
        <v>720</v>
      </c>
      <c r="D22" s="29" t="s">
        <v>241</v>
      </c>
      <c r="E22" s="94">
        <v>1.55</v>
      </c>
      <c r="F22" s="30" t="s">
        <v>477</v>
      </c>
      <c r="G22" s="37">
        <v>6500</v>
      </c>
      <c r="H22" s="65">
        <v>10075</v>
      </c>
      <c r="I22" s="64">
        <v>0</v>
      </c>
      <c r="J22" s="65">
        <v>0</v>
      </c>
      <c r="K22" s="64">
        <v>6500</v>
      </c>
      <c r="L22" s="65">
        <v>10075</v>
      </c>
      <c r="M22" s="64">
        <v>0</v>
      </c>
      <c r="N22" s="65">
        <v>0</v>
      </c>
      <c r="O22" s="32" t="s">
        <v>834</v>
      </c>
    </row>
    <row r="23" spans="2:15" ht="19.7" customHeight="1">
      <c r="B23" s="28" t="s">
        <v>834</v>
      </c>
      <c r="C23" s="29" t="s">
        <v>156</v>
      </c>
      <c r="D23" s="29" t="s">
        <v>224</v>
      </c>
      <c r="E23" s="94">
        <v>1.95</v>
      </c>
      <c r="F23" s="30" t="s">
        <v>596</v>
      </c>
      <c r="G23" s="37">
        <v>8000</v>
      </c>
      <c r="H23" s="65">
        <v>15600</v>
      </c>
      <c r="I23" s="64">
        <v>0</v>
      </c>
      <c r="J23" s="65">
        <v>0</v>
      </c>
      <c r="K23" s="64">
        <v>8000</v>
      </c>
      <c r="L23" s="65">
        <v>15600</v>
      </c>
      <c r="M23" s="64">
        <v>0</v>
      </c>
      <c r="N23" s="65">
        <v>0</v>
      </c>
      <c r="O23" s="32" t="s">
        <v>834</v>
      </c>
    </row>
    <row r="24" spans="2:15" ht="19.7" customHeight="1">
      <c r="B24" s="28" t="s">
        <v>834</v>
      </c>
      <c r="C24" s="29" t="s">
        <v>12</v>
      </c>
      <c r="D24" s="29" t="s">
        <v>834</v>
      </c>
      <c r="E24" s="94">
        <v>0.04</v>
      </c>
      <c r="F24" s="30" t="s">
        <v>767</v>
      </c>
      <c r="G24" s="37">
        <v>228286</v>
      </c>
      <c r="H24" s="65">
        <v>9131</v>
      </c>
      <c r="I24" s="64">
        <v>228286</v>
      </c>
      <c r="J24" s="65">
        <v>9131</v>
      </c>
      <c r="K24" s="64">
        <v>0</v>
      </c>
      <c r="L24" s="65">
        <v>0</v>
      </c>
      <c r="M24" s="64">
        <v>0</v>
      </c>
      <c r="N24" s="65">
        <v>0</v>
      </c>
      <c r="O24" s="32" t="s">
        <v>834</v>
      </c>
    </row>
    <row r="25" spans="2:15" ht="19.7" customHeight="1">
      <c r="B25" s="28" t="s">
        <v>834</v>
      </c>
      <c r="C25" s="29" t="s">
        <v>54</v>
      </c>
      <c r="D25" s="29" t="s">
        <v>834</v>
      </c>
      <c r="E25" s="94">
        <v>3.1E-2</v>
      </c>
      <c r="F25" s="30" t="s">
        <v>767</v>
      </c>
      <c r="G25" s="37">
        <v>172068</v>
      </c>
      <c r="H25" s="65">
        <v>5334</v>
      </c>
      <c r="I25" s="64">
        <v>172068</v>
      </c>
      <c r="J25" s="65">
        <v>5334</v>
      </c>
      <c r="K25" s="64">
        <v>0</v>
      </c>
      <c r="L25" s="65">
        <v>0</v>
      </c>
      <c r="M25" s="64">
        <v>0</v>
      </c>
      <c r="N25" s="65">
        <v>0</v>
      </c>
      <c r="O25" s="32" t="s">
        <v>834</v>
      </c>
    </row>
    <row r="26" spans="2:15" ht="19.7" customHeight="1">
      <c r="B26" s="28" t="s">
        <v>834</v>
      </c>
      <c r="C26" s="29" t="s">
        <v>834</v>
      </c>
      <c r="D26" s="29" t="s">
        <v>834</v>
      </c>
      <c r="E26" s="31"/>
      <c r="F26" s="30" t="s">
        <v>834</v>
      </c>
      <c r="G26" s="37"/>
      <c r="H26" s="31"/>
      <c r="I26" s="37"/>
      <c r="J26" s="65">
        <v>0</v>
      </c>
      <c r="K26" s="37"/>
      <c r="L26" s="65">
        <v>0</v>
      </c>
      <c r="M26" s="37"/>
      <c r="N26" s="65">
        <v>0</v>
      </c>
      <c r="O26" s="32" t="s">
        <v>834</v>
      </c>
    </row>
    <row r="27" spans="2:15" ht="19.7" customHeight="1">
      <c r="B27" s="90" t="s">
        <v>278</v>
      </c>
      <c r="C27" s="62" t="s">
        <v>788</v>
      </c>
      <c r="D27" s="62" t="s">
        <v>303</v>
      </c>
      <c r="E27" s="31"/>
      <c r="F27" s="91" t="s">
        <v>296</v>
      </c>
      <c r="G27" s="37"/>
      <c r="H27" s="92">
        <v>12471</v>
      </c>
      <c r="I27" s="37"/>
      <c r="J27" s="92">
        <v>2580</v>
      </c>
      <c r="K27" s="37"/>
      <c r="L27" s="92">
        <v>9840</v>
      </c>
      <c r="M27" s="37"/>
      <c r="N27" s="92">
        <v>51</v>
      </c>
      <c r="O27" s="93" t="s">
        <v>834</v>
      </c>
    </row>
    <row r="28" spans="2:15" ht="19.7" customHeight="1">
      <c r="B28" s="28" t="s">
        <v>834</v>
      </c>
      <c r="C28" s="29" t="s">
        <v>788</v>
      </c>
      <c r="D28" s="29" t="s">
        <v>360</v>
      </c>
      <c r="E28" s="31">
        <v>1</v>
      </c>
      <c r="F28" s="30" t="s">
        <v>296</v>
      </c>
      <c r="G28" s="37">
        <v>11611</v>
      </c>
      <c r="H28" s="65">
        <v>11611</v>
      </c>
      <c r="I28" s="64">
        <v>1720</v>
      </c>
      <c r="J28" s="65">
        <v>1720</v>
      </c>
      <c r="K28" s="64">
        <v>9840</v>
      </c>
      <c r="L28" s="65">
        <v>9840</v>
      </c>
      <c r="M28" s="64">
        <v>51</v>
      </c>
      <c r="N28" s="65">
        <v>51</v>
      </c>
      <c r="O28" s="32" t="s">
        <v>242</v>
      </c>
    </row>
    <row r="29" spans="2:15" ht="19.7" customHeight="1">
      <c r="B29" s="28" t="s">
        <v>834</v>
      </c>
      <c r="C29" s="29" t="s">
        <v>411</v>
      </c>
      <c r="D29" s="29" t="s">
        <v>110</v>
      </c>
      <c r="E29" s="31">
        <v>50</v>
      </c>
      <c r="F29" s="30" t="s">
        <v>157</v>
      </c>
      <c r="G29" s="37">
        <v>1720</v>
      </c>
      <c r="H29" s="65">
        <v>860</v>
      </c>
      <c r="I29" s="37">
        <v>1720</v>
      </c>
      <c r="J29" s="65">
        <v>860</v>
      </c>
      <c r="K29" s="37"/>
      <c r="L29" s="65">
        <v>0</v>
      </c>
      <c r="M29" s="37"/>
      <c r="N29" s="65">
        <v>0</v>
      </c>
      <c r="O29" s="32" t="s">
        <v>834</v>
      </c>
    </row>
    <row r="30" spans="2:15" ht="19.7" customHeight="1">
      <c r="B30" s="33" t="s">
        <v>834</v>
      </c>
      <c r="C30" s="34" t="s">
        <v>834</v>
      </c>
      <c r="D30" s="34" t="s">
        <v>834</v>
      </c>
      <c r="E30" s="22"/>
      <c r="F30" s="35" t="s">
        <v>834</v>
      </c>
      <c r="G30" s="21"/>
      <c r="H30" s="22"/>
      <c r="I30" s="21"/>
      <c r="J30" s="74">
        <v>0</v>
      </c>
      <c r="K30" s="21"/>
      <c r="L30" s="74">
        <v>0</v>
      </c>
      <c r="M30" s="21"/>
      <c r="N30" s="74">
        <v>0</v>
      </c>
      <c r="O30" s="36" t="s">
        <v>834</v>
      </c>
    </row>
    <row r="31" spans="2:15" ht="19.7" customHeight="1">
      <c r="B31" s="90" t="s">
        <v>798</v>
      </c>
      <c r="C31" s="62" t="s">
        <v>788</v>
      </c>
      <c r="D31" s="62" t="s">
        <v>360</v>
      </c>
      <c r="E31" s="31"/>
      <c r="F31" s="91" t="s">
        <v>296</v>
      </c>
      <c r="G31" s="37"/>
      <c r="H31" s="92">
        <v>11611</v>
      </c>
      <c r="I31" s="37"/>
      <c r="J31" s="92">
        <v>1720</v>
      </c>
      <c r="K31" s="37"/>
      <c r="L31" s="92">
        <v>9840</v>
      </c>
      <c r="M31" s="37"/>
      <c r="N31" s="92">
        <v>51</v>
      </c>
      <c r="O31" s="93" t="s">
        <v>834</v>
      </c>
    </row>
    <row r="32" spans="2:15" ht="19.7" customHeight="1">
      <c r="B32" s="28" t="s">
        <v>834</v>
      </c>
      <c r="C32" s="29" t="s">
        <v>317</v>
      </c>
      <c r="D32" s="29" t="s">
        <v>409</v>
      </c>
      <c r="E32" s="94">
        <v>1.05</v>
      </c>
      <c r="F32" s="30" t="s">
        <v>296</v>
      </c>
      <c r="G32" s="37">
        <v>9170</v>
      </c>
      <c r="H32" s="65">
        <v>9628</v>
      </c>
      <c r="I32" s="64">
        <v>0</v>
      </c>
      <c r="J32" s="65">
        <v>0</v>
      </c>
      <c r="K32" s="64">
        <v>9170</v>
      </c>
      <c r="L32" s="65">
        <v>9628</v>
      </c>
      <c r="M32" s="64">
        <v>0</v>
      </c>
      <c r="N32" s="65">
        <v>0</v>
      </c>
      <c r="O32" s="32" t="s">
        <v>834</v>
      </c>
    </row>
    <row r="33" spans="2:15" ht="19.7" customHeight="1">
      <c r="B33" s="28" t="s">
        <v>834</v>
      </c>
      <c r="C33" s="29" t="s">
        <v>39</v>
      </c>
      <c r="D33" s="29" t="s">
        <v>424</v>
      </c>
      <c r="E33" s="31">
        <v>2</v>
      </c>
      <c r="F33" s="30" t="s">
        <v>212</v>
      </c>
      <c r="G33" s="37">
        <v>106</v>
      </c>
      <c r="H33" s="65">
        <v>212</v>
      </c>
      <c r="I33" s="64">
        <v>0</v>
      </c>
      <c r="J33" s="65">
        <v>0</v>
      </c>
      <c r="K33" s="64">
        <v>106</v>
      </c>
      <c r="L33" s="65">
        <v>212</v>
      </c>
      <c r="M33" s="64">
        <v>0</v>
      </c>
      <c r="N33" s="65">
        <v>0</v>
      </c>
      <c r="O33" s="32" t="s">
        <v>834</v>
      </c>
    </row>
    <row r="34" spans="2:15" ht="19.7" customHeight="1">
      <c r="B34" s="28" t="s">
        <v>834</v>
      </c>
      <c r="C34" s="29" t="s">
        <v>54</v>
      </c>
      <c r="D34" s="29" t="s">
        <v>834</v>
      </c>
      <c r="E34" s="94">
        <v>0.01</v>
      </c>
      <c r="F34" s="30" t="s">
        <v>767</v>
      </c>
      <c r="G34" s="37">
        <v>172068</v>
      </c>
      <c r="H34" s="65">
        <v>1720</v>
      </c>
      <c r="I34" s="64">
        <v>172068</v>
      </c>
      <c r="J34" s="65">
        <v>1720</v>
      </c>
      <c r="K34" s="64">
        <v>0</v>
      </c>
      <c r="L34" s="65">
        <v>0</v>
      </c>
      <c r="M34" s="64">
        <v>0</v>
      </c>
      <c r="N34" s="65">
        <v>0</v>
      </c>
      <c r="O34" s="32" t="s">
        <v>834</v>
      </c>
    </row>
    <row r="35" spans="2:15" ht="19.7" customHeight="1">
      <c r="B35" s="28" t="s">
        <v>834</v>
      </c>
      <c r="C35" s="29" t="s">
        <v>779</v>
      </c>
      <c r="D35" s="29" t="s">
        <v>110</v>
      </c>
      <c r="E35" s="31">
        <v>3</v>
      </c>
      <c r="F35" s="30" t="s">
        <v>157</v>
      </c>
      <c r="G35" s="37">
        <v>1720</v>
      </c>
      <c r="H35" s="65">
        <v>51</v>
      </c>
      <c r="I35" s="37"/>
      <c r="J35" s="65">
        <v>0</v>
      </c>
      <c r="K35" s="37"/>
      <c r="L35" s="65">
        <v>0</v>
      </c>
      <c r="M35" s="37">
        <v>1720</v>
      </c>
      <c r="N35" s="65">
        <v>51</v>
      </c>
      <c r="O35" s="32" t="s">
        <v>834</v>
      </c>
    </row>
    <row r="36" spans="2:15" ht="19.7" customHeight="1">
      <c r="B36" s="28" t="s">
        <v>834</v>
      </c>
      <c r="C36" s="29" t="s">
        <v>834</v>
      </c>
      <c r="D36" s="29" t="s">
        <v>834</v>
      </c>
      <c r="E36" s="31"/>
      <c r="F36" s="30" t="s">
        <v>834</v>
      </c>
      <c r="G36" s="37"/>
      <c r="H36" s="31"/>
      <c r="I36" s="37"/>
      <c r="J36" s="65">
        <v>0</v>
      </c>
      <c r="K36" s="37"/>
      <c r="L36" s="65">
        <v>0</v>
      </c>
      <c r="M36" s="37"/>
      <c r="N36" s="65">
        <v>0</v>
      </c>
      <c r="O36" s="32" t="s">
        <v>834</v>
      </c>
    </row>
    <row r="37" spans="2:15" ht="19.7" customHeight="1">
      <c r="B37" s="90" t="s">
        <v>255</v>
      </c>
      <c r="C37" s="62" t="s">
        <v>398</v>
      </c>
      <c r="D37" s="62" t="s">
        <v>530</v>
      </c>
      <c r="E37" s="31"/>
      <c r="F37" s="91" t="s">
        <v>748</v>
      </c>
      <c r="G37" s="37"/>
      <c r="H37" s="92">
        <v>973959</v>
      </c>
      <c r="I37" s="37"/>
      <c r="J37" s="92">
        <v>553537</v>
      </c>
      <c r="K37" s="37"/>
      <c r="L37" s="92">
        <v>244588</v>
      </c>
      <c r="M37" s="37"/>
      <c r="N37" s="92">
        <v>175834</v>
      </c>
      <c r="O37" s="93" t="s">
        <v>834</v>
      </c>
    </row>
    <row r="38" spans="2:15" ht="19.7" customHeight="1">
      <c r="B38" s="28" t="s">
        <v>834</v>
      </c>
      <c r="C38" s="29" t="s">
        <v>398</v>
      </c>
      <c r="D38" s="29" t="s">
        <v>613</v>
      </c>
      <c r="E38" s="31">
        <v>1</v>
      </c>
      <c r="F38" s="30" t="s">
        <v>748</v>
      </c>
      <c r="G38" s="37">
        <v>789447</v>
      </c>
      <c r="H38" s="65">
        <v>789447</v>
      </c>
      <c r="I38" s="64" t="s">
        <v>1254</v>
      </c>
      <c r="J38" s="65">
        <v>369025</v>
      </c>
      <c r="K38" s="64" t="s">
        <v>1255</v>
      </c>
      <c r="L38" s="65">
        <v>244588</v>
      </c>
      <c r="M38" s="64" t="s">
        <v>1256</v>
      </c>
      <c r="N38" s="65">
        <v>175834</v>
      </c>
      <c r="O38" s="32" t="s">
        <v>176</v>
      </c>
    </row>
    <row r="39" spans="2:15" ht="19.7" customHeight="1">
      <c r="B39" s="28" t="s">
        <v>834</v>
      </c>
      <c r="C39" s="29" t="s">
        <v>411</v>
      </c>
      <c r="D39" s="29" t="s">
        <v>110</v>
      </c>
      <c r="E39" s="31">
        <v>50</v>
      </c>
      <c r="F39" s="30" t="s">
        <v>157</v>
      </c>
      <c r="G39" s="37">
        <v>369025</v>
      </c>
      <c r="H39" s="65">
        <v>184512</v>
      </c>
      <c r="I39" s="37">
        <v>369025</v>
      </c>
      <c r="J39" s="65">
        <v>184512</v>
      </c>
      <c r="K39" s="37"/>
      <c r="L39" s="65">
        <v>0</v>
      </c>
      <c r="M39" s="37"/>
      <c r="N39" s="65">
        <v>0</v>
      </c>
      <c r="O39" s="32" t="s">
        <v>834</v>
      </c>
    </row>
    <row r="40" spans="2:15" ht="19.7" customHeight="1">
      <c r="B40" s="28" t="s">
        <v>834</v>
      </c>
      <c r="C40" s="29" t="s">
        <v>834</v>
      </c>
      <c r="D40" s="29" t="s">
        <v>834</v>
      </c>
      <c r="E40" s="31"/>
      <c r="F40" s="30" t="s">
        <v>834</v>
      </c>
      <c r="G40" s="37"/>
      <c r="H40" s="31"/>
      <c r="I40" s="37"/>
      <c r="J40" s="65">
        <v>0</v>
      </c>
      <c r="K40" s="37"/>
      <c r="L40" s="65">
        <v>0</v>
      </c>
      <c r="M40" s="37"/>
      <c r="N40" s="65">
        <v>0</v>
      </c>
      <c r="O40" s="32" t="s">
        <v>834</v>
      </c>
    </row>
    <row r="41" spans="2:15" ht="19.7" customHeight="1">
      <c r="B41" s="90" t="s">
        <v>428</v>
      </c>
      <c r="C41" s="62" t="s">
        <v>597</v>
      </c>
      <c r="D41" s="62" t="s">
        <v>530</v>
      </c>
      <c r="E41" s="31"/>
      <c r="F41" s="91" t="s">
        <v>366</v>
      </c>
      <c r="G41" s="37"/>
      <c r="H41" s="92">
        <v>147875</v>
      </c>
      <c r="I41" s="37"/>
      <c r="J41" s="92">
        <v>63375</v>
      </c>
      <c r="K41" s="37"/>
      <c r="L41" s="92">
        <v>84500</v>
      </c>
      <c r="M41" s="37"/>
      <c r="N41" s="65">
        <v>0</v>
      </c>
      <c r="O41" s="93" t="s">
        <v>834</v>
      </c>
    </row>
    <row r="42" spans="2:15" ht="19.7" customHeight="1">
      <c r="B42" s="28" t="s">
        <v>834</v>
      </c>
      <c r="C42" s="29" t="s">
        <v>597</v>
      </c>
      <c r="D42" s="29" t="s">
        <v>399</v>
      </c>
      <c r="E42" s="31">
        <v>1</v>
      </c>
      <c r="F42" s="30" t="s">
        <v>366</v>
      </c>
      <c r="G42" s="37">
        <v>126750</v>
      </c>
      <c r="H42" s="65">
        <v>126750</v>
      </c>
      <c r="I42" s="64" t="s">
        <v>1257</v>
      </c>
      <c r="J42" s="65">
        <v>42250</v>
      </c>
      <c r="K42" s="64" t="s">
        <v>1258</v>
      </c>
      <c r="L42" s="65">
        <v>84500</v>
      </c>
      <c r="M42" s="64">
        <v>0</v>
      </c>
      <c r="N42" s="65">
        <v>0</v>
      </c>
      <c r="O42" s="32" t="s">
        <v>469</v>
      </c>
    </row>
    <row r="43" spans="2:15" ht="19.7" customHeight="1">
      <c r="B43" s="28" t="s">
        <v>834</v>
      </c>
      <c r="C43" s="29" t="s">
        <v>411</v>
      </c>
      <c r="D43" s="29" t="s">
        <v>110</v>
      </c>
      <c r="E43" s="31">
        <v>50</v>
      </c>
      <c r="F43" s="30" t="s">
        <v>157</v>
      </c>
      <c r="G43" s="37">
        <v>42250</v>
      </c>
      <c r="H43" s="65">
        <v>21125</v>
      </c>
      <c r="I43" s="37">
        <v>42250</v>
      </c>
      <c r="J43" s="65">
        <v>21125</v>
      </c>
      <c r="K43" s="37"/>
      <c r="L43" s="65">
        <v>0</v>
      </c>
      <c r="M43" s="37"/>
      <c r="N43" s="65">
        <v>0</v>
      </c>
      <c r="O43" s="32" t="s">
        <v>834</v>
      </c>
    </row>
    <row r="44" spans="2:15" ht="19.7" customHeight="1">
      <c r="B44" s="28" t="s">
        <v>834</v>
      </c>
      <c r="C44" s="29" t="s">
        <v>834</v>
      </c>
      <c r="D44" s="29" t="s">
        <v>834</v>
      </c>
      <c r="E44" s="31"/>
      <c r="F44" s="30" t="s">
        <v>834</v>
      </c>
      <c r="G44" s="37"/>
      <c r="H44" s="31"/>
      <c r="I44" s="37"/>
      <c r="J44" s="65">
        <v>0</v>
      </c>
      <c r="K44" s="37"/>
      <c r="L44" s="65">
        <v>0</v>
      </c>
      <c r="M44" s="37"/>
      <c r="N44" s="65">
        <v>0</v>
      </c>
      <c r="O44" s="32" t="s">
        <v>834</v>
      </c>
    </row>
    <row r="45" spans="2:15" ht="19.7" customHeight="1">
      <c r="B45" s="90" t="s">
        <v>99</v>
      </c>
      <c r="C45" s="62" t="s">
        <v>283</v>
      </c>
      <c r="D45" s="62" t="s">
        <v>623</v>
      </c>
      <c r="E45" s="95">
        <v>1</v>
      </c>
      <c r="F45" s="91" t="s">
        <v>665</v>
      </c>
      <c r="G45" s="37"/>
      <c r="H45" s="92">
        <v>212052</v>
      </c>
      <c r="I45" s="37"/>
      <c r="J45" s="65">
        <v>0</v>
      </c>
      <c r="K45" s="37"/>
      <c r="L45" s="65">
        <v>0</v>
      </c>
      <c r="M45" s="37"/>
      <c r="N45" s="92">
        <v>212052</v>
      </c>
      <c r="O45" s="93" t="s">
        <v>834</v>
      </c>
    </row>
    <row r="46" spans="2:15" ht="19.7" customHeight="1">
      <c r="B46" s="28" t="s">
        <v>834</v>
      </c>
      <c r="C46" s="29" t="s">
        <v>757</v>
      </c>
      <c r="D46" s="29" t="s">
        <v>459</v>
      </c>
      <c r="E46" s="31">
        <v>1</v>
      </c>
      <c r="F46" s="30" t="s">
        <v>521</v>
      </c>
      <c r="G46" s="37">
        <v>68390</v>
      </c>
      <c r="H46" s="65">
        <v>68390</v>
      </c>
      <c r="I46" s="37"/>
      <c r="J46" s="65">
        <v>0</v>
      </c>
      <c r="K46" s="37"/>
      <c r="L46" s="65">
        <v>0</v>
      </c>
      <c r="M46" s="37">
        <v>68390</v>
      </c>
      <c r="N46" s="65">
        <v>68390</v>
      </c>
      <c r="O46" s="32" t="s">
        <v>834</v>
      </c>
    </row>
    <row r="47" spans="2:15" ht="19.7" customHeight="1">
      <c r="B47" s="28" t="s">
        <v>834</v>
      </c>
      <c r="C47" s="29" t="s">
        <v>369</v>
      </c>
      <c r="D47" s="29" t="s">
        <v>459</v>
      </c>
      <c r="E47" s="31">
        <v>1</v>
      </c>
      <c r="F47" s="30" t="s">
        <v>521</v>
      </c>
      <c r="G47" s="37">
        <v>25062</v>
      </c>
      <c r="H47" s="65">
        <v>25062</v>
      </c>
      <c r="I47" s="37"/>
      <c r="J47" s="65">
        <v>0</v>
      </c>
      <c r="K47" s="37"/>
      <c r="L47" s="65">
        <v>0</v>
      </c>
      <c r="M47" s="37">
        <v>25062</v>
      </c>
      <c r="N47" s="65">
        <v>25062</v>
      </c>
      <c r="O47" s="32" t="s">
        <v>834</v>
      </c>
    </row>
    <row r="48" spans="2:15" ht="19.7" customHeight="1">
      <c r="B48" s="28" t="s">
        <v>834</v>
      </c>
      <c r="C48" s="29" t="s">
        <v>593</v>
      </c>
      <c r="D48" s="29" t="s">
        <v>459</v>
      </c>
      <c r="E48" s="31">
        <v>1</v>
      </c>
      <c r="F48" s="30" t="s">
        <v>521</v>
      </c>
      <c r="G48" s="37">
        <v>118600</v>
      </c>
      <c r="H48" s="65">
        <v>118600</v>
      </c>
      <c r="I48" s="37"/>
      <c r="J48" s="65">
        <v>0</v>
      </c>
      <c r="K48" s="37"/>
      <c r="L48" s="65">
        <v>0</v>
      </c>
      <c r="M48" s="37">
        <v>118600</v>
      </c>
      <c r="N48" s="65">
        <v>118600</v>
      </c>
      <c r="O48" s="32" t="s">
        <v>834</v>
      </c>
    </row>
    <row r="49" spans="2:15" ht="19.7" customHeight="1">
      <c r="B49" s="28" t="s">
        <v>834</v>
      </c>
      <c r="C49" s="29" t="s">
        <v>834</v>
      </c>
      <c r="D49" s="29" t="s">
        <v>834</v>
      </c>
      <c r="E49" s="31"/>
      <c r="F49" s="30" t="s">
        <v>834</v>
      </c>
      <c r="G49" s="37"/>
      <c r="H49" s="31"/>
      <c r="I49" s="37"/>
      <c r="J49" s="65">
        <v>0</v>
      </c>
      <c r="K49" s="37"/>
      <c r="L49" s="65">
        <v>0</v>
      </c>
      <c r="M49" s="37"/>
      <c r="N49" s="65">
        <v>0</v>
      </c>
      <c r="O49" s="32" t="s">
        <v>834</v>
      </c>
    </row>
    <row r="50" spans="2:15" ht="19.7" customHeight="1">
      <c r="B50" s="90" t="s">
        <v>523</v>
      </c>
      <c r="C50" s="62" t="s">
        <v>438</v>
      </c>
      <c r="D50" s="62" t="s">
        <v>33</v>
      </c>
      <c r="E50" s="31"/>
      <c r="F50" s="91" t="s">
        <v>596</v>
      </c>
      <c r="G50" s="37"/>
      <c r="H50" s="92">
        <v>444207</v>
      </c>
      <c r="I50" s="37"/>
      <c r="J50" s="92">
        <v>154083</v>
      </c>
      <c r="K50" s="37"/>
      <c r="L50" s="92">
        <v>286620</v>
      </c>
      <c r="M50" s="37"/>
      <c r="N50" s="92">
        <v>3504</v>
      </c>
      <c r="O50" s="93" t="s">
        <v>834</v>
      </c>
    </row>
    <row r="51" spans="2:15" ht="19.7" customHeight="1">
      <c r="B51" s="28" t="s">
        <v>834</v>
      </c>
      <c r="C51" s="29" t="s">
        <v>455</v>
      </c>
      <c r="D51" s="29" t="s">
        <v>834</v>
      </c>
      <c r="E51" s="31">
        <v>1</v>
      </c>
      <c r="F51" s="30" t="s">
        <v>596</v>
      </c>
      <c r="G51" s="37">
        <v>6158</v>
      </c>
      <c r="H51" s="65">
        <v>6158</v>
      </c>
      <c r="I51" s="64">
        <v>5702</v>
      </c>
      <c r="J51" s="65">
        <v>5702</v>
      </c>
      <c r="K51" s="64">
        <v>0</v>
      </c>
      <c r="L51" s="65">
        <v>0</v>
      </c>
      <c r="M51" s="64">
        <v>456</v>
      </c>
      <c r="N51" s="65">
        <v>456</v>
      </c>
      <c r="O51" s="32" t="s">
        <v>74</v>
      </c>
    </row>
    <row r="52" spans="2:15" ht="19.7" customHeight="1">
      <c r="B52" s="28" t="s">
        <v>834</v>
      </c>
      <c r="C52" s="29" t="s">
        <v>602</v>
      </c>
      <c r="D52" s="29" t="s">
        <v>834</v>
      </c>
      <c r="E52" s="31">
        <v>1</v>
      </c>
      <c r="F52" s="30" t="s">
        <v>596</v>
      </c>
      <c r="G52" s="37">
        <v>4657</v>
      </c>
      <c r="H52" s="65">
        <v>4657</v>
      </c>
      <c r="I52" s="64">
        <v>4522</v>
      </c>
      <c r="J52" s="65">
        <v>4522</v>
      </c>
      <c r="K52" s="64">
        <v>0</v>
      </c>
      <c r="L52" s="65">
        <v>0</v>
      </c>
      <c r="M52" s="64">
        <v>135</v>
      </c>
      <c r="N52" s="65">
        <v>135</v>
      </c>
      <c r="O52" s="32" t="s">
        <v>562</v>
      </c>
    </row>
    <row r="53" spans="2:15" ht="19.7" customHeight="1">
      <c r="B53" s="28" t="s">
        <v>834</v>
      </c>
      <c r="C53" s="29" t="s">
        <v>743</v>
      </c>
      <c r="D53" s="29" t="s">
        <v>834</v>
      </c>
      <c r="E53" s="31">
        <v>1</v>
      </c>
      <c r="F53" s="30" t="s">
        <v>596</v>
      </c>
      <c r="G53" s="37">
        <v>3594</v>
      </c>
      <c r="H53" s="65">
        <v>3594</v>
      </c>
      <c r="I53" s="64">
        <v>3490</v>
      </c>
      <c r="J53" s="65">
        <v>3490</v>
      </c>
      <c r="K53" s="64">
        <v>0</v>
      </c>
      <c r="L53" s="65">
        <v>0</v>
      </c>
      <c r="M53" s="64">
        <v>104</v>
      </c>
      <c r="N53" s="65">
        <v>104</v>
      </c>
      <c r="O53" s="32" t="s">
        <v>56</v>
      </c>
    </row>
    <row r="54" spans="2:15" ht="19.7" customHeight="1">
      <c r="B54" s="28" t="s">
        <v>834</v>
      </c>
      <c r="C54" s="29" t="s">
        <v>357</v>
      </c>
      <c r="D54" s="29" t="s">
        <v>769</v>
      </c>
      <c r="E54" s="31">
        <v>1</v>
      </c>
      <c r="F54" s="30" t="s">
        <v>596</v>
      </c>
      <c r="G54" s="37">
        <v>5596</v>
      </c>
      <c r="H54" s="65">
        <v>5596</v>
      </c>
      <c r="I54" s="64">
        <v>2676</v>
      </c>
      <c r="J54" s="65">
        <v>2676</v>
      </c>
      <c r="K54" s="64">
        <v>2920</v>
      </c>
      <c r="L54" s="65">
        <v>2920</v>
      </c>
      <c r="M54" s="64">
        <v>0</v>
      </c>
      <c r="N54" s="65">
        <v>0</v>
      </c>
      <c r="O54" s="32" t="s">
        <v>528</v>
      </c>
    </row>
    <row r="55" spans="2:15" ht="19.7" customHeight="1">
      <c r="B55" s="28" t="s">
        <v>834</v>
      </c>
      <c r="C55" s="29" t="s">
        <v>631</v>
      </c>
      <c r="D55" s="29" t="s">
        <v>647</v>
      </c>
      <c r="E55" s="31">
        <v>105</v>
      </c>
      <c r="F55" s="30" t="s">
        <v>477</v>
      </c>
      <c r="G55" s="37">
        <v>2500</v>
      </c>
      <c r="H55" s="65">
        <v>262500</v>
      </c>
      <c r="I55" s="64">
        <v>0</v>
      </c>
      <c r="J55" s="65">
        <v>0</v>
      </c>
      <c r="K55" s="64">
        <v>2500</v>
      </c>
      <c r="L55" s="65">
        <v>262500</v>
      </c>
      <c r="M55" s="64">
        <v>0</v>
      </c>
      <c r="N55" s="65">
        <v>0</v>
      </c>
      <c r="O55" s="32" t="s">
        <v>834</v>
      </c>
    </row>
    <row r="56" spans="2:15" ht="19.7" customHeight="1">
      <c r="B56" s="33" t="s">
        <v>834</v>
      </c>
      <c r="C56" s="34" t="s">
        <v>515</v>
      </c>
      <c r="D56" s="34" t="s">
        <v>834</v>
      </c>
      <c r="E56" s="96">
        <v>0.05</v>
      </c>
      <c r="F56" s="35" t="s">
        <v>596</v>
      </c>
      <c r="G56" s="21">
        <v>1231145</v>
      </c>
      <c r="H56" s="74">
        <v>61555</v>
      </c>
      <c r="I56" s="70">
        <v>1131819</v>
      </c>
      <c r="J56" s="74">
        <v>56590</v>
      </c>
      <c r="K56" s="70">
        <v>55012</v>
      </c>
      <c r="L56" s="74">
        <v>2750</v>
      </c>
      <c r="M56" s="70">
        <v>44314</v>
      </c>
      <c r="N56" s="74">
        <v>2215</v>
      </c>
      <c r="O56" s="36" t="s">
        <v>44</v>
      </c>
    </row>
    <row r="57" spans="2:15" ht="19.7" customHeight="1">
      <c r="B57" s="28" t="s">
        <v>834</v>
      </c>
      <c r="C57" s="29" t="s">
        <v>727</v>
      </c>
      <c r="D57" s="29" t="s">
        <v>797</v>
      </c>
      <c r="E57" s="31">
        <v>1</v>
      </c>
      <c r="F57" s="30" t="s">
        <v>596</v>
      </c>
      <c r="G57" s="37">
        <v>48786</v>
      </c>
      <c r="H57" s="65">
        <v>48786</v>
      </c>
      <c r="I57" s="64">
        <v>29742</v>
      </c>
      <c r="J57" s="65">
        <v>29742</v>
      </c>
      <c r="K57" s="64">
        <v>18450</v>
      </c>
      <c r="L57" s="65">
        <v>18450</v>
      </c>
      <c r="M57" s="64">
        <v>594</v>
      </c>
      <c r="N57" s="65">
        <v>594</v>
      </c>
      <c r="O57" s="32" t="s">
        <v>502</v>
      </c>
    </row>
    <row r="58" spans="2:15" ht="19.7" customHeight="1">
      <c r="B58" s="28" t="s">
        <v>834</v>
      </c>
      <c r="C58" s="29" t="s">
        <v>411</v>
      </c>
      <c r="D58" s="29" t="s">
        <v>110</v>
      </c>
      <c r="E58" s="31">
        <v>50</v>
      </c>
      <c r="F58" s="30" t="s">
        <v>157</v>
      </c>
      <c r="G58" s="37">
        <v>102722</v>
      </c>
      <c r="H58" s="65">
        <v>51361</v>
      </c>
      <c r="I58" s="37">
        <v>102722</v>
      </c>
      <c r="J58" s="65">
        <v>51361</v>
      </c>
      <c r="K58" s="37"/>
      <c r="L58" s="65">
        <v>0</v>
      </c>
      <c r="M58" s="37"/>
      <c r="N58" s="65">
        <v>0</v>
      </c>
      <c r="O58" s="32" t="s">
        <v>834</v>
      </c>
    </row>
    <row r="59" spans="2:15" ht="19.7" customHeight="1">
      <c r="B59" s="28" t="s">
        <v>834</v>
      </c>
      <c r="C59" s="29" t="s">
        <v>834</v>
      </c>
      <c r="D59" s="29" t="s">
        <v>834</v>
      </c>
      <c r="E59" s="31"/>
      <c r="F59" s="30" t="s">
        <v>834</v>
      </c>
      <c r="G59" s="37"/>
      <c r="H59" s="31"/>
      <c r="I59" s="37"/>
      <c r="J59" s="65">
        <v>0</v>
      </c>
      <c r="K59" s="37"/>
      <c r="L59" s="65">
        <v>0</v>
      </c>
      <c r="M59" s="37"/>
      <c r="N59" s="65">
        <v>0</v>
      </c>
      <c r="O59" s="32" t="s">
        <v>834</v>
      </c>
    </row>
    <row r="60" spans="2:15" ht="19.7" customHeight="1">
      <c r="B60" s="90" t="s">
        <v>41</v>
      </c>
      <c r="C60" s="62" t="s">
        <v>455</v>
      </c>
      <c r="D60" s="62" t="s">
        <v>834</v>
      </c>
      <c r="E60" s="31"/>
      <c r="F60" s="91" t="s">
        <v>596</v>
      </c>
      <c r="G60" s="37"/>
      <c r="H60" s="92">
        <v>6158</v>
      </c>
      <c r="I60" s="37"/>
      <c r="J60" s="92">
        <v>5702</v>
      </c>
      <c r="K60" s="37"/>
      <c r="L60" s="65">
        <v>0</v>
      </c>
      <c r="M60" s="37"/>
      <c r="N60" s="92">
        <v>456</v>
      </c>
      <c r="O60" s="93" t="s">
        <v>834</v>
      </c>
    </row>
    <row r="61" spans="2:15" ht="19.7" customHeight="1">
      <c r="B61" s="28" t="s">
        <v>834</v>
      </c>
      <c r="C61" s="29" t="s">
        <v>43</v>
      </c>
      <c r="D61" s="29" t="s">
        <v>834</v>
      </c>
      <c r="E61" s="94">
        <v>0.01</v>
      </c>
      <c r="F61" s="30" t="s">
        <v>767</v>
      </c>
      <c r="G61" s="37">
        <v>226122</v>
      </c>
      <c r="H61" s="65">
        <v>2261</v>
      </c>
      <c r="I61" s="64">
        <v>226122</v>
      </c>
      <c r="J61" s="65">
        <v>2261</v>
      </c>
      <c r="K61" s="64">
        <v>0</v>
      </c>
      <c r="L61" s="65">
        <v>0</v>
      </c>
      <c r="M61" s="64">
        <v>0</v>
      </c>
      <c r="N61" s="65">
        <v>0</v>
      </c>
      <c r="O61" s="32" t="s">
        <v>834</v>
      </c>
    </row>
    <row r="62" spans="2:15" ht="19.7" customHeight="1">
      <c r="B62" s="28" t="s">
        <v>834</v>
      </c>
      <c r="C62" s="29" t="s">
        <v>54</v>
      </c>
      <c r="D62" s="29" t="s">
        <v>834</v>
      </c>
      <c r="E62" s="94">
        <v>0.02</v>
      </c>
      <c r="F62" s="30" t="s">
        <v>767</v>
      </c>
      <c r="G62" s="37">
        <v>172068</v>
      </c>
      <c r="H62" s="65">
        <v>3441</v>
      </c>
      <c r="I62" s="64">
        <v>172068</v>
      </c>
      <c r="J62" s="65">
        <v>3441</v>
      </c>
      <c r="K62" s="64">
        <v>0</v>
      </c>
      <c r="L62" s="65">
        <v>0</v>
      </c>
      <c r="M62" s="64">
        <v>0</v>
      </c>
      <c r="N62" s="65">
        <v>0</v>
      </c>
      <c r="O62" s="32" t="s">
        <v>834</v>
      </c>
    </row>
    <row r="63" spans="2:15" ht="19.7" customHeight="1">
      <c r="B63" s="28" t="s">
        <v>834</v>
      </c>
      <c r="C63" s="29" t="s">
        <v>779</v>
      </c>
      <c r="D63" s="29" t="s">
        <v>110</v>
      </c>
      <c r="E63" s="31">
        <v>8</v>
      </c>
      <c r="F63" s="30" t="s">
        <v>157</v>
      </c>
      <c r="G63" s="37">
        <v>5702</v>
      </c>
      <c r="H63" s="65">
        <v>456</v>
      </c>
      <c r="I63" s="37"/>
      <c r="J63" s="65">
        <v>0</v>
      </c>
      <c r="K63" s="37"/>
      <c r="L63" s="65">
        <v>0</v>
      </c>
      <c r="M63" s="37">
        <v>5702</v>
      </c>
      <c r="N63" s="65">
        <v>456</v>
      </c>
      <c r="O63" s="32" t="s">
        <v>834</v>
      </c>
    </row>
    <row r="64" spans="2:15" ht="19.7" customHeight="1">
      <c r="B64" s="28" t="s">
        <v>834</v>
      </c>
      <c r="C64" s="29" t="s">
        <v>834</v>
      </c>
      <c r="D64" s="29" t="s">
        <v>834</v>
      </c>
      <c r="E64" s="31"/>
      <c r="F64" s="30" t="s">
        <v>834</v>
      </c>
      <c r="G64" s="37"/>
      <c r="H64" s="31"/>
      <c r="I64" s="37"/>
      <c r="J64" s="65">
        <v>0</v>
      </c>
      <c r="K64" s="37"/>
      <c r="L64" s="65">
        <v>0</v>
      </c>
      <c r="M64" s="37"/>
      <c r="N64" s="65">
        <v>0</v>
      </c>
      <c r="O64" s="32" t="s">
        <v>834</v>
      </c>
    </row>
    <row r="65" spans="2:15" ht="19.7" customHeight="1">
      <c r="B65" s="90" t="s">
        <v>512</v>
      </c>
      <c r="C65" s="62" t="s">
        <v>602</v>
      </c>
      <c r="D65" s="62" t="s">
        <v>834</v>
      </c>
      <c r="E65" s="31"/>
      <c r="F65" s="91" t="s">
        <v>596</v>
      </c>
      <c r="G65" s="37"/>
      <c r="H65" s="92">
        <v>4657</v>
      </c>
      <c r="I65" s="37"/>
      <c r="J65" s="92">
        <v>4522</v>
      </c>
      <c r="K65" s="37"/>
      <c r="L65" s="65">
        <v>0</v>
      </c>
      <c r="M65" s="37"/>
      <c r="N65" s="92">
        <v>135</v>
      </c>
      <c r="O65" s="93" t="s">
        <v>834</v>
      </c>
    </row>
    <row r="66" spans="2:15" ht="19.7" customHeight="1">
      <c r="B66" s="28" t="s">
        <v>834</v>
      </c>
      <c r="C66" s="29" t="s">
        <v>43</v>
      </c>
      <c r="D66" s="29" t="s">
        <v>834</v>
      </c>
      <c r="E66" s="94">
        <v>0.02</v>
      </c>
      <c r="F66" s="30" t="s">
        <v>767</v>
      </c>
      <c r="G66" s="37">
        <v>226122</v>
      </c>
      <c r="H66" s="65">
        <v>4522</v>
      </c>
      <c r="I66" s="64">
        <v>226122</v>
      </c>
      <c r="J66" s="65">
        <v>4522</v>
      </c>
      <c r="K66" s="64">
        <v>0</v>
      </c>
      <c r="L66" s="65">
        <v>0</v>
      </c>
      <c r="M66" s="64">
        <v>0</v>
      </c>
      <c r="N66" s="65">
        <v>0</v>
      </c>
      <c r="O66" s="32" t="s">
        <v>834</v>
      </c>
    </row>
    <row r="67" spans="2:15" ht="19.7" customHeight="1">
      <c r="B67" s="28" t="s">
        <v>834</v>
      </c>
      <c r="C67" s="29" t="s">
        <v>446</v>
      </c>
      <c r="D67" s="29" t="s">
        <v>110</v>
      </c>
      <c r="E67" s="31">
        <v>3</v>
      </c>
      <c r="F67" s="30" t="s">
        <v>157</v>
      </c>
      <c r="G67" s="37">
        <v>4522</v>
      </c>
      <c r="H67" s="65">
        <v>135</v>
      </c>
      <c r="I67" s="37"/>
      <c r="J67" s="65">
        <v>0</v>
      </c>
      <c r="K67" s="37"/>
      <c r="L67" s="65">
        <v>0</v>
      </c>
      <c r="M67" s="37">
        <v>4522</v>
      </c>
      <c r="N67" s="65">
        <v>135</v>
      </c>
      <c r="O67" s="32" t="s">
        <v>834</v>
      </c>
    </row>
    <row r="68" spans="2:15" ht="19.7" customHeight="1">
      <c r="B68" s="28" t="s">
        <v>834</v>
      </c>
      <c r="C68" s="29" t="s">
        <v>834</v>
      </c>
      <c r="D68" s="29" t="s">
        <v>834</v>
      </c>
      <c r="E68" s="31"/>
      <c r="F68" s="30" t="s">
        <v>834</v>
      </c>
      <c r="G68" s="37"/>
      <c r="H68" s="31"/>
      <c r="I68" s="37"/>
      <c r="J68" s="65">
        <v>0</v>
      </c>
      <c r="K68" s="37"/>
      <c r="L68" s="65">
        <v>0</v>
      </c>
      <c r="M68" s="37"/>
      <c r="N68" s="65">
        <v>0</v>
      </c>
      <c r="O68" s="32" t="s">
        <v>834</v>
      </c>
    </row>
    <row r="69" spans="2:15" ht="19.7" customHeight="1">
      <c r="B69" s="90" t="s">
        <v>19</v>
      </c>
      <c r="C69" s="62" t="s">
        <v>743</v>
      </c>
      <c r="D69" s="62" t="s">
        <v>834</v>
      </c>
      <c r="E69" s="31"/>
      <c r="F69" s="91" t="s">
        <v>596</v>
      </c>
      <c r="G69" s="37"/>
      <c r="H69" s="92">
        <v>3594</v>
      </c>
      <c r="I69" s="37"/>
      <c r="J69" s="92">
        <v>3490</v>
      </c>
      <c r="K69" s="37"/>
      <c r="L69" s="65">
        <v>0</v>
      </c>
      <c r="M69" s="37"/>
      <c r="N69" s="92">
        <v>104</v>
      </c>
      <c r="O69" s="93" t="s">
        <v>834</v>
      </c>
    </row>
    <row r="70" spans="2:15" ht="19.7" customHeight="1">
      <c r="B70" s="28" t="s">
        <v>834</v>
      </c>
      <c r="C70" s="29" t="s">
        <v>667</v>
      </c>
      <c r="D70" s="29" t="s">
        <v>834</v>
      </c>
      <c r="E70" s="94">
        <v>0.01</v>
      </c>
      <c r="F70" s="30" t="s">
        <v>767</v>
      </c>
      <c r="G70" s="37">
        <v>263017</v>
      </c>
      <c r="H70" s="65">
        <v>2630</v>
      </c>
      <c r="I70" s="64">
        <v>263017</v>
      </c>
      <c r="J70" s="65">
        <v>2630</v>
      </c>
      <c r="K70" s="64">
        <v>0</v>
      </c>
      <c r="L70" s="65">
        <v>0</v>
      </c>
      <c r="M70" s="64">
        <v>0</v>
      </c>
      <c r="N70" s="65">
        <v>0</v>
      </c>
      <c r="O70" s="32" t="s">
        <v>834</v>
      </c>
    </row>
    <row r="71" spans="2:15" ht="19.7" customHeight="1">
      <c r="B71" s="28" t="s">
        <v>834</v>
      </c>
      <c r="C71" s="29" t="s">
        <v>54</v>
      </c>
      <c r="D71" s="29" t="s">
        <v>834</v>
      </c>
      <c r="E71" s="94">
        <v>5.0000000000000001E-3</v>
      </c>
      <c r="F71" s="30" t="s">
        <v>767</v>
      </c>
      <c r="G71" s="37">
        <v>172068</v>
      </c>
      <c r="H71" s="65">
        <v>860</v>
      </c>
      <c r="I71" s="64">
        <v>172068</v>
      </c>
      <c r="J71" s="65">
        <v>860</v>
      </c>
      <c r="K71" s="64">
        <v>0</v>
      </c>
      <c r="L71" s="65">
        <v>0</v>
      </c>
      <c r="M71" s="64">
        <v>0</v>
      </c>
      <c r="N71" s="65">
        <v>0</v>
      </c>
      <c r="O71" s="32" t="s">
        <v>834</v>
      </c>
    </row>
    <row r="72" spans="2:15" ht="19.7" customHeight="1">
      <c r="B72" s="28" t="s">
        <v>834</v>
      </c>
      <c r="C72" s="29" t="s">
        <v>818</v>
      </c>
      <c r="D72" s="29" t="s">
        <v>110</v>
      </c>
      <c r="E72" s="31">
        <v>3</v>
      </c>
      <c r="F72" s="30" t="s">
        <v>157</v>
      </c>
      <c r="G72" s="37">
        <v>3490</v>
      </c>
      <c r="H72" s="65">
        <v>104</v>
      </c>
      <c r="I72" s="37"/>
      <c r="J72" s="65">
        <v>0</v>
      </c>
      <c r="K72" s="37"/>
      <c r="L72" s="65">
        <v>0</v>
      </c>
      <c r="M72" s="37">
        <v>3490</v>
      </c>
      <c r="N72" s="65">
        <v>104</v>
      </c>
      <c r="O72" s="32" t="s">
        <v>834</v>
      </c>
    </row>
    <row r="73" spans="2:15" ht="19.7" customHeight="1">
      <c r="B73" s="28" t="s">
        <v>834</v>
      </c>
      <c r="C73" s="29" t="s">
        <v>834</v>
      </c>
      <c r="D73" s="29" t="s">
        <v>834</v>
      </c>
      <c r="E73" s="31"/>
      <c r="F73" s="30" t="s">
        <v>834</v>
      </c>
      <c r="G73" s="37"/>
      <c r="H73" s="31"/>
      <c r="I73" s="37"/>
      <c r="J73" s="65">
        <v>0</v>
      </c>
      <c r="K73" s="37"/>
      <c r="L73" s="65">
        <v>0</v>
      </c>
      <c r="M73" s="37"/>
      <c r="N73" s="65">
        <v>0</v>
      </c>
      <c r="O73" s="32" t="s">
        <v>834</v>
      </c>
    </row>
    <row r="74" spans="2:15" ht="19.7" customHeight="1">
      <c r="B74" s="90" t="s">
        <v>592</v>
      </c>
      <c r="C74" s="62" t="s">
        <v>357</v>
      </c>
      <c r="D74" s="62" t="s">
        <v>769</v>
      </c>
      <c r="E74" s="31"/>
      <c r="F74" s="91" t="s">
        <v>596</v>
      </c>
      <c r="G74" s="37"/>
      <c r="H74" s="92">
        <v>5596</v>
      </c>
      <c r="I74" s="37"/>
      <c r="J74" s="92">
        <v>2676</v>
      </c>
      <c r="K74" s="37"/>
      <c r="L74" s="92">
        <v>2920</v>
      </c>
      <c r="M74" s="37"/>
      <c r="N74" s="65">
        <v>0</v>
      </c>
      <c r="O74" s="93" t="s">
        <v>834</v>
      </c>
    </row>
    <row r="75" spans="2:15" ht="19.7" customHeight="1">
      <c r="B75" s="28" t="s">
        <v>834</v>
      </c>
      <c r="C75" s="29" t="s">
        <v>323</v>
      </c>
      <c r="D75" s="29" t="s">
        <v>20</v>
      </c>
      <c r="E75" s="94">
        <v>0.1168</v>
      </c>
      <c r="F75" s="30" t="s">
        <v>477</v>
      </c>
      <c r="G75" s="37">
        <v>25000</v>
      </c>
      <c r="H75" s="65">
        <v>2920</v>
      </c>
      <c r="I75" s="64">
        <v>0</v>
      </c>
      <c r="J75" s="65">
        <v>0</v>
      </c>
      <c r="K75" s="64">
        <v>25000</v>
      </c>
      <c r="L75" s="65">
        <v>2920</v>
      </c>
      <c r="M75" s="64">
        <v>0</v>
      </c>
      <c r="N75" s="65">
        <v>0</v>
      </c>
      <c r="O75" s="32" t="s">
        <v>834</v>
      </c>
    </row>
    <row r="76" spans="2:15" ht="19.7" customHeight="1">
      <c r="B76" s="28" t="s">
        <v>834</v>
      </c>
      <c r="C76" s="29" t="s">
        <v>667</v>
      </c>
      <c r="D76" s="29" t="s">
        <v>834</v>
      </c>
      <c r="E76" s="94">
        <v>8.9999999999999993E-3</v>
      </c>
      <c r="F76" s="30" t="s">
        <v>767</v>
      </c>
      <c r="G76" s="37">
        <v>263017</v>
      </c>
      <c r="H76" s="65">
        <v>2367</v>
      </c>
      <c r="I76" s="64">
        <v>263017</v>
      </c>
      <c r="J76" s="65">
        <v>2367</v>
      </c>
      <c r="K76" s="64">
        <v>0</v>
      </c>
      <c r="L76" s="65">
        <v>0</v>
      </c>
      <c r="M76" s="64">
        <v>0</v>
      </c>
      <c r="N76" s="65">
        <v>0</v>
      </c>
      <c r="O76" s="32" t="s">
        <v>834</v>
      </c>
    </row>
    <row r="77" spans="2:15" ht="19.7" customHeight="1">
      <c r="B77" s="28" t="s">
        <v>834</v>
      </c>
      <c r="C77" s="29" t="s">
        <v>54</v>
      </c>
      <c r="D77" s="29" t="s">
        <v>834</v>
      </c>
      <c r="E77" s="94">
        <v>1.8E-3</v>
      </c>
      <c r="F77" s="30" t="s">
        <v>767</v>
      </c>
      <c r="G77" s="37">
        <v>172068</v>
      </c>
      <c r="H77" s="65">
        <v>309</v>
      </c>
      <c r="I77" s="64">
        <v>172068</v>
      </c>
      <c r="J77" s="65">
        <v>309</v>
      </c>
      <c r="K77" s="64">
        <v>0</v>
      </c>
      <c r="L77" s="65">
        <v>0</v>
      </c>
      <c r="M77" s="64">
        <v>0</v>
      </c>
      <c r="N77" s="65">
        <v>0</v>
      </c>
      <c r="O77" s="32" t="s">
        <v>834</v>
      </c>
    </row>
    <row r="78" spans="2:15" ht="19.7" customHeight="1">
      <c r="B78" s="28" t="s">
        <v>834</v>
      </c>
      <c r="C78" s="29" t="s">
        <v>834</v>
      </c>
      <c r="D78" s="29" t="s">
        <v>834</v>
      </c>
      <c r="E78" s="31"/>
      <c r="F78" s="30" t="s">
        <v>834</v>
      </c>
      <c r="G78" s="37"/>
      <c r="H78" s="31"/>
      <c r="I78" s="37"/>
      <c r="J78" s="65">
        <v>0</v>
      </c>
      <c r="K78" s="37"/>
      <c r="L78" s="65">
        <v>0</v>
      </c>
      <c r="M78" s="37"/>
      <c r="N78" s="65">
        <v>0</v>
      </c>
      <c r="O78" s="32" t="s">
        <v>834</v>
      </c>
    </row>
    <row r="79" spans="2:15" ht="19.7" customHeight="1">
      <c r="B79" s="90" t="s">
        <v>81</v>
      </c>
      <c r="C79" s="62" t="s">
        <v>515</v>
      </c>
      <c r="D79" s="62" t="s">
        <v>834</v>
      </c>
      <c r="E79" s="31"/>
      <c r="F79" s="91" t="s">
        <v>596</v>
      </c>
      <c r="G79" s="37"/>
      <c r="H79" s="92">
        <v>1231145</v>
      </c>
      <c r="I79" s="37"/>
      <c r="J79" s="92">
        <v>1131819</v>
      </c>
      <c r="K79" s="37"/>
      <c r="L79" s="92">
        <v>55012</v>
      </c>
      <c r="M79" s="37"/>
      <c r="N79" s="92">
        <v>44314</v>
      </c>
      <c r="O79" s="93" t="s">
        <v>834</v>
      </c>
    </row>
    <row r="80" spans="2:15" ht="19.7" customHeight="1">
      <c r="B80" s="28" t="s">
        <v>834</v>
      </c>
      <c r="C80" s="29" t="s">
        <v>672</v>
      </c>
      <c r="D80" s="29" t="s">
        <v>685</v>
      </c>
      <c r="E80" s="94">
        <v>3.8</v>
      </c>
      <c r="F80" s="30" t="s">
        <v>598</v>
      </c>
      <c r="G80" s="37">
        <v>43664</v>
      </c>
      <c r="H80" s="65">
        <v>165922</v>
      </c>
      <c r="I80" s="64">
        <v>36248</v>
      </c>
      <c r="J80" s="65">
        <v>137742</v>
      </c>
      <c r="K80" s="64">
        <v>0</v>
      </c>
      <c r="L80" s="65">
        <v>0</v>
      </c>
      <c r="M80" s="64">
        <v>7416</v>
      </c>
      <c r="N80" s="65">
        <v>28180</v>
      </c>
      <c r="O80" s="32" t="s">
        <v>834</v>
      </c>
    </row>
    <row r="81" spans="2:15" ht="19.7" customHeight="1">
      <c r="B81" s="28" t="s">
        <v>834</v>
      </c>
      <c r="C81" s="29" t="s">
        <v>80</v>
      </c>
      <c r="D81" s="29" t="s">
        <v>708</v>
      </c>
      <c r="E81" s="94">
        <v>3.8</v>
      </c>
      <c r="F81" s="30" t="s">
        <v>598</v>
      </c>
      <c r="G81" s="37">
        <v>54971</v>
      </c>
      <c r="H81" s="65">
        <v>208888</v>
      </c>
      <c r="I81" s="64">
        <v>36248</v>
      </c>
      <c r="J81" s="65">
        <v>137742</v>
      </c>
      <c r="K81" s="64">
        <v>14477</v>
      </c>
      <c r="L81" s="65">
        <v>55012</v>
      </c>
      <c r="M81" s="64">
        <v>4246</v>
      </c>
      <c r="N81" s="65">
        <v>16134</v>
      </c>
      <c r="O81" s="32" t="s">
        <v>834</v>
      </c>
    </row>
    <row r="82" spans="2:15" ht="19.7" customHeight="1">
      <c r="B82" s="33" t="s">
        <v>834</v>
      </c>
      <c r="C82" s="34" t="s">
        <v>43</v>
      </c>
      <c r="D82" s="34" t="s">
        <v>834</v>
      </c>
      <c r="E82" s="96">
        <v>0.48</v>
      </c>
      <c r="F82" s="35" t="s">
        <v>767</v>
      </c>
      <c r="G82" s="21">
        <v>226122</v>
      </c>
      <c r="H82" s="74">
        <v>108538</v>
      </c>
      <c r="I82" s="70">
        <v>226122</v>
      </c>
      <c r="J82" s="74">
        <v>108538</v>
      </c>
      <c r="K82" s="70">
        <v>0</v>
      </c>
      <c r="L82" s="74">
        <v>0</v>
      </c>
      <c r="M82" s="70">
        <v>0</v>
      </c>
      <c r="N82" s="74">
        <v>0</v>
      </c>
      <c r="O82" s="36" t="s">
        <v>834</v>
      </c>
    </row>
    <row r="83" spans="2:15" ht="19.7" customHeight="1">
      <c r="B83" s="28" t="s">
        <v>834</v>
      </c>
      <c r="C83" s="29" t="s">
        <v>54</v>
      </c>
      <c r="D83" s="29" t="s">
        <v>834</v>
      </c>
      <c r="E83" s="94">
        <v>0.96</v>
      </c>
      <c r="F83" s="30" t="s">
        <v>767</v>
      </c>
      <c r="G83" s="37">
        <v>172068</v>
      </c>
      <c r="H83" s="65">
        <v>165184</v>
      </c>
      <c r="I83" s="37">
        <v>172068</v>
      </c>
      <c r="J83" s="31">
        <v>165184</v>
      </c>
      <c r="K83" s="37"/>
      <c r="L83" s="31"/>
      <c r="M83" s="37"/>
      <c r="N83" s="31"/>
      <c r="O83" s="32" t="s">
        <v>834</v>
      </c>
    </row>
    <row r="84" spans="2:15" ht="19.7" customHeight="1">
      <c r="B84" s="28" t="s">
        <v>834</v>
      </c>
      <c r="C84" s="29" t="s">
        <v>414</v>
      </c>
      <c r="D84" s="29" t="s">
        <v>834</v>
      </c>
      <c r="E84" s="94">
        <v>0.48</v>
      </c>
      <c r="F84" s="30" t="s">
        <v>767</v>
      </c>
      <c r="G84" s="37">
        <v>173995</v>
      </c>
      <c r="H84" s="65">
        <v>83517</v>
      </c>
      <c r="I84" s="64">
        <v>173995</v>
      </c>
      <c r="J84" s="65">
        <v>83517</v>
      </c>
      <c r="K84" s="64">
        <v>0</v>
      </c>
      <c r="L84" s="65">
        <v>0</v>
      </c>
      <c r="M84" s="64">
        <v>0</v>
      </c>
      <c r="N84" s="65">
        <v>0</v>
      </c>
      <c r="O84" s="32" t="s">
        <v>834</v>
      </c>
    </row>
    <row r="85" spans="2:15" ht="19.7" customHeight="1">
      <c r="B85" s="28" t="s">
        <v>834</v>
      </c>
      <c r="C85" s="29" t="s">
        <v>307</v>
      </c>
      <c r="D85" s="29" t="s">
        <v>834</v>
      </c>
      <c r="E85" s="94">
        <v>1.8</v>
      </c>
      <c r="F85" s="30" t="s">
        <v>767</v>
      </c>
      <c r="G85" s="37">
        <v>277276</v>
      </c>
      <c r="H85" s="65">
        <v>499096</v>
      </c>
      <c r="I85" s="64">
        <v>277276</v>
      </c>
      <c r="J85" s="65">
        <v>499096</v>
      </c>
      <c r="K85" s="64">
        <v>0</v>
      </c>
      <c r="L85" s="65">
        <v>0</v>
      </c>
      <c r="M85" s="64">
        <v>0</v>
      </c>
      <c r="N85" s="65">
        <v>0</v>
      </c>
      <c r="O85" s="32" t="s">
        <v>834</v>
      </c>
    </row>
    <row r="86" spans="2:15" ht="19.7" customHeight="1">
      <c r="B86" s="28" t="s">
        <v>834</v>
      </c>
      <c r="C86" s="29" t="s">
        <v>834</v>
      </c>
      <c r="D86" s="29" t="s">
        <v>834</v>
      </c>
      <c r="E86" s="31"/>
      <c r="F86" s="30" t="s">
        <v>834</v>
      </c>
      <c r="G86" s="37"/>
      <c r="H86" s="31"/>
      <c r="I86" s="37"/>
      <c r="J86" s="65">
        <v>0</v>
      </c>
      <c r="K86" s="37"/>
      <c r="L86" s="65">
        <v>0</v>
      </c>
      <c r="M86" s="37"/>
      <c r="N86" s="65">
        <v>0</v>
      </c>
      <c r="O86" s="32" t="s">
        <v>834</v>
      </c>
    </row>
    <row r="87" spans="2:15" ht="19.7" customHeight="1">
      <c r="B87" s="90" t="s">
        <v>556</v>
      </c>
      <c r="C87" s="62" t="s">
        <v>727</v>
      </c>
      <c r="D87" s="62" t="s">
        <v>797</v>
      </c>
      <c r="E87" s="31"/>
      <c r="F87" s="91" t="s">
        <v>596</v>
      </c>
      <c r="G87" s="37"/>
      <c r="H87" s="92">
        <v>48786</v>
      </c>
      <c r="I87" s="37"/>
      <c r="J87" s="92">
        <v>29742</v>
      </c>
      <c r="K87" s="37"/>
      <c r="L87" s="92">
        <v>18450</v>
      </c>
      <c r="M87" s="37"/>
      <c r="N87" s="92">
        <v>594</v>
      </c>
      <c r="O87" s="93" t="s">
        <v>834</v>
      </c>
    </row>
    <row r="88" spans="2:15" ht="19.7" customHeight="1">
      <c r="B88" s="28" t="s">
        <v>834</v>
      </c>
      <c r="C88" s="29" t="s">
        <v>359</v>
      </c>
      <c r="D88" s="29" t="s">
        <v>728</v>
      </c>
      <c r="E88" s="94">
        <v>0.09</v>
      </c>
      <c r="F88" s="30" t="s">
        <v>477</v>
      </c>
      <c r="G88" s="37">
        <v>69000</v>
      </c>
      <c r="H88" s="65">
        <v>6210</v>
      </c>
      <c r="I88" s="64">
        <v>0</v>
      </c>
      <c r="J88" s="65">
        <v>0</v>
      </c>
      <c r="K88" s="64">
        <v>69000</v>
      </c>
      <c r="L88" s="65">
        <v>6210</v>
      </c>
      <c r="M88" s="64">
        <v>0</v>
      </c>
      <c r="N88" s="65">
        <v>0</v>
      </c>
      <c r="O88" s="32" t="s">
        <v>834</v>
      </c>
    </row>
    <row r="89" spans="2:15" ht="19.7" customHeight="1">
      <c r="B89" s="28" t="s">
        <v>834</v>
      </c>
      <c r="C89" s="29" t="s">
        <v>675</v>
      </c>
      <c r="D89" s="29" t="s">
        <v>185</v>
      </c>
      <c r="E89" s="94">
        <v>0.09</v>
      </c>
      <c r="F89" s="30" t="s">
        <v>477</v>
      </c>
      <c r="G89" s="37">
        <v>68000</v>
      </c>
      <c r="H89" s="65">
        <v>6120</v>
      </c>
      <c r="I89" s="64">
        <v>0</v>
      </c>
      <c r="J89" s="65">
        <v>0</v>
      </c>
      <c r="K89" s="64">
        <v>68000</v>
      </c>
      <c r="L89" s="65">
        <v>6120</v>
      </c>
      <c r="M89" s="64">
        <v>0</v>
      </c>
      <c r="N89" s="65">
        <v>0</v>
      </c>
      <c r="O89" s="32" t="s">
        <v>834</v>
      </c>
    </row>
    <row r="90" spans="2:15" ht="19.7" customHeight="1">
      <c r="B90" s="28" t="s">
        <v>834</v>
      </c>
      <c r="C90" s="29" t="s">
        <v>643</v>
      </c>
      <c r="D90" s="29" t="s">
        <v>809</v>
      </c>
      <c r="E90" s="94">
        <v>0.09</v>
      </c>
      <c r="F90" s="30" t="s">
        <v>477</v>
      </c>
      <c r="G90" s="37">
        <v>68000</v>
      </c>
      <c r="H90" s="65">
        <v>6120</v>
      </c>
      <c r="I90" s="64">
        <v>0</v>
      </c>
      <c r="J90" s="65">
        <v>0</v>
      </c>
      <c r="K90" s="64">
        <v>68000</v>
      </c>
      <c r="L90" s="65">
        <v>6120</v>
      </c>
      <c r="M90" s="64">
        <v>0</v>
      </c>
      <c r="N90" s="65">
        <v>0</v>
      </c>
      <c r="O90" s="32" t="s">
        <v>834</v>
      </c>
    </row>
    <row r="91" spans="2:15" ht="19.7" customHeight="1">
      <c r="B91" s="28" t="s">
        <v>834</v>
      </c>
      <c r="C91" s="29" t="s">
        <v>667</v>
      </c>
      <c r="D91" s="29" t="s">
        <v>834</v>
      </c>
      <c r="E91" s="94">
        <v>0.1</v>
      </c>
      <c r="F91" s="30" t="s">
        <v>767</v>
      </c>
      <c r="G91" s="37">
        <v>263017</v>
      </c>
      <c r="H91" s="65">
        <v>26301</v>
      </c>
      <c r="I91" s="64">
        <v>263017</v>
      </c>
      <c r="J91" s="65">
        <v>26301</v>
      </c>
      <c r="K91" s="64">
        <v>0</v>
      </c>
      <c r="L91" s="65">
        <v>0</v>
      </c>
      <c r="M91" s="64">
        <v>0</v>
      </c>
      <c r="N91" s="65">
        <v>0</v>
      </c>
      <c r="O91" s="32" t="s">
        <v>834</v>
      </c>
    </row>
    <row r="92" spans="2:15" ht="19.7" customHeight="1">
      <c r="B92" s="28" t="s">
        <v>834</v>
      </c>
      <c r="C92" s="29" t="s">
        <v>54</v>
      </c>
      <c r="D92" s="29" t="s">
        <v>834</v>
      </c>
      <c r="E92" s="94">
        <v>0.02</v>
      </c>
      <c r="F92" s="30" t="s">
        <v>767</v>
      </c>
      <c r="G92" s="37">
        <v>172068</v>
      </c>
      <c r="H92" s="65">
        <v>3441</v>
      </c>
      <c r="I92" s="64">
        <v>172068</v>
      </c>
      <c r="J92" s="65">
        <v>3441</v>
      </c>
      <c r="K92" s="64">
        <v>0</v>
      </c>
      <c r="L92" s="65">
        <v>0</v>
      </c>
      <c r="M92" s="64">
        <v>0</v>
      </c>
      <c r="N92" s="65">
        <v>0</v>
      </c>
      <c r="O92" s="32" t="s">
        <v>834</v>
      </c>
    </row>
    <row r="93" spans="2:15" ht="19.7" customHeight="1">
      <c r="B93" s="28" t="s">
        <v>834</v>
      </c>
      <c r="C93" s="29" t="s">
        <v>818</v>
      </c>
      <c r="D93" s="29" t="s">
        <v>110</v>
      </c>
      <c r="E93" s="31">
        <v>2</v>
      </c>
      <c r="F93" s="30" t="s">
        <v>157</v>
      </c>
      <c r="G93" s="37">
        <v>29742</v>
      </c>
      <c r="H93" s="65">
        <v>594</v>
      </c>
      <c r="I93" s="37"/>
      <c r="J93" s="65">
        <v>0</v>
      </c>
      <c r="K93" s="37"/>
      <c r="L93" s="65">
        <v>0</v>
      </c>
      <c r="M93" s="37">
        <v>29742</v>
      </c>
      <c r="N93" s="65">
        <v>594</v>
      </c>
      <c r="O93" s="32" t="s">
        <v>834</v>
      </c>
    </row>
    <row r="94" spans="2:15" ht="19.7" customHeight="1">
      <c r="B94" s="28" t="s">
        <v>834</v>
      </c>
      <c r="C94" s="29" t="s">
        <v>834</v>
      </c>
      <c r="D94" s="29" t="s">
        <v>834</v>
      </c>
      <c r="E94" s="31"/>
      <c r="F94" s="30" t="s">
        <v>834</v>
      </c>
      <c r="G94" s="37"/>
      <c r="H94" s="31"/>
      <c r="I94" s="37"/>
      <c r="J94" s="65">
        <v>0</v>
      </c>
      <c r="K94" s="37"/>
      <c r="L94" s="65">
        <v>0</v>
      </c>
      <c r="M94" s="37"/>
      <c r="N94" s="65">
        <v>0</v>
      </c>
      <c r="O94" s="32" t="s">
        <v>834</v>
      </c>
    </row>
    <row r="95" spans="2:15" ht="19.7" customHeight="1">
      <c r="B95" s="90" t="s">
        <v>48</v>
      </c>
      <c r="C95" s="62" t="s">
        <v>319</v>
      </c>
      <c r="D95" s="62" t="s">
        <v>500</v>
      </c>
      <c r="E95" s="31"/>
      <c r="F95" s="91" t="s">
        <v>596</v>
      </c>
      <c r="G95" s="37"/>
      <c r="H95" s="92">
        <v>101028</v>
      </c>
      <c r="I95" s="37"/>
      <c r="J95" s="92">
        <v>77305</v>
      </c>
      <c r="K95" s="37"/>
      <c r="L95" s="92">
        <v>22700</v>
      </c>
      <c r="M95" s="37"/>
      <c r="N95" s="92">
        <v>1023</v>
      </c>
      <c r="O95" s="93" t="s">
        <v>834</v>
      </c>
    </row>
    <row r="96" spans="2:15" ht="19.7" customHeight="1">
      <c r="B96" s="28" t="s">
        <v>834</v>
      </c>
      <c r="C96" s="29" t="s">
        <v>32</v>
      </c>
      <c r="D96" s="29" t="s">
        <v>834</v>
      </c>
      <c r="E96" s="31">
        <v>1</v>
      </c>
      <c r="F96" s="30" t="s">
        <v>596</v>
      </c>
      <c r="G96" s="37">
        <v>8201</v>
      </c>
      <c r="H96" s="65">
        <v>8201</v>
      </c>
      <c r="I96" s="64">
        <v>7963</v>
      </c>
      <c r="J96" s="65">
        <v>7963</v>
      </c>
      <c r="K96" s="64">
        <v>0</v>
      </c>
      <c r="L96" s="65">
        <v>0</v>
      </c>
      <c r="M96" s="64">
        <v>238</v>
      </c>
      <c r="N96" s="65">
        <v>238</v>
      </c>
      <c r="O96" s="32" t="s">
        <v>669</v>
      </c>
    </row>
    <row r="97" spans="2:15" ht="19.7" customHeight="1">
      <c r="B97" s="28" t="s">
        <v>834</v>
      </c>
      <c r="C97" s="29" t="s">
        <v>602</v>
      </c>
      <c r="D97" s="29" t="s">
        <v>834</v>
      </c>
      <c r="E97" s="31">
        <v>1</v>
      </c>
      <c r="F97" s="30" t="s">
        <v>596</v>
      </c>
      <c r="G97" s="37">
        <v>4657</v>
      </c>
      <c r="H97" s="65">
        <v>4657</v>
      </c>
      <c r="I97" s="64">
        <v>4522</v>
      </c>
      <c r="J97" s="65">
        <v>4522</v>
      </c>
      <c r="K97" s="64">
        <v>0</v>
      </c>
      <c r="L97" s="65">
        <v>0</v>
      </c>
      <c r="M97" s="64">
        <v>135</v>
      </c>
      <c r="N97" s="65">
        <v>135</v>
      </c>
      <c r="O97" s="32" t="s">
        <v>562</v>
      </c>
    </row>
    <row r="98" spans="2:15" ht="19.7" customHeight="1">
      <c r="B98" s="28" t="s">
        <v>834</v>
      </c>
      <c r="C98" s="29" t="s">
        <v>727</v>
      </c>
      <c r="D98" s="29" t="s">
        <v>238</v>
      </c>
      <c r="E98" s="31">
        <v>1</v>
      </c>
      <c r="F98" s="30" t="s">
        <v>596</v>
      </c>
      <c r="G98" s="37">
        <v>60202</v>
      </c>
      <c r="H98" s="65">
        <v>60202</v>
      </c>
      <c r="I98" s="64">
        <v>39052</v>
      </c>
      <c r="J98" s="65">
        <v>39052</v>
      </c>
      <c r="K98" s="64">
        <v>20500</v>
      </c>
      <c r="L98" s="65">
        <v>20500</v>
      </c>
      <c r="M98" s="64">
        <v>650</v>
      </c>
      <c r="N98" s="65">
        <v>650</v>
      </c>
      <c r="O98" s="32" t="s">
        <v>368</v>
      </c>
    </row>
    <row r="99" spans="2:15" ht="19.7" customHeight="1">
      <c r="B99" s="28" t="s">
        <v>834</v>
      </c>
      <c r="C99" s="29" t="s">
        <v>372</v>
      </c>
      <c r="D99" s="29" t="s">
        <v>371</v>
      </c>
      <c r="E99" s="94">
        <v>0.5</v>
      </c>
      <c r="F99" s="30" t="s">
        <v>477</v>
      </c>
      <c r="G99" s="37">
        <v>4400</v>
      </c>
      <c r="H99" s="65">
        <v>2200</v>
      </c>
      <c r="I99" s="64">
        <v>0</v>
      </c>
      <c r="J99" s="65">
        <v>0</v>
      </c>
      <c r="K99" s="64">
        <v>4400</v>
      </c>
      <c r="L99" s="65">
        <v>2200</v>
      </c>
      <c r="M99" s="64">
        <v>0</v>
      </c>
      <c r="N99" s="65">
        <v>0</v>
      </c>
      <c r="O99" s="32" t="s">
        <v>834</v>
      </c>
    </row>
    <row r="100" spans="2:15" ht="19.7" customHeight="1">
      <c r="B100" s="28" t="s">
        <v>834</v>
      </c>
      <c r="C100" s="29" t="s">
        <v>411</v>
      </c>
      <c r="D100" s="29" t="s">
        <v>110</v>
      </c>
      <c r="E100" s="31">
        <v>50</v>
      </c>
      <c r="F100" s="30" t="s">
        <v>157</v>
      </c>
      <c r="G100" s="37">
        <v>51537</v>
      </c>
      <c r="H100" s="65">
        <v>25768</v>
      </c>
      <c r="I100" s="37">
        <v>51537</v>
      </c>
      <c r="J100" s="65">
        <v>25768</v>
      </c>
      <c r="K100" s="37"/>
      <c r="L100" s="65">
        <v>0</v>
      </c>
      <c r="M100" s="37"/>
      <c r="N100" s="65">
        <v>0</v>
      </c>
      <c r="O100" s="32" t="s">
        <v>834</v>
      </c>
    </row>
    <row r="101" spans="2:15" ht="19.7" customHeight="1">
      <c r="B101" s="28" t="s">
        <v>834</v>
      </c>
      <c r="C101" s="29" t="s">
        <v>834</v>
      </c>
      <c r="D101" s="29" t="s">
        <v>834</v>
      </c>
      <c r="E101" s="31"/>
      <c r="F101" s="30" t="s">
        <v>834</v>
      </c>
      <c r="G101" s="37"/>
      <c r="H101" s="31"/>
      <c r="I101" s="37"/>
      <c r="J101" s="65">
        <v>0</v>
      </c>
      <c r="K101" s="37"/>
      <c r="L101" s="65">
        <v>0</v>
      </c>
      <c r="M101" s="37"/>
      <c r="N101" s="65">
        <v>0</v>
      </c>
      <c r="O101" s="32" t="s">
        <v>834</v>
      </c>
    </row>
    <row r="102" spans="2:15" ht="19.7" customHeight="1">
      <c r="B102" s="90" t="s">
        <v>622</v>
      </c>
      <c r="C102" s="62" t="s">
        <v>32</v>
      </c>
      <c r="D102" s="62" t="s">
        <v>834</v>
      </c>
      <c r="E102" s="31"/>
      <c r="F102" s="91" t="s">
        <v>596</v>
      </c>
      <c r="G102" s="37"/>
      <c r="H102" s="92">
        <v>8201</v>
      </c>
      <c r="I102" s="37"/>
      <c r="J102" s="92">
        <v>7963</v>
      </c>
      <c r="K102" s="37"/>
      <c r="L102" s="65">
        <v>0</v>
      </c>
      <c r="M102" s="37"/>
      <c r="N102" s="92">
        <v>238</v>
      </c>
      <c r="O102" s="93" t="s">
        <v>834</v>
      </c>
    </row>
    <row r="103" spans="2:15" ht="19.7" customHeight="1">
      <c r="B103" s="28" t="s">
        <v>834</v>
      </c>
      <c r="C103" s="29" t="s">
        <v>43</v>
      </c>
      <c r="D103" s="29" t="s">
        <v>834</v>
      </c>
      <c r="E103" s="94">
        <v>0.02</v>
      </c>
      <c r="F103" s="30" t="s">
        <v>767</v>
      </c>
      <c r="G103" s="37">
        <v>226122</v>
      </c>
      <c r="H103" s="65">
        <v>4522</v>
      </c>
      <c r="I103" s="64">
        <v>226122</v>
      </c>
      <c r="J103" s="65">
        <v>4522</v>
      </c>
      <c r="K103" s="64">
        <v>0</v>
      </c>
      <c r="L103" s="65">
        <v>0</v>
      </c>
      <c r="M103" s="64">
        <v>0</v>
      </c>
      <c r="N103" s="65">
        <v>0</v>
      </c>
      <c r="O103" s="32" t="s">
        <v>834</v>
      </c>
    </row>
    <row r="104" spans="2:15" ht="19.7" customHeight="1">
      <c r="B104" s="28" t="s">
        <v>834</v>
      </c>
      <c r="C104" s="29" t="s">
        <v>54</v>
      </c>
      <c r="D104" s="29" t="s">
        <v>834</v>
      </c>
      <c r="E104" s="94">
        <v>0.02</v>
      </c>
      <c r="F104" s="30" t="s">
        <v>767</v>
      </c>
      <c r="G104" s="37">
        <v>172068</v>
      </c>
      <c r="H104" s="65">
        <v>3441</v>
      </c>
      <c r="I104" s="64">
        <v>172068</v>
      </c>
      <c r="J104" s="65">
        <v>3441</v>
      </c>
      <c r="K104" s="64">
        <v>0</v>
      </c>
      <c r="L104" s="65">
        <v>0</v>
      </c>
      <c r="M104" s="64">
        <v>0</v>
      </c>
      <c r="N104" s="65">
        <v>0</v>
      </c>
      <c r="O104" s="32" t="s">
        <v>834</v>
      </c>
    </row>
    <row r="105" spans="2:15" ht="19.7" customHeight="1">
      <c r="B105" s="28" t="s">
        <v>834</v>
      </c>
      <c r="C105" s="29" t="s">
        <v>779</v>
      </c>
      <c r="D105" s="29" t="s">
        <v>110</v>
      </c>
      <c r="E105" s="31">
        <v>3</v>
      </c>
      <c r="F105" s="30" t="s">
        <v>157</v>
      </c>
      <c r="G105" s="37">
        <v>7963</v>
      </c>
      <c r="H105" s="65">
        <v>238</v>
      </c>
      <c r="I105" s="37"/>
      <c r="J105" s="65">
        <v>0</v>
      </c>
      <c r="K105" s="37"/>
      <c r="L105" s="65">
        <v>0</v>
      </c>
      <c r="M105" s="37">
        <v>7963</v>
      </c>
      <c r="N105" s="65">
        <v>238</v>
      </c>
      <c r="O105" s="32" t="s">
        <v>834</v>
      </c>
    </row>
    <row r="106" spans="2:15" ht="19.7" customHeight="1">
      <c r="B106" s="28" t="s">
        <v>834</v>
      </c>
      <c r="C106" s="29" t="s">
        <v>834</v>
      </c>
      <c r="D106" s="29" t="s">
        <v>834</v>
      </c>
      <c r="E106" s="31"/>
      <c r="F106" s="30" t="s">
        <v>834</v>
      </c>
      <c r="G106" s="37"/>
      <c r="H106" s="31"/>
      <c r="I106" s="37"/>
      <c r="J106" s="65">
        <v>0</v>
      </c>
      <c r="K106" s="37"/>
      <c r="L106" s="65">
        <v>0</v>
      </c>
      <c r="M106" s="37"/>
      <c r="N106" s="65">
        <v>0</v>
      </c>
      <c r="O106" s="32" t="s">
        <v>834</v>
      </c>
    </row>
    <row r="107" spans="2:15" ht="19.7" customHeight="1">
      <c r="B107" s="90" t="s">
        <v>298</v>
      </c>
      <c r="C107" s="62" t="s">
        <v>727</v>
      </c>
      <c r="D107" s="62" t="s">
        <v>238</v>
      </c>
      <c r="E107" s="31"/>
      <c r="F107" s="91" t="s">
        <v>596</v>
      </c>
      <c r="G107" s="37"/>
      <c r="H107" s="92">
        <v>60202</v>
      </c>
      <c r="I107" s="37"/>
      <c r="J107" s="92">
        <v>39052</v>
      </c>
      <c r="K107" s="37"/>
      <c r="L107" s="92">
        <v>20500</v>
      </c>
      <c r="M107" s="37"/>
      <c r="N107" s="92">
        <v>650</v>
      </c>
      <c r="O107" s="93" t="s">
        <v>834</v>
      </c>
    </row>
    <row r="108" spans="2:15" ht="19.7" customHeight="1">
      <c r="B108" s="33" t="s">
        <v>834</v>
      </c>
      <c r="C108" s="34" t="s">
        <v>359</v>
      </c>
      <c r="D108" s="34" t="s">
        <v>728</v>
      </c>
      <c r="E108" s="96">
        <v>0.1</v>
      </c>
      <c r="F108" s="35" t="s">
        <v>477</v>
      </c>
      <c r="G108" s="21">
        <v>69000</v>
      </c>
      <c r="H108" s="74">
        <v>6900</v>
      </c>
      <c r="I108" s="70">
        <v>0</v>
      </c>
      <c r="J108" s="74">
        <v>0</v>
      </c>
      <c r="K108" s="70">
        <v>69000</v>
      </c>
      <c r="L108" s="74">
        <v>6900</v>
      </c>
      <c r="M108" s="70">
        <v>0</v>
      </c>
      <c r="N108" s="74">
        <v>0</v>
      </c>
      <c r="O108" s="36" t="s">
        <v>834</v>
      </c>
    </row>
    <row r="109" spans="2:15" ht="19.7" customHeight="1">
      <c r="B109" s="28" t="s">
        <v>834</v>
      </c>
      <c r="C109" s="29" t="s">
        <v>675</v>
      </c>
      <c r="D109" s="29" t="s">
        <v>185</v>
      </c>
      <c r="E109" s="94">
        <v>0.1</v>
      </c>
      <c r="F109" s="30" t="s">
        <v>477</v>
      </c>
      <c r="G109" s="37">
        <v>68000</v>
      </c>
      <c r="H109" s="65">
        <v>6800</v>
      </c>
      <c r="I109" s="64">
        <v>0</v>
      </c>
      <c r="J109" s="65">
        <v>0</v>
      </c>
      <c r="K109" s="64">
        <v>68000</v>
      </c>
      <c r="L109" s="65">
        <v>6800</v>
      </c>
      <c r="M109" s="64">
        <v>0</v>
      </c>
      <c r="N109" s="65">
        <v>0</v>
      </c>
      <c r="O109" s="32" t="s">
        <v>834</v>
      </c>
    </row>
    <row r="110" spans="2:15" ht="19.7" customHeight="1">
      <c r="B110" s="28" t="s">
        <v>834</v>
      </c>
      <c r="C110" s="29" t="s">
        <v>643</v>
      </c>
      <c r="D110" s="29" t="s">
        <v>809</v>
      </c>
      <c r="E110" s="94">
        <v>0.1</v>
      </c>
      <c r="F110" s="30" t="s">
        <v>477</v>
      </c>
      <c r="G110" s="37">
        <v>68000</v>
      </c>
      <c r="H110" s="65">
        <v>6800</v>
      </c>
      <c r="I110" s="64">
        <v>0</v>
      </c>
      <c r="J110" s="65">
        <v>0</v>
      </c>
      <c r="K110" s="64">
        <v>68000</v>
      </c>
      <c r="L110" s="65">
        <v>6800</v>
      </c>
      <c r="M110" s="64">
        <v>0</v>
      </c>
      <c r="N110" s="65">
        <v>0</v>
      </c>
      <c r="O110" s="32" t="s">
        <v>834</v>
      </c>
    </row>
    <row r="111" spans="2:15" ht="19.7" customHeight="1">
      <c r="B111" s="28" t="s">
        <v>834</v>
      </c>
      <c r="C111" s="29" t="s">
        <v>667</v>
      </c>
      <c r="D111" s="29" t="s">
        <v>834</v>
      </c>
      <c r="E111" s="94">
        <v>0.11</v>
      </c>
      <c r="F111" s="30" t="s">
        <v>767</v>
      </c>
      <c r="G111" s="37">
        <v>263017</v>
      </c>
      <c r="H111" s="65">
        <v>28931</v>
      </c>
      <c r="I111" s="64">
        <v>263017</v>
      </c>
      <c r="J111" s="65">
        <v>28931</v>
      </c>
      <c r="K111" s="64">
        <v>0</v>
      </c>
      <c r="L111" s="65">
        <v>0</v>
      </c>
      <c r="M111" s="64">
        <v>0</v>
      </c>
      <c r="N111" s="65">
        <v>0</v>
      </c>
      <c r="O111" s="32" t="s">
        <v>834</v>
      </c>
    </row>
    <row r="112" spans="2:15" ht="19.7" customHeight="1">
      <c r="B112" s="28" t="s">
        <v>834</v>
      </c>
      <c r="C112" s="29" t="s">
        <v>54</v>
      </c>
      <c r="D112" s="29" t="s">
        <v>834</v>
      </c>
      <c r="E112" s="94">
        <v>2.1000000000000001E-2</v>
      </c>
      <c r="F112" s="30" t="s">
        <v>767</v>
      </c>
      <c r="G112" s="37">
        <v>172068</v>
      </c>
      <c r="H112" s="65">
        <v>3613</v>
      </c>
      <c r="I112" s="64">
        <v>172068</v>
      </c>
      <c r="J112" s="65">
        <v>3613</v>
      </c>
      <c r="K112" s="64">
        <v>0</v>
      </c>
      <c r="L112" s="65">
        <v>0</v>
      </c>
      <c r="M112" s="64">
        <v>0</v>
      </c>
      <c r="N112" s="65">
        <v>0</v>
      </c>
      <c r="O112" s="32" t="s">
        <v>834</v>
      </c>
    </row>
    <row r="113" spans="2:15" ht="19.7" customHeight="1">
      <c r="B113" s="28" t="s">
        <v>834</v>
      </c>
      <c r="C113" s="29" t="s">
        <v>818</v>
      </c>
      <c r="D113" s="29" t="s">
        <v>110</v>
      </c>
      <c r="E113" s="31">
        <v>2</v>
      </c>
      <c r="F113" s="30" t="s">
        <v>157</v>
      </c>
      <c r="G113" s="37">
        <v>32544</v>
      </c>
      <c r="H113" s="65">
        <v>650</v>
      </c>
      <c r="I113" s="37"/>
      <c r="J113" s="65">
        <v>0</v>
      </c>
      <c r="K113" s="37"/>
      <c r="L113" s="65">
        <v>0</v>
      </c>
      <c r="M113" s="37">
        <v>32544</v>
      </c>
      <c r="N113" s="65">
        <v>650</v>
      </c>
      <c r="O113" s="32" t="s">
        <v>834</v>
      </c>
    </row>
    <row r="114" spans="2:15" ht="19.7" customHeight="1">
      <c r="B114" s="28" t="s">
        <v>834</v>
      </c>
      <c r="C114" s="29" t="s">
        <v>404</v>
      </c>
      <c r="D114" s="29" t="s">
        <v>110</v>
      </c>
      <c r="E114" s="31">
        <v>20</v>
      </c>
      <c r="F114" s="30" t="s">
        <v>157</v>
      </c>
      <c r="G114" s="37">
        <v>32544</v>
      </c>
      <c r="H114" s="65">
        <v>6508</v>
      </c>
      <c r="I114" s="37">
        <v>32544</v>
      </c>
      <c r="J114" s="65">
        <v>6508</v>
      </c>
      <c r="K114" s="37"/>
      <c r="L114" s="65">
        <v>0</v>
      </c>
      <c r="M114" s="37"/>
      <c r="N114" s="65">
        <v>0</v>
      </c>
      <c r="O114" s="32" t="s">
        <v>834</v>
      </c>
    </row>
    <row r="115" spans="2:15" ht="19.7" customHeight="1">
      <c r="B115" s="28" t="s">
        <v>834</v>
      </c>
      <c r="C115" s="29" t="s">
        <v>834</v>
      </c>
      <c r="D115" s="29" t="s">
        <v>834</v>
      </c>
      <c r="E115" s="31"/>
      <c r="F115" s="30" t="s">
        <v>834</v>
      </c>
      <c r="G115" s="37"/>
      <c r="H115" s="31"/>
      <c r="I115" s="37"/>
      <c r="J115" s="65">
        <v>0</v>
      </c>
      <c r="K115" s="37"/>
      <c r="L115" s="65">
        <v>0</v>
      </c>
      <c r="M115" s="37"/>
      <c r="N115" s="65">
        <v>0</v>
      </c>
      <c r="O115" s="32" t="s">
        <v>834</v>
      </c>
    </row>
    <row r="116" spans="2:15" ht="19.7" customHeight="1">
      <c r="B116" s="90" t="s">
        <v>233</v>
      </c>
      <c r="C116" s="62" t="s">
        <v>612</v>
      </c>
      <c r="D116" s="62" t="s">
        <v>561</v>
      </c>
      <c r="E116" s="31"/>
      <c r="F116" s="91" t="s">
        <v>476</v>
      </c>
      <c r="G116" s="37"/>
      <c r="H116" s="92">
        <v>41344</v>
      </c>
      <c r="I116" s="37"/>
      <c r="J116" s="92">
        <v>33439</v>
      </c>
      <c r="K116" s="37"/>
      <c r="L116" s="92">
        <v>7237</v>
      </c>
      <c r="M116" s="37"/>
      <c r="N116" s="92">
        <v>668</v>
      </c>
      <c r="O116" s="93" t="s">
        <v>834</v>
      </c>
    </row>
    <row r="117" spans="2:15" ht="19.7" customHeight="1">
      <c r="B117" s="28" t="s">
        <v>834</v>
      </c>
      <c r="C117" s="29" t="s">
        <v>466</v>
      </c>
      <c r="D117" s="29" t="s">
        <v>16</v>
      </c>
      <c r="E117" s="31">
        <v>1</v>
      </c>
      <c r="F117" s="30" t="s">
        <v>476</v>
      </c>
      <c r="G117" s="37">
        <v>30198</v>
      </c>
      <c r="H117" s="65">
        <v>30198</v>
      </c>
      <c r="I117" s="64">
        <v>22293</v>
      </c>
      <c r="J117" s="65">
        <v>22293</v>
      </c>
      <c r="K117" s="64">
        <v>7237</v>
      </c>
      <c r="L117" s="65">
        <v>7237</v>
      </c>
      <c r="M117" s="64">
        <v>668</v>
      </c>
      <c r="N117" s="65">
        <v>668</v>
      </c>
      <c r="O117" s="32" t="s">
        <v>812</v>
      </c>
    </row>
    <row r="118" spans="2:15" ht="19.7" customHeight="1">
      <c r="B118" s="28" t="s">
        <v>834</v>
      </c>
      <c r="C118" s="29" t="s">
        <v>411</v>
      </c>
      <c r="D118" s="29" t="s">
        <v>110</v>
      </c>
      <c r="E118" s="31">
        <v>50</v>
      </c>
      <c r="F118" s="30" t="s">
        <v>157</v>
      </c>
      <c r="G118" s="37">
        <v>22293</v>
      </c>
      <c r="H118" s="65">
        <v>11146</v>
      </c>
      <c r="I118" s="37">
        <v>22293</v>
      </c>
      <c r="J118" s="65">
        <v>11146</v>
      </c>
      <c r="K118" s="37"/>
      <c r="L118" s="65">
        <v>0</v>
      </c>
      <c r="M118" s="37"/>
      <c r="N118" s="65">
        <v>0</v>
      </c>
      <c r="O118" s="32" t="s">
        <v>834</v>
      </c>
    </row>
    <row r="119" spans="2:15" ht="19.7" customHeight="1">
      <c r="B119" s="28" t="s">
        <v>834</v>
      </c>
      <c r="C119" s="29" t="s">
        <v>834</v>
      </c>
      <c r="D119" s="29" t="s">
        <v>834</v>
      </c>
      <c r="E119" s="31"/>
      <c r="F119" s="30" t="s">
        <v>834</v>
      </c>
      <c r="G119" s="37"/>
      <c r="H119" s="31"/>
      <c r="I119" s="37"/>
      <c r="J119" s="65">
        <v>0</v>
      </c>
      <c r="K119" s="37"/>
      <c r="L119" s="65">
        <v>0</v>
      </c>
      <c r="M119" s="37"/>
      <c r="N119" s="65">
        <v>0</v>
      </c>
      <c r="O119" s="32" t="s">
        <v>834</v>
      </c>
    </row>
    <row r="120" spans="2:15" ht="19.7" customHeight="1">
      <c r="B120" s="90" t="s">
        <v>768</v>
      </c>
      <c r="C120" s="62" t="s">
        <v>466</v>
      </c>
      <c r="D120" s="62" t="s">
        <v>16</v>
      </c>
      <c r="E120" s="31"/>
      <c r="F120" s="91" t="s">
        <v>476</v>
      </c>
      <c r="G120" s="37"/>
      <c r="H120" s="92">
        <v>30198</v>
      </c>
      <c r="I120" s="37"/>
      <c r="J120" s="92">
        <v>22293</v>
      </c>
      <c r="K120" s="37"/>
      <c r="L120" s="92">
        <v>7237</v>
      </c>
      <c r="M120" s="37"/>
      <c r="N120" s="92">
        <v>668</v>
      </c>
      <c r="O120" s="93" t="s">
        <v>834</v>
      </c>
    </row>
    <row r="121" spans="2:15" ht="19.7" customHeight="1">
      <c r="B121" s="28" t="s">
        <v>834</v>
      </c>
      <c r="C121" s="29" t="s">
        <v>97</v>
      </c>
      <c r="D121" s="29" t="s">
        <v>834</v>
      </c>
      <c r="E121" s="94">
        <v>8.2799999999999999E-2</v>
      </c>
      <c r="F121" s="30" t="s">
        <v>477</v>
      </c>
      <c r="G121" s="37">
        <v>22000</v>
      </c>
      <c r="H121" s="65">
        <v>1821</v>
      </c>
      <c r="I121" s="64">
        <v>0</v>
      </c>
      <c r="J121" s="65">
        <v>0</v>
      </c>
      <c r="K121" s="64">
        <v>22000</v>
      </c>
      <c r="L121" s="65">
        <v>1821</v>
      </c>
      <c r="M121" s="64">
        <v>0</v>
      </c>
      <c r="N121" s="65">
        <v>0</v>
      </c>
      <c r="O121" s="32" t="s">
        <v>834</v>
      </c>
    </row>
    <row r="122" spans="2:15" ht="19.7" customHeight="1">
      <c r="B122" s="28" t="s">
        <v>834</v>
      </c>
      <c r="C122" s="29" t="s">
        <v>548</v>
      </c>
      <c r="D122" s="29" t="s">
        <v>595</v>
      </c>
      <c r="E122" s="94">
        <v>6.1800000000000001E-2</v>
      </c>
      <c r="F122" s="30" t="s">
        <v>652</v>
      </c>
      <c r="G122" s="37">
        <v>6737</v>
      </c>
      <c r="H122" s="65">
        <v>416</v>
      </c>
      <c r="I122" s="64">
        <v>0</v>
      </c>
      <c r="J122" s="65">
        <v>0</v>
      </c>
      <c r="K122" s="64">
        <v>6737</v>
      </c>
      <c r="L122" s="65">
        <v>416</v>
      </c>
      <c r="M122" s="64">
        <v>0</v>
      </c>
      <c r="N122" s="65">
        <v>0</v>
      </c>
      <c r="O122" s="32" t="s">
        <v>834</v>
      </c>
    </row>
    <row r="123" spans="2:15" ht="19.7" customHeight="1">
      <c r="B123" s="28" t="s">
        <v>834</v>
      </c>
      <c r="C123" s="29" t="s">
        <v>408</v>
      </c>
      <c r="D123" s="29" t="s">
        <v>834</v>
      </c>
      <c r="E123" s="31">
        <v>5</v>
      </c>
      <c r="F123" s="30" t="s">
        <v>212</v>
      </c>
      <c r="G123" s="37">
        <v>1000</v>
      </c>
      <c r="H123" s="65">
        <v>5000</v>
      </c>
      <c r="I123" s="64">
        <v>0</v>
      </c>
      <c r="J123" s="65">
        <v>0</v>
      </c>
      <c r="K123" s="64">
        <v>1000</v>
      </c>
      <c r="L123" s="65">
        <v>5000</v>
      </c>
      <c r="M123" s="64">
        <v>0</v>
      </c>
      <c r="N123" s="65">
        <v>0</v>
      </c>
      <c r="O123" s="32" t="s">
        <v>834</v>
      </c>
    </row>
    <row r="124" spans="2:15" ht="19.7" customHeight="1">
      <c r="B124" s="28" t="s">
        <v>834</v>
      </c>
      <c r="C124" s="29" t="s">
        <v>43</v>
      </c>
      <c r="D124" s="29" t="s">
        <v>834</v>
      </c>
      <c r="E124" s="94">
        <v>7.1419999999999997E-2</v>
      </c>
      <c r="F124" s="30" t="s">
        <v>767</v>
      </c>
      <c r="G124" s="37">
        <v>226122</v>
      </c>
      <c r="H124" s="65">
        <v>16149</v>
      </c>
      <c r="I124" s="64">
        <v>226122</v>
      </c>
      <c r="J124" s="65">
        <v>16149</v>
      </c>
      <c r="K124" s="64">
        <v>0</v>
      </c>
      <c r="L124" s="65">
        <v>0</v>
      </c>
      <c r="M124" s="64">
        <v>0</v>
      </c>
      <c r="N124" s="65">
        <v>0</v>
      </c>
      <c r="O124" s="32" t="s">
        <v>834</v>
      </c>
    </row>
    <row r="125" spans="2:15" ht="19.7" customHeight="1">
      <c r="B125" s="28" t="s">
        <v>834</v>
      </c>
      <c r="C125" s="29" t="s">
        <v>54</v>
      </c>
      <c r="D125" s="29" t="s">
        <v>834</v>
      </c>
      <c r="E125" s="94">
        <v>3.5709999999999999E-2</v>
      </c>
      <c r="F125" s="30" t="s">
        <v>767</v>
      </c>
      <c r="G125" s="37">
        <v>172068</v>
      </c>
      <c r="H125" s="65">
        <v>6144</v>
      </c>
      <c r="I125" s="64">
        <v>172068</v>
      </c>
      <c r="J125" s="65">
        <v>6144</v>
      </c>
      <c r="K125" s="64">
        <v>0</v>
      </c>
      <c r="L125" s="65">
        <v>0</v>
      </c>
      <c r="M125" s="64">
        <v>0</v>
      </c>
      <c r="N125" s="65">
        <v>0</v>
      </c>
      <c r="O125" s="32" t="s">
        <v>834</v>
      </c>
    </row>
    <row r="126" spans="2:15" ht="19.7" customHeight="1">
      <c r="B126" s="28" t="s">
        <v>834</v>
      </c>
      <c r="C126" s="29" t="s">
        <v>779</v>
      </c>
      <c r="D126" s="29" t="s">
        <v>110</v>
      </c>
      <c r="E126" s="31">
        <v>3</v>
      </c>
      <c r="F126" s="30" t="s">
        <v>157</v>
      </c>
      <c r="G126" s="37">
        <v>22293</v>
      </c>
      <c r="H126" s="65">
        <v>668</v>
      </c>
      <c r="I126" s="37"/>
      <c r="J126" s="65">
        <v>0</v>
      </c>
      <c r="K126" s="37"/>
      <c r="L126" s="65">
        <v>0</v>
      </c>
      <c r="M126" s="37">
        <v>22293</v>
      </c>
      <c r="N126" s="65">
        <v>668</v>
      </c>
      <c r="O126" s="32" t="s">
        <v>834</v>
      </c>
    </row>
    <row r="127" spans="2:15" ht="19.7" customHeight="1">
      <c r="B127" s="28" t="s">
        <v>834</v>
      </c>
      <c r="C127" s="29" t="s">
        <v>834</v>
      </c>
      <c r="D127" s="29" t="s">
        <v>834</v>
      </c>
      <c r="E127" s="31"/>
      <c r="F127" s="30" t="s">
        <v>834</v>
      </c>
      <c r="G127" s="37"/>
      <c r="H127" s="31"/>
      <c r="I127" s="37"/>
      <c r="J127" s="65">
        <v>0</v>
      </c>
      <c r="K127" s="37"/>
      <c r="L127" s="65">
        <v>0</v>
      </c>
      <c r="M127" s="37"/>
      <c r="N127" s="65">
        <v>0</v>
      </c>
      <c r="O127" s="32" t="s">
        <v>834</v>
      </c>
    </row>
    <row r="128" spans="2:15" ht="19.7" customHeight="1">
      <c r="B128" s="90" t="s">
        <v>192</v>
      </c>
      <c r="C128" s="62" t="s">
        <v>319</v>
      </c>
      <c r="D128" s="62" t="s">
        <v>191</v>
      </c>
      <c r="E128" s="31"/>
      <c r="F128" s="91" t="s">
        <v>596</v>
      </c>
      <c r="G128" s="37"/>
      <c r="H128" s="92">
        <v>84957</v>
      </c>
      <c r="I128" s="37"/>
      <c r="J128" s="92">
        <v>63340</v>
      </c>
      <c r="K128" s="37"/>
      <c r="L128" s="92">
        <v>20650</v>
      </c>
      <c r="M128" s="37"/>
      <c r="N128" s="92">
        <v>967</v>
      </c>
      <c r="O128" s="93" t="s">
        <v>834</v>
      </c>
    </row>
    <row r="129" spans="2:15" ht="19.7" customHeight="1">
      <c r="B129" s="28" t="s">
        <v>834</v>
      </c>
      <c r="C129" s="29" t="s">
        <v>32</v>
      </c>
      <c r="D129" s="29" t="s">
        <v>834</v>
      </c>
      <c r="E129" s="31">
        <v>1</v>
      </c>
      <c r="F129" s="30" t="s">
        <v>596</v>
      </c>
      <c r="G129" s="37">
        <v>8201</v>
      </c>
      <c r="H129" s="65">
        <v>8201</v>
      </c>
      <c r="I129" s="64">
        <v>7963</v>
      </c>
      <c r="J129" s="65">
        <v>7963</v>
      </c>
      <c r="K129" s="64">
        <v>0</v>
      </c>
      <c r="L129" s="65">
        <v>0</v>
      </c>
      <c r="M129" s="64">
        <v>238</v>
      </c>
      <c r="N129" s="65">
        <v>238</v>
      </c>
      <c r="O129" s="32" t="s">
        <v>669</v>
      </c>
    </row>
    <row r="130" spans="2:15" ht="19.7" customHeight="1">
      <c r="B130" s="28" t="s">
        <v>834</v>
      </c>
      <c r="C130" s="29" t="s">
        <v>602</v>
      </c>
      <c r="D130" s="29" t="s">
        <v>834</v>
      </c>
      <c r="E130" s="31">
        <v>1</v>
      </c>
      <c r="F130" s="30" t="s">
        <v>596</v>
      </c>
      <c r="G130" s="37">
        <v>4657</v>
      </c>
      <c r="H130" s="65">
        <v>4657</v>
      </c>
      <c r="I130" s="64">
        <v>4522</v>
      </c>
      <c r="J130" s="65">
        <v>4522</v>
      </c>
      <c r="K130" s="64">
        <v>0</v>
      </c>
      <c r="L130" s="65">
        <v>0</v>
      </c>
      <c r="M130" s="64">
        <v>135</v>
      </c>
      <c r="N130" s="65">
        <v>135</v>
      </c>
      <c r="O130" s="32" t="s">
        <v>562</v>
      </c>
    </row>
    <row r="131" spans="2:15" ht="19.7" customHeight="1">
      <c r="B131" s="28" t="s">
        <v>834</v>
      </c>
      <c r="C131" s="29" t="s">
        <v>727</v>
      </c>
      <c r="D131" s="29" t="s">
        <v>797</v>
      </c>
      <c r="E131" s="31">
        <v>1</v>
      </c>
      <c r="F131" s="30" t="s">
        <v>596</v>
      </c>
      <c r="G131" s="37">
        <v>48786</v>
      </c>
      <c r="H131" s="65">
        <v>48786</v>
      </c>
      <c r="I131" s="64">
        <v>29742</v>
      </c>
      <c r="J131" s="65">
        <v>29742</v>
      </c>
      <c r="K131" s="64">
        <v>18450</v>
      </c>
      <c r="L131" s="65">
        <v>18450</v>
      </c>
      <c r="M131" s="64">
        <v>594</v>
      </c>
      <c r="N131" s="65">
        <v>594</v>
      </c>
      <c r="O131" s="32" t="s">
        <v>502</v>
      </c>
    </row>
    <row r="132" spans="2:15" ht="19.7" customHeight="1">
      <c r="B132" s="28" t="s">
        <v>834</v>
      </c>
      <c r="C132" s="29" t="s">
        <v>372</v>
      </c>
      <c r="D132" s="29" t="s">
        <v>371</v>
      </c>
      <c r="E132" s="94">
        <v>0.5</v>
      </c>
      <c r="F132" s="30" t="s">
        <v>477</v>
      </c>
      <c r="G132" s="37">
        <v>4400</v>
      </c>
      <c r="H132" s="65">
        <v>2200</v>
      </c>
      <c r="I132" s="64">
        <v>0</v>
      </c>
      <c r="J132" s="65">
        <v>0</v>
      </c>
      <c r="K132" s="64">
        <v>4400</v>
      </c>
      <c r="L132" s="65">
        <v>2200</v>
      </c>
      <c r="M132" s="64">
        <v>0</v>
      </c>
      <c r="N132" s="65">
        <v>0</v>
      </c>
      <c r="O132" s="32" t="s">
        <v>834</v>
      </c>
    </row>
    <row r="133" spans="2:15" ht="19.7" customHeight="1">
      <c r="B133" s="28" t="s">
        <v>834</v>
      </c>
      <c r="C133" s="29" t="s">
        <v>411</v>
      </c>
      <c r="D133" s="29" t="s">
        <v>110</v>
      </c>
      <c r="E133" s="31">
        <v>50</v>
      </c>
      <c r="F133" s="30" t="s">
        <v>157</v>
      </c>
      <c r="G133" s="37">
        <v>42227</v>
      </c>
      <c r="H133" s="65">
        <v>21113</v>
      </c>
      <c r="I133" s="37">
        <v>42227</v>
      </c>
      <c r="J133" s="65">
        <v>21113</v>
      </c>
      <c r="K133" s="37"/>
      <c r="L133" s="65">
        <v>0</v>
      </c>
      <c r="M133" s="37"/>
      <c r="N133" s="65">
        <v>0</v>
      </c>
      <c r="O133" s="32" t="s">
        <v>834</v>
      </c>
    </row>
    <row r="134" spans="2:15" ht="19.7" customHeight="1">
      <c r="B134" s="33" t="s">
        <v>834</v>
      </c>
      <c r="C134" s="34" t="s">
        <v>834</v>
      </c>
      <c r="D134" s="34" t="s">
        <v>834</v>
      </c>
      <c r="E134" s="22"/>
      <c r="F134" s="35" t="s">
        <v>834</v>
      </c>
      <c r="G134" s="21"/>
      <c r="H134" s="22"/>
      <c r="I134" s="21"/>
      <c r="J134" s="74">
        <v>0</v>
      </c>
      <c r="K134" s="21"/>
      <c r="L134" s="74">
        <v>0</v>
      </c>
      <c r="M134" s="21"/>
      <c r="N134" s="74">
        <v>0</v>
      </c>
      <c r="O134" s="36" t="s">
        <v>834</v>
      </c>
    </row>
    <row r="135" spans="2:15" ht="19.7" customHeight="1">
      <c r="B135" s="90" t="s">
        <v>736</v>
      </c>
      <c r="C135" s="62" t="s">
        <v>618</v>
      </c>
      <c r="D135" s="62" t="s">
        <v>453</v>
      </c>
      <c r="E135" s="31"/>
      <c r="F135" s="91" t="s">
        <v>596</v>
      </c>
      <c r="G135" s="37"/>
      <c r="H135" s="92">
        <v>296464</v>
      </c>
      <c r="I135" s="37"/>
      <c r="J135" s="92">
        <v>127857</v>
      </c>
      <c r="K135" s="37"/>
      <c r="L135" s="92">
        <v>165650</v>
      </c>
      <c r="M135" s="37"/>
      <c r="N135" s="92">
        <v>2957</v>
      </c>
      <c r="O135" s="93" t="s">
        <v>834</v>
      </c>
    </row>
    <row r="136" spans="2:15" ht="19.7" customHeight="1">
      <c r="B136" s="28" t="s">
        <v>834</v>
      </c>
      <c r="C136" s="29" t="s">
        <v>455</v>
      </c>
      <c r="D136" s="29" t="s">
        <v>834</v>
      </c>
      <c r="E136" s="31">
        <v>1</v>
      </c>
      <c r="F136" s="30" t="s">
        <v>596</v>
      </c>
      <c r="G136" s="37">
        <v>6158</v>
      </c>
      <c r="H136" s="65">
        <v>6158</v>
      </c>
      <c r="I136" s="64">
        <v>5702</v>
      </c>
      <c r="J136" s="65">
        <v>5702</v>
      </c>
      <c r="K136" s="64">
        <v>0</v>
      </c>
      <c r="L136" s="65">
        <v>0</v>
      </c>
      <c r="M136" s="64">
        <v>456</v>
      </c>
      <c r="N136" s="65">
        <v>456</v>
      </c>
      <c r="O136" s="32" t="s">
        <v>74</v>
      </c>
    </row>
    <row r="137" spans="2:15" ht="19.7" customHeight="1">
      <c r="B137" s="28" t="s">
        <v>834</v>
      </c>
      <c r="C137" s="29" t="s">
        <v>602</v>
      </c>
      <c r="D137" s="29" t="s">
        <v>834</v>
      </c>
      <c r="E137" s="31">
        <v>1</v>
      </c>
      <c r="F137" s="30" t="s">
        <v>596</v>
      </c>
      <c r="G137" s="37">
        <v>4657</v>
      </c>
      <c r="H137" s="65">
        <v>4657</v>
      </c>
      <c r="I137" s="64">
        <v>4522</v>
      </c>
      <c r="J137" s="65">
        <v>4522</v>
      </c>
      <c r="K137" s="64">
        <v>0</v>
      </c>
      <c r="L137" s="65">
        <v>0</v>
      </c>
      <c r="M137" s="64">
        <v>135</v>
      </c>
      <c r="N137" s="65">
        <v>135</v>
      </c>
      <c r="O137" s="32" t="s">
        <v>562</v>
      </c>
    </row>
    <row r="138" spans="2:15" ht="19.7" customHeight="1">
      <c r="B138" s="28" t="s">
        <v>834</v>
      </c>
      <c r="C138" s="29" t="s">
        <v>631</v>
      </c>
      <c r="D138" s="29" t="s">
        <v>647</v>
      </c>
      <c r="E138" s="31">
        <v>58</v>
      </c>
      <c r="F138" s="30" t="s">
        <v>477</v>
      </c>
      <c r="G138" s="37">
        <v>2500</v>
      </c>
      <c r="H138" s="65">
        <v>145000</v>
      </c>
      <c r="I138" s="64">
        <v>0</v>
      </c>
      <c r="J138" s="65">
        <v>0</v>
      </c>
      <c r="K138" s="64">
        <v>2500</v>
      </c>
      <c r="L138" s="65">
        <v>145000</v>
      </c>
      <c r="M138" s="64">
        <v>0</v>
      </c>
      <c r="N138" s="65">
        <v>0</v>
      </c>
      <c r="O138" s="32" t="s">
        <v>834</v>
      </c>
    </row>
    <row r="139" spans="2:15" ht="19.7" customHeight="1">
      <c r="B139" s="28" t="s">
        <v>834</v>
      </c>
      <c r="C139" s="29" t="s">
        <v>515</v>
      </c>
      <c r="D139" s="29" t="s">
        <v>834</v>
      </c>
      <c r="E139" s="94">
        <v>0.04</v>
      </c>
      <c r="F139" s="30" t="s">
        <v>596</v>
      </c>
      <c r="G139" s="37">
        <v>1231145</v>
      </c>
      <c r="H139" s="65">
        <v>49244</v>
      </c>
      <c r="I139" s="64">
        <v>1131819</v>
      </c>
      <c r="J139" s="65">
        <v>45272</v>
      </c>
      <c r="K139" s="64">
        <v>55012</v>
      </c>
      <c r="L139" s="65">
        <v>2200</v>
      </c>
      <c r="M139" s="64">
        <v>44314</v>
      </c>
      <c r="N139" s="65">
        <v>1772</v>
      </c>
      <c r="O139" s="32" t="s">
        <v>44</v>
      </c>
    </row>
    <row r="140" spans="2:15" ht="19.7" customHeight="1">
      <c r="B140" s="28" t="s">
        <v>834</v>
      </c>
      <c r="C140" s="29" t="s">
        <v>727</v>
      </c>
      <c r="D140" s="29" t="s">
        <v>797</v>
      </c>
      <c r="E140" s="31">
        <v>1</v>
      </c>
      <c r="F140" s="30" t="s">
        <v>596</v>
      </c>
      <c r="G140" s="37">
        <v>48786</v>
      </c>
      <c r="H140" s="65">
        <v>48786</v>
      </c>
      <c r="I140" s="64">
        <v>29742</v>
      </c>
      <c r="J140" s="65">
        <v>29742</v>
      </c>
      <c r="K140" s="64">
        <v>18450</v>
      </c>
      <c r="L140" s="65">
        <v>18450</v>
      </c>
      <c r="M140" s="64">
        <v>594</v>
      </c>
      <c r="N140" s="65">
        <v>594</v>
      </c>
      <c r="O140" s="32" t="s">
        <v>502</v>
      </c>
    </row>
    <row r="141" spans="2:15" ht="19.7" customHeight="1">
      <c r="B141" s="28" t="s">
        <v>834</v>
      </c>
      <c r="C141" s="29" t="s">
        <v>411</v>
      </c>
      <c r="D141" s="29" t="s">
        <v>110</v>
      </c>
      <c r="E141" s="31">
        <v>50</v>
      </c>
      <c r="F141" s="30" t="s">
        <v>157</v>
      </c>
      <c r="G141" s="37">
        <v>85238</v>
      </c>
      <c r="H141" s="65">
        <v>42619</v>
      </c>
      <c r="I141" s="37">
        <v>85238</v>
      </c>
      <c r="J141" s="65">
        <v>42619</v>
      </c>
      <c r="K141" s="37"/>
      <c r="L141" s="65">
        <v>0</v>
      </c>
      <c r="M141" s="37"/>
      <c r="N141" s="65">
        <v>0</v>
      </c>
      <c r="O141" s="32" t="s">
        <v>834</v>
      </c>
    </row>
    <row r="142" spans="2:15" ht="19.7" customHeight="1">
      <c r="B142" s="28" t="s">
        <v>834</v>
      </c>
      <c r="C142" s="29" t="s">
        <v>834</v>
      </c>
      <c r="D142" s="29" t="s">
        <v>834</v>
      </c>
      <c r="E142" s="31"/>
      <c r="F142" s="30" t="s">
        <v>834</v>
      </c>
      <c r="G142" s="37"/>
      <c r="H142" s="31"/>
      <c r="I142" s="37"/>
      <c r="J142" s="65">
        <v>0</v>
      </c>
      <c r="K142" s="37"/>
      <c r="L142" s="65">
        <v>0</v>
      </c>
      <c r="M142" s="37"/>
      <c r="N142" s="65">
        <v>0</v>
      </c>
      <c r="O142" s="32" t="s">
        <v>834</v>
      </c>
    </row>
    <row r="143" spans="2:15" ht="19.7" customHeight="1">
      <c r="B143" s="90" t="s">
        <v>291</v>
      </c>
      <c r="C143" s="62" t="s">
        <v>618</v>
      </c>
      <c r="D143" s="62" t="s">
        <v>617</v>
      </c>
      <c r="E143" s="31"/>
      <c r="F143" s="91" t="s">
        <v>596</v>
      </c>
      <c r="G143" s="37"/>
      <c r="H143" s="92">
        <v>166125</v>
      </c>
      <c r="I143" s="37"/>
      <c r="J143" s="92">
        <v>90891</v>
      </c>
      <c r="K143" s="37"/>
      <c r="L143" s="92">
        <v>73550</v>
      </c>
      <c r="M143" s="37"/>
      <c r="N143" s="92">
        <v>1684</v>
      </c>
      <c r="O143" s="93" t="s">
        <v>834</v>
      </c>
    </row>
    <row r="144" spans="2:15" ht="19.7" customHeight="1">
      <c r="B144" s="28" t="s">
        <v>834</v>
      </c>
      <c r="C144" s="29" t="s">
        <v>455</v>
      </c>
      <c r="D144" s="29" t="s">
        <v>834</v>
      </c>
      <c r="E144" s="31">
        <v>1</v>
      </c>
      <c r="F144" s="30" t="s">
        <v>596</v>
      </c>
      <c r="G144" s="37">
        <v>6158</v>
      </c>
      <c r="H144" s="65">
        <v>6158</v>
      </c>
      <c r="I144" s="64">
        <v>5702</v>
      </c>
      <c r="J144" s="65">
        <v>5702</v>
      </c>
      <c r="K144" s="64">
        <v>0</v>
      </c>
      <c r="L144" s="65">
        <v>0</v>
      </c>
      <c r="M144" s="64">
        <v>456</v>
      </c>
      <c r="N144" s="65">
        <v>456</v>
      </c>
      <c r="O144" s="32" t="s">
        <v>74</v>
      </c>
    </row>
    <row r="145" spans="2:15" ht="19.7" customHeight="1">
      <c r="B145" s="28" t="s">
        <v>834</v>
      </c>
      <c r="C145" s="29" t="s">
        <v>602</v>
      </c>
      <c r="D145" s="29" t="s">
        <v>834</v>
      </c>
      <c r="E145" s="31">
        <v>1</v>
      </c>
      <c r="F145" s="30" t="s">
        <v>596</v>
      </c>
      <c r="G145" s="37">
        <v>4657</v>
      </c>
      <c r="H145" s="65">
        <v>4657</v>
      </c>
      <c r="I145" s="64">
        <v>4522</v>
      </c>
      <c r="J145" s="65">
        <v>4522</v>
      </c>
      <c r="K145" s="64">
        <v>0</v>
      </c>
      <c r="L145" s="65">
        <v>0</v>
      </c>
      <c r="M145" s="64">
        <v>135</v>
      </c>
      <c r="N145" s="65">
        <v>135</v>
      </c>
      <c r="O145" s="32" t="s">
        <v>562</v>
      </c>
    </row>
    <row r="146" spans="2:15" ht="19.7" customHeight="1">
      <c r="B146" s="28" t="s">
        <v>834</v>
      </c>
      <c r="C146" s="29" t="s">
        <v>631</v>
      </c>
      <c r="D146" s="29" t="s">
        <v>647</v>
      </c>
      <c r="E146" s="31">
        <v>21</v>
      </c>
      <c r="F146" s="30" t="s">
        <v>477</v>
      </c>
      <c r="G146" s="37">
        <v>2500</v>
      </c>
      <c r="H146" s="65">
        <v>52500</v>
      </c>
      <c r="I146" s="64">
        <v>0</v>
      </c>
      <c r="J146" s="65">
        <v>0</v>
      </c>
      <c r="K146" s="64">
        <v>2500</v>
      </c>
      <c r="L146" s="65">
        <v>52500</v>
      </c>
      <c r="M146" s="64">
        <v>0</v>
      </c>
      <c r="N146" s="65">
        <v>0</v>
      </c>
      <c r="O146" s="32" t="s">
        <v>834</v>
      </c>
    </row>
    <row r="147" spans="2:15" ht="19.7" customHeight="1">
      <c r="B147" s="28" t="s">
        <v>834</v>
      </c>
      <c r="C147" s="29" t="s">
        <v>515</v>
      </c>
      <c r="D147" s="29" t="s">
        <v>834</v>
      </c>
      <c r="E147" s="94">
        <v>0.01</v>
      </c>
      <c r="F147" s="30" t="s">
        <v>596</v>
      </c>
      <c r="G147" s="37">
        <v>1231145</v>
      </c>
      <c r="H147" s="65">
        <v>12311</v>
      </c>
      <c r="I147" s="64">
        <v>1131819</v>
      </c>
      <c r="J147" s="65">
        <v>11318</v>
      </c>
      <c r="K147" s="64">
        <v>55012</v>
      </c>
      <c r="L147" s="65">
        <v>550</v>
      </c>
      <c r="M147" s="64">
        <v>44314</v>
      </c>
      <c r="N147" s="65">
        <v>443</v>
      </c>
      <c r="O147" s="32" t="s">
        <v>44</v>
      </c>
    </row>
    <row r="148" spans="2:15" ht="19.7" customHeight="1">
      <c r="B148" s="28" t="s">
        <v>834</v>
      </c>
      <c r="C148" s="29" t="s">
        <v>727</v>
      </c>
      <c r="D148" s="29" t="s">
        <v>238</v>
      </c>
      <c r="E148" s="31">
        <v>1</v>
      </c>
      <c r="F148" s="30" t="s">
        <v>596</v>
      </c>
      <c r="G148" s="37">
        <v>60202</v>
      </c>
      <c r="H148" s="65">
        <v>60202</v>
      </c>
      <c r="I148" s="64">
        <v>39052</v>
      </c>
      <c r="J148" s="65">
        <v>39052</v>
      </c>
      <c r="K148" s="64">
        <v>20500</v>
      </c>
      <c r="L148" s="65">
        <v>20500</v>
      </c>
      <c r="M148" s="64">
        <v>650</v>
      </c>
      <c r="N148" s="65">
        <v>650</v>
      </c>
      <c r="O148" s="32" t="s">
        <v>368</v>
      </c>
    </row>
    <row r="149" spans="2:15" ht="19.7" customHeight="1">
      <c r="B149" s="28" t="s">
        <v>834</v>
      </c>
      <c r="C149" s="29" t="s">
        <v>411</v>
      </c>
      <c r="D149" s="29" t="s">
        <v>110</v>
      </c>
      <c r="E149" s="31">
        <v>50</v>
      </c>
      <c r="F149" s="30" t="s">
        <v>157</v>
      </c>
      <c r="G149" s="37">
        <v>60594</v>
      </c>
      <c r="H149" s="65">
        <v>30297</v>
      </c>
      <c r="I149" s="37">
        <v>60594</v>
      </c>
      <c r="J149" s="65">
        <v>30297</v>
      </c>
      <c r="K149" s="37"/>
      <c r="L149" s="65">
        <v>0</v>
      </c>
      <c r="M149" s="37"/>
      <c r="N149" s="65">
        <v>0</v>
      </c>
      <c r="O149" s="32" t="s">
        <v>834</v>
      </c>
    </row>
    <row r="150" spans="2:15" ht="19.7" customHeight="1">
      <c r="B150" s="28" t="s">
        <v>834</v>
      </c>
      <c r="C150" s="29" t="s">
        <v>834</v>
      </c>
      <c r="D150" s="29" t="s">
        <v>834</v>
      </c>
      <c r="E150" s="31"/>
      <c r="F150" s="30" t="s">
        <v>834</v>
      </c>
      <c r="G150" s="37"/>
      <c r="H150" s="31"/>
      <c r="I150" s="37"/>
      <c r="J150" s="65">
        <v>0</v>
      </c>
      <c r="K150" s="37"/>
      <c r="L150" s="65">
        <v>0</v>
      </c>
      <c r="M150" s="37"/>
      <c r="N150" s="65">
        <v>0</v>
      </c>
      <c r="O150" s="32" t="s">
        <v>834</v>
      </c>
    </row>
    <row r="151" spans="2:15" ht="19.7" customHeight="1">
      <c r="B151" s="90" t="s">
        <v>802</v>
      </c>
      <c r="C151" s="62" t="s">
        <v>438</v>
      </c>
      <c r="D151" s="62" t="s">
        <v>609</v>
      </c>
      <c r="E151" s="31"/>
      <c r="F151" s="91" t="s">
        <v>596</v>
      </c>
      <c r="G151" s="37"/>
      <c r="H151" s="92">
        <v>461080</v>
      </c>
      <c r="I151" s="37"/>
      <c r="J151" s="92">
        <v>168850</v>
      </c>
      <c r="K151" s="37"/>
      <c r="L151" s="92">
        <v>288670</v>
      </c>
      <c r="M151" s="37"/>
      <c r="N151" s="92">
        <v>3560</v>
      </c>
      <c r="O151" s="93" t="s">
        <v>834</v>
      </c>
    </row>
    <row r="152" spans="2:15" ht="19.7" customHeight="1">
      <c r="B152" s="28" t="s">
        <v>834</v>
      </c>
      <c r="C152" s="29" t="s">
        <v>455</v>
      </c>
      <c r="D152" s="29" t="s">
        <v>834</v>
      </c>
      <c r="E152" s="31">
        <v>1</v>
      </c>
      <c r="F152" s="30" t="s">
        <v>596</v>
      </c>
      <c r="G152" s="37">
        <v>6158</v>
      </c>
      <c r="H152" s="65">
        <v>6158</v>
      </c>
      <c r="I152" s="64">
        <v>5702</v>
      </c>
      <c r="J152" s="65">
        <v>5702</v>
      </c>
      <c r="K152" s="64">
        <v>0</v>
      </c>
      <c r="L152" s="65">
        <v>0</v>
      </c>
      <c r="M152" s="64">
        <v>456</v>
      </c>
      <c r="N152" s="65">
        <v>456</v>
      </c>
      <c r="O152" s="32" t="s">
        <v>74</v>
      </c>
    </row>
    <row r="153" spans="2:15" ht="19.7" customHeight="1">
      <c r="B153" s="28" t="s">
        <v>834</v>
      </c>
      <c r="C153" s="29" t="s">
        <v>602</v>
      </c>
      <c r="D153" s="29" t="s">
        <v>834</v>
      </c>
      <c r="E153" s="31">
        <v>1</v>
      </c>
      <c r="F153" s="30" t="s">
        <v>596</v>
      </c>
      <c r="G153" s="37">
        <v>4657</v>
      </c>
      <c r="H153" s="65">
        <v>4657</v>
      </c>
      <c r="I153" s="64">
        <v>4522</v>
      </c>
      <c r="J153" s="65">
        <v>4522</v>
      </c>
      <c r="K153" s="64">
        <v>0</v>
      </c>
      <c r="L153" s="65">
        <v>0</v>
      </c>
      <c r="M153" s="64">
        <v>135</v>
      </c>
      <c r="N153" s="65">
        <v>135</v>
      </c>
      <c r="O153" s="32" t="s">
        <v>562</v>
      </c>
    </row>
    <row r="154" spans="2:15" ht="19.7" customHeight="1">
      <c r="B154" s="28" t="s">
        <v>834</v>
      </c>
      <c r="C154" s="29" t="s">
        <v>743</v>
      </c>
      <c r="D154" s="29" t="s">
        <v>834</v>
      </c>
      <c r="E154" s="31">
        <v>1</v>
      </c>
      <c r="F154" s="30" t="s">
        <v>596</v>
      </c>
      <c r="G154" s="37">
        <v>3594</v>
      </c>
      <c r="H154" s="65">
        <v>3594</v>
      </c>
      <c r="I154" s="64">
        <v>3490</v>
      </c>
      <c r="J154" s="65">
        <v>3490</v>
      </c>
      <c r="K154" s="64">
        <v>0</v>
      </c>
      <c r="L154" s="65">
        <v>0</v>
      </c>
      <c r="M154" s="64">
        <v>104</v>
      </c>
      <c r="N154" s="65">
        <v>104</v>
      </c>
      <c r="O154" s="32" t="s">
        <v>56</v>
      </c>
    </row>
    <row r="155" spans="2:15" ht="19.7" customHeight="1">
      <c r="B155" s="28" t="s">
        <v>834</v>
      </c>
      <c r="C155" s="29" t="s">
        <v>357</v>
      </c>
      <c r="D155" s="29" t="s">
        <v>142</v>
      </c>
      <c r="E155" s="31">
        <v>1</v>
      </c>
      <c r="F155" s="30" t="s">
        <v>596</v>
      </c>
      <c r="G155" s="37">
        <v>6131</v>
      </c>
      <c r="H155" s="65">
        <v>6131</v>
      </c>
      <c r="I155" s="64">
        <v>3211</v>
      </c>
      <c r="J155" s="65">
        <v>3211</v>
      </c>
      <c r="K155" s="64">
        <v>2920</v>
      </c>
      <c r="L155" s="65">
        <v>2920</v>
      </c>
      <c r="M155" s="64">
        <v>0</v>
      </c>
      <c r="N155" s="65">
        <v>0</v>
      </c>
      <c r="O155" s="32" t="s">
        <v>199</v>
      </c>
    </row>
    <row r="156" spans="2:15" ht="19.7" customHeight="1">
      <c r="B156" s="28" t="s">
        <v>834</v>
      </c>
      <c r="C156" s="29" t="s">
        <v>631</v>
      </c>
      <c r="D156" s="29" t="s">
        <v>647</v>
      </c>
      <c r="E156" s="31">
        <v>105</v>
      </c>
      <c r="F156" s="30" t="s">
        <v>477</v>
      </c>
      <c r="G156" s="37">
        <v>2500</v>
      </c>
      <c r="H156" s="65">
        <v>262500</v>
      </c>
      <c r="I156" s="64">
        <v>0</v>
      </c>
      <c r="J156" s="65">
        <v>0</v>
      </c>
      <c r="K156" s="64">
        <v>2500</v>
      </c>
      <c r="L156" s="65">
        <v>262500</v>
      </c>
      <c r="M156" s="64">
        <v>0</v>
      </c>
      <c r="N156" s="65">
        <v>0</v>
      </c>
      <c r="O156" s="32" t="s">
        <v>834</v>
      </c>
    </row>
    <row r="157" spans="2:15" ht="19.7" customHeight="1">
      <c r="B157" s="28" t="s">
        <v>834</v>
      </c>
      <c r="C157" s="29" t="s">
        <v>515</v>
      </c>
      <c r="D157" s="29" t="s">
        <v>834</v>
      </c>
      <c r="E157" s="94">
        <v>0.05</v>
      </c>
      <c r="F157" s="30" t="s">
        <v>596</v>
      </c>
      <c r="G157" s="37">
        <v>1231145</v>
      </c>
      <c r="H157" s="65">
        <v>61555</v>
      </c>
      <c r="I157" s="64">
        <v>1131819</v>
      </c>
      <c r="J157" s="65">
        <v>56590</v>
      </c>
      <c r="K157" s="64">
        <v>55012</v>
      </c>
      <c r="L157" s="65">
        <v>2750</v>
      </c>
      <c r="M157" s="64">
        <v>44314</v>
      </c>
      <c r="N157" s="65">
        <v>2215</v>
      </c>
      <c r="O157" s="32" t="s">
        <v>44</v>
      </c>
    </row>
    <row r="158" spans="2:15" ht="19.7" customHeight="1">
      <c r="B158" s="28" t="s">
        <v>834</v>
      </c>
      <c r="C158" s="29" t="s">
        <v>727</v>
      </c>
      <c r="D158" s="29" t="s">
        <v>238</v>
      </c>
      <c r="E158" s="31">
        <v>1</v>
      </c>
      <c r="F158" s="30" t="s">
        <v>596</v>
      </c>
      <c r="G158" s="37">
        <v>60202</v>
      </c>
      <c r="H158" s="65">
        <v>60202</v>
      </c>
      <c r="I158" s="64">
        <v>39052</v>
      </c>
      <c r="J158" s="65">
        <v>39052</v>
      </c>
      <c r="K158" s="64">
        <v>20500</v>
      </c>
      <c r="L158" s="65">
        <v>20500</v>
      </c>
      <c r="M158" s="64">
        <v>650</v>
      </c>
      <c r="N158" s="65">
        <v>650</v>
      </c>
      <c r="O158" s="32" t="s">
        <v>368</v>
      </c>
    </row>
    <row r="159" spans="2:15" ht="19.7" customHeight="1">
      <c r="B159" s="28" t="s">
        <v>834</v>
      </c>
      <c r="C159" s="29" t="s">
        <v>411</v>
      </c>
      <c r="D159" s="29" t="s">
        <v>110</v>
      </c>
      <c r="E159" s="31">
        <v>50</v>
      </c>
      <c r="F159" s="30" t="s">
        <v>157</v>
      </c>
      <c r="G159" s="37">
        <v>112567</v>
      </c>
      <c r="H159" s="65">
        <v>56283</v>
      </c>
      <c r="I159" s="37">
        <v>112567</v>
      </c>
      <c r="J159" s="65">
        <v>56283</v>
      </c>
      <c r="K159" s="37"/>
      <c r="L159" s="65">
        <v>0</v>
      </c>
      <c r="M159" s="37"/>
      <c r="N159" s="65">
        <v>0</v>
      </c>
      <c r="O159" s="32" t="s">
        <v>834</v>
      </c>
    </row>
    <row r="160" spans="2:15" ht="19.7" customHeight="1">
      <c r="B160" s="33" t="s">
        <v>834</v>
      </c>
      <c r="C160" s="34" t="s">
        <v>834</v>
      </c>
      <c r="D160" s="34" t="s">
        <v>834</v>
      </c>
      <c r="E160" s="22"/>
      <c r="F160" s="35" t="s">
        <v>834</v>
      </c>
      <c r="G160" s="21"/>
      <c r="H160" s="22"/>
      <c r="I160" s="21"/>
      <c r="J160" s="74">
        <v>0</v>
      </c>
      <c r="K160" s="21"/>
      <c r="L160" s="74">
        <v>0</v>
      </c>
      <c r="M160" s="21"/>
      <c r="N160" s="74">
        <v>0</v>
      </c>
      <c r="O160" s="36" t="s">
        <v>834</v>
      </c>
    </row>
    <row r="161" spans="2:15" ht="19.7" customHeight="1">
      <c r="B161" s="90" t="s">
        <v>270</v>
      </c>
      <c r="C161" s="62" t="s">
        <v>357</v>
      </c>
      <c r="D161" s="62" t="s">
        <v>142</v>
      </c>
      <c r="E161" s="31"/>
      <c r="F161" s="91" t="s">
        <v>596</v>
      </c>
      <c r="G161" s="37"/>
      <c r="H161" s="92">
        <v>6131</v>
      </c>
      <c r="I161" s="37"/>
      <c r="J161" s="92">
        <v>3211</v>
      </c>
      <c r="K161" s="37"/>
      <c r="L161" s="92">
        <v>2920</v>
      </c>
      <c r="M161" s="37"/>
      <c r="N161" s="65">
        <v>0</v>
      </c>
      <c r="O161" s="93" t="s">
        <v>834</v>
      </c>
    </row>
    <row r="162" spans="2:15" ht="19.7" customHeight="1">
      <c r="B162" s="28" t="s">
        <v>834</v>
      </c>
      <c r="C162" s="29" t="s">
        <v>323</v>
      </c>
      <c r="D162" s="29" t="s">
        <v>20</v>
      </c>
      <c r="E162" s="94">
        <v>0.1168</v>
      </c>
      <c r="F162" s="30" t="s">
        <v>477</v>
      </c>
      <c r="G162" s="37">
        <v>25000</v>
      </c>
      <c r="H162" s="65">
        <v>2920</v>
      </c>
      <c r="I162" s="64">
        <v>0</v>
      </c>
      <c r="J162" s="65">
        <v>0</v>
      </c>
      <c r="K162" s="64">
        <v>25000</v>
      </c>
      <c r="L162" s="65">
        <v>2920</v>
      </c>
      <c r="M162" s="64">
        <v>0</v>
      </c>
      <c r="N162" s="65">
        <v>0</v>
      </c>
      <c r="O162" s="32" t="s">
        <v>834</v>
      </c>
    </row>
    <row r="163" spans="2:15" ht="19.7" customHeight="1">
      <c r="B163" s="28" t="s">
        <v>834</v>
      </c>
      <c r="C163" s="29" t="s">
        <v>667</v>
      </c>
      <c r="D163" s="29" t="s">
        <v>834</v>
      </c>
      <c r="E163" s="94">
        <v>8.9999999999999993E-3</v>
      </c>
      <c r="F163" s="30" t="s">
        <v>767</v>
      </c>
      <c r="G163" s="37">
        <v>263017</v>
      </c>
      <c r="H163" s="65">
        <v>2367</v>
      </c>
      <c r="I163" s="64">
        <v>263017</v>
      </c>
      <c r="J163" s="65">
        <v>2367</v>
      </c>
      <c r="K163" s="64">
        <v>0</v>
      </c>
      <c r="L163" s="65">
        <v>0</v>
      </c>
      <c r="M163" s="64">
        <v>0</v>
      </c>
      <c r="N163" s="65">
        <v>0</v>
      </c>
      <c r="O163" s="32" t="s">
        <v>834</v>
      </c>
    </row>
    <row r="164" spans="2:15" ht="19.7" customHeight="1">
      <c r="B164" s="28" t="s">
        <v>834</v>
      </c>
      <c r="C164" s="29" t="s">
        <v>54</v>
      </c>
      <c r="D164" s="29" t="s">
        <v>834</v>
      </c>
      <c r="E164" s="94">
        <v>1.8E-3</v>
      </c>
      <c r="F164" s="30" t="s">
        <v>767</v>
      </c>
      <c r="G164" s="37">
        <v>172068</v>
      </c>
      <c r="H164" s="65">
        <v>309</v>
      </c>
      <c r="I164" s="64">
        <v>172068</v>
      </c>
      <c r="J164" s="65">
        <v>309</v>
      </c>
      <c r="K164" s="64">
        <v>0</v>
      </c>
      <c r="L164" s="65">
        <v>0</v>
      </c>
      <c r="M164" s="64">
        <v>0</v>
      </c>
      <c r="N164" s="65">
        <v>0</v>
      </c>
      <c r="O164" s="32" t="s">
        <v>834</v>
      </c>
    </row>
    <row r="165" spans="2:15" ht="19.7" customHeight="1">
      <c r="B165" s="28" t="s">
        <v>834</v>
      </c>
      <c r="C165" s="29" t="s">
        <v>404</v>
      </c>
      <c r="D165" s="29" t="s">
        <v>110</v>
      </c>
      <c r="E165" s="31">
        <v>20</v>
      </c>
      <c r="F165" s="30" t="s">
        <v>157</v>
      </c>
      <c r="G165" s="37">
        <v>2676</v>
      </c>
      <c r="H165" s="65">
        <v>535</v>
      </c>
      <c r="I165" s="37">
        <v>2676</v>
      </c>
      <c r="J165" s="65">
        <v>535</v>
      </c>
      <c r="K165" s="37"/>
      <c r="L165" s="65">
        <v>0</v>
      </c>
      <c r="M165" s="37"/>
      <c r="N165" s="65">
        <v>0</v>
      </c>
      <c r="O165" s="32" t="s">
        <v>834</v>
      </c>
    </row>
    <row r="166" spans="2:15" ht="19.7" customHeight="1">
      <c r="B166" s="28" t="s">
        <v>834</v>
      </c>
      <c r="C166" s="29" t="s">
        <v>834</v>
      </c>
      <c r="D166" s="29" t="s">
        <v>834</v>
      </c>
      <c r="E166" s="31"/>
      <c r="F166" s="30" t="s">
        <v>834</v>
      </c>
      <c r="G166" s="37"/>
      <c r="H166" s="31"/>
      <c r="I166" s="37"/>
      <c r="J166" s="65">
        <v>0</v>
      </c>
      <c r="K166" s="37"/>
      <c r="L166" s="65">
        <v>0</v>
      </c>
      <c r="M166" s="37"/>
      <c r="N166" s="65">
        <v>0</v>
      </c>
      <c r="O166" s="32" t="s">
        <v>834</v>
      </c>
    </row>
    <row r="167" spans="2:15" ht="19.7" customHeight="1">
      <c r="B167" s="90" t="s">
        <v>787</v>
      </c>
      <c r="C167" s="62" t="s">
        <v>618</v>
      </c>
      <c r="D167" s="62" t="s">
        <v>40</v>
      </c>
      <c r="E167" s="31"/>
      <c r="F167" s="91" t="s">
        <v>596</v>
      </c>
      <c r="G167" s="37"/>
      <c r="H167" s="92">
        <v>147554</v>
      </c>
      <c r="I167" s="37"/>
      <c r="J167" s="92">
        <v>76926</v>
      </c>
      <c r="K167" s="37"/>
      <c r="L167" s="92">
        <v>69000</v>
      </c>
      <c r="M167" s="37"/>
      <c r="N167" s="92">
        <v>1628</v>
      </c>
      <c r="O167" s="93" t="s">
        <v>834</v>
      </c>
    </row>
    <row r="168" spans="2:15" ht="19.7" customHeight="1">
      <c r="B168" s="28" t="s">
        <v>834</v>
      </c>
      <c r="C168" s="29" t="s">
        <v>455</v>
      </c>
      <c r="D168" s="29" t="s">
        <v>834</v>
      </c>
      <c r="E168" s="31">
        <v>1</v>
      </c>
      <c r="F168" s="30" t="s">
        <v>596</v>
      </c>
      <c r="G168" s="37">
        <v>6158</v>
      </c>
      <c r="H168" s="65">
        <v>6158</v>
      </c>
      <c r="I168" s="64">
        <v>5702</v>
      </c>
      <c r="J168" s="65">
        <v>5702</v>
      </c>
      <c r="K168" s="64">
        <v>0</v>
      </c>
      <c r="L168" s="65">
        <v>0</v>
      </c>
      <c r="M168" s="64">
        <v>456</v>
      </c>
      <c r="N168" s="65">
        <v>456</v>
      </c>
      <c r="O168" s="32" t="s">
        <v>74</v>
      </c>
    </row>
    <row r="169" spans="2:15" ht="19.7" customHeight="1">
      <c r="B169" s="28" t="s">
        <v>834</v>
      </c>
      <c r="C169" s="29" t="s">
        <v>602</v>
      </c>
      <c r="D169" s="29" t="s">
        <v>834</v>
      </c>
      <c r="E169" s="31">
        <v>1</v>
      </c>
      <c r="F169" s="30" t="s">
        <v>596</v>
      </c>
      <c r="G169" s="37">
        <v>4657</v>
      </c>
      <c r="H169" s="65">
        <v>4657</v>
      </c>
      <c r="I169" s="64">
        <v>4522</v>
      </c>
      <c r="J169" s="65">
        <v>4522</v>
      </c>
      <c r="K169" s="64">
        <v>0</v>
      </c>
      <c r="L169" s="65">
        <v>0</v>
      </c>
      <c r="M169" s="64">
        <v>135</v>
      </c>
      <c r="N169" s="65">
        <v>135</v>
      </c>
      <c r="O169" s="32" t="s">
        <v>562</v>
      </c>
    </row>
    <row r="170" spans="2:15" ht="19.7" customHeight="1">
      <c r="B170" s="28" t="s">
        <v>834</v>
      </c>
      <c r="C170" s="29" t="s">
        <v>631</v>
      </c>
      <c r="D170" s="29" t="s">
        <v>647</v>
      </c>
      <c r="E170" s="31">
        <v>20</v>
      </c>
      <c r="F170" s="30" t="s">
        <v>477</v>
      </c>
      <c r="G170" s="37">
        <v>2500</v>
      </c>
      <c r="H170" s="65">
        <v>50000</v>
      </c>
      <c r="I170" s="64">
        <v>0</v>
      </c>
      <c r="J170" s="65">
        <v>0</v>
      </c>
      <c r="K170" s="64">
        <v>2500</v>
      </c>
      <c r="L170" s="65">
        <v>50000</v>
      </c>
      <c r="M170" s="64">
        <v>0</v>
      </c>
      <c r="N170" s="65">
        <v>0</v>
      </c>
      <c r="O170" s="32" t="s">
        <v>834</v>
      </c>
    </row>
    <row r="171" spans="2:15" ht="19.7" customHeight="1">
      <c r="B171" s="28" t="s">
        <v>834</v>
      </c>
      <c r="C171" s="29" t="s">
        <v>515</v>
      </c>
      <c r="D171" s="29" t="s">
        <v>834</v>
      </c>
      <c r="E171" s="94">
        <v>0.01</v>
      </c>
      <c r="F171" s="30" t="s">
        <v>596</v>
      </c>
      <c r="G171" s="37">
        <v>1231145</v>
      </c>
      <c r="H171" s="65">
        <v>12311</v>
      </c>
      <c r="I171" s="64">
        <v>1131819</v>
      </c>
      <c r="J171" s="65">
        <v>11318</v>
      </c>
      <c r="K171" s="64">
        <v>55012</v>
      </c>
      <c r="L171" s="65">
        <v>550</v>
      </c>
      <c r="M171" s="64">
        <v>44314</v>
      </c>
      <c r="N171" s="65">
        <v>443</v>
      </c>
      <c r="O171" s="32" t="s">
        <v>44</v>
      </c>
    </row>
    <row r="172" spans="2:15" ht="19.7" customHeight="1">
      <c r="B172" s="28" t="s">
        <v>834</v>
      </c>
      <c r="C172" s="29" t="s">
        <v>727</v>
      </c>
      <c r="D172" s="29" t="s">
        <v>797</v>
      </c>
      <c r="E172" s="31">
        <v>1</v>
      </c>
      <c r="F172" s="30" t="s">
        <v>596</v>
      </c>
      <c r="G172" s="37">
        <v>48786</v>
      </c>
      <c r="H172" s="65">
        <v>48786</v>
      </c>
      <c r="I172" s="64">
        <v>29742</v>
      </c>
      <c r="J172" s="65">
        <v>29742</v>
      </c>
      <c r="K172" s="64">
        <v>18450</v>
      </c>
      <c r="L172" s="65">
        <v>18450</v>
      </c>
      <c r="M172" s="64">
        <v>594</v>
      </c>
      <c r="N172" s="65">
        <v>594</v>
      </c>
      <c r="O172" s="32" t="s">
        <v>502</v>
      </c>
    </row>
    <row r="173" spans="2:15" ht="19.7" customHeight="1">
      <c r="B173" s="28" t="s">
        <v>834</v>
      </c>
      <c r="C173" s="29" t="s">
        <v>411</v>
      </c>
      <c r="D173" s="29" t="s">
        <v>110</v>
      </c>
      <c r="E173" s="31">
        <v>50</v>
      </c>
      <c r="F173" s="30" t="s">
        <v>157</v>
      </c>
      <c r="G173" s="37">
        <v>51284</v>
      </c>
      <c r="H173" s="65">
        <v>25642</v>
      </c>
      <c r="I173" s="37">
        <v>51284</v>
      </c>
      <c r="J173" s="65">
        <v>25642</v>
      </c>
      <c r="K173" s="37"/>
      <c r="L173" s="65">
        <v>0</v>
      </c>
      <c r="M173" s="37"/>
      <c r="N173" s="65">
        <v>0</v>
      </c>
      <c r="O173" s="32" t="s">
        <v>834</v>
      </c>
    </row>
    <row r="174" spans="2:15" ht="19.7" customHeight="1">
      <c r="B174" s="28" t="s">
        <v>834</v>
      </c>
      <c r="C174" s="29" t="s">
        <v>834</v>
      </c>
      <c r="D174" s="29" t="s">
        <v>834</v>
      </c>
      <c r="E174" s="31"/>
      <c r="F174" s="30" t="s">
        <v>834</v>
      </c>
      <c r="G174" s="37"/>
      <c r="H174" s="31"/>
      <c r="I174" s="37"/>
      <c r="J174" s="65">
        <v>0</v>
      </c>
      <c r="K174" s="37"/>
      <c r="L174" s="65">
        <v>0</v>
      </c>
      <c r="M174" s="37"/>
      <c r="N174" s="65">
        <v>0</v>
      </c>
      <c r="O174" s="32" t="s">
        <v>834</v>
      </c>
    </row>
    <row r="175" spans="2:15" ht="19.7" customHeight="1">
      <c r="B175" s="90" t="s">
        <v>109</v>
      </c>
      <c r="C175" s="62" t="s">
        <v>618</v>
      </c>
      <c r="D175" s="62" t="s">
        <v>217</v>
      </c>
      <c r="E175" s="31"/>
      <c r="F175" s="91" t="s">
        <v>596</v>
      </c>
      <c r="G175" s="37"/>
      <c r="H175" s="92">
        <v>317535</v>
      </c>
      <c r="I175" s="37"/>
      <c r="J175" s="92">
        <v>141822</v>
      </c>
      <c r="K175" s="37"/>
      <c r="L175" s="92">
        <v>172700</v>
      </c>
      <c r="M175" s="37"/>
      <c r="N175" s="92">
        <v>3013</v>
      </c>
      <c r="O175" s="93" t="s">
        <v>834</v>
      </c>
    </row>
    <row r="176" spans="2:15" ht="19.7" customHeight="1">
      <c r="B176" s="28" t="s">
        <v>834</v>
      </c>
      <c r="C176" s="29" t="s">
        <v>455</v>
      </c>
      <c r="D176" s="29" t="s">
        <v>834</v>
      </c>
      <c r="E176" s="31">
        <v>1</v>
      </c>
      <c r="F176" s="30" t="s">
        <v>596</v>
      </c>
      <c r="G176" s="37">
        <v>6158</v>
      </c>
      <c r="H176" s="65">
        <v>6158</v>
      </c>
      <c r="I176" s="64">
        <v>5702</v>
      </c>
      <c r="J176" s="65">
        <v>5702</v>
      </c>
      <c r="K176" s="64">
        <v>0</v>
      </c>
      <c r="L176" s="65">
        <v>0</v>
      </c>
      <c r="M176" s="64">
        <v>456</v>
      </c>
      <c r="N176" s="65">
        <v>456</v>
      </c>
      <c r="O176" s="32" t="s">
        <v>74</v>
      </c>
    </row>
    <row r="177" spans="2:15" ht="19.7" customHeight="1">
      <c r="B177" s="28" t="s">
        <v>834</v>
      </c>
      <c r="C177" s="29" t="s">
        <v>602</v>
      </c>
      <c r="D177" s="29" t="s">
        <v>834</v>
      </c>
      <c r="E177" s="31">
        <v>1</v>
      </c>
      <c r="F177" s="30" t="s">
        <v>596</v>
      </c>
      <c r="G177" s="37">
        <v>4657</v>
      </c>
      <c r="H177" s="65">
        <v>4657</v>
      </c>
      <c r="I177" s="64">
        <v>4522</v>
      </c>
      <c r="J177" s="65">
        <v>4522</v>
      </c>
      <c r="K177" s="64">
        <v>0</v>
      </c>
      <c r="L177" s="65">
        <v>0</v>
      </c>
      <c r="M177" s="64">
        <v>135</v>
      </c>
      <c r="N177" s="65">
        <v>135</v>
      </c>
      <c r="O177" s="32" t="s">
        <v>562</v>
      </c>
    </row>
    <row r="178" spans="2:15" ht="19.7" customHeight="1">
      <c r="B178" s="28" t="s">
        <v>834</v>
      </c>
      <c r="C178" s="29" t="s">
        <v>631</v>
      </c>
      <c r="D178" s="29" t="s">
        <v>647</v>
      </c>
      <c r="E178" s="31">
        <v>60</v>
      </c>
      <c r="F178" s="30" t="s">
        <v>477</v>
      </c>
      <c r="G178" s="37">
        <v>2500</v>
      </c>
      <c r="H178" s="65">
        <v>150000</v>
      </c>
      <c r="I178" s="64">
        <v>0</v>
      </c>
      <c r="J178" s="65">
        <v>0</v>
      </c>
      <c r="K178" s="64">
        <v>2500</v>
      </c>
      <c r="L178" s="65">
        <v>150000</v>
      </c>
      <c r="M178" s="64">
        <v>0</v>
      </c>
      <c r="N178" s="65">
        <v>0</v>
      </c>
      <c r="O178" s="32" t="s">
        <v>834</v>
      </c>
    </row>
    <row r="179" spans="2:15" ht="19.7" customHeight="1">
      <c r="B179" s="28" t="s">
        <v>834</v>
      </c>
      <c r="C179" s="29" t="s">
        <v>515</v>
      </c>
      <c r="D179" s="29" t="s">
        <v>834</v>
      </c>
      <c r="E179" s="94">
        <v>0.04</v>
      </c>
      <c r="F179" s="30" t="s">
        <v>596</v>
      </c>
      <c r="G179" s="37">
        <v>1231145</v>
      </c>
      <c r="H179" s="65">
        <v>49244</v>
      </c>
      <c r="I179" s="64">
        <v>1131819</v>
      </c>
      <c r="J179" s="65">
        <v>45272</v>
      </c>
      <c r="K179" s="64">
        <v>55012</v>
      </c>
      <c r="L179" s="65">
        <v>2200</v>
      </c>
      <c r="M179" s="64">
        <v>44314</v>
      </c>
      <c r="N179" s="65">
        <v>1772</v>
      </c>
      <c r="O179" s="32" t="s">
        <v>44</v>
      </c>
    </row>
    <row r="180" spans="2:15" ht="19.7" customHeight="1">
      <c r="B180" s="28" t="s">
        <v>834</v>
      </c>
      <c r="C180" s="29" t="s">
        <v>727</v>
      </c>
      <c r="D180" s="29" t="s">
        <v>238</v>
      </c>
      <c r="E180" s="31">
        <v>1</v>
      </c>
      <c r="F180" s="30" t="s">
        <v>596</v>
      </c>
      <c r="G180" s="37">
        <v>60202</v>
      </c>
      <c r="H180" s="65">
        <v>60202</v>
      </c>
      <c r="I180" s="64">
        <v>39052</v>
      </c>
      <c r="J180" s="65">
        <v>39052</v>
      </c>
      <c r="K180" s="64">
        <v>20500</v>
      </c>
      <c r="L180" s="65">
        <v>20500</v>
      </c>
      <c r="M180" s="64">
        <v>650</v>
      </c>
      <c r="N180" s="65">
        <v>650</v>
      </c>
      <c r="O180" s="32" t="s">
        <v>368</v>
      </c>
    </row>
    <row r="181" spans="2:15" ht="19.7" customHeight="1">
      <c r="B181" s="28" t="s">
        <v>834</v>
      </c>
      <c r="C181" s="29" t="s">
        <v>411</v>
      </c>
      <c r="D181" s="29" t="s">
        <v>110</v>
      </c>
      <c r="E181" s="31">
        <v>50</v>
      </c>
      <c r="F181" s="30" t="s">
        <v>157</v>
      </c>
      <c r="G181" s="37">
        <v>94548</v>
      </c>
      <c r="H181" s="65">
        <v>47274</v>
      </c>
      <c r="I181" s="37">
        <v>94548</v>
      </c>
      <c r="J181" s="65">
        <v>47274</v>
      </c>
      <c r="K181" s="37"/>
      <c r="L181" s="65">
        <v>0</v>
      </c>
      <c r="M181" s="37"/>
      <c r="N181" s="65">
        <v>0</v>
      </c>
      <c r="O181" s="32" t="s">
        <v>834</v>
      </c>
    </row>
    <row r="182" spans="2:15" ht="19.7" customHeight="1">
      <c r="B182" s="28" t="s">
        <v>834</v>
      </c>
      <c r="C182" s="29" t="s">
        <v>834</v>
      </c>
      <c r="D182" s="29" t="s">
        <v>834</v>
      </c>
      <c r="E182" s="31"/>
      <c r="F182" s="30" t="s">
        <v>834</v>
      </c>
      <c r="G182" s="37"/>
      <c r="H182" s="31"/>
      <c r="I182" s="37"/>
      <c r="J182" s="65">
        <v>0</v>
      </c>
      <c r="K182" s="37"/>
      <c r="L182" s="65">
        <v>0</v>
      </c>
      <c r="M182" s="37"/>
      <c r="N182" s="65">
        <v>0</v>
      </c>
      <c r="O182" s="32" t="s">
        <v>834</v>
      </c>
    </row>
    <row r="183" spans="2:15" ht="19.7" customHeight="1">
      <c r="B183" s="90" t="s">
        <v>419</v>
      </c>
      <c r="C183" s="62" t="s">
        <v>283</v>
      </c>
      <c r="D183" s="62" t="s">
        <v>571</v>
      </c>
      <c r="E183" s="31"/>
      <c r="F183" s="91" t="s">
        <v>665</v>
      </c>
      <c r="G183" s="37"/>
      <c r="H183" s="92">
        <v>99000</v>
      </c>
      <c r="I183" s="37"/>
      <c r="J183" s="65">
        <v>0</v>
      </c>
      <c r="K183" s="37"/>
      <c r="L183" s="65">
        <v>0</v>
      </c>
      <c r="M183" s="37"/>
      <c r="N183" s="92">
        <v>99000</v>
      </c>
      <c r="O183" s="93" t="s">
        <v>834</v>
      </c>
    </row>
    <row r="184" spans="2:15" ht="19.7" customHeight="1">
      <c r="B184" s="28" t="s">
        <v>834</v>
      </c>
      <c r="C184" s="29" t="s">
        <v>0</v>
      </c>
      <c r="D184" s="29" t="s">
        <v>571</v>
      </c>
      <c r="E184" s="31">
        <v>1</v>
      </c>
      <c r="F184" s="30" t="s">
        <v>508</v>
      </c>
      <c r="G184" s="37">
        <v>99000</v>
      </c>
      <c r="H184" s="65">
        <v>99000</v>
      </c>
      <c r="I184" s="37"/>
      <c r="J184" s="65">
        <v>0</v>
      </c>
      <c r="K184" s="37"/>
      <c r="L184" s="65">
        <v>0</v>
      </c>
      <c r="M184" s="37">
        <v>99000</v>
      </c>
      <c r="N184" s="65">
        <v>99000</v>
      </c>
      <c r="O184" s="32" t="s">
        <v>834</v>
      </c>
    </row>
    <row r="185" spans="2:15" ht="19.7" customHeight="1">
      <c r="B185" s="28" t="s">
        <v>834</v>
      </c>
      <c r="C185" s="29" t="s">
        <v>834</v>
      </c>
      <c r="D185" s="29" t="s">
        <v>834</v>
      </c>
      <c r="E185" s="31"/>
      <c r="F185" s="30" t="s">
        <v>834</v>
      </c>
      <c r="G185" s="37"/>
      <c r="H185" s="31"/>
      <c r="I185" s="37"/>
      <c r="J185" s="65">
        <v>0</v>
      </c>
      <c r="K185" s="37"/>
      <c r="L185" s="65">
        <v>0</v>
      </c>
      <c r="M185" s="37"/>
      <c r="N185" s="65">
        <v>0</v>
      </c>
      <c r="O185" s="32" t="s">
        <v>834</v>
      </c>
    </row>
    <row r="186" spans="2:15" ht="19.7" customHeight="1">
      <c r="B186" s="97" t="s">
        <v>690</v>
      </c>
      <c r="C186" s="98" t="s">
        <v>319</v>
      </c>
      <c r="D186" s="98" t="s">
        <v>797</v>
      </c>
      <c r="E186" s="22"/>
      <c r="F186" s="99" t="s">
        <v>596</v>
      </c>
      <c r="G186" s="21"/>
      <c r="H186" s="100">
        <v>63844</v>
      </c>
      <c r="I186" s="21"/>
      <c r="J186" s="100">
        <v>42227</v>
      </c>
      <c r="K186" s="21"/>
      <c r="L186" s="100">
        <v>20650</v>
      </c>
      <c r="M186" s="21"/>
      <c r="N186" s="100">
        <v>967</v>
      </c>
      <c r="O186" s="101" t="s">
        <v>834</v>
      </c>
    </row>
    <row r="187" spans="2:15" ht="19.7" customHeight="1">
      <c r="B187" s="28" t="s">
        <v>834</v>
      </c>
      <c r="C187" s="29" t="s">
        <v>32</v>
      </c>
      <c r="D187" s="29" t="s">
        <v>834</v>
      </c>
      <c r="E187" s="31">
        <v>1</v>
      </c>
      <c r="F187" s="30" t="s">
        <v>596</v>
      </c>
      <c r="G187" s="37">
        <v>8201</v>
      </c>
      <c r="H187" s="65">
        <v>8201</v>
      </c>
      <c r="I187" s="64">
        <v>7963</v>
      </c>
      <c r="J187" s="65">
        <v>7963</v>
      </c>
      <c r="K187" s="64">
        <v>0</v>
      </c>
      <c r="L187" s="65">
        <v>0</v>
      </c>
      <c r="M187" s="64">
        <v>238</v>
      </c>
      <c r="N187" s="65">
        <v>238</v>
      </c>
      <c r="O187" s="32" t="s">
        <v>669</v>
      </c>
    </row>
    <row r="188" spans="2:15" ht="19.7" customHeight="1">
      <c r="B188" s="28" t="s">
        <v>834</v>
      </c>
      <c r="C188" s="29" t="s">
        <v>602</v>
      </c>
      <c r="D188" s="29" t="s">
        <v>834</v>
      </c>
      <c r="E188" s="31">
        <v>1</v>
      </c>
      <c r="F188" s="30" t="s">
        <v>596</v>
      </c>
      <c r="G188" s="37">
        <v>4657</v>
      </c>
      <c r="H188" s="65">
        <v>4657</v>
      </c>
      <c r="I188" s="64">
        <v>4522</v>
      </c>
      <c r="J188" s="65">
        <v>4522</v>
      </c>
      <c r="K188" s="64">
        <v>0</v>
      </c>
      <c r="L188" s="65">
        <v>0</v>
      </c>
      <c r="M188" s="64">
        <v>135</v>
      </c>
      <c r="N188" s="65">
        <v>135</v>
      </c>
      <c r="O188" s="32" t="s">
        <v>562</v>
      </c>
    </row>
    <row r="189" spans="2:15" ht="19.7" customHeight="1">
      <c r="B189" s="28" t="s">
        <v>834</v>
      </c>
      <c r="C189" s="29" t="s">
        <v>727</v>
      </c>
      <c r="D189" s="29" t="s">
        <v>797</v>
      </c>
      <c r="E189" s="31">
        <v>1</v>
      </c>
      <c r="F189" s="30" t="s">
        <v>596</v>
      </c>
      <c r="G189" s="37">
        <v>48786</v>
      </c>
      <c r="H189" s="65">
        <v>48786</v>
      </c>
      <c r="I189" s="64">
        <v>29742</v>
      </c>
      <c r="J189" s="65">
        <v>29742</v>
      </c>
      <c r="K189" s="64">
        <v>18450</v>
      </c>
      <c r="L189" s="65">
        <v>18450</v>
      </c>
      <c r="M189" s="64">
        <v>594</v>
      </c>
      <c r="N189" s="65">
        <v>594</v>
      </c>
      <c r="O189" s="32" t="s">
        <v>502</v>
      </c>
    </row>
    <row r="190" spans="2:15" ht="19.7" customHeight="1">
      <c r="B190" s="28" t="s">
        <v>834</v>
      </c>
      <c r="C190" s="29" t="s">
        <v>372</v>
      </c>
      <c r="D190" s="29" t="s">
        <v>371</v>
      </c>
      <c r="E190" s="94">
        <v>0.5</v>
      </c>
      <c r="F190" s="30" t="s">
        <v>477</v>
      </c>
      <c r="G190" s="37">
        <v>4400</v>
      </c>
      <c r="H190" s="65">
        <v>2200</v>
      </c>
      <c r="I190" s="64">
        <v>0</v>
      </c>
      <c r="J190" s="65">
        <v>0</v>
      </c>
      <c r="K190" s="64">
        <v>4400</v>
      </c>
      <c r="L190" s="65">
        <v>2200</v>
      </c>
      <c r="M190" s="64">
        <v>0</v>
      </c>
      <c r="N190" s="65">
        <v>0</v>
      </c>
      <c r="O190" s="32" t="s">
        <v>834</v>
      </c>
    </row>
    <row r="191" spans="2:15" ht="19.7" customHeight="1">
      <c r="B191" s="28" t="s">
        <v>834</v>
      </c>
      <c r="C191" s="29" t="s">
        <v>834</v>
      </c>
      <c r="D191" s="29" t="s">
        <v>834</v>
      </c>
      <c r="E191" s="31"/>
      <c r="F191" s="30" t="s">
        <v>834</v>
      </c>
      <c r="G191" s="37"/>
      <c r="H191" s="31"/>
      <c r="I191" s="37"/>
      <c r="J191" s="65">
        <v>0</v>
      </c>
      <c r="K191" s="37"/>
      <c r="L191" s="65">
        <v>0</v>
      </c>
      <c r="M191" s="37"/>
      <c r="N191" s="65">
        <v>0</v>
      </c>
      <c r="O191" s="32" t="s">
        <v>834</v>
      </c>
    </row>
    <row r="192" spans="2:15" ht="19.7" customHeight="1">
      <c r="B192" s="90" t="s">
        <v>352</v>
      </c>
      <c r="C192" s="62" t="s">
        <v>319</v>
      </c>
      <c r="D192" s="62" t="s">
        <v>238</v>
      </c>
      <c r="E192" s="31"/>
      <c r="F192" s="91" t="s">
        <v>596</v>
      </c>
      <c r="G192" s="37"/>
      <c r="H192" s="92">
        <v>75260</v>
      </c>
      <c r="I192" s="37"/>
      <c r="J192" s="92">
        <v>51537</v>
      </c>
      <c r="K192" s="37"/>
      <c r="L192" s="92">
        <v>22700</v>
      </c>
      <c r="M192" s="37"/>
      <c r="N192" s="92">
        <v>1023</v>
      </c>
      <c r="O192" s="93" t="s">
        <v>834</v>
      </c>
    </row>
    <row r="193" spans="2:15" ht="19.7" customHeight="1">
      <c r="B193" s="28" t="s">
        <v>834</v>
      </c>
      <c r="C193" s="29" t="s">
        <v>32</v>
      </c>
      <c r="D193" s="29" t="s">
        <v>834</v>
      </c>
      <c r="E193" s="31">
        <v>1</v>
      </c>
      <c r="F193" s="30" t="s">
        <v>596</v>
      </c>
      <c r="G193" s="37">
        <v>8201</v>
      </c>
      <c r="H193" s="65">
        <v>8201</v>
      </c>
      <c r="I193" s="64">
        <v>7963</v>
      </c>
      <c r="J193" s="65">
        <v>7963</v>
      </c>
      <c r="K193" s="64">
        <v>0</v>
      </c>
      <c r="L193" s="65">
        <v>0</v>
      </c>
      <c r="M193" s="64">
        <v>238</v>
      </c>
      <c r="N193" s="65">
        <v>238</v>
      </c>
      <c r="O193" s="32" t="s">
        <v>669</v>
      </c>
    </row>
    <row r="194" spans="2:15" ht="19.7" customHeight="1">
      <c r="B194" s="28" t="s">
        <v>834</v>
      </c>
      <c r="C194" s="29" t="s">
        <v>602</v>
      </c>
      <c r="D194" s="29" t="s">
        <v>834</v>
      </c>
      <c r="E194" s="31">
        <v>1</v>
      </c>
      <c r="F194" s="30" t="s">
        <v>596</v>
      </c>
      <c r="G194" s="37">
        <v>4657</v>
      </c>
      <c r="H194" s="65">
        <v>4657</v>
      </c>
      <c r="I194" s="64">
        <v>4522</v>
      </c>
      <c r="J194" s="65">
        <v>4522</v>
      </c>
      <c r="K194" s="64">
        <v>0</v>
      </c>
      <c r="L194" s="65">
        <v>0</v>
      </c>
      <c r="M194" s="64">
        <v>135</v>
      </c>
      <c r="N194" s="65">
        <v>135</v>
      </c>
      <c r="O194" s="32" t="s">
        <v>562</v>
      </c>
    </row>
    <row r="195" spans="2:15" ht="19.7" customHeight="1">
      <c r="B195" s="28" t="s">
        <v>834</v>
      </c>
      <c r="C195" s="29" t="s">
        <v>727</v>
      </c>
      <c r="D195" s="29" t="s">
        <v>238</v>
      </c>
      <c r="E195" s="31">
        <v>1</v>
      </c>
      <c r="F195" s="30" t="s">
        <v>596</v>
      </c>
      <c r="G195" s="37">
        <v>60202</v>
      </c>
      <c r="H195" s="65">
        <v>60202</v>
      </c>
      <c r="I195" s="64">
        <v>39052</v>
      </c>
      <c r="J195" s="65">
        <v>39052</v>
      </c>
      <c r="K195" s="64">
        <v>20500</v>
      </c>
      <c r="L195" s="65">
        <v>20500</v>
      </c>
      <c r="M195" s="64">
        <v>650</v>
      </c>
      <c r="N195" s="65">
        <v>650</v>
      </c>
      <c r="O195" s="32" t="s">
        <v>368</v>
      </c>
    </row>
    <row r="196" spans="2:15" ht="19.7" customHeight="1">
      <c r="B196" s="28" t="s">
        <v>834</v>
      </c>
      <c r="C196" s="29" t="s">
        <v>372</v>
      </c>
      <c r="D196" s="29" t="s">
        <v>371</v>
      </c>
      <c r="E196" s="94">
        <v>0.5</v>
      </c>
      <c r="F196" s="30" t="s">
        <v>477</v>
      </c>
      <c r="G196" s="37">
        <v>4400</v>
      </c>
      <c r="H196" s="65">
        <v>2200</v>
      </c>
      <c r="I196" s="64">
        <v>0</v>
      </c>
      <c r="J196" s="65">
        <v>0</v>
      </c>
      <c r="K196" s="64">
        <v>4400</v>
      </c>
      <c r="L196" s="65">
        <v>2200</v>
      </c>
      <c r="M196" s="64">
        <v>0</v>
      </c>
      <c r="N196" s="65">
        <v>0</v>
      </c>
      <c r="O196" s="32" t="s">
        <v>834</v>
      </c>
    </row>
    <row r="197" spans="2:15" ht="19.7" customHeight="1">
      <c r="B197" s="28" t="s">
        <v>834</v>
      </c>
      <c r="C197" s="29" t="s">
        <v>834</v>
      </c>
      <c r="D197" s="29" t="s">
        <v>834</v>
      </c>
      <c r="E197" s="31"/>
      <c r="F197" s="30" t="s">
        <v>834</v>
      </c>
      <c r="G197" s="37"/>
      <c r="H197" s="31"/>
      <c r="I197" s="37"/>
      <c r="J197" s="65">
        <v>0</v>
      </c>
      <c r="K197" s="37"/>
      <c r="L197" s="65">
        <v>0</v>
      </c>
      <c r="M197" s="37"/>
      <c r="N197" s="65">
        <v>0</v>
      </c>
      <c r="O197" s="32" t="s">
        <v>834</v>
      </c>
    </row>
    <row r="198" spans="2:15" ht="19.7" customHeight="1">
      <c r="B198" s="90" t="s">
        <v>714</v>
      </c>
      <c r="C198" s="62" t="s">
        <v>551</v>
      </c>
      <c r="D198" s="62" t="s">
        <v>591</v>
      </c>
      <c r="E198" s="31"/>
      <c r="F198" s="91" t="s">
        <v>748</v>
      </c>
      <c r="G198" s="37"/>
      <c r="H198" s="92">
        <v>235459</v>
      </c>
      <c r="I198" s="37"/>
      <c r="J198" s="92">
        <v>235459</v>
      </c>
      <c r="K198" s="37"/>
      <c r="L198" s="65">
        <v>0</v>
      </c>
      <c r="M198" s="37"/>
      <c r="N198" s="65">
        <v>0</v>
      </c>
      <c r="O198" s="93" t="s">
        <v>834</v>
      </c>
    </row>
    <row r="199" spans="2:15" ht="19.7" customHeight="1">
      <c r="B199" s="28" t="s">
        <v>834</v>
      </c>
      <c r="C199" s="29" t="s">
        <v>172</v>
      </c>
      <c r="D199" s="29" t="s">
        <v>834</v>
      </c>
      <c r="E199" s="31">
        <v>1</v>
      </c>
      <c r="F199" s="30" t="s">
        <v>767</v>
      </c>
      <c r="G199" s="37">
        <v>235459</v>
      </c>
      <c r="H199" s="65">
        <v>235459</v>
      </c>
      <c r="I199" s="64">
        <v>235459</v>
      </c>
      <c r="J199" s="65">
        <v>235459</v>
      </c>
      <c r="K199" s="64">
        <v>0</v>
      </c>
      <c r="L199" s="65">
        <v>0</v>
      </c>
      <c r="M199" s="64">
        <v>0</v>
      </c>
      <c r="N199" s="65">
        <v>0</v>
      </c>
      <c r="O199" s="32" t="s">
        <v>834</v>
      </c>
    </row>
    <row r="200" spans="2:15" ht="19.7" customHeight="1">
      <c r="B200" s="28" t="s">
        <v>834</v>
      </c>
      <c r="C200" s="29" t="s">
        <v>834</v>
      </c>
      <c r="D200" s="29" t="s">
        <v>834</v>
      </c>
      <c r="E200" s="31"/>
      <c r="F200" s="30" t="s">
        <v>834</v>
      </c>
      <c r="G200" s="37"/>
      <c r="H200" s="31"/>
      <c r="I200" s="37"/>
      <c r="J200" s="65">
        <v>0</v>
      </c>
      <c r="K200" s="37"/>
      <c r="L200" s="65">
        <v>0</v>
      </c>
      <c r="M200" s="37"/>
      <c r="N200" s="65">
        <v>0</v>
      </c>
      <c r="O200" s="32" t="s">
        <v>834</v>
      </c>
    </row>
    <row r="201" spans="2:15" ht="19.7" customHeight="1">
      <c r="B201" s="90" t="s">
        <v>393</v>
      </c>
      <c r="C201" s="62" t="s">
        <v>683</v>
      </c>
      <c r="D201" s="62" t="s">
        <v>834</v>
      </c>
      <c r="E201" s="31"/>
      <c r="F201" s="91" t="s">
        <v>665</v>
      </c>
      <c r="G201" s="37"/>
      <c r="H201" s="92">
        <v>3757063</v>
      </c>
      <c r="I201" s="37"/>
      <c r="J201" s="92">
        <v>1491436</v>
      </c>
      <c r="K201" s="37"/>
      <c r="L201" s="65">
        <v>0</v>
      </c>
      <c r="M201" s="37"/>
      <c r="N201" s="92">
        <v>2265627</v>
      </c>
      <c r="O201" s="93" t="s">
        <v>834</v>
      </c>
    </row>
    <row r="202" spans="2:15" ht="19.7" customHeight="1">
      <c r="B202" s="28" t="s">
        <v>834</v>
      </c>
      <c r="C202" s="29" t="s">
        <v>288</v>
      </c>
      <c r="D202" s="29" t="s">
        <v>834</v>
      </c>
      <c r="E202" s="31">
        <v>1</v>
      </c>
      <c r="F202" s="30" t="s">
        <v>767</v>
      </c>
      <c r="G202" s="37">
        <v>310884</v>
      </c>
      <c r="H202" s="65">
        <v>310884</v>
      </c>
      <c r="I202" s="64">
        <v>310884</v>
      </c>
      <c r="J202" s="65">
        <v>310884</v>
      </c>
      <c r="K202" s="64">
        <v>0</v>
      </c>
      <c r="L202" s="65">
        <v>0</v>
      </c>
      <c r="M202" s="64">
        <v>0</v>
      </c>
      <c r="N202" s="65">
        <v>0</v>
      </c>
      <c r="O202" s="32" t="s">
        <v>834</v>
      </c>
    </row>
    <row r="203" spans="2:15" ht="19.7" customHeight="1">
      <c r="B203" s="28" t="s">
        <v>834</v>
      </c>
      <c r="C203" s="29" t="s">
        <v>70</v>
      </c>
      <c r="D203" s="29" t="s">
        <v>834</v>
      </c>
      <c r="E203" s="31">
        <v>4</v>
      </c>
      <c r="F203" s="30" t="s">
        <v>767</v>
      </c>
      <c r="G203" s="37">
        <v>295138</v>
      </c>
      <c r="H203" s="65">
        <v>1180552</v>
      </c>
      <c r="I203" s="64">
        <v>295138</v>
      </c>
      <c r="J203" s="65">
        <v>1180552</v>
      </c>
      <c r="K203" s="64">
        <v>0</v>
      </c>
      <c r="L203" s="65">
        <v>0</v>
      </c>
      <c r="M203" s="64">
        <v>0</v>
      </c>
      <c r="N203" s="65">
        <v>0</v>
      </c>
      <c r="O203" s="32" t="s">
        <v>834</v>
      </c>
    </row>
    <row r="204" spans="2:15" ht="19.7" customHeight="1">
      <c r="B204" s="28" t="s">
        <v>834</v>
      </c>
      <c r="C204" s="29" t="s">
        <v>351</v>
      </c>
      <c r="D204" s="29" t="s">
        <v>110</v>
      </c>
      <c r="E204" s="31">
        <v>110</v>
      </c>
      <c r="F204" s="30" t="s">
        <v>157</v>
      </c>
      <c r="G204" s="37">
        <v>1491436</v>
      </c>
      <c r="H204" s="65">
        <v>1640579</v>
      </c>
      <c r="I204" s="37"/>
      <c r="J204" s="65">
        <v>0</v>
      </c>
      <c r="K204" s="37"/>
      <c r="L204" s="65">
        <v>0</v>
      </c>
      <c r="M204" s="37">
        <v>1491436</v>
      </c>
      <c r="N204" s="65">
        <v>1640579</v>
      </c>
      <c r="O204" s="32" t="s">
        <v>834</v>
      </c>
    </row>
    <row r="205" spans="2:15" ht="19.7" customHeight="1">
      <c r="B205" s="28" t="s">
        <v>834</v>
      </c>
      <c r="C205" s="29" t="s">
        <v>752</v>
      </c>
      <c r="D205" s="29" t="s">
        <v>822</v>
      </c>
      <c r="E205" s="31">
        <v>20</v>
      </c>
      <c r="F205" s="30" t="s">
        <v>157</v>
      </c>
      <c r="G205" s="37">
        <v>3132015</v>
      </c>
      <c r="H205" s="65">
        <v>626403</v>
      </c>
      <c r="I205" s="37"/>
      <c r="J205" s="65">
        <v>0</v>
      </c>
      <c r="K205" s="37"/>
      <c r="L205" s="65">
        <v>0</v>
      </c>
      <c r="M205" s="37">
        <v>3132015</v>
      </c>
      <c r="N205" s="65">
        <v>626403</v>
      </c>
      <c r="O205" s="32" t="s">
        <v>834</v>
      </c>
    </row>
    <row r="206" spans="2:15" ht="19.7" customHeight="1">
      <c r="B206" s="28" t="s">
        <v>834</v>
      </c>
      <c r="C206" s="29" t="s">
        <v>88</v>
      </c>
      <c r="D206" s="29" t="s">
        <v>834</v>
      </c>
      <c r="E206" s="31">
        <v>1</v>
      </c>
      <c r="F206" s="30" t="s">
        <v>665</v>
      </c>
      <c r="G206" s="37">
        <v>-1355</v>
      </c>
      <c r="H206" s="65">
        <v>-1355</v>
      </c>
      <c r="I206" s="37"/>
      <c r="J206" s="65">
        <v>0</v>
      </c>
      <c r="K206" s="37"/>
      <c r="L206" s="65">
        <v>0</v>
      </c>
      <c r="M206" s="37">
        <v>-1355</v>
      </c>
      <c r="N206" s="65">
        <v>-1355</v>
      </c>
      <c r="O206" s="32" t="s">
        <v>834</v>
      </c>
    </row>
    <row r="207" spans="2:15">
      <c r="B207" s="33" t="s">
        <v>834</v>
      </c>
      <c r="C207" s="34" t="s">
        <v>834</v>
      </c>
      <c r="D207" s="34" t="s">
        <v>834</v>
      </c>
      <c r="E207" s="22"/>
      <c r="F207" s="35" t="s">
        <v>834</v>
      </c>
      <c r="G207" s="21"/>
      <c r="H207" s="22"/>
      <c r="I207" s="21"/>
      <c r="J207" s="74">
        <v>0</v>
      </c>
      <c r="K207" s="21"/>
      <c r="L207" s="74">
        <v>0</v>
      </c>
      <c r="M207" s="21"/>
      <c r="N207" s="74">
        <v>0</v>
      </c>
      <c r="O207" s="36" t="s">
        <v>834</v>
      </c>
    </row>
    <row r="208" spans="2:15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</row>
  </sheetData>
  <mergeCells count="11">
    <mergeCell ref="O3:O4"/>
    <mergeCell ref="B1:O2"/>
    <mergeCell ref="B3:B4"/>
    <mergeCell ref="C3:C4"/>
    <mergeCell ref="D3:D4"/>
    <mergeCell ref="E3:E4"/>
    <mergeCell ref="F3:F4"/>
    <mergeCell ref="G3:H3"/>
    <mergeCell ref="I3:J3"/>
    <mergeCell ref="K3:L3"/>
    <mergeCell ref="M3:N3"/>
  </mergeCells>
  <phoneticPr fontId="8" type="noConversion"/>
  <pageMargins left="0.98425196850393704" right="7.874015748031496E-2" top="0.6692913385826772" bottom="0.59055118110236215" header="0.5" footer="0.5"/>
  <pageSetup paperSize="9" scale="85" orientation="landscape" copies="0"/>
  <headerFooter alignWithMargins="0"/>
  <rowBreaks count="7" manualBreakCount="7">
    <brk id="30" min="2" max="15" man="1"/>
    <brk id="56" min="2" max="15" man="1"/>
    <brk id="82" min="2" max="15" man="1"/>
    <brk id="108" min="2" max="15" man="1"/>
    <brk id="134" min="2" max="15" man="1"/>
    <brk id="160" min="2" max="15" man="1"/>
    <brk id="186" min="2" max="1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E0B6-AE97-46C5-8B99-31CB801B5354}">
  <dimension ref="B1:AC14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3.140625" customWidth="1"/>
    <col min="3" max="3" width="33.140625" customWidth="1"/>
    <col min="4" max="4" width="18.85546875" customWidth="1"/>
    <col min="5" max="5" width="4.42578125" customWidth="1"/>
    <col min="6" max="9" width="8.42578125" customWidth="1"/>
    <col min="10" max="10" width="7.85546875" customWidth="1"/>
  </cols>
  <sheetData>
    <row r="1" spans="2:29" ht="24.95" customHeight="1">
      <c r="B1" s="343" t="s">
        <v>311</v>
      </c>
      <c r="C1" s="343"/>
      <c r="D1" s="343"/>
      <c r="E1" s="343"/>
      <c r="F1" s="343"/>
      <c r="G1" s="343"/>
      <c r="H1" s="343"/>
      <c r="I1" s="343"/>
      <c r="J1" s="343"/>
    </row>
    <row r="2" spans="2:29" ht="9.9499999999999993" customHeight="1">
      <c r="B2" s="344"/>
      <c r="C2" s="344"/>
      <c r="D2" s="344"/>
      <c r="E2" s="344"/>
      <c r="F2" s="344"/>
      <c r="G2" s="344"/>
      <c r="H2" s="344"/>
      <c r="I2" s="344"/>
      <c r="J2" s="344"/>
    </row>
    <row r="3" spans="2:29" ht="27.95" customHeight="1">
      <c r="B3" s="24" t="s">
        <v>197</v>
      </c>
      <c r="C3" s="17" t="s">
        <v>795</v>
      </c>
      <c r="D3" s="17" t="s">
        <v>649</v>
      </c>
      <c r="E3" s="17" t="s">
        <v>294</v>
      </c>
      <c r="F3" s="17" t="s">
        <v>801</v>
      </c>
      <c r="G3" s="17" t="s">
        <v>700</v>
      </c>
      <c r="H3" s="17" t="s">
        <v>498</v>
      </c>
      <c r="I3" s="17" t="s">
        <v>55</v>
      </c>
      <c r="J3" s="18" t="s">
        <v>178</v>
      </c>
      <c r="Z3" t="s">
        <v>511</v>
      </c>
      <c r="AA3" t="s">
        <v>578</v>
      </c>
      <c r="AB3" t="s">
        <v>824</v>
      </c>
      <c r="AC3" t="s">
        <v>540</v>
      </c>
    </row>
    <row r="4" spans="2:29" ht="22.35" customHeight="1">
      <c r="B4" s="28" t="s">
        <v>225</v>
      </c>
      <c r="C4" s="29" t="s">
        <v>563</v>
      </c>
      <c r="D4" s="29" t="s">
        <v>624</v>
      </c>
      <c r="E4" s="30" t="s">
        <v>596</v>
      </c>
      <c r="F4" s="65">
        <f t="shared" ref="F4:F13" si="0">G4+H4+I4</f>
        <v>7028</v>
      </c>
      <c r="G4" s="65" t="str">
        <f>단가산출!CY4</f>
        <v>4,055</v>
      </c>
      <c r="H4" s="65" t="str">
        <f>단가산출!CZ4</f>
        <v>1,333</v>
      </c>
      <c r="I4" s="65" t="str">
        <f>단가산출!DA4</f>
        <v>1,640</v>
      </c>
      <c r="J4" s="32" t="s">
        <v>834</v>
      </c>
      <c r="Z4" s="27">
        <v>7028</v>
      </c>
      <c r="AA4" s="27">
        <v>4055</v>
      </c>
      <c r="AB4" s="27">
        <v>1333</v>
      </c>
      <c r="AC4" s="27">
        <v>1640</v>
      </c>
    </row>
    <row r="5" spans="2:29" ht="22.35" customHeight="1">
      <c r="B5" s="28" t="s">
        <v>782</v>
      </c>
      <c r="C5" s="29" t="s">
        <v>377</v>
      </c>
      <c r="D5" s="29" t="s">
        <v>292</v>
      </c>
      <c r="E5" s="30" t="s">
        <v>596</v>
      </c>
      <c r="F5" s="65">
        <f t="shared" si="0"/>
        <v>27483</v>
      </c>
      <c r="G5" s="65" t="str">
        <f>단가산출!CY111</f>
        <v>3,185</v>
      </c>
      <c r="H5" s="65" t="str">
        <f>단가산출!CZ111</f>
        <v>23,913</v>
      </c>
      <c r="I5" s="65" t="str">
        <f>단가산출!DA111</f>
        <v>385</v>
      </c>
      <c r="J5" s="32" t="s">
        <v>834</v>
      </c>
      <c r="Z5" s="27">
        <v>27483</v>
      </c>
      <c r="AA5" s="27">
        <v>3185</v>
      </c>
      <c r="AB5" s="27">
        <v>23913</v>
      </c>
      <c r="AC5" s="27">
        <v>385</v>
      </c>
    </row>
    <row r="6" spans="2:29" ht="22.35" customHeight="1">
      <c r="B6" s="28" t="s">
        <v>312</v>
      </c>
      <c r="C6" s="29" t="s">
        <v>377</v>
      </c>
      <c r="D6" s="29" t="s">
        <v>661</v>
      </c>
      <c r="E6" s="30" t="s">
        <v>596</v>
      </c>
      <c r="F6" s="65">
        <f t="shared" si="0"/>
        <v>32506</v>
      </c>
      <c r="G6" s="65" t="str">
        <f>단가산출!CY178</f>
        <v>6,371</v>
      </c>
      <c r="H6" s="65" t="str">
        <f>단가산출!CZ178</f>
        <v>25,365</v>
      </c>
      <c r="I6" s="65" t="str">
        <f>단가산출!DA178</f>
        <v>770</v>
      </c>
      <c r="J6" s="32" t="s">
        <v>834</v>
      </c>
      <c r="Z6" s="27">
        <v>32506</v>
      </c>
      <c r="AA6" s="27">
        <v>6371</v>
      </c>
      <c r="AB6" s="27">
        <v>25365</v>
      </c>
      <c r="AC6" s="27">
        <v>770</v>
      </c>
    </row>
    <row r="7" spans="2:29" ht="22.35" customHeight="1">
      <c r="B7" s="28" t="s">
        <v>644</v>
      </c>
      <c r="C7" s="29" t="s">
        <v>377</v>
      </c>
      <c r="D7" s="29" t="s">
        <v>315</v>
      </c>
      <c r="E7" s="30" t="s">
        <v>596</v>
      </c>
      <c r="F7" s="65">
        <f t="shared" si="0"/>
        <v>46057</v>
      </c>
      <c r="G7" s="65" t="str">
        <f>단가산출!CY245</f>
        <v>17,698</v>
      </c>
      <c r="H7" s="65" t="str">
        <f>단가산출!CZ245</f>
        <v>26,218</v>
      </c>
      <c r="I7" s="65" t="str">
        <f>단가산출!DA245</f>
        <v>2,141</v>
      </c>
      <c r="J7" s="32" t="s">
        <v>573</v>
      </c>
      <c r="Z7" s="27">
        <v>46057</v>
      </c>
      <c r="AA7" s="27">
        <v>17698</v>
      </c>
      <c r="AB7" s="27">
        <v>26218</v>
      </c>
      <c r="AC7" s="27">
        <v>2141</v>
      </c>
    </row>
    <row r="8" spans="2:29" ht="22.35" customHeight="1">
      <c r="B8" s="28" t="s">
        <v>253</v>
      </c>
      <c r="C8" s="29" t="s">
        <v>398</v>
      </c>
      <c r="D8" s="29" t="s">
        <v>613</v>
      </c>
      <c r="E8" s="30" t="s">
        <v>748</v>
      </c>
      <c r="F8" s="65">
        <f t="shared" si="0"/>
        <v>789447</v>
      </c>
      <c r="G8" s="65" t="str">
        <f>단가산출!CY313</f>
        <v>369,025</v>
      </c>
      <c r="H8" s="65" t="str">
        <f>단가산출!CZ313</f>
        <v>244,588</v>
      </c>
      <c r="I8" s="65" t="str">
        <f>단가산출!DA313</f>
        <v>175,834</v>
      </c>
      <c r="J8" s="32" t="s">
        <v>834</v>
      </c>
      <c r="Z8" s="27">
        <v>789447</v>
      </c>
      <c r="AA8" s="27">
        <v>369025</v>
      </c>
      <c r="AB8" s="27">
        <v>244588</v>
      </c>
      <c r="AC8" s="27">
        <v>175834</v>
      </c>
    </row>
    <row r="9" spans="2:29" ht="22.35" customHeight="1">
      <c r="B9" s="28" t="s">
        <v>760</v>
      </c>
      <c r="C9" s="29" t="s">
        <v>597</v>
      </c>
      <c r="D9" s="29" t="s">
        <v>399</v>
      </c>
      <c r="E9" s="30" t="s">
        <v>366</v>
      </c>
      <c r="F9" s="65">
        <f t="shared" si="0"/>
        <v>126750</v>
      </c>
      <c r="G9" s="65" t="str">
        <f>단가산출!CY355</f>
        <v>42,250</v>
      </c>
      <c r="H9" s="65" t="str">
        <f>단가산출!CZ355</f>
        <v>84,500</v>
      </c>
      <c r="I9" s="65">
        <f>단가산출!DA355</f>
        <v>0</v>
      </c>
      <c r="J9" s="32" t="s">
        <v>834</v>
      </c>
      <c r="Z9" s="27">
        <v>126750</v>
      </c>
      <c r="AA9" s="27">
        <v>42250</v>
      </c>
      <c r="AB9" s="27">
        <v>84500</v>
      </c>
    </row>
    <row r="10" spans="2:29" ht="22.35" customHeight="1">
      <c r="B10" s="28" t="s">
        <v>402</v>
      </c>
      <c r="C10" s="29" t="s">
        <v>722</v>
      </c>
      <c r="D10" s="29" t="s">
        <v>211</v>
      </c>
      <c r="E10" s="30" t="s">
        <v>665</v>
      </c>
      <c r="F10" s="65">
        <f t="shared" si="0"/>
        <v>2203423</v>
      </c>
      <c r="G10" s="65" t="str">
        <f>단가산출!CY376</f>
        <v>1,341,644</v>
      </c>
      <c r="H10" s="65" t="str">
        <f>단가산출!CZ376</f>
        <v>422,721</v>
      </c>
      <c r="I10" s="65" t="str">
        <f>단가산출!DA376</f>
        <v>439,058</v>
      </c>
      <c r="J10" s="32" t="s">
        <v>82</v>
      </c>
      <c r="Z10" s="27">
        <v>2203423</v>
      </c>
      <c r="AA10" s="27">
        <v>1341644</v>
      </c>
      <c r="AB10" s="27">
        <v>422721</v>
      </c>
      <c r="AC10" s="27">
        <v>439058</v>
      </c>
    </row>
    <row r="11" spans="2:29" ht="22.35" customHeight="1">
      <c r="B11" s="28" t="s">
        <v>764</v>
      </c>
      <c r="C11" s="29" t="s">
        <v>439</v>
      </c>
      <c r="D11" s="29" t="s">
        <v>244</v>
      </c>
      <c r="E11" s="30" t="s">
        <v>748</v>
      </c>
      <c r="F11" s="65">
        <f t="shared" si="0"/>
        <v>2356744</v>
      </c>
      <c r="G11" s="65" t="str">
        <f>단가산출!CY475</f>
        <v>540,504</v>
      </c>
      <c r="H11" s="65" t="str">
        <f>단가산출!CZ475</f>
        <v>132,160</v>
      </c>
      <c r="I11" s="65" t="str">
        <f>단가산출!DA475</f>
        <v>1,684,080</v>
      </c>
      <c r="J11" s="32" t="s">
        <v>834</v>
      </c>
      <c r="Z11" s="27">
        <v>2356744</v>
      </c>
      <c r="AA11" s="27">
        <v>540504</v>
      </c>
      <c r="AB11" s="27">
        <v>132160</v>
      </c>
      <c r="AC11" s="27">
        <v>1684080</v>
      </c>
    </row>
    <row r="12" spans="2:29" ht="22.35" customHeight="1">
      <c r="B12" s="28" t="s">
        <v>392</v>
      </c>
      <c r="C12" s="29" t="s">
        <v>439</v>
      </c>
      <c r="D12" s="29" t="s">
        <v>567</v>
      </c>
      <c r="E12" s="30" t="s">
        <v>748</v>
      </c>
      <c r="F12" s="65">
        <f t="shared" si="0"/>
        <v>2626996</v>
      </c>
      <c r="G12" s="65" t="str">
        <f>단가산출!CY493</f>
        <v>810,756</v>
      </c>
      <c r="H12" s="65" t="str">
        <f>단가산출!CZ493</f>
        <v>132,160</v>
      </c>
      <c r="I12" s="65" t="str">
        <f>단가산출!DA493</f>
        <v>1,684,080</v>
      </c>
      <c r="J12" s="32" t="s">
        <v>834</v>
      </c>
      <c r="Z12" s="27">
        <v>2626996</v>
      </c>
      <c r="AA12" s="27">
        <v>810756</v>
      </c>
      <c r="AB12" s="27">
        <v>132160</v>
      </c>
      <c r="AC12" s="27">
        <v>1684080</v>
      </c>
    </row>
    <row r="13" spans="2:29" ht="22.35" customHeight="1">
      <c r="B13" s="33" t="s">
        <v>90</v>
      </c>
      <c r="C13" s="34" t="s">
        <v>545</v>
      </c>
      <c r="D13" s="34" t="s">
        <v>280</v>
      </c>
      <c r="E13" s="35" t="s">
        <v>574</v>
      </c>
      <c r="F13" s="74">
        <f t="shared" si="0"/>
        <v>4436</v>
      </c>
      <c r="G13" s="74" t="str">
        <f>단가산출!CY513</f>
        <v>2,541</v>
      </c>
      <c r="H13" s="74" t="str">
        <f>단가산출!CZ513</f>
        <v>838</v>
      </c>
      <c r="I13" s="74" t="str">
        <f>단가산출!DA513</f>
        <v>1,057</v>
      </c>
      <c r="J13" s="36" t="s">
        <v>834</v>
      </c>
      <c r="Z13" s="27">
        <v>4436</v>
      </c>
      <c r="AA13" s="27">
        <v>2541</v>
      </c>
      <c r="AB13" s="27">
        <v>838</v>
      </c>
      <c r="AC13" s="27">
        <v>1057</v>
      </c>
    </row>
    <row r="14" spans="2:29">
      <c r="B14" s="23"/>
      <c r="C14" s="23"/>
      <c r="D14" s="23"/>
      <c r="E14" s="23"/>
      <c r="F14" s="23"/>
      <c r="G14" s="23"/>
      <c r="H14" s="23"/>
      <c r="I14" s="23"/>
      <c r="J14" s="23"/>
    </row>
  </sheetData>
  <mergeCells count="1">
    <mergeCell ref="B1:J2"/>
  </mergeCells>
  <phoneticPr fontId="8" type="noConversion"/>
  <pageMargins left="0.78740157480314965" right="7.874015748031496E-2" top="0.94488188976377963" bottom="0.59055118110236215" header="0.5" footer="0.5"/>
  <pageSetup paperSize="9" scale="85" orientation="portrait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62E2-70F9-4E54-B437-7658FBB3F25C}">
  <dimension ref="B1:DB539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101" width="1" customWidth="1"/>
    <col min="102" max="102" width="12" customWidth="1"/>
    <col min="103" max="103" width="10.5703125" customWidth="1"/>
    <col min="104" max="105" width="10.140625" customWidth="1"/>
  </cols>
  <sheetData>
    <row r="1" spans="2:106" ht="24.95" customHeight="1">
      <c r="B1" s="343" t="s">
        <v>494</v>
      </c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  <c r="AY1" s="343"/>
      <c r="AZ1" s="343"/>
      <c r="BA1" s="343"/>
      <c r="BB1" s="343"/>
      <c r="BC1" s="343"/>
      <c r="BD1" s="343"/>
      <c r="BE1" s="343"/>
      <c r="BF1" s="343"/>
      <c r="BG1" s="343"/>
      <c r="BH1" s="343"/>
      <c r="BI1" s="343"/>
      <c r="BJ1" s="343"/>
      <c r="BK1" s="343"/>
      <c r="BL1" s="343"/>
      <c r="BM1" s="343"/>
      <c r="BN1" s="343"/>
      <c r="BO1" s="343"/>
      <c r="BP1" s="343"/>
      <c r="BQ1" s="343"/>
      <c r="BR1" s="343"/>
      <c r="BS1" s="343"/>
      <c r="BT1" s="343"/>
      <c r="BU1" s="343"/>
      <c r="BV1" s="343"/>
      <c r="BW1" s="343"/>
      <c r="BX1" s="343"/>
      <c r="BY1" s="343"/>
      <c r="BZ1" s="343"/>
      <c r="CA1" s="343"/>
      <c r="CB1" s="343"/>
      <c r="CC1" s="343"/>
      <c r="CD1" s="343"/>
      <c r="CE1" s="343"/>
      <c r="CF1" s="343"/>
      <c r="CG1" s="343"/>
      <c r="CH1" s="343"/>
      <c r="CI1" s="343"/>
      <c r="CJ1" s="343"/>
      <c r="CK1" s="343"/>
      <c r="CL1" s="343"/>
      <c r="CM1" s="343"/>
      <c r="CN1" s="343"/>
      <c r="CO1" s="343"/>
      <c r="CP1" s="343"/>
      <c r="CQ1" s="343"/>
      <c r="CR1" s="343"/>
      <c r="CS1" s="343"/>
      <c r="CT1" s="343"/>
      <c r="CU1" s="343"/>
      <c r="CV1" s="343"/>
      <c r="CW1" s="343"/>
      <c r="CX1" s="343"/>
      <c r="CY1" s="343"/>
      <c r="CZ1" s="343"/>
      <c r="DA1" s="343"/>
    </row>
    <row r="2" spans="2:106" ht="9.9499999999999993" customHeight="1"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4"/>
      <c r="BC2" s="344"/>
      <c r="BD2" s="344"/>
      <c r="BE2" s="344"/>
      <c r="BF2" s="344"/>
      <c r="BG2" s="344"/>
      <c r="BH2" s="344"/>
      <c r="BI2" s="344"/>
      <c r="BJ2" s="344"/>
      <c r="BK2" s="344"/>
      <c r="BL2" s="344"/>
      <c r="BM2" s="344"/>
      <c r="BN2" s="344"/>
      <c r="BO2" s="344"/>
      <c r="BP2" s="344"/>
      <c r="BQ2" s="344"/>
      <c r="BR2" s="344"/>
      <c r="BS2" s="344"/>
      <c r="BT2" s="344"/>
      <c r="BU2" s="344"/>
      <c r="BV2" s="344"/>
      <c r="BW2" s="344"/>
      <c r="BX2" s="344"/>
      <c r="BY2" s="344"/>
      <c r="BZ2" s="344"/>
      <c r="CA2" s="344"/>
      <c r="CB2" s="344"/>
      <c r="CC2" s="344"/>
      <c r="CD2" s="344"/>
      <c r="CE2" s="344"/>
      <c r="CF2" s="344"/>
      <c r="CG2" s="344"/>
      <c r="CH2" s="344"/>
      <c r="CI2" s="344"/>
      <c r="CJ2" s="344"/>
      <c r="CK2" s="344"/>
      <c r="CL2" s="344"/>
      <c r="CM2" s="344"/>
      <c r="CN2" s="344"/>
      <c r="CO2" s="344"/>
      <c r="CP2" s="344"/>
      <c r="CQ2" s="344"/>
      <c r="CR2" s="344"/>
      <c r="CS2" s="344"/>
      <c r="CT2" s="344"/>
      <c r="CU2" s="344"/>
      <c r="CV2" s="344"/>
      <c r="CW2" s="344"/>
      <c r="CX2" s="344"/>
      <c r="CY2" s="344"/>
      <c r="CZ2" s="344"/>
      <c r="DA2" s="344"/>
    </row>
    <row r="3" spans="2:106" ht="27.95" customHeight="1">
      <c r="B3" s="370" t="s">
        <v>387</v>
      </c>
      <c r="C3" s="371" t="s">
        <v>318</v>
      </c>
      <c r="D3" s="371" t="s">
        <v>700</v>
      </c>
      <c r="E3" s="371" t="s">
        <v>498</v>
      </c>
      <c r="F3" s="371" t="s">
        <v>386</v>
      </c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  <c r="BE3" s="371"/>
      <c r="BF3" s="371"/>
      <c r="BG3" s="371"/>
      <c r="BH3" s="371"/>
      <c r="BI3" s="371"/>
      <c r="BJ3" s="371"/>
      <c r="BK3" s="371"/>
      <c r="BL3" s="371"/>
      <c r="BM3" s="371"/>
      <c r="BN3" s="371"/>
      <c r="BO3" s="371"/>
      <c r="BP3" s="371"/>
      <c r="BQ3" s="371"/>
      <c r="BR3" s="371"/>
      <c r="BS3" s="371"/>
      <c r="BT3" s="371"/>
      <c r="BU3" s="371"/>
      <c r="BV3" s="371"/>
      <c r="BW3" s="371"/>
      <c r="BX3" s="371"/>
      <c r="BY3" s="371"/>
      <c r="BZ3" s="371"/>
      <c r="CA3" s="371"/>
      <c r="CB3" s="371"/>
      <c r="CC3" s="371"/>
      <c r="CD3" s="371"/>
      <c r="CE3" s="371"/>
      <c r="CF3" s="371"/>
      <c r="CG3" s="371"/>
      <c r="CH3" s="371"/>
      <c r="CI3" s="371"/>
      <c r="CJ3" s="371"/>
      <c r="CK3" s="371"/>
      <c r="CL3" s="371"/>
      <c r="CM3" s="371"/>
      <c r="CN3" s="371"/>
      <c r="CO3" s="371"/>
      <c r="CP3" s="371"/>
      <c r="CQ3" s="371"/>
      <c r="CR3" s="371"/>
      <c r="CS3" s="371"/>
      <c r="CT3" s="371"/>
      <c r="CU3" s="371"/>
      <c r="CV3" s="371"/>
      <c r="CW3" s="371"/>
      <c r="CX3" s="76" t="s">
        <v>318</v>
      </c>
      <c r="CY3" s="76" t="s">
        <v>700</v>
      </c>
      <c r="CZ3" s="76" t="s">
        <v>498</v>
      </c>
      <c r="DA3" s="77" t="s">
        <v>386</v>
      </c>
    </row>
    <row r="4" spans="2:106" ht="11.25" customHeight="1">
      <c r="B4" s="81" t="s">
        <v>322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82">
        <f>CX109</f>
        <v>7028</v>
      </c>
      <c r="CY4" s="82" t="str">
        <f>CY109</f>
        <v>4,055</v>
      </c>
      <c r="CZ4" s="82" t="str">
        <f>CZ109</f>
        <v>1,333</v>
      </c>
      <c r="DA4" s="83" t="str">
        <f>DA109</f>
        <v>1,640</v>
      </c>
      <c r="DB4" s="84"/>
    </row>
    <row r="5" spans="2:106" ht="11.25" customHeight="1">
      <c r="B5" s="78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  <c r="BX5" s="79"/>
      <c r="BY5" s="79"/>
      <c r="BZ5" s="79"/>
      <c r="CA5" s="79"/>
      <c r="CB5" s="79"/>
      <c r="CC5" s="79"/>
      <c r="CD5" s="79"/>
      <c r="CE5" s="79"/>
      <c r="CF5" s="79"/>
      <c r="CG5" s="79"/>
      <c r="CH5" s="79"/>
      <c r="CI5" s="79"/>
      <c r="CJ5" s="79"/>
      <c r="CK5" s="79"/>
      <c r="CL5" s="79"/>
      <c r="CM5" s="79"/>
      <c r="CN5" s="79"/>
      <c r="CO5" s="79"/>
      <c r="CP5" s="79"/>
      <c r="CQ5" s="79"/>
      <c r="CR5" s="79"/>
      <c r="CS5" s="79"/>
      <c r="CT5" s="79"/>
      <c r="CU5" s="79"/>
      <c r="CV5" s="79"/>
      <c r="CW5" s="79"/>
      <c r="CX5" s="85"/>
      <c r="CY5" s="85"/>
      <c r="CZ5" s="85"/>
      <c r="DA5" s="86"/>
      <c r="DB5" s="84"/>
    </row>
    <row r="6" spans="2:106" ht="11.25" customHeight="1">
      <c r="B6" s="78"/>
      <c r="C6" s="79"/>
      <c r="D6" s="79"/>
      <c r="E6" s="79" t="s">
        <v>625</v>
      </c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79"/>
      <c r="CB6" s="79"/>
      <c r="CC6" s="79"/>
      <c r="CD6" s="79"/>
      <c r="CE6" s="79"/>
      <c r="CF6" s="79"/>
      <c r="CG6" s="79"/>
      <c r="CH6" s="79"/>
      <c r="CI6" s="79"/>
      <c r="CJ6" s="79"/>
      <c r="CK6" s="79"/>
      <c r="CL6" s="79"/>
      <c r="CM6" s="79"/>
      <c r="CN6" s="79"/>
      <c r="CO6" s="79"/>
      <c r="CP6" s="79"/>
      <c r="CQ6" s="79"/>
      <c r="CR6" s="79"/>
      <c r="CS6" s="79"/>
      <c r="CT6" s="79"/>
      <c r="CU6" s="79"/>
      <c r="CV6" s="79"/>
      <c r="CW6" s="79"/>
      <c r="CX6" s="85"/>
      <c r="CY6" s="85"/>
      <c r="CZ6" s="85"/>
      <c r="DA6" s="86"/>
      <c r="DB6" s="84"/>
    </row>
    <row r="7" spans="2:106" ht="11.25" customHeight="1">
      <c r="B7" s="78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85"/>
      <c r="CY7" s="85"/>
      <c r="CZ7" s="85"/>
      <c r="DA7" s="86"/>
      <c r="DB7" s="84"/>
    </row>
    <row r="8" spans="2:106" ht="11.25" customHeight="1">
      <c r="B8" s="78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85"/>
      <c r="CY8" s="85"/>
      <c r="CZ8" s="85"/>
      <c r="DA8" s="86"/>
      <c r="DB8" s="84"/>
    </row>
    <row r="9" spans="2:106" ht="11.25" customHeight="1">
      <c r="B9" s="78"/>
      <c r="C9" s="79"/>
      <c r="D9" s="79"/>
      <c r="E9" s="79" t="s">
        <v>777</v>
      </c>
      <c r="F9" s="79"/>
      <c r="G9" s="79"/>
      <c r="H9" s="79" t="s">
        <v>530</v>
      </c>
      <c r="I9" s="79"/>
      <c r="J9" s="79"/>
      <c r="K9" s="79"/>
      <c r="L9" s="79"/>
      <c r="M9" s="79" t="s">
        <v>758</v>
      </c>
      <c r="N9" s="79"/>
      <c r="O9" s="79"/>
      <c r="P9" s="79"/>
      <c r="Q9" s="79"/>
      <c r="R9" s="79" t="s">
        <v>249</v>
      </c>
      <c r="S9" s="79"/>
      <c r="T9" s="79"/>
      <c r="U9" s="79" t="s">
        <v>157</v>
      </c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85"/>
      <c r="CY9" s="85"/>
      <c r="CZ9" s="85"/>
      <c r="DA9" s="86"/>
      <c r="DB9" s="84"/>
    </row>
    <row r="10" spans="2:106" ht="11.25" customHeight="1">
      <c r="B10" s="78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85"/>
      <c r="CY10" s="85"/>
      <c r="CZ10" s="85"/>
      <c r="DA10" s="86"/>
      <c r="DB10" s="84"/>
    </row>
    <row r="11" spans="2:106" ht="11.25" customHeight="1">
      <c r="B11" s="78"/>
      <c r="C11" s="79"/>
      <c r="D11" s="79"/>
      <c r="E11" s="79" t="s">
        <v>777</v>
      </c>
      <c r="F11" s="79"/>
      <c r="G11" s="79"/>
      <c r="H11" s="79" t="s">
        <v>733</v>
      </c>
      <c r="I11" s="79"/>
      <c r="J11" s="79"/>
      <c r="K11" s="79"/>
      <c r="L11" s="79"/>
      <c r="M11" s="79"/>
      <c r="N11" s="79"/>
      <c r="O11" s="79"/>
      <c r="P11" s="79"/>
      <c r="Q11" s="79" t="s">
        <v>65</v>
      </c>
      <c r="R11" s="79"/>
      <c r="S11" s="79"/>
      <c r="T11" s="79" t="s">
        <v>45</v>
      </c>
      <c r="U11" s="79"/>
      <c r="V11" s="79"/>
      <c r="W11" s="79" t="s">
        <v>754</v>
      </c>
      <c r="X11" s="79"/>
      <c r="Y11" s="79"/>
      <c r="Z11" s="79"/>
      <c r="AA11" s="79"/>
      <c r="AB11" s="79" t="s">
        <v>225</v>
      </c>
      <c r="AC11" s="79" t="s">
        <v>166</v>
      </c>
      <c r="AD11" s="79"/>
      <c r="AE11" s="79"/>
      <c r="AF11" s="79"/>
      <c r="AG11" s="79"/>
      <c r="AH11" s="79"/>
      <c r="AI11" s="79"/>
      <c r="AJ11" s="79"/>
      <c r="AK11" s="79" t="s">
        <v>461</v>
      </c>
      <c r="AL11" s="79"/>
      <c r="AM11" s="79" t="s">
        <v>782</v>
      </c>
      <c r="AN11" s="79" t="s">
        <v>521</v>
      </c>
      <c r="AO11" s="79"/>
      <c r="AP11" s="79"/>
      <c r="AQ11" s="79" t="s">
        <v>92</v>
      </c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 t="s">
        <v>180</v>
      </c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/>
      <c r="CT11" s="79"/>
      <c r="CU11" s="79"/>
      <c r="CV11" s="79"/>
      <c r="CW11" s="79"/>
      <c r="CX11" s="85"/>
      <c r="CY11" s="85"/>
      <c r="CZ11" s="85"/>
      <c r="DA11" s="86"/>
      <c r="DB11" s="84"/>
    </row>
    <row r="12" spans="2:106" ht="11.25" customHeight="1">
      <c r="B12" s="78"/>
      <c r="C12" s="79"/>
      <c r="D12" s="79"/>
      <c r="E12" s="79"/>
      <c r="F12" s="79"/>
      <c r="G12" s="79"/>
      <c r="H12" s="79" t="s">
        <v>365</v>
      </c>
      <c r="I12" s="79" t="s">
        <v>23</v>
      </c>
      <c r="J12" s="79" t="s">
        <v>744</v>
      </c>
      <c r="K12" s="79"/>
      <c r="L12" s="79"/>
      <c r="M12" s="79"/>
      <c r="N12" s="79"/>
      <c r="O12" s="79" t="s">
        <v>604</v>
      </c>
      <c r="P12" s="79"/>
      <c r="Q12" s="79" t="s">
        <v>407</v>
      </c>
      <c r="R12" s="79"/>
      <c r="S12" s="79"/>
      <c r="T12" s="79"/>
      <c r="U12" s="79"/>
      <c r="V12" s="79"/>
      <c r="W12" s="79"/>
      <c r="X12" s="79"/>
      <c r="Y12" s="79" t="s">
        <v>461</v>
      </c>
      <c r="Z12" s="79"/>
      <c r="AA12" s="79" t="s">
        <v>300</v>
      </c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 t="s">
        <v>461</v>
      </c>
      <c r="AP12" s="79"/>
      <c r="AQ12" s="79" t="s">
        <v>677</v>
      </c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 t="s">
        <v>126</v>
      </c>
      <c r="BE12" s="79"/>
      <c r="BF12" s="79"/>
      <c r="BG12" s="79"/>
      <c r="BH12" s="79"/>
      <c r="BI12" s="79" t="s">
        <v>252</v>
      </c>
      <c r="BJ12" s="79"/>
      <c r="BK12" s="79"/>
      <c r="BL12" s="79"/>
      <c r="BM12" s="79"/>
      <c r="BN12" s="79"/>
      <c r="BO12" s="79"/>
      <c r="BP12" s="79"/>
      <c r="BQ12" s="79"/>
      <c r="BR12" s="79" t="s">
        <v>501</v>
      </c>
      <c r="BS12" s="79"/>
      <c r="BT12" s="79"/>
      <c r="BU12" s="79"/>
      <c r="BV12" s="79"/>
      <c r="BW12" s="79" t="s">
        <v>59</v>
      </c>
      <c r="BX12" s="79"/>
      <c r="BY12" s="79"/>
      <c r="BZ12" s="79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85"/>
      <c r="CY12" s="85"/>
      <c r="CZ12" s="85"/>
      <c r="DA12" s="86"/>
      <c r="DB12" s="84"/>
    </row>
    <row r="13" spans="2:106" ht="11.25" customHeight="1">
      <c r="B13" s="78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 t="s">
        <v>1</v>
      </c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 t="s">
        <v>184</v>
      </c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 t="s">
        <v>492</v>
      </c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85"/>
      <c r="CY13" s="85"/>
      <c r="CZ13" s="85"/>
      <c r="DA13" s="86"/>
      <c r="DB13" s="84"/>
    </row>
    <row r="14" spans="2:106" ht="11.25" customHeight="1">
      <c r="B14" s="78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85"/>
      <c r="CY14" s="85"/>
      <c r="CZ14" s="85"/>
      <c r="DA14" s="86"/>
      <c r="DB14" s="84"/>
    </row>
    <row r="15" spans="2:106" ht="11.25" customHeight="1">
      <c r="B15" s="78"/>
      <c r="C15" s="79"/>
      <c r="D15" s="79"/>
      <c r="E15" s="79" t="s">
        <v>777</v>
      </c>
      <c r="F15" s="79"/>
      <c r="G15" s="79"/>
      <c r="H15" s="79" t="s">
        <v>225</v>
      </c>
      <c r="I15" s="79" t="s">
        <v>748</v>
      </c>
      <c r="J15" s="79"/>
      <c r="K15" s="79"/>
      <c r="L15" s="79" t="s">
        <v>30</v>
      </c>
      <c r="M15" s="79"/>
      <c r="N15" s="79"/>
      <c r="O15" s="79"/>
      <c r="P15" s="79"/>
      <c r="Q15" s="79"/>
      <c r="R15" s="79"/>
      <c r="S15" s="79" t="s">
        <v>604</v>
      </c>
      <c r="T15" s="79"/>
      <c r="U15" s="79" t="s">
        <v>262</v>
      </c>
      <c r="V15" s="79"/>
      <c r="W15" s="79"/>
      <c r="X15" s="79" t="s">
        <v>309</v>
      </c>
      <c r="Y15" s="79"/>
      <c r="Z15" s="79" t="str">
        <f>TEXT(2600,"#,##0.#######")</f>
        <v>2,600.</v>
      </c>
      <c r="AA15" s="79"/>
      <c r="AB15" s="79"/>
      <c r="AC15" s="79"/>
      <c r="AD15" s="79"/>
      <c r="AE15" s="79" t="s">
        <v>596</v>
      </c>
      <c r="AF15" s="79"/>
      <c r="AG15" s="79" t="s">
        <v>123</v>
      </c>
      <c r="AH15" s="79" t="s">
        <v>748</v>
      </c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85"/>
      <c r="CY15" s="85"/>
      <c r="CZ15" s="85"/>
      <c r="DA15" s="86"/>
      <c r="DB15" s="84"/>
    </row>
    <row r="16" spans="2:106" ht="11.25" customHeight="1">
      <c r="B16" s="78"/>
      <c r="C16" s="79"/>
      <c r="D16" s="79"/>
      <c r="E16" s="79"/>
      <c r="F16" s="79"/>
      <c r="G16" s="79"/>
      <c r="H16" s="79" t="s">
        <v>552</v>
      </c>
      <c r="I16" s="79"/>
      <c r="J16" s="79"/>
      <c r="K16" s="79"/>
      <c r="L16" s="79"/>
      <c r="M16" s="79"/>
      <c r="N16" s="79"/>
      <c r="O16" s="79" t="s">
        <v>30</v>
      </c>
      <c r="P16" s="79"/>
      <c r="Q16" s="79"/>
      <c r="R16" s="79"/>
      <c r="S16" s="79"/>
      <c r="T16" s="79"/>
      <c r="U16" s="79"/>
      <c r="V16" s="79" t="s">
        <v>604</v>
      </c>
      <c r="W16" s="79"/>
      <c r="X16" s="79" t="s">
        <v>49</v>
      </c>
      <c r="Y16" s="79"/>
      <c r="Z16" s="79" t="s">
        <v>309</v>
      </c>
      <c r="AA16" s="79"/>
      <c r="AB16" s="79" t="s">
        <v>262</v>
      </c>
      <c r="AC16" s="79"/>
      <c r="AD16" s="79"/>
      <c r="AE16" s="79" t="s">
        <v>391</v>
      </c>
      <c r="AF16" s="79"/>
      <c r="AG16" s="79"/>
      <c r="AH16" s="79" t="str">
        <f>TEXT(8,"#,##0.#######")</f>
        <v>8.</v>
      </c>
      <c r="AI16" s="79" t="s">
        <v>598</v>
      </c>
      <c r="AJ16" s="79"/>
      <c r="AK16" s="79"/>
      <c r="AL16" s="79" t="s">
        <v>309</v>
      </c>
      <c r="AM16" s="79"/>
      <c r="AN16" s="79" t="str">
        <f>TEXT(Z15,"#,##0.#######")</f>
        <v>2,600.</v>
      </c>
      <c r="AO16" s="79"/>
      <c r="AP16" s="79"/>
      <c r="AQ16" s="79"/>
      <c r="AR16" s="79"/>
      <c r="AS16" s="79"/>
      <c r="AT16" s="79" t="s">
        <v>391</v>
      </c>
      <c r="AU16" s="79"/>
      <c r="AV16" s="79"/>
      <c r="AW16" s="79" t="str">
        <f>TEXT(AH16,"#,##0.#######")</f>
        <v>8.</v>
      </c>
      <c r="AX16" s="79"/>
      <c r="AY16" s="79" t="s">
        <v>309</v>
      </c>
      <c r="AZ16" s="79"/>
      <c r="BA16" s="79"/>
      <c r="BB16" s="79" t="str">
        <f>TEXT(ROUND(Z15/AH16,2),"#,##0.#######")</f>
        <v>325.</v>
      </c>
      <c r="BC16" s="79"/>
      <c r="BD16" s="79"/>
      <c r="BE16" s="79"/>
      <c r="BF16" s="79"/>
      <c r="BG16" s="79"/>
      <c r="BH16" s="79" t="s">
        <v>596</v>
      </c>
      <c r="BI16" s="79"/>
      <c r="BJ16" s="79" t="s">
        <v>123</v>
      </c>
      <c r="BK16" s="79" t="s">
        <v>598</v>
      </c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85"/>
      <c r="CY16" s="85"/>
      <c r="CZ16" s="85"/>
      <c r="DA16" s="86"/>
      <c r="DB16" s="84"/>
    </row>
    <row r="17" spans="2:106" ht="11.25" customHeight="1">
      <c r="B17" s="78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85"/>
      <c r="CY17" s="85"/>
      <c r="CZ17" s="85"/>
      <c r="DA17" s="86"/>
      <c r="DB17" s="84"/>
    </row>
    <row r="18" spans="2:106" ht="11.25" customHeight="1">
      <c r="B18" s="78"/>
      <c r="C18" s="79"/>
      <c r="D18" s="79" t="s">
        <v>401</v>
      </c>
      <c r="E18" s="79"/>
      <c r="F18" s="79"/>
      <c r="G18" s="79" t="s">
        <v>153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85"/>
      <c r="CY18" s="85"/>
      <c r="CZ18" s="85"/>
      <c r="DA18" s="86"/>
      <c r="DB18" s="84"/>
    </row>
    <row r="19" spans="2:106" ht="11.25" customHeight="1">
      <c r="B19" s="78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85"/>
      <c r="CY19" s="85"/>
      <c r="CZ19" s="85"/>
      <c r="DA19" s="86"/>
      <c r="DB19" s="84"/>
    </row>
    <row r="20" spans="2:106" ht="11.25" customHeight="1">
      <c r="B20" s="78"/>
      <c r="C20" s="79"/>
      <c r="D20" s="79"/>
      <c r="E20" s="79"/>
      <c r="F20" s="79"/>
      <c r="G20" s="79" t="s">
        <v>248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 t="s">
        <v>604</v>
      </c>
      <c r="S20" s="79"/>
      <c r="T20" s="79" t="str">
        <f>TEXT(노임단가!F4,"#,##0")</f>
        <v>273,308</v>
      </c>
      <c r="U20" s="79"/>
      <c r="V20" s="79"/>
      <c r="W20" s="79"/>
      <c r="X20" s="79"/>
      <c r="Y20" s="79"/>
      <c r="Z20" s="79"/>
      <c r="AA20" s="79"/>
      <c r="AB20" s="79"/>
      <c r="AC20" s="79"/>
      <c r="AD20" s="79" t="s">
        <v>699</v>
      </c>
      <c r="AE20" s="79"/>
      <c r="AF20" s="79"/>
      <c r="AG20" s="79" t="str">
        <f>TEXT(4,"#,##0.#######")</f>
        <v>4.</v>
      </c>
      <c r="AH20" s="79"/>
      <c r="AI20" s="79"/>
      <c r="AJ20" s="79" t="s">
        <v>767</v>
      </c>
      <c r="AK20" s="79"/>
      <c r="AL20" s="79"/>
      <c r="AM20" s="79" t="s">
        <v>699</v>
      </c>
      <c r="AN20" s="79"/>
      <c r="AO20" s="79"/>
      <c r="AP20" s="79" t="str">
        <f>TEXT(150,"#,##0.#######")</f>
        <v>150.</v>
      </c>
      <c r="AQ20" s="79"/>
      <c r="AR20" s="79"/>
      <c r="AS20" s="79" t="s">
        <v>157</v>
      </c>
      <c r="AT20" s="79"/>
      <c r="AU20" s="79"/>
      <c r="AV20" s="79" t="s">
        <v>391</v>
      </c>
      <c r="AW20" s="79"/>
      <c r="AX20" s="79"/>
      <c r="AY20" s="79" t="s">
        <v>262</v>
      </c>
      <c r="AZ20" s="79"/>
      <c r="BA20" s="79"/>
      <c r="BB20" s="79" t="s">
        <v>309</v>
      </c>
      <c r="BC20" s="79"/>
      <c r="BD20" s="79" t="str">
        <f>TEXT(T20,"#,##0.#######")</f>
        <v>273,308.</v>
      </c>
      <c r="BE20" s="79"/>
      <c r="BF20" s="79"/>
      <c r="BG20" s="79"/>
      <c r="BH20" s="79"/>
      <c r="BI20" s="79"/>
      <c r="BJ20" s="79"/>
      <c r="BK20" s="79"/>
      <c r="BL20" s="79" t="s">
        <v>699</v>
      </c>
      <c r="BM20" s="79"/>
      <c r="BN20" s="79"/>
      <c r="BO20" s="79" t="str">
        <f>TEXT(AG20,"#,##0.#######")</f>
        <v>4.</v>
      </c>
      <c r="BP20" s="79"/>
      <c r="BQ20" s="79" t="s">
        <v>699</v>
      </c>
      <c r="BR20" s="79"/>
      <c r="BS20" s="79"/>
      <c r="BT20" s="79" t="str">
        <f>TEXT(AP20,"#,##0.#######")</f>
        <v>150.</v>
      </c>
      <c r="BU20" s="79"/>
      <c r="BV20" s="79"/>
      <c r="BW20" s="79"/>
      <c r="BX20" s="79"/>
      <c r="BY20" s="79" t="s">
        <v>391</v>
      </c>
      <c r="BZ20" s="79"/>
      <c r="CA20" s="79"/>
      <c r="CB20" s="79" t="str">
        <f>TEXT(Z15,"#,##0.#######")</f>
        <v>2,600.</v>
      </c>
      <c r="CC20" s="79"/>
      <c r="CD20" s="79"/>
      <c r="CE20" s="79"/>
      <c r="CF20" s="79"/>
      <c r="CG20" s="79"/>
      <c r="CH20" s="79" t="s">
        <v>309</v>
      </c>
      <c r="CI20" s="79"/>
      <c r="CJ20" s="79" t="str">
        <f>TEXT(TRUNC(T20*AG20*(AP20*(1/100))/Z15,1),"#,##0.#######")</f>
        <v>630.7</v>
      </c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85"/>
      <c r="CY20" s="85"/>
      <c r="CZ20" s="85"/>
      <c r="DA20" s="86"/>
      <c r="DB20" s="84"/>
    </row>
    <row r="21" spans="2:106" ht="11.25" customHeight="1">
      <c r="B21" s="78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85"/>
      <c r="CY21" s="85"/>
      <c r="CZ21" s="85"/>
      <c r="DA21" s="86"/>
      <c r="DB21" s="84"/>
    </row>
    <row r="22" spans="2:106" ht="11.25" customHeight="1">
      <c r="B22" s="78"/>
      <c r="C22" s="79"/>
      <c r="D22" s="79"/>
      <c r="E22" s="79"/>
      <c r="F22" s="79"/>
      <c r="G22" s="79" t="s">
        <v>54</v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 t="s">
        <v>604</v>
      </c>
      <c r="S22" s="79"/>
      <c r="T22" s="79" t="str">
        <f>TEXT(노임단가!F5,"#,##0")</f>
        <v>172,068</v>
      </c>
      <c r="U22" s="79"/>
      <c r="V22" s="79"/>
      <c r="W22" s="79"/>
      <c r="X22" s="79"/>
      <c r="Y22" s="79"/>
      <c r="Z22" s="79"/>
      <c r="AA22" s="79"/>
      <c r="AB22" s="79"/>
      <c r="AC22" s="79"/>
      <c r="AD22" s="79" t="s">
        <v>699</v>
      </c>
      <c r="AE22" s="79"/>
      <c r="AF22" s="79"/>
      <c r="AG22" s="79" t="str">
        <f>TEXT(2,"#,##0.#######")</f>
        <v>2.</v>
      </c>
      <c r="AH22" s="79"/>
      <c r="AI22" s="79"/>
      <c r="AJ22" s="79" t="s">
        <v>767</v>
      </c>
      <c r="AK22" s="79"/>
      <c r="AL22" s="79"/>
      <c r="AM22" s="79" t="s">
        <v>699</v>
      </c>
      <c r="AN22" s="79"/>
      <c r="AO22" s="79"/>
      <c r="AP22" s="79" t="str">
        <f>TEXT(150,"#,##0.#######")</f>
        <v>150.</v>
      </c>
      <c r="AQ22" s="79"/>
      <c r="AR22" s="79"/>
      <c r="AS22" s="79" t="s">
        <v>157</v>
      </c>
      <c r="AT22" s="79"/>
      <c r="AU22" s="79" t="s">
        <v>391</v>
      </c>
      <c r="AV22" s="79"/>
      <c r="AW22" s="79"/>
      <c r="AX22" s="79" t="s">
        <v>262</v>
      </c>
      <c r="AY22" s="79"/>
      <c r="AZ22" s="79"/>
      <c r="BA22" s="79" t="s">
        <v>309</v>
      </c>
      <c r="BB22" s="79"/>
      <c r="BC22" s="79" t="str">
        <f>TEXT(T22,"#,##0.#######")</f>
        <v>172,068.</v>
      </c>
      <c r="BD22" s="79"/>
      <c r="BE22" s="79"/>
      <c r="BF22" s="79"/>
      <c r="BG22" s="79"/>
      <c r="BH22" s="79"/>
      <c r="BI22" s="79"/>
      <c r="BJ22" s="79"/>
      <c r="BK22" s="79" t="s">
        <v>699</v>
      </c>
      <c r="BL22" s="79"/>
      <c r="BM22" s="79"/>
      <c r="BN22" s="79" t="str">
        <f>TEXT(AG22,"#,##0.#######")</f>
        <v>2.</v>
      </c>
      <c r="BO22" s="79"/>
      <c r="BP22" s="79" t="s">
        <v>699</v>
      </c>
      <c r="BQ22" s="79"/>
      <c r="BR22" s="79"/>
      <c r="BS22" s="79" t="str">
        <f>TEXT(AP22,"#,##0.#######")</f>
        <v>150.</v>
      </c>
      <c r="BT22" s="79"/>
      <c r="BU22" s="79"/>
      <c r="BV22" s="79"/>
      <c r="BW22" s="79" t="s">
        <v>391</v>
      </c>
      <c r="BX22" s="79"/>
      <c r="BY22" s="79"/>
      <c r="BZ22" s="79" t="str">
        <f>TEXT(Z15,"#,##0.#######")</f>
        <v>2,600.</v>
      </c>
      <c r="CA22" s="79"/>
      <c r="CB22" s="79"/>
      <c r="CC22" s="79"/>
      <c r="CD22" s="79"/>
      <c r="CE22" s="79"/>
      <c r="CF22" s="79" t="s">
        <v>309</v>
      </c>
      <c r="CG22" s="79"/>
      <c r="CH22" s="79" t="str">
        <f>TEXT(TRUNC(T22*AG22*(AP22*(1/100))/Z15,1),"#,##0.#######")</f>
        <v>198.5</v>
      </c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  <c r="CX22" s="85"/>
      <c r="CY22" s="85"/>
      <c r="CZ22" s="85"/>
      <c r="DA22" s="86"/>
      <c r="DB22" s="84"/>
    </row>
    <row r="23" spans="2:106" ht="11.25" customHeight="1">
      <c r="B23" s="78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  <c r="CX23" s="85"/>
      <c r="CY23" s="85"/>
      <c r="CZ23" s="85"/>
      <c r="DA23" s="86"/>
      <c r="DB23" s="84"/>
    </row>
    <row r="24" spans="2:106" ht="11.25" customHeight="1">
      <c r="B24" s="78"/>
      <c r="C24" s="79"/>
      <c r="D24" s="79"/>
      <c r="E24" s="79"/>
      <c r="F24" s="79"/>
      <c r="G24" s="79" t="s">
        <v>565</v>
      </c>
      <c r="H24" s="79"/>
      <c r="I24" s="79"/>
      <c r="J24" s="79"/>
      <c r="K24" s="79"/>
      <c r="L24" s="79"/>
      <c r="M24" s="79"/>
      <c r="N24" s="79"/>
      <c r="O24" s="79"/>
      <c r="P24" s="79" t="s">
        <v>604</v>
      </c>
      <c r="Q24" s="79"/>
      <c r="R24" s="79" t="str">
        <f>TEXT(TRUNC(CJ20+CH22,1),"#,##0.#######")</f>
        <v>829.2</v>
      </c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79"/>
      <c r="CC24" s="79"/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  <c r="CX24" s="85"/>
      <c r="CY24" s="85" t="str">
        <f>R24</f>
        <v>829.2</v>
      </c>
      <c r="CZ24" s="85"/>
      <c r="DA24" s="86"/>
      <c r="DB24" s="84"/>
    </row>
    <row r="25" spans="2:106" ht="11.25" customHeight="1">
      <c r="B25" s="78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79"/>
      <c r="CV25" s="79"/>
      <c r="CW25" s="79"/>
      <c r="CX25" s="85"/>
      <c r="CY25" s="85"/>
      <c r="CZ25" s="85"/>
      <c r="DA25" s="86"/>
      <c r="DB25" s="84"/>
    </row>
    <row r="26" spans="2:106" ht="11.25" customHeight="1">
      <c r="B26" s="78"/>
      <c r="C26" s="79"/>
      <c r="D26" s="79" t="s">
        <v>594</v>
      </c>
      <c r="E26" s="79"/>
      <c r="F26" s="79"/>
      <c r="G26" s="79" t="s">
        <v>498</v>
      </c>
      <c r="H26" s="79"/>
      <c r="I26" s="79"/>
      <c r="J26" s="79"/>
      <c r="K26" s="79"/>
      <c r="L26" s="79"/>
      <c r="M26" s="79"/>
      <c r="N26" s="79" t="s">
        <v>431</v>
      </c>
      <c r="O26" s="79" t="s">
        <v>137</v>
      </c>
      <c r="P26" s="79"/>
      <c r="Q26" s="79" t="s">
        <v>431</v>
      </c>
      <c r="R26" s="79" t="s">
        <v>316</v>
      </c>
      <c r="S26" s="79"/>
      <c r="T26" s="79" t="s">
        <v>89</v>
      </c>
      <c r="U26" s="79"/>
      <c r="V26" s="79" t="s">
        <v>456</v>
      </c>
      <c r="W26" s="79"/>
      <c r="X26" s="79"/>
      <c r="Y26" s="79"/>
      <c r="Z26" s="79"/>
      <c r="AA26" s="79"/>
      <c r="AB26" s="79" t="s">
        <v>89</v>
      </c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85"/>
      <c r="CY26" s="85"/>
      <c r="CZ26" s="85"/>
      <c r="DA26" s="86"/>
      <c r="DB26" s="84"/>
    </row>
    <row r="27" spans="2:106" ht="11.25" customHeight="1">
      <c r="B27" s="78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79"/>
      <c r="CL27" s="79"/>
      <c r="CM27" s="79"/>
      <c r="CN27" s="79"/>
      <c r="CO27" s="79"/>
      <c r="CP27" s="79"/>
      <c r="CQ27" s="79"/>
      <c r="CR27" s="79"/>
      <c r="CS27" s="79"/>
      <c r="CT27" s="79"/>
      <c r="CU27" s="79"/>
      <c r="CV27" s="79"/>
      <c r="CW27" s="79"/>
      <c r="CX27" s="85"/>
      <c r="CY27" s="85"/>
      <c r="CZ27" s="85"/>
      <c r="DA27" s="86"/>
      <c r="DB27" s="84"/>
    </row>
    <row r="28" spans="2:106" ht="11.25" customHeight="1">
      <c r="B28" s="78"/>
      <c r="C28" s="79"/>
      <c r="D28" s="79"/>
      <c r="E28" s="79"/>
      <c r="F28" s="79"/>
      <c r="G28" s="79" t="s">
        <v>225</v>
      </c>
      <c r="H28" s="79" t="s">
        <v>229</v>
      </c>
      <c r="I28" s="79"/>
      <c r="J28" s="79"/>
      <c r="K28" s="79"/>
      <c r="L28" s="79"/>
      <c r="M28" s="79" t="s">
        <v>692</v>
      </c>
      <c r="N28" s="79"/>
      <c r="O28" s="79"/>
      <c r="P28" s="79"/>
      <c r="Q28" s="79" t="s">
        <v>532</v>
      </c>
      <c r="R28" s="79"/>
      <c r="S28" s="79"/>
      <c r="T28" s="79"/>
      <c r="U28" s="79"/>
      <c r="V28" s="79"/>
      <c r="W28" s="79" t="s">
        <v>461</v>
      </c>
      <c r="X28" s="79"/>
      <c r="Y28" s="79" t="s">
        <v>733</v>
      </c>
      <c r="Z28" s="79"/>
      <c r="AA28" s="79"/>
      <c r="AB28" s="79"/>
      <c r="AC28" s="79"/>
      <c r="AD28" s="79"/>
      <c r="AE28" s="79"/>
      <c r="AF28" s="79"/>
      <c r="AG28" s="79"/>
      <c r="AH28" s="79" t="s">
        <v>65</v>
      </c>
      <c r="AI28" s="79"/>
      <c r="AJ28" s="79"/>
      <c r="AK28" s="79" t="s">
        <v>170</v>
      </c>
      <c r="AL28" s="79"/>
      <c r="AM28" s="79"/>
      <c r="AN28" s="79"/>
      <c r="AO28" s="79"/>
      <c r="AP28" s="79"/>
      <c r="AQ28" s="79"/>
      <c r="AR28" s="79"/>
      <c r="AS28" s="79"/>
      <c r="AT28" s="79" t="s">
        <v>225</v>
      </c>
      <c r="AU28" s="79" t="s">
        <v>513</v>
      </c>
      <c r="AV28" s="79"/>
      <c r="AW28" s="79"/>
      <c r="AX28" s="79"/>
      <c r="AY28" s="79"/>
      <c r="AZ28" s="79" t="s">
        <v>90</v>
      </c>
      <c r="BA28" s="79"/>
      <c r="BB28" s="79" t="s">
        <v>69</v>
      </c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/>
      <c r="CN28" s="79"/>
      <c r="CO28" s="79"/>
      <c r="CP28" s="79"/>
      <c r="CQ28" s="79"/>
      <c r="CR28" s="79"/>
      <c r="CS28" s="79"/>
      <c r="CT28" s="79"/>
      <c r="CU28" s="79"/>
      <c r="CV28" s="79"/>
      <c r="CW28" s="79"/>
      <c r="CX28" s="85"/>
      <c r="CY28" s="85"/>
      <c r="CZ28" s="85"/>
      <c r="DA28" s="86"/>
      <c r="DB28" s="84"/>
    </row>
    <row r="29" spans="2:106" ht="11.25" customHeight="1">
      <c r="B29" s="78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79"/>
      <c r="CV29" s="79"/>
      <c r="CW29" s="79"/>
      <c r="CX29" s="85"/>
      <c r="CY29" s="85"/>
      <c r="CZ29" s="85"/>
      <c r="DA29" s="86"/>
      <c r="DB29" s="84"/>
    </row>
    <row r="30" spans="2:106" ht="11.25" customHeight="1">
      <c r="B30" s="78"/>
      <c r="C30" s="79"/>
      <c r="D30" s="79"/>
      <c r="E30" s="79"/>
      <c r="F30" s="79"/>
      <c r="G30" s="79" t="s">
        <v>374</v>
      </c>
      <c r="H30" s="79"/>
      <c r="I30" s="79"/>
      <c r="J30" s="79"/>
      <c r="K30" s="79"/>
      <c r="L30" s="79"/>
      <c r="M30" s="79"/>
      <c r="N30" s="79"/>
      <c r="O30" s="79" t="s">
        <v>475</v>
      </c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 t="str">
        <f>TEXT(자재단가!R5,"#,##0.#######")</f>
        <v>6,000.</v>
      </c>
      <c r="AG30" s="79"/>
      <c r="AH30" s="79"/>
      <c r="AI30" s="79"/>
      <c r="AJ30" s="79"/>
      <c r="AK30" s="79"/>
      <c r="AL30" s="79"/>
      <c r="AM30" s="79"/>
      <c r="AN30" s="79" t="s">
        <v>699</v>
      </c>
      <c r="AO30" s="79"/>
      <c r="AP30" s="79"/>
      <c r="AQ30" s="79" t="str">
        <f>TEXT(0.69,"#,##0.#######")</f>
        <v>0.69</v>
      </c>
      <c r="AR30" s="79"/>
      <c r="AS30" s="79"/>
      <c r="AT30" s="79"/>
      <c r="AU30" s="79" t="s">
        <v>497</v>
      </c>
      <c r="AV30" s="79"/>
      <c r="AW30" s="79"/>
      <c r="AX30" s="79" t="s">
        <v>391</v>
      </c>
      <c r="AY30" s="79"/>
      <c r="AZ30" s="79"/>
      <c r="BA30" s="79" t="str">
        <f>TEXT(10,"#,##0.#######")</f>
        <v>10.</v>
      </c>
      <c r="BB30" s="79"/>
      <c r="BC30" s="79" t="s">
        <v>596</v>
      </c>
      <c r="BD30" s="79"/>
      <c r="BE30" s="79"/>
      <c r="BF30" s="79" t="s">
        <v>309</v>
      </c>
      <c r="BG30" s="79"/>
      <c r="BH30" s="79" t="str">
        <f>TEXT(TRUNC(AF30*AQ30/BA30,1),"#,##0.#")</f>
        <v>414.</v>
      </c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85">
        <f>CY30+CZ30+DA30</f>
        <v>414</v>
      </c>
      <c r="CY30" s="85"/>
      <c r="CZ30" s="85" t="str">
        <f>BH30</f>
        <v>414.</v>
      </c>
      <c r="DA30" s="86"/>
      <c r="DB30" s="84"/>
    </row>
    <row r="31" spans="2:106" ht="11.25" customHeight="1">
      <c r="B31" s="78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  <c r="CE31" s="79"/>
      <c r="CF31" s="79"/>
      <c r="CG31" s="79"/>
      <c r="CH31" s="79"/>
      <c r="CI31" s="79"/>
      <c r="CJ31" s="79"/>
      <c r="CK31" s="79"/>
      <c r="CL31" s="79"/>
      <c r="CM31" s="79"/>
      <c r="CN31" s="79"/>
      <c r="CO31" s="79"/>
      <c r="CP31" s="79"/>
      <c r="CQ31" s="79"/>
      <c r="CR31" s="79"/>
      <c r="CS31" s="79"/>
      <c r="CT31" s="79"/>
      <c r="CU31" s="79"/>
      <c r="CV31" s="79"/>
      <c r="CW31" s="79"/>
      <c r="CX31" s="85"/>
      <c r="CY31" s="85"/>
      <c r="CZ31" s="85"/>
      <c r="DA31" s="86"/>
      <c r="DB31" s="84"/>
    </row>
    <row r="32" spans="2:106" ht="11.25" customHeight="1">
      <c r="B32" s="78"/>
      <c r="C32" s="79"/>
      <c r="D32" s="79" t="s">
        <v>832</v>
      </c>
      <c r="E32" s="79"/>
      <c r="F32" s="79"/>
      <c r="G32" s="79" t="s">
        <v>106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  <c r="CQ32" s="79"/>
      <c r="CR32" s="79"/>
      <c r="CS32" s="79"/>
      <c r="CT32" s="79"/>
      <c r="CU32" s="79"/>
      <c r="CV32" s="79"/>
      <c r="CW32" s="79"/>
      <c r="CX32" s="85"/>
      <c r="CY32" s="85"/>
      <c r="CZ32" s="85"/>
      <c r="DA32" s="86"/>
      <c r="DB32" s="84"/>
    </row>
    <row r="33" spans="2:106" ht="11.25" customHeight="1">
      <c r="B33" s="78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  <c r="BY33" s="79"/>
      <c r="BZ33" s="79"/>
      <c r="CA33" s="79"/>
      <c r="CB33" s="79"/>
      <c r="CC33" s="79"/>
      <c r="CD33" s="79"/>
      <c r="CE33" s="79"/>
      <c r="CF33" s="79"/>
      <c r="CG33" s="79"/>
      <c r="CH33" s="79"/>
      <c r="CI33" s="79"/>
      <c r="CJ33" s="79"/>
      <c r="CK33" s="79"/>
      <c r="CL33" s="79"/>
      <c r="CM33" s="79"/>
      <c r="CN33" s="79"/>
      <c r="CO33" s="79"/>
      <c r="CP33" s="79"/>
      <c r="CQ33" s="79"/>
      <c r="CR33" s="79"/>
      <c r="CS33" s="79"/>
      <c r="CT33" s="79"/>
      <c r="CU33" s="79"/>
      <c r="CV33" s="79"/>
      <c r="CW33" s="79"/>
      <c r="CX33" s="85"/>
      <c r="CY33" s="85"/>
      <c r="CZ33" s="85"/>
      <c r="DA33" s="86"/>
      <c r="DB33" s="84"/>
    </row>
    <row r="34" spans="2:106" ht="11.25" customHeight="1">
      <c r="B34" s="78"/>
      <c r="C34" s="79"/>
      <c r="D34" s="79"/>
      <c r="E34" s="79" t="s">
        <v>614</v>
      </c>
      <c r="F34" s="79"/>
      <c r="G34" s="79" t="s">
        <v>587</v>
      </c>
      <c r="H34" s="79"/>
      <c r="I34" s="79" t="s">
        <v>382</v>
      </c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 t="s">
        <v>807</v>
      </c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  <c r="BO34" s="79"/>
      <c r="BP34" s="79"/>
      <c r="BQ34" s="79"/>
      <c r="BR34" s="79"/>
      <c r="BS34" s="79"/>
      <c r="BT34" s="79"/>
      <c r="BU34" s="79"/>
      <c r="BV34" s="79"/>
      <c r="BW34" s="79"/>
      <c r="BX34" s="79"/>
      <c r="BY34" s="79"/>
      <c r="BZ34" s="79"/>
      <c r="CA34" s="79"/>
      <c r="CB34" s="79"/>
      <c r="CC34" s="79"/>
      <c r="CD34" s="79"/>
      <c r="CE34" s="79"/>
      <c r="CF34" s="79"/>
      <c r="CG34" s="79"/>
      <c r="CH34" s="79"/>
      <c r="CI34" s="79"/>
      <c r="CJ34" s="79"/>
      <c r="CK34" s="79"/>
      <c r="CL34" s="79"/>
      <c r="CM34" s="79"/>
      <c r="CN34" s="79"/>
      <c r="CO34" s="79"/>
      <c r="CP34" s="79"/>
      <c r="CQ34" s="79"/>
      <c r="CR34" s="79"/>
      <c r="CS34" s="79"/>
      <c r="CT34" s="79"/>
      <c r="CU34" s="79"/>
      <c r="CV34" s="79"/>
      <c r="CW34" s="79"/>
      <c r="CX34" s="85"/>
      <c r="CY34" s="85"/>
      <c r="CZ34" s="85"/>
      <c r="DA34" s="86"/>
      <c r="DB34" s="84"/>
    </row>
    <row r="35" spans="2:106" ht="11.25" customHeight="1">
      <c r="B35" s="78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  <c r="BX35" s="79"/>
      <c r="BY35" s="79"/>
      <c r="BZ35" s="79"/>
      <c r="CA35" s="79"/>
      <c r="CB35" s="79"/>
      <c r="CC35" s="79"/>
      <c r="CD35" s="79"/>
      <c r="CE35" s="79"/>
      <c r="CF35" s="79"/>
      <c r="CG35" s="79"/>
      <c r="CH35" s="79"/>
      <c r="CI35" s="79"/>
      <c r="CJ35" s="79"/>
      <c r="CK35" s="79"/>
      <c r="CL35" s="79"/>
      <c r="CM35" s="79"/>
      <c r="CN35" s="79"/>
      <c r="CO35" s="79"/>
      <c r="CP35" s="79"/>
      <c r="CQ35" s="79"/>
      <c r="CR35" s="79"/>
      <c r="CS35" s="79"/>
      <c r="CT35" s="79"/>
      <c r="CU35" s="79"/>
      <c r="CV35" s="79"/>
      <c r="CW35" s="79"/>
      <c r="CX35" s="85"/>
      <c r="CY35" s="85"/>
      <c r="CZ35" s="85"/>
      <c r="DA35" s="86"/>
      <c r="DB35" s="84"/>
    </row>
    <row r="36" spans="2:106" ht="11.25" customHeight="1">
      <c r="B36" s="78"/>
      <c r="C36" s="79"/>
      <c r="D36" s="79"/>
      <c r="E36" s="79"/>
      <c r="F36" s="79"/>
      <c r="G36" s="79" t="s">
        <v>700</v>
      </c>
      <c r="H36" s="79"/>
      <c r="I36" s="79"/>
      <c r="J36" s="79"/>
      <c r="K36" s="79"/>
      <c r="L36" s="79"/>
      <c r="M36" s="79"/>
      <c r="N36" s="79" t="s">
        <v>604</v>
      </c>
      <c r="O36" s="79"/>
      <c r="P36" s="79"/>
      <c r="Q36" s="79" t="str">
        <f>TEXT(기계경비총괄표!G4,"#,##0")</f>
        <v>59,020</v>
      </c>
      <c r="R36" s="79"/>
      <c r="S36" s="79"/>
      <c r="T36" s="79"/>
      <c r="U36" s="79"/>
      <c r="V36" s="79"/>
      <c r="W36" s="79"/>
      <c r="X36" s="79"/>
      <c r="Y36" s="79"/>
      <c r="Z36" s="79" t="s">
        <v>391</v>
      </c>
      <c r="AA36" s="79"/>
      <c r="AB36" s="79"/>
      <c r="AC36" s="79" t="str">
        <f>TEXT(BB16,"#,##0.#######")</f>
        <v>325.</v>
      </c>
      <c r="AD36" s="79"/>
      <c r="AE36" s="79"/>
      <c r="AF36" s="79"/>
      <c r="AG36" s="79"/>
      <c r="AH36" s="79"/>
      <c r="AI36" s="79" t="s">
        <v>699</v>
      </c>
      <c r="AJ36" s="79"/>
      <c r="AK36" s="79" t="str">
        <f>TEXT(2,"#,##0.#######")</f>
        <v>2.</v>
      </c>
      <c r="AL36" s="79" t="s">
        <v>161</v>
      </c>
      <c r="AM36" s="79"/>
      <c r="AN36" s="79"/>
      <c r="AO36" s="79" t="s">
        <v>699</v>
      </c>
      <c r="AP36" s="79"/>
      <c r="AQ36" s="79"/>
      <c r="AR36" s="79" t="str">
        <f>TEXT(150,"#,##0.#######")</f>
        <v>150.</v>
      </c>
      <c r="AS36" s="79"/>
      <c r="AT36" s="79"/>
      <c r="AU36" s="79" t="s">
        <v>157</v>
      </c>
      <c r="AV36" s="79"/>
      <c r="AW36" s="79"/>
      <c r="AX36" s="79" t="s">
        <v>309</v>
      </c>
      <c r="AY36" s="79"/>
      <c r="AZ36" s="79" t="str">
        <f>TEXT(TRUNC(Q36/BB16*AK36*(AR36*(1/100)),1),"#,##0.#")</f>
        <v>544.8</v>
      </c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U36" s="79"/>
      <c r="BV36" s="79"/>
      <c r="BW36" s="79"/>
      <c r="BX36" s="79"/>
      <c r="BY36" s="79"/>
      <c r="BZ36" s="79"/>
      <c r="CA36" s="79"/>
      <c r="CB36" s="79"/>
      <c r="CC36" s="79"/>
      <c r="CD36" s="79"/>
      <c r="CE36" s="79"/>
      <c r="CF36" s="79"/>
      <c r="CG36" s="79"/>
      <c r="CH36" s="79"/>
      <c r="CI36" s="79"/>
      <c r="CJ36" s="79"/>
      <c r="CK36" s="79"/>
      <c r="CL36" s="79"/>
      <c r="CM36" s="79"/>
      <c r="CN36" s="79"/>
      <c r="CO36" s="79"/>
      <c r="CP36" s="79"/>
      <c r="CQ36" s="79"/>
      <c r="CR36" s="79"/>
      <c r="CS36" s="79"/>
      <c r="CT36" s="79"/>
      <c r="CU36" s="79"/>
      <c r="CV36" s="79"/>
      <c r="CW36" s="79"/>
      <c r="CX36" s="85"/>
      <c r="CY36" s="85"/>
      <c r="CZ36" s="85"/>
      <c r="DA36" s="86"/>
      <c r="DB36" s="84"/>
    </row>
    <row r="37" spans="2:106" ht="11.25" customHeight="1">
      <c r="B37" s="78"/>
      <c r="C37" s="79"/>
      <c r="D37" s="79"/>
      <c r="E37" s="79"/>
      <c r="F37" s="79"/>
      <c r="G37" s="79" t="s">
        <v>498</v>
      </c>
      <c r="H37" s="79"/>
      <c r="I37" s="79"/>
      <c r="J37" s="79"/>
      <c r="K37" s="79"/>
      <c r="L37" s="79"/>
      <c r="M37" s="79"/>
      <c r="N37" s="79" t="s">
        <v>604</v>
      </c>
      <c r="O37" s="79"/>
      <c r="P37" s="79"/>
      <c r="Q37" s="79" t="str">
        <f>TEXT(기계경비총괄표!H4,"#,##0")</f>
        <v>84,117</v>
      </c>
      <c r="R37" s="79"/>
      <c r="S37" s="79"/>
      <c r="T37" s="79"/>
      <c r="U37" s="79"/>
      <c r="V37" s="79"/>
      <c r="W37" s="79"/>
      <c r="X37" s="79"/>
      <c r="Y37" s="79"/>
      <c r="Z37" s="79" t="s">
        <v>391</v>
      </c>
      <c r="AA37" s="79"/>
      <c r="AB37" s="79"/>
      <c r="AC37" s="79" t="str">
        <f>TEXT(BB16,"#,##0.#######")</f>
        <v>325.</v>
      </c>
      <c r="AD37" s="79"/>
      <c r="AE37" s="79"/>
      <c r="AF37" s="79"/>
      <c r="AG37" s="79"/>
      <c r="AH37" s="79"/>
      <c r="AI37" s="79" t="s">
        <v>699</v>
      </c>
      <c r="AJ37" s="79"/>
      <c r="AK37" s="79" t="str">
        <f>TEXT(2,"#,##0.#######")</f>
        <v>2.</v>
      </c>
      <c r="AL37" s="79" t="s">
        <v>161</v>
      </c>
      <c r="AM37" s="79"/>
      <c r="AN37" s="79"/>
      <c r="AO37" s="79" t="s">
        <v>309</v>
      </c>
      <c r="AP37" s="79"/>
      <c r="AQ37" s="79" t="str">
        <f>TEXT(TRUNC(Q37/BB16*AK37,1),"#,##0.#")</f>
        <v>517.6</v>
      </c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/>
      <c r="CT37" s="79"/>
      <c r="CU37" s="79"/>
      <c r="CV37" s="79"/>
      <c r="CW37" s="79"/>
      <c r="CX37" s="85"/>
      <c r="CY37" s="85"/>
      <c r="CZ37" s="85"/>
      <c r="DA37" s="86"/>
      <c r="DB37" s="84"/>
    </row>
    <row r="38" spans="2:106" ht="11.25" customHeight="1">
      <c r="B38" s="78"/>
      <c r="C38" s="79"/>
      <c r="D38" s="79"/>
      <c r="E38" s="79"/>
      <c r="F38" s="79"/>
      <c r="G38" s="79" t="s">
        <v>160</v>
      </c>
      <c r="H38" s="79"/>
      <c r="I38" s="79"/>
      <c r="J38" s="79"/>
      <c r="K38" s="79" t="s">
        <v>440</v>
      </c>
      <c r="L38" s="79"/>
      <c r="M38" s="79"/>
      <c r="N38" s="79" t="s">
        <v>604</v>
      </c>
      <c r="O38" s="79"/>
      <c r="P38" s="79" t="str">
        <f>TEXT(기계경비총괄표!I4,"#,##0")</f>
        <v>176,745</v>
      </c>
      <c r="Q38" s="79"/>
      <c r="R38" s="79"/>
      <c r="S38" s="79"/>
      <c r="T38" s="79"/>
      <c r="U38" s="79"/>
      <c r="V38" s="79"/>
      <c r="W38" s="79"/>
      <c r="X38" s="79"/>
      <c r="Y38" s="79"/>
      <c r="Z38" s="79" t="s">
        <v>391</v>
      </c>
      <c r="AA38" s="79"/>
      <c r="AB38" s="79"/>
      <c r="AC38" s="79" t="str">
        <f>TEXT(BB16,"#,##0.#######")</f>
        <v>325.</v>
      </c>
      <c r="AD38" s="79"/>
      <c r="AE38" s="79"/>
      <c r="AF38" s="79"/>
      <c r="AG38" s="79"/>
      <c r="AH38" s="79"/>
      <c r="AI38" s="79" t="s">
        <v>699</v>
      </c>
      <c r="AJ38" s="79"/>
      <c r="AK38" s="79" t="str">
        <f>TEXT(2,"#,##0.#######")</f>
        <v>2.</v>
      </c>
      <c r="AL38" s="79" t="s">
        <v>161</v>
      </c>
      <c r="AM38" s="79"/>
      <c r="AN38" s="79"/>
      <c r="AO38" s="79" t="s">
        <v>309</v>
      </c>
      <c r="AP38" s="79"/>
      <c r="AQ38" s="79" t="str">
        <f>TEXT(TRUNC(P38/BB16*AK38,1),"#,##0.#")</f>
        <v>1,087.6</v>
      </c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79"/>
      <c r="BS38" s="79"/>
      <c r="BT38" s="79"/>
      <c r="BU38" s="79"/>
      <c r="BV38" s="79"/>
      <c r="BW38" s="79"/>
      <c r="BX38" s="79"/>
      <c r="BY38" s="79"/>
      <c r="BZ38" s="79"/>
      <c r="CA38" s="79"/>
      <c r="CB38" s="79"/>
      <c r="CC38" s="79"/>
      <c r="CD38" s="79"/>
      <c r="CE38" s="79"/>
      <c r="CF38" s="79"/>
      <c r="CG38" s="79"/>
      <c r="CH38" s="79"/>
      <c r="CI38" s="79"/>
      <c r="CJ38" s="79"/>
      <c r="CK38" s="79"/>
      <c r="CL38" s="79"/>
      <c r="CM38" s="79"/>
      <c r="CN38" s="79"/>
      <c r="CO38" s="79"/>
      <c r="CP38" s="79"/>
      <c r="CQ38" s="79"/>
      <c r="CR38" s="79"/>
      <c r="CS38" s="79"/>
      <c r="CT38" s="79"/>
      <c r="CU38" s="79"/>
      <c r="CV38" s="79"/>
      <c r="CW38" s="79"/>
      <c r="CX38" s="85"/>
      <c r="CY38" s="85"/>
      <c r="CZ38" s="85"/>
      <c r="DA38" s="86"/>
      <c r="DB38" s="84"/>
    </row>
    <row r="39" spans="2:106" ht="11.25" customHeight="1">
      <c r="B39" s="78"/>
      <c r="C39" s="79"/>
      <c r="D39" s="79"/>
      <c r="E39" s="79"/>
      <c r="F39" s="79"/>
      <c r="G39" s="79" t="s">
        <v>305</v>
      </c>
      <c r="H39" s="79"/>
      <c r="I39" s="79"/>
      <c r="J39" s="79"/>
      <c r="K39" s="79" t="s">
        <v>436</v>
      </c>
      <c r="L39" s="79"/>
      <c r="M39" s="79"/>
      <c r="N39" s="79" t="s">
        <v>604</v>
      </c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 t="str">
        <f>TEXT(AZ36+AQ37+AQ38,"#,##0.#######")</f>
        <v>2,150.</v>
      </c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79"/>
      <c r="BM39" s="79"/>
      <c r="BN39" s="79"/>
      <c r="BO39" s="79"/>
      <c r="BP39" s="79"/>
      <c r="BQ39" s="79"/>
      <c r="BR39" s="79"/>
      <c r="BS39" s="79"/>
      <c r="BT39" s="79"/>
      <c r="BU39" s="79"/>
      <c r="BV39" s="79"/>
      <c r="BW39" s="79"/>
      <c r="BX39" s="79"/>
      <c r="BY39" s="79"/>
      <c r="BZ39" s="79"/>
      <c r="CA39" s="79"/>
      <c r="CB39" s="79"/>
      <c r="CC39" s="79"/>
      <c r="CD39" s="79"/>
      <c r="CE39" s="79"/>
      <c r="CF39" s="79"/>
      <c r="CG39" s="79"/>
      <c r="CH39" s="79"/>
      <c r="CI39" s="79"/>
      <c r="CJ39" s="79"/>
      <c r="CK39" s="79"/>
      <c r="CL39" s="79"/>
      <c r="CM39" s="79"/>
      <c r="CN39" s="79"/>
      <c r="CO39" s="79"/>
      <c r="CP39" s="79"/>
      <c r="CQ39" s="79"/>
      <c r="CR39" s="79"/>
      <c r="CS39" s="79"/>
      <c r="CT39" s="79"/>
      <c r="CU39" s="79"/>
      <c r="CV39" s="79"/>
      <c r="CW39" s="79"/>
      <c r="CX39" s="85">
        <f>CY39+CZ39+DA39</f>
        <v>2150</v>
      </c>
      <c r="CY39" s="85" t="str">
        <f>TEXT(AZ36,"#,###.0")</f>
        <v>544.8</v>
      </c>
      <c r="CZ39" s="85" t="str">
        <f>TEXT(AQ37,"#,###.0")</f>
        <v>517.6</v>
      </c>
      <c r="DA39" s="86" t="str">
        <f>TEXT(AQ38,"#,###.0")</f>
        <v>1,087.6</v>
      </c>
      <c r="DB39" s="84"/>
    </row>
    <row r="40" spans="2:106" ht="11.25" customHeight="1">
      <c r="B40" s="78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79"/>
      <c r="BM40" s="79"/>
      <c r="BN40" s="79"/>
      <c r="BO40" s="79"/>
      <c r="BP40" s="79"/>
      <c r="BQ40" s="79"/>
      <c r="BR40" s="79"/>
      <c r="BS40" s="79"/>
      <c r="BT40" s="79"/>
      <c r="BU40" s="79"/>
      <c r="BV40" s="79"/>
      <c r="BW40" s="79"/>
      <c r="BX40" s="79"/>
      <c r="BY40" s="79"/>
      <c r="BZ40" s="79"/>
      <c r="CA40" s="79"/>
      <c r="CB40" s="79"/>
      <c r="CC40" s="79"/>
      <c r="CD40" s="79"/>
      <c r="CE40" s="79"/>
      <c r="CF40" s="79"/>
      <c r="CG40" s="79"/>
      <c r="CH40" s="79"/>
      <c r="CI40" s="79"/>
      <c r="CJ40" s="79"/>
      <c r="CK40" s="79"/>
      <c r="CL40" s="79"/>
      <c r="CM40" s="79"/>
      <c r="CN40" s="79"/>
      <c r="CO40" s="79"/>
      <c r="CP40" s="79"/>
      <c r="CQ40" s="79"/>
      <c r="CR40" s="79"/>
      <c r="CS40" s="79"/>
      <c r="CT40" s="79"/>
      <c r="CU40" s="79"/>
      <c r="CV40" s="79"/>
      <c r="CW40" s="79"/>
      <c r="CX40" s="85"/>
      <c r="CY40" s="85"/>
      <c r="CZ40" s="85"/>
      <c r="DA40" s="86"/>
      <c r="DB40" s="84"/>
    </row>
    <row r="41" spans="2:106" ht="11.25" customHeight="1">
      <c r="B41" s="78"/>
      <c r="C41" s="79"/>
      <c r="D41" s="79"/>
      <c r="E41" s="79" t="s">
        <v>496</v>
      </c>
      <c r="F41" s="79"/>
      <c r="G41" s="79" t="s">
        <v>587</v>
      </c>
      <c r="H41" s="79"/>
      <c r="I41" s="79" t="s">
        <v>610</v>
      </c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 t="s">
        <v>762</v>
      </c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79"/>
      <c r="BL41" s="79"/>
      <c r="BM41" s="79"/>
      <c r="BN41" s="79"/>
      <c r="BO41" s="79"/>
      <c r="BP41" s="79"/>
      <c r="BQ41" s="79"/>
      <c r="BR41" s="79"/>
      <c r="BS41" s="79"/>
      <c r="BT41" s="79"/>
      <c r="BU41" s="79"/>
      <c r="BV41" s="79"/>
      <c r="BW41" s="79"/>
      <c r="BX41" s="79"/>
      <c r="BY41" s="79"/>
      <c r="BZ41" s="79"/>
      <c r="CA41" s="79"/>
      <c r="CB41" s="79"/>
      <c r="CC41" s="79"/>
      <c r="CD41" s="79"/>
      <c r="CE41" s="79"/>
      <c r="CF41" s="79"/>
      <c r="CG41" s="79"/>
      <c r="CH41" s="79"/>
      <c r="CI41" s="79"/>
      <c r="CJ41" s="79"/>
      <c r="CK41" s="79"/>
      <c r="CL41" s="79"/>
      <c r="CM41" s="79"/>
      <c r="CN41" s="79"/>
      <c r="CO41" s="79"/>
      <c r="CP41" s="79"/>
      <c r="CQ41" s="79"/>
      <c r="CR41" s="79"/>
      <c r="CS41" s="79"/>
      <c r="CT41" s="79"/>
      <c r="CU41" s="79"/>
      <c r="CV41" s="79"/>
      <c r="CW41" s="79"/>
      <c r="CX41" s="85"/>
      <c r="CY41" s="85"/>
      <c r="CZ41" s="85"/>
      <c r="DA41" s="86"/>
      <c r="DB41" s="84"/>
    </row>
    <row r="42" spans="2:106" ht="11.25" customHeight="1">
      <c r="B42" s="78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  <c r="CH42" s="79"/>
      <c r="CI42" s="79"/>
      <c r="CJ42" s="79"/>
      <c r="CK42" s="79"/>
      <c r="CL42" s="79"/>
      <c r="CM42" s="79"/>
      <c r="CN42" s="79"/>
      <c r="CO42" s="79"/>
      <c r="CP42" s="79"/>
      <c r="CQ42" s="79"/>
      <c r="CR42" s="79"/>
      <c r="CS42" s="79"/>
      <c r="CT42" s="79"/>
      <c r="CU42" s="79"/>
      <c r="CV42" s="79"/>
      <c r="CW42" s="79"/>
      <c r="CX42" s="85"/>
      <c r="CY42" s="85"/>
      <c r="CZ42" s="85"/>
      <c r="DA42" s="86"/>
      <c r="DB42" s="84"/>
    </row>
    <row r="43" spans="2:106" ht="11.25" customHeight="1">
      <c r="B43" s="78"/>
      <c r="C43" s="79"/>
      <c r="D43" s="79"/>
      <c r="E43" s="79"/>
      <c r="F43" s="79"/>
      <c r="G43" s="79" t="s">
        <v>700</v>
      </c>
      <c r="H43" s="79"/>
      <c r="I43" s="79"/>
      <c r="J43" s="79"/>
      <c r="K43" s="79"/>
      <c r="L43" s="79"/>
      <c r="M43" s="79"/>
      <c r="N43" s="79" t="s">
        <v>604</v>
      </c>
      <c r="O43" s="79"/>
      <c r="P43" s="79" t="str">
        <f>TEXT(기계경비총괄표!G5,"#,##0")</f>
        <v>59,020</v>
      </c>
      <c r="Q43" s="79"/>
      <c r="R43" s="79"/>
      <c r="S43" s="79"/>
      <c r="T43" s="79"/>
      <c r="U43" s="79"/>
      <c r="V43" s="79"/>
      <c r="W43" s="79"/>
      <c r="X43" s="79"/>
      <c r="Y43" s="79" t="s">
        <v>391</v>
      </c>
      <c r="Z43" s="79"/>
      <c r="AA43" s="79"/>
      <c r="AB43" s="79" t="str">
        <f>TEXT(BB16,"#,##0.#######")</f>
        <v>325.</v>
      </c>
      <c r="AC43" s="79"/>
      <c r="AD43" s="79"/>
      <c r="AE43" s="79"/>
      <c r="AF43" s="79"/>
      <c r="AG43" s="79"/>
      <c r="AH43" s="79" t="s">
        <v>699</v>
      </c>
      <c r="AI43" s="79"/>
      <c r="AJ43" s="79"/>
      <c r="AK43" s="79" t="str">
        <f>TEXT(150,"#,##0.#######")</f>
        <v>150.</v>
      </c>
      <c r="AL43" s="79"/>
      <c r="AM43" s="79"/>
      <c r="AN43" s="79" t="s">
        <v>157</v>
      </c>
      <c r="AO43" s="79"/>
      <c r="AP43" s="79" t="s">
        <v>309</v>
      </c>
      <c r="AQ43" s="79"/>
      <c r="AR43" s="79" t="str">
        <f>TEXT(TRUNC(P43/BB16*(AK43*(1/100)),1),"#,##0.#")</f>
        <v>272.4</v>
      </c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I43" s="79"/>
      <c r="CJ43" s="79"/>
      <c r="CK43" s="79"/>
      <c r="CL43" s="79"/>
      <c r="CM43" s="79"/>
      <c r="CN43" s="79"/>
      <c r="CO43" s="79"/>
      <c r="CP43" s="79"/>
      <c r="CQ43" s="79"/>
      <c r="CR43" s="79"/>
      <c r="CS43" s="79"/>
      <c r="CT43" s="79"/>
      <c r="CU43" s="79"/>
      <c r="CV43" s="79"/>
      <c r="CW43" s="79"/>
      <c r="CX43" s="85"/>
      <c r="CY43" s="85"/>
      <c r="CZ43" s="85"/>
      <c r="DA43" s="86"/>
      <c r="DB43" s="84"/>
    </row>
    <row r="44" spans="2:106" ht="11.25" customHeight="1">
      <c r="B44" s="78"/>
      <c r="C44" s="79"/>
      <c r="D44" s="79"/>
      <c r="E44" s="79"/>
      <c r="F44" s="79"/>
      <c r="G44" s="79" t="s">
        <v>498</v>
      </c>
      <c r="H44" s="79"/>
      <c r="I44" s="79"/>
      <c r="J44" s="79"/>
      <c r="K44" s="79"/>
      <c r="L44" s="79"/>
      <c r="M44" s="79"/>
      <c r="N44" s="79" t="s">
        <v>604</v>
      </c>
      <c r="O44" s="79"/>
      <c r="P44" s="79" t="str">
        <f>TEXT(기계경비총괄표!H5,"#,##0")</f>
        <v>12,284</v>
      </c>
      <c r="Q44" s="79"/>
      <c r="R44" s="79"/>
      <c r="S44" s="79"/>
      <c r="T44" s="79"/>
      <c r="U44" s="79"/>
      <c r="V44" s="79"/>
      <c r="W44" s="79"/>
      <c r="X44" s="79"/>
      <c r="Y44" s="79" t="s">
        <v>391</v>
      </c>
      <c r="Z44" s="79"/>
      <c r="AA44" s="79"/>
      <c r="AB44" s="79" t="str">
        <f>TEXT(BB16,"#,##0.#######")</f>
        <v>325.</v>
      </c>
      <c r="AC44" s="79"/>
      <c r="AD44" s="79"/>
      <c r="AE44" s="79"/>
      <c r="AF44" s="79"/>
      <c r="AG44" s="79"/>
      <c r="AH44" s="79" t="s">
        <v>309</v>
      </c>
      <c r="AI44" s="79"/>
      <c r="AJ44" s="79" t="str">
        <f>TEXT(TRUNC(P44/BB16,1),"#,##0.#")</f>
        <v>37.7</v>
      </c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  <c r="CH44" s="79"/>
      <c r="CI44" s="79"/>
      <c r="CJ44" s="79"/>
      <c r="CK44" s="79"/>
      <c r="CL44" s="79"/>
      <c r="CM44" s="79"/>
      <c r="CN44" s="79"/>
      <c r="CO44" s="79"/>
      <c r="CP44" s="79"/>
      <c r="CQ44" s="79"/>
      <c r="CR44" s="79"/>
      <c r="CS44" s="79"/>
      <c r="CT44" s="79"/>
      <c r="CU44" s="79"/>
      <c r="CV44" s="79"/>
      <c r="CW44" s="79"/>
      <c r="CX44" s="85"/>
      <c r="CY44" s="85"/>
      <c r="CZ44" s="85"/>
      <c r="DA44" s="86"/>
      <c r="DB44" s="84"/>
    </row>
    <row r="45" spans="2:106" ht="11.25" customHeight="1">
      <c r="B45" s="78"/>
      <c r="C45" s="79"/>
      <c r="D45" s="79"/>
      <c r="E45" s="79"/>
      <c r="F45" s="79"/>
      <c r="G45" s="79" t="s">
        <v>160</v>
      </c>
      <c r="H45" s="79"/>
      <c r="I45" s="79"/>
      <c r="J45" s="79"/>
      <c r="K45" s="79" t="s">
        <v>440</v>
      </c>
      <c r="L45" s="79"/>
      <c r="M45" s="79"/>
      <c r="N45" s="79" t="s">
        <v>604</v>
      </c>
      <c r="O45" s="79"/>
      <c r="P45" s="79" t="str">
        <f>TEXT(기계경비총괄표!I5,"#,##0")</f>
        <v>21,504</v>
      </c>
      <c r="Q45" s="79"/>
      <c r="R45" s="79"/>
      <c r="S45" s="79"/>
      <c r="T45" s="79"/>
      <c r="U45" s="79"/>
      <c r="V45" s="79"/>
      <c r="W45" s="79"/>
      <c r="X45" s="79"/>
      <c r="Y45" s="79" t="s">
        <v>391</v>
      </c>
      <c r="Z45" s="79"/>
      <c r="AA45" s="79"/>
      <c r="AB45" s="79" t="str">
        <f>TEXT(BB16,"#,##0.#######")</f>
        <v>325.</v>
      </c>
      <c r="AC45" s="79"/>
      <c r="AD45" s="79"/>
      <c r="AE45" s="79"/>
      <c r="AF45" s="79"/>
      <c r="AG45" s="79"/>
      <c r="AH45" s="79" t="s">
        <v>309</v>
      </c>
      <c r="AI45" s="79"/>
      <c r="AJ45" s="79" t="str">
        <f>TEXT(TRUNC(P45/BB16,1),"#,##0.#")</f>
        <v>66.1</v>
      </c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  <c r="CH45" s="79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  <c r="CX45" s="85"/>
      <c r="CY45" s="85"/>
      <c r="CZ45" s="85"/>
      <c r="DA45" s="86"/>
      <c r="DB45" s="84"/>
    </row>
    <row r="46" spans="2:106" ht="11.25" customHeight="1">
      <c r="B46" s="78"/>
      <c r="C46" s="79"/>
      <c r="D46" s="79"/>
      <c r="E46" s="79"/>
      <c r="F46" s="79"/>
      <c r="G46" s="79" t="s">
        <v>305</v>
      </c>
      <c r="H46" s="79"/>
      <c r="I46" s="79"/>
      <c r="J46" s="79"/>
      <c r="K46" s="79" t="s">
        <v>436</v>
      </c>
      <c r="L46" s="79"/>
      <c r="M46" s="79"/>
      <c r="N46" s="79" t="s">
        <v>604</v>
      </c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 t="str">
        <f>TEXT(AR43+AJ44+AJ45,"#,##0.#######")</f>
        <v>376.2</v>
      </c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79"/>
      <c r="CJ46" s="79"/>
      <c r="CK46" s="79"/>
      <c r="CL46" s="79"/>
      <c r="CM46" s="79"/>
      <c r="CN46" s="79"/>
      <c r="CO46" s="79"/>
      <c r="CP46" s="79"/>
      <c r="CQ46" s="79"/>
      <c r="CR46" s="79"/>
      <c r="CS46" s="79"/>
      <c r="CT46" s="79"/>
      <c r="CU46" s="79"/>
      <c r="CV46" s="79"/>
      <c r="CW46" s="79"/>
      <c r="CX46" s="85">
        <f>CY46+CZ46+DA46</f>
        <v>376.19999999999993</v>
      </c>
      <c r="CY46" s="85" t="str">
        <f>TEXT(AR43,"#,###.0")</f>
        <v>272.4</v>
      </c>
      <c r="CZ46" s="85" t="str">
        <f>TEXT(AJ44,"#,###.0")</f>
        <v>37.7</v>
      </c>
      <c r="DA46" s="86" t="str">
        <f>TEXT(AJ45,"#,###.0")</f>
        <v>66.1</v>
      </c>
      <c r="DB46" s="84"/>
    </row>
    <row r="47" spans="2:106" ht="11.25" customHeight="1">
      <c r="B47" s="78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79"/>
      <c r="CJ47" s="79"/>
      <c r="CK47" s="79"/>
      <c r="CL47" s="79"/>
      <c r="CM47" s="79"/>
      <c r="CN47" s="79"/>
      <c r="CO47" s="79"/>
      <c r="CP47" s="79"/>
      <c r="CQ47" s="79"/>
      <c r="CR47" s="79"/>
      <c r="CS47" s="79"/>
      <c r="CT47" s="79"/>
      <c r="CU47" s="79"/>
      <c r="CV47" s="79"/>
      <c r="CW47" s="79"/>
      <c r="CX47" s="85"/>
      <c r="CY47" s="85"/>
      <c r="CZ47" s="85"/>
      <c r="DA47" s="86"/>
      <c r="DB47" s="84"/>
    </row>
    <row r="48" spans="2:106" ht="11.25" customHeight="1">
      <c r="B48" s="78"/>
      <c r="C48" s="79"/>
      <c r="D48" s="79"/>
      <c r="E48" s="79" t="s">
        <v>222</v>
      </c>
      <c r="F48" s="79"/>
      <c r="G48" s="79" t="s">
        <v>587</v>
      </c>
      <c r="H48" s="79"/>
      <c r="I48" s="79" t="s">
        <v>755</v>
      </c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 t="s">
        <v>524</v>
      </c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  <c r="CH48" s="79"/>
      <c r="CI48" s="79"/>
      <c r="CJ48" s="79"/>
      <c r="CK48" s="79"/>
      <c r="CL48" s="79"/>
      <c r="CM48" s="79"/>
      <c r="CN48" s="79"/>
      <c r="CO48" s="79"/>
      <c r="CP48" s="79"/>
      <c r="CQ48" s="79"/>
      <c r="CR48" s="79"/>
      <c r="CS48" s="79"/>
      <c r="CT48" s="79"/>
      <c r="CU48" s="79"/>
      <c r="CV48" s="79"/>
      <c r="CW48" s="79"/>
      <c r="CX48" s="85"/>
      <c r="CY48" s="85"/>
      <c r="CZ48" s="85"/>
      <c r="DA48" s="86"/>
      <c r="DB48" s="84"/>
    </row>
    <row r="49" spans="2:106" ht="11.25" customHeight="1">
      <c r="B49" s="78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  <c r="CH49" s="79"/>
      <c r="CI49" s="79"/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  <c r="CX49" s="85"/>
      <c r="CY49" s="85"/>
      <c r="CZ49" s="85"/>
      <c r="DA49" s="86"/>
      <c r="DB49" s="84"/>
    </row>
    <row r="50" spans="2:106" ht="11.25" customHeight="1">
      <c r="B50" s="78"/>
      <c r="C50" s="79"/>
      <c r="D50" s="79"/>
      <c r="E50" s="79"/>
      <c r="F50" s="79"/>
      <c r="G50" s="79" t="s">
        <v>700</v>
      </c>
      <c r="H50" s="79"/>
      <c r="I50" s="79"/>
      <c r="J50" s="79"/>
      <c r="K50" s="79"/>
      <c r="L50" s="79"/>
      <c r="M50" s="79"/>
      <c r="N50" s="79" t="s">
        <v>604</v>
      </c>
      <c r="O50" s="79"/>
      <c r="P50" s="79" t="str">
        <f>TEXT(기계경비총괄표!G6,"#,##0")</f>
        <v>59,020</v>
      </c>
      <c r="Q50" s="79"/>
      <c r="R50" s="79"/>
      <c r="S50" s="79"/>
      <c r="T50" s="79"/>
      <c r="U50" s="79"/>
      <c r="V50" s="79"/>
      <c r="W50" s="79"/>
      <c r="X50" s="79"/>
      <c r="Y50" s="79" t="s">
        <v>391</v>
      </c>
      <c r="Z50" s="79"/>
      <c r="AA50" s="79"/>
      <c r="AB50" s="79" t="str">
        <f>TEXT(BB16,"#,##0.#######")</f>
        <v>325.</v>
      </c>
      <c r="AC50" s="79"/>
      <c r="AD50" s="79"/>
      <c r="AE50" s="79"/>
      <c r="AF50" s="79"/>
      <c r="AG50" s="79"/>
      <c r="AH50" s="79" t="s">
        <v>699</v>
      </c>
      <c r="AI50" s="79"/>
      <c r="AJ50" s="79" t="str">
        <f>TEXT(3,"#,##0.#######")</f>
        <v>3.</v>
      </c>
      <c r="AK50" s="79" t="s">
        <v>161</v>
      </c>
      <c r="AL50" s="79"/>
      <c r="AM50" s="79"/>
      <c r="AN50" s="79" t="s">
        <v>699</v>
      </c>
      <c r="AO50" s="79"/>
      <c r="AP50" s="79"/>
      <c r="AQ50" s="79" t="str">
        <f>TEXT(150,"#,##0.#######")</f>
        <v>150.</v>
      </c>
      <c r="AR50" s="79"/>
      <c r="AS50" s="79"/>
      <c r="AT50" s="79" t="s">
        <v>157</v>
      </c>
      <c r="AU50" s="79"/>
      <c r="AV50" s="79" t="s">
        <v>309</v>
      </c>
      <c r="AW50" s="79"/>
      <c r="AX50" s="79" t="str">
        <f>TEXT(TRUNC(P50/BB16*AJ50*(AQ50*(1/100)),1),"#,##0.#")</f>
        <v>817.2</v>
      </c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79"/>
      <c r="CL50" s="79"/>
      <c r="CM50" s="79"/>
      <c r="CN50" s="79"/>
      <c r="CO50" s="79"/>
      <c r="CP50" s="79"/>
      <c r="CQ50" s="79"/>
      <c r="CR50" s="79"/>
      <c r="CS50" s="79"/>
      <c r="CT50" s="79"/>
      <c r="CU50" s="79"/>
      <c r="CV50" s="79"/>
      <c r="CW50" s="79"/>
      <c r="CX50" s="85"/>
      <c r="CY50" s="85"/>
      <c r="CZ50" s="85"/>
      <c r="DA50" s="86"/>
      <c r="DB50" s="84"/>
    </row>
    <row r="51" spans="2:106" ht="11.25" customHeight="1">
      <c r="B51" s="78"/>
      <c r="C51" s="79"/>
      <c r="D51" s="79"/>
      <c r="E51" s="79"/>
      <c r="F51" s="79"/>
      <c r="G51" s="79" t="s">
        <v>498</v>
      </c>
      <c r="H51" s="79"/>
      <c r="I51" s="79"/>
      <c r="J51" s="79"/>
      <c r="K51" s="79"/>
      <c r="L51" s="79"/>
      <c r="M51" s="79"/>
      <c r="N51" s="79" t="s">
        <v>604</v>
      </c>
      <c r="O51" s="79"/>
      <c r="P51" s="79"/>
      <c r="Q51" s="79" t="str">
        <f>TEXT(기계경비총괄표!H6,"#,##0")</f>
        <v>6,935</v>
      </c>
      <c r="R51" s="79"/>
      <c r="S51" s="79"/>
      <c r="T51" s="79"/>
      <c r="U51" s="79"/>
      <c r="V51" s="79"/>
      <c r="W51" s="79"/>
      <c r="X51" s="79"/>
      <c r="Y51" s="79" t="s">
        <v>391</v>
      </c>
      <c r="Z51" s="79"/>
      <c r="AA51" s="79"/>
      <c r="AB51" s="79" t="str">
        <f>TEXT(BB16,"#,##0.#######")</f>
        <v>325.</v>
      </c>
      <c r="AC51" s="79"/>
      <c r="AD51" s="79"/>
      <c r="AE51" s="79"/>
      <c r="AF51" s="79"/>
      <c r="AG51" s="79"/>
      <c r="AH51" s="79" t="s">
        <v>699</v>
      </c>
      <c r="AI51" s="79"/>
      <c r="AJ51" s="79" t="str">
        <f>TEXT(3,"#,##0.#######")</f>
        <v>3.</v>
      </c>
      <c r="AK51" s="79" t="s">
        <v>161</v>
      </c>
      <c r="AL51" s="79"/>
      <c r="AM51" s="79"/>
      <c r="AN51" s="79" t="s">
        <v>309</v>
      </c>
      <c r="AO51" s="79"/>
      <c r="AP51" s="79"/>
      <c r="AQ51" s="79" t="str">
        <f>TEXT(TRUNC(Q51/BB16*AJ51,1),"#,##0.#")</f>
        <v>64.</v>
      </c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  <c r="CH51" s="79"/>
      <c r="CI51" s="79"/>
      <c r="CJ51" s="79"/>
      <c r="CK51" s="79"/>
      <c r="CL51" s="79"/>
      <c r="CM51" s="79"/>
      <c r="CN51" s="79"/>
      <c r="CO51" s="79"/>
      <c r="CP51" s="79"/>
      <c r="CQ51" s="79"/>
      <c r="CR51" s="79"/>
      <c r="CS51" s="79"/>
      <c r="CT51" s="79"/>
      <c r="CU51" s="79"/>
      <c r="CV51" s="79"/>
      <c r="CW51" s="79"/>
      <c r="CX51" s="85"/>
      <c r="CY51" s="85"/>
      <c r="CZ51" s="85"/>
      <c r="DA51" s="86"/>
      <c r="DB51" s="84"/>
    </row>
    <row r="52" spans="2:106" ht="11.25" customHeight="1">
      <c r="B52" s="78"/>
      <c r="C52" s="79"/>
      <c r="D52" s="79"/>
      <c r="E52" s="79"/>
      <c r="F52" s="79"/>
      <c r="G52" s="79" t="s">
        <v>160</v>
      </c>
      <c r="H52" s="79"/>
      <c r="I52" s="79"/>
      <c r="J52" s="79"/>
      <c r="K52" s="79" t="s">
        <v>440</v>
      </c>
      <c r="L52" s="79"/>
      <c r="M52" s="79"/>
      <c r="N52" s="79" t="s">
        <v>604</v>
      </c>
      <c r="O52" s="79"/>
      <c r="P52" s="79"/>
      <c r="Q52" s="79" t="str">
        <f>TEXT(기계경비총괄표!I6,"#,##0")</f>
        <v>7,505</v>
      </c>
      <c r="R52" s="79"/>
      <c r="S52" s="79"/>
      <c r="T52" s="79"/>
      <c r="U52" s="79"/>
      <c r="V52" s="79"/>
      <c r="W52" s="79"/>
      <c r="X52" s="79"/>
      <c r="Y52" s="79" t="s">
        <v>391</v>
      </c>
      <c r="Z52" s="79"/>
      <c r="AA52" s="79"/>
      <c r="AB52" s="79" t="str">
        <f>TEXT(BB16,"#,##0.#######")</f>
        <v>325.</v>
      </c>
      <c r="AC52" s="79"/>
      <c r="AD52" s="79"/>
      <c r="AE52" s="79"/>
      <c r="AF52" s="79"/>
      <c r="AG52" s="79"/>
      <c r="AH52" s="79" t="s">
        <v>699</v>
      </c>
      <c r="AI52" s="79"/>
      <c r="AJ52" s="79" t="str">
        <f>TEXT(3,"#,##0.#######")</f>
        <v>3.</v>
      </c>
      <c r="AK52" s="79" t="s">
        <v>161</v>
      </c>
      <c r="AL52" s="79"/>
      <c r="AM52" s="79"/>
      <c r="AN52" s="79" t="s">
        <v>309</v>
      </c>
      <c r="AO52" s="79"/>
      <c r="AP52" s="79"/>
      <c r="AQ52" s="79" t="str">
        <f>TEXT(TRUNC(Q52/BB16*AJ52,1),"#,##0.#")</f>
        <v>69.2</v>
      </c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  <c r="CH52" s="79"/>
      <c r="CI52" s="79"/>
      <c r="CJ52" s="79"/>
      <c r="CK52" s="79"/>
      <c r="CL52" s="79"/>
      <c r="CM52" s="79"/>
      <c r="CN52" s="79"/>
      <c r="CO52" s="79"/>
      <c r="CP52" s="79"/>
      <c r="CQ52" s="79"/>
      <c r="CR52" s="79"/>
      <c r="CS52" s="79"/>
      <c r="CT52" s="79"/>
      <c r="CU52" s="79"/>
      <c r="CV52" s="79"/>
      <c r="CW52" s="79"/>
      <c r="CX52" s="85"/>
      <c r="CY52" s="85"/>
      <c r="CZ52" s="85"/>
      <c r="DA52" s="86"/>
      <c r="DB52" s="84"/>
    </row>
    <row r="53" spans="2:106" ht="11.25" customHeight="1">
      <c r="B53" s="78"/>
      <c r="C53" s="79"/>
      <c r="D53" s="79"/>
      <c r="E53" s="79"/>
      <c r="F53" s="79"/>
      <c r="G53" s="79" t="s">
        <v>305</v>
      </c>
      <c r="H53" s="79"/>
      <c r="I53" s="79"/>
      <c r="J53" s="79"/>
      <c r="K53" s="79" t="s">
        <v>436</v>
      </c>
      <c r="L53" s="79"/>
      <c r="M53" s="79"/>
      <c r="N53" s="79" t="s">
        <v>604</v>
      </c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 t="str">
        <f>TEXT(AX50+AQ51+AQ52,"#,##0.#######")</f>
        <v>950.4</v>
      </c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85">
        <f>CY53+CZ53+DA53</f>
        <v>950.40000000000009</v>
      </c>
      <c r="CY53" s="85" t="str">
        <f>TEXT(AX50,"#,###.0")</f>
        <v>817.2</v>
      </c>
      <c r="CZ53" s="85" t="str">
        <f>TEXT(AQ51,"#,###.0")</f>
        <v>64.0</v>
      </c>
      <c r="DA53" s="86" t="str">
        <f>TEXT(AQ52,"#,###.0")</f>
        <v>69.2</v>
      </c>
      <c r="DB53" s="84"/>
    </row>
    <row r="54" spans="2:106" ht="11.25" customHeight="1">
      <c r="B54" s="78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  <c r="CH54" s="79"/>
      <c r="CI54" s="79"/>
      <c r="CJ54" s="79"/>
      <c r="CK54" s="79"/>
      <c r="CL54" s="79"/>
      <c r="CM54" s="79"/>
      <c r="CN54" s="79"/>
      <c r="CO54" s="79"/>
      <c r="CP54" s="79"/>
      <c r="CQ54" s="79"/>
      <c r="CR54" s="79"/>
      <c r="CS54" s="79"/>
      <c r="CT54" s="79"/>
      <c r="CU54" s="79"/>
      <c r="CV54" s="79"/>
      <c r="CW54" s="79"/>
      <c r="CX54" s="85"/>
      <c r="CY54" s="85"/>
      <c r="CZ54" s="85"/>
      <c r="DA54" s="86"/>
      <c r="DB54" s="84"/>
    </row>
    <row r="55" spans="2:106" ht="11.25" customHeight="1">
      <c r="B55" s="78"/>
      <c r="C55" s="79"/>
      <c r="D55" s="79"/>
      <c r="E55" s="79" t="s">
        <v>691</v>
      </c>
      <c r="F55" s="79"/>
      <c r="G55" s="79" t="s">
        <v>587</v>
      </c>
      <c r="H55" s="79"/>
      <c r="I55" s="79" t="s">
        <v>95</v>
      </c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 t="s">
        <v>231</v>
      </c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  <c r="CH55" s="79"/>
      <c r="CI55" s="79"/>
      <c r="CJ55" s="79"/>
      <c r="CK55" s="79"/>
      <c r="CL55" s="79"/>
      <c r="CM55" s="79"/>
      <c r="CN55" s="79"/>
      <c r="CO55" s="79"/>
      <c r="CP55" s="79"/>
      <c r="CQ55" s="79"/>
      <c r="CR55" s="79"/>
      <c r="CS55" s="79"/>
      <c r="CT55" s="79"/>
      <c r="CU55" s="79"/>
      <c r="CV55" s="79"/>
      <c r="CW55" s="79"/>
      <c r="CX55" s="85"/>
      <c r="CY55" s="85"/>
      <c r="CZ55" s="85"/>
      <c r="DA55" s="86"/>
      <c r="DB55" s="84"/>
    </row>
    <row r="56" spans="2:106" ht="11.25" customHeight="1">
      <c r="B56" s="78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79"/>
      <c r="CL56" s="79"/>
      <c r="CM56" s="79"/>
      <c r="CN56" s="79"/>
      <c r="CO56" s="79"/>
      <c r="CP56" s="79"/>
      <c r="CQ56" s="79"/>
      <c r="CR56" s="79"/>
      <c r="CS56" s="79"/>
      <c r="CT56" s="79"/>
      <c r="CU56" s="79"/>
      <c r="CV56" s="79"/>
      <c r="CW56" s="79"/>
      <c r="CX56" s="85"/>
      <c r="CY56" s="85"/>
      <c r="CZ56" s="85"/>
      <c r="DA56" s="86"/>
      <c r="DB56" s="84"/>
    </row>
    <row r="57" spans="2:106" ht="11.25" customHeight="1">
      <c r="B57" s="78"/>
      <c r="C57" s="79"/>
      <c r="D57" s="79"/>
      <c r="E57" s="79"/>
      <c r="F57" s="79"/>
      <c r="G57" s="79" t="s">
        <v>700</v>
      </c>
      <c r="H57" s="79"/>
      <c r="I57" s="79"/>
      <c r="J57" s="79"/>
      <c r="K57" s="79"/>
      <c r="L57" s="79"/>
      <c r="M57" s="79"/>
      <c r="N57" s="79" t="s">
        <v>604</v>
      </c>
      <c r="O57" s="79"/>
      <c r="P57" s="79" t="str">
        <f>TEXT(기계경비총괄표!G7,"#,##0")</f>
        <v>59,020</v>
      </c>
      <c r="Q57" s="79"/>
      <c r="R57" s="79"/>
      <c r="S57" s="79"/>
      <c r="T57" s="79"/>
      <c r="U57" s="79"/>
      <c r="V57" s="79"/>
      <c r="W57" s="79"/>
      <c r="X57" s="79"/>
      <c r="Y57" s="79" t="s">
        <v>391</v>
      </c>
      <c r="Z57" s="79"/>
      <c r="AA57" s="79"/>
      <c r="AB57" s="79" t="str">
        <f>TEXT(BB16,"#,##0.#######")</f>
        <v>325.</v>
      </c>
      <c r="AC57" s="79"/>
      <c r="AD57" s="79"/>
      <c r="AE57" s="79"/>
      <c r="AF57" s="79"/>
      <c r="AG57" s="79"/>
      <c r="AH57" s="79" t="s">
        <v>699</v>
      </c>
      <c r="AI57" s="79"/>
      <c r="AJ57" s="79"/>
      <c r="AK57" s="79" t="str">
        <f>TEXT(150,"#,##0.#######")</f>
        <v>150.</v>
      </c>
      <c r="AL57" s="79"/>
      <c r="AM57" s="79"/>
      <c r="AN57" s="79" t="s">
        <v>157</v>
      </c>
      <c r="AO57" s="79"/>
      <c r="AP57" s="79" t="s">
        <v>309</v>
      </c>
      <c r="AQ57" s="79"/>
      <c r="AR57" s="79" t="str">
        <f>TEXT(TRUNC(P57/BB16*(AK57*(1/100)),1),"#,##0.#")</f>
        <v>272.4</v>
      </c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  <c r="CH57" s="79"/>
      <c r="CI57" s="79"/>
      <c r="CJ57" s="79"/>
      <c r="CK57" s="79"/>
      <c r="CL57" s="79"/>
      <c r="CM57" s="79"/>
      <c r="CN57" s="79"/>
      <c r="CO57" s="79"/>
      <c r="CP57" s="79"/>
      <c r="CQ57" s="79"/>
      <c r="CR57" s="79"/>
      <c r="CS57" s="79"/>
      <c r="CT57" s="79"/>
      <c r="CU57" s="79"/>
      <c r="CV57" s="79"/>
      <c r="CW57" s="79"/>
      <c r="CX57" s="85"/>
      <c r="CY57" s="85"/>
      <c r="CZ57" s="85"/>
      <c r="DA57" s="86"/>
      <c r="DB57" s="84"/>
    </row>
    <row r="58" spans="2:106" ht="11.25" customHeight="1">
      <c r="B58" s="78"/>
      <c r="C58" s="79"/>
      <c r="D58" s="79"/>
      <c r="E58" s="79"/>
      <c r="F58" s="79"/>
      <c r="G58" s="79" t="s">
        <v>498</v>
      </c>
      <c r="H58" s="79"/>
      <c r="I58" s="79"/>
      <c r="J58" s="79"/>
      <c r="K58" s="79"/>
      <c r="L58" s="79"/>
      <c r="M58" s="79"/>
      <c r="N58" s="79" t="s">
        <v>604</v>
      </c>
      <c r="O58" s="79"/>
      <c r="P58" s="79" t="str">
        <f>TEXT(기계경비총괄표!H7,"#,##0")</f>
        <v>19,140</v>
      </c>
      <c r="Q58" s="79"/>
      <c r="R58" s="79"/>
      <c r="S58" s="79"/>
      <c r="T58" s="79"/>
      <c r="U58" s="79"/>
      <c r="V58" s="79"/>
      <c r="W58" s="79"/>
      <c r="X58" s="79"/>
      <c r="Y58" s="79" t="s">
        <v>391</v>
      </c>
      <c r="Z58" s="79"/>
      <c r="AA58" s="79"/>
      <c r="AB58" s="79" t="str">
        <f>TEXT(BB16,"#,##0.#######")</f>
        <v>325.</v>
      </c>
      <c r="AC58" s="79"/>
      <c r="AD58" s="79"/>
      <c r="AE58" s="79"/>
      <c r="AF58" s="79"/>
      <c r="AG58" s="79"/>
      <c r="AH58" s="79" t="s">
        <v>309</v>
      </c>
      <c r="AI58" s="79"/>
      <c r="AJ58" s="79"/>
      <c r="AK58" s="79" t="str">
        <f>TEXT(TRUNC(P58/BB16,1),"#,##0.#")</f>
        <v>58.8</v>
      </c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  <c r="CH58" s="79"/>
      <c r="CI58" s="79"/>
      <c r="CJ58" s="79"/>
      <c r="CK58" s="79"/>
      <c r="CL58" s="79"/>
      <c r="CM58" s="79"/>
      <c r="CN58" s="79"/>
      <c r="CO58" s="79"/>
      <c r="CP58" s="79"/>
      <c r="CQ58" s="79"/>
      <c r="CR58" s="79"/>
      <c r="CS58" s="79"/>
      <c r="CT58" s="79"/>
      <c r="CU58" s="79"/>
      <c r="CV58" s="79"/>
      <c r="CW58" s="79"/>
      <c r="CX58" s="85"/>
      <c r="CY58" s="85"/>
      <c r="CZ58" s="85"/>
      <c r="DA58" s="86"/>
      <c r="DB58" s="84"/>
    </row>
    <row r="59" spans="2:106" ht="11.25" customHeight="1">
      <c r="B59" s="78"/>
      <c r="C59" s="79"/>
      <c r="D59" s="79"/>
      <c r="E59" s="79"/>
      <c r="F59" s="79"/>
      <c r="G59" s="79" t="s">
        <v>160</v>
      </c>
      <c r="H59" s="79"/>
      <c r="I59" s="79"/>
      <c r="J59" s="79"/>
      <c r="K59" s="79" t="s">
        <v>440</v>
      </c>
      <c r="L59" s="79"/>
      <c r="M59" s="79"/>
      <c r="N59" s="79" t="s">
        <v>604</v>
      </c>
      <c r="O59" s="79"/>
      <c r="P59" s="79" t="str">
        <f>TEXT(기계경비총괄표!I7,"#,##0")</f>
        <v>59,141</v>
      </c>
      <c r="Q59" s="79"/>
      <c r="R59" s="79"/>
      <c r="S59" s="79"/>
      <c r="T59" s="79"/>
      <c r="U59" s="79"/>
      <c r="V59" s="79"/>
      <c r="W59" s="79"/>
      <c r="X59" s="79"/>
      <c r="Y59" s="79" t="s">
        <v>391</v>
      </c>
      <c r="Z59" s="79"/>
      <c r="AA59" s="79"/>
      <c r="AB59" s="79" t="str">
        <f>TEXT(BB16,"#,##0.#######")</f>
        <v>325.</v>
      </c>
      <c r="AC59" s="79"/>
      <c r="AD59" s="79"/>
      <c r="AE59" s="79"/>
      <c r="AF59" s="79"/>
      <c r="AG59" s="79"/>
      <c r="AH59" s="79" t="s">
        <v>309</v>
      </c>
      <c r="AI59" s="79"/>
      <c r="AJ59" s="79" t="str">
        <f>TEXT(TRUNC(P59/BB16,1),"#,##0.#")</f>
        <v>181.9</v>
      </c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85"/>
      <c r="CY59" s="85"/>
      <c r="CZ59" s="85"/>
      <c r="DA59" s="86"/>
      <c r="DB59" s="84"/>
    </row>
    <row r="60" spans="2:106" ht="11.25" customHeight="1">
      <c r="B60" s="78"/>
      <c r="C60" s="79"/>
      <c r="D60" s="79"/>
      <c r="E60" s="79"/>
      <c r="F60" s="79"/>
      <c r="G60" s="79" t="s">
        <v>305</v>
      </c>
      <c r="H60" s="79"/>
      <c r="I60" s="79"/>
      <c r="J60" s="79"/>
      <c r="K60" s="79" t="s">
        <v>436</v>
      </c>
      <c r="L60" s="79"/>
      <c r="M60" s="79"/>
      <c r="N60" s="79" t="s">
        <v>604</v>
      </c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 t="str">
        <f>TEXT(AR57+AK58+AJ59,"#,##0.#######")</f>
        <v>513.1</v>
      </c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85">
        <f>CY60+CZ60+DA60</f>
        <v>513.1</v>
      </c>
      <c r="CY60" s="85" t="str">
        <f>TEXT(AR57,"#,###.0")</f>
        <v>272.4</v>
      </c>
      <c r="CZ60" s="85" t="str">
        <f>TEXT(AK58,"#,###.0")</f>
        <v>58.8</v>
      </c>
      <c r="DA60" s="86" t="str">
        <f>TEXT(AJ59,"#,###.0")</f>
        <v>181.9</v>
      </c>
      <c r="DB60" s="84"/>
    </row>
    <row r="61" spans="2:106" ht="11.25" customHeight="1">
      <c r="B61" s="78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  <c r="CH61" s="79"/>
      <c r="CI61" s="79"/>
      <c r="CJ61" s="79"/>
      <c r="CK61" s="79"/>
      <c r="CL61" s="79"/>
      <c r="CM61" s="79"/>
      <c r="CN61" s="79"/>
      <c r="CO61" s="79"/>
      <c r="CP61" s="79"/>
      <c r="CQ61" s="79"/>
      <c r="CR61" s="79"/>
      <c r="CS61" s="79"/>
      <c r="CT61" s="79"/>
      <c r="CU61" s="79"/>
      <c r="CV61" s="79"/>
      <c r="CW61" s="79"/>
      <c r="CX61" s="85"/>
      <c r="CY61" s="85"/>
      <c r="CZ61" s="85"/>
      <c r="DA61" s="86"/>
      <c r="DB61" s="84"/>
    </row>
    <row r="62" spans="2:106" ht="11.25" customHeight="1">
      <c r="B62" s="78"/>
      <c r="C62" s="79"/>
      <c r="D62" s="79"/>
      <c r="E62" s="79" t="s">
        <v>346</v>
      </c>
      <c r="F62" s="79"/>
      <c r="G62" s="79" t="s">
        <v>587</v>
      </c>
      <c r="H62" s="79"/>
      <c r="I62" s="79" t="s">
        <v>285</v>
      </c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 t="s">
        <v>364</v>
      </c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  <c r="CK62" s="79"/>
      <c r="CL62" s="79"/>
      <c r="CM62" s="79"/>
      <c r="CN62" s="79"/>
      <c r="CO62" s="79"/>
      <c r="CP62" s="79"/>
      <c r="CQ62" s="79"/>
      <c r="CR62" s="79"/>
      <c r="CS62" s="79"/>
      <c r="CT62" s="79"/>
      <c r="CU62" s="79"/>
      <c r="CV62" s="79"/>
      <c r="CW62" s="79"/>
      <c r="CX62" s="85"/>
      <c r="CY62" s="85"/>
      <c r="CZ62" s="85"/>
      <c r="DA62" s="86"/>
      <c r="DB62" s="84"/>
    </row>
    <row r="63" spans="2:106" ht="11.25" customHeight="1">
      <c r="B63" s="78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  <c r="CQ63" s="79"/>
      <c r="CR63" s="79"/>
      <c r="CS63" s="79"/>
      <c r="CT63" s="79"/>
      <c r="CU63" s="79"/>
      <c r="CV63" s="79"/>
      <c r="CW63" s="79"/>
      <c r="CX63" s="85"/>
      <c r="CY63" s="85"/>
      <c r="CZ63" s="85"/>
      <c r="DA63" s="86"/>
      <c r="DB63" s="84"/>
    </row>
    <row r="64" spans="2:106" ht="11.25" customHeight="1">
      <c r="B64" s="78"/>
      <c r="C64" s="79"/>
      <c r="D64" s="79"/>
      <c r="E64" s="79"/>
      <c r="F64" s="79"/>
      <c r="G64" s="79" t="s">
        <v>700</v>
      </c>
      <c r="H64" s="79"/>
      <c r="I64" s="79"/>
      <c r="J64" s="79"/>
      <c r="K64" s="79"/>
      <c r="L64" s="79"/>
      <c r="M64" s="79"/>
      <c r="N64" s="79" t="s">
        <v>604</v>
      </c>
      <c r="O64" s="79"/>
      <c r="P64" s="79" t="str">
        <f>TEXT(기계경비총괄표!G8,"#,##0")</f>
        <v>59,020</v>
      </c>
      <c r="Q64" s="79"/>
      <c r="R64" s="79"/>
      <c r="S64" s="79"/>
      <c r="T64" s="79"/>
      <c r="U64" s="79"/>
      <c r="V64" s="79"/>
      <c r="W64" s="79"/>
      <c r="X64" s="79"/>
      <c r="Y64" s="79" t="s">
        <v>391</v>
      </c>
      <c r="Z64" s="79"/>
      <c r="AA64" s="79"/>
      <c r="AB64" s="79" t="str">
        <f>TEXT(BB16,"#,##0.#######")</f>
        <v>325.</v>
      </c>
      <c r="AC64" s="79"/>
      <c r="AD64" s="79"/>
      <c r="AE64" s="79"/>
      <c r="AF64" s="79"/>
      <c r="AG64" s="79"/>
      <c r="AH64" s="79" t="s">
        <v>699</v>
      </c>
      <c r="AI64" s="79"/>
      <c r="AJ64" s="79"/>
      <c r="AK64" s="79" t="str">
        <f>TEXT(150,"#,##0.#######")</f>
        <v>150.</v>
      </c>
      <c r="AL64" s="79"/>
      <c r="AM64" s="79"/>
      <c r="AN64" s="79" t="s">
        <v>157</v>
      </c>
      <c r="AO64" s="79"/>
      <c r="AP64" s="79" t="s">
        <v>309</v>
      </c>
      <c r="AQ64" s="79"/>
      <c r="AR64" s="79" t="str">
        <f>TEXT(TRUNC(P64/BB16*(AK64*(1/100)),1),"#,##0.#")</f>
        <v>272.4</v>
      </c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  <c r="CP64" s="79"/>
      <c r="CQ64" s="79"/>
      <c r="CR64" s="79"/>
      <c r="CS64" s="79"/>
      <c r="CT64" s="79"/>
      <c r="CU64" s="79"/>
      <c r="CV64" s="79"/>
      <c r="CW64" s="79"/>
      <c r="CX64" s="85"/>
      <c r="CY64" s="85"/>
      <c r="CZ64" s="85"/>
      <c r="DA64" s="86"/>
      <c r="DB64" s="84"/>
    </row>
    <row r="65" spans="2:106" ht="11.25" customHeight="1">
      <c r="B65" s="78"/>
      <c r="C65" s="79"/>
      <c r="D65" s="79"/>
      <c r="E65" s="79"/>
      <c r="F65" s="79"/>
      <c r="G65" s="79" t="s">
        <v>498</v>
      </c>
      <c r="H65" s="79"/>
      <c r="I65" s="79"/>
      <c r="J65" s="79"/>
      <c r="K65" s="79"/>
      <c r="L65" s="79"/>
      <c r="M65" s="79"/>
      <c r="N65" s="79" t="s">
        <v>604</v>
      </c>
      <c r="O65" s="79"/>
      <c r="P65" s="79" t="str">
        <f>TEXT(기계경비총괄표!H8,"#,##0")</f>
        <v>15,100</v>
      </c>
      <c r="Q65" s="79"/>
      <c r="R65" s="79"/>
      <c r="S65" s="79"/>
      <c r="T65" s="79"/>
      <c r="U65" s="79"/>
      <c r="V65" s="79"/>
      <c r="W65" s="79"/>
      <c r="X65" s="79"/>
      <c r="Y65" s="79" t="s">
        <v>391</v>
      </c>
      <c r="Z65" s="79"/>
      <c r="AA65" s="79"/>
      <c r="AB65" s="79" t="str">
        <f>TEXT(BB16,"#,##0.#######")</f>
        <v>325.</v>
      </c>
      <c r="AC65" s="79"/>
      <c r="AD65" s="79"/>
      <c r="AE65" s="79"/>
      <c r="AF65" s="79"/>
      <c r="AG65" s="79"/>
      <c r="AH65" s="79" t="s">
        <v>309</v>
      </c>
      <c r="AI65" s="79"/>
      <c r="AJ65" s="79"/>
      <c r="AK65" s="79" t="str">
        <f>TEXT(TRUNC(P65/BB16,1),"#,##0.#")</f>
        <v>46.4</v>
      </c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85"/>
      <c r="CY65" s="85"/>
      <c r="CZ65" s="85"/>
      <c r="DA65" s="86"/>
      <c r="DB65" s="84"/>
    </row>
    <row r="66" spans="2:106" ht="11.25" customHeight="1">
      <c r="B66" s="78"/>
      <c r="C66" s="79"/>
      <c r="D66" s="79"/>
      <c r="E66" s="79"/>
      <c r="F66" s="79"/>
      <c r="G66" s="79" t="s">
        <v>160</v>
      </c>
      <c r="H66" s="79"/>
      <c r="I66" s="79"/>
      <c r="J66" s="79"/>
      <c r="K66" s="79" t="s">
        <v>440</v>
      </c>
      <c r="L66" s="79"/>
      <c r="M66" s="79"/>
      <c r="N66" s="79" t="s">
        <v>604</v>
      </c>
      <c r="O66" s="79"/>
      <c r="P66" s="79" t="str">
        <f>TEXT(기계경비총괄표!I8,"#,##0")</f>
        <v>12,857</v>
      </c>
      <c r="Q66" s="79"/>
      <c r="R66" s="79"/>
      <c r="S66" s="79"/>
      <c r="T66" s="79"/>
      <c r="U66" s="79"/>
      <c r="V66" s="79"/>
      <c r="W66" s="79"/>
      <c r="X66" s="79"/>
      <c r="Y66" s="79" t="s">
        <v>391</v>
      </c>
      <c r="Z66" s="79"/>
      <c r="AA66" s="79"/>
      <c r="AB66" s="79" t="str">
        <f>TEXT(BB16,"#,##0.#######")</f>
        <v>325.</v>
      </c>
      <c r="AC66" s="79"/>
      <c r="AD66" s="79"/>
      <c r="AE66" s="79"/>
      <c r="AF66" s="79"/>
      <c r="AG66" s="79"/>
      <c r="AH66" s="79" t="s">
        <v>309</v>
      </c>
      <c r="AI66" s="79"/>
      <c r="AJ66" s="79"/>
      <c r="AK66" s="79" t="str">
        <f>TEXT(TRUNC(P66/BB16,1),"#,##0.#")</f>
        <v>39.5</v>
      </c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  <c r="CK66" s="79"/>
      <c r="CL66" s="79"/>
      <c r="CM66" s="79"/>
      <c r="CN66" s="79"/>
      <c r="CO66" s="79"/>
      <c r="CP66" s="79"/>
      <c r="CQ66" s="79"/>
      <c r="CR66" s="79"/>
      <c r="CS66" s="79"/>
      <c r="CT66" s="79"/>
      <c r="CU66" s="79"/>
      <c r="CV66" s="79"/>
      <c r="CW66" s="79"/>
      <c r="CX66" s="85"/>
      <c r="CY66" s="85"/>
      <c r="CZ66" s="85"/>
      <c r="DA66" s="86"/>
      <c r="DB66" s="84"/>
    </row>
    <row r="67" spans="2:106" ht="11.25" customHeight="1">
      <c r="B67" s="78"/>
      <c r="C67" s="79"/>
      <c r="D67" s="79"/>
      <c r="E67" s="79"/>
      <c r="F67" s="79"/>
      <c r="G67" s="79" t="s">
        <v>305</v>
      </c>
      <c r="H67" s="79"/>
      <c r="I67" s="79"/>
      <c r="J67" s="79"/>
      <c r="K67" s="79" t="s">
        <v>436</v>
      </c>
      <c r="L67" s="79"/>
      <c r="M67" s="79"/>
      <c r="N67" s="79" t="s">
        <v>604</v>
      </c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 t="str">
        <f>TEXT(AR64+AK65+AK66,"#,##0.#######")</f>
        <v>358.3</v>
      </c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  <c r="CH67" s="79"/>
      <c r="CI67" s="79"/>
      <c r="CJ67" s="79"/>
      <c r="CK67" s="79"/>
      <c r="CL67" s="79"/>
      <c r="CM67" s="79"/>
      <c r="CN67" s="79"/>
      <c r="CO67" s="79"/>
      <c r="CP67" s="79"/>
      <c r="CQ67" s="79"/>
      <c r="CR67" s="79"/>
      <c r="CS67" s="79"/>
      <c r="CT67" s="79"/>
      <c r="CU67" s="79"/>
      <c r="CV67" s="79"/>
      <c r="CW67" s="79"/>
      <c r="CX67" s="85">
        <f>CY67+CZ67+DA67</f>
        <v>358.29999999999995</v>
      </c>
      <c r="CY67" s="85" t="str">
        <f>TEXT(AR64,"#,###.0")</f>
        <v>272.4</v>
      </c>
      <c r="CZ67" s="85" t="str">
        <f>TEXT(AK65,"#,###.0")</f>
        <v>46.4</v>
      </c>
      <c r="DA67" s="86" t="str">
        <f>TEXT(AK66,"#,###.0")</f>
        <v>39.5</v>
      </c>
      <c r="DB67" s="84"/>
    </row>
    <row r="68" spans="2:106" ht="11.25" customHeight="1"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9"/>
      <c r="CW68" s="79"/>
      <c r="CX68" s="85"/>
      <c r="CY68" s="85"/>
      <c r="CZ68" s="85"/>
      <c r="DA68" s="86"/>
      <c r="DB68" s="84"/>
    </row>
    <row r="69" spans="2:106" ht="11.25" customHeight="1">
      <c r="B69" s="78"/>
      <c r="C69" s="79"/>
      <c r="D69" s="79"/>
      <c r="E69" s="79" t="s">
        <v>781</v>
      </c>
      <c r="F69" s="79"/>
      <c r="G69" s="79" t="s">
        <v>587</v>
      </c>
      <c r="H69" s="79"/>
      <c r="I69" s="79" t="s">
        <v>619</v>
      </c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 t="s">
        <v>22</v>
      </c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  <c r="CH69" s="79"/>
      <c r="CI69" s="79"/>
      <c r="CJ69" s="79"/>
      <c r="CK69" s="79"/>
      <c r="CL69" s="79"/>
      <c r="CM69" s="79"/>
      <c r="CN69" s="79"/>
      <c r="CO69" s="79"/>
      <c r="CP69" s="79"/>
      <c r="CQ69" s="79"/>
      <c r="CR69" s="79"/>
      <c r="CS69" s="79"/>
      <c r="CT69" s="79"/>
      <c r="CU69" s="79"/>
      <c r="CV69" s="79"/>
      <c r="CW69" s="79"/>
      <c r="CX69" s="85"/>
      <c r="CY69" s="85"/>
      <c r="CZ69" s="85"/>
      <c r="DA69" s="86"/>
      <c r="DB69" s="84"/>
    </row>
    <row r="70" spans="2:106" ht="11.25" customHeight="1"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  <c r="CH70" s="79"/>
      <c r="CI70" s="79"/>
      <c r="CJ70" s="79"/>
      <c r="CK70" s="79"/>
      <c r="CL70" s="79"/>
      <c r="CM70" s="79"/>
      <c r="CN70" s="79"/>
      <c r="CO70" s="79"/>
      <c r="CP70" s="79"/>
      <c r="CQ70" s="79"/>
      <c r="CR70" s="79"/>
      <c r="CS70" s="79"/>
      <c r="CT70" s="79"/>
      <c r="CU70" s="79"/>
      <c r="CV70" s="79"/>
      <c r="CW70" s="79"/>
      <c r="CX70" s="85"/>
      <c r="CY70" s="85"/>
      <c r="CZ70" s="85"/>
      <c r="DA70" s="86"/>
      <c r="DB70" s="84"/>
    </row>
    <row r="71" spans="2:106" ht="11.25" customHeight="1">
      <c r="B71" s="78"/>
      <c r="C71" s="79"/>
      <c r="D71" s="79"/>
      <c r="E71" s="79"/>
      <c r="F71" s="79"/>
      <c r="G71" s="79" t="s">
        <v>700</v>
      </c>
      <c r="H71" s="79"/>
      <c r="I71" s="79"/>
      <c r="J71" s="79"/>
      <c r="K71" s="79"/>
      <c r="L71" s="79"/>
      <c r="M71" s="79"/>
      <c r="N71" s="79" t="s">
        <v>604</v>
      </c>
      <c r="O71" s="79"/>
      <c r="P71" s="79" t="str">
        <f>TEXT(기계경비총괄표!G9,"#,##0")</f>
        <v>59,020</v>
      </c>
      <c r="Q71" s="79"/>
      <c r="R71" s="79"/>
      <c r="S71" s="79"/>
      <c r="T71" s="79"/>
      <c r="U71" s="79"/>
      <c r="V71" s="79"/>
      <c r="W71" s="79"/>
      <c r="X71" s="79"/>
      <c r="Y71" s="79" t="s">
        <v>391</v>
      </c>
      <c r="Z71" s="79"/>
      <c r="AA71" s="79"/>
      <c r="AB71" s="79" t="str">
        <f>TEXT(BB16,"#,##0.#######")</f>
        <v>325.</v>
      </c>
      <c r="AC71" s="79"/>
      <c r="AD71" s="79"/>
      <c r="AE71" s="79"/>
      <c r="AF71" s="79"/>
      <c r="AG71" s="79"/>
      <c r="AH71" s="79" t="s">
        <v>699</v>
      </c>
      <c r="AI71" s="79"/>
      <c r="AJ71" s="79"/>
      <c r="AK71" s="79" t="str">
        <f>TEXT(150,"#,##0.#######")</f>
        <v>150.</v>
      </c>
      <c r="AL71" s="79"/>
      <c r="AM71" s="79"/>
      <c r="AN71" s="79" t="s">
        <v>157</v>
      </c>
      <c r="AO71" s="79"/>
      <c r="AP71" s="79" t="s">
        <v>309</v>
      </c>
      <c r="AQ71" s="79"/>
      <c r="AR71" s="79" t="str">
        <f>TEXT(TRUNC(P71/BB16*(AK71*(1/100)),1),"#,##0.#")</f>
        <v>272.4</v>
      </c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  <c r="CH71" s="79"/>
      <c r="CI71" s="79"/>
      <c r="CJ71" s="79"/>
      <c r="CK71" s="79"/>
      <c r="CL71" s="79"/>
      <c r="CM71" s="79"/>
      <c r="CN71" s="79"/>
      <c r="CO71" s="79"/>
      <c r="CP71" s="79"/>
      <c r="CQ71" s="79"/>
      <c r="CR71" s="79"/>
      <c r="CS71" s="79"/>
      <c r="CT71" s="79"/>
      <c r="CU71" s="79"/>
      <c r="CV71" s="79"/>
      <c r="CW71" s="79"/>
      <c r="CX71" s="85"/>
      <c r="CY71" s="85"/>
      <c r="CZ71" s="85"/>
      <c r="DA71" s="86"/>
      <c r="DB71" s="84"/>
    </row>
    <row r="72" spans="2:106" ht="11.25" customHeight="1">
      <c r="B72" s="78"/>
      <c r="C72" s="79"/>
      <c r="D72" s="79"/>
      <c r="E72" s="79"/>
      <c r="F72" s="79"/>
      <c r="G72" s="79" t="s">
        <v>498</v>
      </c>
      <c r="H72" s="79"/>
      <c r="I72" s="79"/>
      <c r="J72" s="79"/>
      <c r="K72" s="79"/>
      <c r="L72" s="79"/>
      <c r="M72" s="79"/>
      <c r="N72" s="79" t="s">
        <v>604</v>
      </c>
      <c r="O72" s="79"/>
      <c r="P72" s="79" t="str">
        <f>TEXT(기계경비총괄표!H9,"#,##0")</f>
        <v>13,539</v>
      </c>
      <c r="Q72" s="79"/>
      <c r="R72" s="79"/>
      <c r="S72" s="79"/>
      <c r="T72" s="79"/>
      <c r="U72" s="79"/>
      <c r="V72" s="79"/>
      <c r="W72" s="79"/>
      <c r="X72" s="79"/>
      <c r="Y72" s="79" t="s">
        <v>391</v>
      </c>
      <c r="Z72" s="79"/>
      <c r="AA72" s="79"/>
      <c r="AB72" s="79" t="str">
        <f>TEXT(BB16,"#,##0.#######")</f>
        <v>325.</v>
      </c>
      <c r="AC72" s="79"/>
      <c r="AD72" s="79"/>
      <c r="AE72" s="79"/>
      <c r="AF72" s="79"/>
      <c r="AG72" s="79"/>
      <c r="AH72" s="79" t="s">
        <v>309</v>
      </c>
      <c r="AI72" s="79"/>
      <c r="AJ72" s="79"/>
      <c r="AK72" s="79" t="str">
        <f>TEXT(TRUNC(P72/BB16,1),"#,##0.#")</f>
        <v>41.6</v>
      </c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  <c r="CH72" s="79"/>
      <c r="CI72" s="79"/>
      <c r="CJ72" s="79"/>
      <c r="CK72" s="79"/>
      <c r="CL72" s="79"/>
      <c r="CM72" s="79"/>
      <c r="CN72" s="79"/>
      <c r="CO72" s="79"/>
      <c r="CP72" s="79"/>
      <c r="CQ72" s="79"/>
      <c r="CR72" s="79"/>
      <c r="CS72" s="79"/>
      <c r="CT72" s="79"/>
      <c r="CU72" s="79"/>
      <c r="CV72" s="79"/>
      <c r="CW72" s="79"/>
      <c r="CX72" s="85"/>
      <c r="CY72" s="85"/>
      <c r="CZ72" s="85"/>
      <c r="DA72" s="86"/>
      <c r="DB72" s="84"/>
    </row>
    <row r="73" spans="2:106" ht="11.25" customHeight="1">
      <c r="B73" s="78"/>
      <c r="C73" s="79"/>
      <c r="D73" s="79"/>
      <c r="E73" s="79"/>
      <c r="F73" s="79"/>
      <c r="G73" s="79" t="s">
        <v>160</v>
      </c>
      <c r="H73" s="79"/>
      <c r="I73" s="79"/>
      <c r="J73" s="79"/>
      <c r="K73" s="79" t="s">
        <v>440</v>
      </c>
      <c r="L73" s="79"/>
      <c r="M73" s="79"/>
      <c r="N73" s="79" t="s">
        <v>604</v>
      </c>
      <c r="O73" s="79"/>
      <c r="P73" s="79" t="str">
        <f>TEXT(기계경비총괄표!I9,"#,##0")</f>
        <v>19,136</v>
      </c>
      <c r="Q73" s="79"/>
      <c r="R73" s="79"/>
      <c r="S73" s="79"/>
      <c r="T73" s="79"/>
      <c r="U73" s="79"/>
      <c r="V73" s="79"/>
      <c r="W73" s="79"/>
      <c r="X73" s="79"/>
      <c r="Y73" s="79" t="s">
        <v>391</v>
      </c>
      <c r="Z73" s="79"/>
      <c r="AA73" s="79"/>
      <c r="AB73" s="79" t="str">
        <f>TEXT(BB16,"#,##0.#######")</f>
        <v>325.</v>
      </c>
      <c r="AC73" s="79"/>
      <c r="AD73" s="79"/>
      <c r="AE73" s="79"/>
      <c r="AF73" s="79"/>
      <c r="AG73" s="79"/>
      <c r="AH73" s="79" t="s">
        <v>309</v>
      </c>
      <c r="AI73" s="79"/>
      <c r="AJ73" s="79"/>
      <c r="AK73" s="79" t="str">
        <f>TEXT(TRUNC(P73/BB16,1),"#,##0.#")</f>
        <v>58.8</v>
      </c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  <c r="CH73" s="79"/>
      <c r="CI73" s="79"/>
      <c r="CJ73" s="79"/>
      <c r="CK73" s="79"/>
      <c r="CL73" s="79"/>
      <c r="CM73" s="79"/>
      <c r="CN73" s="79"/>
      <c r="CO73" s="79"/>
      <c r="CP73" s="79"/>
      <c r="CQ73" s="79"/>
      <c r="CR73" s="79"/>
      <c r="CS73" s="79"/>
      <c r="CT73" s="79"/>
      <c r="CU73" s="79"/>
      <c r="CV73" s="79"/>
      <c r="CW73" s="79"/>
      <c r="CX73" s="85"/>
      <c r="CY73" s="85"/>
      <c r="CZ73" s="85"/>
      <c r="DA73" s="86"/>
      <c r="DB73" s="84"/>
    </row>
    <row r="74" spans="2:106" ht="11.25" customHeight="1">
      <c r="B74" s="78"/>
      <c r="C74" s="79"/>
      <c r="D74" s="79"/>
      <c r="E74" s="79"/>
      <c r="F74" s="79"/>
      <c r="G74" s="79" t="s">
        <v>305</v>
      </c>
      <c r="H74" s="79"/>
      <c r="I74" s="79"/>
      <c r="J74" s="79"/>
      <c r="K74" s="79" t="s">
        <v>436</v>
      </c>
      <c r="L74" s="79"/>
      <c r="M74" s="79"/>
      <c r="N74" s="79" t="s">
        <v>604</v>
      </c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 t="str">
        <f>TEXT(AR71+AK72+AK73,"#,##0.#######")</f>
        <v>372.8</v>
      </c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  <c r="CH74" s="79"/>
      <c r="CI74" s="79"/>
      <c r="CJ74" s="79"/>
      <c r="CK74" s="79"/>
      <c r="CL74" s="79"/>
      <c r="CM74" s="79"/>
      <c r="CN74" s="79"/>
      <c r="CO74" s="79"/>
      <c r="CP74" s="79"/>
      <c r="CQ74" s="79"/>
      <c r="CR74" s="79"/>
      <c r="CS74" s="79"/>
      <c r="CT74" s="79"/>
      <c r="CU74" s="79"/>
      <c r="CV74" s="79"/>
      <c r="CW74" s="79"/>
      <c r="CX74" s="85">
        <f>CY74+CZ74+DA74</f>
        <v>372.8</v>
      </c>
      <c r="CY74" s="85" t="str">
        <f>TEXT(AR71,"#,###.0")</f>
        <v>272.4</v>
      </c>
      <c r="CZ74" s="85" t="str">
        <f>TEXT(AK72,"#,###.0")</f>
        <v>41.6</v>
      </c>
      <c r="DA74" s="86" t="str">
        <f>TEXT(AK73,"#,###.0")</f>
        <v>58.8</v>
      </c>
      <c r="DB74" s="84"/>
    </row>
    <row r="75" spans="2:106" ht="11.25" customHeight="1">
      <c r="B75" s="78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  <c r="CN75" s="79"/>
      <c r="CO75" s="79"/>
      <c r="CP75" s="79"/>
      <c r="CQ75" s="79"/>
      <c r="CR75" s="79"/>
      <c r="CS75" s="79"/>
      <c r="CT75" s="79"/>
      <c r="CU75" s="79"/>
      <c r="CV75" s="79"/>
      <c r="CW75" s="79"/>
      <c r="CX75" s="85"/>
      <c r="CY75" s="85"/>
      <c r="CZ75" s="85"/>
      <c r="DA75" s="86"/>
      <c r="DB75" s="84"/>
    </row>
    <row r="76" spans="2:106" ht="11.25" customHeight="1">
      <c r="B76" s="78"/>
      <c r="C76" s="79"/>
      <c r="D76" s="79"/>
      <c r="E76" s="79" t="s">
        <v>269</v>
      </c>
      <c r="F76" s="79"/>
      <c r="G76" s="79" t="s">
        <v>587</v>
      </c>
      <c r="H76" s="79"/>
      <c r="I76" s="79" t="s">
        <v>449</v>
      </c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 t="s">
        <v>707</v>
      </c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79"/>
      <c r="CJ76" s="79"/>
      <c r="CK76" s="79"/>
      <c r="CL76" s="79"/>
      <c r="CM76" s="79"/>
      <c r="CN76" s="79"/>
      <c r="CO76" s="79"/>
      <c r="CP76" s="79"/>
      <c r="CQ76" s="79"/>
      <c r="CR76" s="79"/>
      <c r="CS76" s="79"/>
      <c r="CT76" s="79"/>
      <c r="CU76" s="79"/>
      <c r="CV76" s="79"/>
      <c r="CW76" s="79"/>
      <c r="CX76" s="85"/>
      <c r="CY76" s="85"/>
      <c r="CZ76" s="85"/>
      <c r="DA76" s="86"/>
      <c r="DB76" s="84"/>
    </row>
    <row r="77" spans="2:106" ht="11.25" customHeight="1">
      <c r="B77" s="78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79"/>
      <c r="CJ77" s="79"/>
      <c r="CK77" s="79"/>
      <c r="CL77" s="79"/>
      <c r="CM77" s="79"/>
      <c r="CN77" s="79"/>
      <c r="CO77" s="79"/>
      <c r="CP77" s="79"/>
      <c r="CQ77" s="79"/>
      <c r="CR77" s="79"/>
      <c r="CS77" s="79"/>
      <c r="CT77" s="79"/>
      <c r="CU77" s="79"/>
      <c r="CV77" s="79"/>
      <c r="CW77" s="79"/>
      <c r="CX77" s="85"/>
      <c r="CY77" s="85"/>
      <c r="CZ77" s="85"/>
      <c r="DA77" s="86"/>
      <c r="DB77" s="84"/>
    </row>
    <row r="78" spans="2:106" ht="11.25" customHeight="1">
      <c r="B78" s="78"/>
      <c r="C78" s="79"/>
      <c r="D78" s="79"/>
      <c r="E78" s="79"/>
      <c r="F78" s="79"/>
      <c r="G78" s="79" t="s">
        <v>700</v>
      </c>
      <c r="H78" s="79"/>
      <c r="I78" s="79"/>
      <c r="J78" s="79"/>
      <c r="K78" s="79"/>
      <c r="L78" s="79"/>
      <c r="M78" s="79"/>
      <c r="N78" s="79" t="s">
        <v>604</v>
      </c>
      <c r="O78" s="79"/>
      <c r="P78" s="79" t="str">
        <f>TEXT(기계경비총괄표!G10,"#,##0")</f>
        <v>59,020</v>
      </c>
      <c r="Q78" s="79"/>
      <c r="R78" s="79"/>
      <c r="S78" s="79"/>
      <c r="T78" s="79"/>
      <c r="U78" s="79"/>
      <c r="V78" s="79"/>
      <c r="W78" s="79"/>
      <c r="X78" s="79"/>
      <c r="Y78" s="79" t="s">
        <v>391</v>
      </c>
      <c r="Z78" s="79"/>
      <c r="AA78" s="79"/>
      <c r="AB78" s="79" t="str">
        <f>TEXT(BB16,"#,##0.#######")</f>
        <v>325.</v>
      </c>
      <c r="AC78" s="79"/>
      <c r="AD78" s="79"/>
      <c r="AE78" s="79"/>
      <c r="AF78" s="79"/>
      <c r="AG78" s="79"/>
      <c r="AH78" s="79" t="s">
        <v>699</v>
      </c>
      <c r="AI78" s="79"/>
      <c r="AJ78" s="79"/>
      <c r="AK78" s="79" t="str">
        <f>TEXT(150,"#,##0.#######")</f>
        <v>150.</v>
      </c>
      <c r="AL78" s="79"/>
      <c r="AM78" s="79"/>
      <c r="AN78" s="79" t="s">
        <v>157</v>
      </c>
      <c r="AO78" s="79"/>
      <c r="AP78" s="79" t="s">
        <v>309</v>
      </c>
      <c r="AQ78" s="79"/>
      <c r="AR78" s="79" t="str">
        <f>TEXT(TRUNC(P78/BB16*(AK78*(1/100)),1),"#,##0.#")</f>
        <v>272.4</v>
      </c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  <c r="CH78" s="79"/>
      <c r="CI78" s="79"/>
      <c r="CJ78" s="79"/>
      <c r="CK78" s="79"/>
      <c r="CL78" s="79"/>
      <c r="CM78" s="79"/>
      <c r="CN78" s="79"/>
      <c r="CO78" s="79"/>
      <c r="CP78" s="79"/>
      <c r="CQ78" s="79"/>
      <c r="CR78" s="79"/>
      <c r="CS78" s="79"/>
      <c r="CT78" s="79"/>
      <c r="CU78" s="79"/>
      <c r="CV78" s="79"/>
      <c r="CW78" s="79"/>
      <c r="CX78" s="85"/>
      <c r="CY78" s="85"/>
      <c r="CZ78" s="85"/>
      <c r="DA78" s="86"/>
      <c r="DB78" s="84"/>
    </row>
    <row r="79" spans="2:106" ht="11.25" customHeight="1">
      <c r="B79" s="78"/>
      <c r="C79" s="79"/>
      <c r="D79" s="79"/>
      <c r="E79" s="79"/>
      <c r="F79" s="79"/>
      <c r="G79" s="79" t="s">
        <v>498</v>
      </c>
      <c r="H79" s="79"/>
      <c r="I79" s="79"/>
      <c r="J79" s="79"/>
      <c r="K79" s="79"/>
      <c r="L79" s="79"/>
      <c r="M79" s="79"/>
      <c r="N79" s="79" t="s">
        <v>604</v>
      </c>
      <c r="O79" s="79"/>
      <c r="P79" s="79"/>
      <c r="Q79" s="79" t="str">
        <f>TEXT(기계경비총괄표!H10,"#,##0")</f>
        <v>8,118</v>
      </c>
      <c r="R79" s="79"/>
      <c r="S79" s="79"/>
      <c r="T79" s="79"/>
      <c r="U79" s="79"/>
      <c r="V79" s="79"/>
      <c r="W79" s="79"/>
      <c r="X79" s="79"/>
      <c r="Y79" s="79" t="s">
        <v>391</v>
      </c>
      <c r="Z79" s="79"/>
      <c r="AA79" s="79"/>
      <c r="AB79" s="79" t="str">
        <f>TEXT(BB16,"#,##0.#######")</f>
        <v>325.</v>
      </c>
      <c r="AC79" s="79"/>
      <c r="AD79" s="79"/>
      <c r="AE79" s="79"/>
      <c r="AF79" s="79"/>
      <c r="AG79" s="79"/>
      <c r="AH79" s="79" t="s">
        <v>309</v>
      </c>
      <c r="AI79" s="79"/>
      <c r="AJ79" s="79"/>
      <c r="AK79" s="79" t="str">
        <f>TEXT(TRUNC(Q79/BB16,1),"#,##0.#")</f>
        <v>24.9</v>
      </c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  <c r="CH79" s="79"/>
      <c r="CI79" s="79"/>
      <c r="CJ79" s="79"/>
      <c r="CK79" s="79"/>
      <c r="CL79" s="79"/>
      <c r="CM79" s="79"/>
      <c r="CN79" s="79"/>
      <c r="CO79" s="79"/>
      <c r="CP79" s="79"/>
      <c r="CQ79" s="79"/>
      <c r="CR79" s="79"/>
      <c r="CS79" s="79"/>
      <c r="CT79" s="79"/>
      <c r="CU79" s="79"/>
      <c r="CV79" s="79"/>
      <c r="CW79" s="79"/>
      <c r="CX79" s="85"/>
      <c r="CY79" s="85"/>
      <c r="CZ79" s="85"/>
      <c r="DA79" s="86"/>
      <c r="DB79" s="84"/>
    </row>
    <row r="80" spans="2:106" ht="11.25" customHeight="1">
      <c r="B80" s="78"/>
      <c r="C80" s="79"/>
      <c r="D80" s="79"/>
      <c r="E80" s="79"/>
      <c r="F80" s="79"/>
      <c r="G80" s="79" t="s">
        <v>160</v>
      </c>
      <c r="H80" s="79"/>
      <c r="I80" s="79"/>
      <c r="J80" s="79"/>
      <c r="K80" s="79" t="s">
        <v>440</v>
      </c>
      <c r="L80" s="79"/>
      <c r="M80" s="79"/>
      <c r="N80" s="79" t="s">
        <v>604</v>
      </c>
      <c r="O80" s="79"/>
      <c r="P80" s="79"/>
      <c r="Q80" s="79" t="str">
        <f>TEXT(기계경비총괄표!I10,"#,##0")</f>
        <v>9,037</v>
      </c>
      <c r="R80" s="79"/>
      <c r="S80" s="79"/>
      <c r="T80" s="79"/>
      <c r="U80" s="79"/>
      <c r="V80" s="79"/>
      <c r="W80" s="79"/>
      <c r="X80" s="79"/>
      <c r="Y80" s="79" t="s">
        <v>391</v>
      </c>
      <c r="Z80" s="79"/>
      <c r="AA80" s="79"/>
      <c r="AB80" s="79" t="str">
        <f>TEXT(BB16,"#,##0.#######")</f>
        <v>325.</v>
      </c>
      <c r="AC80" s="79"/>
      <c r="AD80" s="79"/>
      <c r="AE80" s="79"/>
      <c r="AF80" s="79"/>
      <c r="AG80" s="79"/>
      <c r="AH80" s="79" t="s">
        <v>309</v>
      </c>
      <c r="AI80" s="79"/>
      <c r="AJ80" s="79"/>
      <c r="AK80" s="79" t="str">
        <f>TEXT(TRUNC(Q80/BB16,1),"#,##0.#")</f>
        <v>27.8</v>
      </c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  <c r="CH80" s="79"/>
      <c r="CI80" s="79"/>
      <c r="CJ80" s="79"/>
      <c r="CK80" s="79"/>
      <c r="CL80" s="79"/>
      <c r="CM80" s="79"/>
      <c r="CN80" s="79"/>
      <c r="CO80" s="79"/>
      <c r="CP80" s="79"/>
      <c r="CQ80" s="79"/>
      <c r="CR80" s="79"/>
      <c r="CS80" s="79"/>
      <c r="CT80" s="79"/>
      <c r="CU80" s="79"/>
      <c r="CV80" s="79"/>
      <c r="CW80" s="79"/>
      <c r="CX80" s="85"/>
      <c r="CY80" s="85"/>
      <c r="CZ80" s="85"/>
      <c r="DA80" s="86"/>
      <c r="DB80" s="84"/>
    </row>
    <row r="81" spans="2:106" ht="11.25" customHeight="1">
      <c r="B81" s="78"/>
      <c r="C81" s="79"/>
      <c r="D81" s="79"/>
      <c r="E81" s="79"/>
      <c r="F81" s="79"/>
      <c r="G81" s="79" t="s">
        <v>305</v>
      </c>
      <c r="H81" s="79"/>
      <c r="I81" s="79"/>
      <c r="J81" s="79"/>
      <c r="K81" s="79" t="s">
        <v>436</v>
      </c>
      <c r="L81" s="79"/>
      <c r="M81" s="79"/>
      <c r="N81" s="79" t="s">
        <v>604</v>
      </c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 t="str">
        <f>TEXT(AR78+AK79+AK80,"#,##0.#######")</f>
        <v>325.1</v>
      </c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  <c r="CH81" s="79"/>
      <c r="CI81" s="79"/>
      <c r="CJ81" s="79"/>
      <c r="CK81" s="79"/>
      <c r="CL81" s="79"/>
      <c r="CM81" s="79"/>
      <c r="CN81" s="79"/>
      <c r="CO81" s="79"/>
      <c r="CP81" s="79"/>
      <c r="CQ81" s="79"/>
      <c r="CR81" s="79"/>
      <c r="CS81" s="79"/>
      <c r="CT81" s="79"/>
      <c r="CU81" s="79"/>
      <c r="CV81" s="79"/>
      <c r="CW81" s="79"/>
      <c r="CX81" s="85">
        <f>CY81+CZ81+DA81</f>
        <v>325.09999999999997</v>
      </c>
      <c r="CY81" s="85" t="str">
        <f>TEXT(AR78,"#,###.0")</f>
        <v>272.4</v>
      </c>
      <c r="CZ81" s="85" t="str">
        <f>TEXT(AK79,"#,###.0")</f>
        <v>24.9</v>
      </c>
      <c r="DA81" s="86" t="str">
        <f>TEXT(AK80,"#,###.0")</f>
        <v>27.8</v>
      </c>
      <c r="DB81" s="84"/>
    </row>
    <row r="82" spans="2:106" ht="11.25" customHeight="1"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79"/>
      <c r="CG82" s="79"/>
      <c r="CH82" s="79"/>
      <c r="CI82" s="79"/>
      <c r="CJ82" s="79"/>
      <c r="CK82" s="79"/>
      <c r="CL82" s="79"/>
      <c r="CM82" s="79"/>
      <c r="CN82" s="79"/>
      <c r="CO82" s="79"/>
      <c r="CP82" s="79"/>
      <c r="CQ82" s="79"/>
      <c r="CR82" s="79"/>
      <c r="CS82" s="79"/>
      <c r="CT82" s="79"/>
      <c r="CU82" s="79"/>
      <c r="CV82" s="79"/>
      <c r="CW82" s="79"/>
      <c r="CX82" s="85"/>
      <c r="CY82" s="85"/>
      <c r="CZ82" s="85"/>
      <c r="DA82" s="86"/>
      <c r="DB82" s="84"/>
    </row>
    <row r="83" spans="2:106" ht="11.25" customHeight="1">
      <c r="B83" s="78"/>
      <c r="C83" s="79"/>
      <c r="D83" s="79"/>
      <c r="E83" s="79" t="s">
        <v>187</v>
      </c>
      <c r="F83" s="79"/>
      <c r="G83" s="79" t="s">
        <v>587</v>
      </c>
      <c r="H83" s="79"/>
      <c r="I83" s="79" t="s">
        <v>656</v>
      </c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 t="s">
        <v>361</v>
      </c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  <c r="CH83" s="79"/>
      <c r="CI83" s="79"/>
      <c r="CJ83" s="79"/>
      <c r="CK83" s="79"/>
      <c r="CL83" s="79"/>
      <c r="CM83" s="79"/>
      <c r="CN83" s="79"/>
      <c r="CO83" s="79"/>
      <c r="CP83" s="79"/>
      <c r="CQ83" s="79"/>
      <c r="CR83" s="79"/>
      <c r="CS83" s="79"/>
      <c r="CT83" s="79"/>
      <c r="CU83" s="79"/>
      <c r="CV83" s="79"/>
      <c r="CW83" s="79"/>
      <c r="CX83" s="85"/>
      <c r="CY83" s="85"/>
      <c r="CZ83" s="85"/>
      <c r="DA83" s="86"/>
      <c r="DB83" s="84"/>
    </row>
    <row r="84" spans="2:106" ht="11.25" customHeight="1">
      <c r="B84" s="78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  <c r="CH84" s="79"/>
      <c r="CI84" s="79"/>
      <c r="CJ84" s="79"/>
      <c r="CK84" s="79"/>
      <c r="CL84" s="79"/>
      <c r="CM84" s="79"/>
      <c r="CN84" s="79"/>
      <c r="CO84" s="79"/>
      <c r="CP84" s="79"/>
      <c r="CQ84" s="79"/>
      <c r="CR84" s="79"/>
      <c r="CS84" s="79"/>
      <c r="CT84" s="79"/>
      <c r="CU84" s="79"/>
      <c r="CV84" s="79"/>
      <c r="CW84" s="79"/>
      <c r="CX84" s="85"/>
      <c r="CY84" s="85"/>
      <c r="CZ84" s="85"/>
      <c r="DA84" s="86"/>
      <c r="DB84" s="84"/>
    </row>
    <row r="85" spans="2:106" ht="11.25" customHeight="1">
      <c r="B85" s="78"/>
      <c r="C85" s="79"/>
      <c r="D85" s="79"/>
      <c r="E85" s="79"/>
      <c r="F85" s="79"/>
      <c r="G85" s="79" t="s">
        <v>700</v>
      </c>
      <c r="H85" s="79"/>
      <c r="I85" s="79"/>
      <c r="J85" s="79"/>
      <c r="K85" s="79"/>
      <c r="L85" s="79"/>
      <c r="M85" s="79"/>
      <c r="N85" s="79" t="s">
        <v>604</v>
      </c>
      <c r="O85" s="79"/>
      <c r="P85" s="79" t="str">
        <f>TEXT(기계경비총괄표!G11,"#,##0")</f>
        <v>59,020</v>
      </c>
      <c r="Q85" s="79"/>
      <c r="R85" s="79"/>
      <c r="S85" s="79"/>
      <c r="T85" s="79"/>
      <c r="U85" s="79"/>
      <c r="V85" s="79"/>
      <c r="W85" s="79"/>
      <c r="X85" s="79"/>
      <c r="Y85" s="79" t="s">
        <v>391</v>
      </c>
      <c r="Z85" s="79"/>
      <c r="AA85" s="79"/>
      <c r="AB85" s="79" t="str">
        <f>TEXT(BB16,"#,##0.#######")</f>
        <v>325.</v>
      </c>
      <c r="AC85" s="79"/>
      <c r="AD85" s="79"/>
      <c r="AE85" s="79"/>
      <c r="AF85" s="79"/>
      <c r="AG85" s="79"/>
      <c r="AH85" s="79" t="s">
        <v>699</v>
      </c>
      <c r="AI85" s="79"/>
      <c r="AJ85" s="79"/>
      <c r="AK85" s="79" t="str">
        <f>TEXT(150,"#,##0.#######")</f>
        <v>150.</v>
      </c>
      <c r="AL85" s="79"/>
      <c r="AM85" s="79"/>
      <c r="AN85" s="79" t="s">
        <v>157</v>
      </c>
      <c r="AO85" s="79"/>
      <c r="AP85" s="79" t="s">
        <v>309</v>
      </c>
      <c r="AQ85" s="79"/>
      <c r="AR85" s="79" t="str">
        <f>TEXT(TRUNC(P85/BB16*(AK85*(1/100)),1),"#,##0.#")</f>
        <v>272.4</v>
      </c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85"/>
      <c r="CY85" s="85"/>
      <c r="CZ85" s="85"/>
      <c r="DA85" s="86"/>
      <c r="DB85" s="84"/>
    </row>
    <row r="86" spans="2:106" ht="11.25" customHeight="1">
      <c r="B86" s="78"/>
      <c r="C86" s="79"/>
      <c r="D86" s="79"/>
      <c r="E86" s="79"/>
      <c r="F86" s="79"/>
      <c r="G86" s="79" t="s">
        <v>498</v>
      </c>
      <c r="H86" s="79"/>
      <c r="I86" s="79"/>
      <c r="J86" s="79"/>
      <c r="K86" s="79"/>
      <c r="L86" s="79"/>
      <c r="M86" s="79"/>
      <c r="N86" s="79" t="s">
        <v>604</v>
      </c>
      <c r="O86" s="79"/>
      <c r="P86" s="79" t="str">
        <f>TEXT(기계경비총괄표!H11,"#,##0")</f>
        <v>18,748</v>
      </c>
      <c r="Q86" s="79"/>
      <c r="R86" s="79"/>
      <c r="S86" s="79"/>
      <c r="T86" s="79"/>
      <c r="U86" s="79"/>
      <c r="V86" s="79"/>
      <c r="W86" s="79"/>
      <c r="X86" s="79"/>
      <c r="Y86" s="79" t="s">
        <v>391</v>
      </c>
      <c r="Z86" s="79"/>
      <c r="AA86" s="79"/>
      <c r="AB86" s="79" t="str">
        <f>TEXT(BB16,"#,##0.#######")</f>
        <v>325.</v>
      </c>
      <c r="AC86" s="79"/>
      <c r="AD86" s="79"/>
      <c r="AE86" s="79"/>
      <c r="AF86" s="79"/>
      <c r="AG86" s="79"/>
      <c r="AH86" s="79" t="s">
        <v>309</v>
      </c>
      <c r="AI86" s="79"/>
      <c r="AJ86" s="79"/>
      <c r="AK86" s="79" t="str">
        <f>TEXT(TRUNC(P86/BB16,1),"#,##0.#")</f>
        <v>57.6</v>
      </c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  <c r="CH86" s="79"/>
      <c r="CI86" s="79"/>
      <c r="CJ86" s="79"/>
      <c r="CK86" s="79"/>
      <c r="CL86" s="79"/>
      <c r="CM86" s="79"/>
      <c r="CN86" s="79"/>
      <c r="CO86" s="79"/>
      <c r="CP86" s="79"/>
      <c r="CQ86" s="79"/>
      <c r="CR86" s="79"/>
      <c r="CS86" s="79"/>
      <c r="CT86" s="79"/>
      <c r="CU86" s="79"/>
      <c r="CV86" s="79"/>
      <c r="CW86" s="79"/>
      <c r="CX86" s="85"/>
      <c r="CY86" s="85"/>
      <c r="CZ86" s="85"/>
      <c r="DA86" s="86"/>
      <c r="DB86" s="84"/>
    </row>
    <row r="87" spans="2:106" ht="11.25" customHeight="1">
      <c r="B87" s="78"/>
      <c r="C87" s="79"/>
      <c r="D87" s="79"/>
      <c r="E87" s="79"/>
      <c r="F87" s="79"/>
      <c r="G87" s="79" t="s">
        <v>160</v>
      </c>
      <c r="H87" s="79"/>
      <c r="I87" s="79"/>
      <c r="J87" s="79"/>
      <c r="K87" s="79" t="s">
        <v>440</v>
      </c>
      <c r="L87" s="79"/>
      <c r="M87" s="79"/>
      <c r="N87" s="79" t="s">
        <v>604</v>
      </c>
      <c r="O87" s="79"/>
      <c r="P87" s="79" t="str">
        <f>TEXT(기계경비총괄표!I11,"#,##0")</f>
        <v>16,470</v>
      </c>
      <c r="Q87" s="79"/>
      <c r="R87" s="79"/>
      <c r="S87" s="79"/>
      <c r="T87" s="79"/>
      <c r="U87" s="79"/>
      <c r="V87" s="79"/>
      <c r="W87" s="79"/>
      <c r="X87" s="79"/>
      <c r="Y87" s="79" t="s">
        <v>391</v>
      </c>
      <c r="Z87" s="79"/>
      <c r="AA87" s="79"/>
      <c r="AB87" s="79" t="str">
        <f>TEXT(BB16,"#,##0.#######")</f>
        <v>325.</v>
      </c>
      <c r="AC87" s="79"/>
      <c r="AD87" s="79"/>
      <c r="AE87" s="79"/>
      <c r="AF87" s="79"/>
      <c r="AG87" s="79"/>
      <c r="AH87" s="79" t="s">
        <v>309</v>
      </c>
      <c r="AI87" s="79"/>
      <c r="AJ87" s="79"/>
      <c r="AK87" s="79" t="str">
        <f>TEXT(TRUNC(P87/BB16,1),"#,##0.#")</f>
        <v>50.6</v>
      </c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  <c r="CH87" s="79"/>
      <c r="CI87" s="79"/>
      <c r="CJ87" s="79"/>
      <c r="CK87" s="79"/>
      <c r="CL87" s="79"/>
      <c r="CM87" s="79"/>
      <c r="CN87" s="79"/>
      <c r="CO87" s="79"/>
      <c r="CP87" s="79"/>
      <c r="CQ87" s="79"/>
      <c r="CR87" s="79"/>
      <c r="CS87" s="79"/>
      <c r="CT87" s="79"/>
      <c r="CU87" s="79"/>
      <c r="CV87" s="79"/>
      <c r="CW87" s="79"/>
      <c r="CX87" s="85"/>
      <c r="CY87" s="85"/>
      <c r="CZ87" s="85"/>
      <c r="DA87" s="86"/>
      <c r="DB87" s="84"/>
    </row>
    <row r="88" spans="2:106" ht="11.25" customHeight="1">
      <c r="B88" s="78"/>
      <c r="C88" s="79"/>
      <c r="D88" s="79"/>
      <c r="E88" s="79"/>
      <c r="F88" s="79"/>
      <c r="G88" s="79" t="s">
        <v>305</v>
      </c>
      <c r="H88" s="79"/>
      <c r="I88" s="79"/>
      <c r="J88" s="79"/>
      <c r="K88" s="79" t="s">
        <v>436</v>
      </c>
      <c r="L88" s="79"/>
      <c r="M88" s="79"/>
      <c r="N88" s="79" t="s">
        <v>604</v>
      </c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 t="str">
        <f>TEXT(AR85+AK86+AK87,"#,##0.#######")</f>
        <v>380.6</v>
      </c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  <c r="CH88" s="79"/>
      <c r="CI88" s="79"/>
      <c r="CJ88" s="79"/>
      <c r="CK88" s="79"/>
      <c r="CL88" s="79"/>
      <c r="CM88" s="79"/>
      <c r="CN88" s="79"/>
      <c r="CO88" s="79"/>
      <c r="CP88" s="79"/>
      <c r="CQ88" s="79"/>
      <c r="CR88" s="79"/>
      <c r="CS88" s="79"/>
      <c r="CT88" s="79"/>
      <c r="CU88" s="79"/>
      <c r="CV88" s="79"/>
      <c r="CW88" s="79"/>
      <c r="CX88" s="85">
        <f>CY88+CZ88+DA88</f>
        <v>380.6</v>
      </c>
      <c r="CY88" s="85" t="str">
        <f>TEXT(AR85,"#,###.0")</f>
        <v>272.4</v>
      </c>
      <c r="CZ88" s="85" t="str">
        <f>TEXT(AK86,"#,###.0")</f>
        <v>57.6</v>
      </c>
      <c r="DA88" s="86" t="str">
        <f>TEXT(AK87,"#,###.0")</f>
        <v>50.6</v>
      </c>
      <c r="DB88" s="84"/>
    </row>
    <row r="89" spans="2:106" ht="11.25" customHeight="1">
      <c r="B89" s="78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  <c r="CH89" s="79"/>
      <c r="CI89" s="79"/>
      <c r="CJ89" s="79"/>
      <c r="CK89" s="79"/>
      <c r="CL89" s="79"/>
      <c r="CM89" s="79"/>
      <c r="CN89" s="79"/>
      <c r="CO89" s="79"/>
      <c r="CP89" s="79"/>
      <c r="CQ89" s="79"/>
      <c r="CR89" s="79"/>
      <c r="CS89" s="79"/>
      <c r="CT89" s="79"/>
      <c r="CU89" s="79"/>
      <c r="CV89" s="79"/>
      <c r="CW89" s="79"/>
      <c r="CX89" s="85"/>
      <c r="CY89" s="85"/>
      <c r="CZ89" s="85"/>
      <c r="DA89" s="86"/>
      <c r="DB89" s="84"/>
    </row>
    <row r="90" spans="2:106" ht="11.25" customHeight="1">
      <c r="B90" s="80"/>
      <c r="C90" s="72"/>
      <c r="D90" s="72"/>
      <c r="E90" s="72" t="s">
        <v>28</v>
      </c>
      <c r="F90" s="72"/>
      <c r="G90" s="72" t="s">
        <v>587</v>
      </c>
      <c r="H90" s="72"/>
      <c r="I90" s="72" t="s">
        <v>8</v>
      </c>
      <c r="J90" s="72"/>
      <c r="K90" s="72"/>
      <c r="L90" s="72"/>
      <c r="M90" s="72"/>
      <c r="N90" s="72"/>
      <c r="O90" s="72"/>
      <c r="P90" s="72"/>
      <c r="Q90" s="72"/>
      <c r="R90" s="72" t="s">
        <v>84</v>
      </c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87"/>
      <c r="CY90" s="87"/>
      <c r="CZ90" s="87"/>
      <c r="DA90" s="88"/>
      <c r="DB90" s="84"/>
    </row>
    <row r="91" spans="2:106" ht="11.25" customHeight="1">
      <c r="B91" s="78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  <c r="CH91" s="79"/>
      <c r="CI91" s="79"/>
      <c r="CJ91" s="79"/>
      <c r="CK91" s="79"/>
      <c r="CL91" s="79"/>
      <c r="CM91" s="79"/>
      <c r="CN91" s="79"/>
      <c r="CO91" s="79"/>
      <c r="CP91" s="79"/>
      <c r="CQ91" s="79"/>
      <c r="CR91" s="79"/>
      <c r="CS91" s="79"/>
      <c r="CT91" s="79"/>
      <c r="CU91" s="79"/>
      <c r="CV91" s="79"/>
      <c r="CW91" s="79"/>
      <c r="CX91" s="85"/>
      <c r="CY91" s="85"/>
      <c r="CZ91" s="85"/>
      <c r="DA91" s="86"/>
      <c r="DB91" s="84"/>
    </row>
    <row r="92" spans="2:106" ht="11.25" customHeight="1">
      <c r="B92" s="78"/>
      <c r="C92" s="79"/>
      <c r="D92" s="79"/>
      <c r="E92" s="79"/>
      <c r="F92" s="79"/>
      <c r="G92" s="79" t="s">
        <v>700</v>
      </c>
      <c r="H92" s="79"/>
      <c r="I92" s="79"/>
      <c r="J92" s="79"/>
      <c r="K92" s="79"/>
      <c r="L92" s="79"/>
      <c r="M92" s="79"/>
      <c r="N92" s="79" t="s">
        <v>604</v>
      </c>
      <c r="O92" s="79"/>
      <c r="P92" s="79" t="str">
        <f>TEXT(기계경비총괄표!G12,"#,##0")</f>
        <v>49,778</v>
      </c>
      <c r="Q92" s="79"/>
      <c r="R92" s="79"/>
      <c r="S92" s="79"/>
      <c r="T92" s="79"/>
      <c r="U92" s="79"/>
      <c r="V92" s="79"/>
      <c r="W92" s="79"/>
      <c r="X92" s="79"/>
      <c r="Y92" s="79" t="s">
        <v>391</v>
      </c>
      <c r="Z92" s="79"/>
      <c r="AA92" s="79"/>
      <c r="AB92" s="79" t="str">
        <f>TEXT(BB16,"#,##0.#######")</f>
        <v>325.</v>
      </c>
      <c r="AC92" s="79"/>
      <c r="AD92" s="79"/>
      <c r="AE92" s="79"/>
      <c r="AF92" s="79"/>
      <c r="AG92" s="79"/>
      <c r="AH92" s="79" t="s">
        <v>699</v>
      </c>
      <c r="AI92" s="79"/>
      <c r="AJ92" s="79"/>
      <c r="AK92" s="79" t="str">
        <f>TEXT(150,"#,##0.#######")</f>
        <v>150.</v>
      </c>
      <c r="AL92" s="79"/>
      <c r="AM92" s="79"/>
      <c r="AN92" s="79" t="s">
        <v>157</v>
      </c>
      <c r="AO92" s="79"/>
      <c r="AP92" s="79" t="s">
        <v>309</v>
      </c>
      <c r="AQ92" s="79"/>
      <c r="AR92" s="79" t="str">
        <f>TEXT(TRUNC(P92/BB16*(AK92*(1/100)),1),"#,##0.#")</f>
        <v>229.7</v>
      </c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  <c r="CH92" s="79"/>
      <c r="CI92" s="79"/>
      <c r="CJ92" s="79"/>
      <c r="CK92" s="79"/>
      <c r="CL92" s="79"/>
      <c r="CM92" s="79"/>
      <c r="CN92" s="79"/>
      <c r="CO92" s="79"/>
      <c r="CP92" s="79"/>
      <c r="CQ92" s="79"/>
      <c r="CR92" s="79"/>
      <c r="CS92" s="79"/>
      <c r="CT92" s="79"/>
      <c r="CU92" s="79"/>
      <c r="CV92" s="79"/>
      <c r="CW92" s="79"/>
      <c r="CX92" s="85"/>
      <c r="CY92" s="85"/>
      <c r="CZ92" s="85"/>
      <c r="DA92" s="86"/>
      <c r="DB92" s="84"/>
    </row>
    <row r="93" spans="2:106" ht="11.25" customHeight="1">
      <c r="B93" s="78"/>
      <c r="C93" s="79"/>
      <c r="D93" s="79"/>
      <c r="E93" s="79"/>
      <c r="F93" s="79"/>
      <c r="G93" s="79" t="s">
        <v>498</v>
      </c>
      <c r="H93" s="79"/>
      <c r="I93" s="79"/>
      <c r="J93" s="79"/>
      <c r="K93" s="79"/>
      <c r="L93" s="79"/>
      <c r="M93" s="79"/>
      <c r="N93" s="79" t="s">
        <v>604</v>
      </c>
      <c r="O93" s="79"/>
      <c r="P93" s="79" t="str">
        <f>TEXT(기계경비총괄표!H12,"#,##0")</f>
        <v>23,075</v>
      </c>
      <c r="Q93" s="79"/>
      <c r="R93" s="79"/>
      <c r="S93" s="79"/>
      <c r="T93" s="79"/>
      <c r="U93" s="79"/>
      <c r="V93" s="79"/>
      <c r="W93" s="79"/>
      <c r="X93" s="79"/>
      <c r="Y93" s="79" t="s">
        <v>391</v>
      </c>
      <c r="Z93" s="79"/>
      <c r="AA93" s="79"/>
      <c r="AB93" s="79" t="str">
        <f>TEXT(BB16,"#,##0.#######")</f>
        <v>325.</v>
      </c>
      <c r="AC93" s="79"/>
      <c r="AD93" s="79"/>
      <c r="AE93" s="79"/>
      <c r="AF93" s="79"/>
      <c r="AG93" s="79"/>
      <c r="AH93" s="79" t="s">
        <v>309</v>
      </c>
      <c r="AI93" s="79"/>
      <c r="AJ93" s="79"/>
      <c r="AK93" s="79" t="str">
        <f>TEXT(TRUNC(P93/BB16,1),"#,##0.#")</f>
        <v>71.</v>
      </c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  <c r="CH93" s="79"/>
      <c r="CI93" s="79"/>
      <c r="CJ93" s="79"/>
      <c r="CK93" s="79"/>
      <c r="CL93" s="79"/>
      <c r="CM93" s="79"/>
      <c r="CN93" s="79"/>
      <c r="CO93" s="79"/>
      <c r="CP93" s="79"/>
      <c r="CQ93" s="79"/>
      <c r="CR93" s="79"/>
      <c r="CS93" s="79"/>
      <c r="CT93" s="79"/>
      <c r="CU93" s="79"/>
      <c r="CV93" s="79"/>
      <c r="CW93" s="79"/>
      <c r="CX93" s="85"/>
      <c r="CY93" s="85"/>
      <c r="CZ93" s="85"/>
      <c r="DA93" s="86"/>
      <c r="DB93" s="84"/>
    </row>
    <row r="94" spans="2:106" ht="11.25" customHeight="1">
      <c r="B94" s="78"/>
      <c r="C94" s="79"/>
      <c r="D94" s="79"/>
      <c r="E94" s="79"/>
      <c r="F94" s="79"/>
      <c r="G94" s="79" t="s">
        <v>160</v>
      </c>
      <c r="H94" s="79"/>
      <c r="I94" s="79"/>
      <c r="J94" s="79"/>
      <c r="K94" s="79" t="s">
        <v>440</v>
      </c>
      <c r="L94" s="79"/>
      <c r="M94" s="79"/>
      <c r="N94" s="79" t="s">
        <v>604</v>
      </c>
      <c r="O94" s="79"/>
      <c r="P94" s="79" t="str">
        <f>TEXT(기계경비총괄표!I12,"#,##0")</f>
        <v>19,154</v>
      </c>
      <c r="Q94" s="79"/>
      <c r="R94" s="79"/>
      <c r="S94" s="79"/>
      <c r="T94" s="79"/>
      <c r="U94" s="79"/>
      <c r="V94" s="79"/>
      <c r="W94" s="79"/>
      <c r="X94" s="79"/>
      <c r="Y94" s="79" t="s">
        <v>391</v>
      </c>
      <c r="Z94" s="79"/>
      <c r="AA94" s="79"/>
      <c r="AB94" s="79" t="str">
        <f>TEXT(BB16,"#,##0.#######")</f>
        <v>325.</v>
      </c>
      <c r="AC94" s="79"/>
      <c r="AD94" s="79"/>
      <c r="AE94" s="79"/>
      <c r="AF94" s="79"/>
      <c r="AG94" s="79"/>
      <c r="AH94" s="79" t="s">
        <v>309</v>
      </c>
      <c r="AI94" s="79"/>
      <c r="AJ94" s="79"/>
      <c r="AK94" s="79" t="str">
        <f>TEXT(TRUNC(P94/BB16,1),"#,##0.#")</f>
        <v>58.9</v>
      </c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79"/>
      <c r="CG94" s="79"/>
      <c r="CH94" s="79"/>
      <c r="CI94" s="79"/>
      <c r="CJ94" s="79"/>
      <c r="CK94" s="79"/>
      <c r="CL94" s="79"/>
      <c r="CM94" s="79"/>
      <c r="CN94" s="79"/>
      <c r="CO94" s="79"/>
      <c r="CP94" s="79"/>
      <c r="CQ94" s="79"/>
      <c r="CR94" s="79"/>
      <c r="CS94" s="79"/>
      <c r="CT94" s="79"/>
      <c r="CU94" s="79"/>
      <c r="CV94" s="79"/>
      <c r="CW94" s="79"/>
      <c r="CX94" s="85"/>
      <c r="CY94" s="85"/>
      <c r="CZ94" s="85"/>
      <c r="DA94" s="86"/>
      <c r="DB94" s="84"/>
    </row>
    <row r="95" spans="2:106" ht="11.25" customHeight="1">
      <c r="B95" s="78"/>
      <c r="C95" s="79"/>
      <c r="D95" s="79"/>
      <c r="E95" s="79"/>
      <c r="F95" s="79"/>
      <c r="G95" s="79" t="s">
        <v>305</v>
      </c>
      <c r="H95" s="79"/>
      <c r="I95" s="79"/>
      <c r="J95" s="79"/>
      <c r="K95" s="79" t="s">
        <v>436</v>
      </c>
      <c r="L95" s="79"/>
      <c r="M95" s="79"/>
      <c r="N95" s="79" t="s">
        <v>604</v>
      </c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 t="str">
        <f>TEXT(AR92+AK93+AK94,"#,##0.#######")</f>
        <v>359.6</v>
      </c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79"/>
      <c r="CG95" s="79"/>
      <c r="CH95" s="79"/>
      <c r="CI95" s="79"/>
      <c r="CJ95" s="79"/>
      <c r="CK95" s="79"/>
      <c r="CL95" s="79"/>
      <c r="CM95" s="79"/>
      <c r="CN95" s="79"/>
      <c r="CO95" s="79"/>
      <c r="CP95" s="79"/>
      <c r="CQ95" s="79"/>
      <c r="CR95" s="79"/>
      <c r="CS95" s="79"/>
      <c r="CT95" s="79"/>
      <c r="CU95" s="79"/>
      <c r="CV95" s="79"/>
      <c r="CW95" s="79"/>
      <c r="CX95" s="85">
        <f>CY95+CZ95+DA95</f>
        <v>359.59999999999997</v>
      </c>
      <c r="CY95" s="85" t="str">
        <f>TEXT(AR92,"#,###.0")</f>
        <v>229.7</v>
      </c>
      <c r="CZ95" s="85" t="str">
        <f>TEXT(AK93,"#,###.0")</f>
        <v>71.0</v>
      </c>
      <c r="DA95" s="86" t="str">
        <f>TEXT(AK94,"#,###.0")</f>
        <v>58.9</v>
      </c>
      <c r="DB95" s="84"/>
    </row>
    <row r="96" spans="2:106" ht="11.25" customHeight="1">
      <c r="B96" s="78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Q96" s="79"/>
      <c r="BR96" s="79"/>
      <c r="BS96" s="79"/>
      <c r="BT96" s="79"/>
      <c r="BU96" s="79"/>
      <c r="BV96" s="79"/>
      <c r="BW96" s="79"/>
      <c r="BX96" s="79"/>
      <c r="BY96" s="79"/>
      <c r="BZ96" s="79"/>
      <c r="CA96" s="79"/>
      <c r="CB96" s="79"/>
      <c r="CC96" s="79"/>
      <c r="CD96" s="79"/>
      <c r="CE96" s="79"/>
      <c r="CF96" s="79"/>
      <c r="CG96" s="79"/>
      <c r="CH96" s="79"/>
      <c r="CI96" s="79"/>
      <c r="CJ96" s="79"/>
      <c r="CK96" s="79"/>
      <c r="CL96" s="79"/>
      <c r="CM96" s="79"/>
      <c r="CN96" s="79"/>
      <c r="CO96" s="79"/>
      <c r="CP96" s="79"/>
      <c r="CQ96" s="79"/>
      <c r="CR96" s="79"/>
      <c r="CS96" s="79"/>
      <c r="CT96" s="79"/>
      <c r="CU96" s="79"/>
      <c r="CV96" s="79"/>
      <c r="CW96" s="79"/>
      <c r="CX96" s="85"/>
      <c r="CY96" s="85"/>
      <c r="CZ96" s="85"/>
      <c r="DA96" s="86"/>
      <c r="DB96" s="84"/>
    </row>
    <row r="97" spans="2:106" ht="11.25" customHeight="1">
      <c r="B97" s="78"/>
      <c r="C97" s="79"/>
      <c r="D97" s="79"/>
      <c r="E97" s="79" t="s">
        <v>145</v>
      </c>
      <c r="F97" s="79"/>
      <c r="G97" s="79" t="s">
        <v>587</v>
      </c>
      <c r="H97" s="79"/>
      <c r="I97" s="79" t="s">
        <v>305</v>
      </c>
      <c r="J97" s="79"/>
      <c r="K97" s="79"/>
      <c r="L97" s="79"/>
      <c r="M97" s="79" t="s">
        <v>436</v>
      </c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79"/>
      <c r="CG97" s="79"/>
      <c r="CH97" s="79"/>
      <c r="CI97" s="79"/>
      <c r="CJ97" s="79"/>
      <c r="CK97" s="79"/>
      <c r="CL97" s="79"/>
      <c r="CM97" s="79"/>
      <c r="CN97" s="79"/>
      <c r="CO97" s="79"/>
      <c r="CP97" s="79"/>
      <c r="CQ97" s="79"/>
      <c r="CR97" s="79"/>
      <c r="CS97" s="79"/>
      <c r="CT97" s="79"/>
      <c r="CU97" s="79"/>
      <c r="CV97" s="79"/>
      <c r="CW97" s="79"/>
      <c r="CX97" s="85"/>
      <c r="CY97" s="85"/>
      <c r="CZ97" s="85"/>
      <c r="DA97" s="86"/>
      <c r="DB97" s="84"/>
    </row>
    <row r="98" spans="2:106" ht="11.25" customHeight="1">
      <c r="B98" s="78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Q98" s="79"/>
      <c r="BR98" s="79"/>
      <c r="BS98" s="79"/>
      <c r="BT98" s="79"/>
      <c r="BU98" s="79"/>
      <c r="BV98" s="79"/>
      <c r="BW98" s="79"/>
      <c r="BX98" s="79"/>
      <c r="BY98" s="79"/>
      <c r="BZ98" s="79"/>
      <c r="CA98" s="79"/>
      <c r="CB98" s="79"/>
      <c r="CC98" s="79"/>
      <c r="CD98" s="79"/>
      <c r="CE98" s="79"/>
      <c r="CF98" s="79"/>
      <c r="CG98" s="79"/>
      <c r="CH98" s="79"/>
      <c r="CI98" s="79"/>
      <c r="CJ98" s="79"/>
      <c r="CK98" s="79"/>
      <c r="CL98" s="79"/>
      <c r="CM98" s="79"/>
      <c r="CN98" s="79"/>
      <c r="CO98" s="79"/>
      <c r="CP98" s="79"/>
      <c r="CQ98" s="79"/>
      <c r="CR98" s="79"/>
      <c r="CS98" s="79"/>
      <c r="CT98" s="79"/>
      <c r="CU98" s="79"/>
      <c r="CV98" s="79"/>
      <c r="CW98" s="79"/>
      <c r="CX98" s="85"/>
      <c r="CY98" s="85"/>
      <c r="CZ98" s="85"/>
      <c r="DA98" s="86"/>
      <c r="DB98" s="84"/>
    </row>
    <row r="99" spans="2:106" ht="11.25" customHeight="1">
      <c r="B99" s="78"/>
      <c r="C99" s="79"/>
      <c r="D99" s="79"/>
      <c r="E99" s="79"/>
      <c r="F99" s="79"/>
      <c r="G99" s="79"/>
      <c r="H99" s="79" t="s">
        <v>700</v>
      </c>
      <c r="I99" s="79"/>
      <c r="J99" s="79"/>
      <c r="K99" s="79"/>
      <c r="L99" s="79"/>
      <c r="M99" s="79"/>
      <c r="N99" s="79"/>
      <c r="O99" s="79" t="s">
        <v>604</v>
      </c>
      <c r="P99" s="79"/>
      <c r="Q99" s="79" t="str">
        <f>TEXT(CY39,"#,###.##")</f>
        <v>544.8</v>
      </c>
      <c r="R99" s="79"/>
      <c r="S99" s="79"/>
      <c r="T99" s="79"/>
      <c r="U99" s="79"/>
      <c r="V99" s="79"/>
      <c r="W99" s="79" t="s">
        <v>148</v>
      </c>
      <c r="X99" s="79"/>
      <c r="Y99" s="79" t="str">
        <f>TEXT(CY46,"#,###.##")</f>
        <v>272.4</v>
      </c>
      <c r="Z99" s="79"/>
      <c r="AA99" s="79"/>
      <c r="AB99" s="79"/>
      <c r="AC99" s="79"/>
      <c r="AD99" s="79"/>
      <c r="AE99" s="79" t="s">
        <v>148</v>
      </c>
      <c r="AF99" s="79"/>
      <c r="AG99" s="79" t="str">
        <f>TEXT(CY53,"#,###.##")</f>
        <v>817.2</v>
      </c>
      <c r="AH99" s="79"/>
      <c r="AI99" s="79"/>
      <c r="AJ99" s="79"/>
      <c r="AK99" s="79"/>
      <c r="AL99" s="79"/>
      <c r="AM99" s="79" t="s">
        <v>148</v>
      </c>
      <c r="AN99" s="79"/>
      <c r="AO99" s="79" t="str">
        <f>TEXT(CY60,"#,###.##")</f>
        <v>272.4</v>
      </c>
      <c r="AP99" s="79"/>
      <c r="AQ99" s="79"/>
      <c r="AR99" s="79"/>
      <c r="AS99" s="79"/>
      <c r="AT99" s="79"/>
      <c r="AU99" s="79" t="s">
        <v>148</v>
      </c>
      <c r="AV99" s="79"/>
      <c r="AW99" s="79" t="str">
        <f>TEXT(CY67,"#,###.##")</f>
        <v>272.4</v>
      </c>
      <c r="AX99" s="79"/>
      <c r="AY99" s="79"/>
      <c r="AZ99" s="79"/>
      <c r="BA99" s="79"/>
      <c r="BB99" s="79"/>
      <c r="BC99" s="79" t="s">
        <v>148</v>
      </c>
      <c r="BD99" s="79"/>
      <c r="BE99" s="79" t="str">
        <f>TEXT(CY74,"#,###.##")</f>
        <v>272.4</v>
      </c>
      <c r="BF99" s="79"/>
      <c r="BG99" s="79"/>
      <c r="BH99" s="79"/>
      <c r="BI99" s="79"/>
      <c r="BJ99" s="79"/>
      <c r="BK99" s="79" t="s">
        <v>148</v>
      </c>
      <c r="BL99" s="79"/>
      <c r="BM99" s="79" t="str">
        <f>TEXT(CY81,"#,###.##")</f>
        <v>272.4</v>
      </c>
      <c r="BN99" s="79"/>
      <c r="BO99" s="79"/>
      <c r="BP99" s="79"/>
      <c r="BQ99" s="79"/>
      <c r="BR99" s="79"/>
      <c r="BS99" s="79" t="s">
        <v>148</v>
      </c>
      <c r="BT99" s="79"/>
      <c r="BU99" s="79" t="str">
        <f>TEXT(CY88,"#,###.##")</f>
        <v>272.4</v>
      </c>
      <c r="BV99" s="79"/>
      <c r="BW99" s="79"/>
      <c r="BX99" s="79"/>
      <c r="BY99" s="79"/>
      <c r="BZ99" s="79"/>
      <c r="CA99" s="79" t="s">
        <v>148</v>
      </c>
      <c r="CB99" s="79"/>
      <c r="CC99" s="79" t="str">
        <f>TEXT(CY95,"#,###.##")</f>
        <v>229.7</v>
      </c>
      <c r="CD99" s="79"/>
      <c r="CE99" s="79"/>
      <c r="CF99" s="79"/>
      <c r="CG99" s="79"/>
      <c r="CH99" s="79"/>
      <c r="CI99" s="79" t="s">
        <v>309</v>
      </c>
      <c r="CJ99" s="79"/>
      <c r="CK99" s="79"/>
      <c r="CL99" s="79" t="str">
        <f>TEXT(TRUNC(CY39+CY46+CY53+CY60+CY67+CY74+CY81+CY88+CY95,1),"#,##0.#")</f>
        <v>3,226.1</v>
      </c>
      <c r="CM99" s="79"/>
      <c r="CN99" s="79"/>
      <c r="CO99" s="79"/>
      <c r="CP99" s="79"/>
      <c r="CQ99" s="79"/>
      <c r="CR99" s="79"/>
      <c r="CS99" s="79"/>
      <c r="CT99" s="79"/>
      <c r="CU99" s="79"/>
      <c r="CV99" s="79"/>
      <c r="CW99" s="79"/>
      <c r="CX99" s="85"/>
      <c r="CY99" s="85"/>
      <c r="CZ99" s="85"/>
      <c r="DA99" s="86"/>
      <c r="DB99" s="84"/>
    </row>
    <row r="100" spans="2:106" ht="11.25" customHeight="1">
      <c r="B100" s="78"/>
      <c r="C100" s="79"/>
      <c r="D100" s="79"/>
      <c r="E100" s="79"/>
      <c r="F100" s="79"/>
      <c r="G100" s="79"/>
      <c r="H100" s="79" t="s">
        <v>498</v>
      </c>
      <c r="I100" s="79"/>
      <c r="J100" s="79"/>
      <c r="K100" s="79"/>
      <c r="L100" s="79"/>
      <c r="M100" s="79"/>
      <c r="N100" s="79"/>
      <c r="O100" s="79" t="s">
        <v>604</v>
      </c>
      <c r="P100" s="79"/>
      <c r="Q100" s="79" t="str">
        <f>TEXT(CZ39,"#,###.##")</f>
        <v>517.6</v>
      </c>
      <c r="R100" s="79"/>
      <c r="S100" s="79"/>
      <c r="T100" s="79"/>
      <c r="U100" s="79"/>
      <c r="V100" s="79"/>
      <c r="W100" s="79" t="s">
        <v>148</v>
      </c>
      <c r="X100" s="79"/>
      <c r="Y100" s="79" t="str">
        <f>TEXT(CZ46,"#,###.##")</f>
        <v>37.7</v>
      </c>
      <c r="Z100" s="79"/>
      <c r="AA100" s="79"/>
      <c r="AB100" s="79"/>
      <c r="AC100" s="79"/>
      <c r="AD100" s="79" t="s">
        <v>148</v>
      </c>
      <c r="AE100" s="79"/>
      <c r="AF100" s="79" t="str">
        <f>TEXT(CZ53,"#,###.##")</f>
        <v>64.</v>
      </c>
      <c r="AG100" s="79"/>
      <c r="AH100" s="79"/>
      <c r="AI100" s="79" t="s">
        <v>148</v>
      </c>
      <c r="AJ100" s="79"/>
      <c r="AK100" s="79" t="str">
        <f>TEXT(CZ60,"#,###.##")</f>
        <v>58.8</v>
      </c>
      <c r="AL100" s="79"/>
      <c r="AM100" s="79"/>
      <c r="AN100" s="79"/>
      <c r="AO100" s="79"/>
      <c r="AP100" s="79" t="s">
        <v>148</v>
      </c>
      <c r="AQ100" s="79"/>
      <c r="AR100" s="79" t="str">
        <f>TEXT(CZ67,"#,###.##")</f>
        <v>46.4</v>
      </c>
      <c r="AS100" s="79"/>
      <c r="AT100" s="79"/>
      <c r="AU100" s="79"/>
      <c r="AV100" s="79"/>
      <c r="AW100" s="79" t="s">
        <v>148</v>
      </c>
      <c r="AX100" s="79"/>
      <c r="AY100" s="79" t="str">
        <f>TEXT(CZ74,"#,###.##")</f>
        <v>41.6</v>
      </c>
      <c r="AZ100" s="79"/>
      <c r="BA100" s="79"/>
      <c r="BB100" s="79"/>
      <c r="BC100" s="79"/>
      <c r="BD100" s="79" t="s">
        <v>148</v>
      </c>
      <c r="BE100" s="79"/>
      <c r="BF100" s="79" t="str">
        <f>TEXT(CZ81,"#,###.##")</f>
        <v>24.9</v>
      </c>
      <c r="BG100" s="79"/>
      <c r="BH100" s="79"/>
      <c r="BI100" s="79"/>
      <c r="BJ100" s="79"/>
      <c r="BK100" s="79" t="s">
        <v>148</v>
      </c>
      <c r="BL100" s="79"/>
      <c r="BM100" s="79" t="str">
        <f>TEXT(CZ88,"#,###.##")</f>
        <v>57.6</v>
      </c>
      <c r="BN100" s="79"/>
      <c r="BO100" s="79"/>
      <c r="BP100" s="79"/>
      <c r="BQ100" s="79"/>
      <c r="BR100" s="79" t="s">
        <v>148</v>
      </c>
      <c r="BS100" s="79"/>
      <c r="BT100" s="79" t="str">
        <f>TEXT(CZ95,"#,###.##")</f>
        <v>71.</v>
      </c>
      <c r="BU100" s="79"/>
      <c r="BV100" s="79"/>
      <c r="BW100" s="79" t="s">
        <v>309</v>
      </c>
      <c r="BX100" s="79"/>
      <c r="BY100" s="79"/>
      <c r="BZ100" s="79" t="str">
        <f>TEXT(TRUNC(CZ39+CZ46+CZ53+CZ60+CZ67+CZ74+CZ81+CZ88+CZ95,1),"#,##0.#")</f>
        <v>919.6</v>
      </c>
      <c r="CA100" s="79"/>
      <c r="CB100" s="79"/>
      <c r="CC100" s="79"/>
      <c r="CD100" s="79"/>
      <c r="CE100" s="79"/>
      <c r="CF100" s="79"/>
      <c r="CG100" s="79"/>
      <c r="CH100" s="79"/>
      <c r="CI100" s="79"/>
      <c r="CJ100" s="79"/>
      <c r="CK100" s="79"/>
      <c r="CL100" s="79"/>
      <c r="CM100" s="79"/>
      <c r="CN100" s="79"/>
      <c r="CO100" s="79"/>
      <c r="CP100" s="79"/>
      <c r="CQ100" s="79"/>
      <c r="CR100" s="79"/>
      <c r="CS100" s="79"/>
      <c r="CT100" s="79"/>
      <c r="CU100" s="79"/>
      <c r="CV100" s="79"/>
      <c r="CW100" s="79"/>
      <c r="CX100" s="85"/>
      <c r="CY100" s="85"/>
      <c r="CZ100" s="85"/>
      <c r="DA100" s="86"/>
      <c r="DB100" s="84"/>
    </row>
    <row r="101" spans="2:106" ht="11.25" customHeight="1">
      <c r="B101" s="78"/>
      <c r="C101" s="79"/>
      <c r="D101" s="79"/>
      <c r="E101" s="79"/>
      <c r="F101" s="79"/>
      <c r="G101" s="79"/>
      <c r="H101" s="79" t="s">
        <v>160</v>
      </c>
      <c r="I101" s="79"/>
      <c r="J101" s="79"/>
      <c r="K101" s="79"/>
      <c r="L101" s="79" t="s">
        <v>440</v>
      </c>
      <c r="M101" s="79"/>
      <c r="N101" s="79"/>
      <c r="O101" s="79" t="s">
        <v>604</v>
      </c>
      <c r="P101" s="79"/>
      <c r="Q101" s="79" t="str">
        <f>TEXT(DA39,"#,###.##")</f>
        <v>1,087.6</v>
      </c>
      <c r="R101" s="79"/>
      <c r="S101" s="79"/>
      <c r="T101" s="79"/>
      <c r="U101" s="79"/>
      <c r="V101" s="79"/>
      <c r="W101" s="79"/>
      <c r="X101" s="79"/>
      <c r="Y101" s="79" t="s">
        <v>148</v>
      </c>
      <c r="Z101" s="79"/>
      <c r="AA101" s="79" t="str">
        <f>TEXT(DA46,"#,###.##")</f>
        <v>66.1</v>
      </c>
      <c r="AB101" s="79"/>
      <c r="AC101" s="79"/>
      <c r="AD101" s="79"/>
      <c r="AE101" s="79"/>
      <c r="AF101" s="79" t="s">
        <v>148</v>
      </c>
      <c r="AG101" s="79"/>
      <c r="AH101" s="79" t="str">
        <f>TEXT(DA53,"#,###.##")</f>
        <v>69.2</v>
      </c>
      <c r="AI101" s="79"/>
      <c r="AJ101" s="79"/>
      <c r="AK101" s="79"/>
      <c r="AL101" s="79"/>
      <c r="AM101" s="79" t="s">
        <v>148</v>
      </c>
      <c r="AN101" s="79"/>
      <c r="AO101" s="79" t="str">
        <f>TEXT(DA60,"#,###.##")</f>
        <v>181.9</v>
      </c>
      <c r="AP101" s="79"/>
      <c r="AQ101" s="79"/>
      <c r="AR101" s="79"/>
      <c r="AS101" s="79"/>
      <c r="AT101" s="79"/>
      <c r="AU101" s="79" t="s">
        <v>148</v>
      </c>
      <c r="AV101" s="79"/>
      <c r="AW101" s="79" t="str">
        <f>TEXT(DA67,"#,###.##")</f>
        <v>39.5</v>
      </c>
      <c r="AX101" s="79"/>
      <c r="AY101" s="79"/>
      <c r="AZ101" s="79"/>
      <c r="BA101" s="79"/>
      <c r="BB101" s="79" t="s">
        <v>148</v>
      </c>
      <c r="BC101" s="79"/>
      <c r="BD101" s="79" t="str">
        <f>TEXT(DA74,"#,###.##")</f>
        <v>58.8</v>
      </c>
      <c r="BE101" s="79"/>
      <c r="BF101" s="79"/>
      <c r="BG101" s="79"/>
      <c r="BH101" s="79"/>
      <c r="BI101" s="79" t="s">
        <v>148</v>
      </c>
      <c r="BJ101" s="79"/>
      <c r="BK101" s="79" t="str">
        <f>TEXT(DA81,"#,###.##")</f>
        <v>27.8</v>
      </c>
      <c r="BL101" s="79"/>
      <c r="BM101" s="79"/>
      <c r="BN101" s="79"/>
      <c r="BO101" s="79"/>
      <c r="BP101" s="79" t="s">
        <v>148</v>
      </c>
      <c r="BQ101" s="79"/>
      <c r="BR101" s="79" t="str">
        <f>TEXT(DA88,"#,###.##")</f>
        <v>50.6</v>
      </c>
      <c r="BS101" s="79"/>
      <c r="BT101" s="79"/>
      <c r="BU101" s="79"/>
      <c r="BV101" s="79"/>
      <c r="BW101" s="79" t="s">
        <v>148</v>
      </c>
      <c r="BX101" s="79"/>
      <c r="BY101" s="79" t="str">
        <f>TEXT(DA95,"#,###.##")</f>
        <v>58.9</v>
      </c>
      <c r="BZ101" s="79"/>
      <c r="CA101" s="79"/>
      <c r="CB101" s="79"/>
      <c r="CC101" s="79"/>
      <c r="CD101" s="79" t="s">
        <v>309</v>
      </c>
      <c r="CE101" s="79"/>
      <c r="CF101" s="79"/>
      <c r="CG101" s="79" t="str">
        <f>TEXT(TRUNC(DA39+DA46+DA53+DA60+DA67+DA74+DA81+DA88+DA95,1),"#,##0.#")</f>
        <v>1,640.4</v>
      </c>
      <c r="CH101" s="79"/>
      <c r="CI101" s="79"/>
      <c r="CJ101" s="79"/>
      <c r="CK101" s="79"/>
      <c r="CL101" s="79"/>
      <c r="CM101" s="79"/>
      <c r="CN101" s="79"/>
      <c r="CO101" s="79"/>
      <c r="CP101" s="79"/>
      <c r="CQ101" s="79"/>
      <c r="CR101" s="79"/>
      <c r="CS101" s="79"/>
      <c r="CT101" s="79"/>
      <c r="CU101" s="79"/>
      <c r="CV101" s="79"/>
      <c r="CW101" s="79"/>
      <c r="CX101" s="85"/>
      <c r="CY101" s="85"/>
      <c r="CZ101" s="85"/>
      <c r="DA101" s="86"/>
      <c r="DB101" s="84"/>
    </row>
    <row r="102" spans="2:106" ht="11.25" customHeight="1">
      <c r="B102" s="78"/>
      <c r="C102" s="79"/>
      <c r="D102" s="79"/>
      <c r="E102" s="79"/>
      <c r="F102" s="79"/>
      <c r="G102" s="79"/>
      <c r="H102" s="79"/>
      <c r="I102" s="79"/>
      <c r="J102" s="79" t="s">
        <v>436</v>
      </c>
      <c r="K102" s="79"/>
      <c r="L102" s="79"/>
      <c r="M102" s="79"/>
      <c r="N102" s="79"/>
      <c r="O102" s="79" t="s">
        <v>604</v>
      </c>
      <c r="P102" s="79"/>
      <c r="Q102" s="79"/>
      <c r="R102" s="79" t="str">
        <f>TEXT(CL99+BZ100+CG101,"#,##0.#######")</f>
        <v>5,786.1</v>
      </c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79"/>
      <c r="BS102" s="79"/>
      <c r="BT102" s="79"/>
      <c r="BU102" s="79"/>
      <c r="BV102" s="79"/>
      <c r="BW102" s="79"/>
      <c r="BX102" s="79"/>
      <c r="BY102" s="79"/>
      <c r="BZ102" s="79"/>
      <c r="CA102" s="79"/>
      <c r="CB102" s="79"/>
      <c r="CC102" s="79"/>
      <c r="CD102" s="79"/>
      <c r="CE102" s="79"/>
      <c r="CF102" s="79"/>
      <c r="CG102" s="79"/>
      <c r="CH102" s="79"/>
      <c r="CI102" s="79"/>
      <c r="CJ102" s="79"/>
      <c r="CK102" s="79"/>
      <c r="CL102" s="79"/>
      <c r="CM102" s="79"/>
      <c r="CN102" s="79"/>
      <c r="CO102" s="79"/>
      <c r="CP102" s="79"/>
      <c r="CQ102" s="79"/>
      <c r="CR102" s="79"/>
      <c r="CS102" s="79"/>
      <c r="CT102" s="79"/>
      <c r="CU102" s="79"/>
      <c r="CV102" s="79"/>
      <c r="CW102" s="79"/>
      <c r="CX102" s="85">
        <f>CY102+CZ102+DA102</f>
        <v>5786.1</v>
      </c>
      <c r="CY102" s="85" t="str">
        <f>TEXT(CL99,"#,###.0")</f>
        <v>3,226.1</v>
      </c>
      <c r="CZ102" s="85" t="str">
        <f>TEXT(BZ100,"#,###.0")</f>
        <v>919.6</v>
      </c>
      <c r="DA102" s="86" t="str">
        <f>TEXT(CG101,"#,###.0")</f>
        <v>1,640.4</v>
      </c>
      <c r="DB102" s="84"/>
    </row>
    <row r="103" spans="2:106" ht="11.25" customHeight="1">
      <c r="B103" s="78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  <c r="CH103" s="79"/>
      <c r="CI103" s="79"/>
      <c r="CJ103" s="79"/>
      <c r="CK103" s="79"/>
      <c r="CL103" s="79"/>
      <c r="CM103" s="79"/>
      <c r="CN103" s="79"/>
      <c r="CO103" s="79"/>
      <c r="CP103" s="79"/>
      <c r="CQ103" s="79"/>
      <c r="CR103" s="79"/>
      <c r="CS103" s="79"/>
      <c r="CT103" s="79"/>
      <c r="CU103" s="79"/>
      <c r="CV103" s="79"/>
      <c r="CW103" s="79"/>
      <c r="CX103" s="85"/>
      <c r="CY103" s="85"/>
      <c r="CZ103" s="85"/>
      <c r="DA103" s="86"/>
      <c r="DB103" s="84"/>
    </row>
    <row r="104" spans="2:106" ht="11.25" customHeight="1">
      <c r="B104" s="78"/>
      <c r="C104" s="79"/>
      <c r="D104" s="79" t="s">
        <v>165</v>
      </c>
      <c r="E104" s="79"/>
      <c r="F104" s="79"/>
      <c r="G104" s="79" t="s">
        <v>557</v>
      </c>
      <c r="H104" s="79"/>
      <c r="I104" s="79"/>
      <c r="J104" s="79"/>
      <c r="K104" s="79" t="s">
        <v>436</v>
      </c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  <c r="CH104" s="79"/>
      <c r="CI104" s="79"/>
      <c r="CJ104" s="79"/>
      <c r="CK104" s="79"/>
      <c r="CL104" s="79"/>
      <c r="CM104" s="79"/>
      <c r="CN104" s="79"/>
      <c r="CO104" s="79"/>
      <c r="CP104" s="79"/>
      <c r="CQ104" s="79"/>
      <c r="CR104" s="79"/>
      <c r="CS104" s="79"/>
      <c r="CT104" s="79"/>
      <c r="CU104" s="79"/>
      <c r="CV104" s="79"/>
      <c r="CW104" s="79"/>
      <c r="CX104" s="85"/>
      <c r="CY104" s="85"/>
      <c r="CZ104" s="85"/>
      <c r="DA104" s="86"/>
      <c r="DB104" s="84"/>
    </row>
    <row r="105" spans="2:106" ht="11.25" customHeight="1">
      <c r="B105" s="78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  <c r="BM105" s="79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  <c r="CH105" s="79"/>
      <c r="CI105" s="79"/>
      <c r="CJ105" s="79"/>
      <c r="CK105" s="79"/>
      <c r="CL105" s="79"/>
      <c r="CM105" s="79"/>
      <c r="CN105" s="79"/>
      <c r="CO105" s="79"/>
      <c r="CP105" s="79"/>
      <c r="CQ105" s="79"/>
      <c r="CR105" s="79"/>
      <c r="CS105" s="79"/>
      <c r="CT105" s="79"/>
      <c r="CU105" s="79"/>
      <c r="CV105" s="79"/>
      <c r="CW105" s="79"/>
      <c r="CX105" s="85"/>
      <c r="CY105" s="85"/>
      <c r="CZ105" s="85"/>
      <c r="DA105" s="86"/>
      <c r="DB105" s="84"/>
    </row>
    <row r="106" spans="2:106" ht="11.25" customHeight="1">
      <c r="B106" s="78"/>
      <c r="C106" s="79"/>
      <c r="D106" s="79"/>
      <c r="E106" s="79"/>
      <c r="F106" s="79"/>
      <c r="G106" s="79"/>
      <c r="H106" s="79" t="s">
        <v>700</v>
      </c>
      <c r="I106" s="79"/>
      <c r="J106" s="79"/>
      <c r="K106" s="79"/>
      <c r="L106" s="79"/>
      <c r="M106" s="79"/>
      <c r="N106" s="79"/>
      <c r="O106" s="79" t="s">
        <v>604</v>
      </c>
      <c r="P106" s="79"/>
      <c r="Q106" s="79" t="str">
        <f>TEXT(CY24,"#,###.##")</f>
        <v>829.2</v>
      </c>
      <c r="R106" s="79"/>
      <c r="S106" s="79"/>
      <c r="T106" s="79"/>
      <c r="U106" s="79"/>
      <c r="V106" s="79"/>
      <c r="W106" s="79" t="s">
        <v>148</v>
      </c>
      <c r="X106" s="79"/>
      <c r="Y106" s="79" t="str">
        <f>TEXT(CY102,"#,###.##")</f>
        <v>3,226.1</v>
      </c>
      <c r="Z106" s="79"/>
      <c r="AA106" s="79"/>
      <c r="AB106" s="79"/>
      <c r="AC106" s="79"/>
      <c r="AD106" s="79"/>
      <c r="AE106" s="79"/>
      <c r="AF106" s="79"/>
      <c r="AG106" s="79" t="s">
        <v>309</v>
      </c>
      <c r="AH106" s="79"/>
      <c r="AI106" s="79"/>
      <c r="AJ106" s="79" t="str">
        <f>TEXT(TRUNC(CY24+CY102,0),"#,##0")</f>
        <v>4,055</v>
      </c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  <c r="CH106" s="79"/>
      <c r="CI106" s="79"/>
      <c r="CJ106" s="79"/>
      <c r="CK106" s="79"/>
      <c r="CL106" s="79"/>
      <c r="CM106" s="79"/>
      <c r="CN106" s="79"/>
      <c r="CO106" s="79"/>
      <c r="CP106" s="79"/>
      <c r="CQ106" s="79"/>
      <c r="CR106" s="79"/>
      <c r="CS106" s="79"/>
      <c r="CT106" s="79"/>
      <c r="CU106" s="79"/>
      <c r="CV106" s="79"/>
      <c r="CW106" s="79"/>
      <c r="CX106" s="85"/>
      <c r="CY106" s="85"/>
      <c r="CZ106" s="85"/>
      <c r="DA106" s="86"/>
      <c r="DB106" s="84"/>
    </row>
    <row r="107" spans="2:106" ht="11.25" customHeight="1">
      <c r="B107" s="78"/>
      <c r="C107" s="79"/>
      <c r="D107" s="79"/>
      <c r="E107" s="79"/>
      <c r="F107" s="79"/>
      <c r="G107" s="79"/>
      <c r="H107" s="79" t="s">
        <v>498</v>
      </c>
      <c r="I107" s="79"/>
      <c r="J107" s="79"/>
      <c r="K107" s="79"/>
      <c r="L107" s="79"/>
      <c r="M107" s="79"/>
      <c r="N107" s="79"/>
      <c r="O107" s="79" t="s">
        <v>604</v>
      </c>
      <c r="P107" s="79"/>
      <c r="Q107" s="79" t="str">
        <f>TEXT(CZ30,"#,###.##")</f>
        <v>414.</v>
      </c>
      <c r="R107" s="79"/>
      <c r="S107" s="79"/>
      <c r="T107" s="79"/>
      <c r="U107" s="79" t="s">
        <v>148</v>
      </c>
      <c r="V107" s="79"/>
      <c r="W107" s="79" t="str">
        <f>TEXT(CZ102,"#,###.##")</f>
        <v>919.6</v>
      </c>
      <c r="X107" s="79"/>
      <c r="Y107" s="79"/>
      <c r="Z107" s="79"/>
      <c r="AA107" s="79"/>
      <c r="AB107" s="79"/>
      <c r="AC107" s="79" t="s">
        <v>309</v>
      </c>
      <c r="AD107" s="79"/>
      <c r="AE107" s="79"/>
      <c r="AF107" s="79" t="str">
        <f>TEXT(TRUNC(CZ30+CZ102,0),"#,##0")</f>
        <v>1,333</v>
      </c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79"/>
      <c r="BS107" s="79"/>
      <c r="BT107" s="79"/>
      <c r="BU107" s="79"/>
      <c r="BV107" s="79"/>
      <c r="BW107" s="79"/>
      <c r="BX107" s="79"/>
      <c r="BY107" s="79"/>
      <c r="BZ107" s="79"/>
      <c r="CA107" s="79"/>
      <c r="CB107" s="79"/>
      <c r="CC107" s="79"/>
      <c r="CD107" s="79"/>
      <c r="CE107" s="79"/>
      <c r="CF107" s="79"/>
      <c r="CG107" s="79"/>
      <c r="CH107" s="79"/>
      <c r="CI107" s="79"/>
      <c r="CJ107" s="79"/>
      <c r="CK107" s="79"/>
      <c r="CL107" s="79"/>
      <c r="CM107" s="79"/>
      <c r="CN107" s="79"/>
      <c r="CO107" s="79"/>
      <c r="CP107" s="79"/>
      <c r="CQ107" s="79"/>
      <c r="CR107" s="79"/>
      <c r="CS107" s="79"/>
      <c r="CT107" s="79"/>
      <c r="CU107" s="79"/>
      <c r="CV107" s="79"/>
      <c r="CW107" s="79"/>
      <c r="CX107" s="85"/>
      <c r="CY107" s="85"/>
      <c r="CZ107" s="85"/>
      <c r="DA107" s="86"/>
      <c r="DB107" s="84"/>
    </row>
    <row r="108" spans="2:106" ht="11.25" customHeight="1">
      <c r="B108" s="78"/>
      <c r="C108" s="79"/>
      <c r="D108" s="79"/>
      <c r="E108" s="79"/>
      <c r="F108" s="79"/>
      <c r="G108" s="79"/>
      <c r="H108" s="79" t="s">
        <v>160</v>
      </c>
      <c r="I108" s="79"/>
      <c r="J108" s="79"/>
      <c r="K108" s="79"/>
      <c r="L108" s="79" t="s">
        <v>440</v>
      </c>
      <c r="M108" s="79"/>
      <c r="N108" s="79"/>
      <c r="O108" s="79" t="s">
        <v>604</v>
      </c>
      <c r="P108" s="79"/>
      <c r="Q108" s="79" t="str">
        <f>TEXT(TRUNC(DA102,0),"#,##0")</f>
        <v>1,640</v>
      </c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  <c r="BV108" s="79"/>
      <c r="BW108" s="79"/>
      <c r="BX108" s="79"/>
      <c r="BY108" s="79"/>
      <c r="BZ108" s="79"/>
      <c r="CA108" s="79"/>
      <c r="CB108" s="79"/>
      <c r="CC108" s="79"/>
      <c r="CD108" s="79"/>
      <c r="CE108" s="79"/>
      <c r="CF108" s="79"/>
      <c r="CG108" s="79"/>
      <c r="CH108" s="79"/>
      <c r="CI108" s="79"/>
      <c r="CJ108" s="79"/>
      <c r="CK108" s="79"/>
      <c r="CL108" s="79"/>
      <c r="CM108" s="79"/>
      <c r="CN108" s="79"/>
      <c r="CO108" s="79"/>
      <c r="CP108" s="79"/>
      <c r="CQ108" s="79"/>
      <c r="CR108" s="79"/>
      <c r="CS108" s="79"/>
      <c r="CT108" s="79"/>
      <c r="CU108" s="79"/>
      <c r="CV108" s="79"/>
      <c r="CW108" s="79"/>
      <c r="CX108" s="85"/>
      <c r="CY108" s="85"/>
      <c r="CZ108" s="85"/>
      <c r="DA108" s="86"/>
      <c r="DB108" s="84"/>
    </row>
    <row r="109" spans="2:106" ht="11.25" customHeight="1">
      <c r="B109" s="78"/>
      <c r="C109" s="79"/>
      <c r="D109" s="79"/>
      <c r="E109" s="79"/>
      <c r="F109" s="79"/>
      <c r="G109" s="79"/>
      <c r="H109" s="79"/>
      <c r="I109" s="79"/>
      <c r="J109" s="79" t="s">
        <v>436</v>
      </c>
      <c r="K109" s="79"/>
      <c r="L109" s="79"/>
      <c r="M109" s="79"/>
      <c r="N109" s="79"/>
      <c r="O109" s="79" t="s">
        <v>604</v>
      </c>
      <c r="P109" s="79"/>
      <c r="Q109" s="79"/>
      <c r="R109" s="79" t="str">
        <f>TEXT(AJ106+AF107+Q108,"#,##0")</f>
        <v>7,028</v>
      </c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  <c r="BM109" s="79"/>
      <c r="BN109" s="79"/>
      <c r="BO109" s="79"/>
      <c r="BP109" s="79"/>
      <c r="BQ109" s="79"/>
      <c r="BR109" s="79"/>
      <c r="BS109" s="79"/>
      <c r="BT109" s="79"/>
      <c r="BU109" s="79"/>
      <c r="BV109" s="79"/>
      <c r="BW109" s="79"/>
      <c r="BX109" s="79"/>
      <c r="BY109" s="79"/>
      <c r="BZ109" s="79"/>
      <c r="CA109" s="79"/>
      <c r="CB109" s="79"/>
      <c r="CC109" s="79"/>
      <c r="CD109" s="79"/>
      <c r="CE109" s="79"/>
      <c r="CF109" s="79"/>
      <c r="CG109" s="79"/>
      <c r="CH109" s="79"/>
      <c r="CI109" s="79"/>
      <c r="CJ109" s="79"/>
      <c r="CK109" s="79"/>
      <c r="CL109" s="79"/>
      <c r="CM109" s="79"/>
      <c r="CN109" s="79"/>
      <c r="CO109" s="79"/>
      <c r="CP109" s="79"/>
      <c r="CQ109" s="79"/>
      <c r="CR109" s="79"/>
      <c r="CS109" s="79"/>
      <c r="CT109" s="79"/>
      <c r="CU109" s="79"/>
      <c r="CV109" s="79"/>
      <c r="CW109" s="79"/>
      <c r="CX109" s="89">
        <f>CY109+CZ109+DA109</f>
        <v>7028</v>
      </c>
      <c r="CY109" s="85" t="str">
        <f>TEXT(AJ106,"#,##0")</f>
        <v>4,055</v>
      </c>
      <c r="CZ109" s="85" t="str">
        <f>TEXT(AF107,"#,##0")</f>
        <v>1,333</v>
      </c>
      <c r="DA109" s="86" t="str">
        <f>TEXT(Q108,"#,##0")</f>
        <v>1,640</v>
      </c>
      <c r="DB109" s="84"/>
    </row>
    <row r="110" spans="2:106" ht="11.25" customHeight="1">
      <c r="B110" s="78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  <c r="BT110" s="79"/>
      <c r="BU110" s="79"/>
      <c r="BV110" s="79"/>
      <c r="BW110" s="79"/>
      <c r="BX110" s="79"/>
      <c r="BY110" s="79"/>
      <c r="BZ110" s="79"/>
      <c r="CA110" s="79"/>
      <c r="CB110" s="79"/>
      <c r="CC110" s="79"/>
      <c r="CD110" s="79"/>
      <c r="CE110" s="79"/>
      <c r="CF110" s="79"/>
      <c r="CG110" s="79"/>
      <c r="CH110" s="79"/>
      <c r="CI110" s="79"/>
      <c r="CJ110" s="79"/>
      <c r="CK110" s="79"/>
      <c r="CL110" s="79"/>
      <c r="CM110" s="79"/>
      <c r="CN110" s="79"/>
      <c r="CO110" s="79"/>
      <c r="CP110" s="79"/>
      <c r="CQ110" s="79"/>
      <c r="CR110" s="79"/>
      <c r="CS110" s="79"/>
      <c r="CT110" s="79"/>
      <c r="CU110" s="79"/>
      <c r="CV110" s="79"/>
      <c r="CW110" s="79"/>
      <c r="CX110" s="85"/>
      <c r="CY110" s="85"/>
      <c r="CZ110" s="85"/>
      <c r="DA110" s="86"/>
      <c r="DB110" s="84"/>
    </row>
    <row r="111" spans="2:106" ht="11.25" customHeight="1">
      <c r="B111" s="81" t="s">
        <v>17</v>
      </c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  <c r="BN111" s="79"/>
      <c r="BO111" s="79"/>
      <c r="BP111" s="79"/>
      <c r="BQ111" s="79"/>
      <c r="BR111" s="79"/>
      <c r="BS111" s="79"/>
      <c r="BT111" s="79"/>
      <c r="BU111" s="79"/>
      <c r="BV111" s="79"/>
      <c r="BW111" s="79"/>
      <c r="BX111" s="79"/>
      <c r="BY111" s="79"/>
      <c r="BZ111" s="79"/>
      <c r="CA111" s="79"/>
      <c r="CB111" s="79"/>
      <c r="CC111" s="79"/>
      <c r="CD111" s="79"/>
      <c r="CE111" s="79"/>
      <c r="CF111" s="79"/>
      <c r="CG111" s="79"/>
      <c r="CH111" s="79"/>
      <c r="CI111" s="79"/>
      <c r="CJ111" s="79"/>
      <c r="CK111" s="79"/>
      <c r="CL111" s="79"/>
      <c r="CM111" s="79"/>
      <c r="CN111" s="79"/>
      <c r="CO111" s="79"/>
      <c r="CP111" s="79"/>
      <c r="CQ111" s="79"/>
      <c r="CR111" s="79"/>
      <c r="CS111" s="79"/>
      <c r="CT111" s="79"/>
      <c r="CU111" s="79"/>
      <c r="CV111" s="79"/>
      <c r="CW111" s="79"/>
      <c r="CX111" s="82">
        <f>CX176</f>
        <v>27483</v>
      </c>
      <c r="CY111" s="82" t="str">
        <f>CY176</f>
        <v>3,185</v>
      </c>
      <c r="CZ111" s="82" t="str">
        <f>CZ176</f>
        <v>23,913</v>
      </c>
      <c r="DA111" s="83" t="str">
        <f>DA176</f>
        <v>385</v>
      </c>
      <c r="DB111" s="84"/>
    </row>
    <row r="112" spans="2:106" ht="11.25" customHeight="1">
      <c r="B112" s="78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/>
      <c r="BU112" s="79"/>
      <c r="BV112" s="79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  <c r="CH112" s="79"/>
      <c r="CI112" s="79"/>
      <c r="CJ112" s="79"/>
      <c r="CK112" s="79"/>
      <c r="CL112" s="79"/>
      <c r="CM112" s="79"/>
      <c r="CN112" s="79"/>
      <c r="CO112" s="79"/>
      <c r="CP112" s="79"/>
      <c r="CQ112" s="79"/>
      <c r="CR112" s="79"/>
      <c r="CS112" s="79"/>
      <c r="CT112" s="79"/>
      <c r="CU112" s="79"/>
      <c r="CV112" s="79"/>
      <c r="CW112" s="79"/>
      <c r="CX112" s="85"/>
      <c r="CY112" s="85"/>
      <c r="CZ112" s="85"/>
      <c r="DA112" s="86"/>
      <c r="DB112" s="84"/>
    </row>
    <row r="113" spans="2:106" ht="11.25" customHeight="1">
      <c r="B113" s="78"/>
      <c r="C113" s="79"/>
      <c r="D113" s="79" t="s">
        <v>777</v>
      </c>
      <c r="E113" s="79"/>
      <c r="F113" s="79"/>
      <c r="G113" s="79" t="s">
        <v>422</v>
      </c>
      <c r="H113" s="79"/>
      <c r="I113" s="79"/>
      <c r="J113" s="79"/>
      <c r="K113" s="79" t="s">
        <v>6</v>
      </c>
      <c r="L113" s="79"/>
      <c r="M113" s="79"/>
      <c r="N113" s="79" t="s">
        <v>650</v>
      </c>
      <c r="O113" s="79"/>
      <c r="P113" s="79"/>
      <c r="Q113" s="79"/>
      <c r="R113" s="79"/>
      <c r="S113" s="79"/>
      <c r="T113" s="79"/>
      <c r="U113" s="79"/>
      <c r="V113" s="79"/>
      <c r="W113" s="79" t="s">
        <v>604</v>
      </c>
      <c r="X113" s="79"/>
      <c r="Y113" s="79" t="s">
        <v>684</v>
      </c>
      <c r="Z113" s="79"/>
      <c r="AA113" s="79"/>
      <c r="AB113" s="79"/>
      <c r="AC113" s="79"/>
      <c r="AD113" s="79" t="s">
        <v>225</v>
      </c>
      <c r="AE113" s="79" t="s">
        <v>23</v>
      </c>
      <c r="AF113" s="79" t="s">
        <v>90</v>
      </c>
      <c r="AG113" s="79"/>
      <c r="AH113" s="79" t="s">
        <v>23</v>
      </c>
      <c r="AI113" s="79" t="s">
        <v>392</v>
      </c>
      <c r="AJ113" s="79"/>
      <c r="AK113" s="79" t="s">
        <v>385</v>
      </c>
      <c r="AL113" s="79"/>
      <c r="AM113" s="79"/>
      <c r="AN113" s="79"/>
      <c r="AO113" s="79"/>
      <c r="AP113" s="79"/>
      <c r="AQ113" s="79"/>
      <c r="AR113" s="79"/>
      <c r="AS113" s="79" t="s">
        <v>431</v>
      </c>
      <c r="AT113" s="79" t="s">
        <v>486</v>
      </c>
      <c r="AU113" s="79"/>
      <c r="AV113" s="79"/>
      <c r="AW113" s="79"/>
      <c r="AX113" s="79"/>
      <c r="AY113" s="79"/>
      <c r="AZ113" s="79"/>
      <c r="BA113" s="79"/>
      <c r="BB113" s="79" t="s">
        <v>89</v>
      </c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  <c r="CH113" s="79"/>
      <c r="CI113" s="79"/>
      <c r="CJ113" s="79"/>
      <c r="CK113" s="79"/>
      <c r="CL113" s="79"/>
      <c r="CM113" s="79"/>
      <c r="CN113" s="79"/>
      <c r="CO113" s="79"/>
      <c r="CP113" s="79"/>
      <c r="CQ113" s="79"/>
      <c r="CR113" s="79"/>
      <c r="CS113" s="79"/>
      <c r="CT113" s="79"/>
      <c r="CU113" s="79"/>
      <c r="CV113" s="79"/>
      <c r="CW113" s="79"/>
      <c r="CX113" s="85"/>
      <c r="CY113" s="85"/>
      <c r="CZ113" s="85"/>
      <c r="DA113" s="86"/>
      <c r="DB113" s="84"/>
    </row>
    <row r="114" spans="2:106" ht="11.25" customHeight="1">
      <c r="B114" s="78"/>
      <c r="C114" s="79"/>
      <c r="D114" s="79"/>
      <c r="E114" s="79"/>
      <c r="F114" s="79" t="s">
        <v>431</v>
      </c>
      <c r="G114" s="79" t="s">
        <v>58</v>
      </c>
      <c r="H114" s="79"/>
      <c r="I114" s="79"/>
      <c r="J114" s="79"/>
      <c r="K114" s="79"/>
      <c r="L114" s="79"/>
      <c r="M114" s="79"/>
      <c r="N114" s="79" t="s">
        <v>586</v>
      </c>
      <c r="O114" s="79"/>
      <c r="P114" s="79"/>
      <c r="Q114" s="79"/>
      <c r="R114" s="79"/>
      <c r="S114" s="79"/>
      <c r="T114" s="79"/>
      <c r="U114" s="79"/>
      <c r="V114" s="79"/>
      <c r="W114" s="79" t="s">
        <v>299</v>
      </c>
      <c r="X114" s="79"/>
      <c r="Y114" s="79"/>
      <c r="Z114" s="79"/>
      <c r="AA114" s="79"/>
      <c r="AB114" s="79" t="s">
        <v>284</v>
      </c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 t="s">
        <v>581</v>
      </c>
      <c r="AP114" s="79"/>
      <c r="AQ114" s="79"/>
      <c r="AR114" s="79"/>
      <c r="AS114" s="79"/>
      <c r="AT114" s="79"/>
      <c r="AU114" s="79"/>
      <c r="AV114" s="79"/>
      <c r="AW114" s="79"/>
      <c r="AX114" s="79" t="s">
        <v>519</v>
      </c>
      <c r="AY114" s="79"/>
      <c r="AZ114" s="79"/>
      <c r="BA114" s="79"/>
      <c r="BB114" s="79"/>
      <c r="BC114" s="79"/>
      <c r="BD114" s="79"/>
      <c r="BE114" s="79"/>
      <c r="BF114" s="79"/>
      <c r="BG114" s="79" t="s">
        <v>186</v>
      </c>
      <c r="BH114" s="79"/>
      <c r="BI114" s="79"/>
      <c r="BJ114" s="79"/>
      <c r="BK114" s="79"/>
      <c r="BL114" s="79" t="s">
        <v>400</v>
      </c>
      <c r="BM114" s="79"/>
      <c r="BN114" s="79"/>
      <c r="BO114" s="79"/>
      <c r="BP114" s="79"/>
      <c r="BQ114" s="79"/>
      <c r="BR114" s="79"/>
      <c r="BS114" s="79"/>
      <c r="BT114" s="79"/>
      <c r="BU114" s="79"/>
      <c r="BV114" s="79"/>
      <c r="BW114" s="79" t="s">
        <v>141</v>
      </c>
      <c r="BX114" s="79"/>
      <c r="BY114" s="79"/>
      <c r="BZ114" s="79"/>
      <c r="CA114" s="79"/>
      <c r="CB114" s="79"/>
      <c r="CC114" s="79"/>
      <c r="CD114" s="79"/>
      <c r="CE114" s="79" t="s">
        <v>587</v>
      </c>
      <c r="CF114" s="79" t="s">
        <v>89</v>
      </c>
      <c r="CG114" s="79"/>
      <c r="CH114" s="79"/>
      <c r="CI114" s="79"/>
      <c r="CJ114" s="79"/>
      <c r="CK114" s="79"/>
      <c r="CL114" s="79"/>
      <c r="CM114" s="79"/>
      <c r="CN114" s="79"/>
      <c r="CO114" s="79"/>
      <c r="CP114" s="79"/>
      <c r="CQ114" s="79"/>
      <c r="CR114" s="79"/>
      <c r="CS114" s="79"/>
      <c r="CT114" s="79"/>
      <c r="CU114" s="79"/>
      <c r="CV114" s="79"/>
      <c r="CW114" s="79"/>
      <c r="CX114" s="85"/>
      <c r="CY114" s="85"/>
      <c r="CZ114" s="85"/>
      <c r="DA114" s="86"/>
      <c r="DB114" s="84"/>
    </row>
    <row r="115" spans="2:106" ht="11.25" customHeight="1">
      <c r="B115" s="78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79"/>
      <c r="BS115" s="79"/>
      <c r="BT115" s="79"/>
      <c r="BU115" s="79"/>
      <c r="BV115" s="79"/>
      <c r="BW115" s="79"/>
      <c r="BX115" s="79"/>
      <c r="BY115" s="79"/>
      <c r="BZ115" s="79"/>
      <c r="CA115" s="79"/>
      <c r="CB115" s="79"/>
      <c r="CC115" s="79"/>
      <c r="CD115" s="79"/>
      <c r="CE115" s="79"/>
      <c r="CF115" s="79"/>
      <c r="CG115" s="79"/>
      <c r="CH115" s="79"/>
      <c r="CI115" s="79"/>
      <c r="CJ115" s="79"/>
      <c r="CK115" s="79"/>
      <c r="CL115" s="79"/>
      <c r="CM115" s="79"/>
      <c r="CN115" s="79"/>
      <c r="CO115" s="79"/>
      <c r="CP115" s="79"/>
      <c r="CQ115" s="79"/>
      <c r="CR115" s="79"/>
      <c r="CS115" s="79"/>
      <c r="CT115" s="79"/>
      <c r="CU115" s="79"/>
      <c r="CV115" s="79"/>
      <c r="CW115" s="79"/>
      <c r="CX115" s="85"/>
      <c r="CY115" s="85"/>
      <c r="CZ115" s="85"/>
      <c r="DA115" s="86"/>
      <c r="DB115" s="84"/>
    </row>
    <row r="116" spans="2:106" ht="11.25" customHeight="1">
      <c r="B116" s="78"/>
      <c r="C116" s="79"/>
      <c r="D116" s="79"/>
      <c r="E116" s="79"/>
      <c r="F116" s="79"/>
      <c r="G116" s="79" t="s">
        <v>111</v>
      </c>
      <c r="H116" s="79"/>
      <c r="I116" s="79"/>
      <c r="J116" s="79"/>
      <c r="K116" s="79"/>
      <c r="L116" s="79" t="s">
        <v>504</v>
      </c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 t="s">
        <v>604</v>
      </c>
      <c r="X116" s="79"/>
      <c r="Y116" s="79" t="s">
        <v>262</v>
      </c>
      <c r="Z116" s="79"/>
      <c r="AA116" s="79"/>
      <c r="AB116" s="79" t="s">
        <v>309</v>
      </c>
      <c r="AC116" s="79"/>
      <c r="AD116" s="79" t="str">
        <f>TEXT(500,"#,##0.#######")</f>
        <v>500.</v>
      </c>
      <c r="AE116" s="79"/>
      <c r="AF116" s="79"/>
      <c r="AG116" s="79" t="s">
        <v>596</v>
      </c>
      <c r="AH116" s="79"/>
      <c r="AI116" s="79" t="s">
        <v>123</v>
      </c>
      <c r="AJ116" s="79" t="s">
        <v>748</v>
      </c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79"/>
      <c r="BS116" s="79"/>
      <c r="BT116" s="79"/>
      <c r="BU116" s="79"/>
      <c r="BV116" s="79"/>
      <c r="BW116" s="79"/>
      <c r="BX116" s="79"/>
      <c r="BY116" s="79"/>
      <c r="BZ116" s="79"/>
      <c r="CA116" s="79"/>
      <c r="CB116" s="79"/>
      <c r="CC116" s="79"/>
      <c r="CD116" s="79"/>
      <c r="CE116" s="79"/>
      <c r="CF116" s="79"/>
      <c r="CG116" s="79"/>
      <c r="CH116" s="79"/>
      <c r="CI116" s="79"/>
      <c r="CJ116" s="79"/>
      <c r="CK116" s="79"/>
      <c r="CL116" s="79"/>
      <c r="CM116" s="79"/>
      <c r="CN116" s="79"/>
      <c r="CO116" s="79"/>
      <c r="CP116" s="79"/>
      <c r="CQ116" s="79"/>
      <c r="CR116" s="79"/>
      <c r="CS116" s="79"/>
      <c r="CT116" s="79"/>
      <c r="CU116" s="79"/>
      <c r="CV116" s="79"/>
      <c r="CW116" s="79"/>
      <c r="CX116" s="85"/>
      <c r="CY116" s="85"/>
      <c r="CZ116" s="85"/>
      <c r="DA116" s="86"/>
      <c r="DB116" s="84"/>
    </row>
    <row r="117" spans="2:106" ht="11.25" customHeight="1">
      <c r="B117" s="78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  <c r="BT117" s="79"/>
      <c r="BU117" s="79"/>
      <c r="BV117" s="79"/>
      <c r="BW117" s="79"/>
      <c r="BX117" s="79"/>
      <c r="BY117" s="79"/>
      <c r="BZ117" s="79"/>
      <c r="CA117" s="79"/>
      <c r="CB117" s="79"/>
      <c r="CC117" s="79"/>
      <c r="CD117" s="79"/>
      <c r="CE117" s="79"/>
      <c r="CF117" s="79"/>
      <c r="CG117" s="79"/>
      <c r="CH117" s="79"/>
      <c r="CI117" s="79"/>
      <c r="CJ117" s="79"/>
      <c r="CK117" s="79"/>
      <c r="CL117" s="79"/>
      <c r="CM117" s="79"/>
      <c r="CN117" s="79"/>
      <c r="CO117" s="79"/>
      <c r="CP117" s="79"/>
      <c r="CQ117" s="79"/>
      <c r="CR117" s="79"/>
      <c r="CS117" s="79"/>
      <c r="CT117" s="79"/>
      <c r="CU117" s="79"/>
      <c r="CV117" s="79"/>
      <c r="CW117" s="79"/>
      <c r="CX117" s="85"/>
      <c r="CY117" s="85"/>
      <c r="CZ117" s="85"/>
      <c r="DA117" s="86"/>
      <c r="DB117" s="84"/>
    </row>
    <row r="118" spans="2:106" ht="11.25" customHeight="1">
      <c r="B118" s="78"/>
      <c r="C118" s="79"/>
      <c r="D118" s="79" t="s">
        <v>401</v>
      </c>
      <c r="E118" s="79"/>
      <c r="F118" s="79"/>
      <c r="G118" s="79" t="s">
        <v>498</v>
      </c>
      <c r="H118" s="79"/>
      <c r="I118" s="79"/>
      <c r="J118" s="79"/>
      <c r="K118" s="79"/>
      <c r="L118" s="79"/>
      <c r="M118" s="79"/>
      <c r="N118" s="79"/>
      <c r="O118" s="79" t="s">
        <v>308</v>
      </c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  <c r="BO118" s="79"/>
      <c r="BP118" s="79"/>
      <c r="BQ118" s="79"/>
      <c r="BR118" s="79"/>
      <c r="BS118" s="79"/>
      <c r="BT118" s="79"/>
      <c r="BU118" s="79"/>
      <c r="BV118" s="79"/>
      <c r="BW118" s="79"/>
      <c r="BX118" s="79"/>
      <c r="BY118" s="79"/>
      <c r="BZ118" s="79"/>
      <c r="CA118" s="79"/>
      <c r="CB118" s="79"/>
      <c r="CC118" s="79"/>
      <c r="CD118" s="79"/>
      <c r="CE118" s="79"/>
      <c r="CF118" s="79"/>
      <c r="CG118" s="79"/>
      <c r="CH118" s="79"/>
      <c r="CI118" s="79"/>
      <c r="CJ118" s="79"/>
      <c r="CK118" s="79"/>
      <c r="CL118" s="79"/>
      <c r="CM118" s="79"/>
      <c r="CN118" s="79"/>
      <c r="CO118" s="79"/>
      <c r="CP118" s="79"/>
      <c r="CQ118" s="79"/>
      <c r="CR118" s="79"/>
      <c r="CS118" s="79"/>
      <c r="CT118" s="79"/>
      <c r="CU118" s="79"/>
      <c r="CV118" s="79"/>
      <c r="CW118" s="79"/>
      <c r="CX118" s="85"/>
      <c r="CY118" s="85"/>
      <c r="CZ118" s="85"/>
      <c r="DA118" s="86"/>
      <c r="DB118" s="84"/>
    </row>
    <row r="119" spans="2:106" ht="11.25" customHeight="1">
      <c r="B119" s="78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79"/>
      <c r="CH119" s="79"/>
      <c r="CI119" s="79"/>
      <c r="CJ119" s="79"/>
      <c r="CK119" s="79"/>
      <c r="CL119" s="79"/>
      <c r="CM119" s="79"/>
      <c r="CN119" s="79"/>
      <c r="CO119" s="79"/>
      <c r="CP119" s="79"/>
      <c r="CQ119" s="79"/>
      <c r="CR119" s="79"/>
      <c r="CS119" s="79"/>
      <c r="CT119" s="79"/>
      <c r="CU119" s="79"/>
      <c r="CV119" s="79"/>
      <c r="CW119" s="79"/>
      <c r="CX119" s="85"/>
      <c r="CY119" s="85"/>
      <c r="CZ119" s="85"/>
      <c r="DA119" s="86"/>
      <c r="DB119" s="84"/>
    </row>
    <row r="120" spans="2:106" ht="11.25" customHeight="1">
      <c r="B120" s="78"/>
      <c r="C120" s="79"/>
      <c r="D120" s="79"/>
      <c r="E120" s="79"/>
      <c r="F120" s="79"/>
      <c r="G120" s="79" t="s">
        <v>373</v>
      </c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 t="s">
        <v>662</v>
      </c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 t="str">
        <f>TEXT(자재단가!R13,"#,##0.#######")</f>
        <v>4,550.</v>
      </c>
      <c r="BC120" s="79"/>
      <c r="BD120" s="79"/>
      <c r="BE120" s="79"/>
      <c r="BF120" s="79"/>
      <c r="BG120" s="79"/>
      <c r="BH120" s="79"/>
      <c r="BI120" s="79"/>
      <c r="BJ120" s="79" t="s">
        <v>699</v>
      </c>
      <c r="BK120" s="79"/>
      <c r="BL120" s="79"/>
      <c r="BM120" s="79" t="str">
        <f>TEXT(4.53,"#,##0.#######")</f>
        <v>4.53</v>
      </c>
      <c r="BN120" s="79"/>
      <c r="BO120" s="79"/>
      <c r="BP120" s="79"/>
      <c r="BQ120" s="79" t="s">
        <v>477</v>
      </c>
      <c r="BR120" s="79"/>
      <c r="BS120" s="79"/>
      <c r="BT120" s="79" t="s">
        <v>309</v>
      </c>
      <c r="BU120" s="79"/>
      <c r="BV120" s="79" t="str">
        <f>TEXT(TRUNC(BB120*BM120,1),"#,##0.#######")</f>
        <v>20,611.5</v>
      </c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  <c r="CH120" s="79"/>
      <c r="CI120" s="79"/>
      <c r="CJ120" s="79"/>
      <c r="CK120" s="79"/>
      <c r="CL120" s="79"/>
      <c r="CM120" s="79"/>
      <c r="CN120" s="79"/>
      <c r="CO120" s="79"/>
      <c r="CP120" s="79"/>
      <c r="CQ120" s="79"/>
      <c r="CR120" s="79"/>
      <c r="CS120" s="79"/>
      <c r="CT120" s="79"/>
      <c r="CU120" s="79"/>
      <c r="CV120" s="79"/>
      <c r="CW120" s="79"/>
      <c r="CX120" s="85"/>
      <c r="CY120" s="85"/>
      <c r="CZ120" s="85"/>
      <c r="DA120" s="86"/>
      <c r="DB120" s="84"/>
    </row>
    <row r="121" spans="2:106" ht="11.25" customHeight="1">
      <c r="B121" s="78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  <c r="CH121" s="79"/>
      <c r="CI121" s="79"/>
      <c r="CJ121" s="79"/>
      <c r="CK121" s="79"/>
      <c r="CL121" s="79"/>
      <c r="CM121" s="79"/>
      <c r="CN121" s="79"/>
      <c r="CO121" s="79"/>
      <c r="CP121" s="79"/>
      <c r="CQ121" s="79"/>
      <c r="CR121" s="79"/>
      <c r="CS121" s="79"/>
      <c r="CT121" s="79"/>
      <c r="CU121" s="79"/>
      <c r="CV121" s="79"/>
      <c r="CW121" s="79"/>
      <c r="CX121" s="85"/>
      <c r="CY121" s="85"/>
      <c r="CZ121" s="85"/>
      <c r="DA121" s="86"/>
      <c r="DB121" s="84"/>
    </row>
    <row r="122" spans="2:106" ht="11.25" customHeight="1">
      <c r="B122" s="78"/>
      <c r="C122" s="79"/>
      <c r="D122" s="79"/>
      <c r="E122" s="79"/>
      <c r="F122" s="79"/>
      <c r="G122" s="79" t="s">
        <v>558</v>
      </c>
      <c r="H122" s="79"/>
      <c r="I122" s="79"/>
      <c r="J122" s="79"/>
      <c r="K122" s="79"/>
      <c r="L122" s="79"/>
      <c r="M122" s="79"/>
      <c r="N122" s="79"/>
      <c r="O122" s="79"/>
      <c r="P122" s="79" t="s">
        <v>144</v>
      </c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 t="str">
        <f>TEXT(자재단가!R14,"#,##0.#######")</f>
        <v>5,000.</v>
      </c>
      <c r="AF122" s="79"/>
      <c r="AG122" s="79"/>
      <c r="AH122" s="79"/>
      <c r="AI122" s="79"/>
      <c r="AJ122" s="79"/>
      <c r="AK122" s="79"/>
      <c r="AL122" s="79"/>
      <c r="AM122" s="79" t="s">
        <v>699</v>
      </c>
      <c r="AN122" s="79"/>
      <c r="AO122" s="79"/>
      <c r="AP122" s="79" t="str">
        <f>TEXT(0.31,"#,##0.#######")</f>
        <v>0.31</v>
      </c>
      <c r="AQ122" s="79"/>
      <c r="AR122" s="79"/>
      <c r="AS122" s="79"/>
      <c r="AT122" s="79" t="s">
        <v>477</v>
      </c>
      <c r="AU122" s="79"/>
      <c r="AV122" s="79"/>
      <c r="AW122" s="79" t="s">
        <v>309</v>
      </c>
      <c r="AX122" s="79"/>
      <c r="AY122" s="79" t="str">
        <f>TEXT(TRUNC(AE122*AP122,1),"#,##0.#######")</f>
        <v>1,550.</v>
      </c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79"/>
      <c r="CE122" s="79"/>
      <c r="CF122" s="79"/>
      <c r="CG122" s="79"/>
      <c r="CH122" s="79"/>
      <c r="CI122" s="79"/>
      <c r="CJ122" s="79"/>
      <c r="CK122" s="79"/>
      <c r="CL122" s="79"/>
      <c r="CM122" s="79"/>
      <c r="CN122" s="79"/>
      <c r="CO122" s="79"/>
      <c r="CP122" s="79"/>
      <c r="CQ122" s="79"/>
      <c r="CR122" s="79"/>
      <c r="CS122" s="79"/>
      <c r="CT122" s="79"/>
      <c r="CU122" s="79"/>
      <c r="CV122" s="79"/>
      <c r="CW122" s="79"/>
      <c r="CX122" s="85"/>
      <c r="CY122" s="85"/>
      <c r="CZ122" s="85"/>
      <c r="DA122" s="86"/>
      <c r="DB122" s="84"/>
    </row>
    <row r="123" spans="2:106" ht="11.25" customHeight="1">
      <c r="B123" s="78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  <c r="BI123" s="79"/>
      <c r="BJ123" s="79"/>
      <c r="BK123" s="79"/>
      <c r="BL123" s="79"/>
      <c r="BM123" s="79"/>
      <c r="BN123" s="79"/>
      <c r="BO123" s="79"/>
      <c r="BP123" s="79"/>
      <c r="BQ123" s="79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79"/>
      <c r="CG123" s="79"/>
      <c r="CH123" s="79"/>
      <c r="CI123" s="79"/>
      <c r="CJ123" s="79"/>
      <c r="CK123" s="79"/>
      <c r="CL123" s="79"/>
      <c r="CM123" s="79"/>
      <c r="CN123" s="79"/>
      <c r="CO123" s="79"/>
      <c r="CP123" s="79"/>
      <c r="CQ123" s="79"/>
      <c r="CR123" s="79"/>
      <c r="CS123" s="79"/>
      <c r="CT123" s="79"/>
      <c r="CU123" s="79"/>
      <c r="CV123" s="79"/>
      <c r="CW123" s="79"/>
      <c r="CX123" s="85"/>
      <c r="CY123" s="85"/>
      <c r="CZ123" s="85"/>
      <c r="DA123" s="86"/>
      <c r="DB123" s="84"/>
    </row>
    <row r="124" spans="2:106" ht="11.25" customHeight="1">
      <c r="B124" s="78"/>
      <c r="C124" s="79"/>
      <c r="D124" s="79"/>
      <c r="E124" s="79"/>
      <c r="F124" s="79"/>
      <c r="G124" s="79" t="s">
        <v>131</v>
      </c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 t="s">
        <v>585</v>
      </c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 t="str">
        <f>TEXT(자재단가!R15,"#,##0.#######")</f>
        <v>4,500.</v>
      </c>
      <c r="AQ124" s="79"/>
      <c r="AR124" s="79"/>
      <c r="AS124" s="79"/>
      <c r="AT124" s="79"/>
      <c r="AU124" s="79"/>
      <c r="AV124" s="79"/>
      <c r="AW124" s="79"/>
      <c r="AX124" s="79" t="s">
        <v>699</v>
      </c>
      <c r="AY124" s="79"/>
      <c r="AZ124" s="79"/>
      <c r="BA124" s="79" t="str">
        <f>TEXT(0.2,"#,##0.#######")</f>
        <v>0.2</v>
      </c>
      <c r="BB124" s="79"/>
      <c r="BC124" s="79"/>
      <c r="BD124" s="79"/>
      <c r="BE124" s="79" t="s">
        <v>477</v>
      </c>
      <c r="BF124" s="79"/>
      <c r="BG124" s="79"/>
      <c r="BH124" s="79" t="s">
        <v>309</v>
      </c>
      <c r="BI124" s="79"/>
      <c r="BJ124" s="79" t="str">
        <f>TEXT(TRUNC(AP124*BA124,1),"#,##0.#######")</f>
        <v>900.</v>
      </c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  <c r="CH124" s="79"/>
      <c r="CI124" s="79"/>
      <c r="CJ124" s="79"/>
      <c r="CK124" s="79"/>
      <c r="CL124" s="79"/>
      <c r="CM124" s="79"/>
      <c r="CN124" s="79"/>
      <c r="CO124" s="79"/>
      <c r="CP124" s="79"/>
      <c r="CQ124" s="79"/>
      <c r="CR124" s="79"/>
      <c r="CS124" s="79"/>
      <c r="CT124" s="79"/>
      <c r="CU124" s="79"/>
      <c r="CV124" s="79"/>
      <c r="CW124" s="79"/>
      <c r="CX124" s="85"/>
      <c r="CY124" s="85"/>
      <c r="CZ124" s="85"/>
      <c r="DA124" s="86"/>
      <c r="DB124" s="84"/>
    </row>
    <row r="125" spans="2:106" ht="11.25" customHeight="1">
      <c r="B125" s="78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/>
      <c r="BB125" s="79"/>
      <c r="BC125" s="79"/>
      <c r="BD125" s="79"/>
      <c r="BE125" s="79"/>
      <c r="BF125" s="79"/>
      <c r="BG125" s="79"/>
      <c r="BH125" s="79"/>
      <c r="BI125" s="79"/>
      <c r="BJ125" s="79"/>
      <c r="BK125" s="79"/>
      <c r="BL125" s="79"/>
      <c r="BM125" s="79"/>
      <c r="BN125" s="79"/>
      <c r="BO125" s="79"/>
      <c r="BP125" s="79"/>
      <c r="BQ125" s="79"/>
      <c r="BR125" s="79"/>
      <c r="BS125" s="79"/>
      <c r="BT125" s="79"/>
      <c r="BU125" s="79"/>
      <c r="BV125" s="79"/>
      <c r="BW125" s="79"/>
      <c r="BX125" s="79"/>
      <c r="BY125" s="79"/>
      <c r="BZ125" s="79"/>
      <c r="CA125" s="79"/>
      <c r="CB125" s="79"/>
      <c r="CC125" s="79"/>
      <c r="CD125" s="79"/>
      <c r="CE125" s="79"/>
      <c r="CF125" s="79"/>
      <c r="CG125" s="79"/>
      <c r="CH125" s="79"/>
      <c r="CI125" s="79"/>
      <c r="CJ125" s="79"/>
      <c r="CK125" s="79"/>
      <c r="CL125" s="79"/>
      <c r="CM125" s="79"/>
      <c r="CN125" s="79"/>
      <c r="CO125" s="79"/>
      <c r="CP125" s="79"/>
      <c r="CQ125" s="79"/>
      <c r="CR125" s="79"/>
      <c r="CS125" s="79"/>
      <c r="CT125" s="79"/>
      <c r="CU125" s="79"/>
      <c r="CV125" s="79"/>
      <c r="CW125" s="79"/>
      <c r="CX125" s="85"/>
      <c r="CY125" s="85"/>
      <c r="CZ125" s="85"/>
      <c r="DA125" s="86"/>
      <c r="DB125" s="84"/>
    </row>
    <row r="126" spans="2:106" ht="11.25" customHeight="1">
      <c r="B126" s="78"/>
      <c r="C126" s="79"/>
      <c r="D126" s="79"/>
      <c r="E126" s="79"/>
      <c r="F126" s="79"/>
      <c r="G126" s="79" t="s">
        <v>533</v>
      </c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 t="s">
        <v>7</v>
      </c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 t="str">
        <f>TEXT(자재단가!R16,"#,##0.#######")</f>
        <v>1,887.</v>
      </c>
      <c r="AE126" s="79"/>
      <c r="AF126" s="79"/>
      <c r="AG126" s="79"/>
      <c r="AH126" s="79"/>
      <c r="AI126" s="79"/>
      <c r="AJ126" s="79"/>
      <c r="AK126" s="79"/>
      <c r="AL126" s="79" t="s">
        <v>699</v>
      </c>
      <c r="AM126" s="79"/>
      <c r="AN126" s="79"/>
      <c r="AO126" s="79" t="str">
        <f>TEXT(0.2,"#,##0.#######")</f>
        <v>0.2</v>
      </c>
      <c r="AP126" s="79"/>
      <c r="AQ126" s="79"/>
      <c r="AR126" s="79"/>
      <c r="AS126" s="79" t="s">
        <v>477</v>
      </c>
      <c r="AT126" s="79"/>
      <c r="AU126" s="79"/>
      <c r="AV126" s="79" t="s">
        <v>309</v>
      </c>
      <c r="AW126" s="79"/>
      <c r="AX126" s="79" t="str">
        <f>TEXT(TRUNC(AD126*AO126,1),"#,##0.#######")</f>
        <v>377.4</v>
      </c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  <c r="CH126" s="79"/>
      <c r="CI126" s="79"/>
      <c r="CJ126" s="79"/>
      <c r="CK126" s="79"/>
      <c r="CL126" s="79"/>
      <c r="CM126" s="79"/>
      <c r="CN126" s="79"/>
      <c r="CO126" s="79"/>
      <c r="CP126" s="79"/>
      <c r="CQ126" s="79"/>
      <c r="CR126" s="79"/>
      <c r="CS126" s="79"/>
      <c r="CT126" s="79"/>
      <c r="CU126" s="79"/>
      <c r="CV126" s="79"/>
      <c r="CW126" s="79"/>
      <c r="CX126" s="85"/>
      <c r="CY126" s="85"/>
      <c r="CZ126" s="85"/>
      <c r="DA126" s="86"/>
      <c r="DB126" s="84"/>
    </row>
    <row r="127" spans="2:106" ht="11.25" customHeight="1">
      <c r="B127" s="78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  <c r="CH127" s="79"/>
      <c r="CI127" s="79"/>
      <c r="CJ127" s="79"/>
      <c r="CK127" s="79"/>
      <c r="CL127" s="79"/>
      <c r="CM127" s="79"/>
      <c r="CN127" s="79"/>
      <c r="CO127" s="79"/>
      <c r="CP127" s="79"/>
      <c r="CQ127" s="79"/>
      <c r="CR127" s="79"/>
      <c r="CS127" s="79"/>
      <c r="CT127" s="79"/>
      <c r="CU127" s="79"/>
      <c r="CV127" s="79"/>
      <c r="CW127" s="79"/>
      <c r="CX127" s="85"/>
      <c r="CY127" s="85"/>
      <c r="CZ127" s="85"/>
      <c r="DA127" s="86"/>
      <c r="DB127" s="84"/>
    </row>
    <row r="128" spans="2:106" ht="11.25" customHeight="1">
      <c r="B128" s="78"/>
      <c r="C128" s="79"/>
      <c r="D128" s="79"/>
      <c r="E128" s="79"/>
      <c r="F128" s="79"/>
      <c r="G128" s="79" t="s">
        <v>195</v>
      </c>
      <c r="H128" s="79"/>
      <c r="I128" s="79"/>
      <c r="J128" s="79"/>
      <c r="K128" s="79"/>
      <c r="L128" s="79"/>
      <c r="M128" s="79"/>
      <c r="N128" s="79"/>
      <c r="O128" s="79"/>
      <c r="P128" s="79" t="s">
        <v>604</v>
      </c>
      <c r="Q128" s="79"/>
      <c r="R128" s="79" t="str">
        <f>TEXT(TRUNC(BV120+AY122+BJ124+AX126,1),"#,##0.#######")</f>
        <v>23,438.9</v>
      </c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79"/>
      <c r="BT128" s="79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  <c r="CH128" s="79"/>
      <c r="CI128" s="79"/>
      <c r="CJ128" s="79"/>
      <c r="CK128" s="79"/>
      <c r="CL128" s="79"/>
      <c r="CM128" s="79"/>
      <c r="CN128" s="79"/>
      <c r="CO128" s="79"/>
      <c r="CP128" s="79"/>
      <c r="CQ128" s="79"/>
      <c r="CR128" s="79"/>
      <c r="CS128" s="79"/>
      <c r="CT128" s="79"/>
      <c r="CU128" s="79"/>
      <c r="CV128" s="79"/>
      <c r="CW128" s="79"/>
      <c r="CX128" s="85"/>
      <c r="CY128" s="85"/>
      <c r="CZ128" s="85" t="str">
        <f>R128</f>
        <v>23,438.9</v>
      </c>
      <c r="DA128" s="86"/>
      <c r="DB128" s="84"/>
    </row>
    <row r="129" spans="2:106" ht="11.25" customHeight="1">
      <c r="B129" s="78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79"/>
      <c r="BG129" s="79"/>
      <c r="BH129" s="79"/>
      <c r="BI129" s="79"/>
      <c r="BJ129" s="79"/>
      <c r="BK129" s="79"/>
      <c r="BL129" s="79"/>
      <c r="BM129" s="79"/>
      <c r="BN129" s="79"/>
      <c r="BO129" s="79"/>
      <c r="BP129" s="79"/>
      <c r="BQ129" s="79"/>
      <c r="BR129" s="79"/>
      <c r="BS129" s="79"/>
      <c r="BT129" s="79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  <c r="CH129" s="79"/>
      <c r="CI129" s="79"/>
      <c r="CJ129" s="79"/>
      <c r="CK129" s="79"/>
      <c r="CL129" s="79"/>
      <c r="CM129" s="79"/>
      <c r="CN129" s="79"/>
      <c r="CO129" s="79"/>
      <c r="CP129" s="79"/>
      <c r="CQ129" s="79"/>
      <c r="CR129" s="79"/>
      <c r="CS129" s="79"/>
      <c r="CT129" s="79"/>
      <c r="CU129" s="79"/>
      <c r="CV129" s="79"/>
      <c r="CW129" s="79"/>
      <c r="CX129" s="85"/>
      <c r="CY129" s="85"/>
      <c r="CZ129" s="85"/>
      <c r="DA129" s="86"/>
      <c r="DB129" s="84"/>
    </row>
    <row r="130" spans="2:106" ht="11.25" customHeight="1">
      <c r="B130" s="78"/>
      <c r="C130" s="79"/>
      <c r="D130" s="79" t="s">
        <v>594</v>
      </c>
      <c r="E130" s="79"/>
      <c r="F130" s="79"/>
      <c r="G130" s="79" t="s">
        <v>406</v>
      </c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  <c r="BM130" s="79"/>
      <c r="BN130" s="79"/>
      <c r="BO130" s="79"/>
      <c r="BP130" s="79"/>
      <c r="BQ130" s="79"/>
      <c r="BR130" s="79"/>
      <c r="BS130" s="79"/>
      <c r="BT130" s="79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  <c r="CH130" s="79"/>
      <c r="CI130" s="79"/>
      <c r="CJ130" s="79"/>
      <c r="CK130" s="79"/>
      <c r="CL130" s="79"/>
      <c r="CM130" s="79"/>
      <c r="CN130" s="79"/>
      <c r="CO130" s="79"/>
      <c r="CP130" s="79"/>
      <c r="CQ130" s="79"/>
      <c r="CR130" s="79"/>
      <c r="CS130" s="79"/>
      <c r="CT130" s="79"/>
      <c r="CU130" s="79"/>
      <c r="CV130" s="79"/>
      <c r="CW130" s="79"/>
      <c r="CX130" s="85"/>
      <c r="CY130" s="85"/>
      <c r="CZ130" s="85"/>
      <c r="DA130" s="86"/>
      <c r="DB130" s="84"/>
    </row>
    <row r="131" spans="2:106" ht="11.25" customHeight="1">
      <c r="B131" s="78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79"/>
      <c r="BT131" s="79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  <c r="CH131" s="79"/>
      <c r="CI131" s="79"/>
      <c r="CJ131" s="79"/>
      <c r="CK131" s="79"/>
      <c r="CL131" s="79"/>
      <c r="CM131" s="79"/>
      <c r="CN131" s="79"/>
      <c r="CO131" s="79"/>
      <c r="CP131" s="79"/>
      <c r="CQ131" s="79"/>
      <c r="CR131" s="79"/>
      <c r="CS131" s="79"/>
      <c r="CT131" s="79"/>
      <c r="CU131" s="79"/>
      <c r="CV131" s="79"/>
      <c r="CW131" s="79"/>
      <c r="CX131" s="85"/>
      <c r="CY131" s="85"/>
      <c r="CZ131" s="85"/>
      <c r="DA131" s="86"/>
      <c r="DB131" s="84"/>
    </row>
    <row r="132" spans="2:106" ht="11.25" customHeight="1">
      <c r="B132" s="78"/>
      <c r="C132" s="79"/>
      <c r="D132" s="79"/>
      <c r="E132" s="79"/>
      <c r="F132" s="79"/>
      <c r="G132" s="79" t="s">
        <v>43</v>
      </c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 t="s">
        <v>604</v>
      </c>
      <c r="S132" s="79"/>
      <c r="T132" s="79" t="str">
        <f>TEXT(노임단가!F9,"#,##0")</f>
        <v>226,122</v>
      </c>
      <c r="U132" s="79"/>
      <c r="V132" s="79"/>
      <c r="W132" s="79"/>
      <c r="X132" s="79"/>
      <c r="Y132" s="79"/>
      <c r="Z132" s="79"/>
      <c r="AA132" s="79"/>
      <c r="AB132" s="79"/>
      <c r="AC132" s="79"/>
      <c r="AD132" s="79" t="s">
        <v>699</v>
      </c>
      <c r="AE132" s="79"/>
      <c r="AF132" s="79"/>
      <c r="AG132" s="79" t="str">
        <f>TEXT(2,"#,##0.#######")</f>
        <v>2.</v>
      </c>
      <c r="AH132" s="79" t="s">
        <v>767</v>
      </c>
      <c r="AI132" s="79"/>
      <c r="AJ132" s="79"/>
      <c r="AK132" s="79" t="s">
        <v>391</v>
      </c>
      <c r="AL132" s="79"/>
      <c r="AM132" s="79"/>
      <c r="AN132" s="79" t="s">
        <v>262</v>
      </c>
      <c r="AO132" s="79"/>
      <c r="AP132" s="79"/>
      <c r="AQ132" s="79" t="s">
        <v>309</v>
      </c>
      <c r="AR132" s="79"/>
      <c r="AS132" s="79" t="str">
        <f>TEXT(T132,"#,##0.#######")</f>
        <v>226,122.</v>
      </c>
      <c r="AT132" s="79"/>
      <c r="AU132" s="79"/>
      <c r="AV132" s="79"/>
      <c r="AW132" s="79"/>
      <c r="AX132" s="79"/>
      <c r="AY132" s="79"/>
      <c r="AZ132" s="79"/>
      <c r="BA132" s="79" t="s">
        <v>699</v>
      </c>
      <c r="BB132" s="79"/>
      <c r="BC132" s="79"/>
      <c r="BD132" s="79" t="str">
        <f>TEXT(AG132,"#,##0.#######")</f>
        <v>2.</v>
      </c>
      <c r="BE132" s="79"/>
      <c r="BF132" s="79" t="s">
        <v>391</v>
      </c>
      <c r="BG132" s="79"/>
      <c r="BH132" s="79"/>
      <c r="BI132" s="79" t="str">
        <f>TEXT(AD116,"#,##0.#######")</f>
        <v>500.</v>
      </c>
      <c r="BJ132" s="79"/>
      <c r="BK132" s="79"/>
      <c r="BL132" s="79"/>
      <c r="BM132" s="79" t="s">
        <v>309</v>
      </c>
      <c r="BN132" s="79"/>
      <c r="BO132" s="79" t="str">
        <f>TEXT(TRUNC(T132*AG132/AD116,1),"#,##0.#######")</f>
        <v>904.4</v>
      </c>
      <c r="BP132" s="79"/>
      <c r="BQ132" s="79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79"/>
      <c r="CM132" s="79"/>
      <c r="CN132" s="79"/>
      <c r="CO132" s="79"/>
      <c r="CP132" s="79"/>
      <c r="CQ132" s="79"/>
      <c r="CR132" s="79"/>
      <c r="CS132" s="79"/>
      <c r="CT132" s="79"/>
      <c r="CU132" s="79"/>
      <c r="CV132" s="79"/>
      <c r="CW132" s="79"/>
      <c r="CX132" s="85"/>
      <c r="CY132" s="85"/>
      <c r="CZ132" s="85"/>
      <c r="DA132" s="86"/>
      <c r="DB132" s="84"/>
    </row>
    <row r="133" spans="2:106" ht="11.25" customHeight="1">
      <c r="B133" s="78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79"/>
      <c r="CM133" s="79"/>
      <c r="CN133" s="79"/>
      <c r="CO133" s="79"/>
      <c r="CP133" s="79"/>
      <c r="CQ133" s="79"/>
      <c r="CR133" s="79"/>
      <c r="CS133" s="79"/>
      <c r="CT133" s="79"/>
      <c r="CU133" s="79"/>
      <c r="CV133" s="79"/>
      <c r="CW133" s="79"/>
      <c r="CX133" s="85"/>
      <c r="CY133" s="85"/>
      <c r="CZ133" s="85"/>
      <c r="DA133" s="86"/>
      <c r="DB133" s="84"/>
    </row>
    <row r="134" spans="2:106" ht="11.25" customHeight="1">
      <c r="B134" s="78"/>
      <c r="C134" s="79"/>
      <c r="D134" s="79"/>
      <c r="E134" s="79"/>
      <c r="F134" s="79"/>
      <c r="G134" s="79" t="s">
        <v>54</v>
      </c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 t="s">
        <v>604</v>
      </c>
      <c r="S134" s="79"/>
      <c r="T134" s="79"/>
      <c r="U134" s="79" t="str">
        <f>TEXT(노임단가!F5,"#,##0")</f>
        <v>172,068</v>
      </c>
      <c r="V134" s="79"/>
      <c r="W134" s="79"/>
      <c r="X134" s="79"/>
      <c r="Y134" s="79"/>
      <c r="Z134" s="79"/>
      <c r="AA134" s="79"/>
      <c r="AB134" s="79"/>
      <c r="AC134" s="79"/>
      <c r="AD134" s="79"/>
      <c r="AE134" s="79" t="s">
        <v>699</v>
      </c>
      <c r="AF134" s="79"/>
      <c r="AG134" s="79"/>
      <c r="AH134" s="79" t="str">
        <f>TEXT(2,"#,##0.#######")</f>
        <v>2.</v>
      </c>
      <c r="AI134" s="79" t="s">
        <v>767</v>
      </c>
      <c r="AJ134" s="79"/>
      <c r="AK134" s="79"/>
      <c r="AL134" s="79" t="s">
        <v>391</v>
      </c>
      <c r="AM134" s="79"/>
      <c r="AN134" s="79"/>
      <c r="AO134" s="79" t="s">
        <v>262</v>
      </c>
      <c r="AP134" s="79"/>
      <c r="AQ134" s="79"/>
      <c r="AR134" s="79" t="s">
        <v>309</v>
      </c>
      <c r="AS134" s="79"/>
      <c r="AT134" s="79"/>
      <c r="AU134" s="79" t="str">
        <f>TEXT(U134,"#,##0.#######")</f>
        <v>172,068.</v>
      </c>
      <c r="AV134" s="79"/>
      <c r="AW134" s="79"/>
      <c r="AX134" s="79"/>
      <c r="AY134" s="79"/>
      <c r="AZ134" s="79"/>
      <c r="BA134" s="79"/>
      <c r="BB134" s="79"/>
      <c r="BC134" s="79" t="s">
        <v>699</v>
      </c>
      <c r="BD134" s="79"/>
      <c r="BE134" s="79"/>
      <c r="BF134" s="79" t="str">
        <f>TEXT(AH134,"#,##0.#######")</f>
        <v>2.</v>
      </c>
      <c r="BG134" s="79"/>
      <c r="BH134" s="79" t="s">
        <v>391</v>
      </c>
      <c r="BI134" s="79"/>
      <c r="BJ134" s="79"/>
      <c r="BK134" s="79" t="str">
        <f>TEXT(AD116,"#,##0.#######")</f>
        <v>500.</v>
      </c>
      <c r="BL134" s="79"/>
      <c r="BM134" s="79"/>
      <c r="BN134" s="79"/>
      <c r="BO134" s="79" t="s">
        <v>309</v>
      </c>
      <c r="BP134" s="79"/>
      <c r="BQ134" s="79" t="str">
        <f>TEXT(TRUNC(U134*AH134/AD116,1),"#,##0.#######")</f>
        <v>688.2</v>
      </c>
      <c r="BR134" s="79"/>
      <c r="BS134" s="79"/>
      <c r="BT134" s="79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  <c r="CH134" s="79"/>
      <c r="CI134" s="79"/>
      <c r="CJ134" s="79"/>
      <c r="CK134" s="79"/>
      <c r="CL134" s="79"/>
      <c r="CM134" s="79"/>
      <c r="CN134" s="79"/>
      <c r="CO134" s="79"/>
      <c r="CP134" s="79"/>
      <c r="CQ134" s="79"/>
      <c r="CR134" s="79"/>
      <c r="CS134" s="79"/>
      <c r="CT134" s="79"/>
      <c r="CU134" s="79"/>
      <c r="CV134" s="79"/>
      <c r="CW134" s="79"/>
      <c r="CX134" s="85"/>
      <c r="CY134" s="85"/>
      <c r="CZ134" s="85"/>
      <c r="DA134" s="86"/>
      <c r="DB134" s="84"/>
    </row>
    <row r="135" spans="2:106" ht="11.25" customHeight="1">
      <c r="B135" s="78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/>
      <c r="BB135" s="79"/>
      <c r="BC135" s="79"/>
      <c r="BD135" s="79"/>
      <c r="BE135" s="79"/>
      <c r="BF135" s="79"/>
      <c r="BG135" s="79"/>
      <c r="BH135" s="79"/>
      <c r="BI135" s="79"/>
      <c r="BJ135" s="79"/>
      <c r="BK135" s="79"/>
      <c r="BL135" s="79"/>
      <c r="BM135" s="79"/>
      <c r="BN135" s="79"/>
      <c r="BO135" s="79"/>
      <c r="BP135" s="79"/>
      <c r="BQ135" s="79"/>
      <c r="BR135" s="79"/>
      <c r="BS135" s="79"/>
      <c r="BT135" s="79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  <c r="CH135" s="79"/>
      <c r="CI135" s="79"/>
      <c r="CJ135" s="79"/>
      <c r="CK135" s="79"/>
      <c r="CL135" s="79"/>
      <c r="CM135" s="79"/>
      <c r="CN135" s="79"/>
      <c r="CO135" s="79"/>
      <c r="CP135" s="79"/>
      <c r="CQ135" s="79"/>
      <c r="CR135" s="79"/>
      <c r="CS135" s="79"/>
      <c r="CT135" s="79"/>
      <c r="CU135" s="79"/>
      <c r="CV135" s="79"/>
      <c r="CW135" s="79"/>
      <c r="CX135" s="85"/>
      <c r="CY135" s="85"/>
      <c r="CZ135" s="85"/>
      <c r="DA135" s="86"/>
      <c r="DB135" s="84"/>
    </row>
    <row r="136" spans="2:106" ht="11.25" customHeight="1">
      <c r="B136" s="78"/>
      <c r="C136" s="79"/>
      <c r="D136" s="79"/>
      <c r="E136" s="79"/>
      <c r="F136" s="79"/>
      <c r="G136" s="79" t="s">
        <v>565</v>
      </c>
      <c r="H136" s="79"/>
      <c r="I136" s="79"/>
      <c r="J136" s="79"/>
      <c r="K136" s="79"/>
      <c r="L136" s="79"/>
      <c r="M136" s="79"/>
      <c r="N136" s="79"/>
      <c r="O136" s="79"/>
      <c r="P136" s="79" t="s">
        <v>604</v>
      </c>
      <c r="Q136" s="79"/>
      <c r="R136" s="79" t="str">
        <f>TEXT(TRUNC(BO132+BQ134,1),"#,##0.#######")</f>
        <v>1,592.6</v>
      </c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  <c r="CH136" s="79"/>
      <c r="CI136" s="79"/>
      <c r="CJ136" s="79"/>
      <c r="CK136" s="79"/>
      <c r="CL136" s="79"/>
      <c r="CM136" s="79"/>
      <c r="CN136" s="79"/>
      <c r="CO136" s="79"/>
      <c r="CP136" s="79"/>
      <c r="CQ136" s="79"/>
      <c r="CR136" s="79"/>
      <c r="CS136" s="79"/>
      <c r="CT136" s="79"/>
      <c r="CU136" s="79"/>
      <c r="CV136" s="79"/>
      <c r="CW136" s="79"/>
      <c r="CX136" s="85"/>
      <c r="CY136" s="85" t="str">
        <f>R136</f>
        <v>1,592.6</v>
      </c>
      <c r="CZ136" s="85"/>
      <c r="DA136" s="86"/>
      <c r="DB136" s="84"/>
    </row>
    <row r="137" spans="2:106" ht="11.25" customHeight="1">
      <c r="B137" s="78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  <c r="BP137" s="79"/>
      <c r="BQ137" s="79"/>
      <c r="BR137" s="79"/>
      <c r="BS137" s="79"/>
      <c r="BT137" s="79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  <c r="CH137" s="79"/>
      <c r="CI137" s="79"/>
      <c r="CJ137" s="79"/>
      <c r="CK137" s="79"/>
      <c r="CL137" s="79"/>
      <c r="CM137" s="79"/>
      <c r="CN137" s="79"/>
      <c r="CO137" s="79"/>
      <c r="CP137" s="79"/>
      <c r="CQ137" s="79"/>
      <c r="CR137" s="79"/>
      <c r="CS137" s="79"/>
      <c r="CT137" s="79"/>
      <c r="CU137" s="79"/>
      <c r="CV137" s="79"/>
      <c r="CW137" s="79"/>
      <c r="CX137" s="85"/>
      <c r="CY137" s="85"/>
      <c r="CZ137" s="85"/>
      <c r="DA137" s="86"/>
      <c r="DB137" s="84"/>
    </row>
    <row r="138" spans="2:106" ht="11.25" customHeight="1">
      <c r="B138" s="78"/>
      <c r="C138" s="79"/>
      <c r="D138" s="79" t="s">
        <v>832</v>
      </c>
      <c r="E138" s="79"/>
      <c r="F138" s="79"/>
      <c r="G138" s="79" t="s">
        <v>200</v>
      </c>
      <c r="H138" s="79"/>
      <c r="I138" s="79"/>
      <c r="J138" s="79"/>
      <c r="K138" s="79"/>
      <c r="L138" s="79"/>
      <c r="M138" s="79"/>
      <c r="N138" s="79"/>
      <c r="O138" s="79" t="s">
        <v>431</v>
      </c>
      <c r="P138" s="79" t="s">
        <v>130</v>
      </c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 t="s">
        <v>225</v>
      </c>
      <c r="AB138" s="79" t="s">
        <v>157</v>
      </c>
      <c r="AC138" s="79" t="s">
        <v>89</v>
      </c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/>
      <c r="BS138" s="79"/>
      <c r="BT138" s="79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  <c r="CH138" s="79"/>
      <c r="CI138" s="79"/>
      <c r="CJ138" s="79"/>
      <c r="CK138" s="79"/>
      <c r="CL138" s="79"/>
      <c r="CM138" s="79"/>
      <c r="CN138" s="79"/>
      <c r="CO138" s="79"/>
      <c r="CP138" s="79"/>
      <c r="CQ138" s="79"/>
      <c r="CR138" s="79"/>
      <c r="CS138" s="79"/>
      <c r="CT138" s="79"/>
      <c r="CU138" s="79"/>
      <c r="CV138" s="79"/>
      <c r="CW138" s="79"/>
      <c r="CX138" s="85"/>
      <c r="CY138" s="85"/>
      <c r="CZ138" s="85"/>
      <c r="DA138" s="86"/>
      <c r="DB138" s="84"/>
    </row>
    <row r="139" spans="2:106" ht="11.25" customHeight="1">
      <c r="B139" s="78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  <c r="BP139" s="79"/>
      <c r="BQ139" s="79"/>
      <c r="BR139" s="79"/>
      <c r="BS139" s="79"/>
      <c r="BT139" s="79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  <c r="CH139" s="79"/>
      <c r="CI139" s="79"/>
      <c r="CJ139" s="79"/>
      <c r="CK139" s="79"/>
      <c r="CL139" s="79"/>
      <c r="CM139" s="79"/>
      <c r="CN139" s="79"/>
      <c r="CO139" s="79"/>
      <c r="CP139" s="79"/>
      <c r="CQ139" s="79"/>
      <c r="CR139" s="79"/>
      <c r="CS139" s="79"/>
      <c r="CT139" s="79"/>
      <c r="CU139" s="79"/>
      <c r="CV139" s="79"/>
      <c r="CW139" s="79"/>
      <c r="CX139" s="85"/>
      <c r="CY139" s="85"/>
      <c r="CZ139" s="85"/>
      <c r="DA139" s="86"/>
      <c r="DB139" s="84"/>
    </row>
    <row r="140" spans="2:106" ht="11.25" customHeight="1">
      <c r="B140" s="78"/>
      <c r="C140" s="79"/>
      <c r="D140" s="79"/>
      <c r="E140" s="79"/>
      <c r="F140" s="79"/>
      <c r="G140" s="79" t="str">
        <f>R128</f>
        <v>23,438.9</v>
      </c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 t="s">
        <v>699</v>
      </c>
      <c r="S140" s="79"/>
      <c r="T140" s="79"/>
      <c r="U140" s="79" t="str">
        <f>TEXT(1,"#,##0.#######")</f>
        <v>1.</v>
      </c>
      <c r="V140" s="79" t="s">
        <v>157</v>
      </c>
      <c r="W140" s="79"/>
      <c r="X140" s="79" t="s">
        <v>309</v>
      </c>
      <c r="Y140" s="79"/>
      <c r="Z140" s="79" t="str">
        <f>TEXT(TRUNC(R128*(U140*(1/100)),1),"#,##0.#")</f>
        <v>234.3</v>
      </c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79"/>
      <c r="BT140" s="79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  <c r="CH140" s="79"/>
      <c r="CI140" s="79"/>
      <c r="CJ140" s="79"/>
      <c r="CK140" s="79"/>
      <c r="CL140" s="79"/>
      <c r="CM140" s="79"/>
      <c r="CN140" s="79"/>
      <c r="CO140" s="79"/>
      <c r="CP140" s="79"/>
      <c r="CQ140" s="79"/>
      <c r="CR140" s="79"/>
      <c r="CS140" s="79"/>
      <c r="CT140" s="79"/>
      <c r="CU140" s="79"/>
      <c r="CV140" s="79"/>
      <c r="CW140" s="79"/>
      <c r="CX140" s="85">
        <f>CY140+CZ140+DA140</f>
        <v>234.3</v>
      </c>
      <c r="CY140" s="85"/>
      <c r="CZ140" s="85" t="str">
        <f>Z140</f>
        <v>234.3</v>
      </c>
      <c r="DA140" s="86"/>
      <c r="DB140" s="84"/>
    </row>
    <row r="141" spans="2:106" ht="11.25" customHeight="1">
      <c r="B141" s="78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/>
      <c r="BB141" s="79"/>
      <c r="BC141" s="79"/>
      <c r="BD141" s="79"/>
      <c r="BE141" s="79"/>
      <c r="BF141" s="79"/>
      <c r="BG141" s="79"/>
      <c r="BH141" s="79"/>
      <c r="BI141" s="79"/>
      <c r="BJ141" s="79"/>
      <c r="BK141" s="79"/>
      <c r="BL141" s="79"/>
      <c r="BM141" s="79"/>
      <c r="BN141" s="79"/>
      <c r="BO141" s="79"/>
      <c r="BP141" s="79"/>
      <c r="BQ141" s="79"/>
      <c r="BR141" s="79"/>
      <c r="BS141" s="79"/>
      <c r="BT141" s="79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  <c r="CH141" s="79"/>
      <c r="CI141" s="79"/>
      <c r="CJ141" s="79"/>
      <c r="CK141" s="79"/>
      <c r="CL141" s="79"/>
      <c r="CM141" s="79"/>
      <c r="CN141" s="79"/>
      <c r="CO141" s="79"/>
      <c r="CP141" s="79"/>
      <c r="CQ141" s="79"/>
      <c r="CR141" s="79"/>
      <c r="CS141" s="79"/>
      <c r="CT141" s="79"/>
      <c r="CU141" s="79"/>
      <c r="CV141" s="79"/>
      <c r="CW141" s="79"/>
      <c r="CX141" s="85"/>
      <c r="CY141" s="85"/>
      <c r="CZ141" s="85"/>
      <c r="DA141" s="86"/>
      <c r="DB141" s="84"/>
    </row>
    <row r="142" spans="2:106" ht="11.25" customHeight="1">
      <c r="B142" s="78"/>
      <c r="C142" s="79"/>
      <c r="D142" s="79" t="s">
        <v>165</v>
      </c>
      <c r="E142" s="79"/>
      <c r="F142" s="79"/>
      <c r="G142" s="79" t="s">
        <v>446</v>
      </c>
      <c r="H142" s="79"/>
      <c r="I142" s="79"/>
      <c r="J142" s="79"/>
      <c r="K142" s="79"/>
      <c r="L142" s="79"/>
      <c r="M142" s="79"/>
      <c r="N142" s="79"/>
      <c r="O142" s="79"/>
      <c r="P142" s="79" t="s">
        <v>327</v>
      </c>
      <c r="Q142" s="79"/>
      <c r="R142" s="79"/>
      <c r="S142" s="79" t="s">
        <v>75</v>
      </c>
      <c r="T142" s="79"/>
      <c r="U142" s="79"/>
      <c r="V142" s="79"/>
      <c r="W142" s="79"/>
      <c r="X142" s="79"/>
      <c r="Y142" s="79" t="s">
        <v>431</v>
      </c>
      <c r="Z142" s="79" t="s">
        <v>117</v>
      </c>
      <c r="AA142" s="79"/>
      <c r="AB142" s="79"/>
      <c r="AC142" s="79"/>
      <c r="AD142" s="79"/>
      <c r="AE142" s="79"/>
      <c r="AF142" s="79"/>
      <c r="AG142" s="79"/>
      <c r="AH142" s="79" t="s">
        <v>716</v>
      </c>
      <c r="AI142" s="79"/>
      <c r="AJ142" s="79"/>
      <c r="AK142" s="79"/>
      <c r="AL142" s="79"/>
      <c r="AM142" s="79"/>
      <c r="AN142" s="79"/>
      <c r="AO142" s="79" t="s">
        <v>89</v>
      </c>
      <c r="AP142" s="79" t="s">
        <v>245</v>
      </c>
      <c r="AQ142" s="79"/>
      <c r="AR142" s="79"/>
      <c r="AS142" s="79" t="s">
        <v>106</v>
      </c>
      <c r="AT142" s="79"/>
      <c r="AU142" s="79"/>
      <c r="AV142" s="79"/>
      <c r="AW142" s="79"/>
      <c r="AX142" s="79"/>
      <c r="AY142" s="79"/>
      <c r="AZ142" s="79"/>
      <c r="BA142" s="79" t="s">
        <v>23</v>
      </c>
      <c r="BB142" s="79" t="s">
        <v>431</v>
      </c>
      <c r="BC142" s="79" t="s">
        <v>460</v>
      </c>
      <c r="BD142" s="79"/>
      <c r="BE142" s="79"/>
      <c r="BF142" s="79"/>
      <c r="BG142" s="79"/>
      <c r="BH142" s="79"/>
      <c r="BI142" s="79"/>
      <c r="BJ142" s="79"/>
      <c r="BK142" s="79"/>
      <c r="BL142" s="79" t="s">
        <v>90</v>
      </c>
      <c r="BM142" s="79"/>
      <c r="BN142" s="79" t="s">
        <v>157</v>
      </c>
      <c r="BO142" s="79" t="s">
        <v>89</v>
      </c>
      <c r="BP142" s="79"/>
      <c r="BQ142" s="79"/>
      <c r="BR142" s="79"/>
      <c r="BS142" s="79"/>
      <c r="BT142" s="79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  <c r="CH142" s="79"/>
      <c r="CI142" s="79"/>
      <c r="CJ142" s="79"/>
      <c r="CK142" s="79"/>
      <c r="CL142" s="79"/>
      <c r="CM142" s="79"/>
      <c r="CN142" s="79"/>
      <c r="CO142" s="79"/>
      <c r="CP142" s="79"/>
      <c r="CQ142" s="79"/>
      <c r="CR142" s="79"/>
      <c r="CS142" s="79"/>
      <c r="CT142" s="79"/>
      <c r="CU142" s="79"/>
      <c r="CV142" s="79"/>
      <c r="CW142" s="79"/>
      <c r="CX142" s="85"/>
      <c r="CY142" s="85"/>
      <c r="CZ142" s="85"/>
      <c r="DA142" s="86"/>
      <c r="DB142" s="84"/>
    </row>
    <row r="143" spans="2:106" ht="11.25" customHeight="1">
      <c r="B143" s="78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9"/>
      <c r="BG143" s="79"/>
      <c r="BH143" s="79"/>
      <c r="BI143" s="79"/>
      <c r="BJ143" s="79"/>
      <c r="BK143" s="79"/>
      <c r="BL143" s="79"/>
      <c r="BM143" s="79"/>
      <c r="BN143" s="79"/>
      <c r="BO143" s="79"/>
      <c r="BP143" s="79"/>
      <c r="BQ143" s="79"/>
      <c r="BR143" s="79"/>
      <c r="BS143" s="79"/>
      <c r="BT143" s="79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  <c r="CH143" s="79"/>
      <c r="CI143" s="79"/>
      <c r="CJ143" s="79"/>
      <c r="CK143" s="79"/>
      <c r="CL143" s="79"/>
      <c r="CM143" s="79"/>
      <c r="CN143" s="79"/>
      <c r="CO143" s="79"/>
      <c r="CP143" s="79"/>
      <c r="CQ143" s="79"/>
      <c r="CR143" s="79"/>
      <c r="CS143" s="79"/>
      <c r="CT143" s="79"/>
      <c r="CU143" s="79"/>
      <c r="CV143" s="79"/>
      <c r="CW143" s="79"/>
      <c r="CX143" s="85"/>
      <c r="CY143" s="85"/>
      <c r="CZ143" s="85"/>
      <c r="DA143" s="86"/>
      <c r="DB143" s="84"/>
    </row>
    <row r="144" spans="2:106" ht="11.25" customHeight="1">
      <c r="B144" s="78"/>
      <c r="C144" s="79"/>
      <c r="D144" s="79"/>
      <c r="E144" s="79"/>
      <c r="F144" s="79"/>
      <c r="G144" s="79" t="str">
        <f>R136</f>
        <v>1,592.6</v>
      </c>
      <c r="H144" s="79"/>
      <c r="I144" s="79"/>
      <c r="J144" s="79"/>
      <c r="K144" s="79"/>
      <c r="L144" s="79"/>
      <c r="M144" s="79"/>
      <c r="N144" s="79"/>
      <c r="O144" s="79"/>
      <c r="P144" s="79"/>
      <c r="Q144" s="79" t="s">
        <v>699</v>
      </c>
      <c r="R144" s="79"/>
      <c r="S144" s="79"/>
      <c r="T144" s="79" t="str">
        <f>TEXT(10,"#,##0.#######")</f>
        <v>10.</v>
      </c>
      <c r="U144" s="79"/>
      <c r="V144" s="79" t="s">
        <v>157</v>
      </c>
      <c r="W144" s="79"/>
      <c r="X144" s="79" t="s">
        <v>309</v>
      </c>
      <c r="Y144" s="79"/>
      <c r="Z144" s="79" t="str">
        <f>TEXT(TRUNC(R136*(T144*(1/100)),1),"#,##0.#")</f>
        <v>159.2</v>
      </c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79"/>
      <c r="BP144" s="79"/>
      <c r="BQ144" s="79"/>
      <c r="BR144" s="79"/>
      <c r="BS144" s="79"/>
      <c r="BT144" s="79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  <c r="CH144" s="79"/>
      <c r="CI144" s="79"/>
      <c r="CJ144" s="79"/>
      <c r="CK144" s="79"/>
      <c r="CL144" s="79"/>
      <c r="CM144" s="79"/>
      <c r="CN144" s="79"/>
      <c r="CO144" s="79"/>
      <c r="CP144" s="79"/>
      <c r="CQ144" s="79"/>
      <c r="CR144" s="79"/>
      <c r="CS144" s="79"/>
      <c r="CT144" s="79"/>
      <c r="CU144" s="79"/>
      <c r="CV144" s="79"/>
      <c r="CW144" s="79"/>
      <c r="CX144" s="85">
        <f>CY144+CZ144+DA144</f>
        <v>159.19999999999999</v>
      </c>
      <c r="CY144" s="85"/>
      <c r="CZ144" s="85"/>
      <c r="DA144" s="86" t="str">
        <f>Z144</f>
        <v>159.2</v>
      </c>
      <c r="DB144" s="84"/>
    </row>
    <row r="145" spans="2:106" ht="11.25" customHeight="1">
      <c r="B145" s="78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9"/>
      <c r="BG145" s="79"/>
      <c r="BH145" s="79"/>
      <c r="BI145" s="79"/>
      <c r="BJ145" s="79"/>
      <c r="BK145" s="79"/>
      <c r="BL145" s="79"/>
      <c r="BM145" s="79"/>
      <c r="BN145" s="79"/>
      <c r="BO145" s="79"/>
      <c r="BP145" s="79"/>
      <c r="BQ145" s="79"/>
      <c r="BR145" s="79"/>
      <c r="BS145" s="79"/>
      <c r="BT145" s="79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  <c r="CH145" s="79"/>
      <c r="CI145" s="79"/>
      <c r="CJ145" s="79"/>
      <c r="CK145" s="79"/>
      <c r="CL145" s="79"/>
      <c r="CM145" s="79"/>
      <c r="CN145" s="79"/>
      <c r="CO145" s="79"/>
      <c r="CP145" s="79"/>
      <c r="CQ145" s="79"/>
      <c r="CR145" s="79"/>
      <c r="CS145" s="79"/>
      <c r="CT145" s="79"/>
      <c r="CU145" s="79"/>
      <c r="CV145" s="79"/>
      <c r="CW145" s="79"/>
      <c r="CX145" s="85"/>
      <c r="CY145" s="85"/>
      <c r="CZ145" s="85"/>
      <c r="DA145" s="86"/>
      <c r="DB145" s="84"/>
    </row>
    <row r="146" spans="2:106" ht="11.25" customHeight="1">
      <c r="B146" s="78"/>
      <c r="C146" s="79"/>
      <c r="D146" s="79" t="s">
        <v>389</v>
      </c>
      <c r="E146" s="79"/>
      <c r="F146" s="79"/>
      <c r="G146" s="79" t="s">
        <v>106</v>
      </c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79"/>
      <c r="BP146" s="79"/>
      <c r="BQ146" s="79"/>
      <c r="BR146" s="79"/>
      <c r="BS146" s="79"/>
      <c r="BT146" s="79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  <c r="CH146" s="79"/>
      <c r="CI146" s="79"/>
      <c r="CJ146" s="79"/>
      <c r="CK146" s="79"/>
      <c r="CL146" s="79"/>
      <c r="CM146" s="79"/>
      <c r="CN146" s="79"/>
      <c r="CO146" s="79"/>
      <c r="CP146" s="79"/>
      <c r="CQ146" s="79"/>
      <c r="CR146" s="79"/>
      <c r="CS146" s="79"/>
      <c r="CT146" s="79"/>
      <c r="CU146" s="79"/>
      <c r="CV146" s="79"/>
      <c r="CW146" s="79"/>
      <c r="CX146" s="85"/>
      <c r="CY146" s="85"/>
      <c r="CZ146" s="85"/>
      <c r="DA146" s="86"/>
      <c r="DB146" s="84"/>
    </row>
    <row r="147" spans="2:106" ht="11.25" customHeight="1">
      <c r="B147" s="78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  <c r="CH147" s="79"/>
      <c r="CI147" s="79"/>
      <c r="CJ147" s="79"/>
      <c r="CK147" s="79"/>
      <c r="CL147" s="79"/>
      <c r="CM147" s="79"/>
      <c r="CN147" s="79"/>
      <c r="CO147" s="79"/>
      <c r="CP147" s="79"/>
      <c r="CQ147" s="79"/>
      <c r="CR147" s="79"/>
      <c r="CS147" s="79"/>
      <c r="CT147" s="79"/>
      <c r="CU147" s="79"/>
      <c r="CV147" s="79"/>
      <c r="CW147" s="79"/>
      <c r="CX147" s="85"/>
      <c r="CY147" s="85"/>
      <c r="CZ147" s="85"/>
      <c r="DA147" s="86"/>
      <c r="DB147" s="84"/>
    </row>
    <row r="148" spans="2:106" ht="11.25" customHeight="1">
      <c r="B148" s="78"/>
      <c r="C148" s="79"/>
      <c r="D148" s="79"/>
      <c r="E148" s="79" t="s">
        <v>614</v>
      </c>
      <c r="F148" s="79"/>
      <c r="G148" s="79" t="s">
        <v>587</v>
      </c>
      <c r="H148" s="79"/>
      <c r="I148" s="79" t="s">
        <v>353</v>
      </c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 t="s">
        <v>116</v>
      </c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 t="s">
        <v>604</v>
      </c>
      <c r="AF148" s="79"/>
      <c r="AG148" s="79" t="s">
        <v>42</v>
      </c>
      <c r="AH148" s="79"/>
      <c r="AI148" s="79"/>
      <c r="AJ148" s="79"/>
      <c r="AK148" s="79"/>
      <c r="AL148" s="79"/>
      <c r="AM148" s="79"/>
      <c r="AN148" s="79" t="s">
        <v>100</v>
      </c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79"/>
      <c r="BS148" s="79"/>
      <c r="BT148" s="79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  <c r="CH148" s="79"/>
      <c r="CI148" s="79"/>
      <c r="CJ148" s="79"/>
      <c r="CK148" s="79"/>
      <c r="CL148" s="79"/>
      <c r="CM148" s="79"/>
      <c r="CN148" s="79"/>
      <c r="CO148" s="79"/>
      <c r="CP148" s="79"/>
      <c r="CQ148" s="79"/>
      <c r="CR148" s="79"/>
      <c r="CS148" s="79"/>
      <c r="CT148" s="79"/>
      <c r="CU148" s="79"/>
      <c r="CV148" s="79"/>
      <c r="CW148" s="79"/>
      <c r="CX148" s="85"/>
      <c r="CY148" s="85"/>
      <c r="CZ148" s="85"/>
      <c r="DA148" s="86"/>
      <c r="DB148" s="84"/>
    </row>
    <row r="149" spans="2:106" ht="11.25" customHeight="1">
      <c r="B149" s="78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79"/>
      <c r="BS149" s="79"/>
      <c r="BT149" s="79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  <c r="CH149" s="79"/>
      <c r="CI149" s="79"/>
      <c r="CJ149" s="79"/>
      <c r="CK149" s="79"/>
      <c r="CL149" s="79"/>
      <c r="CM149" s="79"/>
      <c r="CN149" s="79"/>
      <c r="CO149" s="79"/>
      <c r="CP149" s="79"/>
      <c r="CQ149" s="79"/>
      <c r="CR149" s="79"/>
      <c r="CS149" s="79"/>
      <c r="CT149" s="79"/>
      <c r="CU149" s="79"/>
      <c r="CV149" s="79"/>
      <c r="CW149" s="79"/>
      <c r="CX149" s="85"/>
      <c r="CY149" s="85"/>
      <c r="CZ149" s="85"/>
      <c r="DA149" s="86"/>
      <c r="DB149" s="84"/>
    </row>
    <row r="150" spans="2:106" ht="11.25" customHeight="1">
      <c r="B150" s="78"/>
      <c r="C150" s="79"/>
      <c r="D150" s="79"/>
      <c r="E150" s="79"/>
      <c r="F150" s="79"/>
      <c r="G150" s="79" t="s">
        <v>49</v>
      </c>
      <c r="H150" s="79"/>
      <c r="I150" s="79" t="s">
        <v>309</v>
      </c>
      <c r="J150" s="79"/>
      <c r="K150" s="79" t="s">
        <v>262</v>
      </c>
      <c r="L150" s="79"/>
      <c r="M150" s="79"/>
      <c r="N150" s="79" t="s">
        <v>391</v>
      </c>
      <c r="O150" s="79"/>
      <c r="P150" s="79"/>
      <c r="Q150" s="79" t="str">
        <f>TEXT(8,"#,##0.#######")</f>
        <v>8.</v>
      </c>
      <c r="R150" s="79" t="s">
        <v>598</v>
      </c>
      <c r="S150" s="79"/>
      <c r="T150" s="79"/>
      <c r="U150" s="79" t="s">
        <v>309</v>
      </c>
      <c r="V150" s="79"/>
      <c r="W150" s="79" t="str">
        <f>TEXT(AD116,"#,##0.#######")</f>
        <v>500.</v>
      </c>
      <c r="X150" s="79"/>
      <c r="Y150" s="79"/>
      <c r="Z150" s="79"/>
      <c r="AA150" s="79" t="s">
        <v>391</v>
      </c>
      <c r="AB150" s="79"/>
      <c r="AC150" s="79"/>
      <c r="AD150" s="79" t="str">
        <f>TEXT(Q150,"#,##0.#######")</f>
        <v>8.</v>
      </c>
      <c r="AE150" s="79"/>
      <c r="AF150" s="79" t="s">
        <v>309</v>
      </c>
      <c r="AG150" s="79"/>
      <c r="AH150" s="79" t="str">
        <f>TEXT(ROUND(AD116/Q150,2),"#,##0.#######")</f>
        <v>62.5</v>
      </c>
      <c r="AI150" s="79"/>
      <c r="AJ150" s="79"/>
      <c r="AK150" s="79"/>
      <c r="AL150" s="79"/>
      <c r="AM150" s="79"/>
      <c r="AN150" s="79" t="s">
        <v>596</v>
      </c>
      <c r="AO150" s="79"/>
      <c r="AP150" s="79" t="s">
        <v>123</v>
      </c>
      <c r="AQ150" s="79" t="s">
        <v>598</v>
      </c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/>
      <c r="BJ150" s="79"/>
      <c r="BK150" s="79"/>
      <c r="BL150" s="79"/>
      <c r="BM150" s="79"/>
      <c r="BN150" s="79"/>
      <c r="BO150" s="79"/>
      <c r="BP150" s="79"/>
      <c r="BQ150" s="79"/>
      <c r="BR150" s="79"/>
      <c r="BS150" s="79"/>
      <c r="BT150" s="79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  <c r="CH150" s="79"/>
      <c r="CI150" s="79"/>
      <c r="CJ150" s="79"/>
      <c r="CK150" s="79"/>
      <c r="CL150" s="79"/>
      <c r="CM150" s="79"/>
      <c r="CN150" s="79"/>
      <c r="CO150" s="79"/>
      <c r="CP150" s="79"/>
      <c r="CQ150" s="79"/>
      <c r="CR150" s="79"/>
      <c r="CS150" s="79"/>
      <c r="CT150" s="79"/>
      <c r="CU150" s="79"/>
      <c r="CV150" s="79"/>
      <c r="CW150" s="79"/>
      <c r="CX150" s="85"/>
      <c r="CY150" s="85"/>
      <c r="CZ150" s="85"/>
      <c r="DA150" s="86"/>
      <c r="DB150" s="84"/>
    </row>
    <row r="151" spans="2:106" ht="11.25" customHeight="1">
      <c r="B151" s="78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  <c r="BB151" s="79"/>
      <c r="BC151" s="79"/>
      <c r="BD151" s="79"/>
      <c r="BE151" s="79"/>
      <c r="BF151" s="79"/>
      <c r="BG151" s="79"/>
      <c r="BH151" s="79"/>
      <c r="BI151" s="79"/>
      <c r="BJ151" s="79"/>
      <c r="BK151" s="79"/>
      <c r="BL151" s="79"/>
      <c r="BM151" s="79"/>
      <c r="BN151" s="79"/>
      <c r="BO151" s="79"/>
      <c r="BP151" s="79"/>
      <c r="BQ151" s="79"/>
      <c r="BR151" s="79"/>
      <c r="BS151" s="79"/>
      <c r="BT151" s="79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  <c r="CH151" s="79"/>
      <c r="CI151" s="79"/>
      <c r="CJ151" s="79"/>
      <c r="CK151" s="79"/>
      <c r="CL151" s="79"/>
      <c r="CM151" s="79"/>
      <c r="CN151" s="79"/>
      <c r="CO151" s="79"/>
      <c r="CP151" s="79"/>
      <c r="CQ151" s="79"/>
      <c r="CR151" s="79"/>
      <c r="CS151" s="79"/>
      <c r="CT151" s="79"/>
      <c r="CU151" s="79"/>
      <c r="CV151" s="79"/>
      <c r="CW151" s="79"/>
      <c r="CX151" s="85"/>
      <c r="CY151" s="85"/>
      <c r="CZ151" s="85"/>
      <c r="DA151" s="86"/>
      <c r="DB151" s="84"/>
    </row>
    <row r="152" spans="2:106" ht="11.25" customHeight="1">
      <c r="B152" s="78"/>
      <c r="C152" s="79"/>
      <c r="D152" s="79"/>
      <c r="E152" s="79"/>
      <c r="F152" s="79"/>
      <c r="G152" s="79" t="s">
        <v>700</v>
      </c>
      <c r="H152" s="79"/>
      <c r="I152" s="79"/>
      <c r="J152" s="79"/>
      <c r="K152" s="79"/>
      <c r="L152" s="79"/>
      <c r="M152" s="79"/>
      <c r="N152" s="79" t="s">
        <v>604</v>
      </c>
      <c r="O152" s="79"/>
      <c r="P152" s="79" t="str">
        <f>TEXT(기계경비총괄표!G13,"#,##0")</f>
        <v>49,778</v>
      </c>
      <c r="Q152" s="79"/>
      <c r="R152" s="79"/>
      <c r="S152" s="79"/>
      <c r="T152" s="79"/>
      <c r="U152" s="79"/>
      <c r="V152" s="79"/>
      <c r="W152" s="79"/>
      <c r="X152" s="79"/>
      <c r="Y152" s="79" t="s">
        <v>391</v>
      </c>
      <c r="Z152" s="79"/>
      <c r="AA152" s="79"/>
      <c r="AB152" s="79" t="str">
        <f>TEXT(AH150,"#,##0.#######")</f>
        <v>62.5</v>
      </c>
      <c r="AC152" s="79"/>
      <c r="AD152" s="79"/>
      <c r="AE152" s="79"/>
      <c r="AF152" s="79"/>
      <c r="AG152" s="79"/>
      <c r="AH152" s="79"/>
      <c r="AI152" s="79" t="s">
        <v>309</v>
      </c>
      <c r="AJ152" s="79"/>
      <c r="AK152" s="79"/>
      <c r="AL152" s="79" t="str">
        <f>TEXT(TRUNC(P152/AH150,1),"#,##0.#")</f>
        <v>796.4</v>
      </c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/>
      <c r="BT152" s="79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  <c r="CH152" s="79"/>
      <c r="CI152" s="79"/>
      <c r="CJ152" s="79"/>
      <c r="CK152" s="79"/>
      <c r="CL152" s="79"/>
      <c r="CM152" s="79"/>
      <c r="CN152" s="79"/>
      <c r="CO152" s="79"/>
      <c r="CP152" s="79"/>
      <c r="CQ152" s="79"/>
      <c r="CR152" s="79"/>
      <c r="CS152" s="79"/>
      <c r="CT152" s="79"/>
      <c r="CU152" s="79"/>
      <c r="CV152" s="79"/>
      <c r="CW152" s="79"/>
      <c r="CX152" s="85"/>
      <c r="CY152" s="85"/>
      <c r="CZ152" s="85"/>
      <c r="DA152" s="86"/>
      <c r="DB152" s="84"/>
    </row>
    <row r="153" spans="2:106" ht="11.25" customHeight="1">
      <c r="B153" s="78"/>
      <c r="C153" s="79"/>
      <c r="D153" s="79"/>
      <c r="E153" s="79"/>
      <c r="F153" s="79"/>
      <c r="G153" s="79" t="s">
        <v>498</v>
      </c>
      <c r="H153" s="79"/>
      <c r="I153" s="79"/>
      <c r="J153" s="79"/>
      <c r="K153" s="79"/>
      <c r="L153" s="79"/>
      <c r="M153" s="79"/>
      <c r="N153" s="79" t="s">
        <v>604</v>
      </c>
      <c r="O153" s="79"/>
      <c r="P153" s="79"/>
      <c r="Q153" s="79" t="str">
        <f>TEXT(기계경비총괄표!H13,"#,##0")</f>
        <v>9,494</v>
      </c>
      <c r="R153" s="79"/>
      <c r="S153" s="79"/>
      <c r="T153" s="79"/>
      <c r="U153" s="79"/>
      <c r="V153" s="79"/>
      <c r="W153" s="79"/>
      <c r="X153" s="79"/>
      <c r="Y153" s="79" t="s">
        <v>391</v>
      </c>
      <c r="Z153" s="79"/>
      <c r="AA153" s="79"/>
      <c r="AB153" s="79" t="str">
        <f>TEXT(AH150,"#,##0.#######")</f>
        <v>62.5</v>
      </c>
      <c r="AC153" s="79"/>
      <c r="AD153" s="79"/>
      <c r="AE153" s="79"/>
      <c r="AF153" s="79"/>
      <c r="AG153" s="79"/>
      <c r="AH153" s="79"/>
      <c r="AI153" s="79" t="s">
        <v>309</v>
      </c>
      <c r="AJ153" s="79"/>
      <c r="AK153" s="79"/>
      <c r="AL153" s="79" t="str">
        <f>TEXT(TRUNC(Q153/AH150,1),"#,##0.#")</f>
        <v>151.9</v>
      </c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79"/>
      <c r="BS153" s="79"/>
      <c r="BT153" s="79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  <c r="CH153" s="79"/>
      <c r="CI153" s="79"/>
      <c r="CJ153" s="79"/>
      <c r="CK153" s="79"/>
      <c r="CL153" s="79"/>
      <c r="CM153" s="79"/>
      <c r="CN153" s="79"/>
      <c r="CO153" s="79"/>
      <c r="CP153" s="79"/>
      <c r="CQ153" s="79"/>
      <c r="CR153" s="79"/>
      <c r="CS153" s="79"/>
      <c r="CT153" s="79"/>
      <c r="CU153" s="79"/>
      <c r="CV153" s="79"/>
      <c r="CW153" s="79"/>
      <c r="CX153" s="85"/>
      <c r="CY153" s="85"/>
      <c r="CZ153" s="85"/>
      <c r="DA153" s="86"/>
      <c r="DB153" s="84"/>
    </row>
    <row r="154" spans="2:106" ht="11.25" customHeight="1">
      <c r="B154" s="78"/>
      <c r="C154" s="79"/>
      <c r="D154" s="79"/>
      <c r="E154" s="79"/>
      <c r="F154" s="79"/>
      <c r="G154" s="79" t="s">
        <v>160</v>
      </c>
      <c r="H154" s="79"/>
      <c r="I154" s="79"/>
      <c r="J154" s="79"/>
      <c r="K154" s="79" t="s">
        <v>440</v>
      </c>
      <c r="L154" s="79"/>
      <c r="M154" s="79"/>
      <c r="N154" s="79" t="s">
        <v>604</v>
      </c>
      <c r="O154" s="79"/>
      <c r="P154" s="79"/>
      <c r="Q154" s="79" t="str">
        <f>TEXT(기계경비총괄표!I13,"#,##0")</f>
        <v>7,613</v>
      </c>
      <c r="R154" s="79"/>
      <c r="S154" s="79"/>
      <c r="T154" s="79"/>
      <c r="U154" s="79"/>
      <c r="V154" s="79"/>
      <c r="W154" s="79"/>
      <c r="X154" s="79"/>
      <c r="Y154" s="79" t="s">
        <v>391</v>
      </c>
      <c r="Z154" s="79"/>
      <c r="AA154" s="79"/>
      <c r="AB154" s="79" t="str">
        <f>TEXT(AH150,"#,##0.#######")</f>
        <v>62.5</v>
      </c>
      <c r="AC154" s="79"/>
      <c r="AD154" s="79"/>
      <c r="AE154" s="79"/>
      <c r="AF154" s="79"/>
      <c r="AG154" s="79"/>
      <c r="AH154" s="79"/>
      <c r="AI154" s="79" t="s">
        <v>309</v>
      </c>
      <c r="AJ154" s="79"/>
      <c r="AK154" s="79"/>
      <c r="AL154" s="79" t="str">
        <f>TEXT(TRUNC(Q154/AH150,1),"#,##0.#")</f>
        <v>121.8</v>
      </c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  <c r="CH154" s="79"/>
      <c r="CI154" s="79"/>
      <c r="CJ154" s="79"/>
      <c r="CK154" s="79"/>
      <c r="CL154" s="79"/>
      <c r="CM154" s="79"/>
      <c r="CN154" s="79"/>
      <c r="CO154" s="79"/>
      <c r="CP154" s="79"/>
      <c r="CQ154" s="79"/>
      <c r="CR154" s="79"/>
      <c r="CS154" s="79"/>
      <c r="CT154" s="79"/>
      <c r="CU154" s="79"/>
      <c r="CV154" s="79"/>
      <c r="CW154" s="79"/>
      <c r="CX154" s="85"/>
      <c r="CY154" s="85"/>
      <c r="CZ154" s="85"/>
      <c r="DA154" s="86"/>
      <c r="DB154" s="84"/>
    </row>
    <row r="155" spans="2:106" ht="11.25" customHeight="1">
      <c r="B155" s="78"/>
      <c r="C155" s="79"/>
      <c r="D155" s="79"/>
      <c r="E155" s="79"/>
      <c r="F155" s="79"/>
      <c r="G155" s="79" t="s">
        <v>305</v>
      </c>
      <c r="H155" s="79"/>
      <c r="I155" s="79"/>
      <c r="J155" s="79"/>
      <c r="K155" s="79" t="s">
        <v>436</v>
      </c>
      <c r="L155" s="79"/>
      <c r="M155" s="79"/>
      <c r="N155" s="79" t="s">
        <v>604</v>
      </c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 t="str">
        <f>TEXT(AL152+AL153+AL154,"#,##0.#######")</f>
        <v>1,070.1</v>
      </c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  <c r="BP155" s="79"/>
      <c r="BQ155" s="79"/>
      <c r="BR155" s="79"/>
      <c r="BS155" s="79"/>
      <c r="BT155" s="79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  <c r="CH155" s="79"/>
      <c r="CI155" s="79"/>
      <c r="CJ155" s="79"/>
      <c r="CK155" s="79"/>
      <c r="CL155" s="79"/>
      <c r="CM155" s="79"/>
      <c r="CN155" s="79"/>
      <c r="CO155" s="79"/>
      <c r="CP155" s="79"/>
      <c r="CQ155" s="79"/>
      <c r="CR155" s="79"/>
      <c r="CS155" s="79"/>
      <c r="CT155" s="79"/>
      <c r="CU155" s="79"/>
      <c r="CV155" s="79"/>
      <c r="CW155" s="79"/>
      <c r="CX155" s="85">
        <f>CY155+CZ155+DA155</f>
        <v>1070.0999999999999</v>
      </c>
      <c r="CY155" s="85" t="str">
        <f>TEXT(AL152,"#,###.0")</f>
        <v>796.4</v>
      </c>
      <c r="CZ155" s="85" t="str">
        <f>TEXT(AL153,"#,###.0")</f>
        <v>151.9</v>
      </c>
      <c r="DA155" s="86" t="str">
        <f>TEXT(AL154,"#,###.0")</f>
        <v>121.8</v>
      </c>
      <c r="DB155" s="84"/>
    </row>
    <row r="156" spans="2:106" ht="11.25" customHeight="1">
      <c r="B156" s="78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79"/>
      <c r="CM156" s="79"/>
      <c r="CN156" s="79"/>
      <c r="CO156" s="79"/>
      <c r="CP156" s="79"/>
      <c r="CQ156" s="79"/>
      <c r="CR156" s="79"/>
      <c r="CS156" s="79"/>
      <c r="CT156" s="79"/>
      <c r="CU156" s="79"/>
      <c r="CV156" s="79"/>
      <c r="CW156" s="79"/>
      <c r="CX156" s="85"/>
      <c r="CY156" s="85"/>
      <c r="CZ156" s="85"/>
      <c r="DA156" s="86"/>
      <c r="DB156" s="84"/>
    </row>
    <row r="157" spans="2:106" ht="11.25" customHeight="1">
      <c r="B157" s="78"/>
      <c r="C157" s="79"/>
      <c r="D157" s="79"/>
      <c r="E157" s="79" t="s">
        <v>496</v>
      </c>
      <c r="F157" s="79"/>
      <c r="G157" s="79" t="s">
        <v>587</v>
      </c>
      <c r="H157" s="79"/>
      <c r="I157" s="79" t="s">
        <v>353</v>
      </c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 t="s">
        <v>57</v>
      </c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 t="s">
        <v>604</v>
      </c>
      <c r="AF157" s="79"/>
      <c r="AG157" s="79" t="s">
        <v>363</v>
      </c>
      <c r="AH157" s="79"/>
      <c r="AI157" s="79"/>
      <c r="AJ157" s="79"/>
      <c r="AK157" s="79" t="s">
        <v>256</v>
      </c>
      <c r="AL157" s="79"/>
      <c r="AM157" s="79"/>
      <c r="AN157" s="79"/>
      <c r="AO157" s="79"/>
      <c r="AP157" s="79"/>
      <c r="AQ157" s="79"/>
      <c r="AR157" s="79"/>
      <c r="AS157" s="79" t="s">
        <v>75</v>
      </c>
      <c r="AT157" s="79"/>
      <c r="AU157" s="79"/>
      <c r="AV157" s="79"/>
      <c r="AW157" s="79"/>
      <c r="AX157" s="79"/>
      <c r="AY157" s="79"/>
      <c r="AZ157" s="79" t="s">
        <v>100</v>
      </c>
      <c r="BA157" s="79"/>
      <c r="BB157" s="79"/>
      <c r="BC157" s="79"/>
      <c r="BD157" s="79"/>
      <c r="BE157" s="79"/>
      <c r="BF157" s="79"/>
      <c r="BG157" s="79"/>
      <c r="BH157" s="79"/>
      <c r="BI157" s="79"/>
      <c r="BJ157" s="79"/>
      <c r="BK157" s="79"/>
      <c r="BL157" s="79"/>
      <c r="BM157" s="79"/>
      <c r="BN157" s="79"/>
      <c r="BO157" s="79"/>
      <c r="BP157" s="79"/>
      <c r="BQ157" s="79"/>
      <c r="BR157" s="79"/>
      <c r="BS157" s="79"/>
      <c r="BT157" s="79"/>
      <c r="BU157" s="79"/>
      <c r="BV157" s="79"/>
      <c r="BW157" s="79"/>
      <c r="BX157" s="79"/>
      <c r="BY157" s="79"/>
      <c r="BZ157" s="79"/>
      <c r="CA157" s="79"/>
      <c r="CB157" s="79"/>
      <c r="CC157" s="79"/>
      <c r="CD157" s="79"/>
      <c r="CE157" s="79"/>
      <c r="CF157" s="79"/>
      <c r="CG157" s="79"/>
      <c r="CH157" s="79"/>
      <c r="CI157" s="79"/>
      <c r="CJ157" s="79"/>
      <c r="CK157" s="79"/>
      <c r="CL157" s="79"/>
      <c r="CM157" s="79"/>
      <c r="CN157" s="79"/>
      <c r="CO157" s="79"/>
      <c r="CP157" s="79"/>
      <c r="CQ157" s="79"/>
      <c r="CR157" s="79"/>
      <c r="CS157" s="79"/>
      <c r="CT157" s="79"/>
      <c r="CU157" s="79"/>
      <c r="CV157" s="79"/>
      <c r="CW157" s="79"/>
      <c r="CX157" s="85"/>
      <c r="CY157" s="85"/>
      <c r="CZ157" s="85"/>
      <c r="DA157" s="86"/>
      <c r="DB157" s="84"/>
    </row>
    <row r="158" spans="2:106" ht="11.25" customHeight="1">
      <c r="B158" s="78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  <c r="BT158" s="79"/>
      <c r="BU158" s="79"/>
      <c r="BV158" s="79"/>
      <c r="BW158" s="79"/>
      <c r="BX158" s="79"/>
      <c r="BY158" s="79"/>
      <c r="BZ158" s="79"/>
      <c r="CA158" s="79"/>
      <c r="CB158" s="79"/>
      <c r="CC158" s="79"/>
      <c r="CD158" s="79"/>
      <c r="CE158" s="79"/>
      <c r="CF158" s="79"/>
      <c r="CG158" s="79"/>
      <c r="CH158" s="79"/>
      <c r="CI158" s="79"/>
      <c r="CJ158" s="79"/>
      <c r="CK158" s="79"/>
      <c r="CL158" s="79"/>
      <c r="CM158" s="79"/>
      <c r="CN158" s="79"/>
      <c r="CO158" s="79"/>
      <c r="CP158" s="79"/>
      <c r="CQ158" s="79"/>
      <c r="CR158" s="79"/>
      <c r="CS158" s="79"/>
      <c r="CT158" s="79"/>
      <c r="CU158" s="79"/>
      <c r="CV158" s="79"/>
      <c r="CW158" s="79"/>
      <c r="CX158" s="85"/>
      <c r="CY158" s="85"/>
      <c r="CZ158" s="85"/>
      <c r="DA158" s="86"/>
      <c r="DB158" s="84"/>
    </row>
    <row r="159" spans="2:106" ht="11.25" customHeight="1">
      <c r="B159" s="78"/>
      <c r="C159" s="79"/>
      <c r="D159" s="79"/>
      <c r="E159" s="79"/>
      <c r="F159" s="79"/>
      <c r="G159" s="79" t="s">
        <v>700</v>
      </c>
      <c r="H159" s="79"/>
      <c r="I159" s="79"/>
      <c r="J159" s="79"/>
      <c r="K159" s="79"/>
      <c r="L159" s="79"/>
      <c r="M159" s="79"/>
      <c r="N159" s="79" t="s">
        <v>604</v>
      </c>
      <c r="O159" s="79"/>
      <c r="P159" s="79" t="str">
        <f>TEXT(기계경비총괄표!G14,"#,##0")</f>
        <v>49,778</v>
      </c>
      <c r="Q159" s="79"/>
      <c r="R159" s="79"/>
      <c r="S159" s="79"/>
      <c r="T159" s="79"/>
      <c r="U159" s="79"/>
      <c r="V159" s="79"/>
      <c r="W159" s="79"/>
      <c r="X159" s="79"/>
      <c r="Y159" s="79" t="s">
        <v>391</v>
      </c>
      <c r="Z159" s="79"/>
      <c r="AA159" s="79"/>
      <c r="AB159" s="79" t="str">
        <f>TEXT(AH150,"#,##0.#######")</f>
        <v>62.5</v>
      </c>
      <c r="AC159" s="79"/>
      <c r="AD159" s="79"/>
      <c r="AE159" s="79"/>
      <c r="AF159" s="79"/>
      <c r="AG159" s="79"/>
      <c r="AH159" s="79"/>
      <c r="AI159" s="79" t="s">
        <v>309</v>
      </c>
      <c r="AJ159" s="79"/>
      <c r="AK159" s="79" t="str">
        <f>TEXT(TRUNC(P159/AH150,1),"#,##0.#")</f>
        <v>796.4</v>
      </c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  <c r="AY159" s="79"/>
      <c r="AZ159" s="79"/>
      <c r="BA159" s="79"/>
      <c r="BB159" s="79"/>
      <c r="BC159" s="79"/>
      <c r="BD159" s="79"/>
      <c r="BE159" s="79"/>
      <c r="BF159" s="79"/>
      <c r="BG159" s="79"/>
      <c r="BH159" s="79"/>
      <c r="BI159" s="79"/>
      <c r="BJ159" s="79"/>
      <c r="BK159" s="79"/>
      <c r="BL159" s="79"/>
      <c r="BM159" s="79"/>
      <c r="BN159" s="79"/>
      <c r="BO159" s="79"/>
      <c r="BP159" s="79"/>
      <c r="BQ159" s="79"/>
      <c r="BR159" s="79"/>
      <c r="BS159" s="79"/>
      <c r="BT159" s="79"/>
      <c r="BU159" s="79"/>
      <c r="BV159" s="79"/>
      <c r="BW159" s="79"/>
      <c r="BX159" s="79"/>
      <c r="BY159" s="79"/>
      <c r="BZ159" s="79"/>
      <c r="CA159" s="79"/>
      <c r="CB159" s="79"/>
      <c r="CC159" s="79"/>
      <c r="CD159" s="79"/>
      <c r="CE159" s="79"/>
      <c r="CF159" s="79"/>
      <c r="CG159" s="79"/>
      <c r="CH159" s="79"/>
      <c r="CI159" s="79"/>
      <c r="CJ159" s="79"/>
      <c r="CK159" s="79"/>
      <c r="CL159" s="79"/>
      <c r="CM159" s="79"/>
      <c r="CN159" s="79"/>
      <c r="CO159" s="79"/>
      <c r="CP159" s="79"/>
      <c r="CQ159" s="79"/>
      <c r="CR159" s="79"/>
      <c r="CS159" s="79"/>
      <c r="CT159" s="79"/>
      <c r="CU159" s="79"/>
      <c r="CV159" s="79"/>
      <c r="CW159" s="79"/>
      <c r="CX159" s="85"/>
      <c r="CY159" s="85"/>
      <c r="CZ159" s="85"/>
      <c r="DA159" s="86"/>
      <c r="DB159" s="84"/>
    </row>
    <row r="160" spans="2:106" ht="11.25" customHeight="1">
      <c r="B160" s="78"/>
      <c r="C160" s="79"/>
      <c r="D160" s="79"/>
      <c r="E160" s="79"/>
      <c r="F160" s="79"/>
      <c r="G160" s="79" t="s">
        <v>498</v>
      </c>
      <c r="H160" s="79"/>
      <c r="I160" s="79"/>
      <c r="J160" s="79"/>
      <c r="K160" s="79"/>
      <c r="L160" s="79"/>
      <c r="M160" s="79"/>
      <c r="N160" s="79" t="s">
        <v>604</v>
      </c>
      <c r="O160" s="79"/>
      <c r="P160" s="79"/>
      <c r="Q160" s="79" t="str">
        <f>TEXT(기계경비총괄표!H14,"#,##0")</f>
        <v>5,506</v>
      </c>
      <c r="R160" s="79"/>
      <c r="S160" s="79"/>
      <c r="T160" s="79"/>
      <c r="U160" s="79"/>
      <c r="V160" s="79"/>
      <c r="W160" s="79"/>
      <c r="X160" s="79"/>
      <c r="Y160" s="79" t="s">
        <v>391</v>
      </c>
      <c r="Z160" s="79"/>
      <c r="AA160" s="79"/>
      <c r="AB160" s="79" t="str">
        <f>TEXT(AH150,"#,##0.#######")</f>
        <v>62.5</v>
      </c>
      <c r="AC160" s="79"/>
      <c r="AD160" s="79"/>
      <c r="AE160" s="79"/>
      <c r="AF160" s="79"/>
      <c r="AG160" s="79"/>
      <c r="AH160" s="79"/>
      <c r="AI160" s="79" t="s">
        <v>309</v>
      </c>
      <c r="AJ160" s="79"/>
      <c r="AK160" s="79"/>
      <c r="AL160" s="79" t="str">
        <f>TEXT(TRUNC(Q160/AH150,1),"#,##0.#")</f>
        <v>88.</v>
      </c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  <c r="AZ160" s="79"/>
      <c r="BA160" s="79"/>
      <c r="BB160" s="79"/>
      <c r="BC160" s="79"/>
      <c r="BD160" s="79"/>
      <c r="BE160" s="79"/>
      <c r="BF160" s="79"/>
      <c r="BG160" s="79"/>
      <c r="BH160" s="79"/>
      <c r="BI160" s="79"/>
      <c r="BJ160" s="79"/>
      <c r="BK160" s="79"/>
      <c r="BL160" s="79"/>
      <c r="BM160" s="79"/>
      <c r="BN160" s="79"/>
      <c r="BO160" s="79"/>
      <c r="BP160" s="79"/>
      <c r="BQ160" s="79"/>
      <c r="BR160" s="79"/>
      <c r="BS160" s="79"/>
      <c r="BT160" s="79"/>
      <c r="BU160" s="79"/>
      <c r="BV160" s="79"/>
      <c r="BW160" s="79"/>
      <c r="BX160" s="79"/>
      <c r="BY160" s="79"/>
      <c r="BZ160" s="79"/>
      <c r="CA160" s="79"/>
      <c r="CB160" s="79"/>
      <c r="CC160" s="79"/>
      <c r="CD160" s="79"/>
      <c r="CE160" s="79"/>
      <c r="CF160" s="79"/>
      <c r="CG160" s="79"/>
      <c r="CH160" s="79"/>
      <c r="CI160" s="79"/>
      <c r="CJ160" s="79"/>
      <c r="CK160" s="79"/>
      <c r="CL160" s="79"/>
      <c r="CM160" s="79"/>
      <c r="CN160" s="79"/>
      <c r="CO160" s="79"/>
      <c r="CP160" s="79"/>
      <c r="CQ160" s="79"/>
      <c r="CR160" s="79"/>
      <c r="CS160" s="79"/>
      <c r="CT160" s="79"/>
      <c r="CU160" s="79"/>
      <c r="CV160" s="79"/>
      <c r="CW160" s="79"/>
      <c r="CX160" s="85"/>
      <c r="CY160" s="85"/>
      <c r="CZ160" s="85"/>
      <c r="DA160" s="86"/>
      <c r="DB160" s="84"/>
    </row>
    <row r="161" spans="2:106" ht="11.25" customHeight="1">
      <c r="B161" s="78"/>
      <c r="C161" s="79"/>
      <c r="D161" s="79"/>
      <c r="E161" s="79"/>
      <c r="F161" s="79"/>
      <c r="G161" s="79" t="s">
        <v>160</v>
      </c>
      <c r="H161" s="79"/>
      <c r="I161" s="79"/>
      <c r="J161" s="79"/>
      <c r="K161" s="79" t="s">
        <v>440</v>
      </c>
      <c r="L161" s="79"/>
      <c r="M161" s="79"/>
      <c r="N161" s="79" t="s">
        <v>604</v>
      </c>
      <c r="O161" s="79"/>
      <c r="P161" s="79"/>
      <c r="Q161" s="79" t="str">
        <f>TEXT(기계경비총괄표!I14,"#,##0")</f>
        <v>6,522</v>
      </c>
      <c r="R161" s="79"/>
      <c r="S161" s="79"/>
      <c r="T161" s="79"/>
      <c r="U161" s="79"/>
      <c r="V161" s="79"/>
      <c r="W161" s="79"/>
      <c r="X161" s="79"/>
      <c r="Y161" s="79" t="s">
        <v>391</v>
      </c>
      <c r="Z161" s="79"/>
      <c r="AA161" s="79"/>
      <c r="AB161" s="79" t="str">
        <f>TEXT(AH150,"#,##0.#######")</f>
        <v>62.5</v>
      </c>
      <c r="AC161" s="79"/>
      <c r="AD161" s="79"/>
      <c r="AE161" s="79"/>
      <c r="AF161" s="79"/>
      <c r="AG161" s="79"/>
      <c r="AH161" s="79"/>
      <c r="AI161" s="79" t="s">
        <v>309</v>
      </c>
      <c r="AJ161" s="79"/>
      <c r="AK161" s="79"/>
      <c r="AL161" s="79" t="str">
        <f>TEXT(TRUNC(Q161/AH150,1),"#,##0.#")</f>
        <v>104.3</v>
      </c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N161" s="79"/>
      <c r="BO161" s="79"/>
      <c r="BP161" s="79"/>
      <c r="BQ161" s="79"/>
      <c r="BR161" s="79"/>
      <c r="BS161" s="79"/>
      <c r="BT161" s="79"/>
      <c r="BU161" s="79"/>
      <c r="BV161" s="79"/>
      <c r="BW161" s="79"/>
      <c r="BX161" s="79"/>
      <c r="BY161" s="79"/>
      <c r="BZ161" s="79"/>
      <c r="CA161" s="79"/>
      <c r="CB161" s="79"/>
      <c r="CC161" s="79"/>
      <c r="CD161" s="79"/>
      <c r="CE161" s="79"/>
      <c r="CF161" s="79"/>
      <c r="CG161" s="79"/>
      <c r="CH161" s="79"/>
      <c r="CI161" s="79"/>
      <c r="CJ161" s="79"/>
      <c r="CK161" s="79"/>
      <c r="CL161" s="79"/>
      <c r="CM161" s="79"/>
      <c r="CN161" s="79"/>
      <c r="CO161" s="79"/>
      <c r="CP161" s="79"/>
      <c r="CQ161" s="79"/>
      <c r="CR161" s="79"/>
      <c r="CS161" s="79"/>
      <c r="CT161" s="79"/>
      <c r="CU161" s="79"/>
      <c r="CV161" s="79"/>
      <c r="CW161" s="79"/>
      <c r="CX161" s="85"/>
      <c r="CY161" s="85"/>
      <c r="CZ161" s="85"/>
      <c r="DA161" s="86"/>
      <c r="DB161" s="84"/>
    </row>
    <row r="162" spans="2:106" ht="11.25" customHeight="1">
      <c r="B162" s="78"/>
      <c r="C162" s="79"/>
      <c r="D162" s="79"/>
      <c r="E162" s="79"/>
      <c r="F162" s="79"/>
      <c r="G162" s="79" t="s">
        <v>305</v>
      </c>
      <c r="H162" s="79"/>
      <c r="I162" s="79"/>
      <c r="J162" s="79"/>
      <c r="K162" s="79" t="s">
        <v>436</v>
      </c>
      <c r="L162" s="79"/>
      <c r="M162" s="79"/>
      <c r="N162" s="79" t="s">
        <v>604</v>
      </c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 t="str">
        <f>TEXT(AK159+AL160+AL161,"#,##0.#######")</f>
        <v>988.7</v>
      </c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/>
      <c r="BK162" s="79"/>
      <c r="BL162" s="79"/>
      <c r="BM162" s="79"/>
      <c r="BN162" s="79"/>
      <c r="BO162" s="79"/>
      <c r="BP162" s="79"/>
      <c r="BQ162" s="79"/>
      <c r="BR162" s="79"/>
      <c r="BS162" s="79"/>
      <c r="BT162" s="79"/>
      <c r="BU162" s="79"/>
      <c r="BV162" s="79"/>
      <c r="BW162" s="79"/>
      <c r="BX162" s="79"/>
      <c r="BY162" s="79"/>
      <c r="BZ162" s="79"/>
      <c r="CA162" s="79"/>
      <c r="CB162" s="79"/>
      <c r="CC162" s="79"/>
      <c r="CD162" s="79"/>
      <c r="CE162" s="79"/>
      <c r="CF162" s="79"/>
      <c r="CG162" s="79"/>
      <c r="CH162" s="79"/>
      <c r="CI162" s="79"/>
      <c r="CJ162" s="79"/>
      <c r="CK162" s="79"/>
      <c r="CL162" s="79"/>
      <c r="CM162" s="79"/>
      <c r="CN162" s="79"/>
      <c r="CO162" s="79"/>
      <c r="CP162" s="79"/>
      <c r="CQ162" s="79"/>
      <c r="CR162" s="79"/>
      <c r="CS162" s="79"/>
      <c r="CT162" s="79"/>
      <c r="CU162" s="79"/>
      <c r="CV162" s="79"/>
      <c r="CW162" s="79"/>
      <c r="CX162" s="85">
        <f>CY162+CZ162+DA162</f>
        <v>988.69999999999993</v>
      </c>
      <c r="CY162" s="85" t="str">
        <f>TEXT(AK159,"#,###.0")</f>
        <v>796.4</v>
      </c>
      <c r="CZ162" s="85" t="str">
        <f>TEXT(AL160,"#,###.0")</f>
        <v>88.0</v>
      </c>
      <c r="DA162" s="86" t="str">
        <f>TEXT(AL161,"#,###.0")</f>
        <v>104.3</v>
      </c>
      <c r="DB162" s="84"/>
    </row>
    <row r="163" spans="2:106" ht="11.25" customHeight="1">
      <c r="B163" s="78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/>
      <c r="BB163" s="79"/>
      <c r="BC163" s="79"/>
      <c r="BD163" s="79"/>
      <c r="BE163" s="79"/>
      <c r="BF163" s="79"/>
      <c r="BG163" s="79"/>
      <c r="BH163" s="79"/>
      <c r="BI163" s="79"/>
      <c r="BJ163" s="79"/>
      <c r="BK163" s="79"/>
      <c r="BL163" s="79"/>
      <c r="BM163" s="79"/>
      <c r="BN163" s="79"/>
      <c r="BO163" s="79"/>
      <c r="BP163" s="79"/>
      <c r="BQ163" s="79"/>
      <c r="BR163" s="79"/>
      <c r="BS163" s="79"/>
      <c r="BT163" s="79"/>
      <c r="BU163" s="79"/>
      <c r="BV163" s="79"/>
      <c r="BW163" s="79"/>
      <c r="BX163" s="79"/>
      <c r="BY163" s="79"/>
      <c r="BZ163" s="79"/>
      <c r="CA163" s="79"/>
      <c r="CB163" s="79"/>
      <c r="CC163" s="79"/>
      <c r="CD163" s="79"/>
      <c r="CE163" s="79"/>
      <c r="CF163" s="79"/>
      <c r="CG163" s="79"/>
      <c r="CH163" s="79"/>
      <c r="CI163" s="79"/>
      <c r="CJ163" s="79"/>
      <c r="CK163" s="79"/>
      <c r="CL163" s="79"/>
      <c r="CM163" s="79"/>
      <c r="CN163" s="79"/>
      <c r="CO163" s="79"/>
      <c r="CP163" s="79"/>
      <c r="CQ163" s="79"/>
      <c r="CR163" s="79"/>
      <c r="CS163" s="79"/>
      <c r="CT163" s="79"/>
      <c r="CU163" s="79"/>
      <c r="CV163" s="79"/>
      <c r="CW163" s="79"/>
      <c r="CX163" s="85"/>
      <c r="CY163" s="85"/>
      <c r="CZ163" s="85"/>
      <c r="DA163" s="86"/>
      <c r="DB163" s="84"/>
    </row>
    <row r="164" spans="2:106" ht="11.25" customHeight="1">
      <c r="B164" s="78"/>
      <c r="C164" s="79"/>
      <c r="D164" s="79"/>
      <c r="E164" s="79" t="s">
        <v>222</v>
      </c>
      <c r="F164" s="79"/>
      <c r="G164" s="79" t="s">
        <v>587</v>
      </c>
      <c r="H164" s="79"/>
      <c r="I164" s="79" t="s">
        <v>305</v>
      </c>
      <c r="J164" s="79"/>
      <c r="K164" s="79"/>
      <c r="L164" s="79"/>
      <c r="M164" s="79" t="s">
        <v>436</v>
      </c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79"/>
      <c r="BT164" s="79"/>
      <c r="BU164" s="79"/>
      <c r="BV164" s="79"/>
      <c r="BW164" s="79"/>
      <c r="BX164" s="79"/>
      <c r="BY164" s="79"/>
      <c r="BZ164" s="79"/>
      <c r="CA164" s="79"/>
      <c r="CB164" s="79"/>
      <c r="CC164" s="79"/>
      <c r="CD164" s="79"/>
      <c r="CE164" s="79"/>
      <c r="CF164" s="79"/>
      <c r="CG164" s="79"/>
      <c r="CH164" s="79"/>
      <c r="CI164" s="79"/>
      <c r="CJ164" s="79"/>
      <c r="CK164" s="79"/>
      <c r="CL164" s="79"/>
      <c r="CM164" s="79"/>
      <c r="CN164" s="79"/>
      <c r="CO164" s="79"/>
      <c r="CP164" s="79"/>
      <c r="CQ164" s="79"/>
      <c r="CR164" s="79"/>
      <c r="CS164" s="79"/>
      <c r="CT164" s="79"/>
      <c r="CU164" s="79"/>
      <c r="CV164" s="79"/>
      <c r="CW164" s="79"/>
      <c r="CX164" s="85"/>
      <c r="CY164" s="85"/>
      <c r="CZ164" s="85"/>
      <c r="DA164" s="86"/>
      <c r="DB164" s="84"/>
    </row>
    <row r="165" spans="2:106" ht="11.25" customHeight="1">
      <c r="B165" s="78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/>
      <c r="BB165" s="79"/>
      <c r="BC165" s="79"/>
      <c r="BD165" s="79"/>
      <c r="BE165" s="79"/>
      <c r="BF165" s="79"/>
      <c r="BG165" s="79"/>
      <c r="BH165" s="79"/>
      <c r="BI165" s="79"/>
      <c r="BJ165" s="79"/>
      <c r="BK165" s="79"/>
      <c r="BL165" s="79"/>
      <c r="BM165" s="79"/>
      <c r="BN165" s="79"/>
      <c r="BO165" s="79"/>
      <c r="BP165" s="79"/>
      <c r="BQ165" s="79"/>
      <c r="BR165" s="79"/>
      <c r="BS165" s="79"/>
      <c r="BT165" s="79"/>
      <c r="BU165" s="79"/>
      <c r="BV165" s="79"/>
      <c r="BW165" s="79"/>
      <c r="BX165" s="79"/>
      <c r="BY165" s="79"/>
      <c r="BZ165" s="79"/>
      <c r="CA165" s="79"/>
      <c r="CB165" s="79"/>
      <c r="CC165" s="79"/>
      <c r="CD165" s="79"/>
      <c r="CE165" s="79"/>
      <c r="CF165" s="79"/>
      <c r="CG165" s="79"/>
      <c r="CH165" s="79"/>
      <c r="CI165" s="79"/>
      <c r="CJ165" s="79"/>
      <c r="CK165" s="79"/>
      <c r="CL165" s="79"/>
      <c r="CM165" s="79"/>
      <c r="CN165" s="79"/>
      <c r="CO165" s="79"/>
      <c r="CP165" s="79"/>
      <c r="CQ165" s="79"/>
      <c r="CR165" s="79"/>
      <c r="CS165" s="79"/>
      <c r="CT165" s="79"/>
      <c r="CU165" s="79"/>
      <c r="CV165" s="79"/>
      <c r="CW165" s="79"/>
      <c r="CX165" s="85"/>
      <c r="CY165" s="85"/>
      <c r="CZ165" s="85"/>
      <c r="DA165" s="86"/>
      <c r="DB165" s="84"/>
    </row>
    <row r="166" spans="2:106" ht="11.25" customHeight="1">
      <c r="B166" s="78"/>
      <c r="C166" s="79"/>
      <c r="D166" s="79"/>
      <c r="E166" s="79"/>
      <c r="F166" s="79"/>
      <c r="G166" s="79"/>
      <c r="H166" s="79" t="s">
        <v>700</v>
      </c>
      <c r="I166" s="79"/>
      <c r="J166" s="79"/>
      <c r="K166" s="79"/>
      <c r="L166" s="79"/>
      <c r="M166" s="79"/>
      <c r="N166" s="79"/>
      <c r="O166" s="79" t="s">
        <v>604</v>
      </c>
      <c r="P166" s="79"/>
      <c r="Q166" s="79" t="str">
        <f>TEXT(CY155,"#,###.##")</f>
        <v>796.4</v>
      </c>
      <c r="R166" s="79"/>
      <c r="S166" s="79"/>
      <c r="T166" s="79"/>
      <c r="U166" s="79"/>
      <c r="V166" s="79"/>
      <c r="W166" s="79" t="s">
        <v>148</v>
      </c>
      <c r="X166" s="79"/>
      <c r="Y166" s="79" t="str">
        <f>TEXT(CY162,"#,###.##")</f>
        <v>796.4</v>
      </c>
      <c r="Z166" s="79"/>
      <c r="AA166" s="79"/>
      <c r="AB166" s="79"/>
      <c r="AC166" s="79"/>
      <c r="AD166" s="79"/>
      <c r="AE166" s="79" t="s">
        <v>309</v>
      </c>
      <c r="AF166" s="79"/>
      <c r="AG166" s="79"/>
      <c r="AH166" s="79" t="str">
        <f>TEXT(TRUNC(CY155+CY162,1),"#,##0.#")</f>
        <v>1,592.8</v>
      </c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/>
      <c r="BJ166" s="79"/>
      <c r="BK166" s="79"/>
      <c r="BL166" s="79"/>
      <c r="BM166" s="79"/>
      <c r="BN166" s="79"/>
      <c r="BO166" s="79"/>
      <c r="BP166" s="79"/>
      <c r="BQ166" s="79"/>
      <c r="BR166" s="79"/>
      <c r="BS166" s="79"/>
      <c r="BT166" s="79"/>
      <c r="BU166" s="79"/>
      <c r="BV166" s="79"/>
      <c r="BW166" s="79"/>
      <c r="BX166" s="79"/>
      <c r="BY166" s="79"/>
      <c r="BZ166" s="79"/>
      <c r="CA166" s="79"/>
      <c r="CB166" s="79"/>
      <c r="CC166" s="79"/>
      <c r="CD166" s="79"/>
      <c r="CE166" s="79"/>
      <c r="CF166" s="79"/>
      <c r="CG166" s="79"/>
      <c r="CH166" s="79"/>
      <c r="CI166" s="79"/>
      <c r="CJ166" s="79"/>
      <c r="CK166" s="79"/>
      <c r="CL166" s="79"/>
      <c r="CM166" s="79"/>
      <c r="CN166" s="79"/>
      <c r="CO166" s="79"/>
      <c r="CP166" s="79"/>
      <c r="CQ166" s="79"/>
      <c r="CR166" s="79"/>
      <c r="CS166" s="79"/>
      <c r="CT166" s="79"/>
      <c r="CU166" s="79"/>
      <c r="CV166" s="79"/>
      <c r="CW166" s="79"/>
      <c r="CX166" s="85"/>
      <c r="CY166" s="85"/>
      <c r="CZ166" s="85"/>
      <c r="DA166" s="86"/>
      <c r="DB166" s="84"/>
    </row>
    <row r="167" spans="2:106" ht="11.25" customHeight="1">
      <c r="B167" s="78"/>
      <c r="C167" s="79"/>
      <c r="D167" s="79"/>
      <c r="E167" s="79"/>
      <c r="F167" s="79"/>
      <c r="G167" s="79"/>
      <c r="H167" s="79" t="s">
        <v>498</v>
      </c>
      <c r="I167" s="79"/>
      <c r="J167" s="79"/>
      <c r="K167" s="79"/>
      <c r="L167" s="79"/>
      <c r="M167" s="79"/>
      <c r="N167" s="79"/>
      <c r="O167" s="79" t="s">
        <v>604</v>
      </c>
      <c r="P167" s="79"/>
      <c r="Q167" s="79" t="str">
        <f>TEXT(CZ155,"#,###.##")</f>
        <v>151.9</v>
      </c>
      <c r="R167" s="79"/>
      <c r="S167" s="79"/>
      <c r="T167" s="79"/>
      <c r="U167" s="79"/>
      <c r="V167" s="79"/>
      <c r="W167" s="79" t="s">
        <v>148</v>
      </c>
      <c r="X167" s="79"/>
      <c r="Y167" s="79" t="str">
        <f>TEXT(CZ162,"#,###.##")</f>
        <v>88.</v>
      </c>
      <c r="Z167" s="79"/>
      <c r="AA167" s="79"/>
      <c r="AB167" s="79" t="s">
        <v>309</v>
      </c>
      <c r="AC167" s="79"/>
      <c r="AD167" s="79"/>
      <c r="AE167" s="79" t="str">
        <f>TEXT(TRUNC(CZ155+CZ162,1),"#,##0.#")</f>
        <v>239.9</v>
      </c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/>
      <c r="AX167" s="79"/>
      <c r="AY167" s="79"/>
      <c r="AZ167" s="79"/>
      <c r="BA167" s="79"/>
      <c r="BB167" s="79"/>
      <c r="BC167" s="79"/>
      <c r="BD167" s="79"/>
      <c r="BE167" s="79"/>
      <c r="BF167" s="79"/>
      <c r="BG167" s="79"/>
      <c r="BH167" s="79"/>
      <c r="BI167" s="79"/>
      <c r="BJ167" s="79"/>
      <c r="BK167" s="79"/>
      <c r="BL167" s="79"/>
      <c r="BM167" s="79"/>
      <c r="BN167" s="79"/>
      <c r="BO167" s="79"/>
      <c r="BP167" s="79"/>
      <c r="BQ167" s="79"/>
      <c r="BR167" s="79"/>
      <c r="BS167" s="79"/>
      <c r="BT167" s="79"/>
      <c r="BU167" s="79"/>
      <c r="BV167" s="79"/>
      <c r="BW167" s="79"/>
      <c r="BX167" s="79"/>
      <c r="BY167" s="79"/>
      <c r="BZ167" s="79"/>
      <c r="CA167" s="79"/>
      <c r="CB167" s="79"/>
      <c r="CC167" s="79"/>
      <c r="CD167" s="79"/>
      <c r="CE167" s="79"/>
      <c r="CF167" s="79"/>
      <c r="CG167" s="79"/>
      <c r="CH167" s="79"/>
      <c r="CI167" s="79"/>
      <c r="CJ167" s="79"/>
      <c r="CK167" s="79"/>
      <c r="CL167" s="79"/>
      <c r="CM167" s="79"/>
      <c r="CN167" s="79"/>
      <c r="CO167" s="79"/>
      <c r="CP167" s="79"/>
      <c r="CQ167" s="79"/>
      <c r="CR167" s="79"/>
      <c r="CS167" s="79"/>
      <c r="CT167" s="79"/>
      <c r="CU167" s="79"/>
      <c r="CV167" s="79"/>
      <c r="CW167" s="79"/>
      <c r="CX167" s="85"/>
      <c r="CY167" s="85"/>
      <c r="CZ167" s="85"/>
      <c r="DA167" s="86"/>
      <c r="DB167" s="84"/>
    </row>
    <row r="168" spans="2:106" ht="11.25" customHeight="1">
      <c r="B168" s="78"/>
      <c r="C168" s="79"/>
      <c r="D168" s="79"/>
      <c r="E168" s="79"/>
      <c r="F168" s="79"/>
      <c r="G168" s="79"/>
      <c r="H168" s="79" t="s">
        <v>160</v>
      </c>
      <c r="I168" s="79"/>
      <c r="J168" s="79"/>
      <c r="K168" s="79"/>
      <c r="L168" s="79" t="s">
        <v>440</v>
      </c>
      <c r="M168" s="79"/>
      <c r="N168" s="79"/>
      <c r="O168" s="79" t="s">
        <v>604</v>
      </c>
      <c r="P168" s="79"/>
      <c r="Q168" s="79" t="str">
        <f>TEXT(DA155,"#,###.##")</f>
        <v>121.8</v>
      </c>
      <c r="R168" s="79"/>
      <c r="S168" s="79"/>
      <c r="T168" s="79"/>
      <c r="U168" s="79"/>
      <c r="V168" s="79"/>
      <c r="W168" s="79" t="s">
        <v>148</v>
      </c>
      <c r="X168" s="79"/>
      <c r="Y168" s="79" t="str">
        <f>TEXT(DA162,"#,###.##")</f>
        <v>104.3</v>
      </c>
      <c r="Z168" s="79"/>
      <c r="AA168" s="79"/>
      <c r="AB168" s="79"/>
      <c r="AC168" s="79"/>
      <c r="AD168" s="79"/>
      <c r="AE168" s="79" t="s">
        <v>309</v>
      </c>
      <c r="AF168" s="79"/>
      <c r="AG168" s="79"/>
      <c r="AH168" s="79" t="str">
        <f>TEXT(TRUNC(DA155+DA162,1),"#,##0.#")</f>
        <v>226.1</v>
      </c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  <c r="BM168" s="79"/>
      <c r="BN168" s="79"/>
      <c r="BO168" s="79"/>
      <c r="BP168" s="79"/>
      <c r="BQ168" s="79"/>
      <c r="BR168" s="79"/>
      <c r="BS168" s="79"/>
      <c r="BT168" s="79"/>
      <c r="BU168" s="79"/>
      <c r="BV168" s="79"/>
      <c r="BW168" s="79"/>
      <c r="BX168" s="79"/>
      <c r="BY168" s="79"/>
      <c r="BZ168" s="79"/>
      <c r="CA168" s="79"/>
      <c r="CB168" s="79"/>
      <c r="CC168" s="79"/>
      <c r="CD168" s="79"/>
      <c r="CE168" s="79"/>
      <c r="CF168" s="79"/>
      <c r="CG168" s="79"/>
      <c r="CH168" s="79"/>
      <c r="CI168" s="79"/>
      <c r="CJ168" s="79"/>
      <c r="CK168" s="79"/>
      <c r="CL168" s="79"/>
      <c r="CM168" s="79"/>
      <c r="CN168" s="79"/>
      <c r="CO168" s="79"/>
      <c r="CP168" s="79"/>
      <c r="CQ168" s="79"/>
      <c r="CR168" s="79"/>
      <c r="CS168" s="79"/>
      <c r="CT168" s="79"/>
      <c r="CU168" s="79"/>
      <c r="CV168" s="79"/>
      <c r="CW168" s="79"/>
      <c r="CX168" s="85"/>
      <c r="CY168" s="85"/>
      <c r="CZ168" s="85"/>
      <c r="DA168" s="86"/>
      <c r="DB168" s="84"/>
    </row>
    <row r="169" spans="2:106" ht="11.25" customHeight="1">
      <c r="B169" s="78"/>
      <c r="C169" s="79"/>
      <c r="D169" s="79"/>
      <c r="E169" s="79"/>
      <c r="F169" s="79"/>
      <c r="G169" s="79"/>
      <c r="H169" s="79"/>
      <c r="I169" s="79"/>
      <c r="J169" s="79" t="s">
        <v>436</v>
      </c>
      <c r="K169" s="79"/>
      <c r="L169" s="79"/>
      <c r="M169" s="79"/>
      <c r="N169" s="79"/>
      <c r="O169" s="79" t="s">
        <v>604</v>
      </c>
      <c r="P169" s="79"/>
      <c r="Q169" s="79"/>
      <c r="R169" s="79" t="str">
        <f>TEXT(AH166+AE167+AH168,"#,##0.#######")</f>
        <v>2,058.8</v>
      </c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/>
      <c r="BB169" s="79"/>
      <c r="BC169" s="79"/>
      <c r="BD169" s="79"/>
      <c r="BE169" s="79"/>
      <c r="BF169" s="79"/>
      <c r="BG169" s="79"/>
      <c r="BH169" s="79"/>
      <c r="BI169" s="79"/>
      <c r="BJ169" s="79"/>
      <c r="BK169" s="79"/>
      <c r="BL169" s="79"/>
      <c r="BM169" s="79"/>
      <c r="BN169" s="79"/>
      <c r="BO169" s="79"/>
      <c r="BP169" s="79"/>
      <c r="BQ169" s="79"/>
      <c r="BR169" s="79"/>
      <c r="BS169" s="79"/>
      <c r="BT169" s="79"/>
      <c r="BU169" s="79"/>
      <c r="BV169" s="79"/>
      <c r="BW169" s="79"/>
      <c r="BX169" s="79"/>
      <c r="BY169" s="79"/>
      <c r="BZ169" s="79"/>
      <c r="CA169" s="79"/>
      <c r="CB169" s="79"/>
      <c r="CC169" s="79"/>
      <c r="CD169" s="79"/>
      <c r="CE169" s="79"/>
      <c r="CF169" s="79"/>
      <c r="CG169" s="79"/>
      <c r="CH169" s="79"/>
      <c r="CI169" s="79"/>
      <c r="CJ169" s="79"/>
      <c r="CK169" s="79"/>
      <c r="CL169" s="79"/>
      <c r="CM169" s="79"/>
      <c r="CN169" s="79"/>
      <c r="CO169" s="79"/>
      <c r="CP169" s="79"/>
      <c r="CQ169" s="79"/>
      <c r="CR169" s="79"/>
      <c r="CS169" s="79"/>
      <c r="CT169" s="79"/>
      <c r="CU169" s="79"/>
      <c r="CV169" s="79"/>
      <c r="CW169" s="79"/>
      <c r="CX169" s="85">
        <f>CY169+CZ169+DA169</f>
        <v>2058.8000000000002</v>
      </c>
      <c r="CY169" s="85" t="str">
        <f>TEXT(AH166,"#,###.0")</f>
        <v>1,592.8</v>
      </c>
      <c r="CZ169" s="85" t="str">
        <f>TEXT(AE167,"#,###.0")</f>
        <v>239.9</v>
      </c>
      <c r="DA169" s="86" t="str">
        <f>TEXT(AH168,"#,###.0")</f>
        <v>226.1</v>
      </c>
      <c r="DB169" s="84"/>
    </row>
    <row r="170" spans="2:106" ht="11.25" customHeight="1">
      <c r="B170" s="78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/>
      <c r="BB170" s="79"/>
      <c r="BC170" s="79"/>
      <c r="BD170" s="79"/>
      <c r="BE170" s="79"/>
      <c r="BF170" s="79"/>
      <c r="BG170" s="79"/>
      <c r="BH170" s="79"/>
      <c r="BI170" s="79"/>
      <c r="BJ170" s="79"/>
      <c r="BK170" s="79"/>
      <c r="BL170" s="79"/>
      <c r="BM170" s="79"/>
      <c r="BN170" s="79"/>
      <c r="BO170" s="79"/>
      <c r="BP170" s="79"/>
      <c r="BQ170" s="79"/>
      <c r="BR170" s="79"/>
      <c r="BS170" s="79"/>
      <c r="BT170" s="79"/>
      <c r="BU170" s="79"/>
      <c r="BV170" s="79"/>
      <c r="BW170" s="79"/>
      <c r="BX170" s="79"/>
      <c r="BY170" s="79"/>
      <c r="BZ170" s="79"/>
      <c r="CA170" s="79"/>
      <c r="CB170" s="79"/>
      <c r="CC170" s="79"/>
      <c r="CD170" s="79"/>
      <c r="CE170" s="79"/>
      <c r="CF170" s="79"/>
      <c r="CG170" s="79"/>
      <c r="CH170" s="79"/>
      <c r="CI170" s="79"/>
      <c r="CJ170" s="79"/>
      <c r="CK170" s="79"/>
      <c r="CL170" s="79"/>
      <c r="CM170" s="79"/>
      <c r="CN170" s="79"/>
      <c r="CO170" s="79"/>
      <c r="CP170" s="79"/>
      <c r="CQ170" s="79"/>
      <c r="CR170" s="79"/>
      <c r="CS170" s="79"/>
      <c r="CT170" s="79"/>
      <c r="CU170" s="79"/>
      <c r="CV170" s="79"/>
      <c r="CW170" s="79"/>
      <c r="CX170" s="85"/>
      <c r="CY170" s="85"/>
      <c r="CZ170" s="85"/>
      <c r="DA170" s="86"/>
      <c r="DB170" s="84"/>
    </row>
    <row r="171" spans="2:106" ht="11.25" customHeight="1">
      <c r="B171" s="78"/>
      <c r="C171" s="79"/>
      <c r="D171" s="79" t="s">
        <v>575</v>
      </c>
      <c r="E171" s="79"/>
      <c r="F171" s="79"/>
      <c r="G171" s="79" t="s">
        <v>557</v>
      </c>
      <c r="H171" s="79"/>
      <c r="I171" s="79"/>
      <c r="J171" s="79"/>
      <c r="K171" s="79" t="s">
        <v>436</v>
      </c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/>
      <c r="AX171" s="79"/>
      <c r="AY171" s="79"/>
      <c r="AZ171" s="79"/>
      <c r="BA171" s="79"/>
      <c r="BB171" s="79"/>
      <c r="BC171" s="79"/>
      <c r="BD171" s="79"/>
      <c r="BE171" s="79"/>
      <c r="BF171" s="79"/>
      <c r="BG171" s="79"/>
      <c r="BH171" s="79"/>
      <c r="BI171" s="79"/>
      <c r="BJ171" s="79"/>
      <c r="BK171" s="79"/>
      <c r="BL171" s="79"/>
      <c r="BM171" s="79"/>
      <c r="BN171" s="79"/>
      <c r="BO171" s="79"/>
      <c r="BP171" s="79"/>
      <c r="BQ171" s="79"/>
      <c r="BR171" s="79"/>
      <c r="BS171" s="79"/>
      <c r="BT171" s="79"/>
      <c r="BU171" s="79"/>
      <c r="BV171" s="79"/>
      <c r="BW171" s="79"/>
      <c r="BX171" s="79"/>
      <c r="BY171" s="79"/>
      <c r="BZ171" s="79"/>
      <c r="CA171" s="79"/>
      <c r="CB171" s="79"/>
      <c r="CC171" s="79"/>
      <c r="CD171" s="79"/>
      <c r="CE171" s="79"/>
      <c r="CF171" s="79"/>
      <c r="CG171" s="79"/>
      <c r="CH171" s="79"/>
      <c r="CI171" s="79"/>
      <c r="CJ171" s="79"/>
      <c r="CK171" s="79"/>
      <c r="CL171" s="79"/>
      <c r="CM171" s="79"/>
      <c r="CN171" s="79"/>
      <c r="CO171" s="79"/>
      <c r="CP171" s="79"/>
      <c r="CQ171" s="79"/>
      <c r="CR171" s="79"/>
      <c r="CS171" s="79"/>
      <c r="CT171" s="79"/>
      <c r="CU171" s="79"/>
      <c r="CV171" s="79"/>
      <c r="CW171" s="79"/>
      <c r="CX171" s="85"/>
      <c r="CY171" s="85"/>
      <c r="CZ171" s="85"/>
      <c r="DA171" s="86"/>
      <c r="DB171" s="84"/>
    </row>
    <row r="172" spans="2:106" ht="11.25" customHeight="1">
      <c r="B172" s="78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  <c r="BM172" s="79"/>
      <c r="BN172" s="79"/>
      <c r="BO172" s="79"/>
      <c r="BP172" s="79"/>
      <c r="BQ172" s="79"/>
      <c r="BR172" s="79"/>
      <c r="BS172" s="79"/>
      <c r="BT172" s="79"/>
      <c r="BU172" s="79"/>
      <c r="BV172" s="79"/>
      <c r="BW172" s="79"/>
      <c r="BX172" s="79"/>
      <c r="BY172" s="79"/>
      <c r="BZ172" s="79"/>
      <c r="CA172" s="79"/>
      <c r="CB172" s="79"/>
      <c r="CC172" s="79"/>
      <c r="CD172" s="79"/>
      <c r="CE172" s="79"/>
      <c r="CF172" s="79"/>
      <c r="CG172" s="79"/>
      <c r="CH172" s="79"/>
      <c r="CI172" s="79"/>
      <c r="CJ172" s="79"/>
      <c r="CK172" s="79"/>
      <c r="CL172" s="79"/>
      <c r="CM172" s="79"/>
      <c r="CN172" s="79"/>
      <c r="CO172" s="79"/>
      <c r="CP172" s="79"/>
      <c r="CQ172" s="79"/>
      <c r="CR172" s="79"/>
      <c r="CS172" s="79"/>
      <c r="CT172" s="79"/>
      <c r="CU172" s="79"/>
      <c r="CV172" s="79"/>
      <c r="CW172" s="79"/>
      <c r="CX172" s="85"/>
      <c r="CY172" s="85"/>
      <c r="CZ172" s="85"/>
      <c r="DA172" s="86"/>
      <c r="DB172" s="84"/>
    </row>
    <row r="173" spans="2:106" ht="11.25" customHeight="1">
      <c r="B173" s="78"/>
      <c r="C173" s="79"/>
      <c r="D173" s="79"/>
      <c r="E173" s="79"/>
      <c r="F173" s="79"/>
      <c r="G173" s="79"/>
      <c r="H173" s="79" t="s">
        <v>700</v>
      </c>
      <c r="I173" s="79"/>
      <c r="J173" s="79"/>
      <c r="K173" s="79"/>
      <c r="L173" s="79"/>
      <c r="M173" s="79"/>
      <c r="N173" s="79"/>
      <c r="O173" s="79" t="s">
        <v>604</v>
      </c>
      <c r="P173" s="79"/>
      <c r="Q173" s="79" t="str">
        <f>TEXT(CY136,"#,###.##")</f>
        <v>1,592.6</v>
      </c>
      <c r="R173" s="79"/>
      <c r="S173" s="79"/>
      <c r="T173" s="79"/>
      <c r="U173" s="79"/>
      <c r="V173" s="79"/>
      <c r="W173" s="79"/>
      <c r="X173" s="79"/>
      <c r="Y173" s="79" t="s">
        <v>148</v>
      </c>
      <c r="Z173" s="79"/>
      <c r="AA173" s="79" t="str">
        <f>TEXT(CY169,"#,###.##")</f>
        <v>1,592.8</v>
      </c>
      <c r="AB173" s="79"/>
      <c r="AC173" s="79"/>
      <c r="AD173" s="79"/>
      <c r="AE173" s="79"/>
      <c r="AF173" s="79"/>
      <c r="AG173" s="79"/>
      <c r="AH173" s="79"/>
      <c r="AI173" s="79" t="s">
        <v>309</v>
      </c>
      <c r="AJ173" s="79"/>
      <c r="AK173" s="79"/>
      <c r="AL173" s="79" t="str">
        <f>TEXT(TRUNC(CY136+CY169,0),"#,##0")</f>
        <v>3,185</v>
      </c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9"/>
      <c r="BG173" s="79"/>
      <c r="BH173" s="79"/>
      <c r="BI173" s="79"/>
      <c r="BJ173" s="79"/>
      <c r="BK173" s="79"/>
      <c r="BL173" s="79"/>
      <c r="BM173" s="79"/>
      <c r="BN173" s="79"/>
      <c r="BO173" s="79"/>
      <c r="BP173" s="79"/>
      <c r="BQ173" s="79"/>
      <c r="BR173" s="79"/>
      <c r="BS173" s="79"/>
      <c r="BT173" s="79"/>
      <c r="BU173" s="79"/>
      <c r="BV173" s="79"/>
      <c r="BW173" s="79"/>
      <c r="BX173" s="79"/>
      <c r="BY173" s="79"/>
      <c r="BZ173" s="79"/>
      <c r="CA173" s="79"/>
      <c r="CB173" s="79"/>
      <c r="CC173" s="79"/>
      <c r="CD173" s="79"/>
      <c r="CE173" s="79"/>
      <c r="CF173" s="79"/>
      <c r="CG173" s="79"/>
      <c r="CH173" s="79"/>
      <c r="CI173" s="79"/>
      <c r="CJ173" s="79"/>
      <c r="CK173" s="79"/>
      <c r="CL173" s="79"/>
      <c r="CM173" s="79"/>
      <c r="CN173" s="79"/>
      <c r="CO173" s="79"/>
      <c r="CP173" s="79"/>
      <c r="CQ173" s="79"/>
      <c r="CR173" s="79"/>
      <c r="CS173" s="79"/>
      <c r="CT173" s="79"/>
      <c r="CU173" s="79"/>
      <c r="CV173" s="79"/>
      <c r="CW173" s="79"/>
      <c r="CX173" s="85"/>
      <c r="CY173" s="85"/>
      <c r="CZ173" s="85"/>
      <c r="DA173" s="86"/>
      <c r="DB173" s="84"/>
    </row>
    <row r="174" spans="2:106" ht="11.25" customHeight="1">
      <c r="B174" s="78"/>
      <c r="C174" s="79"/>
      <c r="D174" s="79"/>
      <c r="E174" s="79"/>
      <c r="F174" s="79"/>
      <c r="G174" s="79"/>
      <c r="H174" s="79" t="s">
        <v>498</v>
      </c>
      <c r="I174" s="79"/>
      <c r="J174" s="79"/>
      <c r="K174" s="79"/>
      <c r="L174" s="79"/>
      <c r="M174" s="79"/>
      <c r="N174" s="79"/>
      <c r="O174" s="79" t="s">
        <v>604</v>
      </c>
      <c r="P174" s="79"/>
      <c r="Q174" s="79" t="str">
        <f>TEXT(CZ128,"#,###.##")</f>
        <v>23,438.9</v>
      </c>
      <c r="R174" s="79"/>
      <c r="S174" s="79"/>
      <c r="T174" s="79"/>
      <c r="U174" s="79"/>
      <c r="V174" s="79"/>
      <c r="W174" s="79"/>
      <c r="X174" s="79"/>
      <c r="Y174" s="79"/>
      <c r="Z174" s="79" t="s">
        <v>148</v>
      </c>
      <c r="AA174" s="79"/>
      <c r="AB174" s="79" t="str">
        <f>TEXT(CZ140,"#,###.##")</f>
        <v>234.3</v>
      </c>
      <c r="AC174" s="79"/>
      <c r="AD174" s="79"/>
      <c r="AE174" s="79"/>
      <c r="AF174" s="79"/>
      <c r="AG174" s="79"/>
      <c r="AH174" s="79" t="s">
        <v>148</v>
      </c>
      <c r="AI174" s="79"/>
      <c r="AJ174" s="79" t="str">
        <f>TEXT(CZ169,"#,###.##")</f>
        <v>239.9</v>
      </c>
      <c r="AK174" s="79"/>
      <c r="AL174" s="79"/>
      <c r="AM174" s="79"/>
      <c r="AN174" s="79"/>
      <c r="AO174" s="79"/>
      <c r="AP174" s="79" t="s">
        <v>309</v>
      </c>
      <c r="AQ174" s="79"/>
      <c r="AR174" s="79"/>
      <c r="AS174" s="79" t="str">
        <f>TEXT(TRUNC(CZ128+CZ140+CZ169,0),"#,##0")</f>
        <v>23,913</v>
      </c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  <c r="BI174" s="79"/>
      <c r="BJ174" s="79"/>
      <c r="BK174" s="79"/>
      <c r="BL174" s="79"/>
      <c r="BM174" s="79"/>
      <c r="BN174" s="79"/>
      <c r="BO174" s="79"/>
      <c r="BP174" s="79"/>
      <c r="BQ174" s="79"/>
      <c r="BR174" s="79"/>
      <c r="BS174" s="79"/>
      <c r="BT174" s="79"/>
      <c r="BU174" s="79"/>
      <c r="BV174" s="79"/>
      <c r="BW174" s="79"/>
      <c r="BX174" s="79"/>
      <c r="BY174" s="79"/>
      <c r="BZ174" s="79"/>
      <c r="CA174" s="79"/>
      <c r="CB174" s="79"/>
      <c r="CC174" s="79"/>
      <c r="CD174" s="79"/>
      <c r="CE174" s="79"/>
      <c r="CF174" s="79"/>
      <c r="CG174" s="79"/>
      <c r="CH174" s="79"/>
      <c r="CI174" s="79"/>
      <c r="CJ174" s="79"/>
      <c r="CK174" s="79"/>
      <c r="CL174" s="79"/>
      <c r="CM174" s="79"/>
      <c r="CN174" s="79"/>
      <c r="CO174" s="79"/>
      <c r="CP174" s="79"/>
      <c r="CQ174" s="79"/>
      <c r="CR174" s="79"/>
      <c r="CS174" s="79"/>
      <c r="CT174" s="79"/>
      <c r="CU174" s="79"/>
      <c r="CV174" s="79"/>
      <c r="CW174" s="79"/>
      <c r="CX174" s="85"/>
      <c r="CY174" s="85"/>
      <c r="CZ174" s="85"/>
      <c r="DA174" s="86"/>
      <c r="DB174" s="84"/>
    </row>
    <row r="175" spans="2:106" ht="11.25" customHeight="1">
      <c r="B175" s="78"/>
      <c r="C175" s="79"/>
      <c r="D175" s="79"/>
      <c r="E175" s="79"/>
      <c r="F175" s="79"/>
      <c r="G175" s="79"/>
      <c r="H175" s="79" t="s">
        <v>160</v>
      </c>
      <c r="I175" s="79"/>
      <c r="J175" s="79"/>
      <c r="K175" s="79"/>
      <c r="L175" s="79" t="s">
        <v>440</v>
      </c>
      <c r="M175" s="79"/>
      <c r="N175" s="79"/>
      <c r="O175" s="79" t="s">
        <v>604</v>
      </c>
      <c r="P175" s="79"/>
      <c r="Q175" s="79" t="str">
        <f>TEXT(DA144,"#,###.##")</f>
        <v>159.2</v>
      </c>
      <c r="R175" s="79"/>
      <c r="S175" s="79"/>
      <c r="T175" s="79"/>
      <c r="U175" s="79"/>
      <c r="V175" s="79"/>
      <c r="W175" s="79" t="s">
        <v>148</v>
      </c>
      <c r="X175" s="79"/>
      <c r="Y175" s="79" t="str">
        <f>TEXT(DA169,"#,###.##")</f>
        <v>226.1</v>
      </c>
      <c r="Z175" s="79"/>
      <c r="AA175" s="79"/>
      <c r="AB175" s="79"/>
      <c r="AC175" s="79"/>
      <c r="AD175" s="79"/>
      <c r="AE175" s="79" t="s">
        <v>309</v>
      </c>
      <c r="AF175" s="79"/>
      <c r="AG175" s="79"/>
      <c r="AH175" s="79" t="str">
        <f>TEXT(TRUNC(DA144+DA169,0),"#,##0")</f>
        <v>385</v>
      </c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79"/>
      <c r="BH175" s="79"/>
      <c r="BI175" s="79"/>
      <c r="BJ175" s="79"/>
      <c r="BK175" s="79"/>
      <c r="BL175" s="79"/>
      <c r="BM175" s="79"/>
      <c r="BN175" s="79"/>
      <c r="BO175" s="79"/>
      <c r="BP175" s="79"/>
      <c r="BQ175" s="79"/>
      <c r="BR175" s="79"/>
      <c r="BS175" s="79"/>
      <c r="BT175" s="79"/>
      <c r="BU175" s="79"/>
      <c r="BV175" s="79"/>
      <c r="BW175" s="79"/>
      <c r="BX175" s="79"/>
      <c r="BY175" s="79"/>
      <c r="BZ175" s="79"/>
      <c r="CA175" s="79"/>
      <c r="CB175" s="79"/>
      <c r="CC175" s="79"/>
      <c r="CD175" s="79"/>
      <c r="CE175" s="79"/>
      <c r="CF175" s="79"/>
      <c r="CG175" s="79"/>
      <c r="CH175" s="79"/>
      <c r="CI175" s="79"/>
      <c r="CJ175" s="79"/>
      <c r="CK175" s="79"/>
      <c r="CL175" s="79"/>
      <c r="CM175" s="79"/>
      <c r="CN175" s="79"/>
      <c r="CO175" s="79"/>
      <c r="CP175" s="79"/>
      <c r="CQ175" s="79"/>
      <c r="CR175" s="79"/>
      <c r="CS175" s="79"/>
      <c r="CT175" s="79"/>
      <c r="CU175" s="79"/>
      <c r="CV175" s="79"/>
      <c r="CW175" s="79"/>
      <c r="CX175" s="85"/>
      <c r="CY175" s="85"/>
      <c r="CZ175" s="85"/>
      <c r="DA175" s="86"/>
      <c r="DB175" s="84"/>
    </row>
    <row r="176" spans="2:106" ht="11.25" customHeight="1">
      <c r="B176" s="80"/>
      <c r="C176" s="72"/>
      <c r="D176" s="72"/>
      <c r="E176" s="72"/>
      <c r="F176" s="72"/>
      <c r="G176" s="72"/>
      <c r="H176" s="72"/>
      <c r="I176" s="72"/>
      <c r="J176" s="72" t="s">
        <v>436</v>
      </c>
      <c r="K176" s="72"/>
      <c r="L176" s="72"/>
      <c r="M176" s="72"/>
      <c r="N176" s="72"/>
      <c r="O176" s="72" t="s">
        <v>604</v>
      </c>
      <c r="P176" s="72"/>
      <c r="Q176" s="72"/>
      <c r="R176" s="72" t="str">
        <f>TEXT(AL173+AS174+AH175,"#,##0")</f>
        <v>27,483</v>
      </c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0">
        <f>CY176+CZ176+DA176</f>
        <v>27483</v>
      </c>
      <c r="CY176" s="87" t="str">
        <f>TEXT(AL173,"#,##0")</f>
        <v>3,185</v>
      </c>
      <c r="CZ176" s="87" t="str">
        <f>TEXT(AS174,"#,##0")</f>
        <v>23,913</v>
      </c>
      <c r="DA176" s="88" t="str">
        <f>TEXT(AH175,"#,##0")</f>
        <v>385</v>
      </c>
      <c r="DB176" s="84"/>
    </row>
    <row r="177" spans="2:106" ht="11.25" customHeight="1">
      <c r="B177" s="78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79"/>
      <c r="AX177" s="79"/>
      <c r="AY177" s="79"/>
      <c r="AZ177" s="79"/>
      <c r="BA177" s="79"/>
      <c r="BB177" s="79"/>
      <c r="BC177" s="79"/>
      <c r="BD177" s="79"/>
      <c r="BE177" s="79"/>
      <c r="BF177" s="79"/>
      <c r="BG177" s="79"/>
      <c r="BH177" s="79"/>
      <c r="BI177" s="79"/>
      <c r="BJ177" s="79"/>
      <c r="BK177" s="79"/>
      <c r="BL177" s="79"/>
      <c r="BM177" s="79"/>
      <c r="BN177" s="79"/>
      <c r="BO177" s="79"/>
      <c r="BP177" s="79"/>
      <c r="BQ177" s="79"/>
      <c r="BR177" s="79"/>
      <c r="BS177" s="79"/>
      <c r="BT177" s="79"/>
      <c r="BU177" s="79"/>
      <c r="BV177" s="79"/>
      <c r="BW177" s="79"/>
      <c r="BX177" s="79"/>
      <c r="BY177" s="79"/>
      <c r="BZ177" s="79"/>
      <c r="CA177" s="79"/>
      <c r="CB177" s="79"/>
      <c r="CC177" s="79"/>
      <c r="CD177" s="79"/>
      <c r="CE177" s="79"/>
      <c r="CF177" s="79"/>
      <c r="CG177" s="79"/>
      <c r="CH177" s="79"/>
      <c r="CI177" s="79"/>
      <c r="CJ177" s="79"/>
      <c r="CK177" s="79"/>
      <c r="CL177" s="79"/>
      <c r="CM177" s="79"/>
      <c r="CN177" s="79"/>
      <c r="CO177" s="79"/>
      <c r="CP177" s="79"/>
      <c r="CQ177" s="79"/>
      <c r="CR177" s="79"/>
      <c r="CS177" s="79"/>
      <c r="CT177" s="79"/>
      <c r="CU177" s="79"/>
      <c r="CV177" s="79"/>
      <c r="CW177" s="79"/>
      <c r="CX177" s="85"/>
      <c r="CY177" s="85"/>
      <c r="CZ177" s="85"/>
      <c r="DA177" s="86"/>
      <c r="DB177" s="84"/>
    </row>
    <row r="178" spans="2:106" ht="11.25" customHeight="1">
      <c r="B178" s="81" t="s">
        <v>726</v>
      </c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9"/>
      <c r="BG178" s="79"/>
      <c r="BH178" s="79"/>
      <c r="BI178" s="79"/>
      <c r="BJ178" s="79"/>
      <c r="BK178" s="79"/>
      <c r="BL178" s="79"/>
      <c r="BM178" s="79"/>
      <c r="BN178" s="79"/>
      <c r="BO178" s="79"/>
      <c r="BP178" s="79"/>
      <c r="BQ178" s="79"/>
      <c r="BR178" s="79"/>
      <c r="BS178" s="79"/>
      <c r="BT178" s="79"/>
      <c r="BU178" s="79"/>
      <c r="BV178" s="79"/>
      <c r="BW178" s="79"/>
      <c r="BX178" s="79"/>
      <c r="BY178" s="79"/>
      <c r="BZ178" s="79"/>
      <c r="CA178" s="79"/>
      <c r="CB178" s="79"/>
      <c r="CC178" s="79"/>
      <c r="CD178" s="79"/>
      <c r="CE178" s="79"/>
      <c r="CF178" s="79"/>
      <c r="CG178" s="79"/>
      <c r="CH178" s="79"/>
      <c r="CI178" s="79"/>
      <c r="CJ178" s="79"/>
      <c r="CK178" s="79"/>
      <c r="CL178" s="79"/>
      <c r="CM178" s="79"/>
      <c r="CN178" s="79"/>
      <c r="CO178" s="79"/>
      <c r="CP178" s="79"/>
      <c r="CQ178" s="79"/>
      <c r="CR178" s="79"/>
      <c r="CS178" s="79"/>
      <c r="CT178" s="79"/>
      <c r="CU178" s="79"/>
      <c r="CV178" s="79"/>
      <c r="CW178" s="79"/>
      <c r="CX178" s="82">
        <f>CX243</f>
        <v>32506</v>
      </c>
      <c r="CY178" s="82" t="str">
        <f>CY243</f>
        <v>6,371</v>
      </c>
      <c r="CZ178" s="82" t="str">
        <f>CZ243</f>
        <v>25,365</v>
      </c>
      <c r="DA178" s="83" t="str">
        <f>DA243</f>
        <v>770</v>
      </c>
      <c r="DB178" s="84"/>
    </row>
    <row r="179" spans="2:106" ht="11.25" customHeight="1">
      <c r="B179" s="78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9"/>
      <c r="BG179" s="79"/>
      <c r="BH179" s="79"/>
      <c r="BI179" s="79"/>
      <c r="BJ179" s="79"/>
      <c r="BK179" s="79"/>
      <c r="BL179" s="79"/>
      <c r="BM179" s="79"/>
      <c r="BN179" s="79"/>
      <c r="BO179" s="79"/>
      <c r="BP179" s="79"/>
      <c r="BQ179" s="79"/>
      <c r="BR179" s="79"/>
      <c r="BS179" s="79"/>
      <c r="BT179" s="79"/>
      <c r="BU179" s="79"/>
      <c r="BV179" s="79"/>
      <c r="BW179" s="79"/>
      <c r="BX179" s="79"/>
      <c r="BY179" s="79"/>
      <c r="BZ179" s="79"/>
      <c r="CA179" s="79"/>
      <c r="CB179" s="79"/>
      <c r="CC179" s="79"/>
      <c r="CD179" s="79"/>
      <c r="CE179" s="79"/>
      <c r="CF179" s="79"/>
      <c r="CG179" s="79"/>
      <c r="CH179" s="79"/>
      <c r="CI179" s="79"/>
      <c r="CJ179" s="79"/>
      <c r="CK179" s="79"/>
      <c r="CL179" s="79"/>
      <c r="CM179" s="79"/>
      <c r="CN179" s="79"/>
      <c r="CO179" s="79"/>
      <c r="CP179" s="79"/>
      <c r="CQ179" s="79"/>
      <c r="CR179" s="79"/>
      <c r="CS179" s="79"/>
      <c r="CT179" s="79"/>
      <c r="CU179" s="79"/>
      <c r="CV179" s="79"/>
      <c r="CW179" s="79"/>
      <c r="CX179" s="85"/>
      <c r="CY179" s="85"/>
      <c r="CZ179" s="85"/>
      <c r="DA179" s="86"/>
      <c r="DB179" s="84"/>
    </row>
    <row r="180" spans="2:106" ht="11.25" customHeight="1">
      <c r="B180" s="78"/>
      <c r="C180" s="79"/>
      <c r="D180" s="79" t="s">
        <v>777</v>
      </c>
      <c r="E180" s="79"/>
      <c r="F180" s="79"/>
      <c r="G180" s="79" t="s">
        <v>422</v>
      </c>
      <c r="H180" s="79"/>
      <c r="I180" s="79"/>
      <c r="J180" s="79"/>
      <c r="K180" s="79" t="s">
        <v>6</v>
      </c>
      <c r="L180" s="79"/>
      <c r="M180" s="79"/>
      <c r="N180" s="79" t="s">
        <v>650</v>
      </c>
      <c r="O180" s="79"/>
      <c r="P180" s="79"/>
      <c r="Q180" s="79"/>
      <c r="R180" s="79"/>
      <c r="S180" s="79"/>
      <c r="T180" s="79"/>
      <c r="U180" s="79"/>
      <c r="V180" s="79"/>
      <c r="W180" s="79" t="s">
        <v>604</v>
      </c>
      <c r="X180" s="79"/>
      <c r="Y180" s="79" t="s">
        <v>684</v>
      </c>
      <c r="Z180" s="79"/>
      <c r="AA180" s="79"/>
      <c r="AB180" s="79"/>
      <c r="AC180" s="79"/>
      <c r="AD180" s="79" t="s">
        <v>225</v>
      </c>
      <c r="AE180" s="79" t="s">
        <v>23</v>
      </c>
      <c r="AF180" s="79" t="s">
        <v>433</v>
      </c>
      <c r="AG180" s="79"/>
      <c r="AH180" s="79" t="s">
        <v>23</v>
      </c>
      <c r="AI180" s="79" t="s">
        <v>764</v>
      </c>
      <c r="AJ180" s="79"/>
      <c r="AK180" s="79" t="s">
        <v>385</v>
      </c>
      <c r="AL180" s="79"/>
      <c r="AM180" s="79"/>
      <c r="AN180" s="79"/>
      <c r="AO180" s="79"/>
      <c r="AP180" s="79"/>
      <c r="AQ180" s="79"/>
      <c r="AR180" s="79"/>
      <c r="AS180" s="79" t="s">
        <v>431</v>
      </c>
      <c r="AT180" s="79" t="s">
        <v>486</v>
      </c>
      <c r="AU180" s="79"/>
      <c r="AV180" s="79"/>
      <c r="AW180" s="79"/>
      <c r="AX180" s="79"/>
      <c r="AY180" s="79"/>
      <c r="AZ180" s="79"/>
      <c r="BA180" s="79"/>
      <c r="BB180" s="79" t="s">
        <v>89</v>
      </c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  <c r="BM180" s="79"/>
      <c r="BN180" s="79"/>
      <c r="BO180" s="79"/>
      <c r="BP180" s="79"/>
      <c r="BQ180" s="79"/>
      <c r="BR180" s="79"/>
      <c r="BS180" s="79"/>
      <c r="BT180" s="79"/>
      <c r="BU180" s="79"/>
      <c r="BV180" s="79"/>
      <c r="BW180" s="79"/>
      <c r="BX180" s="79"/>
      <c r="BY180" s="79"/>
      <c r="BZ180" s="79"/>
      <c r="CA180" s="79"/>
      <c r="CB180" s="79"/>
      <c r="CC180" s="79"/>
      <c r="CD180" s="79"/>
      <c r="CE180" s="79"/>
      <c r="CF180" s="79"/>
      <c r="CG180" s="79"/>
      <c r="CH180" s="79"/>
      <c r="CI180" s="79"/>
      <c r="CJ180" s="79"/>
      <c r="CK180" s="79"/>
      <c r="CL180" s="79"/>
      <c r="CM180" s="79"/>
      <c r="CN180" s="79"/>
      <c r="CO180" s="79"/>
      <c r="CP180" s="79"/>
      <c r="CQ180" s="79"/>
      <c r="CR180" s="79"/>
      <c r="CS180" s="79"/>
      <c r="CT180" s="79"/>
      <c r="CU180" s="79"/>
      <c r="CV180" s="79"/>
      <c r="CW180" s="79"/>
      <c r="CX180" s="85"/>
      <c r="CY180" s="85"/>
      <c r="CZ180" s="85"/>
      <c r="DA180" s="86"/>
      <c r="DB180" s="84"/>
    </row>
    <row r="181" spans="2:106" ht="11.25" customHeight="1">
      <c r="B181" s="78"/>
      <c r="C181" s="79"/>
      <c r="D181" s="79"/>
      <c r="E181" s="79"/>
      <c r="F181" s="79" t="s">
        <v>431</v>
      </c>
      <c r="G181" s="79" t="s">
        <v>58</v>
      </c>
      <c r="H181" s="79"/>
      <c r="I181" s="79"/>
      <c r="J181" s="79"/>
      <c r="K181" s="79"/>
      <c r="L181" s="79"/>
      <c r="M181" s="79"/>
      <c r="N181" s="79" t="s">
        <v>586</v>
      </c>
      <c r="O181" s="79"/>
      <c r="P181" s="79"/>
      <c r="Q181" s="79"/>
      <c r="R181" s="79"/>
      <c r="S181" s="79"/>
      <c r="T181" s="79"/>
      <c r="U181" s="79"/>
      <c r="V181" s="79"/>
      <c r="W181" s="79" t="s">
        <v>299</v>
      </c>
      <c r="X181" s="79"/>
      <c r="Y181" s="79"/>
      <c r="Z181" s="79"/>
      <c r="AA181" s="79"/>
      <c r="AB181" s="79" t="s">
        <v>284</v>
      </c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 t="s">
        <v>581</v>
      </c>
      <c r="AP181" s="79"/>
      <c r="AQ181" s="79"/>
      <c r="AR181" s="79"/>
      <c r="AS181" s="79"/>
      <c r="AT181" s="79"/>
      <c r="AU181" s="79"/>
      <c r="AV181" s="79"/>
      <c r="AW181" s="79"/>
      <c r="AX181" s="79" t="s">
        <v>519</v>
      </c>
      <c r="AY181" s="79"/>
      <c r="AZ181" s="79"/>
      <c r="BA181" s="79"/>
      <c r="BB181" s="79"/>
      <c r="BC181" s="79"/>
      <c r="BD181" s="79"/>
      <c r="BE181" s="79"/>
      <c r="BF181" s="79"/>
      <c r="BG181" s="79" t="s">
        <v>186</v>
      </c>
      <c r="BH181" s="79"/>
      <c r="BI181" s="79"/>
      <c r="BJ181" s="79"/>
      <c r="BK181" s="79"/>
      <c r="BL181" s="79" t="s">
        <v>400</v>
      </c>
      <c r="BM181" s="79"/>
      <c r="BN181" s="79"/>
      <c r="BO181" s="79"/>
      <c r="BP181" s="79"/>
      <c r="BQ181" s="79"/>
      <c r="BR181" s="79"/>
      <c r="BS181" s="79"/>
      <c r="BT181" s="79"/>
      <c r="BU181" s="79"/>
      <c r="BV181" s="79"/>
      <c r="BW181" s="79" t="s">
        <v>141</v>
      </c>
      <c r="BX181" s="79"/>
      <c r="BY181" s="79"/>
      <c r="BZ181" s="79"/>
      <c r="CA181" s="79"/>
      <c r="CB181" s="79"/>
      <c r="CC181" s="79"/>
      <c r="CD181" s="79"/>
      <c r="CE181" s="79" t="s">
        <v>587</v>
      </c>
      <c r="CF181" s="79" t="s">
        <v>89</v>
      </c>
      <c r="CG181" s="79"/>
      <c r="CH181" s="79"/>
      <c r="CI181" s="79"/>
      <c r="CJ181" s="79"/>
      <c r="CK181" s="79"/>
      <c r="CL181" s="79"/>
      <c r="CM181" s="79"/>
      <c r="CN181" s="79"/>
      <c r="CO181" s="79"/>
      <c r="CP181" s="79"/>
      <c r="CQ181" s="79"/>
      <c r="CR181" s="79"/>
      <c r="CS181" s="79"/>
      <c r="CT181" s="79"/>
      <c r="CU181" s="79"/>
      <c r="CV181" s="79"/>
      <c r="CW181" s="79"/>
      <c r="CX181" s="85"/>
      <c r="CY181" s="85"/>
      <c r="CZ181" s="85"/>
      <c r="DA181" s="86"/>
      <c r="DB181" s="84"/>
    </row>
    <row r="182" spans="2:106" ht="11.25" customHeight="1">
      <c r="B182" s="78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9"/>
      <c r="BG182" s="79"/>
      <c r="BH182" s="79"/>
      <c r="BI182" s="79"/>
      <c r="BJ182" s="79"/>
      <c r="BK182" s="79"/>
      <c r="BL182" s="79"/>
      <c r="BM182" s="79"/>
      <c r="BN182" s="79"/>
      <c r="BO182" s="79"/>
      <c r="BP182" s="79"/>
      <c r="BQ182" s="79"/>
      <c r="BR182" s="79"/>
      <c r="BS182" s="79"/>
      <c r="BT182" s="79"/>
      <c r="BU182" s="79"/>
      <c r="BV182" s="79"/>
      <c r="BW182" s="79"/>
      <c r="BX182" s="79"/>
      <c r="BY182" s="79"/>
      <c r="BZ182" s="79"/>
      <c r="CA182" s="79"/>
      <c r="CB182" s="79"/>
      <c r="CC182" s="79"/>
      <c r="CD182" s="79"/>
      <c r="CE182" s="79"/>
      <c r="CF182" s="79"/>
      <c r="CG182" s="79"/>
      <c r="CH182" s="79"/>
      <c r="CI182" s="79"/>
      <c r="CJ182" s="79"/>
      <c r="CK182" s="79"/>
      <c r="CL182" s="79"/>
      <c r="CM182" s="79"/>
      <c r="CN182" s="79"/>
      <c r="CO182" s="79"/>
      <c r="CP182" s="79"/>
      <c r="CQ182" s="79"/>
      <c r="CR182" s="79"/>
      <c r="CS182" s="79"/>
      <c r="CT182" s="79"/>
      <c r="CU182" s="79"/>
      <c r="CV182" s="79"/>
      <c r="CW182" s="79"/>
      <c r="CX182" s="85"/>
      <c r="CY182" s="85"/>
      <c r="CZ182" s="85"/>
      <c r="DA182" s="86"/>
      <c r="DB182" s="84"/>
    </row>
    <row r="183" spans="2:106" ht="11.25" customHeight="1">
      <c r="B183" s="78"/>
      <c r="C183" s="79"/>
      <c r="D183" s="79"/>
      <c r="E183" s="79"/>
      <c r="F183" s="79"/>
      <c r="G183" s="79" t="s">
        <v>564</v>
      </c>
      <c r="H183" s="79"/>
      <c r="I183" s="79"/>
      <c r="J183" s="79"/>
      <c r="K183" s="79"/>
      <c r="L183" s="79" t="s">
        <v>504</v>
      </c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 t="s">
        <v>604</v>
      </c>
      <c r="X183" s="79"/>
      <c r="Y183" s="79" t="s">
        <v>262</v>
      </c>
      <c r="Z183" s="79"/>
      <c r="AA183" s="79"/>
      <c r="AB183" s="79" t="s">
        <v>309</v>
      </c>
      <c r="AC183" s="79"/>
      <c r="AD183" s="79" t="str">
        <f>TEXT(250,"#,##0.#######")</f>
        <v>250.</v>
      </c>
      <c r="AE183" s="79"/>
      <c r="AF183" s="79"/>
      <c r="AG183" s="79" t="s">
        <v>596</v>
      </c>
      <c r="AH183" s="79"/>
      <c r="AI183" s="79" t="s">
        <v>123</v>
      </c>
      <c r="AJ183" s="79" t="s">
        <v>748</v>
      </c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/>
      <c r="BB183" s="79"/>
      <c r="BC183" s="79"/>
      <c r="BD183" s="79"/>
      <c r="BE183" s="79"/>
      <c r="BF183" s="79"/>
      <c r="BG183" s="79"/>
      <c r="BH183" s="79"/>
      <c r="BI183" s="79"/>
      <c r="BJ183" s="79"/>
      <c r="BK183" s="79"/>
      <c r="BL183" s="79"/>
      <c r="BM183" s="79"/>
      <c r="BN183" s="79"/>
      <c r="BO183" s="79"/>
      <c r="BP183" s="79"/>
      <c r="BQ183" s="79"/>
      <c r="BR183" s="79"/>
      <c r="BS183" s="79"/>
      <c r="BT183" s="79"/>
      <c r="BU183" s="79"/>
      <c r="BV183" s="79"/>
      <c r="BW183" s="79"/>
      <c r="BX183" s="79"/>
      <c r="BY183" s="79"/>
      <c r="BZ183" s="79"/>
      <c r="CA183" s="79"/>
      <c r="CB183" s="79"/>
      <c r="CC183" s="79"/>
      <c r="CD183" s="79"/>
      <c r="CE183" s="79"/>
      <c r="CF183" s="79"/>
      <c r="CG183" s="79"/>
      <c r="CH183" s="79"/>
      <c r="CI183" s="79"/>
      <c r="CJ183" s="79"/>
      <c r="CK183" s="79"/>
      <c r="CL183" s="79"/>
      <c r="CM183" s="79"/>
      <c r="CN183" s="79"/>
      <c r="CO183" s="79"/>
      <c r="CP183" s="79"/>
      <c r="CQ183" s="79"/>
      <c r="CR183" s="79"/>
      <c r="CS183" s="79"/>
      <c r="CT183" s="79"/>
      <c r="CU183" s="79"/>
      <c r="CV183" s="79"/>
      <c r="CW183" s="79"/>
      <c r="CX183" s="85"/>
      <c r="CY183" s="85"/>
      <c r="CZ183" s="85"/>
      <c r="DA183" s="86"/>
      <c r="DB183" s="84"/>
    </row>
    <row r="184" spans="2:106" ht="11.25" customHeight="1">
      <c r="B184" s="78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/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79"/>
      <c r="BP184" s="79"/>
      <c r="BQ184" s="79"/>
      <c r="BR184" s="79"/>
      <c r="BS184" s="79"/>
      <c r="BT184" s="79"/>
      <c r="BU184" s="79"/>
      <c r="BV184" s="79"/>
      <c r="BW184" s="79"/>
      <c r="BX184" s="79"/>
      <c r="BY184" s="79"/>
      <c r="BZ184" s="79"/>
      <c r="CA184" s="79"/>
      <c r="CB184" s="79"/>
      <c r="CC184" s="79"/>
      <c r="CD184" s="79"/>
      <c r="CE184" s="79"/>
      <c r="CF184" s="79"/>
      <c r="CG184" s="79"/>
      <c r="CH184" s="79"/>
      <c r="CI184" s="79"/>
      <c r="CJ184" s="79"/>
      <c r="CK184" s="79"/>
      <c r="CL184" s="79"/>
      <c r="CM184" s="79"/>
      <c r="CN184" s="79"/>
      <c r="CO184" s="79"/>
      <c r="CP184" s="79"/>
      <c r="CQ184" s="79"/>
      <c r="CR184" s="79"/>
      <c r="CS184" s="79"/>
      <c r="CT184" s="79"/>
      <c r="CU184" s="79"/>
      <c r="CV184" s="79"/>
      <c r="CW184" s="79"/>
      <c r="CX184" s="85"/>
      <c r="CY184" s="85"/>
      <c r="CZ184" s="85"/>
      <c r="DA184" s="86"/>
      <c r="DB184" s="84"/>
    </row>
    <row r="185" spans="2:106" ht="11.25" customHeight="1">
      <c r="B185" s="78"/>
      <c r="C185" s="79"/>
      <c r="D185" s="79" t="s">
        <v>401</v>
      </c>
      <c r="E185" s="79"/>
      <c r="F185" s="79"/>
      <c r="G185" s="79" t="s">
        <v>498</v>
      </c>
      <c r="H185" s="79"/>
      <c r="I185" s="79"/>
      <c r="J185" s="79"/>
      <c r="K185" s="79"/>
      <c r="L185" s="79"/>
      <c r="M185" s="79"/>
      <c r="N185" s="79"/>
      <c r="O185" s="79" t="s">
        <v>83</v>
      </c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/>
      <c r="AX185" s="79"/>
      <c r="AY185" s="79"/>
      <c r="AZ185" s="79"/>
      <c r="BA185" s="79"/>
      <c r="BB185" s="79"/>
      <c r="BC185" s="79"/>
      <c r="BD185" s="79"/>
      <c r="BE185" s="79"/>
      <c r="BF185" s="79"/>
      <c r="BG185" s="79"/>
      <c r="BH185" s="79"/>
      <c r="BI185" s="79"/>
      <c r="BJ185" s="79"/>
      <c r="BK185" s="79"/>
      <c r="BL185" s="79"/>
      <c r="BM185" s="79"/>
      <c r="BN185" s="79"/>
      <c r="BO185" s="79"/>
      <c r="BP185" s="79"/>
      <c r="BQ185" s="79"/>
      <c r="BR185" s="79"/>
      <c r="BS185" s="79"/>
      <c r="BT185" s="79"/>
      <c r="BU185" s="79"/>
      <c r="BV185" s="79"/>
      <c r="BW185" s="79"/>
      <c r="BX185" s="79"/>
      <c r="BY185" s="79"/>
      <c r="BZ185" s="79"/>
      <c r="CA185" s="79"/>
      <c r="CB185" s="79"/>
      <c r="CC185" s="79"/>
      <c r="CD185" s="79"/>
      <c r="CE185" s="79"/>
      <c r="CF185" s="79"/>
      <c r="CG185" s="79"/>
      <c r="CH185" s="79"/>
      <c r="CI185" s="79"/>
      <c r="CJ185" s="79"/>
      <c r="CK185" s="79"/>
      <c r="CL185" s="79"/>
      <c r="CM185" s="79"/>
      <c r="CN185" s="79"/>
      <c r="CO185" s="79"/>
      <c r="CP185" s="79"/>
      <c r="CQ185" s="79"/>
      <c r="CR185" s="79"/>
      <c r="CS185" s="79"/>
      <c r="CT185" s="79"/>
      <c r="CU185" s="79"/>
      <c r="CV185" s="79"/>
      <c r="CW185" s="79"/>
      <c r="CX185" s="85"/>
      <c r="CY185" s="85"/>
      <c r="CZ185" s="85"/>
      <c r="DA185" s="86"/>
      <c r="DB185" s="84"/>
    </row>
    <row r="186" spans="2:106" ht="11.25" customHeight="1">
      <c r="B186" s="78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/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79"/>
      <c r="BP186" s="79"/>
      <c r="BQ186" s="79"/>
      <c r="BR186" s="79"/>
      <c r="BS186" s="79"/>
      <c r="BT186" s="79"/>
      <c r="BU186" s="79"/>
      <c r="BV186" s="79"/>
      <c r="BW186" s="79"/>
      <c r="BX186" s="79"/>
      <c r="BY186" s="79"/>
      <c r="BZ186" s="79"/>
      <c r="CA186" s="79"/>
      <c r="CB186" s="79"/>
      <c r="CC186" s="79"/>
      <c r="CD186" s="79"/>
      <c r="CE186" s="79"/>
      <c r="CF186" s="79"/>
      <c r="CG186" s="79"/>
      <c r="CH186" s="79"/>
      <c r="CI186" s="79"/>
      <c r="CJ186" s="79"/>
      <c r="CK186" s="79"/>
      <c r="CL186" s="79"/>
      <c r="CM186" s="79"/>
      <c r="CN186" s="79"/>
      <c r="CO186" s="79"/>
      <c r="CP186" s="79"/>
      <c r="CQ186" s="79"/>
      <c r="CR186" s="79"/>
      <c r="CS186" s="79"/>
      <c r="CT186" s="79"/>
      <c r="CU186" s="79"/>
      <c r="CV186" s="79"/>
      <c r="CW186" s="79"/>
      <c r="CX186" s="85"/>
      <c r="CY186" s="85"/>
      <c r="CZ186" s="85"/>
      <c r="DA186" s="86"/>
      <c r="DB186" s="84"/>
    </row>
    <row r="187" spans="2:106" ht="11.25" customHeight="1">
      <c r="B187" s="78"/>
      <c r="C187" s="79"/>
      <c r="D187" s="79"/>
      <c r="E187" s="79"/>
      <c r="F187" s="79"/>
      <c r="G187" s="79" t="s">
        <v>373</v>
      </c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 t="s">
        <v>662</v>
      </c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79"/>
      <c r="AX187" s="79"/>
      <c r="AY187" s="79"/>
      <c r="AZ187" s="79"/>
      <c r="BA187" s="79"/>
      <c r="BB187" s="79" t="str">
        <f>TEXT(자재단가!R13,"#,##0.#######")</f>
        <v>4,550.</v>
      </c>
      <c r="BC187" s="79"/>
      <c r="BD187" s="79"/>
      <c r="BE187" s="79"/>
      <c r="BF187" s="79"/>
      <c r="BG187" s="79"/>
      <c r="BH187" s="79"/>
      <c r="BI187" s="79"/>
      <c r="BJ187" s="79" t="s">
        <v>699</v>
      </c>
      <c r="BK187" s="79"/>
      <c r="BL187" s="79"/>
      <c r="BM187" s="79" t="str">
        <f>TEXT(4.53,"#,##0.#######")</f>
        <v>4.53</v>
      </c>
      <c r="BN187" s="79"/>
      <c r="BO187" s="79"/>
      <c r="BP187" s="79"/>
      <c r="BQ187" s="79" t="s">
        <v>477</v>
      </c>
      <c r="BR187" s="79"/>
      <c r="BS187" s="79"/>
      <c r="BT187" s="79" t="s">
        <v>309</v>
      </c>
      <c r="BU187" s="79"/>
      <c r="BV187" s="79" t="str">
        <f>TEXT(TRUNC(BB187*BM187,1),"#,##0.#######")</f>
        <v>20,611.5</v>
      </c>
      <c r="BW187" s="79"/>
      <c r="BX187" s="79"/>
      <c r="BY187" s="79"/>
      <c r="BZ187" s="79"/>
      <c r="CA187" s="79"/>
      <c r="CB187" s="79"/>
      <c r="CC187" s="79"/>
      <c r="CD187" s="79"/>
      <c r="CE187" s="79"/>
      <c r="CF187" s="79"/>
      <c r="CG187" s="79"/>
      <c r="CH187" s="79"/>
      <c r="CI187" s="79"/>
      <c r="CJ187" s="79"/>
      <c r="CK187" s="79"/>
      <c r="CL187" s="79"/>
      <c r="CM187" s="79"/>
      <c r="CN187" s="79"/>
      <c r="CO187" s="79"/>
      <c r="CP187" s="79"/>
      <c r="CQ187" s="79"/>
      <c r="CR187" s="79"/>
      <c r="CS187" s="79"/>
      <c r="CT187" s="79"/>
      <c r="CU187" s="79"/>
      <c r="CV187" s="79"/>
      <c r="CW187" s="79"/>
      <c r="CX187" s="85"/>
      <c r="CY187" s="85"/>
      <c r="CZ187" s="85"/>
      <c r="DA187" s="86"/>
      <c r="DB187" s="84"/>
    </row>
    <row r="188" spans="2:106" ht="11.25" customHeight="1">
      <c r="B188" s="78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79"/>
      <c r="CM188" s="79"/>
      <c r="CN188" s="79"/>
      <c r="CO188" s="79"/>
      <c r="CP188" s="79"/>
      <c r="CQ188" s="79"/>
      <c r="CR188" s="79"/>
      <c r="CS188" s="79"/>
      <c r="CT188" s="79"/>
      <c r="CU188" s="79"/>
      <c r="CV188" s="79"/>
      <c r="CW188" s="79"/>
      <c r="CX188" s="85"/>
      <c r="CY188" s="85"/>
      <c r="CZ188" s="85"/>
      <c r="DA188" s="86"/>
      <c r="DB188" s="84"/>
    </row>
    <row r="189" spans="2:106" ht="11.25" customHeight="1">
      <c r="B189" s="78"/>
      <c r="C189" s="79"/>
      <c r="D189" s="79"/>
      <c r="E189" s="79"/>
      <c r="F189" s="79"/>
      <c r="G189" s="79" t="s">
        <v>558</v>
      </c>
      <c r="H189" s="79"/>
      <c r="I189" s="79"/>
      <c r="J189" s="79"/>
      <c r="K189" s="79"/>
      <c r="L189" s="79"/>
      <c r="M189" s="79"/>
      <c r="N189" s="79"/>
      <c r="O189" s="79"/>
      <c r="P189" s="79" t="s">
        <v>144</v>
      </c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 t="str">
        <f>TEXT(자재단가!R14,"#,##0.#######")</f>
        <v>5,000.</v>
      </c>
      <c r="AF189" s="79"/>
      <c r="AG189" s="79"/>
      <c r="AH189" s="79"/>
      <c r="AI189" s="79"/>
      <c r="AJ189" s="79"/>
      <c r="AK189" s="79"/>
      <c r="AL189" s="79"/>
      <c r="AM189" s="79" t="s">
        <v>699</v>
      </c>
      <c r="AN189" s="79"/>
      <c r="AO189" s="79"/>
      <c r="AP189" s="79" t="str">
        <f>TEXT(0.55,"#,##0.#######")</f>
        <v>0.55</v>
      </c>
      <c r="AQ189" s="79"/>
      <c r="AR189" s="79"/>
      <c r="AS189" s="79"/>
      <c r="AT189" s="79" t="s">
        <v>477</v>
      </c>
      <c r="AU189" s="79"/>
      <c r="AV189" s="79"/>
      <c r="AW189" s="79" t="s">
        <v>309</v>
      </c>
      <c r="AX189" s="79"/>
      <c r="AY189" s="79" t="str">
        <f>TEXT(TRUNC(AE189*AP189,1),"#,##0.#######")</f>
        <v>2,750.</v>
      </c>
      <c r="AZ189" s="79"/>
      <c r="BA189" s="79"/>
      <c r="BB189" s="79"/>
      <c r="BC189" s="79"/>
      <c r="BD189" s="79"/>
      <c r="BE189" s="79"/>
      <c r="BF189" s="79"/>
      <c r="BG189" s="79"/>
      <c r="BH189" s="79"/>
      <c r="BI189" s="79"/>
      <c r="BJ189" s="79"/>
      <c r="BK189" s="79"/>
      <c r="BL189" s="79"/>
      <c r="BM189" s="79"/>
      <c r="BN189" s="79"/>
      <c r="BO189" s="79"/>
      <c r="BP189" s="79"/>
      <c r="BQ189" s="79"/>
      <c r="BR189" s="79"/>
      <c r="BS189" s="79"/>
      <c r="BT189" s="79"/>
      <c r="BU189" s="79"/>
      <c r="BV189" s="79"/>
      <c r="BW189" s="79"/>
      <c r="BX189" s="79"/>
      <c r="BY189" s="79"/>
      <c r="BZ189" s="79"/>
      <c r="CA189" s="79"/>
      <c r="CB189" s="79"/>
      <c r="CC189" s="79"/>
      <c r="CD189" s="79"/>
      <c r="CE189" s="79"/>
      <c r="CF189" s="79"/>
      <c r="CG189" s="79"/>
      <c r="CH189" s="79"/>
      <c r="CI189" s="79"/>
      <c r="CJ189" s="79"/>
      <c r="CK189" s="79"/>
      <c r="CL189" s="79"/>
      <c r="CM189" s="79"/>
      <c r="CN189" s="79"/>
      <c r="CO189" s="79"/>
      <c r="CP189" s="79"/>
      <c r="CQ189" s="79"/>
      <c r="CR189" s="79"/>
      <c r="CS189" s="79"/>
      <c r="CT189" s="79"/>
      <c r="CU189" s="79"/>
      <c r="CV189" s="79"/>
      <c r="CW189" s="79"/>
      <c r="CX189" s="85"/>
      <c r="CY189" s="85"/>
      <c r="CZ189" s="85"/>
      <c r="DA189" s="86"/>
      <c r="DB189" s="84"/>
    </row>
    <row r="190" spans="2:106" ht="11.25" customHeight="1">
      <c r="B190" s="78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/>
      <c r="AX190" s="79"/>
      <c r="AY190" s="79"/>
      <c r="AZ190" s="79"/>
      <c r="BA190" s="79"/>
      <c r="BB190" s="79"/>
      <c r="BC190" s="79"/>
      <c r="BD190" s="79"/>
      <c r="BE190" s="79"/>
      <c r="BF190" s="79"/>
      <c r="BG190" s="79"/>
      <c r="BH190" s="79"/>
      <c r="BI190" s="79"/>
      <c r="BJ190" s="79"/>
      <c r="BK190" s="79"/>
      <c r="BL190" s="79"/>
      <c r="BM190" s="79"/>
      <c r="BN190" s="79"/>
      <c r="BO190" s="79"/>
      <c r="BP190" s="79"/>
      <c r="BQ190" s="79"/>
      <c r="BR190" s="79"/>
      <c r="BS190" s="79"/>
      <c r="BT190" s="79"/>
      <c r="BU190" s="79"/>
      <c r="BV190" s="79"/>
      <c r="BW190" s="79"/>
      <c r="BX190" s="79"/>
      <c r="BY190" s="79"/>
      <c r="BZ190" s="79"/>
      <c r="CA190" s="79"/>
      <c r="CB190" s="79"/>
      <c r="CC190" s="79"/>
      <c r="CD190" s="79"/>
      <c r="CE190" s="79"/>
      <c r="CF190" s="79"/>
      <c r="CG190" s="79"/>
      <c r="CH190" s="79"/>
      <c r="CI190" s="79"/>
      <c r="CJ190" s="79"/>
      <c r="CK190" s="79"/>
      <c r="CL190" s="79"/>
      <c r="CM190" s="79"/>
      <c r="CN190" s="79"/>
      <c r="CO190" s="79"/>
      <c r="CP190" s="79"/>
      <c r="CQ190" s="79"/>
      <c r="CR190" s="79"/>
      <c r="CS190" s="79"/>
      <c r="CT190" s="79"/>
      <c r="CU190" s="79"/>
      <c r="CV190" s="79"/>
      <c r="CW190" s="79"/>
      <c r="CX190" s="85"/>
      <c r="CY190" s="85"/>
      <c r="CZ190" s="85"/>
      <c r="DA190" s="86"/>
      <c r="DB190" s="84"/>
    </row>
    <row r="191" spans="2:106" ht="11.25" customHeight="1">
      <c r="B191" s="78"/>
      <c r="C191" s="79"/>
      <c r="D191" s="79"/>
      <c r="E191" s="79"/>
      <c r="F191" s="79"/>
      <c r="G191" s="79" t="s">
        <v>131</v>
      </c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 t="s">
        <v>585</v>
      </c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 t="s">
        <v>604</v>
      </c>
      <c r="AP191" s="79"/>
      <c r="AQ191" s="79" t="str">
        <f>TEXT(자재단가!R15,"#,##0.#######")</f>
        <v>4,500.</v>
      </c>
      <c r="AR191" s="79"/>
      <c r="AS191" s="79"/>
      <c r="AT191" s="79"/>
      <c r="AU191" s="79"/>
      <c r="AV191" s="79"/>
      <c r="AW191" s="79"/>
      <c r="AX191" s="79"/>
      <c r="AY191" s="79" t="s">
        <v>699</v>
      </c>
      <c r="AZ191" s="79"/>
      <c r="BA191" s="79"/>
      <c r="BB191" s="79" t="str">
        <f>TEXT(0.2,"#,##0.#######")</f>
        <v>0.2</v>
      </c>
      <c r="BC191" s="79"/>
      <c r="BD191" s="79"/>
      <c r="BE191" s="79"/>
      <c r="BF191" s="79" t="s">
        <v>477</v>
      </c>
      <c r="BG191" s="79"/>
      <c r="BH191" s="79"/>
      <c r="BI191" s="79" t="s">
        <v>309</v>
      </c>
      <c r="BJ191" s="79"/>
      <c r="BK191" s="79" t="str">
        <f>TEXT(TRUNC(AQ191*BB191,1),"#,##0.#######")</f>
        <v>900.</v>
      </c>
      <c r="BL191" s="79"/>
      <c r="BM191" s="79"/>
      <c r="BN191" s="79"/>
      <c r="BO191" s="79"/>
      <c r="BP191" s="79"/>
      <c r="BQ191" s="79"/>
      <c r="BR191" s="79"/>
      <c r="BS191" s="79"/>
      <c r="BT191" s="79"/>
      <c r="BU191" s="79"/>
      <c r="BV191" s="79"/>
      <c r="BW191" s="79"/>
      <c r="BX191" s="79"/>
      <c r="BY191" s="79"/>
      <c r="BZ191" s="79"/>
      <c r="CA191" s="79"/>
      <c r="CB191" s="79"/>
      <c r="CC191" s="79"/>
      <c r="CD191" s="79"/>
      <c r="CE191" s="79"/>
      <c r="CF191" s="79"/>
      <c r="CG191" s="79"/>
      <c r="CH191" s="79"/>
      <c r="CI191" s="79"/>
      <c r="CJ191" s="79"/>
      <c r="CK191" s="79"/>
      <c r="CL191" s="79"/>
      <c r="CM191" s="79"/>
      <c r="CN191" s="79"/>
      <c r="CO191" s="79"/>
      <c r="CP191" s="79"/>
      <c r="CQ191" s="79"/>
      <c r="CR191" s="79"/>
      <c r="CS191" s="79"/>
      <c r="CT191" s="79"/>
      <c r="CU191" s="79"/>
      <c r="CV191" s="79"/>
      <c r="CW191" s="79"/>
      <c r="CX191" s="85"/>
      <c r="CY191" s="85"/>
      <c r="CZ191" s="85"/>
      <c r="DA191" s="86"/>
      <c r="DB191" s="84"/>
    </row>
    <row r="192" spans="2:106" ht="11.25" customHeight="1">
      <c r="B192" s="78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AY192" s="79"/>
      <c r="AZ192" s="79"/>
      <c r="BA192" s="79"/>
      <c r="BB192" s="79"/>
      <c r="BC192" s="79"/>
      <c r="BD192" s="79"/>
      <c r="BE192" s="79"/>
      <c r="BF192" s="79"/>
      <c r="BG192" s="79"/>
      <c r="BH192" s="79"/>
      <c r="BI192" s="79"/>
      <c r="BJ192" s="79"/>
      <c r="BK192" s="79"/>
      <c r="BL192" s="79"/>
      <c r="BM192" s="79"/>
      <c r="BN192" s="79"/>
      <c r="BO192" s="79"/>
      <c r="BP192" s="79"/>
      <c r="BQ192" s="79"/>
      <c r="BR192" s="79"/>
      <c r="BS192" s="79"/>
      <c r="BT192" s="79"/>
      <c r="BU192" s="79"/>
      <c r="BV192" s="79"/>
      <c r="BW192" s="79"/>
      <c r="BX192" s="79"/>
      <c r="BY192" s="79"/>
      <c r="BZ192" s="79"/>
      <c r="CA192" s="79"/>
      <c r="CB192" s="79"/>
      <c r="CC192" s="79"/>
      <c r="CD192" s="79"/>
      <c r="CE192" s="79"/>
      <c r="CF192" s="79"/>
      <c r="CG192" s="79"/>
      <c r="CH192" s="79"/>
      <c r="CI192" s="79"/>
      <c r="CJ192" s="79"/>
      <c r="CK192" s="79"/>
      <c r="CL192" s="79"/>
      <c r="CM192" s="79"/>
      <c r="CN192" s="79"/>
      <c r="CO192" s="79"/>
      <c r="CP192" s="79"/>
      <c r="CQ192" s="79"/>
      <c r="CR192" s="79"/>
      <c r="CS192" s="79"/>
      <c r="CT192" s="79"/>
      <c r="CU192" s="79"/>
      <c r="CV192" s="79"/>
      <c r="CW192" s="79"/>
      <c r="CX192" s="85"/>
      <c r="CY192" s="85"/>
      <c r="CZ192" s="85"/>
      <c r="DA192" s="86"/>
      <c r="DB192" s="84"/>
    </row>
    <row r="193" spans="2:106" ht="11.25" customHeight="1">
      <c r="B193" s="78"/>
      <c r="C193" s="79"/>
      <c r="D193" s="79"/>
      <c r="E193" s="79"/>
      <c r="F193" s="79"/>
      <c r="G193" s="79" t="s">
        <v>533</v>
      </c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 t="s">
        <v>7</v>
      </c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 t="str">
        <f>TEXT(자재단가!R16,"#,##0.#######")</f>
        <v>1,887.</v>
      </c>
      <c r="AE193" s="79"/>
      <c r="AF193" s="79"/>
      <c r="AG193" s="79"/>
      <c r="AH193" s="79"/>
      <c r="AI193" s="79"/>
      <c r="AJ193" s="79"/>
      <c r="AK193" s="79"/>
      <c r="AL193" s="79" t="s">
        <v>699</v>
      </c>
      <c r="AM193" s="79"/>
      <c r="AN193" s="79"/>
      <c r="AO193" s="79" t="str">
        <f>TEXT(0.2,"#,##0.#######")</f>
        <v>0.2</v>
      </c>
      <c r="AP193" s="79"/>
      <c r="AQ193" s="79"/>
      <c r="AR193" s="79"/>
      <c r="AS193" s="79" t="s">
        <v>477</v>
      </c>
      <c r="AT193" s="79"/>
      <c r="AU193" s="79"/>
      <c r="AV193" s="79" t="s">
        <v>309</v>
      </c>
      <c r="AW193" s="79"/>
      <c r="AX193" s="79" t="str">
        <f>TEXT(TRUNC(AD193*AO193,1),"#,##0.#######")</f>
        <v>377.4</v>
      </c>
      <c r="AY193" s="79"/>
      <c r="AZ193" s="79"/>
      <c r="BA193" s="79"/>
      <c r="BB193" s="79"/>
      <c r="BC193" s="79"/>
      <c r="BD193" s="79"/>
      <c r="BE193" s="79"/>
      <c r="BF193" s="79"/>
      <c r="BG193" s="79"/>
      <c r="BH193" s="79"/>
      <c r="BI193" s="79"/>
      <c r="BJ193" s="79"/>
      <c r="BK193" s="79"/>
      <c r="BL193" s="79"/>
      <c r="BM193" s="79"/>
      <c r="BN193" s="79"/>
      <c r="BO193" s="79"/>
      <c r="BP193" s="79"/>
      <c r="BQ193" s="79"/>
      <c r="BR193" s="79"/>
      <c r="BS193" s="79"/>
      <c r="BT193" s="79"/>
      <c r="BU193" s="79"/>
      <c r="BV193" s="79"/>
      <c r="BW193" s="79"/>
      <c r="BX193" s="79"/>
      <c r="BY193" s="79"/>
      <c r="BZ193" s="79"/>
      <c r="CA193" s="79"/>
      <c r="CB193" s="79"/>
      <c r="CC193" s="79"/>
      <c r="CD193" s="79"/>
      <c r="CE193" s="79"/>
      <c r="CF193" s="79"/>
      <c r="CG193" s="79"/>
      <c r="CH193" s="79"/>
      <c r="CI193" s="79"/>
      <c r="CJ193" s="79"/>
      <c r="CK193" s="79"/>
      <c r="CL193" s="79"/>
      <c r="CM193" s="79"/>
      <c r="CN193" s="79"/>
      <c r="CO193" s="79"/>
      <c r="CP193" s="79"/>
      <c r="CQ193" s="79"/>
      <c r="CR193" s="79"/>
      <c r="CS193" s="79"/>
      <c r="CT193" s="79"/>
      <c r="CU193" s="79"/>
      <c r="CV193" s="79"/>
      <c r="CW193" s="79"/>
      <c r="CX193" s="85"/>
      <c r="CY193" s="85"/>
      <c r="CZ193" s="85"/>
      <c r="DA193" s="86"/>
      <c r="DB193" s="84"/>
    </row>
    <row r="194" spans="2:106" ht="11.25" customHeight="1">
      <c r="B194" s="78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/>
      <c r="AY194" s="79"/>
      <c r="AZ194" s="79"/>
      <c r="BA194" s="79"/>
      <c r="BB194" s="79"/>
      <c r="BC194" s="79"/>
      <c r="BD194" s="79"/>
      <c r="BE194" s="79"/>
      <c r="BF194" s="79"/>
      <c r="BG194" s="79"/>
      <c r="BH194" s="79"/>
      <c r="BI194" s="79"/>
      <c r="BJ194" s="79"/>
      <c r="BK194" s="79"/>
      <c r="BL194" s="79"/>
      <c r="BM194" s="79"/>
      <c r="BN194" s="79"/>
      <c r="BO194" s="79"/>
      <c r="BP194" s="79"/>
      <c r="BQ194" s="79"/>
      <c r="BR194" s="79"/>
      <c r="BS194" s="79"/>
      <c r="BT194" s="79"/>
      <c r="BU194" s="79"/>
      <c r="BV194" s="79"/>
      <c r="BW194" s="79"/>
      <c r="BX194" s="79"/>
      <c r="BY194" s="79"/>
      <c r="BZ194" s="79"/>
      <c r="CA194" s="79"/>
      <c r="CB194" s="79"/>
      <c r="CC194" s="79"/>
      <c r="CD194" s="79"/>
      <c r="CE194" s="79"/>
      <c r="CF194" s="79"/>
      <c r="CG194" s="79"/>
      <c r="CH194" s="79"/>
      <c r="CI194" s="79"/>
      <c r="CJ194" s="79"/>
      <c r="CK194" s="79"/>
      <c r="CL194" s="79"/>
      <c r="CM194" s="79"/>
      <c r="CN194" s="79"/>
      <c r="CO194" s="79"/>
      <c r="CP194" s="79"/>
      <c r="CQ194" s="79"/>
      <c r="CR194" s="79"/>
      <c r="CS194" s="79"/>
      <c r="CT194" s="79"/>
      <c r="CU194" s="79"/>
      <c r="CV194" s="79"/>
      <c r="CW194" s="79"/>
      <c r="CX194" s="85"/>
      <c r="CY194" s="85"/>
      <c r="CZ194" s="85"/>
      <c r="DA194" s="86"/>
      <c r="DB194" s="84"/>
    </row>
    <row r="195" spans="2:106" ht="11.25" customHeight="1">
      <c r="B195" s="78"/>
      <c r="C195" s="79"/>
      <c r="D195" s="79"/>
      <c r="E195" s="79"/>
      <c r="F195" s="79"/>
      <c r="G195" s="79" t="s">
        <v>195</v>
      </c>
      <c r="H195" s="79"/>
      <c r="I195" s="79"/>
      <c r="J195" s="79"/>
      <c r="K195" s="79"/>
      <c r="L195" s="79"/>
      <c r="M195" s="79"/>
      <c r="N195" s="79"/>
      <c r="O195" s="79"/>
      <c r="P195" s="79" t="s">
        <v>604</v>
      </c>
      <c r="Q195" s="79"/>
      <c r="R195" s="79" t="str">
        <f>TEXT(TRUNC(BV187+AY189+BK191+AX193,1),"#,##0.#######")</f>
        <v>24,638.9</v>
      </c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/>
      <c r="AS195" s="79"/>
      <c r="AT195" s="79"/>
      <c r="AU195" s="79"/>
      <c r="AV195" s="79"/>
      <c r="AW195" s="79"/>
      <c r="AX195" s="79"/>
      <c r="AY195" s="79"/>
      <c r="AZ195" s="79"/>
      <c r="BA195" s="79"/>
      <c r="BB195" s="79"/>
      <c r="BC195" s="79"/>
      <c r="BD195" s="79"/>
      <c r="BE195" s="79"/>
      <c r="BF195" s="79"/>
      <c r="BG195" s="79"/>
      <c r="BH195" s="79"/>
      <c r="BI195" s="79"/>
      <c r="BJ195" s="79"/>
      <c r="BK195" s="79"/>
      <c r="BL195" s="79"/>
      <c r="BM195" s="79"/>
      <c r="BN195" s="79"/>
      <c r="BO195" s="79"/>
      <c r="BP195" s="79"/>
      <c r="BQ195" s="79"/>
      <c r="BR195" s="79"/>
      <c r="BS195" s="79"/>
      <c r="BT195" s="79"/>
      <c r="BU195" s="79"/>
      <c r="BV195" s="79"/>
      <c r="BW195" s="79"/>
      <c r="BX195" s="79"/>
      <c r="BY195" s="79"/>
      <c r="BZ195" s="79"/>
      <c r="CA195" s="79"/>
      <c r="CB195" s="79"/>
      <c r="CC195" s="79"/>
      <c r="CD195" s="79"/>
      <c r="CE195" s="79"/>
      <c r="CF195" s="79"/>
      <c r="CG195" s="79"/>
      <c r="CH195" s="79"/>
      <c r="CI195" s="79"/>
      <c r="CJ195" s="79"/>
      <c r="CK195" s="79"/>
      <c r="CL195" s="79"/>
      <c r="CM195" s="79"/>
      <c r="CN195" s="79"/>
      <c r="CO195" s="79"/>
      <c r="CP195" s="79"/>
      <c r="CQ195" s="79"/>
      <c r="CR195" s="79"/>
      <c r="CS195" s="79"/>
      <c r="CT195" s="79"/>
      <c r="CU195" s="79"/>
      <c r="CV195" s="79"/>
      <c r="CW195" s="79"/>
      <c r="CX195" s="85"/>
      <c r="CY195" s="85"/>
      <c r="CZ195" s="85" t="str">
        <f>R195</f>
        <v>24,638.9</v>
      </c>
      <c r="DA195" s="86"/>
      <c r="DB195" s="84"/>
    </row>
    <row r="196" spans="2:106" ht="11.25" customHeight="1">
      <c r="B196" s="78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  <c r="AV196" s="79"/>
      <c r="AW196" s="79"/>
      <c r="AX196" s="79"/>
      <c r="AY196" s="79"/>
      <c r="AZ196" s="79"/>
      <c r="BA196" s="79"/>
      <c r="BB196" s="79"/>
      <c r="BC196" s="79"/>
      <c r="BD196" s="79"/>
      <c r="BE196" s="79"/>
      <c r="BF196" s="79"/>
      <c r="BG196" s="79"/>
      <c r="BH196" s="79"/>
      <c r="BI196" s="79"/>
      <c r="BJ196" s="79"/>
      <c r="BK196" s="79"/>
      <c r="BL196" s="79"/>
      <c r="BM196" s="79"/>
      <c r="BN196" s="79"/>
      <c r="BO196" s="79"/>
      <c r="BP196" s="79"/>
      <c r="BQ196" s="79"/>
      <c r="BR196" s="79"/>
      <c r="BS196" s="79"/>
      <c r="BT196" s="79"/>
      <c r="BU196" s="79"/>
      <c r="BV196" s="79"/>
      <c r="BW196" s="79"/>
      <c r="BX196" s="79"/>
      <c r="BY196" s="79"/>
      <c r="BZ196" s="79"/>
      <c r="CA196" s="79"/>
      <c r="CB196" s="79"/>
      <c r="CC196" s="79"/>
      <c r="CD196" s="79"/>
      <c r="CE196" s="79"/>
      <c r="CF196" s="79"/>
      <c r="CG196" s="79"/>
      <c r="CH196" s="79"/>
      <c r="CI196" s="79"/>
      <c r="CJ196" s="79"/>
      <c r="CK196" s="79"/>
      <c r="CL196" s="79"/>
      <c r="CM196" s="79"/>
      <c r="CN196" s="79"/>
      <c r="CO196" s="79"/>
      <c r="CP196" s="79"/>
      <c r="CQ196" s="79"/>
      <c r="CR196" s="79"/>
      <c r="CS196" s="79"/>
      <c r="CT196" s="79"/>
      <c r="CU196" s="79"/>
      <c r="CV196" s="79"/>
      <c r="CW196" s="79"/>
      <c r="CX196" s="85"/>
      <c r="CY196" s="85"/>
      <c r="CZ196" s="85"/>
      <c r="DA196" s="86"/>
      <c r="DB196" s="84"/>
    </row>
    <row r="197" spans="2:106" ht="11.25" customHeight="1">
      <c r="B197" s="78"/>
      <c r="C197" s="79"/>
      <c r="D197" s="79" t="s">
        <v>594</v>
      </c>
      <c r="E197" s="79"/>
      <c r="F197" s="79"/>
      <c r="G197" s="79" t="s">
        <v>406</v>
      </c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AV197" s="79"/>
      <c r="AW197" s="79"/>
      <c r="AX197" s="79"/>
      <c r="AY197" s="79"/>
      <c r="AZ197" s="79"/>
      <c r="BA197" s="79"/>
      <c r="BB197" s="79"/>
      <c r="BC197" s="79"/>
      <c r="BD197" s="79"/>
      <c r="BE197" s="79"/>
      <c r="BF197" s="79"/>
      <c r="BG197" s="79"/>
      <c r="BH197" s="79"/>
      <c r="BI197" s="79"/>
      <c r="BJ197" s="79"/>
      <c r="BK197" s="79"/>
      <c r="BL197" s="79"/>
      <c r="BM197" s="79"/>
      <c r="BN197" s="79"/>
      <c r="BO197" s="79"/>
      <c r="BP197" s="79"/>
      <c r="BQ197" s="79"/>
      <c r="BR197" s="79"/>
      <c r="BS197" s="79"/>
      <c r="BT197" s="79"/>
      <c r="BU197" s="79"/>
      <c r="BV197" s="79"/>
      <c r="BW197" s="79"/>
      <c r="BX197" s="79"/>
      <c r="BY197" s="79"/>
      <c r="BZ197" s="79"/>
      <c r="CA197" s="79"/>
      <c r="CB197" s="79"/>
      <c r="CC197" s="79"/>
      <c r="CD197" s="79"/>
      <c r="CE197" s="79"/>
      <c r="CF197" s="79"/>
      <c r="CG197" s="79"/>
      <c r="CH197" s="79"/>
      <c r="CI197" s="79"/>
      <c r="CJ197" s="79"/>
      <c r="CK197" s="79"/>
      <c r="CL197" s="79"/>
      <c r="CM197" s="79"/>
      <c r="CN197" s="79"/>
      <c r="CO197" s="79"/>
      <c r="CP197" s="79"/>
      <c r="CQ197" s="79"/>
      <c r="CR197" s="79"/>
      <c r="CS197" s="79"/>
      <c r="CT197" s="79"/>
      <c r="CU197" s="79"/>
      <c r="CV197" s="79"/>
      <c r="CW197" s="79"/>
      <c r="CX197" s="85"/>
      <c r="CY197" s="85"/>
      <c r="CZ197" s="85"/>
      <c r="DA197" s="86"/>
      <c r="DB197" s="84"/>
    </row>
    <row r="198" spans="2:106" ht="11.25" customHeight="1">
      <c r="B198" s="78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/>
      <c r="AY198" s="79"/>
      <c r="AZ198" s="79"/>
      <c r="BA198" s="79"/>
      <c r="BB198" s="79"/>
      <c r="BC198" s="79"/>
      <c r="BD198" s="79"/>
      <c r="BE198" s="79"/>
      <c r="BF198" s="79"/>
      <c r="BG198" s="79"/>
      <c r="BH198" s="79"/>
      <c r="BI198" s="79"/>
      <c r="BJ198" s="79"/>
      <c r="BK198" s="79"/>
      <c r="BL198" s="79"/>
      <c r="BM198" s="79"/>
      <c r="BN198" s="79"/>
      <c r="BO198" s="79"/>
      <c r="BP198" s="79"/>
      <c r="BQ198" s="79"/>
      <c r="BR198" s="79"/>
      <c r="BS198" s="79"/>
      <c r="BT198" s="79"/>
      <c r="BU198" s="79"/>
      <c r="BV198" s="79"/>
      <c r="BW198" s="79"/>
      <c r="BX198" s="79"/>
      <c r="BY198" s="79"/>
      <c r="BZ198" s="79"/>
      <c r="CA198" s="79"/>
      <c r="CB198" s="79"/>
      <c r="CC198" s="79"/>
      <c r="CD198" s="79"/>
      <c r="CE198" s="79"/>
      <c r="CF198" s="79"/>
      <c r="CG198" s="79"/>
      <c r="CH198" s="79"/>
      <c r="CI198" s="79"/>
      <c r="CJ198" s="79"/>
      <c r="CK198" s="79"/>
      <c r="CL198" s="79"/>
      <c r="CM198" s="79"/>
      <c r="CN198" s="79"/>
      <c r="CO198" s="79"/>
      <c r="CP198" s="79"/>
      <c r="CQ198" s="79"/>
      <c r="CR198" s="79"/>
      <c r="CS198" s="79"/>
      <c r="CT198" s="79"/>
      <c r="CU198" s="79"/>
      <c r="CV198" s="79"/>
      <c r="CW198" s="79"/>
      <c r="CX198" s="85"/>
      <c r="CY198" s="85"/>
      <c r="CZ198" s="85"/>
      <c r="DA198" s="86"/>
      <c r="DB198" s="84"/>
    </row>
    <row r="199" spans="2:106" ht="11.25" customHeight="1">
      <c r="B199" s="78"/>
      <c r="C199" s="79"/>
      <c r="D199" s="79"/>
      <c r="E199" s="79"/>
      <c r="F199" s="79"/>
      <c r="G199" s="79" t="s">
        <v>43</v>
      </c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 t="s">
        <v>604</v>
      </c>
      <c r="S199" s="79"/>
      <c r="T199" s="79" t="str">
        <f>TEXT(노임단가!F9,"#,##0")</f>
        <v>226,122</v>
      </c>
      <c r="U199" s="79"/>
      <c r="V199" s="79"/>
      <c r="W199" s="79"/>
      <c r="X199" s="79"/>
      <c r="Y199" s="79"/>
      <c r="Z199" s="79"/>
      <c r="AA199" s="79"/>
      <c r="AB199" s="79"/>
      <c r="AC199" s="79"/>
      <c r="AD199" s="79" t="s">
        <v>699</v>
      </c>
      <c r="AE199" s="79"/>
      <c r="AF199" s="79"/>
      <c r="AG199" s="79" t="str">
        <f>TEXT(2,"#,##0.#######")</f>
        <v>2.</v>
      </c>
      <c r="AH199" s="79" t="s">
        <v>767</v>
      </c>
      <c r="AI199" s="79"/>
      <c r="AJ199" s="79"/>
      <c r="AK199" s="79" t="s">
        <v>391</v>
      </c>
      <c r="AL199" s="79"/>
      <c r="AM199" s="79"/>
      <c r="AN199" s="79" t="s">
        <v>262</v>
      </c>
      <c r="AO199" s="79"/>
      <c r="AP199" s="79"/>
      <c r="AQ199" s="79" t="s">
        <v>309</v>
      </c>
      <c r="AR199" s="79"/>
      <c r="AS199" s="79" t="str">
        <f>TEXT(T199,"#,##0.#######")</f>
        <v>226,122.</v>
      </c>
      <c r="AT199" s="79"/>
      <c r="AU199" s="79"/>
      <c r="AV199" s="79"/>
      <c r="AW199" s="79"/>
      <c r="AX199" s="79"/>
      <c r="AY199" s="79"/>
      <c r="AZ199" s="79"/>
      <c r="BA199" s="79" t="s">
        <v>699</v>
      </c>
      <c r="BB199" s="79"/>
      <c r="BC199" s="79"/>
      <c r="BD199" s="79" t="str">
        <f>TEXT(AG199,"#,##0.#######")</f>
        <v>2.</v>
      </c>
      <c r="BE199" s="79"/>
      <c r="BF199" s="79" t="s">
        <v>391</v>
      </c>
      <c r="BG199" s="79"/>
      <c r="BH199" s="79"/>
      <c r="BI199" s="79" t="str">
        <f>TEXT(AD183,"#,##0.#######")</f>
        <v>250.</v>
      </c>
      <c r="BJ199" s="79"/>
      <c r="BK199" s="79"/>
      <c r="BL199" s="79"/>
      <c r="BM199" s="79" t="s">
        <v>309</v>
      </c>
      <c r="BN199" s="79"/>
      <c r="BO199" s="79" t="str">
        <f>TEXT(TRUNC(T199*AG199/AD183,1),"#,##0.#######")</f>
        <v>1,808.9</v>
      </c>
      <c r="BP199" s="79"/>
      <c r="BQ199" s="79"/>
      <c r="BR199" s="79"/>
      <c r="BS199" s="79"/>
      <c r="BT199" s="79"/>
      <c r="BU199" s="79"/>
      <c r="BV199" s="79"/>
      <c r="BW199" s="79"/>
      <c r="BX199" s="79"/>
      <c r="BY199" s="79"/>
      <c r="BZ199" s="79"/>
      <c r="CA199" s="79"/>
      <c r="CB199" s="79"/>
      <c r="CC199" s="79"/>
      <c r="CD199" s="79"/>
      <c r="CE199" s="79"/>
      <c r="CF199" s="79"/>
      <c r="CG199" s="79"/>
      <c r="CH199" s="79"/>
      <c r="CI199" s="79"/>
      <c r="CJ199" s="79"/>
      <c r="CK199" s="79"/>
      <c r="CL199" s="79"/>
      <c r="CM199" s="79"/>
      <c r="CN199" s="79"/>
      <c r="CO199" s="79"/>
      <c r="CP199" s="79"/>
      <c r="CQ199" s="79"/>
      <c r="CR199" s="79"/>
      <c r="CS199" s="79"/>
      <c r="CT199" s="79"/>
      <c r="CU199" s="79"/>
      <c r="CV199" s="79"/>
      <c r="CW199" s="79"/>
      <c r="CX199" s="85"/>
      <c r="CY199" s="85"/>
      <c r="CZ199" s="85"/>
      <c r="DA199" s="86"/>
      <c r="DB199" s="84"/>
    </row>
    <row r="200" spans="2:106" ht="11.25" customHeight="1">
      <c r="B200" s="78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  <c r="BM200" s="79"/>
      <c r="BN200" s="79"/>
      <c r="BO200" s="79"/>
      <c r="BP200" s="79"/>
      <c r="BQ200" s="79"/>
      <c r="BR200" s="79"/>
      <c r="BS200" s="79"/>
      <c r="BT200" s="79"/>
      <c r="BU200" s="79"/>
      <c r="BV200" s="79"/>
      <c r="BW200" s="79"/>
      <c r="BX200" s="79"/>
      <c r="BY200" s="79"/>
      <c r="BZ200" s="79"/>
      <c r="CA200" s="79"/>
      <c r="CB200" s="79"/>
      <c r="CC200" s="79"/>
      <c r="CD200" s="79"/>
      <c r="CE200" s="79"/>
      <c r="CF200" s="79"/>
      <c r="CG200" s="79"/>
      <c r="CH200" s="79"/>
      <c r="CI200" s="79"/>
      <c r="CJ200" s="79"/>
      <c r="CK200" s="79"/>
      <c r="CL200" s="79"/>
      <c r="CM200" s="79"/>
      <c r="CN200" s="79"/>
      <c r="CO200" s="79"/>
      <c r="CP200" s="79"/>
      <c r="CQ200" s="79"/>
      <c r="CR200" s="79"/>
      <c r="CS200" s="79"/>
      <c r="CT200" s="79"/>
      <c r="CU200" s="79"/>
      <c r="CV200" s="79"/>
      <c r="CW200" s="79"/>
      <c r="CX200" s="85"/>
      <c r="CY200" s="85"/>
      <c r="CZ200" s="85"/>
      <c r="DA200" s="86"/>
      <c r="DB200" s="84"/>
    </row>
    <row r="201" spans="2:106" ht="11.25" customHeight="1">
      <c r="B201" s="78"/>
      <c r="C201" s="79"/>
      <c r="D201" s="79"/>
      <c r="E201" s="79"/>
      <c r="F201" s="79"/>
      <c r="G201" s="79" t="s">
        <v>54</v>
      </c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 t="s">
        <v>604</v>
      </c>
      <c r="S201" s="79"/>
      <c r="T201" s="79"/>
      <c r="U201" s="79" t="str">
        <f>TEXT(노임단가!F5,"#,##0")</f>
        <v>172,068</v>
      </c>
      <c r="V201" s="79"/>
      <c r="W201" s="79"/>
      <c r="X201" s="79"/>
      <c r="Y201" s="79"/>
      <c r="Z201" s="79"/>
      <c r="AA201" s="79"/>
      <c r="AB201" s="79"/>
      <c r="AC201" s="79"/>
      <c r="AD201" s="79"/>
      <c r="AE201" s="79" t="s">
        <v>699</v>
      </c>
      <c r="AF201" s="79"/>
      <c r="AG201" s="79"/>
      <c r="AH201" s="79" t="str">
        <f>TEXT(2,"#,##0.#######")</f>
        <v>2.</v>
      </c>
      <c r="AI201" s="79" t="s">
        <v>767</v>
      </c>
      <c r="AJ201" s="79"/>
      <c r="AK201" s="79"/>
      <c r="AL201" s="79" t="s">
        <v>391</v>
      </c>
      <c r="AM201" s="79"/>
      <c r="AN201" s="79"/>
      <c r="AO201" s="79" t="s">
        <v>262</v>
      </c>
      <c r="AP201" s="79"/>
      <c r="AQ201" s="79"/>
      <c r="AR201" s="79" t="s">
        <v>309</v>
      </c>
      <c r="AS201" s="79"/>
      <c r="AT201" s="79"/>
      <c r="AU201" s="79" t="str">
        <f>TEXT(U201,"#,##0.#######")</f>
        <v>172,068.</v>
      </c>
      <c r="AV201" s="79"/>
      <c r="AW201" s="79"/>
      <c r="AX201" s="79"/>
      <c r="AY201" s="79"/>
      <c r="AZ201" s="79"/>
      <c r="BA201" s="79"/>
      <c r="BB201" s="79"/>
      <c r="BC201" s="79" t="s">
        <v>699</v>
      </c>
      <c r="BD201" s="79"/>
      <c r="BE201" s="79"/>
      <c r="BF201" s="79" t="str">
        <f>TEXT(AH201,"#,##0.#######")</f>
        <v>2.</v>
      </c>
      <c r="BG201" s="79"/>
      <c r="BH201" s="79" t="s">
        <v>391</v>
      </c>
      <c r="BI201" s="79"/>
      <c r="BJ201" s="79"/>
      <c r="BK201" s="79" t="str">
        <f>TEXT(AD183,"#,##0.#######")</f>
        <v>250.</v>
      </c>
      <c r="BL201" s="79"/>
      <c r="BM201" s="79"/>
      <c r="BN201" s="79"/>
      <c r="BO201" s="79" t="s">
        <v>309</v>
      </c>
      <c r="BP201" s="79"/>
      <c r="BQ201" s="79" t="str">
        <f>TEXT(TRUNC(U201*AH201/AD183,1),"#,##0.#######")</f>
        <v>1,376.5</v>
      </c>
      <c r="BR201" s="79"/>
      <c r="BS201" s="79"/>
      <c r="BT201" s="79"/>
      <c r="BU201" s="79"/>
      <c r="BV201" s="79"/>
      <c r="BW201" s="79"/>
      <c r="BX201" s="79"/>
      <c r="BY201" s="79"/>
      <c r="BZ201" s="79"/>
      <c r="CA201" s="79"/>
      <c r="CB201" s="79"/>
      <c r="CC201" s="79"/>
      <c r="CD201" s="79"/>
      <c r="CE201" s="79"/>
      <c r="CF201" s="79"/>
      <c r="CG201" s="79"/>
      <c r="CH201" s="79"/>
      <c r="CI201" s="79"/>
      <c r="CJ201" s="79"/>
      <c r="CK201" s="79"/>
      <c r="CL201" s="79"/>
      <c r="CM201" s="79"/>
      <c r="CN201" s="79"/>
      <c r="CO201" s="79"/>
      <c r="CP201" s="79"/>
      <c r="CQ201" s="79"/>
      <c r="CR201" s="79"/>
      <c r="CS201" s="79"/>
      <c r="CT201" s="79"/>
      <c r="CU201" s="79"/>
      <c r="CV201" s="79"/>
      <c r="CW201" s="79"/>
      <c r="CX201" s="85"/>
      <c r="CY201" s="85"/>
      <c r="CZ201" s="85"/>
      <c r="DA201" s="86"/>
      <c r="DB201" s="84"/>
    </row>
    <row r="202" spans="2:106" ht="11.25" customHeight="1">
      <c r="B202" s="78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79"/>
      <c r="AW202" s="79"/>
      <c r="AX202" s="79"/>
      <c r="AY202" s="79"/>
      <c r="AZ202" s="79"/>
      <c r="BA202" s="79"/>
      <c r="BB202" s="79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  <c r="BM202" s="79"/>
      <c r="BN202" s="79"/>
      <c r="BO202" s="79"/>
      <c r="BP202" s="79"/>
      <c r="BQ202" s="79"/>
      <c r="BR202" s="79"/>
      <c r="BS202" s="79"/>
      <c r="BT202" s="79"/>
      <c r="BU202" s="79"/>
      <c r="BV202" s="79"/>
      <c r="BW202" s="79"/>
      <c r="BX202" s="79"/>
      <c r="BY202" s="79"/>
      <c r="BZ202" s="79"/>
      <c r="CA202" s="79"/>
      <c r="CB202" s="79"/>
      <c r="CC202" s="79"/>
      <c r="CD202" s="79"/>
      <c r="CE202" s="79"/>
      <c r="CF202" s="79"/>
      <c r="CG202" s="79"/>
      <c r="CH202" s="79"/>
      <c r="CI202" s="79"/>
      <c r="CJ202" s="79"/>
      <c r="CK202" s="79"/>
      <c r="CL202" s="79"/>
      <c r="CM202" s="79"/>
      <c r="CN202" s="79"/>
      <c r="CO202" s="79"/>
      <c r="CP202" s="79"/>
      <c r="CQ202" s="79"/>
      <c r="CR202" s="79"/>
      <c r="CS202" s="79"/>
      <c r="CT202" s="79"/>
      <c r="CU202" s="79"/>
      <c r="CV202" s="79"/>
      <c r="CW202" s="79"/>
      <c r="CX202" s="85"/>
      <c r="CY202" s="85"/>
      <c r="CZ202" s="85"/>
      <c r="DA202" s="86"/>
      <c r="DB202" s="84"/>
    </row>
    <row r="203" spans="2:106" ht="11.25" customHeight="1">
      <c r="B203" s="78"/>
      <c r="C203" s="79"/>
      <c r="D203" s="79"/>
      <c r="E203" s="79"/>
      <c r="F203" s="79"/>
      <c r="G203" s="79" t="s">
        <v>565</v>
      </c>
      <c r="H203" s="79"/>
      <c r="I203" s="79"/>
      <c r="J203" s="79"/>
      <c r="K203" s="79"/>
      <c r="L203" s="79"/>
      <c r="M203" s="79"/>
      <c r="N203" s="79"/>
      <c r="O203" s="79"/>
      <c r="P203" s="79" t="s">
        <v>604</v>
      </c>
      <c r="Q203" s="79"/>
      <c r="R203" s="79" t="str">
        <f>TEXT(TRUNC(BO199+BQ201,1),"#,##0.#######")</f>
        <v>3,185.4</v>
      </c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79"/>
      <c r="AT203" s="79"/>
      <c r="AU203" s="79"/>
      <c r="AV203" s="79"/>
      <c r="AW203" s="79"/>
      <c r="AX203" s="79"/>
      <c r="AY203" s="79"/>
      <c r="AZ203" s="79"/>
      <c r="BA203" s="79"/>
      <c r="BB203" s="79"/>
      <c r="BC203" s="79"/>
      <c r="BD203" s="79"/>
      <c r="BE203" s="79"/>
      <c r="BF203" s="79"/>
      <c r="BG203" s="79"/>
      <c r="BH203" s="79"/>
      <c r="BI203" s="79"/>
      <c r="BJ203" s="79"/>
      <c r="BK203" s="79"/>
      <c r="BL203" s="79"/>
      <c r="BM203" s="79"/>
      <c r="BN203" s="79"/>
      <c r="BO203" s="79"/>
      <c r="BP203" s="79"/>
      <c r="BQ203" s="79"/>
      <c r="BR203" s="79"/>
      <c r="BS203" s="79"/>
      <c r="BT203" s="79"/>
      <c r="BU203" s="79"/>
      <c r="BV203" s="79"/>
      <c r="BW203" s="79"/>
      <c r="BX203" s="79"/>
      <c r="BY203" s="79"/>
      <c r="BZ203" s="79"/>
      <c r="CA203" s="79"/>
      <c r="CB203" s="79"/>
      <c r="CC203" s="79"/>
      <c r="CD203" s="79"/>
      <c r="CE203" s="79"/>
      <c r="CF203" s="79"/>
      <c r="CG203" s="79"/>
      <c r="CH203" s="79"/>
      <c r="CI203" s="79"/>
      <c r="CJ203" s="79"/>
      <c r="CK203" s="79"/>
      <c r="CL203" s="79"/>
      <c r="CM203" s="79"/>
      <c r="CN203" s="79"/>
      <c r="CO203" s="79"/>
      <c r="CP203" s="79"/>
      <c r="CQ203" s="79"/>
      <c r="CR203" s="79"/>
      <c r="CS203" s="79"/>
      <c r="CT203" s="79"/>
      <c r="CU203" s="79"/>
      <c r="CV203" s="79"/>
      <c r="CW203" s="79"/>
      <c r="CX203" s="85"/>
      <c r="CY203" s="85" t="str">
        <f>R203</f>
        <v>3,185.4</v>
      </c>
      <c r="CZ203" s="85"/>
      <c r="DA203" s="86"/>
      <c r="DB203" s="84"/>
    </row>
    <row r="204" spans="2:106" ht="11.25" customHeight="1">
      <c r="B204" s="78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/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79"/>
      <c r="BI204" s="79"/>
      <c r="BJ204" s="79"/>
      <c r="BK204" s="79"/>
      <c r="BL204" s="79"/>
      <c r="BM204" s="79"/>
      <c r="BN204" s="79"/>
      <c r="BO204" s="79"/>
      <c r="BP204" s="79"/>
      <c r="BQ204" s="79"/>
      <c r="BR204" s="79"/>
      <c r="BS204" s="79"/>
      <c r="BT204" s="79"/>
      <c r="BU204" s="79"/>
      <c r="BV204" s="79"/>
      <c r="BW204" s="79"/>
      <c r="BX204" s="79"/>
      <c r="BY204" s="79"/>
      <c r="BZ204" s="79"/>
      <c r="CA204" s="79"/>
      <c r="CB204" s="79"/>
      <c r="CC204" s="79"/>
      <c r="CD204" s="79"/>
      <c r="CE204" s="79"/>
      <c r="CF204" s="79"/>
      <c r="CG204" s="79"/>
      <c r="CH204" s="79"/>
      <c r="CI204" s="79"/>
      <c r="CJ204" s="79"/>
      <c r="CK204" s="79"/>
      <c r="CL204" s="79"/>
      <c r="CM204" s="79"/>
      <c r="CN204" s="79"/>
      <c r="CO204" s="79"/>
      <c r="CP204" s="79"/>
      <c r="CQ204" s="79"/>
      <c r="CR204" s="79"/>
      <c r="CS204" s="79"/>
      <c r="CT204" s="79"/>
      <c r="CU204" s="79"/>
      <c r="CV204" s="79"/>
      <c r="CW204" s="79"/>
      <c r="CX204" s="85"/>
      <c r="CY204" s="85"/>
      <c r="CZ204" s="85"/>
      <c r="DA204" s="86"/>
      <c r="DB204" s="84"/>
    </row>
    <row r="205" spans="2:106" ht="11.25" customHeight="1">
      <c r="B205" s="78"/>
      <c r="C205" s="79"/>
      <c r="D205" s="79" t="s">
        <v>832</v>
      </c>
      <c r="E205" s="79"/>
      <c r="F205" s="79"/>
      <c r="G205" s="79" t="s">
        <v>200</v>
      </c>
      <c r="H205" s="79"/>
      <c r="I205" s="79"/>
      <c r="J205" s="79"/>
      <c r="K205" s="79"/>
      <c r="L205" s="79"/>
      <c r="M205" s="79"/>
      <c r="N205" s="79"/>
      <c r="O205" s="79" t="s">
        <v>431</v>
      </c>
      <c r="P205" s="79" t="s">
        <v>130</v>
      </c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 t="s">
        <v>225</v>
      </c>
      <c r="AB205" s="79" t="s">
        <v>157</v>
      </c>
      <c r="AC205" s="79" t="s">
        <v>89</v>
      </c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AV205" s="79"/>
      <c r="AW205" s="79"/>
      <c r="AX205" s="79"/>
      <c r="AY205" s="79"/>
      <c r="AZ205" s="79"/>
      <c r="BA205" s="79"/>
      <c r="BB205" s="79"/>
      <c r="BC205" s="79"/>
      <c r="BD205" s="79"/>
      <c r="BE205" s="79"/>
      <c r="BF205" s="79"/>
      <c r="BG205" s="79"/>
      <c r="BH205" s="79"/>
      <c r="BI205" s="79"/>
      <c r="BJ205" s="79"/>
      <c r="BK205" s="79"/>
      <c r="BL205" s="79"/>
      <c r="BM205" s="79"/>
      <c r="BN205" s="79"/>
      <c r="BO205" s="79"/>
      <c r="BP205" s="79"/>
      <c r="BQ205" s="79"/>
      <c r="BR205" s="79"/>
      <c r="BS205" s="79"/>
      <c r="BT205" s="79"/>
      <c r="BU205" s="79"/>
      <c r="BV205" s="79"/>
      <c r="BW205" s="79"/>
      <c r="BX205" s="79"/>
      <c r="BY205" s="79"/>
      <c r="BZ205" s="79"/>
      <c r="CA205" s="79"/>
      <c r="CB205" s="79"/>
      <c r="CC205" s="79"/>
      <c r="CD205" s="79"/>
      <c r="CE205" s="79"/>
      <c r="CF205" s="79"/>
      <c r="CG205" s="79"/>
      <c r="CH205" s="79"/>
      <c r="CI205" s="79"/>
      <c r="CJ205" s="79"/>
      <c r="CK205" s="79"/>
      <c r="CL205" s="79"/>
      <c r="CM205" s="79"/>
      <c r="CN205" s="79"/>
      <c r="CO205" s="79"/>
      <c r="CP205" s="79"/>
      <c r="CQ205" s="79"/>
      <c r="CR205" s="79"/>
      <c r="CS205" s="79"/>
      <c r="CT205" s="79"/>
      <c r="CU205" s="79"/>
      <c r="CV205" s="79"/>
      <c r="CW205" s="79"/>
      <c r="CX205" s="85"/>
      <c r="CY205" s="85"/>
      <c r="CZ205" s="85"/>
      <c r="DA205" s="86"/>
      <c r="DB205" s="84"/>
    </row>
    <row r="206" spans="2:106" ht="11.25" customHeight="1">
      <c r="B206" s="78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79"/>
      <c r="AW206" s="79"/>
      <c r="AX206" s="79"/>
      <c r="AY206" s="79"/>
      <c r="AZ206" s="79"/>
      <c r="BA206" s="79"/>
      <c r="BB206" s="79"/>
      <c r="BC206" s="79"/>
      <c r="BD206" s="79"/>
      <c r="BE206" s="79"/>
      <c r="BF206" s="79"/>
      <c r="BG206" s="79"/>
      <c r="BH206" s="79"/>
      <c r="BI206" s="79"/>
      <c r="BJ206" s="79"/>
      <c r="BK206" s="79"/>
      <c r="BL206" s="79"/>
      <c r="BM206" s="79"/>
      <c r="BN206" s="79"/>
      <c r="BO206" s="79"/>
      <c r="BP206" s="79"/>
      <c r="BQ206" s="79"/>
      <c r="BR206" s="79"/>
      <c r="BS206" s="79"/>
      <c r="BT206" s="79"/>
      <c r="BU206" s="79"/>
      <c r="BV206" s="79"/>
      <c r="BW206" s="79"/>
      <c r="BX206" s="79"/>
      <c r="BY206" s="79"/>
      <c r="BZ206" s="79"/>
      <c r="CA206" s="79"/>
      <c r="CB206" s="79"/>
      <c r="CC206" s="79"/>
      <c r="CD206" s="79"/>
      <c r="CE206" s="79"/>
      <c r="CF206" s="79"/>
      <c r="CG206" s="79"/>
      <c r="CH206" s="79"/>
      <c r="CI206" s="79"/>
      <c r="CJ206" s="79"/>
      <c r="CK206" s="79"/>
      <c r="CL206" s="79"/>
      <c r="CM206" s="79"/>
      <c r="CN206" s="79"/>
      <c r="CO206" s="79"/>
      <c r="CP206" s="79"/>
      <c r="CQ206" s="79"/>
      <c r="CR206" s="79"/>
      <c r="CS206" s="79"/>
      <c r="CT206" s="79"/>
      <c r="CU206" s="79"/>
      <c r="CV206" s="79"/>
      <c r="CW206" s="79"/>
      <c r="CX206" s="85"/>
      <c r="CY206" s="85"/>
      <c r="CZ206" s="85"/>
      <c r="DA206" s="86"/>
      <c r="DB206" s="84"/>
    </row>
    <row r="207" spans="2:106" ht="11.25" customHeight="1">
      <c r="B207" s="78"/>
      <c r="C207" s="79"/>
      <c r="D207" s="79"/>
      <c r="E207" s="79"/>
      <c r="F207" s="79"/>
      <c r="G207" s="79" t="str">
        <f>R195</f>
        <v>24,638.9</v>
      </c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 t="s">
        <v>699</v>
      </c>
      <c r="S207" s="79"/>
      <c r="T207" s="79"/>
      <c r="U207" s="79" t="str">
        <f>TEXT(1,"#,##0.#######")</f>
        <v>1.</v>
      </c>
      <c r="V207" s="79" t="s">
        <v>157</v>
      </c>
      <c r="W207" s="79"/>
      <c r="X207" s="79" t="s">
        <v>309</v>
      </c>
      <c r="Y207" s="79"/>
      <c r="Z207" s="79" t="str">
        <f>TEXT(TRUNC(R195*(U207*(1/100)),1),"#,##0.#")</f>
        <v>246.3</v>
      </c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79"/>
      <c r="AT207" s="79"/>
      <c r="AU207" s="79"/>
      <c r="AV207" s="79"/>
      <c r="AW207" s="79"/>
      <c r="AX207" s="79"/>
      <c r="AY207" s="79"/>
      <c r="AZ207" s="79"/>
      <c r="BA207" s="79"/>
      <c r="BB207" s="79"/>
      <c r="BC207" s="79"/>
      <c r="BD207" s="79"/>
      <c r="BE207" s="79"/>
      <c r="BF207" s="79"/>
      <c r="BG207" s="79"/>
      <c r="BH207" s="79"/>
      <c r="BI207" s="79"/>
      <c r="BJ207" s="79"/>
      <c r="BK207" s="79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  <c r="CH207" s="79"/>
      <c r="CI207" s="79"/>
      <c r="CJ207" s="79"/>
      <c r="CK207" s="79"/>
      <c r="CL207" s="79"/>
      <c r="CM207" s="79"/>
      <c r="CN207" s="79"/>
      <c r="CO207" s="79"/>
      <c r="CP207" s="79"/>
      <c r="CQ207" s="79"/>
      <c r="CR207" s="79"/>
      <c r="CS207" s="79"/>
      <c r="CT207" s="79"/>
      <c r="CU207" s="79"/>
      <c r="CV207" s="79"/>
      <c r="CW207" s="79"/>
      <c r="CX207" s="85">
        <f>CY207+CZ207+DA207</f>
        <v>246.3</v>
      </c>
      <c r="CY207" s="85"/>
      <c r="CZ207" s="85" t="str">
        <f>Z207</f>
        <v>246.3</v>
      </c>
      <c r="DA207" s="86"/>
      <c r="DB207" s="84"/>
    </row>
    <row r="208" spans="2:106" ht="11.25" customHeight="1">
      <c r="B208" s="78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/>
      <c r="AY208" s="79"/>
      <c r="AZ208" s="79"/>
      <c r="BA208" s="79"/>
      <c r="BB208" s="79"/>
      <c r="BC208" s="79"/>
      <c r="BD208" s="79"/>
      <c r="BE208" s="79"/>
      <c r="BF208" s="79"/>
      <c r="BG208" s="79"/>
      <c r="BH208" s="79"/>
      <c r="BI208" s="79"/>
      <c r="BJ208" s="79"/>
      <c r="BK208" s="79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  <c r="CH208" s="79"/>
      <c r="CI208" s="79"/>
      <c r="CJ208" s="79"/>
      <c r="CK208" s="79"/>
      <c r="CL208" s="79"/>
      <c r="CM208" s="79"/>
      <c r="CN208" s="79"/>
      <c r="CO208" s="79"/>
      <c r="CP208" s="79"/>
      <c r="CQ208" s="79"/>
      <c r="CR208" s="79"/>
      <c r="CS208" s="79"/>
      <c r="CT208" s="79"/>
      <c r="CU208" s="79"/>
      <c r="CV208" s="79"/>
      <c r="CW208" s="79"/>
      <c r="CX208" s="85"/>
      <c r="CY208" s="85"/>
      <c r="CZ208" s="85"/>
      <c r="DA208" s="86"/>
      <c r="DB208" s="84"/>
    </row>
    <row r="209" spans="2:106" ht="11.25" customHeight="1">
      <c r="B209" s="78"/>
      <c r="C209" s="79"/>
      <c r="D209" s="79" t="s">
        <v>165</v>
      </c>
      <c r="E209" s="79"/>
      <c r="F209" s="79"/>
      <c r="G209" s="79" t="s">
        <v>446</v>
      </c>
      <c r="H209" s="79"/>
      <c r="I209" s="79"/>
      <c r="J209" s="79"/>
      <c r="K209" s="79"/>
      <c r="L209" s="79"/>
      <c r="M209" s="79"/>
      <c r="N209" s="79"/>
      <c r="O209" s="79"/>
      <c r="P209" s="79" t="s">
        <v>327</v>
      </c>
      <c r="Q209" s="79"/>
      <c r="R209" s="79"/>
      <c r="S209" s="79" t="s">
        <v>75</v>
      </c>
      <c r="T209" s="79"/>
      <c r="U209" s="79"/>
      <c r="V209" s="79"/>
      <c r="W209" s="79"/>
      <c r="X209" s="79"/>
      <c r="Y209" s="79" t="s">
        <v>431</v>
      </c>
      <c r="Z209" s="79" t="s">
        <v>117</v>
      </c>
      <c r="AA209" s="79"/>
      <c r="AB209" s="79"/>
      <c r="AC209" s="79"/>
      <c r="AD209" s="79"/>
      <c r="AE209" s="79"/>
      <c r="AF209" s="79"/>
      <c r="AG209" s="79"/>
      <c r="AH209" s="79" t="s">
        <v>716</v>
      </c>
      <c r="AI209" s="79"/>
      <c r="AJ209" s="79"/>
      <c r="AK209" s="79"/>
      <c r="AL209" s="79"/>
      <c r="AM209" s="79"/>
      <c r="AN209" s="79"/>
      <c r="AO209" s="79" t="s">
        <v>89</v>
      </c>
      <c r="AP209" s="79" t="s">
        <v>245</v>
      </c>
      <c r="AQ209" s="79"/>
      <c r="AR209" s="79"/>
      <c r="AS209" s="79" t="s">
        <v>106</v>
      </c>
      <c r="AT209" s="79"/>
      <c r="AU209" s="79"/>
      <c r="AV209" s="79"/>
      <c r="AW209" s="79"/>
      <c r="AX209" s="79"/>
      <c r="AY209" s="79"/>
      <c r="AZ209" s="79"/>
      <c r="BA209" s="79" t="s">
        <v>23</v>
      </c>
      <c r="BB209" s="79" t="s">
        <v>431</v>
      </c>
      <c r="BC209" s="79" t="s">
        <v>460</v>
      </c>
      <c r="BD209" s="79"/>
      <c r="BE209" s="79"/>
      <c r="BF209" s="79"/>
      <c r="BG209" s="79"/>
      <c r="BH209" s="79"/>
      <c r="BI209" s="79"/>
      <c r="BJ209" s="79"/>
      <c r="BK209" s="79"/>
      <c r="BL209" s="79" t="s">
        <v>90</v>
      </c>
      <c r="BM209" s="79"/>
      <c r="BN209" s="79" t="s">
        <v>157</v>
      </c>
      <c r="BO209" s="79" t="s">
        <v>89</v>
      </c>
      <c r="BP209" s="79"/>
      <c r="BQ209" s="79"/>
      <c r="BR209" s="79"/>
      <c r="BS209" s="79"/>
      <c r="BT209" s="79"/>
      <c r="BU209" s="79"/>
      <c r="BV209" s="79"/>
      <c r="BW209" s="79"/>
      <c r="BX209" s="79"/>
      <c r="BY209" s="79"/>
      <c r="BZ209" s="79"/>
      <c r="CA209" s="79"/>
      <c r="CB209" s="79"/>
      <c r="CC209" s="79"/>
      <c r="CD209" s="79"/>
      <c r="CE209" s="79"/>
      <c r="CF209" s="79"/>
      <c r="CG209" s="79"/>
      <c r="CH209" s="79"/>
      <c r="CI209" s="79"/>
      <c r="CJ209" s="79"/>
      <c r="CK209" s="79"/>
      <c r="CL209" s="79"/>
      <c r="CM209" s="79"/>
      <c r="CN209" s="79"/>
      <c r="CO209" s="79"/>
      <c r="CP209" s="79"/>
      <c r="CQ209" s="79"/>
      <c r="CR209" s="79"/>
      <c r="CS209" s="79"/>
      <c r="CT209" s="79"/>
      <c r="CU209" s="79"/>
      <c r="CV209" s="79"/>
      <c r="CW209" s="79"/>
      <c r="CX209" s="85"/>
      <c r="CY209" s="85"/>
      <c r="CZ209" s="85"/>
      <c r="DA209" s="86"/>
      <c r="DB209" s="84"/>
    </row>
    <row r="210" spans="2:106" ht="11.25" customHeight="1">
      <c r="B210" s="78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79"/>
      <c r="BM210" s="79"/>
      <c r="BN210" s="79"/>
      <c r="BO210" s="79"/>
      <c r="BP210" s="79"/>
      <c r="BQ210" s="79"/>
      <c r="BR210" s="79"/>
      <c r="BS210" s="79"/>
      <c r="BT210" s="79"/>
      <c r="BU210" s="79"/>
      <c r="BV210" s="79"/>
      <c r="BW210" s="79"/>
      <c r="BX210" s="79"/>
      <c r="BY210" s="79"/>
      <c r="BZ210" s="79"/>
      <c r="CA210" s="79"/>
      <c r="CB210" s="79"/>
      <c r="CC210" s="79"/>
      <c r="CD210" s="79"/>
      <c r="CE210" s="79"/>
      <c r="CF210" s="79"/>
      <c r="CG210" s="79"/>
      <c r="CH210" s="79"/>
      <c r="CI210" s="79"/>
      <c r="CJ210" s="79"/>
      <c r="CK210" s="79"/>
      <c r="CL210" s="79"/>
      <c r="CM210" s="79"/>
      <c r="CN210" s="79"/>
      <c r="CO210" s="79"/>
      <c r="CP210" s="79"/>
      <c r="CQ210" s="79"/>
      <c r="CR210" s="79"/>
      <c r="CS210" s="79"/>
      <c r="CT210" s="79"/>
      <c r="CU210" s="79"/>
      <c r="CV210" s="79"/>
      <c r="CW210" s="79"/>
      <c r="CX210" s="85"/>
      <c r="CY210" s="85"/>
      <c r="CZ210" s="85"/>
      <c r="DA210" s="86"/>
      <c r="DB210" s="84"/>
    </row>
    <row r="211" spans="2:106" ht="11.25" customHeight="1">
      <c r="B211" s="78"/>
      <c r="C211" s="79"/>
      <c r="D211" s="79"/>
      <c r="E211" s="79"/>
      <c r="F211" s="79"/>
      <c r="G211" s="79" t="str">
        <f>R203</f>
        <v>3,185.4</v>
      </c>
      <c r="H211" s="79"/>
      <c r="I211" s="79"/>
      <c r="J211" s="79"/>
      <c r="K211" s="79"/>
      <c r="L211" s="79"/>
      <c r="M211" s="79"/>
      <c r="N211" s="79"/>
      <c r="O211" s="79"/>
      <c r="P211" s="79"/>
      <c r="Q211" s="79" t="s">
        <v>699</v>
      </c>
      <c r="R211" s="79"/>
      <c r="S211" s="79"/>
      <c r="T211" s="79" t="str">
        <f>TEXT(10,"#,##0.#######")</f>
        <v>10.</v>
      </c>
      <c r="U211" s="79"/>
      <c r="V211" s="79" t="s">
        <v>157</v>
      </c>
      <c r="W211" s="79"/>
      <c r="X211" s="79" t="s">
        <v>309</v>
      </c>
      <c r="Y211" s="79"/>
      <c r="Z211" s="79" t="str">
        <f>TEXT(TRUNC(R203*(T211*(1/100)),1),"#,##0.#")</f>
        <v>318.5</v>
      </c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  <c r="AV211" s="79"/>
      <c r="AW211" s="79"/>
      <c r="AX211" s="79"/>
      <c r="AY211" s="79"/>
      <c r="AZ211" s="79"/>
      <c r="BA211" s="79"/>
      <c r="BB211" s="79"/>
      <c r="BC211" s="79"/>
      <c r="BD211" s="79"/>
      <c r="BE211" s="79"/>
      <c r="BF211" s="79"/>
      <c r="BG211" s="79"/>
      <c r="BH211" s="79"/>
      <c r="BI211" s="79"/>
      <c r="BJ211" s="79"/>
      <c r="BK211" s="79"/>
      <c r="BL211" s="79"/>
      <c r="BM211" s="79"/>
      <c r="BN211" s="79"/>
      <c r="BO211" s="79"/>
      <c r="BP211" s="79"/>
      <c r="BQ211" s="79"/>
      <c r="BR211" s="79"/>
      <c r="BS211" s="79"/>
      <c r="BT211" s="79"/>
      <c r="BU211" s="79"/>
      <c r="BV211" s="79"/>
      <c r="BW211" s="79"/>
      <c r="BX211" s="79"/>
      <c r="BY211" s="79"/>
      <c r="BZ211" s="79"/>
      <c r="CA211" s="79"/>
      <c r="CB211" s="79"/>
      <c r="CC211" s="79"/>
      <c r="CD211" s="79"/>
      <c r="CE211" s="79"/>
      <c r="CF211" s="79"/>
      <c r="CG211" s="79"/>
      <c r="CH211" s="79"/>
      <c r="CI211" s="79"/>
      <c r="CJ211" s="79"/>
      <c r="CK211" s="79"/>
      <c r="CL211" s="79"/>
      <c r="CM211" s="79"/>
      <c r="CN211" s="79"/>
      <c r="CO211" s="79"/>
      <c r="CP211" s="79"/>
      <c r="CQ211" s="79"/>
      <c r="CR211" s="79"/>
      <c r="CS211" s="79"/>
      <c r="CT211" s="79"/>
      <c r="CU211" s="79"/>
      <c r="CV211" s="79"/>
      <c r="CW211" s="79"/>
      <c r="CX211" s="85">
        <f>CY211+CZ211+DA211</f>
        <v>318.5</v>
      </c>
      <c r="CY211" s="85"/>
      <c r="CZ211" s="85"/>
      <c r="DA211" s="86" t="str">
        <f>Z211</f>
        <v>318.5</v>
      </c>
      <c r="DB211" s="84"/>
    </row>
    <row r="212" spans="2:106" ht="11.25" customHeight="1">
      <c r="B212" s="78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/>
      <c r="BP212" s="79"/>
      <c r="BQ212" s="79"/>
      <c r="BR212" s="79"/>
      <c r="BS212" s="79"/>
      <c r="BT212" s="79"/>
      <c r="BU212" s="79"/>
      <c r="BV212" s="79"/>
      <c r="BW212" s="79"/>
      <c r="BX212" s="79"/>
      <c r="BY212" s="79"/>
      <c r="BZ212" s="79"/>
      <c r="CA212" s="79"/>
      <c r="CB212" s="79"/>
      <c r="CC212" s="79"/>
      <c r="CD212" s="79"/>
      <c r="CE212" s="79"/>
      <c r="CF212" s="79"/>
      <c r="CG212" s="79"/>
      <c r="CH212" s="79"/>
      <c r="CI212" s="79"/>
      <c r="CJ212" s="79"/>
      <c r="CK212" s="79"/>
      <c r="CL212" s="79"/>
      <c r="CM212" s="79"/>
      <c r="CN212" s="79"/>
      <c r="CO212" s="79"/>
      <c r="CP212" s="79"/>
      <c r="CQ212" s="79"/>
      <c r="CR212" s="79"/>
      <c r="CS212" s="79"/>
      <c r="CT212" s="79"/>
      <c r="CU212" s="79"/>
      <c r="CV212" s="79"/>
      <c r="CW212" s="79"/>
      <c r="CX212" s="85"/>
      <c r="CY212" s="85"/>
      <c r="CZ212" s="85"/>
      <c r="DA212" s="86"/>
      <c r="DB212" s="84"/>
    </row>
    <row r="213" spans="2:106" ht="11.25" customHeight="1">
      <c r="B213" s="78"/>
      <c r="C213" s="79"/>
      <c r="D213" s="79" t="s">
        <v>389</v>
      </c>
      <c r="E213" s="79"/>
      <c r="F213" s="79"/>
      <c r="G213" s="79" t="s">
        <v>106</v>
      </c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  <c r="AQ213" s="79"/>
      <c r="AR213" s="79"/>
      <c r="AS213" s="79"/>
      <c r="AT213" s="79"/>
      <c r="AU213" s="79"/>
      <c r="AV213" s="79"/>
      <c r="AW213" s="79"/>
      <c r="AX213" s="79"/>
      <c r="AY213" s="79"/>
      <c r="AZ213" s="79"/>
      <c r="BA213" s="79"/>
      <c r="BB213" s="79"/>
      <c r="BC213" s="79"/>
      <c r="BD213" s="79"/>
      <c r="BE213" s="79"/>
      <c r="BF213" s="79"/>
      <c r="BG213" s="79"/>
      <c r="BH213" s="79"/>
      <c r="BI213" s="79"/>
      <c r="BJ213" s="79"/>
      <c r="BK213" s="79"/>
      <c r="BL213" s="79"/>
      <c r="BM213" s="79"/>
      <c r="BN213" s="79"/>
      <c r="BO213" s="79"/>
      <c r="BP213" s="79"/>
      <c r="BQ213" s="79"/>
      <c r="BR213" s="79"/>
      <c r="BS213" s="79"/>
      <c r="BT213" s="79"/>
      <c r="BU213" s="79"/>
      <c r="BV213" s="79"/>
      <c r="BW213" s="79"/>
      <c r="BX213" s="79"/>
      <c r="BY213" s="79"/>
      <c r="BZ213" s="79"/>
      <c r="CA213" s="79"/>
      <c r="CB213" s="79"/>
      <c r="CC213" s="79"/>
      <c r="CD213" s="79"/>
      <c r="CE213" s="79"/>
      <c r="CF213" s="79"/>
      <c r="CG213" s="79"/>
      <c r="CH213" s="79"/>
      <c r="CI213" s="79"/>
      <c r="CJ213" s="79"/>
      <c r="CK213" s="79"/>
      <c r="CL213" s="79"/>
      <c r="CM213" s="79"/>
      <c r="CN213" s="79"/>
      <c r="CO213" s="79"/>
      <c r="CP213" s="79"/>
      <c r="CQ213" s="79"/>
      <c r="CR213" s="79"/>
      <c r="CS213" s="79"/>
      <c r="CT213" s="79"/>
      <c r="CU213" s="79"/>
      <c r="CV213" s="79"/>
      <c r="CW213" s="79"/>
      <c r="CX213" s="85"/>
      <c r="CY213" s="85"/>
      <c r="CZ213" s="85"/>
      <c r="DA213" s="86"/>
      <c r="DB213" s="84"/>
    </row>
    <row r="214" spans="2:106" ht="11.25" customHeight="1">
      <c r="B214" s="78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  <c r="AV214" s="79"/>
      <c r="AW214" s="79"/>
      <c r="AX214" s="79"/>
      <c r="AY214" s="79"/>
      <c r="AZ214" s="79"/>
      <c r="BA214" s="79"/>
      <c r="BB214" s="79"/>
      <c r="BC214" s="79"/>
      <c r="BD214" s="79"/>
      <c r="BE214" s="79"/>
      <c r="BF214" s="79"/>
      <c r="BG214" s="79"/>
      <c r="BH214" s="79"/>
      <c r="BI214" s="79"/>
      <c r="BJ214" s="79"/>
      <c r="BK214" s="79"/>
      <c r="BL214" s="79"/>
      <c r="BM214" s="79"/>
      <c r="BN214" s="79"/>
      <c r="BO214" s="79"/>
      <c r="BP214" s="79"/>
      <c r="BQ214" s="79"/>
      <c r="BR214" s="79"/>
      <c r="BS214" s="79"/>
      <c r="BT214" s="79"/>
      <c r="BU214" s="79"/>
      <c r="BV214" s="79"/>
      <c r="BW214" s="79"/>
      <c r="BX214" s="79"/>
      <c r="BY214" s="79"/>
      <c r="BZ214" s="79"/>
      <c r="CA214" s="79"/>
      <c r="CB214" s="79"/>
      <c r="CC214" s="79"/>
      <c r="CD214" s="79"/>
      <c r="CE214" s="79"/>
      <c r="CF214" s="79"/>
      <c r="CG214" s="79"/>
      <c r="CH214" s="79"/>
      <c r="CI214" s="79"/>
      <c r="CJ214" s="79"/>
      <c r="CK214" s="79"/>
      <c r="CL214" s="79"/>
      <c r="CM214" s="79"/>
      <c r="CN214" s="79"/>
      <c r="CO214" s="79"/>
      <c r="CP214" s="79"/>
      <c r="CQ214" s="79"/>
      <c r="CR214" s="79"/>
      <c r="CS214" s="79"/>
      <c r="CT214" s="79"/>
      <c r="CU214" s="79"/>
      <c r="CV214" s="79"/>
      <c r="CW214" s="79"/>
      <c r="CX214" s="85"/>
      <c r="CY214" s="85"/>
      <c r="CZ214" s="85"/>
      <c r="DA214" s="86"/>
      <c r="DB214" s="84"/>
    </row>
    <row r="215" spans="2:106" ht="11.25" customHeight="1">
      <c r="B215" s="78"/>
      <c r="C215" s="79"/>
      <c r="D215" s="79"/>
      <c r="E215" s="79" t="s">
        <v>614</v>
      </c>
      <c r="F215" s="79"/>
      <c r="G215" s="79" t="s">
        <v>587</v>
      </c>
      <c r="H215" s="79"/>
      <c r="I215" s="79" t="s">
        <v>353</v>
      </c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 t="s">
        <v>116</v>
      </c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 t="s">
        <v>604</v>
      </c>
      <c r="AF215" s="79"/>
      <c r="AG215" s="79" t="s">
        <v>42</v>
      </c>
      <c r="AH215" s="79"/>
      <c r="AI215" s="79"/>
      <c r="AJ215" s="79"/>
      <c r="AK215" s="79"/>
      <c r="AL215" s="79"/>
      <c r="AM215" s="79"/>
      <c r="AN215" s="79" t="s">
        <v>100</v>
      </c>
      <c r="AO215" s="79"/>
      <c r="AP215" s="79"/>
      <c r="AQ215" s="79"/>
      <c r="AR215" s="79"/>
      <c r="AS215" s="79"/>
      <c r="AT215" s="79"/>
      <c r="AU215" s="79"/>
      <c r="AV215" s="79"/>
      <c r="AW215" s="79"/>
      <c r="AX215" s="79"/>
      <c r="AY215" s="79"/>
      <c r="AZ215" s="79"/>
      <c r="BA215" s="79"/>
      <c r="BB215" s="79"/>
      <c r="BC215" s="79"/>
      <c r="BD215" s="79"/>
      <c r="BE215" s="79"/>
      <c r="BF215" s="79"/>
      <c r="BG215" s="79"/>
      <c r="BH215" s="79"/>
      <c r="BI215" s="79"/>
      <c r="BJ215" s="79"/>
      <c r="BK215" s="79"/>
      <c r="BL215" s="79"/>
      <c r="BM215" s="79"/>
      <c r="BN215" s="79"/>
      <c r="BO215" s="79"/>
      <c r="BP215" s="79"/>
      <c r="BQ215" s="79"/>
      <c r="BR215" s="79"/>
      <c r="BS215" s="79"/>
      <c r="BT215" s="79"/>
      <c r="BU215" s="79"/>
      <c r="BV215" s="79"/>
      <c r="BW215" s="79"/>
      <c r="BX215" s="79"/>
      <c r="BY215" s="79"/>
      <c r="BZ215" s="79"/>
      <c r="CA215" s="79"/>
      <c r="CB215" s="79"/>
      <c r="CC215" s="79"/>
      <c r="CD215" s="79"/>
      <c r="CE215" s="79"/>
      <c r="CF215" s="79"/>
      <c r="CG215" s="79"/>
      <c r="CH215" s="79"/>
      <c r="CI215" s="79"/>
      <c r="CJ215" s="79"/>
      <c r="CK215" s="79"/>
      <c r="CL215" s="79"/>
      <c r="CM215" s="79"/>
      <c r="CN215" s="79"/>
      <c r="CO215" s="79"/>
      <c r="CP215" s="79"/>
      <c r="CQ215" s="79"/>
      <c r="CR215" s="79"/>
      <c r="CS215" s="79"/>
      <c r="CT215" s="79"/>
      <c r="CU215" s="79"/>
      <c r="CV215" s="79"/>
      <c r="CW215" s="79"/>
      <c r="CX215" s="85"/>
      <c r="CY215" s="85"/>
      <c r="CZ215" s="85"/>
      <c r="DA215" s="86"/>
      <c r="DB215" s="84"/>
    </row>
    <row r="216" spans="2:106" ht="11.25" customHeight="1">
      <c r="B216" s="78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9"/>
      <c r="BD216" s="79"/>
      <c r="BE216" s="79"/>
      <c r="BF216" s="79"/>
      <c r="BG216" s="79"/>
      <c r="BH216" s="79"/>
      <c r="BI216" s="79"/>
      <c r="BJ216" s="79"/>
      <c r="BK216" s="79"/>
      <c r="BL216" s="79"/>
      <c r="BM216" s="79"/>
      <c r="BN216" s="79"/>
      <c r="BO216" s="79"/>
      <c r="BP216" s="79"/>
      <c r="BQ216" s="79"/>
      <c r="BR216" s="79"/>
      <c r="BS216" s="79"/>
      <c r="BT216" s="79"/>
      <c r="BU216" s="79"/>
      <c r="BV216" s="79"/>
      <c r="BW216" s="79"/>
      <c r="BX216" s="79"/>
      <c r="BY216" s="79"/>
      <c r="BZ216" s="79"/>
      <c r="CA216" s="79"/>
      <c r="CB216" s="79"/>
      <c r="CC216" s="79"/>
      <c r="CD216" s="79"/>
      <c r="CE216" s="79"/>
      <c r="CF216" s="79"/>
      <c r="CG216" s="79"/>
      <c r="CH216" s="79"/>
      <c r="CI216" s="79"/>
      <c r="CJ216" s="79"/>
      <c r="CK216" s="79"/>
      <c r="CL216" s="79"/>
      <c r="CM216" s="79"/>
      <c r="CN216" s="79"/>
      <c r="CO216" s="79"/>
      <c r="CP216" s="79"/>
      <c r="CQ216" s="79"/>
      <c r="CR216" s="79"/>
      <c r="CS216" s="79"/>
      <c r="CT216" s="79"/>
      <c r="CU216" s="79"/>
      <c r="CV216" s="79"/>
      <c r="CW216" s="79"/>
      <c r="CX216" s="85"/>
      <c r="CY216" s="85"/>
      <c r="CZ216" s="85"/>
      <c r="DA216" s="86"/>
      <c r="DB216" s="84"/>
    </row>
    <row r="217" spans="2:106" ht="11.25" customHeight="1">
      <c r="B217" s="78"/>
      <c r="C217" s="79"/>
      <c r="D217" s="79"/>
      <c r="E217" s="79"/>
      <c r="F217" s="79"/>
      <c r="G217" s="79" t="s">
        <v>49</v>
      </c>
      <c r="H217" s="79"/>
      <c r="I217" s="79" t="s">
        <v>309</v>
      </c>
      <c r="J217" s="79"/>
      <c r="K217" s="79" t="s">
        <v>262</v>
      </c>
      <c r="L217" s="79"/>
      <c r="M217" s="79"/>
      <c r="N217" s="79" t="s">
        <v>391</v>
      </c>
      <c r="O217" s="79"/>
      <c r="P217" s="79"/>
      <c r="Q217" s="79" t="str">
        <f>TEXT(8,"#,##0.#######")</f>
        <v>8.</v>
      </c>
      <c r="R217" s="79" t="s">
        <v>598</v>
      </c>
      <c r="S217" s="79"/>
      <c r="T217" s="79"/>
      <c r="U217" s="79" t="s">
        <v>309</v>
      </c>
      <c r="V217" s="79"/>
      <c r="W217" s="79" t="str">
        <f>TEXT(AD183,"#,##0.#######")</f>
        <v>250.</v>
      </c>
      <c r="X217" s="79"/>
      <c r="Y217" s="79"/>
      <c r="Z217" s="79"/>
      <c r="AA217" s="79" t="s">
        <v>391</v>
      </c>
      <c r="AB217" s="79"/>
      <c r="AC217" s="79"/>
      <c r="AD217" s="79" t="str">
        <f>TEXT(Q217,"#,##0.#######")</f>
        <v>8.</v>
      </c>
      <c r="AE217" s="79"/>
      <c r="AF217" s="79" t="s">
        <v>309</v>
      </c>
      <c r="AG217" s="79"/>
      <c r="AH217" s="79" t="str">
        <f>TEXT(ROUND(AD183/Q217,2),"#,##0.#######")</f>
        <v>31.25</v>
      </c>
      <c r="AI217" s="79"/>
      <c r="AJ217" s="79"/>
      <c r="AK217" s="79"/>
      <c r="AL217" s="79"/>
      <c r="AM217" s="79"/>
      <c r="AN217" s="79"/>
      <c r="AO217" s="79" t="s">
        <v>596</v>
      </c>
      <c r="AP217" s="79"/>
      <c r="AQ217" s="79" t="s">
        <v>123</v>
      </c>
      <c r="AR217" s="79" t="s">
        <v>598</v>
      </c>
      <c r="AS217" s="79"/>
      <c r="AT217" s="79"/>
      <c r="AU217" s="79"/>
      <c r="AV217" s="79"/>
      <c r="AW217" s="79"/>
      <c r="AX217" s="79"/>
      <c r="AY217" s="79"/>
      <c r="AZ217" s="79"/>
      <c r="BA217" s="79"/>
      <c r="BB217" s="79"/>
      <c r="BC217" s="79"/>
      <c r="BD217" s="79"/>
      <c r="BE217" s="79"/>
      <c r="BF217" s="79"/>
      <c r="BG217" s="79"/>
      <c r="BH217" s="79"/>
      <c r="BI217" s="79"/>
      <c r="BJ217" s="79"/>
      <c r="BK217" s="79"/>
      <c r="BL217" s="79"/>
      <c r="BM217" s="79"/>
      <c r="BN217" s="79"/>
      <c r="BO217" s="79"/>
      <c r="BP217" s="79"/>
      <c r="BQ217" s="79"/>
      <c r="BR217" s="79"/>
      <c r="BS217" s="79"/>
      <c r="BT217" s="79"/>
      <c r="BU217" s="79"/>
      <c r="BV217" s="79"/>
      <c r="BW217" s="79"/>
      <c r="BX217" s="79"/>
      <c r="BY217" s="79"/>
      <c r="BZ217" s="79"/>
      <c r="CA217" s="79"/>
      <c r="CB217" s="79"/>
      <c r="CC217" s="79"/>
      <c r="CD217" s="79"/>
      <c r="CE217" s="79"/>
      <c r="CF217" s="79"/>
      <c r="CG217" s="79"/>
      <c r="CH217" s="79"/>
      <c r="CI217" s="79"/>
      <c r="CJ217" s="79"/>
      <c r="CK217" s="79"/>
      <c r="CL217" s="79"/>
      <c r="CM217" s="79"/>
      <c r="CN217" s="79"/>
      <c r="CO217" s="79"/>
      <c r="CP217" s="79"/>
      <c r="CQ217" s="79"/>
      <c r="CR217" s="79"/>
      <c r="CS217" s="79"/>
      <c r="CT217" s="79"/>
      <c r="CU217" s="79"/>
      <c r="CV217" s="79"/>
      <c r="CW217" s="79"/>
      <c r="CX217" s="85"/>
      <c r="CY217" s="85"/>
      <c r="CZ217" s="85"/>
      <c r="DA217" s="86"/>
      <c r="DB217" s="84"/>
    </row>
    <row r="218" spans="2:106" ht="11.25" customHeight="1">
      <c r="B218" s="78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/>
      <c r="AY218" s="79"/>
      <c r="AZ218" s="79"/>
      <c r="BA218" s="79"/>
      <c r="BB218" s="79"/>
      <c r="BC218" s="79"/>
      <c r="BD218" s="79"/>
      <c r="BE218" s="79"/>
      <c r="BF218" s="79"/>
      <c r="BG218" s="79"/>
      <c r="BH218" s="79"/>
      <c r="BI218" s="79"/>
      <c r="BJ218" s="79"/>
      <c r="BK218" s="79"/>
      <c r="BL218" s="79"/>
      <c r="BM218" s="79"/>
      <c r="BN218" s="79"/>
      <c r="BO218" s="79"/>
      <c r="BP218" s="79"/>
      <c r="BQ218" s="79"/>
      <c r="BR218" s="79"/>
      <c r="BS218" s="79"/>
      <c r="BT218" s="79"/>
      <c r="BU218" s="79"/>
      <c r="BV218" s="79"/>
      <c r="BW218" s="79"/>
      <c r="BX218" s="79"/>
      <c r="BY218" s="79"/>
      <c r="BZ218" s="79"/>
      <c r="CA218" s="79"/>
      <c r="CB218" s="79"/>
      <c r="CC218" s="79"/>
      <c r="CD218" s="79"/>
      <c r="CE218" s="79"/>
      <c r="CF218" s="79"/>
      <c r="CG218" s="79"/>
      <c r="CH218" s="79"/>
      <c r="CI218" s="79"/>
      <c r="CJ218" s="79"/>
      <c r="CK218" s="79"/>
      <c r="CL218" s="79"/>
      <c r="CM218" s="79"/>
      <c r="CN218" s="79"/>
      <c r="CO218" s="79"/>
      <c r="CP218" s="79"/>
      <c r="CQ218" s="79"/>
      <c r="CR218" s="79"/>
      <c r="CS218" s="79"/>
      <c r="CT218" s="79"/>
      <c r="CU218" s="79"/>
      <c r="CV218" s="79"/>
      <c r="CW218" s="79"/>
      <c r="CX218" s="85"/>
      <c r="CY218" s="85"/>
      <c r="CZ218" s="85"/>
      <c r="DA218" s="86"/>
      <c r="DB218" s="84"/>
    </row>
    <row r="219" spans="2:106" ht="11.25" customHeight="1">
      <c r="B219" s="78"/>
      <c r="C219" s="79"/>
      <c r="D219" s="79"/>
      <c r="E219" s="79"/>
      <c r="F219" s="79"/>
      <c r="G219" s="79" t="s">
        <v>700</v>
      </c>
      <c r="H219" s="79"/>
      <c r="I219" s="79"/>
      <c r="J219" s="79"/>
      <c r="K219" s="79"/>
      <c r="L219" s="79"/>
      <c r="M219" s="79"/>
      <c r="N219" s="79" t="s">
        <v>604</v>
      </c>
      <c r="O219" s="79"/>
      <c r="P219" s="79" t="str">
        <f>TEXT(기계경비총괄표!G13,"#,##0")</f>
        <v>49,778</v>
      </c>
      <c r="Q219" s="79"/>
      <c r="R219" s="79"/>
      <c r="S219" s="79"/>
      <c r="T219" s="79"/>
      <c r="U219" s="79"/>
      <c r="V219" s="79"/>
      <c r="W219" s="79"/>
      <c r="X219" s="79"/>
      <c r="Y219" s="79" t="s">
        <v>391</v>
      </c>
      <c r="Z219" s="79"/>
      <c r="AA219" s="79"/>
      <c r="AB219" s="79" t="str">
        <f>TEXT(AH217,"#,##0.#######")</f>
        <v>31.25</v>
      </c>
      <c r="AC219" s="79"/>
      <c r="AD219" s="79"/>
      <c r="AE219" s="79"/>
      <c r="AF219" s="79"/>
      <c r="AG219" s="79"/>
      <c r="AH219" s="79"/>
      <c r="AI219" s="79"/>
      <c r="AJ219" s="79" t="s">
        <v>309</v>
      </c>
      <c r="AK219" s="79"/>
      <c r="AL219" s="79"/>
      <c r="AM219" s="79" t="str">
        <f>TEXT(TRUNC(P219/AH217,1),"#,##0.#")</f>
        <v>1,592.8</v>
      </c>
      <c r="AN219" s="79"/>
      <c r="AO219" s="79"/>
      <c r="AP219" s="79"/>
      <c r="AQ219" s="79"/>
      <c r="AR219" s="79"/>
      <c r="AS219" s="79"/>
      <c r="AT219" s="79"/>
      <c r="AU219" s="79"/>
      <c r="AV219" s="79"/>
      <c r="AW219" s="79"/>
      <c r="AX219" s="79"/>
      <c r="AY219" s="79"/>
      <c r="AZ219" s="79"/>
      <c r="BA219" s="79"/>
      <c r="BB219" s="79"/>
      <c r="BC219" s="79"/>
      <c r="BD219" s="79"/>
      <c r="BE219" s="79"/>
      <c r="BF219" s="79"/>
      <c r="BG219" s="79"/>
      <c r="BH219" s="79"/>
      <c r="BI219" s="79"/>
      <c r="BJ219" s="79"/>
      <c r="BK219" s="79"/>
      <c r="BL219" s="79"/>
      <c r="BM219" s="79"/>
      <c r="BN219" s="79"/>
      <c r="BO219" s="79"/>
      <c r="BP219" s="79"/>
      <c r="BQ219" s="79"/>
      <c r="BR219" s="79"/>
      <c r="BS219" s="79"/>
      <c r="BT219" s="79"/>
      <c r="BU219" s="79"/>
      <c r="BV219" s="79"/>
      <c r="BW219" s="79"/>
      <c r="BX219" s="79"/>
      <c r="BY219" s="79"/>
      <c r="BZ219" s="79"/>
      <c r="CA219" s="79"/>
      <c r="CB219" s="79"/>
      <c r="CC219" s="79"/>
      <c r="CD219" s="79"/>
      <c r="CE219" s="79"/>
      <c r="CF219" s="79"/>
      <c r="CG219" s="79"/>
      <c r="CH219" s="79"/>
      <c r="CI219" s="79"/>
      <c r="CJ219" s="79"/>
      <c r="CK219" s="79"/>
      <c r="CL219" s="79"/>
      <c r="CM219" s="79"/>
      <c r="CN219" s="79"/>
      <c r="CO219" s="79"/>
      <c r="CP219" s="79"/>
      <c r="CQ219" s="79"/>
      <c r="CR219" s="79"/>
      <c r="CS219" s="79"/>
      <c r="CT219" s="79"/>
      <c r="CU219" s="79"/>
      <c r="CV219" s="79"/>
      <c r="CW219" s="79"/>
      <c r="CX219" s="85"/>
      <c r="CY219" s="85"/>
      <c r="CZ219" s="85"/>
      <c r="DA219" s="86"/>
      <c r="DB219" s="84"/>
    </row>
    <row r="220" spans="2:106" ht="11.25" customHeight="1">
      <c r="B220" s="78"/>
      <c r="C220" s="79"/>
      <c r="D220" s="79"/>
      <c r="E220" s="79"/>
      <c r="F220" s="79"/>
      <c r="G220" s="79" t="s">
        <v>498</v>
      </c>
      <c r="H220" s="79"/>
      <c r="I220" s="79"/>
      <c r="J220" s="79"/>
      <c r="K220" s="79"/>
      <c r="L220" s="79"/>
      <c r="M220" s="79"/>
      <c r="N220" s="79" t="s">
        <v>604</v>
      </c>
      <c r="O220" s="79"/>
      <c r="P220" s="79"/>
      <c r="Q220" s="79" t="str">
        <f>TEXT(기계경비총괄표!H13,"#,##0")</f>
        <v>9,494</v>
      </c>
      <c r="R220" s="79"/>
      <c r="S220" s="79"/>
      <c r="T220" s="79"/>
      <c r="U220" s="79"/>
      <c r="V220" s="79"/>
      <c r="W220" s="79"/>
      <c r="X220" s="79"/>
      <c r="Y220" s="79" t="s">
        <v>391</v>
      </c>
      <c r="Z220" s="79"/>
      <c r="AA220" s="79"/>
      <c r="AB220" s="79" t="str">
        <f>TEXT(AH217,"#,##0.#######")</f>
        <v>31.25</v>
      </c>
      <c r="AC220" s="79"/>
      <c r="AD220" s="79"/>
      <c r="AE220" s="79"/>
      <c r="AF220" s="79"/>
      <c r="AG220" s="79"/>
      <c r="AH220" s="79"/>
      <c r="AI220" s="79"/>
      <c r="AJ220" s="79" t="s">
        <v>309</v>
      </c>
      <c r="AK220" s="79"/>
      <c r="AL220" s="79"/>
      <c r="AM220" s="79" t="str">
        <f>TEXT(TRUNC(Q220/AH217,1),"#,##0.#")</f>
        <v>303.8</v>
      </c>
      <c r="AN220" s="79"/>
      <c r="AO220" s="79"/>
      <c r="AP220" s="79"/>
      <c r="AQ220" s="79"/>
      <c r="AR220" s="79"/>
      <c r="AS220" s="79"/>
      <c r="AT220" s="79"/>
      <c r="AU220" s="79"/>
      <c r="AV220" s="79"/>
      <c r="AW220" s="79"/>
      <c r="AX220" s="79"/>
      <c r="AY220" s="79"/>
      <c r="AZ220" s="79"/>
      <c r="BA220" s="79"/>
      <c r="BB220" s="79"/>
      <c r="BC220" s="79"/>
      <c r="BD220" s="79"/>
      <c r="BE220" s="79"/>
      <c r="BF220" s="79"/>
      <c r="BG220" s="79"/>
      <c r="BH220" s="79"/>
      <c r="BI220" s="79"/>
      <c r="BJ220" s="79"/>
      <c r="BK220" s="79"/>
      <c r="BL220" s="79"/>
      <c r="BM220" s="79"/>
      <c r="BN220" s="79"/>
      <c r="BO220" s="79"/>
      <c r="BP220" s="79"/>
      <c r="BQ220" s="79"/>
      <c r="BR220" s="79"/>
      <c r="BS220" s="79"/>
      <c r="BT220" s="79"/>
      <c r="BU220" s="79"/>
      <c r="BV220" s="79"/>
      <c r="BW220" s="79"/>
      <c r="BX220" s="79"/>
      <c r="BY220" s="79"/>
      <c r="BZ220" s="79"/>
      <c r="CA220" s="79"/>
      <c r="CB220" s="79"/>
      <c r="CC220" s="79"/>
      <c r="CD220" s="79"/>
      <c r="CE220" s="79"/>
      <c r="CF220" s="79"/>
      <c r="CG220" s="79"/>
      <c r="CH220" s="79"/>
      <c r="CI220" s="79"/>
      <c r="CJ220" s="79"/>
      <c r="CK220" s="79"/>
      <c r="CL220" s="79"/>
      <c r="CM220" s="79"/>
      <c r="CN220" s="79"/>
      <c r="CO220" s="79"/>
      <c r="CP220" s="79"/>
      <c r="CQ220" s="79"/>
      <c r="CR220" s="79"/>
      <c r="CS220" s="79"/>
      <c r="CT220" s="79"/>
      <c r="CU220" s="79"/>
      <c r="CV220" s="79"/>
      <c r="CW220" s="79"/>
      <c r="CX220" s="85"/>
      <c r="CY220" s="85"/>
      <c r="CZ220" s="85"/>
      <c r="DA220" s="86"/>
      <c r="DB220" s="84"/>
    </row>
    <row r="221" spans="2:106" ht="11.25" customHeight="1">
      <c r="B221" s="78"/>
      <c r="C221" s="79"/>
      <c r="D221" s="79"/>
      <c r="E221" s="79"/>
      <c r="F221" s="79"/>
      <c r="G221" s="79" t="s">
        <v>160</v>
      </c>
      <c r="H221" s="79"/>
      <c r="I221" s="79"/>
      <c r="J221" s="79"/>
      <c r="K221" s="79" t="s">
        <v>440</v>
      </c>
      <c r="L221" s="79"/>
      <c r="M221" s="79"/>
      <c r="N221" s="79" t="s">
        <v>604</v>
      </c>
      <c r="O221" s="79"/>
      <c r="P221" s="79"/>
      <c r="Q221" s="79" t="str">
        <f>TEXT(기계경비총괄표!I13,"#,##0")</f>
        <v>7,613</v>
      </c>
      <c r="R221" s="79"/>
      <c r="S221" s="79"/>
      <c r="T221" s="79"/>
      <c r="U221" s="79"/>
      <c r="V221" s="79"/>
      <c r="W221" s="79"/>
      <c r="X221" s="79"/>
      <c r="Y221" s="79" t="s">
        <v>391</v>
      </c>
      <c r="Z221" s="79"/>
      <c r="AA221" s="79"/>
      <c r="AB221" s="79" t="str">
        <f>TEXT(AH217,"#,##0.#######")</f>
        <v>31.25</v>
      </c>
      <c r="AC221" s="79"/>
      <c r="AD221" s="79"/>
      <c r="AE221" s="79"/>
      <c r="AF221" s="79"/>
      <c r="AG221" s="79"/>
      <c r="AH221" s="79"/>
      <c r="AI221" s="79"/>
      <c r="AJ221" s="79" t="s">
        <v>309</v>
      </c>
      <c r="AK221" s="79"/>
      <c r="AL221" s="79"/>
      <c r="AM221" s="79" t="str">
        <f>TEXT(TRUNC(Q221/AH217,1),"#,##0.#")</f>
        <v>243.6</v>
      </c>
      <c r="AN221" s="79"/>
      <c r="AO221" s="79"/>
      <c r="AP221" s="79"/>
      <c r="AQ221" s="79"/>
      <c r="AR221" s="79"/>
      <c r="AS221" s="79"/>
      <c r="AT221" s="79"/>
      <c r="AU221" s="79"/>
      <c r="AV221" s="79"/>
      <c r="AW221" s="79"/>
      <c r="AX221" s="79"/>
      <c r="AY221" s="79"/>
      <c r="AZ221" s="79"/>
      <c r="BA221" s="79"/>
      <c r="BB221" s="79"/>
      <c r="BC221" s="79"/>
      <c r="BD221" s="79"/>
      <c r="BE221" s="79"/>
      <c r="BF221" s="79"/>
      <c r="BG221" s="79"/>
      <c r="BH221" s="79"/>
      <c r="BI221" s="79"/>
      <c r="BJ221" s="79"/>
      <c r="BK221" s="79"/>
      <c r="BL221" s="79"/>
      <c r="BM221" s="79"/>
      <c r="BN221" s="79"/>
      <c r="BO221" s="79"/>
      <c r="BP221" s="79"/>
      <c r="BQ221" s="79"/>
      <c r="BR221" s="79"/>
      <c r="BS221" s="79"/>
      <c r="BT221" s="79"/>
      <c r="BU221" s="79"/>
      <c r="BV221" s="79"/>
      <c r="BW221" s="79"/>
      <c r="BX221" s="79"/>
      <c r="BY221" s="79"/>
      <c r="BZ221" s="79"/>
      <c r="CA221" s="79"/>
      <c r="CB221" s="79"/>
      <c r="CC221" s="79"/>
      <c r="CD221" s="79"/>
      <c r="CE221" s="79"/>
      <c r="CF221" s="79"/>
      <c r="CG221" s="79"/>
      <c r="CH221" s="79"/>
      <c r="CI221" s="79"/>
      <c r="CJ221" s="79"/>
      <c r="CK221" s="79"/>
      <c r="CL221" s="79"/>
      <c r="CM221" s="79"/>
      <c r="CN221" s="79"/>
      <c r="CO221" s="79"/>
      <c r="CP221" s="79"/>
      <c r="CQ221" s="79"/>
      <c r="CR221" s="79"/>
      <c r="CS221" s="79"/>
      <c r="CT221" s="79"/>
      <c r="CU221" s="79"/>
      <c r="CV221" s="79"/>
      <c r="CW221" s="79"/>
      <c r="CX221" s="85"/>
      <c r="CY221" s="85"/>
      <c r="CZ221" s="85"/>
      <c r="DA221" s="86"/>
      <c r="DB221" s="84"/>
    </row>
    <row r="222" spans="2:106" ht="11.25" customHeight="1">
      <c r="B222" s="78"/>
      <c r="C222" s="79"/>
      <c r="D222" s="79"/>
      <c r="E222" s="79"/>
      <c r="F222" s="79"/>
      <c r="G222" s="79" t="s">
        <v>305</v>
      </c>
      <c r="H222" s="79"/>
      <c r="I222" s="79"/>
      <c r="J222" s="79"/>
      <c r="K222" s="79" t="s">
        <v>436</v>
      </c>
      <c r="L222" s="79"/>
      <c r="M222" s="79"/>
      <c r="N222" s="79" t="s">
        <v>604</v>
      </c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 t="str">
        <f>TEXT(AM219+AM220+AM221,"#,##0.#######")</f>
        <v>2,140.2</v>
      </c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79"/>
      <c r="AW222" s="79"/>
      <c r="AX222" s="79"/>
      <c r="AY222" s="79"/>
      <c r="AZ222" s="79"/>
      <c r="BA222" s="79"/>
      <c r="BB222" s="79"/>
      <c r="BC222" s="79"/>
      <c r="BD222" s="79"/>
      <c r="BE222" s="79"/>
      <c r="BF222" s="79"/>
      <c r="BG222" s="79"/>
      <c r="BH222" s="79"/>
      <c r="BI222" s="79"/>
      <c r="BJ222" s="79"/>
      <c r="BK222" s="79"/>
      <c r="BL222" s="79"/>
      <c r="BM222" s="79"/>
      <c r="BN222" s="79"/>
      <c r="BO222" s="79"/>
      <c r="BP222" s="79"/>
      <c r="BQ222" s="79"/>
      <c r="BR222" s="79"/>
      <c r="BS222" s="79"/>
      <c r="BT222" s="79"/>
      <c r="BU222" s="79"/>
      <c r="BV222" s="79"/>
      <c r="BW222" s="79"/>
      <c r="BX222" s="79"/>
      <c r="BY222" s="79"/>
      <c r="BZ222" s="79"/>
      <c r="CA222" s="79"/>
      <c r="CB222" s="79"/>
      <c r="CC222" s="79"/>
      <c r="CD222" s="79"/>
      <c r="CE222" s="79"/>
      <c r="CF222" s="79"/>
      <c r="CG222" s="79"/>
      <c r="CH222" s="79"/>
      <c r="CI222" s="79"/>
      <c r="CJ222" s="79"/>
      <c r="CK222" s="79"/>
      <c r="CL222" s="79"/>
      <c r="CM222" s="79"/>
      <c r="CN222" s="79"/>
      <c r="CO222" s="79"/>
      <c r="CP222" s="79"/>
      <c r="CQ222" s="79"/>
      <c r="CR222" s="79"/>
      <c r="CS222" s="79"/>
      <c r="CT222" s="79"/>
      <c r="CU222" s="79"/>
      <c r="CV222" s="79"/>
      <c r="CW222" s="79"/>
      <c r="CX222" s="85">
        <f>CY222+CZ222+DA222</f>
        <v>2140.1999999999998</v>
      </c>
      <c r="CY222" s="85" t="str">
        <f>TEXT(AM219,"#,###.0")</f>
        <v>1,592.8</v>
      </c>
      <c r="CZ222" s="85" t="str">
        <f>TEXT(AM220,"#,###.0")</f>
        <v>303.8</v>
      </c>
      <c r="DA222" s="86" t="str">
        <f>TEXT(AM221,"#,###.0")</f>
        <v>243.6</v>
      </c>
      <c r="DB222" s="84"/>
    </row>
    <row r="223" spans="2:106" ht="11.25" customHeight="1">
      <c r="B223" s="78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/>
      <c r="AT223" s="79"/>
      <c r="AU223" s="79"/>
      <c r="AV223" s="79"/>
      <c r="AW223" s="79"/>
      <c r="AX223" s="79"/>
      <c r="AY223" s="79"/>
      <c r="AZ223" s="79"/>
      <c r="BA223" s="79"/>
      <c r="BB223" s="79"/>
      <c r="BC223" s="79"/>
      <c r="BD223" s="79"/>
      <c r="BE223" s="79"/>
      <c r="BF223" s="79"/>
      <c r="BG223" s="79"/>
      <c r="BH223" s="79"/>
      <c r="BI223" s="79"/>
      <c r="BJ223" s="79"/>
      <c r="BK223" s="79"/>
      <c r="BL223" s="79"/>
      <c r="BM223" s="79"/>
      <c r="BN223" s="79"/>
      <c r="BO223" s="79"/>
      <c r="BP223" s="79"/>
      <c r="BQ223" s="79"/>
      <c r="BR223" s="79"/>
      <c r="BS223" s="79"/>
      <c r="BT223" s="79"/>
      <c r="BU223" s="79"/>
      <c r="BV223" s="79"/>
      <c r="BW223" s="79"/>
      <c r="BX223" s="79"/>
      <c r="BY223" s="79"/>
      <c r="BZ223" s="79"/>
      <c r="CA223" s="79"/>
      <c r="CB223" s="79"/>
      <c r="CC223" s="79"/>
      <c r="CD223" s="79"/>
      <c r="CE223" s="79"/>
      <c r="CF223" s="79"/>
      <c r="CG223" s="79"/>
      <c r="CH223" s="79"/>
      <c r="CI223" s="79"/>
      <c r="CJ223" s="79"/>
      <c r="CK223" s="79"/>
      <c r="CL223" s="79"/>
      <c r="CM223" s="79"/>
      <c r="CN223" s="79"/>
      <c r="CO223" s="79"/>
      <c r="CP223" s="79"/>
      <c r="CQ223" s="79"/>
      <c r="CR223" s="79"/>
      <c r="CS223" s="79"/>
      <c r="CT223" s="79"/>
      <c r="CU223" s="79"/>
      <c r="CV223" s="79"/>
      <c r="CW223" s="79"/>
      <c r="CX223" s="85"/>
      <c r="CY223" s="85"/>
      <c r="CZ223" s="85"/>
      <c r="DA223" s="86"/>
      <c r="DB223" s="84"/>
    </row>
    <row r="224" spans="2:106" ht="11.25" customHeight="1">
      <c r="B224" s="78"/>
      <c r="C224" s="79"/>
      <c r="D224" s="79"/>
      <c r="E224" s="79" t="s">
        <v>496</v>
      </c>
      <c r="F224" s="79"/>
      <c r="G224" s="79" t="s">
        <v>587</v>
      </c>
      <c r="H224" s="79"/>
      <c r="I224" s="79" t="s">
        <v>353</v>
      </c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 t="s">
        <v>57</v>
      </c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 t="s">
        <v>604</v>
      </c>
      <c r="AF224" s="79"/>
      <c r="AG224" s="79" t="s">
        <v>363</v>
      </c>
      <c r="AH224" s="79"/>
      <c r="AI224" s="79"/>
      <c r="AJ224" s="79"/>
      <c r="AK224" s="79" t="s">
        <v>256</v>
      </c>
      <c r="AL224" s="79"/>
      <c r="AM224" s="79"/>
      <c r="AN224" s="79"/>
      <c r="AO224" s="79"/>
      <c r="AP224" s="79"/>
      <c r="AQ224" s="79"/>
      <c r="AR224" s="79"/>
      <c r="AS224" s="79" t="s">
        <v>75</v>
      </c>
      <c r="AT224" s="79"/>
      <c r="AU224" s="79"/>
      <c r="AV224" s="79"/>
      <c r="AW224" s="79"/>
      <c r="AX224" s="79"/>
      <c r="AY224" s="79"/>
      <c r="AZ224" s="79" t="s">
        <v>100</v>
      </c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/>
      <c r="CA224" s="79"/>
      <c r="CB224" s="79"/>
      <c r="CC224" s="79"/>
      <c r="CD224" s="79"/>
      <c r="CE224" s="79"/>
      <c r="CF224" s="79"/>
      <c r="CG224" s="79"/>
      <c r="CH224" s="79"/>
      <c r="CI224" s="79"/>
      <c r="CJ224" s="79"/>
      <c r="CK224" s="79"/>
      <c r="CL224" s="79"/>
      <c r="CM224" s="79"/>
      <c r="CN224" s="79"/>
      <c r="CO224" s="79"/>
      <c r="CP224" s="79"/>
      <c r="CQ224" s="79"/>
      <c r="CR224" s="79"/>
      <c r="CS224" s="79"/>
      <c r="CT224" s="79"/>
      <c r="CU224" s="79"/>
      <c r="CV224" s="79"/>
      <c r="CW224" s="79"/>
      <c r="CX224" s="85"/>
      <c r="CY224" s="85"/>
      <c r="CZ224" s="85"/>
      <c r="DA224" s="86"/>
      <c r="DB224" s="84"/>
    </row>
    <row r="225" spans="2:106" ht="11.25" customHeight="1">
      <c r="B225" s="78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  <c r="AS225" s="79"/>
      <c r="AT225" s="79"/>
      <c r="AU225" s="79"/>
      <c r="AV225" s="79"/>
      <c r="AW225" s="79"/>
      <c r="AX225" s="79"/>
      <c r="AY225" s="79"/>
      <c r="AZ225" s="79"/>
      <c r="BA225" s="79"/>
      <c r="BB225" s="79"/>
      <c r="BC225" s="79"/>
      <c r="BD225" s="79"/>
      <c r="BE225" s="79"/>
      <c r="BF225" s="79"/>
      <c r="BG225" s="79"/>
      <c r="BH225" s="79"/>
      <c r="BI225" s="79"/>
      <c r="BJ225" s="79"/>
      <c r="BK225" s="79"/>
      <c r="BL225" s="79"/>
      <c r="BM225" s="79"/>
      <c r="BN225" s="79"/>
      <c r="BO225" s="79"/>
      <c r="BP225" s="79"/>
      <c r="BQ225" s="79"/>
      <c r="BR225" s="79"/>
      <c r="BS225" s="79"/>
      <c r="BT225" s="79"/>
      <c r="BU225" s="79"/>
      <c r="BV225" s="79"/>
      <c r="BW225" s="79"/>
      <c r="BX225" s="79"/>
      <c r="BY225" s="79"/>
      <c r="BZ225" s="79"/>
      <c r="CA225" s="79"/>
      <c r="CB225" s="79"/>
      <c r="CC225" s="79"/>
      <c r="CD225" s="79"/>
      <c r="CE225" s="79"/>
      <c r="CF225" s="79"/>
      <c r="CG225" s="79"/>
      <c r="CH225" s="79"/>
      <c r="CI225" s="79"/>
      <c r="CJ225" s="79"/>
      <c r="CK225" s="79"/>
      <c r="CL225" s="79"/>
      <c r="CM225" s="79"/>
      <c r="CN225" s="79"/>
      <c r="CO225" s="79"/>
      <c r="CP225" s="79"/>
      <c r="CQ225" s="79"/>
      <c r="CR225" s="79"/>
      <c r="CS225" s="79"/>
      <c r="CT225" s="79"/>
      <c r="CU225" s="79"/>
      <c r="CV225" s="79"/>
      <c r="CW225" s="79"/>
      <c r="CX225" s="85"/>
      <c r="CY225" s="85"/>
      <c r="CZ225" s="85"/>
      <c r="DA225" s="86"/>
      <c r="DB225" s="84"/>
    </row>
    <row r="226" spans="2:106" ht="11.25" customHeight="1">
      <c r="B226" s="78"/>
      <c r="C226" s="79"/>
      <c r="D226" s="79"/>
      <c r="E226" s="79"/>
      <c r="F226" s="79"/>
      <c r="G226" s="79" t="s">
        <v>700</v>
      </c>
      <c r="H226" s="79"/>
      <c r="I226" s="79"/>
      <c r="J226" s="79"/>
      <c r="K226" s="79"/>
      <c r="L226" s="79"/>
      <c r="M226" s="79"/>
      <c r="N226" s="79" t="s">
        <v>604</v>
      </c>
      <c r="O226" s="79"/>
      <c r="P226" s="79" t="str">
        <f>TEXT(기계경비총괄표!G14,"#,##0")</f>
        <v>49,778</v>
      </c>
      <c r="Q226" s="79"/>
      <c r="R226" s="79"/>
      <c r="S226" s="79"/>
      <c r="T226" s="79"/>
      <c r="U226" s="79"/>
      <c r="V226" s="79"/>
      <c r="W226" s="79"/>
      <c r="X226" s="79"/>
      <c r="Y226" s="79" t="s">
        <v>391</v>
      </c>
      <c r="Z226" s="79"/>
      <c r="AA226" s="79"/>
      <c r="AB226" s="79" t="str">
        <f>TEXT(AH217,"#,##0.#######")</f>
        <v>31.25</v>
      </c>
      <c r="AC226" s="79"/>
      <c r="AD226" s="79"/>
      <c r="AE226" s="79"/>
      <c r="AF226" s="79"/>
      <c r="AG226" s="79"/>
      <c r="AH226" s="79"/>
      <c r="AI226" s="79"/>
      <c r="AJ226" s="79" t="s">
        <v>309</v>
      </c>
      <c r="AK226" s="79"/>
      <c r="AL226" s="79" t="str">
        <f>TEXT(TRUNC(P226/AH217,1),"#,##0.#")</f>
        <v>1,592.8</v>
      </c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/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79"/>
      <c r="BP226" s="79"/>
      <c r="BQ226" s="79"/>
      <c r="BR226" s="79"/>
      <c r="BS226" s="79"/>
      <c r="BT226" s="79"/>
      <c r="BU226" s="79"/>
      <c r="BV226" s="79"/>
      <c r="BW226" s="79"/>
      <c r="BX226" s="79"/>
      <c r="BY226" s="79"/>
      <c r="BZ226" s="79"/>
      <c r="CA226" s="79"/>
      <c r="CB226" s="79"/>
      <c r="CC226" s="79"/>
      <c r="CD226" s="79"/>
      <c r="CE226" s="79"/>
      <c r="CF226" s="79"/>
      <c r="CG226" s="79"/>
      <c r="CH226" s="79"/>
      <c r="CI226" s="79"/>
      <c r="CJ226" s="79"/>
      <c r="CK226" s="79"/>
      <c r="CL226" s="79"/>
      <c r="CM226" s="79"/>
      <c r="CN226" s="79"/>
      <c r="CO226" s="79"/>
      <c r="CP226" s="79"/>
      <c r="CQ226" s="79"/>
      <c r="CR226" s="79"/>
      <c r="CS226" s="79"/>
      <c r="CT226" s="79"/>
      <c r="CU226" s="79"/>
      <c r="CV226" s="79"/>
      <c r="CW226" s="79"/>
      <c r="CX226" s="85"/>
      <c r="CY226" s="85"/>
      <c r="CZ226" s="85"/>
      <c r="DA226" s="86"/>
      <c r="DB226" s="84"/>
    </row>
    <row r="227" spans="2:106" ht="11.25" customHeight="1">
      <c r="B227" s="78"/>
      <c r="C227" s="79"/>
      <c r="D227" s="79"/>
      <c r="E227" s="79"/>
      <c r="F227" s="79"/>
      <c r="G227" s="79" t="s">
        <v>498</v>
      </c>
      <c r="H227" s="79"/>
      <c r="I227" s="79"/>
      <c r="J227" s="79"/>
      <c r="K227" s="79"/>
      <c r="L227" s="79"/>
      <c r="M227" s="79"/>
      <c r="N227" s="79" t="s">
        <v>604</v>
      </c>
      <c r="O227" s="79"/>
      <c r="P227" s="79"/>
      <c r="Q227" s="79" t="str">
        <f>TEXT(기계경비총괄표!H14,"#,##0")</f>
        <v>5,506</v>
      </c>
      <c r="R227" s="79"/>
      <c r="S227" s="79"/>
      <c r="T227" s="79"/>
      <c r="U227" s="79"/>
      <c r="V227" s="79"/>
      <c r="W227" s="79"/>
      <c r="X227" s="79"/>
      <c r="Y227" s="79" t="s">
        <v>391</v>
      </c>
      <c r="Z227" s="79"/>
      <c r="AA227" s="79"/>
      <c r="AB227" s="79" t="str">
        <f>TEXT(AH217,"#,##0.#######")</f>
        <v>31.25</v>
      </c>
      <c r="AC227" s="79"/>
      <c r="AD227" s="79"/>
      <c r="AE227" s="79"/>
      <c r="AF227" s="79"/>
      <c r="AG227" s="79"/>
      <c r="AH227" s="79"/>
      <c r="AI227" s="79"/>
      <c r="AJ227" s="79" t="s">
        <v>309</v>
      </c>
      <c r="AK227" s="79"/>
      <c r="AL227" s="79"/>
      <c r="AM227" s="79" t="str">
        <f>TEXT(TRUNC(Q227/AH217,1),"#,##0.#")</f>
        <v>176.1</v>
      </c>
      <c r="AN227" s="79"/>
      <c r="AO227" s="79"/>
      <c r="AP227" s="79"/>
      <c r="AQ227" s="79"/>
      <c r="AR227" s="79"/>
      <c r="AS227" s="79"/>
      <c r="AT227" s="79"/>
      <c r="AU227" s="79"/>
      <c r="AV227" s="79"/>
      <c r="AW227" s="79"/>
      <c r="AX227" s="79"/>
      <c r="AY227" s="79"/>
      <c r="AZ227" s="79"/>
      <c r="BA227" s="79"/>
      <c r="BB227" s="79"/>
      <c r="BC227" s="79"/>
      <c r="BD227" s="79"/>
      <c r="BE227" s="79"/>
      <c r="BF227" s="79"/>
      <c r="BG227" s="79"/>
      <c r="BH227" s="79"/>
      <c r="BI227" s="79"/>
      <c r="BJ227" s="79"/>
      <c r="BK227" s="79"/>
      <c r="BL227" s="79"/>
      <c r="BM227" s="79"/>
      <c r="BN227" s="79"/>
      <c r="BO227" s="79"/>
      <c r="BP227" s="79"/>
      <c r="BQ227" s="79"/>
      <c r="BR227" s="79"/>
      <c r="BS227" s="79"/>
      <c r="BT227" s="79"/>
      <c r="BU227" s="79"/>
      <c r="BV227" s="79"/>
      <c r="BW227" s="79"/>
      <c r="BX227" s="79"/>
      <c r="BY227" s="79"/>
      <c r="BZ227" s="79"/>
      <c r="CA227" s="79"/>
      <c r="CB227" s="79"/>
      <c r="CC227" s="79"/>
      <c r="CD227" s="79"/>
      <c r="CE227" s="79"/>
      <c r="CF227" s="79"/>
      <c r="CG227" s="79"/>
      <c r="CH227" s="79"/>
      <c r="CI227" s="79"/>
      <c r="CJ227" s="79"/>
      <c r="CK227" s="79"/>
      <c r="CL227" s="79"/>
      <c r="CM227" s="79"/>
      <c r="CN227" s="79"/>
      <c r="CO227" s="79"/>
      <c r="CP227" s="79"/>
      <c r="CQ227" s="79"/>
      <c r="CR227" s="79"/>
      <c r="CS227" s="79"/>
      <c r="CT227" s="79"/>
      <c r="CU227" s="79"/>
      <c r="CV227" s="79"/>
      <c r="CW227" s="79"/>
      <c r="CX227" s="85"/>
      <c r="CY227" s="85"/>
      <c r="CZ227" s="85"/>
      <c r="DA227" s="86"/>
      <c r="DB227" s="84"/>
    </row>
    <row r="228" spans="2:106" ht="11.25" customHeight="1">
      <c r="B228" s="78"/>
      <c r="C228" s="79"/>
      <c r="D228" s="79"/>
      <c r="E228" s="79"/>
      <c r="F228" s="79"/>
      <c r="G228" s="79" t="s">
        <v>160</v>
      </c>
      <c r="H228" s="79"/>
      <c r="I228" s="79"/>
      <c r="J228" s="79"/>
      <c r="K228" s="79" t="s">
        <v>440</v>
      </c>
      <c r="L228" s="79"/>
      <c r="M228" s="79"/>
      <c r="N228" s="79" t="s">
        <v>604</v>
      </c>
      <c r="O228" s="79"/>
      <c r="P228" s="79"/>
      <c r="Q228" s="79" t="str">
        <f>TEXT(기계경비총괄표!I14,"#,##0")</f>
        <v>6,522</v>
      </c>
      <c r="R228" s="79"/>
      <c r="S228" s="79"/>
      <c r="T228" s="79"/>
      <c r="U228" s="79"/>
      <c r="V228" s="79"/>
      <c r="W228" s="79"/>
      <c r="X228" s="79"/>
      <c r="Y228" s="79" t="s">
        <v>391</v>
      </c>
      <c r="Z228" s="79"/>
      <c r="AA228" s="79"/>
      <c r="AB228" s="79" t="str">
        <f>TEXT(AH217,"#,##0.#######")</f>
        <v>31.25</v>
      </c>
      <c r="AC228" s="79"/>
      <c r="AD228" s="79"/>
      <c r="AE228" s="79"/>
      <c r="AF228" s="79"/>
      <c r="AG228" s="79"/>
      <c r="AH228" s="79"/>
      <c r="AI228" s="79"/>
      <c r="AJ228" s="79" t="s">
        <v>309</v>
      </c>
      <c r="AK228" s="79"/>
      <c r="AL228" s="79"/>
      <c r="AM228" s="79" t="str">
        <f>TEXT(TRUNC(Q228/AH217,1),"#,##0.#")</f>
        <v>208.7</v>
      </c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79"/>
      <c r="BI228" s="79"/>
      <c r="BJ228" s="79"/>
      <c r="BK228" s="79"/>
      <c r="BL228" s="79"/>
      <c r="BM228" s="79"/>
      <c r="BN228" s="79"/>
      <c r="BO228" s="79"/>
      <c r="BP228" s="79"/>
      <c r="BQ228" s="79"/>
      <c r="BR228" s="79"/>
      <c r="BS228" s="79"/>
      <c r="BT228" s="79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  <c r="CH228" s="79"/>
      <c r="CI228" s="79"/>
      <c r="CJ228" s="79"/>
      <c r="CK228" s="79"/>
      <c r="CL228" s="79"/>
      <c r="CM228" s="79"/>
      <c r="CN228" s="79"/>
      <c r="CO228" s="79"/>
      <c r="CP228" s="79"/>
      <c r="CQ228" s="79"/>
      <c r="CR228" s="79"/>
      <c r="CS228" s="79"/>
      <c r="CT228" s="79"/>
      <c r="CU228" s="79"/>
      <c r="CV228" s="79"/>
      <c r="CW228" s="79"/>
      <c r="CX228" s="85"/>
      <c r="CY228" s="85"/>
      <c r="CZ228" s="85"/>
      <c r="DA228" s="86"/>
      <c r="DB228" s="84"/>
    </row>
    <row r="229" spans="2:106" ht="11.25" customHeight="1">
      <c r="B229" s="78"/>
      <c r="C229" s="79"/>
      <c r="D229" s="79"/>
      <c r="E229" s="79"/>
      <c r="F229" s="79"/>
      <c r="G229" s="79" t="s">
        <v>305</v>
      </c>
      <c r="H229" s="79"/>
      <c r="I229" s="79"/>
      <c r="J229" s="79"/>
      <c r="K229" s="79" t="s">
        <v>436</v>
      </c>
      <c r="L229" s="79"/>
      <c r="M229" s="79"/>
      <c r="N229" s="79" t="s">
        <v>604</v>
      </c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 t="str">
        <f>TEXT(AL226+AM227+AM228,"#,##0.#######")</f>
        <v>1,977.6</v>
      </c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  <c r="AV229" s="79"/>
      <c r="AW229" s="79"/>
      <c r="AX229" s="79"/>
      <c r="AY229" s="79"/>
      <c r="AZ229" s="79"/>
      <c r="BA229" s="79"/>
      <c r="BB229" s="79"/>
      <c r="BC229" s="79"/>
      <c r="BD229" s="79"/>
      <c r="BE229" s="79"/>
      <c r="BF229" s="79"/>
      <c r="BG229" s="79"/>
      <c r="BH229" s="79"/>
      <c r="BI229" s="79"/>
      <c r="BJ229" s="79"/>
      <c r="BK229" s="79"/>
      <c r="BL229" s="79"/>
      <c r="BM229" s="79"/>
      <c r="BN229" s="79"/>
      <c r="BO229" s="79"/>
      <c r="BP229" s="79"/>
      <c r="BQ229" s="79"/>
      <c r="BR229" s="79"/>
      <c r="BS229" s="79"/>
      <c r="BT229" s="79"/>
      <c r="BU229" s="79"/>
      <c r="BV229" s="79"/>
      <c r="BW229" s="79"/>
      <c r="BX229" s="79"/>
      <c r="BY229" s="79"/>
      <c r="BZ229" s="79"/>
      <c r="CA229" s="79"/>
      <c r="CB229" s="79"/>
      <c r="CC229" s="79"/>
      <c r="CD229" s="79"/>
      <c r="CE229" s="79"/>
      <c r="CF229" s="79"/>
      <c r="CG229" s="79"/>
      <c r="CH229" s="79"/>
      <c r="CI229" s="79"/>
      <c r="CJ229" s="79"/>
      <c r="CK229" s="79"/>
      <c r="CL229" s="79"/>
      <c r="CM229" s="79"/>
      <c r="CN229" s="79"/>
      <c r="CO229" s="79"/>
      <c r="CP229" s="79"/>
      <c r="CQ229" s="79"/>
      <c r="CR229" s="79"/>
      <c r="CS229" s="79"/>
      <c r="CT229" s="79"/>
      <c r="CU229" s="79"/>
      <c r="CV229" s="79"/>
      <c r="CW229" s="79"/>
      <c r="CX229" s="85">
        <f>CY229+CZ229+DA229</f>
        <v>1977.6</v>
      </c>
      <c r="CY229" s="85" t="str">
        <f>TEXT(AL226,"#,###.0")</f>
        <v>1,592.8</v>
      </c>
      <c r="CZ229" s="85" t="str">
        <f>TEXT(AM227,"#,###.0")</f>
        <v>176.1</v>
      </c>
      <c r="DA229" s="86" t="str">
        <f>TEXT(AM228,"#,###.0")</f>
        <v>208.7</v>
      </c>
      <c r="DB229" s="84"/>
    </row>
    <row r="230" spans="2:106" ht="11.25" customHeight="1">
      <c r="B230" s="78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79"/>
      <c r="BI230" s="79"/>
      <c r="BJ230" s="79"/>
      <c r="BK230" s="79"/>
      <c r="BL230" s="79"/>
      <c r="BM230" s="79"/>
      <c r="BN230" s="79"/>
      <c r="BO230" s="79"/>
      <c r="BP230" s="79"/>
      <c r="BQ230" s="79"/>
      <c r="BR230" s="79"/>
      <c r="BS230" s="79"/>
      <c r="BT230" s="79"/>
      <c r="BU230" s="79"/>
      <c r="BV230" s="79"/>
      <c r="BW230" s="79"/>
      <c r="BX230" s="79"/>
      <c r="BY230" s="79"/>
      <c r="BZ230" s="79"/>
      <c r="CA230" s="79"/>
      <c r="CB230" s="79"/>
      <c r="CC230" s="79"/>
      <c r="CD230" s="79"/>
      <c r="CE230" s="79"/>
      <c r="CF230" s="79"/>
      <c r="CG230" s="79"/>
      <c r="CH230" s="79"/>
      <c r="CI230" s="79"/>
      <c r="CJ230" s="79"/>
      <c r="CK230" s="79"/>
      <c r="CL230" s="79"/>
      <c r="CM230" s="79"/>
      <c r="CN230" s="79"/>
      <c r="CO230" s="79"/>
      <c r="CP230" s="79"/>
      <c r="CQ230" s="79"/>
      <c r="CR230" s="79"/>
      <c r="CS230" s="79"/>
      <c r="CT230" s="79"/>
      <c r="CU230" s="79"/>
      <c r="CV230" s="79"/>
      <c r="CW230" s="79"/>
      <c r="CX230" s="85"/>
      <c r="CY230" s="85"/>
      <c r="CZ230" s="85"/>
      <c r="DA230" s="86"/>
      <c r="DB230" s="84"/>
    </row>
    <row r="231" spans="2:106" ht="11.25" customHeight="1">
      <c r="B231" s="78"/>
      <c r="C231" s="79"/>
      <c r="D231" s="79"/>
      <c r="E231" s="79" t="s">
        <v>222</v>
      </c>
      <c r="F231" s="79"/>
      <c r="G231" s="79" t="s">
        <v>587</v>
      </c>
      <c r="H231" s="79"/>
      <c r="I231" s="79" t="s">
        <v>305</v>
      </c>
      <c r="J231" s="79"/>
      <c r="K231" s="79"/>
      <c r="L231" s="79"/>
      <c r="M231" s="79" t="s">
        <v>436</v>
      </c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  <c r="AS231" s="79"/>
      <c r="AT231" s="79"/>
      <c r="AU231" s="79"/>
      <c r="AV231" s="79"/>
      <c r="AW231" s="79"/>
      <c r="AX231" s="79"/>
      <c r="AY231" s="79"/>
      <c r="AZ231" s="79"/>
      <c r="BA231" s="79"/>
      <c r="BB231" s="79"/>
      <c r="BC231" s="79"/>
      <c r="BD231" s="79"/>
      <c r="BE231" s="79"/>
      <c r="BF231" s="79"/>
      <c r="BG231" s="79"/>
      <c r="BH231" s="79"/>
      <c r="BI231" s="79"/>
      <c r="BJ231" s="79"/>
      <c r="BK231" s="79"/>
      <c r="BL231" s="79"/>
      <c r="BM231" s="79"/>
      <c r="BN231" s="79"/>
      <c r="BO231" s="79"/>
      <c r="BP231" s="79"/>
      <c r="BQ231" s="79"/>
      <c r="BR231" s="79"/>
      <c r="BS231" s="79"/>
      <c r="BT231" s="79"/>
      <c r="BU231" s="79"/>
      <c r="BV231" s="79"/>
      <c r="BW231" s="79"/>
      <c r="BX231" s="79"/>
      <c r="BY231" s="79"/>
      <c r="BZ231" s="79"/>
      <c r="CA231" s="79"/>
      <c r="CB231" s="79"/>
      <c r="CC231" s="79"/>
      <c r="CD231" s="79"/>
      <c r="CE231" s="79"/>
      <c r="CF231" s="79"/>
      <c r="CG231" s="79"/>
      <c r="CH231" s="79"/>
      <c r="CI231" s="79"/>
      <c r="CJ231" s="79"/>
      <c r="CK231" s="79"/>
      <c r="CL231" s="79"/>
      <c r="CM231" s="79"/>
      <c r="CN231" s="79"/>
      <c r="CO231" s="79"/>
      <c r="CP231" s="79"/>
      <c r="CQ231" s="79"/>
      <c r="CR231" s="79"/>
      <c r="CS231" s="79"/>
      <c r="CT231" s="79"/>
      <c r="CU231" s="79"/>
      <c r="CV231" s="79"/>
      <c r="CW231" s="79"/>
      <c r="CX231" s="85"/>
      <c r="CY231" s="85"/>
      <c r="CZ231" s="85"/>
      <c r="DA231" s="86"/>
      <c r="DB231" s="84"/>
    </row>
    <row r="232" spans="2:106" ht="11.25" customHeight="1">
      <c r="B232" s="78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/>
      <c r="AX232" s="79"/>
      <c r="AY232" s="79"/>
      <c r="AZ232" s="79"/>
      <c r="BA232" s="79"/>
      <c r="BB232" s="79"/>
      <c r="BC232" s="79"/>
      <c r="BD232" s="79"/>
      <c r="BE232" s="79"/>
      <c r="BF232" s="79"/>
      <c r="BG232" s="79"/>
      <c r="BH232" s="79"/>
      <c r="BI232" s="79"/>
      <c r="BJ232" s="79"/>
      <c r="BK232" s="79"/>
      <c r="BL232" s="79"/>
      <c r="BM232" s="79"/>
      <c r="BN232" s="79"/>
      <c r="BO232" s="79"/>
      <c r="BP232" s="79"/>
      <c r="BQ232" s="79"/>
      <c r="BR232" s="79"/>
      <c r="BS232" s="79"/>
      <c r="BT232" s="79"/>
      <c r="BU232" s="79"/>
      <c r="BV232" s="79"/>
      <c r="BW232" s="79"/>
      <c r="BX232" s="79"/>
      <c r="BY232" s="79"/>
      <c r="BZ232" s="79"/>
      <c r="CA232" s="79"/>
      <c r="CB232" s="79"/>
      <c r="CC232" s="79"/>
      <c r="CD232" s="79"/>
      <c r="CE232" s="79"/>
      <c r="CF232" s="79"/>
      <c r="CG232" s="79"/>
      <c r="CH232" s="79"/>
      <c r="CI232" s="79"/>
      <c r="CJ232" s="79"/>
      <c r="CK232" s="79"/>
      <c r="CL232" s="79"/>
      <c r="CM232" s="79"/>
      <c r="CN232" s="79"/>
      <c r="CO232" s="79"/>
      <c r="CP232" s="79"/>
      <c r="CQ232" s="79"/>
      <c r="CR232" s="79"/>
      <c r="CS232" s="79"/>
      <c r="CT232" s="79"/>
      <c r="CU232" s="79"/>
      <c r="CV232" s="79"/>
      <c r="CW232" s="79"/>
      <c r="CX232" s="85"/>
      <c r="CY232" s="85"/>
      <c r="CZ232" s="85"/>
      <c r="DA232" s="86"/>
      <c r="DB232" s="84"/>
    </row>
    <row r="233" spans="2:106" ht="11.25" customHeight="1">
      <c r="B233" s="78"/>
      <c r="C233" s="79"/>
      <c r="D233" s="79"/>
      <c r="E233" s="79"/>
      <c r="F233" s="79"/>
      <c r="G233" s="79"/>
      <c r="H233" s="79" t="s">
        <v>700</v>
      </c>
      <c r="I233" s="79"/>
      <c r="J233" s="79"/>
      <c r="K233" s="79"/>
      <c r="L233" s="79"/>
      <c r="M233" s="79"/>
      <c r="N233" s="79"/>
      <c r="O233" s="79" t="s">
        <v>604</v>
      </c>
      <c r="P233" s="79"/>
      <c r="Q233" s="79" t="str">
        <f>TEXT(CY222,"#,###.##")</f>
        <v>1,592.8</v>
      </c>
      <c r="R233" s="79"/>
      <c r="S233" s="79"/>
      <c r="T233" s="79"/>
      <c r="U233" s="79"/>
      <c r="V233" s="79"/>
      <c r="W233" s="79"/>
      <c r="X233" s="79"/>
      <c r="Y233" s="79" t="s">
        <v>148</v>
      </c>
      <c r="Z233" s="79"/>
      <c r="AA233" s="79" t="str">
        <f>TEXT(CY229,"#,###.##")</f>
        <v>1,592.8</v>
      </c>
      <c r="AB233" s="79"/>
      <c r="AC233" s="79"/>
      <c r="AD233" s="79"/>
      <c r="AE233" s="79"/>
      <c r="AF233" s="79"/>
      <c r="AG233" s="79"/>
      <c r="AH233" s="79"/>
      <c r="AI233" s="79" t="s">
        <v>309</v>
      </c>
      <c r="AJ233" s="79"/>
      <c r="AK233" s="79"/>
      <c r="AL233" s="79" t="str">
        <f>TEXT(TRUNC(CY222+CY229,1),"#,##0.#")</f>
        <v>3,185.6</v>
      </c>
      <c r="AM233" s="79"/>
      <c r="AN233" s="79"/>
      <c r="AO233" s="79"/>
      <c r="AP233" s="79"/>
      <c r="AQ233" s="79"/>
      <c r="AR233" s="79"/>
      <c r="AS233" s="79"/>
      <c r="AT233" s="79"/>
      <c r="AU233" s="79"/>
      <c r="AV233" s="79"/>
      <c r="AW233" s="79"/>
      <c r="AX233" s="79"/>
      <c r="AY233" s="79"/>
      <c r="AZ233" s="79"/>
      <c r="BA233" s="79"/>
      <c r="BB233" s="79"/>
      <c r="BC233" s="79"/>
      <c r="BD233" s="79"/>
      <c r="BE233" s="79"/>
      <c r="BF233" s="79"/>
      <c r="BG233" s="79"/>
      <c r="BH233" s="79"/>
      <c r="BI233" s="79"/>
      <c r="BJ233" s="79"/>
      <c r="BK233" s="79"/>
      <c r="BL233" s="79"/>
      <c r="BM233" s="79"/>
      <c r="BN233" s="79"/>
      <c r="BO233" s="79"/>
      <c r="BP233" s="79"/>
      <c r="BQ233" s="79"/>
      <c r="BR233" s="79"/>
      <c r="BS233" s="79"/>
      <c r="BT233" s="79"/>
      <c r="BU233" s="79"/>
      <c r="BV233" s="79"/>
      <c r="BW233" s="79"/>
      <c r="BX233" s="79"/>
      <c r="BY233" s="79"/>
      <c r="BZ233" s="79"/>
      <c r="CA233" s="79"/>
      <c r="CB233" s="79"/>
      <c r="CC233" s="79"/>
      <c r="CD233" s="79"/>
      <c r="CE233" s="79"/>
      <c r="CF233" s="79"/>
      <c r="CG233" s="79"/>
      <c r="CH233" s="79"/>
      <c r="CI233" s="79"/>
      <c r="CJ233" s="79"/>
      <c r="CK233" s="79"/>
      <c r="CL233" s="79"/>
      <c r="CM233" s="79"/>
      <c r="CN233" s="79"/>
      <c r="CO233" s="79"/>
      <c r="CP233" s="79"/>
      <c r="CQ233" s="79"/>
      <c r="CR233" s="79"/>
      <c r="CS233" s="79"/>
      <c r="CT233" s="79"/>
      <c r="CU233" s="79"/>
      <c r="CV233" s="79"/>
      <c r="CW233" s="79"/>
      <c r="CX233" s="85"/>
      <c r="CY233" s="85"/>
      <c r="CZ233" s="85"/>
      <c r="DA233" s="86"/>
      <c r="DB233" s="84"/>
    </row>
    <row r="234" spans="2:106" ht="11.25" customHeight="1">
      <c r="B234" s="78"/>
      <c r="C234" s="79"/>
      <c r="D234" s="79"/>
      <c r="E234" s="79"/>
      <c r="F234" s="79"/>
      <c r="G234" s="79"/>
      <c r="H234" s="79" t="s">
        <v>498</v>
      </c>
      <c r="I234" s="79"/>
      <c r="J234" s="79"/>
      <c r="K234" s="79"/>
      <c r="L234" s="79"/>
      <c r="M234" s="79"/>
      <c r="N234" s="79"/>
      <c r="O234" s="79" t="s">
        <v>604</v>
      </c>
      <c r="P234" s="79"/>
      <c r="Q234" s="79" t="str">
        <f>TEXT(CZ222,"#,###.##")</f>
        <v>303.8</v>
      </c>
      <c r="R234" s="79"/>
      <c r="S234" s="79"/>
      <c r="T234" s="79"/>
      <c r="U234" s="79"/>
      <c r="V234" s="79"/>
      <c r="W234" s="79" t="s">
        <v>148</v>
      </c>
      <c r="X234" s="79"/>
      <c r="Y234" s="79" t="str">
        <f>TEXT(CZ229,"#,###.##")</f>
        <v>176.1</v>
      </c>
      <c r="Z234" s="79"/>
      <c r="AA234" s="79"/>
      <c r="AB234" s="79"/>
      <c r="AC234" s="79"/>
      <c r="AD234" s="79"/>
      <c r="AE234" s="79" t="s">
        <v>309</v>
      </c>
      <c r="AF234" s="79"/>
      <c r="AG234" s="79"/>
      <c r="AH234" s="79" t="str">
        <f>TEXT(TRUNC(CZ222+CZ229,1),"#,##0.#")</f>
        <v>479.9</v>
      </c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  <c r="AV234" s="79"/>
      <c r="AW234" s="79"/>
      <c r="AX234" s="79"/>
      <c r="AY234" s="79"/>
      <c r="AZ234" s="79"/>
      <c r="BA234" s="79"/>
      <c r="BB234" s="79"/>
      <c r="BC234" s="79"/>
      <c r="BD234" s="79"/>
      <c r="BE234" s="79"/>
      <c r="BF234" s="79"/>
      <c r="BG234" s="79"/>
      <c r="BH234" s="79"/>
      <c r="BI234" s="79"/>
      <c r="BJ234" s="79"/>
      <c r="BK234" s="79"/>
      <c r="BL234" s="79"/>
      <c r="BM234" s="79"/>
      <c r="BN234" s="79"/>
      <c r="BO234" s="79"/>
      <c r="BP234" s="79"/>
      <c r="BQ234" s="79"/>
      <c r="BR234" s="79"/>
      <c r="BS234" s="79"/>
      <c r="BT234" s="79"/>
      <c r="BU234" s="79"/>
      <c r="BV234" s="79"/>
      <c r="BW234" s="79"/>
      <c r="BX234" s="79"/>
      <c r="BY234" s="79"/>
      <c r="BZ234" s="79"/>
      <c r="CA234" s="79"/>
      <c r="CB234" s="79"/>
      <c r="CC234" s="79"/>
      <c r="CD234" s="79"/>
      <c r="CE234" s="79"/>
      <c r="CF234" s="79"/>
      <c r="CG234" s="79"/>
      <c r="CH234" s="79"/>
      <c r="CI234" s="79"/>
      <c r="CJ234" s="79"/>
      <c r="CK234" s="79"/>
      <c r="CL234" s="79"/>
      <c r="CM234" s="79"/>
      <c r="CN234" s="79"/>
      <c r="CO234" s="79"/>
      <c r="CP234" s="79"/>
      <c r="CQ234" s="79"/>
      <c r="CR234" s="79"/>
      <c r="CS234" s="79"/>
      <c r="CT234" s="79"/>
      <c r="CU234" s="79"/>
      <c r="CV234" s="79"/>
      <c r="CW234" s="79"/>
      <c r="CX234" s="85"/>
      <c r="CY234" s="85"/>
      <c r="CZ234" s="85"/>
      <c r="DA234" s="86"/>
      <c r="DB234" s="84"/>
    </row>
    <row r="235" spans="2:106" ht="11.25" customHeight="1">
      <c r="B235" s="78"/>
      <c r="C235" s="79"/>
      <c r="D235" s="79"/>
      <c r="E235" s="79"/>
      <c r="F235" s="79"/>
      <c r="G235" s="79"/>
      <c r="H235" s="79" t="s">
        <v>160</v>
      </c>
      <c r="I235" s="79"/>
      <c r="J235" s="79"/>
      <c r="K235" s="79"/>
      <c r="L235" s="79" t="s">
        <v>440</v>
      </c>
      <c r="M235" s="79"/>
      <c r="N235" s="79"/>
      <c r="O235" s="79" t="s">
        <v>604</v>
      </c>
      <c r="P235" s="79"/>
      <c r="Q235" s="79" t="str">
        <f>TEXT(DA222,"#,###.##")</f>
        <v>243.6</v>
      </c>
      <c r="R235" s="79"/>
      <c r="S235" s="79"/>
      <c r="T235" s="79"/>
      <c r="U235" s="79"/>
      <c r="V235" s="79"/>
      <c r="W235" s="79" t="s">
        <v>148</v>
      </c>
      <c r="X235" s="79"/>
      <c r="Y235" s="79" t="str">
        <f>TEXT(DA229,"#,###.##")</f>
        <v>208.7</v>
      </c>
      <c r="Z235" s="79"/>
      <c r="AA235" s="79"/>
      <c r="AB235" s="79"/>
      <c r="AC235" s="79"/>
      <c r="AD235" s="79"/>
      <c r="AE235" s="79" t="s">
        <v>309</v>
      </c>
      <c r="AF235" s="79"/>
      <c r="AG235" s="79"/>
      <c r="AH235" s="79" t="str">
        <f>TEXT(TRUNC(DA222+DA229,1),"#,##0.#")</f>
        <v>452.3</v>
      </c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  <c r="AS235" s="79"/>
      <c r="AT235" s="79"/>
      <c r="AU235" s="79"/>
      <c r="AV235" s="79"/>
      <c r="AW235" s="79"/>
      <c r="AX235" s="79"/>
      <c r="AY235" s="79"/>
      <c r="AZ235" s="79"/>
      <c r="BA235" s="79"/>
      <c r="BB235" s="79"/>
      <c r="BC235" s="79"/>
      <c r="BD235" s="79"/>
      <c r="BE235" s="79"/>
      <c r="BF235" s="79"/>
      <c r="BG235" s="79"/>
      <c r="BH235" s="79"/>
      <c r="BI235" s="79"/>
      <c r="BJ235" s="79"/>
      <c r="BK235" s="79"/>
      <c r="BL235" s="79"/>
      <c r="BM235" s="79"/>
      <c r="BN235" s="79"/>
      <c r="BO235" s="79"/>
      <c r="BP235" s="79"/>
      <c r="BQ235" s="79"/>
      <c r="BR235" s="79"/>
      <c r="BS235" s="79"/>
      <c r="BT235" s="79"/>
      <c r="BU235" s="79"/>
      <c r="BV235" s="79"/>
      <c r="BW235" s="79"/>
      <c r="BX235" s="79"/>
      <c r="BY235" s="79"/>
      <c r="BZ235" s="79"/>
      <c r="CA235" s="79"/>
      <c r="CB235" s="79"/>
      <c r="CC235" s="79"/>
      <c r="CD235" s="79"/>
      <c r="CE235" s="79"/>
      <c r="CF235" s="79"/>
      <c r="CG235" s="79"/>
      <c r="CH235" s="79"/>
      <c r="CI235" s="79"/>
      <c r="CJ235" s="79"/>
      <c r="CK235" s="79"/>
      <c r="CL235" s="79"/>
      <c r="CM235" s="79"/>
      <c r="CN235" s="79"/>
      <c r="CO235" s="79"/>
      <c r="CP235" s="79"/>
      <c r="CQ235" s="79"/>
      <c r="CR235" s="79"/>
      <c r="CS235" s="79"/>
      <c r="CT235" s="79"/>
      <c r="CU235" s="79"/>
      <c r="CV235" s="79"/>
      <c r="CW235" s="79"/>
      <c r="CX235" s="85"/>
      <c r="CY235" s="85"/>
      <c r="CZ235" s="85"/>
      <c r="DA235" s="86"/>
      <c r="DB235" s="84"/>
    </row>
    <row r="236" spans="2:106" ht="11.25" customHeight="1">
      <c r="B236" s="78"/>
      <c r="C236" s="79"/>
      <c r="D236" s="79"/>
      <c r="E236" s="79"/>
      <c r="F236" s="79"/>
      <c r="G236" s="79"/>
      <c r="H236" s="79"/>
      <c r="I236" s="79"/>
      <c r="J236" s="79" t="s">
        <v>436</v>
      </c>
      <c r="K236" s="79"/>
      <c r="L236" s="79"/>
      <c r="M236" s="79"/>
      <c r="N236" s="79"/>
      <c r="O236" s="79" t="s">
        <v>604</v>
      </c>
      <c r="P236" s="79"/>
      <c r="Q236" s="79"/>
      <c r="R236" s="79" t="str">
        <f>TEXT(AL233+AH234+AH235,"#,##0.#######")</f>
        <v>4,117.8</v>
      </c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  <c r="BM236" s="79"/>
      <c r="BN236" s="79"/>
      <c r="BO236" s="79"/>
      <c r="BP236" s="79"/>
      <c r="BQ236" s="79"/>
      <c r="BR236" s="79"/>
      <c r="BS236" s="79"/>
      <c r="BT236" s="79"/>
      <c r="BU236" s="79"/>
      <c r="BV236" s="79"/>
      <c r="BW236" s="79"/>
      <c r="BX236" s="79"/>
      <c r="BY236" s="79"/>
      <c r="BZ236" s="79"/>
      <c r="CA236" s="79"/>
      <c r="CB236" s="79"/>
      <c r="CC236" s="79"/>
      <c r="CD236" s="79"/>
      <c r="CE236" s="79"/>
      <c r="CF236" s="79"/>
      <c r="CG236" s="79"/>
      <c r="CH236" s="79"/>
      <c r="CI236" s="79"/>
      <c r="CJ236" s="79"/>
      <c r="CK236" s="79"/>
      <c r="CL236" s="79"/>
      <c r="CM236" s="79"/>
      <c r="CN236" s="79"/>
      <c r="CO236" s="79"/>
      <c r="CP236" s="79"/>
      <c r="CQ236" s="79"/>
      <c r="CR236" s="79"/>
      <c r="CS236" s="79"/>
      <c r="CT236" s="79"/>
      <c r="CU236" s="79"/>
      <c r="CV236" s="79"/>
      <c r="CW236" s="79"/>
      <c r="CX236" s="85">
        <f>CY236+CZ236+DA236</f>
        <v>4117.8</v>
      </c>
      <c r="CY236" s="85" t="str">
        <f>TEXT(AL233,"#,###.0")</f>
        <v>3,185.6</v>
      </c>
      <c r="CZ236" s="85" t="str">
        <f>TEXT(AH234,"#,###.0")</f>
        <v>479.9</v>
      </c>
      <c r="DA236" s="86" t="str">
        <f>TEXT(AH235,"#,###.0")</f>
        <v>452.3</v>
      </c>
      <c r="DB236" s="84"/>
    </row>
    <row r="237" spans="2:106" ht="11.25" customHeight="1">
      <c r="B237" s="78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  <c r="AS237" s="79"/>
      <c r="AT237" s="79"/>
      <c r="AU237" s="79"/>
      <c r="AV237" s="79"/>
      <c r="AW237" s="79"/>
      <c r="AX237" s="79"/>
      <c r="AY237" s="79"/>
      <c r="AZ237" s="79"/>
      <c r="BA237" s="79"/>
      <c r="BB237" s="79"/>
      <c r="BC237" s="79"/>
      <c r="BD237" s="79"/>
      <c r="BE237" s="79"/>
      <c r="BF237" s="79"/>
      <c r="BG237" s="79"/>
      <c r="BH237" s="79"/>
      <c r="BI237" s="79"/>
      <c r="BJ237" s="79"/>
      <c r="BK237" s="79"/>
      <c r="BL237" s="79"/>
      <c r="BM237" s="79"/>
      <c r="BN237" s="79"/>
      <c r="BO237" s="79"/>
      <c r="BP237" s="79"/>
      <c r="BQ237" s="79"/>
      <c r="BR237" s="79"/>
      <c r="BS237" s="79"/>
      <c r="BT237" s="79"/>
      <c r="BU237" s="79"/>
      <c r="BV237" s="79"/>
      <c r="BW237" s="79"/>
      <c r="BX237" s="79"/>
      <c r="BY237" s="79"/>
      <c r="BZ237" s="79"/>
      <c r="CA237" s="79"/>
      <c r="CB237" s="79"/>
      <c r="CC237" s="79"/>
      <c r="CD237" s="79"/>
      <c r="CE237" s="79"/>
      <c r="CF237" s="79"/>
      <c r="CG237" s="79"/>
      <c r="CH237" s="79"/>
      <c r="CI237" s="79"/>
      <c r="CJ237" s="79"/>
      <c r="CK237" s="79"/>
      <c r="CL237" s="79"/>
      <c r="CM237" s="79"/>
      <c r="CN237" s="79"/>
      <c r="CO237" s="79"/>
      <c r="CP237" s="79"/>
      <c r="CQ237" s="79"/>
      <c r="CR237" s="79"/>
      <c r="CS237" s="79"/>
      <c r="CT237" s="79"/>
      <c r="CU237" s="79"/>
      <c r="CV237" s="79"/>
      <c r="CW237" s="79"/>
      <c r="CX237" s="85"/>
      <c r="CY237" s="85"/>
      <c r="CZ237" s="85"/>
      <c r="DA237" s="86"/>
      <c r="DB237" s="84"/>
    </row>
    <row r="238" spans="2:106" ht="11.25" customHeight="1">
      <c r="B238" s="78"/>
      <c r="C238" s="79"/>
      <c r="D238" s="79" t="s">
        <v>575</v>
      </c>
      <c r="E238" s="79"/>
      <c r="F238" s="79"/>
      <c r="G238" s="79" t="s">
        <v>557</v>
      </c>
      <c r="H238" s="79"/>
      <c r="I238" s="79"/>
      <c r="J238" s="79"/>
      <c r="K238" s="79" t="s">
        <v>436</v>
      </c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/>
      <c r="AT238" s="79"/>
      <c r="AU238" s="79"/>
      <c r="AV238" s="79"/>
      <c r="AW238" s="79"/>
      <c r="AX238" s="79"/>
      <c r="AY238" s="79"/>
      <c r="AZ238" s="79"/>
      <c r="BA238" s="79"/>
      <c r="BB238" s="79"/>
      <c r="BC238" s="79"/>
      <c r="BD238" s="79"/>
      <c r="BE238" s="79"/>
      <c r="BF238" s="79"/>
      <c r="BG238" s="79"/>
      <c r="BH238" s="79"/>
      <c r="BI238" s="79"/>
      <c r="BJ238" s="79"/>
      <c r="BK238" s="79"/>
      <c r="BL238" s="79"/>
      <c r="BM238" s="79"/>
      <c r="BN238" s="79"/>
      <c r="BO238" s="79"/>
      <c r="BP238" s="79"/>
      <c r="BQ238" s="79"/>
      <c r="BR238" s="79"/>
      <c r="BS238" s="79"/>
      <c r="BT238" s="79"/>
      <c r="BU238" s="79"/>
      <c r="BV238" s="79"/>
      <c r="BW238" s="79"/>
      <c r="BX238" s="79"/>
      <c r="BY238" s="79"/>
      <c r="BZ238" s="79"/>
      <c r="CA238" s="79"/>
      <c r="CB238" s="79"/>
      <c r="CC238" s="79"/>
      <c r="CD238" s="79"/>
      <c r="CE238" s="79"/>
      <c r="CF238" s="79"/>
      <c r="CG238" s="79"/>
      <c r="CH238" s="79"/>
      <c r="CI238" s="79"/>
      <c r="CJ238" s="79"/>
      <c r="CK238" s="79"/>
      <c r="CL238" s="79"/>
      <c r="CM238" s="79"/>
      <c r="CN238" s="79"/>
      <c r="CO238" s="79"/>
      <c r="CP238" s="79"/>
      <c r="CQ238" s="79"/>
      <c r="CR238" s="79"/>
      <c r="CS238" s="79"/>
      <c r="CT238" s="79"/>
      <c r="CU238" s="79"/>
      <c r="CV238" s="79"/>
      <c r="CW238" s="79"/>
      <c r="CX238" s="85"/>
      <c r="CY238" s="85"/>
      <c r="CZ238" s="85"/>
      <c r="DA238" s="86"/>
      <c r="DB238" s="84"/>
    </row>
    <row r="239" spans="2:106" ht="11.25" customHeight="1">
      <c r="B239" s="78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  <c r="AR239" s="79"/>
      <c r="AS239" s="79"/>
      <c r="AT239" s="79"/>
      <c r="AU239" s="79"/>
      <c r="AV239" s="79"/>
      <c r="AW239" s="79"/>
      <c r="AX239" s="79"/>
      <c r="AY239" s="79"/>
      <c r="AZ239" s="79"/>
      <c r="BA239" s="79"/>
      <c r="BB239" s="79"/>
      <c r="BC239" s="79"/>
      <c r="BD239" s="79"/>
      <c r="BE239" s="79"/>
      <c r="BF239" s="79"/>
      <c r="BG239" s="79"/>
      <c r="BH239" s="79"/>
      <c r="BI239" s="79"/>
      <c r="BJ239" s="79"/>
      <c r="BK239" s="79"/>
      <c r="BL239" s="79"/>
      <c r="BM239" s="79"/>
      <c r="BN239" s="79"/>
      <c r="BO239" s="79"/>
      <c r="BP239" s="79"/>
      <c r="BQ239" s="79"/>
      <c r="BR239" s="79"/>
      <c r="BS239" s="79"/>
      <c r="BT239" s="79"/>
      <c r="BU239" s="79"/>
      <c r="BV239" s="79"/>
      <c r="BW239" s="79"/>
      <c r="BX239" s="79"/>
      <c r="BY239" s="79"/>
      <c r="BZ239" s="79"/>
      <c r="CA239" s="79"/>
      <c r="CB239" s="79"/>
      <c r="CC239" s="79"/>
      <c r="CD239" s="79"/>
      <c r="CE239" s="79"/>
      <c r="CF239" s="79"/>
      <c r="CG239" s="79"/>
      <c r="CH239" s="79"/>
      <c r="CI239" s="79"/>
      <c r="CJ239" s="79"/>
      <c r="CK239" s="79"/>
      <c r="CL239" s="79"/>
      <c r="CM239" s="79"/>
      <c r="CN239" s="79"/>
      <c r="CO239" s="79"/>
      <c r="CP239" s="79"/>
      <c r="CQ239" s="79"/>
      <c r="CR239" s="79"/>
      <c r="CS239" s="79"/>
      <c r="CT239" s="79"/>
      <c r="CU239" s="79"/>
      <c r="CV239" s="79"/>
      <c r="CW239" s="79"/>
      <c r="CX239" s="85"/>
      <c r="CY239" s="85"/>
      <c r="CZ239" s="85"/>
      <c r="DA239" s="86"/>
      <c r="DB239" s="84"/>
    </row>
    <row r="240" spans="2:106" ht="11.25" customHeight="1">
      <c r="B240" s="78"/>
      <c r="C240" s="79"/>
      <c r="D240" s="79"/>
      <c r="E240" s="79"/>
      <c r="F240" s="79"/>
      <c r="G240" s="79"/>
      <c r="H240" s="79" t="s">
        <v>700</v>
      </c>
      <c r="I240" s="79"/>
      <c r="J240" s="79"/>
      <c r="K240" s="79"/>
      <c r="L240" s="79"/>
      <c r="M240" s="79"/>
      <c r="N240" s="79"/>
      <c r="O240" s="79" t="s">
        <v>604</v>
      </c>
      <c r="P240" s="79"/>
      <c r="Q240" s="79" t="str">
        <f>TEXT(CY203,"#,###.##")</f>
        <v>3,185.4</v>
      </c>
      <c r="R240" s="79"/>
      <c r="S240" s="79"/>
      <c r="T240" s="79"/>
      <c r="U240" s="79"/>
      <c r="V240" s="79"/>
      <c r="W240" s="79"/>
      <c r="X240" s="79"/>
      <c r="Y240" s="79" t="s">
        <v>148</v>
      </c>
      <c r="Z240" s="79"/>
      <c r="AA240" s="79" t="str">
        <f>TEXT(CY236,"#,###.##")</f>
        <v>3,185.6</v>
      </c>
      <c r="AB240" s="79"/>
      <c r="AC240" s="79"/>
      <c r="AD240" s="79"/>
      <c r="AE240" s="79"/>
      <c r="AF240" s="79"/>
      <c r="AG240" s="79"/>
      <c r="AH240" s="79"/>
      <c r="AI240" s="79" t="s">
        <v>309</v>
      </c>
      <c r="AJ240" s="79"/>
      <c r="AK240" s="79"/>
      <c r="AL240" s="79" t="str">
        <f>TEXT(TRUNC(CY203+CY236,0),"#,##0")</f>
        <v>6,371</v>
      </c>
      <c r="AM240" s="79"/>
      <c r="AN240" s="79"/>
      <c r="AO240" s="79"/>
      <c r="AP240" s="79"/>
      <c r="AQ240" s="79"/>
      <c r="AR240" s="79"/>
      <c r="AS240" s="79"/>
      <c r="AT240" s="79"/>
      <c r="AU240" s="79"/>
      <c r="AV240" s="79"/>
      <c r="AW240" s="79"/>
      <c r="AX240" s="79"/>
      <c r="AY240" s="79"/>
      <c r="AZ240" s="79"/>
      <c r="BA240" s="79"/>
      <c r="BB240" s="79"/>
      <c r="BC240" s="79"/>
      <c r="BD240" s="79"/>
      <c r="BE240" s="79"/>
      <c r="BF240" s="79"/>
      <c r="BG240" s="79"/>
      <c r="BH240" s="79"/>
      <c r="BI240" s="79"/>
      <c r="BJ240" s="79"/>
      <c r="BK240" s="79"/>
      <c r="BL240" s="79"/>
      <c r="BM240" s="79"/>
      <c r="BN240" s="79"/>
      <c r="BO240" s="79"/>
      <c r="BP240" s="79"/>
      <c r="BQ240" s="79"/>
      <c r="BR240" s="79"/>
      <c r="BS240" s="79"/>
      <c r="BT240" s="79"/>
      <c r="BU240" s="79"/>
      <c r="BV240" s="79"/>
      <c r="BW240" s="79"/>
      <c r="BX240" s="79"/>
      <c r="BY240" s="79"/>
      <c r="BZ240" s="79"/>
      <c r="CA240" s="79"/>
      <c r="CB240" s="79"/>
      <c r="CC240" s="79"/>
      <c r="CD240" s="79"/>
      <c r="CE240" s="79"/>
      <c r="CF240" s="79"/>
      <c r="CG240" s="79"/>
      <c r="CH240" s="79"/>
      <c r="CI240" s="79"/>
      <c r="CJ240" s="79"/>
      <c r="CK240" s="79"/>
      <c r="CL240" s="79"/>
      <c r="CM240" s="79"/>
      <c r="CN240" s="79"/>
      <c r="CO240" s="79"/>
      <c r="CP240" s="79"/>
      <c r="CQ240" s="79"/>
      <c r="CR240" s="79"/>
      <c r="CS240" s="79"/>
      <c r="CT240" s="79"/>
      <c r="CU240" s="79"/>
      <c r="CV240" s="79"/>
      <c r="CW240" s="79"/>
      <c r="CX240" s="85"/>
      <c r="CY240" s="85"/>
      <c r="CZ240" s="85"/>
      <c r="DA240" s="86"/>
      <c r="DB240" s="84"/>
    </row>
    <row r="241" spans="2:106" ht="11.25" customHeight="1">
      <c r="B241" s="78"/>
      <c r="C241" s="79"/>
      <c r="D241" s="79"/>
      <c r="E241" s="79"/>
      <c r="F241" s="79"/>
      <c r="G241" s="79"/>
      <c r="H241" s="79" t="s">
        <v>498</v>
      </c>
      <c r="I241" s="79"/>
      <c r="J241" s="79"/>
      <c r="K241" s="79"/>
      <c r="L241" s="79"/>
      <c r="M241" s="79"/>
      <c r="N241" s="79"/>
      <c r="O241" s="79" t="s">
        <v>604</v>
      </c>
      <c r="P241" s="79"/>
      <c r="Q241" s="79" t="str">
        <f>TEXT(CZ195,"#,###.##")</f>
        <v>24,638.9</v>
      </c>
      <c r="R241" s="79"/>
      <c r="S241" s="79"/>
      <c r="T241" s="79"/>
      <c r="U241" s="79"/>
      <c r="V241" s="79"/>
      <c r="W241" s="79"/>
      <c r="X241" s="79"/>
      <c r="Y241" s="79"/>
      <c r="Z241" s="79" t="s">
        <v>148</v>
      </c>
      <c r="AA241" s="79"/>
      <c r="AB241" s="79" t="str">
        <f>TEXT(CZ207,"#,###.##")</f>
        <v>246.3</v>
      </c>
      <c r="AC241" s="79"/>
      <c r="AD241" s="79"/>
      <c r="AE241" s="79"/>
      <c r="AF241" s="79"/>
      <c r="AG241" s="79"/>
      <c r="AH241" s="79" t="s">
        <v>148</v>
      </c>
      <c r="AI241" s="79"/>
      <c r="AJ241" s="79" t="str">
        <f>TEXT(CZ236,"#,###.##")</f>
        <v>479.9</v>
      </c>
      <c r="AK241" s="79"/>
      <c r="AL241" s="79"/>
      <c r="AM241" s="79"/>
      <c r="AN241" s="79"/>
      <c r="AO241" s="79"/>
      <c r="AP241" s="79" t="s">
        <v>309</v>
      </c>
      <c r="AQ241" s="79"/>
      <c r="AR241" s="79"/>
      <c r="AS241" s="79" t="str">
        <f>TEXT(TRUNC(CZ195+CZ207+CZ236,0),"#,##0")</f>
        <v>25,365</v>
      </c>
      <c r="AT241" s="79"/>
      <c r="AU241" s="79"/>
      <c r="AV241" s="79"/>
      <c r="AW241" s="79"/>
      <c r="AX241" s="79"/>
      <c r="AY241" s="79"/>
      <c r="AZ241" s="79"/>
      <c r="BA241" s="79"/>
      <c r="BB241" s="79"/>
      <c r="BC241" s="79"/>
      <c r="BD241" s="79"/>
      <c r="BE241" s="79"/>
      <c r="BF241" s="79"/>
      <c r="BG241" s="79"/>
      <c r="BH241" s="79"/>
      <c r="BI241" s="79"/>
      <c r="BJ241" s="79"/>
      <c r="BK241" s="79"/>
      <c r="BL241" s="79"/>
      <c r="BM241" s="79"/>
      <c r="BN241" s="79"/>
      <c r="BO241" s="79"/>
      <c r="BP241" s="79"/>
      <c r="BQ241" s="79"/>
      <c r="BR241" s="79"/>
      <c r="BS241" s="79"/>
      <c r="BT241" s="79"/>
      <c r="BU241" s="79"/>
      <c r="BV241" s="79"/>
      <c r="BW241" s="79"/>
      <c r="BX241" s="79"/>
      <c r="BY241" s="79"/>
      <c r="BZ241" s="79"/>
      <c r="CA241" s="79"/>
      <c r="CB241" s="79"/>
      <c r="CC241" s="79"/>
      <c r="CD241" s="79"/>
      <c r="CE241" s="79"/>
      <c r="CF241" s="79"/>
      <c r="CG241" s="79"/>
      <c r="CH241" s="79"/>
      <c r="CI241" s="79"/>
      <c r="CJ241" s="79"/>
      <c r="CK241" s="79"/>
      <c r="CL241" s="79"/>
      <c r="CM241" s="79"/>
      <c r="CN241" s="79"/>
      <c r="CO241" s="79"/>
      <c r="CP241" s="79"/>
      <c r="CQ241" s="79"/>
      <c r="CR241" s="79"/>
      <c r="CS241" s="79"/>
      <c r="CT241" s="79"/>
      <c r="CU241" s="79"/>
      <c r="CV241" s="79"/>
      <c r="CW241" s="79"/>
      <c r="CX241" s="85"/>
      <c r="CY241" s="85"/>
      <c r="CZ241" s="85"/>
      <c r="DA241" s="86"/>
      <c r="DB241" s="84"/>
    </row>
    <row r="242" spans="2:106" ht="11.25" customHeight="1">
      <c r="B242" s="78"/>
      <c r="C242" s="79"/>
      <c r="D242" s="79"/>
      <c r="E242" s="79"/>
      <c r="F242" s="79"/>
      <c r="G242" s="79"/>
      <c r="H242" s="79" t="s">
        <v>160</v>
      </c>
      <c r="I242" s="79"/>
      <c r="J242" s="79"/>
      <c r="K242" s="79"/>
      <c r="L242" s="79" t="s">
        <v>440</v>
      </c>
      <c r="M242" s="79"/>
      <c r="N242" s="79"/>
      <c r="O242" s="79" t="s">
        <v>604</v>
      </c>
      <c r="P242" s="79"/>
      <c r="Q242" s="79" t="str">
        <f>TEXT(DA211,"#,###.##")</f>
        <v>318.5</v>
      </c>
      <c r="R242" s="79"/>
      <c r="S242" s="79"/>
      <c r="T242" s="79"/>
      <c r="U242" s="79"/>
      <c r="V242" s="79"/>
      <c r="W242" s="79" t="s">
        <v>148</v>
      </c>
      <c r="X242" s="79"/>
      <c r="Y242" s="79" t="str">
        <f>TEXT(DA236,"#,###.##")</f>
        <v>452.3</v>
      </c>
      <c r="Z242" s="79"/>
      <c r="AA242" s="79"/>
      <c r="AB242" s="79"/>
      <c r="AC242" s="79"/>
      <c r="AD242" s="79"/>
      <c r="AE242" s="79" t="s">
        <v>309</v>
      </c>
      <c r="AF242" s="79"/>
      <c r="AG242" s="79"/>
      <c r="AH242" s="79" t="str">
        <f>TEXT(TRUNC(DA211+DA236,0),"#,##0")</f>
        <v>770</v>
      </c>
      <c r="AI242" s="79"/>
      <c r="AJ242" s="79"/>
      <c r="AK242" s="79"/>
      <c r="AL242" s="79"/>
      <c r="AM242" s="79"/>
      <c r="AN242" s="79"/>
      <c r="AO242" s="79"/>
      <c r="AP242" s="79"/>
      <c r="AQ242" s="79"/>
      <c r="AR242" s="79"/>
      <c r="AS242" s="79"/>
      <c r="AT242" s="79"/>
      <c r="AU242" s="79"/>
      <c r="AV242" s="79"/>
      <c r="AW242" s="79"/>
      <c r="AX242" s="79"/>
      <c r="AY242" s="79"/>
      <c r="AZ242" s="79"/>
      <c r="BA242" s="79"/>
      <c r="BB242" s="79"/>
      <c r="BC242" s="79"/>
      <c r="BD242" s="79"/>
      <c r="BE242" s="79"/>
      <c r="BF242" s="79"/>
      <c r="BG242" s="79"/>
      <c r="BH242" s="79"/>
      <c r="BI242" s="79"/>
      <c r="BJ242" s="79"/>
      <c r="BK242" s="79"/>
      <c r="BL242" s="79"/>
      <c r="BM242" s="79"/>
      <c r="BN242" s="79"/>
      <c r="BO242" s="79"/>
      <c r="BP242" s="79"/>
      <c r="BQ242" s="79"/>
      <c r="BR242" s="79"/>
      <c r="BS242" s="79"/>
      <c r="BT242" s="79"/>
      <c r="BU242" s="79"/>
      <c r="BV242" s="79"/>
      <c r="BW242" s="79"/>
      <c r="BX242" s="79"/>
      <c r="BY242" s="79"/>
      <c r="BZ242" s="79"/>
      <c r="CA242" s="79"/>
      <c r="CB242" s="79"/>
      <c r="CC242" s="79"/>
      <c r="CD242" s="79"/>
      <c r="CE242" s="79"/>
      <c r="CF242" s="79"/>
      <c r="CG242" s="79"/>
      <c r="CH242" s="79"/>
      <c r="CI242" s="79"/>
      <c r="CJ242" s="79"/>
      <c r="CK242" s="79"/>
      <c r="CL242" s="79"/>
      <c r="CM242" s="79"/>
      <c r="CN242" s="79"/>
      <c r="CO242" s="79"/>
      <c r="CP242" s="79"/>
      <c r="CQ242" s="79"/>
      <c r="CR242" s="79"/>
      <c r="CS242" s="79"/>
      <c r="CT242" s="79"/>
      <c r="CU242" s="79"/>
      <c r="CV242" s="79"/>
      <c r="CW242" s="79"/>
      <c r="CX242" s="85"/>
      <c r="CY242" s="85"/>
      <c r="CZ242" s="85"/>
      <c r="DA242" s="86"/>
      <c r="DB242" s="84"/>
    </row>
    <row r="243" spans="2:106" ht="11.25" customHeight="1">
      <c r="B243" s="78"/>
      <c r="C243" s="79"/>
      <c r="D243" s="79"/>
      <c r="E243" s="79"/>
      <c r="F243" s="79"/>
      <c r="G243" s="79"/>
      <c r="H243" s="79"/>
      <c r="I243" s="79"/>
      <c r="J243" s="79" t="s">
        <v>436</v>
      </c>
      <c r="K243" s="79"/>
      <c r="L243" s="79"/>
      <c r="M243" s="79"/>
      <c r="N243" s="79"/>
      <c r="O243" s="79" t="s">
        <v>604</v>
      </c>
      <c r="P243" s="79"/>
      <c r="Q243" s="79"/>
      <c r="R243" s="79" t="str">
        <f>TEXT(AL240+AS241+AH242,"#,##0")</f>
        <v>32,506</v>
      </c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/>
      <c r="AT243" s="79"/>
      <c r="AU243" s="79"/>
      <c r="AV243" s="79"/>
      <c r="AW243" s="79"/>
      <c r="AX243" s="79"/>
      <c r="AY243" s="79"/>
      <c r="AZ243" s="79"/>
      <c r="BA243" s="79"/>
      <c r="BB243" s="79"/>
      <c r="BC243" s="79"/>
      <c r="BD243" s="79"/>
      <c r="BE243" s="79"/>
      <c r="BF243" s="79"/>
      <c r="BG243" s="79"/>
      <c r="BH243" s="79"/>
      <c r="BI243" s="79"/>
      <c r="BJ243" s="79"/>
      <c r="BK243" s="79"/>
      <c r="BL243" s="79"/>
      <c r="BM243" s="79"/>
      <c r="BN243" s="79"/>
      <c r="BO243" s="79"/>
      <c r="BP243" s="79"/>
      <c r="BQ243" s="79"/>
      <c r="BR243" s="79"/>
      <c r="BS243" s="79"/>
      <c r="BT243" s="79"/>
      <c r="BU243" s="79"/>
      <c r="BV243" s="79"/>
      <c r="BW243" s="79"/>
      <c r="BX243" s="79"/>
      <c r="BY243" s="79"/>
      <c r="BZ243" s="79"/>
      <c r="CA243" s="79"/>
      <c r="CB243" s="79"/>
      <c r="CC243" s="79"/>
      <c r="CD243" s="79"/>
      <c r="CE243" s="79"/>
      <c r="CF243" s="79"/>
      <c r="CG243" s="79"/>
      <c r="CH243" s="79"/>
      <c r="CI243" s="79"/>
      <c r="CJ243" s="79"/>
      <c r="CK243" s="79"/>
      <c r="CL243" s="79"/>
      <c r="CM243" s="79"/>
      <c r="CN243" s="79"/>
      <c r="CO243" s="79"/>
      <c r="CP243" s="79"/>
      <c r="CQ243" s="79"/>
      <c r="CR243" s="79"/>
      <c r="CS243" s="79"/>
      <c r="CT243" s="79"/>
      <c r="CU243" s="79"/>
      <c r="CV243" s="79"/>
      <c r="CW243" s="79"/>
      <c r="CX243" s="89">
        <f>CY243+CZ243+DA243</f>
        <v>32506</v>
      </c>
      <c r="CY243" s="85" t="str">
        <f>TEXT(AL240,"#,##0")</f>
        <v>6,371</v>
      </c>
      <c r="CZ243" s="85" t="str">
        <f>TEXT(AS241,"#,##0")</f>
        <v>25,365</v>
      </c>
      <c r="DA243" s="86" t="str">
        <f>TEXT(AH242,"#,##0")</f>
        <v>770</v>
      </c>
      <c r="DB243" s="84"/>
    </row>
    <row r="244" spans="2:106" ht="11.25" customHeight="1">
      <c r="B244" s="78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/>
      <c r="AT244" s="79"/>
      <c r="AU244" s="79"/>
      <c r="AV244" s="79"/>
      <c r="AW244" s="79"/>
      <c r="AX244" s="79"/>
      <c r="AY244" s="79"/>
      <c r="AZ244" s="79"/>
      <c r="BA244" s="79"/>
      <c r="BB244" s="79"/>
      <c r="BC244" s="79"/>
      <c r="BD244" s="79"/>
      <c r="BE244" s="79"/>
      <c r="BF244" s="79"/>
      <c r="BG244" s="79"/>
      <c r="BH244" s="79"/>
      <c r="BI244" s="79"/>
      <c r="BJ244" s="79"/>
      <c r="BK244" s="79"/>
      <c r="BL244" s="79"/>
      <c r="BM244" s="79"/>
      <c r="BN244" s="79"/>
      <c r="BO244" s="79"/>
      <c r="BP244" s="79"/>
      <c r="BQ244" s="79"/>
      <c r="BR244" s="79"/>
      <c r="BS244" s="79"/>
      <c r="BT244" s="79"/>
      <c r="BU244" s="79"/>
      <c r="BV244" s="79"/>
      <c r="BW244" s="79"/>
      <c r="BX244" s="79"/>
      <c r="BY244" s="79"/>
      <c r="BZ244" s="79"/>
      <c r="CA244" s="79"/>
      <c r="CB244" s="79"/>
      <c r="CC244" s="79"/>
      <c r="CD244" s="79"/>
      <c r="CE244" s="79"/>
      <c r="CF244" s="79"/>
      <c r="CG244" s="79"/>
      <c r="CH244" s="79"/>
      <c r="CI244" s="79"/>
      <c r="CJ244" s="79"/>
      <c r="CK244" s="79"/>
      <c r="CL244" s="79"/>
      <c r="CM244" s="79"/>
      <c r="CN244" s="79"/>
      <c r="CO244" s="79"/>
      <c r="CP244" s="79"/>
      <c r="CQ244" s="79"/>
      <c r="CR244" s="79"/>
      <c r="CS244" s="79"/>
      <c r="CT244" s="79"/>
      <c r="CU244" s="79"/>
      <c r="CV244" s="79"/>
      <c r="CW244" s="79"/>
      <c r="CX244" s="85"/>
      <c r="CY244" s="85"/>
      <c r="CZ244" s="85"/>
      <c r="DA244" s="86"/>
      <c r="DB244" s="84"/>
    </row>
    <row r="245" spans="2:106" ht="11.25" customHeight="1">
      <c r="B245" s="81" t="s">
        <v>354</v>
      </c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  <c r="AR245" s="79"/>
      <c r="AS245" s="79"/>
      <c r="AT245" s="79"/>
      <c r="AU245" s="79"/>
      <c r="AV245" s="79"/>
      <c r="AW245" s="79"/>
      <c r="AX245" s="79"/>
      <c r="AY245" s="79"/>
      <c r="AZ245" s="79"/>
      <c r="BA245" s="79"/>
      <c r="BB245" s="79"/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  <c r="BP245" s="79"/>
      <c r="BQ245" s="79"/>
      <c r="BR245" s="79"/>
      <c r="BS245" s="79"/>
      <c r="BT245" s="79"/>
      <c r="BU245" s="79"/>
      <c r="BV245" s="79"/>
      <c r="BW245" s="79"/>
      <c r="BX245" s="79"/>
      <c r="BY245" s="79"/>
      <c r="BZ245" s="79"/>
      <c r="CA245" s="79"/>
      <c r="CB245" s="79"/>
      <c r="CC245" s="79"/>
      <c r="CD245" s="79"/>
      <c r="CE245" s="79"/>
      <c r="CF245" s="79"/>
      <c r="CG245" s="79"/>
      <c r="CH245" s="79"/>
      <c r="CI245" s="79"/>
      <c r="CJ245" s="79"/>
      <c r="CK245" s="79"/>
      <c r="CL245" s="79"/>
      <c r="CM245" s="79"/>
      <c r="CN245" s="79"/>
      <c r="CO245" s="79"/>
      <c r="CP245" s="79"/>
      <c r="CQ245" s="79"/>
      <c r="CR245" s="79"/>
      <c r="CS245" s="79"/>
      <c r="CT245" s="79"/>
      <c r="CU245" s="79"/>
      <c r="CV245" s="79"/>
      <c r="CW245" s="79"/>
      <c r="CX245" s="82">
        <f>CX311</f>
        <v>46057</v>
      </c>
      <c r="CY245" s="82" t="str">
        <f>CY311</f>
        <v>17,698</v>
      </c>
      <c r="CZ245" s="82" t="str">
        <f>CZ311</f>
        <v>26,218</v>
      </c>
      <c r="DA245" s="83" t="str">
        <f>DA311</f>
        <v>2,141</v>
      </c>
      <c r="DB245" s="84"/>
    </row>
    <row r="246" spans="2:106" ht="11.25" customHeight="1">
      <c r="B246" s="78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  <c r="AS246" s="79"/>
      <c r="AT246" s="79"/>
      <c r="AU246" s="79"/>
      <c r="AV246" s="79"/>
      <c r="AW246" s="79"/>
      <c r="AX246" s="79"/>
      <c r="AY246" s="79"/>
      <c r="AZ246" s="79"/>
      <c r="BA246" s="79"/>
      <c r="BB246" s="79"/>
      <c r="BC246" s="79"/>
      <c r="BD246" s="79"/>
      <c r="BE246" s="79"/>
      <c r="BF246" s="79"/>
      <c r="BG246" s="79"/>
      <c r="BH246" s="79"/>
      <c r="BI246" s="79"/>
      <c r="BJ246" s="79"/>
      <c r="BK246" s="79"/>
      <c r="BL246" s="79"/>
      <c r="BM246" s="79"/>
      <c r="BN246" s="79"/>
      <c r="BO246" s="79"/>
      <c r="BP246" s="79"/>
      <c r="BQ246" s="79"/>
      <c r="BR246" s="79"/>
      <c r="BS246" s="79"/>
      <c r="BT246" s="79"/>
      <c r="BU246" s="79"/>
      <c r="BV246" s="79"/>
      <c r="BW246" s="79"/>
      <c r="BX246" s="79"/>
      <c r="BY246" s="79"/>
      <c r="BZ246" s="79"/>
      <c r="CA246" s="79"/>
      <c r="CB246" s="79"/>
      <c r="CC246" s="79"/>
      <c r="CD246" s="79"/>
      <c r="CE246" s="79"/>
      <c r="CF246" s="79"/>
      <c r="CG246" s="79"/>
      <c r="CH246" s="79"/>
      <c r="CI246" s="79"/>
      <c r="CJ246" s="79"/>
      <c r="CK246" s="79"/>
      <c r="CL246" s="79"/>
      <c r="CM246" s="79"/>
      <c r="CN246" s="79"/>
      <c r="CO246" s="79"/>
      <c r="CP246" s="79"/>
      <c r="CQ246" s="79"/>
      <c r="CR246" s="79"/>
      <c r="CS246" s="79"/>
      <c r="CT246" s="79"/>
      <c r="CU246" s="79"/>
      <c r="CV246" s="79"/>
      <c r="CW246" s="79"/>
      <c r="CX246" s="85"/>
      <c r="CY246" s="85"/>
      <c r="CZ246" s="85"/>
      <c r="DA246" s="86"/>
      <c r="DB246" s="84"/>
    </row>
    <row r="247" spans="2:106" ht="11.25" customHeight="1">
      <c r="B247" s="78"/>
      <c r="C247" s="79"/>
      <c r="D247" s="79" t="s">
        <v>777</v>
      </c>
      <c r="E247" s="79"/>
      <c r="F247" s="79"/>
      <c r="G247" s="79" t="s">
        <v>422</v>
      </c>
      <c r="H247" s="79"/>
      <c r="I247" s="79"/>
      <c r="J247" s="79"/>
      <c r="K247" s="79" t="s">
        <v>6</v>
      </c>
      <c r="L247" s="79"/>
      <c r="M247" s="79"/>
      <c r="N247" s="79" t="s">
        <v>650</v>
      </c>
      <c r="O247" s="79"/>
      <c r="P247" s="79"/>
      <c r="Q247" s="79"/>
      <c r="R247" s="79"/>
      <c r="S247" s="79"/>
      <c r="T247" s="79"/>
      <c r="U247" s="79"/>
      <c r="V247" s="79"/>
      <c r="W247" s="79" t="s">
        <v>604</v>
      </c>
      <c r="X247" s="79"/>
      <c r="Y247" s="79" t="s">
        <v>684</v>
      </c>
      <c r="Z247" s="79"/>
      <c r="AA247" s="79"/>
      <c r="AB247" s="79"/>
      <c r="AC247" s="79"/>
      <c r="AD247" s="79" t="s">
        <v>225</v>
      </c>
      <c r="AE247" s="79" t="s">
        <v>23</v>
      </c>
      <c r="AF247" s="79" t="s">
        <v>433</v>
      </c>
      <c r="AG247" s="79"/>
      <c r="AH247" s="79" t="s">
        <v>23</v>
      </c>
      <c r="AI247" s="79" t="s">
        <v>764</v>
      </c>
      <c r="AJ247" s="79"/>
      <c r="AK247" s="79" t="s">
        <v>385</v>
      </c>
      <c r="AL247" s="79"/>
      <c r="AM247" s="79"/>
      <c r="AN247" s="79"/>
      <c r="AO247" s="79"/>
      <c r="AP247" s="79"/>
      <c r="AQ247" s="79"/>
      <c r="AR247" s="79"/>
      <c r="AS247" s="79" t="s">
        <v>431</v>
      </c>
      <c r="AT247" s="79" t="s">
        <v>486</v>
      </c>
      <c r="AU247" s="79"/>
      <c r="AV247" s="79"/>
      <c r="AW247" s="79"/>
      <c r="AX247" s="79"/>
      <c r="AY247" s="79"/>
      <c r="AZ247" s="79"/>
      <c r="BA247" s="79"/>
      <c r="BB247" s="79" t="s">
        <v>89</v>
      </c>
      <c r="BC247" s="79"/>
      <c r="BD247" s="79"/>
      <c r="BE247" s="79"/>
      <c r="BF247" s="79"/>
      <c r="BG247" s="79"/>
      <c r="BH247" s="79"/>
      <c r="BI247" s="79"/>
      <c r="BJ247" s="79"/>
      <c r="BK247" s="79"/>
      <c r="BL247" s="79"/>
      <c r="BM247" s="79"/>
      <c r="BN247" s="79"/>
      <c r="BO247" s="79"/>
      <c r="BP247" s="79"/>
      <c r="BQ247" s="79"/>
      <c r="BR247" s="79"/>
      <c r="BS247" s="79"/>
      <c r="BT247" s="79"/>
      <c r="BU247" s="79"/>
      <c r="BV247" s="79"/>
      <c r="BW247" s="79"/>
      <c r="BX247" s="79"/>
      <c r="BY247" s="79"/>
      <c r="BZ247" s="79"/>
      <c r="CA247" s="79"/>
      <c r="CB247" s="79"/>
      <c r="CC247" s="79"/>
      <c r="CD247" s="79"/>
      <c r="CE247" s="79"/>
      <c r="CF247" s="79"/>
      <c r="CG247" s="79"/>
      <c r="CH247" s="79"/>
      <c r="CI247" s="79"/>
      <c r="CJ247" s="79"/>
      <c r="CK247" s="79"/>
      <c r="CL247" s="79"/>
      <c r="CM247" s="79"/>
      <c r="CN247" s="79"/>
      <c r="CO247" s="79"/>
      <c r="CP247" s="79"/>
      <c r="CQ247" s="79"/>
      <c r="CR247" s="79"/>
      <c r="CS247" s="79"/>
      <c r="CT247" s="79"/>
      <c r="CU247" s="79"/>
      <c r="CV247" s="79"/>
      <c r="CW247" s="79"/>
      <c r="CX247" s="85"/>
      <c r="CY247" s="85"/>
      <c r="CZ247" s="85"/>
      <c r="DA247" s="86"/>
      <c r="DB247" s="84"/>
    </row>
    <row r="248" spans="2:106" ht="11.25" customHeight="1">
      <c r="B248" s="78"/>
      <c r="C248" s="79"/>
      <c r="D248" s="79"/>
      <c r="E248" s="79"/>
      <c r="F248" s="79" t="s">
        <v>431</v>
      </c>
      <c r="G248" s="79" t="s">
        <v>58</v>
      </c>
      <c r="H248" s="79"/>
      <c r="I248" s="79"/>
      <c r="J248" s="79"/>
      <c r="K248" s="79"/>
      <c r="L248" s="79"/>
      <c r="M248" s="79"/>
      <c r="N248" s="79" t="s">
        <v>586</v>
      </c>
      <c r="O248" s="79"/>
      <c r="P248" s="79"/>
      <c r="Q248" s="79"/>
      <c r="R248" s="79"/>
      <c r="S248" s="79"/>
      <c r="T248" s="79"/>
      <c r="U248" s="79"/>
      <c r="V248" s="79"/>
      <c r="W248" s="79" t="s">
        <v>299</v>
      </c>
      <c r="X248" s="79"/>
      <c r="Y248" s="79"/>
      <c r="Z248" s="79"/>
      <c r="AA248" s="79"/>
      <c r="AB248" s="79" t="s">
        <v>284</v>
      </c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 t="s">
        <v>581</v>
      </c>
      <c r="AP248" s="79"/>
      <c r="AQ248" s="79"/>
      <c r="AR248" s="79"/>
      <c r="AS248" s="79"/>
      <c r="AT248" s="79"/>
      <c r="AU248" s="79"/>
      <c r="AV248" s="79"/>
      <c r="AW248" s="79"/>
      <c r="AX248" s="79" t="s">
        <v>519</v>
      </c>
      <c r="AY248" s="79"/>
      <c r="AZ248" s="79"/>
      <c r="BA248" s="79"/>
      <c r="BB248" s="79"/>
      <c r="BC248" s="79"/>
      <c r="BD248" s="79"/>
      <c r="BE248" s="79"/>
      <c r="BF248" s="79"/>
      <c r="BG248" s="79" t="s">
        <v>186</v>
      </c>
      <c r="BH248" s="79"/>
      <c r="BI248" s="79"/>
      <c r="BJ248" s="79"/>
      <c r="BK248" s="79"/>
      <c r="BL248" s="79" t="s">
        <v>400</v>
      </c>
      <c r="BM248" s="79"/>
      <c r="BN248" s="79"/>
      <c r="BO248" s="79"/>
      <c r="BP248" s="79"/>
      <c r="BQ248" s="79"/>
      <c r="BR248" s="79"/>
      <c r="BS248" s="79"/>
      <c r="BT248" s="79"/>
      <c r="BU248" s="79"/>
      <c r="BV248" s="79"/>
      <c r="BW248" s="79" t="s">
        <v>141</v>
      </c>
      <c r="BX248" s="79"/>
      <c r="BY248" s="79"/>
      <c r="BZ248" s="79"/>
      <c r="CA248" s="79"/>
      <c r="CB248" s="79"/>
      <c r="CC248" s="79"/>
      <c r="CD248" s="79"/>
      <c r="CE248" s="79" t="s">
        <v>587</v>
      </c>
      <c r="CF248" s="79" t="s">
        <v>89</v>
      </c>
      <c r="CG248" s="79"/>
      <c r="CH248" s="79"/>
      <c r="CI248" s="79"/>
      <c r="CJ248" s="79"/>
      <c r="CK248" s="79"/>
      <c r="CL248" s="79"/>
      <c r="CM248" s="79"/>
      <c r="CN248" s="79"/>
      <c r="CO248" s="79"/>
      <c r="CP248" s="79"/>
      <c r="CQ248" s="79"/>
      <c r="CR248" s="79"/>
      <c r="CS248" s="79"/>
      <c r="CT248" s="79"/>
      <c r="CU248" s="79"/>
      <c r="CV248" s="79"/>
      <c r="CW248" s="79"/>
      <c r="CX248" s="85"/>
      <c r="CY248" s="85"/>
      <c r="CZ248" s="85"/>
      <c r="DA248" s="86"/>
      <c r="DB248" s="84"/>
    </row>
    <row r="249" spans="2:106" ht="11.25" customHeight="1">
      <c r="B249" s="78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  <c r="AV249" s="79"/>
      <c r="AW249" s="79"/>
      <c r="AX249" s="79"/>
      <c r="AY249" s="79"/>
      <c r="AZ249" s="79"/>
      <c r="BA249" s="79"/>
      <c r="BB249" s="79"/>
      <c r="BC249" s="79"/>
      <c r="BD249" s="79"/>
      <c r="BE249" s="79"/>
      <c r="BF249" s="79"/>
      <c r="BG249" s="79"/>
      <c r="BH249" s="79"/>
      <c r="BI249" s="79"/>
      <c r="BJ249" s="79"/>
      <c r="BK249" s="79"/>
      <c r="BL249" s="79"/>
      <c r="BM249" s="79"/>
      <c r="BN249" s="79"/>
      <c r="BO249" s="79"/>
      <c r="BP249" s="79"/>
      <c r="BQ249" s="79"/>
      <c r="BR249" s="79"/>
      <c r="BS249" s="79"/>
      <c r="BT249" s="79"/>
      <c r="BU249" s="79"/>
      <c r="BV249" s="79"/>
      <c r="BW249" s="79"/>
      <c r="BX249" s="79"/>
      <c r="BY249" s="79"/>
      <c r="BZ249" s="79"/>
      <c r="CA249" s="79"/>
      <c r="CB249" s="79"/>
      <c r="CC249" s="79"/>
      <c r="CD249" s="79"/>
      <c r="CE249" s="79"/>
      <c r="CF249" s="79"/>
      <c r="CG249" s="79"/>
      <c r="CH249" s="79"/>
      <c r="CI249" s="79"/>
      <c r="CJ249" s="79"/>
      <c r="CK249" s="79"/>
      <c r="CL249" s="79"/>
      <c r="CM249" s="79"/>
      <c r="CN249" s="79"/>
      <c r="CO249" s="79"/>
      <c r="CP249" s="79"/>
      <c r="CQ249" s="79"/>
      <c r="CR249" s="79"/>
      <c r="CS249" s="79"/>
      <c r="CT249" s="79"/>
      <c r="CU249" s="79"/>
      <c r="CV249" s="79"/>
      <c r="CW249" s="79"/>
      <c r="CX249" s="85"/>
      <c r="CY249" s="85"/>
      <c r="CZ249" s="85"/>
      <c r="DA249" s="86"/>
      <c r="DB249" s="84"/>
    </row>
    <row r="250" spans="2:106" ht="11.25" customHeight="1">
      <c r="B250" s="78"/>
      <c r="C250" s="79"/>
      <c r="D250" s="79"/>
      <c r="E250" s="79"/>
      <c r="F250" s="79"/>
      <c r="G250" s="79" t="s">
        <v>266</v>
      </c>
      <c r="H250" s="79"/>
      <c r="I250" s="79"/>
      <c r="J250" s="79"/>
      <c r="K250" s="79" t="s">
        <v>603</v>
      </c>
      <c r="L250" s="79"/>
      <c r="M250" s="79"/>
      <c r="N250" s="79"/>
      <c r="O250" s="79"/>
      <c r="P250" s="79"/>
      <c r="Q250" s="79" t="s">
        <v>604</v>
      </c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  <c r="AR250" s="79"/>
      <c r="AS250" s="79"/>
      <c r="AT250" s="79"/>
      <c r="AU250" s="79"/>
      <c r="AV250" s="79"/>
      <c r="AW250" s="79"/>
      <c r="AX250" s="79"/>
      <c r="AY250" s="79"/>
      <c r="AZ250" s="79"/>
      <c r="BA250" s="79"/>
      <c r="BB250" s="79"/>
      <c r="BC250" s="79"/>
      <c r="BD250" s="79"/>
      <c r="BE250" s="79"/>
      <c r="BF250" s="79"/>
      <c r="BG250" s="79"/>
      <c r="BH250" s="79"/>
      <c r="BI250" s="79"/>
      <c r="BJ250" s="79"/>
      <c r="BK250" s="79"/>
      <c r="BL250" s="79"/>
      <c r="BM250" s="79"/>
      <c r="BN250" s="79"/>
      <c r="BO250" s="79"/>
      <c r="BP250" s="79"/>
      <c r="BQ250" s="79"/>
      <c r="BR250" s="79"/>
      <c r="BS250" s="79"/>
      <c r="BT250" s="79"/>
      <c r="BU250" s="79"/>
      <c r="BV250" s="79"/>
      <c r="BW250" s="79"/>
      <c r="BX250" s="79"/>
      <c r="BY250" s="79"/>
      <c r="BZ250" s="79"/>
      <c r="CA250" s="79"/>
      <c r="CB250" s="79"/>
      <c r="CC250" s="79"/>
      <c r="CD250" s="79"/>
      <c r="CE250" s="79"/>
      <c r="CF250" s="79"/>
      <c r="CG250" s="79"/>
      <c r="CH250" s="79"/>
      <c r="CI250" s="79"/>
      <c r="CJ250" s="79"/>
      <c r="CK250" s="79"/>
      <c r="CL250" s="79"/>
      <c r="CM250" s="79"/>
      <c r="CN250" s="79"/>
      <c r="CO250" s="79"/>
      <c r="CP250" s="79"/>
      <c r="CQ250" s="79"/>
      <c r="CR250" s="79"/>
      <c r="CS250" s="79"/>
      <c r="CT250" s="79"/>
      <c r="CU250" s="79"/>
      <c r="CV250" s="79"/>
      <c r="CW250" s="79"/>
      <c r="CX250" s="85"/>
      <c r="CY250" s="85"/>
      <c r="CZ250" s="85"/>
      <c r="DA250" s="86"/>
      <c r="DB250" s="84"/>
    </row>
    <row r="251" spans="2:106" ht="11.25" customHeight="1">
      <c r="B251" s="78"/>
      <c r="C251" s="79"/>
      <c r="D251" s="79"/>
      <c r="E251" s="79"/>
      <c r="F251" s="79"/>
      <c r="G251" s="79" t="s">
        <v>504</v>
      </c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 t="s">
        <v>604</v>
      </c>
      <c r="S251" s="79"/>
      <c r="T251" s="79" t="s">
        <v>262</v>
      </c>
      <c r="U251" s="79"/>
      <c r="V251" s="79"/>
      <c r="W251" s="79" t="s">
        <v>309</v>
      </c>
      <c r="X251" s="79"/>
      <c r="Y251" s="79" t="str">
        <f>TEXT(90,"#,##0.#######")</f>
        <v>90.</v>
      </c>
      <c r="Z251" s="79"/>
      <c r="AA251" s="79" t="s">
        <v>596</v>
      </c>
      <c r="AB251" s="79"/>
      <c r="AC251" s="79" t="s">
        <v>123</v>
      </c>
      <c r="AD251" s="79" t="s">
        <v>748</v>
      </c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/>
      <c r="AT251" s="79"/>
      <c r="AU251" s="79"/>
      <c r="AV251" s="79"/>
      <c r="AW251" s="79"/>
      <c r="AX251" s="79"/>
      <c r="AY251" s="79"/>
      <c r="AZ251" s="79"/>
      <c r="BA251" s="79"/>
      <c r="BB251" s="79"/>
      <c r="BC251" s="79"/>
      <c r="BD251" s="79"/>
      <c r="BE251" s="79"/>
      <c r="BF251" s="79"/>
      <c r="BG251" s="79"/>
      <c r="BH251" s="79"/>
      <c r="BI251" s="79"/>
      <c r="BJ251" s="79"/>
      <c r="BK251" s="79"/>
      <c r="BL251" s="79"/>
      <c r="BM251" s="79"/>
      <c r="BN251" s="79"/>
      <c r="BO251" s="79"/>
      <c r="BP251" s="79"/>
      <c r="BQ251" s="79"/>
      <c r="BR251" s="79"/>
      <c r="BS251" s="79"/>
      <c r="BT251" s="79"/>
      <c r="BU251" s="79"/>
      <c r="BV251" s="79"/>
      <c r="BW251" s="79"/>
      <c r="BX251" s="79"/>
      <c r="BY251" s="79"/>
      <c r="BZ251" s="79"/>
      <c r="CA251" s="79"/>
      <c r="CB251" s="79"/>
      <c r="CC251" s="79"/>
      <c r="CD251" s="79"/>
      <c r="CE251" s="79"/>
      <c r="CF251" s="79"/>
      <c r="CG251" s="79"/>
      <c r="CH251" s="79"/>
      <c r="CI251" s="79"/>
      <c r="CJ251" s="79"/>
      <c r="CK251" s="79"/>
      <c r="CL251" s="79"/>
      <c r="CM251" s="79"/>
      <c r="CN251" s="79"/>
      <c r="CO251" s="79"/>
      <c r="CP251" s="79"/>
      <c r="CQ251" s="79"/>
      <c r="CR251" s="79"/>
      <c r="CS251" s="79"/>
      <c r="CT251" s="79"/>
      <c r="CU251" s="79"/>
      <c r="CV251" s="79"/>
      <c r="CW251" s="79"/>
      <c r="CX251" s="85"/>
      <c r="CY251" s="85"/>
      <c r="CZ251" s="85"/>
      <c r="DA251" s="86"/>
      <c r="DB251" s="84"/>
    </row>
    <row r="252" spans="2:106" ht="11.25" customHeight="1">
      <c r="B252" s="78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  <c r="AQ252" s="79"/>
      <c r="AR252" s="79"/>
      <c r="AS252" s="79"/>
      <c r="AT252" s="79"/>
      <c r="AU252" s="79"/>
      <c r="AV252" s="79"/>
      <c r="AW252" s="79"/>
      <c r="AX252" s="79"/>
      <c r="AY252" s="79"/>
      <c r="AZ252" s="79"/>
      <c r="BA252" s="79"/>
      <c r="BB252" s="79"/>
      <c r="BC252" s="79"/>
      <c r="BD252" s="79"/>
      <c r="BE252" s="79"/>
      <c r="BF252" s="79"/>
      <c r="BG252" s="79"/>
      <c r="BH252" s="79"/>
      <c r="BI252" s="79"/>
      <c r="BJ252" s="79"/>
      <c r="BK252" s="79"/>
      <c r="BL252" s="79"/>
      <c r="BM252" s="79"/>
      <c r="BN252" s="79"/>
      <c r="BO252" s="79"/>
      <c r="BP252" s="79"/>
      <c r="BQ252" s="79"/>
      <c r="BR252" s="79"/>
      <c r="BS252" s="79"/>
      <c r="BT252" s="79"/>
      <c r="BU252" s="79"/>
      <c r="BV252" s="79"/>
      <c r="BW252" s="79"/>
      <c r="BX252" s="79"/>
      <c r="BY252" s="79"/>
      <c r="BZ252" s="79"/>
      <c r="CA252" s="79"/>
      <c r="CB252" s="79"/>
      <c r="CC252" s="79"/>
      <c r="CD252" s="79"/>
      <c r="CE252" s="79"/>
      <c r="CF252" s="79"/>
      <c r="CG252" s="79"/>
      <c r="CH252" s="79"/>
      <c r="CI252" s="79"/>
      <c r="CJ252" s="79"/>
      <c r="CK252" s="79"/>
      <c r="CL252" s="79"/>
      <c r="CM252" s="79"/>
      <c r="CN252" s="79"/>
      <c r="CO252" s="79"/>
      <c r="CP252" s="79"/>
      <c r="CQ252" s="79"/>
      <c r="CR252" s="79"/>
      <c r="CS252" s="79"/>
      <c r="CT252" s="79"/>
      <c r="CU252" s="79"/>
      <c r="CV252" s="79"/>
      <c r="CW252" s="79"/>
      <c r="CX252" s="85"/>
      <c r="CY252" s="85"/>
      <c r="CZ252" s="85"/>
      <c r="DA252" s="86"/>
      <c r="DB252" s="84"/>
    </row>
    <row r="253" spans="2:106" ht="11.25" customHeight="1">
      <c r="B253" s="78"/>
      <c r="C253" s="79"/>
      <c r="D253" s="79" t="s">
        <v>401</v>
      </c>
      <c r="E253" s="79"/>
      <c r="F253" s="79"/>
      <c r="G253" s="79" t="s">
        <v>498</v>
      </c>
      <c r="H253" s="79"/>
      <c r="I253" s="79"/>
      <c r="J253" s="79"/>
      <c r="K253" s="79"/>
      <c r="L253" s="79"/>
      <c r="M253" s="79"/>
      <c r="N253" s="79"/>
      <c r="O253" s="79" t="s">
        <v>83</v>
      </c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79"/>
      <c r="AW253" s="79"/>
      <c r="AX253" s="79"/>
      <c r="AY253" s="79"/>
      <c r="AZ253" s="79"/>
      <c r="BA253" s="79"/>
      <c r="BB253" s="79"/>
      <c r="BC253" s="79"/>
      <c r="BD253" s="79"/>
      <c r="BE253" s="79"/>
      <c r="BF253" s="79"/>
      <c r="BG253" s="79"/>
      <c r="BH253" s="79"/>
      <c r="BI253" s="79"/>
      <c r="BJ253" s="79"/>
      <c r="BK253" s="79"/>
      <c r="BL253" s="79"/>
      <c r="BM253" s="79"/>
      <c r="BN253" s="79"/>
      <c r="BO253" s="79"/>
      <c r="BP253" s="79"/>
      <c r="BQ253" s="79"/>
      <c r="BR253" s="79"/>
      <c r="BS253" s="79"/>
      <c r="BT253" s="79"/>
      <c r="BU253" s="79"/>
      <c r="BV253" s="79"/>
      <c r="BW253" s="79"/>
      <c r="BX253" s="79"/>
      <c r="BY253" s="79"/>
      <c r="BZ253" s="79"/>
      <c r="CA253" s="79"/>
      <c r="CB253" s="79"/>
      <c r="CC253" s="79"/>
      <c r="CD253" s="79"/>
      <c r="CE253" s="79"/>
      <c r="CF253" s="79"/>
      <c r="CG253" s="79"/>
      <c r="CH253" s="79"/>
      <c r="CI253" s="79"/>
      <c r="CJ253" s="79"/>
      <c r="CK253" s="79"/>
      <c r="CL253" s="79"/>
      <c r="CM253" s="79"/>
      <c r="CN253" s="79"/>
      <c r="CO253" s="79"/>
      <c r="CP253" s="79"/>
      <c r="CQ253" s="79"/>
      <c r="CR253" s="79"/>
      <c r="CS253" s="79"/>
      <c r="CT253" s="79"/>
      <c r="CU253" s="79"/>
      <c r="CV253" s="79"/>
      <c r="CW253" s="79"/>
      <c r="CX253" s="85"/>
      <c r="CY253" s="85"/>
      <c r="CZ253" s="85"/>
      <c r="DA253" s="86"/>
      <c r="DB253" s="84"/>
    </row>
    <row r="254" spans="2:106" ht="11.25" customHeight="1">
      <c r="B254" s="78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  <c r="AS254" s="79"/>
      <c r="AT254" s="79"/>
      <c r="AU254" s="79"/>
      <c r="AV254" s="79"/>
      <c r="AW254" s="79"/>
      <c r="AX254" s="79"/>
      <c r="AY254" s="79"/>
      <c r="AZ254" s="79"/>
      <c r="BA254" s="79"/>
      <c r="BB254" s="79"/>
      <c r="BC254" s="79"/>
      <c r="BD254" s="79"/>
      <c r="BE254" s="79"/>
      <c r="BF254" s="79"/>
      <c r="BG254" s="79"/>
      <c r="BH254" s="79"/>
      <c r="BI254" s="79"/>
      <c r="BJ254" s="79"/>
      <c r="BK254" s="79"/>
      <c r="BL254" s="79"/>
      <c r="BM254" s="79"/>
      <c r="BN254" s="79"/>
      <c r="BO254" s="79"/>
      <c r="BP254" s="79"/>
      <c r="BQ254" s="79"/>
      <c r="BR254" s="79"/>
      <c r="BS254" s="79"/>
      <c r="BT254" s="79"/>
      <c r="BU254" s="79"/>
      <c r="BV254" s="79"/>
      <c r="BW254" s="79"/>
      <c r="BX254" s="79"/>
      <c r="BY254" s="79"/>
      <c r="BZ254" s="79"/>
      <c r="CA254" s="79"/>
      <c r="CB254" s="79"/>
      <c r="CC254" s="79"/>
      <c r="CD254" s="79"/>
      <c r="CE254" s="79"/>
      <c r="CF254" s="79"/>
      <c r="CG254" s="79"/>
      <c r="CH254" s="79"/>
      <c r="CI254" s="79"/>
      <c r="CJ254" s="79"/>
      <c r="CK254" s="79"/>
      <c r="CL254" s="79"/>
      <c r="CM254" s="79"/>
      <c r="CN254" s="79"/>
      <c r="CO254" s="79"/>
      <c r="CP254" s="79"/>
      <c r="CQ254" s="79"/>
      <c r="CR254" s="79"/>
      <c r="CS254" s="79"/>
      <c r="CT254" s="79"/>
      <c r="CU254" s="79"/>
      <c r="CV254" s="79"/>
      <c r="CW254" s="79"/>
      <c r="CX254" s="85"/>
      <c r="CY254" s="85"/>
      <c r="CZ254" s="85"/>
      <c r="DA254" s="86"/>
      <c r="DB254" s="84"/>
    </row>
    <row r="255" spans="2:106" ht="11.25" customHeight="1">
      <c r="B255" s="78"/>
      <c r="C255" s="79"/>
      <c r="D255" s="79"/>
      <c r="E255" s="79"/>
      <c r="F255" s="79"/>
      <c r="G255" s="79" t="s">
        <v>373</v>
      </c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 t="s">
        <v>662</v>
      </c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/>
      <c r="AT255" s="79"/>
      <c r="AU255" s="79"/>
      <c r="AV255" s="79"/>
      <c r="AW255" s="79"/>
      <c r="AX255" s="79"/>
      <c r="AY255" s="79"/>
      <c r="AZ255" s="79"/>
      <c r="BA255" s="79"/>
      <c r="BB255" s="79" t="str">
        <f>TEXT(자재단가!R13,"#,##0.#######")</f>
        <v>4,550.</v>
      </c>
      <c r="BC255" s="79"/>
      <c r="BD255" s="79"/>
      <c r="BE255" s="79"/>
      <c r="BF255" s="79"/>
      <c r="BG255" s="79"/>
      <c r="BH255" s="79"/>
      <c r="BI255" s="79"/>
      <c r="BJ255" s="79" t="s">
        <v>699</v>
      </c>
      <c r="BK255" s="79"/>
      <c r="BL255" s="79"/>
      <c r="BM255" s="79" t="str">
        <f>TEXT(4.53,"#,##0.#######")</f>
        <v>4.53</v>
      </c>
      <c r="BN255" s="79"/>
      <c r="BO255" s="79"/>
      <c r="BP255" s="79"/>
      <c r="BQ255" s="79" t="s">
        <v>477</v>
      </c>
      <c r="BR255" s="79"/>
      <c r="BS255" s="79"/>
      <c r="BT255" s="79" t="s">
        <v>309</v>
      </c>
      <c r="BU255" s="79"/>
      <c r="BV255" s="79" t="str">
        <f>TEXT(TRUNC(BB255*BM255,1),"#,##0.#######")</f>
        <v>20,611.5</v>
      </c>
      <c r="BW255" s="79"/>
      <c r="BX255" s="79"/>
      <c r="BY255" s="79"/>
      <c r="BZ255" s="79"/>
      <c r="CA255" s="79"/>
      <c r="CB255" s="79"/>
      <c r="CC255" s="79"/>
      <c r="CD255" s="79"/>
      <c r="CE255" s="79"/>
      <c r="CF255" s="79"/>
      <c r="CG255" s="79"/>
      <c r="CH255" s="79"/>
      <c r="CI255" s="79"/>
      <c r="CJ255" s="79"/>
      <c r="CK255" s="79"/>
      <c r="CL255" s="79"/>
      <c r="CM255" s="79"/>
      <c r="CN255" s="79"/>
      <c r="CO255" s="79"/>
      <c r="CP255" s="79"/>
      <c r="CQ255" s="79"/>
      <c r="CR255" s="79"/>
      <c r="CS255" s="79"/>
      <c r="CT255" s="79"/>
      <c r="CU255" s="79"/>
      <c r="CV255" s="79"/>
      <c r="CW255" s="79"/>
      <c r="CX255" s="85"/>
      <c r="CY255" s="85"/>
      <c r="CZ255" s="85"/>
      <c r="DA255" s="86"/>
      <c r="DB255" s="84"/>
    </row>
    <row r="256" spans="2:106" ht="11.25" customHeight="1">
      <c r="B256" s="78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  <c r="AQ256" s="79"/>
      <c r="AR256" s="79"/>
      <c r="AS256" s="79"/>
      <c r="AT256" s="79"/>
      <c r="AU256" s="79"/>
      <c r="AV256" s="79"/>
      <c r="AW256" s="79"/>
      <c r="AX256" s="79"/>
      <c r="AY256" s="79"/>
      <c r="AZ256" s="79"/>
      <c r="BA256" s="79"/>
      <c r="BB256" s="79"/>
      <c r="BC256" s="79"/>
      <c r="BD256" s="79"/>
      <c r="BE256" s="79"/>
      <c r="BF256" s="79"/>
      <c r="BG256" s="79"/>
      <c r="BH256" s="79"/>
      <c r="BI256" s="79"/>
      <c r="BJ256" s="79"/>
      <c r="BK256" s="79"/>
      <c r="BL256" s="79"/>
      <c r="BM256" s="79"/>
      <c r="BN256" s="79"/>
      <c r="BO256" s="79"/>
      <c r="BP256" s="79"/>
      <c r="BQ256" s="79"/>
      <c r="BR256" s="79"/>
      <c r="BS256" s="79"/>
      <c r="BT256" s="79"/>
      <c r="BU256" s="79"/>
      <c r="BV256" s="79"/>
      <c r="BW256" s="79"/>
      <c r="BX256" s="79"/>
      <c r="BY256" s="79"/>
      <c r="BZ256" s="79"/>
      <c r="CA256" s="79"/>
      <c r="CB256" s="79"/>
      <c r="CC256" s="79"/>
      <c r="CD256" s="79"/>
      <c r="CE256" s="79"/>
      <c r="CF256" s="79"/>
      <c r="CG256" s="79"/>
      <c r="CH256" s="79"/>
      <c r="CI256" s="79"/>
      <c r="CJ256" s="79"/>
      <c r="CK256" s="79"/>
      <c r="CL256" s="79"/>
      <c r="CM256" s="79"/>
      <c r="CN256" s="79"/>
      <c r="CO256" s="79"/>
      <c r="CP256" s="79"/>
      <c r="CQ256" s="79"/>
      <c r="CR256" s="79"/>
      <c r="CS256" s="79"/>
      <c r="CT256" s="79"/>
      <c r="CU256" s="79"/>
      <c r="CV256" s="79"/>
      <c r="CW256" s="79"/>
      <c r="CX256" s="85"/>
      <c r="CY256" s="85"/>
      <c r="CZ256" s="85"/>
      <c r="DA256" s="86"/>
      <c r="DB256" s="84"/>
    </row>
    <row r="257" spans="2:106" ht="11.25" customHeight="1">
      <c r="B257" s="78"/>
      <c r="C257" s="79"/>
      <c r="D257" s="79"/>
      <c r="E257" s="79"/>
      <c r="F257" s="79"/>
      <c r="G257" s="79" t="s">
        <v>558</v>
      </c>
      <c r="H257" s="79"/>
      <c r="I257" s="79"/>
      <c r="J257" s="79"/>
      <c r="K257" s="79"/>
      <c r="L257" s="79"/>
      <c r="M257" s="79"/>
      <c r="N257" s="79"/>
      <c r="O257" s="79"/>
      <c r="P257" s="79" t="s">
        <v>144</v>
      </c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 t="str">
        <f>TEXT(자재단가!R14,"#,##0.#######")</f>
        <v>5,000.</v>
      </c>
      <c r="AF257" s="79"/>
      <c r="AG257" s="79"/>
      <c r="AH257" s="79"/>
      <c r="AI257" s="79"/>
      <c r="AJ257" s="79"/>
      <c r="AK257" s="79"/>
      <c r="AL257" s="79"/>
      <c r="AM257" s="79" t="s">
        <v>699</v>
      </c>
      <c r="AN257" s="79"/>
      <c r="AO257" s="79"/>
      <c r="AP257" s="79" t="str">
        <f>TEXT(0.55,"#,##0.#######")</f>
        <v>0.55</v>
      </c>
      <c r="AQ257" s="79"/>
      <c r="AR257" s="79"/>
      <c r="AS257" s="79"/>
      <c r="AT257" s="79" t="s">
        <v>477</v>
      </c>
      <c r="AU257" s="79"/>
      <c r="AV257" s="79"/>
      <c r="AW257" s="79" t="s">
        <v>309</v>
      </c>
      <c r="AX257" s="79"/>
      <c r="AY257" s="79" t="str">
        <f>TEXT(TRUNC(AE257*AP257,1),"#,##0.#######")</f>
        <v>2,750.</v>
      </c>
      <c r="AZ257" s="79"/>
      <c r="BA257" s="79"/>
      <c r="BB257" s="79"/>
      <c r="BC257" s="79"/>
      <c r="BD257" s="79"/>
      <c r="BE257" s="79"/>
      <c r="BF257" s="79"/>
      <c r="BG257" s="79"/>
      <c r="BH257" s="79"/>
      <c r="BI257" s="79"/>
      <c r="BJ257" s="79"/>
      <c r="BK257" s="79"/>
      <c r="BL257" s="79"/>
      <c r="BM257" s="79"/>
      <c r="BN257" s="79"/>
      <c r="BO257" s="79"/>
      <c r="BP257" s="79"/>
      <c r="BQ257" s="79"/>
      <c r="BR257" s="79"/>
      <c r="BS257" s="79"/>
      <c r="BT257" s="79"/>
      <c r="BU257" s="79"/>
      <c r="BV257" s="79"/>
      <c r="BW257" s="79"/>
      <c r="BX257" s="79"/>
      <c r="BY257" s="79"/>
      <c r="BZ257" s="79"/>
      <c r="CA257" s="79"/>
      <c r="CB257" s="79"/>
      <c r="CC257" s="79"/>
      <c r="CD257" s="79"/>
      <c r="CE257" s="79"/>
      <c r="CF257" s="79"/>
      <c r="CG257" s="79"/>
      <c r="CH257" s="79"/>
      <c r="CI257" s="79"/>
      <c r="CJ257" s="79"/>
      <c r="CK257" s="79"/>
      <c r="CL257" s="79"/>
      <c r="CM257" s="79"/>
      <c r="CN257" s="79"/>
      <c r="CO257" s="79"/>
      <c r="CP257" s="79"/>
      <c r="CQ257" s="79"/>
      <c r="CR257" s="79"/>
      <c r="CS257" s="79"/>
      <c r="CT257" s="79"/>
      <c r="CU257" s="79"/>
      <c r="CV257" s="79"/>
      <c r="CW257" s="79"/>
      <c r="CX257" s="85"/>
      <c r="CY257" s="85"/>
      <c r="CZ257" s="85"/>
      <c r="DA257" s="86"/>
      <c r="DB257" s="84"/>
    </row>
    <row r="258" spans="2:106" ht="11.25" customHeight="1">
      <c r="B258" s="78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  <c r="AQ258" s="79"/>
      <c r="AR258" s="79"/>
      <c r="AS258" s="79"/>
      <c r="AT258" s="79"/>
      <c r="AU258" s="79"/>
      <c r="AV258" s="79"/>
      <c r="AW258" s="79"/>
      <c r="AX258" s="79"/>
      <c r="AY258" s="79"/>
      <c r="AZ258" s="79"/>
      <c r="BA258" s="79"/>
      <c r="BB258" s="79"/>
      <c r="BC258" s="79"/>
      <c r="BD258" s="79"/>
      <c r="BE258" s="79"/>
      <c r="BF258" s="79"/>
      <c r="BG258" s="79"/>
      <c r="BH258" s="79"/>
      <c r="BI258" s="79"/>
      <c r="BJ258" s="79"/>
      <c r="BK258" s="79"/>
      <c r="BL258" s="79"/>
      <c r="BM258" s="79"/>
      <c r="BN258" s="79"/>
      <c r="BO258" s="79"/>
      <c r="BP258" s="79"/>
      <c r="BQ258" s="79"/>
      <c r="BR258" s="79"/>
      <c r="BS258" s="79"/>
      <c r="BT258" s="79"/>
      <c r="BU258" s="79"/>
      <c r="BV258" s="79"/>
      <c r="BW258" s="79"/>
      <c r="BX258" s="79"/>
      <c r="BY258" s="79"/>
      <c r="BZ258" s="79"/>
      <c r="CA258" s="79"/>
      <c r="CB258" s="79"/>
      <c r="CC258" s="79"/>
      <c r="CD258" s="79"/>
      <c r="CE258" s="79"/>
      <c r="CF258" s="79"/>
      <c r="CG258" s="79"/>
      <c r="CH258" s="79"/>
      <c r="CI258" s="79"/>
      <c r="CJ258" s="79"/>
      <c r="CK258" s="79"/>
      <c r="CL258" s="79"/>
      <c r="CM258" s="79"/>
      <c r="CN258" s="79"/>
      <c r="CO258" s="79"/>
      <c r="CP258" s="79"/>
      <c r="CQ258" s="79"/>
      <c r="CR258" s="79"/>
      <c r="CS258" s="79"/>
      <c r="CT258" s="79"/>
      <c r="CU258" s="79"/>
      <c r="CV258" s="79"/>
      <c r="CW258" s="79"/>
      <c r="CX258" s="85"/>
      <c r="CY258" s="85"/>
      <c r="CZ258" s="85"/>
      <c r="DA258" s="86"/>
      <c r="DB258" s="84"/>
    </row>
    <row r="259" spans="2:106" ht="11.25" customHeight="1">
      <c r="B259" s="78"/>
      <c r="C259" s="79"/>
      <c r="D259" s="79"/>
      <c r="E259" s="79"/>
      <c r="F259" s="79"/>
      <c r="G259" s="79" t="s">
        <v>131</v>
      </c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 t="s">
        <v>585</v>
      </c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 t="s">
        <v>604</v>
      </c>
      <c r="AP259" s="79"/>
      <c r="AQ259" s="79" t="str">
        <f>TEXT(자재단가!R15,"#,##0.#######")</f>
        <v>4,500.</v>
      </c>
      <c r="AR259" s="79"/>
      <c r="AS259" s="79"/>
      <c r="AT259" s="79"/>
      <c r="AU259" s="79"/>
      <c r="AV259" s="79"/>
      <c r="AW259" s="79"/>
      <c r="AX259" s="79"/>
      <c r="AY259" s="79" t="s">
        <v>699</v>
      </c>
      <c r="AZ259" s="79"/>
      <c r="BA259" s="79"/>
      <c r="BB259" s="79" t="str">
        <f>TEXT(0.2,"#,##0.#######")</f>
        <v>0.2</v>
      </c>
      <c r="BC259" s="79"/>
      <c r="BD259" s="79"/>
      <c r="BE259" s="79"/>
      <c r="BF259" s="79" t="s">
        <v>477</v>
      </c>
      <c r="BG259" s="79"/>
      <c r="BH259" s="79"/>
      <c r="BI259" s="79" t="s">
        <v>309</v>
      </c>
      <c r="BJ259" s="79"/>
      <c r="BK259" s="79" t="str">
        <f>TEXT(TRUNC(AQ259*BB259,1),"#,##0.#######")</f>
        <v>900.</v>
      </c>
      <c r="BL259" s="79"/>
      <c r="BM259" s="79"/>
      <c r="BN259" s="79"/>
      <c r="BO259" s="79"/>
      <c r="BP259" s="79"/>
      <c r="BQ259" s="79"/>
      <c r="BR259" s="79"/>
      <c r="BS259" s="79"/>
      <c r="BT259" s="79"/>
      <c r="BU259" s="79"/>
      <c r="BV259" s="79"/>
      <c r="BW259" s="79"/>
      <c r="BX259" s="79"/>
      <c r="BY259" s="79"/>
      <c r="BZ259" s="79"/>
      <c r="CA259" s="79"/>
      <c r="CB259" s="79"/>
      <c r="CC259" s="79"/>
      <c r="CD259" s="79"/>
      <c r="CE259" s="79"/>
      <c r="CF259" s="79"/>
      <c r="CG259" s="79"/>
      <c r="CH259" s="79"/>
      <c r="CI259" s="79"/>
      <c r="CJ259" s="79"/>
      <c r="CK259" s="79"/>
      <c r="CL259" s="79"/>
      <c r="CM259" s="79"/>
      <c r="CN259" s="79"/>
      <c r="CO259" s="79"/>
      <c r="CP259" s="79"/>
      <c r="CQ259" s="79"/>
      <c r="CR259" s="79"/>
      <c r="CS259" s="79"/>
      <c r="CT259" s="79"/>
      <c r="CU259" s="79"/>
      <c r="CV259" s="79"/>
      <c r="CW259" s="79"/>
      <c r="CX259" s="85"/>
      <c r="CY259" s="85"/>
      <c r="CZ259" s="85"/>
      <c r="DA259" s="86"/>
      <c r="DB259" s="84"/>
    </row>
    <row r="260" spans="2:106" ht="11.25" customHeight="1">
      <c r="B260" s="78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  <c r="AS260" s="79"/>
      <c r="AT260" s="79"/>
      <c r="AU260" s="79"/>
      <c r="AV260" s="79"/>
      <c r="AW260" s="79"/>
      <c r="AX260" s="79"/>
      <c r="AY260" s="79"/>
      <c r="AZ260" s="79"/>
      <c r="BA260" s="79"/>
      <c r="BB260" s="79"/>
      <c r="BC260" s="79"/>
      <c r="BD260" s="79"/>
      <c r="BE260" s="79"/>
      <c r="BF260" s="79"/>
      <c r="BG260" s="79"/>
      <c r="BH260" s="79"/>
      <c r="BI260" s="79"/>
      <c r="BJ260" s="79"/>
      <c r="BK260" s="79"/>
      <c r="BL260" s="79"/>
      <c r="BM260" s="79"/>
      <c r="BN260" s="79"/>
      <c r="BO260" s="79"/>
      <c r="BP260" s="79"/>
      <c r="BQ260" s="79"/>
      <c r="BR260" s="79"/>
      <c r="BS260" s="79"/>
      <c r="BT260" s="79"/>
      <c r="BU260" s="79"/>
      <c r="BV260" s="79"/>
      <c r="BW260" s="79"/>
      <c r="BX260" s="79"/>
      <c r="BY260" s="79"/>
      <c r="BZ260" s="79"/>
      <c r="CA260" s="79"/>
      <c r="CB260" s="79"/>
      <c r="CC260" s="79"/>
      <c r="CD260" s="79"/>
      <c r="CE260" s="79"/>
      <c r="CF260" s="79"/>
      <c r="CG260" s="79"/>
      <c r="CH260" s="79"/>
      <c r="CI260" s="79"/>
      <c r="CJ260" s="79"/>
      <c r="CK260" s="79"/>
      <c r="CL260" s="79"/>
      <c r="CM260" s="79"/>
      <c r="CN260" s="79"/>
      <c r="CO260" s="79"/>
      <c r="CP260" s="79"/>
      <c r="CQ260" s="79"/>
      <c r="CR260" s="79"/>
      <c r="CS260" s="79"/>
      <c r="CT260" s="79"/>
      <c r="CU260" s="79"/>
      <c r="CV260" s="79"/>
      <c r="CW260" s="79"/>
      <c r="CX260" s="85"/>
      <c r="CY260" s="85"/>
      <c r="CZ260" s="85"/>
      <c r="DA260" s="86"/>
      <c r="DB260" s="84"/>
    </row>
    <row r="261" spans="2:106" ht="11.25" customHeight="1">
      <c r="B261" s="78"/>
      <c r="C261" s="79"/>
      <c r="D261" s="79"/>
      <c r="E261" s="79"/>
      <c r="F261" s="79"/>
      <c r="G261" s="79" t="s">
        <v>533</v>
      </c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 t="s">
        <v>7</v>
      </c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 t="str">
        <f>TEXT(자재단가!R16,"#,##0.#######")</f>
        <v>1,887.</v>
      </c>
      <c r="AE261" s="79"/>
      <c r="AF261" s="79"/>
      <c r="AG261" s="79"/>
      <c r="AH261" s="79"/>
      <c r="AI261" s="79"/>
      <c r="AJ261" s="79"/>
      <c r="AK261" s="79"/>
      <c r="AL261" s="79" t="s">
        <v>699</v>
      </c>
      <c r="AM261" s="79"/>
      <c r="AN261" s="79"/>
      <c r="AO261" s="79" t="str">
        <f>TEXT(0.2,"#,##0.#######")</f>
        <v>0.2</v>
      </c>
      <c r="AP261" s="79"/>
      <c r="AQ261" s="79"/>
      <c r="AR261" s="79"/>
      <c r="AS261" s="79" t="s">
        <v>477</v>
      </c>
      <c r="AT261" s="79"/>
      <c r="AU261" s="79"/>
      <c r="AV261" s="79" t="s">
        <v>309</v>
      </c>
      <c r="AW261" s="79"/>
      <c r="AX261" s="79" t="str">
        <f>TEXT(TRUNC(AD261*AO261,1),"#,##0.#######")</f>
        <v>377.4</v>
      </c>
      <c r="AY261" s="79"/>
      <c r="AZ261" s="79"/>
      <c r="BA261" s="79"/>
      <c r="BB261" s="79"/>
      <c r="BC261" s="79"/>
      <c r="BD261" s="79"/>
      <c r="BE261" s="79"/>
      <c r="BF261" s="79"/>
      <c r="BG261" s="79"/>
      <c r="BH261" s="79"/>
      <c r="BI261" s="79"/>
      <c r="BJ261" s="79"/>
      <c r="BK261" s="79"/>
      <c r="BL261" s="79"/>
      <c r="BM261" s="79"/>
      <c r="BN261" s="79"/>
      <c r="BO261" s="79"/>
      <c r="BP261" s="79"/>
      <c r="BQ261" s="79"/>
      <c r="BR261" s="79"/>
      <c r="BS261" s="79"/>
      <c r="BT261" s="79"/>
      <c r="BU261" s="79"/>
      <c r="BV261" s="79"/>
      <c r="BW261" s="79"/>
      <c r="BX261" s="79"/>
      <c r="BY261" s="79"/>
      <c r="BZ261" s="79"/>
      <c r="CA261" s="79"/>
      <c r="CB261" s="79"/>
      <c r="CC261" s="79"/>
      <c r="CD261" s="79"/>
      <c r="CE261" s="79"/>
      <c r="CF261" s="79"/>
      <c r="CG261" s="79"/>
      <c r="CH261" s="79"/>
      <c r="CI261" s="79"/>
      <c r="CJ261" s="79"/>
      <c r="CK261" s="79"/>
      <c r="CL261" s="79"/>
      <c r="CM261" s="79"/>
      <c r="CN261" s="79"/>
      <c r="CO261" s="79"/>
      <c r="CP261" s="79"/>
      <c r="CQ261" s="79"/>
      <c r="CR261" s="79"/>
      <c r="CS261" s="79"/>
      <c r="CT261" s="79"/>
      <c r="CU261" s="79"/>
      <c r="CV261" s="79"/>
      <c r="CW261" s="79"/>
      <c r="CX261" s="85"/>
      <c r="CY261" s="85"/>
      <c r="CZ261" s="85"/>
      <c r="DA261" s="86"/>
      <c r="DB261" s="84"/>
    </row>
    <row r="262" spans="2:106" ht="11.25" customHeight="1">
      <c r="B262" s="80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  <c r="CI262" s="72"/>
      <c r="CJ262" s="72"/>
      <c r="CK262" s="72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87"/>
      <c r="CY262" s="87"/>
      <c r="CZ262" s="87"/>
      <c r="DA262" s="88"/>
      <c r="DB262" s="84"/>
    </row>
    <row r="263" spans="2:106" ht="11.25" customHeight="1">
      <c r="B263" s="78"/>
      <c r="C263" s="79"/>
      <c r="D263" s="79"/>
      <c r="E263" s="79"/>
      <c r="F263" s="79"/>
      <c r="G263" s="79" t="s">
        <v>195</v>
      </c>
      <c r="H263" s="79"/>
      <c r="I263" s="79"/>
      <c r="J263" s="79"/>
      <c r="K263" s="79"/>
      <c r="L263" s="79"/>
      <c r="M263" s="79"/>
      <c r="N263" s="79"/>
      <c r="O263" s="79"/>
      <c r="P263" s="79" t="s">
        <v>604</v>
      </c>
      <c r="Q263" s="79"/>
      <c r="R263" s="79" t="str">
        <f>TEXT(TRUNC(BV255+AY257+BK259+AX261,1),"#,##0.#######")</f>
        <v>24,638.9</v>
      </c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  <c r="AV263" s="79"/>
      <c r="AW263" s="79"/>
      <c r="AX263" s="79"/>
      <c r="AY263" s="79"/>
      <c r="AZ263" s="79"/>
      <c r="BA263" s="79"/>
      <c r="BB263" s="79"/>
      <c r="BC263" s="79"/>
      <c r="BD263" s="79"/>
      <c r="BE263" s="79"/>
      <c r="BF263" s="79"/>
      <c r="BG263" s="79"/>
      <c r="BH263" s="79"/>
      <c r="BI263" s="79"/>
      <c r="BJ263" s="79"/>
      <c r="BK263" s="79"/>
      <c r="BL263" s="79"/>
      <c r="BM263" s="79"/>
      <c r="BN263" s="79"/>
      <c r="BO263" s="79"/>
      <c r="BP263" s="79"/>
      <c r="BQ263" s="79"/>
      <c r="BR263" s="79"/>
      <c r="BS263" s="79"/>
      <c r="BT263" s="79"/>
      <c r="BU263" s="79"/>
      <c r="BV263" s="79"/>
      <c r="BW263" s="79"/>
      <c r="BX263" s="79"/>
      <c r="BY263" s="79"/>
      <c r="BZ263" s="79"/>
      <c r="CA263" s="79"/>
      <c r="CB263" s="79"/>
      <c r="CC263" s="79"/>
      <c r="CD263" s="79"/>
      <c r="CE263" s="79"/>
      <c r="CF263" s="79"/>
      <c r="CG263" s="79"/>
      <c r="CH263" s="79"/>
      <c r="CI263" s="79"/>
      <c r="CJ263" s="79"/>
      <c r="CK263" s="79"/>
      <c r="CL263" s="79"/>
      <c r="CM263" s="79"/>
      <c r="CN263" s="79"/>
      <c r="CO263" s="79"/>
      <c r="CP263" s="79"/>
      <c r="CQ263" s="79"/>
      <c r="CR263" s="79"/>
      <c r="CS263" s="79"/>
      <c r="CT263" s="79"/>
      <c r="CU263" s="79"/>
      <c r="CV263" s="79"/>
      <c r="CW263" s="79"/>
      <c r="CX263" s="85"/>
      <c r="CY263" s="85"/>
      <c r="CZ263" s="85" t="str">
        <f>R263</f>
        <v>24,638.9</v>
      </c>
      <c r="DA263" s="86"/>
      <c r="DB263" s="84"/>
    </row>
    <row r="264" spans="2:106" ht="11.25" customHeight="1">
      <c r="B264" s="78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  <c r="AQ264" s="79"/>
      <c r="AR264" s="79"/>
      <c r="AS264" s="79"/>
      <c r="AT264" s="79"/>
      <c r="AU264" s="79"/>
      <c r="AV264" s="79"/>
      <c r="AW264" s="79"/>
      <c r="AX264" s="79"/>
      <c r="AY264" s="79"/>
      <c r="AZ264" s="79"/>
      <c r="BA264" s="79"/>
      <c r="BB264" s="79"/>
      <c r="BC264" s="79"/>
      <c r="BD264" s="79"/>
      <c r="BE264" s="79"/>
      <c r="BF264" s="79"/>
      <c r="BG264" s="79"/>
      <c r="BH264" s="79"/>
      <c r="BI264" s="79"/>
      <c r="BJ264" s="79"/>
      <c r="BK264" s="79"/>
      <c r="BL264" s="79"/>
      <c r="BM264" s="79"/>
      <c r="BN264" s="79"/>
      <c r="BO264" s="79"/>
      <c r="BP264" s="79"/>
      <c r="BQ264" s="79"/>
      <c r="BR264" s="79"/>
      <c r="BS264" s="79"/>
      <c r="BT264" s="79"/>
      <c r="BU264" s="79"/>
      <c r="BV264" s="79"/>
      <c r="BW264" s="79"/>
      <c r="BX264" s="79"/>
      <c r="BY264" s="79"/>
      <c r="BZ264" s="79"/>
      <c r="CA264" s="79"/>
      <c r="CB264" s="79"/>
      <c r="CC264" s="79"/>
      <c r="CD264" s="79"/>
      <c r="CE264" s="79"/>
      <c r="CF264" s="79"/>
      <c r="CG264" s="79"/>
      <c r="CH264" s="79"/>
      <c r="CI264" s="79"/>
      <c r="CJ264" s="79"/>
      <c r="CK264" s="79"/>
      <c r="CL264" s="79"/>
      <c r="CM264" s="79"/>
      <c r="CN264" s="79"/>
      <c r="CO264" s="79"/>
      <c r="CP264" s="79"/>
      <c r="CQ264" s="79"/>
      <c r="CR264" s="79"/>
      <c r="CS264" s="79"/>
      <c r="CT264" s="79"/>
      <c r="CU264" s="79"/>
      <c r="CV264" s="79"/>
      <c r="CW264" s="79"/>
      <c r="CX264" s="85"/>
      <c r="CY264" s="85"/>
      <c r="CZ264" s="85"/>
      <c r="DA264" s="86"/>
      <c r="DB264" s="84"/>
    </row>
    <row r="265" spans="2:106" ht="11.25" customHeight="1">
      <c r="B265" s="78"/>
      <c r="C265" s="79"/>
      <c r="D265" s="79" t="s">
        <v>594</v>
      </c>
      <c r="E265" s="79"/>
      <c r="F265" s="79"/>
      <c r="G265" s="79" t="s">
        <v>406</v>
      </c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/>
      <c r="AT265" s="79"/>
      <c r="AU265" s="79"/>
      <c r="AV265" s="79"/>
      <c r="AW265" s="79"/>
      <c r="AX265" s="79"/>
      <c r="AY265" s="79"/>
      <c r="AZ265" s="79"/>
      <c r="BA265" s="79"/>
      <c r="BB265" s="79"/>
      <c r="BC265" s="79"/>
      <c r="BD265" s="79"/>
      <c r="BE265" s="79"/>
      <c r="BF265" s="79"/>
      <c r="BG265" s="79"/>
      <c r="BH265" s="79"/>
      <c r="BI265" s="79"/>
      <c r="BJ265" s="79"/>
      <c r="BK265" s="79"/>
      <c r="BL265" s="79"/>
      <c r="BM265" s="79"/>
      <c r="BN265" s="79"/>
      <c r="BO265" s="79"/>
      <c r="BP265" s="79"/>
      <c r="BQ265" s="79"/>
      <c r="BR265" s="79"/>
      <c r="BS265" s="79"/>
      <c r="BT265" s="79"/>
      <c r="BU265" s="79"/>
      <c r="BV265" s="79"/>
      <c r="BW265" s="79"/>
      <c r="BX265" s="79"/>
      <c r="BY265" s="79"/>
      <c r="BZ265" s="79"/>
      <c r="CA265" s="79"/>
      <c r="CB265" s="79"/>
      <c r="CC265" s="79"/>
      <c r="CD265" s="79"/>
      <c r="CE265" s="79"/>
      <c r="CF265" s="79"/>
      <c r="CG265" s="79"/>
      <c r="CH265" s="79"/>
      <c r="CI265" s="79"/>
      <c r="CJ265" s="79"/>
      <c r="CK265" s="79"/>
      <c r="CL265" s="79"/>
      <c r="CM265" s="79"/>
      <c r="CN265" s="79"/>
      <c r="CO265" s="79"/>
      <c r="CP265" s="79"/>
      <c r="CQ265" s="79"/>
      <c r="CR265" s="79"/>
      <c r="CS265" s="79"/>
      <c r="CT265" s="79"/>
      <c r="CU265" s="79"/>
      <c r="CV265" s="79"/>
      <c r="CW265" s="79"/>
      <c r="CX265" s="85"/>
      <c r="CY265" s="85"/>
      <c r="CZ265" s="85"/>
      <c r="DA265" s="86"/>
      <c r="DB265" s="84"/>
    </row>
    <row r="266" spans="2:106" ht="11.25" customHeight="1">
      <c r="B266" s="78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  <c r="AR266" s="79"/>
      <c r="AS266" s="79"/>
      <c r="AT266" s="79"/>
      <c r="AU266" s="79"/>
      <c r="AV266" s="79"/>
      <c r="AW266" s="79"/>
      <c r="AX266" s="79"/>
      <c r="AY266" s="79"/>
      <c r="AZ266" s="79"/>
      <c r="BA266" s="79"/>
      <c r="BB266" s="79"/>
      <c r="BC266" s="79"/>
      <c r="BD266" s="79"/>
      <c r="BE266" s="79"/>
      <c r="BF266" s="79"/>
      <c r="BG266" s="79"/>
      <c r="BH266" s="79"/>
      <c r="BI266" s="79"/>
      <c r="BJ266" s="79"/>
      <c r="BK266" s="79"/>
      <c r="BL266" s="79"/>
      <c r="BM266" s="79"/>
      <c r="BN266" s="79"/>
      <c r="BO266" s="79"/>
      <c r="BP266" s="79"/>
      <c r="BQ266" s="79"/>
      <c r="BR266" s="79"/>
      <c r="BS266" s="79"/>
      <c r="BT266" s="79"/>
      <c r="BU266" s="79"/>
      <c r="BV266" s="79"/>
      <c r="BW266" s="79"/>
      <c r="BX266" s="79"/>
      <c r="BY266" s="79"/>
      <c r="BZ266" s="79"/>
      <c r="CA266" s="79"/>
      <c r="CB266" s="79"/>
      <c r="CC266" s="79"/>
      <c r="CD266" s="79"/>
      <c r="CE266" s="79"/>
      <c r="CF266" s="79"/>
      <c r="CG266" s="79"/>
      <c r="CH266" s="79"/>
      <c r="CI266" s="79"/>
      <c r="CJ266" s="79"/>
      <c r="CK266" s="79"/>
      <c r="CL266" s="79"/>
      <c r="CM266" s="79"/>
      <c r="CN266" s="79"/>
      <c r="CO266" s="79"/>
      <c r="CP266" s="79"/>
      <c r="CQ266" s="79"/>
      <c r="CR266" s="79"/>
      <c r="CS266" s="79"/>
      <c r="CT266" s="79"/>
      <c r="CU266" s="79"/>
      <c r="CV266" s="79"/>
      <c r="CW266" s="79"/>
      <c r="CX266" s="85"/>
      <c r="CY266" s="85"/>
      <c r="CZ266" s="85"/>
      <c r="DA266" s="86"/>
      <c r="DB266" s="84"/>
    </row>
    <row r="267" spans="2:106" ht="11.25" customHeight="1">
      <c r="B267" s="78"/>
      <c r="C267" s="79"/>
      <c r="D267" s="79"/>
      <c r="E267" s="79"/>
      <c r="F267" s="79"/>
      <c r="G267" s="79" t="s">
        <v>43</v>
      </c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 t="s">
        <v>604</v>
      </c>
      <c r="S267" s="79"/>
      <c r="T267" s="79" t="str">
        <f>TEXT(노임단가!F9,"#,##0")</f>
        <v>226,122</v>
      </c>
      <c r="U267" s="79"/>
      <c r="V267" s="79"/>
      <c r="W267" s="79"/>
      <c r="X267" s="79"/>
      <c r="Y267" s="79"/>
      <c r="Z267" s="79"/>
      <c r="AA267" s="79"/>
      <c r="AB267" s="79"/>
      <c r="AC267" s="79"/>
      <c r="AD267" s="79" t="s">
        <v>699</v>
      </c>
      <c r="AE267" s="79"/>
      <c r="AF267" s="79"/>
      <c r="AG267" s="79" t="str">
        <f>TEXT(2,"#,##0.#######")</f>
        <v>2.</v>
      </c>
      <c r="AH267" s="79" t="s">
        <v>767</v>
      </c>
      <c r="AI267" s="79"/>
      <c r="AJ267" s="79"/>
      <c r="AK267" s="79" t="s">
        <v>391</v>
      </c>
      <c r="AL267" s="79"/>
      <c r="AM267" s="79"/>
      <c r="AN267" s="79" t="s">
        <v>262</v>
      </c>
      <c r="AO267" s="79"/>
      <c r="AP267" s="79"/>
      <c r="AQ267" s="79" t="s">
        <v>309</v>
      </c>
      <c r="AR267" s="79"/>
      <c r="AS267" s="79" t="str">
        <f>TEXT(T267,"#,##0.#######")</f>
        <v>226,122.</v>
      </c>
      <c r="AT267" s="79"/>
      <c r="AU267" s="79"/>
      <c r="AV267" s="79"/>
      <c r="AW267" s="79"/>
      <c r="AX267" s="79"/>
      <c r="AY267" s="79"/>
      <c r="AZ267" s="79"/>
      <c r="BA267" s="79" t="s">
        <v>699</v>
      </c>
      <c r="BB267" s="79"/>
      <c r="BC267" s="79"/>
      <c r="BD267" s="79" t="str">
        <f>TEXT(AG267,"#,##0.#######")</f>
        <v>2.</v>
      </c>
      <c r="BE267" s="79"/>
      <c r="BF267" s="79" t="s">
        <v>391</v>
      </c>
      <c r="BG267" s="79"/>
      <c r="BH267" s="79"/>
      <c r="BI267" s="79" t="str">
        <f>TEXT(Y251,"#,##0.#######")</f>
        <v>90.</v>
      </c>
      <c r="BJ267" s="79"/>
      <c r="BK267" s="79"/>
      <c r="BL267" s="79" t="s">
        <v>309</v>
      </c>
      <c r="BM267" s="79"/>
      <c r="BN267" s="79" t="str">
        <f>TEXT(TRUNC(T267*AG267/Y251,1),"#,##0.#######")</f>
        <v>5,024.9</v>
      </c>
      <c r="BO267" s="79"/>
      <c r="BP267" s="79"/>
      <c r="BQ267" s="79"/>
      <c r="BR267" s="79"/>
      <c r="BS267" s="79"/>
      <c r="BT267" s="79"/>
      <c r="BU267" s="79"/>
      <c r="BV267" s="79"/>
      <c r="BW267" s="79"/>
      <c r="BX267" s="79"/>
      <c r="BY267" s="79"/>
      <c r="BZ267" s="79"/>
      <c r="CA267" s="79"/>
      <c r="CB267" s="79"/>
      <c r="CC267" s="79"/>
      <c r="CD267" s="79"/>
      <c r="CE267" s="79"/>
      <c r="CF267" s="79"/>
      <c r="CG267" s="79"/>
      <c r="CH267" s="79"/>
      <c r="CI267" s="79"/>
      <c r="CJ267" s="79"/>
      <c r="CK267" s="79"/>
      <c r="CL267" s="79"/>
      <c r="CM267" s="79"/>
      <c r="CN267" s="79"/>
      <c r="CO267" s="79"/>
      <c r="CP267" s="79"/>
      <c r="CQ267" s="79"/>
      <c r="CR267" s="79"/>
      <c r="CS267" s="79"/>
      <c r="CT267" s="79"/>
      <c r="CU267" s="79"/>
      <c r="CV267" s="79"/>
      <c r="CW267" s="79"/>
      <c r="CX267" s="85"/>
      <c r="CY267" s="85"/>
      <c r="CZ267" s="85"/>
      <c r="DA267" s="86"/>
      <c r="DB267" s="84"/>
    </row>
    <row r="268" spans="2:106" ht="11.25" customHeight="1">
      <c r="B268" s="78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  <c r="AS268" s="79"/>
      <c r="AT268" s="79"/>
      <c r="AU268" s="79"/>
      <c r="AV268" s="79"/>
      <c r="AW268" s="79"/>
      <c r="AX268" s="79"/>
      <c r="AY268" s="79"/>
      <c r="AZ268" s="79"/>
      <c r="BA268" s="79"/>
      <c r="BB268" s="79"/>
      <c r="BC268" s="79"/>
      <c r="BD268" s="79"/>
      <c r="BE268" s="79"/>
      <c r="BF268" s="79"/>
      <c r="BG268" s="79"/>
      <c r="BH268" s="79"/>
      <c r="BI268" s="79"/>
      <c r="BJ268" s="79"/>
      <c r="BK268" s="79"/>
      <c r="BL268" s="79"/>
      <c r="BM268" s="79"/>
      <c r="BN268" s="79"/>
      <c r="BO268" s="79"/>
      <c r="BP268" s="79"/>
      <c r="BQ268" s="79"/>
      <c r="BR268" s="79"/>
      <c r="BS268" s="79"/>
      <c r="BT268" s="79"/>
      <c r="BU268" s="79"/>
      <c r="BV268" s="79"/>
      <c r="BW268" s="79"/>
      <c r="BX268" s="79"/>
      <c r="BY268" s="79"/>
      <c r="BZ268" s="79"/>
      <c r="CA268" s="79"/>
      <c r="CB268" s="79"/>
      <c r="CC268" s="79"/>
      <c r="CD268" s="79"/>
      <c r="CE268" s="79"/>
      <c r="CF268" s="79"/>
      <c r="CG268" s="79"/>
      <c r="CH268" s="79"/>
      <c r="CI268" s="79"/>
      <c r="CJ268" s="79"/>
      <c r="CK268" s="79"/>
      <c r="CL268" s="79"/>
      <c r="CM268" s="79"/>
      <c r="CN268" s="79"/>
      <c r="CO268" s="79"/>
      <c r="CP268" s="79"/>
      <c r="CQ268" s="79"/>
      <c r="CR268" s="79"/>
      <c r="CS268" s="79"/>
      <c r="CT268" s="79"/>
      <c r="CU268" s="79"/>
      <c r="CV268" s="79"/>
      <c r="CW268" s="79"/>
      <c r="CX268" s="85"/>
      <c r="CY268" s="85"/>
      <c r="CZ268" s="85"/>
      <c r="DA268" s="86"/>
      <c r="DB268" s="84"/>
    </row>
    <row r="269" spans="2:106" ht="11.25" customHeight="1">
      <c r="B269" s="78"/>
      <c r="C269" s="79"/>
      <c r="D269" s="79"/>
      <c r="E269" s="79"/>
      <c r="F269" s="79"/>
      <c r="G269" s="79" t="s">
        <v>54</v>
      </c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 t="s">
        <v>604</v>
      </c>
      <c r="S269" s="79"/>
      <c r="T269" s="79"/>
      <c r="U269" s="79" t="str">
        <f>TEXT(노임단가!F5,"#,##0")</f>
        <v>172,068</v>
      </c>
      <c r="V269" s="79"/>
      <c r="W269" s="79"/>
      <c r="X269" s="79"/>
      <c r="Y269" s="79"/>
      <c r="Z269" s="79"/>
      <c r="AA269" s="79"/>
      <c r="AB269" s="79"/>
      <c r="AC269" s="79"/>
      <c r="AD269" s="79"/>
      <c r="AE269" s="79" t="s">
        <v>699</v>
      </c>
      <c r="AF269" s="79"/>
      <c r="AG269" s="79"/>
      <c r="AH269" s="79" t="str">
        <f>TEXT(2,"#,##0.#######")</f>
        <v>2.</v>
      </c>
      <c r="AI269" s="79" t="s">
        <v>767</v>
      </c>
      <c r="AJ269" s="79"/>
      <c r="AK269" s="79"/>
      <c r="AL269" s="79" t="s">
        <v>391</v>
      </c>
      <c r="AM269" s="79"/>
      <c r="AN269" s="79"/>
      <c r="AO269" s="79" t="s">
        <v>262</v>
      </c>
      <c r="AP269" s="79"/>
      <c r="AQ269" s="79"/>
      <c r="AR269" s="79" t="s">
        <v>309</v>
      </c>
      <c r="AS269" s="79"/>
      <c r="AT269" s="79"/>
      <c r="AU269" s="79" t="str">
        <f>TEXT(U269,"#,##0.#######")</f>
        <v>172,068.</v>
      </c>
      <c r="AV269" s="79"/>
      <c r="AW269" s="79"/>
      <c r="AX269" s="79"/>
      <c r="AY269" s="79"/>
      <c r="AZ269" s="79"/>
      <c r="BA269" s="79"/>
      <c r="BB269" s="79"/>
      <c r="BC269" s="79" t="s">
        <v>699</v>
      </c>
      <c r="BD269" s="79"/>
      <c r="BE269" s="79"/>
      <c r="BF269" s="79" t="str">
        <f>TEXT(AH269,"#,##0.#######")</f>
        <v>2.</v>
      </c>
      <c r="BG269" s="79"/>
      <c r="BH269" s="79" t="s">
        <v>391</v>
      </c>
      <c r="BI269" s="79"/>
      <c r="BJ269" s="79"/>
      <c r="BK269" s="79" t="str">
        <f>TEXT(Y251,"#,##0.#######")</f>
        <v>90.</v>
      </c>
      <c r="BL269" s="79"/>
      <c r="BM269" s="79"/>
      <c r="BN269" s="79" t="s">
        <v>309</v>
      </c>
      <c r="BO269" s="79"/>
      <c r="BP269" s="79" t="str">
        <f>TEXT(TRUNC(U269*AH269/Y251,1),"#,##0.#######")</f>
        <v>3,823.7</v>
      </c>
      <c r="BQ269" s="79"/>
      <c r="BR269" s="79"/>
      <c r="BS269" s="79"/>
      <c r="BT269" s="79"/>
      <c r="BU269" s="79"/>
      <c r="BV269" s="79"/>
      <c r="BW269" s="79"/>
      <c r="BX269" s="79"/>
      <c r="BY269" s="79"/>
      <c r="BZ269" s="79"/>
      <c r="CA269" s="79"/>
      <c r="CB269" s="79"/>
      <c r="CC269" s="79"/>
      <c r="CD269" s="79"/>
      <c r="CE269" s="79"/>
      <c r="CF269" s="79"/>
      <c r="CG269" s="79"/>
      <c r="CH269" s="79"/>
      <c r="CI269" s="79"/>
      <c r="CJ269" s="79"/>
      <c r="CK269" s="79"/>
      <c r="CL269" s="79"/>
      <c r="CM269" s="79"/>
      <c r="CN269" s="79"/>
      <c r="CO269" s="79"/>
      <c r="CP269" s="79"/>
      <c r="CQ269" s="79"/>
      <c r="CR269" s="79"/>
      <c r="CS269" s="79"/>
      <c r="CT269" s="79"/>
      <c r="CU269" s="79"/>
      <c r="CV269" s="79"/>
      <c r="CW269" s="79"/>
      <c r="CX269" s="85"/>
      <c r="CY269" s="85"/>
      <c r="CZ269" s="85"/>
      <c r="DA269" s="86"/>
      <c r="DB269" s="84"/>
    </row>
    <row r="270" spans="2:106" ht="11.25" customHeight="1">
      <c r="B270" s="78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  <c r="AQ270" s="79"/>
      <c r="AR270" s="79"/>
      <c r="AS270" s="79"/>
      <c r="AT270" s="79"/>
      <c r="AU270" s="79"/>
      <c r="AV270" s="79"/>
      <c r="AW270" s="79"/>
      <c r="AX270" s="79"/>
      <c r="AY270" s="79"/>
      <c r="AZ270" s="79"/>
      <c r="BA270" s="79"/>
      <c r="BB270" s="79"/>
      <c r="BC270" s="79"/>
      <c r="BD270" s="79"/>
      <c r="BE270" s="79"/>
      <c r="BF270" s="79"/>
      <c r="BG270" s="79"/>
      <c r="BH270" s="79"/>
      <c r="BI270" s="79"/>
      <c r="BJ270" s="79"/>
      <c r="BK270" s="79"/>
      <c r="BL270" s="79"/>
      <c r="BM270" s="79"/>
      <c r="BN270" s="79"/>
      <c r="BO270" s="79"/>
      <c r="BP270" s="79"/>
      <c r="BQ270" s="79"/>
      <c r="BR270" s="79"/>
      <c r="BS270" s="79"/>
      <c r="BT270" s="79"/>
      <c r="BU270" s="79"/>
      <c r="BV270" s="79"/>
      <c r="BW270" s="79"/>
      <c r="BX270" s="79"/>
      <c r="BY270" s="79"/>
      <c r="BZ270" s="79"/>
      <c r="CA270" s="79"/>
      <c r="CB270" s="79"/>
      <c r="CC270" s="79"/>
      <c r="CD270" s="79"/>
      <c r="CE270" s="79"/>
      <c r="CF270" s="79"/>
      <c r="CG270" s="79"/>
      <c r="CH270" s="79"/>
      <c r="CI270" s="79"/>
      <c r="CJ270" s="79"/>
      <c r="CK270" s="79"/>
      <c r="CL270" s="79"/>
      <c r="CM270" s="79"/>
      <c r="CN270" s="79"/>
      <c r="CO270" s="79"/>
      <c r="CP270" s="79"/>
      <c r="CQ270" s="79"/>
      <c r="CR270" s="79"/>
      <c r="CS270" s="79"/>
      <c r="CT270" s="79"/>
      <c r="CU270" s="79"/>
      <c r="CV270" s="79"/>
      <c r="CW270" s="79"/>
      <c r="CX270" s="85"/>
      <c r="CY270" s="85"/>
      <c r="CZ270" s="85"/>
      <c r="DA270" s="86"/>
      <c r="DB270" s="84"/>
    </row>
    <row r="271" spans="2:106" ht="11.25" customHeight="1">
      <c r="B271" s="78"/>
      <c r="C271" s="79"/>
      <c r="D271" s="79"/>
      <c r="E271" s="79"/>
      <c r="F271" s="79"/>
      <c r="G271" s="79" t="s">
        <v>565</v>
      </c>
      <c r="H271" s="79"/>
      <c r="I271" s="79"/>
      <c r="J271" s="79"/>
      <c r="K271" s="79"/>
      <c r="L271" s="79"/>
      <c r="M271" s="79"/>
      <c r="N271" s="79"/>
      <c r="O271" s="79"/>
      <c r="P271" s="79" t="s">
        <v>604</v>
      </c>
      <c r="Q271" s="79"/>
      <c r="R271" s="79" t="str">
        <f>TEXT(TRUNC(BN267+BP269,1),"#,##0.#######")</f>
        <v>8,848.6</v>
      </c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/>
      <c r="AU271" s="79"/>
      <c r="AV271" s="79"/>
      <c r="AW271" s="79"/>
      <c r="AX271" s="79"/>
      <c r="AY271" s="79"/>
      <c r="AZ271" s="79"/>
      <c r="BA271" s="79"/>
      <c r="BB271" s="79"/>
      <c r="BC271" s="79"/>
      <c r="BD271" s="79"/>
      <c r="BE271" s="79"/>
      <c r="BF271" s="79"/>
      <c r="BG271" s="79"/>
      <c r="BH271" s="79"/>
      <c r="BI271" s="79"/>
      <c r="BJ271" s="79"/>
      <c r="BK271" s="79"/>
      <c r="BL271" s="79"/>
      <c r="BM271" s="79"/>
      <c r="BN271" s="79"/>
      <c r="BO271" s="79"/>
      <c r="BP271" s="79"/>
      <c r="BQ271" s="79"/>
      <c r="BR271" s="79"/>
      <c r="BS271" s="79"/>
      <c r="BT271" s="79"/>
      <c r="BU271" s="79"/>
      <c r="BV271" s="79"/>
      <c r="BW271" s="79"/>
      <c r="BX271" s="79"/>
      <c r="BY271" s="79"/>
      <c r="BZ271" s="79"/>
      <c r="CA271" s="79"/>
      <c r="CB271" s="79"/>
      <c r="CC271" s="79"/>
      <c r="CD271" s="79"/>
      <c r="CE271" s="79"/>
      <c r="CF271" s="79"/>
      <c r="CG271" s="79"/>
      <c r="CH271" s="79"/>
      <c r="CI271" s="79"/>
      <c r="CJ271" s="79"/>
      <c r="CK271" s="79"/>
      <c r="CL271" s="79"/>
      <c r="CM271" s="79"/>
      <c r="CN271" s="79"/>
      <c r="CO271" s="79"/>
      <c r="CP271" s="79"/>
      <c r="CQ271" s="79"/>
      <c r="CR271" s="79"/>
      <c r="CS271" s="79"/>
      <c r="CT271" s="79"/>
      <c r="CU271" s="79"/>
      <c r="CV271" s="79"/>
      <c r="CW271" s="79"/>
      <c r="CX271" s="85"/>
      <c r="CY271" s="85" t="str">
        <f>R271</f>
        <v>8,848.6</v>
      </c>
      <c r="CZ271" s="85"/>
      <c r="DA271" s="86"/>
      <c r="DB271" s="84"/>
    </row>
    <row r="272" spans="2:106" ht="11.25" customHeight="1">
      <c r="B272" s="78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  <c r="AS272" s="79"/>
      <c r="AT272" s="79"/>
      <c r="AU272" s="79"/>
      <c r="AV272" s="79"/>
      <c r="AW272" s="79"/>
      <c r="AX272" s="79"/>
      <c r="AY272" s="79"/>
      <c r="AZ272" s="79"/>
      <c r="BA272" s="79"/>
      <c r="BB272" s="79"/>
      <c r="BC272" s="79"/>
      <c r="BD272" s="79"/>
      <c r="BE272" s="79"/>
      <c r="BF272" s="79"/>
      <c r="BG272" s="79"/>
      <c r="BH272" s="79"/>
      <c r="BI272" s="79"/>
      <c r="BJ272" s="79"/>
      <c r="BK272" s="79"/>
      <c r="BL272" s="79"/>
      <c r="BM272" s="79"/>
      <c r="BN272" s="79"/>
      <c r="BO272" s="79"/>
      <c r="BP272" s="79"/>
      <c r="BQ272" s="79"/>
      <c r="BR272" s="79"/>
      <c r="BS272" s="79"/>
      <c r="BT272" s="79"/>
      <c r="BU272" s="79"/>
      <c r="BV272" s="79"/>
      <c r="BW272" s="79"/>
      <c r="BX272" s="79"/>
      <c r="BY272" s="79"/>
      <c r="BZ272" s="79"/>
      <c r="CA272" s="79"/>
      <c r="CB272" s="79"/>
      <c r="CC272" s="79"/>
      <c r="CD272" s="79"/>
      <c r="CE272" s="79"/>
      <c r="CF272" s="79"/>
      <c r="CG272" s="79"/>
      <c r="CH272" s="79"/>
      <c r="CI272" s="79"/>
      <c r="CJ272" s="79"/>
      <c r="CK272" s="79"/>
      <c r="CL272" s="79"/>
      <c r="CM272" s="79"/>
      <c r="CN272" s="79"/>
      <c r="CO272" s="79"/>
      <c r="CP272" s="79"/>
      <c r="CQ272" s="79"/>
      <c r="CR272" s="79"/>
      <c r="CS272" s="79"/>
      <c r="CT272" s="79"/>
      <c r="CU272" s="79"/>
      <c r="CV272" s="79"/>
      <c r="CW272" s="79"/>
      <c r="CX272" s="85"/>
      <c r="CY272" s="85"/>
      <c r="CZ272" s="85"/>
      <c r="DA272" s="86"/>
      <c r="DB272" s="84"/>
    </row>
    <row r="273" spans="2:106" ht="11.25" customHeight="1">
      <c r="B273" s="78"/>
      <c r="C273" s="79"/>
      <c r="D273" s="79" t="s">
        <v>832</v>
      </c>
      <c r="E273" s="79"/>
      <c r="F273" s="79"/>
      <c r="G273" s="79" t="s">
        <v>200</v>
      </c>
      <c r="H273" s="79"/>
      <c r="I273" s="79"/>
      <c r="J273" s="79"/>
      <c r="K273" s="79"/>
      <c r="L273" s="79"/>
      <c r="M273" s="79"/>
      <c r="N273" s="79"/>
      <c r="O273" s="79" t="s">
        <v>431</v>
      </c>
      <c r="P273" s="79" t="s">
        <v>130</v>
      </c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 t="s">
        <v>225</v>
      </c>
      <c r="AB273" s="79" t="s">
        <v>157</v>
      </c>
      <c r="AC273" s="79" t="s">
        <v>89</v>
      </c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/>
      <c r="AU273" s="79"/>
      <c r="AV273" s="79"/>
      <c r="AW273" s="79"/>
      <c r="AX273" s="79"/>
      <c r="AY273" s="79"/>
      <c r="AZ273" s="79"/>
      <c r="BA273" s="79"/>
      <c r="BB273" s="79"/>
      <c r="BC273" s="79"/>
      <c r="BD273" s="79"/>
      <c r="BE273" s="79"/>
      <c r="BF273" s="79"/>
      <c r="BG273" s="79"/>
      <c r="BH273" s="79"/>
      <c r="BI273" s="79"/>
      <c r="BJ273" s="79"/>
      <c r="BK273" s="79"/>
      <c r="BL273" s="79"/>
      <c r="BM273" s="79"/>
      <c r="BN273" s="79"/>
      <c r="BO273" s="79"/>
      <c r="BP273" s="79"/>
      <c r="BQ273" s="79"/>
      <c r="BR273" s="79"/>
      <c r="BS273" s="79"/>
      <c r="BT273" s="79"/>
      <c r="BU273" s="79"/>
      <c r="BV273" s="79"/>
      <c r="BW273" s="79"/>
      <c r="BX273" s="79"/>
      <c r="BY273" s="79"/>
      <c r="BZ273" s="79"/>
      <c r="CA273" s="79"/>
      <c r="CB273" s="79"/>
      <c r="CC273" s="79"/>
      <c r="CD273" s="79"/>
      <c r="CE273" s="79"/>
      <c r="CF273" s="79"/>
      <c r="CG273" s="79"/>
      <c r="CH273" s="79"/>
      <c r="CI273" s="79"/>
      <c r="CJ273" s="79"/>
      <c r="CK273" s="79"/>
      <c r="CL273" s="79"/>
      <c r="CM273" s="79"/>
      <c r="CN273" s="79"/>
      <c r="CO273" s="79"/>
      <c r="CP273" s="79"/>
      <c r="CQ273" s="79"/>
      <c r="CR273" s="79"/>
      <c r="CS273" s="79"/>
      <c r="CT273" s="79"/>
      <c r="CU273" s="79"/>
      <c r="CV273" s="79"/>
      <c r="CW273" s="79"/>
      <c r="CX273" s="85"/>
      <c r="CY273" s="85"/>
      <c r="CZ273" s="85"/>
      <c r="DA273" s="86"/>
      <c r="DB273" s="84"/>
    </row>
    <row r="274" spans="2:106" ht="11.25" customHeight="1">
      <c r="B274" s="78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  <c r="AS274" s="79"/>
      <c r="AT274" s="79"/>
      <c r="AU274" s="79"/>
      <c r="AV274" s="79"/>
      <c r="AW274" s="79"/>
      <c r="AX274" s="79"/>
      <c r="AY274" s="79"/>
      <c r="AZ274" s="79"/>
      <c r="BA274" s="79"/>
      <c r="BB274" s="79"/>
      <c r="BC274" s="79"/>
      <c r="BD274" s="79"/>
      <c r="BE274" s="79"/>
      <c r="BF274" s="79"/>
      <c r="BG274" s="79"/>
      <c r="BH274" s="79"/>
      <c r="BI274" s="79"/>
      <c r="BJ274" s="79"/>
      <c r="BK274" s="79"/>
      <c r="BL274" s="79"/>
      <c r="BM274" s="79"/>
      <c r="BN274" s="79"/>
      <c r="BO274" s="79"/>
      <c r="BP274" s="79"/>
      <c r="BQ274" s="79"/>
      <c r="BR274" s="79"/>
      <c r="BS274" s="79"/>
      <c r="BT274" s="79"/>
      <c r="BU274" s="79"/>
      <c r="BV274" s="79"/>
      <c r="BW274" s="79"/>
      <c r="BX274" s="79"/>
      <c r="BY274" s="79"/>
      <c r="BZ274" s="79"/>
      <c r="CA274" s="79"/>
      <c r="CB274" s="79"/>
      <c r="CC274" s="79"/>
      <c r="CD274" s="79"/>
      <c r="CE274" s="79"/>
      <c r="CF274" s="79"/>
      <c r="CG274" s="79"/>
      <c r="CH274" s="79"/>
      <c r="CI274" s="79"/>
      <c r="CJ274" s="79"/>
      <c r="CK274" s="79"/>
      <c r="CL274" s="79"/>
      <c r="CM274" s="79"/>
      <c r="CN274" s="79"/>
      <c r="CO274" s="79"/>
      <c r="CP274" s="79"/>
      <c r="CQ274" s="79"/>
      <c r="CR274" s="79"/>
      <c r="CS274" s="79"/>
      <c r="CT274" s="79"/>
      <c r="CU274" s="79"/>
      <c r="CV274" s="79"/>
      <c r="CW274" s="79"/>
      <c r="CX274" s="85"/>
      <c r="CY274" s="85"/>
      <c r="CZ274" s="85"/>
      <c r="DA274" s="86"/>
      <c r="DB274" s="84"/>
    </row>
    <row r="275" spans="2:106" ht="11.25" customHeight="1">
      <c r="B275" s="78"/>
      <c r="C275" s="79"/>
      <c r="D275" s="79"/>
      <c r="E275" s="79"/>
      <c r="F275" s="79"/>
      <c r="G275" s="79" t="str">
        <f>R263</f>
        <v>24,638.9</v>
      </c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 t="s">
        <v>699</v>
      </c>
      <c r="S275" s="79"/>
      <c r="T275" s="79"/>
      <c r="U275" s="79" t="str">
        <f>TEXT(1,"#,##0.#######")</f>
        <v>1.</v>
      </c>
      <c r="V275" s="79" t="s">
        <v>157</v>
      </c>
      <c r="W275" s="79"/>
      <c r="X275" s="79" t="s">
        <v>309</v>
      </c>
      <c r="Y275" s="79"/>
      <c r="Z275" s="79" t="str">
        <f>TEXT(TRUNC(R263*(U275*(1/100)),1),"#,##0.#")</f>
        <v>246.3</v>
      </c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/>
      <c r="AT275" s="79"/>
      <c r="AU275" s="79"/>
      <c r="AV275" s="79"/>
      <c r="AW275" s="79"/>
      <c r="AX275" s="79"/>
      <c r="AY275" s="79"/>
      <c r="AZ275" s="79"/>
      <c r="BA275" s="79"/>
      <c r="BB275" s="79"/>
      <c r="BC275" s="79"/>
      <c r="BD275" s="79"/>
      <c r="BE275" s="79"/>
      <c r="BF275" s="79"/>
      <c r="BG275" s="79"/>
      <c r="BH275" s="79"/>
      <c r="BI275" s="79"/>
      <c r="BJ275" s="79"/>
      <c r="BK275" s="79"/>
      <c r="BL275" s="79"/>
      <c r="BM275" s="79"/>
      <c r="BN275" s="79"/>
      <c r="BO275" s="79"/>
      <c r="BP275" s="79"/>
      <c r="BQ275" s="79"/>
      <c r="BR275" s="79"/>
      <c r="BS275" s="79"/>
      <c r="BT275" s="79"/>
      <c r="BU275" s="79"/>
      <c r="BV275" s="79"/>
      <c r="BW275" s="79"/>
      <c r="BX275" s="79"/>
      <c r="BY275" s="79"/>
      <c r="BZ275" s="79"/>
      <c r="CA275" s="79"/>
      <c r="CB275" s="79"/>
      <c r="CC275" s="79"/>
      <c r="CD275" s="79"/>
      <c r="CE275" s="79"/>
      <c r="CF275" s="79"/>
      <c r="CG275" s="79"/>
      <c r="CH275" s="79"/>
      <c r="CI275" s="79"/>
      <c r="CJ275" s="79"/>
      <c r="CK275" s="79"/>
      <c r="CL275" s="79"/>
      <c r="CM275" s="79"/>
      <c r="CN275" s="79"/>
      <c r="CO275" s="79"/>
      <c r="CP275" s="79"/>
      <c r="CQ275" s="79"/>
      <c r="CR275" s="79"/>
      <c r="CS275" s="79"/>
      <c r="CT275" s="79"/>
      <c r="CU275" s="79"/>
      <c r="CV275" s="79"/>
      <c r="CW275" s="79"/>
      <c r="CX275" s="85">
        <f>CY275+CZ275+DA275</f>
        <v>246.3</v>
      </c>
      <c r="CY275" s="85"/>
      <c r="CZ275" s="85" t="str">
        <f>Z275</f>
        <v>246.3</v>
      </c>
      <c r="DA275" s="86"/>
      <c r="DB275" s="84"/>
    </row>
    <row r="276" spans="2:106" ht="11.25" customHeight="1">
      <c r="B276" s="78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  <c r="AS276" s="79"/>
      <c r="AT276" s="79"/>
      <c r="AU276" s="79"/>
      <c r="AV276" s="79"/>
      <c r="AW276" s="79"/>
      <c r="AX276" s="79"/>
      <c r="AY276" s="79"/>
      <c r="AZ276" s="79"/>
      <c r="BA276" s="79"/>
      <c r="BB276" s="79"/>
      <c r="BC276" s="79"/>
      <c r="BD276" s="79"/>
      <c r="BE276" s="79"/>
      <c r="BF276" s="79"/>
      <c r="BG276" s="79"/>
      <c r="BH276" s="79"/>
      <c r="BI276" s="79"/>
      <c r="BJ276" s="79"/>
      <c r="BK276" s="79"/>
      <c r="BL276" s="79"/>
      <c r="BM276" s="79"/>
      <c r="BN276" s="79"/>
      <c r="BO276" s="79"/>
      <c r="BP276" s="79"/>
      <c r="BQ276" s="79"/>
      <c r="BR276" s="79"/>
      <c r="BS276" s="79"/>
      <c r="BT276" s="79"/>
      <c r="BU276" s="79"/>
      <c r="BV276" s="79"/>
      <c r="BW276" s="79"/>
      <c r="BX276" s="79"/>
      <c r="BY276" s="79"/>
      <c r="BZ276" s="79"/>
      <c r="CA276" s="79"/>
      <c r="CB276" s="79"/>
      <c r="CC276" s="79"/>
      <c r="CD276" s="79"/>
      <c r="CE276" s="79"/>
      <c r="CF276" s="79"/>
      <c r="CG276" s="79"/>
      <c r="CH276" s="79"/>
      <c r="CI276" s="79"/>
      <c r="CJ276" s="79"/>
      <c r="CK276" s="79"/>
      <c r="CL276" s="79"/>
      <c r="CM276" s="79"/>
      <c r="CN276" s="79"/>
      <c r="CO276" s="79"/>
      <c r="CP276" s="79"/>
      <c r="CQ276" s="79"/>
      <c r="CR276" s="79"/>
      <c r="CS276" s="79"/>
      <c r="CT276" s="79"/>
      <c r="CU276" s="79"/>
      <c r="CV276" s="79"/>
      <c r="CW276" s="79"/>
      <c r="CX276" s="85"/>
      <c r="CY276" s="85"/>
      <c r="CZ276" s="85"/>
      <c r="DA276" s="86"/>
      <c r="DB276" s="84"/>
    </row>
    <row r="277" spans="2:106" ht="11.25" customHeight="1">
      <c r="B277" s="78"/>
      <c r="C277" s="79"/>
      <c r="D277" s="79" t="s">
        <v>165</v>
      </c>
      <c r="E277" s="79"/>
      <c r="F277" s="79"/>
      <c r="G277" s="79" t="s">
        <v>446</v>
      </c>
      <c r="H277" s="79"/>
      <c r="I277" s="79"/>
      <c r="J277" s="79"/>
      <c r="K277" s="79"/>
      <c r="L277" s="79"/>
      <c r="M277" s="79"/>
      <c r="N277" s="79"/>
      <c r="O277" s="79"/>
      <c r="P277" s="79" t="s">
        <v>327</v>
      </c>
      <c r="Q277" s="79"/>
      <c r="R277" s="79"/>
      <c r="S277" s="79" t="s">
        <v>75</v>
      </c>
      <c r="T277" s="79"/>
      <c r="U277" s="79"/>
      <c r="V277" s="79"/>
      <c r="W277" s="79"/>
      <c r="X277" s="79"/>
      <c r="Y277" s="79" t="s">
        <v>431</v>
      </c>
      <c r="Z277" s="79" t="s">
        <v>117</v>
      </c>
      <c r="AA277" s="79"/>
      <c r="AB277" s="79"/>
      <c r="AC277" s="79"/>
      <c r="AD277" s="79"/>
      <c r="AE277" s="79"/>
      <c r="AF277" s="79"/>
      <c r="AG277" s="79"/>
      <c r="AH277" s="79" t="s">
        <v>716</v>
      </c>
      <c r="AI277" s="79"/>
      <c r="AJ277" s="79"/>
      <c r="AK277" s="79"/>
      <c r="AL277" s="79"/>
      <c r="AM277" s="79"/>
      <c r="AN277" s="79"/>
      <c r="AO277" s="79" t="s">
        <v>89</v>
      </c>
      <c r="AP277" s="79" t="s">
        <v>245</v>
      </c>
      <c r="AQ277" s="79"/>
      <c r="AR277" s="79"/>
      <c r="AS277" s="79" t="s">
        <v>106</v>
      </c>
      <c r="AT277" s="79"/>
      <c r="AU277" s="79"/>
      <c r="AV277" s="79"/>
      <c r="AW277" s="79"/>
      <c r="AX277" s="79"/>
      <c r="AY277" s="79"/>
      <c r="AZ277" s="79"/>
      <c r="BA277" s="79" t="s">
        <v>23</v>
      </c>
      <c r="BB277" s="79" t="s">
        <v>431</v>
      </c>
      <c r="BC277" s="79" t="s">
        <v>460</v>
      </c>
      <c r="BD277" s="79"/>
      <c r="BE277" s="79"/>
      <c r="BF277" s="79"/>
      <c r="BG277" s="79"/>
      <c r="BH277" s="79"/>
      <c r="BI277" s="79"/>
      <c r="BJ277" s="79"/>
      <c r="BK277" s="79"/>
      <c r="BL277" s="79" t="s">
        <v>90</v>
      </c>
      <c r="BM277" s="79"/>
      <c r="BN277" s="79" t="s">
        <v>157</v>
      </c>
      <c r="BO277" s="79" t="s">
        <v>89</v>
      </c>
      <c r="BP277" s="79"/>
      <c r="BQ277" s="79"/>
      <c r="BR277" s="79"/>
      <c r="BS277" s="79"/>
      <c r="BT277" s="79"/>
      <c r="BU277" s="79"/>
      <c r="BV277" s="79"/>
      <c r="BW277" s="79"/>
      <c r="BX277" s="79"/>
      <c r="BY277" s="79"/>
      <c r="BZ277" s="79"/>
      <c r="CA277" s="79"/>
      <c r="CB277" s="79"/>
      <c r="CC277" s="79"/>
      <c r="CD277" s="79"/>
      <c r="CE277" s="79"/>
      <c r="CF277" s="79"/>
      <c r="CG277" s="79"/>
      <c r="CH277" s="79"/>
      <c r="CI277" s="79"/>
      <c r="CJ277" s="79"/>
      <c r="CK277" s="79"/>
      <c r="CL277" s="79"/>
      <c r="CM277" s="79"/>
      <c r="CN277" s="79"/>
      <c r="CO277" s="79"/>
      <c r="CP277" s="79"/>
      <c r="CQ277" s="79"/>
      <c r="CR277" s="79"/>
      <c r="CS277" s="79"/>
      <c r="CT277" s="79"/>
      <c r="CU277" s="79"/>
      <c r="CV277" s="79"/>
      <c r="CW277" s="79"/>
      <c r="CX277" s="85"/>
      <c r="CY277" s="85"/>
      <c r="CZ277" s="85"/>
      <c r="DA277" s="86"/>
      <c r="DB277" s="84"/>
    </row>
    <row r="278" spans="2:106" ht="11.25" customHeight="1">
      <c r="B278" s="78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  <c r="AQ278" s="79"/>
      <c r="AR278" s="79"/>
      <c r="AS278" s="79"/>
      <c r="AT278" s="79"/>
      <c r="AU278" s="79"/>
      <c r="AV278" s="79"/>
      <c r="AW278" s="79"/>
      <c r="AX278" s="79"/>
      <c r="AY278" s="79"/>
      <c r="AZ278" s="79"/>
      <c r="BA278" s="79"/>
      <c r="BB278" s="79"/>
      <c r="BC278" s="79"/>
      <c r="BD278" s="79"/>
      <c r="BE278" s="79"/>
      <c r="BF278" s="79"/>
      <c r="BG278" s="79"/>
      <c r="BH278" s="79"/>
      <c r="BI278" s="79"/>
      <c r="BJ278" s="79"/>
      <c r="BK278" s="79"/>
      <c r="BL278" s="79"/>
      <c r="BM278" s="79"/>
      <c r="BN278" s="79"/>
      <c r="BO278" s="79"/>
      <c r="BP278" s="79"/>
      <c r="BQ278" s="79"/>
      <c r="BR278" s="79"/>
      <c r="BS278" s="79"/>
      <c r="BT278" s="79"/>
      <c r="BU278" s="79"/>
      <c r="BV278" s="79"/>
      <c r="BW278" s="79"/>
      <c r="BX278" s="79"/>
      <c r="BY278" s="79"/>
      <c r="BZ278" s="79"/>
      <c r="CA278" s="79"/>
      <c r="CB278" s="79"/>
      <c r="CC278" s="79"/>
      <c r="CD278" s="79"/>
      <c r="CE278" s="79"/>
      <c r="CF278" s="79"/>
      <c r="CG278" s="79"/>
      <c r="CH278" s="79"/>
      <c r="CI278" s="79"/>
      <c r="CJ278" s="79"/>
      <c r="CK278" s="79"/>
      <c r="CL278" s="79"/>
      <c r="CM278" s="79"/>
      <c r="CN278" s="79"/>
      <c r="CO278" s="79"/>
      <c r="CP278" s="79"/>
      <c r="CQ278" s="79"/>
      <c r="CR278" s="79"/>
      <c r="CS278" s="79"/>
      <c r="CT278" s="79"/>
      <c r="CU278" s="79"/>
      <c r="CV278" s="79"/>
      <c r="CW278" s="79"/>
      <c r="CX278" s="85"/>
      <c r="CY278" s="85"/>
      <c r="CZ278" s="85"/>
      <c r="DA278" s="86"/>
      <c r="DB278" s="84"/>
    </row>
    <row r="279" spans="2:106" ht="11.25" customHeight="1">
      <c r="B279" s="78"/>
      <c r="C279" s="79"/>
      <c r="D279" s="79"/>
      <c r="E279" s="79"/>
      <c r="F279" s="79"/>
      <c r="G279" s="79" t="str">
        <f>R271</f>
        <v>8,848.6</v>
      </c>
      <c r="H279" s="79"/>
      <c r="I279" s="79"/>
      <c r="J279" s="79"/>
      <c r="K279" s="79"/>
      <c r="L279" s="79"/>
      <c r="M279" s="79"/>
      <c r="N279" s="79"/>
      <c r="O279" s="79"/>
      <c r="P279" s="79"/>
      <c r="Q279" s="79" t="s">
        <v>699</v>
      </c>
      <c r="R279" s="79"/>
      <c r="S279" s="79"/>
      <c r="T279" s="79" t="str">
        <f>TEXT(10,"#,##0.#######")</f>
        <v>10.</v>
      </c>
      <c r="U279" s="79"/>
      <c r="V279" s="79" t="s">
        <v>157</v>
      </c>
      <c r="W279" s="79"/>
      <c r="X279" s="79" t="s">
        <v>309</v>
      </c>
      <c r="Y279" s="79"/>
      <c r="Z279" s="79" t="str">
        <f>TEXT(TRUNC(R271*(T279*(1/100)),1),"#,##0.#")</f>
        <v>884.8</v>
      </c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  <c r="AR279" s="79"/>
      <c r="AS279" s="79"/>
      <c r="AT279" s="79"/>
      <c r="AU279" s="79"/>
      <c r="AV279" s="79"/>
      <c r="AW279" s="79"/>
      <c r="AX279" s="79"/>
      <c r="AY279" s="79"/>
      <c r="AZ279" s="79"/>
      <c r="BA279" s="79"/>
      <c r="BB279" s="79"/>
      <c r="BC279" s="79"/>
      <c r="BD279" s="79"/>
      <c r="BE279" s="79"/>
      <c r="BF279" s="79"/>
      <c r="BG279" s="79"/>
      <c r="BH279" s="79"/>
      <c r="BI279" s="79"/>
      <c r="BJ279" s="79"/>
      <c r="BK279" s="79"/>
      <c r="BL279" s="79"/>
      <c r="BM279" s="79"/>
      <c r="BN279" s="79"/>
      <c r="BO279" s="79"/>
      <c r="BP279" s="79"/>
      <c r="BQ279" s="79"/>
      <c r="BR279" s="79"/>
      <c r="BS279" s="79"/>
      <c r="BT279" s="79"/>
      <c r="BU279" s="79"/>
      <c r="BV279" s="79"/>
      <c r="BW279" s="79"/>
      <c r="BX279" s="79"/>
      <c r="BY279" s="79"/>
      <c r="BZ279" s="79"/>
      <c r="CA279" s="79"/>
      <c r="CB279" s="79"/>
      <c r="CC279" s="79"/>
      <c r="CD279" s="79"/>
      <c r="CE279" s="79"/>
      <c r="CF279" s="79"/>
      <c r="CG279" s="79"/>
      <c r="CH279" s="79"/>
      <c r="CI279" s="79"/>
      <c r="CJ279" s="79"/>
      <c r="CK279" s="79"/>
      <c r="CL279" s="79"/>
      <c r="CM279" s="79"/>
      <c r="CN279" s="79"/>
      <c r="CO279" s="79"/>
      <c r="CP279" s="79"/>
      <c r="CQ279" s="79"/>
      <c r="CR279" s="79"/>
      <c r="CS279" s="79"/>
      <c r="CT279" s="79"/>
      <c r="CU279" s="79"/>
      <c r="CV279" s="79"/>
      <c r="CW279" s="79"/>
      <c r="CX279" s="85">
        <f>CY279+CZ279+DA279</f>
        <v>884.8</v>
      </c>
      <c r="CY279" s="85"/>
      <c r="CZ279" s="85"/>
      <c r="DA279" s="86" t="str">
        <f>Z279</f>
        <v>884.8</v>
      </c>
      <c r="DB279" s="84"/>
    </row>
    <row r="280" spans="2:106" ht="11.25" customHeight="1">
      <c r="B280" s="78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  <c r="AQ280" s="79"/>
      <c r="AR280" s="79"/>
      <c r="AS280" s="79"/>
      <c r="AT280" s="79"/>
      <c r="AU280" s="79"/>
      <c r="AV280" s="79"/>
      <c r="AW280" s="79"/>
      <c r="AX280" s="79"/>
      <c r="AY280" s="79"/>
      <c r="AZ280" s="79"/>
      <c r="BA280" s="79"/>
      <c r="BB280" s="79"/>
      <c r="BC280" s="79"/>
      <c r="BD280" s="79"/>
      <c r="BE280" s="79"/>
      <c r="BF280" s="79"/>
      <c r="BG280" s="79"/>
      <c r="BH280" s="79"/>
      <c r="BI280" s="79"/>
      <c r="BJ280" s="79"/>
      <c r="BK280" s="79"/>
      <c r="BL280" s="79"/>
      <c r="BM280" s="79"/>
      <c r="BN280" s="79"/>
      <c r="BO280" s="79"/>
      <c r="BP280" s="79"/>
      <c r="BQ280" s="79"/>
      <c r="BR280" s="79"/>
      <c r="BS280" s="79"/>
      <c r="BT280" s="79"/>
      <c r="BU280" s="79"/>
      <c r="BV280" s="79"/>
      <c r="BW280" s="79"/>
      <c r="BX280" s="79"/>
      <c r="BY280" s="79"/>
      <c r="BZ280" s="79"/>
      <c r="CA280" s="79"/>
      <c r="CB280" s="79"/>
      <c r="CC280" s="79"/>
      <c r="CD280" s="79"/>
      <c r="CE280" s="79"/>
      <c r="CF280" s="79"/>
      <c r="CG280" s="79"/>
      <c r="CH280" s="79"/>
      <c r="CI280" s="79"/>
      <c r="CJ280" s="79"/>
      <c r="CK280" s="79"/>
      <c r="CL280" s="79"/>
      <c r="CM280" s="79"/>
      <c r="CN280" s="79"/>
      <c r="CO280" s="79"/>
      <c r="CP280" s="79"/>
      <c r="CQ280" s="79"/>
      <c r="CR280" s="79"/>
      <c r="CS280" s="79"/>
      <c r="CT280" s="79"/>
      <c r="CU280" s="79"/>
      <c r="CV280" s="79"/>
      <c r="CW280" s="79"/>
      <c r="CX280" s="85"/>
      <c r="CY280" s="85"/>
      <c r="CZ280" s="85"/>
      <c r="DA280" s="86"/>
      <c r="DB280" s="84"/>
    </row>
    <row r="281" spans="2:106" ht="11.25" customHeight="1">
      <c r="B281" s="78"/>
      <c r="C281" s="79"/>
      <c r="D281" s="79" t="s">
        <v>389</v>
      </c>
      <c r="E281" s="79"/>
      <c r="F281" s="79"/>
      <c r="G281" s="79" t="s">
        <v>106</v>
      </c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/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9"/>
      <c r="BG281" s="79"/>
      <c r="BH281" s="79"/>
      <c r="BI281" s="79"/>
      <c r="BJ281" s="79"/>
      <c r="BK281" s="79"/>
      <c r="BL281" s="79"/>
      <c r="BM281" s="79"/>
      <c r="BN281" s="79"/>
      <c r="BO281" s="79"/>
      <c r="BP281" s="79"/>
      <c r="BQ281" s="79"/>
      <c r="BR281" s="79"/>
      <c r="BS281" s="79"/>
      <c r="BT281" s="79"/>
      <c r="BU281" s="79"/>
      <c r="BV281" s="79"/>
      <c r="BW281" s="79"/>
      <c r="BX281" s="79"/>
      <c r="BY281" s="79"/>
      <c r="BZ281" s="79"/>
      <c r="CA281" s="79"/>
      <c r="CB281" s="79"/>
      <c r="CC281" s="79"/>
      <c r="CD281" s="79"/>
      <c r="CE281" s="79"/>
      <c r="CF281" s="79"/>
      <c r="CG281" s="79"/>
      <c r="CH281" s="79"/>
      <c r="CI281" s="79"/>
      <c r="CJ281" s="79"/>
      <c r="CK281" s="79"/>
      <c r="CL281" s="79"/>
      <c r="CM281" s="79"/>
      <c r="CN281" s="79"/>
      <c r="CO281" s="79"/>
      <c r="CP281" s="79"/>
      <c r="CQ281" s="79"/>
      <c r="CR281" s="79"/>
      <c r="CS281" s="79"/>
      <c r="CT281" s="79"/>
      <c r="CU281" s="79"/>
      <c r="CV281" s="79"/>
      <c r="CW281" s="79"/>
      <c r="CX281" s="85"/>
      <c r="CY281" s="85"/>
      <c r="CZ281" s="85"/>
      <c r="DA281" s="86"/>
      <c r="DB281" s="84"/>
    </row>
    <row r="282" spans="2:106" ht="11.25" customHeight="1">
      <c r="B282" s="78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  <c r="AS282" s="79"/>
      <c r="AT282" s="79"/>
      <c r="AU282" s="79"/>
      <c r="AV282" s="79"/>
      <c r="AW282" s="79"/>
      <c r="AX282" s="79"/>
      <c r="AY282" s="79"/>
      <c r="AZ282" s="79"/>
      <c r="BA282" s="79"/>
      <c r="BB282" s="79"/>
      <c r="BC282" s="79"/>
      <c r="BD282" s="79"/>
      <c r="BE282" s="79"/>
      <c r="BF282" s="79"/>
      <c r="BG282" s="79"/>
      <c r="BH282" s="79"/>
      <c r="BI282" s="79"/>
      <c r="BJ282" s="79"/>
      <c r="BK282" s="79"/>
      <c r="BL282" s="79"/>
      <c r="BM282" s="79"/>
      <c r="BN282" s="79"/>
      <c r="BO282" s="79"/>
      <c r="BP282" s="79"/>
      <c r="BQ282" s="79"/>
      <c r="BR282" s="79"/>
      <c r="BS282" s="79"/>
      <c r="BT282" s="79"/>
      <c r="BU282" s="79"/>
      <c r="BV282" s="79"/>
      <c r="BW282" s="79"/>
      <c r="BX282" s="79"/>
      <c r="BY282" s="79"/>
      <c r="BZ282" s="79"/>
      <c r="CA282" s="79"/>
      <c r="CB282" s="79"/>
      <c r="CC282" s="79"/>
      <c r="CD282" s="79"/>
      <c r="CE282" s="79"/>
      <c r="CF282" s="79"/>
      <c r="CG282" s="79"/>
      <c r="CH282" s="79"/>
      <c r="CI282" s="79"/>
      <c r="CJ282" s="79"/>
      <c r="CK282" s="79"/>
      <c r="CL282" s="79"/>
      <c r="CM282" s="79"/>
      <c r="CN282" s="79"/>
      <c r="CO282" s="79"/>
      <c r="CP282" s="79"/>
      <c r="CQ282" s="79"/>
      <c r="CR282" s="79"/>
      <c r="CS282" s="79"/>
      <c r="CT282" s="79"/>
      <c r="CU282" s="79"/>
      <c r="CV282" s="79"/>
      <c r="CW282" s="79"/>
      <c r="CX282" s="85"/>
      <c r="CY282" s="85"/>
      <c r="CZ282" s="85"/>
      <c r="DA282" s="86"/>
      <c r="DB282" s="84"/>
    </row>
    <row r="283" spans="2:106" ht="11.25" customHeight="1">
      <c r="B283" s="78"/>
      <c r="C283" s="79"/>
      <c r="D283" s="79"/>
      <c r="E283" s="79" t="s">
        <v>614</v>
      </c>
      <c r="F283" s="79"/>
      <c r="G283" s="79" t="s">
        <v>587</v>
      </c>
      <c r="H283" s="79"/>
      <c r="I283" s="79" t="s">
        <v>353</v>
      </c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 t="s">
        <v>116</v>
      </c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 t="s">
        <v>604</v>
      </c>
      <c r="AF283" s="79"/>
      <c r="AG283" s="79" t="s">
        <v>42</v>
      </c>
      <c r="AH283" s="79"/>
      <c r="AI283" s="79"/>
      <c r="AJ283" s="79"/>
      <c r="AK283" s="79"/>
      <c r="AL283" s="79"/>
      <c r="AM283" s="79"/>
      <c r="AN283" s="79" t="s">
        <v>100</v>
      </c>
      <c r="AO283" s="79"/>
      <c r="AP283" s="79"/>
      <c r="AQ283" s="79"/>
      <c r="AR283" s="79"/>
      <c r="AS283" s="79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9"/>
      <c r="BG283" s="79"/>
      <c r="BH283" s="79"/>
      <c r="BI283" s="79"/>
      <c r="BJ283" s="79"/>
      <c r="BK283" s="79"/>
      <c r="BL283" s="79"/>
      <c r="BM283" s="79"/>
      <c r="BN283" s="79"/>
      <c r="BO283" s="79"/>
      <c r="BP283" s="79"/>
      <c r="BQ283" s="79"/>
      <c r="BR283" s="79"/>
      <c r="BS283" s="79"/>
      <c r="BT283" s="79"/>
      <c r="BU283" s="79"/>
      <c r="BV283" s="79"/>
      <c r="BW283" s="79"/>
      <c r="BX283" s="79"/>
      <c r="BY283" s="79"/>
      <c r="BZ283" s="79"/>
      <c r="CA283" s="79"/>
      <c r="CB283" s="79"/>
      <c r="CC283" s="79"/>
      <c r="CD283" s="79"/>
      <c r="CE283" s="79"/>
      <c r="CF283" s="79"/>
      <c r="CG283" s="79"/>
      <c r="CH283" s="79"/>
      <c r="CI283" s="79"/>
      <c r="CJ283" s="79"/>
      <c r="CK283" s="79"/>
      <c r="CL283" s="79"/>
      <c r="CM283" s="79"/>
      <c r="CN283" s="79"/>
      <c r="CO283" s="79"/>
      <c r="CP283" s="79"/>
      <c r="CQ283" s="79"/>
      <c r="CR283" s="79"/>
      <c r="CS283" s="79"/>
      <c r="CT283" s="79"/>
      <c r="CU283" s="79"/>
      <c r="CV283" s="79"/>
      <c r="CW283" s="79"/>
      <c r="CX283" s="85"/>
      <c r="CY283" s="85"/>
      <c r="CZ283" s="85"/>
      <c r="DA283" s="86"/>
      <c r="DB283" s="84"/>
    </row>
    <row r="284" spans="2:106" ht="11.25" customHeight="1">
      <c r="B284" s="78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  <c r="AP284" s="79"/>
      <c r="AQ284" s="79"/>
      <c r="AR284" s="79"/>
      <c r="AS284" s="79"/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9"/>
      <c r="BG284" s="79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  <c r="CH284" s="79"/>
      <c r="CI284" s="79"/>
      <c r="CJ284" s="79"/>
      <c r="CK284" s="79"/>
      <c r="CL284" s="79"/>
      <c r="CM284" s="79"/>
      <c r="CN284" s="79"/>
      <c r="CO284" s="79"/>
      <c r="CP284" s="79"/>
      <c r="CQ284" s="79"/>
      <c r="CR284" s="79"/>
      <c r="CS284" s="79"/>
      <c r="CT284" s="79"/>
      <c r="CU284" s="79"/>
      <c r="CV284" s="79"/>
      <c r="CW284" s="79"/>
      <c r="CX284" s="85"/>
      <c r="CY284" s="85"/>
      <c r="CZ284" s="85"/>
      <c r="DA284" s="86"/>
      <c r="DB284" s="84"/>
    </row>
    <row r="285" spans="2:106" ht="11.25" customHeight="1">
      <c r="B285" s="78"/>
      <c r="C285" s="79"/>
      <c r="D285" s="79"/>
      <c r="E285" s="79"/>
      <c r="F285" s="79"/>
      <c r="G285" s="79" t="s">
        <v>49</v>
      </c>
      <c r="H285" s="79"/>
      <c r="I285" s="79" t="s">
        <v>309</v>
      </c>
      <c r="J285" s="79"/>
      <c r="K285" s="79" t="s">
        <v>262</v>
      </c>
      <c r="L285" s="79"/>
      <c r="M285" s="79"/>
      <c r="N285" s="79" t="s">
        <v>391</v>
      </c>
      <c r="O285" s="79"/>
      <c r="P285" s="79"/>
      <c r="Q285" s="79" t="str">
        <f>TEXT(8,"#,##0.#######")</f>
        <v>8.</v>
      </c>
      <c r="R285" s="79" t="s">
        <v>598</v>
      </c>
      <c r="S285" s="79"/>
      <c r="T285" s="79"/>
      <c r="U285" s="79" t="s">
        <v>309</v>
      </c>
      <c r="V285" s="79"/>
      <c r="W285" s="79" t="str">
        <f>TEXT(Y251,"#,##0.#######")</f>
        <v>90.</v>
      </c>
      <c r="X285" s="79"/>
      <c r="Y285" s="79"/>
      <c r="Z285" s="79" t="s">
        <v>391</v>
      </c>
      <c r="AA285" s="79"/>
      <c r="AB285" s="79"/>
      <c r="AC285" s="79" t="str">
        <f>TEXT(Q285,"#,##0.#######")</f>
        <v>8.</v>
      </c>
      <c r="AD285" s="79"/>
      <c r="AE285" s="79" t="s">
        <v>309</v>
      </c>
      <c r="AF285" s="79"/>
      <c r="AG285" s="79" t="str">
        <f>TEXT(ROUND(Y251/Q285,2),"#,##0.#######")</f>
        <v>11.25</v>
      </c>
      <c r="AH285" s="79"/>
      <c r="AI285" s="79"/>
      <c r="AJ285" s="79"/>
      <c r="AK285" s="79"/>
      <c r="AL285" s="79"/>
      <c r="AM285" s="79"/>
      <c r="AN285" s="79" t="s">
        <v>596</v>
      </c>
      <c r="AO285" s="79"/>
      <c r="AP285" s="79" t="s">
        <v>123</v>
      </c>
      <c r="AQ285" s="79" t="s">
        <v>598</v>
      </c>
      <c r="AR285" s="79"/>
      <c r="AS285" s="79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9"/>
      <c r="BG285" s="79"/>
      <c r="BH285" s="79"/>
      <c r="BI285" s="79"/>
      <c r="BJ285" s="79"/>
      <c r="BK285" s="79"/>
      <c r="BL285" s="79"/>
      <c r="BM285" s="79"/>
      <c r="BN285" s="79"/>
      <c r="BO285" s="79"/>
      <c r="BP285" s="79"/>
      <c r="BQ285" s="79"/>
      <c r="BR285" s="79"/>
      <c r="BS285" s="79"/>
      <c r="BT285" s="79"/>
      <c r="BU285" s="79"/>
      <c r="BV285" s="79"/>
      <c r="BW285" s="79"/>
      <c r="BX285" s="79"/>
      <c r="BY285" s="79"/>
      <c r="BZ285" s="79"/>
      <c r="CA285" s="79"/>
      <c r="CB285" s="79"/>
      <c r="CC285" s="79"/>
      <c r="CD285" s="79"/>
      <c r="CE285" s="79"/>
      <c r="CF285" s="79"/>
      <c r="CG285" s="79"/>
      <c r="CH285" s="79"/>
      <c r="CI285" s="79"/>
      <c r="CJ285" s="79"/>
      <c r="CK285" s="79"/>
      <c r="CL285" s="79"/>
      <c r="CM285" s="79"/>
      <c r="CN285" s="79"/>
      <c r="CO285" s="79"/>
      <c r="CP285" s="79"/>
      <c r="CQ285" s="79"/>
      <c r="CR285" s="79"/>
      <c r="CS285" s="79"/>
      <c r="CT285" s="79"/>
      <c r="CU285" s="79"/>
      <c r="CV285" s="79"/>
      <c r="CW285" s="79"/>
      <c r="CX285" s="85"/>
      <c r="CY285" s="85"/>
      <c r="CZ285" s="85"/>
      <c r="DA285" s="86"/>
      <c r="DB285" s="84"/>
    </row>
    <row r="286" spans="2:106" ht="11.25" customHeight="1">
      <c r="B286" s="78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  <c r="AS286" s="79"/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9"/>
      <c r="BG286" s="79"/>
      <c r="BH286" s="79"/>
      <c r="BI286" s="79"/>
      <c r="BJ286" s="79"/>
      <c r="BK286" s="79"/>
      <c r="BL286" s="79"/>
      <c r="BM286" s="79"/>
      <c r="BN286" s="79"/>
      <c r="BO286" s="79"/>
      <c r="BP286" s="79"/>
      <c r="BQ286" s="79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  <c r="CH286" s="79"/>
      <c r="CI286" s="79"/>
      <c r="CJ286" s="79"/>
      <c r="CK286" s="79"/>
      <c r="CL286" s="79"/>
      <c r="CM286" s="79"/>
      <c r="CN286" s="79"/>
      <c r="CO286" s="79"/>
      <c r="CP286" s="79"/>
      <c r="CQ286" s="79"/>
      <c r="CR286" s="79"/>
      <c r="CS286" s="79"/>
      <c r="CT286" s="79"/>
      <c r="CU286" s="79"/>
      <c r="CV286" s="79"/>
      <c r="CW286" s="79"/>
      <c r="CX286" s="85"/>
      <c r="CY286" s="85"/>
      <c r="CZ286" s="85"/>
      <c r="DA286" s="86"/>
      <c r="DB286" s="84"/>
    </row>
    <row r="287" spans="2:106" ht="11.25" customHeight="1">
      <c r="B287" s="78"/>
      <c r="C287" s="79"/>
      <c r="D287" s="79"/>
      <c r="E287" s="79"/>
      <c r="F287" s="79"/>
      <c r="G287" s="79" t="s">
        <v>700</v>
      </c>
      <c r="H287" s="79"/>
      <c r="I287" s="79"/>
      <c r="J287" s="79"/>
      <c r="K287" s="79"/>
      <c r="L287" s="79"/>
      <c r="M287" s="79"/>
      <c r="N287" s="79" t="s">
        <v>604</v>
      </c>
      <c r="O287" s="79"/>
      <c r="P287" s="79" t="str">
        <f>TEXT(기계경비총괄표!G13,"#,##0")</f>
        <v>49,778</v>
      </c>
      <c r="Q287" s="79"/>
      <c r="R287" s="79"/>
      <c r="S287" s="79"/>
      <c r="T287" s="79"/>
      <c r="U287" s="79"/>
      <c r="V287" s="79"/>
      <c r="W287" s="79"/>
      <c r="X287" s="79"/>
      <c r="Y287" s="79" t="s">
        <v>391</v>
      </c>
      <c r="Z287" s="79"/>
      <c r="AA287" s="79"/>
      <c r="AB287" s="79" t="str">
        <f>TEXT(AG285,"#,##0.#######")</f>
        <v>11.25</v>
      </c>
      <c r="AC287" s="79"/>
      <c r="AD287" s="79"/>
      <c r="AE287" s="79"/>
      <c r="AF287" s="79"/>
      <c r="AG287" s="79"/>
      <c r="AH287" s="79"/>
      <c r="AI287" s="79"/>
      <c r="AJ287" s="79" t="s">
        <v>309</v>
      </c>
      <c r="AK287" s="79"/>
      <c r="AL287" s="79" t="str">
        <f>TEXT(TRUNC(P287/AG285,1),"#,##0.#")</f>
        <v>4,424.7</v>
      </c>
      <c r="AM287" s="79"/>
      <c r="AN287" s="79"/>
      <c r="AO287" s="79"/>
      <c r="AP287" s="79"/>
      <c r="AQ287" s="79"/>
      <c r="AR287" s="79"/>
      <c r="AS287" s="79"/>
      <c r="AT287" s="79"/>
      <c r="AU287" s="79"/>
      <c r="AV287" s="79"/>
      <c r="AW287" s="79"/>
      <c r="AX287" s="79"/>
      <c r="AY287" s="79"/>
      <c r="AZ287" s="79"/>
      <c r="BA287" s="79"/>
      <c r="BB287" s="79"/>
      <c r="BC287" s="79"/>
      <c r="BD287" s="79"/>
      <c r="BE287" s="79"/>
      <c r="BF287" s="79"/>
      <c r="BG287" s="79"/>
      <c r="BH287" s="79"/>
      <c r="BI287" s="79"/>
      <c r="BJ287" s="79"/>
      <c r="BK287" s="79"/>
      <c r="BL287" s="79"/>
      <c r="BM287" s="79"/>
      <c r="BN287" s="79"/>
      <c r="BO287" s="79"/>
      <c r="BP287" s="79"/>
      <c r="BQ287" s="79"/>
      <c r="BR287" s="79"/>
      <c r="BS287" s="79"/>
      <c r="BT287" s="79"/>
      <c r="BU287" s="79"/>
      <c r="BV287" s="79"/>
      <c r="BW287" s="79"/>
      <c r="BX287" s="79"/>
      <c r="BY287" s="79"/>
      <c r="BZ287" s="79"/>
      <c r="CA287" s="79"/>
      <c r="CB287" s="79"/>
      <c r="CC287" s="79"/>
      <c r="CD287" s="79"/>
      <c r="CE287" s="79"/>
      <c r="CF287" s="79"/>
      <c r="CG287" s="79"/>
      <c r="CH287" s="79"/>
      <c r="CI287" s="79"/>
      <c r="CJ287" s="79"/>
      <c r="CK287" s="79"/>
      <c r="CL287" s="79"/>
      <c r="CM287" s="79"/>
      <c r="CN287" s="79"/>
      <c r="CO287" s="79"/>
      <c r="CP287" s="79"/>
      <c r="CQ287" s="79"/>
      <c r="CR287" s="79"/>
      <c r="CS287" s="79"/>
      <c r="CT287" s="79"/>
      <c r="CU287" s="79"/>
      <c r="CV287" s="79"/>
      <c r="CW287" s="79"/>
      <c r="CX287" s="85"/>
      <c r="CY287" s="85"/>
      <c r="CZ287" s="85"/>
      <c r="DA287" s="86"/>
      <c r="DB287" s="84"/>
    </row>
    <row r="288" spans="2:106" ht="11.25" customHeight="1">
      <c r="B288" s="78"/>
      <c r="C288" s="79"/>
      <c r="D288" s="79"/>
      <c r="E288" s="79"/>
      <c r="F288" s="79"/>
      <c r="G288" s="79" t="s">
        <v>498</v>
      </c>
      <c r="H288" s="79"/>
      <c r="I288" s="79"/>
      <c r="J288" s="79"/>
      <c r="K288" s="79"/>
      <c r="L288" s="79"/>
      <c r="M288" s="79"/>
      <c r="N288" s="79" t="s">
        <v>604</v>
      </c>
      <c r="O288" s="79"/>
      <c r="P288" s="79"/>
      <c r="Q288" s="79" t="str">
        <f>TEXT(기계경비총괄표!H13,"#,##0")</f>
        <v>9,494</v>
      </c>
      <c r="R288" s="79"/>
      <c r="S288" s="79"/>
      <c r="T288" s="79"/>
      <c r="U288" s="79"/>
      <c r="V288" s="79"/>
      <c r="W288" s="79"/>
      <c r="X288" s="79"/>
      <c r="Y288" s="79" t="s">
        <v>391</v>
      </c>
      <c r="Z288" s="79"/>
      <c r="AA288" s="79"/>
      <c r="AB288" s="79" t="str">
        <f>TEXT(AG285,"#,##0.#######")</f>
        <v>11.25</v>
      </c>
      <c r="AC288" s="79"/>
      <c r="AD288" s="79"/>
      <c r="AE288" s="79"/>
      <c r="AF288" s="79"/>
      <c r="AG288" s="79"/>
      <c r="AH288" s="79"/>
      <c r="AI288" s="79"/>
      <c r="AJ288" s="79" t="s">
        <v>309</v>
      </c>
      <c r="AK288" s="79"/>
      <c r="AL288" s="79"/>
      <c r="AM288" s="79"/>
      <c r="AN288" s="79" t="str">
        <f>TEXT(TRUNC(Q288/AG285,1),"#,##0.#")</f>
        <v>843.9</v>
      </c>
      <c r="AO288" s="79"/>
      <c r="AP288" s="79"/>
      <c r="AQ288" s="79"/>
      <c r="AR288" s="79"/>
      <c r="AS288" s="79"/>
      <c r="AT288" s="79"/>
      <c r="AU288" s="79"/>
      <c r="AV288" s="79"/>
      <c r="AW288" s="79"/>
      <c r="AX288" s="79"/>
      <c r="AY288" s="79"/>
      <c r="AZ288" s="79"/>
      <c r="BA288" s="79"/>
      <c r="BB288" s="79"/>
      <c r="BC288" s="79"/>
      <c r="BD288" s="79"/>
      <c r="BE288" s="79"/>
      <c r="BF288" s="79"/>
      <c r="BG288" s="79"/>
      <c r="BH288" s="79"/>
      <c r="BI288" s="79"/>
      <c r="BJ288" s="79"/>
      <c r="BK288" s="79"/>
      <c r="BL288" s="79"/>
      <c r="BM288" s="79"/>
      <c r="BN288" s="79"/>
      <c r="BO288" s="79"/>
      <c r="BP288" s="79"/>
      <c r="BQ288" s="79"/>
      <c r="BR288" s="79"/>
      <c r="BS288" s="79"/>
      <c r="BT288" s="79"/>
      <c r="BU288" s="79"/>
      <c r="BV288" s="79"/>
      <c r="BW288" s="79"/>
      <c r="BX288" s="79"/>
      <c r="BY288" s="79"/>
      <c r="BZ288" s="79"/>
      <c r="CA288" s="79"/>
      <c r="CB288" s="79"/>
      <c r="CC288" s="79"/>
      <c r="CD288" s="79"/>
      <c r="CE288" s="79"/>
      <c r="CF288" s="79"/>
      <c r="CG288" s="79"/>
      <c r="CH288" s="79"/>
      <c r="CI288" s="79"/>
      <c r="CJ288" s="79"/>
      <c r="CK288" s="79"/>
      <c r="CL288" s="79"/>
      <c r="CM288" s="79"/>
      <c r="CN288" s="79"/>
      <c r="CO288" s="79"/>
      <c r="CP288" s="79"/>
      <c r="CQ288" s="79"/>
      <c r="CR288" s="79"/>
      <c r="CS288" s="79"/>
      <c r="CT288" s="79"/>
      <c r="CU288" s="79"/>
      <c r="CV288" s="79"/>
      <c r="CW288" s="79"/>
      <c r="CX288" s="85"/>
      <c r="CY288" s="85"/>
      <c r="CZ288" s="85"/>
      <c r="DA288" s="86"/>
      <c r="DB288" s="84"/>
    </row>
    <row r="289" spans="2:106" ht="11.25" customHeight="1">
      <c r="B289" s="78"/>
      <c r="C289" s="79"/>
      <c r="D289" s="79"/>
      <c r="E289" s="79"/>
      <c r="F289" s="79"/>
      <c r="G289" s="79" t="s">
        <v>160</v>
      </c>
      <c r="H289" s="79"/>
      <c r="I289" s="79"/>
      <c r="J289" s="79"/>
      <c r="K289" s="79" t="s">
        <v>440</v>
      </c>
      <c r="L289" s="79"/>
      <c r="M289" s="79"/>
      <c r="N289" s="79" t="s">
        <v>604</v>
      </c>
      <c r="O289" s="79"/>
      <c r="P289" s="79"/>
      <c r="Q289" s="79" t="str">
        <f>TEXT(기계경비총괄표!I13,"#,##0")</f>
        <v>7,613</v>
      </c>
      <c r="R289" s="79"/>
      <c r="S289" s="79"/>
      <c r="T289" s="79"/>
      <c r="U289" s="79"/>
      <c r="V289" s="79"/>
      <c r="W289" s="79"/>
      <c r="X289" s="79"/>
      <c r="Y289" s="79" t="s">
        <v>391</v>
      </c>
      <c r="Z289" s="79"/>
      <c r="AA289" s="79"/>
      <c r="AB289" s="79" t="str">
        <f>TEXT(AG285,"#,##0.#######")</f>
        <v>11.25</v>
      </c>
      <c r="AC289" s="79"/>
      <c r="AD289" s="79"/>
      <c r="AE289" s="79"/>
      <c r="AF289" s="79"/>
      <c r="AG289" s="79"/>
      <c r="AH289" s="79"/>
      <c r="AI289" s="79"/>
      <c r="AJ289" s="79" t="s">
        <v>309</v>
      </c>
      <c r="AK289" s="79"/>
      <c r="AL289" s="79"/>
      <c r="AM289" s="79"/>
      <c r="AN289" s="79" t="str">
        <f>TEXT(TRUNC(Q289/AG285,1),"#,##0.#")</f>
        <v>676.7</v>
      </c>
      <c r="AO289" s="79"/>
      <c r="AP289" s="79"/>
      <c r="AQ289" s="79"/>
      <c r="AR289" s="79"/>
      <c r="AS289" s="79"/>
      <c r="AT289" s="79"/>
      <c r="AU289" s="79"/>
      <c r="AV289" s="79"/>
      <c r="AW289" s="79"/>
      <c r="AX289" s="79"/>
      <c r="AY289" s="79"/>
      <c r="AZ289" s="79"/>
      <c r="BA289" s="79"/>
      <c r="BB289" s="79"/>
      <c r="BC289" s="79"/>
      <c r="BD289" s="79"/>
      <c r="BE289" s="79"/>
      <c r="BF289" s="79"/>
      <c r="BG289" s="79"/>
      <c r="BH289" s="79"/>
      <c r="BI289" s="79"/>
      <c r="BJ289" s="79"/>
      <c r="BK289" s="79"/>
      <c r="BL289" s="79"/>
      <c r="BM289" s="79"/>
      <c r="BN289" s="79"/>
      <c r="BO289" s="79"/>
      <c r="BP289" s="79"/>
      <c r="BQ289" s="79"/>
      <c r="BR289" s="79"/>
      <c r="BS289" s="79"/>
      <c r="BT289" s="79"/>
      <c r="BU289" s="79"/>
      <c r="BV289" s="79"/>
      <c r="BW289" s="79"/>
      <c r="BX289" s="79"/>
      <c r="BY289" s="79"/>
      <c r="BZ289" s="79"/>
      <c r="CA289" s="79"/>
      <c r="CB289" s="79"/>
      <c r="CC289" s="79"/>
      <c r="CD289" s="79"/>
      <c r="CE289" s="79"/>
      <c r="CF289" s="79"/>
      <c r="CG289" s="79"/>
      <c r="CH289" s="79"/>
      <c r="CI289" s="79"/>
      <c r="CJ289" s="79"/>
      <c r="CK289" s="79"/>
      <c r="CL289" s="79"/>
      <c r="CM289" s="79"/>
      <c r="CN289" s="79"/>
      <c r="CO289" s="79"/>
      <c r="CP289" s="79"/>
      <c r="CQ289" s="79"/>
      <c r="CR289" s="79"/>
      <c r="CS289" s="79"/>
      <c r="CT289" s="79"/>
      <c r="CU289" s="79"/>
      <c r="CV289" s="79"/>
      <c r="CW289" s="79"/>
      <c r="CX289" s="85"/>
      <c r="CY289" s="85"/>
      <c r="CZ289" s="85"/>
      <c r="DA289" s="86"/>
      <c r="DB289" s="84"/>
    </row>
    <row r="290" spans="2:106" ht="11.25" customHeight="1">
      <c r="B290" s="78"/>
      <c r="C290" s="79"/>
      <c r="D290" s="79"/>
      <c r="E290" s="79"/>
      <c r="F290" s="79"/>
      <c r="G290" s="79" t="s">
        <v>305</v>
      </c>
      <c r="H290" s="79"/>
      <c r="I290" s="79"/>
      <c r="J290" s="79"/>
      <c r="K290" s="79" t="s">
        <v>436</v>
      </c>
      <c r="L290" s="79"/>
      <c r="M290" s="79"/>
      <c r="N290" s="79" t="s">
        <v>604</v>
      </c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 t="str">
        <f>TEXT(AL287+AN288+AN289,"#,##0.#######")</f>
        <v>5,945.3</v>
      </c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  <c r="CH290" s="79"/>
      <c r="CI290" s="79"/>
      <c r="CJ290" s="79"/>
      <c r="CK290" s="79"/>
      <c r="CL290" s="79"/>
      <c r="CM290" s="79"/>
      <c r="CN290" s="79"/>
      <c r="CO290" s="79"/>
      <c r="CP290" s="79"/>
      <c r="CQ290" s="79"/>
      <c r="CR290" s="79"/>
      <c r="CS290" s="79"/>
      <c r="CT290" s="79"/>
      <c r="CU290" s="79"/>
      <c r="CV290" s="79"/>
      <c r="CW290" s="79"/>
      <c r="CX290" s="85">
        <f>CY290+CZ290+DA290</f>
        <v>5945.2999999999993</v>
      </c>
      <c r="CY290" s="85" t="str">
        <f>TEXT(AL287,"#,###.0")</f>
        <v>4,424.7</v>
      </c>
      <c r="CZ290" s="85" t="str">
        <f>TEXT(AN288,"#,###.0")</f>
        <v>843.9</v>
      </c>
      <c r="DA290" s="86" t="str">
        <f>TEXT(AN289,"#,###.0")</f>
        <v>676.7</v>
      </c>
      <c r="DB290" s="84"/>
    </row>
    <row r="291" spans="2:106" ht="11.25" customHeight="1">
      <c r="B291" s="78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79"/>
      <c r="CM291" s="79"/>
      <c r="CN291" s="79"/>
      <c r="CO291" s="79"/>
      <c r="CP291" s="79"/>
      <c r="CQ291" s="79"/>
      <c r="CR291" s="79"/>
      <c r="CS291" s="79"/>
      <c r="CT291" s="79"/>
      <c r="CU291" s="79"/>
      <c r="CV291" s="79"/>
      <c r="CW291" s="79"/>
      <c r="CX291" s="85"/>
      <c r="CY291" s="85"/>
      <c r="CZ291" s="85"/>
      <c r="DA291" s="86"/>
      <c r="DB291" s="84"/>
    </row>
    <row r="292" spans="2:106" ht="11.25" customHeight="1">
      <c r="B292" s="78"/>
      <c r="C292" s="79"/>
      <c r="D292" s="79"/>
      <c r="E292" s="79" t="s">
        <v>496</v>
      </c>
      <c r="F292" s="79"/>
      <c r="G292" s="79" t="s">
        <v>587</v>
      </c>
      <c r="H292" s="79"/>
      <c r="I292" s="79" t="s">
        <v>353</v>
      </c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 t="s">
        <v>57</v>
      </c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 t="s">
        <v>604</v>
      </c>
      <c r="AF292" s="79"/>
      <c r="AG292" s="79" t="s">
        <v>363</v>
      </c>
      <c r="AH292" s="79"/>
      <c r="AI292" s="79"/>
      <c r="AJ292" s="79"/>
      <c r="AK292" s="79" t="s">
        <v>256</v>
      </c>
      <c r="AL292" s="79"/>
      <c r="AM292" s="79"/>
      <c r="AN292" s="79"/>
      <c r="AO292" s="79"/>
      <c r="AP292" s="79"/>
      <c r="AQ292" s="79"/>
      <c r="AR292" s="79"/>
      <c r="AS292" s="79" t="s">
        <v>75</v>
      </c>
      <c r="AT292" s="79"/>
      <c r="AU292" s="79"/>
      <c r="AV292" s="79"/>
      <c r="AW292" s="79"/>
      <c r="AX292" s="79"/>
      <c r="AY292" s="79"/>
      <c r="AZ292" s="79" t="s">
        <v>100</v>
      </c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  <c r="CH292" s="79"/>
      <c r="CI292" s="79"/>
      <c r="CJ292" s="79"/>
      <c r="CK292" s="79"/>
      <c r="CL292" s="79"/>
      <c r="CM292" s="79"/>
      <c r="CN292" s="79"/>
      <c r="CO292" s="79"/>
      <c r="CP292" s="79"/>
      <c r="CQ292" s="79"/>
      <c r="CR292" s="79"/>
      <c r="CS292" s="79"/>
      <c r="CT292" s="79"/>
      <c r="CU292" s="79"/>
      <c r="CV292" s="79"/>
      <c r="CW292" s="79"/>
      <c r="CX292" s="85"/>
      <c r="CY292" s="85"/>
      <c r="CZ292" s="85"/>
      <c r="DA292" s="86"/>
      <c r="DB292" s="84"/>
    </row>
    <row r="293" spans="2:106" ht="11.25" customHeight="1">
      <c r="B293" s="78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  <c r="CH293" s="79"/>
      <c r="CI293" s="79"/>
      <c r="CJ293" s="79"/>
      <c r="CK293" s="79"/>
      <c r="CL293" s="79"/>
      <c r="CM293" s="79"/>
      <c r="CN293" s="79"/>
      <c r="CO293" s="79"/>
      <c r="CP293" s="79"/>
      <c r="CQ293" s="79"/>
      <c r="CR293" s="79"/>
      <c r="CS293" s="79"/>
      <c r="CT293" s="79"/>
      <c r="CU293" s="79"/>
      <c r="CV293" s="79"/>
      <c r="CW293" s="79"/>
      <c r="CX293" s="85"/>
      <c r="CY293" s="85"/>
      <c r="CZ293" s="85"/>
      <c r="DA293" s="86"/>
      <c r="DB293" s="84"/>
    </row>
    <row r="294" spans="2:106" ht="11.25" customHeight="1">
      <c r="B294" s="78"/>
      <c r="C294" s="79"/>
      <c r="D294" s="79"/>
      <c r="E294" s="79"/>
      <c r="F294" s="79"/>
      <c r="G294" s="79" t="s">
        <v>700</v>
      </c>
      <c r="H294" s="79"/>
      <c r="I294" s="79"/>
      <c r="J294" s="79"/>
      <c r="K294" s="79"/>
      <c r="L294" s="79"/>
      <c r="M294" s="79"/>
      <c r="N294" s="79" t="s">
        <v>604</v>
      </c>
      <c r="O294" s="79"/>
      <c r="P294" s="79" t="str">
        <f>TEXT(기계경비총괄표!G14,"#,##0")</f>
        <v>49,778</v>
      </c>
      <c r="Q294" s="79"/>
      <c r="R294" s="79"/>
      <c r="S294" s="79"/>
      <c r="T294" s="79"/>
      <c r="U294" s="79"/>
      <c r="V294" s="79"/>
      <c r="W294" s="79"/>
      <c r="X294" s="79"/>
      <c r="Y294" s="79" t="s">
        <v>391</v>
      </c>
      <c r="Z294" s="79"/>
      <c r="AA294" s="79"/>
      <c r="AB294" s="79" t="str">
        <f>TEXT(AG285,"#,##0.#######")</f>
        <v>11.25</v>
      </c>
      <c r="AC294" s="79"/>
      <c r="AD294" s="79"/>
      <c r="AE294" s="79"/>
      <c r="AF294" s="79"/>
      <c r="AG294" s="79"/>
      <c r="AH294" s="79"/>
      <c r="AI294" s="79"/>
      <c r="AJ294" s="79" t="s">
        <v>309</v>
      </c>
      <c r="AK294" s="79"/>
      <c r="AL294" s="79" t="str">
        <f>TEXT(TRUNC(P294/AG285,1),"#,##0.#")</f>
        <v>4,424.7</v>
      </c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  <c r="CH294" s="79"/>
      <c r="CI294" s="79"/>
      <c r="CJ294" s="79"/>
      <c r="CK294" s="79"/>
      <c r="CL294" s="79"/>
      <c r="CM294" s="79"/>
      <c r="CN294" s="79"/>
      <c r="CO294" s="79"/>
      <c r="CP294" s="79"/>
      <c r="CQ294" s="79"/>
      <c r="CR294" s="79"/>
      <c r="CS294" s="79"/>
      <c r="CT294" s="79"/>
      <c r="CU294" s="79"/>
      <c r="CV294" s="79"/>
      <c r="CW294" s="79"/>
      <c r="CX294" s="85"/>
      <c r="CY294" s="85"/>
      <c r="CZ294" s="85"/>
      <c r="DA294" s="86"/>
      <c r="DB294" s="84"/>
    </row>
    <row r="295" spans="2:106" ht="11.25" customHeight="1">
      <c r="B295" s="78"/>
      <c r="C295" s="79"/>
      <c r="D295" s="79"/>
      <c r="E295" s="79"/>
      <c r="F295" s="79"/>
      <c r="G295" s="79" t="s">
        <v>498</v>
      </c>
      <c r="H295" s="79"/>
      <c r="I295" s="79"/>
      <c r="J295" s="79"/>
      <c r="K295" s="79"/>
      <c r="L295" s="79"/>
      <c r="M295" s="79"/>
      <c r="N295" s="79" t="s">
        <v>604</v>
      </c>
      <c r="O295" s="79"/>
      <c r="P295" s="79"/>
      <c r="Q295" s="79" t="str">
        <f>TEXT(기계경비총괄표!H14,"#,##0")</f>
        <v>5,506</v>
      </c>
      <c r="R295" s="79"/>
      <c r="S295" s="79"/>
      <c r="T295" s="79"/>
      <c r="U295" s="79"/>
      <c r="V295" s="79"/>
      <c r="W295" s="79"/>
      <c r="X295" s="79"/>
      <c r="Y295" s="79" t="s">
        <v>391</v>
      </c>
      <c r="Z295" s="79"/>
      <c r="AA295" s="79"/>
      <c r="AB295" s="79" t="str">
        <f>TEXT(AG285,"#,##0.#######")</f>
        <v>11.25</v>
      </c>
      <c r="AC295" s="79"/>
      <c r="AD295" s="79"/>
      <c r="AE295" s="79"/>
      <c r="AF295" s="79"/>
      <c r="AG295" s="79"/>
      <c r="AH295" s="79"/>
      <c r="AI295" s="79"/>
      <c r="AJ295" s="79" t="s">
        <v>309</v>
      </c>
      <c r="AK295" s="79"/>
      <c r="AL295" s="79"/>
      <c r="AM295" s="79" t="str">
        <f>TEXT(TRUNC(Q295/AG285,1),"#,##0.#")</f>
        <v>489.4</v>
      </c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  <c r="CH295" s="79"/>
      <c r="CI295" s="79"/>
      <c r="CJ295" s="79"/>
      <c r="CK295" s="79"/>
      <c r="CL295" s="79"/>
      <c r="CM295" s="79"/>
      <c r="CN295" s="79"/>
      <c r="CO295" s="79"/>
      <c r="CP295" s="79"/>
      <c r="CQ295" s="79"/>
      <c r="CR295" s="79"/>
      <c r="CS295" s="79"/>
      <c r="CT295" s="79"/>
      <c r="CU295" s="79"/>
      <c r="CV295" s="79"/>
      <c r="CW295" s="79"/>
      <c r="CX295" s="85"/>
      <c r="CY295" s="85"/>
      <c r="CZ295" s="85"/>
      <c r="DA295" s="86"/>
      <c r="DB295" s="84"/>
    </row>
    <row r="296" spans="2:106" ht="11.25" customHeight="1">
      <c r="B296" s="78"/>
      <c r="C296" s="79"/>
      <c r="D296" s="79"/>
      <c r="E296" s="79"/>
      <c r="F296" s="79"/>
      <c r="G296" s="79" t="s">
        <v>160</v>
      </c>
      <c r="H296" s="79"/>
      <c r="I296" s="79"/>
      <c r="J296" s="79"/>
      <c r="K296" s="79" t="s">
        <v>440</v>
      </c>
      <c r="L296" s="79"/>
      <c r="M296" s="79"/>
      <c r="N296" s="79" t="s">
        <v>604</v>
      </c>
      <c r="O296" s="79"/>
      <c r="P296" s="79"/>
      <c r="Q296" s="79" t="str">
        <f>TEXT(기계경비총괄표!I14,"#,##0")</f>
        <v>6,522</v>
      </c>
      <c r="R296" s="79"/>
      <c r="S296" s="79"/>
      <c r="T296" s="79"/>
      <c r="U296" s="79"/>
      <c r="V296" s="79"/>
      <c r="W296" s="79"/>
      <c r="X296" s="79"/>
      <c r="Y296" s="79" t="s">
        <v>391</v>
      </c>
      <c r="Z296" s="79"/>
      <c r="AA296" s="79"/>
      <c r="AB296" s="79" t="str">
        <f>TEXT(AG285,"#,##0.#######")</f>
        <v>11.25</v>
      </c>
      <c r="AC296" s="79"/>
      <c r="AD296" s="79"/>
      <c r="AE296" s="79"/>
      <c r="AF296" s="79"/>
      <c r="AG296" s="79"/>
      <c r="AH296" s="79"/>
      <c r="AI296" s="79"/>
      <c r="AJ296" s="79" t="s">
        <v>309</v>
      </c>
      <c r="AK296" s="79"/>
      <c r="AL296" s="79"/>
      <c r="AM296" s="79" t="str">
        <f>TEXT(TRUNC(Q296/AG285,1),"#,##0.#")</f>
        <v>579.7</v>
      </c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  <c r="CH296" s="79"/>
      <c r="CI296" s="79"/>
      <c r="CJ296" s="79"/>
      <c r="CK296" s="79"/>
      <c r="CL296" s="79"/>
      <c r="CM296" s="79"/>
      <c r="CN296" s="79"/>
      <c r="CO296" s="79"/>
      <c r="CP296" s="79"/>
      <c r="CQ296" s="79"/>
      <c r="CR296" s="79"/>
      <c r="CS296" s="79"/>
      <c r="CT296" s="79"/>
      <c r="CU296" s="79"/>
      <c r="CV296" s="79"/>
      <c r="CW296" s="79"/>
      <c r="CX296" s="85"/>
      <c r="CY296" s="85"/>
      <c r="CZ296" s="85"/>
      <c r="DA296" s="86"/>
      <c r="DB296" s="84"/>
    </row>
    <row r="297" spans="2:106" ht="11.25" customHeight="1">
      <c r="B297" s="78"/>
      <c r="C297" s="79"/>
      <c r="D297" s="79"/>
      <c r="E297" s="79"/>
      <c r="F297" s="79"/>
      <c r="G297" s="79" t="s">
        <v>305</v>
      </c>
      <c r="H297" s="79"/>
      <c r="I297" s="79"/>
      <c r="J297" s="79"/>
      <c r="K297" s="79" t="s">
        <v>436</v>
      </c>
      <c r="L297" s="79"/>
      <c r="M297" s="79"/>
      <c r="N297" s="79" t="s">
        <v>604</v>
      </c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 t="str">
        <f>TEXT(AL294+AM295+AM296,"#,##0.#######")</f>
        <v>5,493.8</v>
      </c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  <c r="CH297" s="79"/>
      <c r="CI297" s="79"/>
      <c r="CJ297" s="79"/>
      <c r="CK297" s="79"/>
      <c r="CL297" s="79"/>
      <c r="CM297" s="79"/>
      <c r="CN297" s="79"/>
      <c r="CO297" s="79"/>
      <c r="CP297" s="79"/>
      <c r="CQ297" s="79"/>
      <c r="CR297" s="79"/>
      <c r="CS297" s="79"/>
      <c r="CT297" s="79"/>
      <c r="CU297" s="79"/>
      <c r="CV297" s="79"/>
      <c r="CW297" s="79"/>
      <c r="CX297" s="85">
        <f>CY297+CZ297+DA297</f>
        <v>5493.7999999999993</v>
      </c>
      <c r="CY297" s="85" t="str">
        <f>TEXT(AL294,"#,###.0")</f>
        <v>4,424.7</v>
      </c>
      <c r="CZ297" s="85" t="str">
        <f>TEXT(AM295,"#,###.0")</f>
        <v>489.4</v>
      </c>
      <c r="DA297" s="86" t="str">
        <f>TEXT(AM296,"#,###.0")</f>
        <v>579.7</v>
      </c>
      <c r="DB297" s="84"/>
    </row>
    <row r="298" spans="2:106" ht="11.25" customHeight="1">
      <c r="B298" s="78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  <c r="CH298" s="79"/>
      <c r="CI298" s="79"/>
      <c r="CJ298" s="79"/>
      <c r="CK298" s="79"/>
      <c r="CL298" s="79"/>
      <c r="CM298" s="79"/>
      <c r="CN298" s="79"/>
      <c r="CO298" s="79"/>
      <c r="CP298" s="79"/>
      <c r="CQ298" s="79"/>
      <c r="CR298" s="79"/>
      <c r="CS298" s="79"/>
      <c r="CT298" s="79"/>
      <c r="CU298" s="79"/>
      <c r="CV298" s="79"/>
      <c r="CW298" s="79"/>
      <c r="CX298" s="85"/>
      <c r="CY298" s="85"/>
      <c r="CZ298" s="85"/>
      <c r="DA298" s="86"/>
      <c r="DB298" s="84"/>
    </row>
    <row r="299" spans="2:106" ht="11.25" customHeight="1">
      <c r="B299" s="78"/>
      <c r="C299" s="79"/>
      <c r="D299" s="79"/>
      <c r="E299" s="79" t="s">
        <v>222</v>
      </c>
      <c r="F299" s="79"/>
      <c r="G299" s="79" t="s">
        <v>587</v>
      </c>
      <c r="H299" s="79"/>
      <c r="I299" s="79" t="s">
        <v>305</v>
      </c>
      <c r="J299" s="79"/>
      <c r="K299" s="79"/>
      <c r="L299" s="79"/>
      <c r="M299" s="79" t="s">
        <v>436</v>
      </c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  <c r="AV299" s="79"/>
      <c r="AW299" s="79"/>
      <c r="AX299" s="79"/>
      <c r="AY299" s="79"/>
      <c r="AZ299" s="79"/>
      <c r="BA299" s="79"/>
      <c r="BB299" s="79"/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  <c r="BM299" s="79"/>
      <c r="BN299" s="79"/>
      <c r="BO299" s="79"/>
      <c r="BP299" s="79"/>
      <c r="BQ299" s="79"/>
      <c r="BR299" s="79"/>
      <c r="BS299" s="79"/>
      <c r="BT299" s="79"/>
      <c r="BU299" s="79"/>
      <c r="BV299" s="79"/>
      <c r="BW299" s="79"/>
      <c r="BX299" s="79"/>
      <c r="BY299" s="79"/>
      <c r="BZ299" s="79"/>
      <c r="CA299" s="79"/>
      <c r="CB299" s="79"/>
      <c r="CC299" s="79"/>
      <c r="CD299" s="79"/>
      <c r="CE299" s="79"/>
      <c r="CF299" s="79"/>
      <c r="CG299" s="79"/>
      <c r="CH299" s="79"/>
      <c r="CI299" s="79"/>
      <c r="CJ299" s="79"/>
      <c r="CK299" s="79"/>
      <c r="CL299" s="79"/>
      <c r="CM299" s="79"/>
      <c r="CN299" s="79"/>
      <c r="CO299" s="79"/>
      <c r="CP299" s="79"/>
      <c r="CQ299" s="79"/>
      <c r="CR299" s="79"/>
      <c r="CS299" s="79"/>
      <c r="CT299" s="79"/>
      <c r="CU299" s="79"/>
      <c r="CV299" s="79"/>
      <c r="CW299" s="79"/>
      <c r="CX299" s="85"/>
      <c r="CY299" s="85"/>
      <c r="CZ299" s="85"/>
      <c r="DA299" s="86"/>
      <c r="DB299" s="84"/>
    </row>
    <row r="300" spans="2:106" ht="11.25" customHeight="1">
      <c r="B300" s="78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  <c r="AS300" s="79"/>
      <c r="AT300" s="79"/>
      <c r="AU300" s="79"/>
      <c r="AV300" s="79"/>
      <c r="AW300" s="79"/>
      <c r="AX300" s="79"/>
      <c r="AY300" s="79"/>
      <c r="AZ300" s="79"/>
      <c r="BA300" s="79"/>
      <c r="BB300" s="79"/>
      <c r="BC300" s="79"/>
      <c r="BD300" s="79"/>
      <c r="BE300" s="79"/>
      <c r="BF300" s="79"/>
      <c r="BG300" s="79"/>
      <c r="BH300" s="79"/>
      <c r="BI300" s="79"/>
      <c r="BJ300" s="79"/>
      <c r="BK300" s="79"/>
      <c r="BL300" s="79"/>
      <c r="BM300" s="79"/>
      <c r="BN300" s="79"/>
      <c r="BO300" s="79"/>
      <c r="BP300" s="79"/>
      <c r="BQ300" s="79"/>
      <c r="BR300" s="79"/>
      <c r="BS300" s="79"/>
      <c r="BT300" s="79"/>
      <c r="BU300" s="79"/>
      <c r="BV300" s="79"/>
      <c r="BW300" s="79"/>
      <c r="BX300" s="79"/>
      <c r="BY300" s="79"/>
      <c r="BZ300" s="79"/>
      <c r="CA300" s="79"/>
      <c r="CB300" s="79"/>
      <c r="CC300" s="79"/>
      <c r="CD300" s="79"/>
      <c r="CE300" s="79"/>
      <c r="CF300" s="79"/>
      <c r="CG300" s="79"/>
      <c r="CH300" s="79"/>
      <c r="CI300" s="79"/>
      <c r="CJ300" s="79"/>
      <c r="CK300" s="79"/>
      <c r="CL300" s="79"/>
      <c r="CM300" s="79"/>
      <c r="CN300" s="79"/>
      <c r="CO300" s="79"/>
      <c r="CP300" s="79"/>
      <c r="CQ300" s="79"/>
      <c r="CR300" s="79"/>
      <c r="CS300" s="79"/>
      <c r="CT300" s="79"/>
      <c r="CU300" s="79"/>
      <c r="CV300" s="79"/>
      <c r="CW300" s="79"/>
      <c r="CX300" s="85"/>
      <c r="CY300" s="85"/>
      <c r="CZ300" s="85"/>
      <c r="DA300" s="86"/>
      <c r="DB300" s="84"/>
    </row>
    <row r="301" spans="2:106" ht="11.25" customHeight="1">
      <c r="B301" s="78"/>
      <c r="C301" s="79"/>
      <c r="D301" s="79"/>
      <c r="E301" s="79"/>
      <c r="F301" s="79"/>
      <c r="G301" s="79"/>
      <c r="H301" s="79" t="s">
        <v>700</v>
      </c>
      <c r="I301" s="79"/>
      <c r="J301" s="79"/>
      <c r="K301" s="79"/>
      <c r="L301" s="79"/>
      <c r="M301" s="79"/>
      <c r="N301" s="79"/>
      <c r="O301" s="79" t="s">
        <v>604</v>
      </c>
      <c r="P301" s="79"/>
      <c r="Q301" s="79" t="str">
        <f>TEXT(CY290,"#,###.##")</f>
        <v>4,424.7</v>
      </c>
      <c r="R301" s="79"/>
      <c r="S301" s="79"/>
      <c r="T301" s="79"/>
      <c r="U301" s="79"/>
      <c r="V301" s="79"/>
      <c r="W301" s="79"/>
      <c r="X301" s="79"/>
      <c r="Y301" s="79" t="s">
        <v>148</v>
      </c>
      <c r="Z301" s="79"/>
      <c r="AA301" s="79" t="str">
        <f>TEXT(CY297,"#,###.##")</f>
        <v>4,424.7</v>
      </c>
      <c r="AB301" s="79"/>
      <c r="AC301" s="79"/>
      <c r="AD301" s="79"/>
      <c r="AE301" s="79"/>
      <c r="AF301" s="79"/>
      <c r="AG301" s="79"/>
      <c r="AH301" s="79"/>
      <c r="AI301" s="79" t="s">
        <v>309</v>
      </c>
      <c r="AJ301" s="79"/>
      <c r="AK301" s="79"/>
      <c r="AL301" s="79" t="str">
        <f>TEXT(TRUNC(CY290+CY297,1),"#,##0.#")</f>
        <v>8,849.4</v>
      </c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  <c r="CH301" s="79"/>
      <c r="CI301" s="79"/>
      <c r="CJ301" s="79"/>
      <c r="CK301" s="79"/>
      <c r="CL301" s="79"/>
      <c r="CM301" s="79"/>
      <c r="CN301" s="79"/>
      <c r="CO301" s="79"/>
      <c r="CP301" s="79"/>
      <c r="CQ301" s="79"/>
      <c r="CR301" s="79"/>
      <c r="CS301" s="79"/>
      <c r="CT301" s="79"/>
      <c r="CU301" s="79"/>
      <c r="CV301" s="79"/>
      <c r="CW301" s="79"/>
      <c r="CX301" s="85"/>
      <c r="CY301" s="85"/>
      <c r="CZ301" s="85"/>
      <c r="DA301" s="86"/>
      <c r="DB301" s="84"/>
    </row>
    <row r="302" spans="2:106" ht="11.25" customHeight="1">
      <c r="B302" s="78"/>
      <c r="C302" s="79"/>
      <c r="D302" s="79"/>
      <c r="E302" s="79"/>
      <c r="F302" s="79"/>
      <c r="G302" s="79"/>
      <c r="H302" s="79" t="s">
        <v>498</v>
      </c>
      <c r="I302" s="79"/>
      <c r="J302" s="79"/>
      <c r="K302" s="79"/>
      <c r="L302" s="79"/>
      <c r="M302" s="79"/>
      <c r="N302" s="79"/>
      <c r="O302" s="79" t="s">
        <v>604</v>
      </c>
      <c r="P302" s="79"/>
      <c r="Q302" s="79" t="str">
        <f>TEXT(CZ290,"#,###.##")</f>
        <v>843.9</v>
      </c>
      <c r="R302" s="79"/>
      <c r="S302" s="79"/>
      <c r="T302" s="79"/>
      <c r="U302" s="79"/>
      <c r="V302" s="79"/>
      <c r="W302" s="79" t="s">
        <v>148</v>
      </c>
      <c r="X302" s="79"/>
      <c r="Y302" s="79" t="str">
        <f>TEXT(CZ297,"#,###.##")</f>
        <v>489.4</v>
      </c>
      <c r="Z302" s="79"/>
      <c r="AA302" s="79"/>
      <c r="AB302" s="79"/>
      <c r="AC302" s="79"/>
      <c r="AD302" s="79"/>
      <c r="AE302" s="79" t="s">
        <v>309</v>
      </c>
      <c r="AF302" s="79"/>
      <c r="AG302" s="79"/>
      <c r="AH302" s="79" t="str">
        <f>TEXT(TRUNC(CZ290+CZ297,1),"#,##0.#")</f>
        <v>1,333.3</v>
      </c>
      <c r="AI302" s="79"/>
      <c r="AJ302" s="79"/>
      <c r="AK302" s="79"/>
      <c r="AL302" s="79"/>
      <c r="AM302" s="79"/>
      <c r="AN302" s="79"/>
      <c r="AO302" s="79"/>
      <c r="AP302" s="79"/>
      <c r="AQ302" s="79"/>
      <c r="AR302" s="79"/>
      <c r="AS302" s="79"/>
      <c r="AT302" s="79"/>
      <c r="AU302" s="79"/>
      <c r="AV302" s="79"/>
      <c r="AW302" s="79"/>
      <c r="AX302" s="79"/>
      <c r="AY302" s="79"/>
      <c r="AZ302" s="79"/>
      <c r="BA302" s="79"/>
      <c r="BB302" s="79"/>
      <c r="BC302" s="79"/>
      <c r="BD302" s="79"/>
      <c r="BE302" s="79"/>
      <c r="BF302" s="79"/>
      <c r="BG302" s="79"/>
      <c r="BH302" s="79"/>
      <c r="BI302" s="79"/>
      <c r="BJ302" s="79"/>
      <c r="BK302" s="79"/>
      <c r="BL302" s="79"/>
      <c r="BM302" s="79"/>
      <c r="BN302" s="79"/>
      <c r="BO302" s="79"/>
      <c r="BP302" s="79"/>
      <c r="BQ302" s="79"/>
      <c r="BR302" s="79"/>
      <c r="BS302" s="79"/>
      <c r="BT302" s="79"/>
      <c r="BU302" s="79"/>
      <c r="BV302" s="79"/>
      <c r="BW302" s="79"/>
      <c r="BX302" s="79"/>
      <c r="BY302" s="79"/>
      <c r="BZ302" s="79"/>
      <c r="CA302" s="79"/>
      <c r="CB302" s="79"/>
      <c r="CC302" s="79"/>
      <c r="CD302" s="79"/>
      <c r="CE302" s="79"/>
      <c r="CF302" s="79"/>
      <c r="CG302" s="79"/>
      <c r="CH302" s="79"/>
      <c r="CI302" s="79"/>
      <c r="CJ302" s="79"/>
      <c r="CK302" s="79"/>
      <c r="CL302" s="79"/>
      <c r="CM302" s="79"/>
      <c r="CN302" s="79"/>
      <c r="CO302" s="79"/>
      <c r="CP302" s="79"/>
      <c r="CQ302" s="79"/>
      <c r="CR302" s="79"/>
      <c r="CS302" s="79"/>
      <c r="CT302" s="79"/>
      <c r="CU302" s="79"/>
      <c r="CV302" s="79"/>
      <c r="CW302" s="79"/>
      <c r="CX302" s="85"/>
      <c r="CY302" s="85"/>
      <c r="CZ302" s="85"/>
      <c r="DA302" s="86"/>
      <c r="DB302" s="84"/>
    </row>
    <row r="303" spans="2:106" ht="11.25" customHeight="1">
      <c r="B303" s="78"/>
      <c r="C303" s="79"/>
      <c r="D303" s="79"/>
      <c r="E303" s="79"/>
      <c r="F303" s="79"/>
      <c r="G303" s="79"/>
      <c r="H303" s="79" t="s">
        <v>160</v>
      </c>
      <c r="I303" s="79"/>
      <c r="J303" s="79"/>
      <c r="K303" s="79"/>
      <c r="L303" s="79" t="s">
        <v>440</v>
      </c>
      <c r="M303" s="79"/>
      <c r="N303" s="79"/>
      <c r="O303" s="79" t="s">
        <v>604</v>
      </c>
      <c r="P303" s="79"/>
      <c r="Q303" s="79" t="str">
        <f>TEXT(DA290,"#,###.##")</f>
        <v>676.7</v>
      </c>
      <c r="R303" s="79"/>
      <c r="S303" s="79"/>
      <c r="T303" s="79"/>
      <c r="U303" s="79"/>
      <c r="V303" s="79"/>
      <c r="W303" s="79" t="s">
        <v>148</v>
      </c>
      <c r="X303" s="79"/>
      <c r="Y303" s="79" t="str">
        <f>TEXT(DA297,"#,###.##")</f>
        <v>579.7</v>
      </c>
      <c r="Z303" s="79"/>
      <c r="AA303" s="79"/>
      <c r="AB303" s="79"/>
      <c r="AC303" s="79"/>
      <c r="AD303" s="79"/>
      <c r="AE303" s="79" t="s">
        <v>309</v>
      </c>
      <c r="AF303" s="79"/>
      <c r="AG303" s="79"/>
      <c r="AH303" s="79" t="str">
        <f>TEXT(TRUNC(DA290+DA297,1),"#,##0.#")</f>
        <v>1,256.4</v>
      </c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  <c r="AV303" s="79"/>
      <c r="AW303" s="79"/>
      <c r="AX303" s="79"/>
      <c r="AY303" s="79"/>
      <c r="AZ303" s="79"/>
      <c r="BA303" s="79"/>
      <c r="BB303" s="79"/>
      <c r="BC303" s="79"/>
      <c r="BD303" s="79"/>
      <c r="BE303" s="79"/>
      <c r="BF303" s="79"/>
      <c r="BG303" s="79"/>
      <c r="BH303" s="79"/>
      <c r="BI303" s="79"/>
      <c r="BJ303" s="79"/>
      <c r="BK303" s="79"/>
      <c r="BL303" s="79"/>
      <c r="BM303" s="79"/>
      <c r="BN303" s="79"/>
      <c r="BO303" s="79"/>
      <c r="BP303" s="79"/>
      <c r="BQ303" s="79"/>
      <c r="BR303" s="79"/>
      <c r="BS303" s="79"/>
      <c r="BT303" s="79"/>
      <c r="BU303" s="79"/>
      <c r="BV303" s="79"/>
      <c r="BW303" s="79"/>
      <c r="BX303" s="79"/>
      <c r="BY303" s="79"/>
      <c r="BZ303" s="79"/>
      <c r="CA303" s="79"/>
      <c r="CB303" s="79"/>
      <c r="CC303" s="79"/>
      <c r="CD303" s="79"/>
      <c r="CE303" s="79"/>
      <c r="CF303" s="79"/>
      <c r="CG303" s="79"/>
      <c r="CH303" s="79"/>
      <c r="CI303" s="79"/>
      <c r="CJ303" s="79"/>
      <c r="CK303" s="79"/>
      <c r="CL303" s="79"/>
      <c r="CM303" s="79"/>
      <c r="CN303" s="79"/>
      <c r="CO303" s="79"/>
      <c r="CP303" s="79"/>
      <c r="CQ303" s="79"/>
      <c r="CR303" s="79"/>
      <c r="CS303" s="79"/>
      <c r="CT303" s="79"/>
      <c r="CU303" s="79"/>
      <c r="CV303" s="79"/>
      <c r="CW303" s="79"/>
      <c r="CX303" s="85"/>
      <c r="CY303" s="85"/>
      <c r="CZ303" s="85"/>
      <c r="DA303" s="86"/>
      <c r="DB303" s="84"/>
    </row>
    <row r="304" spans="2:106" ht="11.25" customHeight="1">
      <c r="B304" s="78"/>
      <c r="C304" s="79"/>
      <c r="D304" s="79"/>
      <c r="E304" s="79"/>
      <c r="F304" s="79"/>
      <c r="G304" s="79"/>
      <c r="H304" s="79"/>
      <c r="I304" s="79"/>
      <c r="J304" s="79" t="s">
        <v>436</v>
      </c>
      <c r="K304" s="79"/>
      <c r="L304" s="79"/>
      <c r="M304" s="79"/>
      <c r="N304" s="79"/>
      <c r="O304" s="79" t="s">
        <v>604</v>
      </c>
      <c r="P304" s="79"/>
      <c r="Q304" s="79"/>
      <c r="R304" s="79" t="str">
        <f>TEXT(AL301+AH302+AH303,"#,##0.#######")</f>
        <v>11,439.1</v>
      </c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  <c r="CH304" s="79"/>
      <c r="CI304" s="79"/>
      <c r="CJ304" s="79"/>
      <c r="CK304" s="79"/>
      <c r="CL304" s="79"/>
      <c r="CM304" s="79"/>
      <c r="CN304" s="79"/>
      <c r="CO304" s="79"/>
      <c r="CP304" s="79"/>
      <c r="CQ304" s="79"/>
      <c r="CR304" s="79"/>
      <c r="CS304" s="79"/>
      <c r="CT304" s="79"/>
      <c r="CU304" s="79"/>
      <c r="CV304" s="79"/>
      <c r="CW304" s="79"/>
      <c r="CX304" s="85">
        <f>CY304+CZ304+DA304</f>
        <v>11439.099999999999</v>
      </c>
      <c r="CY304" s="85" t="str">
        <f>TEXT(AL301,"#,###.0")</f>
        <v>8,849.4</v>
      </c>
      <c r="CZ304" s="85" t="str">
        <f>TEXT(AH302,"#,###.0")</f>
        <v>1,333.3</v>
      </c>
      <c r="DA304" s="86" t="str">
        <f>TEXT(AH303,"#,###.0")</f>
        <v>1,256.4</v>
      </c>
      <c r="DB304" s="84"/>
    </row>
    <row r="305" spans="2:106" ht="11.25" customHeight="1">
      <c r="B305" s="78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  <c r="CH305" s="79"/>
      <c r="CI305" s="79"/>
      <c r="CJ305" s="79"/>
      <c r="CK305" s="79"/>
      <c r="CL305" s="79"/>
      <c r="CM305" s="79"/>
      <c r="CN305" s="79"/>
      <c r="CO305" s="79"/>
      <c r="CP305" s="79"/>
      <c r="CQ305" s="79"/>
      <c r="CR305" s="79"/>
      <c r="CS305" s="79"/>
      <c r="CT305" s="79"/>
      <c r="CU305" s="79"/>
      <c r="CV305" s="79"/>
      <c r="CW305" s="79"/>
      <c r="CX305" s="85"/>
      <c r="CY305" s="85"/>
      <c r="CZ305" s="85"/>
      <c r="DA305" s="86"/>
      <c r="DB305" s="84"/>
    </row>
    <row r="306" spans="2:106" ht="11.25" customHeight="1">
      <c r="B306" s="78"/>
      <c r="C306" s="79"/>
      <c r="D306" s="79" t="s">
        <v>575</v>
      </c>
      <c r="E306" s="79"/>
      <c r="F306" s="79"/>
      <c r="G306" s="79" t="s">
        <v>557</v>
      </c>
      <c r="H306" s="79"/>
      <c r="I306" s="79"/>
      <c r="J306" s="79"/>
      <c r="K306" s="79" t="s">
        <v>436</v>
      </c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  <c r="CH306" s="79"/>
      <c r="CI306" s="79"/>
      <c r="CJ306" s="79"/>
      <c r="CK306" s="79"/>
      <c r="CL306" s="79"/>
      <c r="CM306" s="79"/>
      <c r="CN306" s="79"/>
      <c r="CO306" s="79"/>
      <c r="CP306" s="79"/>
      <c r="CQ306" s="79"/>
      <c r="CR306" s="79"/>
      <c r="CS306" s="79"/>
      <c r="CT306" s="79"/>
      <c r="CU306" s="79"/>
      <c r="CV306" s="79"/>
      <c r="CW306" s="79"/>
      <c r="CX306" s="85"/>
      <c r="CY306" s="85"/>
      <c r="CZ306" s="85"/>
      <c r="DA306" s="86"/>
      <c r="DB306" s="84"/>
    </row>
    <row r="307" spans="2:106" ht="11.25" customHeight="1">
      <c r="B307" s="78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  <c r="CH307" s="79"/>
      <c r="CI307" s="79"/>
      <c r="CJ307" s="79"/>
      <c r="CK307" s="79"/>
      <c r="CL307" s="79"/>
      <c r="CM307" s="79"/>
      <c r="CN307" s="79"/>
      <c r="CO307" s="79"/>
      <c r="CP307" s="79"/>
      <c r="CQ307" s="79"/>
      <c r="CR307" s="79"/>
      <c r="CS307" s="79"/>
      <c r="CT307" s="79"/>
      <c r="CU307" s="79"/>
      <c r="CV307" s="79"/>
      <c r="CW307" s="79"/>
      <c r="CX307" s="85"/>
      <c r="CY307" s="85"/>
      <c r="CZ307" s="85"/>
      <c r="DA307" s="86"/>
      <c r="DB307" s="84"/>
    </row>
    <row r="308" spans="2:106" ht="11.25" customHeight="1">
      <c r="B308" s="78"/>
      <c r="C308" s="79"/>
      <c r="D308" s="79"/>
      <c r="E308" s="79"/>
      <c r="F308" s="79"/>
      <c r="G308" s="79"/>
      <c r="H308" s="79" t="s">
        <v>700</v>
      </c>
      <c r="I308" s="79"/>
      <c r="J308" s="79"/>
      <c r="K308" s="79"/>
      <c r="L308" s="79"/>
      <c r="M308" s="79"/>
      <c r="N308" s="79"/>
      <c r="O308" s="79" t="s">
        <v>604</v>
      </c>
      <c r="P308" s="79"/>
      <c r="Q308" s="79" t="str">
        <f>TEXT(CY271,"#,###.##")</f>
        <v>8,848.6</v>
      </c>
      <c r="R308" s="79"/>
      <c r="S308" s="79"/>
      <c r="T308" s="79"/>
      <c r="U308" s="79"/>
      <c r="V308" s="79"/>
      <c r="W308" s="79"/>
      <c r="X308" s="79"/>
      <c r="Y308" s="79" t="s">
        <v>148</v>
      </c>
      <c r="Z308" s="79"/>
      <c r="AA308" s="79" t="str">
        <f>TEXT(CY304,"#,###.##")</f>
        <v>8,849.4</v>
      </c>
      <c r="AB308" s="79"/>
      <c r="AC308" s="79"/>
      <c r="AD308" s="79"/>
      <c r="AE308" s="79"/>
      <c r="AF308" s="79"/>
      <c r="AG308" s="79"/>
      <c r="AH308" s="79"/>
      <c r="AI308" s="79" t="s">
        <v>309</v>
      </c>
      <c r="AJ308" s="79"/>
      <c r="AK308" s="79"/>
      <c r="AL308" s="79" t="str">
        <f>TEXT(TRUNC(CY271+CY304,0),"#,##0")</f>
        <v>17,698</v>
      </c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  <c r="CH308" s="79"/>
      <c r="CI308" s="79"/>
      <c r="CJ308" s="79"/>
      <c r="CK308" s="79"/>
      <c r="CL308" s="79"/>
      <c r="CM308" s="79"/>
      <c r="CN308" s="79"/>
      <c r="CO308" s="79"/>
      <c r="CP308" s="79"/>
      <c r="CQ308" s="79"/>
      <c r="CR308" s="79"/>
      <c r="CS308" s="79"/>
      <c r="CT308" s="79"/>
      <c r="CU308" s="79"/>
      <c r="CV308" s="79"/>
      <c r="CW308" s="79"/>
      <c r="CX308" s="85"/>
      <c r="CY308" s="85"/>
      <c r="CZ308" s="85"/>
      <c r="DA308" s="86"/>
      <c r="DB308" s="84"/>
    </row>
    <row r="309" spans="2:106" ht="11.25" customHeight="1">
      <c r="B309" s="78"/>
      <c r="C309" s="79"/>
      <c r="D309" s="79"/>
      <c r="E309" s="79"/>
      <c r="F309" s="79"/>
      <c r="G309" s="79"/>
      <c r="H309" s="79" t="s">
        <v>498</v>
      </c>
      <c r="I309" s="79"/>
      <c r="J309" s="79"/>
      <c r="K309" s="79"/>
      <c r="L309" s="79"/>
      <c r="M309" s="79"/>
      <c r="N309" s="79"/>
      <c r="O309" s="79" t="s">
        <v>604</v>
      </c>
      <c r="P309" s="79"/>
      <c r="Q309" s="79" t="str">
        <f>TEXT(CZ263,"#,###.##")</f>
        <v>24,638.9</v>
      </c>
      <c r="R309" s="79"/>
      <c r="S309" s="79"/>
      <c r="T309" s="79"/>
      <c r="U309" s="79"/>
      <c r="V309" s="79"/>
      <c r="W309" s="79"/>
      <c r="X309" s="79"/>
      <c r="Y309" s="79"/>
      <c r="Z309" s="79" t="s">
        <v>148</v>
      </c>
      <c r="AA309" s="79"/>
      <c r="AB309" s="79" t="str">
        <f>TEXT(CZ275,"#,###.##")</f>
        <v>246.3</v>
      </c>
      <c r="AC309" s="79"/>
      <c r="AD309" s="79"/>
      <c r="AE309" s="79"/>
      <c r="AF309" s="79"/>
      <c r="AG309" s="79"/>
      <c r="AH309" s="79" t="s">
        <v>148</v>
      </c>
      <c r="AI309" s="79"/>
      <c r="AJ309" s="79" t="str">
        <f>TEXT(CZ304,"#,###.##")</f>
        <v>1,333.3</v>
      </c>
      <c r="AK309" s="79"/>
      <c r="AL309" s="79"/>
      <c r="AM309" s="79"/>
      <c r="AN309" s="79"/>
      <c r="AO309" s="79"/>
      <c r="AP309" s="79"/>
      <c r="AQ309" s="79"/>
      <c r="AR309" s="79" t="s">
        <v>309</v>
      </c>
      <c r="AS309" s="79"/>
      <c r="AT309" s="79"/>
      <c r="AU309" s="79" t="str">
        <f>TEXT(TRUNC(CZ263+CZ275+CZ304,0),"#,##0")</f>
        <v>26,218</v>
      </c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  <c r="CH309" s="79"/>
      <c r="CI309" s="79"/>
      <c r="CJ309" s="79"/>
      <c r="CK309" s="79"/>
      <c r="CL309" s="79"/>
      <c r="CM309" s="79"/>
      <c r="CN309" s="79"/>
      <c r="CO309" s="79"/>
      <c r="CP309" s="79"/>
      <c r="CQ309" s="79"/>
      <c r="CR309" s="79"/>
      <c r="CS309" s="79"/>
      <c r="CT309" s="79"/>
      <c r="CU309" s="79"/>
      <c r="CV309" s="79"/>
      <c r="CW309" s="79"/>
      <c r="CX309" s="85"/>
      <c r="CY309" s="85"/>
      <c r="CZ309" s="85"/>
      <c r="DA309" s="86"/>
      <c r="DB309" s="84"/>
    </row>
    <row r="310" spans="2:106" ht="11.25" customHeight="1">
      <c r="B310" s="78"/>
      <c r="C310" s="79"/>
      <c r="D310" s="79"/>
      <c r="E310" s="79"/>
      <c r="F310" s="79"/>
      <c r="G310" s="79"/>
      <c r="H310" s="79" t="s">
        <v>160</v>
      </c>
      <c r="I310" s="79"/>
      <c r="J310" s="79"/>
      <c r="K310" s="79"/>
      <c r="L310" s="79" t="s">
        <v>440</v>
      </c>
      <c r="M310" s="79"/>
      <c r="N310" s="79"/>
      <c r="O310" s="79" t="s">
        <v>604</v>
      </c>
      <c r="P310" s="79"/>
      <c r="Q310" s="79" t="str">
        <f>TEXT(DA279,"#,###.##")</f>
        <v>884.8</v>
      </c>
      <c r="R310" s="79"/>
      <c r="S310" s="79"/>
      <c r="T310" s="79"/>
      <c r="U310" s="79"/>
      <c r="V310" s="79"/>
      <c r="W310" s="79" t="s">
        <v>148</v>
      </c>
      <c r="X310" s="79"/>
      <c r="Y310" s="79" t="str">
        <f>TEXT(DA304,"#,###.##")</f>
        <v>1,256.4</v>
      </c>
      <c r="Z310" s="79"/>
      <c r="AA310" s="79"/>
      <c r="AB310" s="79"/>
      <c r="AC310" s="79"/>
      <c r="AD310" s="79"/>
      <c r="AE310" s="79"/>
      <c r="AF310" s="79"/>
      <c r="AG310" s="79" t="s">
        <v>309</v>
      </c>
      <c r="AH310" s="79"/>
      <c r="AI310" s="79"/>
      <c r="AJ310" s="79" t="str">
        <f>TEXT(TRUNC(DA279+DA304,0),"#,##0")</f>
        <v>2,141</v>
      </c>
      <c r="AK310" s="79"/>
      <c r="AL310" s="79"/>
      <c r="AM310" s="79"/>
      <c r="AN310" s="79"/>
      <c r="AO310" s="79"/>
      <c r="AP310" s="79"/>
      <c r="AQ310" s="79"/>
      <c r="AR310" s="79"/>
      <c r="AS310" s="79"/>
      <c r="AT310" s="79"/>
      <c r="AU310" s="79"/>
      <c r="AV310" s="79"/>
      <c r="AW310" s="79"/>
      <c r="AX310" s="79"/>
      <c r="AY310" s="79"/>
      <c r="AZ310" s="79"/>
      <c r="BA310" s="79"/>
      <c r="BB310" s="79"/>
      <c r="BC310" s="79"/>
      <c r="BD310" s="79"/>
      <c r="BE310" s="79"/>
      <c r="BF310" s="79"/>
      <c r="BG310" s="79"/>
      <c r="BH310" s="79"/>
      <c r="BI310" s="79"/>
      <c r="BJ310" s="79"/>
      <c r="BK310" s="79"/>
      <c r="BL310" s="79"/>
      <c r="BM310" s="79"/>
      <c r="BN310" s="79"/>
      <c r="BO310" s="79"/>
      <c r="BP310" s="79"/>
      <c r="BQ310" s="79"/>
      <c r="BR310" s="79"/>
      <c r="BS310" s="79"/>
      <c r="BT310" s="79"/>
      <c r="BU310" s="79"/>
      <c r="BV310" s="79"/>
      <c r="BW310" s="79"/>
      <c r="BX310" s="79"/>
      <c r="BY310" s="79"/>
      <c r="BZ310" s="79"/>
      <c r="CA310" s="79"/>
      <c r="CB310" s="79"/>
      <c r="CC310" s="79"/>
      <c r="CD310" s="79"/>
      <c r="CE310" s="79"/>
      <c r="CF310" s="79"/>
      <c r="CG310" s="79"/>
      <c r="CH310" s="79"/>
      <c r="CI310" s="79"/>
      <c r="CJ310" s="79"/>
      <c r="CK310" s="79"/>
      <c r="CL310" s="79"/>
      <c r="CM310" s="79"/>
      <c r="CN310" s="79"/>
      <c r="CO310" s="79"/>
      <c r="CP310" s="79"/>
      <c r="CQ310" s="79"/>
      <c r="CR310" s="79"/>
      <c r="CS310" s="79"/>
      <c r="CT310" s="79"/>
      <c r="CU310" s="79"/>
      <c r="CV310" s="79"/>
      <c r="CW310" s="79"/>
      <c r="CX310" s="85"/>
      <c r="CY310" s="85"/>
      <c r="CZ310" s="85"/>
      <c r="DA310" s="86"/>
      <c r="DB310" s="84"/>
    </row>
    <row r="311" spans="2:106" ht="11.25" customHeight="1">
      <c r="B311" s="78"/>
      <c r="C311" s="79"/>
      <c r="D311" s="79"/>
      <c r="E311" s="79"/>
      <c r="F311" s="79"/>
      <c r="G311" s="79"/>
      <c r="H311" s="79"/>
      <c r="I311" s="79"/>
      <c r="J311" s="79" t="s">
        <v>436</v>
      </c>
      <c r="K311" s="79"/>
      <c r="L311" s="79"/>
      <c r="M311" s="79"/>
      <c r="N311" s="79"/>
      <c r="O311" s="79" t="s">
        <v>604</v>
      </c>
      <c r="P311" s="79"/>
      <c r="Q311" s="79"/>
      <c r="R311" s="79" t="str">
        <f>TEXT(AL308+AU309+AJ310,"#,##0")</f>
        <v>46,057</v>
      </c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/>
      <c r="AT311" s="79"/>
      <c r="AU311" s="79"/>
      <c r="AV311" s="79"/>
      <c r="AW311" s="79"/>
      <c r="AX311" s="79"/>
      <c r="AY311" s="79"/>
      <c r="AZ311" s="79"/>
      <c r="BA311" s="79"/>
      <c r="BB311" s="79"/>
      <c r="BC311" s="79"/>
      <c r="BD311" s="79"/>
      <c r="BE311" s="79"/>
      <c r="BF311" s="79"/>
      <c r="BG311" s="79"/>
      <c r="BH311" s="79"/>
      <c r="BI311" s="79"/>
      <c r="BJ311" s="79"/>
      <c r="BK311" s="79"/>
      <c r="BL311" s="79"/>
      <c r="BM311" s="79"/>
      <c r="BN311" s="79"/>
      <c r="BO311" s="79"/>
      <c r="BP311" s="79"/>
      <c r="BQ311" s="79"/>
      <c r="BR311" s="79"/>
      <c r="BS311" s="79"/>
      <c r="BT311" s="79"/>
      <c r="BU311" s="79"/>
      <c r="BV311" s="79"/>
      <c r="BW311" s="79"/>
      <c r="BX311" s="79"/>
      <c r="BY311" s="79"/>
      <c r="BZ311" s="79"/>
      <c r="CA311" s="79"/>
      <c r="CB311" s="79"/>
      <c r="CC311" s="79"/>
      <c r="CD311" s="79"/>
      <c r="CE311" s="79"/>
      <c r="CF311" s="79"/>
      <c r="CG311" s="79"/>
      <c r="CH311" s="79"/>
      <c r="CI311" s="79"/>
      <c r="CJ311" s="79"/>
      <c r="CK311" s="79"/>
      <c r="CL311" s="79"/>
      <c r="CM311" s="79"/>
      <c r="CN311" s="79"/>
      <c r="CO311" s="79"/>
      <c r="CP311" s="79"/>
      <c r="CQ311" s="79"/>
      <c r="CR311" s="79"/>
      <c r="CS311" s="79"/>
      <c r="CT311" s="79"/>
      <c r="CU311" s="79"/>
      <c r="CV311" s="79"/>
      <c r="CW311" s="79"/>
      <c r="CX311" s="89">
        <f>CY311+CZ311+DA311</f>
        <v>46057</v>
      </c>
      <c r="CY311" s="85" t="str">
        <f>TEXT(AL308,"#,##0")</f>
        <v>17,698</v>
      </c>
      <c r="CZ311" s="85" t="str">
        <f>TEXT(AU309,"#,##0")</f>
        <v>26,218</v>
      </c>
      <c r="DA311" s="86" t="str">
        <f>TEXT(AJ310,"#,##0")</f>
        <v>2,141</v>
      </c>
      <c r="DB311" s="84"/>
    </row>
    <row r="312" spans="2:106" ht="11.25" customHeight="1">
      <c r="B312" s="78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  <c r="AV312" s="79"/>
      <c r="AW312" s="79"/>
      <c r="AX312" s="79"/>
      <c r="AY312" s="79"/>
      <c r="AZ312" s="79"/>
      <c r="BA312" s="79"/>
      <c r="BB312" s="79"/>
      <c r="BC312" s="79"/>
      <c r="BD312" s="79"/>
      <c r="BE312" s="79"/>
      <c r="BF312" s="79"/>
      <c r="BG312" s="79"/>
      <c r="BH312" s="79"/>
      <c r="BI312" s="79"/>
      <c r="BJ312" s="79"/>
      <c r="BK312" s="79"/>
      <c r="BL312" s="79"/>
      <c r="BM312" s="79"/>
      <c r="BN312" s="79"/>
      <c r="BO312" s="79"/>
      <c r="BP312" s="79"/>
      <c r="BQ312" s="79"/>
      <c r="BR312" s="79"/>
      <c r="BS312" s="79"/>
      <c r="BT312" s="79"/>
      <c r="BU312" s="79"/>
      <c r="BV312" s="79"/>
      <c r="BW312" s="79"/>
      <c r="BX312" s="79"/>
      <c r="BY312" s="79"/>
      <c r="BZ312" s="79"/>
      <c r="CA312" s="79"/>
      <c r="CB312" s="79"/>
      <c r="CC312" s="79"/>
      <c r="CD312" s="79"/>
      <c r="CE312" s="79"/>
      <c r="CF312" s="79"/>
      <c r="CG312" s="79"/>
      <c r="CH312" s="79"/>
      <c r="CI312" s="79"/>
      <c r="CJ312" s="79"/>
      <c r="CK312" s="79"/>
      <c r="CL312" s="79"/>
      <c r="CM312" s="79"/>
      <c r="CN312" s="79"/>
      <c r="CO312" s="79"/>
      <c r="CP312" s="79"/>
      <c r="CQ312" s="79"/>
      <c r="CR312" s="79"/>
      <c r="CS312" s="79"/>
      <c r="CT312" s="79"/>
      <c r="CU312" s="79"/>
      <c r="CV312" s="79"/>
      <c r="CW312" s="79"/>
      <c r="CX312" s="85"/>
      <c r="CY312" s="85"/>
      <c r="CZ312" s="85"/>
      <c r="DA312" s="86"/>
      <c r="DB312" s="84"/>
    </row>
    <row r="313" spans="2:106" ht="11.25" customHeight="1">
      <c r="B313" s="81" t="s">
        <v>205</v>
      </c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79"/>
      <c r="AW313" s="79"/>
      <c r="AX313" s="79"/>
      <c r="AY313" s="79"/>
      <c r="AZ313" s="79"/>
      <c r="BA313" s="79"/>
      <c r="BB313" s="79"/>
      <c r="BC313" s="79"/>
      <c r="BD313" s="79"/>
      <c r="BE313" s="79"/>
      <c r="BF313" s="79"/>
      <c r="BG313" s="79"/>
      <c r="BH313" s="79"/>
      <c r="BI313" s="79"/>
      <c r="BJ313" s="79"/>
      <c r="BK313" s="79"/>
      <c r="BL313" s="79"/>
      <c r="BM313" s="79"/>
      <c r="BN313" s="79"/>
      <c r="BO313" s="79"/>
      <c r="BP313" s="79"/>
      <c r="BQ313" s="79"/>
      <c r="BR313" s="79"/>
      <c r="BS313" s="79"/>
      <c r="BT313" s="79"/>
      <c r="BU313" s="79"/>
      <c r="BV313" s="79"/>
      <c r="BW313" s="79"/>
      <c r="BX313" s="79"/>
      <c r="BY313" s="79"/>
      <c r="BZ313" s="79"/>
      <c r="CA313" s="79"/>
      <c r="CB313" s="79"/>
      <c r="CC313" s="79"/>
      <c r="CD313" s="79"/>
      <c r="CE313" s="79"/>
      <c r="CF313" s="79"/>
      <c r="CG313" s="79"/>
      <c r="CH313" s="79"/>
      <c r="CI313" s="79"/>
      <c r="CJ313" s="79"/>
      <c r="CK313" s="79"/>
      <c r="CL313" s="79"/>
      <c r="CM313" s="79"/>
      <c r="CN313" s="79"/>
      <c r="CO313" s="79"/>
      <c r="CP313" s="79"/>
      <c r="CQ313" s="79"/>
      <c r="CR313" s="79"/>
      <c r="CS313" s="79"/>
      <c r="CT313" s="79"/>
      <c r="CU313" s="79"/>
      <c r="CV313" s="79"/>
      <c r="CW313" s="79"/>
      <c r="CX313" s="82">
        <f>CX353</f>
        <v>789447</v>
      </c>
      <c r="CY313" s="82" t="str">
        <f>CY353</f>
        <v>369,025</v>
      </c>
      <c r="CZ313" s="82" t="str">
        <f>CZ353</f>
        <v>244,588</v>
      </c>
      <c r="DA313" s="83" t="str">
        <f>DA353</f>
        <v>175,834</v>
      </c>
      <c r="DB313" s="84"/>
    </row>
    <row r="314" spans="2:106" ht="11.25" customHeight="1">
      <c r="B314" s="78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79"/>
      <c r="AW314" s="79"/>
      <c r="AX314" s="79"/>
      <c r="AY314" s="79"/>
      <c r="AZ314" s="79"/>
      <c r="BA314" s="79"/>
      <c r="BB314" s="79"/>
      <c r="BC314" s="79"/>
      <c r="BD314" s="79"/>
      <c r="BE314" s="79"/>
      <c r="BF314" s="79"/>
      <c r="BG314" s="79"/>
      <c r="BH314" s="79"/>
      <c r="BI314" s="79"/>
      <c r="BJ314" s="79"/>
      <c r="BK314" s="79"/>
      <c r="BL314" s="79"/>
      <c r="BM314" s="79"/>
      <c r="BN314" s="79"/>
      <c r="BO314" s="79"/>
      <c r="BP314" s="79"/>
      <c r="BQ314" s="79"/>
      <c r="BR314" s="79"/>
      <c r="BS314" s="79"/>
      <c r="BT314" s="79"/>
      <c r="BU314" s="79"/>
      <c r="BV314" s="79"/>
      <c r="BW314" s="79"/>
      <c r="BX314" s="79"/>
      <c r="BY314" s="79"/>
      <c r="BZ314" s="79"/>
      <c r="CA314" s="79"/>
      <c r="CB314" s="79"/>
      <c r="CC314" s="79"/>
      <c r="CD314" s="79"/>
      <c r="CE314" s="79"/>
      <c r="CF314" s="79"/>
      <c r="CG314" s="79"/>
      <c r="CH314" s="79"/>
      <c r="CI314" s="79"/>
      <c r="CJ314" s="79"/>
      <c r="CK314" s="79"/>
      <c r="CL314" s="79"/>
      <c r="CM314" s="79"/>
      <c r="CN314" s="79"/>
      <c r="CO314" s="79"/>
      <c r="CP314" s="79"/>
      <c r="CQ314" s="79"/>
      <c r="CR314" s="79"/>
      <c r="CS314" s="79"/>
      <c r="CT314" s="79"/>
      <c r="CU314" s="79"/>
      <c r="CV314" s="79"/>
      <c r="CW314" s="79"/>
      <c r="CX314" s="85"/>
      <c r="CY314" s="85"/>
      <c r="CZ314" s="85"/>
      <c r="DA314" s="86"/>
      <c r="DB314" s="84"/>
    </row>
    <row r="315" spans="2:106" ht="11.25" customHeight="1">
      <c r="B315" s="78"/>
      <c r="C315" s="79"/>
      <c r="D315" s="79"/>
      <c r="E315" s="79"/>
      <c r="F315" s="79" t="s">
        <v>435</v>
      </c>
      <c r="G315" s="79"/>
      <c r="H315" s="79"/>
      <c r="I315" s="79"/>
      <c r="J315" s="79"/>
      <c r="K315" s="79" t="s">
        <v>760</v>
      </c>
      <c r="L315" s="79" t="s">
        <v>157</v>
      </c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79"/>
      <c r="AW315" s="79"/>
      <c r="AX315" s="79"/>
      <c r="AY315" s="79"/>
      <c r="AZ315" s="79"/>
      <c r="BA315" s="79"/>
      <c r="BB315" s="79"/>
      <c r="BC315" s="79"/>
      <c r="BD315" s="79"/>
      <c r="BE315" s="79"/>
      <c r="BF315" s="79"/>
      <c r="BG315" s="79"/>
      <c r="BH315" s="79"/>
      <c r="BI315" s="79"/>
      <c r="BJ315" s="79"/>
      <c r="BK315" s="79"/>
      <c r="BL315" s="79"/>
      <c r="BM315" s="79"/>
      <c r="BN315" s="79"/>
      <c r="BO315" s="79"/>
      <c r="BP315" s="79"/>
      <c r="BQ315" s="79"/>
      <c r="BR315" s="79"/>
      <c r="BS315" s="79"/>
      <c r="BT315" s="79"/>
      <c r="BU315" s="79"/>
      <c r="BV315" s="79"/>
      <c r="BW315" s="79"/>
      <c r="BX315" s="79"/>
      <c r="BY315" s="79"/>
      <c r="BZ315" s="79"/>
      <c r="CA315" s="79"/>
      <c r="CB315" s="79"/>
      <c r="CC315" s="79"/>
      <c r="CD315" s="79"/>
      <c r="CE315" s="79"/>
      <c r="CF315" s="79"/>
      <c r="CG315" s="79"/>
      <c r="CH315" s="79"/>
      <c r="CI315" s="79"/>
      <c r="CJ315" s="79"/>
      <c r="CK315" s="79"/>
      <c r="CL315" s="79"/>
      <c r="CM315" s="79"/>
      <c r="CN315" s="79"/>
      <c r="CO315" s="79"/>
      <c r="CP315" s="79"/>
      <c r="CQ315" s="79"/>
      <c r="CR315" s="79"/>
      <c r="CS315" s="79"/>
      <c r="CT315" s="79"/>
      <c r="CU315" s="79"/>
      <c r="CV315" s="79"/>
      <c r="CW315" s="79"/>
      <c r="CX315" s="85"/>
      <c r="CY315" s="85"/>
      <c r="CZ315" s="85"/>
      <c r="DA315" s="86"/>
      <c r="DB315" s="84"/>
    </row>
    <row r="316" spans="2:106" ht="11.25" customHeight="1">
      <c r="B316" s="78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  <c r="AS316" s="79"/>
      <c r="AT316" s="79"/>
      <c r="AU316" s="79"/>
      <c r="AV316" s="79"/>
      <c r="AW316" s="79"/>
      <c r="AX316" s="79"/>
      <c r="AY316" s="79"/>
      <c r="AZ316" s="79"/>
      <c r="BA316" s="79"/>
      <c r="BB316" s="79"/>
      <c r="BC316" s="79"/>
      <c r="BD316" s="79"/>
      <c r="BE316" s="79"/>
      <c r="BF316" s="79"/>
      <c r="BG316" s="79"/>
      <c r="BH316" s="79"/>
      <c r="BI316" s="79"/>
      <c r="BJ316" s="79"/>
      <c r="BK316" s="79"/>
      <c r="BL316" s="79"/>
      <c r="BM316" s="79"/>
      <c r="BN316" s="79"/>
      <c r="BO316" s="79"/>
      <c r="BP316" s="79"/>
      <c r="BQ316" s="79"/>
      <c r="BR316" s="79"/>
      <c r="BS316" s="79"/>
      <c r="BT316" s="79"/>
      <c r="BU316" s="79"/>
      <c r="BV316" s="79"/>
      <c r="BW316" s="79"/>
      <c r="BX316" s="79"/>
      <c r="BY316" s="79"/>
      <c r="BZ316" s="79"/>
      <c r="CA316" s="79"/>
      <c r="CB316" s="79"/>
      <c r="CC316" s="79"/>
      <c r="CD316" s="79"/>
      <c r="CE316" s="79"/>
      <c r="CF316" s="79"/>
      <c r="CG316" s="79"/>
      <c r="CH316" s="79"/>
      <c r="CI316" s="79"/>
      <c r="CJ316" s="79"/>
      <c r="CK316" s="79"/>
      <c r="CL316" s="79"/>
      <c r="CM316" s="79"/>
      <c r="CN316" s="79"/>
      <c r="CO316" s="79"/>
      <c r="CP316" s="79"/>
      <c r="CQ316" s="79"/>
      <c r="CR316" s="79"/>
      <c r="CS316" s="79"/>
      <c r="CT316" s="79"/>
      <c r="CU316" s="79"/>
      <c r="CV316" s="79"/>
      <c r="CW316" s="79"/>
      <c r="CX316" s="85"/>
      <c r="CY316" s="85"/>
      <c r="CZ316" s="85"/>
      <c r="DA316" s="86"/>
      <c r="DB316" s="84"/>
    </row>
    <row r="317" spans="2:106" ht="11.25" customHeight="1">
      <c r="B317" s="78"/>
      <c r="C317" s="79"/>
      <c r="D317" s="79" t="s">
        <v>401</v>
      </c>
      <c r="E317" s="79"/>
      <c r="F317" s="79"/>
      <c r="G317" s="79" t="s">
        <v>301</v>
      </c>
      <c r="H317" s="79"/>
      <c r="I317" s="79"/>
      <c r="J317" s="79"/>
      <c r="K317" s="79"/>
      <c r="L317" s="79"/>
      <c r="M317" s="79"/>
      <c r="N317" s="79"/>
      <c r="O317" s="79" t="s">
        <v>503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  <c r="AS317" s="79"/>
      <c r="AT317" s="79"/>
      <c r="AU317" s="79"/>
      <c r="AV317" s="79"/>
      <c r="AW317" s="79"/>
      <c r="AX317" s="79"/>
      <c r="AY317" s="79"/>
      <c r="AZ317" s="79"/>
      <c r="BA317" s="79"/>
      <c r="BB317" s="79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  <c r="BM317" s="79"/>
      <c r="BN317" s="79"/>
      <c r="BO317" s="79"/>
      <c r="BP317" s="79"/>
      <c r="BQ317" s="79"/>
      <c r="BR317" s="79"/>
      <c r="BS317" s="79"/>
      <c r="BT317" s="79"/>
      <c r="BU317" s="79"/>
      <c r="BV317" s="79"/>
      <c r="BW317" s="79"/>
      <c r="BX317" s="79"/>
      <c r="BY317" s="79"/>
      <c r="BZ317" s="79"/>
      <c r="CA317" s="79"/>
      <c r="CB317" s="79"/>
      <c r="CC317" s="79"/>
      <c r="CD317" s="79"/>
      <c r="CE317" s="79"/>
      <c r="CF317" s="79"/>
      <c r="CG317" s="79"/>
      <c r="CH317" s="79"/>
      <c r="CI317" s="79"/>
      <c r="CJ317" s="79"/>
      <c r="CK317" s="79"/>
      <c r="CL317" s="79"/>
      <c r="CM317" s="79"/>
      <c r="CN317" s="79"/>
      <c r="CO317" s="79"/>
      <c r="CP317" s="79"/>
      <c r="CQ317" s="79"/>
      <c r="CR317" s="79"/>
      <c r="CS317" s="79"/>
      <c r="CT317" s="79"/>
      <c r="CU317" s="79"/>
      <c r="CV317" s="79"/>
      <c r="CW317" s="79"/>
      <c r="CX317" s="85"/>
      <c r="CY317" s="85"/>
      <c r="CZ317" s="85"/>
      <c r="DA317" s="86"/>
      <c r="DB317" s="84"/>
    </row>
    <row r="318" spans="2:106" ht="11.25" customHeight="1">
      <c r="B318" s="78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  <c r="AQ318" s="79"/>
      <c r="AR318" s="79"/>
      <c r="AS318" s="79"/>
      <c r="AT318" s="79"/>
      <c r="AU318" s="79"/>
      <c r="AV318" s="79"/>
      <c r="AW318" s="79"/>
      <c r="AX318" s="79"/>
      <c r="AY318" s="79"/>
      <c r="AZ318" s="79"/>
      <c r="BA318" s="79"/>
      <c r="BB318" s="79"/>
      <c r="BC318" s="79"/>
      <c r="BD318" s="79"/>
      <c r="BE318" s="79"/>
      <c r="BF318" s="79"/>
      <c r="BG318" s="79"/>
      <c r="BH318" s="79"/>
      <c r="BI318" s="79"/>
      <c r="BJ318" s="79"/>
      <c r="BK318" s="79"/>
      <c r="BL318" s="79"/>
      <c r="BM318" s="79"/>
      <c r="BN318" s="79"/>
      <c r="BO318" s="79"/>
      <c r="BP318" s="79"/>
      <c r="BQ318" s="79"/>
      <c r="BR318" s="79"/>
      <c r="BS318" s="79"/>
      <c r="BT318" s="79"/>
      <c r="BU318" s="79"/>
      <c r="BV318" s="79"/>
      <c r="BW318" s="79"/>
      <c r="BX318" s="79"/>
      <c r="BY318" s="79"/>
      <c r="BZ318" s="79"/>
      <c r="CA318" s="79"/>
      <c r="CB318" s="79"/>
      <c r="CC318" s="79"/>
      <c r="CD318" s="79"/>
      <c r="CE318" s="79"/>
      <c r="CF318" s="79"/>
      <c r="CG318" s="79"/>
      <c r="CH318" s="79"/>
      <c r="CI318" s="79"/>
      <c r="CJ318" s="79"/>
      <c r="CK318" s="79"/>
      <c r="CL318" s="79"/>
      <c r="CM318" s="79"/>
      <c r="CN318" s="79"/>
      <c r="CO318" s="79"/>
      <c r="CP318" s="79"/>
      <c r="CQ318" s="79"/>
      <c r="CR318" s="79"/>
      <c r="CS318" s="79"/>
      <c r="CT318" s="79"/>
      <c r="CU318" s="79"/>
      <c r="CV318" s="79"/>
      <c r="CW318" s="79"/>
      <c r="CX318" s="85"/>
      <c r="CY318" s="85"/>
      <c r="CZ318" s="85"/>
      <c r="DA318" s="86"/>
      <c r="DB318" s="84"/>
    </row>
    <row r="319" spans="2:106" ht="11.25" customHeight="1">
      <c r="B319" s="78"/>
      <c r="C319" s="79"/>
      <c r="D319" s="79"/>
      <c r="E319" s="79"/>
      <c r="F319" s="79"/>
      <c r="G319" s="79" t="s">
        <v>700</v>
      </c>
      <c r="H319" s="79"/>
      <c r="I319" s="79"/>
      <c r="J319" s="79"/>
      <c r="K319" s="79"/>
      <c r="L319" s="79"/>
      <c r="M319" s="79"/>
      <c r="N319" s="79" t="s">
        <v>604</v>
      </c>
      <c r="O319" s="79"/>
      <c r="P319" s="79" t="str">
        <f>TEXT(기계경비총괄표!G15,"#,##0")</f>
        <v>49,778</v>
      </c>
      <c r="Q319" s="79"/>
      <c r="R319" s="79"/>
      <c r="S319" s="79"/>
      <c r="T319" s="79"/>
      <c r="U319" s="79"/>
      <c r="V319" s="79"/>
      <c r="W319" s="79"/>
      <c r="X319" s="79"/>
      <c r="Y319" s="79" t="s">
        <v>699</v>
      </c>
      <c r="Z319" s="79"/>
      <c r="AA319" s="79"/>
      <c r="AB319" s="79" t="s">
        <v>431</v>
      </c>
      <c r="AC319" s="79" t="str">
        <f>TEXT(2,"#,##0.#######")</f>
        <v>2.</v>
      </c>
      <c r="AD319" s="79" t="s">
        <v>123</v>
      </c>
      <c r="AE319" s="79" t="str">
        <f>TEXT(8,"#,##0.#######")</f>
        <v>8.</v>
      </c>
      <c r="AF319" s="79" t="s">
        <v>89</v>
      </c>
      <c r="AG319" s="79" t="s">
        <v>598</v>
      </c>
      <c r="AH319" s="79"/>
      <c r="AI319" s="79"/>
      <c r="AJ319" s="79" t="s">
        <v>699</v>
      </c>
      <c r="AK319" s="79"/>
      <c r="AL319" s="79"/>
      <c r="AM319" s="79" t="str">
        <f>TEXT(1,"#,##0.#######")</f>
        <v>1.</v>
      </c>
      <c r="AN319" s="79" t="s">
        <v>748</v>
      </c>
      <c r="AO319" s="79"/>
      <c r="AP319" s="79"/>
      <c r="AQ319" s="79" t="s">
        <v>699</v>
      </c>
      <c r="AR319" s="79"/>
      <c r="AS319" s="79"/>
      <c r="AT319" s="79" t="str">
        <f>TEXT(2,"#,##0.#######")</f>
        <v>2.</v>
      </c>
      <c r="AU319" s="79" t="s">
        <v>161</v>
      </c>
      <c r="AV319" s="79"/>
      <c r="AW319" s="79"/>
      <c r="AX319" s="79" t="s">
        <v>309</v>
      </c>
      <c r="AY319" s="79"/>
      <c r="AZ319" s="79" t="str">
        <f>TEXT(TRUNC(P319*(AC319/AE319)*AM319*AT319,1),"#,##0.#")</f>
        <v>24,889.</v>
      </c>
      <c r="BA319" s="79"/>
      <c r="BB319" s="79"/>
      <c r="BC319" s="79"/>
      <c r="BD319" s="79"/>
      <c r="BE319" s="79"/>
      <c r="BF319" s="79"/>
      <c r="BG319" s="79"/>
      <c r="BH319" s="79"/>
      <c r="BI319" s="79"/>
      <c r="BJ319" s="79"/>
      <c r="BK319" s="79"/>
      <c r="BL319" s="79"/>
      <c r="BM319" s="79"/>
      <c r="BN319" s="79"/>
      <c r="BO319" s="79"/>
      <c r="BP319" s="79"/>
      <c r="BQ319" s="79"/>
      <c r="BR319" s="79"/>
      <c r="BS319" s="79"/>
      <c r="BT319" s="79"/>
      <c r="BU319" s="79"/>
      <c r="BV319" s="79"/>
      <c r="BW319" s="79"/>
      <c r="BX319" s="79"/>
      <c r="BY319" s="79"/>
      <c r="BZ319" s="79"/>
      <c r="CA319" s="79"/>
      <c r="CB319" s="79"/>
      <c r="CC319" s="79"/>
      <c r="CD319" s="79"/>
      <c r="CE319" s="79"/>
      <c r="CF319" s="79"/>
      <c r="CG319" s="79"/>
      <c r="CH319" s="79"/>
      <c r="CI319" s="79"/>
      <c r="CJ319" s="79"/>
      <c r="CK319" s="79"/>
      <c r="CL319" s="79"/>
      <c r="CM319" s="79"/>
      <c r="CN319" s="79"/>
      <c r="CO319" s="79"/>
      <c r="CP319" s="79"/>
      <c r="CQ319" s="79"/>
      <c r="CR319" s="79"/>
      <c r="CS319" s="79"/>
      <c r="CT319" s="79"/>
      <c r="CU319" s="79"/>
      <c r="CV319" s="79"/>
      <c r="CW319" s="79"/>
      <c r="CX319" s="85"/>
      <c r="CY319" s="85"/>
      <c r="CZ319" s="85"/>
      <c r="DA319" s="86"/>
      <c r="DB319" s="84"/>
    </row>
    <row r="320" spans="2:106" ht="11.25" customHeight="1">
      <c r="B320" s="78"/>
      <c r="C320" s="79"/>
      <c r="D320" s="79"/>
      <c r="E320" s="79"/>
      <c r="F320" s="79"/>
      <c r="G320" s="79" t="s">
        <v>498</v>
      </c>
      <c r="H320" s="79"/>
      <c r="I320" s="79"/>
      <c r="J320" s="79"/>
      <c r="K320" s="79"/>
      <c r="L320" s="79"/>
      <c r="M320" s="79"/>
      <c r="N320" s="79" t="s">
        <v>604</v>
      </c>
      <c r="O320" s="79"/>
      <c r="P320" s="79" t="str">
        <f>TEXT(기계경비총괄표!H15,"#,##0")</f>
        <v>6,274</v>
      </c>
      <c r="Q320" s="79"/>
      <c r="R320" s="79"/>
      <c r="S320" s="79"/>
      <c r="T320" s="79"/>
      <c r="U320" s="79"/>
      <c r="V320" s="79"/>
      <c r="W320" s="79"/>
      <c r="X320" s="79" t="s">
        <v>699</v>
      </c>
      <c r="Y320" s="79"/>
      <c r="Z320" s="79"/>
      <c r="AA320" s="79" t="str">
        <f>TEXT(8,"#,##0.#######")</f>
        <v>8.</v>
      </c>
      <c r="AB320" s="79" t="s">
        <v>598</v>
      </c>
      <c r="AC320" s="79"/>
      <c r="AD320" s="79"/>
      <c r="AE320" s="79" t="s">
        <v>699</v>
      </c>
      <c r="AF320" s="79"/>
      <c r="AG320" s="79"/>
      <c r="AH320" s="79" t="str">
        <f>TEXT(1,"#,##0.#######")</f>
        <v>1.</v>
      </c>
      <c r="AI320" s="79" t="s">
        <v>748</v>
      </c>
      <c r="AJ320" s="79"/>
      <c r="AK320" s="79"/>
      <c r="AL320" s="79" t="s">
        <v>699</v>
      </c>
      <c r="AM320" s="79"/>
      <c r="AN320" s="79" t="str">
        <f>TEXT(2,"#,##0.#######")</f>
        <v>2.</v>
      </c>
      <c r="AO320" s="79" t="s">
        <v>161</v>
      </c>
      <c r="AP320" s="79"/>
      <c r="AQ320" s="79"/>
      <c r="AR320" s="79" t="s">
        <v>309</v>
      </c>
      <c r="AS320" s="79"/>
      <c r="AT320" s="79" t="str">
        <f>TEXT(TRUNC(P320*AA320*AH320*AN320,1),"#,##0.#")</f>
        <v>100,384.</v>
      </c>
      <c r="AU320" s="79"/>
      <c r="AV320" s="79"/>
      <c r="AW320" s="79"/>
      <c r="AX320" s="79"/>
      <c r="AY320" s="79"/>
      <c r="AZ320" s="79"/>
      <c r="BA320" s="79"/>
      <c r="BB320" s="79"/>
      <c r="BC320" s="79"/>
      <c r="BD320" s="79"/>
      <c r="BE320" s="79"/>
      <c r="BF320" s="79"/>
      <c r="BG320" s="79"/>
      <c r="BH320" s="79"/>
      <c r="BI320" s="79"/>
      <c r="BJ320" s="79"/>
      <c r="BK320" s="79"/>
      <c r="BL320" s="79"/>
      <c r="BM320" s="79"/>
      <c r="BN320" s="79"/>
      <c r="BO320" s="79"/>
      <c r="BP320" s="79"/>
      <c r="BQ320" s="79"/>
      <c r="BR320" s="79"/>
      <c r="BS320" s="79"/>
      <c r="BT320" s="79"/>
      <c r="BU320" s="79"/>
      <c r="BV320" s="79"/>
      <c r="BW320" s="79"/>
      <c r="BX320" s="79"/>
      <c r="BY320" s="79"/>
      <c r="BZ320" s="79"/>
      <c r="CA320" s="79"/>
      <c r="CB320" s="79"/>
      <c r="CC320" s="79"/>
      <c r="CD320" s="79"/>
      <c r="CE320" s="79"/>
      <c r="CF320" s="79"/>
      <c r="CG320" s="79"/>
      <c r="CH320" s="79"/>
      <c r="CI320" s="79"/>
      <c r="CJ320" s="79"/>
      <c r="CK320" s="79"/>
      <c r="CL320" s="79"/>
      <c r="CM320" s="79"/>
      <c r="CN320" s="79"/>
      <c r="CO320" s="79"/>
      <c r="CP320" s="79"/>
      <c r="CQ320" s="79"/>
      <c r="CR320" s="79"/>
      <c r="CS320" s="79"/>
      <c r="CT320" s="79"/>
      <c r="CU320" s="79"/>
      <c r="CV320" s="79"/>
      <c r="CW320" s="79"/>
      <c r="CX320" s="85"/>
      <c r="CY320" s="85"/>
      <c r="CZ320" s="85"/>
      <c r="DA320" s="86"/>
      <c r="DB320" s="84"/>
    </row>
    <row r="321" spans="2:106" ht="11.25" customHeight="1">
      <c r="B321" s="78"/>
      <c r="C321" s="79"/>
      <c r="D321" s="79"/>
      <c r="E321" s="79"/>
      <c r="F321" s="79"/>
      <c r="G321" s="79" t="s">
        <v>160</v>
      </c>
      <c r="H321" s="79"/>
      <c r="I321" s="79"/>
      <c r="J321" s="79"/>
      <c r="K321" s="79" t="s">
        <v>440</v>
      </c>
      <c r="L321" s="79"/>
      <c r="M321" s="79"/>
      <c r="N321" s="79" t="s">
        <v>604</v>
      </c>
      <c r="O321" s="79"/>
      <c r="P321" s="79" t="str">
        <f>TEXT(기계경비총괄표!I15,"#,##0")</f>
        <v>10,539</v>
      </c>
      <c r="Q321" s="79"/>
      <c r="R321" s="79"/>
      <c r="S321" s="79"/>
      <c r="T321" s="79"/>
      <c r="U321" s="79"/>
      <c r="V321" s="79"/>
      <c r="W321" s="79"/>
      <c r="X321" s="79"/>
      <c r="Y321" s="79" t="s">
        <v>699</v>
      </c>
      <c r="Z321" s="79"/>
      <c r="AA321" s="79" t="str">
        <f>TEXT(8,"#,##0.#######")</f>
        <v>8.</v>
      </c>
      <c r="AB321" s="79" t="s">
        <v>598</v>
      </c>
      <c r="AC321" s="79"/>
      <c r="AD321" s="79"/>
      <c r="AE321" s="79" t="s">
        <v>699</v>
      </c>
      <c r="AF321" s="79"/>
      <c r="AG321" s="79"/>
      <c r="AH321" s="79" t="str">
        <f>TEXT(1,"#,##0.#######")</f>
        <v>1.</v>
      </c>
      <c r="AI321" s="79" t="s">
        <v>748</v>
      </c>
      <c r="AJ321" s="79"/>
      <c r="AK321" s="79"/>
      <c r="AL321" s="79" t="s">
        <v>699</v>
      </c>
      <c r="AM321" s="79"/>
      <c r="AN321" s="79" t="str">
        <f>TEXT(2,"#,##0.#######")</f>
        <v>2.</v>
      </c>
      <c r="AO321" s="79" t="s">
        <v>161</v>
      </c>
      <c r="AP321" s="79"/>
      <c r="AQ321" s="79"/>
      <c r="AR321" s="79" t="s">
        <v>309</v>
      </c>
      <c r="AS321" s="79"/>
      <c r="AT321" s="79" t="str">
        <f>TEXT(TRUNC(P321*AA321*AH321*AN321,1),"#,##0.#")</f>
        <v>168,624.</v>
      </c>
      <c r="AU321" s="79"/>
      <c r="AV321" s="79"/>
      <c r="AW321" s="79"/>
      <c r="AX321" s="79"/>
      <c r="AY321" s="79"/>
      <c r="AZ321" s="79"/>
      <c r="BA321" s="79"/>
      <c r="BB321" s="79"/>
      <c r="BC321" s="79"/>
      <c r="BD321" s="79"/>
      <c r="BE321" s="79"/>
      <c r="BF321" s="79"/>
      <c r="BG321" s="79"/>
      <c r="BH321" s="79"/>
      <c r="BI321" s="79"/>
      <c r="BJ321" s="79"/>
      <c r="BK321" s="79"/>
      <c r="BL321" s="79"/>
      <c r="BM321" s="79"/>
      <c r="BN321" s="79"/>
      <c r="BO321" s="79"/>
      <c r="BP321" s="79"/>
      <c r="BQ321" s="79"/>
      <c r="BR321" s="79"/>
      <c r="BS321" s="79"/>
      <c r="BT321" s="79"/>
      <c r="BU321" s="79"/>
      <c r="BV321" s="79"/>
      <c r="BW321" s="79"/>
      <c r="BX321" s="79"/>
      <c r="BY321" s="79"/>
      <c r="BZ321" s="79"/>
      <c r="CA321" s="79"/>
      <c r="CB321" s="79"/>
      <c r="CC321" s="79"/>
      <c r="CD321" s="79"/>
      <c r="CE321" s="79"/>
      <c r="CF321" s="79"/>
      <c r="CG321" s="79"/>
      <c r="CH321" s="79"/>
      <c r="CI321" s="79"/>
      <c r="CJ321" s="79"/>
      <c r="CK321" s="79"/>
      <c r="CL321" s="79"/>
      <c r="CM321" s="79"/>
      <c r="CN321" s="79"/>
      <c r="CO321" s="79"/>
      <c r="CP321" s="79"/>
      <c r="CQ321" s="79"/>
      <c r="CR321" s="79"/>
      <c r="CS321" s="79"/>
      <c r="CT321" s="79"/>
      <c r="CU321" s="79"/>
      <c r="CV321" s="79"/>
      <c r="CW321" s="79"/>
      <c r="CX321" s="85"/>
      <c r="CY321" s="85"/>
      <c r="CZ321" s="85"/>
      <c r="DA321" s="86"/>
      <c r="DB321" s="84"/>
    </row>
    <row r="322" spans="2:106" ht="11.25" customHeight="1">
      <c r="B322" s="78"/>
      <c r="C322" s="79"/>
      <c r="D322" s="79"/>
      <c r="E322" s="79"/>
      <c r="F322" s="79"/>
      <c r="G322" s="79" t="s">
        <v>305</v>
      </c>
      <c r="H322" s="79"/>
      <c r="I322" s="79"/>
      <c r="J322" s="79"/>
      <c r="K322" s="79" t="s">
        <v>436</v>
      </c>
      <c r="L322" s="79"/>
      <c r="M322" s="79"/>
      <c r="N322" s="79" t="s">
        <v>604</v>
      </c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 t="str">
        <f>TEXT(AZ319+AT320+AT321,"#,##0.#######")</f>
        <v>293,897.</v>
      </c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  <c r="AS322" s="79"/>
      <c r="AT322" s="79"/>
      <c r="AU322" s="79"/>
      <c r="AV322" s="79"/>
      <c r="AW322" s="79"/>
      <c r="AX322" s="79"/>
      <c r="AY322" s="79"/>
      <c r="AZ322" s="79"/>
      <c r="BA322" s="79"/>
      <c r="BB322" s="79"/>
      <c r="BC322" s="79"/>
      <c r="BD322" s="79"/>
      <c r="BE322" s="79"/>
      <c r="BF322" s="79"/>
      <c r="BG322" s="79"/>
      <c r="BH322" s="79"/>
      <c r="BI322" s="79"/>
      <c r="BJ322" s="79"/>
      <c r="BK322" s="79"/>
      <c r="BL322" s="79"/>
      <c r="BM322" s="79"/>
      <c r="BN322" s="79"/>
      <c r="BO322" s="79"/>
      <c r="BP322" s="79"/>
      <c r="BQ322" s="79"/>
      <c r="BR322" s="79"/>
      <c r="BS322" s="79"/>
      <c r="BT322" s="79"/>
      <c r="BU322" s="79"/>
      <c r="BV322" s="79"/>
      <c r="BW322" s="79"/>
      <c r="BX322" s="79"/>
      <c r="BY322" s="79"/>
      <c r="BZ322" s="79"/>
      <c r="CA322" s="79"/>
      <c r="CB322" s="79"/>
      <c r="CC322" s="79"/>
      <c r="CD322" s="79"/>
      <c r="CE322" s="79"/>
      <c r="CF322" s="79"/>
      <c r="CG322" s="79"/>
      <c r="CH322" s="79"/>
      <c r="CI322" s="79"/>
      <c r="CJ322" s="79"/>
      <c r="CK322" s="79"/>
      <c r="CL322" s="79"/>
      <c r="CM322" s="79"/>
      <c r="CN322" s="79"/>
      <c r="CO322" s="79"/>
      <c r="CP322" s="79"/>
      <c r="CQ322" s="79"/>
      <c r="CR322" s="79"/>
      <c r="CS322" s="79"/>
      <c r="CT322" s="79"/>
      <c r="CU322" s="79"/>
      <c r="CV322" s="79"/>
      <c r="CW322" s="79"/>
      <c r="CX322" s="85">
        <f>CY322+CZ322+DA322</f>
        <v>293897</v>
      </c>
      <c r="CY322" s="85" t="str">
        <f>TEXT(AZ319,"#,###.0")</f>
        <v>24,889.0</v>
      </c>
      <c r="CZ322" s="85" t="str">
        <f>TEXT(AT320,"#,###.0")</f>
        <v>100,384.0</v>
      </c>
      <c r="DA322" s="86" t="str">
        <f>TEXT(AT321,"#,###.0")</f>
        <v>168,624.0</v>
      </c>
      <c r="DB322" s="84"/>
    </row>
    <row r="323" spans="2:106" ht="11.25" customHeight="1">
      <c r="B323" s="78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/>
      <c r="AT323" s="79"/>
      <c r="AU323" s="79"/>
      <c r="AV323" s="79"/>
      <c r="AW323" s="79"/>
      <c r="AX323" s="79"/>
      <c r="AY323" s="79"/>
      <c r="AZ323" s="79"/>
      <c r="BA323" s="79"/>
      <c r="BB323" s="79"/>
      <c r="BC323" s="79"/>
      <c r="BD323" s="79"/>
      <c r="BE323" s="79"/>
      <c r="BF323" s="79"/>
      <c r="BG323" s="79"/>
      <c r="BH323" s="79"/>
      <c r="BI323" s="79"/>
      <c r="BJ323" s="79"/>
      <c r="BK323" s="79"/>
      <c r="BL323" s="79"/>
      <c r="BM323" s="79"/>
      <c r="BN323" s="79"/>
      <c r="BO323" s="79"/>
      <c r="BP323" s="79"/>
      <c r="BQ323" s="79"/>
      <c r="BR323" s="79"/>
      <c r="BS323" s="79"/>
      <c r="BT323" s="79"/>
      <c r="BU323" s="79"/>
      <c r="BV323" s="79"/>
      <c r="BW323" s="79"/>
      <c r="BX323" s="79"/>
      <c r="BY323" s="79"/>
      <c r="BZ323" s="79"/>
      <c r="CA323" s="79"/>
      <c r="CB323" s="79"/>
      <c r="CC323" s="79"/>
      <c r="CD323" s="79"/>
      <c r="CE323" s="79"/>
      <c r="CF323" s="79"/>
      <c r="CG323" s="79"/>
      <c r="CH323" s="79"/>
      <c r="CI323" s="79"/>
      <c r="CJ323" s="79"/>
      <c r="CK323" s="79"/>
      <c r="CL323" s="79"/>
      <c r="CM323" s="79"/>
      <c r="CN323" s="79"/>
      <c r="CO323" s="79"/>
      <c r="CP323" s="79"/>
      <c r="CQ323" s="79"/>
      <c r="CR323" s="79"/>
      <c r="CS323" s="79"/>
      <c r="CT323" s="79"/>
      <c r="CU323" s="79"/>
      <c r="CV323" s="79"/>
      <c r="CW323" s="79"/>
      <c r="CX323" s="85"/>
      <c r="CY323" s="85"/>
      <c r="CZ323" s="85"/>
      <c r="DA323" s="86"/>
      <c r="DB323" s="84"/>
    </row>
    <row r="324" spans="2:106" ht="11.25" customHeight="1">
      <c r="B324" s="78"/>
      <c r="C324" s="79"/>
      <c r="D324" s="79" t="s">
        <v>594</v>
      </c>
      <c r="E324" s="79"/>
      <c r="F324" s="79"/>
      <c r="G324" s="79" t="s">
        <v>529</v>
      </c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  <c r="AS324" s="79"/>
      <c r="AT324" s="79"/>
      <c r="AU324" s="79"/>
      <c r="AV324" s="79"/>
      <c r="AW324" s="79"/>
      <c r="AX324" s="79"/>
      <c r="AY324" s="79"/>
      <c r="AZ324" s="79"/>
      <c r="BA324" s="79"/>
      <c r="BB324" s="79"/>
      <c r="BC324" s="79"/>
      <c r="BD324" s="79"/>
      <c r="BE324" s="79"/>
      <c r="BF324" s="79"/>
      <c r="BG324" s="79"/>
      <c r="BH324" s="79"/>
      <c r="BI324" s="79"/>
      <c r="BJ324" s="79"/>
      <c r="BK324" s="79"/>
      <c r="BL324" s="79"/>
      <c r="BM324" s="79"/>
      <c r="BN324" s="79"/>
      <c r="BO324" s="79"/>
      <c r="BP324" s="79"/>
      <c r="BQ324" s="79"/>
      <c r="BR324" s="79"/>
      <c r="BS324" s="79"/>
      <c r="BT324" s="79"/>
      <c r="BU324" s="79"/>
      <c r="BV324" s="79"/>
      <c r="BW324" s="79"/>
      <c r="BX324" s="79"/>
      <c r="BY324" s="79"/>
      <c r="BZ324" s="79"/>
      <c r="CA324" s="79"/>
      <c r="CB324" s="79"/>
      <c r="CC324" s="79"/>
      <c r="CD324" s="79"/>
      <c r="CE324" s="79"/>
      <c r="CF324" s="79"/>
      <c r="CG324" s="79"/>
      <c r="CH324" s="79"/>
      <c r="CI324" s="79"/>
      <c r="CJ324" s="79"/>
      <c r="CK324" s="79"/>
      <c r="CL324" s="79"/>
      <c r="CM324" s="79"/>
      <c r="CN324" s="79"/>
      <c r="CO324" s="79"/>
      <c r="CP324" s="79"/>
      <c r="CQ324" s="79"/>
      <c r="CR324" s="79"/>
      <c r="CS324" s="79"/>
      <c r="CT324" s="79"/>
      <c r="CU324" s="79"/>
      <c r="CV324" s="79"/>
      <c r="CW324" s="79"/>
      <c r="CX324" s="85"/>
      <c r="CY324" s="85"/>
      <c r="CZ324" s="85"/>
      <c r="DA324" s="86"/>
      <c r="DB324" s="84"/>
    </row>
    <row r="325" spans="2:106" ht="11.25" customHeight="1">
      <c r="B325" s="78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  <c r="AV325" s="79"/>
      <c r="AW325" s="79"/>
      <c r="AX325" s="79"/>
      <c r="AY325" s="79"/>
      <c r="AZ325" s="79"/>
      <c r="BA325" s="79"/>
      <c r="BB325" s="79"/>
      <c r="BC325" s="79"/>
      <c r="BD325" s="79"/>
      <c r="BE325" s="79"/>
      <c r="BF325" s="79"/>
      <c r="BG325" s="79"/>
      <c r="BH325" s="79"/>
      <c r="BI325" s="79"/>
      <c r="BJ325" s="79"/>
      <c r="BK325" s="79"/>
      <c r="BL325" s="79"/>
      <c r="BM325" s="79"/>
      <c r="BN325" s="79"/>
      <c r="BO325" s="79"/>
      <c r="BP325" s="79"/>
      <c r="BQ325" s="79"/>
      <c r="BR325" s="79"/>
      <c r="BS325" s="79"/>
      <c r="BT325" s="79"/>
      <c r="BU325" s="79"/>
      <c r="BV325" s="79"/>
      <c r="BW325" s="79"/>
      <c r="BX325" s="79"/>
      <c r="BY325" s="79"/>
      <c r="BZ325" s="79"/>
      <c r="CA325" s="79"/>
      <c r="CB325" s="79"/>
      <c r="CC325" s="79"/>
      <c r="CD325" s="79"/>
      <c r="CE325" s="79"/>
      <c r="CF325" s="79"/>
      <c r="CG325" s="79"/>
      <c r="CH325" s="79"/>
      <c r="CI325" s="79"/>
      <c r="CJ325" s="79"/>
      <c r="CK325" s="79"/>
      <c r="CL325" s="79"/>
      <c r="CM325" s="79"/>
      <c r="CN325" s="79"/>
      <c r="CO325" s="79"/>
      <c r="CP325" s="79"/>
      <c r="CQ325" s="79"/>
      <c r="CR325" s="79"/>
      <c r="CS325" s="79"/>
      <c r="CT325" s="79"/>
      <c r="CU325" s="79"/>
      <c r="CV325" s="79"/>
      <c r="CW325" s="79"/>
      <c r="CX325" s="85"/>
      <c r="CY325" s="85"/>
      <c r="CZ325" s="85"/>
      <c r="DA325" s="86"/>
      <c r="DB325" s="84"/>
    </row>
    <row r="326" spans="2:106" ht="11.25" customHeight="1">
      <c r="B326" s="78"/>
      <c r="C326" s="79"/>
      <c r="D326" s="79"/>
      <c r="E326" s="79"/>
      <c r="F326" s="79"/>
      <c r="G326" s="79" t="s">
        <v>50</v>
      </c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 t="s">
        <v>715</v>
      </c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 t="str">
        <f>TEXT(자재단가!R17,"#,##0.#######")</f>
        <v>93,500.</v>
      </c>
      <c r="AR326" s="79"/>
      <c r="AS326" s="79"/>
      <c r="AT326" s="79"/>
      <c r="AU326" s="79"/>
      <c r="AV326" s="79"/>
      <c r="AW326" s="79"/>
      <c r="AX326" s="79"/>
      <c r="AY326" s="79"/>
      <c r="AZ326" s="79" t="s">
        <v>699</v>
      </c>
      <c r="BA326" s="79"/>
      <c r="BB326" s="79" t="str">
        <f>TEXT(6,"#,##0.#######")</f>
        <v>6.</v>
      </c>
      <c r="BC326" s="79" t="s">
        <v>497</v>
      </c>
      <c r="BD326" s="79"/>
      <c r="BE326" s="79"/>
      <c r="BF326" s="79" t="s">
        <v>699</v>
      </c>
      <c r="BG326" s="79"/>
      <c r="BH326" s="79" t="str">
        <f>TEXT(0.06,"#,##0.#######")</f>
        <v>0.06</v>
      </c>
      <c r="BI326" s="79"/>
      <c r="BJ326" s="79"/>
      <c r="BK326" s="79"/>
      <c r="BL326" s="79"/>
      <c r="BM326" s="79" t="s">
        <v>309</v>
      </c>
      <c r="BN326" s="79"/>
      <c r="BO326" s="79" t="str">
        <f>TEXT(TRUNC(AQ326*BB326*BH326,1),"#,##0.#######")</f>
        <v>33,660.</v>
      </c>
      <c r="BP326" s="79"/>
      <c r="BQ326" s="79"/>
      <c r="BR326" s="79"/>
      <c r="BS326" s="79"/>
      <c r="BT326" s="79"/>
      <c r="BU326" s="79"/>
      <c r="BV326" s="79"/>
      <c r="BW326" s="79"/>
      <c r="BX326" s="79"/>
      <c r="BY326" s="79"/>
      <c r="BZ326" s="79"/>
      <c r="CA326" s="79"/>
      <c r="CB326" s="79"/>
      <c r="CC326" s="79"/>
      <c r="CD326" s="79"/>
      <c r="CE326" s="79"/>
      <c r="CF326" s="79"/>
      <c r="CG326" s="79"/>
      <c r="CH326" s="79"/>
      <c r="CI326" s="79"/>
      <c r="CJ326" s="79"/>
      <c r="CK326" s="79"/>
      <c r="CL326" s="79"/>
      <c r="CM326" s="79"/>
      <c r="CN326" s="79"/>
      <c r="CO326" s="79"/>
      <c r="CP326" s="79"/>
      <c r="CQ326" s="79"/>
      <c r="CR326" s="79"/>
      <c r="CS326" s="79"/>
      <c r="CT326" s="79"/>
      <c r="CU326" s="79"/>
      <c r="CV326" s="79"/>
      <c r="CW326" s="79"/>
      <c r="CX326" s="85"/>
      <c r="CY326" s="85"/>
      <c r="CZ326" s="85"/>
      <c r="DA326" s="86"/>
      <c r="DB326" s="84"/>
    </row>
    <row r="327" spans="2:106" ht="11.25" customHeight="1">
      <c r="B327" s="78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  <c r="AV327" s="79"/>
      <c r="AW327" s="79"/>
      <c r="AX327" s="79"/>
      <c r="AY327" s="79"/>
      <c r="AZ327" s="79"/>
      <c r="BA327" s="79"/>
      <c r="BB327" s="79"/>
      <c r="BC327" s="79"/>
      <c r="BD327" s="79"/>
      <c r="BE327" s="79"/>
      <c r="BF327" s="79"/>
      <c r="BG327" s="79"/>
      <c r="BH327" s="79"/>
      <c r="BI327" s="79"/>
      <c r="BJ327" s="79"/>
      <c r="BK327" s="79"/>
      <c r="BL327" s="79"/>
      <c r="BM327" s="79"/>
      <c r="BN327" s="79"/>
      <c r="BO327" s="79"/>
      <c r="BP327" s="79"/>
      <c r="BQ327" s="79"/>
      <c r="BR327" s="79"/>
      <c r="BS327" s="79"/>
      <c r="BT327" s="79"/>
      <c r="BU327" s="79"/>
      <c r="BV327" s="79"/>
      <c r="BW327" s="79"/>
      <c r="BX327" s="79"/>
      <c r="BY327" s="79"/>
      <c r="BZ327" s="79"/>
      <c r="CA327" s="79"/>
      <c r="CB327" s="79"/>
      <c r="CC327" s="79"/>
      <c r="CD327" s="79"/>
      <c r="CE327" s="79"/>
      <c r="CF327" s="79"/>
      <c r="CG327" s="79"/>
      <c r="CH327" s="79"/>
      <c r="CI327" s="79"/>
      <c r="CJ327" s="79"/>
      <c r="CK327" s="79"/>
      <c r="CL327" s="79"/>
      <c r="CM327" s="79"/>
      <c r="CN327" s="79"/>
      <c r="CO327" s="79"/>
      <c r="CP327" s="79"/>
      <c r="CQ327" s="79"/>
      <c r="CR327" s="79"/>
      <c r="CS327" s="79"/>
      <c r="CT327" s="79"/>
      <c r="CU327" s="79"/>
      <c r="CV327" s="79"/>
      <c r="CW327" s="79"/>
      <c r="CX327" s="85"/>
      <c r="CY327" s="85"/>
      <c r="CZ327" s="85"/>
      <c r="DA327" s="86"/>
      <c r="DB327" s="84"/>
    </row>
    <row r="328" spans="2:106" ht="11.25" customHeight="1">
      <c r="B328" s="78"/>
      <c r="C328" s="79"/>
      <c r="D328" s="79"/>
      <c r="E328" s="79"/>
      <c r="F328" s="79"/>
      <c r="G328" s="79" t="s">
        <v>50</v>
      </c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 t="s">
        <v>547</v>
      </c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 t="str">
        <f>TEXT(자재단가!R18,"#,##0.#######")</f>
        <v>79,800.</v>
      </c>
      <c r="AR328" s="79"/>
      <c r="AS328" s="79"/>
      <c r="AT328" s="79"/>
      <c r="AU328" s="79"/>
      <c r="AV328" s="79"/>
      <c r="AW328" s="79"/>
      <c r="AX328" s="79"/>
      <c r="AY328" s="79"/>
      <c r="AZ328" s="79" t="s">
        <v>699</v>
      </c>
      <c r="BA328" s="79"/>
      <c r="BB328" s="79" t="str">
        <f>TEXT(2,"#,##0.#######")</f>
        <v>2.</v>
      </c>
      <c r="BC328" s="79" t="s">
        <v>497</v>
      </c>
      <c r="BD328" s="79"/>
      <c r="BE328" s="79"/>
      <c r="BF328" s="79" t="s">
        <v>699</v>
      </c>
      <c r="BG328" s="79"/>
      <c r="BH328" s="79" t="str">
        <f>TEXT(0.06,"#,##0.#######")</f>
        <v>0.06</v>
      </c>
      <c r="BI328" s="79"/>
      <c r="BJ328" s="79"/>
      <c r="BK328" s="79"/>
      <c r="BL328" s="79"/>
      <c r="BM328" s="79" t="s">
        <v>309</v>
      </c>
      <c r="BN328" s="79"/>
      <c r="BO328" s="79" t="str">
        <f>TEXT(TRUNC(AQ328*BB328*BH328,1),"#,##0.#######")</f>
        <v>9,576.</v>
      </c>
      <c r="BP328" s="79"/>
      <c r="BQ328" s="79"/>
      <c r="BR328" s="79"/>
      <c r="BS328" s="79"/>
      <c r="BT328" s="79"/>
      <c r="BU328" s="79"/>
      <c r="BV328" s="79"/>
      <c r="BW328" s="79"/>
      <c r="BX328" s="79"/>
      <c r="BY328" s="79"/>
      <c r="BZ328" s="79"/>
      <c r="CA328" s="79"/>
      <c r="CB328" s="79"/>
      <c r="CC328" s="79"/>
      <c r="CD328" s="79"/>
      <c r="CE328" s="79"/>
      <c r="CF328" s="79"/>
      <c r="CG328" s="79"/>
      <c r="CH328" s="79"/>
      <c r="CI328" s="79"/>
      <c r="CJ328" s="79"/>
      <c r="CK328" s="79"/>
      <c r="CL328" s="79"/>
      <c r="CM328" s="79"/>
      <c r="CN328" s="79"/>
      <c r="CO328" s="79"/>
      <c r="CP328" s="79"/>
      <c r="CQ328" s="79"/>
      <c r="CR328" s="79"/>
      <c r="CS328" s="79"/>
      <c r="CT328" s="79"/>
      <c r="CU328" s="79"/>
      <c r="CV328" s="79"/>
      <c r="CW328" s="79"/>
      <c r="CX328" s="85"/>
      <c r="CY328" s="85"/>
      <c r="CZ328" s="85"/>
      <c r="DA328" s="86"/>
      <c r="DB328" s="84"/>
    </row>
    <row r="329" spans="2:106" ht="11.25" customHeight="1">
      <c r="B329" s="78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/>
      <c r="AU329" s="79"/>
      <c r="AV329" s="79"/>
      <c r="AW329" s="79"/>
      <c r="AX329" s="79"/>
      <c r="AY329" s="79"/>
      <c r="AZ329" s="79"/>
      <c r="BA329" s="79"/>
      <c r="BB329" s="79"/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  <c r="BM329" s="79"/>
      <c r="BN329" s="79"/>
      <c r="BO329" s="79"/>
      <c r="BP329" s="79"/>
      <c r="BQ329" s="79"/>
      <c r="BR329" s="79"/>
      <c r="BS329" s="79"/>
      <c r="BT329" s="79"/>
      <c r="BU329" s="79"/>
      <c r="BV329" s="79"/>
      <c r="BW329" s="79"/>
      <c r="BX329" s="79"/>
      <c r="BY329" s="79"/>
      <c r="BZ329" s="79"/>
      <c r="CA329" s="79"/>
      <c r="CB329" s="79"/>
      <c r="CC329" s="79"/>
      <c r="CD329" s="79"/>
      <c r="CE329" s="79"/>
      <c r="CF329" s="79"/>
      <c r="CG329" s="79"/>
      <c r="CH329" s="79"/>
      <c r="CI329" s="79"/>
      <c r="CJ329" s="79"/>
      <c r="CK329" s="79"/>
      <c r="CL329" s="79"/>
      <c r="CM329" s="79"/>
      <c r="CN329" s="79"/>
      <c r="CO329" s="79"/>
      <c r="CP329" s="79"/>
      <c r="CQ329" s="79"/>
      <c r="CR329" s="79"/>
      <c r="CS329" s="79"/>
      <c r="CT329" s="79"/>
      <c r="CU329" s="79"/>
      <c r="CV329" s="79"/>
      <c r="CW329" s="79"/>
      <c r="CX329" s="85"/>
      <c r="CY329" s="85"/>
      <c r="CZ329" s="85"/>
      <c r="DA329" s="86"/>
      <c r="DB329" s="84"/>
    </row>
    <row r="330" spans="2:106" ht="11.25" customHeight="1">
      <c r="B330" s="78"/>
      <c r="C330" s="79"/>
      <c r="D330" s="79"/>
      <c r="E330" s="79"/>
      <c r="F330" s="79"/>
      <c r="G330" s="79" t="s">
        <v>50</v>
      </c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 t="s">
        <v>474</v>
      </c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  <c r="AV330" s="79"/>
      <c r="AW330" s="79"/>
      <c r="AX330" s="79"/>
      <c r="AY330" s="79"/>
      <c r="AZ330" s="79"/>
      <c r="BA330" s="79"/>
      <c r="BB330" s="79"/>
      <c r="BC330" s="79"/>
      <c r="BD330" s="79"/>
      <c r="BE330" s="79" t="str">
        <f>TEXT(자재단가!R19,"#,##0.#######")</f>
        <v>154,000.</v>
      </c>
      <c r="BF330" s="79"/>
      <c r="BG330" s="79"/>
      <c r="BH330" s="79"/>
      <c r="BI330" s="79"/>
      <c r="BJ330" s="79"/>
      <c r="BK330" s="79"/>
      <c r="BL330" s="79"/>
      <c r="BM330" s="79"/>
      <c r="BN330" s="79" t="s">
        <v>699</v>
      </c>
      <c r="BO330" s="79"/>
      <c r="BP330" s="79" t="str">
        <f>TEXT(4,"#,##0.#######")</f>
        <v>4.</v>
      </c>
      <c r="BQ330" s="79" t="s">
        <v>497</v>
      </c>
      <c r="BR330" s="79"/>
      <c r="BS330" s="79"/>
      <c r="BT330" s="79" t="s">
        <v>699</v>
      </c>
      <c r="BU330" s="79"/>
      <c r="BV330" s="79" t="str">
        <f>TEXT(0.06,"#,##0.#######")</f>
        <v>0.06</v>
      </c>
      <c r="BW330" s="79"/>
      <c r="BX330" s="79"/>
      <c r="BY330" s="79"/>
      <c r="BZ330" s="79"/>
      <c r="CA330" s="79" t="s">
        <v>309</v>
      </c>
      <c r="CB330" s="79"/>
      <c r="CC330" s="79" t="str">
        <f>TEXT(TRUNC(BE330*BP330*BV330,1),"#,##0.#######")</f>
        <v>36,960.</v>
      </c>
      <c r="CD330" s="79"/>
      <c r="CE330" s="79"/>
      <c r="CF330" s="79"/>
      <c r="CG330" s="79"/>
      <c r="CH330" s="79"/>
      <c r="CI330" s="79"/>
      <c r="CJ330" s="79"/>
      <c r="CK330" s="79"/>
      <c r="CL330" s="79"/>
      <c r="CM330" s="79"/>
      <c r="CN330" s="79"/>
      <c r="CO330" s="79"/>
      <c r="CP330" s="79"/>
      <c r="CQ330" s="79"/>
      <c r="CR330" s="79"/>
      <c r="CS330" s="79"/>
      <c r="CT330" s="79"/>
      <c r="CU330" s="79"/>
      <c r="CV330" s="79"/>
      <c r="CW330" s="79"/>
      <c r="CX330" s="85"/>
      <c r="CY330" s="85"/>
      <c r="CZ330" s="85"/>
      <c r="DA330" s="86"/>
      <c r="DB330" s="84"/>
    </row>
    <row r="331" spans="2:106" ht="11.25" customHeight="1">
      <c r="B331" s="78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  <c r="AV331" s="79"/>
      <c r="AW331" s="79"/>
      <c r="AX331" s="79"/>
      <c r="AY331" s="79"/>
      <c r="AZ331" s="79"/>
      <c r="BA331" s="79"/>
      <c r="BB331" s="79"/>
      <c r="BC331" s="79"/>
      <c r="BD331" s="79"/>
      <c r="BE331" s="79"/>
      <c r="BF331" s="79"/>
      <c r="BG331" s="79"/>
      <c r="BH331" s="79"/>
      <c r="BI331" s="79"/>
      <c r="BJ331" s="79"/>
      <c r="BK331" s="79"/>
      <c r="BL331" s="79"/>
      <c r="BM331" s="79"/>
      <c r="BN331" s="79"/>
      <c r="BO331" s="79"/>
      <c r="BP331" s="79"/>
      <c r="BQ331" s="79"/>
      <c r="BR331" s="79"/>
      <c r="BS331" s="79"/>
      <c r="BT331" s="79"/>
      <c r="BU331" s="79"/>
      <c r="BV331" s="79"/>
      <c r="BW331" s="79"/>
      <c r="BX331" s="79"/>
      <c r="BY331" s="79"/>
      <c r="BZ331" s="79"/>
      <c r="CA331" s="79"/>
      <c r="CB331" s="79"/>
      <c r="CC331" s="79"/>
      <c r="CD331" s="79"/>
      <c r="CE331" s="79"/>
      <c r="CF331" s="79"/>
      <c r="CG331" s="79"/>
      <c r="CH331" s="79"/>
      <c r="CI331" s="79"/>
      <c r="CJ331" s="79"/>
      <c r="CK331" s="79"/>
      <c r="CL331" s="79"/>
      <c r="CM331" s="79"/>
      <c r="CN331" s="79"/>
      <c r="CO331" s="79"/>
      <c r="CP331" s="79"/>
      <c r="CQ331" s="79"/>
      <c r="CR331" s="79"/>
      <c r="CS331" s="79"/>
      <c r="CT331" s="79"/>
      <c r="CU331" s="79"/>
      <c r="CV331" s="79"/>
      <c r="CW331" s="79"/>
      <c r="CX331" s="85"/>
      <c r="CY331" s="85"/>
      <c r="CZ331" s="85"/>
      <c r="DA331" s="86"/>
      <c r="DB331" s="84"/>
    </row>
    <row r="332" spans="2:106" ht="11.25" customHeight="1">
      <c r="B332" s="78"/>
      <c r="C332" s="79"/>
      <c r="D332" s="79"/>
      <c r="E332" s="79"/>
      <c r="F332" s="79"/>
      <c r="G332" s="79" t="s">
        <v>670</v>
      </c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 t="str">
        <f>TEXT(자재단가!R20,"#,##0.#######")</f>
        <v>64,200.</v>
      </c>
      <c r="W332" s="79"/>
      <c r="X332" s="79"/>
      <c r="Y332" s="79"/>
      <c r="Z332" s="79"/>
      <c r="AA332" s="79"/>
      <c r="AB332" s="79"/>
      <c r="AC332" s="79"/>
      <c r="AD332" s="79"/>
      <c r="AE332" s="79" t="s">
        <v>699</v>
      </c>
      <c r="AF332" s="79"/>
      <c r="AG332" s="79" t="str">
        <f>TEXT(4,"#,##0.#######")</f>
        <v>4.</v>
      </c>
      <c r="AH332" s="79" t="s">
        <v>497</v>
      </c>
      <c r="AI332" s="79"/>
      <c r="AJ332" s="79"/>
      <c r="AK332" s="79" t="s">
        <v>699</v>
      </c>
      <c r="AL332" s="79"/>
      <c r="AM332" s="79" t="str">
        <f>TEXT(0.06,"#,##0.#######")</f>
        <v>0.06</v>
      </c>
      <c r="AN332" s="79"/>
      <c r="AO332" s="79"/>
      <c r="AP332" s="79"/>
      <c r="AQ332" s="79"/>
      <c r="AR332" s="79" t="s">
        <v>309</v>
      </c>
      <c r="AS332" s="79"/>
      <c r="AT332" s="79" t="str">
        <f>TEXT(TRUNC(V332*AG332*AM332,1),"#,##0.#######")</f>
        <v>15,408.</v>
      </c>
      <c r="AU332" s="79"/>
      <c r="AV332" s="79"/>
      <c r="AW332" s="79"/>
      <c r="AX332" s="79"/>
      <c r="AY332" s="79"/>
      <c r="AZ332" s="79"/>
      <c r="BA332" s="79"/>
      <c r="BB332" s="79"/>
      <c r="BC332" s="79"/>
      <c r="BD332" s="79"/>
      <c r="BE332" s="79"/>
      <c r="BF332" s="79"/>
      <c r="BG332" s="79"/>
      <c r="BH332" s="79"/>
      <c r="BI332" s="79"/>
      <c r="BJ332" s="79"/>
      <c r="BK332" s="79"/>
      <c r="BL332" s="79"/>
      <c r="BM332" s="79"/>
      <c r="BN332" s="79"/>
      <c r="BO332" s="79"/>
      <c r="BP332" s="79"/>
      <c r="BQ332" s="79"/>
      <c r="BR332" s="79"/>
      <c r="BS332" s="79"/>
      <c r="BT332" s="79"/>
      <c r="BU332" s="79"/>
      <c r="BV332" s="79"/>
      <c r="BW332" s="79"/>
      <c r="BX332" s="79"/>
      <c r="BY332" s="79"/>
      <c r="BZ332" s="79"/>
      <c r="CA332" s="79"/>
      <c r="CB332" s="79"/>
      <c r="CC332" s="79"/>
      <c r="CD332" s="79"/>
      <c r="CE332" s="79"/>
      <c r="CF332" s="79"/>
      <c r="CG332" s="79"/>
      <c r="CH332" s="79"/>
      <c r="CI332" s="79"/>
      <c r="CJ332" s="79"/>
      <c r="CK332" s="79"/>
      <c r="CL332" s="79"/>
      <c r="CM332" s="79"/>
      <c r="CN332" s="79"/>
      <c r="CO332" s="79"/>
      <c r="CP332" s="79"/>
      <c r="CQ332" s="79"/>
      <c r="CR332" s="79"/>
      <c r="CS332" s="79"/>
      <c r="CT332" s="79"/>
      <c r="CU332" s="79"/>
      <c r="CV332" s="79"/>
      <c r="CW332" s="79"/>
      <c r="CX332" s="85"/>
      <c r="CY332" s="85"/>
      <c r="CZ332" s="85"/>
      <c r="DA332" s="86"/>
      <c r="DB332" s="84"/>
    </row>
    <row r="333" spans="2:106" ht="11.25" customHeight="1">
      <c r="B333" s="78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79"/>
      <c r="AW333" s="79"/>
      <c r="AX333" s="79"/>
      <c r="AY333" s="79"/>
      <c r="AZ333" s="79"/>
      <c r="BA333" s="79"/>
      <c r="BB333" s="79"/>
      <c r="BC333" s="79"/>
      <c r="BD333" s="79"/>
      <c r="BE333" s="79"/>
      <c r="BF333" s="79"/>
      <c r="BG333" s="79"/>
      <c r="BH333" s="79"/>
      <c r="BI333" s="79"/>
      <c r="BJ333" s="79"/>
      <c r="BK333" s="79"/>
      <c r="BL333" s="79"/>
      <c r="BM333" s="79"/>
      <c r="BN333" s="79"/>
      <c r="BO333" s="79"/>
      <c r="BP333" s="79"/>
      <c r="BQ333" s="79"/>
      <c r="BR333" s="79"/>
      <c r="BS333" s="79"/>
      <c r="BT333" s="79"/>
      <c r="BU333" s="79"/>
      <c r="BV333" s="79"/>
      <c r="BW333" s="79"/>
      <c r="BX333" s="79"/>
      <c r="BY333" s="79"/>
      <c r="BZ333" s="79"/>
      <c r="CA333" s="79"/>
      <c r="CB333" s="79"/>
      <c r="CC333" s="79"/>
      <c r="CD333" s="79"/>
      <c r="CE333" s="79"/>
      <c r="CF333" s="79"/>
      <c r="CG333" s="79"/>
      <c r="CH333" s="79"/>
      <c r="CI333" s="79"/>
      <c r="CJ333" s="79"/>
      <c r="CK333" s="79"/>
      <c r="CL333" s="79"/>
      <c r="CM333" s="79"/>
      <c r="CN333" s="79"/>
      <c r="CO333" s="79"/>
      <c r="CP333" s="79"/>
      <c r="CQ333" s="79"/>
      <c r="CR333" s="79"/>
      <c r="CS333" s="79"/>
      <c r="CT333" s="79"/>
      <c r="CU333" s="79"/>
      <c r="CV333" s="79"/>
      <c r="CW333" s="79"/>
      <c r="CX333" s="85"/>
      <c r="CY333" s="85"/>
      <c r="CZ333" s="85"/>
      <c r="DA333" s="86"/>
      <c r="DB333" s="84"/>
    </row>
    <row r="334" spans="2:106" ht="11.25" customHeight="1">
      <c r="B334" s="78"/>
      <c r="C334" s="79"/>
      <c r="D334" s="79"/>
      <c r="E334" s="79"/>
      <c r="F334" s="79"/>
      <c r="G334" s="79" t="s">
        <v>104</v>
      </c>
      <c r="H334" s="79"/>
      <c r="I334" s="79"/>
      <c r="J334" s="79"/>
      <c r="K334" s="79"/>
      <c r="L334" s="79"/>
      <c r="M334" s="79"/>
      <c r="N334" s="79"/>
      <c r="O334" s="79" t="s">
        <v>204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 t="str">
        <f>TEXT(자재단가!R21,"#,##0.#######")</f>
        <v>9,000.</v>
      </c>
      <c r="AJ334" s="79"/>
      <c r="AK334" s="79"/>
      <c r="AL334" s="79"/>
      <c r="AM334" s="79"/>
      <c r="AN334" s="79"/>
      <c r="AO334" s="79"/>
      <c r="AP334" s="79"/>
      <c r="AQ334" s="79" t="s">
        <v>699</v>
      </c>
      <c r="AR334" s="79"/>
      <c r="AS334" s="79"/>
      <c r="AT334" s="79" t="str">
        <f>TEXT(50,"#,##0.#######")</f>
        <v>50.</v>
      </c>
      <c r="AU334" s="79"/>
      <c r="AV334" s="79" t="s">
        <v>497</v>
      </c>
      <c r="AW334" s="79"/>
      <c r="AX334" s="79"/>
      <c r="AY334" s="79" t="s">
        <v>699</v>
      </c>
      <c r="AZ334" s="79"/>
      <c r="BA334" s="79"/>
      <c r="BB334" s="79" t="str">
        <f>TEXT(0.06,"#,##0.#######")</f>
        <v>0.06</v>
      </c>
      <c r="BC334" s="79"/>
      <c r="BD334" s="79"/>
      <c r="BE334" s="79"/>
      <c r="BF334" s="79"/>
      <c r="BG334" s="79" t="s">
        <v>309</v>
      </c>
      <c r="BH334" s="79"/>
      <c r="BI334" s="79" t="str">
        <f>TEXT(TRUNC(AI334*AT334*BB334,1),"#,##0.#######")</f>
        <v>27,000.</v>
      </c>
      <c r="BJ334" s="79"/>
      <c r="BK334" s="79"/>
      <c r="BL334" s="79"/>
      <c r="BM334" s="79"/>
      <c r="BN334" s="79"/>
      <c r="BO334" s="79"/>
      <c r="BP334" s="79"/>
      <c r="BQ334" s="79"/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  <c r="CE334" s="79"/>
      <c r="CF334" s="79"/>
      <c r="CG334" s="79"/>
      <c r="CH334" s="79"/>
      <c r="CI334" s="79"/>
      <c r="CJ334" s="79"/>
      <c r="CK334" s="79"/>
      <c r="CL334" s="79"/>
      <c r="CM334" s="79"/>
      <c r="CN334" s="79"/>
      <c r="CO334" s="79"/>
      <c r="CP334" s="79"/>
      <c r="CQ334" s="79"/>
      <c r="CR334" s="79"/>
      <c r="CS334" s="79"/>
      <c r="CT334" s="79"/>
      <c r="CU334" s="79"/>
      <c r="CV334" s="79"/>
      <c r="CW334" s="79"/>
      <c r="CX334" s="85"/>
      <c r="CY334" s="85"/>
      <c r="CZ334" s="85"/>
      <c r="DA334" s="86"/>
      <c r="DB334" s="84"/>
    </row>
    <row r="335" spans="2:106" ht="11.25" customHeight="1">
      <c r="B335" s="78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  <c r="AV335" s="79"/>
      <c r="AW335" s="79"/>
      <c r="AX335" s="79"/>
      <c r="AY335" s="79"/>
      <c r="AZ335" s="79"/>
      <c r="BA335" s="79"/>
      <c r="BB335" s="79"/>
      <c r="BC335" s="79"/>
      <c r="BD335" s="79"/>
      <c r="BE335" s="79"/>
      <c r="BF335" s="79"/>
      <c r="BG335" s="79"/>
      <c r="BH335" s="79"/>
      <c r="BI335" s="79"/>
      <c r="BJ335" s="79"/>
      <c r="BK335" s="79"/>
      <c r="BL335" s="79"/>
      <c r="BM335" s="79"/>
      <c r="BN335" s="79"/>
      <c r="BO335" s="79"/>
      <c r="BP335" s="79"/>
      <c r="BQ335" s="79"/>
      <c r="BR335" s="79"/>
      <c r="BS335" s="79"/>
      <c r="BT335" s="79"/>
      <c r="BU335" s="79"/>
      <c r="BV335" s="79"/>
      <c r="BW335" s="79"/>
      <c r="BX335" s="79"/>
      <c r="BY335" s="79"/>
      <c r="BZ335" s="79"/>
      <c r="CA335" s="79"/>
      <c r="CB335" s="79"/>
      <c r="CC335" s="79"/>
      <c r="CD335" s="79"/>
      <c r="CE335" s="79"/>
      <c r="CF335" s="79"/>
      <c r="CG335" s="79"/>
      <c r="CH335" s="79"/>
      <c r="CI335" s="79"/>
      <c r="CJ335" s="79"/>
      <c r="CK335" s="79"/>
      <c r="CL335" s="79"/>
      <c r="CM335" s="79"/>
      <c r="CN335" s="79"/>
      <c r="CO335" s="79"/>
      <c r="CP335" s="79"/>
      <c r="CQ335" s="79"/>
      <c r="CR335" s="79"/>
      <c r="CS335" s="79"/>
      <c r="CT335" s="79"/>
      <c r="CU335" s="79"/>
      <c r="CV335" s="79"/>
      <c r="CW335" s="79"/>
      <c r="CX335" s="85"/>
      <c r="CY335" s="85"/>
      <c r="CZ335" s="85"/>
      <c r="DA335" s="86"/>
      <c r="DB335" s="84"/>
    </row>
    <row r="336" spans="2:106" ht="11.25" customHeight="1">
      <c r="B336" s="78"/>
      <c r="C336" s="79"/>
      <c r="D336" s="79"/>
      <c r="E336" s="79"/>
      <c r="F336" s="79"/>
      <c r="G336" s="79" t="s">
        <v>93</v>
      </c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 t="s">
        <v>831</v>
      </c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 t="str">
        <f>TEXT(자재단가!R22,"#,##0.#######")</f>
        <v>18,000.</v>
      </c>
      <c r="AM336" s="79"/>
      <c r="AN336" s="79"/>
      <c r="AO336" s="79"/>
      <c r="AP336" s="79"/>
      <c r="AQ336" s="79"/>
      <c r="AR336" s="79"/>
      <c r="AS336" s="79"/>
      <c r="AT336" s="79"/>
      <c r="AU336" s="79" t="s">
        <v>699</v>
      </c>
      <c r="AV336" s="79"/>
      <c r="AW336" s="79" t="str">
        <f>TEXT(20,"#,##0.#######")</f>
        <v>20.</v>
      </c>
      <c r="AX336" s="79"/>
      <c r="AY336" s="79" t="s">
        <v>497</v>
      </c>
      <c r="AZ336" s="79"/>
      <c r="BA336" s="79"/>
      <c r="BB336" s="79" t="s">
        <v>699</v>
      </c>
      <c r="BC336" s="79"/>
      <c r="BD336" s="79"/>
      <c r="BE336" s="79" t="str">
        <f>TEXT(0.06,"#,##0.#######")</f>
        <v>0.06</v>
      </c>
      <c r="BF336" s="79"/>
      <c r="BG336" s="79"/>
      <c r="BH336" s="79"/>
      <c r="BI336" s="79" t="s">
        <v>309</v>
      </c>
      <c r="BJ336" s="79"/>
      <c r="BK336" s="79" t="str">
        <f>TEXT(TRUNC(AL336*AW336*BE336,1),"#,##0.#######")</f>
        <v>21,600.</v>
      </c>
      <c r="BL336" s="79"/>
      <c r="BM336" s="79"/>
      <c r="BN336" s="79"/>
      <c r="BO336" s="79"/>
      <c r="BP336" s="79"/>
      <c r="BQ336" s="79"/>
      <c r="BR336" s="79"/>
      <c r="BS336" s="79"/>
      <c r="BT336" s="79"/>
      <c r="BU336" s="79"/>
      <c r="BV336" s="79"/>
      <c r="BW336" s="79"/>
      <c r="BX336" s="79"/>
      <c r="BY336" s="79"/>
      <c r="BZ336" s="79"/>
      <c r="CA336" s="79"/>
      <c r="CB336" s="79"/>
      <c r="CC336" s="79"/>
      <c r="CD336" s="79"/>
      <c r="CE336" s="79"/>
      <c r="CF336" s="79"/>
      <c r="CG336" s="79"/>
      <c r="CH336" s="79"/>
      <c r="CI336" s="79"/>
      <c r="CJ336" s="79"/>
      <c r="CK336" s="79"/>
      <c r="CL336" s="79"/>
      <c r="CM336" s="79"/>
      <c r="CN336" s="79"/>
      <c r="CO336" s="79"/>
      <c r="CP336" s="79"/>
      <c r="CQ336" s="79"/>
      <c r="CR336" s="79"/>
      <c r="CS336" s="79"/>
      <c r="CT336" s="79"/>
      <c r="CU336" s="79"/>
      <c r="CV336" s="79"/>
      <c r="CW336" s="79"/>
      <c r="CX336" s="85"/>
      <c r="CY336" s="85"/>
      <c r="CZ336" s="85"/>
      <c r="DA336" s="86"/>
      <c r="DB336" s="84"/>
    </row>
    <row r="337" spans="2:106" ht="11.25" customHeight="1">
      <c r="B337" s="78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  <c r="AS337" s="79"/>
      <c r="AT337" s="79"/>
      <c r="AU337" s="79"/>
      <c r="AV337" s="79"/>
      <c r="AW337" s="79"/>
      <c r="AX337" s="79"/>
      <c r="AY337" s="79"/>
      <c r="AZ337" s="79"/>
      <c r="BA337" s="79"/>
      <c r="BB337" s="79"/>
      <c r="BC337" s="79"/>
      <c r="BD337" s="79"/>
      <c r="BE337" s="79"/>
      <c r="BF337" s="79"/>
      <c r="BG337" s="79"/>
      <c r="BH337" s="79"/>
      <c r="BI337" s="79"/>
      <c r="BJ337" s="79"/>
      <c r="BK337" s="79"/>
      <c r="BL337" s="79"/>
      <c r="BM337" s="79"/>
      <c r="BN337" s="79"/>
      <c r="BO337" s="79"/>
      <c r="BP337" s="79"/>
      <c r="BQ337" s="79"/>
      <c r="BR337" s="79"/>
      <c r="BS337" s="79"/>
      <c r="BT337" s="79"/>
      <c r="BU337" s="79"/>
      <c r="BV337" s="79"/>
      <c r="BW337" s="79"/>
      <c r="BX337" s="79"/>
      <c r="BY337" s="79"/>
      <c r="BZ337" s="79"/>
      <c r="CA337" s="79"/>
      <c r="CB337" s="79"/>
      <c r="CC337" s="79"/>
      <c r="CD337" s="79"/>
      <c r="CE337" s="79"/>
      <c r="CF337" s="79"/>
      <c r="CG337" s="79"/>
      <c r="CH337" s="79"/>
      <c r="CI337" s="79"/>
      <c r="CJ337" s="79"/>
      <c r="CK337" s="79"/>
      <c r="CL337" s="79"/>
      <c r="CM337" s="79"/>
      <c r="CN337" s="79"/>
      <c r="CO337" s="79"/>
      <c r="CP337" s="79"/>
      <c r="CQ337" s="79"/>
      <c r="CR337" s="79"/>
      <c r="CS337" s="79"/>
      <c r="CT337" s="79"/>
      <c r="CU337" s="79"/>
      <c r="CV337" s="79"/>
      <c r="CW337" s="79"/>
      <c r="CX337" s="85"/>
      <c r="CY337" s="85"/>
      <c r="CZ337" s="85"/>
      <c r="DA337" s="86"/>
      <c r="DB337" s="84"/>
    </row>
    <row r="338" spans="2:106" ht="11.25" customHeight="1">
      <c r="B338" s="78"/>
      <c r="C338" s="79"/>
      <c r="D338" s="79"/>
      <c r="E338" s="79"/>
      <c r="F338" s="79"/>
      <c r="G338" s="79" t="s">
        <v>305</v>
      </c>
      <c r="H338" s="79"/>
      <c r="I338" s="79"/>
      <c r="J338" s="79"/>
      <c r="K338" s="79" t="s">
        <v>436</v>
      </c>
      <c r="L338" s="79"/>
      <c r="M338" s="79"/>
      <c r="N338" s="79" t="s">
        <v>604</v>
      </c>
      <c r="O338" s="79"/>
      <c r="P338" s="79" t="str">
        <f>TEXT(TRUNC(BO326+BO328+CC330+AT332+BI334+BK336,1),"#,##0.#######")</f>
        <v>144,204.</v>
      </c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  <c r="AP338" s="79"/>
      <c r="AQ338" s="79"/>
      <c r="AR338" s="79"/>
      <c r="AS338" s="79"/>
      <c r="AT338" s="79"/>
      <c r="AU338" s="79"/>
      <c r="AV338" s="79"/>
      <c r="AW338" s="79"/>
      <c r="AX338" s="79"/>
      <c r="AY338" s="79"/>
      <c r="AZ338" s="79"/>
      <c r="BA338" s="79"/>
      <c r="BB338" s="79"/>
      <c r="BC338" s="79"/>
      <c r="BD338" s="79"/>
      <c r="BE338" s="79"/>
      <c r="BF338" s="79"/>
      <c r="BG338" s="79"/>
      <c r="BH338" s="79"/>
      <c r="BI338" s="79"/>
      <c r="BJ338" s="79"/>
      <c r="BK338" s="79"/>
      <c r="BL338" s="79"/>
      <c r="BM338" s="79"/>
      <c r="BN338" s="79"/>
      <c r="BO338" s="79"/>
      <c r="BP338" s="79"/>
      <c r="BQ338" s="79"/>
      <c r="BR338" s="79"/>
      <c r="BS338" s="79"/>
      <c r="BT338" s="79"/>
      <c r="BU338" s="79"/>
      <c r="BV338" s="79"/>
      <c r="BW338" s="79"/>
      <c r="BX338" s="79"/>
      <c r="BY338" s="79"/>
      <c r="BZ338" s="79"/>
      <c r="CA338" s="79"/>
      <c r="CB338" s="79"/>
      <c r="CC338" s="79"/>
      <c r="CD338" s="79"/>
      <c r="CE338" s="79"/>
      <c r="CF338" s="79"/>
      <c r="CG338" s="79"/>
      <c r="CH338" s="79"/>
      <c r="CI338" s="79"/>
      <c r="CJ338" s="79"/>
      <c r="CK338" s="79"/>
      <c r="CL338" s="79"/>
      <c r="CM338" s="79"/>
      <c r="CN338" s="79"/>
      <c r="CO338" s="79"/>
      <c r="CP338" s="79"/>
      <c r="CQ338" s="79"/>
      <c r="CR338" s="79"/>
      <c r="CS338" s="79"/>
      <c r="CT338" s="79"/>
      <c r="CU338" s="79"/>
      <c r="CV338" s="79"/>
      <c r="CW338" s="79"/>
      <c r="CX338" s="85"/>
      <c r="CY338" s="85"/>
      <c r="CZ338" s="85"/>
      <c r="DA338" s="86"/>
      <c r="DB338" s="84"/>
    </row>
    <row r="339" spans="2:106" ht="11.25" customHeight="1">
      <c r="B339" s="78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/>
      <c r="AT339" s="79"/>
      <c r="AU339" s="79"/>
      <c r="AV339" s="79"/>
      <c r="AW339" s="79"/>
      <c r="AX339" s="79"/>
      <c r="AY339" s="79"/>
      <c r="AZ339" s="79"/>
      <c r="BA339" s="79"/>
      <c r="BB339" s="79"/>
      <c r="BC339" s="79"/>
      <c r="BD339" s="79"/>
      <c r="BE339" s="79"/>
      <c r="BF339" s="79"/>
      <c r="BG339" s="79"/>
      <c r="BH339" s="79"/>
      <c r="BI339" s="79"/>
      <c r="BJ339" s="79"/>
      <c r="BK339" s="79"/>
      <c r="BL339" s="79"/>
      <c r="BM339" s="79"/>
      <c r="BN339" s="79"/>
      <c r="BO339" s="79"/>
      <c r="BP339" s="79"/>
      <c r="BQ339" s="79"/>
      <c r="BR339" s="79"/>
      <c r="BS339" s="79"/>
      <c r="BT339" s="79"/>
      <c r="BU339" s="79"/>
      <c r="BV339" s="79"/>
      <c r="BW339" s="79"/>
      <c r="BX339" s="79"/>
      <c r="BY339" s="79"/>
      <c r="BZ339" s="79"/>
      <c r="CA339" s="79"/>
      <c r="CB339" s="79"/>
      <c r="CC339" s="79"/>
      <c r="CD339" s="79"/>
      <c r="CE339" s="79"/>
      <c r="CF339" s="79"/>
      <c r="CG339" s="79"/>
      <c r="CH339" s="79"/>
      <c r="CI339" s="79"/>
      <c r="CJ339" s="79"/>
      <c r="CK339" s="79"/>
      <c r="CL339" s="79"/>
      <c r="CM339" s="79"/>
      <c r="CN339" s="79"/>
      <c r="CO339" s="79"/>
      <c r="CP339" s="79"/>
      <c r="CQ339" s="79"/>
      <c r="CR339" s="79"/>
      <c r="CS339" s="79"/>
      <c r="CT339" s="79"/>
      <c r="CU339" s="79"/>
      <c r="CV339" s="79"/>
      <c r="CW339" s="79"/>
      <c r="CX339" s="85"/>
      <c r="CY339" s="85"/>
      <c r="CZ339" s="85"/>
      <c r="DA339" s="86"/>
      <c r="DB339" s="84"/>
    </row>
    <row r="340" spans="2:106" ht="11.25" customHeight="1">
      <c r="B340" s="78"/>
      <c r="C340" s="79"/>
      <c r="D340" s="79"/>
      <c r="E340" s="79"/>
      <c r="F340" s="79"/>
      <c r="G340" s="79" t="s">
        <v>485</v>
      </c>
      <c r="H340" s="79"/>
      <c r="I340" s="79"/>
      <c r="J340" s="79"/>
      <c r="K340" s="79"/>
      <c r="L340" s="79"/>
      <c r="M340" s="79" t="s">
        <v>431</v>
      </c>
      <c r="N340" s="79" t="s">
        <v>370</v>
      </c>
      <c r="O340" s="79"/>
      <c r="P340" s="79"/>
      <c r="Q340" s="79"/>
      <c r="R340" s="79"/>
      <c r="S340" s="79"/>
      <c r="T340" s="79"/>
      <c r="U340" s="79"/>
      <c r="V340" s="79"/>
      <c r="W340" s="79" t="s">
        <v>253</v>
      </c>
      <c r="X340" s="79" t="s">
        <v>157</v>
      </c>
      <c r="Y340" s="79" t="s">
        <v>89</v>
      </c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79"/>
      <c r="AS340" s="79"/>
      <c r="AT340" s="79"/>
      <c r="AU340" s="79"/>
      <c r="AV340" s="79"/>
      <c r="AW340" s="79"/>
      <c r="AX340" s="79"/>
      <c r="AY340" s="79"/>
      <c r="AZ340" s="79"/>
      <c r="BA340" s="79"/>
      <c r="BB340" s="79"/>
      <c r="BC340" s="79"/>
      <c r="BD340" s="79"/>
      <c r="BE340" s="79"/>
      <c r="BF340" s="79"/>
      <c r="BG340" s="79"/>
      <c r="BH340" s="79"/>
      <c r="BI340" s="79"/>
      <c r="BJ340" s="79"/>
      <c r="BK340" s="79"/>
      <c r="BL340" s="79"/>
      <c r="BM340" s="79"/>
      <c r="BN340" s="79"/>
      <c r="BO340" s="79"/>
      <c r="BP340" s="79"/>
      <c r="BQ340" s="79"/>
      <c r="BR340" s="79"/>
      <c r="BS340" s="79"/>
      <c r="BT340" s="79"/>
      <c r="BU340" s="79"/>
      <c r="BV340" s="79"/>
      <c r="BW340" s="79"/>
      <c r="BX340" s="79"/>
      <c r="BY340" s="79"/>
      <c r="BZ340" s="79"/>
      <c r="CA340" s="79"/>
      <c r="CB340" s="79"/>
      <c r="CC340" s="79"/>
      <c r="CD340" s="79"/>
      <c r="CE340" s="79"/>
      <c r="CF340" s="79"/>
      <c r="CG340" s="79"/>
      <c r="CH340" s="79"/>
      <c r="CI340" s="79"/>
      <c r="CJ340" s="79"/>
      <c r="CK340" s="79"/>
      <c r="CL340" s="79"/>
      <c r="CM340" s="79"/>
      <c r="CN340" s="79"/>
      <c r="CO340" s="79"/>
      <c r="CP340" s="79"/>
      <c r="CQ340" s="79"/>
      <c r="CR340" s="79"/>
      <c r="CS340" s="79"/>
      <c r="CT340" s="79"/>
      <c r="CU340" s="79"/>
      <c r="CV340" s="79"/>
      <c r="CW340" s="79"/>
      <c r="CX340" s="85"/>
      <c r="CY340" s="85"/>
      <c r="CZ340" s="85"/>
      <c r="DA340" s="86"/>
      <c r="DB340" s="84"/>
    </row>
    <row r="341" spans="2:106" ht="11.25" customHeight="1">
      <c r="B341" s="78"/>
      <c r="C341" s="79"/>
      <c r="D341" s="79"/>
      <c r="E341" s="79"/>
      <c r="F341" s="79"/>
      <c r="G341" s="79"/>
      <c r="H341" s="79"/>
      <c r="I341" s="79"/>
      <c r="J341" s="79" t="str">
        <f>P338</f>
        <v>144,204.</v>
      </c>
      <c r="K341" s="79"/>
      <c r="L341" s="79"/>
      <c r="M341" s="79"/>
      <c r="N341" s="79"/>
      <c r="O341" s="79"/>
      <c r="P341" s="79"/>
      <c r="Q341" s="79"/>
      <c r="R341" s="79"/>
      <c r="S341" s="79"/>
      <c r="T341" s="79" t="s">
        <v>699</v>
      </c>
      <c r="U341" s="79"/>
      <c r="V341" s="79"/>
      <c r="W341" s="79" t="str">
        <f>TEXT(5,"#,##0.#######")</f>
        <v>5.</v>
      </c>
      <c r="X341" s="79" t="s">
        <v>157</v>
      </c>
      <c r="Y341" s="79"/>
      <c r="Z341" s="79" t="s">
        <v>309</v>
      </c>
      <c r="AA341" s="79"/>
      <c r="AB341" s="79" t="str">
        <f>TEXT(TRUNC(P338*(W341*(1/100)),1),"#,##0.#")</f>
        <v>7,210.2</v>
      </c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  <c r="AS341" s="79"/>
      <c r="AT341" s="79"/>
      <c r="AU341" s="79"/>
      <c r="AV341" s="79"/>
      <c r="AW341" s="79"/>
      <c r="AX341" s="79"/>
      <c r="AY341" s="79"/>
      <c r="AZ341" s="79"/>
      <c r="BA341" s="79"/>
      <c r="BB341" s="79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  <c r="BM341" s="79"/>
      <c r="BN341" s="79"/>
      <c r="BO341" s="79"/>
      <c r="BP341" s="79"/>
      <c r="BQ341" s="79"/>
      <c r="BR341" s="79"/>
      <c r="BS341" s="79"/>
      <c r="BT341" s="79"/>
      <c r="BU341" s="79"/>
      <c r="BV341" s="79"/>
      <c r="BW341" s="79"/>
      <c r="BX341" s="79"/>
      <c r="BY341" s="79"/>
      <c r="BZ341" s="79"/>
      <c r="CA341" s="79"/>
      <c r="CB341" s="79"/>
      <c r="CC341" s="79"/>
      <c r="CD341" s="79"/>
      <c r="CE341" s="79"/>
      <c r="CF341" s="79"/>
      <c r="CG341" s="79"/>
      <c r="CH341" s="79"/>
      <c r="CI341" s="79"/>
      <c r="CJ341" s="79"/>
      <c r="CK341" s="79"/>
      <c r="CL341" s="79"/>
      <c r="CM341" s="79"/>
      <c r="CN341" s="79"/>
      <c r="CO341" s="79"/>
      <c r="CP341" s="79"/>
      <c r="CQ341" s="79"/>
      <c r="CR341" s="79"/>
      <c r="CS341" s="79"/>
      <c r="CT341" s="79"/>
      <c r="CU341" s="79"/>
      <c r="CV341" s="79"/>
      <c r="CW341" s="79"/>
      <c r="CX341" s="85"/>
      <c r="CY341" s="85"/>
      <c r="CZ341" s="85"/>
      <c r="DA341" s="86"/>
      <c r="DB341" s="84"/>
    </row>
    <row r="342" spans="2:106" ht="11.25" customHeight="1">
      <c r="B342" s="78"/>
      <c r="C342" s="79"/>
      <c r="D342" s="79"/>
      <c r="E342" s="79"/>
      <c r="F342" s="79"/>
      <c r="G342" s="79"/>
      <c r="H342" s="79"/>
      <c r="I342" s="79"/>
      <c r="J342" s="79" t="s">
        <v>305</v>
      </c>
      <c r="K342" s="79"/>
      <c r="L342" s="79"/>
      <c r="M342" s="79"/>
      <c r="N342" s="79" t="s">
        <v>436</v>
      </c>
      <c r="O342" s="79"/>
      <c r="P342" s="79"/>
      <c r="Q342" s="79" t="s">
        <v>604</v>
      </c>
      <c r="R342" s="79"/>
      <c r="S342" s="79" t="str">
        <f>TEXT(P338+AB341,"#,##0.#######")</f>
        <v>151,414.2</v>
      </c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  <c r="AP342" s="79"/>
      <c r="AQ342" s="79"/>
      <c r="AR342" s="79"/>
      <c r="AS342" s="79"/>
      <c r="AT342" s="79"/>
      <c r="AU342" s="79"/>
      <c r="AV342" s="79"/>
      <c r="AW342" s="79"/>
      <c r="AX342" s="79"/>
      <c r="AY342" s="79"/>
      <c r="AZ342" s="79"/>
      <c r="BA342" s="79"/>
      <c r="BB342" s="79"/>
      <c r="BC342" s="79"/>
      <c r="BD342" s="79"/>
      <c r="BE342" s="79"/>
      <c r="BF342" s="79"/>
      <c r="BG342" s="79"/>
      <c r="BH342" s="79"/>
      <c r="BI342" s="79"/>
      <c r="BJ342" s="79"/>
      <c r="BK342" s="79"/>
      <c r="BL342" s="79"/>
      <c r="BM342" s="79"/>
      <c r="BN342" s="79"/>
      <c r="BO342" s="79"/>
      <c r="BP342" s="79"/>
      <c r="BQ342" s="79"/>
      <c r="BR342" s="79"/>
      <c r="BS342" s="79"/>
      <c r="BT342" s="79"/>
      <c r="BU342" s="79"/>
      <c r="BV342" s="79"/>
      <c r="BW342" s="79"/>
      <c r="BX342" s="79"/>
      <c r="BY342" s="79"/>
      <c r="BZ342" s="79"/>
      <c r="CA342" s="79"/>
      <c r="CB342" s="79"/>
      <c r="CC342" s="79"/>
      <c r="CD342" s="79"/>
      <c r="CE342" s="79"/>
      <c r="CF342" s="79"/>
      <c r="CG342" s="79"/>
      <c r="CH342" s="79"/>
      <c r="CI342" s="79"/>
      <c r="CJ342" s="79"/>
      <c r="CK342" s="79"/>
      <c r="CL342" s="79"/>
      <c r="CM342" s="79"/>
      <c r="CN342" s="79"/>
      <c r="CO342" s="79"/>
      <c r="CP342" s="79"/>
      <c r="CQ342" s="79"/>
      <c r="CR342" s="79"/>
      <c r="CS342" s="79"/>
      <c r="CT342" s="79"/>
      <c r="CU342" s="79"/>
      <c r="CV342" s="79"/>
      <c r="CW342" s="79"/>
      <c r="CX342" s="85">
        <f>CY342+CZ342+DA342</f>
        <v>151414.20000000001</v>
      </c>
      <c r="CY342" s="85"/>
      <c r="CZ342" s="85" t="str">
        <f>TEXT(P338,"#,###.0")</f>
        <v>144,204.0</v>
      </c>
      <c r="DA342" s="86" t="str">
        <f>TEXT(AB341,"#,###.0")</f>
        <v>7,210.2</v>
      </c>
      <c r="DB342" s="84"/>
    </row>
    <row r="343" spans="2:106" ht="11.25" customHeight="1">
      <c r="B343" s="78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/>
      <c r="AT343" s="79"/>
      <c r="AU343" s="79"/>
      <c r="AV343" s="79"/>
      <c r="AW343" s="79"/>
      <c r="AX343" s="79"/>
      <c r="AY343" s="79"/>
      <c r="AZ343" s="79"/>
      <c r="BA343" s="79"/>
      <c r="BB343" s="79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  <c r="BM343" s="79"/>
      <c r="BN343" s="79"/>
      <c r="BO343" s="79"/>
      <c r="BP343" s="79"/>
      <c r="BQ343" s="79"/>
      <c r="BR343" s="79"/>
      <c r="BS343" s="79"/>
      <c r="BT343" s="79"/>
      <c r="BU343" s="79"/>
      <c r="BV343" s="79"/>
      <c r="BW343" s="79"/>
      <c r="BX343" s="79"/>
      <c r="BY343" s="79"/>
      <c r="BZ343" s="79"/>
      <c r="CA343" s="79"/>
      <c r="CB343" s="79"/>
      <c r="CC343" s="79"/>
      <c r="CD343" s="79"/>
      <c r="CE343" s="79"/>
      <c r="CF343" s="79"/>
      <c r="CG343" s="79"/>
      <c r="CH343" s="79"/>
      <c r="CI343" s="79"/>
      <c r="CJ343" s="79"/>
      <c r="CK343" s="79"/>
      <c r="CL343" s="79"/>
      <c r="CM343" s="79"/>
      <c r="CN343" s="79"/>
      <c r="CO343" s="79"/>
      <c r="CP343" s="79"/>
      <c r="CQ343" s="79"/>
      <c r="CR343" s="79"/>
      <c r="CS343" s="79"/>
      <c r="CT343" s="79"/>
      <c r="CU343" s="79"/>
      <c r="CV343" s="79"/>
      <c r="CW343" s="79"/>
      <c r="CX343" s="85"/>
      <c r="CY343" s="85"/>
      <c r="CZ343" s="85"/>
      <c r="DA343" s="86"/>
      <c r="DB343" s="84"/>
    </row>
    <row r="344" spans="2:106" ht="11.25" customHeight="1">
      <c r="B344" s="78"/>
      <c r="C344" s="79"/>
      <c r="D344" s="79" t="s">
        <v>389</v>
      </c>
      <c r="E344" s="79"/>
      <c r="F344" s="79"/>
      <c r="G344" s="79" t="s">
        <v>339</v>
      </c>
      <c r="H344" s="79"/>
      <c r="I344" s="79"/>
      <c r="J344" s="79"/>
      <c r="K344" s="79"/>
      <c r="L344" s="79"/>
      <c r="M344" s="79"/>
      <c r="N344" s="79" t="s">
        <v>23</v>
      </c>
      <c r="O344" s="79"/>
      <c r="P344" s="79" t="s">
        <v>782</v>
      </c>
      <c r="Q344" s="79" t="s">
        <v>767</v>
      </c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  <c r="AQ344" s="79"/>
      <c r="AR344" s="79"/>
      <c r="AS344" s="79"/>
      <c r="AT344" s="79"/>
      <c r="AU344" s="79"/>
      <c r="AV344" s="79"/>
      <c r="AW344" s="79"/>
      <c r="AX344" s="79"/>
      <c r="AY344" s="79"/>
      <c r="AZ344" s="79"/>
      <c r="BA344" s="79"/>
      <c r="BB344" s="79"/>
      <c r="BC344" s="79"/>
      <c r="BD344" s="79"/>
      <c r="BE344" s="79"/>
      <c r="BF344" s="79"/>
      <c r="BG344" s="79"/>
      <c r="BH344" s="79"/>
      <c r="BI344" s="79"/>
      <c r="BJ344" s="79"/>
      <c r="BK344" s="79"/>
      <c r="BL344" s="79"/>
      <c r="BM344" s="79"/>
      <c r="BN344" s="79"/>
      <c r="BO344" s="79"/>
      <c r="BP344" s="79"/>
      <c r="BQ344" s="79"/>
      <c r="BR344" s="79"/>
      <c r="BS344" s="79"/>
      <c r="BT344" s="79"/>
      <c r="BU344" s="79"/>
      <c r="BV344" s="79"/>
      <c r="BW344" s="79"/>
      <c r="BX344" s="79"/>
      <c r="BY344" s="79"/>
      <c r="BZ344" s="79"/>
      <c r="CA344" s="79"/>
      <c r="CB344" s="79"/>
      <c r="CC344" s="79"/>
      <c r="CD344" s="79"/>
      <c r="CE344" s="79"/>
      <c r="CF344" s="79"/>
      <c r="CG344" s="79"/>
      <c r="CH344" s="79"/>
      <c r="CI344" s="79"/>
      <c r="CJ344" s="79"/>
      <c r="CK344" s="79"/>
      <c r="CL344" s="79"/>
      <c r="CM344" s="79"/>
      <c r="CN344" s="79"/>
      <c r="CO344" s="79"/>
      <c r="CP344" s="79"/>
      <c r="CQ344" s="79"/>
      <c r="CR344" s="79"/>
      <c r="CS344" s="79"/>
      <c r="CT344" s="79"/>
      <c r="CU344" s="79"/>
      <c r="CV344" s="79"/>
      <c r="CW344" s="79"/>
      <c r="CX344" s="85"/>
      <c r="CY344" s="85"/>
      <c r="CZ344" s="85"/>
      <c r="DA344" s="86"/>
      <c r="DB344" s="84"/>
    </row>
    <row r="345" spans="2:106" ht="11.25" customHeight="1">
      <c r="B345" s="78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79"/>
      <c r="AW345" s="79"/>
      <c r="AX345" s="79"/>
      <c r="AY345" s="79"/>
      <c r="AZ345" s="79"/>
      <c r="BA345" s="79"/>
      <c r="BB345" s="79"/>
      <c r="BC345" s="79"/>
      <c r="BD345" s="79"/>
      <c r="BE345" s="79"/>
      <c r="BF345" s="79"/>
      <c r="BG345" s="79"/>
      <c r="BH345" s="79"/>
      <c r="BI345" s="79"/>
      <c r="BJ345" s="79"/>
      <c r="BK345" s="79"/>
      <c r="BL345" s="79"/>
      <c r="BM345" s="79"/>
      <c r="BN345" s="79"/>
      <c r="BO345" s="79"/>
      <c r="BP345" s="79"/>
      <c r="BQ345" s="79"/>
      <c r="BR345" s="79"/>
      <c r="BS345" s="79"/>
      <c r="BT345" s="79"/>
      <c r="BU345" s="79"/>
      <c r="BV345" s="79"/>
      <c r="BW345" s="79"/>
      <c r="BX345" s="79"/>
      <c r="BY345" s="79"/>
      <c r="BZ345" s="79"/>
      <c r="CA345" s="79"/>
      <c r="CB345" s="79"/>
      <c r="CC345" s="79"/>
      <c r="CD345" s="79"/>
      <c r="CE345" s="79"/>
      <c r="CF345" s="79"/>
      <c r="CG345" s="79"/>
      <c r="CH345" s="79"/>
      <c r="CI345" s="79"/>
      <c r="CJ345" s="79"/>
      <c r="CK345" s="79"/>
      <c r="CL345" s="79"/>
      <c r="CM345" s="79"/>
      <c r="CN345" s="79"/>
      <c r="CO345" s="79"/>
      <c r="CP345" s="79"/>
      <c r="CQ345" s="79"/>
      <c r="CR345" s="79"/>
      <c r="CS345" s="79"/>
      <c r="CT345" s="79"/>
      <c r="CU345" s="79"/>
      <c r="CV345" s="79"/>
      <c r="CW345" s="79"/>
      <c r="CX345" s="85"/>
      <c r="CY345" s="85"/>
      <c r="CZ345" s="85"/>
      <c r="DA345" s="86"/>
      <c r="DB345" s="84"/>
    </row>
    <row r="346" spans="2:106" ht="11.25" customHeight="1">
      <c r="B346" s="78"/>
      <c r="C346" s="79"/>
      <c r="D346" s="79"/>
      <c r="E346" s="79"/>
      <c r="F346" s="79"/>
      <c r="G346" s="79" t="s">
        <v>54</v>
      </c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 t="s">
        <v>604</v>
      </c>
      <c r="S346" s="79"/>
      <c r="T346" s="79" t="str">
        <f>TEXT(노임단가!F5,"#,##0")</f>
        <v>172,068</v>
      </c>
      <c r="U346" s="79"/>
      <c r="V346" s="79"/>
      <c r="W346" s="79"/>
      <c r="X346" s="79"/>
      <c r="Y346" s="79"/>
      <c r="Z346" s="79"/>
      <c r="AA346" s="79"/>
      <c r="AB346" s="79"/>
      <c r="AC346" s="79"/>
      <c r="AD346" s="79" t="s">
        <v>699</v>
      </c>
      <c r="AE346" s="79"/>
      <c r="AF346" s="79"/>
      <c r="AG346" s="79" t="str">
        <f>TEXT(2,"#,##0.#######")</f>
        <v>2.</v>
      </c>
      <c r="AH346" s="79" t="s">
        <v>767</v>
      </c>
      <c r="AI346" s="79"/>
      <c r="AJ346" s="79"/>
      <c r="AK346" s="79" t="s">
        <v>699</v>
      </c>
      <c r="AL346" s="79"/>
      <c r="AM346" s="79"/>
      <c r="AN346" s="79" t="str">
        <f>TEXT(1,"#,##0.#######")</f>
        <v>1.</v>
      </c>
      <c r="AO346" s="79" t="s">
        <v>748</v>
      </c>
      <c r="AP346" s="79"/>
      <c r="AQ346" s="79"/>
      <c r="AR346" s="79" t="s">
        <v>309</v>
      </c>
      <c r="AS346" s="79"/>
      <c r="AT346" s="79" t="str">
        <f>TEXT(TRUNC(T346*AG346*AN346,1),"#,##0.#")</f>
        <v>344,136.</v>
      </c>
      <c r="AU346" s="79"/>
      <c r="AV346" s="79"/>
      <c r="AW346" s="79"/>
      <c r="AX346" s="79"/>
      <c r="AY346" s="79"/>
      <c r="AZ346" s="79"/>
      <c r="BA346" s="79"/>
      <c r="BB346" s="79"/>
      <c r="BC346" s="79"/>
      <c r="BD346" s="79"/>
      <c r="BE346" s="79"/>
      <c r="BF346" s="79"/>
      <c r="BG346" s="79"/>
      <c r="BH346" s="79"/>
      <c r="BI346" s="79"/>
      <c r="BJ346" s="79"/>
      <c r="BK346" s="79"/>
      <c r="BL346" s="79"/>
      <c r="BM346" s="79"/>
      <c r="BN346" s="79"/>
      <c r="BO346" s="79"/>
      <c r="BP346" s="79"/>
      <c r="BQ346" s="79"/>
      <c r="BR346" s="79"/>
      <c r="BS346" s="79"/>
      <c r="BT346" s="79"/>
      <c r="BU346" s="79"/>
      <c r="BV346" s="79"/>
      <c r="BW346" s="79"/>
      <c r="BX346" s="79"/>
      <c r="BY346" s="79"/>
      <c r="BZ346" s="79"/>
      <c r="CA346" s="79"/>
      <c r="CB346" s="79"/>
      <c r="CC346" s="79"/>
      <c r="CD346" s="79"/>
      <c r="CE346" s="79"/>
      <c r="CF346" s="79"/>
      <c r="CG346" s="79"/>
      <c r="CH346" s="79"/>
      <c r="CI346" s="79"/>
      <c r="CJ346" s="79"/>
      <c r="CK346" s="79"/>
      <c r="CL346" s="79"/>
      <c r="CM346" s="79"/>
      <c r="CN346" s="79"/>
      <c r="CO346" s="79"/>
      <c r="CP346" s="79"/>
      <c r="CQ346" s="79"/>
      <c r="CR346" s="79"/>
      <c r="CS346" s="79"/>
      <c r="CT346" s="79"/>
      <c r="CU346" s="79"/>
      <c r="CV346" s="79"/>
      <c r="CW346" s="79"/>
      <c r="CX346" s="85">
        <f>CY346+CZ346+DA346</f>
        <v>344136</v>
      </c>
      <c r="CY346" s="85" t="str">
        <f>AT346</f>
        <v>344,136.</v>
      </c>
      <c r="CZ346" s="85"/>
      <c r="DA346" s="86"/>
      <c r="DB346" s="84"/>
    </row>
    <row r="347" spans="2:106" ht="11.25" customHeight="1">
      <c r="B347" s="78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/>
      <c r="AU347" s="79"/>
      <c r="AV347" s="79"/>
      <c r="AW347" s="79"/>
      <c r="AX347" s="79"/>
      <c r="AY347" s="79"/>
      <c r="AZ347" s="79"/>
      <c r="BA347" s="79"/>
      <c r="BB347" s="79"/>
      <c r="BC347" s="79"/>
      <c r="BD347" s="79"/>
      <c r="BE347" s="79"/>
      <c r="BF347" s="79"/>
      <c r="BG347" s="79"/>
      <c r="BH347" s="79"/>
      <c r="BI347" s="79"/>
      <c r="BJ347" s="79"/>
      <c r="BK347" s="79"/>
      <c r="BL347" s="79"/>
      <c r="BM347" s="79"/>
      <c r="BN347" s="79"/>
      <c r="BO347" s="79"/>
      <c r="BP347" s="79"/>
      <c r="BQ347" s="79"/>
      <c r="BR347" s="79"/>
      <c r="BS347" s="79"/>
      <c r="BT347" s="79"/>
      <c r="BU347" s="79"/>
      <c r="BV347" s="79"/>
      <c r="BW347" s="79"/>
      <c r="BX347" s="79"/>
      <c r="BY347" s="79"/>
      <c r="BZ347" s="79"/>
      <c r="CA347" s="79"/>
      <c r="CB347" s="79"/>
      <c r="CC347" s="79"/>
      <c r="CD347" s="79"/>
      <c r="CE347" s="79"/>
      <c r="CF347" s="79"/>
      <c r="CG347" s="79"/>
      <c r="CH347" s="79"/>
      <c r="CI347" s="79"/>
      <c r="CJ347" s="79"/>
      <c r="CK347" s="79"/>
      <c r="CL347" s="79"/>
      <c r="CM347" s="79"/>
      <c r="CN347" s="79"/>
      <c r="CO347" s="79"/>
      <c r="CP347" s="79"/>
      <c r="CQ347" s="79"/>
      <c r="CR347" s="79"/>
      <c r="CS347" s="79"/>
      <c r="CT347" s="79"/>
      <c r="CU347" s="79"/>
      <c r="CV347" s="79"/>
      <c r="CW347" s="79"/>
      <c r="CX347" s="85"/>
      <c r="CY347" s="85"/>
      <c r="CZ347" s="85"/>
      <c r="DA347" s="86"/>
      <c r="DB347" s="84"/>
    </row>
    <row r="348" spans="2:106" ht="11.25" customHeight="1">
      <c r="B348" s="80"/>
      <c r="C348" s="72"/>
      <c r="D348" s="72" t="s">
        <v>575</v>
      </c>
      <c r="E348" s="72"/>
      <c r="F348" s="72"/>
      <c r="G348" s="72" t="s">
        <v>557</v>
      </c>
      <c r="H348" s="72"/>
      <c r="I348" s="72"/>
      <c r="J348" s="72"/>
      <c r="K348" s="72" t="s">
        <v>436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  <c r="BS348" s="72"/>
      <c r="BT348" s="72"/>
      <c r="BU348" s="72"/>
      <c r="BV348" s="72"/>
      <c r="BW348" s="72"/>
      <c r="BX348" s="72"/>
      <c r="BY348" s="72"/>
      <c r="BZ348" s="72"/>
      <c r="CA348" s="72"/>
      <c r="CB348" s="72"/>
      <c r="CC348" s="72"/>
      <c r="CD348" s="72"/>
      <c r="CE348" s="72"/>
      <c r="CF348" s="72"/>
      <c r="CG348" s="72"/>
      <c r="CH348" s="72"/>
      <c r="CI348" s="72"/>
      <c r="CJ348" s="72"/>
      <c r="CK348" s="72"/>
      <c r="CL348" s="72"/>
      <c r="CM348" s="72"/>
      <c r="CN348" s="72"/>
      <c r="CO348" s="72"/>
      <c r="CP348" s="72"/>
      <c r="CQ348" s="72"/>
      <c r="CR348" s="72"/>
      <c r="CS348" s="72"/>
      <c r="CT348" s="72"/>
      <c r="CU348" s="72"/>
      <c r="CV348" s="72"/>
      <c r="CW348" s="72"/>
      <c r="CX348" s="87"/>
      <c r="CY348" s="87"/>
      <c r="CZ348" s="87"/>
      <c r="DA348" s="88"/>
      <c r="DB348" s="84"/>
    </row>
    <row r="349" spans="2:106" ht="11.25" customHeight="1">
      <c r="B349" s="78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  <c r="CH349" s="79"/>
      <c r="CI349" s="79"/>
      <c r="CJ349" s="79"/>
      <c r="CK349" s="79"/>
      <c r="CL349" s="79"/>
      <c r="CM349" s="79"/>
      <c r="CN349" s="79"/>
      <c r="CO349" s="79"/>
      <c r="CP349" s="79"/>
      <c r="CQ349" s="79"/>
      <c r="CR349" s="79"/>
      <c r="CS349" s="79"/>
      <c r="CT349" s="79"/>
      <c r="CU349" s="79"/>
      <c r="CV349" s="79"/>
      <c r="CW349" s="79"/>
      <c r="CX349" s="85"/>
      <c r="CY349" s="85"/>
      <c r="CZ349" s="85"/>
      <c r="DA349" s="86"/>
      <c r="DB349" s="84"/>
    </row>
    <row r="350" spans="2:106" ht="11.25" customHeight="1">
      <c r="B350" s="78"/>
      <c r="C350" s="79"/>
      <c r="D350" s="79"/>
      <c r="E350" s="79"/>
      <c r="F350" s="79"/>
      <c r="G350" s="79"/>
      <c r="H350" s="79" t="s">
        <v>700</v>
      </c>
      <c r="I350" s="79"/>
      <c r="J350" s="79"/>
      <c r="K350" s="79"/>
      <c r="L350" s="79"/>
      <c r="M350" s="79"/>
      <c r="N350" s="79"/>
      <c r="O350" s="79" t="s">
        <v>604</v>
      </c>
      <c r="P350" s="79"/>
      <c r="Q350" s="79" t="str">
        <f>TEXT(CY322,"#,###.##")</f>
        <v>24,889.</v>
      </c>
      <c r="R350" s="79"/>
      <c r="S350" s="79"/>
      <c r="T350" s="79"/>
      <c r="U350" s="79"/>
      <c r="V350" s="79"/>
      <c r="W350" s="79"/>
      <c r="X350" s="79" t="s">
        <v>148</v>
      </c>
      <c r="Y350" s="79"/>
      <c r="Z350" s="79" t="str">
        <f>TEXT(CY346,"#,###.##")</f>
        <v>344,136.</v>
      </c>
      <c r="AA350" s="79"/>
      <c r="AB350" s="79"/>
      <c r="AC350" s="79"/>
      <c r="AD350" s="79"/>
      <c r="AE350" s="79"/>
      <c r="AF350" s="79"/>
      <c r="AG350" s="79"/>
      <c r="AH350" s="79" t="s">
        <v>309</v>
      </c>
      <c r="AI350" s="79"/>
      <c r="AJ350" s="79"/>
      <c r="AK350" s="79" t="str">
        <f>TEXT(TRUNC(CY322+CY346,0),"#,##0")</f>
        <v>369,025</v>
      </c>
      <c r="AL350" s="79"/>
      <c r="AM350" s="79"/>
      <c r="AN350" s="79"/>
      <c r="AO350" s="79"/>
      <c r="AP350" s="79"/>
      <c r="AQ350" s="79"/>
      <c r="AR350" s="79"/>
      <c r="AS350" s="79"/>
      <c r="AT350" s="79"/>
      <c r="AU350" s="79"/>
      <c r="AV350" s="79"/>
      <c r="AW350" s="79"/>
      <c r="AX350" s="79"/>
      <c r="AY350" s="79"/>
      <c r="AZ350" s="79"/>
      <c r="BA350" s="79"/>
      <c r="BB350" s="79"/>
      <c r="BC350" s="79"/>
      <c r="BD350" s="79"/>
      <c r="BE350" s="79"/>
      <c r="BF350" s="79"/>
      <c r="BG350" s="79"/>
      <c r="BH350" s="79"/>
      <c r="BI350" s="79"/>
      <c r="BJ350" s="79"/>
      <c r="BK350" s="79"/>
      <c r="BL350" s="79"/>
      <c r="BM350" s="79"/>
      <c r="BN350" s="79"/>
      <c r="BO350" s="79"/>
      <c r="BP350" s="79"/>
      <c r="BQ350" s="79"/>
      <c r="BR350" s="79"/>
      <c r="BS350" s="79"/>
      <c r="BT350" s="79"/>
      <c r="BU350" s="79"/>
      <c r="BV350" s="79"/>
      <c r="BW350" s="79"/>
      <c r="BX350" s="79"/>
      <c r="BY350" s="79"/>
      <c r="BZ350" s="79"/>
      <c r="CA350" s="79"/>
      <c r="CB350" s="79"/>
      <c r="CC350" s="79"/>
      <c r="CD350" s="79"/>
      <c r="CE350" s="79"/>
      <c r="CF350" s="79"/>
      <c r="CG350" s="79"/>
      <c r="CH350" s="79"/>
      <c r="CI350" s="79"/>
      <c r="CJ350" s="79"/>
      <c r="CK350" s="79"/>
      <c r="CL350" s="79"/>
      <c r="CM350" s="79"/>
      <c r="CN350" s="79"/>
      <c r="CO350" s="79"/>
      <c r="CP350" s="79"/>
      <c r="CQ350" s="79"/>
      <c r="CR350" s="79"/>
      <c r="CS350" s="79"/>
      <c r="CT350" s="79"/>
      <c r="CU350" s="79"/>
      <c r="CV350" s="79"/>
      <c r="CW350" s="79"/>
      <c r="CX350" s="85"/>
      <c r="CY350" s="85"/>
      <c r="CZ350" s="85"/>
      <c r="DA350" s="86"/>
      <c r="DB350" s="84"/>
    </row>
    <row r="351" spans="2:106" ht="11.25" customHeight="1">
      <c r="B351" s="78"/>
      <c r="C351" s="79"/>
      <c r="D351" s="79"/>
      <c r="E351" s="79"/>
      <c r="F351" s="79"/>
      <c r="G351" s="79"/>
      <c r="H351" s="79" t="s">
        <v>498</v>
      </c>
      <c r="I351" s="79"/>
      <c r="J351" s="79"/>
      <c r="K351" s="79"/>
      <c r="L351" s="79"/>
      <c r="M351" s="79"/>
      <c r="N351" s="79"/>
      <c r="O351" s="79" t="s">
        <v>604</v>
      </c>
      <c r="P351" s="79"/>
      <c r="Q351" s="79" t="str">
        <f>TEXT(CZ322,"#,###.##")</f>
        <v>100,384.</v>
      </c>
      <c r="R351" s="79"/>
      <c r="S351" s="79"/>
      <c r="T351" s="79"/>
      <c r="U351" s="79"/>
      <c r="V351" s="79"/>
      <c r="W351" s="79"/>
      <c r="X351" s="79"/>
      <c r="Y351" s="79" t="s">
        <v>148</v>
      </c>
      <c r="Z351" s="79"/>
      <c r="AA351" s="79" t="str">
        <f>TEXT(CZ342,"#,###.##")</f>
        <v>144,204.</v>
      </c>
      <c r="AB351" s="79"/>
      <c r="AC351" s="79"/>
      <c r="AD351" s="79"/>
      <c r="AE351" s="79"/>
      <c r="AF351" s="79"/>
      <c r="AG351" s="79"/>
      <c r="AH351" s="79"/>
      <c r="AI351" s="79" t="s">
        <v>309</v>
      </c>
      <c r="AJ351" s="79"/>
      <c r="AK351" s="79"/>
      <c r="AL351" s="79" t="str">
        <f>TEXT(TRUNC(CZ322+CZ342,0),"#,##0")</f>
        <v>244,588</v>
      </c>
      <c r="AM351" s="79"/>
      <c r="AN351" s="79"/>
      <c r="AO351" s="79"/>
      <c r="AP351" s="79"/>
      <c r="AQ351" s="79"/>
      <c r="AR351" s="79"/>
      <c r="AS351" s="79"/>
      <c r="AT351" s="79"/>
      <c r="AU351" s="79"/>
      <c r="AV351" s="79"/>
      <c r="AW351" s="79"/>
      <c r="AX351" s="79"/>
      <c r="AY351" s="79"/>
      <c r="AZ351" s="79"/>
      <c r="BA351" s="79"/>
      <c r="BB351" s="79"/>
      <c r="BC351" s="79"/>
      <c r="BD351" s="79"/>
      <c r="BE351" s="79"/>
      <c r="BF351" s="79"/>
      <c r="BG351" s="79"/>
      <c r="BH351" s="79"/>
      <c r="BI351" s="79"/>
      <c r="BJ351" s="79"/>
      <c r="BK351" s="79"/>
      <c r="BL351" s="79"/>
      <c r="BM351" s="79"/>
      <c r="BN351" s="79"/>
      <c r="BO351" s="79"/>
      <c r="BP351" s="79"/>
      <c r="BQ351" s="79"/>
      <c r="BR351" s="79"/>
      <c r="BS351" s="79"/>
      <c r="BT351" s="79"/>
      <c r="BU351" s="79"/>
      <c r="BV351" s="79"/>
      <c r="BW351" s="79"/>
      <c r="BX351" s="79"/>
      <c r="BY351" s="79"/>
      <c r="BZ351" s="79"/>
      <c r="CA351" s="79"/>
      <c r="CB351" s="79"/>
      <c r="CC351" s="79"/>
      <c r="CD351" s="79"/>
      <c r="CE351" s="79"/>
      <c r="CF351" s="79"/>
      <c r="CG351" s="79"/>
      <c r="CH351" s="79"/>
      <c r="CI351" s="79"/>
      <c r="CJ351" s="79"/>
      <c r="CK351" s="79"/>
      <c r="CL351" s="79"/>
      <c r="CM351" s="79"/>
      <c r="CN351" s="79"/>
      <c r="CO351" s="79"/>
      <c r="CP351" s="79"/>
      <c r="CQ351" s="79"/>
      <c r="CR351" s="79"/>
      <c r="CS351" s="79"/>
      <c r="CT351" s="79"/>
      <c r="CU351" s="79"/>
      <c r="CV351" s="79"/>
      <c r="CW351" s="79"/>
      <c r="CX351" s="85"/>
      <c r="CY351" s="85"/>
      <c r="CZ351" s="85"/>
      <c r="DA351" s="86"/>
      <c r="DB351" s="84"/>
    </row>
    <row r="352" spans="2:106" ht="11.25" customHeight="1">
      <c r="B352" s="78"/>
      <c r="C352" s="79"/>
      <c r="D352" s="79"/>
      <c r="E352" s="79"/>
      <c r="F352" s="79"/>
      <c r="G352" s="79"/>
      <c r="H352" s="79" t="s">
        <v>160</v>
      </c>
      <c r="I352" s="79"/>
      <c r="J352" s="79"/>
      <c r="K352" s="79"/>
      <c r="L352" s="79" t="s">
        <v>440</v>
      </c>
      <c r="M352" s="79"/>
      <c r="N352" s="79"/>
      <c r="O352" s="79" t="s">
        <v>604</v>
      </c>
      <c r="P352" s="79"/>
      <c r="Q352" s="79" t="str">
        <f>TEXT(DA322,"#,###.##")</f>
        <v>168,624.</v>
      </c>
      <c r="R352" s="79"/>
      <c r="S352" s="79"/>
      <c r="T352" s="79"/>
      <c r="U352" s="79"/>
      <c r="V352" s="79"/>
      <c r="W352" s="79"/>
      <c r="X352" s="79"/>
      <c r="Y352" s="79" t="s">
        <v>148</v>
      </c>
      <c r="Z352" s="79"/>
      <c r="AA352" s="79" t="str">
        <f>TEXT(DA342,"#,###.##")</f>
        <v>7,210.2</v>
      </c>
      <c r="AB352" s="79"/>
      <c r="AC352" s="79"/>
      <c r="AD352" s="79"/>
      <c r="AE352" s="79"/>
      <c r="AF352" s="79"/>
      <c r="AG352" s="79"/>
      <c r="AH352" s="79"/>
      <c r="AI352" s="79" t="s">
        <v>309</v>
      </c>
      <c r="AJ352" s="79"/>
      <c r="AK352" s="79"/>
      <c r="AL352" s="79" t="str">
        <f>TEXT(TRUNC(DA322+DA342,0),"#,##0")</f>
        <v>175,834</v>
      </c>
      <c r="AM352" s="79"/>
      <c r="AN352" s="79"/>
      <c r="AO352" s="79"/>
      <c r="AP352" s="79"/>
      <c r="AQ352" s="79"/>
      <c r="AR352" s="79"/>
      <c r="AS352" s="79"/>
      <c r="AT352" s="79"/>
      <c r="AU352" s="79"/>
      <c r="AV352" s="79"/>
      <c r="AW352" s="79"/>
      <c r="AX352" s="79"/>
      <c r="AY352" s="79"/>
      <c r="AZ352" s="79"/>
      <c r="BA352" s="79"/>
      <c r="BB352" s="79"/>
      <c r="BC352" s="79"/>
      <c r="BD352" s="79"/>
      <c r="BE352" s="79"/>
      <c r="BF352" s="79"/>
      <c r="BG352" s="79"/>
      <c r="BH352" s="79"/>
      <c r="BI352" s="79"/>
      <c r="BJ352" s="79"/>
      <c r="BK352" s="79"/>
      <c r="BL352" s="79"/>
      <c r="BM352" s="79"/>
      <c r="BN352" s="79"/>
      <c r="BO352" s="79"/>
      <c r="BP352" s="79"/>
      <c r="BQ352" s="79"/>
      <c r="BR352" s="79"/>
      <c r="BS352" s="79"/>
      <c r="BT352" s="79"/>
      <c r="BU352" s="79"/>
      <c r="BV352" s="79"/>
      <c r="BW352" s="79"/>
      <c r="BX352" s="79"/>
      <c r="BY352" s="79"/>
      <c r="BZ352" s="79"/>
      <c r="CA352" s="79"/>
      <c r="CB352" s="79"/>
      <c r="CC352" s="79"/>
      <c r="CD352" s="79"/>
      <c r="CE352" s="79"/>
      <c r="CF352" s="79"/>
      <c r="CG352" s="79"/>
      <c r="CH352" s="79"/>
      <c r="CI352" s="79"/>
      <c r="CJ352" s="79"/>
      <c r="CK352" s="79"/>
      <c r="CL352" s="79"/>
      <c r="CM352" s="79"/>
      <c r="CN352" s="79"/>
      <c r="CO352" s="79"/>
      <c r="CP352" s="79"/>
      <c r="CQ352" s="79"/>
      <c r="CR352" s="79"/>
      <c r="CS352" s="79"/>
      <c r="CT352" s="79"/>
      <c r="CU352" s="79"/>
      <c r="CV352" s="79"/>
      <c r="CW352" s="79"/>
      <c r="CX352" s="85"/>
      <c r="CY352" s="85"/>
      <c r="CZ352" s="85"/>
      <c r="DA352" s="86"/>
      <c r="DB352" s="84"/>
    </row>
    <row r="353" spans="2:106" ht="11.25" customHeight="1">
      <c r="B353" s="78"/>
      <c r="C353" s="79"/>
      <c r="D353" s="79"/>
      <c r="E353" s="79"/>
      <c r="F353" s="79"/>
      <c r="G353" s="79"/>
      <c r="H353" s="79"/>
      <c r="I353" s="79"/>
      <c r="J353" s="79" t="s">
        <v>436</v>
      </c>
      <c r="K353" s="79"/>
      <c r="L353" s="79"/>
      <c r="M353" s="79"/>
      <c r="N353" s="79"/>
      <c r="O353" s="79" t="s">
        <v>604</v>
      </c>
      <c r="P353" s="79"/>
      <c r="Q353" s="79"/>
      <c r="R353" s="79" t="str">
        <f>TEXT(AK350+AL351+AL352,"#,##0")</f>
        <v>789,447</v>
      </c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  <c r="AS353" s="79"/>
      <c r="AT353" s="79"/>
      <c r="AU353" s="79"/>
      <c r="AV353" s="79"/>
      <c r="AW353" s="79"/>
      <c r="AX353" s="79"/>
      <c r="AY353" s="79"/>
      <c r="AZ353" s="79"/>
      <c r="BA353" s="79"/>
      <c r="BB353" s="79"/>
      <c r="BC353" s="79"/>
      <c r="BD353" s="79"/>
      <c r="BE353" s="79"/>
      <c r="BF353" s="79"/>
      <c r="BG353" s="79"/>
      <c r="BH353" s="79"/>
      <c r="BI353" s="79"/>
      <c r="BJ353" s="79"/>
      <c r="BK353" s="79"/>
      <c r="BL353" s="79"/>
      <c r="BM353" s="79"/>
      <c r="BN353" s="79"/>
      <c r="BO353" s="79"/>
      <c r="BP353" s="79"/>
      <c r="BQ353" s="79"/>
      <c r="BR353" s="79"/>
      <c r="BS353" s="79"/>
      <c r="BT353" s="79"/>
      <c r="BU353" s="79"/>
      <c r="BV353" s="79"/>
      <c r="BW353" s="79"/>
      <c r="BX353" s="79"/>
      <c r="BY353" s="79"/>
      <c r="BZ353" s="79"/>
      <c r="CA353" s="79"/>
      <c r="CB353" s="79"/>
      <c r="CC353" s="79"/>
      <c r="CD353" s="79"/>
      <c r="CE353" s="79"/>
      <c r="CF353" s="79"/>
      <c r="CG353" s="79"/>
      <c r="CH353" s="79"/>
      <c r="CI353" s="79"/>
      <c r="CJ353" s="79"/>
      <c r="CK353" s="79"/>
      <c r="CL353" s="79"/>
      <c r="CM353" s="79"/>
      <c r="CN353" s="79"/>
      <c r="CO353" s="79"/>
      <c r="CP353" s="79"/>
      <c r="CQ353" s="79"/>
      <c r="CR353" s="79"/>
      <c r="CS353" s="79"/>
      <c r="CT353" s="79"/>
      <c r="CU353" s="79"/>
      <c r="CV353" s="79"/>
      <c r="CW353" s="79"/>
      <c r="CX353" s="89">
        <f>CY353+CZ353+DA353</f>
        <v>789447</v>
      </c>
      <c r="CY353" s="85" t="str">
        <f>TEXT(AK350,"#,##0")</f>
        <v>369,025</v>
      </c>
      <c r="CZ353" s="85" t="str">
        <f>TEXT(AL351,"#,##0")</f>
        <v>244,588</v>
      </c>
      <c r="DA353" s="86" t="str">
        <f>TEXT(AL352,"#,##0")</f>
        <v>175,834</v>
      </c>
      <c r="DB353" s="84"/>
    </row>
    <row r="354" spans="2:106" ht="11.25" customHeight="1">
      <c r="B354" s="78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  <c r="AS354" s="79"/>
      <c r="AT354" s="79"/>
      <c r="AU354" s="79"/>
      <c r="AV354" s="79"/>
      <c r="AW354" s="79"/>
      <c r="AX354" s="79"/>
      <c r="AY354" s="79"/>
      <c r="AZ354" s="79"/>
      <c r="BA354" s="79"/>
      <c r="BB354" s="79"/>
      <c r="BC354" s="79"/>
      <c r="BD354" s="79"/>
      <c r="BE354" s="79"/>
      <c r="BF354" s="79"/>
      <c r="BG354" s="79"/>
      <c r="BH354" s="79"/>
      <c r="BI354" s="79"/>
      <c r="BJ354" s="79"/>
      <c r="BK354" s="79"/>
      <c r="BL354" s="79"/>
      <c r="BM354" s="79"/>
      <c r="BN354" s="79"/>
      <c r="BO354" s="79"/>
      <c r="BP354" s="79"/>
      <c r="BQ354" s="79"/>
      <c r="BR354" s="79"/>
      <c r="BS354" s="79"/>
      <c r="BT354" s="79"/>
      <c r="BU354" s="79"/>
      <c r="BV354" s="79"/>
      <c r="BW354" s="79"/>
      <c r="BX354" s="79"/>
      <c r="BY354" s="79"/>
      <c r="BZ354" s="79"/>
      <c r="CA354" s="79"/>
      <c r="CB354" s="79"/>
      <c r="CC354" s="79"/>
      <c r="CD354" s="79"/>
      <c r="CE354" s="79"/>
      <c r="CF354" s="79"/>
      <c r="CG354" s="79"/>
      <c r="CH354" s="79"/>
      <c r="CI354" s="79"/>
      <c r="CJ354" s="79"/>
      <c r="CK354" s="79"/>
      <c r="CL354" s="79"/>
      <c r="CM354" s="79"/>
      <c r="CN354" s="79"/>
      <c r="CO354" s="79"/>
      <c r="CP354" s="79"/>
      <c r="CQ354" s="79"/>
      <c r="CR354" s="79"/>
      <c r="CS354" s="79"/>
      <c r="CT354" s="79"/>
      <c r="CU354" s="79"/>
      <c r="CV354" s="79"/>
      <c r="CW354" s="79"/>
      <c r="CX354" s="85"/>
      <c r="CY354" s="85"/>
      <c r="CZ354" s="85"/>
      <c r="DA354" s="86"/>
      <c r="DB354" s="84"/>
    </row>
    <row r="355" spans="2:106" ht="11.25" customHeight="1">
      <c r="B355" s="81" t="s">
        <v>76</v>
      </c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  <c r="AS355" s="79"/>
      <c r="AT355" s="79"/>
      <c r="AU355" s="79"/>
      <c r="AV355" s="79"/>
      <c r="AW355" s="79"/>
      <c r="AX355" s="79"/>
      <c r="AY355" s="79"/>
      <c r="AZ355" s="79"/>
      <c r="BA355" s="79"/>
      <c r="BB355" s="79"/>
      <c r="BC355" s="79"/>
      <c r="BD355" s="79"/>
      <c r="BE355" s="79"/>
      <c r="BF355" s="79"/>
      <c r="BG355" s="79"/>
      <c r="BH355" s="79"/>
      <c r="BI355" s="79"/>
      <c r="BJ355" s="79"/>
      <c r="BK355" s="79"/>
      <c r="BL355" s="79"/>
      <c r="BM355" s="79"/>
      <c r="BN355" s="79"/>
      <c r="BO355" s="79"/>
      <c r="BP355" s="79"/>
      <c r="BQ355" s="79"/>
      <c r="BR355" s="79"/>
      <c r="BS355" s="79"/>
      <c r="BT355" s="79"/>
      <c r="BU355" s="79"/>
      <c r="BV355" s="79"/>
      <c r="BW355" s="79"/>
      <c r="BX355" s="79"/>
      <c r="BY355" s="79"/>
      <c r="BZ355" s="79"/>
      <c r="CA355" s="79"/>
      <c r="CB355" s="79"/>
      <c r="CC355" s="79"/>
      <c r="CD355" s="79"/>
      <c r="CE355" s="79"/>
      <c r="CF355" s="79"/>
      <c r="CG355" s="79"/>
      <c r="CH355" s="79"/>
      <c r="CI355" s="79"/>
      <c r="CJ355" s="79"/>
      <c r="CK355" s="79"/>
      <c r="CL355" s="79"/>
      <c r="CM355" s="79"/>
      <c r="CN355" s="79"/>
      <c r="CO355" s="79"/>
      <c r="CP355" s="79"/>
      <c r="CQ355" s="79"/>
      <c r="CR355" s="79"/>
      <c r="CS355" s="79"/>
      <c r="CT355" s="79"/>
      <c r="CU355" s="79"/>
      <c r="CV355" s="79"/>
      <c r="CW355" s="79"/>
      <c r="CX355" s="82">
        <f>CX374</f>
        <v>126750</v>
      </c>
      <c r="CY355" s="82" t="str">
        <f>CY374</f>
        <v>42,250</v>
      </c>
      <c r="CZ355" s="82" t="str">
        <f>CZ374</f>
        <v>84,500</v>
      </c>
      <c r="DA355" s="86">
        <f>DA374</f>
        <v>0</v>
      </c>
      <c r="DB355" s="84"/>
    </row>
    <row r="356" spans="2:106" ht="11.25" customHeight="1">
      <c r="B356" s="78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  <c r="AQ356" s="79"/>
      <c r="AR356" s="79"/>
      <c r="AS356" s="79"/>
      <c r="AT356" s="79"/>
      <c r="AU356" s="79"/>
      <c r="AV356" s="79"/>
      <c r="AW356" s="79"/>
      <c r="AX356" s="79"/>
      <c r="AY356" s="79"/>
      <c r="AZ356" s="79"/>
      <c r="BA356" s="79"/>
      <c r="BB356" s="79"/>
      <c r="BC356" s="79"/>
      <c r="BD356" s="79"/>
      <c r="BE356" s="79"/>
      <c r="BF356" s="79"/>
      <c r="BG356" s="79"/>
      <c r="BH356" s="79"/>
      <c r="BI356" s="79"/>
      <c r="BJ356" s="79"/>
      <c r="BK356" s="79"/>
      <c r="BL356" s="79"/>
      <c r="BM356" s="79"/>
      <c r="BN356" s="79"/>
      <c r="BO356" s="79"/>
      <c r="BP356" s="79"/>
      <c r="BQ356" s="79"/>
      <c r="BR356" s="79"/>
      <c r="BS356" s="79"/>
      <c r="BT356" s="79"/>
      <c r="BU356" s="79"/>
      <c r="BV356" s="79"/>
      <c r="BW356" s="79"/>
      <c r="BX356" s="79"/>
      <c r="BY356" s="79"/>
      <c r="BZ356" s="79"/>
      <c r="CA356" s="79"/>
      <c r="CB356" s="79"/>
      <c r="CC356" s="79"/>
      <c r="CD356" s="79"/>
      <c r="CE356" s="79"/>
      <c r="CF356" s="79"/>
      <c r="CG356" s="79"/>
      <c r="CH356" s="79"/>
      <c r="CI356" s="79"/>
      <c r="CJ356" s="79"/>
      <c r="CK356" s="79"/>
      <c r="CL356" s="79"/>
      <c r="CM356" s="79"/>
      <c r="CN356" s="79"/>
      <c r="CO356" s="79"/>
      <c r="CP356" s="79"/>
      <c r="CQ356" s="79"/>
      <c r="CR356" s="79"/>
      <c r="CS356" s="79"/>
      <c r="CT356" s="79"/>
      <c r="CU356" s="79"/>
      <c r="CV356" s="79"/>
      <c r="CW356" s="79"/>
      <c r="CX356" s="85"/>
      <c r="CY356" s="85"/>
      <c r="CZ356" s="85"/>
      <c r="DA356" s="86"/>
      <c r="DB356" s="84"/>
    </row>
    <row r="357" spans="2:106" ht="11.25" customHeight="1">
      <c r="B357" s="78"/>
      <c r="C357" s="79"/>
      <c r="D357" s="79" t="s">
        <v>401</v>
      </c>
      <c r="E357" s="79"/>
      <c r="F357" s="79"/>
      <c r="G357" s="79" t="s">
        <v>421</v>
      </c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  <c r="AS357" s="79"/>
      <c r="AT357" s="79"/>
      <c r="AU357" s="79"/>
      <c r="AV357" s="79"/>
      <c r="AW357" s="79"/>
      <c r="AX357" s="79"/>
      <c r="AY357" s="79"/>
      <c r="AZ357" s="79"/>
      <c r="BA357" s="79"/>
      <c r="BB357" s="79"/>
      <c r="BC357" s="79"/>
      <c r="BD357" s="79"/>
      <c r="BE357" s="79"/>
      <c r="BF357" s="79"/>
      <c r="BG357" s="79"/>
      <c r="BH357" s="79"/>
      <c r="BI357" s="79"/>
      <c r="BJ357" s="79"/>
      <c r="BK357" s="79"/>
      <c r="BL357" s="79"/>
      <c r="BM357" s="79"/>
      <c r="BN357" s="79"/>
      <c r="BO357" s="79"/>
      <c r="BP357" s="79"/>
      <c r="BQ357" s="79"/>
      <c r="BR357" s="79"/>
      <c r="BS357" s="79"/>
      <c r="BT357" s="79"/>
      <c r="BU357" s="79"/>
      <c r="BV357" s="79"/>
      <c r="BW357" s="79"/>
      <c r="BX357" s="79"/>
      <c r="BY357" s="79"/>
      <c r="BZ357" s="79"/>
      <c r="CA357" s="79"/>
      <c r="CB357" s="79"/>
      <c r="CC357" s="79"/>
      <c r="CD357" s="79"/>
      <c r="CE357" s="79"/>
      <c r="CF357" s="79"/>
      <c r="CG357" s="79"/>
      <c r="CH357" s="79"/>
      <c r="CI357" s="79"/>
      <c r="CJ357" s="79"/>
      <c r="CK357" s="79"/>
      <c r="CL357" s="79"/>
      <c r="CM357" s="79"/>
      <c r="CN357" s="79"/>
      <c r="CO357" s="79"/>
      <c r="CP357" s="79"/>
      <c r="CQ357" s="79"/>
      <c r="CR357" s="79"/>
      <c r="CS357" s="79"/>
      <c r="CT357" s="79"/>
      <c r="CU357" s="79"/>
      <c r="CV357" s="79"/>
      <c r="CW357" s="79"/>
      <c r="CX357" s="85"/>
      <c r="CY357" s="85"/>
      <c r="CZ357" s="85"/>
      <c r="DA357" s="86"/>
      <c r="DB357" s="84"/>
    </row>
    <row r="358" spans="2:106" ht="11.25" customHeight="1">
      <c r="B358" s="78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79"/>
      <c r="AS358" s="79"/>
      <c r="AT358" s="79"/>
      <c r="AU358" s="79"/>
      <c r="AV358" s="79"/>
      <c r="AW358" s="79"/>
      <c r="AX358" s="79"/>
      <c r="AY358" s="79"/>
      <c r="AZ358" s="79"/>
      <c r="BA358" s="79"/>
      <c r="BB358" s="79"/>
      <c r="BC358" s="79"/>
      <c r="BD358" s="79"/>
      <c r="BE358" s="79"/>
      <c r="BF358" s="79"/>
      <c r="BG358" s="79"/>
      <c r="BH358" s="79"/>
      <c r="BI358" s="79"/>
      <c r="BJ358" s="79"/>
      <c r="BK358" s="79"/>
      <c r="BL358" s="79"/>
      <c r="BM358" s="79"/>
      <c r="BN358" s="79"/>
      <c r="BO358" s="79"/>
      <c r="BP358" s="79"/>
      <c r="BQ358" s="79"/>
      <c r="BR358" s="79"/>
      <c r="BS358" s="79"/>
      <c r="BT358" s="79"/>
      <c r="BU358" s="79"/>
      <c r="BV358" s="79"/>
      <c r="BW358" s="79"/>
      <c r="BX358" s="79"/>
      <c r="BY358" s="79"/>
      <c r="BZ358" s="79"/>
      <c r="CA358" s="79"/>
      <c r="CB358" s="79"/>
      <c r="CC358" s="79"/>
      <c r="CD358" s="79"/>
      <c r="CE358" s="79"/>
      <c r="CF358" s="79"/>
      <c r="CG358" s="79"/>
      <c r="CH358" s="79"/>
      <c r="CI358" s="79"/>
      <c r="CJ358" s="79"/>
      <c r="CK358" s="79"/>
      <c r="CL358" s="79"/>
      <c r="CM358" s="79"/>
      <c r="CN358" s="79"/>
      <c r="CO358" s="79"/>
      <c r="CP358" s="79"/>
      <c r="CQ358" s="79"/>
      <c r="CR358" s="79"/>
      <c r="CS358" s="79"/>
      <c r="CT358" s="79"/>
      <c r="CU358" s="79"/>
      <c r="CV358" s="79"/>
      <c r="CW358" s="79"/>
      <c r="CX358" s="85"/>
      <c r="CY358" s="85"/>
      <c r="CZ358" s="85"/>
      <c r="DA358" s="86"/>
      <c r="DB358" s="84"/>
    </row>
    <row r="359" spans="2:106" ht="11.25" customHeight="1">
      <c r="B359" s="78"/>
      <c r="C359" s="79"/>
      <c r="D359" s="79"/>
      <c r="E359" s="79"/>
      <c r="F359" s="79"/>
      <c r="G359" s="79" t="s">
        <v>282</v>
      </c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 t="s">
        <v>536</v>
      </c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  <c r="AR359" s="79"/>
      <c r="AS359" s="79"/>
      <c r="AT359" s="79"/>
      <c r="AU359" s="79"/>
      <c r="AV359" s="79"/>
      <c r="AW359" s="79"/>
      <c r="AX359" s="79"/>
      <c r="AY359" s="79"/>
      <c r="AZ359" s="79"/>
      <c r="BA359" s="79"/>
      <c r="BB359" s="79"/>
      <c r="BC359" s="79"/>
      <c r="BD359" s="79"/>
      <c r="BE359" s="79"/>
      <c r="BF359" s="79"/>
      <c r="BG359" s="79" t="str">
        <f>TEXT(자재단가!R23,"#,##0.#######")</f>
        <v>1,500,000.</v>
      </c>
      <c r="BH359" s="79"/>
      <c r="BI359" s="79"/>
      <c r="BJ359" s="79"/>
      <c r="BK359" s="79"/>
      <c r="BL359" s="79"/>
      <c r="BM359" s="79"/>
      <c r="BN359" s="79"/>
      <c r="BO359" s="79"/>
      <c r="BP359" s="79"/>
      <c r="BQ359" s="79"/>
      <c r="BR359" s="79" t="s">
        <v>699</v>
      </c>
      <c r="BS359" s="79"/>
      <c r="BT359" s="79" t="str">
        <f>TEXT(0.05,"#,##0.#######")</f>
        <v>0.05</v>
      </c>
      <c r="BU359" s="79"/>
      <c r="BV359" s="79"/>
      <c r="BW359" s="79"/>
      <c r="BX359" s="79"/>
      <c r="BY359" s="79" t="s">
        <v>309</v>
      </c>
      <c r="BZ359" s="79"/>
      <c r="CA359" s="79" t="str">
        <f>TEXT(TRUNC(BG359*BT359,1),"#,##0.#######")</f>
        <v>75,000.</v>
      </c>
      <c r="CB359" s="79"/>
      <c r="CC359" s="79"/>
      <c r="CD359" s="79"/>
      <c r="CE359" s="79"/>
      <c r="CF359" s="79"/>
      <c r="CG359" s="79"/>
      <c r="CH359" s="79"/>
      <c r="CI359" s="79"/>
      <c r="CJ359" s="79"/>
      <c r="CK359" s="79"/>
      <c r="CL359" s="79"/>
      <c r="CM359" s="79"/>
      <c r="CN359" s="79"/>
      <c r="CO359" s="79"/>
      <c r="CP359" s="79"/>
      <c r="CQ359" s="79"/>
      <c r="CR359" s="79"/>
      <c r="CS359" s="79"/>
      <c r="CT359" s="79"/>
      <c r="CU359" s="79"/>
      <c r="CV359" s="79"/>
      <c r="CW359" s="79"/>
      <c r="CX359" s="85"/>
      <c r="CY359" s="85"/>
      <c r="CZ359" s="85"/>
      <c r="DA359" s="86"/>
      <c r="DB359" s="84"/>
    </row>
    <row r="360" spans="2:106" ht="11.25" customHeight="1">
      <c r="B360" s="78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79"/>
      <c r="AQ360" s="79"/>
      <c r="AR360" s="79"/>
      <c r="AS360" s="79"/>
      <c r="AT360" s="79"/>
      <c r="AU360" s="79"/>
      <c r="AV360" s="79"/>
      <c r="AW360" s="79"/>
      <c r="AX360" s="79"/>
      <c r="AY360" s="79"/>
      <c r="AZ360" s="79"/>
      <c r="BA360" s="79"/>
      <c r="BB360" s="79"/>
      <c r="BC360" s="79"/>
      <c r="BD360" s="79"/>
      <c r="BE360" s="79"/>
      <c r="BF360" s="79"/>
      <c r="BG360" s="79"/>
      <c r="BH360" s="79"/>
      <c r="BI360" s="79"/>
      <c r="BJ360" s="79"/>
      <c r="BK360" s="79"/>
      <c r="BL360" s="79"/>
      <c r="BM360" s="79"/>
      <c r="BN360" s="79"/>
      <c r="BO360" s="79"/>
      <c r="BP360" s="79"/>
      <c r="BQ360" s="79"/>
      <c r="BR360" s="79"/>
      <c r="BS360" s="79"/>
      <c r="BT360" s="79"/>
      <c r="BU360" s="79"/>
      <c r="BV360" s="79"/>
      <c r="BW360" s="79"/>
      <c r="BX360" s="79"/>
      <c r="BY360" s="79"/>
      <c r="BZ360" s="79"/>
      <c r="CA360" s="79"/>
      <c r="CB360" s="79"/>
      <c r="CC360" s="79"/>
      <c r="CD360" s="79"/>
      <c r="CE360" s="79"/>
      <c r="CF360" s="79"/>
      <c r="CG360" s="79"/>
      <c r="CH360" s="79"/>
      <c r="CI360" s="79"/>
      <c r="CJ360" s="79"/>
      <c r="CK360" s="79"/>
      <c r="CL360" s="79"/>
      <c r="CM360" s="79"/>
      <c r="CN360" s="79"/>
      <c r="CO360" s="79"/>
      <c r="CP360" s="79"/>
      <c r="CQ360" s="79"/>
      <c r="CR360" s="79"/>
      <c r="CS360" s="79"/>
      <c r="CT360" s="79"/>
      <c r="CU360" s="79"/>
      <c r="CV360" s="79"/>
      <c r="CW360" s="79"/>
      <c r="CX360" s="85"/>
      <c r="CY360" s="85"/>
      <c r="CZ360" s="85"/>
      <c r="DA360" s="86"/>
      <c r="DB360" s="84"/>
    </row>
    <row r="361" spans="2:106" ht="11.25" customHeight="1">
      <c r="B361" s="78"/>
      <c r="C361" s="79"/>
      <c r="D361" s="79"/>
      <c r="E361" s="79"/>
      <c r="F361" s="79"/>
      <c r="G361" s="79" t="s">
        <v>454</v>
      </c>
      <c r="H361" s="79"/>
      <c r="I361" s="79"/>
      <c r="J361" s="79"/>
      <c r="K361" s="79"/>
      <c r="L361" s="79"/>
      <c r="M361" s="79"/>
      <c r="N361" s="79"/>
      <c r="O361" s="79" t="s">
        <v>487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 t="str">
        <f>TEXT(자재단가!R24,"#,##0.#######")</f>
        <v>190,000.</v>
      </c>
      <c r="AA361" s="79"/>
      <c r="AB361" s="79"/>
      <c r="AC361" s="79"/>
      <c r="AD361" s="79"/>
      <c r="AE361" s="79"/>
      <c r="AF361" s="79"/>
      <c r="AG361" s="79"/>
      <c r="AH361" s="79"/>
      <c r="AI361" s="79"/>
      <c r="AJ361" s="79" t="s">
        <v>699</v>
      </c>
      <c r="AK361" s="79"/>
      <c r="AL361" s="79" t="str">
        <f>TEXT(0.05,"#,##0.#######")</f>
        <v>0.05</v>
      </c>
      <c r="AM361" s="79"/>
      <c r="AN361" s="79"/>
      <c r="AO361" s="79"/>
      <c r="AP361" s="79"/>
      <c r="AQ361" s="79" t="s">
        <v>309</v>
      </c>
      <c r="AR361" s="79"/>
      <c r="AS361" s="79" t="str">
        <f>TEXT(TRUNC(Z361*AL361,1),"#,##0.#######")</f>
        <v>9,500.</v>
      </c>
      <c r="AT361" s="79"/>
      <c r="AU361" s="79"/>
      <c r="AV361" s="79"/>
      <c r="AW361" s="79"/>
      <c r="AX361" s="79"/>
      <c r="AY361" s="79"/>
      <c r="AZ361" s="79"/>
      <c r="BA361" s="79"/>
      <c r="BB361" s="79"/>
      <c r="BC361" s="79"/>
      <c r="BD361" s="79"/>
      <c r="BE361" s="79"/>
      <c r="BF361" s="79"/>
      <c r="BG361" s="79"/>
      <c r="BH361" s="79"/>
      <c r="BI361" s="79"/>
      <c r="BJ361" s="79"/>
      <c r="BK361" s="79"/>
      <c r="BL361" s="79"/>
      <c r="BM361" s="79"/>
      <c r="BN361" s="79"/>
      <c r="BO361" s="79"/>
      <c r="BP361" s="79"/>
      <c r="BQ361" s="79"/>
      <c r="BR361" s="79"/>
      <c r="BS361" s="79"/>
      <c r="BT361" s="79"/>
      <c r="BU361" s="79"/>
      <c r="BV361" s="79"/>
      <c r="BW361" s="79"/>
      <c r="BX361" s="79"/>
      <c r="BY361" s="79"/>
      <c r="BZ361" s="79"/>
      <c r="CA361" s="79"/>
      <c r="CB361" s="79"/>
      <c r="CC361" s="79"/>
      <c r="CD361" s="79"/>
      <c r="CE361" s="79"/>
      <c r="CF361" s="79"/>
      <c r="CG361" s="79"/>
      <c r="CH361" s="79"/>
      <c r="CI361" s="79"/>
      <c r="CJ361" s="79"/>
      <c r="CK361" s="79"/>
      <c r="CL361" s="79"/>
      <c r="CM361" s="79"/>
      <c r="CN361" s="79"/>
      <c r="CO361" s="79"/>
      <c r="CP361" s="79"/>
      <c r="CQ361" s="79"/>
      <c r="CR361" s="79"/>
      <c r="CS361" s="79"/>
      <c r="CT361" s="79"/>
      <c r="CU361" s="79"/>
      <c r="CV361" s="79"/>
      <c r="CW361" s="79"/>
      <c r="CX361" s="85"/>
      <c r="CY361" s="85"/>
      <c r="CZ361" s="85"/>
      <c r="DA361" s="86"/>
      <c r="DB361" s="84"/>
    </row>
    <row r="362" spans="2:106" ht="11.25" customHeight="1">
      <c r="B362" s="78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  <c r="AR362" s="79"/>
      <c r="AS362" s="79"/>
      <c r="AT362" s="79"/>
      <c r="AU362" s="79"/>
      <c r="AV362" s="79"/>
      <c r="AW362" s="79"/>
      <c r="AX362" s="79"/>
      <c r="AY362" s="79"/>
      <c r="AZ362" s="79"/>
      <c r="BA362" s="79"/>
      <c r="BB362" s="79"/>
      <c r="BC362" s="79"/>
      <c r="BD362" s="79"/>
      <c r="BE362" s="79"/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/>
      <c r="CA362" s="79"/>
      <c r="CB362" s="79"/>
      <c r="CC362" s="79"/>
      <c r="CD362" s="79"/>
      <c r="CE362" s="79"/>
      <c r="CF362" s="79"/>
      <c r="CG362" s="79"/>
      <c r="CH362" s="79"/>
      <c r="CI362" s="79"/>
      <c r="CJ362" s="79"/>
      <c r="CK362" s="79"/>
      <c r="CL362" s="79"/>
      <c r="CM362" s="79"/>
      <c r="CN362" s="79"/>
      <c r="CO362" s="79"/>
      <c r="CP362" s="79"/>
      <c r="CQ362" s="79"/>
      <c r="CR362" s="79"/>
      <c r="CS362" s="79"/>
      <c r="CT362" s="79"/>
      <c r="CU362" s="79"/>
      <c r="CV362" s="79"/>
      <c r="CW362" s="79"/>
      <c r="CX362" s="85"/>
      <c r="CY362" s="85"/>
      <c r="CZ362" s="85"/>
      <c r="DA362" s="86"/>
      <c r="DB362" s="84"/>
    </row>
    <row r="363" spans="2:106" ht="11.25" customHeight="1">
      <c r="B363" s="78"/>
      <c r="C363" s="79"/>
      <c r="D363" s="79"/>
      <c r="E363" s="79"/>
      <c r="F363" s="79"/>
      <c r="G363" s="79" t="s">
        <v>195</v>
      </c>
      <c r="H363" s="79"/>
      <c r="I363" s="79"/>
      <c r="J363" s="79"/>
      <c r="K363" s="79"/>
      <c r="L363" s="79"/>
      <c r="M363" s="79"/>
      <c r="N363" s="79"/>
      <c r="O363" s="79"/>
      <c r="P363" s="79" t="s">
        <v>604</v>
      </c>
      <c r="Q363" s="79"/>
      <c r="R363" s="79" t="str">
        <f>TEXT(TRUNC(CA359+AS361,1),"#,##0.#######")</f>
        <v>84,500.</v>
      </c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  <c r="AS363" s="79"/>
      <c r="AT363" s="79"/>
      <c r="AU363" s="79"/>
      <c r="AV363" s="79"/>
      <c r="AW363" s="79"/>
      <c r="AX363" s="79"/>
      <c r="AY363" s="79"/>
      <c r="AZ363" s="79"/>
      <c r="BA363" s="79"/>
      <c r="BB363" s="79"/>
      <c r="BC363" s="79"/>
      <c r="BD363" s="79"/>
      <c r="BE363" s="79"/>
      <c r="BF363" s="79"/>
      <c r="BG363" s="79"/>
      <c r="BH363" s="79"/>
      <c r="BI363" s="79"/>
      <c r="BJ363" s="79"/>
      <c r="BK363" s="79"/>
      <c r="BL363" s="79"/>
      <c r="BM363" s="79"/>
      <c r="BN363" s="79"/>
      <c r="BO363" s="79"/>
      <c r="BP363" s="79"/>
      <c r="BQ363" s="79"/>
      <c r="BR363" s="79"/>
      <c r="BS363" s="79"/>
      <c r="BT363" s="79"/>
      <c r="BU363" s="79"/>
      <c r="BV363" s="79"/>
      <c r="BW363" s="79"/>
      <c r="BX363" s="79"/>
      <c r="BY363" s="79"/>
      <c r="BZ363" s="79"/>
      <c r="CA363" s="79"/>
      <c r="CB363" s="79"/>
      <c r="CC363" s="79"/>
      <c r="CD363" s="79"/>
      <c r="CE363" s="79"/>
      <c r="CF363" s="79"/>
      <c r="CG363" s="79"/>
      <c r="CH363" s="79"/>
      <c r="CI363" s="79"/>
      <c r="CJ363" s="79"/>
      <c r="CK363" s="79"/>
      <c r="CL363" s="79"/>
      <c r="CM363" s="79"/>
      <c r="CN363" s="79"/>
      <c r="CO363" s="79"/>
      <c r="CP363" s="79"/>
      <c r="CQ363" s="79"/>
      <c r="CR363" s="79"/>
      <c r="CS363" s="79"/>
      <c r="CT363" s="79"/>
      <c r="CU363" s="79"/>
      <c r="CV363" s="79"/>
      <c r="CW363" s="79"/>
      <c r="CX363" s="85"/>
      <c r="CY363" s="85"/>
      <c r="CZ363" s="85" t="str">
        <f>R363</f>
        <v>84,500.</v>
      </c>
      <c r="DA363" s="86"/>
      <c r="DB363" s="84"/>
    </row>
    <row r="364" spans="2:106" ht="11.25" customHeight="1">
      <c r="B364" s="78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  <c r="AQ364" s="79"/>
      <c r="AR364" s="79"/>
      <c r="AS364" s="79"/>
      <c r="AT364" s="79"/>
      <c r="AU364" s="79"/>
      <c r="AV364" s="79"/>
      <c r="AW364" s="79"/>
      <c r="AX364" s="79"/>
      <c r="AY364" s="79"/>
      <c r="AZ364" s="79"/>
      <c r="BA364" s="79"/>
      <c r="BB364" s="79"/>
      <c r="BC364" s="79"/>
      <c r="BD364" s="79"/>
      <c r="BE364" s="79"/>
      <c r="BF364" s="79"/>
      <c r="BG364" s="79"/>
      <c r="BH364" s="79"/>
      <c r="BI364" s="79"/>
      <c r="BJ364" s="79"/>
      <c r="BK364" s="79"/>
      <c r="BL364" s="79"/>
      <c r="BM364" s="79"/>
      <c r="BN364" s="79"/>
      <c r="BO364" s="79"/>
      <c r="BP364" s="79"/>
      <c r="BQ364" s="79"/>
      <c r="BR364" s="79"/>
      <c r="BS364" s="79"/>
      <c r="BT364" s="79"/>
      <c r="BU364" s="79"/>
      <c r="BV364" s="79"/>
      <c r="BW364" s="79"/>
      <c r="BX364" s="79"/>
      <c r="BY364" s="79"/>
      <c r="BZ364" s="79"/>
      <c r="CA364" s="79"/>
      <c r="CB364" s="79"/>
      <c r="CC364" s="79"/>
      <c r="CD364" s="79"/>
      <c r="CE364" s="79"/>
      <c r="CF364" s="79"/>
      <c r="CG364" s="79"/>
      <c r="CH364" s="79"/>
      <c r="CI364" s="79"/>
      <c r="CJ364" s="79"/>
      <c r="CK364" s="79"/>
      <c r="CL364" s="79"/>
      <c r="CM364" s="79"/>
      <c r="CN364" s="79"/>
      <c r="CO364" s="79"/>
      <c r="CP364" s="79"/>
      <c r="CQ364" s="79"/>
      <c r="CR364" s="79"/>
      <c r="CS364" s="79"/>
      <c r="CT364" s="79"/>
      <c r="CU364" s="79"/>
      <c r="CV364" s="79"/>
      <c r="CW364" s="79"/>
      <c r="CX364" s="85"/>
      <c r="CY364" s="85"/>
      <c r="CZ364" s="85"/>
      <c r="DA364" s="86"/>
      <c r="DB364" s="84"/>
    </row>
    <row r="365" spans="2:106" ht="11.25" customHeight="1">
      <c r="B365" s="78"/>
      <c r="C365" s="79"/>
      <c r="D365" s="79" t="s">
        <v>594</v>
      </c>
      <c r="E365" s="79"/>
      <c r="F365" s="79"/>
      <c r="G365" s="79" t="s">
        <v>800</v>
      </c>
      <c r="H365" s="79"/>
      <c r="I365" s="79"/>
      <c r="J365" s="79"/>
      <c r="K365" s="79" t="s">
        <v>431</v>
      </c>
      <c r="L365" s="79" t="s">
        <v>79</v>
      </c>
      <c r="M365" s="79"/>
      <c r="N365" s="79"/>
      <c r="O365" s="79"/>
      <c r="P365" s="79"/>
      <c r="Q365" s="79"/>
      <c r="R365" s="79"/>
      <c r="S365" s="79"/>
      <c r="T365" s="79"/>
      <c r="U365" s="79" t="s">
        <v>78</v>
      </c>
      <c r="V365" s="79"/>
      <c r="W365" s="79" t="s">
        <v>304</v>
      </c>
      <c r="X365" s="79"/>
      <c r="Y365" s="79"/>
      <c r="Z365" s="79"/>
      <c r="AA365" s="79"/>
      <c r="AB365" s="79" t="s">
        <v>89</v>
      </c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79"/>
      <c r="AW365" s="79"/>
      <c r="AX365" s="79"/>
      <c r="AY365" s="79"/>
      <c r="AZ365" s="79"/>
      <c r="BA365" s="79"/>
      <c r="BB365" s="79"/>
      <c r="BC365" s="79"/>
      <c r="BD365" s="79"/>
      <c r="BE365" s="79"/>
      <c r="BF365" s="79"/>
      <c r="BG365" s="79"/>
      <c r="BH365" s="79"/>
      <c r="BI365" s="79"/>
      <c r="BJ365" s="79"/>
      <c r="BK365" s="79"/>
      <c r="BL365" s="79"/>
      <c r="BM365" s="79"/>
      <c r="BN365" s="79"/>
      <c r="BO365" s="79"/>
      <c r="BP365" s="79"/>
      <c r="BQ365" s="79"/>
      <c r="BR365" s="79"/>
      <c r="BS365" s="79"/>
      <c r="BT365" s="79"/>
      <c r="BU365" s="79"/>
      <c r="BV365" s="79"/>
      <c r="BW365" s="79"/>
      <c r="BX365" s="79"/>
      <c r="BY365" s="79"/>
      <c r="BZ365" s="79"/>
      <c r="CA365" s="79"/>
      <c r="CB365" s="79"/>
      <c r="CC365" s="79"/>
      <c r="CD365" s="79"/>
      <c r="CE365" s="79"/>
      <c r="CF365" s="79"/>
      <c r="CG365" s="79"/>
      <c r="CH365" s="79"/>
      <c r="CI365" s="79"/>
      <c r="CJ365" s="79"/>
      <c r="CK365" s="79"/>
      <c r="CL365" s="79"/>
      <c r="CM365" s="79"/>
      <c r="CN365" s="79"/>
      <c r="CO365" s="79"/>
      <c r="CP365" s="79"/>
      <c r="CQ365" s="79"/>
      <c r="CR365" s="79"/>
      <c r="CS365" s="79"/>
      <c r="CT365" s="79"/>
      <c r="CU365" s="79"/>
      <c r="CV365" s="79"/>
      <c r="CW365" s="79"/>
      <c r="CX365" s="85"/>
      <c r="CY365" s="85"/>
      <c r="CZ365" s="85"/>
      <c r="DA365" s="86"/>
      <c r="DB365" s="84"/>
    </row>
    <row r="366" spans="2:106" ht="11.25" customHeight="1">
      <c r="B366" s="78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  <c r="AR366" s="79"/>
      <c r="AS366" s="79"/>
      <c r="AT366" s="79"/>
      <c r="AU366" s="79"/>
      <c r="AV366" s="79"/>
      <c r="AW366" s="79"/>
      <c r="AX366" s="79"/>
      <c r="AY366" s="79"/>
      <c r="AZ366" s="79"/>
      <c r="BA366" s="79"/>
      <c r="BB366" s="79"/>
      <c r="BC366" s="79"/>
      <c r="BD366" s="79"/>
      <c r="BE366" s="79"/>
      <c r="BF366" s="79"/>
      <c r="BG366" s="79"/>
      <c r="BH366" s="79"/>
      <c r="BI366" s="79"/>
      <c r="BJ366" s="79"/>
      <c r="BK366" s="79"/>
      <c r="BL366" s="79"/>
      <c r="BM366" s="79"/>
      <c r="BN366" s="79"/>
      <c r="BO366" s="79"/>
      <c r="BP366" s="79"/>
      <c r="BQ366" s="79"/>
      <c r="BR366" s="79"/>
      <c r="BS366" s="79"/>
      <c r="BT366" s="79"/>
      <c r="BU366" s="79"/>
      <c r="BV366" s="79"/>
      <c r="BW366" s="79"/>
      <c r="BX366" s="79"/>
      <c r="BY366" s="79"/>
      <c r="BZ366" s="79"/>
      <c r="CA366" s="79"/>
      <c r="CB366" s="79"/>
      <c r="CC366" s="79"/>
      <c r="CD366" s="79"/>
      <c r="CE366" s="79"/>
      <c r="CF366" s="79"/>
      <c r="CG366" s="79"/>
      <c r="CH366" s="79"/>
      <c r="CI366" s="79"/>
      <c r="CJ366" s="79"/>
      <c r="CK366" s="79"/>
      <c r="CL366" s="79"/>
      <c r="CM366" s="79"/>
      <c r="CN366" s="79"/>
      <c r="CO366" s="79"/>
      <c r="CP366" s="79"/>
      <c r="CQ366" s="79"/>
      <c r="CR366" s="79"/>
      <c r="CS366" s="79"/>
      <c r="CT366" s="79"/>
      <c r="CU366" s="79"/>
      <c r="CV366" s="79"/>
      <c r="CW366" s="79"/>
      <c r="CX366" s="85"/>
      <c r="CY366" s="85"/>
      <c r="CZ366" s="85"/>
      <c r="DA366" s="86"/>
      <c r="DB366" s="84"/>
    </row>
    <row r="367" spans="2:106" ht="11.25" customHeight="1">
      <c r="B367" s="78"/>
      <c r="C367" s="79"/>
      <c r="D367" s="79"/>
      <c r="E367" s="79"/>
      <c r="F367" s="79"/>
      <c r="G367" s="79" t="str">
        <f>R363</f>
        <v>84,500.</v>
      </c>
      <c r="H367" s="79"/>
      <c r="I367" s="79"/>
      <c r="J367" s="79"/>
      <c r="K367" s="79"/>
      <c r="L367" s="79"/>
      <c r="M367" s="79"/>
      <c r="N367" s="79"/>
      <c r="O367" s="79"/>
      <c r="P367" s="79" t="s">
        <v>699</v>
      </c>
      <c r="Q367" s="79"/>
      <c r="R367" s="79"/>
      <c r="S367" s="79" t="str">
        <f>TEXT(50,"#,##0.#######")</f>
        <v>50.</v>
      </c>
      <c r="T367" s="79"/>
      <c r="U367" s="79" t="s">
        <v>157</v>
      </c>
      <c r="V367" s="79"/>
      <c r="W367" s="79" t="s">
        <v>309</v>
      </c>
      <c r="X367" s="79"/>
      <c r="Y367" s="79" t="str">
        <f>TEXT(TRUNC(R363*(S367*(1/100)),1),"#,##0.#")</f>
        <v>42,250.</v>
      </c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79"/>
      <c r="AW367" s="79"/>
      <c r="AX367" s="79"/>
      <c r="AY367" s="79"/>
      <c r="AZ367" s="79"/>
      <c r="BA367" s="79"/>
      <c r="BB367" s="79"/>
      <c r="BC367" s="79"/>
      <c r="BD367" s="79"/>
      <c r="BE367" s="79"/>
      <c r="BF367" s="79"/>
      <c r="BG367" s="79"/>
      <c r="BH367" s="79"/>
      <c r="BI367" s="79"/>
      <c r="BJ367" s="79"/>
      <c r="BK367" s="79"/>
      <c r="BL367" s="79"/>
      <c r="BM367" s="79"/>
      <c r="BN367" s="79"/>
      <c r="BO367" s="79"/>
      <c r="BP367" s="79"/>
      <c r="BQ367" s="79"/>
      <c r="BR367" s="79"/>
      <c r="BS367" s="79"/>
      <c r="BT367" s="79"/>
      <c r="BU367" s="79"/>
      <c r="BV367" s="79"/>
      <c r="BW367" s="79"/>
      <c r="BX367" s="79"/>
      <c r="BY367" s="79"/>
      <c r="BZ367" s="79"/>
      <c r="CA367" s="79"/>
      <c r="CB367" s="79"/>
      <c r="CC367" s="79"/>
      <c r="CD367" s="79"/>
      <c r="CE367" s="79"/>
      <c r="CF367" s="79"/>
      <c r="CG367" s="79"/>
      <c r="CH367" s="79"/>
      <c r="CI367" s="79"/>
      <c r="CJ367" s="79"/>
      <c r="CK367" s="79"/>
      <c r="CL367" s="79"/>
      <c r="CM367" s="79"/>
      <c r="CN367" s="79"/>
      <c r="CO367" s="79"/>
      <c r="CP367" s="79"/>
      <c r="CQ367" s="79"/>
      <c r="CR367" s="79"/>
      <c r="CS367" s="79"/>
      <c r="CT367" s="79"/>
      <c r="CU367" s="79"/>
      <c r="CV367" s="79"/>
      <c r="CW367" s="79"/>
      <c r="CX367" s="85">
        <f>CY367+CZ367+DA367</f>
        <v>42250</v>
      </c>
      <c r="CY367" s="85" t="str">
        <f>Y367</f>
        <v>42,250.</v>
      </c>
      <c r="CZ367" s="85"/>
      <c r="DA367" s="86"/>
      <c r="DB367" s="84"/>
    </row>
    <row r="368" spans="2:106" ht="11.25" customHeight="1">
      <c r="B368" s="78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  <c r="AR368" s="79"/>
      <c r="AS368" s="79"/>
      <c r="AT368" s="79"/>
      <c r="AU368" s="79"/>
      <c r="AV368" s="79"/>
      <c r="AW368" s="79"/>
      <c r="AX368" s="79"/>
      <c r="AY368" s="79"/>
      <c r="AZ368" s="79"/>
      <c r="BA368" s="79"/>
      <c r="BB368" s="79"/>
      <c r="BC368" s="79"/>
      <c r="BD368" s="79"/>
      <c r="BE368" s="79"/>
      <c r="BF368" s="79"/>
      <c r="BG368" s="79"/>
      <c r="BH368" s="79"/>
      <c r="BI368" s="79"/>
      <c r="BJ368" s="79"/>
      <c r="BK368" s="79"/>
      <c r="BL368" s="79"/>
      <c r="BM368" s="79"/>
      <c r="BN368" s="79"/>
      <c r="BO368" s="79"/>
      <c r="BP368" s="79"/>
      <c r="BQ368" s="79"/>
      <c r="BR368" s="79"/>
      <c r="BS368" s="79"/>
      <c r="BT368" s="79"/>
      <c r="BU368" s="79"/>
      <c r="BV368" s="79"/>
      <c r="BW368" s="79"/>
      <c r="BX368" s="79"/>
      <c r="BY368" s="79"/>
      <c r="BZ368" s="79"/>
      <c r="CA368" s="79"/>
      <c r="CB368" s="79"/>
      <c r="CC368" s="79"/>
      <c r="CD368" s="79"/>
      <c r="CE368" s="79"/>
      <c r="CF368" s="79"/>
      <c r="CG368" s="79"/>
      <c r="CH368" s="79"/>
      <c r="CI368" s="79"/>
      <c r="CJ368" s="79"/>
      <c r="CK368" s="79"/>
      <c r="CL368" s="79"/>
      <c r="CM368" s="79"/>
      <c r="CN368" s="79"/>
      <c r="CO368" s="79"/>
      <c r="CP368" s="79"/>
      <c r="CQ368" s="79"/>
      <c r="CR368" s="79"/>
      <c r="CS368" s="79"/>
      <c r="CT368" s="79"/>
      <c r="CU368" s="79"/>
      <c r="CV368" s="79"/>
      <c r="CW368" s="79"/>
      <c r="CX368" s="85"/>
      <c r="CY368" s="85"/>
      <c r="CZ368" s="85"/>
      <c r="DA368" s="86"/>
      <c r="DB368" s="84"/>
    </row>
    <row r="369" spans="2:106" ht="11.25" customHeight="1">
      <c r="B369" s="78"/>
      <c r="C369" s="79"/>
      <c r="D369" s="79" t="s">
        <v>594</v>
      </c>
      <c r="E369" s="79"/>
      <c r="F369" s="79"/>
      <c r="G369" s="79" t="s">
        <v>557</v>
      </c>
      <c r="H369" s="79"/>
      <c r="I369" s="79"/>
      <c r="J369" s="79"/>
      <c r="K369" s="79" t="s">
        <v>436</v>
      </c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  <c r="AS369" s="79"/>
      <c r="AT369" s="79"/>
      <c r="AU369" s="79"/>
      <c r="AV369" s="79"/>
      <c r="AW369" s="79"/>
      <c r="AX369" s="79"/>
      <c r="AY369" s="79"/>
      <c r="AZ369" s="79"/>
      <c r="BA369" s="79"/>
      <c r="BB369" s="79"/>
      <c r="BC369" s="79"/>
      <c r="BD369" s="79"/>
      <c r="BE369" s="79"/>
      <c r="BF369" s="79"/>
      <c r="BG369" s="79"/>
      <c r="BH369" s="79"/>
      <c r="BI369" s="79"/>
      <c r="BJ369" s="79"/>
      <c r="BK369" s="79"/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79"/>
      <c r="CH369" s="79"/>
      <c r="CI369" s="79"/>
      <c r="CJ369" s="79"/>
      <c r="CK369" s="79"/>
      <c r="CL369" s="79"/>
      <c r="CM369" s="79"/>
      <c r="CN369" s="79"/>
      <c r="CO369" s="79"/>
      <c r="CP369" s="79"/>
      <c r="CQ369" s="79"/>
      <c r="CR369" s="79"/>
      <c r="CS369" s="79"/>
      <c r="CT369" s="79"/>
      <c r="CU369" s="79"/>
      <c r="CV369" s="79"/>
      <c r="CW369" s="79"/>
      <c r="CX369" s="85"/>
      <c r="CY369" s="85"/>
      <c r="CZ369" s="85"/>
      <c r="DA369" s="86"/>
      <c r="DB369" s="84"/>
    </row>
    <row r="370" spans="2:106" ht="11.25" customHeight="1">
      <c r="B370" s="78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  <c r="AR370" s="79"/>
      <c r="AS370" s="79"/>
      <c r="AT370" s="79"/>
      <c r="AU370" s="79"/>
      <c r="AV370" s="79"/>
      <c r="AW370" s="79"/>
      <c r="AX370" s="79"/>
      <c r="AY370" s="79"/>
      <c r="AZ370" s="79"/>
      <c r="BA370" s="79"/>
      <c r="BB370" s="79"/>
      <c r="BC370" s="79"/>
      <c r="BD370" s="79"/>
      <c r="BE370" s="79"/>
      <c r="BF370" s="79"/>
      <c r="BG370" s="79"/>
      <c r="BH370" s="79"/>
      <c r="BI370" s="79"/>
      <c r="BJ370" s="79"/>
      <c r="BK370" s="79"/>
      <c r="BL370" s="79"/>
      <c r="BM370" s="79"/>
      <c r="BN370" s="79"/>
      <c r="BO370" s="79"/>
      <c r="BP370" s="79"/>
      <c r="BQ370" s="79"/>
      <c r="BR370" s="79"/>
      <c r="BS370" s="79"/>
      <c r="BT370" s="79"/>
      <c r="BU370" s="79"/>
      <c r="BV370" s="79"/>
      <c r="BW370" s="79"/>
      <c r="BX370" s="79"/>
      <c r="BY370" s="79"/>
      <c r="BZ370" s="79"/>
      <c r="CA370" s="79"/>
      <c r="CB370" s="79"/>
      <c r="CC370" s="79"/>
      <c r="CD370" s="79"/>
      <c r="CE370" s="79"/>
      <c r="CF370" s="79"/>
      <c r="CG370" s="79"/>
      <c r="CH370" s="79"/>
      <c r="CI370" s="79"/>
      <c r="CJ370" s="79"/>
      <c r="CK370" s="79"/>
      <c r="CL370" s="79"/>
      <c r="CM370" s="79"/>
      <c r="CN370" s="79"/>
      <c r="CO370" s="79"/>
      <c r="CP370" s="79"/>
      <c r="CQ370" s="79"/>
      <c r="CR370" s="79"/>
      <c r="CS370" s="79"/>
      <c r="CT370" s="79"/>
      <c r="CU370" s="79"/>
      <c r="CV370" s="79"/>
      <c r="CW370" s="79"/>
      <c r="CX370" s="85"/>
      <c r="CY370" s="85"/>
      <c r="CZ370" s="85"/>
      <c r="DA370" s="86"/>
      <c r="DB370" s="84"/>
    </row>
    <row r="371" spans="2:106" ht="11.25" customHeight="1">
      <c r="B371" s="78"/>
      <c r="C371" s="79"/>
      <c r="D371" s="79"/>
      <c r="E371" s="79"/>
      <c r="F371" s="79"/>
      <c r="G371" s="79"/>
      <c r="H371" s="79" t="s">
        <v>700</v>
      </c>
      <c r="I371" s="79"/>
      <c r="J371" s="79"/>
      <c r="K371" s="79"/>
      <c r="L371" s="79"/>
      <c r="M371" s="79"/>
      <c r="N371" s="79"/>
      <c r="O371" s="79" t="s">
        <v>604</v>
      </c>
      <c r="P371" s="79"/>
      <c r="Q371" s="79" t="str">
        <f>TEXT(TRUNC(CY367,0),"#,##0")</f>
        <v>42,250</v>
      </c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79"/>
      <c r="AW371" s="79"/>
      <c r="AX371" s="79"/>
      <c r="AY371" s="79"/>
      <c r="AZ371" s="79"/>
      <c r="BA371" s="79"/>
      <c r="BB371" s="79"/>
      <c r="BC371" s="79"/>
      <c r="BD371" s="79"/>
      <c r="BE371" s="79"/>
      <c r="BF371" s="79"/>
      <c r="BG371" s="79"/>
      <c r="BH371" s="79"/>
      <c r="BI371" s="79"/>
      <c r="BJ371" s="79"/>
      <c r="BK371" s="79"/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79"/>
      <c r="CH371" s="79"/>
      <c r="CI371" s="79"/>
      <c r="CJ371" s="79"/>
      <c r="CK371" s="79"/>
      <c r="CL371" s="79"/>
      <c r="CM371" s="79"/>
      <c r="CN371" s="79"/>
      <c r="CO371" s="79"/>
      <c r="CP371" s="79"/>
      <c r="CQ371" s="79"/>
      <c r="CR371" s="79"/>
      <c r="CS371" s="79"/>
      <c r="CT371" s="79"/>
      <c r="CU371" s="79"/>
      <c r="CV371" s="79"/>
      <c r="CW371" s="79"/>
      <c r="CX371" s="85"/>
      <c r="CY371" s="85"/>
      <c r="CZ371" s="85"/>
      <c r="DA371" s="86"/>
      <c r="DB371" s="84"/>
    </row>
    <row r="372" spans="2:106" ht="11.25" customHeight="1">
      <c r="B372" s="78"/>
      <c r="C372" s="79"/>
      <c r="D372" s="79"/>
      <c r="E372" s="79"/>
      <c r="F372" s="79"/>
      <c r="G372" s="79"/>
      <c r="H372" s="79" t="s">
        <v>498</v>
      </c>
      <c r="I372" s="79"/>
      <c r="J372" s="79"/>
      <c r="K372" s="79"/>
      <c r="L372" s="79"/>
      <c r="M372" s="79"/>
      <c r="N372" s="79"/>
      <c r="O372" s="79" t="s">
        <v>604</v>
      </c>
      <c r="P372" s="79"/>
      <c r="Q372" s="79" t="str">
        <f>TEXT(TRUNC(CZ363,0),"#,##0")</f>
        <v>84,500</v>
      </c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  <c r="AQ372" s="79"/>
      <c r="AR372" s="79"/>
      <c r="AS372" s="79"/>
      <c r="AT372" s="79"/>
      <c r="AU372" s="79"/>
      <c r="AV372" s="79"/>
      <c r="AW372" s="79"/>
      <c r="AX372" s="79"/>
      <c r="AY372" s="79"/>
      <c r="AZ372" s="79"/>
      <c r="BA372" s="79"/>
      <c r="BB372" s="79"/>
      <c r="BC372" s="79"/>
      <c r="BD372" s="79"/>
      <c r="BE372" s="79"/>
      <c r="BF372" s="79"/>
      <c r="BG372" s="79"/>
      <c r="BH372" s="79"/>
      <c r="BI372" s="79"/>
      <c r="BJ372" s="79"/>
      <c r="BK372" s="79"/>
      <c r="BL372" s="79"/>
      <c r="BM372" s="79"/>
      <c r="BN372" s="79"/>
      <c r="BO372" s="79"/>
      <c r="BP372" s="79"/>
      <c r="BQ372" s="79"/>
      <c r="BR372" s="79"/>
      <c r="BS372" s="79"/>
      <c r="BT372" s="79"/>
      <c r="BU372" s="79"/>
      <c r="BV372" s="79"/>
      <c r="BW372" s="79"/>
      <c r="BX372" s="79"/>
      <c r="BY372" s="79"/>
      <c r="BZ372" s="79"/>
      <c r="CA372" s="79"/>
      <c r="CB372" s="79"/>
      <c r="CC372" s="79"/>
      <c r="CD372" s="79"/>
      <c r="CE372" s="79"/>
      <c r="CF372" s="79"/>
      <c r="CG372" s="79"/>
      <c r="CH372" s="79"/>
      <c r="CI372" s="79"/>
      <c r="CJ372" s="79"/>
      <c r="CK372" s="79"/>
      <c r="CL372" s="79"/>
      <c r="CM372" s="79"/>
      <c r="CN372" s="79"/>
      <c r="CO372" s="79"/>
      <c r="CP372" s="79"/>
      <c r="CQ372" s="79"/>
      <c r="CR372" s="79"/>
      <c r="CS372" s="79"/>
      <c r="CT372" s="79"/>
      <c r="CU372" s="79"/>
      <c r="CV372" s="79"/>
      <c r="CW372" s="79"/>
      <c r="CX372" s="85"/>
      <c r="CY372" s="85"/>
      <c r="CZ372" s="85"/>
      <c r="DA372" s="86"/>
      <c r="DB372" s="84"/>
    </row>
    <row r="373" spans="2:106" ht="11.25" customHeight="1">
      <c r="B373" s="78"/>
      <c r="C373" s="79"/>
      <c r="D373" s="79"/>
      <c r="E373" s="79"/>
      <c r="F373" s="79"/>
      <c r="G373" s="79"/>
      <c r="H373" s="79" t="s">
        <v>160</v>
      </c>
      <c r="I373" s="79"/>
      <c r="J373" s="79"/>
      <c r="K373" s="79"/>
      <c r="L373" s="79" t="s">
        <v>440</v>
      </c>
      <c r="M373" s="79"/>
      <c r="N373" s="79"/>
      <c r="O373" s="79" t="s">
        <v>604</v>
      </c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  <c r="AS373" s="79"/>
      <c r="AT373" s="79"/>
      <c r="AU373" s="79"/>
      <c r="AV373" s="79"/>
      <c r="AW373" s="79"/>
      <c r="AX373" s="79"/>
      <c r="AY373" s="79"/>
      <c r="AZ373" s="79"/>
      <c r="BA373" s="79"/>
      <c r="BB373" s="79"/>
      <c r="BC373" s="79"/>
      <c r="BD373" s="79"/>
      <c r="BE373" s="79"/>
      <c r="BF373" s="79"/>
      <c r="BG373" s="79"/>
      <c r="BH373" s="79"/>
      <c r="BI373" s="79"/>
      <c r="BJ373" s="79"/>
      <c r="BK373" s="79"/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79"/>
      <c r="CH373" s="79"/>
      <c r="CI373" s="79"/>
      <c r="CJ373" s="79"/>
      <c r="CK373" s="79"/>
      <c r="CL373" s="79"/>
      <c r="CM373" s="79"/>
      <c r="CN373" s="79"/>
      <c r="CO373" s="79"/>
      <c r="CP373" s="79"/>
      <c r="CQ373" s="79"/>
      <c r="CR373" s="79"/>
      <c r="CS373" s="79"/>
      <c r="CT373" s="79"/>
      <c r="CU373" s="79"/>
      <c r="CV373" s="79"/>
      <c r="CW373" s="79"/>
      <c r="CX373" s="85"/>
      <c r="CY373" s="85"/>
      <c r="CZ373" s="85"/>
      <c r="DA373" s="86"/>
      <c r="DB373" s="84"/>
    </row>
    <row r="374" spans="2:106" ht="11.25" customHeight="1">
      <c r="B374" s="78"/>
      <c r="C374" s="79"/>
      <c r="D374" s="79"/>
      <c r="E374" s="79"/>
      <c r="F374" s="79"/>
      <c r="G374" s="79"/>
      <c r="H374" s="79"/>
      <c r="I374" s="79"/>
      <c r="J374" s="79" t="s">
        <v>436</v>
      </c>
      <c r="K374" s="79"/>
      <c r="L374" s="79"/>
      <c r="M374" s="79"/>
      <c r="N374" s="79"/>
      <c r="O374" s="79" t="s">
        <v>604</v>
      </c>
      <c r="P374" s="79"/>
      <c r="Q374" s="79"/>
      <c r="R374" s="79" t="str">
        <f>TEXT(Q371+Q372,"#,##0")</f>
        <v>126,750</v>
      </c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  <c r="AQ374" s="79"/>
      <c r="AR374" s="79"/>
      <c r="AS374" s="79"/>
      <c r="AT374" s="79"/>
      <c r="AU374" s="79"/>
      <c r="AV374" s="79"/>
      <c r="AW374" s="79"/>
      <c r="AX374" s="79"/>
      <c r="AY374" s="79"/>
      <c r="AZ374" s="79"/>
      <c r="BA374" s="79"/>
      <c r="BB374" s="79"/>
      <c r="BC374" s="79"/>
      <c r="BD374" s="79"/>
      <c r="BE374" s="79"/>
      <c r="BF374" s="79"/>
      <c r="BG374" s="79"/>
      <c r="BH374" s="79"/>
      <c r="BI374" s="79"/>
      <c r="BJ374" s="79"/>
      <c r="BK374" s="79"/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79"/>
      <c r="CH374" s="79"/>
      <c r="CI374" s="79"/>
      <c r="CJ374" s="79"/>
      <c r="CK374" s="79"/>
      <c r="CL374" s="79"/>
      <c r="CM374" s="79"/>
      <c r="CN374" s="79"/>
      <c r="CO374" s="79"/>
      <c r="CP374" s="79"/>
      <c r="CQ374" s="79"/>
      <c r="CR374" s="79"/>
      <c r="CS374" s="79"/>
      <c r="CT374" s="79"/>
      <c r="CU374" s="79"/>
      <c r="CV374" s="79"/>
      <c r="CW374" s="79"/>
      <c r="CX374" s="89">
        <f>CY374+CZ374+DA374</f>
        <v>126750</v>
      </c>
      <c r="CY374" s="85" t="str">
        <f>TEXT(Q371,"#,##0")</f>
        <v>42,250</v>
      </c>
      <c r="CZ374" s="85" t="str">
        <f>TEXT(Q372,"#,##0")</f>
        <v>84,500</v>
      </c>
      <c r="DA374" s="86"/>
      <c r="DB374" s="84"/>
    </row>
    <row r="375" spans="2:106" ht="11.25" customHeight="1">
      <c r="B375" s="78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  <c r="AS375" s="79"/>
      <c r="AT375" s="79"/>
      <c r="AU375" s="79"/>
      <c r="AV375" s="79"/>
      <c r="AW375" s="79"/>
      <c r="AX375" s="79"/>
      <c r="AY375" s="79"/>
      <c r="AZ375" s="79"/>
      <c r="BA375" s="79"/>
      <c r="BB375" s="79"/>
      <c r="BC375" s="79"/>
      <c r="BD375" s="79"/>
      <c r="BE375" s="79"/>
      <c r="BF375" s="79"/>
      <c r="BG375" s="79"/>
      <c r="BH375" s="79"/>
      <c r="BI375" s="79"/>
      <c r="BJ375" s="79"/>
      <c r="BK375" s="79"/>
      <c r="BL375" s="79"/>
      <c r="BM375" s="79"/>
      <c r="BN375" s="79"/>
      <c r="BO375" s="79"/>
      <c r="BP375" s="79"/>
      <c r="BQ375" s="79"/>
      <c r="BR375" s="79"/>
      <c r="BS375" s="79"/>
      <c r="BT375" s="79"/>
      <c r="BU375" s="79"/>
      <c r="BV375" s="79"/>
      <c r="BW375" s="79"/>
      <c r="BX375" s="79"/>
      <c r="BY375" s="79"/>
      <c r="BZ375" s="79"/>
      <c r="CA375" s="79"/>
      <c r="CB375" s="79"/>
      <c r="CC375" s="79"/>
      <c r="CD375" s="79"/>
      <c r="CE375" s="79"/>
      <c r="CF375" s="79"/>
      <c r="CG375" s="79"/>
      <c r="CH375" s="79"/>
      <c r="CI375" s="79"/>
      <c r="CJ375" s="79"/>
      <c r="CK375" s="79"/>
      <c r="CL375" s="79"/>
      <c r="CM375" s="79"/>
      <c r="CN375" s="79"/>
      <c r="CO375" s="79"/>
      <c r="CP375" s="79"/>
      <c r="CQ375" s="79"/>
      <c r="CR375" s="79"/>
      <c r="CS375" s="79"/>
      <c r="CT375" s="79"/>
      <c r="CU375" s="79"/>
      <c r="CV375" s="79"/>
      <c r="CW375" s="79"/>
      <c r="CX375" s="85"/>
      <c r="CY375" s="85"/>
      <c r="CZ375" s="85"/>
      <c r="DA375" s="86"/>
      <c r="DB375" s="84"/>
    </row>
    <row r="376" spans="2:106" ht="11.25" customHeight="1">
      <c r="B376" s="81" t="s">
        <v>448</v>
      </c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  <c r="AR376" s="79"/>
      <c r="AS376" s="79"/>
      <c r="AT376" s="79"/>
      <c r="AU376" s="79"/>
      <c r="AV376" s="79"/>
      <c r="AW376" s="79"/>
      <c r="AX376" s="79"/>
      <c r="AY376" s="79"/>
      <c r="AZ376" s="79"/>
      <c r="BA376" s="79"/>
      <c r="BB376" s="79"/>
      <c r="BC376" s="79"/>
      <c r="BD376" s="79"/>
      <c r="BE376" s="79"/>
      <c r="BF376" s="79"/>
      <c r="BG376" s="79"/>
      <c r="BH376" s="79"/>
      <c r="BI376" s="79"/>
      <c r="BJ376" s="79"/>
      <c r="BK376" s="79"/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79"/>
      <c r="CH376" s="79"/>
      <c r="CI376" s="79"/>
      <c r="CJ376" s="79"/>
      <c r="CK376" s="79"/>
      <c r="CL376" s="79"/>
      <c r="CM376" s="79"/>
      <c r="CN376" s="79"/>
      <c r="CO376" s="79"/>
      <c r="CP376" s="79"/>
      <c r="CQ376" s="79"/>
      <c r="CR376" s="79"/>
      <c r="CS376" s="79"/>
      <c r="CT376" s="79"/>
      <c r="CU376" s="79"/>
      <c r="CV376" s="79"/>
      <c r="CW376" s="79"/>
      <c r="CX376" s="82">
        <f>CX473</f>
        <v>2203423</v>
      </c>
      <c r="CY376" s="82" t="str">
        <f>CY473</f>
        <v>1,341,644</v>
      </c>
      <c r="CZ376" s="82" t="str">
        <f>CZ473</f>
        <v>422,721</v>
      </c>
      <c r="DA376" s="83" t="str">
        <f>DA473</f>
        <v>439,058</v>
      </c>
      <c r="DB376" s="84"/>
    </row>
    <row r="377" spans="2:106" ht="11.25" customHeight="1">
      <c r="B377" s="78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  <c r="AS377" s="79"/>
      <c r="AT377" s="79"/>
      <c r="AU377" s="79"/>
      <c r="AV377" s="79"/>
      <c r="AW377" s="79"/>
      <c r="AX377" s="79"/>
      <c r="AY377" s="79"/>
      <c r="AZ377" s="79"/>
      <c r="BA377" s="79"/>
      <c r="BB377" s="79"/>
      <c r="BC377" s="79"/>
      <c r="BD377" s="79"/>
      <c r="BE377" s="79"/>
      <c r="BF377" s="79"/>
      <c r="BG377" s="79"/>
      <c r="BH377" s="79"/>
      <c r="BI377" s="79"/>
      <c r="BJ377" s="79"/>
      <c r="BK377" s="79"/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79"/>
      <c r="CH377" s="79"/>
      <c r="CI377" s="79"/>
      <c r="CJ377" s="79"/>
      <c r="CK377" s="79"/>
      <c r="CL377" s="79"/>
      <c r="CM377" s="79"/>
      <c r="CN377" s="79"/>
      <c r="CO377" s="79"/>
      <c r="CP377" s="79"/>
      <c r="CQ377" s="79"/>
      <c r="CR377" s="79"/>
      <c r="CS377" s="79"/>
      <c r="CT377" s="79"/>
      <c r="CU377" s="79"/>
      <c r="CV377" s="79"/>
      <c r="CW377" s="79"/>
      <c r="CX377" s="85"/>
      <c r="CY377" s="85"/>
      <c r="CZ377" s="85"/>
      <c r="DA377" s="86"/>
      <c r="DB377" s="84"/>
    </row>
    <row r="378" spans="2:106" ht="11.25" customHeight="1">
      <c r="B378" s="78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 t="s">
        <v>652</v>
      </c>
      <c r="U378" s="79" t="s">
        <v>309</v>
      </c>
      <c r="V378" s="79" t="str">
        <f>TEXT(16,"#,##0.#######")</f>
        <v>16.</v>
      </c>
      <c r="W378" s="79"/>
      <c r="X378" s="79" t="s">
        <v>434</v>
      </c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  <c r="AQ378" s="79"/>
      <c r="AR378" s="79"/>
      <c r="AS378" s="79"/>
      <c r="AT378" s="79"/>
      <c r="AU378" s="79"/>
      <c r="AV378" s="79"/>
      <c r="AW378" s="79"/>
      <c r="AX378" s="79"/>
      <c r="AY378" s="79"/>
      <c r="AZ378" s="79"/>
      <c r="BA378" s="79"/>
      <c r="BB378" s="79"/>
      <c r="BC378" s="79"/>
      <c r="BD378" s="79"/>
      <c r="BE378" s="79"/>
      <c r="BF378" s="79"/>
      <c r="BG378" s="79"/>
      <c r="BH378" s="79"/>
      <c r="BI378" s="79"/>
      <c r="BJ378" s="79"/>
      <c r="BK378" s="79"/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79"/>
      <c r="CH378" s="79"/>
      <c r="CI378" s="79"/>
      <c r="CJ378" s="79"/>
      <c r="CK378" s="79"/>
      <c r="CL378" s="79"/>
      <c r="CM378" s="79"/>
      <c r="CN378" s="79"/>
      <c r="CO378" s="79"/>
      <c r="CP378" s="79"/>
      <c r="CQ378" s="79"/>
      <c r="CR378" s="79"/>
      <c r="CS378" s="79"/>
      <c r="CT378" s="79"/>
      <c r="CU378" s="79"/>
      <c r="CV378" s="79"/>
      <c r="CW378" s="79"/>
      <c r="CX378" s="85"/>
      <c r="CY378" s="85"/>
      <c r="CZ378" s="85"/>
      <c r="DA378" s="86"/>
      <c r="DB378" s="84"/>
    </row>
    <row r="379" spans="2:106" ht="11.25" customHeight="1">
      <c r="B379" s="78"/>
      <c r="C379" s="79"/>
      <c r="D379" s="79"/>
      <c r="E379" s="79"/>
      <c r="F379" s="79"/>
      <c r="G379" s="79" t="s">
        <v>173</v>
      </c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 t="s">
        <v>23</v>
      </c>
      <c r="S379" s="79" t="s">
        <v>23</v>
      </c>
      <c r="T379" s="79" t="s">
        <v>23</v>
      </c>
      <c r="U379" s="79" t="s">
        <v>23</v>
      </c>
      <c r="V379" s="79" t="s">
        <v>23</v>
      </c>
      <c r="W379" s="79" t="s">
        <v>23</v>
      </c>
      <c r="X379" s="79" t="s">
        <v>23</v>
      </c>
      <c r="Y379" s="79" t="s">
        <v>23</v>
      </c>
      <c r="Z379" s="79" t="s">
        <v>23</v>
      </c>
      <c r="AA379" s="79" t="s">
        <v>23</v>
      </c>
      <c r="AB379" s="79" t="s">
        <v>23</v>
      </c>
      <c r="AC379" s="79" t="s">
        <v>23</v>
      </c>
      <c r="AD379" s="79" t="s">
        <v>23</v>
      </c>
      <c r="AE379" s="79" t="s">
        <v>23</v>
      </c>
      <c r="AF379" s="79" t="s">
        <v>23</v>
      </c>
      <c r="AG379" s="79"/>
      <c r="AH379" s="79" t="s">
        <v>737</v>
      </c>
      <c r="AI379" s="79"/>
      <c r="AJ379" s="79"/>
      <c r="AK379" s="79" t="s">
        <v>599</v>
      </c>
      <c r="AL379" s="79"/>
      <c r="AM379" s="79"/>
      <c r="AN379" s="79"/>
      <c r="AO379" s="79"/>
      <c r="AP379" s="79"/>
      <c r="AQ379" s="79"/>
      <c r="AR379" s="79"/>
      <c r="AS379" s="79"/>
      <c r="AT379" s="79"/>
      <c r="AU379" s="79"/>
      <c r="AV379" s="79"/>
      <c r="AW379" s="79"/>
      <c r="AX379" s="79"/>
      <c r="AY379" s="79"/>
      <c r="AZ379" s="79"/>
      <c r="BA379" s="79"/>
      <c r="BB379" s="79"/>
      <c r="BC379" s="79"/>
      <c r="BD379" s="79"/>
      <c r="BE379" s="79"/>
      <c r="BF379" s="79"/>
      <c r="BG379" s="79"/>
      <c r="BH379" s="79"/>
      <c r="BI379" s="79"/>
      <c r="BJ379" s="79"/>
      <c r="BK379" s="79"/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79"/>
      <c r="CH379" s="79"/>
      <c r="CI379" s="79"/>
      <c r="CJ379" s="79"/>
      <c r="CK379" s="79"/>
      <c r="CL379" s="79"/>
      <c r="CM379" s="79"/>
      <c r="CN379" s="79"/>
      <c r="CO379" s="79"/>
      <c r="CP379" s="79"/>
      <c r="CQ379" s="79"/>
      <c r="CR379" s="79"/>
      <c r="CS379" s="79"/>
      <c r="CT379" s="79"/>
      <c r="CU379" s="79"/>
      <c r="CV379" s="79"/>
      <c r="CW379" s="79"/>
      <c r="CX379" s="85"/>
      <c r="CY379" s="85"/>
      <c r="CZ379" s="85"/>
      <c r="DA379" s="86"/>
      <c r="DB379" s="84"/>
    </row>
    <row r="380" spans="2:106" ht="11.25" customHeight="1">
      <c r="B380" s="78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  <c r="AQ380" s="79"/>
      <c r="AR380" s="79"/>
      <c r="AS380" s="79"/>
      <c r="AT380" s="79"/>
      <c r="AU380" s="79"/>
      <c r="AV380" s="79"/>
      <c r="AW380" s="79"/>
      <c r="AX380" s="79"/>
      <c r="AY380" s="79"/>
      <c r="AZ380" s="79"/>
      <c r="BA380" s="79"/>
      <c r="BB380" s="79"/>
      <c r="BC380" s="79"/>
      <c r="BD380" s="79"/>
      <c r="BE380" s="79"/>
      <c r="BF380" s="79"/>
      <c r="BG380" s="79"/>
      <c r="BH380" s="79"/>
      <c r="BI380" s="79"/>
      <c r="BJ380" s="79"/>
      <c r="BK380" s="79"/>
      <c r="BL380" s="79"/>
      <c r="BM380" s="79"/>
      <c r="BN380" s="79"/>
      <c r="BO380" s="79"/>
      <c r="BP380" s="79"/>
      <c r="BQ380" s="79"/>
      <c r="BR380" s="79"/>
      <c r="BS380" s="79"/>
      <c r="BT380" s="79"/>
      <c r="BU380" s="79"/>
      <c r="BV380" s="79"/>
      <c r="BW380" s="79"/>
      <c r="BX380" s="79"/>
      <c r="BY380" s="79"/>
      <c r="BZ380" s="79"/>
      <c r="CA380" s="79"/>
      <c r="CB380" s="79"/>
      <c r="CC380" s="79"/>
      <c r="CD380" s="79"/>
      <c r="CE380" s="79"/>
      <c r="CF380" s="79"/>
      <c r="CG380" s="79"/>
      <c r="CH380" s="79"/>
      <c r="CI380" s="79"/>
      <c r="CJ380" s="79"/>
      <c r="CK380" s="79"/>
      <c r="CL380" s="79"/>
      <c r="CM380" s="79"/>
      <c r="CN380" s="79"/>
      <c r="CO380" s="79"/>
      <c r="CP380" s="79"/>
      <c r="CQ380" s="79"/>
      <c r="CR380" s="79"/>
      <c r="CS380" s="79"/>
      <c r="CT380" s="79"/>
      <c r="CU380" s="79"/>
      <c r="CV380" s="79"/>
      <c r="CW380" s="79"/>
      <c r="CX380" s="85"/>
      <c r="CY380" s="85"/>
      <c r="CZ380" s="85"/>
      <c r="DA380" s="86"/>
      <c r="DB380" s="84"/>
    </row>
    <row r="381" spans="2:106" ht="11.25" customHeight="1">
      <c r="B381" s="78"/>
      <c r="C381" s="79"/>
      <c r="D381" s="79"/>
      <c r="E381" s="79" t="s">
        <v>5</v>
      </c>
      <c r="F381" s="79"/>
      <c r="G381" s="79"/>
      <c r="H381" s="79" t="s">
        <v>405</v>
      </c>
      <c r="I381" s="79"/>
      <c r="J381" s="79"/>
      <c r="K381" s="79"/>
      <c r="L381" s="79"/>
      <c r="M381" s="79"/>
      <c r="N381" s="79"/>
      <c r="O381" s="79"/>
      <c r="P381" s="79" t="s">
        <v>431</v>
      </c>
      <c r="Q381" s="79" t="s">
        <v>713</v>
      </c>
      <c r="R381" s="79"/>
      <c r="S381" s="79" t="s">
        <v>566</v>
      </c>
      <c r="T381" s="79"/>
      <c r="U381" s="79"/>
      <c r="V381" s="79" t="s">
        <v>89</v>
      </c>
      <c r="W381" s="79"/>
      <c r="X381" s="79" t="s">
        <v>169</v>
      </c>
      <c r="Y381" s="79"/>
      <c r="Z381" s="79"/>
      <c r="AA381" s="79" t="s">
        <v>826</v>
      </c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  <c r="AS381" s="79"/>
      <c r="AT381" s="79"/>
      <c r="AU381" s="79"/>
      <c r="AV381" s="79"/>
      <c r="AW381" s="79"/>
      <c r="AX381" s="79"/>
      <c r="AY381" s="79"/>
      <c r="AZ381" s="79"/>
      <c r="BA381" s="79"/>
      <c r="BB381" s="79"/>
      <c r="BC381" s="79"/>
      <c r="BD381" s="79"/>
      <c r="BE381" s="79"/>
      <c r="BF381" s="79"/>
      <c r="BG381" s="79"/>
      <c r="BH381" s="79"/>
      <c r="BI381" s="79"/>
      <c r="BJ381" s="79"/>
      <c r="BK381" s="79"/>
      <c r="BL381" s="79"/>
      <c r="BM381" s="79"/>
      <c r="BN381" s="79"/>
      <c r="BO381" s="79"/>
      <c r="BP381" s="79"/>
      <c r="BQ381" s="79"/>
      <c r="BR381" s="79"/>
      <c r="BS381" s="79"/>
      <c r="BT381" s="79"/>
      <c r="BU381" s="79"/>
      <c r="BV381" s="79"/>
      <c r="BW381" s="79"/>
      <c r="BX381" s="79"/>
      <c r="BY381" s="79"/>
      <c r="BZ381" s="79"/>
      <c r="CA381" s="79"/>
      <c r="CB381" s="79"/>
      <c r="CC381" s="79"/>
      <c r="CD381" s="79"/>
      <c r="CE381" s="79"/>
      <c r="CF381" s="79"/>
      <c r="CG381" s="79"/>
      <c r="CH381" s="79"/>
      <c r="CI381" s="79"/>
      <c r="CJ381" s="79"/>
      <c r="CK381" s="79"/>
      <c r="CL381" s="79"/>
      <c r="CM381" s="79"/>
      <c r="CN381" s="79"/>
      <c r="CO381" s="79"/>
      <c r="CP381" s="79"/>
      <c r="CQ381" s="79"/>
      <c r="CR381" s="79"/>
      <c r="CS381" s="79"/>
      <c r="CT381" s="79"/>
      <c r="CU381" s="79"/>
      <c r="CV381" s="79"/>
      <c r="CW381" s="79"/>
      <c r="CX381" s="85"/>
      <c r="CY381" s="85"/>
      <c r="CZ381" s="85"/>
      <c r="DA381" s="86"/>
      <c r="DB381" s="84"/>
    </row>
    <row r="382" spans="2:106" ht="11.25" customHeight="1">
      <c r="B382" s="78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  <c r="AR382" s="79"/>
      <c r="AS382" s="79"/>
      <c r="AT382" s="79"/>
      <c r="AU382" s="79"/>
      <c r="AV382" s="79"/>
      <c r="AW382" s="79"/>
      <c r="AX382" s="79"/>
      <c r="AY382" s="79"/>
      <c r="AZ382" s="79"/>
      <c r="BA382" s="79"/>
      <c r="BB382" s="79"/>
      <c r="BC382" s="79"/>
      <c r="BD382" s="79"/>
      <c r="BE382" s="79"/>
      <c r="BF382" s="79"/>
      <c r="BG382" s="79"/>
      <c r="BH382" s="79"/>
      <c r="BI382" s="79"/>
      <c r="BJ382" s="79"/>
      <c r="BK382" s="79"/>
      <c r="BL382" s="79"/>
      <c r="BM382" s="79"/>
      <c r="BN382" s="79"/>
      <c r="BO382" s="79"/>
      <c r="BP382" s="79"/>
      <c r="BQ382" s="79"/>
      <c r="BR382" s="79"/>
      <c r="BS382" s="79"/>
      <c r="BT382" s="79"/>
      <c r="BU382" s="79"/>
      <c r="BV382" s="79"/>
      <c r="BW382" s="79"/>
      <c r="BX382" s="79"/>
      <c r="BY382" s="79"/>
      <c r="BZ382" s="79"/>
      <c r="CA382" s="79"/>
      <c r="CB382" s="79"/>
      <c r="CC382" s="79"/>
      <c r="CD382" s="79"/>
      <c r="CE382" s="79"/>
      <c r="CF382" s="79"/>
      <c r="CG382" s="79"/>
      <c r="CH382" s="79"/>
      <c r="CI382" s="79"/>
      <c r="CJ382" s="79"/>
      <c r="CK382" s="79"/>
      <c r="CL382" s="79"/>
      <c r="CM382" s="79"/>
      <c r="CN382" s="79"/>
      <c r="CO382" s="79"/>
      <c r="CP382" s="79"/>
      <c r="CQ382" s="79"/>
      <c r="CR382" s="79"/>
      <c r="CS382" s="79"/>
      <c r="CT382" s="79"/>
      <c r="CU382" s="79"/>
      <c r="CV382" s="79"/>
      <c r="CW382" s="79"/>
      <c r="CX382" s="85"/>
      <c r="CY382" s="85"/>
      <c r="CZ382" s="85"/>
      <c r="DA382" s="86"/>
      <c r="DB382" s="84"/>
    </row>
    <row r="383" spans="2:106" ht="11.25" customHeight="1">
      <c r="B383" s="78"/>
      <c r="C383" s="79"/>
      <c r="D383" s="79"/>
      <c r="E383" s="79"/>
      <c r="F383" s="79"/>
      <c r="G383" s="79" t="s">
        <v>35</v>
      </c>
      <c r="H383" s="79"/>
      <c r="I383" s="79"/>
      <c r="J383" s="79"/>
      <c r="K383" s="79"/>
      <c r="L383" s="79"/>
      <c r="M383" s="79" t="s">
        <v>431</v>
      </c>
      <c r="N383" s="79" t="s">
        <v>179</v>
      </c>
      <c r="O383" s="79"/>
      <c r="P383" s="79"/>
      <c r="Q383" s="79"/>
      <c r="R383" s="79"/>
      <c r="S383" s="79"/>
      <c r="T383" s="79" t="s">
        <v>89</v>
      </c>
      <c r="U383" s="79"/>
      <c r="V383" s="79"/>
      <c r="W383" s="79"/>
      <c r="X383" s="79" t="s">
        <v>143</v>
      </c>
      <c r="Y383" s="79"/>
      <c r="Z383" s="79"/>
      <c r="AA383" s="79"/>
      <c r="AB383" s="79" t="s">
        <v>574</v>
      </c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 t="s">
        <v>225</v>
      </c>
      <c r="AN383" s="79" t="s">
        <v>161</v>
      </c>
      <c r="AO383" s="79"/>
      <c r="AP383" s="79"/>
      <c r="AQ383" s="79"/>
      <c r="AR383" s="79"/>
      <c r="AS383" s="79"/>
      <c r="AT383" s="79"/>
      <c r="AU383" s="79"/>
      <c r="AV383" s="79"/>
      <c r="AW383" s="79"/>
      <c r="AX383" s="79"/>
      <c r="AY383" s="79"/>
      <c r="AZ383" s="79"/>
      <c r="BA383" s="79"/>
      <c r="BB383" s="79"/>
      <c r="BC383" s="79"/>
      <c r="BD383" s="79"/>
      <c r="BE383" s="79"/>
      <c r="BF383" s="79"/>
      <c r="BG383" s="79"/>
      <c r="BH383" s="79"/>
      <c r="BI383" s="79"/>
      <c r="BJ383" s="79"/>
      <c r="BK383" s="79"/>
      <c r="BL383" s="79"/>
      <c r="BM383" s="79"/>
      <c r="BN383" s="79"/>
      <c r="BO383" s="79"/>
      <c r="BP383" s="79"/>
      <c r="BQ383" s="79"/>
      <c r="BR383" s="79"/>
      <c r="BS383" s="79"/>
      <c r="BT383" s="79"/>
      <c r="BU383" s="79"/>
      <c r="BV383" s="79"/>
      <c r="BW383" s="79"/>
      <c r="BX383" s="79"/>
      <c r="BY383" s="79"/>
      <c r="BZ383" s="79"/>
      <c r="CA383" s="79"/>
      <c r="CB383" s="79"/>
      <c r="CC383" s="79"/>
      <c r="CD383" s="79"/>
      <c r="CE383" s="79"/>
      <c r="CF383" s="79"/>
      <c r="CG383" s="79"/>
      <c r="CH383" s="79"/>
      <c r="CI383" s="79"/>
      <c r="CJ383" s="79"/>
      <c r="CK383" s="79"/>
      <c r="CL383" s="79"/>
      <c r="CM383" s="79"/>
      <c r="CN383" s="79"/>
      <c r="CO383" s="79"/>
      <c r="CP383" s="79"/>
      <c r="CQ383" s="79"/>
      <c r="CR383" s="79"/>
      <c r="CS383" s="79"/>
      <c r="CT383" s="79"/>
      <c r="CU383" s="79"/>
      <c r="CV383" s="79"/>
      <c r="CW383" s="79"/>
      <c r="CX383" s="85"/>
      <c r="CY383" s="85"/>
      <c r="CZ383" s="85"/>
      <c r="DA383" s="86"/>
      <c r="DB383" s="84"/>
    </row>
    <row r="384" spans="2:106" ht="11.25" customHeight="1">
      <c r="B384" s="78"/>
      <c r="C384" s="79"/>
      <c r="D384" s="79"/>
      <c r="E384" s="79"/>
      <c r="F384" s="79"/>
      <c r="G384" s="79" t="s">
        <v>35</v>
      </c>
      <c r="H384" s="79"/>
      <c r="I384" s="79"/>
      <c r="J384" s="79"/>
      <c r="K384" s="79"/>
      <c r="L384" s="79"/>
      <c r="M384" s="79" t="s">
        <v>431</v>
      </c>
      <c r="N384" s="79" t="s">
        <v>179</v>
      </c>
      <c r="O384" s="79"/>
      <c r="P384" s="79"/>
      <c r="Q384" s="79"/>
      <c r="R384" s="79"/>
      <c r="S384" s="79"/>
      <c r="T384" s="79" t="s">
        <v>89</v>
      </c>
      <c r="U384" s="79"/>
      <c r="V384" s="79"/>
      <c r="W384" s="79"/>
      <c r="X384" s="79" t="s">
        <v>52</v>
      </c>
      <c r="Y384" s="79"/>
      <c r="Z384" s="79"/>
      <c r="AA384" s="79"/>
      <c r="AB384" s="79" t="s">
        <v>574</v>
      </c>
      <c r="AC384" s="79"/>
      <c r="AD384" s="79" t="s">
        <v>129</v>
      </c>
      <c r="AE384" s="79"/>
      <c r="AF384" s="79"/>
      <c r="AG384" s="79"/>
      <c r="AH384" s="79"/>
      <c r="AI384" s="79"/>
      <c r="AJ384" s="79"/>
      <c r="AK384" s="79"/>
      <c r="AL384" s="79"/>
      <c r="AM384" s="79" t="s">
        <v>225</v>
      </c>
      <c r="AN384" s="79" t="s">
        <v>161</v>
      </c>
      <c r="AO384" s="79"/>
      <c r="AP384" s="79"/>
      <c r="AQ384" s="79"/>
      <c r="AR384" s="79"/>
      <c r="AS384" s="79"/>
      <c r="AT384" s="79"/>
      <c r="AU384" s="79"/>
      <c r="AV384" s="79"/>
      <c r="AW384" s="79"/>
      <c r="AX384" s="79"/>
      <c r="AY384" s="79"/>
      <c r="AZ384" s="79"/>
      <c r="BA384" s="79"/>
      <c r="BB384" s="79"/>
      <c r="BC384" s="79"/>
      <c r="BD384" s="79"/>
      <c r="BE384" s="79"/>
      <c r="BF384" s="79"/>
      <c r="BG384" s="79"/>
      <c r="BH384" s="79"/>
      <c r="BI384" s="79"/>
      <c r="BJ384" s="79"/>
      <c r="BK384" s="79"/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79"/>
      <c r="CH384" s="79"/>
      <c r="CI384" s="79"/>
      <c r="CJ384" s="79"/>
      <c r="CK384" s="79"/>
      <c r="CL384" s="79"/>
      <c r="CM384" s="79"/>
      <c r="CN384" s="79"/>
      <c r="CO384" s="79"/>
      <c r="CP384" s="79"/>
      <c r="CQ384" s="79"/>
      <c r="CR384" s="79"/>
      <c r="CS384" s="79"/>
      <c r="CT384" s="79"/>
      <c r="CU384" s="79"/>
      <c r="CV384" s="79"/>
      <c r="CW384" s="79"/>
      <c r="CX384" s="85"/>
      <c r="CY384" s="85"/>
      <c r="CZ384" s="85"/>
      <c r="DA384" s="86"/>
      <c r="DB384" s="84"/>
    </row>
    <row r="385" spans="2:106" ht="11.25" customHeight="1">
      <c r="B385" s="78"/>
      <c r="C385" s="79"/>
      <c r="D385" s="79"/>
      <c r="E385" s="79"/>
      <c r="F385" s="79"/>
      <c r="G385" s="79" t="s">
        <v>382</v>
      </c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 t="s">
        <v>225</v>
      </c>
      <c r="AM385" s="79" t="s">
        <v>161</v>
      </c>
      <c r="AN385" s="79"/>
      <c r="AO385" s="79"/>
      <c r="AP385" s="79"/>
      <c r="AQ385" s="79"/>
      <c r="AR385" s="79"/>
      <c r="AS385" s="79"/>
      <c r="AT385" s="79"/>
      <c r="AU385" s="79"/>
      <c r="AV385" s="79"/>
      <c r="AW385" s="79"/>
      <c r="AX385" s="79"/>
      <c r="AY385" s="79"/>
      <c r="AZ385" s="79"/>
      <c r="BA385" s="79"/>
      <c r="BB385" s="79"/>
      <c r="BC385" s="79"/>
      <c r="BD385" s="79"/>
      <c r="BE385" s="79"/>
      <c r="BF385" s="79"/>
      <c r="BG385" s="79"/>
      <c r="BH385" s="79"/>
      <c r="BI385" s="79"/>
      <c r="BJ385" s="79"/>
      <c r="BK385" s="79"/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79"/>
      <c r="CH385" s="79"/>
      <c r="CI385" s="79"/>
      <c r="CJ385" s="79"/>
      <c r="CK385" s="79"/>
      <c r="CL385" s="79"/>
      <c r="CM385" s="79"/>
      <c r="CN385" s="79"/>
      <c r="CO385" s="79"/>
      <c r="CP385" s="79"/>
      <c r="CQ385" s="79"/>
      <c r="CR385" s="79"/>
      <c r="CS385" s="79"/>
      <c r="CT385" s="79"/>
      <c r="CU385" s="79"/>
      <c r="CV385" s="79"/>
      <c r="CW385" s="79"/>
      <c r="CX385" s="85"/>
      <c r="CY385" s="85"/>
      <c r="CZ385" s="85"/>
      <c r="DA385" s="86"/>
      <c r="DB385" s="84"/>
    </row>
    <row r="386" spans="2:106" ht="11.25" customHeight="1">
      <c r="B386" s="78"/>
      <c r="C386" s="79"/>
      <c r="D386" s="79"/>
      <c r="E386" s="79"/>
      <c r="F386" s="79"/>
      <c r="G386" s="79" t="s">
        <v>329</v>
      </c>
      <c r="H386" s="79"/>
      <c r="I386" s="79"/>
      <c r="J386" s="79" t="s">
        <v>534</v>
      </c>
      <c r="K386" s="79"/>
      <c r="L386" s="79"/>
      <c r="M386" s="79" t="s">
        <v>471</v>
      </c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 t="s">
        <v>90</v>
      </c>
      <c r="Y386" s="79"/>
      <c r="Z386" s="79" t="s">
        <v>228</v>
      </c>
      <c r="AA386" s="79" t="s">
        <v>151</v>
      </c>
      <c r="AB386" s="79"/>
      <c r="AC386" s="79"/>
      <c r="AD386" s="79" t="s">
        <v>566</v>
      </c>
      <c r="AE386" s="79"/>
      <c r="AF386" s="79"/>
      <c r="AG386" s="79"/>
      <c r="AH386" s="79"/>
      <c r="AI386" s="79"/>
      <c r="AJ386" s="79"/>
      <c r="AK386" s="79"/>
      <c r="AL386" s="79" t="s">
        <v>225</v>
      </c>
      <c r="AM386" s="79" t="s">
        <v>161</v>
      </c>
      <c r="AN386" s="79"/>
      <c r="AO386" s="79"/>
      <c r="AP386" s="79"/>
      <c r="AQ386" s="79"/>
      <c r="AR386" s="79"/>
      <c r="AS386" s="79"/>
      <c r="AT386" s="79"/>
      <c r="AU386" s="79"/>
      <c r="AV386" s="79"/>
      <c r="AW386" s="79"/>
      <c r="AX386" s="79"/>
      <c r="AY386" s="79"/>
      <c r="AZ386" s="79"/>
      <c r="BA386" s="79"/>
      <c r="BB386" s="79"/>
      <c r="BC386" s="79"/>
      <c r="BD386" s="79"/>
      <c r="BE386" s="79"/>
      <c r="BF386" s="79"/>
      <c r="BG386" s="79"/>
      <c r="BH386" s="79"/>
      <c r="BI386" s="79"/>
      <c r="BJ386" s="79"/>
      <c r="BK386" s="79"/>
      <c r="BL386" s="79"/>
      <c r="BM386" s="79"/>
      <c r="BN386" s="79"/>
      <c r="BO386" s="79"/>
      <c r="BP386" s="79"/>
      <c r="BQ386" s="79"/>
      <c r="BR386" s="79"/>
      <c r="BS386" s="79"/>
      <c r="BT386" s="79"/>
      <c r="BU386" s="79"/>
      <c r="BV386" s="79"/>
      <c r="BW386" s="79"/>
      <c r="BX386" s="79"/>
      <c r="BY386" s="79"/>
      <c r="BZ386" s="79"/>
      <c r="CA386" s="79"/>
      <c r="CB386" s="79"/>
      <c r="CC386" s="79"/>
      <c r="CD386" s="79"/>
      <c r="CE386" s="79"/>
      <c r="CF386" s="79"/>
      <c r="CG386" s="79"/>
      <c r="CH386" s="79"/>
      <c r="CI386" s="79"/>
      <c r="CJ386" s="79"/>
      <c r="CK386" s="79"/>
      <c r="CL386" s="79"/>
      <c r="CM386" s="79"/>
      <c r="CN386" s="79"/>
      <c r="CO386" s="79"/>
      <c r="CP386" s="79"/>
      <c r="CQ386" s="79"/>
      <c r="CR386" s="79"/>
      <c r="CS386" s="79"/>
      <c r="CT386" s="79"/>
      <c r="CU386" s="79"/>
      <c r="CV386" s="79"/>
      <c r="CW386" s="79"/>
      <c r="CX386" s="85"/>
      <c r="CY386" s="85"/>
      <c r="CZ386" s="85"/>
      <c r="DA386" s="86"/>
      <c r="DB386" s="84"/>
    </row>
    <row r="387" spans="2:106" ht="11.25" customHeight="1">
      <c r="B387" s="78"/>
      <c r="C387" s="79"/>
      <c r="D387" s="79"/>
      <c r="E387" s="79"/>
      <c r="F387" s="79"/>
      <c r="G387" s="79" t="s">
        <v>164</v>
      </c>
      <c r="H387" s="79"/>
      <c r="I387" s="79"/>
      <c r="J387" s="79"/>
      <c r="K387" s="79"/>
      <c r="L387" s="79"/>
      <c r="M387" s="79" t="s">
        <v>471</v>
      </c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 t="s">
        <v>253</v>
      </c>
      <c r="Y387" s="79" t="s">
        <v>228</v>
      </c>
      <c r="Z387" s="79" t="s">
        <v>764</v>
      </c>
      <c r="AA387" s="79"/>
      <c r="AB387" s="79" t="s">
        <v>566</v>
      </c>
      <c r="AC387" s="79"/>
      <c r="AD387" s="79"/>
      <c r="AE387" s="79"/>
      <c r="AF387" s="79"/>
      <c r="AG387" s="79"/>
      <c r="AH387" s="79"/>
      <c r="AI387" s="79"/>
      <c r="AJ387" s="79"/>
      <c r="AK387" s="79"/>
      <c r="AL387" s="79" t="s">
        <v>225</v>
      </c>
      <c r="AM387" s="79" t="s">
        <v>161</v>
      </c>
      <c r="AN387" s="79"/>
      <c r="AO387" s="79"/>
      <c r="AP387" s="79"/>
      <c r="AQ387" s="79"/>
      <c r="AR387" s="79"/>
      <c r="AS387" s="79"/>
      <c r="AT387" s="79"/>
      <c r="AU387" s="79"/>
      <c r="AV387" s="79"/>
      <c r="AW387" s="79"/>
      <c r="AX387" s="79"/>
      <c r="AY387" s="79"/>
      <c r="AZ387" s="79"/>
      <c r="BA387" s="79"/>
      <c r="BB387" s="79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  <c r="BM387" s="79"/>
      <c r="BN387" s="79"/>
      <c r="BO387" s="79"/>
      <c r="BP387" s="79"/>
      <c r="BQ387" s="79"/>
      <c r="BR387" s="79"/>
      <c r="BS387" s="79"/>
      <c r="BT387" s="79"/>
      <c r="BU387" s="79"/>
      <c r="BV387" s="79"/>
      <c r="BW387" s="79"/>
      <c r="BX387" s="79"/>
      <c r="BY387" s="79"/>
      <c r="BZ387" s="79"/>
      <c r="CA387" s="79"/>
      <c r="CB387" s="79"/>
      <c r="CC387" s="79"/>
      <c r="CD387" s="79"/>
      <c r="CE387" s="79"/>
      <c r="CF387" s="79"/>
      <c r="CG387" s="79"/>
      <c r="CH387" s="79"/>
      <c r="CI387" s="79"/>
      <c r="CJ387" s="79"/>
      <c r="CK387" s="79"/>
      <c r="CL387" s="79"/>
      <c r="CM387" s="79"/>
      <c r="CN387" s="79"/>
      <c r="CO387" s="79"/>
      <c r="CP387" s="79"/>
      <c r="CQ387" s="79"/>
      <c r="CR387" s="79"/>
      <c r="CS387" s="79"/>
      <c r="CT387" s="79"/>
      <c r="CU387" s="79"/>
      <c r="CV387" s="79"/>
      <c r="CW387" s="79"/>
      <c r="CX387" s="85"/>
      <c r="CY387" s="85"/>
      <c r="CZ387" s="85"/>
      <c r="DA387" s="86"/>
      <c r="DB387" s="84"/>
    </row>
    <row r="388" spans="2:106" ht="11.25" customHeight="1">
      <c r="B388" s="78"/>
      <c r="C388" s="79"/>
      <c r="D388" s="79"/>
      <c r="E388" s="79"/>
      <c r="F388" s="79"/>
      <c r="G388" s="79" t="s">
        <v>134</v>
      </c>
      <c r="H388" s="79"/>
      <c r="I388" s="79"/>
      <c r="J388" s="79" t="s">
        <v>741</v>
      </c>
      <c r="K388" s="79"/>
      <c r="L388" s="79"/>
      <c r="M388" s="79" t="s">
        <v>378</v>
      </c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 t="s">
        <v>516</v>
      </c>
      <c r="Y388" s="79"/>
      <c r="Z388" s="79"/>
      <c r="AA388" s="79"/>
      <c r="AB388" s="79" t="s">
        <v>296</v>
      </c>
      <c r="AC388" s="79"/>
      <c r="AD388" s="79"/>
      <c r="AE388" s="79"/>
      <c r="AF388" s="79"/>
      <c r="AG388" s="79"/>
      <c r="AH388" s="79"/>
      <c r="AI388" s="79"/>
      <c r="AJ388" s="79"/>
      <c r="AK388" s="79"/>
      <c r="AL388" s="79" t="s">
        <v>225</v>
      </c>
      <c r="AM388" s="79" t="s">
        <v>161</v>
      </c>
      <c r="AN388" s="79"/>
      <c r="AO388" s="79"/>
      <c r="AP388" s="79"/>
      <c r="AQ388" s="79"/>
      <c r="AR388" s="79"/>
      <c r="AS388" s="79"/>
      <c r="AT388" s="79"/>
      <c r="AU388" s="79"/>
      <c r="AV388" s="79"/>
      <c r="AW388" s="79"/>
      <c r="AX388" s="79"/>
      <c r="AY388" s="79"/>
      <c r="AZ388" s="79"/>
      <c r="BA388" s="79"/>
      <c r="BB388" s="79"/>
      <c r="BC388" s="79"/>
      <c r="BD388" s="79"/>
      <c r="BE388" s="79"/>
      <c r="BF388" s="79"/>
      <c r="BG388" s="79"/>
      <c r="BH388" s="79"/>
      <c r="BI388" s="79"/>
      <c r="BJ388" s="79"/>
      <c r="BK388" s="79"/>
      <c r="BL388" s="79"/>
      <c r="BM388" s="79"/>
      <c r="BN388" s="79"/>
      <c r="BO388" s="79"/>
      <c r="BP388" s="79"/>
      <c r="BQ388" s="79"/>
      <c r="BR388" s="79"/>
      <c r="BS388" s="79"/>
      <c r="BT388" s="79"/>
      <c r="BU388" s="79"/>
      <c r="BV388" s="79"/>
      <c r="BW388" s="79"/>
      <c r="BX388" s="79"/>
      <c r="BY388" s="79"/>
      <c r="BZ388" s="79"/>
      <c r="CA388" s="79"/>
      <c r="CB388" s="79"/>
      <c r="CC388" s="79"/>
      <c r="CD388" s="79"/>
      <c r="CE388" s="79"/>
      <c r="CF388" s="79"/>
      <c r="CG388" s="79"/>
      <c r="CH388" s="79"/>
      <c r="CI388" s="79"/>
      <c r="CJ388" s="79"/>
      <c r="CK388" s="79"/>
      <c r="CL388" s="79"/>
      <c r="CM388" s="79"/>
      <c r="CN388" s="79"/>
      <c r="CO388" s="79"/>
      <c r="CP388" s="79"/>
      <c r="CQ388" s="79"/>
      <c r="CR388" s="79"/>
      <c r="CS388" s="79"/>
      <c r="CT388" s="79"/>
      <c r="CU388" s="79"/>
      <c r="CV388" s="79"/>
      <c r="CW388" s="79"/>
      <c r="CX388" s="85"/>
      <c r="CY388" s="85"/>
      <c r="CZ388" s="85"/>
      <c r="DA388" s="86"/>
      <c r="DB388" s="84"/>
    </row>
    <row r="389" spans="2:106" ht="11.25" customHeight="1">
      <c r="B389" s="78"/>
      <c r="C389" s="79"/>
      <c r="D389" s="79"/>
      <c r="E389" s="79"/>
      <c r="F389" s="79" t="s">
        <v>23</v>
      </c>
      <c r="G389" s="79" t="s">
        <v>23</v>
      </c>
      <c r="H389" s="79" t="s">
        <v>23</v>
      </c>
      <c r="I389" s="79" t="s">
        <v>23</v>
      </c>
      <c r="J389" s="79" t="s">
        <v>23</v>
      </c>
      <c r="K389" s="79" t="s">
        <v>23</v>
      </c>
      <c r="L389" s="79" t="s">
        <v>23</v>
      </c>
      <c r="M389" s="79" t="s">
        <v>23</v>
      </c>
      <c r="N389" s="79" t="s">
        <v>23</v>
      </c>
      <c r="O389" s="79" t="s">
        <v>23</v>
      </c>
      <c r="P389" s="79" t="s">
        <v>23</v>
      </c>
      <c r="Q389" s="79" t="s">
        <v>23</v>
      </c>
      <c r="R389" s="79" t="s">
        <v>23</v>
      </c>
      <c r="S389" s="79" t="s">
        <v>23</v>
      </c>
      <c r="T389" s="79" t="s">
        <v>23</v>
      </c>
      <c r="U389" s="79" t="s">
        <v>23</v>
      </c>
      <c r="V389" s="79" t="s">
        <v>23</v>
      </c>
      <c r="W389" s="79" t="s">
        <v>23</v>
      </c>
      <c r="X389" s="79" t="s">
        <v>23</v>
      </c>
      <c r="Y389" s="79" t="s">
        <v>23</v>
      </c>
      <c r="Z389" s="79" t="s">
        <v>23</v>
      </c>
      <c r="AA389" s="79" t="s">
        <v>23</v>
      </c>
      <c r="AB389" s="79" t="s">
        <v>23</v>
      </c>
      <c r="AC389" s="79" t="s">
        <v>23</v>
      </c>
      <c r="AD389" s="79" t="s">
        <v>23</v>
      </c>
      <c r="AE389" s="79" t="s">
        <v>23</v>
      </c>
      <c r="AF389" s="79" t="s">
        <v>23</v>
      </c>
      <c r="AG389" s="79" t="s">
        <v>23</v>
      </c>
      <c r="AH389" s="79" t="s">
        <v>23</v>
      </c>
      <c r="AI389" s="79" t="s">
        <v>23</v>
      </c>
      <c r="AJ389" s="79" t="s">
        <v>23</v>
      </c>
      <c r="AK389" s="79" t="s">
        <v>23</v>
      </c>
      <c r="AL389" s="79" t="s">
        <v>23</v>
      </c>
      <c r="AM389" s="79" t="s">
        <v>23</v>
      </c>
      <c r="AN389" s="79" t="s">
        <v>23</v>
      </c>
      <c r="AO389" s="79" t="s">
        <v>23</v>
      </c>
      <c r="AP389" s="79" t="s">
        <v>23</v>
      </c>
      <c r="AQ389" s="79" t="s">
        <v>23</v>
      </c>
      <c r="AR389" s="79" t="s">
        <v>23</v>
      </c>
      <c r="AS389" s="79" t="s">
        <v>23</v>
      </c>
      <c r="AT389" s="79" t="s">
        <v>23</v>
      </c>
      <c r="AU389" s="79"/>
      <c r="AV389" s="79"/>
      <c r="AW389" s="79"/>
      <c r="AX389" s="79"/>
      <c r="AY389" s="79"/>
      <c r="AZ389" s="79"/>
      <c r="BA389" s="79"/>
      <c r="BB389" s="79"/>
      <c r="BC389" s="79"/>
      <c r="BD389" s="79"/>
      <c r="BE389" s="79"/>
      <c r="BF389" s="79"/>
      <c r="BG389" s="79"/>
      <c r="BH389" s="79"/>
      <c r="BI389" s="79"/>
      <c r="BJ389" s="79"/>
      <c r="BK389" s="79"/>
      <c r="BL389" s="79"/>
      <c r="BM389" s="79"/>
      <c r="BN389" s="79"/>
      <c r="BO389" s="79"/>
      <c r="BP389" s="79"/>
      <c r="BQ389" s="79"/>
      <c r="BR389" s="79"/>
      <c r="BS389" s="79"/>
      <c r="BT389" s="79"/>
      <c r="BU389" s="79"/>
      <c r="BV389" s="79"/>
      <c r="BW389" s="79"/>
      <c r="BX389" s="79"/>
      <c r="BY389" s="79"/>
      <c r="BZ389" s="79"/>
      <c r="CA389" s="79"/>
      <c r="CB389" s="79"/>
      <c r="CC389" s="79"/>
      <c r="CD389" s="79"/>
      <c r="CE389" s="79"/>
      <c r="CF389" s="79"/>
      <c r="CG389" s="79"/>
      <c r="CH389" s="79"/>
      <c r="CI389" s="79"/>
      <c r="CJ389" s="79"/>
      <c r="CK389" s="79"/>
      <c r="CL389" s="79"/>
      <c r="CM389" s="79"/>
      <c r="CN389" s="79"/>
      <c r="CO389" s="79"/>
      <c r="CP389" s="79"/>
      <c r="CQ389" s="79"/>
      <c r="CR389" s="79"/>
      <c r="CS389" s="79"/>
      <c r="CT389" s="79"/>
      <c r="CU389" s="79"/>
      <c r="CV389" s="79"/>
      <c r="CW389" s="79"/>
      <c r="CX389" s="85"/>
      <c r="CY389" s="85"/>
      <c r="CZ389" s="85"/>
      <c r="DA389" s="86"/>
      <c r="DB389" s="84"/>
    </row>
    <row r="390" spans="2:106" ht="11.25" customHeight="1">
      <c r="B390" s="78"/>
      <c r="C390" s="79"/>
      <c r="D390" s="79"/>
      <c r="E390" s="79"/>
      <c r="F390" s="79"/>
      <c r="G390" s="79" t="s">
        <v>405</v>
      </c>
      <c r="H390" s="79"/>
      <c r="I390" s="79"/>
      <c r="J390" s="79"/>
      <c r="K390" s="79"/>
      <c r="L390" s="79"/>
      <c r="M390" s="79"/>
      <c r="N390" s="79"/>
      <c r="O390" s="79"/>
      <c r="P390" s="79" t="s">
        <v>64</v>
      </c>
      <c r="Q390" s="79"/>
      <c r="R390" s="79"/>
      <c r="S390" s="79"/>
      <c r="T390" s="79"/>
      <c r="U390" s="79"/>
      <c r="V390" s="79"/>
      <c r="W390" s="79"/>
      <c r="X390" s="79"/>
      <c r="Y390" s="79" t="s">
        <v>604</v>
      </c>
      <c r="Z390" s="79"/>
      <c r="AA390" s="79"/>
      <c r="AB390" s="79"/>
      <c r="AC390" s="79"/>
      <c r="AD390" s="79"/>
      <c r="AE390" s="79"/>
      <c r="AF390" s="79"/>
      <c r="AG390" s="79" t="s">
        <v>541</v>
      </c>
      <c r="AH390" s="79"/>
      <c r="AI390" s="79"/>
      <c r="AJ390" s="79" t="s">
        <v>309</v>
      </c>
      <c r="AK390" s="79"/>
      <c r="AL390" s="79" t="str">
        <f>TEXT(6,"#,##0.#######")</f>
        <v>6.</v>
      </c>
      <c r="AM390" s="79" t="s">
        <v>161</v>
      </c>
      <c r="AN390" s="79"/>
      <c r="AO390" s="79"/>
      <c r="AP390" s="79"/>
      <c r="AQ390" s="79"/>
      <c r="AR390" s="79"/>
      <c r="AS390" s="79"/>
      <c r="AT390" s="79"/>
      <c r="AU390" s="79"/>
      <c r="AV390" s="79"/>
      <c r="AW390" s="79"/>
      <c r="AX390" s="79"/>
      <c r="AY390" s="79"/>
      <c r="AZ390" s="79"/>
      <c r="BA390" s="79"/>
      <c r="BB390" s="79"/>
      <c r="BC390" s="79"/>
      <c r="BD390" s="79"/>
      <c r="BE390" s="79"/>
      <c r="BF390" s="79"/>
      <c r="BG390" s="79"/>
      <c r="BH390" s="79"/>
      <c r="BI390" s="79"/>
      <c r="BJ390" s="79"/>
      <c r="BK390" s="79"/>
      <c r="BL390" s="79"/>
      <c r="BM390" s="79"/>
      <c r="BN390" s="79"/>
      <c r="BO390" s="79"/>
      <c r="BP390" s="79"/>
      <c r="BQ390" s="79"/>
      <c r="BR390" s="79"/>
      <c r="BS390" s="79"/>
      <c r="BT390" s="79"/>
      <c r="BU390" s="79"/>
      <c r="BV390" s="79"/>
      <c r="BW390" s="79"/>
      <c r="BX390" s="79"/>
      <c r="BY390" s="79"/>
      <c r="BZ390" s="79"/>
      <c r="CA390" s="79"/>
      <c r="CB390" s="79"/>
      <c r="CC390" s="79"/>
      <c r="CD390" s="79"/>
      <c r="CE390" s="79"/>
      <c r="CF390" s="79"/>
      <c r="CG390" s="79"/>
      <c r="CH390" s="79"/>
      <c r="CI390" s="79"/>
      <c r="CJ390" s="79"/>
      <c r="CK390" s="79"/>
      <c r="CL390" s="79"/>
      <c r="CM390" s="79"/>
      <c r="CN390" s="79"/>
      <c r="CO390" s="79"/>
      <c r="CP390" s="79"/>
      <c r="CQ390" s="79"/>
      <c r="CR390" s="79"/>
      <c r="CS390" s="79"/>
      <c r="CT390" s="79"/>
      <c r="CU390" s="79"/>
      <c r="CV390" s="79"/>
      <c r="CW390" s="79"/>
      <c r="CX390" s="85"/>
      <c r="CY390" s="85"/>
      <c r="CZ390" s="85"/>
      <c r="DA390" s="86"/>
      <c r="DB390" s="84"/>
    </row>
    <row r="391" spans="2:106" ht="11.25" customHeight="1">
      <c r="B391" s="78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/>
      <c r="AT391" s="79"/>
      <c r="AU391" s="79"/>
      <c r="AV391" s="79"/>
      <c r="AW391" s="79"/>
      <c r="AX391" s="79"/>
      <c r="AY391" s="79"/>
      <c r="AZ391" s="79"/>
      <c r="BA391" s="79"/>
      <c r="BB391" s="79"/>
      <c r="BC391" s="79"/>
      <c r="BD391" s="79"/>
      <c r="BE391" s="79"/>
      <c r="BF391" s="79"/>
      <c r="BG391" s="79"/>
      <c r="BH391" s="79"/>
      <c r="BI391" s="79"/>
      <c r="BJ391" s="79"/>
      <c r="BK391" s="79"/>
      <c r="BL391" s="79"/>
      <c r="BM391" s="79"/>
      <c r="BN391" s="79"/>
      <c r="BO391" s="79"/>
      <c r="BP391" s="79"/>
      <c r="BQ391" s="79"/>
      <c r="BR391" s="79"/>
      <c r="BS391" s="79"/>
      <c r="BT391" s="79"/>
      <c r="BU391" s="79"/>
      <c r="BV391" s="79"/>
      <c r="BW391" s="79"/>
      <c r="BX391" s="79"/>
      <c r="BY391" s="79"/>
      <c r="BZ391" s="79"/>
      <c r="CA391" s="79"/>
      <c r="CB391" s="79"/>
      <c r="CC391" s="79"/>
      <c r="CD391" s="79"/>
      <c r="CE391" s="79"/>
      <c r="CF391" s="79"/>
      <c r="CG391" s="79"/>
      <c r="CH391" s="79"/>
      <c r="CI391" s="79"/>
      <c r="CJ391" s="79"/>
      <c r="CK391" s="79"/>
      <c r="CL391" s="79"/>
      <c r="CM391" s="79"/>
      <c r="CN391" s="79"/>
      <c r="CO391" s="79"/>
      <c r="CP391" s="79"/>
      <c r="CQ391" s="79"/>
      <c r="CR391" s="79"/>
      <c r="CS391" s="79"/>
      <c r="CT391" s="79"/>
      <c r="CU391" s="79"/>
      <c r="CV391" s="79"/>
      <c r="CW391" s="79"/>
      <c r="CX391" s="85"/>
      <c r="CY391" s="85"/>
      <c r="CZ391" s="85"/>
      <c r="DA391" s="86"/>
      <c r="DB391" s="84"/>
    </row>
    <row r="392" spans="2:106" ht="11.25" customHeight="1">
      <c r="B392" s="78"/>
      <c r="C392" s="79"/>
      <c r="D392" s="79"/>
      <c r="E392" s="79" t="s">
        <v>5</v>
      </c>
      <c r="F392" s="79"/>
      <c r="G392" s="79"/>
      <c r="H392" s="79" t="s">
        <v>823</v>
      </c>
      <c r="I392" s="79"/>
      <c r="J392" s="79"/>
      <c r="K392" s="79"/>
      <c r="L392" s="79"/>
      <c r="M392" s="79"/>
      <c r="N392" s="79"/>
      <c r="O392" s="79" t="s">
        <v>169</v>
      </c>
      <c r="P392" s="79"/>
      <c r="Q392" s="79"/>
      <c r="R392" s="79" t="s">
        <v>826</v>
      </c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  <c r="AS392" s="79"/>
      <c r="AT392" s="79"/>
      <c r="AU392" s="79"/>
      <c r="AV392" s="79"/>
      <c r="AW392" s="79"/>
      <c r="AX392" s="79"/>
      <c r="AY392" s="79"/>
      <c r="AZ392" s="79"/>
      <c r="BA392" s="79"/>
      <c r="BB392" s="79"/>
      <c r="BC392" s="79"/>
      <c r="BD392" s="79"/>
      <c r="BE392" s="79"/>
      <c r="BF392" s="79"/>
      <c r="BG392" s="79"/>
      <c r="BH392" s="79"/>
      <c r="BI392" s="79"/>
      <c r="BJ392" s="79"/>
      <c r="BK392" s="79"/>
      <c r="BL392" s="79"/>
      <c r="BM392" s="79"/>
      <c r="BN392" s="79"/>
      <c r="BO392" s="79"/>
      <c r="BP392" s="79"/>
      <c r="BQ392" s="79"/>
      <c r="BR392" s="79"/>
      <c r="BS392" s="79"/>
      <c r="BT392" s="79"/>
      <c r="BU392" s="79"/>
      <c r="BV392" s="79"/>
      <c r="BW392" s="79"/>
      <c r="BX392" s="79"/>
      <c r="BY392" s="79"/>
      <c r="BZ392" s="79"/>
      <c r="CA392" s="79"/>
      <c r="CB392" s="79"/>
      <c r="CC392" s="79"/>
      <c r="CD392" s="79"/>
      <c r="CE392" s="79"/>
      <c r="CF392" s="79"/>
      <c r="CG392" s="79"/>
      <c r="CH392" s="79"/>
      <c r="CI392" s="79"/>
      <c r="CJ392" s="79"/>
      <c r="CK392" s="79"/>
      <c r="CL392" s="79"/>
      <c r="CM392" s="79"/>
      <c r="CN392" s="79"/>
      <c r="CO392" s="79"/>
      <c r="CP392" s="79"/>
      <c r="CQ392" s="79"/>
      <c r="CR392" s="79"/>
      <c r="CS392" s="79"/>
      <c r="CT392" s="79"/>
      <c r="CU392" s="79"/>
      <c r="CV392" s="79"/>
      <c r="CW392" s="79"/>
      <c r="CX392" s="85"/>
      <c r="CY392" s="85"/>
      <c r="CZ392" s="85"/>
      <c r="DA392" s="86"/>
      <c r="DB392" s="84"/>
    </row>
    <row r="393" spans="2:106" ht="11.25" customHeight="1">
      <c r="B393" s="78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79"/>
      <c r="AT393" s="79"/>
      <c r="AU393" s="79"/>
      <c r="AV393" s="79"/>
      <c r="AW393" s="79"/>
      <c r="AX393" s="79"/>
      <c r="AY393" s="79"/>
      <c r="AZ393" s="79"/>
      <c r="BA393" s="79"/>
      <c r="BB393" s="79"/>
      <c r="BC393" s="79"/>
      <c r="BD393" s="79"/>
      <c r="BE393" s="79"/>
      <c r="BF393" s="79"/>
      <c r="BG393" s="79"/>
      <c r="BH393" s="79"/>
      <c r="BI393" s="79"/>
      <c r="BJ393" s="79"/>
      <c r="BK393" s="79"/>
      <c r="BL393" s="79"/>
      <c r="BM393" s="79"/>
      <c r="BN393" s="79"/>
      <c r="BO393" s="79"/>
      <c r="BP393" s="79"/>
      <c r="BQ393" s="79"/>
      <c r="BR393" s="79"/>
      <c r="BS393" s="79"/>
      <c r="BT393" s="79"/>
      <c r="BU393" s="79"/>
      <c r="BV393" s="79"/>
      <c r="BW393" s="79"/>
      <c r="BX393" s="79"/>
      <c r="BY393" s="79"/>
      <c r="BZ393" s="79"/>
      <c r="CA393" s="79"/>
      <c r="CB393" s="79"/>
      <c r="CC393" s="79"/>
      <c r="CD393" s="79"/>
      <c r="CE393" s="79"/>
      <c r="CF393" s="79"/>
      <c r="CG393" s="79"/>
      <c r="CH393" s="79"/>
      <c r="CI393" s="79"/>
      <c r="CJ393" s="79"/>
      <c r="CK393" s="79"/>
      <c r="CL393" s="79"/>
      <c r="CM393" s="79"/>
      <c r="CN393" s="79"/>
      <c r="CO393" s="79"/>
      <c r="CP393" s="79"/>
      <c r="CQ393" s="79"/>
      <c r="CR393" s="79"/>
      <c r="CS393" s="79"/>
      <c r="CT393" s="79"/>
      <c r="CU393" s="79"/>
      <c r="CV393" s="79"/>
      <c r="CW393" s="79"/>
      <c r="CX393" s="85"/>
      <c r="CY393" s="85"/>
      <c r="CZ393" s="85"/>
      <c r="DA393" s="86"/>
      <c r="DB393" s="84"/>
    </row>
    <row r="394" spans="2:106" ht="11.25" customHeight="1">
      <c r="B394" s="78"/>
      <c r="C394" s="79"/>
      <c r="D394" s="79"/>
      <c r="E394" s="79"/>
      <c r="F394" s="79"/>
      <c r="G394" s="79" t="s">
        <v>753</v>
      </c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 t="s">
        <v>225</v>
      </c>
      <c r="AM394" s="79" t="s">
        <v>161</v>
      </c>
      <c r="AN394" s="79"/>
      <c r="AO394" s="79"/>
      <c r="AP394" s="79"/>
      <c r="AQ394" s="79"/>
      <c r="AR394" s="79"/>
      <c r="AS394" s="79"/>
      <c r="AT394" s="79"/>
      <c r="AU394" s="79"/>
      <c r="AV394" s="79"/>
      <c r="AW394" s="79"/>
      <c r="AX394" s="79"/>
      <c r="AY394" s="79"/>
      <c r="AZ394" s="79"/>
      <c r="BA394" s="79"/>
      <c r="BB394" s="79"/>
      <c r="BC394" s="79"/>
      <c r="BD394" s="79"/>
      <c r="BE394" s="79"/>
      <c r="BF394" s="79"/>
      <c r="BG394" s="79"/>
      <c r="BH394" s="79"/>
      <c r="BI394" s="79"/>
      <c r="BJ394" s="79"/>
      <c r="BK394" s="79"/>
      <c r="BL394" s="79"/>
      <c r="BM394" s="79"/>
      <c r="BN394" s="79"/>
      <c r="BO394" s="79"/>
      <c r="BP394" s="79"/>
      <c r="BQ394" s="79"/>
      <c r="BR394" s="79"/>
      <c r="BS394" s="79"/>
      <c r="BT394" s="79"/>
      <c r="BU394" s="79"/>
      <c r="BV394" s="79"/>
      <c r="BW394" s="79"/>
      <c r="BX394" s="79"/>
      <c r="BY394" s="79"/>
      <c r="BZ394" s="79"/>
      <c r="CA394" s="79"/>
      <c r="CB394" s="79"/>
      <c r="CC394" s="79"/>
      <c r="CD394" s="79"/>
      <c r="CE394" s="79"/>
      <c r="CF394" s="79"/>
      <c r="CG394" s="79"/>
      <c r="CH394" s="79"/>
      <c r="CI394" s="79"/>
      <c r="CJ394" s="79"/>
      <c r="CK394" s="79"/>
      <c r="CL394" s="79"/>
      <c r="CM394" s="79"/>
      <c r="CN394" s="79"/>
      <c r="CO394" s="79"/>
      <c r="CP394" s="79"/>
      <c r="CQ394" s="79"/>
      <c r="CR394" s="79"/>
      <c r="CS394" s="79"/>
      <c r="CT394" s="79"/>
      <c r="CU394" s="79"/>
      <c r="CV394" s="79"/>
      <c r="CW394" s="79"/>
      <c r="CX394" s="85"/>
      <c r="CY394" s="85"/>
      <c r="CZ394" s="85"/>
      <c r="DA394" s="86"/>
      <c r="DB394" s="84"/>
    </row>
    <row r="395" spans="2:106" ht="11.25" customHeight="1">
      <c r="B395" s="78"/>
      <c r="C395" s="79"/>
      <c r="D395" s="79"/>
      <c r="E395" s="79"/>
      <c r="F395" s="79"/>
      <c r="G395" s="79" t="s">
        <v>338</v>
      </c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 t="s">
        <v>706</v>
      </c>
      <c r="Y395" s="79"/>
      <c r="Z395" s="79"/>
      <c r="AA395" s="79"/>
      <c r="AB395" s="79"/>
      <c r="AC395" s="79" t="s">
        <v>652</v>
      </c>
      <c r="AD395" s="79"/>
      <c r="AE395" s="79"/>
      <c r="AF395" s="79"/>
      <c r="AG395" s="79"/>
      <c r="AH395" s="79"/>
      <c r="AI395" s="79"/>
      <c r="AJ395" s="79"/>
      <c r="AK395" s="79"/>
      <c r="AL395" s="79" t="s">
        <v>225</v>
      </c>
      <c r="AM395" s="79" t="s">
        <v>161</v>
      </c>
      <c r="AN395" s="79"/>
      <c r="AO395" s="79"/>
      <c r="AP395" s="79"/>
      <c r="AQ395" s="79"/>
      <c r="AR395" s="79"/>
      <c r="AS395" s="79"/>
      <c r="AT395" s="79"/>
      <c r="AU395" s="79"/>
      <c r="AV395" s="79"/>
      <c r="AW395" s="79"/>
      <c r="AX395" s="79"/>
      <c r="AY395" s="79"/>
      <c r="AZ395" s="79"/>
      <c r="BA395" s="79"/>
      <c r="BB395" s="79"/>
      <c r="BC395" s="79"/>
      <c r="BD395" s="79"/>
      <c r="BE395" s="79"/>
      <c r="BF395" s="79"/>
      <c r="BG395" s="79"/>
      <c r="BH395" s="79"/>
      <c r="BI395" s="79"/>
      <c r="BJ395" s="79"/>
      <c r="BK395" s="79"/>
      <c r="BL395" s="79"/>
      <c r="BM395" s="79"/>
      <c r="BN395" s="79"/>
      <c r="BO395" s="79"/>
      <c r="BP395" s="79"/>
      <c r="BQ395" s="79"/>
      <c r="BR395" s="79"/>
      <c r="BS395" s="79"/>
      <c r="BT395" s="79"/>
      <c r="BU395" s="79"/>
      <c r="BV395" s="79"/>
      <c r="BW395" s="79"/>
      <c r="BX395" s="79"/>
      <c r="BY395" s="79"/>
      <c r="BZ395" s="79"/>
      <c r="CA395" s="79"/>
      <c r="CB395" s="79"/>
      <c r="CC395" s="79"/>
      <c r="CD395" s="79"/>
      <c r="CE395" s="79"/>
      <c r="CF395" s="79"/>
      <c r="CG395" s="79"/>
      <c r="CH395" s="79"/>
      <c r="CI395" s="79"/>
      <c r="CJ395" s="79"/>
      <c r="CK395" s="79"/>
      <c r="CL395" s="79"/>
      <c r="CM395" s="79"/>
      <c r="CN395" s="79"/>
      <c r="CO395" s="79"/>
      <c r="CP395" s="79"/>
      <c r="CQ395" s="79"/>
      <c r="CR395" s="79"/>
      <c r="CS395" s="79"/>
      <c r="CT395" s="79"/>
      <c r="CU395" s="79"/>
      <c r="CV395" s="79"/>
      <c r="CW395" s="79"/>
      <c r="CX395" s="85"/>
      <c r="CY395" s="85"/>
      <c r="CZ395" s="85"/>
      <c r="DA395" s="86"/>
      <c r="DB395" s="84"/>
    </row>
    <row r="396" spans="2:106" ht="11.25" customHeight="1">
      <c r="B396" s="78"/>
      <c r="C396" s="79"/>
      <c r="D396" s="79"/>
      <c r="E396" s="79"/>
      <c r="F396" s="79"/>
      <c r="G396" s="79" t="s">
        <v>813</v>
      </c>
      <c r="H396" s="79"/>
      <c r="I396" s="79"/>
      <c r="J396" s="79" t="s">
        <v>115</v>
      </c>
      <c r="K396" s="79"/>
      <c r="L396" s="79"/>
      <c r="M396" s="79" t="s">
        <v>412</v>
      </c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 t="s">
        <v>321</v>
      </c>
      <c r="Y396" s="79"/>
      <c r="Z396" s="79"/>
      <c r="AA396" s="79"/>
      <c r="AB396" s="79"/>
      <c r="AC396" s="79"/>
      <c r="AD396" s="79" t="s">
        <v>652</v>
      </c>
      <c r="AE396" s="79"/>
      <c r="AF396" s="79"/>
      <c r="AG396" s="79"/>
      <c r="AH396" s="79"/>
      <c r="AI396" s="79"/>
      <c r="AJ396" s="79"/>
      <c r="AK396" s="79"/>
      <c r="AL396" s="79" t="s">
        <v>225</v>
      </c>
      <c r="AM396" s="79" t="s">
        <v>161</v>
      </c>
      <c r="AN396" s="79"/>
      <c r="AO396" s="79"/>
      <c r="AP396" s="79"/>
      <c r="AQ396" s="79"/>
      <c r="AR396" s="79"/>
      <c r="AS396" s="79"/>
      <c r="AT396" s="79"/>
      <c r="AU396" s="79"/>
      <c r="AV396" s="79"/>
      <c r="AW396" s="79"/>
      <c r="AX396" s="79"/>
      <c r="AY396" s="79"/>
      <c r="AZ396" s="79"/>
      <c r="BA396" s="79"/>
      <c r="BB396" s="79"/>
      <c r="BC396" s="79"/>
      <c r="BD396" s="79"/>
      <c r="BE396" s="79"/>
      <c r="BF396" s="79"/>
      <c r="BG396" s="79"/>
      <c r="BH396" s="79"/>
      <c r="BI396" s="79"/>
      <c r="BJ396" s="79"/>
      <c r="BK396" s="79"/>
      <c r="BL396" s="79"/>
      <c r="BM396" s="79"/>
      <c r="BN396" s="79"/>
      <c r="BO396" s="79"/>
      <c r="BP396" s="79"/>
      <c r="BQ396" s="79"/>
      <c r="BR396" s="79"/>
      <c r="BS396" s="79"/>
      <c r="BT396" s="79"/>
      <c r="BU396" s="79"/>
      <c r="BV396" s="79"/>
      <c r="BW396" s="79"/>
      <c r="BX396" s="79"/>
      <c r="BY396" s="79"/>
      <c r="BZ396" s="79"/>
      <c r="CA396" s="79"/>
      <c r="CB396" s="79"/>
      <c r="CC396" s="79"/>
      <c r="CD396" s="79"/>
      <c r="CE396" s="79"/>
      <c r="CF396" s="79"/>
      <c r="CG396" s="79"/>
      <c r="CH396" s="79"/>
      <c r="CI396" s="79"/>
      <c r="CJ396" s="79"/>
      <c r="CK396" s="79"/>
      <c r="CL396" s="79"/>
      <c r="CM396" s="79"/>
      <c r="CN396" s="79"/>
      <c r="CO396" s="79"/>
      <c r="CP396" s="79"/>
      <c r="CQ396" s="79"/>
      <c r="CR396" s="79"/>
      <c r="CS396" s="79"/>
      <c r="CT396" s="79"/>
      <c r="CU396" s="79"/>
      <c r="CV396" s="79"/>
      <c r="CW396" s="79"/>
      <c r="CX396" s="85"/>
      <c r="CY396" s="85"/>
      <c r="CZ396" s="85"/>
      <c r="DA396" s="86"/>
      <c r="DB396" s="84"/>
    </row>
    <row r="397" spans="2:106" ht="11.25" customHeight="1">
      <c r="B397" s="78"/>
      <c r="C397" s="79"/>
      <c r="D397" s="79"/>
      <c r="E397" s="79" t="s">
        <v>23</v>
      </c>
      <c r="F397" s="79" t="s">
        <v>23</v>
      </c>
      <c r="G397" s="79" t="s">
        <v>23</v>
      </c>
      <c r="H397" s="79" t="s">
        <v>23</v>
      </c>
      <c r="I397" s="79" t="s">
        <v>23</v>
      </c>
      <c r="J397" s="79" t="s">
        <v>23</v>
      </c>
      <c r="K397" s="79" t="s">
        <v>23</v>
      </c>
      <c r="L397" s="79" t="s">
        <v>23</v>
      </c>
      <c r="M397" s="79" t="s">
        <v>23</v>
      </c>
      <c r="N397" s="79" t="s">
        <v>23</v>
      </c>
      <c r="O397" s="79" t="s">
        <v>23</v>
      </c>
      <c r="P397" s="79" t="s">
        <v>23</v>
      </c>
      <c r="Q397" s="79" t="s">
        <v>23</v>
      </c>
      <c r="R397" s="79" t="s">
        <v>23</v>
      </c>
      <c r="S397" s="79" t="s">
        <v>23</v>
      </c>
      <c r="T397" s="79" t="s">
        <v>23</v>
      </c>
      <c r="U397" s="79" t="s">
        <v>23</v>
      </c>
      <c r="V397" s="79" t="s">
        <v>23</v>
      </c>
      <c r="W397" s="79" t="s">
        <v>23</v>
      </c>
      <c r="X397" s="79" t="s">
        <v>23</v>
      </c>
      <c r="Y397" s="79" t="s">
        <v>23</v>
      </c>
      <c r="Z397" s="79" t="s">
        <v>23</v>
      </c>
      <c r="AA397" s="79" t="s">
        <v>23</v>
      </c>
      <c r="AB397" s="79" t="s">
        <v>23</v>
      </c>
      <c r="AC397" s="79" t="s">
        <v>23</v>
      </c>
      <c r="AD397" s="79" t="s">
        <v>23</v>
      </c>
      <c r="AE397" s="79" t="s">
        <v>23</v>
      </c>
      <c r="AF397" s="79" t="s">
        <v>23</v>
      </c>
      <c r="AG397" s="79" t="s">
        <v>23</v>
      </c>
      <c r="AH397" s="79" t="s">
        <v>23</v>
      </c>
      <c r="AI397" s="79" t="s">
        <v>23</v>
      </c>
      <c r="AJ397" s="79" t="s">
        <v>23</v>
      </c>
      <c r="AK397" s="79" t="s">
        <v>23</v>
      </c>
      <c r="AL397" s="79" t="s">
        <v>23</v>
      </c>
      <c r="AM397" s="79" t="s">
        <v>23</v>
      </c>
      <c r="AN397" s="79" t="s">
        <v>23</v>
      </c>
      <c r="AO397" s="79" t="s">
        <v>23</v>
      </c>
      <c r="AP397" s="79" t="s">
        <v>23</v>
      </c>
      <c r="AQ397" s="79" t="s">
        <v>23</v>
      </c>
      <c r="AR397" s="79" t="s">
        <v>23</v>
      </c>
      <c r="AS397" s="79" t="s">
        <v>23</v>
      </c>
      <c r="AT397" s="79" t="s">
        <v>23</v>
      </c>
      <c r="AU397" s="79"/>
      <c r="AV397" s="79"/>
      <c r="AW397" s="79"/>
      <c r="AX397" s="79"/>
      <c r="AY397" s="79"/>
      <c r="AZ397" s="79"/>
      <c r="BA397" s="79"/>
      <c r="BB397" s="79"/>
      <c r="BC397" s="79"/>
      <c r="BD397" s="79"/>
      <c r="BE397" s="79"/>
      <c r="BF397" s="79"/>
      <c r="BG397" s="79"/>
      <c r="BH397" s="79"/>
      <c r="BI397" s="79"/>
      <c r="BJ397" s="79"/>
      <c r="BK397" s="79"/>
      <c r="BL397" s="79"/>
      <c r="BM397" s="79"/>
      <c r="BN397" s="79"/>
      <c r="BO397" s="79"/>
      <c r="BP397" s="79"/>
      <c r="BQ397" s="79"/>
      <c r="BR397" s="79"/>
      <c r="BS397" s="79"/>
      <c r="BT397" s="79"/>
      <c r="BU397" s="79"/>
      <c r="BV397" s="79"/>
      <c r="BW397" s="79"/>
      <c r="BX397" s="79"/>
      <c r="BY397" s="79"/>
      <c r="BZ397" s="79"/>
      <c r="CA397" s="79"/>
      <c r="CB397" s="79"/>
      <c r="CC397" s="79"/>
      <c r="CD397" s="79"/>
      <c r="CE397" s="79"/>
      <c r="CF397" s="79"/>
      <c r="CG397" s="79"/>
      <c r="CH397" s="79"/>
      <c r="CI397" s="79"/>
      <c r="CJ397" s="79"/>
      <c r="CK397" s="79"/>
      <c r="CL397" s="79"/>
      <c r="CM397" s="79"/>
      <c r="CN397" s="79"/>
      <c r="CO397" s="79"/>
      <c r="CP397" s="79"/>
      <c r="CQ397" s="79"/>
      <c r="CR397" s="79"/>
      <c r="CS397" s="79"/>
      <c r="CT397" s="79"/>
      <c r="CU397" s="79"/>
      <c r="CV397" s="79"/>
      <c r="CW397" s="79"/>
      <c r="CX397" s="85"/>
      <c r="CY397" s="85"/>
      <c r="CZ397" s="85"/>
      <c r="DA397" s="86"/>
      <c r="DB397" s="84"/>
    </row>
    <row r="398" spans="2:106" ht="11.25" customHeight="1">
      <c r="B398" s="78"/>
      <c r="C398" s="79"/>
      <c r="D398" s="79"/>
      <c r="E398" s="79"/>
      <c r="F398" s="79"/>
      <c r="G398" s="79" t="s">
        <v>823</v>
      </c>
      <c r="H398" s="79"/>
      <c r="I398" s="79"/>
      <c r="J398" s="79"/>
      <c r="K398" s="79"/>
      <c r="L398" s="79"/>
      <c r="M398" s="79"/>
      <c r="N398" s="79" t="s">
        <v>64</v>
      </c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 t="s">
        <v>604</v>
      </c>
      <c r="Z398" s="79"/>
      <c r="AA398" s="79"/>
      <c r="AB398" s="79"/>
      <c r="AC398" s="79"/>
      <c r="AD398" s="79"/>
      <c r="AE398" s="79"/>
      <c r="AF398" s="79"/>
      <c r="AG398" s="79" t="s">
        <v>34</v>
      </c>
      <c r="AH398" s="79"/>
      <c r="AI398" s="79"/>
      <c r="AJ398" s="79" t="s">
        <v>309</v>
      </c>
      <c r="AK398" s="79"/>
      <c r="AL398" s="79" t="str">
        <f>TEXT(3,"#,##0.#######")</f>
        <v>3.</v>
      </c>
      <c r="AM398" s="79" t="s">
        <v>161</v>
      </c>
      <c r="AN398" s="79"/>
      <c r="AO398" s="79"/>
      <c r="AP398" s="79"/>
      <c r="AQ398" s="79"/>
      <c r="AR398" s="79"/>
      <c r="AS398" s="79"/>
      <c r="AT398" s="79"/>
      <c r="AU398" s="79"/>
      <c r="AV398" s="79"/>
      <c r="AW398" s="79"/>
      <c r="AX398" s="79"/>
      <c r="AY398" s="79"/>
      <c r="AZ398" s="79"/>
      <c r="BA398" s="79"/>
      <c r="BB398" s="79"/>
      <c r="BC398" s="79"/>
      <c r="BD398" s="79"/>
      <c r="BE398" s="79"/>
      <c r="BF398" s="79"/>
      <c r="BG398" s="79"/>
      <c r="BH398" s="79"/>
      <c r="BI398" s="79"/>
      <c r="BJ398" s="79"/>
      <c r="BK398" s="79"/>
      <c r="BL398" s="79"/>
      <c r="BM398" s="79"/>
      <c r="BN398" s="79"/>
      <c r="BO398" s="79"/>
      <c r="BP398" s="79"/>
      <c r="BQ398" s="79"/>
      <c r="BR398" s="79"/>
      <c r="BS398" s="79"/>
      <c r="BT398" s="79"/>
      <c r="BU398" s="79"/>
      <c r="BV398" s="79"/>
      <c r="BW398" s="79"/>
      <c r="BX398" s="79"/>
      <c r="BY398" s="79"/>
      <c r="BZ398" s="79"/>
      <c r="CA398" s="79"/>
      <c r="CB398" s="79"/>
      <c r="CC398" s="79"/>
      <c r="CD398" s="79"/>
      <c r="CE398" s="79"/>
      <c r="CF398" s="79"/>
      <c r="CG398" s="79"/>
      <c r="CH398" s="79"/>
      <c r="CI398" s="79"/>
      <c r="CJ398" s="79"/>
      <c r="CK398" s="79"/>
      <c r="CL398" s="79"/>
      <c r="CM398" s="79"/>
      <c r="CN398" s="79"/>
      <c r="CO398" s="79"/>
      <c r="CP398" s="79"/>
      <c r="CQ398" s="79"/>
      <c r="CR398" s="79"/>
      <c r="CS398" s="79"/>
      <c r="CT398" s="79"/>
      <c r="CU398" s="79"/>
      <c r="CV398" s="79"/>
      <c r="CW398" s="79"/>
      <c r="CX398" s="85"/>
      <c r="CY398" s="85"/>
      <c r="CZ398" s="85"/>
      <c r="DA398" s="86"/>
      <c r="DB398" s="84"/>
    </row>
    <row r="399" spans="2:106" ht="11.25" customHeight="1">
      <c r="B399" s="78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/>
      <c r="AT399" s="79"/>
      <c r="AU399" s="79"/>
      <c r="AV399" s="79"/>
      <c r="AW399" s="79"/>
      <c r="AX399" s="79"/>
      <c r="AY399" s="79"/>
      <c r="AZ399" s="79"/>
      <c r="BA399" s="79"/>
      <c r="BB399" s="79"/>
      <c r="BC399" s="79"/>
      <c r="BD399" s="79"/>
      <c r="BE399" s="79"/>
      <c r="BF399" s="79"/>
      <c r="BG399" s="79"/>
      <c r="BH399" s="79"/>
      <c r="BI399" s="79"/>
      <c r="BJ399" s="79"/>
      <c r="BK399" s="79"/>
      <c r="BL399" s="79"/>
      <c r="BM399" s="79"/>
      <c r="BN399" s="79"/>
      <c r="BO399" s="79"/>
      <c r="BP399" s="79"/>
      <c r="BQ399" s="79"/>
      <c r="BR399" s="79"/>
      <c r="BS399" s="79"/>
      <c r="BT399" s="79"/>
      <c r="BU399" s="79"/>
      <c r="BV399" s="79"/>
      <c r="BW399" s="79"/>
      <c r="BX399" s="79"/>
      <c r="BY399" s="79"/>
      <c r="BZ399" s="79"/>
      <c r="CA399" s="79"/>
      <c r="CB399" s="79"/>
      <c r="CC399" s="79"/>
      <c r="CD399" s="79"/>
      <c r="CE399" s="79"/>
      <c r="CF399" s="79"/>
      <c r="CG399" s="79"/>
      <c r="CH399" s="79"/>
      <c r="CI399" s="79"/>
      <c r="CJ399" s="79"/>
      <c r="CK399" s="79"/>
      <c r="CL399" s="79"/>
      <c r="CM399" s="79"/>
      <c r="CN399" s="79"/>
      <c r="CO399" s="79"/>
      <c r="CP399" s="79"/>
      <c r="CQ399" s="79"/>
      <c r="CR399" s="79"/>
      <c r="CS399" s="79"/>
      <c r="CT399" s="79"/>
      <c r="CU399" s="79"/>
      <c r="CV399" s="79"/>
      <c r="CW399" s="79"/>
      <c r="CX399" s="85"/>
      <c r="CY399" s="85"/>
      <c r="CZ399" s="85"/>
      <c r="DA399" s="86"/>
      <c r="DB399" s="84"/>
    </row>
    <row r="400" spans="2:106" ht="11.25" customHeight="1">
      <c r="B400" s="78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  <c r="AS400" s="79"/>
      <c r="AT400" s="79"/>
      <c r="AU400" s="79"/>
      <c r="AV400" s="79"/>
      <c r="AW400" s="79"/>
      <c r="AX400" s="79"/>
      <c r="AY400" s="79"/>
      <c r="AZ400" s="79"/>
      <c r="BA400" s="79"/>
      <c r="BB400" s="79"/>
      <c r="BC400" s="79"/>
      <c r="BD400" s="79"/>
      <c r="BE400" s="79"/>
      <c r="BF400" s="79"/>
      <c r="BG400" s="79"/>
      <c r="BH400" s="79"/>
      <c r="BI400" s="79"/>
      <c r="BJ400" s="79"/>
      <c r="BK400" s="79"/>
      <c r="BL400" s="79"/>
      <c r="BM400" s="79"/>
      <c r="BN400" s="79"/>
      <c r="BO400" s="79"/>
      <c r="BP400" s="79"/>
      <c r="BQ400" s="79"/>
      <c r="BR400" s="79"/>
      <c r="BS400" s="79"/>
      <c r="BT400" s="79"/>
      <c r="BU400" s="79"/>
      <c r="BV400" s="79"/>
      <c r="BW400" s="79"/>
      <c r="BX400" s="79"/>
      <c r="BY400" s="79"/>
      <c r="BZ400" s="79"/>
      <c r="CA400" s="79"/>
      <c r="CB400" s="79"/>
      <c r="CC400" s="79"/>
      <c r="CD400" s="79"/>
      <c r="CE400" s="79"/>
      <c r="CF400" s="79"/>
      <c r="CG400" s="79"/>
      <c r="CH400" s="79"/>
      <c r="CI400" s="79"/>
      <c r="CJ400" s="79"/>
      <c r="CK400" s="79"/>
      <c r="CL400" s="79"/>
      <c r="CM400" s="79"/>
      <c r="CN400" s="79"/>
      <c r="CO400" s="79"/>
      <c r="CP400" s="79"/>
      <c r="CQ400" s="79"/>
      <c r="CR400" s="79"/>
      <c r="CS400" s="79"/>
      <c r="CT400" s="79"/>
      <c r="CU400" s="79"/>
      <c r="CV400" s="79"/>
      <c r="CW400" s="79"/>
      <c r="CX400" s="85"/>
      <c r="CY400" s="85"/>
      <c r="CZ400" s="85"/>
      <c r="DA400" s="86"/>
      <c r="DB400" s="84"/>
    </row>
    <row r="401" spans="2:106" ht="11.25" customHeight="1">
      <c r="B401" s="78"/>
      <c r="C401" s="79"/>
      <c r="D401" s="79" t="s">
        <v>401</v>
      </c>
      <c r="E401" s="79"/>
      <c r="F401" s="79"/>
      <c r="G401" s="79"/>
      <c r="H401" s="79" t="s">
        <v>347</v>
      </c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 t="s">
        <v>799</v>
      </c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  <c r="BJ401" s="79"/>
      <c r="BK401" s="79"/>
      <c r="BL401" s="79"/>
      <c r="BM401" s="79"/>
      <c r="BN401" s="79"/>
      <c r="BO401" s="79"/>
      <c r="BP401" s="79"/>
      <c r="BQ401" s="79"/>
      <c r="BR401" s="79"/>
      <c r="BS401" s="79"/>
      <c r="BT401" s="79"/>
      <c r="BU401" s="79"/>
      <c r="BV401" s="79"/>
      <c r="BW401" s="79"/>
      <c r="BX401" s="79"/>
      <c r="BY401" s="79"/>
      <c r="BZ401" s="79"/>
      <c r="CA401" s="79"/>
      <c r="CB401" s="79"/>
      <c r="CC401" s="79"/>
      <c r="CD401" s="79"/>
      <c r="CE401" s="79"/>
      <c r="CF401" s="79"/>
      <c r="CG401" s="79"/>
      <c r="CH401" s="79"/>
      <c r="CI401" s="79"/>
      <c r="CJ401" s="79"/>
      <c r="CK401" s="79"/>
      <c r="CL401" s="79"/>
      <c r="CM401" s="79"/>
      <c r="CN401" s="79"/>
      <c r="CO401" s="79"/>
      <c r="CP401" s="79"/>
      <c r="CQ401" s="79"/>
      <c r="CR401" s="79"/>
      <c r="CS401" s="79"/>
      <c r="CT401" s="79"/>
      <c r="CU401" s="79"/>
      <c r="CV401" s="79"/>
      <c r="CW401" s="79"/>
      <c r="CX401" s="85"/>
      <c r="CY401" s="85"/>
      <c r="CZ401" s="85"/>
      <c r="DA401" s="86"/>
      <c r="DB401" s="84"/>
    </row>
    <row r="402" spans="2:106" ht="11.25" customHeight="1">
      <c r="B402" s="78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  <c r="BJ402" s="79"/>
      <c r="BK402" s="79"/>
      <c r="BL402" s="79"/>
      <c r="BM402" s="79"/>
      <c r="BN402" s="79"/>
      <c r="BO402" s="79"/>
      <c r="BP402" s="79"/>
      <c r="BQ402" s="79"/>
      <c r="BR402" s="79"/>
      <c r="BS402" s="79"/>
      <c r="BT402" s="79"/>
      <c r="BU402" s="79"/>
      <c r="BV402" s="79"/>
      <c r="BW402" s="79"/>
      <c r="BX402" s="79"/>
      <c r="BY402" s="79"/>
      <c r="BZ402" s="79"/>
      <c r="CA402" s="79"/>
      <c r="CB402" s="79"/>
      <c r="CC402" s="79"/>
      <c r="CD402" s="79"/>
      <c r="CE402" s="79"/>
      <c r="CF402" s="79"/>
      <c r="CG402" s="79"/>
      <c r="CH402" s="79"/>
      <c r="CI402" s="79"/>
      <c r="CJ402" s="79"/>
      <c r="CK402" s="79"/>
      <c r="CL402" s="79"/>
      <c r="CM402" s="79"/>
      <c r="CN402" s="79"/>
      <c r="CO402" s="79"/>
      <c r="CP402" s="79"/>
      <c r="CQ402" s="79"/>
      <c r="CR402" s="79"/>
      <c r="CS402" s="79"/>
      <c r="CT402" s="79"/>
      <c r="CU402" s="79"/>
      <c r="CV402" s="79"/>
      <c r="CW402" s="79"/>
      <c r="CX402" s="85"/>
      <c r="CY402" s="85"/>
      <c r="CZ402" s="85"/>
      <c r="DA402" s="86"/>
      <c r="DB402" s="84"/>
    </row>
    <row r="403" spans="2:106" ht="11.25" customHeight="1">
      <c r="B403" s="78"/>
      <c r="C403" s="79"/>
      <c r="D403" s="79"/>
      <c r="E403" s="79"/>
      <c r="F403" s="79"/>
      <c r="G403" s="79" t="s">
        <v>546</v>
      </c>
      <c r="H403" s="79"/>
      <c r="I403" s="79" t="s">
        <v>309</v>
      </c>
      <c r="J403" s="79"/>
      <c r="K403" s="79" t="str">
        <f>TEXT(40,"#,##0.#######")</f>
        <v>40.</v>
      </c>
      <c r="L403" s="79"/>
      <c r="M403" s="79" t="s">
        <v>434</v>
      </c>
      <c r="N403" s="79"/>
      <c r="O403" s="79" t="s">
        <v>123</v>
      </c>
      <c r="P403" s="79" t="s">
        <v>598</v>
      </c>
      <c r="Q403" s="79"/>
      <c r="R403" s="79"/>
      <c r="S403" s="79"/>
      <c r="T403" s="79"/>
      <c r="U403" s="79"/>
      <c r="V403" s="79" t="s">
        <v>342</v>
      </c>
      <c r="W403" s="79"/>
      <c r="X403" s="79" t="s">
        <v>309</v>
      </c>
      <c r="Y403" s="79"/>
      <c r="Z403" s="79" t="str">
        <f>TEXT(0.9,"#,##0.#######")</f>
        <v>0.9</v>
      </c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  <c r="BJ403" s="79"/>
      <c r="BK403" s="79"/>
      <c r="BL403" s="79"/>
      <c r="BM403" s="79"/>
      <c r="BN403" s="79"/>
      <c r="BO403" s="79"/>
      <c r="BP403" s="79"/>
      <c r="BQ403" s="79"/>
      <c r="BR403" s="79"/>
      <c r="BS403" s="79"/>
      <c r="BT403" s="79"/>
      <c r="BU403" s="79"/>
      <c r="BV403" s="79"/>
      <c r="BW403" s="79"/>
      <c r="BX403" s="79"/>
      <c r="BY403" s="79"/>
      <c r="BZ403" s="79"/>
      <c r="CA403" s="79"/>
      <c r="CB403" s="79"/>
      <c r="CC403" s="79"/>
      <c r="CD403" s="79"/>
      <c r="CE403" s="79"/>
      <c r="CF403" s="79"/>
      <c r="CG403" s="79"/>
      <c r="CH403" s="79"/>
      <c r="CI403" s="79"/>
      <c r="CJ403" s="79"/>
      <c r="CK403" s="79"/>
      <c r="CL403" s="79"/>
      <c r="CM403" s="79"/>
      <c r="CN403" s="79"/>
      <c r="CO403" s="79"/>
      <c r="CP403" s="79"/>
      <c r="CQ403" s="79"/>
      <c r="CR403" s="79"/>
      <c r="CS403" s="79"/>
      <c r="CT403" s="79"/>
      <c r="CU403" s="79"/>
      <c r="CV403" s="79"/>
      <c r="CW403" s="79"/>
      <c r="CX403" s="85"/>
      <c r="CY403" s="85"/>
      <c r="CZ403" s="85"/>
      <c r="DA403" s="86"/>
      <c r="DB403" s="84"/>
    </row>
    <row r="404" spans="2:106" ht="11.25" customHeight="1">
      <c r="B404" s="78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  <c r="BY404" s="79"/>
      <c r="BZ404" s="79"/>
      <c r="CA404" s="79"/>
      <c r="CB404" s="79"/>
      <c r="CC404" s="79"/>
      <c r="CD404" s="79"/>
      <c r="CE404" s="79"/>
      <c r="CF404" s="79"/>
      <c r="CG404" s="79"/>
      <c r="CH404" s="79"/>
      <c r="CI404" s="79"/>
      <c r="CJ404" s="79"/>
      <c r="CK404" s="79"/>
      <c r="CL404" s="79"/>
      <c r="CM404" s="79"/>
      <c r="CN404" s="79"/>
      <c r="CO404" s="79"/>
      <c r="CP404" s="79"/>
      <c r="CQ404" s="79"/>
      <c r="CR404" s="79"/>
      <c r="CS404" s="79"/>
      <c r="CT404" s="79"/>
      <c r="CU404" s="79"/>
      <c r="CV404" s="79"/>
      <c r="CW404" s="79"/>
      <c r="CX404" s="85"/>
      <c r="CY404" s="85"/>
      <c r="CZ404" s="85"/>
      <c r="DA404" s="86"/>
      <c r="DB404" s="84"/>
    </row>
    <row r="405" spans="2:106" ht="11.25" customHeight="1">
      <c r="B405" s="78"/>
      <c r="C405" s="79"/>
      <c r="D405" s="79"/>
      <c r="E405" s="79"/>
      <c r="F405" s="79"/>
      <c r="G405" s="79" t="s">
        <v>645</v>
      </c>
      <c r="H405" s="79"/>
      <c r="I405" s="79"/>
      <c r="J405" s="79" t="s">
        <v>309</v>
      </c>
      <c r="K405" s="79"/>
      <c r="L405" s="79" t="str">
        <f>TEXT(20,"#,##0.#######")</f>
        <v>20.</v>
      </c>
      <c r="M405" s="79"/>
      <c r="N405" s="79"/>
      <c r="O405" s="79" t="s">
        <v>136</v>
      </c>
      <c r="P405" s="79"/>
      <c r="Q405" s="79"/>
      <c r="R405" s="79"/>
      <c r="S405" s="79"/>
      <c r="T405" s="79"/>
      <c r="U405" s="79"/>
      <c r="V405" s="79" t="s">
        <v>358</v>
      </c>
      <c r="W405" s="79"/>
      <c r="X405" s="79"/>
      <c r="Y405" s="79" t="s">
        <v>309</v>
      </c>
      <c r="Z405" s="79"/>
      <c r="AA405" s="79" t="s">
        <v>431</v>
      </c>
      <c r="AB405" s="79" t="s">
        <v>652</v>
      </c>
      <c r="AC405" s="79" t="s">
        <v>123</v>
      </c>
      <c r="AD405" s="79" t="s">
        <v>546</v>
      </c>
      <c r="AE405" s="79" t="s">
        <v>89</v>
      </c>
      <c r="AF405" s="79" t="s">
        <v>699</v>
      </c>
      <c r="AG405" s="79"/>
      <c r="AH405" s="79" t="str">
        <f>TEXT(2,"#,##0.#######")</f>
        <v>2.</v>
      </c>
      <c r="AI405" s="79" t="s">
        <v>699</v>
      </c>
      <c r="AJ405" s="79"/>
      <c r="AK405" s="79" t="str">
        <f>TEXT(60,"#,##0.#######")</f>
        <v>60.</v>
      </c>
      <c r="AL405" s="79"/>
      <c r="AM405" s="79"/>
      <c r="AN405" s="79" t="s">
        <v>309</v>
      </c>
      <c r="AO405" s="79"/>
      <c r="AP405" s="79" t="s">
        <v>431</v>
      </c>
      <c r="AQ405" s="79" t="str">
        <f>TEXT(V378,"#,##0.#######")</f>
        <v>16.</v>
      </c>
      <c r="AR405" s="79"/>
      <c r="AS405" s="79" t="s">
        <v>123</v>
      </c>
      <c r="AT405" s="79" t="str">
        <f>TEXT(K403,"#,##0.#######")</f>
        <v>40.</v>
      </c>
      <c r="AU405" s="79"/>
      <c r="AV405" s="79" t="s">
        <v>89</v>
      </c>
      <c r="AW405" s="79" t="s">
        <v>699</v>
      </c>
      <c r="AX405" s="79"/>
      <c r="AY405" s="79" t="str">
        <f>TEXT(AH405,"#,##0.#######")</f>
        <v>2.</v>
      </c>
      <c r="AZ405" s="79" t="s">
        <v>699</v>
      </c>
      <c r="BA405" s="79"/>
      <c r="BB405" s="79" t="str">
        <f>TEXT(AK405,"#,##0.#######")</f>
        <v>60.</v>
      </c>
      <c r="BC405" s="79"/>
      <c r="BD405" s="79"/>
      <c r="BE405" s="79" t="s">
        <v>309</v>
      </c>
      <c r="BF405" s="79"/>
      <c r="BG405" s="79" t="str">
        <f>TEXT(ROUND((V378/K403)*AH405*AK405,2),"#,##0.#######")</f>
        <v>48.</v>
      </c>
      <c r="BH405" s="79"/>
      <c r="BI405" s="79"/>
      <c r="BJ405" s="79"/>
      <c r="BK405" s="79"/>
      <c r="BL405" s="79"/>
      <c r="BM405" s="79"/>
      <c r="BN405" s="79"/>
      <c r="BO405" s="79"/>
      <c r="BP405" s="79"/>
      <c r="BQ405" s="79"/>
      <c r="BR405" s="79"/>
      <c r="BS405" s="79"/>
      <c r="BT405" s="79"/>
      <c r="BU405" s="79"/>
      <c r="BV405" s="79"/>
      <c r="BW405" s="79"/>
      <c r="BX405" s="79"/>
      <c r="BY405" s="79"/>
      <c r="BZ405" s="79"/>
      <c r="CA405" s="79"/>
      <c r="CB405" s="79"/>
      <c r="CC405" s="79"/>
      <c r="CD405" s="79"/>
      <c r="CE405" s="79"/>
      <c r="CF405" s="79"/>
      <c r="CG405" s="79"/>
      <c r="CH405" s="79"/>
      <c r="CI405" s="79"/>
      <c r="CJ405" s="79"/>
      <c r="CK405" s="79"/>
      <c r="CL405" s="79"/>
      <c r="CM405" s="79"/>
      <c r="CN405" s="79"/>
      <c r="CO405" s="79"/>
      <c r="CP405" s="79"/>
      <c r="CQ405" s="79"/>
      <c r="CR405" s="79"/>
      <c r="CS405" s="79"/>
      <c r="CT405" s="79"/>
      <c r="CU405" s="79"/>
      <c r="CV405" s="79"/>
      <c r="CW405" s="79"/>
      <c r="CX405" s="85"/>
      <c r="CY405" s="85"/>
      <c r="CZ405" s="85"/>
      <c r="DA405" s="86"/>
      <c r="DB405" s="84"/>
    </row>
    <row r="406" spans="2:106" ht="11.25" customHeight="1">
      <c r="B406" s="78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  <c r="BJ406" s="79"/>
      <c r="BK406" s="79"/>
      <c r="BL406" s="79"/>
      <c r="BM406" s="79"/>
      <c r="BN406" s="79"/>
      <c r="BO406" s="79"/>
      <c r="BP406" s="79"/>
      <c r="BQ406" s="79"/>
      <c r="BR406" s="79"/>
      <c r="BS406" s="79"/>
      <c r="BT406" s="79"/>
      <c r="BU406" s="79"/>
      <c r="BV406" s="79"/>
      <c r="BW406" s="79"/>
      <c r="BX406" s="79"/>
      <c r="BY406" s="79"/>
      <c r="BZ406" s="79"/>
      <c r="CA406" s="79"/>
      <c r="CB406" s="79"/>
      <c r="CC406" s="79"/>
      <c r="CD406" s="79"/>
      <c r="CE406" s="79"/>
      <c r="CF406" s="79"/>
      <c r="CG406" s="79"/>
      <c r="CH406" s="79"/>
      <c r="CI406" s="79"/>
      <c r="CJ406" s="79"/>
      <c r="CK406" s="79"/>
      <c r="CL406" s="79"/>
      <c r="CM406" s="79"/>
      <c r="CN406" s="79"/>
      <c r="CO406" s="79"/>
      <c r="CP406" s="79"/>
      <c r="CQ406" s="79"/>
      <c r="CR406" s="79"/>
      <c r="CS406" s="79"/>
      <c r="CT406" s="79"/>
      <c r="CU406" s="79"/>
      <c r="CV406" s="79"/>
      <c r="CW406" s="79"/>
      <c r="CX406" s="85"/>
      <c r="CY406" s="85"/>
      <c r="CZ406" s="85"/>
      <c r="DA406" s="86"/>
      <c r="DB406" s="84"/>
    </row>
    <row r="407" spans="2:106" ht="11.25" customHeight="1">
      <c r="B407" s="78"/>
      <c r="C407" s="79"/>
      <c r="D407" s="79"/>
      <c r="E407" s="79"/>
      <c r="F407" s="79"/>
      <c r="G407" s="79" t="s">
        <v>732</v>
      </c>
      <c r="H407" s="79"/>
      <c r="I407" s="79"/>
      <c r="J407" s="79" t="s">
        <v>309</v>
      </c>
      <c r="K407" s="79"/>
      <c r="L407" s="79" t="str">
        <f>TEXT(20,"#,##0.#######")</f>
        <v>20.</v>
      </c>
      <c r="M407" s="79"/>
      <c r="N407" s="79"/>
      <c r="O407" s="79" t="s">
        <v>136</v>
      </c>
      <c r="P407" s="79"/>
      <c r="Q407" s="79"/>
      <c r="R407" s="79"/>
      <c r="S407" s="79"/>
      <c r="T407" s="79"/>
      <c r="U407" s="79"/>
      <c r="V407" s="79" t="s">
        <v>219</v>
      </c>
      <c r="W407" s="79"/>
      <c r="X407" s="79"/>
      <c r="Y407" s="79" t="s">
        <v>309</v>
      </c>
      <c r="Z407" s="79"/>
      <c r="AA407" s="79" t="str">
        <f>TEXT(0.42,"#,##0.#######")</f>
        <v>0.42</v>
      </c>
      <c r="AB407" s="79"/>
      <c r="AC407" s="79"/>
      <c r="AD407" s="79"/>
      <c r="AE407" s="79" t="s">
        <v>136</v>
      </c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  <c r="BJ407" s="79"/>
      <c r="BK407" s="79"/>
      <c r="BL407" s="79"/>
      <c r="BM407" s="79"/>
      <c r="BN407" s="79"/>
      <c r="BO407" s="79"/>
      <c r="BP407" s="79"/>
      <c r="BQ407" s="79"/>
      <c r="BR407" s="79"/>
      <c r="BS407" s="79"/>
      <c r="BT407" s="79"/>
      <c r="BU407" s="79"/>
      <c r="BV407" s="79"/>
      <c r="BW407" s="79"/>
      <c r="BX407" s="79"/>
      <c r="BY407" s="79"/>
      <c r="BZ407" s="79"/>
      <c r="CA407" s="79"/>
      <c r="CB407" s="79"/>
      <c r="CC407" s="79"/>
      <c r="CD407" s="79"/>
      <c r="CE407" s="79"/>
      <c r="CF407" s="79"/>
      <c r="CG407" s="79"/>
      <c r="CH407" s="79"/>
      <c r="CI407" s="79"/>
      <c r="CJ407" s="79"/>
      <c r="CK407" s="79"/>
      <c r="CL407" s="79"/>
      <c r="CM407" s="79"/>
      <c r="CN407" s="79"/>
      <c r="CO407" s="79"/>
      <c r="CP407" s="79"/>
      <c r="CQ407" s="79"/>
      <c r="CR407" s="79"/>
      <c r="CS407" s="79"/>
      <c r="CT407" s="79"/>
      <c r="CU407" s="79"/>
      <c r="CV407" s="79"/>
      <c r="CW407" s="79"/>
      <c r="CX407" s="85"/>
      <c r="CY407" s="85"/>
      <c r="CZ407" s="85"/>
      <c r="DA407" s="86"/>
      <c r="DB407" s="84"/>
    </row>
    <row r="408" spans="2:106" ht="11.25" customHeight="1">
      <c r="B408" s="78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  <c r="AR408" s="79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/>
      <c r="CA408" s="79"/>
      <c r="CB408" s="79"/>
      <c r="CC408" s="79"/>
      <c r="CD408" s="79"/>
      <c r="CE408" s="79"/>
      <c r="CF408" s="79"/>
      <c r="CG408" s="79"/>
      <c r="CH408" s="79"/>
      <c r="CI408" s="79"/>
      <c r="CJ408" s="79"/>
      <c r="CK408" s="79"/>
      <c r="CL408" s="79"/>
      <c r="CM408" s="79"/>
      <c r="CN408" s="79"/>
      <c r="CO408" s="79"/>
      <c r="CP408" s="79"/>
      <c r="CQ408" s="79"/>
      <c r="CR408" s="79"/>
      <c r="CS408" s="79"/>
      <c r="CT408" s="79"/>
      <c r="CU408" s="79"/>
      <c r="CV408" s="79"/>
      <c r="CW408" s="79"/>
      <c r="CX408" s="85"/>
      <c r="CY408" s="85"/>
      <c r="CZ408" s="85"/>
      <c r="DA408" s="86"/>
      <c r="DB408" s="84"/>
    </row>
    <row r="409" spans="2:106" ht="11.25" customHeight="1">
      <c r="B409" s="78"/>
      <c r="C409" s="79"/>
      <c r="D409" s="79"/>
      <c r="E409" s="79"/>
      <c r="F409" s="79"/>
      <c r="G409" s="79" t="s">
        <v>103</v>
      </c>
      <c r="H409" s="79"/>
      <c r="I409" s="79"/>
      <c r="J409" s="79" t="s">
        <v>309</v>
      </c>
      <c r="K409" s="79"/>
      <c r="L409" s="79" t="s">
        <v>645</v>
      </c>
      <c r="M409" s="79"/>
      <c r="N409" s="79"/>
      <c r="O409" s="79" t="s">
        <v>148</v>
      </c>
      <c r="P409" s="79"/>
      <c r="Q409" s="79" t="s">
        <v>358</v>
      </c>
      <c r="R409" s="79"/>
      <c r="S409" s="79"/>
      <c r="T409" s="79" t="s">
        <v>148</v>
      </c>
      <c r="U409" s="79"/>
      <c r="V409" s="79" t="s">
        <v>732</v>
      </c>
      <c r="W409" s="79"/>
      <c r="X409" s="79"/>
      <c r="Y409" s="79" t="s">
        <v>148</v>
      </c>
      <c r="Z409" s="79"/>
      <c r="AA409" s="79" t="s">
        <v>219</v>
      </c>
      <c r="AB409" s="79"/>
      <c r="AC409" s="79"/>
      <c r="AD409" s="79"/>
      <c r="AE409" s="79" t="s">
        <v>309</v>
      </c>
      <c r="AF409" s="79"/>
      <c r="AG409" s="79" t="str">
        <f>TEXT(L405,"#,##0.#######")</f>
        <v>20.</v>
      </c>
      <c r="AH409" s="79"/>
      <c r="AI409" s="79"/>
      <c r="AJ409" s="79" t="s">
        <v>148</v>
      </c>
      <c r="AK409" s="79"/>
      <c r="AL409" s="79" t="str">
        <f>TEXT(BG405,"#,##0.#######")</f>
        <v>48.</v>
      </c>
      <c r="AM409" s="79"/>
      <c r="AN409" s="79"/>
      <c r="AO409" s="79" t="s">
        <v>148</v>
      </c>
      <c r="AP409" s="79"/>
      <c r="AQ409" s="79" t="str">
        <f>TEXT(L407,"#,##0.#######")</f>
        <v>20.</v>
      </c>
      <c r="AR409" s="79"/>
      <c r="AS409" s="79"/>
      <c r="AT409" s="79" t="s">
        <v>148</v>
      </c>
      <c r="AU409" s="79"/>
      <c r="AV409" s="79" t="str">
        <f>TEXT(AA407,"#,##0.#######")</f>
        <v>0.42</v>
      </c>
      <c r="AW409" s="79"/>
      <c r="AX409" s="79"/>
      <c r="AY409" s="79"/>
      <c r="AZ409" s="79"/>
      <c r="BA409" s="79" t="s">
        <v>309</v>
      </c>
      <c r="BB409" s="79"/>
      <c r="BC409" s="79" t="str">
        <f>TEXT(ROUND(L405+BG405+L407+AA407,2),"#,##0.#######")</f>
        <v>88.42</v>
      </c>
      <c r="BD409" s="79"/>
      <c r="BE409" s="79"/>
      <c r="BF409" s="79"/>
      <c r="BG409" s="79"/>
      <c r="BH409" s="79"/>
      <c r="BI409" s="79"/>
      <c r="BJ409" s="79"/>
      <c r="BK409" s="79"/>
      <c r="BL409" s="79"/>
      <c r="BM409" s="79"/>
      <c r="BN409" s="79"/>
      <c r="BO409" s="79"/>
      <c r="BP409" s="79"/>
      <c r="BQ409" s="79"/>
      <c r="BR409" s="79"/>
      <c r="BS409" s="79"/>
      <c r="BT409" s="79"/>
      <c r="BU409" s="79"/>
      <c r="BV409" s="79"/>
      <c r="BW409" s="79"/>
      <c r="BX409" s="79"/>
      <c r="BY409" s="79"/>
      <c r="BZ409" s="79"/>
      <c r="CA409" s="79"/>
      <c r="CB409" s="79"/>
      <c r="CC409" s="79"/>
      <c r="CD409" s="79"/>
      <c r="CE409" s="79"/>
      <c r="CF409" s="79"/>
      <c r="CG409" s="79"/>
      <c r="CH409" s="79"/>
      <c r="CI409" s="79"/>
      <c r="CJ409" s="79"/>
      <c r="CK409" s="79"/>
      <c r="CL409" s="79"/>
      <c r="CM409" s="79"/>
      <c r="CN409" s="79"/>
      <c r="CO409" s="79"/>
      <c r="CP409" s="79"/>
      <c r="CQ409" s="79"/>
      <c r="CR409" s="79"/>
      <c r="CS409" s="79"/>
      <c r="CT409" s="79"/>
      <c r="CU409" s="79"/>
      <c r="CV409" s="79"/>
      <c r="CW409" s="79"/>
      <c r="CX409" s="85"/>
      <c r="CY409" s="85"/>
      <c r="CZ409" s="85"/>
      <c r="DA409" s="86"/>
      <c r="DB409" s="84"/>
    </row>
    <row r="410" spans="2:106" ht="11.25" customHeight="1">
      <c r="B410" s="78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  <c r="AQ410" s="79"/>
      <c r="AR410" s="79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  <c r="BJ410" s="79"/>
      <c r="BK410" s="79"/>
      <c r="BL410" s="79"/>
      <c r="BM410" s="79"/>
      <c r="BN410" s="79"/>
      <c r="BO410" s="79"/>
      <c r="BP410" s="79"/>
      <c r="BQ410" s="79"/>
      <c r="BR410" s="79"/>
      <c r="BS410" s="79"/>
      <c r="BT410" s="79"/>
      <c r="BU410" s="79"/>
      <c r="BV410" s="79"/>
      <c r="BW410" s="79"/>
      <c r="BX410" s="79"/>
      <c r="BY410" s="79"/>
      <c r="BZ410" s="79"/>
      <c r="CA410" s="79"/>
      <c r="CB410" s="79"/>
      <c r="CC410" s="79"/>
      <c r="CD410" s="79"/>
      <c r="CE410" s="79"/>
      <c r="CF410" s="79"/>
      <c r="CG410" s="79"/>
      <c r="CH410" s="79"/>
      <c r="CI410" s="79"/>
      <c r="CJ410" s="79"/>
      <c r="CK410" s="79"/>
      <c r="CL410" s="79"/>
      <c r="CM410" s="79"/>
      <c r="CN410" s="79"/>
      <c r="CO410" s="79"/>
      <c r="CP410" s="79"/>
      <c r="CQ410" s="79"/>
      <c r="CR410" s="79"/>
      <c r="CS410" s="79"/>
      <c r="CT410" s="79"/>
      <c r="CU410" s="79"/>
      <c r="CV410" s="79"/>
      <c r="CW410" s="79"/>
      <c r="CX410" s="85"/>
      <c r="CY410" s="85"/>
      <c r="CZ410" s="85"/>
      <c r="DA410" s="86"/>
      <c r="DB410" s="84"/>
    </row>
    <row r="411" spans="2:106" ht="11.25" customHeight="1">
      <c r="B411" s="78"/>
      <c r="C411" s="79"/>
      <c r="D411" s="79"/>
      <c r="E411" s="79"/>
      <c r="F411" s="79"/>
      <c r="G411" s="79" t="s">
        <v>49</v>
      </c>
      <c r="H411" s="79"/>
      <c r="I411" s="79" t="s">
        <v>309</v>
      </c>
      <c r="J411" s="79"/>
      <c r="K411" s="79" t="str">
        <f>TEXT(60,"#,##0.#######")</f>
        <v>60.</v>
      </c>
      <c r="L411" s="79"/>
      <c r="M411" s="79" t="s">
        <v>699</v>
      </c>
      <c r="N411" s="79"/>
      <c r="O411" s="79" t="s">
        <v>342</v>
      </c>
      <c r="P411" s="79"/>
      <c r="Q411" s="79" t="s">
        <v>123</v>
      </c>
      <c r="R411" s="79"/>
      <c r="S411" s="79" t="s">
        <v>103</v>
      </c>
      <c r="T411" s="79"/>
      <c r="U411" s="79"/>
      <c r="V411" s="79" t="s">
        <v>309</v>
      </c>
      <c r="W411" s="79"/>
      <c r="X411" s="79" t="str">
        <f>TEXT(K411,"#,##0.#######")</f>
        <v>60.</v>
      </c>
      <c r="Y411" s="79"/>
      <c r="Z411" s="79" t="s">
        <v>699</v>
      </c>
      <c r="AA411" s="79"/>
      <c r="AB411" s="79" t="str">
        <f>TEXT(Z403,"#,##0.#######")</f>
        <v>0.9</v>
      </c>
      <c r="AC411" s="79"/>
      <c r="AD411" s="79"/>
      <c r="AE411" s="79"/>
      <c r="AF411" s="79" t="s">
        <v>123</v>
      </c>
      <c r="AG411" s="79"/>
      <c r="AH411" s="79" t="str">
        <f>TEXT(BC409,"#,##0.#######")</f>
        <v>88.42</v>
      </c>
      <c r="AI411" s="79"/>
      <c r="AJ411" s="79"/>
      <c r="AK411" s="79"/>
      <c r="AL411" s="79"/>
      <c r="AM411" s="79"/>
      <c r="AN411" s="79" t="s">
        <v>309</v>
      </c>
      <c r="AO411" s="79"/>
      <c r="AP411" s="79" t="str">
        <f>TEXT(ROUND(K411*Z403/BC409,2),"#,##0.#######")</f>
        <v>0.61</v>
      </c>
      <c r="AQ411" s="79"/>
      <c r="AR411" s="79"/>
      <c r="AS411" s="79"/>
      <c r="AT411" s="79"/>
      <c r="AU411" s="79"/>
      <c r="AV411" s="79"/>
      <c r="AW411" s="79" t="s">
        <v>521</v>
      </c>
      <c r="AX411" s="79"/>
      <c r="AY411" s="79" t="s">
        <v>123</v>
      </c>
      <c r="AZ411" s="79" t="s">
        <v>598</v>
      </c>
      <c r="BA411" s="79"/>
      <c r="BB411" s="79"/>
      <c r="BC411" s="79"/>
      <c r="BD411" s="79"/>
      <c r="BE411" s="79"/>
      <c r="BF411" s="79"/>
      <c r="BG411" s="79"/>
      <c r="BH411" s="79"/>
      <c r="BI411" s="79"/>
      <c r="BJ411" s="79"/>
      <c r="BK411" s="79"/>
      <c r="BL411" s="79"/>
      <c r="BM411" s="79"/>
      <c r="BN411" s="79"/>
      <c r="BO411" s="79"/>
      <c r="BP411" s="79"/>
      <c r="BQ411" s="79"/>
      <c r="BR411" s="79"/>
      <c r="BS411" s="79"/>
      <c r="BT411" s="79"/>
      <c r="BU411" s="79"/>
      <c r="BV411" s="79"/>
      <c r="BW411" s="79"/>
      <c r="BX411" s="79"/>
      <c r="BY411" s="79"/>
      <c r="BZ411" s="79"/>
      <c r="CA411" s="79"/>
      <c r="CB411" s="79"/>
      <c r="CC411" s="79"/>
      <c r="CD411" s="79"/>
      <c r="CE411" s="79"/>
      <c r="CF411" s="79"/>
      <c r="CG411" s="79"/>
      <c r="CH411" s="79"/>
      <c r="CI411" s="79"/>
      <c r="CJ411" s="79"/>
      <c r="CK411" s="79"/>
      <c r="CL411" s="79"/>
      <c r="CM411" s="79"/>
      <c r="CN411" s="79"/>
      <c r="CO411" s="79"/>
      <c r="CP411" s="79"/>
      <c r="CQ411" s="79"/>
      <c r="CR411" s="79"/>
      <c r="CS411" s="79"/>
      <c r="CT411" s="79"/>
      <c r="CU411" s="79"/>
      <c r="CV411" s="79"/>
      <c r="CW411" s="79"/>
      <c r="CX411" s="85"/>
      <c r="CY411" s="85"/>
      <c r="CZ411" s="85"/>
      <c r="DA411" s="86"/>
      <c r="DB411" s="84"/>
    </row>
    <row r="412" spans="2:106" ht="11.25" customHeight="1">
      <c r="B412" s="78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79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  <c r="BJ412" s="79"/>
      <c r="BK412" s="79"/>
      <c r="BL412" s="79"/>
      <c r="BM412" s="79"/>
      <c r="BN412" s="79"/>
      <c r="BO412" s="79"/>
      <c r="BP412" s="79"/>
      <c r="BQ412" s="79"/>
      <c r="BR412" s="79"/>
      <c r="BS412" s="79"/>
      <c r="BT412" s="79"/>
      <c r="BU412" s="79"/>
      <c r="BV412" s="79"/>
      <c r="BW412" s="79"/>
      <c r="BX412" s="79"/>
      <c r="BY412" s="79"/>
      <c r="BZ412" s="79"/>
      <c r="CA412" s="79"/>
      <c r="CB412" s="79"/>
      <c r="CC412" s="79"/>
      <c r="CD412" s="79"/>
      <c r="CE412" s="79"/>
      <c r="CF412" s="79"/>
      <c r="CG412" s="79"/>
      <c r="CH412" s="79"/>
      <c r="CI412" s="79"/>
      <c r="CJ412" s="79"/>
      <c r="CK412" s="79"/>
      <c r="CL412" s="79"/>
      <c r="CM412" s="79"/>
      <c r="CN412" s="79"/>
      <c r="CO412" s="79"/>
      <c r="CP412" s="79"/>
      <c r="CQ412" s="79"/>
      <c r="CR412" s="79"/>
      <c r="CS412" s="79"/>
      <c r="CT412" s="79"/>
      <c r="CU412" s="79"/>
      <c r="CV412" s="79"/>
      <c r="CW412" s="79"/>
      <c r="CX412" s="85"/>
      <c r="CY412" s="85"/>
      <c r="CZ412" s="85"/>
      <c r="DA412" s="86"/>
      <c r="DB412" s="84"/>
    </row>
    <row r="413" spans="2:106" ht="11.25" customHeight="1">
      <c r="B413" s="78"/>
      <c r="C413" s="79"/>
      <c r="D413" s="79"/>
      <c r="E413" s="79"/>
      <c r="F413" s="79"/>
      <c r="G413" s="79" t="s">
        <v>479</v>
      </c>
      <c r="H413" s="79"/>
      <c r="I413" s="79"/>
      <c r="J413" s="79" t="s">
        <v>309</v>
      </c>
      <c r="K413" s="79"/>
      <c r="L413" s="79" t="s">
        <v>431</v>
      </c>
      <c r="M413" s="79" t="s">
        <v>103</v>
      </c>
      <c r="N413" s="79"/>
      <c r="O413" s="79" t="s">
        <v>23</v>
      </c>
      <c r="P413" s="79" t="s">
        <v>431</v>
      </c>
      <c r="Q413" s="79" t="s">
        <v>645</v>
      </c>
      <c r="R413" s="79"/>
      <c r="S413" s="79" t="s">
        <v>148</v>
      </c>
      <c r="T413" s="79" t="s">
        <v>732</v>
      </c>
      <c r="U413" s="79"/>
      <c r="V413" s="79" t="s">
        <v>89</v>
      </c>
      <c r="W413" s="79" t="s">
        <v>89</v>
      </c>
      <c r="X413" s="79"/>
      <c r="Y413" s="79" t="s">
        <v>123</v>
      </c>
      <c r="Z413" s="79"/>
      <c r="AA413" s="79" t="s">
        <v>103</v>
      </c>
      <c r="AB413" s="79"/>
      <c r="AC413" s="79"/>
      <c r="AD413" s="79" t="s">
        <v>309</v>
      </c>
      <c r="AE413" s="79"/>
      <c r="AF413" s="79" t="s">
        <v>431</v>
      </c>
      <c r="AG413" s="79" t="str">
        <f>TEXT(BC409,"#,##0.#######")</f>
        <v>88.42</v>
      </c>
      <c r="AH413" s="79"/>
      <c r="AI413" s="79"/>
      <c r="AJ413" s="79"/>
      <c r="AK413" s="79"/>
      <c r="AL413" s="79" t="s">
        <v>23</v>
      </c>
      <c r="AM413" s="79" t="s">
        <v>431</v>
      </c>
      <c r="AN413" s="79" t="str">
        <f>TEXT(L405,"#,##0.#######")</f>
        <v>20.</v>
      </c>
      <c r="AO413" s="79"/>
      <c r="AP413" s="79" t="s">
        <v>148</v>
      </c>
      <c r="AQ413" s="79" t="str">
        <f>TEXT(L407,"#,##0.#######")</f>
        <v>20.</v>
      </c>
      <c r="AR413" s="79"/>
      <c r="AS413" s="79" t="s">
        <v>89</v>
      </c>
      <c r="AT413" s="79" t="s">
        <v>89</v>
      </c>
      <c r="AU413" s="79"/>
      <c r="AV413" s="79" t="s">
        <v>123</v>
      </c>
      <c r="AW413" s="79"/>
      <c r="AX413" s="79" t="str">
        <f>TEXT(BC409,"#,##0.#######")</f>
        <v>88.42</v>
      </c>
      <c r="AY413" s="79"/>
      <c r="AZ413" s="79"/>
      <c r="BA413" s="79"/>
      <c r="BB413" s="79"/>
      <c r="BC413" s="79"/>
      <c r="BD413" s="79" t="s">
        <v>309</v>
      </c>
      <c r="BE413" s="79"/>
      <c r="BF413" s="79" t="str">
        <f>TEXT(ROUND((BC409-(L405+L407))/BC409,2),"#,##0.#######")</f>
        <v>0.55</v>
      </c>
      <c r="BG413" s="79"/>
      <c r="BH413" s="79"/>
      <c r="BI413" s="79"/>
      <c r="BJ413" s="79"/>
      <c r="BK413" s="79"/>
      <c r="BL413" s="79"/>
      <c r="BM413" s="79"/>
      <c r="BN413" s="79"/>
      <c r="BO413" s="79"/>
      <c r="BP413" s="79"/>
      <c r="BQ413" s="79"/>
      <c r="BR413" s="79"/>
      <c r="BS413" s="79"/>
      <c r="BT413" s="79"/>
      <c r="BU413" s="79"/>
      <c r="BV413" s="79"/>
      <c r="BW413" s="79"/>
      <c r="BX413" s="79"/>
      <c r="BY413" s="79"/>
      <c r="BZ413" s="79"/>
      <c r="CA413" s="79"/>
      <c r="CB413" s="79"/>
      <c r="CC413" s="79"/>
      <c r="CD413" s="79"/>
      <c r="CE413" s="79"/>
      <c r="CF413" s="79"/>
      <c r="CG413" s="79"/>
      <c r="CH413" s="79"/>
      <c r="CI413" s="79"/>
      <c r="CJ413" s="79"/>
      <c r="CK413" s="79"/>
      <c r="CL413" s="79"/>
      <c r="CM413" s="79"/>
      <c r="CN413" s="79"/>
      <c r="CO413" s="79"/>
      <c r="CP413" s="79"/>
      <c r="CQ413" s="79"/>
      <c r="CR413" s="79"/>
      <c r="CS413" s="79"/>
      <c r="CT413" s="79"/>
      <c r="CU413" s="79"/>
      <c r="CV413" s="79"/>
      <c r="CW413" s="79"/>
      <c r="CX413" s="85"/>
      <c r="CY413" s="85"/>
      <c r="CZ413" s="85"/>
      <c r="DA413" s="86"/>
      <c r="DB413" s="84"/>
    </row>
    <row r="414" spans="2:106" ht="11.25" customHeight="1">
      <c r="B414" s="78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  <c r="AQ414" s="79"/>
      <c r="AR414" s="79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  <c r="BJ414" s="79"/>
      <c r="BK414" s="79"/>
      <c r="BL414" s="79"/>
      <c r="BM414" s="79"/>
      <c r="BN414" s="79"/>
      <c r="BO414" s="79"/>
      <c r="BP414" s="79"/>
      <c r="BQ414" s="79"/>
      <c r="BR414" s="79"/>
      <c r="BS414" s="79"/>
      <c r="BT414" s="79"/>
      <c r="BU414" s="79"/>
      <c r="BV414" s="79"/>
      <c r="BW414" s="79"/>
      <c r="BX414" s="79"/>
      <c r="BY414" s="79"/>
      <c r="BZ414" s="79"/>
      <c r="CA414" s="79"/>
      <c r="CB414" s="79"/>
      <c r="CC414" s="79"/>
      <c r="CD414" s="79"/>
      <c r="CE414" s="79"/>
      <c r="CF414" s="79"/>
      <c r="CG414" s="79"/>
      <c r="CH414" s="79"/>
      <c r="CI414" s="79"/>
      <c r="CJ414" s="79"/>
      <c r="CK414" s="79"/>
      <c r="CL414" s="79"/>
      <c r="CM414" s="79"/>
      <c r="CN414" s="79"/>
      <c r="CO414" s="79"/>
      <c r="CP414" s="79"/>
      <c r="CQ414" s="79"/>
      <c r="CR414" s="79"/>
      <c r="CS414" s="79"/>
      <c r="CT414" s="79"/>
      <c r="CU414" s="79"/>
      <c r="CV414" s="79"/>
      <c r="CW414" s="79"/>
      <c r="CX414" s="85"/>
      <c r="CY414" s="85"/>
      <c r="CZ414" s="85"/>
      <c r="DA414" s="86"/>
      <c r="DB414" s="84"/>
    </row>
    <row r="415" spans="2:106" ht="11.25" customHeight="1">
      <c r="B415" s="78"/>
      <c r="C415" s="79"/>
      <c r="D415" s="79"/>
      <c r="E415" s="79"/>
      <c r="F415" s="79"/>
      <c r="G415" s="79" t="s">
        <v>700</v>
      </c>
      <c r="H415" s="79"/>
      <c r="I415" s="79"/>
      <c r="J415" s="79"/>
      <c r="K415" s="79"/>
      <c r="L415" s="79"/>
      <c r="M415" s="79"/>
      <c r="N415" s="79" t="s">
        <v>604</v>
      </c>
      <c r="O415" s="79"/>
      <c r="P415" s="79" t="str">
        <f>TEXT(기계경비총괄표!G16,"#,##0")</f>
        <v>59,020</v>
      </c>
      <c r="Q415" s="79"/>
      <c r="R415" s="79"/>
      <c r="S415" s="79"/>
      <c r="T415" s="79"/>
      <c r="U415" s="79"/>
      <c r="V415" s="79"/>
      <c r="W415" s="79"/>
      <c r="X415" s="79"/>
      <c r="Y415" s="79" t="s">
        <v>391</v>
      </c>
      <c r="Z415" s="79"/>
      <c r="AA415" s="79"/>
      <c r="AB415" s="79" t="str">
        <f>TEXT(AP411,"#,##0.#######")</f>
        <v>0.61</v>
      </c>
      <c r="AC415" s="79"/>
      <c r="AD415" s="79"/>
      <c r="AE415" s="79"/>
      <c r="AF415" s="79"/>
      <c r="AG415" s="79"/>
      <c r="AH415" s="79" t="s">
        <v>699</v>
      </c>
      <c r="AI415" s="79"/>
      <c r="AJ415" s="79" t="s">
        <v>541</v>
      </c>
      <c r="AK415" s="79"/>
      <c r="AL415" s="79" t="s">
        <v>699</v>
      </c>
      <c r="AM415" s="79"/>
      <c r="AN415" s="79" t="str">
        <f>TEXT(2,"#,##0.#######")</f>
        <v>2.</v>
      </c>
      <c r="AO415" s="79" t="s">
        <v>521</v>
      </c>
      <c r="AP415" s="79"/>
      <c r="AQ415" s="79"/>
      <c r="AR415" s="79" t="s">
        <v>309</v>
      </c>
      <c r="AS415" s="79"/>
      <c r="AT415" s="79" t="str">
        <f>TEXT(P415,"#,##0.#######")</f>
        <v>59,020.</v>
      </c>
      <c r="AU415" s="79"/>
      <c r="AV415" s="79"/>
      <c r="AW415" s="79"/>
      <c r="AX415" s="79"/>
      <c r="AY415" s="79"/>
      <c r="AZ415" s="79"/>
      <c r="BA415" s="79" t="s">
        <v>391</v>
      </c>
      <c r="BB415" s="79"/>
      <c r="BC415" s="79"/>
      <c r="BD415" s="79" t="str">
        <f>TEXT(AP411,"#,##0.#######")</f>
        <v>0.61</v>
      </c>
      <c r="BE415" s="79"/>
      <c r="BF415" s="79"/>
      <c r="BG415" s="79"/>
      <c r="BH415" s="79" t="s">
        <v>699</v>
      </c>
      <c r="BI415" s="79"/>
      <c r="BJ415" s="79" t="str">
        <f>TEXT(AL390,"#,##0.#######")</f>
        <v>6.</v>
      </c>
      <c r="BK415" s="79" t="s">
        <v>699</v>
      </c>
      <c r="BL415" s="79"/>
      <c r="BM415" s="79" t="str">
        <f>TEXT(AN415,"#,##0.#######")</f>
        <v>2.</v>
      </c>
      <c r="BN415" s="79"/>
      <c r="BO415" s="79" t="s">
        <v>309</v>
      </c>
      <c r="BP415" s="79"/>
      <c r="BQ415" s="79" t="str">
        <f>TEXT(TRUNC(P415/AP411*AL390*AN415,1),"#,##0.#")</f>
        <v>1,161,049.1</v>
      </c>
      <c r="BR415" s="79"/>
      <c r="BS415" s="79"/>
      <c r="BT415" s="79"/>
      <c r="BU415" s="79"/>
      <c r="BV415" s="79"/>
      <c r="BW415" s="79"/>
      <c r="BX415" s="79"/>
      <c r="BY415" s="79"/>
      <c r="BZ415" s="79"/>
      <c r="CA415" s="79"/>
      <c r="CB415" s="79"/>
      <c r="CC415" s="79"/>
      <c r="CD415" s="79"/>
      <c r="CE415" s="79"/>
      <c r="CF415" s="79"/>
      <c r="CG415" s="79"/>
      <c r="CH415" s="79"/>
      <c r="CI415" s="79"/>
      <c r="CJ415" s="79"/>
      <c r="CK415" s="79"/>
      <c r="CL415" s="79"/>
      <c r="CM415" s="79"/>
      <c r="CN415" s="79"/>
      <c r="CO415" s="79"/>
      <c r="CP415" s="79"/>
      <c r="CQ415" s="79"/>
      <c r="CR415" s="79"/>
      <c r="CS415" s="79"/>
      <c r="CT415" s="79"/>
      <c r="CU415" s="79"/>
      <c r="CV415" s="79"/>
      <c r="CW415" s="79"/>
      <c r="CX415" s="85"/>
      <c r="CY415" s="85"/>
      <c r="CZ415" s="85"/>
      <c r="DA415" s="86"/>
      <c r="DB415" s="84"/>
    </row>
    <row r="416" spans="2:106" ht="11.25" customHeight="1">
      <c r="B416" s="78"/>
      <c r="C416" s="79"/>
      <c r="D416" s="79"/>
      <c r="E416" s="79"/>
      <c r="F416" s="79"/>
      <c r="G416" s="79" t="s">
        <v>498</v>
      </c>
      <c r="H416" s="79"/>
      <c r="I416" s="79"/>
      <c r="J416" s="79"/>
      <c r="K416" s="79"/>
      <c r="L416" s="79"/>
      <c r="M416" s="79"/>
      <c r="N416" s="79" t="s">
        <v>604</v>
      </c>
      <c r="O416" s="79"/>
      <c r="P416" s="79" t="str">
        <f>TEXT(기계경비총괄표!H16,"#,##0")</f>
        <v>31,558</v>
      </c>
      <c r="Q416" s="79"/>
      <c r="R416" s="79"/>
      <c r="S416" s="79"/>
      <c r="T416" s="79"/>
      <c r="U416" s="79"/>
      <c r="V416" s="79"/>
      <c r="W416" s="79"/>
      <c r="X416" s="79"/>
      <c r="Y416" s="79" t="s">
        <v>391</v>
      </c>
      <c r="Z416" s="79"/>
      <c r="AA416" s="79"/>
      <c r="AB416" s="79" t="str">
        <f>TEXT(AP411,"#,##0.#######")</f>
        <v>0.61</v>
      </c>
      <c r="AC416" s="79"/>
      <c r="AD416" s="79"/>
      <c r="AE416" s="79"/>
      <c r="AF416" s="79"/>
      <c r="AG416" s="79"/>
      <c r="AH416" s="79" t="s">
        <v>699</v>
      </c>
      <c r="AI416" s="79"/>
      <c r="AJ416" s="79" t="s">
        <v>479</v>
      </c>
      <c r="AK416" s="79"/>
      <c r="AL416" s="79" t="s">
        <v>699</v>
      </c>
      <c r="AM416" s="79"/>
      <c r="AN416" s="79" t="s">
        <v>541</v>
      </c>
      <c r="AO416" s="79"/>
      <c r="AP416" s="79" t="s">
        <v>699</v>
      </c>
      <c r="AQ416" s="79"/>
      <c r="AR416" s="79" t="str">
        <f>TEXT(2,"#,##0.#######")</f>
        <v>2.</v>
      </c>
      <c r="AS416" s="79" t="s">
        <v>521</v>
      </c>
      <c r="AT416" s="79"/>
      <c r="AU416" s="79"/>
      <c r="AV416" s="79" t="s">
        <v>309</v>
      </c>
      <c r="AW416" s="79"/>
      <c r="AX416" s="79" t="str">
        <f>TEXT(P416,"#,##0.#######")</f>
        <v>31,558.</v>
      </c>
      <c r="AY416" s="79"/>
      <c r="AZ416" s="79"/>
      <c r="BA416" s="79"/>
      <c r="BB416" s="79"/>
      <c r="BC416" s="79"/>
      <c r="BD416" s="79"/>
      <c r="BE416" s="79" t="s">
        <v>391</v>
      </c>
      <c r="BF416" s="79"/>
      <c r="BG416" s="79"/>
      <c r="BH416" s="79" t="str">
        <f>TEXT(AP411,"#,##0.#######")</f>
        <v>0.61</v>
      </c>
      <c r="BI416" s="79"/>
      <c r="BJ416" s="79"/>
      <c r="BK416" s="79"/>
      <c r="BL416" s="79" t="s">
        <v>699</v>
      </c>
      <c r="BM416" s="79"/>
      <c r="BN416" s="79" t="str">
        <f>TEXT(BF413,"#,##0.#######")</f>
        <v>0.55</v>
      </c>
      <c r="BO416" s="79"/>
      <c r="BP416" s="79"/>
      <c r="BQ416" s="79"/>
      <c r="BR416" s="79" t="s">
        <v>699</v>
      </c>
      <c r="BS416" s="79"/>
      <c r="BT416" s="79" t="str">
        <f>TEXT(AL390,"#,##0.#######")</f>
        <v>6.</v>
      </c>
      <c r="BU416" s="79" t="s">
        <v>699</v>
      </c>
      <c r="BV416" s="79"/>
      <c r="BW416" s="79" t="str">
        <f>TEXT(AR416,"#,##0.#######")</f>
        <v>2.</v>
      </c>
      <c r="BX416" s="79"/>
      <c r="BY416" s="79" t="s">
        <v>309</v>
      </c>
      <c r="BZ416" s="79"/>
      <c r="CA416" s="79" t="str">
        <f>TEXT(TRUNC(P416/AP411*BF413*AL390*AR416,1),"#,##0.#")</f>
        <v>341,447.2</v>
      </c>
      <c r="CB416" s="79"/>
      <c r="CC416" s="79"/>
      <c r="CD416" s="79"/>
      <c r="CE416" s="79"/>
      <c r="CF416" s="79"/>
      <c r="CG416" s="79"/>
      <c r="CH416" s="79"/>
      <c r="CI416" s="79"/>
      <c r="CJ416" s="79"/>
      <c r="CK416" s="79"/>
      <c r="CL416" s="79"/>
      <c r="CM416" s="79"/>
      <c r="CN416" s="79"/>
      <c r="CO416" s="79"/>
      <c r="CP416" s="79"/>
      <c r="CQ416" s="79"/>
      <c r="CR416" s="79"/>
      <c r="CS416" s="79"/>
      <c r="CT416" s="79"/>
      <c r="CU416" s="79"/>
      <c r="CV416" s="79"/>
      <c r="CW416" s="79"/>
      <c r="CX416" s="85"/>
      <c r="CY416" s="85"/>
      <c r="CZ416" s="85"/>
      <c r="DA416" s="86"/>
      <c r="DB416" s="84"/>
    </row>
    <row r="417" spans="2:106" ht="11.25" customHeight="1">
      <c r="B417" s="78"/>
      <c r="C417" s="79"/>
      <c r="D417" s="79"/>
      <c r="E417" s="79"/>
      <c r="F417" s="79"/>
      <c r="G417" s="79" t="s">
        <v>160</v>
      </c>
      <c r="H417" s="79"/>
      <c r="I417" s="79"/>
      <c r="J417" s="79"/>
      <c r="K417" s="79" t="s">
        <v>440</v>
      </c>
      <c r="L417" s="79"/>
      <c r="M417" s="79"/>
      <c r="N417" s="79" t="s">
        <v>604</v>
      </c>
      <c r="O417" s="79"/>
      <c r="P417" s="79" t="str">
        <f>TEXT(기계경비총괄표!I16,"#,##0")</f>
        <v>17,314</v>
      </c>
      <c r="Q417" s="79"/>
      <c r="R417" s="79"/>
      <c r="S417" s="79"/>
      <c r="T417" s="79"/>
      <c r="U417" s="79"/>
      <c r="V417" s="79"/>
      <c r="W417" s="79"/>
      <c r="X417" s="79"/>
      <c r="Y417" s="79" t="s">
        <v>391</v>
      </c>
      <c r="Z417" s="79"/>
      <c r="AA417" s="79"/>
      <c r="AB417" s="79" t="str">
        <f>TEXT(AP411,"#,##0.#######")</f>
        <v>0.61</v>
      </c>
      <c r="AC417" s="79"/>
      <c r="AD417" s="79"/>
      <c r="AE417" s="79"/>
      <c r="AF417" s="79"/>
      <c r="AG417" s="79"/>
      <c r="AH417" s="79" t="s">
        <v>699</v>
      </c>
      <c r="AI417" s="79"/>
      <c r="AJ417" s="79" t="s">
        <v>541</v>
      </c>
      <c r="AK417" s="79"/>
      <c r="AL417" s="79" t="s">
        <v>699</v>
      </c>
      <c r="AM417" s="79"/>
      <c r="AN417" s="79" t="str">
        <f>TEXT(2,"#,##0.#######")</f>
        <v>2.</v>
      </c>
      <c r="AO417" s="79" t="s">
        <v>521</v>
      </c>
      <c r="AP417" s="79"/>
      <c r="AQ417" s="79"/>
      <c r="AR417" s="79" t="s">
        <v>309</v>
      </c>
      <c r="AS417" s="79"/>
      <c r="AT417" s="79" t="str">
        <f>TEXT(P417,"#,##0.#######")</f>
        <v>17,314.</v>
      </c>
      <c r="AU417" s="79"/>
      <c r="AV417" s="79"/>
      <c r="AW417" s="79"/>
      <c r="AX417" s="79"/>
      <c r="AY417" s="79"/>
      <c r="AZ417" s="79"/>
      <c r="BA417" s="79" t="s">
        <v>391</v>
      </c>
      <c r="BB417" s="79"/>
      <c r="BC417" s="79"/>
      <c r="BD417" s="79" t="str">
        <f>TEXT(AP411,"#,##0.#######")</f>
        <v>0.61</v>
      </c>
      <c r="BE417" s="79"/>
      <c r="BF417" s="79"/>
      <c r="BG417" s="79"/>
      <c r="BH417" s="79" t="s">
        <v>699</v>
      </c>
      <c r="BI417" s="79"/>
      <c r="BJ417" s="79" t="str">
        <f>TEXT(AL390,"#,##0.#######")</f>
        <v>6.</v>
      </c>
      <c r="BK417" s="79" t="s">
        <v>699</v>
      </c>
      <c r="BL417" s="79"/>
      <c r="BM417" s="79" t="str">
        <f>TEXT(AN417,"#,##0.#######")</f>
        <v>2.</v>
      </c>
      <c r="BN417" s="79"/>
      <c r="BO417" s="79" t="s">
        <v>309</v>
      </c>
      <c r="BP417" s="79"/>
      <c r="BQ417" s="79"/>
      <c r="BR417" s="79" t="str">
        <f>TEXT(TRUNC(P417/AP411*AL390*AN417,1),"#,##0.#")</f>
        <v>340,603.2</v>
      </c>
      <c r="BS417" s="79"/>
      <c r="BT417" s="79"/>
      <c r="BU417" s="79"/>
      <c r="BV417" s="79"/>
      <c r="BW417" s="79"/>
      <c r="BX417" s="79"/>
      <c r="BY417" s="79"/>
      <c r="BZ417" s="79"/>
      <c r="CA417" s="79"/>
      <c r="CB417" s="79"/>
      <c r="CC417" s="79"/>
      <c r="CD417" s="79"/>
      <c r="CE417" s="79"/>
      <c r="CF417" s="79"/>
      <c r="CG417" s="79"/>
      <c r="CH417" s="79"/>
      <c r="CI417" s="79"/>
      <c r="CJ417" s="79"/>
      <c r="CK417" s="79"/>
      <c r="CL417" s="79"/>
      <c r="CM417" s="79"/>
      <c r="CN417" s="79"/>
      <c r="CO417" s="79"/>
      <c r="CP417" s="79"/>
      <c r="CQ417" s="79"/>
      <c r="CR417" s="79"/>
      <c r="CS417" s="79"/>
      <c r="CT417" s="79"/>
      <c r="CU417" s="79"/>
      <c r="CV417" s="79"/>
      <c r="CW417" s="79"/>
      <c r="CX417" s="85"/>
      <c r="CY417" s="85"/>
      <c r="CZ417" s="85"/>
      <c r="DA417" s="86"/>
      <c r="DB417" s="84"/>
    </row>
    <row r="418" spans="2:106" ht="11.25" customHeight="1">
      <c r="B418" s="78"/>
      <c r="C418" s="79"/>
      <c r="D418" s="79"/>
      <c r="E418" s="79"/>
      <c r="F418" s="79"/>
      <c r="G418" s="79" t="s">
        <v>305</v>
      </c>
      <c r="H418" s="79"/>
      <c r="I418" s="79"/>
      <c r="J418" s="79"/>
      <c r="K418" s="79" t="s">
        <v>436</v>
      </c>
      <c r="L418" s="79"/>
      <c r="M418" s="79"/>
      <c r="N418" s="79" t="s">
        <v>604</v>
      </c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  <c r="AQ418" s="79"/>
      <c r="AR418" s="79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  <c r="BJ418" s="79"/>
      <c r="BK418" s="79"/>
      <c r="BL418" s="79" t="str">
        <f>TEXT(BQ415+CA416+BR417,"#,##0.#######")</f>
        <v>1,843,099.5</v>
      </c>
      <c r="BM418" s="79"/>
      <c r="BN418" s="79"/>
      <c r="BO418" s="79"/>
      <c r="BP418" s="79"/>
      <c r="BQ418" s="79"/>
      <c r="BR418" s="79"/>
      <c r="BS418" s="79"/>
      <c r="BT418" s="79"/>
      <c r="BU418" s="79"/>
      <c r="BV418" s="79"/>
      <c r="BW418" s="79"/>
      <c r="BX418" s="79"/>
      <c r="BY418" s="79"/>
      <c r="BZ418" s="79"/>
      <c r="CA418" s="79"/>
      <c r="CB418" s="79"/>
      <c r="CC418" s="79"/>
      <c r="CD418" s="79"/>
      <c r="CE418" s="79"/>
      <c r="CF418" s="79"/>
      <c r="CG418" s="79"/>
      <c r="CH418" s="79"/>
      <c r="CI418" s="79"/>
      <c r="CJ418" s="79"/>
      <c r="CK418" s="79"/>
      <c r="CL418" s="79"/>
      <c r="CM418" s="79"/>
      <c r="CN418" s="79"/>
      <c r="CO418" s="79"/>
      <c r="CP418" s="79"/>
      <c r="CQ418" s="79"/>
      <c r="CR418" s="79"/>
      <c r="CS418" s="79"/>
      <c r="CT418" s="79"/>
      <c r="CU418" s="79"/>
      <c r="CV418" s="79"/>
      <c r="CW418" s="79"/>
      <c r="CX418" s="85">
        <f>CY418+CZ418+DA418</f>
        <v>1843099.5</v>
      </c>
      <c r="CY418" s="85" t="str">
        <f>TEXT(BQ415,"#,###.0")</f>
        <v>1,161,049.1</v>
      </c>
      <c r="CZ418" s="85" t="str">
        <f>TEXT(CA416,"#,###.0")</f>
        <v>341,447.2</v>
      </c>
      <c r="DA418" s="86" t="str">
        <f>TEXT(BR417,"#,###.0")</f>
        <v>340,603.2</v>
      </c>
      <c r="DB418" s="84"/>
    </row>
    <row r="419" spans="2:106" ht="11.25" customHeight="1">
      <c r="B419" s="78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  <c r="BJ419" s="79"/>
      <c r="BK419" s="79"/>
      <c r="BL419" s="79"/>
      <c r="BM419" s="79"/>
      <c r="BN419" s="79"/>
      <c r="BO419" s="79"/>
      <c r="BP419" s="79"/>
      <c r="BQ419" s="79"/>
      <c r="BR419" s="79"/>
      <c r="BS419" s="79"/>
      <c r="BT419" s="79"/>
      <c r="BU419" s="79"/>
      <c r="BV419" s="79"/>
      <c r="BW419" s="79"/>
      <c r="BX419" s="79"/>
      <c r="BY419" s="79"/>
      <c r="BZ419" s="79"/>
      <c r="CA419" s="79"/>
      <c r="CB419" s="79"/>
      <c r="CC419" s="79"/>
      <c r="CD419" s="79"/>
      <c r="CE419" s="79"/>
      <c r="CF419" s="79"/>
      <c r="CG419" s="79"/>
      <c r="CH419" s="79"/>
      <c r="CI419" s="79"/>
      <c r="CJ419" s="79"/>
      <c r="CK419" s="79"/>
      <c r="CL419" s="79"/>
      <c r="CM419" s="79"/>
      <c r="CN419" s="79"/>
      <c r="CO419" s="79"/>
      <c r="CP419" s="79"/>
      <c r="CQ419" s="79"/>
      <c r="CR419" s="79"/>
      <c r="CS419" s="79"/>
      <c r="CT419" s="79"/>
      <c r="CU419" s="79"/>
      <c r="CV419" s="79"/>
      <c r="CW419" s="79"/>
      <c r="CX419" s="85"/>
      <c r="CY419" s="85"/>
      <c r="CZ419" s="85"/>
      <c r="DA419" s="86"/>
      <c r="DB419" s="84"/>
    </row>
    <row r="420" spans="2:106" ht="11.25" customHeight="1">
      <c r="B420" s="78"/>
      <c r="C420" s="79"/>
      <c r="D420" s="79" t="s">
        <v>594</v>
      </c>
      <c r="E420" s="79"/>
      <c r="F420" s="79"/>
      <c r="G420" s="79" t="s">
        <v>420</v>
      </c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  <c r="BY420" s="79"/>
      <c r="BZ420" s="79"/>
      <c r="CA420" s="79"/>
      <c r="CB420" s="79"/>
      <c r="CC420" s="79"/>
      <c r="CD420" s="79"/>
      <c r="CE420" s="79"/>
      <c r="CF420" s="79"/>
      <c r="CG420" s="79"/>
      <c r="CH420" s="79"/>
      <c r="CI420" s="79"/>
      <c r="CJ420" s="79"/>
      <c r="CK420" s="79"/>
      <c r="CL420" s="79"/>
      <c r="CM420" s="79"/>
      <c r="CN420" s="79"/>
      <c r="CO420" s="79"/>
      <c r="CP420" s="79"/>
      <c r="CQ420" s="79"/>
      <c r="CR420" s="79"/>
      <c r="CS420" s="79"/>
      <c r="CT420" s="79"/>
      <c r="CU420" s="79"/>
      <c r="CV420" s="79"/>
      <c r="CW420" s="79"/>
      <c r="CX420" s="85"/>
      <c r="CY420" s="85"/>
      <c r="CZ420" s="85"/>
      <c r="DA420" s="86"/>
      <c r="DB420" s="84"/>
    </row>
    <row r="421" spans="2:106" ht="11.25" customHeight="1">
      <c r="B421" s="78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  <c r="BJ421" s="79"/>
      <c r="BK421" s="79"/>
      <c r="BL421" s="79"/>
      <c r="BM421" s="79"/>
      <c r="BN421" s="79"/>
      <c r="BO421" s="79"/>
      <c r="BP421" s="79"/>
      <c r="BQ421" s="79"/>
      <c r="BR421" s="79"/>
      <c r="BS421" s="79"/>
      <c r="BT421" s="79"/>
      <c r="BU421" s="79"/>
      <c r="BV421" s="79"/>
      <c r="BW421" s="79"/>
      <c r="BX421" s="79"/>
      <c r="BY421" s="79"/>
      <c r="BZ421" s="79"/>
      <c r="CA421" s="79"/>
      <c r="CB421" s="79"/>
      <c r="CC421" s="79"/>
      <c r="CD421" s="79"/>
      <c r="CE421" s="79"/>
      <c r="CF421" s="79"/>
      <c r="CG421" s="79"/>
      <c r="CH421" s="79"/>
      <c r="CI421" s="79"/>
      <c r="CJ421" s="79"/>
      <c r="CK421" s="79"/>
      <c r="CL421" s="79"/>
      <c r="CM421" s="79"/>
      <c r="CN421" s="79"/>
      <c r="CO421" s="79"/>
      <c r="CP421" s="79"/>
      <c r="CQ421" s="79"/>
      <c r="CR421" s="79"/>
      <c r="CS421" s="79"/>
      <c r="CT421" s="79"/>
      <c r="CU421" s="79"/>
      <c r="CV421" s="79"/>
      <c r="CW421" s="79"/>
      <c r="CX421" s="85"/>
      <c r="CY421" s="85"/>
      <c r="CZ421" s="85"/>
      <c r="DA421" s="86"/>
      <c r="DB421" s="84"/>
    </row>
    <row r="422" spans="2:106" ht="11.25" customHeight="1">
      <c r="B422" s="78"/>
      <c r="C422" s="79"/>
      <c r="D422" s="79"/>
      <c r="E422" s="79" t="s">
        <v>614</v>
      </c>
      <c r="F422" s="79"/>
      <c r="G422" s="79" t="s">
        <v>587</v>
      </c>
      <c r="H422" s="79"/>
      <c r="I422" s="79" t="s">
        <v>544</v>
      </c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 t="s">
        <v>196</v>
      </c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  <c r="BJ422" s="79"/>
      <c r="BK422" s="79"/>
      <c r="BL422" s="79"/>
      <c r="BM422" s="79"/>
      <c r="BN422" s="79"/>
      <c r="BO422" s="79"/>
      <c r="BP422" s="79"/>
      <c r="BQ422" s="79"/>
      <c r="BR422" s="79"/>
      <c r="BS422" s="79"/>
      <c r="BT422" s="79"/>
      <c r="BU422" s="79"/>
      <c r="BV422" s="79"/>
      <c r="BW422" s="79"/>
      <c r="BX422" s="79"/>
      <c r="BY422" s="79"/>
      <c r="BZ422" s="79"/>
      <c r="CA422" s="79"/>
      <c r="CB422" s="79"/>
      <c r="CC422" s="79"/>
      <c r="CD422" s="79"/>
      <c r="CE422" s="79"/>
      <c r="CF422" s="79"/>
      <c r="CG422" s="79"/>
      <c r="CH422" s="79"/>
      <c r="CI422" s="79"/>
      <c r="CJ422" s="79"/>
      <c r="CK422" s="79"/>
      <c r="CL422" s="79"/>
      <c r="CM422" s="79"/>
      <c r="CN422" s="79"/>
      <c r="CO422" s="79"/>
      <c r="CP422" s="79"/>
      <c r="CQ422" s="79"/>
      <c r="CR422" s="79"/>
      <c r="CS422" s="79"/>
      <c r="CT422" s="79"/>
      <c r="CU422" s="79"/>
      <c r="CV422" s="79"/>
      <c r="CW422" s="79"/>
      <c r="CX422" s="85"/>
      <c r="CY422" s="85"/>
      <c r="CZ422" s="85"/>
      <c r="DA422" s="86"/>
      <c r="DB422" s="84"/>
    </row>
    <row r="423" spans="2:106" ht="11.25" customHeight="1">
      <c r="B423" s="78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  <c r="BJ423" s="79"/>
      <c r="BK423" s="79"/>
      <c r="BL423" s="79"/>
      <c r="BM423" s="79"/>
      <c r="BN423" s="79"/>
      <c r="BO423" s="79"/>
      <c r="BP423" s="79"/>
      <c r="BQ423" s="79"/>
      <c r="BR423" s="79"/>
      <c r="BS423" s="79"/>
      <c r="BT423" s="79"/>
      <c r="BU423" s="79"/>
      <c r="BV423" s="79"/>
      <c r="BW423" s="79"/>
      <c r="BX423" s="79"/>
      <c r="BY423" s="79"/>
      <c r="BZ423" s="79"/>
      <c r="CA423" s="79"/>
      <c r="CB423" s="79"/>
      <c r="CC423" s="79"/>
      <c r="CD423" s="79"/>
      <c r="CE423" s="79"/>
      <c r="CF423" s="79"/>
      <c r="CG423" s="79"/>
      <c r="CH423" s="79"/>
      <c r="CI423" s="79"/>
      <c r="CJ423" s="79"/>
      <c r="CK423" s="79"/>
      <c r="CL423" s="79"/>
      <c r="CM423" s="79"/>
      <c r="CN423" s="79"/>
      <c r="CO423" s="79"/>
      <c r="CP423" s="79"/>
      <c r="CQ423" s="79"/>
      <c r="CR423" s="79"/>
      <c r="CS423" s="79"/>
      <c r="CT423" s="79"/>
      <c r="CU423" s="79"/>
      <c r="CV423" s="79"/>
      <c r="CW423" s="79"/>
      <c r="CX423" s="85"/>
      <c r="CY423" s="85"/>
      <c r="CZ423" s="85"/>
      <c r="DA423" s="86"/>
      <c r="DB423" s="84"/>
    </row>
    <row r="424" spans="2:106" ht="11.25" customHeight="1">
      <c r="B424" s="78"/>
      <c r="C424" s="79"/>
      <c r="D424" s="79"/>
      <c r="E424" s="79"/>
      <c r="F424" s="79"/>
      <c r="G424" s="79" t="s">
        <v>546</v>
      </c>
      <c r="H424" s="79"/>
      <c r="I424" s="79" t="s">
        <v>309</v>
      </c>
      <c r="J424" s="79"/>
      <c r="K424" s="79" t="str">
        <f>TEXT(25,"#,##0.#######")</f>
        <v>25.</v>
      </c>
      <c r="L424" s="79"/>
      <c r="M424" s="79" t="s">
        <v>434</v>
      </c>
      <c r="N424" s="79"/>
      <c r="O424" s="79" t="s">
        <v>123</v>
      </c>
      <c r="P424" s="79" t="s">
        <v>598</v>
      </c>
      <c r="Q424" s="79"/>
      <c r="R424" s="79"/>
      <c r="S424" s="79"/>
      <c r="T424" s="79"/>
      <c r="U424" s="79"/>
      <c r="V424" s="79" t="s">
        <v>342</v>
      </c>
      <c r="W424" s="79"/>
      <c r="X424" s="79" t="s">
        <v>309</v>
      </c>
      <c r="Y424" s="79"/>
      <c r="Z424" s="79" t="str">
        <f>TEXT(0.9,"#,##0.#######")</f>
        <v>0.9</v>
      </c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  <c r="BJ424" s="79"/>
      <c r="BK424" s="79"/>
      <c r="BL424" s="79"/>
      <c r="BM424" s="79"/>
      <c r="BN424" s="79"/>
      <c r="BO424" s="79"/>
      <c r="BP424" s="79"/>
      <c r="BQ424" s="79"/>
      <c r="BR424" s="79"/>
      <c r="BS424" s="79"/>
      <c r="BT424" s="79"/>
      <c r="BU424" s="79"/>
      <c r="BV424" s="79"/>
      <c r="BW424" s="79"/>
      <c r="BX424" s="79"/>
      <c r="BY424" s="79"/>
      <c r="BZ424" s="79"/>
      <c r="CA424" s="79"/>
      <c r="CB424" s="79"/>
      <c r="CC424" s="79"/>
      <c r="CD424" s="79"/>
      <c r="CE424" s="79"/>
      <c r="CF424" s="79"/>
      <c r="CG424" s="79"/>
      <c r="CH424" s="79"/>
      <c r="CI424" s="79"/>
      <c r="CJ424" s="79"/>
      <c r="CK424" s="79"/>
      <c r="CL424" s="79"/>
      <c r="CM424" s="79"/>
      <c r="CN424" s="79"/>
      <c r="CO424" s="79"/>
      <c r="CP424" s="79"/>
      <c r="CQ424" s="79"/>
      <c r="CR424" s="79"/>
      <c r="CS424" s="79"/>
      <c r="CT424" s="79"/>
      <c r="CU424" s="79"/>
      <c r="CV424" s="79"/>
      <c r="CW424" s="79"/>
      <c r="CX424" s="85"/>
      <c r="CY424" s="85"/>
      <c r="CZ424" s="85"/>
      <c r="DA424" s="86"/>
      <c r="DB424" s="84"/>
    </row>
    <row r="425" spans="2:106" ht="11.25" customHeight="1">
      <c r="B425" s="78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  <c r="BJ425" s="79"/>
      <c r="BK425" s="79"/>
      <c r="BL425" s="79"/>
      <c r="BM425" s="79"/>
      <c r="BN425" s="79"/>
      <c r="BO425" s="79"/>
      <c r="BP425" s="79"/>
      <c r="BQ425" s="79"/>
      <c r="BR425" s="79"/>
      <c r="BS425" s="79"/>
      <c r="BT425" s="79"/>
      <c r="BU425" s="79"/>
      <c r="BV425" s="79"/>
      <c r="BW425" s="79"/>
      <c r="BX425" s="79"/>
      <c r="BY425" s="79"/>
      <c r="BZ425" s="79"/>
      <c r="CA425" s="79"/>
      <c r="CB425" s="79"/>
      <c r="CC425" s="79"/>
      <c r="CD425" s="79"/>
      <c r="CE425" s="79"/>
      <c r="CF425" s="79"/>
      <c r="CG425" s="79"/>
      <c r="CH425" s="79"/>
      <c r="CI425" s="79"/>
      <c r="CJ425" s="79"/>
      <c r="CK425" s="79"/>
      <c r="CL425" s="79"/>
      <c r="CM425" s="79"/>
      <c r="CN425" s="79"/>
      <c r="CO425" s="79"/>
      <c r="CP425" s="79"/>
      <c r="CQ425" s="79"/>
      <c r="CR425" s="79"/>
      <c r="CS425" s="79"/>
      <c r="CT425" s="79"/>
      <c r="CU425" s="79"/>
      <c r="CV425" s="79"/>
      <c r="CW425" s="79"/>
      <c r="CX425" s="85"/>
      <c r="CY425" s="85"/>
      <c r="CZ425" s="85"/>
      <c r="DA425" s="86"/>
      <c r="DB425" s="84"/>
    </row>
    <row r="426" spans="2:106" ht="11.25" customHeight="1">
      <c r="B426" s="78"/>
      <c r="C426" s="79"/>
      <c r="D426" s="79"/>
      <c r="E426" s="79"/>
      <c r="F426" s="79"/>
      <c r="G426" s="79" t="s">
        <v>103</v>
      </c>
      <c r="H426" s="79"/>
      <c r="I426" s="79"/>
      <c r="J426" s="79" t="s">
        <v>309</v>
      </c>
      <c r="K426" s="79"/>
      <c r="L426" s="79" t="s">
        <v>431</v>
      </c>
      <c r="M426" s="79" t="s">
        <v>652</v>
      </c>
      <c r="N426" s="79" t="s">
        <v>123</v>
      </c>
      <c r="O426" s="79" t="s">
        <v>546</v>
      </c>
      <c r="P426" s="79" t="s">
        <v>89</v>
      </c>
      <c r="Q426" s="79" t="s">
        <v>699</v>
      </c>
      <c r="R426" s="79"/>
      <c r="S426" s="79" t="str">
        <f>TEXT(2,"#,##0.#######")</f>
        <v>2.</v>
      </c>
      <c r="T426" s="79" t="s">
        <v>699</v>
      </c>
      <c r="U426" s="79"/>
      <c r="V426" s="79" t="str">
        <f>TEXT(60,"#,##0.#######")</f>
        <v>60.</v>
      </c>
      <c r="W426" s="79"/>
      <c r="X426" s="79"/>
      <c r="Y426" s="79" t="s">
        <v>309</v>
      </c>
      <c r="Z426" s="79"/>
      <c r="AA426" s="79" t="s">
        <v>431</v>
      </c>
      <c r="AB426" s="79" t="str">
        <f>TEXT(V378,"#,##0.#######")</f>
        <v>16.</v>
      </c>
      <c r="AC426" s="79"/>
      <c r="AD426" s="79" t="s">
        <v>123</v>
      </c>
      <c r="AE426" s="79" t="str">
        <f>TEXT(K424,"#,##0.#######")</f>
        <v>25.</v>
      </c>
      <c r="AF426" s="79"/>
      <c r="AG426" s="79" t="s">
        <v>89</v>
      </c>
      <c r="AH426" s="79" t="s">
        <v>699</v>
      </c>
      <c r="AI426" s="79"/>
      <c r="AJ426" s="79" t="str">
        <f>TEXT(S426,"#,##0.#######")</f>
        <v>2.</v>
      </c>
      <c r="AK426" s="79" t="s">
        <v>699</v>
      </c>
      <c r="AL426" s="79"/>
      <c r="AM426" s="79" t="str">
        <f>TEXT(V426,"#,##0.#######")</f>
        <v>60.</v>
      </c>
      <c r="AN426" s="79"/>
      <c r="AO426" s="79"/>
      <c r="AP426" s="79" t="s">
        <v>309</v>
      </c>
      <c r="AQ426" s="79"/>
      <c r="AR426" s="79" t="str">
        <f>TEXT(ROUND((V378/K424)*S426*V426,2),"#,##0.#######")</f>
        <v>76.8</v>
      </c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  <c r="BJ426" s="79"/>
      <c r="BK426" s="79"/>
      <c r="BL426" s="79"/>
      <c r="BM426" s="79"/>
      <c r="BN426" s="79"/>
      <c r="BO426" s="79"/>
      <c r="BP426" s="79"/>
      <c r="BQ426" s="79"/>
      <c r="BR426" s="79"/>
      <c r="BS426" s="79"/>
      <c r="BT426" s="79"/>
      <c r="BU426" s="79"/>
      <c r="BV426" s="79"/>
      <c r="BW426" s="79"/>
      <c r="BX426" s="79"/>
      <c r="BY426" s="79"/>
      <c r="BZ426" s="79"/>
      <c r="CA426" s="79"/>
      <c r="CB426" s="79"/>
      <c r="CC426" s="79"/>
      <c r="CD426" s="79"/>
      <c r="CE426" s="79"/>
      <c r="CF426" s="79"/>
      <c r="CG426" s="79"/>
      <c r="CH426" s="79"/>
      <c r="CI426" s="79"/>
      <c r="CJ426" s="79"/>
      <c r="CK426" s="79"/>
      <c r="CL426" s="79"/>
      <c r="CM426" s="79"/>
      <c r="CN426" s="79"/>
      <c r="CO426" s="79"/>
      <c r="CP426" s="79"/>
      <c r="CQ426" s="79"/>
      <c r="CR426" s="79"/>
      <c r="CS426" s="79"/>
      <c r="CT426" s="79"/>
      <c r="CU426" s="79"/>
      <c r="CV426" s="79"/>
      <c r="CW426" s="79"/>
      <c r="CX426" s="85"/>
      <c r="CY426" s="85"/>
      <c r="CZ426" s="85"/>
      <c r="DA426" s="86"/>
      <c r="DB426" s="84"/>
    </row>
    <row r="427" spans="2:106" ht="11.25" customHeight="1">
      <c r="B427" s="78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  <c r="BJ427" s="79"/>
      <c r="BK427" s="79"/>
      <c r="BL427" s="79"/>
      <c r="BM427" s="79"/>
      <c r="BN427" s="79"/>
      <c r="BO427" s="79"/>
      <c r="BP427" s="79"/>
      <c r="BQ427" s="79"/>
      <c r="BR427" s="79"/>
      <c r="BS427" s="79"/>
      <c r="BT427" s="79"/>
      <c r="BU427" s="79"/>
      <c r="BV427" s="79"/>
      <c r="BW427" s="79"/>
      <c r="BX427" s="79"/>
      <c r="BY427" s="79"/>
      <c r="BZ427" s="79"/>
      <c r="CA427" s="79"/>
      <c r="CB427" s="79"/>
      <c r="CC427" s="79"/>
      <c r="CD427" s="79"/>
      <c r="CE427" s="79"/>
      <c r="CF427" s="79"/>
      <c r="CG427" s="79"/>
      <c r="CH427" s="79"/>
      <c r="CI427" s="79"/>
      <c r="CJ427" s="79"/>
      <c r="CK427" s="79"/>
      <c r="CL427" s="79"/>
      <c r="CM427" s="79"/>
      <c r="CN427" s="79"/>
      <c r="CO427" s="79"/>
      <c r="CP427" s="79"/>
      <c r="CQ427" s="79"/>
      <c r="CR427" s="79"/>
      <c r="CS427" s="79"/>
      <c r="CT427" s="79"/>
      <c r="CU427" s="79"/>
      <c r="CV427" s="79"/>
      <c r="CW427" s="79"/>
      <c r="CX427" s="85"/>
      <c r="CY427" s="85"/>
      <c r="CZ427" s="85"/>
      <c r="DA427" s="86"/>
      <c r="DB427" s="84"/>
    </row>
    <row r="428" spans="2:106" ht="11.25" customHeight="1">
      <c r="B428" s="78"/>
      <c r="C428" s="79"/>
      <c r="D428" s="79"/>
      <c r="E428" s="79"/>
      <c r="F428" s="79"/>
      <c r="G428" s="79" t="s">
        <v>49</v>
      </c>
      <c r="H428" s="79"/>
      <c r="I428" s="79" t="s">
        <v>309</v>
      </c>
      <c r="J428" s="79"/>
      <c r="K428" s="79" t="s">
        <v>431</v>
      </c>
      <c r="L428" s="79" t="str">
        <f>TEXT(60,"#,##0.#######")</f>
        <v>60.</v>
      </c>
      <c r="M428" s="79"/>
      <c r="N428" s="79" t="s">
        <v>699</v>
      </c>
      <c r="O428" s="79"/>
      <c r="P428" s="79" t="s">
        <v>342</v>
      </c>
      <c r="Q428" s="79" t="s">
        <v>89</v>
      </c>
      <c r="R428" s="79"/>
      <c r="S428" s="79" t="s">
        <v>123</v>
      </c>
      <c r="T428" s="79"/>
      <c r="U428" s="79" t="s">
        <v>103</v>
      </c>
      <c r="V428" s="79"/>
      <c r="W428" s="79"/>
      <c r="X428" s="79" t="s">
        <v>309</v>
      </c>
      <c r="Y428" s="79"/>
      <c r="Z428" s="79" t="s">
        <v>431</v>
      </c>
      <c r="AA428" s="79" t="str">
        <f>TEXT(L428,"#,##0.#######")</f>
        <v>60.</v>
      </c>
      <c r="AB428" s="79"/>
      <c r="AC428" s="79" t="s">
        <v>699</v>
      </c>
      <c r="AD428" s="79"/>
      <c r="AE428" s="79" t="str">
        <f>TEXT(Z424,"#,##0.#######")</f>
        <v>0.9</v>
      </c>
      <c r="AF428" s="79"/>
      <c r="AG428" s="79"/>
      <c r="AH428" s="79" t="s">
        <v>89</v>
      </c>
      <c r="AI428" s="79"/>
      <c r="AJ428" s="79" t="s">
        <v>123</v>
      </c>
      <c r="AK428" s="79"/>
      <c r="AL428" s="79" t="str">
        <f>TEXT(AR426,"#,##0.#######")</f>
        <v>76.8</v>
      </c>
      <c r="AM428" s="79"/>
      <c r="AN428" s="79"/>
      <c r="AO428" s="79"/>
      <c r="AP428" s="79"/>
      <c r="AQ428" s="79" t="s">
        <v>309</v>
      </c>
      <c r="AR428" s="79"/>
      <c r="AS428" s="79" t="str">
        <f>TEXT(ROUND((L428*Z424)/AR426,2),"#,##0.#######")</f>
        <v>0.7</v>
      </c>
      <c r="AT428" s="79"/>
      <c r="AU428" s="79"/>
      <c r="AV428" s="79"/>
      <c r="AW428" s="79"/>
      <c r="AX428" s="79"/>
      <c r="AY428" s="79" t="s">
        <v>521</v>
      </c>
      <c r="AZ428" s="79"/>
      <c r="BA428" s="79" t="s">
        <v>123</v>
      </c>
      <c r="BB428" s="79" t="s">
        <v>598</v>
      </c>
      <c r="BC428" s="79"/>
      <c r="BD428" s="79"/>
      <c r="BE428" s="79"/>
      <c r="BF428" s="79"/>
      <c r="BG428" s="79"/>
      <c r="BH428" s="79"/>
      <c r="BI428" s="79"/>
      <c r="BJ428" s="79"/>
      <c r="BK428" s="79"/>
      <c r="BL428" s="79"/>
      <c r="BM428" s="79"/>
      <c r="BN428" s="79"/>
      <c r="BO428" s="79"/>
      <c r="BP428" s="79"/>
      <c r="BQ428" s="79"/>
      <c r="BR428" s="79"/>
      <c r="BS428" s="79"/>
      <c r="BT428" s="79"/>
      <c r="BU428" s="79"/>
      <c r="BV428" s="79"/>
      <c r="BW428" s="79"/>
      <c r="BX428" s="79"/>
      <c r="BY428" s="79"/>
      <c r="BZ428" s="79"/>
      <c r="CA428" s="79"/>
      <c r="CB428" s="79"/>
      <c r="CC428" s="79"/>
      <c r="CD428" s="79"/>
      <c r="CE428" s="79"/>
      <c r="CF428" s="79"/>
      <c r="CG428" s="79"/>
      <c r="CH428" s="79"/>
      <c r="CI428" s="79"/>
      <c r="CJ428" s="79"/>
      <c r="CK428" s="79"/>
      <c r="CL428" s="79"/>
      <c r="CM428" s="79"/>
      <c r="CN428" s="79"/>
      <c r="CO428" s="79"/>
      <c r="CP428" s="79"/>
      <c r="CQ428" s="79"/>
      <c r="CR428" s="79"/>
      <c r="CS428" s="79"/>
      <c r="CT428" s="79"/>
      <c r="CU428" s="79"/>
      <c r="CV428" s="79"/>
      <c r="CW428" s="79"/>
      <c r="CX428" s="85"/>
      <c r="CY428" s="85"/>
      <c r="CZ428" s="85"/>
      <c r="DA428" s="86"/>
      <c r="DB428" s="84"/>
    </row>
    <row r="429" spans="2:106" ht="11.25" customHeight="1">
      <c r="B429" s="78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  <c r="BJ429" s="79"/>
      <c r="BK429" s="79"/>
      <c r="BL429" s="79"/>
      <c r="BM429" s="79"/>
      <c r="BN429" s="79"/>
      <c r="BO429" s="79"/>
      <c r="BP429" s="79"/>
      <c r="BQ429" s="79"/>
      <c r="BR429" s="79"/>
      <c r="BS429" s="79"/>
      <c r="BT429" s="79"/>
      <c r="BU429" s="79"/>
      <c r="BV429" s="79"/>
      <c r="BW429" s="79"/>
      <c r="BX429" s="79"/>
      <c r="BY429" s="79"/>
      <c r="BZ429" s="79"/>
      <c r="CA429" s="79"/>
      <c r="CB429" s="79"/>
      <c r="CC429" s="79"/>
      <c r="CD429" s="79"/>
      <c r="CE429" s="79"/>
      <c r="CF429" s="79"/>
      <c r="CG429" s="79"/>
      <c r="CH429" s="79"/>
      <c r="CI429" s="79"/>
      <c r="CJ429" s="79"/>
      <c r="CK429" s="79"/>
      <c r="CL429" s="79"/>
      <c r="CM429" s="79"/>
      <c r="CN429" s="79"/>
      <c r="CO429" s="79"/>
      <c r="CP429" s="79"/>
      <c r="CQ429" s="79"/>
      <c r="CR429" s="79"/>
      <c r="CS429" s="79"/>
      <c r="CT429" s="79"/>
      <c r="CU429" s="79"/>
      <c r="CV429" s="79"/>
      <c r="CW429" s="79"/>
      <c r="CX429" s="85"/>
      <c r="CY429" s="85"/>
      <c r="CZ429" s="85"/>
      <c r="DA429" s="86"/>
      <c r="DB429" s="84"/>
    </row>
    <row r="430" spans="2:106" ht="11.25" customHeight="1">
      <c r="B430" s="78"/>
      <c r="C430" s="79"/>
      <c r="D430" s="79"/>
      <c r="E430" s="79"/>
      <c r="F430" s="79"/>
      <c r="G430" s="79" t="s">
        <v>700</v>
      </c>
      <c r="H430" s="79"/>
      <c r="I430" s="79"/>
      <c r="J430" s="79"/>
      <c r="K430" s="79"/>
      <c r="L430" s="79"/>
      <c r="M430" s="79"/>
      <c r="N430" s="79" t="s">
        <v>604</v>
      </c>
      <c r="O430" s="79"/>
      <c r="P430" s="79" t="str">
        <f>TEXT(기계경비총괄표!G17,"#,##0")</f>
        <v>59,020</v>
      </c>
      <c r="Q430" s="79"/>
      <c r="R430" s="79"/>
      <c r="S430" s="79"/>
      <c r="T430" s="79"/>
      <c r="U430" s="79"/>
      <c r="V430" s="79"/>
      <c r="W430" s="79"/>
      <c r="X430" s="79"/>
      <c r="Y430" s="79" t="s">
        <v>391</v>
      </c>
      <c r="Z430" s="79"/>
      <c r="AA430" s="79"/>
      <c r="AB430" s="79" t="str">
        <f>TEXT(AS428,"#,##0.#######")</f>
        <v>0.7</v>
      </c>
      <c r="AC430" s="79"/>
      <c r="AD430" s="79"/>
      <c r="AE430" s="79"/>
      <c r="AF430" s="79"/>
      <c r="AG430" s="79"/>
      <c r="AH430" s="79" t="s">
        <v>309</v>
      </c>
      <c r="AI430" s="79"/>
      <c r="AJ430" s="79" t="str">
        <f>TEXT(TRUNC(P430/AS428,1),"#,##0.#")</f>
        <v>84,314.2</v>
      </c>
      <c r="AK430" s="79"/>
      <c r="AL430" s="79"/>
      <c r="AM430" s="79"/>
      <c r="AN430" s="79"/>
      <c r="AO430" s="79"/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  <c r="BJ430" s="79"/>
      <c r="BK430" s="79"/>
      <c r="BL430" s="79"/>
      <c r="BM430" s="79"/>
      <c r="BN430" s="79"/>
      <c r="BO430" s="79"/>
      <c r="BP430" s="79"/>
      <c r="BQ430" s="79"/>
      <c r="BR430" s="79"/>
      <c r="BS430" s="79"/>
      <c r="BT430" s="79"/>
      <c r="BU430" s="79"/>
      <c r="BV430" s="79"/>
      <c r="BW430" s="79"/>
      <c r="BX430" s="79"/>
      <c r="BY430" s="79"/>
      <c r="BZ430" s="79"/>
      <c r="CA430" s="79"/>
      <c r="CB430" s="79"/>
      <c r="CC430" s="79"/>
      <c r="CD430" s="79"/>
      <c r="CE430" s="79"/>
      <c r="CF430" s="79"/>
      <c r="CG430" s="79"/>
      <c r="CH430" s="79"/>
      <c r="CI430" s="79"/>
      <c r="CJ430" s="79"/>
      <c r="CK430" s="79"/>
      <c r="CL430" s="79"/>
      <c r="CM430" s="79"/>
      <c r="CN430" s="79"/>
      <c r="CO430" s="79"/>
      <c r="CP430" s="79"/>
      <c r="CQ430" s="79"/>
      <c r="CR430" s="79"/>
      <c r="CS430" s="79"/>
      <c r="CT430" s="79"/>
      <c r="CU430" s="79"/>
      <c r="CV430" s="79"/>
      <c r="CW430" s="79"/>
      <c r="CX430" s="85"/>
      <c r="CY430" s="85"/>
      <c r="CZ430" s="85"/>
      <c r="DA430" s="86"/>
      <c r="DB430" s="84"/>
    </row>
    <row r="431" spans="2:106" ht="11.25" customHeight="1">
      <c r="B431" s="78"/>
      <c r="C431" s="79"/>
      <c r="D431" s="79"/>
      <c r="E431" s="79"/>
      <c r="F431" s="79"/>
      <c r="G431" s="79" t="s">
        <v>498</v>
      </c>
      <c r="H431" s="79"/>
      <c r="I431" s="79"/>
      <c r="J431" s="79"/>
      <c r="K431" s="79"/>
      <c r="L431" s="79"/>
      <c r="M431" s="79"/>
      <c r="N431" s="79" t="s">
        <v>604</v>
      </c>
      <c r="O431" s="79"/>
      <c r="P431" s="79" t="str">
        <f>TEXT(기계경비총괄표!H17,"#,##0")</f>
        <v>30,984</v>
      </c>
      <c r="Q431" s="79"/>
      <c r="R431" s="79"/>
      <c r="S431" s="79"/>
      <c r="T431" s="79"/>
      <c r="U431" s="79"/>
      <c r="V431" s="79"/>
      <c r="W431" s="79"/>
      <c r="X431" s="79"/>
      <c r="Y431" s="79" t="s">
        <v>391</v>
      </c>
      <c r="Z431" s="79"/>
      <c r="AA431" s="79"/>
      <c r="AB431" s="79" t="str">
        <f>TEXT(AS428,"#,##0.#######")</f>
        <v>0.7</v>
      </c>
      <c r="AC431" s="79"/>
      <c r="AD431" s="79"/>
      <c r="AE431" s="79"/>
      <c r="AF431" s="79"/>
      <c r="AG431" s="79"/>
      <c r="AH431" s="79" t="s">
        <v>309</v>
      </c>
      <c r="AI431" s="79"/>
      <c r="AJ431" s="79" t="str">
        <f>TEXT(TRUNC(P431/AS428,1),"#,##0.#")</f>
        <v>44,262.8</v>
      </c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  <c r="BJ431" s="79"/>
      <c r="BK431" s="79"/>
      <c r="BL431" s="79"/>
      <c r="BM431" s="79"/>
      <c r="BN431" s="79"/>
      <c r="BO431" s="79"/>
      <c r="BP431" s="79"/>
      <c r="BQ431" s="79"/>
      <c r="BR431" s="79"/>
      <c r="BS431" s="79"/>
      <c r="BT431" s="79"/>
      <c r="BU431" s="79"/>
      <c r="BV431" s="79"/>
      <c r="BW431" s="79"/>
      <c r="BX431" s="79"/>
      <c r="BY431" s="79"/>
      <c r="BZ431" s="79"/>
      <c r="CA431" s="79"/>
      <c r="CB431" s="79"/>
      <c r="CC431" s="79"/>
      <c r="CD431" s="79"/>
      <c r="CE431" s="79"/>
      <c r="CF431" s="79"/>
      <c r="CG431" s="79"/>
      <c r="CH431" s="79"/>
      <c r="CI431" s="79"/>
      <c r="CJ431" s="79"/>
      <c r="CK431" s="79"/>
      <c r="CL431" s="79"/>
      <c r="CM431" s="79"/>
      <c r="CN431" s="79"/>
      <c r="CO431" s="79"/>
      <c r="CP431" s="79"/>
      <c r="CQ431" s="79"/>
      <c r="CR431" s="79"/>
      <c r="CS431" s="79"/>
      <c r="CT431" s="79"/>
      <c r="CU431" s="79"/>
      <c r="CV431" s="79"/>
      <c r="CW431" s="79"/>
      <c r="CX431" s="85"/>
      <c r="CY431" s="85"/>
      <c r="CZ431" s="85"/>
      <c r="DA431" s="86"/>
      <c r="DB431" s="84"/>
    </row>
    <row r="432" spans="2:106" ht="11.25" customHeight="1">
      <c r="B432" s="78"/>
      <c r="C432" s="79"/>
      <c r="D432" s="79"/>
      <c r="E432" s="79"/>
      <c r="F432" s="79"/>
      <c r="G432" s="79" t="s">
        <v>160</v>
      </c>
      <c r="H432" s="79"/>
      <c r="I432" s="79"/>
      <c r="J432" s="79"/>
      <c r="K432" s="79" t="s">
        <v>440</v>
      </c>
      <c r="L432" s="79"/>
      <c r="M432" s="79"/>
      <c r="N432" s="79" t="s">
        <v>604</v>
      </c>
      <c r="O432" s="79"/>
      <c r="P432" s="79" t="str">
        <f>TEXT(기계경비총괄표!I17,"#,##0")</f>
        <v>46,851</v>
      </c>
      <c r="Q432" s="79"/>
      <c r="R432" s="79"/>
      <c r="S432" s="79"/>
      <c r="T432" s="79"/>
      <c r="U432" s="79"/>
      <c r="V432" s="79"/>
      <c r="W432" s="79"/>
      <c r="X432" s="79"/>
      <c r="Y432" s="79" t="s">
        <v>391</v>
      </c>
      <c r="Z432" s="79"/>
      <c r="AA432" s="79"/>
      <c r="AB432" s="79" t="str">
        <f>TEXT(AS428,"#,##0.#######")</f>
        <v>0.7</v>
      </c>
      <c r="AC432" s="79"/>
      <c r="AD432" s="79"/>
      <c r="AE432" s="79"/>
      <c r="AF432" s="79"/>
      <c r="AG432" s="79"/>
      <c r="AH432" s="79" t="s">
        <v>309</v>
      </c>
      <c r="AI432" s="79"/>
      <c r="AJ432" s="79" t="str">
        <f>TEXT(TRUNC(P432/AS428,1),"#,##0.#")</f>
        <v>66,930.</v>
      </c>
      <c r="AK432" s="79"/>
      <c r="AL432" s="79"/>
      <c r="AM432" s="79"/>
      <c r="AN432" s="79"/>
      <c r="AO432" s="79"/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  <c r="BJ432" s="79"/>
      <c r="BK432" s="79"/>
      <c r="BL432" s="79"/>
      <c r="BM432" s="79"/>
      <c r="BN432" s="79"/>
      <c r="BO432" s="79"/>
      <c r="BP432" s="79"/>
      <c r="BQ432" s="79"/>
      <c r="BR432" s="79"/>
      <c r="BS432" s="79"/>
      <c r="BT432" s="79"/>
      <c r="BU432" s="79"/>
      <c r="BV432" s="79"/>
      <c r="BW432" s="79"/>
      <c r="BX432" s="79"/>
      <c r="BY432" s="79"/>
      <c r="BZ432" s="79"/>
      <c r="CA432" s="79"/>
      <c r="CB432" s="79"/>
      <c r="CC432" s="79"/>
      <c r="CD432" s="79"/>
      <c r="CE432" s="79"/>
      <c r="CF432" s="79"/>
      <c r="CG432" s="79"/>
      <c r="CH432" s="79"/>
      <c r="CI432" s="79"/>
      <c r="CJ432" s="79"/>
      <c r="CK432" s="79"/>
      <c r="CL432" s="79"/>
      <c r="CM432" s="79"/>
      <c r="CN432" s="79"/>
      <c r="CO432" s="79"/>
      <c r="CP432" s="79"/>
      <c r="CQ432" s="79"/>
      <c r="CR432" s="79"/>
      <c r="CS432" s="79"/>
      <c r="CT432" s="79"/>
      <c r="CU432" s="79"/>
      <c r="CV432" s="79"/>
      <c r="CW432" s="79"/>
      <c r="CX432" s="85"/>
      <c r="CY432" s="85"/>
      <c r="CZ432" s="85"/>
      <c r="DA432" s="86"/>
      <c r="DB432" s="84"/>
    </row>
    <row r="433" spans="2:106" ht="11.25" customHeight="1">
      <c r="B433" s="78"/>
      <c r="C433" s="79"/>
      <c r="D433" s="79"/>
      <c r="E433" s="79"/>
      <c r="F433" s="79"/>
      <c r="G433" s="79" t="s">
        <v>305</v>
      </c>
      <c r="H433" s="79"/>
      <c r="I433" s="79"/>
      <c r="J433" s="79"/>
      <c r="K433" s="79" t="s">
        <v>436</v>
      </c>
      <c r="L433" s="79"/>
      <c r="M433" s="79"/>
      <c r="N433" s="79" t="s">
        <v>604</v>
      </c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 t="str">
        <f>TEXT(AJ430+AJ431+AJ432,"#,##0.#######")</f>
        <v>195,507.</v>
      </c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  <c r="BM433" s="79"/>
      <c r="BN433" s="79"/>
      <c r="BO433" s="79"/>
      <c r="BP433" s="79"/>
      <c r="BQ433" s="79"/>
      <c r="BR433" s="79"/>
      <c r="BS433" s="79"/>
      <c r="BT433" s="79"/>
      <c r="BU433" s="79"/>
      <c r="BV433" s="79"/>
      <c r="BW433" s="79"/>
      <c r="BX433" s="79"/>
      <c r="BY433" s="79"/>
      <c r="BZ433" s="79"/>
      <c r="CA433" s="79"/>
      <c r="CB433" s="79"/>
      <c r="CC433" s="79"/>
      <c r="CD433" s="79"/>
      <c r="CE433" s="79"/>
      <c r="CF433" s="79"/>
      <c r="CG433" s="79"/>
      <c r="CH433" s="79"/>
      <c r="CI433" s="79"/>
      <c r="CJ433" s="79"/>
      <c r="CK433" s="79"/>
      <c r="CL433" s="79"/>
      <c r="CM433" s="79"/>
      <c r="CN433" s="79"/>
      <c r="CO433" s="79"/>
      <c r="CP433" s="79"/>
      <c r="CQ433" s="79"/>
      <c r="CR433" s="79"/>
      <c r="CS433" s="79"/>
      <c r="CT433" s="79"/>
      <c r="CU433" s="79"/>
      <c r="CV433" s="79"/>
      <c r="CW433" s="79"/>
      <c r="CX433" s="85">
        <f>CY433+CZ433+DA433</f>
        <v>195507</v>
      </c>
      <c r="CY433" s="85" t="str">
        <f>TEXT(AJ430,"#,###.0")</f>
        <v>84,314.2</v>
      </c>
      <c r="CZ433" s="85" t="str">
        <f>TEXT(AJ431,"#,###.0")</f>
        <v>44,262.8</v>
      </c>
      <c r="DA433" s="86" t="str">
        <f>TEXT(AJ432,"#,###.0")</f>
        <v>66,930.0</v>
      </c>
      <c r="DB433" s="84"/>
    </row>
    <row r="434" spans="2:106" ht="11.25" customHeight="1">
      <c r="B434" s="80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  <c r="BS434" s="72"/>
      <c r="BT434" s="72"/>
      <c r="BU434" s="72"/>
      <c r="BV434" s="72"/>
      <c r="BW434" s="72"/>
      <c r="BX434" s="72"/>
      <c r="BY434" s="72"/>
      <c r="BZ434" s="72"/>
      <c r="CA434" s="72"/>
      <c r="CB434" s="72"/>
      <c r="CC434" s="72"/>
      <c r="CD434" s="72"/>
      <c r="CE434" s="72"/>
      <c r="CF434" s="72"/>
      <c r="CG434" s="72"/>
      <c r="CH434" s="72"/>
      <c r="CI434" s="72"/>
      <c r="CJ434" s="72"/>
      <c r="CK434" s="72"/>
      <c r="CL434" s="72"/>
      <c r="CM434" s="72"/>
      <c r="CN434" s="72"/>
      <c r="CO434" s="72"/>
      <c r="CP434" s="72"/>
      <c r="CQ434" s="72"/>
      <c r="CR434" s="72"/>
      <c r="CS434" s="72"/>
      <c r="CT434" s="72"/>
      <c r="CU434" s="72"/>
      <c r="CV434" s="72"/>
      <c r="CW434" s="72"/>
      <c r="CX434" s="87"/>
      <c r="CY434" s="87"/>
      <c r="CZ434" s="87"/>
      <c r="DA434" s="88"/>
      <c r="DB434" s="84"/>
    </row>
    <row r="435" spans="2:106" ht="11.25" customHeight="1">
      <c r="B435" s="78"/>
      <c r="C435" s="79"/>
      <c r="D435" s="79"/>
      <c r="E435" s="79" t="s">
        <v>496</v>
      </c>
      <c r="F435" s="79"/>
      <c r="G435" s="79" t="s">
        <v>587</v>
      </c>
      <c r="H435" s="79"/>
      <c r="I435" s="79" t="s">
        <v>656</v>
      </c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 t="s">
        <v>361</v>
      </c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  <c r="BK435" s="79"/>
      <c r="BL435" s="79"/>
      <c r="BM435" s="79"/>
      <c r="BN435" s="79"/>
      <c r="BO435" s="79"/>
      <c r="BP435" s="79"/>
      <c r="BQ435" s="79"/>
      <c r="BR435" s="79"/>
      <c r="BS435" s="79"/>
      <c r="BT435" s="79"/>
      <c r="BU435" s="79"/>
      <c r="BV435" s="79"/>
      <c r="BW435" s="79"/>
      <c r="BX435" s="79"/>
      <c r="BY435" s="79"/>
      <c r="BZ435" s="79"/>
      <c r="CA435" s="79"/>
      <c r="CB435" s="79"/>
      <c r="CC435" s="79"/>
      <c r="CD435" s="79"/>
      <c r="CE435" s="79"/>
      <c r="CF435" s="79"/>
      <c r="CG435" s="79"/>
      <c r="CH435" s="79"/>
      <c r="CI435" s="79"/>
      <c r="CJ435" s="79"/>
      <c r="CK435" s="79"/>
      <c r="CL435" s="79"/>
      <c r="CM435" s="79"/>
      <c r="CN435" s="79"/>
      <c r="CO435" s="79"/>
      <c r="CP435" s="79"/>
      <c r="CQ435" s="79"/>
      <c r="CR435" s="79"/>
      <c r="CS435" s="79"/>
      <c r="CT435" s="79"/>
      <c r="CU435" s="79"/>
      <c r="CV435" s="79"/>
      <c r="CW435" s="79"/>
      <c r="CX435" s="85"/>
      <c r="CY435" s="85"/>
      <c r="CZ435" s="85"/>
      <c r="DA435" s="86"/>
      <c r="DB435" s="84"/>
    </row>
    <row r="436" spans="2:106" ht="11.25" customHeight="1">
      <c r="B436" s="78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  <c r="BK436" s="79"/>
      <c r="BL436" s="79"/>
      <c r="BM436" s="79"/>
      <c r="BN436" s="79"/>
      <c r="BO436" s="79"/>
      <c r="BP436" s="79"/>
      <c r="BQ436" s="79"/>
      <c r="BR436" s="79"/>
      <c r="BS436" s="79"/>
      <c r="BT436" s="79"/>
      <c r="BU436" s="79"/>
      <c r="BV436" s="79"/>
      <c r="BW436" s="79"/>
      <c r="BX436" s="79"/>
      <c r="BY436" s="79"/>
      <c r="BZ436" s="79"/>
      <c r="CA436" s="79"/>
      <c r="CB436" s="79"/>
      <c r="CC436" s="79"/>
      <c r="CD436" s="79"/>
      <c r="CE436" s="79"/>
      <c r="CF436" s="79"/>
      <c r="CG436" s="79"/>
      <c r="CH436" s="79"/>
      <c r="CI436" s="79"/>
      <c r="CJ436" s="79"/>
      <c r="CK436" s="79"/>
      <c r="CL436" s="79"/>
      <c r="CM436" s="79"/>
      <c r="CN436" s="79"/>
      <c r="CO436" s="79"/>
      <c r="CP436" s="79"/>
      <c r="CQ436" s="79"/>
      <c r="CR436" s="79"/>
      <c r="CS436" s="79"/>
      <c r="CT436" s="79"/>
      <c r="CU436" s="79"/>
      <c r="CV436" s="79"/>
      <c r="CW436" s="79"/>
      <c r="CX436" s="85"/>
      <c r="CY436" s="85"/>
      <c r="CZ436" s="85"/>
      <c r="DA436" s="86"/>
      <c r="DB436" s="84"/>
    </row>
    <row r="437" spans="2:106" ht="11.25" customHeight="1">
      <c r="B437" s="78"/>
      <c r="C437" s="79"/>
      <c r="D437" s="79"/>
      <c r="E437" s="79"/>
      <c r="F437" s="79"/>
      <c r="G437" s="79" t="s">
        <v>546</v>
      </c>
      <c r="H437" s="79"/>
      <c r="I437" s="79" t="s">
        <v>309</v>
      </c>
      <c r="J437" s="79"/>
      <c r="K437" s="79" t="str">
        <f>TEXT(40,"#,##0.#######")</f>
        <v>40.</v>
      </c>
      <c r="L437" s="79"/>
      <c r="M437" s="79" t="s">
        <v>434</v>
      </c>
      <c r="N437" s="79"/>
      <c r="O437" s="79" t="s">
        <v>123</v>
      </c>
      <c r="P437" s="79" t="s">
        <v>598</v>
      </c>
      <c r="Q437" s="79"/>
      <c r="R437" s="79"/>
      <c r="S437" s="79"/>
      <c r="T437" s="79"/>
      <c r="U437" s="79"/>
      <c r="V437" s="79" t="s">
        <v>342</v>
      </c>
      <c r="W437" s="79"/>
      <c r="X437" s="79" t="s">
        <v>309</v>
      </c>
      <c r="Y437" s="79"/>
      <c r="Z437" s="79" t="str">
        <f>TEXT(0.9,"#,##0.#######")</f>
        <v>0.9</v>
      </c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  <c r="BK437" s="79"/>
      <c r="BL437" s="79"/>
      <c r="BM437" s="79"/>
      <c r="BN437" s="79"/>
      <c r="BO437" s="79"/>
      <c r="BP437" s="79"/>
      <c r="BQ437" s="79"/>
      <c r="BR437" s="79"/>
      <c r="BS437" s="79"/>
      <c r="BT437" s="79"/>
      <c r="BU437" s="79"/>
      <c r="BV437" s="79"/>
      <c r="BW437" s="79"/>
      <c r="BX437" s="79"/>
      <c r="BY437" s="79"/>
      <c r="BZ437" s="79"/>
      <c r="CA437" s="79"/>
      <c r="CB437" s="79"/>
      <c r="CC437" s="79"/>
      <c r="CD437" s="79"/>
      <c r="CE437" s="79"/>
      <c r="CF437" s="79"/>
      <c r="CG437" s="79"/>
      <c r="CH437" s="79"/>
      <c r="CI437" s="79"/>
      <c r="CJ437" s="79"/>
      <c r="CK437" s="79"/>
      <c r="CL437" s="79"/>
      <c r="CM437" s="79"/>
      <c r="CN437" s="79"/>
      <c r="CO437" s="79"/>
      <c r="CP437" s="79"/>
      <c r="CQ437" s="79"/>
      <c r="CR437" s="79"/>
      <c r="CS437" s="79"/>
      <c r="CT437" s="79"/>
      <c r="CU437" s="79"/>
      <c r="CV437" s="79"/>
      <c r="CW437" s="79"/>
      <c r="CX437" s="85"/>
      <c r="CY437" s="85"/>
      <c r="CZ437" s="85"/>
      <c r="DA437" s="86"/>
      <c r="DB437" s="84"/>
    </row>
    <row r="438" spans="2:106" ht="11.25" customHeight="1">
      <c r="B438" s="78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  <c r="BK438" s="79"/>
      <c r="BL438" s="79"/>
      <c r="BM438" s="79"/>
      <c r="BN438" s="79"/>
      <c r="BO438" s="79"/>
      <c r="BP438" s="79"/>
      <c r="BQ438" s="79"/>
      <c r="BR438" s="79"/>
      <c r="BS438" s="79"/>
      <c r="BT438" s="79"/>
      <c r="BU438" s="79"/>
      <c r="BV438" s="79"/>
      <c r="BW438" s="79"/>
      <c r="BX438" s="79"/>
      <c r="BY438" s="79"/>
      <c r="BZ438" s="79"/>
      <c r="CA438" s="79"/>
      <c r="CB438" s="79"/>
      <c r="CC438" s="79"/>
      <c r="CD438" s="79"/>
      <c r="CE438" s="79"/>
      <c r="CF438" s="79"/>
      <c r="CG438" s="79"/>
      <c r="CH438" s="79"/>
      <c r="CI438" s="79"/>
      <c r="CJ438" s="79"/>
      <c r="CK438" s="79"/>
      <c r="CL438" s="79"/>
      <c r="CM438" s="79"/>
      <c r="CN438" s="79"/>
      <c r="CO438" s="79"/>
      <c r="CP438" s="79"/>
      <c r="CQ438" s="79"/>
      <c r="CR438" s="79"/>
      <c r="CS438" s="79"/>
      <c r="CT438" s="79"/>
      <c r="CU438" s="79"/>
      <c r="CV438" s="79"/>
      <c r="CW438" s="79"/>
      <c r="CX438" s="85"/>
      <c r="CY438" s="85"/>
      <c r="CZ438" s="85"/>
      <c r="DA438" s="86"/>
      <c r="DB438" s="84"/>
    </row>
    <row r="439" spans="2:106" ht="11.25" customHeight="1">
      <c r="B439" s="78"/>
      <c r="C439" s="79"/>
      <c r="D439" s="79"/>
      <c r="E439" s="79"/>
      <c r="F439" s="79"/>
      <c r="G439" s="79" t="s">
        <v>103</v>
      </c>
      <c r="H439" s="79"/>
      <c r="I439" s="79"/>
      <c r="J439" s="79" t="s">
        <v>309</v>
      </c>
      <c r="K439" s="79"/>
      <c r="L439" s="79" t="s">
        <v>431</v>
      </c>
      <c r="M439" s="79" t="s">
        <v>652</v>
      </c>
      <c r="N439" s="79" t="s">
        <v>123</v>
      </c>
      <c r="O439" s="79" t="s">
        <v>546</v>
      </c>
      <c r="P439" s="79" t="s">
        <v>89</v>
      </c>
      <c r="Q439" s="79" t="s">
        <v>699</v>
      </c>
      <c r="R439" s="79"/>
      <c r="S439" s="79" t="str">
        <f>TEXT(2,"#,##0.#######")</f>
        <v>2.</v>
      </c>
      <c r="T439" s="79" t="s">
        <v>699</v>
      </c>
      <c r="U439" s="79"/>
      <c r="V439" s="79" t="str">
        <f>TEXT(60,"#,##0.#######")</f>
        <v>60.</v>
      </c>
      <c r="W439" s="79"/>
      <c r="X439" s="79"/>
      <c r="Y439" s="79" t="s">
        <v>309</v>
      </c>
      <c r="Z439" s="79"/>
      <c r="AA439" s="79" t="s">
        <v>431</v>
      </c>
      <c r="AB439" s="79" t="str">
        <f>TEXT(V378,"#,##0.#######")</f>
        <v>16.</v>
      </c>
      <c r="AC439" s="79"/>
      <c r="AD439" s="79" t="s">
        <v>123</v>
      </c>
      <c r="AE439" s="79" t="str">
        <f>TEXT(K437,"#,##0.#######")</f>
        <v>40.</v>
      </c>
      <c r="AF439" s="79"/>
      <c r="AG439" s="79" t="s">
        <v>89</v>
      </c>
      <c r="AH439" s="79" t="s">
        <v>699</v>
      </c>
      <c r="AI439" s="79"/>
      <c r="AJ439" s="79" t="str">
        <f>TEXT(S439,"#,##0.#######")</f>
        <v>2.</v>
      </c>
      <c r="AK439" s="79" t="s">
        <v>699</v>
      </c>
      <c r="AL439" s="79"/>
      <c r="AM439" s="79" t="str">
        <f>TEXT(V439,"#,##0.#######")</f>
        <v>60.</v>
      </c>
      <c r="AN439" s="79"/>
      <c r="AO439" s="79"/>
      <c r="AP439" s="79" t="s">
        <v>309</v>
      </c>
      <c r="AQ439" s="79"/>
      <c r="AR439" s="79" t="str">
        <f>TEXT(ROUND((V378/K437)*S439*V439,2),"#,##0.#######")</f>
        <v>48.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  <c r="BK439" s="79"/>
      <c r="BL439" s="79"/>
      <c r="BM439" s="79"/>
      <c r="BN439" s="79"/>
      <c r="BO439" s="79"/>
      <c r="BP439" s="79"/>
      <c r="BQ439" s="79"/>
      <c r="BR439" s="79"/>
      <c r="BS439" s="79"/>
      <c r="BT439" s="79"/>
      <c r="BU439" s="79"/>
      <c r="BV439" s="79"/>
      <c r="BW439" s="79"/>
      <c r="BX439" s="79"/>
      <c r="BY439" s="79"/>
      <c r="BZ439" s="79"/>
      <c r="CA439" s="79"/>
      <c r="CB439" s="79"/>
      <c r="CC439" s="79"/>
      <c r="CD439" s="79"/>
      <c r="CE439" s="79"/>
      <c r="CF439" s="79"/>
      <c r="CG439" s="79"/>
      <c r="CH439" s="79"/>
      <c r="CI439" s="79"/>
      <c r="CJ439" s="79"/>
      <c r="CK439" s="79"/>
      <c r="CL439" s="79"/>
      <c r="CM439" s="79"/>
      <c r="CN439" s="79"/>
      <c r="CO439" s="79"/>
      <c r="CP439" s="79"/>
      <c r="CQ439" s="79"/>
      <c r="CR439" s="79"/>
      <c r="CS439" s="79"/>
      <c r="CT439" s="79"/>
      <c r="CU439" s="79"/>
      <c r="CV439" s="79"/>
      <c r="CW439" s="79"/>
      <c r="CX439" s="85"/>
      <c r="CY439" s="85"/>
      <c r="CZ439" s="85"/>
      <c r="DA439" s="86"/>
      <c r="DB439" s="84"/>
    </row>
    <row r="440" spans="2:106" ht="11.25" customHeight="1">
      <c r="B440" s="78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  <c r="BK440" s="79"/>
      <c r="BL440" s="79"/>
      <c r="BM440" s="79"/>
      <c r="BN440" s="79"/>
      <c r="BO440" s="79"/>
      <c r="BP440" s="79"/>
      <c r="BQ440" s="79"/>
      <c r="BR440" s="79"/>
      <c r="BS440" s="79"/>
      <c r="BT440" s="79"/>
      <c r="BU440" s="79"/>
      <c r="BV440" s="79"/>
      <c r="BW440" s="79"/>
      <c r="BX440" s="79"/>
      <c r="BY440" s="79"/>
      <c r="BZ440" s="79"/>
      <c r="CA440" s="79"/>
      <c r="CB440" s="79"/>
      <c r="CC440" s="79"/>
      <c r="CD440" s="79"/>
      <c r="CE440" s="79"/>
      <c r="CF440" s="79"/>
      <c r="CG440" s="79"/>
      <c r="CH440" s="79"/>
      <c r="CI440" s="79"/>
      <c r="CJ440" s="79"/>
      <c r="CK440" s="79"/>
      <c r="CL440" s="79"/>
      <c r="CM440" s="79"/>
      <c r="CN440" s="79"/>
      <c r="CO440" s="79"/>
      <c r="CP440" s="79"/>
      <c r="CQ440" s="79"/>
      <c r="CR440" s="79"/>
      <c r="CS440" s="79"/>
      <c r="CT440" s="79"/>
      <c r="CU440" s="79"/>
      <c r="CV440" s="79"/>
      <c r="CW440" s="79"/>
      <c r="CX440" s="85"/>
      <c r="CY440" s="85"/>
      <c r="CZ440" s="85"/>
      <c r="DA440" s="86"/>
      <c r="DB440" s="84"/>
    </row>
    <row r="441" spans="2:106" ht="11.25" customHeight="1">
      <c r="B441" s="78"/>
      <c r="C441" s="79"/>
      <c r="D441" s="79"/>
      <c r="E441" s="79"/>
      <c r="F441" s="79"/>
      <c r="G441" s="79" t="s">
        <v>49</v>
      </c>
      <c r="H441" s="79"/>
      <c r="I441" s="79" t="s">
        <v>309</v>
      </c>
      <c r="J441" s="79"/>
      <c r="K441" s="79" t="s">
        <v>431</v>
      </c>
      <c r="L441" s="79" t="str">
        <f>TEXT(60,"#,##0.#######")</f>
        <v>60.</v>
      </c>
      <c r="M441" s="79"/>
      <c r="N441" s="79" t="s">
        <v>699</v>
      </c>
      <c r="O441" s="79"/>
      <c r="P441" s="79" t="s">
        <v>342</v>
      </c>
      <c r="Q441" s="79" t="s">
        <v>89</v>
      </c>
      <c r="R441" s="79"/>
      <c r="S441" s="79" t="s">
        <v>123</v>
      </c>
      <c r="T441" s="79"/>
      <c r="U441" s="79" t="s">
        <v>103</v>
      </c>
      <c r="V441" s="79"/>
      <c r="W441" s="79"/>
      <c r="X441" s="79" t="s">
        <v>309</v>
      </c>
      <c r="Y441" s="79"/>
      <c r="Z441" s="79" t="s">
        <v>431</v>
      </c>
      <c r="AA441" s="79" t="str">
        <f>TEXT(L441,"#,##0.#######")</f>
        <v>60.</v>
      </c>
      <c r="AB441" s="79"/>
      <c r="AC441" s="79" t="s">
        <v>699</v>
      </c>
      <c r="AD441" s="79"/>
      <c r="AE441" s="79" t="str">
        <f>TEXT(Z437,"#,##0.#######")</f>
        <v>0.9</v>
      </c>
      <c r="AF441" s="79"/>
      <c r="AG441" s="79"/>
      <c r="AH441" s="79" t="s">
        <v>89</v>
      </c>
      <c r="AI441" s="79"/>
      <c r="AJ441" s="79" t="s">
        <v>123</v>
      </c>
      <c r="AK441" s="79"/>
      <c r="AL441" s="79" t="str">
        <f>TEXT(AR439,"#,##0.#######")</f>
        <v>48.</v>
      </c>
      <c r="AM441" s="79"/>
      <c r="AN441" s="79"/>
      <c r="AO441" s="79" t="s">
        <v>309</v>
      </c>
      <c r="AP441" s="79"/>
      <c r="AQ441" s="79" t="str">
        <f>TEXT(ROUND((L441*Z437)/AR439,2),"#,##0.#######")</f>
        <v>1.13</v>
      </c>
      <c r="AR441" s="79"/>
      <c r="AS441" s="79"/>
      <c r="AT441" s="79"/>
      <c r="AU441" s="79"/>
      <c r="AV441" s="79"/>
      <c r="AW441" s="79"/>
      <c r="AX441" s="79" t="s">
        <v>521</v>
      </c>
      <c r="AY441" s="79"/>
      <c r="AZ441" s="79" t="s">
        <v>123</v>
      </c>
      <c r="BA441" s="79" t="s">
        <v>598</v>
      </c>
      <c r="BB441" s="79"/>
      <c r="BC441" s="79"/>
      <c r="BD441" s="79"/>
      <c r="BE441" s="79"/>
      <c r="BF441" s="79"/>
      <c r="BG441" s="79"/>
      <c r="BH441" s="79"/>
      <c r="BI441" s="79"/>
      <c r="BJ441" s="79"/>
      <c r="BK441" s="79"/>
      <c r="BL441" s="79"/>
      <c r="BM441" s="79"/>
      <c r="BN441" s="79"/>
      <c r="BO441" s="79"/>
      <c r="BP441" s="79"/>
      <c r="BQ441" s="79"/>
      <c r="BR441" s="79"/>
      <c r="BS441" s="79"/>
      <c r="BT441" s="79"/>
      <c r="BU441" s="79"/>
      <c r="BV441" s="79"/>
      <c r="BW441" s="79"/>
      <c r="BX441" s="79"/>
      <c r="BY441" s="79"/>
      <c r="BZ441" s="79"/>
      <c r="CA441" s="79"/>
      <c r="CB441" s="79"/>
      <c r="CC441" s="79"/>
      <c r="CD441" s="79"/>
      <c r="CE441" s="79"/>
      <c r="CF441" s="79"/>
      <c r="CG441" s="79"/>
      <c r="CH441" s="79"/>
      <c r="CI441" s="79"/>
      <c r="CJ441" s="79"/>
      <c r="CK441" s="79"/>
      <c r="CL441" s="79"/>
      <c r="CM441" s="79"/>
      <c r="CN441" s="79"/>
      <c r="CO441" s="79"/>
      <c r="CP441" s="79"/>
      <c r="CQ441" s="79"/>
      <c r="CR441" s="79"/>
      <c r="CS441" s="79"/>
      <c r="CT441" s="79"/>
      <c r="CU441" s="79"/>
      <c r="CV441" s="79"/>
      <c r="CW441" s="79"/>
      <c r="CX441" s="85"/>
      <c r="CY441" s="85"/>
      <c r="CZ441" s="85"/>
      <c r="DA441" s="86"/>
      <c r="DB441" s="84"/>
    </row>
    <row r="442" spans="2:106" ht="11.25" customHeight="1">
      <c r="B442" s="78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  <c r="BK442" s="79"/>
      <c r="BL442" s="79"/>
      <c r="BM442" s="79"/>
      <c r="BN442" s="79"/>
      <c r="BO442" s="79"/>
      <c r="BP442" s="79"/>
      <c r="BQ442" s="79"/>
      <c r="BR442" s="79"/>
      <c r="BS442" s="79"/>
      <c r="BT442" s="79"/>
      <c r="BU442" s="79"/>
      <c r="BV442" s="79"/>
      <c r="BW442" s="79"/>
      <c r="BX442" s="79"/>
      <c r="BY442" s="79"/>
      <c r="BZ442" s="79"/>
      <c r="CA442" s="79"/>
      <c r="CB442" s="79"/>
      <c r="CC442" s="79"/>
      <c r="CD442" s="79"/>
      <c r="CE442" s="79"/>
      <c r="CF442" s="79"/>
      <c r="CG442" s="79"/>
      <c r="CH442" s="79"/>
      <c r="CI442" s="79"/>
      <c r="CJ442" s="79"/>
      <c r="CK442" s="79"/>
      <c r="CL442" s="79"/>
      <c r="CM442" s="79"/>
      <c r="CN442" s="79"/>
      <c r="CO442" s="79"/>
      <c r="CP442" s="79"/>
      <c r="CQ442" s="79"/>
      <c r="CR442" s="79"/>
      <c r="CS442" s="79"/>
      <c r="CT442" s="79"/>
      <c r="CU442" s="79"/>
      <c r="CV442" s="79"/>
      <c r="CW442" s="79"/>
      <c r="CX442" s="85"/>
      <c r="CY442" s="85"/>
      <c r="CZ442" s="85"/>
      <c r="DA442" s="86"/>
      <c r="DB442" s="84"/>
    </row>
    <row r="443" spans="2:106" ht="11.25" customHeight="1">
      <c r="B443" s="78"/>
      <c r="C443" s="79"/>
      <c r="D443" s="79"/>
      <c r="E443" s="79"/>
      <c r="F443" s="79"/>
      <c r="G443" s="79" t="s">
        <v>700</v>
      </c>
      <c r="H443" s="79"/>
      <c r="I443" s="79"/>
      <c r="J443" s="79"/>
      <c r="K443" s="79"/>
      <c r="L443" s="79"/>
      <c r="M443" s="79"/>
      <c r="N443" s="79" t="s">
        <v>604</v>
      </c>
      <c r="O443" s="79"/>
      <c r="P443" s="79" t="str">
        <f>TEXT(기계경비총괄표!G11,"#,##0")</f>
        <v>59,020</v>
      </c>
      <c r="Q443" s="79"/>
      <c r="R443" s="79"/>
      <c r="S443" s="79"/>
      <c r="T443" s="79"/>
      <c r="U443" s="79"/>
      <c r="V443" s="79"/>
      <c r="W443" s="79"/>
      <c r="X443" s="79"/>
      <c r="Y443" s="79" t="s">
        <v>391</v>
      </c>
      <c r="Z443" s="79"/>
      <c r="AA443" s="79"/>
      <c r="AB443" s="79" t="str">
        <f>TEXT(AQ441,"#,##0.#######")</f>
        <v>1.13</v>
      </c>
      <c r="AC443" s="79"/>
      <c r="AD443" s="79"/>
      <c r="AE443" s="79"/>
      <c r="AF443" s="79"/>
      <c r="AG443" s="79"/>
      <c r="AH443" s="79"/>
      <c r="AI443" s="79" t="s">
        <v>309</v>
      </c>
      <c r="AJ443" s="79"/>
      <c r="AK443" s="79" t="str">
        <f>TEXT(TRUNC(P443/AQ441,1),"#,##0.#")</f>
        <v>52,230.</v>
      </c>
      <c r="AL443" s="79"/>
      <c r="AM443" s="79"/>
      <c r="AN443" s="79"/>
      <c r="AO443" s="79"/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  <c r="BK443" s="79"/>
      <c r="BL443" s="79"/>
      <c r="BM443" s="79"/>
      <c r="BN443" s="79"/>
      <c r="BO443" s="79"/>
      <c r="BP443" s="79"/>
      <c r="BQ443" s="79"/>
      <c r="BR443" s="79"/>
      <c r="BS443" s="79"/>
      <c r="BT443" s="79"/>
      <c r="BU443" s="79"/>
      <c r="BV443" s="79"/>
      <c r="BW443" s="79"/>
      <c r="BX443" s="79"/>
      <c r="BY443" s="79"/>
      <c r="BZ443" s="79"/>
      <c r="CA443" s="79"/>
      <c r="CB443" s="79"/>
      <c r="CC443" s="79"/>
      <c r="CD443" s="79"/>
      <c r="CE443" s="79"/>
      <c r="CF443" s="79"/>
      <c r="CG443" s="79"/>
      <c r="CH443" s="79"/>
      <c r="CI443" s="79"/>
      <c r="CJ443" s="79"/>
      <c r="CK443" s="79"/>
      <c r="CL443" s="79"/>
      <c r="CM443" s="79"/>
      <c r="CN443" s="79"/>
      <c r="CO443" s="79"/>
      <c r="CP443" s="79"/>
      <c r="CQ443" s="79"/>
      <c r="CR443" s="79"/>
      <c r="CS443" s="79"/>
      <c r="CT443" s="79"/>
      <c r="CU443" s="79"/>
      <c r="CV443" s="79"/>
      <c r="CW443" s="79"/>
      <c r="CX443" s="85"/>
      <c r="CY443" s="85"/>
      <c r="CZ443" s="85"/>
      <c r="DA443" s="86"/>
      <c r="DB443" s="84"/>
    </row>
    <row r="444" spans="2:106" ht="11.25" customHeight="1">
      <c r="B444" s="78"/>
      <c r="C444" s="79"/>
      <c r="D444" s="79"/>
      <c r="E444" s="79"/>
      <c r="F444" s="79"/>
      <c r="G444" s="79" t="s">
        <v>498</v>
      </c>
      <c r="H444" s="79"/>
      <c r="I444" s="79"/>
      <c r="J444" s="79"/>
      <c r="K444" s="79"/>
      <c r="L444" s="79"/>
      <c r="M444" s="79"/>
      <c r="N444" s="79" t="s">
        <v>604</v>
      </c>
      <c r="O444" s="79"/>
      <c r="P444" s="79" t="str">
        <f>TEXT(기계경비총괄표!H11,"#,##0")</f>
        <v>18,748</v>
      </c>
      <c r="Q444" s="79"/>
      <c r="R444" s="79"/>
      <c r="S444" s="79"/>
      <c r="T444" s="79"/>
      <c r="U444" s="79"/>
      <c r="V444" s="79"/>
      <c r="W444" s="79"/>
      <c r="X444" s="79"/>
      <c r="Y444" s="79" t="s">
        <v>391</v>
      </c>
      <c r="Z444" s="79"/>
      <c r="AA444" s="79"/>
      <c r="AB444" s="79" t="str">
        <f>TEXT(AQ441,"#,##0.#######")</f>
        <v>1.13</v>
      </c>
      <c r="AC444" s="79"/>
      <c r="AD444" s="79"/>
      <c r="AE444" s="79"/>
      <c r="AF444" s="79"/>
      <c r="AG444" s="79"/>
      <c r="AH444" s="79"/>
      <c r="AI444" s="79" t="s">
        <v>309</v>
      </c>
      <c r="AJ444" s="79"/>
      <c r="AK444" s="79" t="str">
        <f>TEXT(TRUNC(P444/AQ441,1),"#,##0.#")</f>
        <v>16,591.1</v>
      </c>
      <c r="AL444" s="79"/>
      <c r="AM444" s="79"/>
      <c r="AN444" s="79"/>
      <c r="AO444" s="79"/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  <c r="BK444" s="79"/>
      <c r="BL444" s="79"/>
      <c r="BM444" s="79"/>
      <c r="BN444" s="79"/>
      <c r="BO444" s="79"/>
      <c r="BP444" s="79"/>
      <c r="BQ444" s="79"/>
      <c r="BR444" s="79"/>
      <c r="BS444" s="79"/>
      <c r="BT444" s="79"/>
      <c r="BU444" s="79"/>
      <c r="BV444" s="79"/>
      <c r="BW444" s="79"/>
      <c r="BX444" s="79"/>
      <c r="BY444" s="79"/>
      <c r="BZ444" s="79"/>
      <c r="CA444" s="79"/>
      <c r="CB444" s="79"/>
      <c r="CC444" s="79"/>
      <c r="CD444" s="79"/>
      <c r="CE444" s="79"/>
      <c r="CF444" s="79"/>
      <c r="CG444" s="79"/>
      <c r="CH444" s="79"/>
      <c r="CI444" s="79"/>
      <c r="CJ444" s="79"/>
      <c r="CK444" s="79"/>
      <c r="CL444" s="79"/>
      <c r="CM444" s="79"/>
      <c r="CN444" s="79"/>
      <c r="CO444" s="79"/>
      <c r="CP444" s="79"/>
      <c r="CQ444" s="79"/>
      <c r="CR444" s="79"/>
      <c r="CS444" s="79"/>
      <c r="CT444" s="79"/>
      <c r="CU444" s="79"/>
      <c r="CV444" s="79"/>
      <c r="CW444" s="79"/>
      <c r="CX444" s="85"/>
      <c r="CY444" s="85"/>
      <c r="CZ444" s="85"/>
      <c r="DA444" s="86"/>
      <c r="DB444" s="84"/>
    </row>
    <row r="445" spans="2:106" ht="11.25" customHeight="1">
      <c r="B445" s="78"/>
      <c r="C445" s="79"/>
      <c r="D445" s="79"/>
      <c r="E445" s="79"/>
      <c r="F445" s="79"/>
      <c r="G445" s="79" t="s">
        <v>160</v>
      </c>
      <c r="H445" s="79"/>
      <c r="I445" s="79"/>
      <c r="J445" s="79"/>
      <c r="K445" s="79" t="s">
        <v>440</v>
      </c>
      <c r="L445" s="79"/>
      <c r="M445" s="79"/>
      <c r="N445" s="79" t="s">
        <v>604</v>
      </c>
      <c r="O445" s="79"/>
      <c r="P445" s="79" t="str">
        <f>TEXT(기계경비총괄표!I11,"#,##0")</f>
        <v>16,470</v>
      </c>
      <c r="Q445" s="79"/>
      <c r="R445" s="79"/>
      <c r="S445" s="79"/>
      <c r="T445" s="79"/>
      <c r="U445" s="79"/>
      <c r="V445" s="79"/>
      <c r="W445" s="79"/>
      <c r="X445" s="79"/>
      <c r="Y445" s="79" t="s">
        <v>391</v>
      </c>
      <c r="Z445" s="79"/>
      <c r="AA445" s="79"/>
      <c r="AB445" s="79" t="str">
        <f>TEXT(AQ441,"#,##0.#######")</f>
        <v>1.13</v>
      </c>
      <c r="AC445" s="79"/>
      <c r="AD445" s="79"/>
      <c r="AE445" s="79"/>
      <c r="AF445" s="79"/>
      <c r="AG445" s="79"/>
      <c r="AH445" s="79"/>
      <c r="AI445" s="79" t="s">
        <v>309</v>
      </c>
      <c r="AJ445" s="79"/>
      <c r="AK445" s="79" t="str">
        <f>TEXT(TRUNC(P445/AQ441,1),"#,##0.#")</f>
        <v>14,575.2</v>
      </c>
      <c r="AL445" s="79"/>
      <c r="AM445" s="79"/>
      <c r="AN445" s="79"/>
      <c r="AO445" s="79"/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  <c r="BK445" s="79"/>
      <c r="BL445" s="79"/>
      <c r="BM445" s="79"/>
      <c r="BN445" s="79"/>
      <c r="BO445" s="79"/>
      <c r="BP445" s="79"/>
      <c r="BQ445" s="79"/>
      <c r="BR445" s="79"/>
      <c r="BS445" s="79"/>
      <c r="BT445" s="79"/>
      <c r="BU445" s="79"/>
      <c r="BV445" s="79"/>
      <c r="BW445" s="79"/>
      <c r="BX445" s="79"/>
      <c r="BY445" s="79"/>
      <c r="BZ445" s="79"/>
      <c r="CA445" s="79"/>
      <c r="CB445" s="79"/>
      <c r="CC445" s="79"/>
      <c r="CD445" s="79"/>
      <c r="CE445" s="79"/>
      <c r="CF445" s="79"/>
      <c r="CG445" s="79"/>
      <c r="CH445" s="79"/>
      <c r="CI445" s="79"/>
      <c r="CJ445" s="79"/>
      <c r="CK445" s="79"/>
      <c r="CL445" s="79"/>
      <c r="CM445" s="79"/>
      <c r="CN445" s="79"/>
      <c r="CO445" s="79"/>
      <c r="CP445" s="79"/>
      <c r="CQ445" s="79"/>
      <c r="CR445" s="79"/>
      <c r="CS445" s="79"/>
      <c r="CT445" s="79"/>
      <c r="CU445" s="79"/>
      <c r="CV445" s="79"/>
      <c r="CW445" s="79"/>
      <c r="CX445" s="85"/>
      <c r="CY445" s="85"/>
      <c r="CZ445" s="85"/>
      <c r="DA445" s="86"/>
      <c r="DB445" s="84"/>
    </row>
    <row r="446" spans="2:106" ht="11.25" customHeight="1">
      <c r="B446" s="78"/>
      <c r="C446" s="79"/>
      <c r="D446" s="79"/>
      <c r="E446" s="79"/>
      <c r="F446" s="79"/>
      <c r="G446" s="79" t="s">
        <v>305</v>
      </c>
      <c r="H446" s="79"/>
      <c r="I446" s="79"/>
      <c r="J446" s="79"/>
      <c r="K446" s="79" t="s">
        <v>436</v>
      </c>
      <c r="L446" s="79"/>
      <c r="M446" s="79"/>
      <c r="N446" s="79" t="s">
        <v>604</v>
      </c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 t="str">
        <f>TEXT(AK443+AK444+AK445,"#,##0.#######")</f>
        <v>83,396.3</v>
      </c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  <c r="BK446" s="79"/>
      <c r="BL446" s="79"/>
      <c r="BM446" s="79"/>
      <c r="BN446" s="79"/>
      <c r="BO446" s="79"/>
      <c r="BP446" s="79"/>
      <c r="BQ446" s="79"/>
      <c r="BR446" s="79"/>
      <c r="BS446" s="79"/>
      <c r="BT446" s="79"/>
      <c r="BU446" s="79"/>
      <c r="BV446" s="79"/>
      <c r="BW446" s="79"/>
      <c r="BX446" s="79"/>
      <c r="BY446" s="79"/>
      <c r="BZ446" s="79"/>
      <c r="CA446" s="79"/>
      <c r="CB446" s="79"/>
      <c r="CC446" s="79"/>
      <c r="CD446" s="79"/>
      <c r="CE446" s="79"/>
      <c r="CF446" s="79"/>
      <c r="CG446" s="79"/>
      <c r="CH446" s="79"/>
      <c r="CI446" s="79"/>
      <c r="CJ446" s="79"/>
      <c r="CK446" s="79"/>
      <c r="CL446" s="79"/>
      <c r="CM446" s="79"/>
      <c r="CN446" s="79"/>
      <c r="CO446" s="79"/>
      <c r="CP446" s="79"/>
      <c r="CQ446" s="79"/>
      <c r="CR446" s="79"/>
      <c r="CS446" s="79"/>
      <c r="CT446" s="79"/>
      <c r="CU446" s="79"/>
      <c r="CV446" s="79"/>
      <c r="CW446" s="79"/>
      <c r="CX446" s="85">
        <f>CY446+CZ446+DA446</f>
        <v>83396.3</v>
      </c>
      <c r="CY446" s="85" t="str">
        <f>TEXT(AK443,"#,###.0")</f>
        <v>52,230.0</v>
      </c>
      <c r="CZ446" s="85" t="str">
        <f>TEXT(AK444,"#,###.0")</f>
        <v>16,591.1</v>
      </c>
      <c r="DA446" s="86" t="str">
        <f>TEXT(AK445,"#,###.0")</f>
        <v>14,575.2</v>
      </c>
      <c r="DB446" s="84"/>
    </row>
    <row r="447" spans="2:106" ht="11.25" customHeight="1">
      <c r="B447" s="78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  <c r="BK447" s="79"/>
      <c r="BL447" s="79"/>
      <c r="BM447" s="79"/>
      <c r="BN447" s="79"/>
      <c r="BO447" s="79"/>
      <c r="BP447" s="79"/>
      <c r="BQ447" s="79"/>
      <c r="BR447" s="79"/>
      <c r="BS447" s="79"/>
      <c r="BT447" s="79"/>
      <c r="BU447" s="79"/>
      <c r="BV447" s="79"/>
      <c r="BW447" s="79"/>
      <c r="BX447" s="79"/>
      <c r="BY447" s="79"/>
      <c r="BZ447" s="79"/>
      <c r="CA447" s="79"/>
      <c r="CB447" s="79"/>
      <c r="CC447" s="79"/>
      <c r="CD447" s="79"/>
      <c r="CE447" s="79"/>
      <c r="CF447" s="79"/>
      <c r="CG447" s="79"/>
      <c r="CH447" s="79"/>
      <c r="CI447" s="79"/>
      <c r="CJ447" s="79"/>
      <c r="CK447" s="79"/>
      <c r="CL447" s="79"/>
      <c r="CM447" s="79"/>
      <c r="CN447" s="79"/>
      <c r="CO447" s="79"/>
      <c r="CP447" s="79"/>
      <c r="CQ447" s="79"/>
      <c r="CR447" s="79"/>
      <c r="CS447" s="79"/>
      <c r="CT447" s="79"/>
      <c r="CU447" s="79"/>
      <c r="CV447" s="79"/>
      <c r="CW447" s="79"/>
      <c r="CX447" s="85"/>
      <c r="CY447" s="85"/>
      <c r="CZ447" s="85"/>
      <c r="DA447" s="86"/>
      <c r="DB447" s="84"/>
    </row>
    <row r="448" spans="2:106" ht="11.25" customHeight="1">
      <c r="B448" s="78"/>
      <c r="C448" s="79"/>
      <c r="D448" s="79"/>
      <c r="E448" s="79" t="s">
        <v>222</v>
      </c>
      <c r="F448" s="79"/>
      <c r="G448" s="79" t="s">
        <v>587</v>
      </c>
      <c r="H448" s="79"/>
      <c r="I448" s="79" t="s">
        <v>8</v>
      </c>
      <c r="J448" s="79"/>
      <c r="K448" s="79"/>
      <c r="L448" s="79"/>
      <c r="M448" s="79"/>
      <c r="N448" s="79"/>
      <c r="O448" s="79"/>
      <c r="P448" s="79"/>
      <c r="Q448" s="79"/>
      <c r="R448" s="79" t="s">
        <v>84</v>
      </c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  <c r="BK448" s="79"/>
      <c r="BL448" s="79"/>
      <c r="BM448" s="79"/>
      <c r="BN448" s="79"/>
      <c r="BO448" s="79"/>
      <c r="BP448" s="79"/>
      <c r="BQ448" s="79"/>
      <c r="BR448" s="79"/>
      <c r="BS448" s="79"/>
      <c r="BT448" s="79"/>
      <c r="BU448" s="79"/>
      <c r="BV448" s="79"/>
      <c r="BW448" s="79"/>
      <c r="BX448" s="79"/>
      <c r="BY448" s="79"/>
      <c r="BZ448" s="79"/>
      <c r="CA448" s="79"/>
      <c r="CB448" s="79"/>
      <c r="CC448" s="79"/>
      <c r="CD448" s="79"/>
      <c r="CE448" s="79"/>
      <c r="CF448" s="79"/>
      <c r="CG448" s="79"/>
      <c r="CH448" s="79"/>
      <c r="CI448" s="79"/>
      <c r="CJ448" s="79"/>
      <c r="CK448" s="79"/>
      <c r="CL448" s="79"/>
      <c r="CM448" s="79"/>
      <c r="CN448" s="79"/>
      <c r="CO448" s="79"/>
      <c r="CP448" s="79"/>
      <c r="CQ448" s="79"/>
      <c r="CR448" s="79"/>
      <c r="CS448" s="79"/>
      <c r="CT448" s="79"/>
      <c r="CU448" s="79"/>
      <c r="CV448" s="79"/>
      <c r="CW448" s="79"/>
      <c r="CX448" s="85"/>
      <c r="CY448" s="85"/>
      <c r="CZ448" s="85"/>
      <c r="DA448" s="86"/>
      <c r="DB448" s="84"/>
    </row>
    <row r="449" spans="2:106" ht="11.25" customHeight="1">
      <c r="B449" s="78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  <c r="BK449" s="79"/>
      <c r="BL449" s="79"/>
      <c r="BM449" s="79"/>
      <c r="BN449" s="79"/>
      <c r="BO449" s="79"/>
      <c r="BP449" s="79"/>
      <c r="BQ449" s="79"/>
      <c r="BR449" s="79"/>
      <c r="BS449" s="79"/>
      <c r="BT449" s="79"/>
      <c r="BU449" s="79"/>
      <c r="BV449" s="79"/>
      <c r="BW449" s="79"/>
      <c r="BX449" s="79"/>
      <c r="BY449" s="79"/>
      <c r="BZ449" s="79"/>
      <c r="CA449" s="79"/>
      <c r="CB449" s="79"/>
      <c r="CC449" s="79"/>
      <c r="CD449" s="79"/>
      <c r="CE449" s="79"/>
      <c r="CF449" s="79"/>
      <c r="CG449" s="79"/>
      <c r="CH449" s="79"/>
      <c r="CI449" s="79"/>
      <c r="CJ449" s="79"/>
      <c r="CK449" s="79"/>
      <c r="CL449" s="79"/>
      <c r="CM449" s="79"/>
      <c r="CN449" s="79"/>
      <c r="CO449" s="79"/>
      <c r="CP449" s="79"/>
      <c r="CQ449" s="79"/>
      <c r="CR449" s="79"/>
      <c r="CS449" s="79"/>
      <c r="CT449" s="79"/>
      <c r="CU449" s="79"/>
      <c r="CV449" s="79"/>
      <c r="CW449" s="79"/>
      <c r="CX449" s="85"/>
      <c r="CY449" s="85"/>
      <c r="CZ449" s="85"/>
      <c r="DA449" s="86"/>
      <c r="DB449" s="84"/>
    </row>
    <row r="450" spans="2:106" ht="11.25" customHeight="1">
      <c r="B450" s="78"/>
      <c r="C450" s="79"/>
      <c r="D450" s="79"/>
      <c r="E450" s="79"/>
      <c r="F450" s="79"/>
      <c r="G450" s="79" t="s">
        <v>546</v>
      </c>
      <c r="H450" s="79"/>
      <c r="I450" s="79" t="s">
        <v>309</v>
      </c>
      <c r="J450" s="79"/>
      <c r="K450" s="79" t="str">
        <f>TEXT(40,"#,##0.#######")</f>
        <v>40.</v>
      </c>
      <c r="L450" s="79"/>
      <c r="M450" s="79" t="s">
        <v>434</v>
      </c>
      <c r="N450" s="79"/>
      <c r="O450" s="79" t="s">
        <v>123</v>
      </c>
      <c r="P450" s="79" t="s">
        <v>598</v>
      </c>
      <c r="Q450" s="79"/>
      <c r="R450" s="79"/>
      <c r="S450" s="79"/>
      <c r="T450" s="79"/>
      <c r="U450" s="79"/>
      <c r="V450" s="79" t="s">
        <v>342</v>
      </c>
      <c r="W450" s="79"/>
      <c r="X450" s="79" t="s">
        <v>309</v>
      </c>
      <c r="Y450" s="79"/>
      <c r="Z450" s="79" t="str">
        <f>TEXT(0.9,"#,##0.#######")</f>
        <v>0.9</v>
      </c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  <c r="BK450" s="79"/>
      <c r="BL450" s="79"/>
      <c r="BM450" s="79"/>
      <c r="BN450" s="79"/>
      <c r="BO450" s="79"/>
      <c r="BP450" s="79"/>
      <c r="BQ450" s="79"/>
      <c r="BR450" s="79"/>
      <c r="BS450" s="79"/>
      <c r="BT450" s="79"/>
      <c r="BU450" s="79"/>
      <c r="BV450" s="79"/>
      <c r="BW450" s="79"/>
      <c r="BX450" s="79"/>
      <c r="BY450" s="79"/>
      <c r="BZ450" s="79"/>
      <c r="CA450" s="79"/>
      <c r="CB450" s="79"/>
      <c r="CC450" s="79"/>
      <c r="CD450" s="79"/>
      <c r="CE450" s="79"/>
      <c r="CF450" s="79"/>
      <c r="CG450" s="79"/>
      <c r="CH450" s="79"/>
      <c r="CI450" s="79"/>
      <c r="CJ450" s="79"/>
      <c r="CK450" s="79"/>
      <c r="CL450" s="79"/>
      <c r="CM450" s="79"/>
      <c r="CN450" s="79"/>
      <c r="CO450" s="79"/>
      <c r="CP450" s="79"/>
      <c r="CQ450" s="79"/>
      <c r="CR450" s="79"/>
      <c r="CS450" s="79"/>
      <c r="CT450" s="79"/>
      <c r="CU450" s="79"/>
      <c r="CV450" s="79"/>
      <c r="CW450" s="79"/>
      <c r="CX450" s="85"/>
      <c r="CY450" s="85"/>
      <c r="CZ450" s="85"/>
      <c r="DA450" s="86"/>
      <c r="DB450" s="84"/>
    </row>
    <row r="451" spans="2:106" ht="11.25" customHeight="1">
      <c r="B451" s="78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  <c r="BK451" s="79"/>
      <c r="BL451" s="79"/>
      <c r="BM451" s="79"/>
      <c r="BN451" s="79"/>
      <c r="BO451" s="79"/>
      <c r="BP451" s="79"/>
      <c r="BQ451" s="79"/>
      <c r="BR451" s="79"/>
      <c r="BS451" s="79"/>
      <c r="BT451" s="79"/>
      <c r="BU451" s="79"/>
      <c r="BV451" s="79"/>
      <c r="BW451" s="79"/>
      <c r="BX451" s="79"/>
      <c r="BY451" s="79"/>
      <c r="BZ451" s="79"/>
      <c r="CA451" s="79"/>
      <c r="CB451" s="79"/>
      <c r="CC451" s="79"/>
      <c r="CD451" s="79"/>
      <c r="CE451" s="79"/>
      <c r="CF451" s="79"/>
      <c r="CG451" s="79"/>
      <c r="CH451" s="79"/>
      <c r="CI451" s="79"/>
      <c r="CJ451" s="79"/>
      <c r="CK451" s="79"/>
      <c r="CL451" s="79"/>
      <c r="CM451" s="79"/>
      <c r="CN451" s="79"/>
      <c r="CO451" s="79"/>
      <c r="CP451" s="79"/>
      <c r="CQ451" s="79"/>
      <c r="CR451" s="79"/>
      <c r="CS451" s="79"/>
      <c r="CT451" s="79"/>
      <c r="CU451" s="79"/>
      <c r="CV451" s="79"/>
      <c r="CW451" s="79"/>
      <c r="CX451" s="85"/>
      <c r="CY451" s="85"/>
      <c r="CZ451" s="85"/>
      <c r="DA451" s="86"/>
      <c r="DB451" s="84"/>
    </row>
    <row r="452" spans="2:106" ht="11.25" customHeight="1">
      <c r="B452" s="78"/>
      <c r="C452" s="79"/>
      <c r="D452" s="79"/>
      <c r="E452" s="79"/>
      <c r="F452" s="79"/>
      <c r="G452" s="79" t="s">
        <v>103</v>
      </c>
      <c r="H452" s="79"/>
      <c r="I452" s="79"/>
      <c r="J452" s="79" t="s">
        <v>309</v>
      </c>
      <c r="K452" s="79"/>
      <c r="L452" s="79" t="s">
        <v>431</v>
      </c>
      <c r="M452" s="79" t="s">
        <v>652</v>
      </c>
      <c r="N452" s="79" t="s">
        <v>123</v>
      </c>
      <c r="O452" s="79" t="s">
        <v>546</v>
      </c>
      <c r="P452" s="79" t="s">
        <v>89</v>
      </c>
      <c r="Q452" s="79" t="s">
        <v>699</v>
      </c>
      <c r="R452" s="79"/>
      <c r="S452" s="79" t="str">
        <f>TEXT(2,"#,##0.#######")</f>
        <v>2.</v>
      </c>
      <c r="T452" s="79" t="s">
        <v>699</v>
      </c>
      <c r="U452" s="79"/>
      <c r="V452" s="79" t="str">
        <f>TEXT(60,"#,##0.#######")</f>
        <v>60.</v>
      </c>
      <c r="W452" s="79"/>
      <c r="X452" s="79"/>
      <c r="Y452" s="79" t="s">
        <v>309</v>
      </c>
      <c r="Z452" s="79"/>
      <c r="AA452" s="79" t="s">
        <v>431</v>
      </c>
      <c r="AB452" s="79" t="str">
        <f>TEXT(V378,"#,##0.#######")</f>
        <v>16.</v>
      </c>
      <c r="AC452" s="79"/>
      <c r="AD452" s="79" t="s">
        <v>123</v>
      </c>
      <c r="AE452" s="79" t="str">
        <f>TEXT(K450,"#,##0.#######")</f>
        <v>40.</v>
      </c>
      <c r="AF452" s="79"/>
      <c r="AG452" s="79" t="s">
        <v>89</v>
      </c>
      <c r="AH452" s="79" t="s">
        <v>699</v>
      </c>
      <c r="AI452" s="79"/>
      <c r="AJ452" s="79" t="str">
        <f>TEXT(S452,"#,##0.#######")</f>
        <v>2.</v>
      </c>
      <c r="AK452" s="79" t="s">
        <v>699</v>
      </c>
      <c r="AL452" s="79"/>
      <c r="AM452" s="79" t="str">
        <f>TEXT(V452,"#,##0.#######")</f>
        <v>60.</v>
      </c>
      <c r="AN452" s="79"/>
      <c r="AO452" s="79"/>
      <c r="AP452" s="79" t="s">
        <v>309</v>
      </c>
      <c r="AQ452" s="79"/>
      <c r="AR452" s="79" t="str">
        <f>TEXT(ROUND((V378/K450)*S452*V452,2),"#,##0.#######")</f>
        <v>48.</v>
      </c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  <c r="BK452" s="79"/>
      <c r="BL452" s="79"/>
      <c r="BM452" s="79"/>
      <c r="BN452" s="79"/>
      <c r="BO452" s="79"/>
      <c r="BP452" s="79"/>
      <c r="BQ452" s="79"/>
      <c r="BR452" s="79"/>
      <c r="BS452" s="79"/>
      <c r="BT452" s="79"/>
      <c r="BU452" s="79"/>
      <c r="BV452" s="79"/>
      <c r="BW452" s="79"/>
      <c r="BX452" s="79"/>
      <c r="BY452" s="79"/>
      <c r="BZ452" s="79"/>
      <c r="CA452" s="79"/>
      <c r="CB452" s="79"/>
      <c r="CC452" s="79"/>
      <c r="CD452" s="79"/>
      <c r="CE452" s="79"/>
      <c r="CF452" s="79"/>
      <c r="CG452" s="79"/>
      <c r="CH452" s="79"/>
      <c r="CI452" s="79"/>
      <c r="CJ452" s="79"/>
      <c r="CK452" s="79"/>
      <c r="CL452" s="79"/>
      <c r="CM452" s="79"/>
      <c r="CN452" s="79"/>
      <c r="CO452" s="79"/>
      <c r="CP452" s="79"/>
      <c r="CQ452" s="79"/>
      <c r="CR452" s="79"/>
      <c r="CS452" s="79"/>
      <c r="CT452" s="79"/>
      <c r="CU452" s="79"/>
      <c r="CV452" s="79"/>
      <c r="CW452" s="79"/>
      <c r="CX452" s="85"/>
      <c r="CY452" s="85"/>
      <c r="CZ452" s="85"/>
      <c r="DA452" s="86"/>
      <c r="DB452" s="84"/>
    </row>
    <row r="453" spans="2:106" ht="11.25" customHeight="1">
      <c r="B453" s="78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  <c r="BK453" s="79"/>
      <c r="BL453" s="79"/>
      <c r="BM453" s="79"/>
      <c r="BN453" s="79"/>
      <c r="BO453" s="79"/>
      <c r="BP453" s="79"/>
      <c r="BQ453" s="79"/>
      <c r="BR453" s="79"/>
      <c r="BS453" s="79"/>
      <c r="BT453" s="79"/>
      <c r="BU453" s="79"/>
      <c r="BV453" s="79"/>
      <c r="BW453" s="79"/>
      <c r="BX453" s="79"/>
      <c r="BY453" s="79"/>
      <c r="BZ453" s="79"/>
      <c r="CA453" s="79"/>
      <c r="CB453" s="79"/>
      <c r="CC453" s="79"/>
      <c r="CD453" s="79"/>
      <c r="CE453" s="79"/>
      <c r="CF453" s="79"/>
      <c r="CG453" s="79"/>
      <c r="CH453" s="79"/>
      <c r="CI453" s="79"/>
      <c r="CJ453" s="79"/>
      <c r="CK453" s="79"/>
      <c r="CL453" s="79"/>
      <c r="CM453" s="79"/>
      <c r="CN453" s="79"/>
      <c r="CO453" s="79"/>
      <c r="CP453" s="79"/>
      <c r="CQ453" s="79"/>
      <c r="CR453" s="79"/>
      <c r="CS453" s="79"/>
      <c r="CT453" s="79"/>
      <c r="CU453" s="79"/>
      <c r="CV453" s="79"/>
      <c r="CW453" s="79"/>
      <c r="CX453" s="85"/>
      <c r="CY453" s="85"/>
      <c r="CZ453" s="85"/>
      <c r="DA453" s="86"/>
      <c r="DB453" s="84"/>
    </row>
    <row r="454" spans="2:106" ht="11.25" customHeight="1">
      <c r="B454" s="78"/>
      <c r="C454" s="79"/>
      <c r="D454" s="79"/>
      <c r="E454" s="79"/>
      <c r="F454" s="79"/>
      <c r="G454" s="79" t="s">
        <v>49</v>
      </c>
      <c r="H454" s="79"/>
      <c r="I454" s="79" t="s">
        <v>309</v>
      </c>
      <c r="J454" s="79"/>
      <c r="K454" s="79" t="s">
        <v>431</v>
      </c>
      <c r="L454" s="79" t="str">
        <f>TEXT(60,"#,##0.#######")</f>
        <v>60.</v>
      </c>
      <c r="M454" s="79"/>
      <c r="N454" s="79" t="s">
        <v>699</v>
      </c>
      <c r="O454" s="79"/>
      <c r="P454" s="79" t="s">
        <v>342</v>
      </c>
      <c r="Q454" s="79" t="s">
        <v>89</v>
      </c>
      <c r="R454" s="79"/>
      <c r="S454" s="79" t="s">
        <v>123</v>
      </c>
      <c r="T454" s="79"/>
      <c r="U454" s="79" t="s">
        <v>103</v>
      </c>
      <c r="V454" s="79"/>
      <c r="W454" s="79"/>
      <c r="X454" s="79" t="s">
        <v>309</v>
      </c>
      <c r="Y454" s="79"/>
      <c r="Z454" s="79" t="s">
        <v>431</v>
      </c>
      <c r="AA454" s="79" t="str">
        <f>TEXT(L454,"#,##0.#######")</f>
        <v>60.</v>
      </c>
      <c r="AB454" s="79"/>
      <c r="AC454" s="79" t="s">
        <v>699</v>
      </c>
      <c r="AD454" s="79"/>
      <c r="AE454" s="79" t="str">
        <f>TEXT(Z450,"#,##0.#######")</f>
        <v>0.9</v>
      </c>
      <c r="AF454" s="79"/>
      <c r="AG454" s="79"/>
      <c r="AH454" s="79" t="s">
        <v>89</v>
      </c>
      <c r="AI454" s="79"/>
      <c r="AJ454" s="79" t="s">
        <v>123</v>
      </c>
      <c r="AK454" s="79"/>
      <c r="AL454" s="79" t="str">
        <f>TEXT(AR452,"#,##0.#######")</f>
        <v>48.</v>
      </c>
      <c r="AM454" s="79"/>
      <c r="AN454" s="79"/>
      <c r="AO454" s="79" t="s">
        <v>309</v>
      </c>
      <c r="AP454" s="79"/>
      <c r="AQ454" s="79" t="str">
        <f>TEXT(ROUND((L454*Z450)/AR452,2),"#,##0.#######")</f>
        <v>1.13</v>
      </c>
      <c r="AR454" s="79"/>
      <c r="AS454" s="79"/>
      <c r="AT454" s="79"/>
      <c r="AU454" s="79"/>
      <c r="AV454" s="79"/>
      <c r="AW454" s="79"/>
      <c r="AX454" s="79" t="s">
        <v>521</v>
      </c>
      <c r="AY454" s="79"/>
      <c r="AZ454" s="79" t="s">
        <v>123</v>
      </c>
      <c r="BA454" s="79" t="s">
        <v>598</v>
      </c>
      <c r="BB454" s="79"/>
      <c r="BC454" s="79"/>
      <c r="BD454" s="79"/>
      <c r="BE454" s="79"/>
      <c r="BF454" s="79"/>
      <c r="BG454" s="79"/>
      <c r="BH454" s="79"/>
      <c r="BI454" s="79"/>
      <c r="BJ454" s="79"/>
      <c r="BK454" s="79"/>
      <c r="BL454" s="79"/>
      <c r="BM454" s="79"/>
      <c r="BN454" s="79"/>
      <c r="BO454" s="79"/>
      <c r="BP454" s="79"/>
      <c r="BQ454" s="79"/>
      <c r="BR454" s="79"/>
      <c r="BS454" s="79"/>
      <c r="BT454" s="79"/>
      <c r="BU454" s="79"/>
      <c r="BV454" s="79"/>
      <c r="BW454" s="79"/>
      <c r="BX454" s="79"/>
      <c r="BY454" s="79"/>
      <c r="BZ454" s="79"/>
      <c r="CA454" s="79"/>
      <c r="CB454" s="79"/>
      <c r="CC454" s="79"/>
      <c r="CD454" s="79"/>
      <c r="CE454" s="79"/>
      <c r="CF454" s="79"/>
      <c r="CG454" s="79"/>
      <c r="CH454" s="79"/>
      <c r="CI454" s="79"/>
      <c r="CJ454" s="79"/>
      <c r="CK454" s="79"/>
      <c r="CL454" s="79"/>
      <c r="CM454" s="79"/>
      <c r="CN454" s="79"/>
      <c r="CO454" s="79"/>
      <c r="CP454" s="79"/>
      <c r="CQ454" s="79"/>
      <c r="CR454" s="79"/>
      <c r="CS454" s="79"/>
      <c r="CT454" s="79"/>
      <c r="CU454" s="79"/>
      <c r="CV454" s="79"/>
      <c r="CW454" s="79"/>
      <c r="CX454" s="85"/>
      <c r="CY454" s="85"/>
      <c r="CZ454" s="85"/>
      <c r="DA454" s="86"/>
      <c r="DB454" s="84"/>
    </row>
    <row r="455" spans="2:106" ht="11.25" customHeight="1">
      <c r="B455" s="78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  <c r="BK455" s="79"/>
      <c r="BL455" s="79"/>
      <c r="BM455" s="79"/>
      <c r="BN455" s="79"/>
      <c r="BO455" s="79"/>
      <c r="BP455" s="79"/>
      <c r="BQ455" s="79"/>
      <c r="BR455" s="79"/>
      <c r="BS455" s="79"/>
      <c r="BT455" s="79"/>
      <c r="BU455" s="79"/>
      <c r="BV455" s="79"/>
      <c r="BW455" s="79"/>
      <c r="BX455" s="79"/>
      <c r="BY455" s="79"/>
      <c r="BZ455" s="79"/>
      <c r="CA455" s="79"/>
      <c r="CB455" s="79"/>
      <c r="CC455" s="79"/>
      <c r="CD455" s="79"/>
      <c r="CE455" s="79"/>
      <c r="CF455" s="79"/>
      <c r="CG455" s="79"/>
      <c r="CH455" s="79"/>
      <c r="CI455" s="79"/>
      <c r="CJ455" s="79"/>
      <c r="CK455" s="79"/>
      <c r="CL455" s="79"/>
      <c r="CM455" s="79"/>
      <c r="CN455" s="79"/>
      <c r="CO455" s="79"/>
      <c r="CP455" s="79"/>
      <c r="CQ455" s="79"/>
      <c r="CR455" s="79"/>
      <c r="CS455" s="79"/>
      <c r="CT455" s="79"/>
      <c r="CU455" s="79"/>
      <c r="CV455" s="79"/>
      <c r="CW455" s="79"/>
      <c r="CX455" s="85"/>
      <c r="CY455" s="85"/>
      <c r="CZ455" s="85"/>
      <c r="DA455" s="86"/>
      <c r="DB455" s="84"/>
    </row>
    <row r="456" spans="2:106" ht="11.25" customHeight="1">
      <c r="B456" s="78"/>
      <c r="C456" s="79"/>
      <c r="D456" s="79"/>
      <c r="E456" s="79"/>
      <c r="F456" s="79"/>
      <c r="G456" s="79" t="s">
        <v>700</v>
      </c>
      <c r="H456" s="79"/>
      <c r="I456" s="79"/>
      <c r="J456" s="79"/>
      <c r="K456" s="79"/>
      <c r="L456" s="79"/>
      <c r="M456" s="79"/>
      <c r="N456" s="79" t="s">
        <v>604</v>
      </c>
      <c r="O456" s="79"/>
      <c r="P456" s="79" t="str">
        <f>TEXT(기계경비총괄표!G12,"#,##0")</f>
        <v>49,778</v>
      </c>
      <c r="Q456" s="79"/>
      <c r="R456" s="79"/>
      <c r="S456" s="79"/>
      <c r="T456" s="79"/>
      <c r="U456" s="79"/>
      <c r="V456" s="79"/>
      <c r="W456" s="79"/>
      <c r="X456" s="79"/>
      <c r="Y456" s="79" t="s">
        <v>391</v>
      </c>
      <c r="Z456" s="79"/>
      <c r="AA456" s="79"/>
      <c r="AB456" s="79" t="str">
        <f>TEXT(AQ454,"#,##0.#######")</f>
        <v>1.13</v>
      </c>
      <c r="AC456" s="79"/>
      <c r="AD456" s="79"/>
      <c r="AE456" s="79"/>
      <c r="AF456" s="79"/>
      <c r="AG456" s="79"/>
      <c r="AH456" s="79"/>
      <c r="AI456" s="79" t="s">
        <v>309</v>
      </c>
      <c r="AJ456" s="79"/>
      <c r="AK456" s="79" t="str">
        <f>TEXT(TRUNC(P456/AQ454,1),"#,##0.#")</f>
        <v>44,051.3</v>
      </c>
      <c r="AL456" s="79"/>
      <c r="AM456" s="79"/>
      <c r="AN456" s="79"/>
      <c r="AO456" s="79"/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  <c r="BK456" s="79"/>
      <c r="BL456" s="79"/>
      <c r="BM456" s="79"/>
      <c r="BN456" s="79"/>
      <c r="BO456" s="79"/>
      <c r="BP456" s="79"/>
      <c r="BQ456" s="79"/>
      <c r="BR456" s="79"/>
      <c r="BS456" s="79"/>
      <c r="BT456" s="79"/>
      <c r="BU456" s="79"/>
      <c r="BV456" s="79"/>
      <c r="BW456" s="79"/>
      <c r="BX456" s="79"/>
      <c r="BY456" s="79"/>
      <c r="BZ456" s="79"/>
      <c r="CA456" s="79"/>
      <c r="CB456" s="79"/>
      <c r="CC456" s="79"/>
      <c r="CD456" s="79"/>
      <c r="CE456" s="79"/>
      <c r="CF456" s="79"/>
      <c r="CG456" s="79"/>
      <c r="CH456" s="79"/>
      <c r="CI456" s="79"/>
      <c r="CJ456" s="79"/>
      <c r="CK456" s="79"/>
      <c r="CL456" s="79"/>
      <c r="CM456" s="79"/>
      <c r="CN456" s="79"/>
      <c r="CO456" s="79"/>
      <c r="CP456" s="79"/>
      <c r="CQ456" s="79"/>
      <c r="CR456" s="79"/>
      <c r="CS456" s="79"/>
      <c r="CT456" s="79"/>
      <c r="CU456" s="79"/>
      <c r="CV456" s="79"/>
      <c r="CW456" s="79"/>
      <c r="CX456" s="85"/>
      <c r="CY456" s="85"/>
      <c r="CZ456" s="85"/>
      <c r="DA456" s="86"/>
      <c r="DB456" s="84"/>
    </row>
    <row r="457" spans="2:106" ht="11.25" customHeight="1">
      <c r="B457" s="78"/>
      <c r="C457" s="79"/>
      <c r="D457" s="79"/>
      <c r="E457" s="79"/>
      <c r="F457" s="79"/>
      <c r="G457" s="79" t="s">
        <v>498</v>
      </c>
      <c r="H457" s="79"/>
      <c r="I457" s="79"/>
      <c r="J457" s="79"/>
      <c r="K457" s="79"/>
      <c r="L457" s="79"/>
      <c r="M457" s="79"/>
      <c r="N457" s="79" t="s">
        <v>604</v>
      </c>
      <c r="O457" s="79"/>
      <c r="P457" s="79" t="str">
        <f>TEXT(기계경비총괄표!H12,"#,##0")</f>
        <v>23,075</v>
      </c>
      <c r="Q457" s="79"/>
      <c r="R457" s="79"/>
      <c r="S457" s="79"/>
      <c r="T457" s="79"/>
      <c r="U457" s="79"/>
      <c r="V457" s="79"/>
      <c r="W457" s="79"/>
      <c r="X457" s="79"/>
      <c r="Y457" s="79" t="s">
        <v>391</v>
      </c>
      <c r="Z457" s="79"/>
      <c r="AA457" s="79"/>
      <c r="AB457" s="79" t="str">
        <f>TEXT(AQ454,"#,##0.#######")</f>
        <v>1.13</v>
      </c>
      <c r="AC457" s="79"/>
      <c r="AD457" s="79"/>
      <c r="AE457" s="79"/>
      <c r="AF457" s="79"/>
      <c r="AG457" s="79"/>
      <c r="AH457" s="79"/>
      <c r="AI457" s="79" t="s">
        <v>309</v>
      </c>
      <c r="AJ457" s="79"/>
      <c r="AK457" s="79" t="str">
        <f>TEXT(TRUNC(P457/AQ454,1),"#,##0.#")</f>
        <v>20,420.3</v>
      </c>
      <c r="AL457" s="79"/>
      <c r="AM457" s="79"/>
      <c r="AN457" s="79"/>
      <c r="AO457" s="79"/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  <c r="BK457" s="79"/>
      <c r="BL457" s="79"/>
      <c r="BM457" s="79"/>
      <c r="BN457" s="79"/>
      <c r="BO457" s="79"/>
      <c r="BP457" s="79"/>
      <c r="BQ457" s="79"/>
      <c r="BR457" s="79"/>
      <c r="BS457" s="79"/>
      <c r="BT457" s="79"/>
      <c r="BU457" s="79"/>
      <c r="BV457" s="79"/>
      <c r="BW457" s="79"/>
      <c r="BX457" s="79"/>
      <c r="BY457" s="79"/>
      <c r="BZ457" s="79"/>
      <c r="CA457" s="79"/>
      <c r="CB457" s="79"/>
      <c r="CC457" s="79"/>
      <c r="CD457" s="79"/>
      <c r="CE457" s="79"/>
      <c r="CF457" s="79"/>
      <c r="CG457" s="79"/>
      <c r="CH457" s="79"/>
      <c r="CI457" s="79"/>
      <c r="CJ457" s="79"/>
      <c r="CK457" s="79"/>
      <c r="CL457" s="79"/>
      <c r="CM457" s="79"/>
      <c r="CN457" s="79"/>
      <c r="CO457" s="79"/>
      <c r="CP457" s="79"/>
      <c r="CQ457" s="79"/>
      <c r="CR457" s="79"/>
      <c r="CS457" s="79"/>
      <c r="CT457" s="79"/>
      <c r="CU457" s="79"/>
      <c r="CV457" s="79"/>
      <c r="CW457" s="79"/>
      <c r="CX457" s="85"/>
      <c r="CY457" s="85"/>
      <c r="CZ457" s="85"/>
      <c r="DA457" s="86"/>
      <c r="DB457" s="84"/>
    </row>
    <row r="458" spans="2:106" ht="11.25" customHeight="1">
      <c r="B458" s="78"/>
      <c r="C458" s="79"/>
      <c r="D458" s="79"/>
      <c r="E458" s="79"/>
      <c r="F458" s="79"/>
      <c r="G458" s="79" t="s">
        <v>160</v>
      </c>
      <c r="H458" s="79"/>
      <c r="I458" s="79"/>
      <c r="J458" s="79"/>
      <c r="K458" s="79" t="s">
        <v>440</v>
      </c>
      <c r="L458" s="79"/>
      <c r="M458" s="79"/>
      <c r="N458" s="79" t="s">
        <v>604</v>
      </c>
      <c r="O458" s="79"/>
      <c r="P458" s="79" t="str">
        <f>TEXT(기계경비총괄표!I12,"#,##0")</f>
        <v>19,154</v>
      </c>
      <c r="Q458" s="79"/>
      <c r="R458" s="79"/>
      <c r="S458" s="79"/>
      <c r="T458" s="79"/>
      <c r="U458" s="79"/>
      <c r="V458" s="79"/>
      <c r="W458" s="79"/>
      <c r="X458" s="79"/>
      <c r="Y458" s="79" t="s">
        <v>391</v>
      </c>
      <c r="Z458" s="79"/>
      <c r="AA458" s="79"/>
      <c r="AB458" s="79" t="str">
        <f>TEXT(AQ454,"#,##0.#######")</f>
        <v>1.13</v>
      </c>
      <c r="AC458" s="79"/>
      <c r="AD458" s="79"/>
      <c r="AE458" s="79"/>
      <c r="AF458" s="79"/>
      <c r="AG458" s="79"/>
      <c r="AH458" s="79"/>
      <c r="AI458" s="79" t="s">
        <v>309</v>
      </c>
      <c r="AJ458" s="79"/>
      <c r="AK458" s="79" t="str">
        <f>TEXT(TRUNC(P458/AQ454,1),"#,##0.#")</f>
        <v>16,950.4</v>
      </c>
      <c r="AL458" s="79"/>
      <c r="AM458" s="79"/>
      <c r="AN458" s="79"/>
      <c r="AO458" s="79"/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  <c r="BK458" s="79"/>
      <c r="BL458" s="79"/>
      <c r="BM458" s="79"/>
      <c r="BN458" s="79"/>
      <c r="BO458" s="79"/>
      <c r="BP458" s="79"/>
      <c r="BQ458" s="79"/>
      <c r="BR458" s="79"/>
      <c r="BS458" s="79"/>
      <c r="BT458" s="79"/>
      <c r="BU458" s="79"/>
      <c r="BV458" s="79"/>
      <c r="BW458" s="79"/>
      <c r="BX458" s="79"/>
      <c r="BY458" s="79"/>
      <c r="BZ458" s="79"/>
      <c r="CA458" s="79"/>
      <c r="CB458" s="79"/>
      <c r="CC458" s="79"/>
      <c r="CD458" s="79"/>
      <c r="CE458" s="79"/>
      <c r="CF458" s="79"/>
      <c r="CG458" s="79"/>
      <c r="CH458" s="79"/>
      <c r="CI458" s="79"/>
      <c r="CJ458" s="79"/>
      <c r="CK458" s="79"/>
      <c r="CL458" s="79"/>
      <c r="CM458" s="79"/>
      <c r="CN458" s="79"/>
      <c r="CO458" s="79"/>
      <c r="CP458" s="79"/>
      <c r="CQ458" s="79"/>
      <c r="CR458" s="79"/>
      <c r="CS458" s="79"/>
      <c r="CT458" s="79"/>
      <c r="CU458" s="79"/>
      <c r="CV458" s="79"/>
      <c r="CW458" s="79"/>
      <c r="CX458" s="85"/>
      <c r="CY458" s="85"/>
      <c r="CZ458" s="85"/>
      <c r="DA458" s="86"/>
      <c r="DB458" s="84"/>
    </row>
    <row r="459" spans="2:106" ht="11.25" customHeight="1">
      <c r="B459" s="78"/>
      <c r="C459" s="79"/>
      <c r="D459" s="79"/>
      <c r="E459" s="79"/>
      <c r="F459" s="79"/>
      <c r="G459" s="79" t="s">
        <v>305</v>
      </c>
      <c r="H459" s="79"/>
      <c r="I459" s="79"/>
      <c r="J459" s="79"/>
      <c r="K459" s="79" t="s">
        <v>436</v>
      </c>
      <c r="L459" s="79"/>
      <c r="M459" s="79"/>
      <c r="N459" s="79" t="s">
        <v>604</v>
      </c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 t="str">
        <f>TEXT(AK456+AK457+AK458,"#,##0.#######")</f>
        <v>81,422.</v>
      </c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  <c r="BK459" s="79"/>
      <c r="BL459" s="79"/>
      <c r="BM459" s="79"/>
      <c r="BN459" s="79"/>
      <c r="BO459" s="79"/>
      <c r="BP459" s="79"/>
      <c r="BQ459" s="79"/>
      <c r="BR459" s="79"/>
      <c r="BS459" s="79"/>
      <c r="BT459" s="79"/>
      <c r="BU459" s="79"/>
      <c r="BV459" s="79"/>
      <c r="BW459" s="79"/>
      <c r="BX459" s="79"/>
      <c r="BY459" s="79"/>
      <c r="BZ459" s="79"/>
      <c r="CA459" s="79"/>
      <c r="CB459" s="79"/>
      <c r="CC459" s="79"/>
      <c r="CD459" s="79"/>
      <c r="CE459" s="79"/>
      <c r="CF459" s="79"/>
      <c r="CG459" s="79"/>
      <c r="CH459" s="79"/>
      <c r="CI459" s="79"/>
      <c r="CJ459" s="79"/>
      <c r="CK459" s="79"/>
      <c r="CL459" s="79"/>
      <c r="CM459" s="79"/>
      <c r="CN459" s="79"/>
      <c r="CO459" s="79"/>
      <c r="CP459" s="79"/>
      <c r="CQ459" s="79"/>
      <c r="CR459" s="79"/>
      <c r="CS459" s="79"/>
      <c r="CT459" s="79"/>
      <c r="CU459" s="79"/>
      <c r="CV459" s="79"/>
      <c r="CW459" s="79"/>
      <c r="CX459" s="85">
        <f>CY459+CZ459+DA459</f>
        <v>81422</v>
      </c>
      <c r="CY459" s="85" t="str">
        <f>TEXT(AK456,"#,###.0")</f>
        <v>44,051.3</v>
      </c>
      <c r="CZ459" s="85" t="str">
        <f>TEXT(AK457,"#,###.0")</f>
        <v>20,420.3</v>
      </c>
      <c r="DA459" s="86" t="str">
        <f>TEXT(AK458,"#,###.0")</f>
        <v>16,950.4</v>
      </c>
      <c r="DB459" s="84"/>
    </row>
    <row r="460" spans="2:106" ht="11.25" customHeight="1">
      <c r="B460" s="78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  <c r="BK460" s="79"/>
      <c r="BL460" s="79"/>
      <c r="BM460" s="79"/>
      <c r="BN460" s="79"/>
      <c r="BO460" s="79"/>
      <c r="BP460" s="79"/>
      <c r="BQ460" s="79"/>
      <c r="BR460" s="79"/>
      <c r="BS460" s="79"/>
      <c r="BT460" s="79"/>
      <c r="BU460" s="79"/>
      <c r="BV460" s="79"/>
      <c r="BW460" s="79"/>
      <c r="BX460" s="79"/>
      <c r="BY460" s="79"/>
      <c r="BZ460" s="79"/>
      <c r="CA460" s="79"/>
      <c r="CB460" s="79"/>
      <c r="CC460" s="79"/>
      <c r="CD460" s="79"/>
      <c r="CE460" s="79"/>
      <c r="CF460" s="79"/>
      <c r="CG460" s="79"/>
      <c r="CH460" s="79"/>
      <c r="CI460" s="79"/>
      <c r="CJ460" s="79"/>
      <c r="CK460" s="79"/>
      <c r="CL460" s="79"/>
      <c r="CM460" s="79"/>
      <c r="CN460" s="79"/>
      <c r="CO460" s="79"/>
      <c r="CP460" s="79"/>
      <c r="CQ460" s="79"/>
      <c r="CR460" s="79"/>
      <c r="CS460" s="79"/>
      <c r="CT460" s="79"/>
      <c r="CU460" s="79"/>
      <c r="CV460" s="79"/>
      <c r="CW460" s="79"/>
      <c r="CX460" s="85"/>
      <c r="CY460" s="85"/>
      <c r="CZ460" s="85"/>
      <c r="DA460" s="86"/>
      <c r="DB460" s="84"/>
    </row>
    <row r="461" spans="2:106" ht="11.25" customHeight="1">
      <c r="B461" s="78"/>
      <c r="C461" s="79"/>
      <c r="D461" s="79"/>
      <c r="E461" s="79" t="s">
        <v>691</v>
      </c>
      <c r="F461" s="79"/>
      <c r="G461" s="79" t="s">
        <v>587</v>
      </c>
      <c r="H461" s="79"/>
      <c r="I461" s="79" t="s">
        <v>305</v>
      </c>
      <c r="J461" s="79"/>
      <c r="K461" s="79"/>
      <c r="L461" s="79"/>
      <c r="M461" s="79" t="s">
        <v>436</v>
      </c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  <c r="BK461" s="79"/>
      <c r="BL461" s="79"/>
      <c r="BM461" s="79"/>
      <c r="BN461" s="79"/>
      <c r="BO461" s="79"/>
      <c r="BP461" s="79"/>
      <c r="BQ461" s="79"/>
      <c r="BR461" s="79"/>
      <c r="BS461" s="79"/>
      <c r="BT461" s="79"/>
      <c r="BU461" s="79"/>
      <c r="BV461" s="79"/>
      <c r="BW461" s="79"/>
      <c r="BX461" s="79"/>
      <c r="BY461" s="79"/>
      <c r="BZ461" s="79"/>
      <c r="CA461" s="79"/>
      <c r="CB461" s="79"/>
      <c r="CC461" s="79"/>
      <c r="CD461" s="79"/>
      <c r="CE461" s="79"/>
      <c r="CF461" s="79"/>
      <c r="CG461" s="79"/>
      <c r="CH461" s="79"/>
      <c r="CI461" s="79"/>
      <c r="CJ461" s="79"/>
      <c r="CK461" s="79"/>
      <c r="CL461" s="79"/>
      <c r="CM461" s="79"/>
      <c r="CN461" s="79"/>
      <c r="CO461" s="79"/>
      <c r="CP461" s="79"/>
      <c r="CQ461" s="79"/>
      <c r="CR461" s="79"/>
      <c r="CS461" s="79"/>
      <c r="CT461" s="79"/>
      <c r="CU461" s="79"/>
      <c r="CV461" s="79"/>
      <c r="CW461" s="79"/>
      <c r="CX461" s="85"/>
      <c r="CY461" s="85"/>
      <c r="CZ461" s="85"/>
      <c r="DA461" s="86"/>
      <c r="DB461" s="84"/>
    </row>
    <row r="462" spans="2:106" ht="11.25" customHeight="1">
      <c r="B462" s="78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  <c r="BK462" s="79"/>
      <c r="BL462" s="79"/>
      <c r="BM462" s="79"/>
      <c r="BN462" s="79"/>
      <c r="BO462" s="79"/>
      <c r="BP462" s="79"/>
      <c r="BQ462" s="79"/>
      <c r="BR462" s="79"/>
      <c r="BS462" s="79"/>
      <c r="BT462" s="79"/>
      <c r="BU462" s="79"/>
      <c r="BV462" s="79"/>
      <c r="BW462" s="79"/>
      <c r="BX462" s="79"/>
      <c r="BY462" s="79"/>
      <c r="BZ462" s="79"/>
      <c r="CA462" s="79"/>
      <c r="CB462" s="79"/>
      <c r="CC462" s="79"/>
      <c r="CD462" s="79"/>
      <c r="CE462" s="79"/>
      <c r="CF462" s="79"/>
      <c r="CG462" s="79"/>
      <c r="CH462" s="79"/>
      <c r="CI462" s="79"/>
      <c r="CJ462" s="79"/>
      <c r="CK462" s="79"/>
      <c r="CL462" s="79"/>
      <c r="CM462" s="79"/>
      <c r="CN462" s="79"/>
      <c r="CO462" s="79"/>
      <c r="CP462" s="79"/>
      <c r="CQ462" s="79"/>
      <c r="CR462" s="79"/>
      <c r="CS462" s="79"/>
      <c r="CT462" s="79"/>
      <c r="CU462" s="79"/>
      <c r="CV462" s="79"/>
      <c r="CW462" s="79"/>
      <c r="CX462" s="85"/>
      <c r="CY462" s="85"/>
      <c r="CZ462" s="85"/>
      <c r="DA462" s="86"/>
      <c r="DB462" s="84"/>
    </row>
    <row r="463" spans="2:106" ht="11.25" customHeight="1">
      <c r="B463" s="78"/>
      <c r="C463" s="79"/>
      <c r="D463" s="79"/>
      <c r="E463" s="79"/>
      <c r="F463" s="79"/>
      <c r="G463" s="79"/>
      <c r="H463" s="79" t="s">
        <v>700</v>
      </c>
      <c r="I463" s="79"/>
      <c r="J463" s="79"/>
      <c r="K463" s="79"/>
      <c r="L463" s="79"/>
      <c r="M463" s="79"/>
      <c r="N463" s="79"/>
      <c r="O463" s="79" t="s">
        <v>604</v>
      </c>
      <c r="P463" s="79"/>
      <c r="Q463" s="79" t="str">
        <f>TEXT(CY433,"#,###.##")</f>
        <v>84,314.2</v>
      </c>
      <c r="R463" s="79"/>
      <c r="S463" s="79"/>
      <c r="T463" s="79"/>
      <c r="U463" s="79"/>
      <c r="V463" s="79"/>
      <c r="W463" s="79"/>
      <c r="X463" s="79"/>
      <c r="Y463" s="79"/>
      <c r="Z463" s="79" t="s">
        <v>148</v>
      </c>
      <c r="AA463" s="79"/>
      <c r="AB463" s="79" t="str">
        <f>TEXT(CY446,"#,###.##")</f>
        <v>52,230.</v>
      </c>
      <c r="AC463" s="79"/>
      <c r="AD463" s="79"/>
      <c r="AE463" s="79"/>
      <c r="AF463" s="79"/>
      <c r="AG463" s="79"/>
      <c r="AH463" s="79"/>
      <c r="AI463" s="79" t="s">
        <v>148</v>
      </c>
      <c r="AJ463" s="79"/>
      <c r="AK463" s="79" t="str">
        <f>TEXT(CY459,"#,###.##")</f>
        <v>44,051.3</v>
      </c>
      <c r="AL463" s="79"/>
      <c r="AM463" s="79"/>
      <c r="AN463" s="79"/>
      <c r="AO463" s="79"/>
      <c r="AP463" s="79"/>
      <c r="AQ463" s="79"/>
      <c r="AR463" s="79"/>
      <c r="AS463" s="79"/>
      <c r="AT463" s="79" t="s">
        <v>309</v>
      </c>
      <c r="AU463" s="79"/>
      <c r="AV463" s="79"/>
      <c r="AW463" s="79" t="str">
        <f>TEXT(TRUNC(CY433+CY446+CY459,1),"#,##0.#")</f>
        <v>180,595.5</v>
      </c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  <c r="BK463" s="79"/>
      <c r="BL463" s="79"/>
      <c r="BM463" s="79"/>
      <c r="BN463" s="79"/>
      <c r="BO463" s="79"/>
      <c r="BP463" s="79"/>
      <c r="BQ463" s="79"/>
      <c r="BR463" s="79"/>
      <c r="BS463" s="79"/>
      <c r="BT463" s="79"/>
      <c r="BU463" s="79"/>
      <c r="BV463" s="79"/>
      <c r="BW463" s="79"/>
      <c r="BX463" s="79"/>
      <c r="BY463" s="79"/>
      <c r="BZ463" s="79"/>
      <c r="CA463" s="79"/>
      <c r="CB463" s="79"/>
      <c r="CC463" s="79"/>
      <c r="CD463" s="79"/>
      <c r="CE463" s="79"/>
      <c r="CF463" s="79"/>
      <c r="CG463" s="79"/>
      <c r="CH463" s="79"/>
      <c r="CI463" s="79"/>
      <c r="CJ463" s="79"/>
      <c r="CK463" s="79"/>
      <c r="CL463" s="79"/>
      <c r="CM463" s="79"/>
      <c r="CN463" s="79"/>
      <c r="CO463" s="79"/>
      <c r="CP463" s="79"/>
      <c r="CQ463" s="79"/>
      <c r="CR463" s="79"/>
      <c r="CS463" s="79"/>
      <c r="CT463" s="79"/>
      <c r="CU463" s="79"/>
      <c r="CV463" s="79"/>
      <c r="CW463" s="79"/>
      <c r="CX463" s="85"/>
      <c r="CY463" s="85"/>
      <c r="CZ463" s="85"/>
      <c r="DA463" s="86"/>
      <c r="DB463" s="84"/>
    </row>
    <row r="464" spans="2:106" ht="11.25" customHeight="1">
      <c r="B464" s="78"/>
      <c r="C464" s="79"/>
      <c r="D464" s="79"/>
      <c r="E464" s="79"/>
      <c r="F464" s="79"/>
      <c r="G464" s="79"/>
      <c r="H464" s="79" t="s">
        <v>498</v>
      </c>
      <c r="I464" s="79"/>
      <c r="J464" s="79"/>
      <c r="K464" s="79"/>
      <c r="L464" s="79"/>
      <c r="M464" s="79"/>
      <c r="N464" s="79"/>
      <c r="O464" s="79" t="s">
        <v>604</v>
      </c>
      <c r="P464" s="79"/>
      <c r="Q464" s="79" t="str">
        <f>TEXT(CZ433,"#,###.##")</f>
        <v>44,262.8</v>
      </c>
      <c r="R464" s="79"/>
      <c r="S464" s="79"/>
      <c r="T464" s="79"/>
      <c r="U464" s="79"/>
      <c r="V464" s="79"/>
      <c r="W464" s="79"/>
      <c r="X464" s="79"/>
      <c r="Y464" s="79"/>
      <c r="Z464" s="79" t="s">
        <v>148</v>
      </c>
      <c r="AA464" s="79"/>
      <c r="AB464" s="79" t="str">
        <f>TEXT(CZ446,"#,###.##")</f>
        <v>16,591.1</v>
      </c>
      <c r="AC464" s="79"/>
      <c r="AD464" s="79"/>
      <c r="AE464" s="79"/>
      <c r="AF464" s="79"/>
      <c r="AG464" s="79"/>
      <c r="AH464" s="79"/>
      <c r="AI464" s="79"/>
      <c r="AJ464" s="79"/>
      <c r="AK464" s="79" t="s">
        <v>148</v>
      </c>
      <c r="AL464" s="79"/>
      <c r="AM464" s="79" t="str">
        <f>TEXT(CZ459,"#,###.##")</f>
        <v>20,420.3</v>
      </c>
      <c r="AN464" s="79"/>
      <c r="AO464" s="79"/>
      <c r="AP464" s="79"/>
      <c r="AQ464" s="79"/>
      <c r="AR464" s="79"/>
      <c r="AS464" s="79"/>
      <c r="AT464" s="79"/>
      <c r="AU464" s="79"/>
      <c r="AV464" s="79" t="s">
        <v>309</v>
      </c>
      <c r="AW464" s="79"/>
      <c r="AX464" s="79"/>
      <c r="AY464" s="79" t="str">
        <f>TEXT(TRUNC(CZ433+CZ446+CZ459,1),"#,##0.#")</f>
        <v>81,274.2</v>
      </c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  <c r="BK464" s="79"/>
      <c r="BL464" s="79"/>
      <c r="BM464" s="79"/>
      <c r="BN464" s="79"/>
      <c r="BO464" s="79"/>
      <c r="BP464" s="79"/>
      <c r="BQ464" s="79"/>
      <c r="BR464" s="79"/>
      <c r="BS464" s="79"/>
      <c r="BT464" s="79"/>
      <c r="BU464" s="79"/>
      <c r="BV464" s="79"/>
      <c r="BW464" s="79"/>
      <c r="BX464" s="79"/>
      <c r="BY464" s="79"/>
      <c r="BZ464" s="79"/>
      <c r="CA464" s="79"/>
      <c r="CB464" s="79"/>
      <c r="CC464" s="79"/>
      <c r="CD464" s="79"/>
      <c r="CE464" s="79"/>
      <c r="CF464" s="79"/>
      <c r="CG464" s="79"/>
      <c r="CH464" s="79"/>
      <c r="CI464" s="79"/>
      <c r="CJ464" s="79"/>
      <c r="CK464" s="79"/>
      <c r="CL464" s="79"/>
      <c r="CM464" s="79"/>
      <c r="CN464" s="79"/>
      <c r="CO464" s="79"/>
      <c r="CP464" s="79"/>
      <c r="CQ464" s="79"/>
      <c r="CR464" s="79"/>
      <c r="CS464" s="79"/>
      <c r="CT464" s="79"/>
      <c r="CU464" s="79"/>
      <c r="CV464" s="79"/>
      <c r="CW464" s="79"/>
      <c r="CX464" s="85"/>
      <c r="CY464" s="85"/>
      <c r="CZ464" s="85"/>
      <c r="DA464" s="86"/>
      <c r="DB464" s="84"/>
    </row>
    <row r="465" spans="2:106" ht="11.25" customHeight="1">
      <c r="B465" s="78"/>
      <c r="C465" s="79"/>
      <c r="D465" s="79"/>
      <c r="E465" s="79"/>
      <c r="F465" s="79"/>
      <c r="G465" s="79"/>
      <c r="H465" s="79" t="s">
        <v>160</v>
      </c>
      <c r="I465" s="79"/>
      <c r="J465" s="79"/>
      <c r="K465" s="79"/>
      <c r="L465" s="79" t="s">
        <v>440</v>
      </c>
      <c r="M465" s="79"/>
      <c r="N465" s="79"/>
      <c r="O465" s="79" t="s">
        <v>604</v>
      </c>
      <c r="P465" s="79"/>
      <c r="Q465" s="79" t="str">
        <f>TEXT(DA433,"#,###.##")</f>
        <v>66,930.</v>
      </c>
      <c r="R465" s="79"/>
      <c r="S465" s="79"/>
      <c r="T465" s="79"/>
      <c r="U465" s="79"/>
      <c r="V465" s="79"/>
      <c r="W465" s="79"/>
      <c r="X465" s="79" t="s">
        <v>148</v>
      </c>
      <c r="Y465" s="79"/>
      <c r="Z465" s="79" t="str">
        <f>TEXT(DA446,"#,###.##")</f>
        <v>14,575.2</v>
      </c>
      <c r="AA465" s="79"/>
      <c r="AB465" s="79"/>
      <c r="AC465" s="79"/>
      <c r="AD465" s="79"/>
      <c r="AE465" s="79"/>
      <c r="AF465" s="79"/>
      <c r="AG465" s="79"/>
      <c r="AH465" s="79"/>
      <c r="AI465" s="79" t="s">
        <v>148</v>
      </c>
      <c r="AJ465" s="79"/>
      <c r="AK465" s="79" t="str">
        <f>TEXT(DA459,"#,###.##")</f>
        <v>16,950.4</v>
      </c>
      <c r="AL465" s="79"/>
      <c r="AM465" s="79"/>
      <c r="AN465" s="79"/>
      <c r="AO465" s="79"/>
      <c r="AP465" s="79"/>
      <c r="AQ465" s="79"/>
      <c r="AR465" s="79"/>
      <c r="AS465" s="79"/>
      <c r="AT465" s="79" t="s">
        <v>309</v>
      </c>
      <c r="AU465" s="79"/>
      <c r="AV465" s="79"/>
      <c r="AW465" s="79" t="str">
        <f>TEXT(TRUNC(DA433+DA446+DA459,1),"#,##0.#")</f>
        <v>98,455.6</v>
      </c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  <c r="BK465" s="79"/>
      <c r="BL465" s="79"/>
      <c r="BM465" s="79"/>
      <c r="BN465" s="79"/>
      <c r="BO465" s="79"/>
      <c r="BP465" s="79"/>
      <c r="BQ465" s="79"/>
      <c r="BR465" s="79"/>
      <c r="BS465" s="79"/>
      <c r="BT465" s="79"/>
      <c r="BU465" s="79"/>
      <c r="BV465" s="79"/>
      <c r="BW465" s="79"/>
      <c r="BX465" s="79"/>
      <c r="BY465" s="79"/>
      <c r="BZ465" s="79"/>
      <c r="CA465" s="79"/>
      <c r="CB465" s="79"/>
      <c r="CC465" s="79"/>
      <c r="CD465" s="79"/>
      <c r="CE465" s="79"/>
      <c r="CF465" s="79"/>
      <c r="CG465" s="79"/>
      <c r="CH465" s="79"/>
      <c r="CI465" s="79"/>
      <c r="CJ465" s="79"/>
      <c r="CK465" s="79"/>
      <c r="CL465" s="79"/>
      <c r="CM465" s="79"/>
      <c r="CN465" s="79"/>
      <c r="CO465" s="79"/>
      <c r="CP465" s="79"/>
      <c r="CQ465" s="79"/>
      <c r="CR465" s="79"/>
      <c r="CS465" s="79"/>
      <c r="CT465" s="79"/>
      <c r="CU465" s="79"/>
      <c r="CV465" s="79"/>
      <c r="CW465" s="79"/>
      <c r="CX465" s="85"/>
      <c r="CY465" s="85"/>
      <c r="CZ465" s="85"/>
      <c r="DA465" s="86"/>
      <c r="DB465" s="84"/>
    </row>
    <row r="466" spans="2:106" ht="11.25" customHeight="1">
      <c r="B466" s="78"/>
      <c r="C466" s="79"/>
      <c r="D466" s="79"/>
      <c r="E466" s="79"/>
      <c r="F466" s="79"/>
      <c r="G466" s="79"/>
      <c r="H466" s="79"/>
      <c r="I466" s="79"/>
      <c r="J466" s="79" t="s">
        <v>436</v>
      </c>
      <c r="K466" s="79"/>
      <c r="L466" s="79"/>
      <c r="M466" s="79"/>
      <c r="N466" s="79"/>
      <c r="O466" s="79" t="s">
        <v>604</v>
      </c>
      <c r="P466" s="79"/>
      <c r="Q466" s="79"/>
      <c r="R466" s="79" t="str">
        <f>TEXT(AW463+AY464+AW465,"#,##0.#######")</f>
        <v>360,325.3</v>
      </c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  <c r="BK466" s="79"/>
      <c r="BL466" s="79"/>
      <c r="BM466" s="79"/>
      <c r="BN466" s="79"/>
      <c r="BO466" s="79"/>
      <c r="BP466" s="79"/>
      <c r="BQ466" s="79"/>
      <c r="BR466" s="79"/>
      <c r="BS466" s="79"/>
      <c r="BT466" s="79"/>
      <c r="BU466" s="79"/>
      <c r="BV466" s="79"/>
      <c r="BW466" s="79"/>
      <c r="BX466" s="79"/>
      <c r="BY466" s="79"/>
      <c r="BZ466" s="79"/>
      <c r="CA466" s="79"/>
      <c r="CB466" s="79"/>
      <c r="CC466" s="79"/>
      <c r="CD466" s="79"/>
      <c r="CE466" s="79"/>
      <c r="CF466" s="79"/>
      <c r="CG466" s="79"/>
      <c r="CH466" s="79"/>
      <c r="CI466" s="79"/>
      <c r="CJ466" s="79"/>
      <c r="CK466" s="79"/>
      <c r="CL466" s="79"/>
      <c r="CM466" s="79"/>
      <c r="CN466" s="79"/>
      <c r="CO466" s="79"/>
      <c r="CP466" s="79"/>
      <c r="CQ466" s="79"/>
      <c r="CR466" s="79"/>
      <c r="CS466" s="79"/>
      <c r="CT466" s="79"/>
      <c r="CU466" s="79"/>
      <c r="CV466" s="79"/>
      <c r="CW466" s="79"/>
      <c r="CX466" s="85">
        <f>CY466+CZ466+DA466</f>
        <v>360325.30000000005</v>
      </c>
      <c r="CY466" s="85" t="str">
        <f>TEXT(AW463,"#,###.0")</f>
        <v>180,595.5</v>
      </c>
      <c r="CZ466" s="85" t="str">
        <f>TEXT(AY464,"#,###.0")</f>
        <v>81,274.2</v>
      </c>
      <c r="DA466" s="86" t="str">
        <f>TEXT(AW465,"#,###.0")</f>
        <v>98,455.6</v>
      </c>
      <c r="DB466" s="84"/>
    </row>
    <row r="467" spans="2:106" ht="11.25" customHeight="1">
      <c r="B467" s="78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  <c r="BK467" s="79"/>
      <c r="BL467" s="79"/>
      <c r="BM467" s="79"/>
      <c r="BN467" s="79"/>
      <c r="BO467" s="79"/>
      <c r="BP467" s="79"/>
      <c r="BQ467" s="79"/>
      <c r="BR467" s="79"/>
      <c r="BS467" s="79"/>
      <c r="BT467" s="79"/>
      <c r="BU467" s="79"/>
      <c r="BV467" s="79"/>
      <c r="BW467" s="79"/>
      <c r="BX467" s="79"/>
      <c r="BY467" s="79"/>
      <c r="BZ467" s="79"/>
      <c r="CA467" s="79"/>
      <c r="CB467" s="79"/>
      <c r="CC467" s="79"/>
      <c r="CD467" s="79"/>
      <c r="CE467" s="79"/>
      <c r="CF467" s="79"/>
      <c r="CG467" s="79"/>
      <c r="CH467" s="79"/>
      <c r="CI467" s="79"/>
      <c r="CJ467" s="79"/>
      <c r="CK467" s="79"/>
      <c r="CL467" s="79"/>
      <c r="CM467" s="79"/>
      <c r="CN467" s="79"/>
      <c r="CO467" s="79"/>
      <c r="CP467" s="79"/>
      <c r="CQ467" s="79"/>
      <c r="CR467" s="79"/>
      <c r="CS467" s="79"/>
      <c r="CT467" s="79"/>
      <c r="CU467" s="79"/>
      <c r="CV467" s="79"/>
      <c r="CW467" s="79"/>
      <c r="CX467" s="85"/>
      <c r="CY467" s="85"/>
      <c r="CZ467" s="85"/>
      <c r="DA467" s="86"/>
      <c r="DB467" s="84"/>
    </row>
    <row r="468" spans="2:106" ht="11.25" customHeight="1">
      <c r="B468" s="78"/>
      <c r="C468" s="79"/>
      <c r="D468" s="79" t="s">
        <v>832</v>
      </c>
      <c r="E468" s="79"/>
      <c r="F468" s="79"/>
      <c r="G468" s="79" t="s">
        <v>557</v>
      </c>
      <c r="H468" s="79"/>
      <c r="I468" s="79"/>
      <c r="J468" s="79"/>
      <c r="K468" s="79" t="s">
        <v>436</v>
      </c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  <c r="BK468" s="79"/>
      <c r="BL468" s="79"/>
      <c r="BM468" s="79"/>
      <c r="BN468" s="79"/>
      <c r="BO468" s="79"/>
      <c r="BP468" s="79"/>
      <c r="BQ468" s="79"/>
      <c r="BR468" s="79"/>
      <c r="BS468" s="79"/>
      <c r="BT468" s="79"/>
      <c r="BU468" s="79"/>
      <c r="BV468" s="79"/>
      <c r="BW468" s="79"/>
      <c r="BX468" s="79"/>
      <c r="BY468" s="79"/>
      <c r="BZ468" s="79"/>
      <c r="CA468" s="79"/>
      <c r="CB468" s="79"/>
      <c r="CC468" s="79"/>
      <c r="CD468" s="79"/>
      <c r="CE468" s="79"/>
      <c r="CF468" s="79"/>
      <c r="CG468" s="79"/>
      <c r="CH468" s="79"/>
      <c r="CI468" s="79"/>
      <c r="CJ468" s="79"/>
      <c r="CK468" s="79"/>
      <c r="CL468" s="79"/>
      <c r="CM468" s="79"/>
      <c r="CN468" s="79"/>
      <c r="CO468" s="79"/>
      <c r="CP468" s="79"/>
      <c r="CQ468" s="79"/>
      <c r="CR468" s="79"/>
      <c r="CS468" s="79"/>
      <c r="CT468" s="79"/>
      <c r="CU468" s="79"/>
      <c r="CV468" s="79"/>
      <c r="CW468" s="79"/>
      <c r="CX468" s="85"/>
      <c r="CY468" s="85"/>
      <c r="CZ468" s="85"/>
      <c r="DA468" s="86"/>
      <c r="DB468" s="84"/>
    </row>
    <row r="469" spans="2:106" ht="11.25" customHeight="1">
      <c r="B469" s="78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  <c r="BK469" s="79"/>
      <c r="BL469" s="79"/>
      <c r="BM469" s="79"/>
      <c r="BN469" s="79"/>
      <c r="BO469" s="79"/>
      <c r="BP469" s="79"/>
      <c r="BQ469" s="79"/>
      <c r="BR469" s="79"/>
      <c r="BS469" s="79"/>
      <c r="BT469" s="79"/>
      <c r="BU469" s="79"/>
      <c r="BV469" s="79"/>
      <c r="BW469" s="79"/>
      <c r="BX469" s="79"/>
      <c r="BY469" s="79"/>
      <c r="BZ469" s="79"/>
      <c r="CA469" s="79"/>
      <c r="CB469" s="79"/>
      <c r="CC469" s="79"/>
      <c r="CD469" s="79"/>
      <c r="CE469" s="79"/>
      <c r="CF469" s="79"/>
      <c r="CG469" s="79"/>
      <c r="CH469" s="79"/>
      <c r="CI469" s="79"/>
      <c r="CJ469" s="79"/>
      <c r="CK469" s="79"/>
      <c r="CL469" s="79"/>
      <c r="CM469" s="79"/>
      <c r="CN469" s="79"/>
      <c r="CO469" s="79"/>
      <c r="CP469" s="79"/>
      <c r="CQ469" s="79"/>
      <c r="CR469" s="79"/>
      <c r="CS469" s="79"/>
      <c r="CT469" s="79"/>
      <c r="CU469" s="79"/>
      <c r="CV469" s="79"/>
      <c r="CW469" s="79"/>
      <c r="CX469" s="85"/>
      <c r="CY469" s="85"/>
      <c r="CZ469" s="85"/>
      <c r="DA469" s="86"/>
      <c r="DB469" s="84"/>
    </row>
    <row r="470" spans="2:106" ht="11.25" customHeight="1">
      <c r="B470" s="78"/>
      <c r="C470" s="79"/>
      <c r="D470" s="79"/>
      <c r="E470" s="79"/>
      <c r="F470" s="79"/>
      <c r="G470" s="79"/>
      <c r="H470" s="79" t="s">
        <v>700</v>
      </c>
      <c r="I470" s="79"/>
      <c r="J470" s="79"/>
      <c r="K470" s="79"/>
      <c r="L470" s="79"/>
      <c r="M470" s="79"/>
      <c r="N470" s="79"/>
      <c r="O470" s="79" t="s">
        <v>604</v>
      </c>
      <c r="P470" s="79"/>
      <c r="Q470" s="79" t="str">
        <f>TEXT(CY418,"#,###.##")</f>
        <v>1,161,049.1</v>
      </c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 t="s">
        <v>148</v>
      </c>
      <c r="AD470" s="79"/>
      <c r="AE470" s="79" t="str">
        <f>TEXT(CY466,"#,###.##")</f>
        <v>180,595.5</v>
      </c>
      <c r="AF470" s="79"/>
      <c r="AG470" s="79"/>
      <c r="AH470" s="79"/>
      <c r="AI470" s="79"/>
      <c r="AJ470" s="79"/>
      <c r="AK470" s="79"/>
      <c r="AL470" s="79"/>
      <c r="AM470" s="79"/>
      <c r="AN470" s="79"/>
      <c r="AO470" s="79" t="s">
        <v>309</v>
      </c>
      <c r="AP470" s="79"/>
      <c r="AQ470" s="79"/>
      <c r="AR470" s="79" t="str">
        <f>TEXT(TRUNC(CY418+CY466,0),"#,##0")</f>
        <v>1,341,644</v>
      </c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  <c r="BK470" s="79"/>
      <c r="BL470" s="79"/>
      <c r="BM470" s="79"/>
      <c r="BN470" s="79"/>
      <c r="BO470" s="79"/>
      <c r="BP470" s="79"/>
      <c r="BQ470" s="79"/>
      <c r="BR470" s="79"/>
      <c r="BS470" s="79"/>
      <c r="BT470" s="79"/>
      <c r="BU470" s="79"/>
      <c r="BV470" s="79"/>
      <c r="BW470" s="79"/>
      <c r="BX470" s="79"/>
      <c r="BY470" s="79"/>
      <c r="BZ470" s="79"/>
      <c r="CA470" s="79"/>
      <c r="CB470" s="79"/>
      <c r="CC470" s="79"/>
      <c r="CD470" s="79"/>
      <c r="CE470" s="79"/>
      <c r="CF470" s="79"/>
      <c r="CG470" s="79"/>
      <c r="CH470" s="79"/>
      <c r="CI470" s="79"/>
      <c r="CJ470" s="79"/>
      <c r="CK470" s="79"/>
      <c r="CL470" s="79"/>
      <c r="CM470" s="79"/>
      <c r="CN470" s="79"/>
      <c r="CO470" s="79"/>
      <c r="CP470" s="79"/>
      <c r="CQ470" s="79"/>
      <c r="CR470" s="79"/>
      <c r="CS470" s="79"/>
      <c r="CT470" s="79"/>
      <c r="CU470" s="79"/>
      <c r="CV470" s="79"/>
      <c r="CW470" s="79"/>
      <c r="CX470" s="85"/>
      <c r="CY470" s="85"/>
      <c r="CZ470" s="85"/>
      <c r="DA470" s="86"/>
      <c r="DB470" s="84"/>
    </row>
    <row r="471" spans="2:106" ht="11.25" customHeight="1">
      <c r="B471" s="78"/>
      <c r="C471" s="79"/>
      <c r="D471" s="79"/>
      <c r="E471" s="79"/>
      <c r="F471" s="79"/>
      <c r="G471" s="79"/>
      <c r="H471" s="79" t="s">
        <v>498</v>
      </c>
      <c r="I471" s="79"/>
      <c r="J471" s="79"/>
      <c r="K471" s="79"/>
      <c r="L471" s="79"/>
      <c r="M471" s="79"/>
      <c r="N471" s="79"/>
      <c r="O471" s="79" t="s">
        <v>604</v>
      </c>
      <c r="P471" s="79"/>
      <c r="Q471" s="79" t="str">
        <f>TEXT(CZ418,"#,###.##")</f>
        <v>341,447.2</v>
      </c>
      <c r="R471" s="79"/>
      <c r="S471" s="79"/>
      <c r="T471" s="79"/>
      <c r="U471" s="79"/>
      <c r="V471" s="79"/>
      <c r="W471" s="79"/>
      <c r="X471" s="79"/>
      <c r="Y471" s="79"/>
      <c r="Z471" s="79"/>
      <c r="AA471" s="79" t="s">
        <v>148</v>
      </c>
      <c r="AB471" s="79"/>
      <c r="AC471" s="79" t="str">
        <f>TEXT(CZ466,"#,###.##")</f>
        <v>81,274.2</v>
      </c>
      <c r="AD471" s="79"/>
      <c r="AE471" s="79"/>
      <c r="AF471" s="79"/>
      <c r="AG471" s="79"/>
      <c r="AH471" s="79"/>
      <c r="AI471" s="79"/>
      <c r="AJ471" s="79"/>
      <c r="AK471" s="79"/>
      <c r="AL471" s="79" t="s">
        <v>309</v>
      </c>
      <c r="AM471" s="79"/>
      <c r="AN471" s="79"/>
      <c r="AO471" s="79" t="str">
        <f>TEXT(TRUNC(CZ418+CZ466,0),"#,##0")</f>
        <v>422,721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  <c r="BK471" s="79"/>
      <c r="BL471" s="79"/>
      <c r="BM471" s="79"/>
      <c r="BN471" s="79"/>
      <c r="BO471" s="79"/>
      <c r="BP471" s="79"/>
      <c r="BQ471" s="79"/>
      <c r="BR471" s="79"/>
      <c r="BS471" s="79"/>
      <c r="BT471" s="79"/>
      <c r="BU471" s="79"/>
      <c r="BV471" s="79"/>
      <c r="BW471" s="79"/>
      <c r="BX471" s="79"/>
      <c r="BY471" s="79"/>
      <c r="BZ471" s="79"/>
      <c r="CA471" s="79"/>
      <c r="CB471" s="79"/>
      <c r="CC471" s="79"/>
      <c r="CD471" s="79"/>
      <c r="CE471" s="79"/>
      <c r="CF471" s="79"/>
      <c r="CG471" s="79"/>
      <c r="CH471" s="79"/>
      <c r="CI471" s="79"/>
      <c r="CJ471" s="79"/>
      <c r="CK471" s="79"/>
      <c r="CL471" s="79"/>
      <c r="CM471" s="79"/>
      <c r="CN471" s="79"/>
      <c r="CO471" s="79"/>
      <c r="CP471" s="79"/>
      <c r="CQ471" s="79"/>
      <c r="CR471" s="79"/>
      <c r="CS471" s="79"/>
      <c r="CT471" s="79"/>
      <c r="CU471" s="79"/>
      <c r="CV471" s="79"/>
      <c r="CW471" s="79"/>
      <c r="CX471" s="85"/>
      <c r="CY471" s="85"/>
      <c r="CZ471" s="85"/>
      <c r="DA471" s="86"/>
      <c r="DB471" s="84"/>
    </row>
    <row r="472" spans="2:106" ht="11.25" customHeight="1">
      <c r="B472" s="78"/>
      <c r="C472" s="79"/>
      <c r="D472" s="79"/>
      <c r="E472" s="79"/>
      <c r="F472" s="79"/>
      <c r="G472" s="79"/>
      <c r="H472" s="79" t="s">
        <v>160</v>
      </c>
      <c r="I472" s="79"/>
      <c r="J472" s="79"/>
      <c r="K472" s="79"/>
      <c r="L472" s="79" t="s">
        <v>440</v>
      </c>
      <c r="M472" s="79"/>
      <c r="N472" s="79"/>
      <c r="O472" s="79" t="s">
        <v>604</v>
      </c>
      <c r="P472" s="79"/>
      <c r="Q472" s="79" t="str">
        <f>TEXT(DA418,"#,###.##")</f>
        <v>340,603.2</v>
      </c>
      <c r="R472" s="79"/>
      <c r="S472" s="79"/>
      <c r="T472" s="79"/>
      <c r="U472" s="79"/>
      <c r="V472" s="79"/>
      <c r="W472" s="79"/>
      <c r="X472" s="79"/>
      <c r="Y472" s="79"/>
      <c r="Z472" s="79"/>
      <c r="AA472" s="79" t="s">
        <v>148</v>
      </c>
      <c r="AB472" s="79"/>
      <c r="AC472" s="79" t="str">
        <f>TEXT(DA466,"#,###.##")</f>
        <v>98,455.6</v>
      </c>
      <c r="AD472" s="79"/>
      <c r="AE472" s="79"/>
      <c r="AF472" s="79"/>
      <c r="AG472" s="79"/>
      <c r="AH472" s="79"/>
      <c r="AI472" s="79"/>
      <c r="AJ472" s="79"/>
      <c r="AK472" s="79"/>
      <c r="AL472" s="79" t="s">
        <v>309</v>
      </c>
      <c r="AM472" s="79"/>
      <c r="AN472" s="79"/>
      <c r="AO472" s="79" t="str">
        <f>TEXT(TRUNC(DA418+DA466,0),"#,##0")</f>
        <v>439,058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  <c r="BK472" s="79"/>
      <c r="BL472" s="79"/>
      <c r="BM472" s="79"/>
      <c r="BN472" s="79"/>
      <c r="BO472" s="79"/>
      <c r="BP472" s="79"/>
      <c r="BQ472" s="79"/>
      <c r="BR472" s="79"/>
      <c r="BS472" s="79"/>
      <c r="BT472" s="79"/>
      <c r="BU472" s="79"/>
      <c r="BV472" s="79"/>
      <c r="BW472" s="79"/>
      <c r="BX472" s="79"/>
      <c r="BY472" s="79"/>
      <c r="BZ472" s="79"/>
      <c r="CA472" s="79"/>
      <c r="CB472" s="79"/>
      <c r="CC472" s="79"/>
      <c r="CD472" s="79"/>
      <c r="CE472" s="79"/>
      <c r="CF472" s="79"/>
      <c r="CG472" s="79"/>
      <c r="CH472" s="79"/>
      <c r="CI472" s="79"/>
      <c r="CJ472" s="79"/>
      <c r="CK472" s="79"/>
      <c r="CL472" s="79"/>
      <c r="CM472" s="79"/>
      <c r="CN472" s="79"/>
      <c r="CO472" s="79"/>
      <c r="CP472" s="79"/>
      <c r="CQ472" s="79"/>
      <c r="CR472" s="79"/>
      <c r="CS472" s="79"/>
      <c r="CT472" s="79"/>
      <c r="CU472" s="79"/>
      <c r="CV472" s="79"/>
      <c r="CW472" s="79"/>
      <c r="CX472" s="85"/>
      <c r="CY472" s="85"/>
      <c r="CZ472" s="85"/>
      <c r="DA472" s="86"/>
      <c r="DB472" s="84"/>
    </row>
    <row r="473" spans="2:106" ht="11.25" customHeight="1">
      <c r="B473" s="78"/>
      <c r="C473" s="79"/>
      <c r="D473" s="79"/>
      <c r="E473" s="79"/>
      <c r="F473" s="79"/>
      <c r="G473" s="79"/>
      <c r="H473" s="79"/>
      <c r="I473" s="79"/>
      <c r="J473" s="79" t="s">
        <v>436</v>
      </c>
      <c r="K473" s="79"/>
      <c r="L473" s="79"/>
      <c r="M473" s="79"/>
      <c r="N473" s="79"/>
      <c r="O473" s="79" t="s">
        <v>604</v>
      </c>
      <c r="P473" s="79"/>
      <c r="Q473" s="79"/>
      <c r="R473" s="79" t="str">
        <f>TEXT(AR470+AO471+AO472,"#,##0")</f>
        <v>2,203,423</v>
      </c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  <c r="BK473" s="79"/>
      <c r="BL473" s="79"/>
      <c r="BM473" s="79"/>
      <c r="BN473" s="79"/>
      <c r="BO473" s="79"/>
      <c r="BP473" s="79"/>
      <c r="BQ473" s="79"/>
      <c r="BR473" s="79"/>
      <c r="BS473" s="79"/>
      <c r="BT473" s="79"/>
      <c r="BU473" s="79"/>
      <c r="BV473" s="79"/>
      <c r="BW473" s="79"/>
      <c r="BX473" s="79"/>
      <c r="BY473" s="79"/>
      <c r="BZ473" s="79"/>
      <c r="CA473" s="79"/>
      <c r="CB473" s="79"/>
      <c r="CC473" s="79"/>
      <c r="CD473" s="79"/>
      <c r="CE473" s="79"/>
      <c r="CF473" s="79"/>
      <c r="CG473" s="79"/>
      <c r="CH473" s="79"/>
      <c r="CI473" s="79"/>
      <c r="CJ473" s="79"/>
      <c r="CK473" s="79"/>
      <c r="CL473" s="79"/>
      <c r="CM473" s="79"/>
      <c r="CN473" s="79"/>
      <c r="CO473" s="79"/>
      <c r="CP473" s="79"/>
      <c r="CQ473" s="79"/>
      <c r="CR473" s="79"/>
      <c r="CS473" s="79"/>
      <c r="CT473" s="79"/>
      <c r="CU473" s="79"/>
      <c r="CV473" s="79"/>
      <c r="CW473" s="79"/>
      <c r="CX473" s="89">
        <f>CY473+CZ473+DA473</f>
        <v>2203423</v>
      </c>
      <c r="CY473" s="85" t="str">
        <f>TEXT(AR470,"#,##0")</f>
        <v>1,341,644</v>
      </c>
      <c r="CZ473" s="85" t="str">
        <f>TEXT(AO471,"#,##0")</f>
        <v>422,721</v>
      </c>
      <c r="DA473" s="86" t="str">
        <f>TEXT(AO472,"#,##0")</f>
        <v>439,058</v>
      </c>
      <c r="DB473" s="84"/>
    </row>
    <row r="474" spans="2:106" ht="11.25" customHeight="1">
      <c r="B474" s="78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  <c r="BK474" s="79"/>
      <c r="BL474" s="79"/>
      <c r="BM474" s="79"/>
      <c r="BN474" s="79"/>
      <c r="BO474" s="79"/>
      <c r="BP474" s="79"/>
      <c r="BQ474" s="79"/>
      <c r="BR474" s="79"/>
      <c r="BS474" s="79"/>
      <c r="BT474" s="79"/>
      <c r="BU474" s="79"/>
      <c r="BV474" s="79"/>
      <c r="BW474" s="79"/>
      <c r="BX474" s="79"/>
      <c r="BY474" s="79"/>
      <c r="BZ474" s="79"/>
      <c r="CA474" s="79"/>
      <c r="CB474" s="79"/>
      <c r="CC474" s="79"/>
      <c r="CD474" s="79"/>
      <c r="CE474" s="79"/>
      <c r="CF474" s="79"/>
      <c r="CG474" s="79"/>
      <c r="CH474" s="79"/>
      <c r="CI474" s="79"/>
      <c r="CJ474" s="79"/>
      <c r="CK474" s="79"/>
      <c r="CL474" s="79"/>
      <c r="CM474" s="79"/>
      <c r="CN474" s="79"/>
      <c r="CO474" s="79"/>
      <c r="CP474" s="79"/>
      <c r="CQ474" s="79"/>
      <c r="CR474" s="79"/>
      <c r="CS474" s="79"/>
      <c r="CT474" s="79"/>
      <c r="CU474" s="79"/>
      <c r="CV474" s="79"/>
      <c r="CW474" s="79"/>
      <c r="CX474" s="85"/>
      <c r="CY474" s="85"/>
      <c r="CZ474" s="85"/>
      <c r="DA474" s="86"/>
      <c r="DB474" s="84"/>
    </row>
    <row r="475" spans="2:106" ht="11.25" customHeight="1">
      <c r="B475" s="81" t="s">
        <v>345</v>
      </c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  <c r="BK475" s="79"/>
      <c r="BL475" s="79"/>
      <c r="BM475" s="79"/>
      <c r="BN475" s="79"/>
      <c r="BO475" s="79"/>
      <c r="BP475" s="79"/>
      <c r="BQ475" s="79"/>
      <c r="BR475" s="79"/>
      <c r="BS475" s="79"/>
      <c r="BT475" s="79"/>
      <c r="BU475" s="79"/>
      <c r="BV475" s="79"/>
      <c r="BW475" s="79"/>
      <c r="BX475" s="79"/>
      <c r="BY475" s="79"/>
      <c r="BZ475" s="79"/>
      <c r="CA475" s="79"/>
      <c r="CB475" s="79"/>
      <c r="CC475" s="79"/>
      <c r="CD475" s="79"/>
      <c r="CE475" s="79"/>
      <c r="CF475" s="79"/>
      <c r="CG475" s="79"/>
      <c r="CH475" s="79"/>
      <c r="CI475" s="79"/>
      <c r="CJ475" s="79"/>
      <c r="CK475" s="79"/>
      <c r="CL475" s="79"/>
      <c r="CM475" s="79"/>
      <c r="CN475" s="79"/>
      <c r="CO475" s="79"/>
      <c r="CP475" s="79"/>
      <c r="CQ475" s="79"/>
      <c r="CR475" s="79"/>
      <c r="CS475" s="79"/>
      <c r="CT475" s="79"/>
      <c r="CU475" s="79"/>
      <c r="CV475" s="79"/>
      <c r="CW475" s="79"/>
      <c r="CX475" s="82">
        <f>CX491</f>
        <v>2356744</v>
      </c>
      <c r="CY475" s="82" t="str">
        <f>CY491</f>
        <v>540,504</v>
      </c>
      <c r="CZ475" s="82" t="str">
        <f>CZ491</f>
        <v>132,160</v>
      </c>
      <c r="DA475" s="83" t="str">
        <f>DA491</f>
        <v>1,684,080</v>
      </c>
      <c r="DB475" s="84"/>
    </row>
    <row r="476" spans="2:106" ht="11.25" customHeight="1">
      <c r="B476" s="78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  <c r="BK476" s="79"/>
      <c r="BL476" s="79"/>
      <c r="BM476" s="79"/>
      <c r="BN476" s="79"/>
      <c r="BO476" s="79"/>
      <c r="BP476" s="79"/>
      <c r="BQ476" s="79"/>
      <c r="BR476" s="79"/>
      <c r="BS476" s="79"/>
      <c r="BT476" s="79"/>
      <c r="BU476" s="79"/>
      <c r="BV476" s="79"/>
      <c r="BW476" s="79"/>
      <c r="BX476" s="79"/>
      <c r="BY476" s="79"/>
      <c r="BZ476" s="79"/>
      <c r="CA476" s="79"/>
      <c r="CB476" s="79"/>
      <c r="CC476" s="79"/>
      <c r="CD476" s="79"/>
      <c r="CE476" s="79"/>
      <c r="CF476" s="79"/>
      <c r="CG476" s="79"/>
      <c r="CH476" s="79"/>
      <c r="CI476" s="79"/>
      <c r="CJ476" s="79"/>
      <c r="CK476" s="79"/>
      <c r="CL476" s="79"/>
      <c r="CM476" s="79"/>
      <c r="CN476" s="79"/>
      <c r="CO476" s="79"/>
      <c r="CP476" s="79"/>
      <c r="CQ476" s="79"/>
      <c r="CR476" s="79"/>
      <c r="CS476" s="79"/>
      <c r="CT476" s="79"/>
      <c r="CU476" s="79"/>
      <c r="CV476" s="79"/>
      <c r="CW476" s="79"/>
      <c r="CX476" s="85"/>
      <c r="CY476" s="85"/>
      <c r="CZ476" s="85"/>
      <c r="DA476" s="86"/>
      <c r="DB476" s="84"/>
    </row>
    <row r="477" spans="2:106" ht="11.25" customHeight="1">
      <c r="B477" s="78"/>
      <c r="C477" s="79"/>
      <c r="D477" s="79" t="s">
        <v>401</v>
      </c>
      <c r="E477" s="79"/>
      <c r="F477" s="79"/>
      <c r="G477" s="79" t="s">
        <v>639</v>
      </c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 t="s">
        <v>503</v>
      </c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  <c r="BK477" s="79"/>
      <c r="BL477" s="79"/>
      <c r="BM477" s="79"/>
      <c r="BN477" s="79"/>
      <c r="BO477" s="79"/>
      <c r="BP477" s="79"/>
      <c r="BQ477" s="79"/>
      <c r="BR477" s="79"/>
      <c r="BS477" s="79"/>
      <c r="BT477" s="79"/>
      <c r="BU477" s="79"/>
      <c r="BV477" s="79"/>
      <c r="BW477" s="79"/>
      <c r="BX477" s="79"/>
      <c r="BY477" s="79"/>
      <c r="BZ477" s="79"/>
      <c r="CA477" s="79"/>
      <c r="CB477" s="79"/>
      <c r="CC477" s="79"/>
      <c r="CD477" s="79"/>
      <c r="CE477" s="79"/>
      <c r="CF477" s="79"/>
      <c r="CG477" s="79"/>
      <c r="CH477" s="79"/>
      <c r="CI477" s="79"/>
      <c r="CJ477" s="79"/>
      <c r="CK477" s="79"/>
      <c r="CL477" s="79"/>
      <c r="CM477" s="79"/>
      <c r="CN477" s="79"/>
      <c r="CO477" s="79"/>
      <c r="CP477" s="79"/>
      <c r="CQ477" s="79"/>
      <c r="CR477" s="79"/>
      <c r="CS477" s="79"/>
      <c r="CT477" s="79"/>
      <c r="CU477" s="79"/>
      <c r="CV477" s="79"/>
      <c r="CW477" s="79"/>
      <c r="CX477" s="85"/>
      <c r="CY477" s="85"/>
      <c r="CZ477" s="85"/>
      <c r="DA477" s="86"/>
      <c r="DB477" s="84"/>
    </row>
    <row r="478" spans="2:106" ht="11.25" customHeight="1">
      <c r="B478" s="78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  <c r="BK478" s="79"/>
      <c r="BL478" s="79"/>
      <c r="BM478" s="79"/>
      <c r="BN478" s="79"/>
      <c r="BO478" s="79"/>
      <c r="BP478" s="79"/>
      <c r="BQ478" s="79"/>
      <c r="BR478" s="79"/>
      <c r="BS478" s="79"/>
      <c r="BT478" s="79"/>
      <c r="BU478" s="79"/>
      <c r="BV478" s="79"/>
      <c r="BW478" s="79"/>
      <c r="BX478" s="79"/>
      <c r="BY478" s="79"/>
      <c r="BZ478" s="79"/>
      <c r="CA478" s="79"/>
      <c r="CB478" s="79"/>
      <c r="CC478" s="79"/>
      <c r="CD478" s="79"/>
      <c r="CE478" s="79"/>
      <c r="CF478" s="79"/>
      <c r="CG478" s="79"/>
      <c r="CH478" s="79"/>
      <c r="CI478" s="79"/>
      <c r="CJ478" s="79"/>
      <c r="CK478" s="79"/>
      <c r="CL478" s="79"/>
      <c r="CM478" s="79"/>
      <c r="CN478" s="79"/>
      <c r="CO478" s="79"/>
      <c r="CP478" s="79"/>
      <c r="CQ478" s="79"/>
      <c r="CR478" s="79"/>
      <c r="CS478" s="79"/>
      <c r="CT478" s="79"/>
      <c r="CU478" s="79"/>
      <c r="CV478" s="79"/>
      <c r="CW478" s="79"/>
      <c r="CX478" s="85"/>
      <c r="CY478" s="85"/>
      <c r="CZ478" s="85"/>
      <c r="DA478" s="86"/>
      <c r="DB478" s="84"/>
    </row>
    <row r="479" spans="2:106" ht="11.25" customHeight="1">
      <c r="B479" s="78"/>
      <c r="C479" s="79"/>
      <c r="D479" s="79"/>
      <c r="E479" s="79"/>
      <c r="F479" s="79"/>
      <c r="G479" s="79" t="s">
        <v>49</v>
      </c>
      <c r="H479" s="79"/>
      <c r="I479" s="79" t="s">
        <v>309</v>
      </c>
      <c r="J479" s="79"/>
      <c r="K479" s="79" t="str">
        <f>TEXT(8,"#,##0.#######")</f>
        <v>8.</v>
      </c>
      <c r="L479" s="79" t="s">
        <v>598</v>
      </c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  <c r="BK479" s="79"/>
      <c r="BL479" s="79"/>
      <c r="BM479" s="79"/>
      <c r="BN479" s="79"/>
      <c r="BO479" s="79"/>
      <c r="BP479" s="79"/>
      <c r="BQ479" s="79"/>
      <c r="BR479" s="79"/>
      <c r="BS479" s="79"/>
      <c r="BT479" s="79"/>
      <c r="BU479" s="79"/>
      <c r="BV479" s="79"/>
      <c r="BW479" s="79"/>
      <c r="BX479" s="79"/>
      <c r="BY479" s="79"/>
      <c r="BZ479" s="79"/>
      <c r="CA479" s="79"/>
      <c r="CB479" s="79"/>
      <c r="CC479" s="79"/>
      <c r="CD479" s="79"/>
      <c r="CE479" s="79"/>
      <c r="CF479" s="79"/>
      <c r="CG479" s="79"/>
      <c r="CH479" s="79"/>
      <c r="CI479" s="79"/>
      <c r="CJ479" s="79"/>
      <c r="CK479" s="79"/>
      <c r="CL479" s="79"/>
      <c r="CM479" s="79"/>
      <c r="CN479" s="79"/>
      <c r="CO479" s="79"/>
      <c r="CP479" s="79"/>
      <c r="CQ479" s="79"/>
      <c r="CR479" s="79"/>
      <c r="CS479" s="79"/>
      <c r="CT479" s="79"/>
      <c r="CU479" s="79"/>
      <c r="CV479" s="79"/>
      <c r="CW479" s="79"/>
      <c r="CX479" s="85"/>
      <c r="CY479" s="85"/>
      <c r="CZ479" s="85"/>
      <c r="DA479" s="86"/>
      <c r="DB479" s="84"/>
    </row>
    <row r="480" spans="2:106" ht="11.25" customHeight="1">
      <c r="B480" s="78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  <c r="BK480" s="79"/>
      <c r="BL480" s="79"/>
      <c r="BM480" s="79"/>
      <c r="BN480" s="79"/>
      <c r="BO480" s="79"/>
      <c r="BP480" s="79"/>
      <c r="BQ480" s="79"/>
      <c r="BR480" s="79"/>
      <c r="BS480" s="79"/>
      <c r="BT480" s="79"/>
      <c r="BU480" s="79"/>
      <c r="BV480" s="79"/>
      <c r="BW480" s="79"/>
      <c r="BX480" s="79"/>
      <c r="BY480" s="79"/>
      <c r="BZ480" s="79"/>
      <c r="CA480" s="79"/>
      <c r="CB480" s="79"/>
      <c r="CC480" s="79"/>
      <c r="CD480" s="79"/>
      <c r="CE480" s="79"/>
      <c r="CF480" s="79"/>
      <c r="CG480" s="79"/>
      <c r="CH480" s="79"/>
      <c r="CI480" s="79"/>
      <c r="CJ480" s="79"/>
      <c r="CK480" s="79"/>
      <c r="CL480" s="79"/>
      <c r="CM480" s="79"/>
      <c r="CN480" s="79"/>
      <c r="CO480" s="79"/>
      <c r="CP480" s="79"/>
      <c r="CQ480" s="79"/>
      <c r="CR480" s="79"/>
      <c r="CS480" s="79"/>
      <c r="CT480" s="79"/>
      <c r="CU480" s="79"/>
      <c r="CV480" s="79"/>
      <c r="CW480" s="79"/>
      <c r="CX480" s="85"/>
      <c r="CY480" s="85"/>
      <c r="CZ480" s="85"/>
      <c r="DA480" s="86"/>
      <c r="DB480" s="84"/>
    </row>
    <row r="481" spans="2:106" ht="11.25" customHeight="1">
      <c r="B481" s="78"/>
      <c r="C481" s="79"/>
      <c r="D481" s="79"/>
      <c r="E481" s="79"/>
      <c r="F481" s="79"/>
      <c r="G481" s="79" t="s">
        <v>700</v>
      </c>
      <c r="H481" s="79"/>
      <c r="I481" s="79"/>
      <c r="J481" s="79"/>
      <c r="K481" s="79"/>
      <c r="L481" s="79"/>
      <c r="M481" s="79"/>
      <c r="N481" s="79" t="s">
        <v>604</v>
      </c>
      <c r="O481" s="79"/>
      <c r="P481" s="79" t="str">
        <f>TEXT(기계경비총괄표!G20,"#,##0")</f>
        <v>67,563</v>
      </c>
      <c r="Q481" s="79"/>
      <c r="R481" s="79"/>
      <c r="S481" s="79"/>
      <c r="T481" s="79"/>
      <c r="U481" s="79"/>
      <c r="V481" s="79"/>
      <c r="W481" s="79"/>
      <c r="X481" s="79"/>
      <c r="Y481" s="79" t="s">
        <v>699</v>
      </c>
      <c r="Z481" s="79"/>
      <c r="AA481" s="79"/>
      <c r="AB481" s="79" t="str">
        <f>TEXT(K479,"#,##0.#######")</f>
        <v>8.</v>
      </c>
      <c r="AC481" s="79"/>
      <c r="AD481" s="79"/>
      <c r="AE481" s="79"/>
      <c r="AF481" s="79" t="s">
        <v>309</v>
      </c>
      <c r="AG481" s="79"/>
      <c r="AH481" s="79" t="str">
        <f>TEXT(TRUNC(P481*K479,1),"#,##0.#")</f>
        <v>540,504.</v>
      </c>
      <c r="AI481" s="79"/>
      <c r="AJ481" s="79"/>
      <c r="AK481" s="79"/>
      <c r="AL481" s="79"/>
      <c r="AM481" s="79"/>
      <c r="AN481" s="79"/>
      <c r="AO481" s="79"/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  <c r="BK481" s="79"/>
      <c r="BL481" s="79"/>
      <c r="BM481" s="79"/>
      <c r="BN481" s="79"/>
      <c r="BO481" s="79"/>
      <c r="BP481" s="79"/>
      <c r="BQ481" s="79"/>
      <c r="BR481" s="79"/>
      <c r="BS481" s="79"/>
      <c r="BT481" s="79"/>
      <c r="BU481" s="79"/>
      <c r="BV481" s="79"/>
      <c r="BW481" s="79"/>
      <c r="BX481" s="79"/>
      <c r="BY481" s="79"/>
      <c r="BZ481" s="79"/>
      <c r="CA481" s="79"/>
      <c r="CB481" s="79"/>
      <c r="CC481" s="79"/>
      <c r="CD481" s="79"/>
      <c r="CE481" s="79"/>
      <c r="CF481" s="79"/>
      <c r="CG481" s="79"/>
      <c r="CH481" s="79"/>
      <c r="CI481" s="79"/>
      <c r="CJ481" s="79"/>
      <c r="CK481" s="79"/>
      <c r="CL481" s="79"/>
      <c r="CM481" s="79"/>
      <c r="CN481" s="79"/>
      <c r="CO481" s="79"/>
      <c r="CP481" s="79"/>
      <c r="CQ481" s="79"/>
      <c r="CR481" s="79"/>
      <c r="CS481" s="79"/>
      <c r="CT481" s="79"/>
      <c r="CU481" s="79"/>
      <c r="CV481" s="79"/>
      <c r="CW481" s="79"/>
      <c r="CX481" s="85"/>
      <c r="CY481" s="85"/>
      <c r="CZ481" s="85"/>
      <c r="DA481" s="86"/>
      <c r="DB481" s="84"/>
    </row>
    <row r="482" spans="2:106" ht="11.25" customHeight="1">
      <c r="B482" s="78"/>
      <c r="C482" s="79"/>
      <c r="D482" s="79"/>
      <c r="E482" s="79"/>
      <c r="F482" s="79"/>
      <c r="G482" s="79" t="s">
        <v>498</v>
      </c>
      <c r="H482" s="79"/>
      <c r="I482" s="79"/>
      <c r="J482" s="79"/>
      <c r="K482" s="79"/>
      <c r="L482" s="79"/>
      <c r="M482" s="79"/>
      <c r="N482" s="79" t="s">
        <v>604</v>
      </c>
      <c r="O482" s="79"/>
      <c r="P482" s="79"/>
      <c r="Q482" s="79" t="str">
        <f>TEXT(기계경비총괄표!H20,"#,##0")</f>
        <v>16,520</v>
      </c>
      <c r="R482" s="79"/>
      <c r="S482" s="79"/>
      <c r="T482" s="79"/>
      <c r="U482" s="79"/>
      <c r="V482" s="79"/>
      <c r="W482" s="79"/>
      <c r="X482" s="79"/>
      <c r="Y482" s="79"/>
      <c r="Z482" s="79" t="s">
        <v>699</v>
      </c>
      <c r="AA482" s="79"/>
      <c r="AB482" s="79"/>
      <c r="AC482" s="79" t="str">
        <f>TEXT(K479,"#,##0.#######")</f>
        <v>8.</v>
      </c>
      <c r="AD482" s="79"/>
      <c r="AE482" s="79"/>
      <c r="AF482" s="79"/>
      <c r="AG482" s="79" t="s">
        <v>309</v>
      </c>
      <c r="AH482" s="79"/>
      <c r="AI482" s="79" t="str">
        <f>TEXT(TRUNC(Q482*K479,1),"#,##0.#")</f>
        <v>132,160.</v>
      </c>
      <c r="AJ482" s="79"/>
      <c r="AK482" s="79"/>
      <c r="AL482" s="79"/>
      <c r="AM482" s="79"/>
      <c r="AN482" s="79"/>
      <c r="AO482" s="79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  <c r="BK482" s="79"/>
      <c r="BL482" s="79"/>
      <c r="BM482" s="79"/>
      <c r="BN482" s="79"/>
      <c r="BO482" s="79"/>
      <c r="BP482" s="79"/>
      <c r="BQ482" s="79"/>
      <c r="BR482" s="79"/>
      <c r="BS482" s="79"/>
      <c r="BT482" s="79"/>
      <c r="BU482" s="79"/>
      <c r="BV482" s="79"/>
      <c r="BW482" s="79"/>
      <c r="BX482" s="79"/>
      <c r="BY482" s="79"/>
      <c r="BZ482" s="79"/>
      <c r="CA482" s="79"/>
      <c r="CB482" s="79"/>
      <c r="CC482" s="79"/>
      <c r="CD482" s="79"/>
      <c r="CE482" s="79"/>
      <c r="CF482" s="79"/>
      <c r="CG482" s="79"/>
      <c r="CH482" s="79"/>
      <c r="CI482" s="79"/>
      <c r="CJ482" s="79"/>
      <c r="CK482" s="79"/>
      <c r="CL482" s="79"/>
      <c r="CM482" s="79"/>
      <c r="CN482" s="79"/>
      <c r="CO482" s="79"/>
      <c r="CP482" s="79"/>
      <c r="CQ482" s="79"/>
      <c r="CR482" s="79"/>
      <c r="CS482" s="79"/>
      <c r="CT482" s="79"/>
      <c r="CU482" s="79"/>
      <c r="CV482" s="79"/>
      <c r="CW482" s="79"/>
      <c r="CX482" s="85"/>
      <c r="CY482" s="85"/>
      <c r="CZ482" s="85"/>
      <c r="DA482" s="86"/>
      <c r="DB482" s="84"/>
    </row>
    <row r="483" spans="2:106" ht="11.25" customHeight="1">
      <c r="B483" s="78"/>
      <c r="C483" s="79"/>
      <c r="D483" s="79"/>
      <c r="E483" s="79"/>
      <c r="F483" s="79"/>
      <c r="G483" s="79" t="s">
        <v>160</v>
      </c>
      <c r="H483" s="79"/>
      <c r="I483" s="79"/>
      <c r="J483" s="79"/>
      <c r="K483" s="79" t="s">
        <v>440</v>
      </c>
      <c r="L483" s="79"/>
      <c r="M483" s="79"/>
      <c r="N483" s="79" t="s">
        <v>604</v>
      </c>
      <c r="O483" s="79"/>
      <c r="P483" s="79" t="str">
        <f>TEXT(기계경비총괄표!I20,"#,##0")</f>
        <v>210,510</v>
      </c>
      <c r="Q483" s="79"/>
      <c r="R483" s="79"/>
      <c r="S483" s="79"/>
      <c r="T483" s="79"/>
      <c r="U483" s="79"/>
      <c r="V483" s="79"/>
      <c r="W483" s="79"/>
      <c r="X483" s="79"/>
      <c r="Y483" s="79"/>
      <c r="Z483" s="79" t="s">
        <v>699</v>
      </c>
      <c r="AA483" s="79"/>
      <c r="AB483" s="79"/>
      <c r="AC483" s="79" t="str">
        <f>TEXT(K479,"#,##0.#######")</f>
        <v>8.</v>
      </c>
      <c r="AD483" s="79"/>
      <c r="AE483" s="79"/>
      <c r="AF483" s="79"/>
      <c r="AG483" s="79" t="s">
        <v>309</v>
      </c>
      <c r="AH483" s="79"/>
      <c r="AI483" s="79" t="str">
        <f>TEXT(TRUNC(P483*K479,1),"#,##0.#")</f>
        <v>1,684,080.</v>
      </c>
      <c r="AJ483" s="79"/>
      <c r="AK483" s="79"/>
      <c r="AL483" s="79"/>
      <c r="AM483" s="79"/>
      <c r="AN483" s="79"/>
      <c r="AO483" s="79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  <c r="BK483" s="79"/>
      <c r="BL483" s="79"/>
      <c r="BM483" s="79"/>
      <c r="BN483" s="79"/>
      <c r="BO483" s="79"/>
      <c r="BP483" s="79"/>
      <c r="BQ483" s="79"/>
      <c r="BR483" s="79"/>
      <c r="BS483" s="79"/>
      <c r="BT483" s="79"/>
      <c r="BU483" s="79"/>
      <c r="BV483" s="79"/>
      <c r="BW483" s="79"/>
      <c r="BX483" s="79"/>
      <c r="BY483" s="79"/>
      <c r="BZ483" s="79"/>
      <c r="CA483" s="79"/>
      <c r="CB483" s="79"/>
      <c r="CC483" s="79"/>
      <c r="CD483" s="79"/>
      <c r="CE483" s="79"/>
      <c r="CF483" s="79"/>
      <c r="CG483" s="79"/>
      <c r="CH483" s="79"/>
      <c r="CI483" s="79"/>
      <c r="CJ483" s="79"/>
      <c r="CK483" s="79"/>
      <c r="CL483" s="79"/>
      <c r="CM483" s="79"/>
      <c r="CN483" s="79"/>
      <c r="CO483" s="79"/>
      <c r="CP483" s="79"/>
      <c r="CQ483" s="79"/>
      <c r="CR483" s="79"/>
      <c r="CS483" s="79"/>
      <c r="CT483" s="79"/>
      <c r="CU483" s="79"/>
      <c r="CV483" s="79"/>
      <c r="CW483" s="79"/>
      <c r="CX483" s="85"/>
      <c r="CY483" s="85"/>
      <c r="CZ483" s="85"/>
      <c r="DA483" s="86"/>
      <c r="DB483" s="84"/>
    </row>
    <row r="484" spans="2:106" ht="11.25" customHeight="1">
      <c r="B484" s="78"/>
      <c r="C484" s="79"/>
      <c r="D484" s="79"/>
      <c r="E484" s="79"/>
      <c r="F484" s="79"/>
      <c r="G484" s="79" t="s">
        <v>305</v>
      </c>
      <c r="H484" s="79"/>
      <c r="I484" s="79"/>
      <c r="J484" s="79"/>
      <c r="K484" s="79" t="s">
        <v>436</v>
      </c>
      <c r="L484" s="79"/>
      <c r="M484" s="79"/>
      <c r="N484" s="79" t="s">
        <v>604</v>
      </c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 t="str">
        <f>TEXT(AH481+AI482+AI483,"#,##0.#######")</f>
        <v>2,356,744.</v>
      </c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  <c r="BK484" s="79"/>
      <c r="BL484" s="79"/>
      <c r="BM484" s="79"/>
      <c r="BN484" s="79"/>
      <c r="BO484" s="79"/>
      <c r="BP484" s="79"/>
      <c r="BQ484" s="79"/>
      <c r="BR484" s="79"/>
      <c r="BS484" s="79"/>
      <c r="BT484" s="79"/>
      <c r="BU484" s="79"/>
      <c r="BV484" s="79"/>
      <c r="BW484" s="79"/>
      <c r="BX484" s="79"/>
      <c r="BY484" s="79"/>
      <c r="BZ484" s="79"/>
      <c r="CA484" s="79"/>
      <c r="CB484" s="79"/>
      <c r="CC484" s="79"/>
      <c r="CD484" s="79"/>
      <c r="CE484" s="79"/>
      <c r="CF484" s="79"/>
      <c r="CG484" s="79"/>
      <c r="CH484" s="79"/>
      <c r="CI484" s="79"/>
      <c r="CJ484" s="79"/>
      <c r="CK484" s="79"/>
      <c r="CL484" s="79"/>
      <c r="CM484" s="79"/>
      <c r="CN484" s="79"/>
      <c r="CO484" s="79"/>
      <c r="CP484" s="79"/>
      <c r="CQ484" s="79"/>
      <c r="CR484" s="79"/>
      <c r="CS484" s="79"/>
      <c r="CT484" s="79"/>
      <c r="CU484" s="79"/>
      <c r="CV484" s="79"/>
      <c r="CW484" s="79"/>
      <c r="CX484" s="85">
        <f>CY484+CZ484+DA484</f>
        <v>2356744</v>
      </c>
      <c r="CY484" s="85" t="str">
        <f>TEXT(AH481,"#,###.0")</f>
        <v>540,504.0</v>
      </c>
      <c r="CZ484" s="85" t="str">
        <f>TEXT(AI482,"#,###.0")</f>
        <v>132,160.0</v>
      </c>
      <c r="DA484" s="86" t="str">
        <f>TEXT(AI483,"#,###.0")</f>
        <v>1,684,080.0</v>
      </c>
      <c r="DB484" s="84"/>
    </row>
    <row r="485" spans="2:106" ht="11.25" customHeight="1">
      <c r="B485" s="78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  <c r="BK485" s="79"/>
      <c r="BL485" s="79"/>
      <c r="BM485" s="79"/>
      <c r="BN485" s="79"/>
      <c r="BO485" s="79"/>
      <c r="BP485" s="79"/>
      <c r="BQ485" s="79"/>
      <c r="BR485" s="79"/>
      <c r="BS485" s="79"/>
      <c r="BT485" s="79"/>
      <c r="BU485" s="79"/>
      <c r="BV485" s="79"/>
      <c r="BW485" s="79"/>
      <c r="BX485" s="79"/>
      <c r="BY485" s="79"/>
      <c r="BZ485" s="79"/>
      <c r="CA485" s="79"/>
      <c r="CB485" s="79"/>
      <c r="CC485" s="79"/>
      <c r="CD485" s="79"/>
      <c r="CE485" s="79"/>
      <c r="CF485" s="79"/>
      <c r="CG485" s="79"/>
      <c r="CH485" s="79"/>
      <c r="CI485" s="79"/>
      <c r="CJ485" s="79"/>
      <c r="CK485" s="79"/>
      <c r="CL485" s="79"/>
      <c r="CM485" s="79"/>
      <c r="CN485" s="79"/>
      <c r="CO485" s="79"/>
      <c r="CP485" s="79"/>
      <c r="CQ485" s="79"/>
      <c r="CR485" s="79"/>
      <c r="CS485" s="79"/>
      <c r="CT485" s="79"/>
      <c r="CU485" s="79"/>
      <c r="CV485" s="79"/>
      <c r="CW485" s="79"/>
      <c r="CX485" s="85"/>
      <c r="CY485" s="85"/>
      <c r="CZ485" s="85"/>
      <c r="DA485" s="86"/>
      <c r="DB485" s="84"/>
    </row>
    <row r="486" spans="2:106" ht="11.25" customHeight="1">
      <c r="B486" s="78"/>
      <c r="C486" s="79"/>
      <c r="D486" s="79" t="s">
        <v>594</v>
      </c>
      <c r="E486" s="79"/>
      <c r="F486" s="79"/>
      <c r="G486" s="79" t="s">
        <v>557</v>
      </c>
      <c r="H486" s="79"/>
      <c r="I486" s="79"/>
      <c r="J486" s="79"/>
      <c r="K486" s="79" t="s">
        <v>436</v>
      </c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  <c r="BK486" s="79"/>
      <c r="BL486" s="79"/>
      <c r="BM486" s="79"/>
      <c r="BN486" s="79"/>
      <c r="BO486" s="79"/>
      <c r="BP486" s="79"/>
      <c r="BQ486" s="79"/>
      <c r="BR486" s="79"/>
      <c r="BS486" s="79"/>
      <c r="BT486" s="79"/>
      <c r="BU486" s="79"/>
      <c r="BV486" s="79"/>
      <c r="BW486" s="79"/>
      <c r="BX486" s="79"/>
      <c r="BY486" s="79"/>
      <c r="BZ486" s="79"/>
      <c r="CA486" s="79"/>
      <c r="CB486" s="79"/>
      <c r="CC486" s="79"/>
      <c r="CD486" s="79"/>
      <c r="CE486" s="79"/>
      <c r="CF486" s="79"/>
      <c r="CG486" s="79"/>
      <c r="CH486" s="79"/>
      <c r="CI486" s="79"/>
      <c r="CJ486" s="79"/>
      <c r="CK486" s="79"/>
      <c r="CL486" s="79"/>
      <c r="CM486" s="79"/>
      <c r="CN486" s="79"/>
      <c r="CO486" s="79"/>
      <c r="CP486" s="79"/>
      <c r="CQ486" s="79"/>
      <c r="CR486" s="79"/>
      <c r="CS486" s="79"/>
      <c r="CT486" s="79"/>
      <c r="CU486" s="79"/>
      <c r="CV486" s="79"/>
      <c r="CW486" s="79"/>
      <c r="CX486" s="85"/>
      <c r="CY486" s="85"/>
      <c r="CZ486" s="85"/>
      <c r="DA486" s="86"/>
      <c r="DB486" s="84"/>
    </row>
    <row r="487" spans="2:106" ht="11.25" customHeight="1">
      <c r="B487" s="78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  <c r="BK487" s="79"/>
      <c r="BL487" s="79"/>
      <c r="BM487" s="79"/>
      <c r="BN487" s="79"/>
      <c r="BO487" s="79"/>
      <c r="BP487" s="79"/>
      <c r="BQ487" s="79"/>
      <c r="BR487" s="79"/>
      <c r="BS487" s="79"/>
      <c r="BT487" s="79"/>
      <c r="BU487" s="79"/>
      <c r="BV487" s="79"/>
      <c r="BW487" s="79"/>
      <c r="BX487" s="79"/>
      <c r="BY487" s="79"/>
      <c r="BZ487" s="79"/>
      <c r="CA487" s="79"/>
      <c r="CB487" s="79"/>
      <c r="CC487" s="79"/>
      <c r="CD487" s="79"/>
      <c r="CE487" s="79"/>
      <c r="CF487" s="79"/>
      <c r="CG487" s="79"/>
      <c r="CH487" s="79"/>
      <c r="CI487" s="79"/>
      <c r="CJ487" s="79"/>
      <c r="CK487" s="79"/>
      <c r="CL487" s="79"/>
      <c r="CM487" s="79"/>
      <c r="CN487" s="79"/>
      <c r="CO487" s="79"/>
      <c r="CP487" s="79"/>
      <c r="CQ487" s="79"/>
      <c r="CR487" s="79"/>
      <c r="CS487" s="79"/>
      <c r="CT487" s="79"/>
      <c r="CU487" s="79"/>
      <c r="CV487" s="79"/>
      <c r="CW487" s="79"/>
      <c r="CX487" s="85"/>
      <c r="CY487" s="85"/>
      <c r="CZ487" s="85"/>
      <c r="DA487" s="86"/>
      <c r="DB487" s="84"/>
    </row>
    <row r="488" spans="2:106" ht="11.25" customHeight="1">
      <c r="B488" s="78"/>
      <c r="C488" s="79"/>
      <c r="D488" s="79"/>
      <c r="E488" s="79"/>
      <c r="F488" s="79"/>
      <c r="G488" s="79"/>
      <c r="H488" s="79" t="s">
        <v>700</v>
      </c>
      <c r="I488" s="79"/>
      <c r="J488" s="79"/>
      <c r="K488" s="79"/>
      <c r="L488" s="79"/>
      <c r="M488" s="79"/>
      <c r="N488" s="79"/>
      <c r="O488" s="79" t="s">
        <v>604</v>
      </c>
      <c r="P488" s="79"/>
      <c r="Q488" s="79" t="str">
        <f>TEXT(TRUNC(CY484,0),"#,##0")</f>
        <v>540,504</v>
      </c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  <c r="BK488" s="79"/>
      <c r="BL488" s="79"/>
      <c r="BM488" s="79"/>
      <c r="BN488" s="79"/>
      <c r="BO488" s="79"/>
      <c r="BP488" s="79"/>
      <c r="BQ488" s="79"/>
      <c r="BR488" s="79"/>
      <c r="BS488" s="79"/>
      <c r="BT488" s="79"/>
      <c r="BU488" s="79"/>
      <c r="BV488" s="79"/>
      <c r="BW488" s="79"/>
      <c r="BX488" s="79"/>
      <c r="BY488" s="79"/>
      <c r="BZ488" s="79"/>
      <c r="CA488" s="79"/>
      <c r="CB488" s="79"/>
      <c r="CC488" s="79"/>
      <c r="CD488" s="79"/>
      <c r="CE488" s="79"/>
      <c r="CF488" s="79"/>
      <c r="CG488" s="79"/>
      <c r="CH488" s="79"/>
      <c r="CI488" s="79"/>
      <c r="CJ488" s="79"/>
      <c r="CK488" s="79"/>
      <c r="CL488" s="79"/>
      <c r="CM488" s="79"/>
      <c r="CN488" s="79"/>
      <c r="CO488" s="79"/>
      <c r="CP488" s="79"/>
      <c r="CQ488" s="79"/>
      <c r="CR488" s="79"/>
      <c r="CS488" s="79"/>
      <c r="CT488" s="79"/>
      <c r="CU488" s="79"/>
      <c r="CV488" s="79"/>
      <c r="CW488" s="79"/>
      <c r="CX488" s="85"/>
      <c r="CY488" s="85"/>
      <c r="CZ488" s="85"/>
      <c r="DA488" s="86"/>
      <c r="DB488" s="84"/>
    </row>
    <row r="489" spans="2:106" ht="11.25" customHeight="1">
      <c r="B489" s="78"/>
      <c r="C489" s="79"/>
      <c r="D489" s="79"/>
      <c r="E489" s="79"/>
      <c r="F489" s="79"/>
      <c r="G489" s="79"/>
      <c r="H489" s="79" t="s">
        <v>498</v>
      </c>
      <c r="I489" s="79"/>
      <c r="J489" s="79"/>
      <c r="K489" s="79"/>
      <c r="L489" s="79"/>
      <c r="M489" s="79"/>
      <c r="N489" s="79"/>
      <c r="O489" s="79" t="s">
        <v>604</v>
      </c>
      <c r="P489" s="79"/>
      <c r="Q489" s="79" t="str">
        <f>TEXT(TRUNC(CZ484,0),"#,##0")</f>
        <v>132,160</v>
      </c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  <c r="BK489" s="79"/>
      <c r="BL489" s="79"/>
      <c r="BM489" s="79"/>
      <c r="BN489" s="79"/>
      <c r="BO489" s="79"/>
      <c r="BP489" s="79"/>
      <c r="BQ489" s="79"/>
      <c r="BR489" s="79"/>
      <c r="BS489" s="79"/>
      <c r="BT489" s="79"/>
      <c r="BU489" s="79"/>
      <c r="BV489" s="79"/>
      <c r="BW489" s="79"/>
      <c r="BX489" s="79"/>
      <c r="BY489" s="79"/>
      <c r="BZ489" s="79"/>
      <c r="CA489" s="79"/>
      <c r="CB489" s="79"/>
      <c r="CC489" s="79"/>
      <c r="CD489" s="79"/>
      <c r="CE489" s="79"/>
      <c r="CF489" s="79"/>
      <c r="CG489" s="79"/>
      <c r="CH489" s="79"/>
      <c r="CI489" s="79"/>
      <c r="CJ489" s="79"/>
      <c r="CK489" s="79"/>
      <c r="CL489" s="79"/>
      <c r="CM489" s="79"/>
      <c r="CN489" s="79"/>
      <c r="CO489" s="79"/>
      <c r="CP489" s="79"/>
      <c r="CQ489" s="79"/>
      <c r="CR489" s="79"/>
      <c r="CS489" s="79"/>
      <c r="CT489" s="79"/>
      <c r="CU489" s="79"/>
      <c r="CV489" s="79"/>
      <c r="CW489" s="79"/>
      <c r="CX489" s="85"/>
      <c r="CY489" s="85"/>
      <c r="CZ489" s="85"/>
      <c r="DA489" s="86"/>
      <c r="DB489" s="84"/>
    </row>
    <row r="490" spans="2:106" ht="11.25" customHeight="1">
      <c r="B490" s="78"/>
      <c r="C490" s="79"/>
      <c r="D490" s="79"/>
      <c r="E490" s="79"/>
      <c r="F490" s="79"/>
      <c r="G490" s="79"/>
      <c r="H490" s="79" t="s">
        <v>160</v>
      </c>
      <c r="I490" s="79"/>
      <c r="J490" s="79"/>
      <c r="K490" s="79"/>
      <c r="L490" s="79" t="s">
        <v>440</v>
      </c>
      <c r="M490" s="79"/>
      <c r="N490" s="79"/>
      <c r="O490" s="79" t="s">
        <v>604</v>
      </c>
      <c r="P490" s="79"/>
      <c r="Q490" s="79" t="str">
        <f>TEXT(TRUNC(DA484,0),"#,##0")</f>
        <v>1,684,080</v>
      </c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  <c r="BK490" s="79"/>
      <c r="BL490" s="79"/>
      <c r="BM490" s="79"/>
      <c r="BN490" s="79"/>
      <c r="BO490" s="79"/>
      <c r="BP490" s="79"/>
      <c r="BQ490" s="79"/>
      <c r="BR490" s="79"/>
      <c r="BS490" s="79"/>
      <c r="BT490" s="79"/>
      <c r="BU490" s="79"/>
      <c r="BV490" s="79"/>
      <c r="BW490" s="79"/>
      <c r="BX490" s="79"/>
      <c r="BY490" s="79"/>
      <c r="BZ490" s="79"/>
      <c r="CA490" s="79"/>
      <c r="CB490" s="79"/>
      <c r="CC490" s="79"/>
      <c r="CD490" s="79"/>
      <c r="CE490" s="79"/>
      <c r="CF490" s="79"/>
      <c r="CG490" s="79"/>
      <c r="CH490" s="79"/>
      <c r="CI490" s="79"/>
      <c r="CJ490" s="79"/>
      <c r="CK490" s="79"/>
      <c r="CL490" s="79"/>
      <c r="CM490" s="79"/>
      <c r="CN490" s="79"/>
      <c r="CO490" s="79"/>
      <c r="CP490" s="79"/>
      <c r="CQ490" s="79"/>
      <c r="CR490" s="79"/>
      <c r="CS490" s="79"/>
      <c r="CT490" s="79"/>
      <c r="CU490" s="79"/>
      <c r="CV490" s="79"/>
      <c r="CW490" s="79"/>
      <c r="CX490" s="85"/>
      <c r="CY490" s="85"/>
      <c r="CZ490" s="85"/>
      <c r="DA490" s="86"/>
      <c r="DB490" s="84"/>
    </row>
    <row r="491" spans="2:106" ht="11.25" customHeight="1">
      <c r="B491" s="78"/>
      <c r="C491" s="79"/>
      <c r="D491" s="79"/>
      <c r="E491" s="79"/>
      <c r="F491" s="79"/>
      <c r="G491" s="79"/>
      <c r="H491" s="79"/>
      <c r="I491" s="79"/>
      <c r="J491" s="79" t="s">
        <v>436</v>
      </c>
      <c r="K491" s="79"/>
      <c r="L491" s="79"/>
      <c r="M491" s="79"/>
      <c r="N491" s="79"/>
      <c r="O491" s="79" t="s">
        <v>604</v>
      </c>
      <c r="P491" s="79"/>
      <c r="Q491" s="79"/>
      <c r="R491" s="79" t="str">
        <f>TEXT(Q488+Q489+Q490,"#,##0")</f>
        <v>2,356,744</v>
      </c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  <c r="BK491" s="79"/>
      <c r="BL491" s="79"/>
      <c r="BM491" s="79"/>
      <c r="BN491" s="79"/>
      <c r="BO491" s="79"/>
      <c r="BP491" s="79"/>
      <c r="BQ491" s="79"/>
      <c r="BR491" s="79"/>
      <c r="BS491" s="79"/>
      <c r="BT491" s="79"/>
      <c r="BU491" s="79"/>
      <c r="BV491" s="79"/>
      <c r="BW491" s="79"/>
      <c r="BX491" s="79"/>
      <c r="BY491" s="79"/>
      <c r="BZ491" s="79"/>
      <c r="CA491" s="79"/>
      <c r="CB491" s="79"/>
      <c r="CC491" s="79"/>
      <c r="CD491" s="79"/>
      <c r="CE491" s="79"/>
      <c r="CF491" s="79"/>
      <c r="CG491" s="79"/>
      <c r="CH491" s="79"/>
      <c r="CI491" s="79"/>
      <c r="CJ491" s="79"/>
      <c r="CK491" s="79"/>
      <c r="CL491" s="79"/>
      <c r="CM491" s="79"/>
      <c r="CN491" s="79"/>
      <c r="CO491" s="79"/>
      <c r="CP491" s="79"/>
      <c r="CQ491" s="79"/>
      <c r="CR491" s="79"/>
      <c r="CS491" s="79"/>
      <c r="CT491" s="79"/>
      <c r="CU491" s="79"/>
      <c r="CV491" s="79"/>
      <c r="CW491" s="79"/>
      <c r="CX491" s="89">
        <f>CY491+CZ491+DA491</f>
        <v>2356744</v>
      </c>
      <c r="CY491" s="85" t="str">
        <f>TEXT(Q488,"#,##0")</f>
        <v>540,504</v>
      </c>
      <c r="CZ491" s="85" t="str">
        <f>TEXT(Q489,"#,##0")</f>
        <v>132,160</v>
      </c>
      <c r="DA491" s="86" t="str">
        <f>TEXT(Q490,"#,##0")</f>
        <v>1,684,080</v>
      </c>
      <c r="DB491" s="84"/>
    </row>
    <row r="492" spans="2:106" ht="11.25" customHeight="1">
      <c r="B492" s="78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  <c r="BK492" s="79"/>
      <c r="BL492" s="79"/>
      <c r="BM492" s="79"/>
      <c r="BN492" s="79"/>
      <c r="BO492" s="79"/>
      <c r="BP492" s="79"/>
      <c r="BQ492" s="79"/>
      <c r="BR492" s="79"/>
      <c r="BS492" s="79"/>
      <c r="BT492" s="79"/>
      <c r="BU492" s="79"/>
      <c r="BV492" s="79"/>
      <c r="BW492" s="79"/>
      <c r="BX492" s="79"/>
      <c r="BY492" s="79"/>
      <c r="BZ492" s="79"/>
      <c r="CA492" s="79"/>
      <c r="CB492" s="79"/>
      <c r="CC492" s="79"/>
      <c r="CD492" s="79"/>
      <c r="CE492" s="79"/>
      <c r="CF492" s="79"/>
      <c r="CG492" s="79"/>
      <c r="CH492" s="79"/>
      <c r="CI492" s="79"/>
      <c r="CJ492" s="79"/>
      <c r="CK492" s="79"/>
      <c r="CL492" s="79"/>
      <c r="CM492" s="79"/>
      <c r="CN492" s="79"/>
      <c r="CO492" s="79"/>
      <c r="CP492" s="79"/>
      <c r="CQ492" s="79"/>
      <c r="CR492" s="79"/>
      <c r="CS492" s="79"/>
      <c r="CT492" s="79"/>
      <c r="CU492" s="79"/>
      <c r="CV492" s="79"/>
      <c r="CW492" s="79"/>
      <c r="CX492" s="85"/>
      <c r="CY492" s="85"/>
      <c r="CZ492" s="85"/>
      <c r="DA492" s="86"/>
      <c r="DB492" s="84"/>
    </row>
    <row r="493" spans="2:106" ht="11.25" customHeight="1">
      <c r="B493" s="81" t="s">
        <v>183</v>
      </c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  <c r="BK493" s="79"/>
      <c r="BL493" s="79"/>
      <c r="BM493" s="79"/>
      <c r="BN493" s="79"/>
      <c r="BO493" s="79"/>
      <c r="BP493" s="79"/>
      <c r="BQ493" s="79"/>
      <c r="BR493" s="79"/>
      <c r="BS493" s="79"/>
      <c r="BT493" s="79"/>
      <c r="BU493" s="79"/>
      <c r="BV493" s="79"/>
      <c r="BW493" s="79"/>
      <c r="BX493" s="79"/>
      <c r="BY493" s="79"/>
      <c r="BZ493" s="79"/>
      <c r="CA493" s="79"/>
      <c r="CB493" s="79"/>
      <c r="CC493" s="79"/>
      <c r="CD493" s="79"/>
      <c r="CE493" s="79"/>
      <c r="CF493" s="79"/>
      <c r="CG493" s="79"/>
      <c r="CH493" s="79"/>
      <c r="CI493" s="79"/>
      <c r="CJ493" s="79"/>
      <c r="CK493" s="79"/>
      <c r="CL493" s="79"/>
      <c r="CM493" s="79"/>
      <c r="CN493" s="79"/>
      <c r="CO493" s="79"/>
      <c r="CP493" s="79"/>
      <c r="CQ493" s="79"/>
      <c r="CR493" s="79"/>
      <c r="CS493" s="79"/>
      <c r="CT493" s="79"/>
      <c r="CU493" s="79"/>
      <c r="CV493" s="79"/>
      <c r="CW493" s="79"/>
      <c r="CX493" s="82">
        <f>CX511</f>
        <v>2626996</v>
      </c>
      <c r="CY493" s="82" t="str">
        <f>CY511</f>
        <v>810,756</v>
      </c>
      <c r="CZ493" s="82" t="str">
        <f>CZ511</f>
        <v>132,160</v>
      </c>
      <c r="DA493" s="83" t="str">
        <f>DA511</f>
        <v>1,684,080</v>
      </c>
      <c r="DB493" s="84"/>
    </row>
    <row r="494" spans="2:106" ht="11.25" customHeight="1">
      <c r="B494" s="78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  <c r="BK494" s="79"/>
      <c r="BL494" s="79"/>
      <c r="BM494" s="79"/>
      <c r="BN494" s="79"/>
      <c r="BO494" s="79"/>
      <c r="BP494" s="79"/>
      <c r="BQ494" s="79"/>
      <c r="BR494" s="79"/>
      <c r="BS494" s="79"/>
      <c r="BT494" s="79"/>
      <c r="BU494" s="79"/>
      <c r="BV494" s="79"/>
      <c r="BW494" s="79"/>
      <c r="BX494" s="79"/>
      <c r="BY494" s="79"/>
      <c r="BZ494" s="79"/>
      <c r="CA494" s="79"/>
      <c r="CB494" s="79"/>
      <c r="CC494" s="79"/>
      <c r="CD494" s="79"/>
      <c r="CE494" s="79"/>
      <c r="CF494" s="79"/>
      <c r="CG494" s="79"/>
      <c r="CH494" s="79"/>
      <c r="CI494" s="79"/>
      <c r="CJ494" s="79"/>
      <c r="CK494" s="79"/>
      <c r="CL494" s="79"/>
      <c r="CM494" s="79"/>
      <c r="CN494" s="79"/>
      <c r="CO494" s="79"/>
      <c r="CP494" s="79"/>
      <c r="CQ494" s="79"/>
      <c r="CR494" s="79"/>
      <c r="CS494" s="79"/>
      <c r="CT494" s="79"/>
      <c r="CU494" s="79"/>
      <c r="CV494" s="79"/>
      <c r="CW494" s="79"/>
      <c r="CX494" s="85"/>
      <c r="CY494" s="85"/>
      <c r="CZ494" s="85"/>
      <c r="DA494" s="86"/>
      <c r="DB494" s="84"/>
    </row>
    <row r="495" spans="2:106" ht="11.25" customHeight="1">
      <c r="B495" s="78"/>
      <c r="C495" s="79"/>
      <c r="D495" s="79"/>
      <c r="E495" s="79" t="s">
        <v>777</v>
      </c>
      <c r="F495" s="79"/>
      <c r="G495" s="79"/>
      <c r="H495" s="79" t="s">
        <v>530</v>
      </c>
      <c r="I495" s="79"/>
      <c r="J495" s="79"/>
      <c r="K495" s="79"/>
      <c r="L495" s="79"/>
      <c r="M495" s="79" t="s">
        <v>758</v>
      </c>
      <c r="N495" s="79"/>
      <c r="O495" s="79"/>
      <c r="P495" s="79"/>
      <c r="Q495" s="79"/>
      <c r="R495" s="79" t="s">
        <v>249</v>
      </c>
      <c r="S495" s="79"/>
      <c r="T495" s="79"/>
      <c r="U495" s="79" t="s">
        <v>157</v>
      </c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  <c r="BK495" s="79"/>
      <c r="BL495" s="79"/>
      <c r="BM495" s="79"/>
      <c r="BN495" s="79"/>
      <c r="BO495" s="79"/>
      <c r="BP495" s="79"/>
      <c r="BQ495" s="79"/>
      <c r="BR495" s="79"/>
      <c r="BS495" s="79"/>
      <c r="BT495" s="79"/>
      <c r="BU495" s="79"/>
      <c r="BV495" s="79"/>
      <c r="BW495" s="79"/>
      <c r="BX495" s="79"/>
      <c r="BY495" s="79"/>
      <c r="BZ495" s="79"/>
      <c r="CA495" s="79"/>
      <c r="CB495" s="79"/>
      <c r="CC495" s="79"/>
      <c r="CD495" s="79"/>
      <c r="CE495" s="79"/>
      <c r="CF495" s="79"/>
      <c r="CG495" s="79"/>
      <c r="CH495" s="79"/>
      <c r="CI495" s="79"/>
      <c r="CJ495" s="79"/>
      <c r="CK495" s="79"/>
      <c r="CL495" s="79"/>
      <c r="CM495" s="79"/>
      <c r="CN495" s="79"/>
      <c r="CO495" s="79"/>
      <c r="CP495" s="79"/>
      <c r="CQ495" s="79"/>
      <c r="CR495" s="79"/>
      <c r="CS495" s="79"/>
      <c r="CT495" s="79"/>
      <c r="CU495" s="79"/>
      <c r="CV495" s="79"/>
      <c r="CW495" s="79"/>
      <c r="CX495" s="85"/>
      <c r="CY495" s="85"/>
      <c r="CZ495" s="85"/>
      <c r="DA495" s="86"/>
      <c r="DB495" s="84"/>
    </row>
    <row r="496" spans="2:106" ht="11.25" customHeight="1">
      <c r="B496" s="78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  <c r="BK496" s="79"/>
      <c r="BL496" s="79"/>
      <c r="BM496" s="79"/>
      <c r="BN496" s="79"/>
      <c r="BO496" s="79"/>
      <c r="BP496" s="79"/>
      <c r="BQ496" s="79"/>
      <c r="BR496" s="79"/>
      <c r="BS496" s="79"/>
      <c r="BT496" s="79"/>
      <c r="BU496" s="79"/>
      <c r="BV496" s="79"/>
      <c r="BW496" s="79"/>
      <c r="BX496" s="79"/>
      <c r="BY496" s="79"/>
      <c r="BZ496" s="79"/>
      <c r="CA496" s="79"/>
      <c r="CB496" s="79"/>
      <c r="CC496" s="79"/>
      <c r="CD496" s="79"/>
      <c r="CE496" s="79"/>
      <c r="CF496" s="79"/>
      <c r="CG496" s="79"/>
      <c r="CH496" s="79"/>
      <c r="CI496" s="79"/>
      <c r="CJ496" s="79"/>
      <c r="CK496" s="79"/>
      <c r="CL496" s="79"/>
      <c r="CM496" s="79"/>
      <c r="CN496" s="79"/>
      <c r="CO496" s="79"/>
      <c r="CP496" s="79"/>
      <c r="CQ496" s="79"/>
      <c r="CR496" s="79"/>
      <c r="CS496" s="79"/>
      <c r="CT496" s="79"/>
      <c r="CU496" s="79"/>
      <c r="CV496" s="79"/>
      <c r="CW496" s="79"/>
      <c r="CX496" s="85"/>
      <c r="CY496" s="85"/>
      <c r="CZ496" s="85"/>
      <c r="DA496" s="86"/>
      <c r="DB496" s="84"/>
    </row>
    <row r="497" spans="2:106" ht="11.25" customHeight="1">
      <c r="B497" s="78"/>
      <c r="C497" s="79"/>
      <c r="D497" s="79" t="s">
        <v>401</v>
      </c>
      <c r="E497" s="79"/>
      <c r="F497" s="79"/>
      <c r="G497" s="79" t="s">
        <v>639</v>
      </c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 t="s">
        <v>503</v>
      </c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  <c r="BK497" s="79"/>
      <c r="BL497" s="79"/>
      <c r="BM497" s="79"/>
      <c r="BN497" s="79"/>
      <c r="BO497" s="79"/>
      <c r="BP497" s="79"/>
      <c r="BQ497" s="79"/>
      <c r="BR497" s="79"/>
      <c r="BS497" s="79"/>
      <c r="BT497" s="79"/>
      <c r="BU497" s="79"/>
      <c r="BV497" s="79"/>
      <c r="BW497" s="79"/>
      <c r="BX497" s="79"/>
      <c r="BY497" s="79"/>
      <c r="BZ497" s="79"/>
      <c r="CA497" s="79"/>
      <c r="CB497" s="79"/>
      <c r="CC497" s="79"/>
      <c r="CD497" s="79"/>
      <c r="CE497" s="79"/>
      <c r="CF497" s="79"/>
      <c r="CG497" s="79"/>
      <c r="CH497" s="79"/>
      <c r="CI497" s="79"/>
      <c r="CJ497" s="79"/>
      <c r="CK497" s="79"/>
      <c r="CL497" s="79"/>
      <c r="CM497" s="79"/>
      <c r="CN497" s="79"/>
      <c r="CO497" s="79"/>
      <c r="CP497" s="79"/>
      <c r="CQ497" s="79"/>
      <c r="CR497" s="79"/>
      <c r="CS497" s="79"/>
      <c r="CT497" s="79"/>
      <c r="CU497" s="79"/>
      <c r="CV497" s="79"/>
      <c r="CW497" s="79"/>
      <c r="CX497" s="85"/>
      <c r="CY497" s="85"/>
      <c r="CZ497" s="85"/>
      <c r="DA497" s="86"/>
      <c r="DB497" s="84"/>
    </row>
    <row r="498" spans="2:106" ht="11.25" customHeight="1">
      <c r="B498" s="78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  <c r="BK498" s="79"/>
      <c r="BL498" s="79"/>
      <c r="BM498" s="79"/>
      <c r="BN498" s="79"/>
      <c r="BO498" s="79"/>
      <c r="BP498" s="79"/>
      <c r="BQ498" s="79"/>
      <c r="BR498" s="79"/>
      <c r="BS498" s="79"/>
      <c r="BT498" s="79"/>
      <c r="BU498" s="79"/>
      <c r="BV498" s="79"/>
      <c r="BW498" s="79"/>
      <c r="BX498" s="79"/>
      <c r="BY498" s="79"/>
      <c r="BZ498" s="79"/>
      <c r="CA498" s="79"/>
      <c r="CB498" s="79"/>
      <c r="CC498" s="79"/>
      <c r="CD498" s="79"/>
      <c r="CE498" s="79"/>
      <c r="CF498" s="79"/>
      <c r="CG498" s="79"/>
      <c r="CH498" s="79"/>
      <c r="CI498" s="79"/>
      <c r="CJ498" s="79"/>
      <c r="CK498" s="79"/>
      <c r="CL498" s="79"/>
      <c r="CM498" s="79"/>
      <c r="CN498" s="79"/>
      <c r="CO498" s="79"/>
      <c r="CP498" s="79"/>
      <c r="CQ498" s="79"/>
      <c r="CR498" s="79"/>
      <c r="CS498" s="79"/>
      <c r="CT498" s="79"/>
      <c r="CU498" s="79"/>
      <c r="CV498" s="79"/>
      <c r="CW498" s="79"/>
      <c r="CX498" s="85"/>
      <c r="CY498" s="85"/>
      <c r="CZ498" s="85"/>
      <c r="DA498" s="86"/>
      <c r="DB498" s="84"/>
    </row>
    <row r="499" spans="2:106" ht="11.25" customHeight="1">
      <c r="B499" s="78"/>
      <c r="C499" s="79"/>
      <c r="D499" s="79"/>
      <c r="E499" s="79"/>
      <c r="F499" s="79"/>
      <c r="G499" s="79" t="s">
        <v>49</v>
      </c>
      <c r="H499" s="79"/>
      <c r="I499" s="79" t="s">
        <v>309</v>
      </c>
      <c r="J499" s="79"/>
      <c r="K499" s="79" t="str">
        <f>TEXT(8,"#,##0.#######")</f>
        <v>8.</v>
      </c>
      <c r="L499" s="79" t="s">
        <v>598</v>
      </c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  <c r="BK499" s="79"/>
      <c r="BL499" s="79"/>
      <c r="BM499" s="79"/>
      <c r="BN499" s="79"/>
      <c r="BO499" s="79"/>
      <c r="BP499" s="79"/>
      <c r="BQ499" s="79"/>
      <c r="BR499" s="79"/>
      <c r="BS499" s="79"/>
      <c r="BT499" s="79"/>
      <c r="BU499" s="79"/>
      <c r="BV499" s="79"/>
      <c r="BW499" s="79"/>
      <c r="BX499" s="79"/>
      <c r="BY499" s="79"/>
      <c r="BZ499" s="79"/>
      <c r="CA499" s="79"/>
      <c r="CB499" s="79"/>
      <c r="CC499" s="79"/>
      <c r="CD499" s="79"/>
      <c r="CE499" s="79"/>
      <c r="CF499" s="79"/>
      <c r="CG499" s="79"/>
      <c r="CH499" s="79"/>
      <c r="CI499" s="79"/>
      <c r="CJ499" s="79"/>
      <c r="CK499" s="79"/>
      <c r="CL499" s="79"/>
      <c r="CM499" s="79"/>
      <c r="CN499" s="79"/>
      <c r="CO499" s="79"/>
      <c r="CP499" s="79"/>
      <c r="CQ499" s="79"/>
      <c r="CR499" s="79"/>
      <c r="CS499" s="79"/>
      <c r="CT499" s="79"/>
      <c r="CU499" s="79"/>
      <c r="CV499" s="79"/>
      <c r="CW499" s="79"/>
      <c r="CX499" s="85"/>
      <c r="CY499" s="85"/>
      <c r="CZ499" s="85"/>
      <c r="DA499" s="86"/>
      <c r="DB499" s="84"/>
    </row>
    <row r="500" spans="2:106" ht="11.25" customHeight="1">
      <c r="B500" s="78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  <c r="BK500" s="79"/>
      <c r="BL500" s="79"/>
      <c r="BM500" s="79"/>
      <c r="BN500" s="79"/>
      <c r="BO500" s="79"/>
      <c r="BP500" s="79"/>
      <c r="BQ500" s="79"/>
      <c r="BR500" s="79"/>
      <c r="BS500" s="79"/>
      <c r="BT500" s="79"/>
      <c r="BU500" s="79"/>
      <c r="BV500" s="79"/>
      <c r="BW500" s="79"/>
      <c r="BX500" s="79"/>
      <c r="BY500" s="79"/>
      <c r="BZ500" s="79"/>
      <c r="CA500" s="79"/>
      <c r="CB500" s="79"/>
      <c r="CC500" s="79"/>
      <c r="CD500" s="79"/>
      <c r="CE500" s="79"/>
      <c r="CF500" s="79"/>
      <c r="CG500" s="79"/>
      <c r="CH500" s="79"/>
      <c r="CI500" s="79"/>
      <c r="CJ500" s="79"/>
      <c r="CK500" s="79"/>
      <c r="CL500" s="79"/>
      <c r="CM500" s="79"/>
      <c r="CN500" s="79"/>
      <c r="CO500" s="79"/>
      <c r="CP500" s="79"/>
      <c r="CQ500" s="79"/>
      <c r="CR500" s="79"/>
      <c r="CS500" s="79"/>
      <c r="CT500" s="79"/>
      <c r="CU500" s="79"/>
      <c r="CV500" s="79"/>
      <c r="CW500" s="79"/>
      <c r="CX500" s="85"/>
      <c r="CY500" s="85"/>
      <c r="CZ500" s="85"/>
      <c r="DA500" s="86"/>
      <c r="DB500" s="84"/>
    </row>
    <row r="501" spans="2:106" ht="11.25" customHeight="1">
      <c r="B501" s="78"/>
      <c r="C501" s="79"/>
      <c r="D501" s="79"/>
      <c r="E501" s="79"/>
      <c r="F501" s="79"/>
      <c r="G501" s="79" t="s">
        <v>700</v>
      </c>
      <c r="H501" s="79"/>
      <c r="I501" s="79"/>
      <c r="J501" s="79"/>
      <c r="K501" s="79"/>
      <c r="L501" s="79"/>
      <c r="M501" s="79"/>
      <c r="N501" s="79" t="s">
        <v>604</v>
      </c>
      <c r="O501" s="79"/>
      <c r="P501" s="79" t="str">
        <f>TEXT(기계경비총괄표!G20,"#,##0")</f>
        <v>67,563</v>
      </c>
      <c r="Q501" s="79"/>
      <c r="R501" s="79"/>
      <c r="S501" s="79"/>
      <c r="T501" s="79"/>
      <c r="U501" s="79"/>
      <c r="V501" s="79"/>
      <c r="W501" s="79"/>
      <c r="X501" s="79"/>
      <c r="Y501" s="79" t="s">
        <v>699</v>
      </c>
      <c r="Z501" s="79"/>
      <c r="AA501" s="79"/>
      <c r="AB501" s="79" t="str">
        <f>TEXT(K499,"#,##0.#######")</f>
        <v>8.</v>
      </c>
      <c r="AC501" s="79"/>
      <c r="AD501" s="79"/>
      <c r="AE501" s="79"/>
      <c r="AF501" s="79" t="s">
        <v>699</v>
      </c>
      <c r="AG501" s="79"/>
      <c r="AH501" s="79"/>
      <c r="AI501" s="79" t="str">
        <f>TEXT(150,"#,##0.#######")</f>
        <v>150.</v>
      </c>
      <c r="AJ501" s="79"/>
      <c r="AK501" s="79"/>
      <c r="AL501" s="79" t="s">
        <v>157</v>
      </c>
      <c r="AM501" s="79"/>
      <c r="AN501" s="79" t="s">
        <v>309</v>
      </c>
      <c r="AO501" s="79"/>
      <c r="AP501" s="79" t="str">
        <f>TEXT(TRUNC(P501*K499*(AI501*(1/100)),1),"#,##0.#")</f>
        <v>810,756.</v>
      </c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  <c r="BK501" s="79"/>
      <c r="BL501" s="79"/>
      <c r="BM501" s="79"/>
      <c r="BN501" s="79"/>
      <c r="BO501" s="79"/>
      <c r="BP501" s="79"/>
      <c r="BQ501" s="79"/>
      <c r="BR501" s="79"/>
      <c r="BS501" s="79"/>
      <c r="BT501" s="79"/>
      <c r="BU501" s="79"/>
      <c r="BV501" s="79"/>
      <c r="BW501" s="79"/>
      <c r="BX501" s="79"/>
      <c r="BY501" s="79"/>
      <c r="BZ501" s="79"/>
      <c r="CA501" s="79"/>
      <c r="CB501" s="79"/>
      <c r="CC501" s="79"/>
      <c r="CD501" s="79"/>
      <c r="CE501" s="79"/>
      <c r="CF501" s="79"/>
      <c r="CG501" s="79"/>
      <c r="CH501" s="79"/>
      <c r="CI501" s="79"/>
      <c r="CJ501" s="79"/>
      <c r="CK501" s="79"/>
      <c r="CL501" s="79"/>
      <c r="CM501" s="79"/>
      <c r="CN501" s="79"/>
      <c r="CO501" s="79"/>
      <c r="CP501" s="79"/>
      <c r="CQ501" s="79"/>
      <c r="CR501" s="79"/>
      <c r="CS501" s="79"/>
      <c r="CT501" s="79"/>
      <c r="CU501" s="79"/>
      <c r="CV501" s="79"/>
      <c r="CW501" s="79"/>
      <c r="CX501" s="85"/>
      <c r="CY501" s="85"/>
      <c r="CZ501" s="85"/>
      <c r="DA501" s="86"/>
      <c r="DB501" s="84"/>
    </row>
    <row r="502" spans="2:106" ht="11.25" customHeight="1">
      <c r="B502" s="78"/>
      <c r="C502" s="79"/>
      <c r="D502" s="79"/>
      <c r="E502" s="79"/>
      <c r="F502" s="79"/>
      <c r="G502" s="79" t="s">
        <v>498</v>
      </c>
      <c r="H502" s="79"/>
      <c r="I502" s="79"/>
      <c r="J502" s="79"/>
      <c r="K502" s="79"/>
      <c r="L502" s="79"/>
      <c r="M502" s="79"/>
      <c r="N502" s="79" t="s">
        <v>604</v>
      </c>
      <c r="O502" s="79"/>
      <c r="P502" s="79"/>
      <c r="Q502" s="79" t="str">
        <f>TEXT(기계경비총괄표!H20,"#,##0")</f>
        <v>16,520</v>
      </c>
      <c r="R502" s="79"/>
      <c r="S502" s="79"/>
      <c r="T502" s="79"/>
      <c r="U502" s="79"/>
      <c r="V502" s="79"/>
      <c r="W502" s="79"/>
      <c r="X502" s="79"/>
      <c r="Y502" s="79"/>
      <c r="Z502" s="79" t="s">
        <v>699</v>
      </c>
      <c r="AA502" s="79"/>
      <c r="AB502" s="79"/>
      <c r="AC502" s="79" t="str">
        <f>TEXT(K499,"#,##0.#######")</f>
        <v>8.</v>
      </c>
      <c r="AD502" s="79"/>
      <c r="AE502" s="79"/>
      <c r="AF502" s="79"/>
      <c r="AG502" s="79" t="s">
        <v>309</v>
      </c>
      <c r="AH502" s="79"/>
      <c r="AI502" s="79" t="str">
        <f>TEXT(TRUNC(Q502*K499,1),"#,##0.#")</f>
        <v>132,160.</v>
      </c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  <c r="BK502" s="79"/>
      <c r="BL502" s="79"/>
      <c r="BM502" s="79"/>
      <c r="BN502" s="79"/>
      <c r="BO502" s="79"/>
      <c r="BP502" s="79"/>
      <c r="BQ502" s="79"/>
      <c r="BR502" s="79"/>
      <c r="BS502" s="79"/>
      <c r="BT502" s="79"/>
      <c r="BU502" s="79"/>
      <c r="BV502" s="79"/>
      <c r="BW502" s="79"/>
      <c r="BX502" s="79"/>
      <c r="BY502" s="79"/>
      <c r="BZ502" s="79"/>
      <c r="CA502" s="79"/>
      <c r="CB502" s="79"/>
      <c r="CC502" s="79"/>
      <c r="CD502" s="79"/>
      <c r="CE502" s="79"/>
      <c r="CF502" s="79"/>
      <c r="CG502" s="79"/>
      <c r="CH502" s="79"/>
      <c r="CI502" s="79"/>
      <c r="CJ502" s="79"/>
      <c r="CK502" s="79"/>
      <c r="CL502" s="79"/>
      <c r="CM502" s="79"/>
      <c r="CN502" s="79"/>
      <c r="CO502" s="79"/>
      <c r="CP502" s="79"/>
      <c r="CQ502" s="79"/>
      <c r="CR502" s="79"/>
      <c r="CS502" s="79"/>
      <c r="CT502" s="79"/>
      <c r="CU502" s="79"/>
      <c r="CV502" s="79"/>
      <c r="CW502" s="79"/>
      <c r="CX502" s="85"/>
      <c r="CY502" s="85"/>
      <c r="CZ502" s="85"/>
      <c r="DA502" s="86"/>
      <c r="DB502" s="84"/>
    </row>
    <row r="503" spans="2:106" ht="11.25" customHeight="1">
      <c r="B503" s="78"/>
      <c r="C503" s="79"/>
      <c r="D503" s="79"/>
      <c r="E503" s="79"/>
      <c r="F503" s="79"/>
      <c r="G503" s="79" t="s">
        <v>160</v>
      </c>
      <c r="H503" s="79"/>
      <c r="I503" s="79"/>
      <c r="J503" s="79"/>
      <c r="K503" s="79" t="s">
        <v>440</v>
      </c>
      <c r="L503" s="79"/>
      <c r="M503" s="79"/>
      <c r="N503" s="79" t="s">
        <v>604</v>
      </c>
      <c r="O503" s="79"/>
      <c r="P503" s="79" t="str">
        <f>TEXT(기계경비총괄표!I20,"#,##0")</f>
        <v>210,510</v>
      </c>
      <c r="Q503" s="79"/>
      <c r="R503" s="79"/>
      <c r="S503" s="79"/>
      <c r="T503" s="79"/>
      <c r="U503" s="79"/>
      <c r="V503" s="79"/>
      <c r="W503" s="79"/>
      <c r="X503" s="79"/>
      <c r="Y503" s="79"/>
      <c r="Z503" s="79" t="s">
        <v>699</v>
      </c>
      <c r="AA503" s="79"/>
      <c r="AB503" s="79"/>
      <c r="AC503" s="79" t="str">
        <f>TEXT(K499,"#,##0.#######")</f>
        <v>8.</v>
      </c>
      <c r="AD503" s="79"/>
      <c r="AE503" s="79"/>
      <c r="AF503" s="79"/>
      <c r="AG503" s="79" t="s">
        <v>309</v>
      </c>
      <c r="AH503" s="79"/>
      <c r="AI503" s="79" t="str">
        <f>TEXT(TRUNC(P503*K499,1),"#,##0.#")</f>
        <v>1,684,080.</v>
      </c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  <c r="BK503" s="79"/>
      <c r="BL503" s="79"/>
      <c r="BM503" s="79"/>
      <c r="BN503" s="79"/>
      <c r="BO503" s="79"/>
      <c r="BP503" s="79"/>
      <c r="BQ503" s="79"/>
      <c r="BR503" s="79"/>
      <c r="BS503" s="79"/>
      <c r="BT503" s="79"/>
      <c r="BU503" s="79"/>
      <c r="BV503" s="79"/>
      <c r="BW503" s="79"/>
      <c r="BX503" s="79"/>
      <c r="BY503" s="79"/>
      <c r="BZ503" s="79"/>
      <c r="CA503" s="79"/>
      <c r="CB503" s="79"/>
      <c r="CC503" s="79"/>
      <c r="CD503" s="79"/>
      <c r="CE503" s="79"/>
      <c r="CF503" s="79"/>
      <c r="CG503" s="79"/>
      <c r="CH503" s="79"/>
      <c r="CI503" s="79"/>
      <c r="CJ503" s="79"/>
      <c r="CK503" s="79"/>
      <c r="CL503" s="79"/>
      <c r="CM503" s="79"/>
      <c r="CN503" s="79"/>
      <c r="CO503" s="79"/>
      <c r="CP503" s="79"/>
      <c r="CQ503" s="79"/>
      <c r="CR503" s="79"/>
      <c r="CS503" s="79"/>
      <c r="CT503" s="79"/>
      <c r="CU503" s="79"/>
      <c r="CV503" s="79"/>
      <c r="CW503" s="79"/>
      <c r="CX503" s="85"/>
      <c r="CY503" s="85"/>
      <c r="CZ503" s="85"/>
      <c r="DA503" s="86"/>
      <c r="DB503" s="84"/>
    </row>
    <row r="504" spans="2:106" ht="11.25" customHeight="1">
      <c r="B504" s="78"/>
      <c r="C504" s="79"/>
      <c r="D504" s="79"/>
      <c r="E504" s="79"/>
      <c r="F504" s="79"/>
      <c r="G504" s="79" t="s">
        <v>305</v>
      </c>
      <c r="H504" s="79"/>
      <c r="I504" s="79"/>
      <c r="J504" s="79"/>
      <c r="K504" s="79" t="s">
        <v>436</v>
      </c>
      <c r="L504" s="79"/>
      <c r="M504" s="79"/>
      <c r="N504" s="79" t="s">
        <v>604</v>
      </c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 t="str">
        <f>TEXT(AP501+AI502+AI503,"#,##0.#######")</f>
        <v>2,626,996.</v>
      </c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  <c r="BK504" s="79"/>
      <c r="BL504" s="79"/>
      <c r="BM504" s="79"/>
      <c r="BN504" s="79"/>
      <c r="BO504" s="79"/>
      <c r="BP504" s="79"/>
      <c r="BQ504" s="79"/>
      <c r="BR504" s="79"/>
      <c r="BS504" s="79"/>
      <c r="BT504" s="79"/>
      <c r="BU504" s="79"/>
      <c r="BV504" s="79"/>
      <c r="BW504" s="79"/>
      <c r="BX504" s="79"/>
      <c r="BY504" s="79"/>
      <c r="BZ504" s="79"/>
      <c r="CA504" s="79"/>
      <c r="CB504" s="79"/>
      <c r="CC504" s="79"/>
      <c r="CD504" s="79"/>
      <c r="CE504" s="79"/>
      <c r="CF504" s="79"/>
      <c r="CG504" s="79"/>
      <c r="CH504" s="79"/>
      <c r="CI504" s="79"/>
      <c r="CJ504" s="79"/>
      <c r="CK504" s="79"/>
      <c r="CL504" s="79"/>
      <c r="CM504" s="79"/>
      <c r="CN504" s="79"/>
      <c r="CO504" s="79"/>
      <c r="CP504" s="79"/>
      <c r="CQ504" s="79"/>
      <c r="CR504" s="79"/>
      <c r="CS504" s="79"/>
      <c r="CT504" s="79"/>
      <c r="CU504" s="79"/>
      <c r="CV504" s="79"/>
      <c r="CW504" s="79"/>
      <c r="CX504" s="85">
        <f>CY504+CZ504+DA504</f>
        <v>2626996</v>
      </c>
      <c r="CY504" s="85" t="str">
        <f>TEXT(AP501,"#,###.0")</f>
        <v>810,756.0</v>
      </c>
      <c r="CZ504" s="85" t="str">
        <f>TEXT(AI502,"#,###.0")</f>
        <v>132,160.0</v>
      </c>
      <c r="DA504" s="86" t="str">
        <f>TEXT(AI503,"#,###.0")</f>
        <v>1,684,080.0</v>
      </c>
      <c r="DB504" s="84"/>
    </row>
    <row r="505" spans="2:106" ht="11.25" customHeight="1">
      <c r="B505" s="78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  <c r="BK505" s="79"/>
      <c r="BL505" s="79"/>
      <c r="BM505" s="79"/>
      <c r="BN505" s="79"/>
      <c r="BO505" s="79"/>
      <c r="BP505" s="79"/>
      <c r="BQ505" s="79"/>
      <c r="BR505" s="79"/>
      <c r="BS505" s="79"/>
      <c r="BT505" s="79"/>
      <c r="BU505" s="79"/>
      <c r="BV505" s="79"/>
      <c r="BW505" s="79"/>
      <c r="BX505" s="79"/>
      <c r="BY505" s="79"/>
      <c r="BZ505" s="79"/>
      <c r="CA505" s="79"/>
      <c r="CB505" s="79"/>
      <c r="CC505" s="79"/>
      <c r="CD505" s="79"/>
      <c r="CE505" s="79"/>
      <c r="CF505" s="79"/>
      <c r="CG505" s="79"/>
      <c r="CH505" s="79"/>
      <c r="CI505" s="79"/>
      <c r="CJ505" s="79"/>
      <c r="CK505" s="79"/>
      <c r="CL505" s="79"/>
      <c r="CM505" s="79"/>
      <c r="CN505" s="79"/>
      <c r="CO505" s="79"/>
      <c r="CP505" s="79"/>
      <c r="CQ505" s="79"/>
      <c r="CR505" s="79"/>
      <c r="CS505" s="79"/>
      <c r="CT505" s="79"/>
      <c r="CU505" s="79"/>
      <c r="CV505" s="79"/>
      <c r="CW505" s="79"/>
      <c r="CX505" s="85"/>
      <c r="CY505" s="85"/>
      <c r="CZ505" s="85"/>
      <c r="DA505" s="86"/>
      <c r="DB505" s="84"/>
    </row>
    <row r="506" spans="2:106" ht="11.25" customHeight="1">
      <c r="B506" s="78"/>
      <c r="C506" s="79"/>
      <c r="D506" s="79" t="s">
        <v>594</v>
      </c>
      <c r="E506" s="79"/>
      <c r="F506" s="79"/>
      <c r="G506" s="79" t="s">
        <v>557</v>
      </c>
      <c r="H506" s="79"/>
      <c r="I506" s="79"/>
      <c r="J506" s="79"/>
      <c r="K506" s="79" t="s">
        <v>436</v>
      </c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  <c r="BK506" s="79"/>
      <c r="BL506" s="79"/>
      <c r="BM506" s="79"/>
      <c r="BN506" s="79"/>
      <c r="BO506" s="79"/>
      <c r="BP506" s="79"/>
      <c r="BQ506" s="79"/>
      <c r="BR506" s="79"/>
      <c r="BS506" s="79"/>
      <c r="BT506" s="79"/>
      <c r="BU506" s="79"/>
      <c r="BV506" s="79"/>
      <c r="BW506" s="79"/>
      <c r="BX506" s="79"/>
      <c r="BY506" s="79"/>
      <c r="BZ506" s="79"/>
      <c r="CA506" s="79"/>
      <c r="CB506" s="79"/>
      <c r="CC506" s="79"/>
      <c r="CD506" s="79"/>
      <c r="CE506" s="79"/>
      <c r="CF506" s="79"/>
      <c r="CG506" s="79"/>
      <c r="CH506" s="79"/>
      <c r="CI506" s="79"/>
      <c r="CJ506" s="79"/>
      <c r="CK506" s="79"/>
      <c r="CL506" s="79"/>
      <c r="CM506" s="79"/>
      <c r="CN506" s="79"/>
      <c r="CO506" s="79"/>
      <c r="CP506" s="79"/>
      <c r="CQ506" s="79"/>
      <c r="CR506" s="79"/>
      <c r="CS506" s="79"/>
      <c r="CT506" s="79"/>
      <c r="CU506" s="79"/>
      <c r="CV506" s="79"/>
      <c r="CW506" s="79"/>
      <c r="CX506" s="85"/>
      <c r="CY506" s="85"/>
      <c r="CZ506" s="85"/>
      <c r="DA506" s="86"/>
      <c r="DB506" s="84"/>
    </row>
    <row r="507" spans="2:106" ht="11.25" customHeight="1">
      <c r="B507" s="78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  <c r="BK507" s="79"/>
      <c r="BL507" s="79"/>
      <c r="BM507" s="79"/>
      <c r="BN507" s="79"/>
      <c r="BO507" s="79"/>
      <c r="BP507" s="79"/>
      <c r="BQ507" s="79"/>
      <c r="BR507" s="79"/>
      <c r="BS507" s="79"/>
      <c r="BT507" s="79"/>
      <c r="BU507" s="79"/>
      <c r="BV507" s="79"/>
      <c r="BW507" s="79"/>
      <c r="BX507" s="79"/>
      <c r="BY507" s="79"/>
      <c r="BZ507" s="79"/>
      <c r="CA507" s="79"/>
      <c r="CB507" s="79"/>
      <c r="CC507" s="79"/>
      <c r="CD507" s="79"/>
      <c r="CE507" s="79"/>
      <c r="CF507" s="79"/>
      <c r="CG507" s="79"/>
      <c r="CH507" s="79"/>
      <c r="CI507" s="79"/>
      <c r="CJ507" s="79"/>
      <c r="CK507" s="79"/>
      <c r="CL507" s="79"/>
      <c r="CM507" s="79"/>
      <c r="CN507" s="79"/>
      <c r="CO507" s="79"/>
      <c r="CP507" s="79"/>
      <c r="CQ507" s="79"/>
      <c r="CR507" s="79"/>
      <c r="CS507" s="79"/>
      <c r="CT507" s="79"/>
      <c r="CU507" s="79"/>
      <c r="CV507" s="79"/>
      <c r="CW507" s="79"/>
      <c r="CX507" s="85"/>
      <c r="CY507" s="85"/>
      <c r="CZ507" s="85"/>
      <c r="DA507" s="86"/>
      <c r="DB507" s="84"/>
    </row>
    <row r="508" spans="2:106" ht="11.25" customHeight="1">
      <c r="B508" s="78"/>
      <c r="C508" s="79"/>
      <c r="D508" s="79"/>
      <c r="E508" s="79"/>
      <c r="F508" s="79"/>
      <c r="G508" s="79"/>
      <c r="H508" s="79" t="s">
        <v>700</v>
      </c>
      <c r="I508" s="79"/>
      <c r="J508" s="79"/>
      <c r="K508" s="79"/>
      <c r="L508" s="79"/>
      <c r="M508" s="79"/>
      <c r="N508" s="79"/>
      <c r="O508" s="79" t="s">
        <v>604</v>
      </c>
      <c r="P508" s="79"/>
      <c r="Q508" s="79" t="str">
        <f>TEXT(TRUNC(CY504,0),"#,##0")</f>
        <v>810,756</v>
      </c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  <c r="BK508" s="79"/>
      <c r="BL508" s="79"/>
      <c r="BM508" s="79"/>
      <c r="BN508" s="79"/>
      <c r="BO508" s="79"/>
      <c r="BP508" s="79"/>
      <c r="BQ508" s="79"/>
      <c r="BR508" s="79"/>
      <c r="BS508" s="79"/>
      <c r="BT508" s="79"/>
      <c r="BU508" s="79"/>
      <c r="BV508" s="79"/>
      <c r="BW508" s="79"/>
      <c r="BX508" s="79"/>
      <c r="BY508" s="79"/>
      <c r="BZ508" s="79"/>
      <c r="CA508" s="79"/>
      <c r="CB508" s="79"/>
      <c r="CC508" s="79"/>
      <c r="CD508" s="79"/>
      <c r="CE508" s="79"/>
      <c r="CF508" s="79"/>
      <c r="CG508" s="79"/>
      <c r="CH508" s="79"/>
      <c r="CI508" s="79"/>
      <c r="CJ508" s="79"/>
      <c r="CK508" s="79"/>
      <c r="CL508" s="79"/>
      <c r="CM508" s="79"/>
      <c r="CN508" s="79"/>
      <c r="CO508" s="79"/>
      <c r="CP508" s="79"/>
      <c r="CQ508" s="79"/>
      <c r="CR508" s="79"/>
      <c r="CS508" s="79"/>
      <c r="CT508" s="79"/>
      <c r="CU508" s="79"/>
      <c r="CV508" s="79"/>
      <c r="CW508" s="79"/>
      <c r="CX508" s="85"/>
      <c r="CY508" s="85"/>
      <c r="CZ508" s="85"/>
      <c r="DA508" s="86"/>
      <c r="DB508" s="84"/>
    </row>
    <row r="509" spans="2:106" ht="11.25" customHeight="1">
      <c r="B509" s="78"/>
      <c r="C509" s="79"/>
      <c r="D509" s="79"/>
      <c r="E509" s="79"/>
      <c r="F509" s="79"/>
      <c r="G509" s="79"/>
      <c r="H509" s="79" t="s">
        <v>498</v>
      </c>
      <c r="I509" s="79"/>
      <c r="J509" s="79"/>
      <c r="K509" s="79"/>
      <c r="L509" s="79"/>
      <c r="M509" s="79"/>
      <c r="N509" s="79"/>
      <c r="O509" s="79" t="s">
        <v>604</v>
      </c>
      <c r="P509" s="79"/>
      <c r="Q509" s="79" t="str">
        <f>TEXT(TRUNC(CZ504,0),"#,##0")</f>
        <v>132,160</v>
      </c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  <c r="BK509" s="79"/>
      <c r="BL509" s="79"/>
      <c r="BM509" s="79"/>
      <c r="BN509" s="79"/>
      <c r="BO509" s="79"/>
      <c r="BP509" s="79"/>
      <c r="BQ509" s="79"/>
      <c r="BR509" s="79"/>
      <c r="BS509" s="79"/>
      <c r="BT509" s="79"/>
      <c r="BU509" s="79"/>
      <c r="BV509" s="79"/>
      <c r="BW509" s="79"/>
      <c r="BX509" s="79"/>
      <c r="BY509" s="79"/>
      <c r="BZ509" s="79"/>
      <c r="CA509" s="79"/>
      <c r="CB509" s="79"/>
      <c r="CC509" s="79"/>
      <c r="CD509" s="79"/>
      <c r="CE509" s="79"/>
      <c r="CF509" s="79"/>
      <c r="CG509" s="79"/>
      <c r="CH509" s="79"/>
      <c r="CI509" s="79"/>
      <c r="CJ509" s="79"/>
      <c r="CK509" s="79"/>
      <c r="CL509" s="79"/>
      <c r="CM509" s="79"/>
      <c r="CN509" s="79"/>
      <c r="CO509" s="79"/>
      <c r="CP509" s="79"/>
      <c r="CQ509" s="79"/>
      <c r="CR509" s="79"/>
      <c r="CS509" s="79"/>
      <c r="CT509" s="79"/>
      <c r="CU509" s="79"/>
      <c r="CV509" s="79"/>
      <c r="CW509" s="79"/>
      <c r="CX509" s="85"/>
      <c r="CY509" s="85"/>
      <c r="CZ509" s="85"/>
      <c r="DA509" s="86"/>
      <c r="DB509" s="84"/>
    </row>
    <row r="510" spans="2:106" ht="11.25" customHeight="1">
      <c r="B510" s="78"/>
      <c r="C510" s="79"/>
      <c r="D510" s="79"/>
      <c r="E510" s="79"/>
      <c r="F510" s="79"/>
      <c r="G510" s="79"/>
      <c r="H510" s="79" t="s">
        <v>160</v>
      </c>
      <c r="I510" s="79"/>
      <c r="J510" s="79"/>
      <c r="K510" s="79"/>
      <c r="L510" s="79" t="s">
        <v>440</v>
      </c>
      <c r="M510" s="79"/>
      <c r="N510" s="79"/>
      <c r="O510" s="79" t="s">
        <v>604</v>
      </c>
      <c r="P510" s="79"/>
      <c r="Q510" s="79" t="str">
        <f>TEXT(TRUNC(DA504,0),"#,##0")</f>
        <v>1,684,080</v>
      </c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  <c r="BK510" s="79"/>
      <c r="BL510" s="79"/>
      <c r="BM510" s="79"/>
      <c r="BN510" s="79"/>
      <c r="BO510" s="79"/>
      <c r="BP510" s="79"/>
      <c r="BQ510" s="79"/>
      <c r="BR510" s="79"/>
      <c r="BS510" s="79"/>
      <c r="BT510" s="79"/>
      <c r="BU510" s="79"/>
      <c r="BV510" s="79"/>
      <c r="BW510" s="79"/>
      <c r="BX510" s="79"/>
      <c r="BY510" s="79"/>
      <c r="BZ510" s="79"/>
      <c r="CA510" s="79"/>
      <c r="CB510" s="79"/>
      <c r="CC510" s="79"/>
      <c r="CD510" s="79"/>
      <c r="CE510" s="79"/>
      <c r="CF510" s="79"/>
      <c r="CG510" s="79"/>
      <c r="CH510" s="79"/>
      <c r="CI510" s="79"/>
      <c r="CJ510" s="79"/>
      <c r="CK510" s="79"/>
      <c r="CL510" s="79"/>
      <c r="CM510" s="79"/>
      <c r="CN510" s="79"/>
      <c r="CO510" s="79"/>
      <c r="CP510" s="79"/>
      <c r="CQ510" s="79"/>
      <c r="CR510" s="79"/>
      <c r="CS510" s="79"/>
      <c r="CT510" s="79"/>
      <c r="CU510" s="79"/>
      <c r="CV510" s="79"/>
      <c r="CW510" s="79"/>
      <c r="CX510" s="85"/>
      <c r="CY510" s="85"/>
      <c r="CZ510" s="85"/>
      <c r="DA510" s="86"/>
      <c r="DB510" s="84"/>
    </row>
    <row r="511" spans="2:106" ht="11.25" customHeight="1">
      <c r="B511" s="78"/>
      <c r="C511" s="79"/>
      <c r="D511" s="79"/>
      <c r="E511" s="79"/>
      <c r="F511" s="79"/>
      <c r="G511" s="79"/>
      <c r="H511" s="79"/>
      <c r="I511" s="79"/>
      <c r="J511" s="79" t="s">
        <v>436</v>
      </c>
      <c r="K511" s="79"/>
      <c r="L511" s="79"/>
      <c r="M511" s="79"/>
      <c r="N511" s="79"/>
      <c r="O511" s="79" t="s">
        <v>604</v>
      </c>
      <c r="P511" s="79"/>
      <c r="Q511" s="79"/>
      <c r="R511" s="79" t="str">
        <f>TEXT(Q508+Q509+Q510,"#,##0")</f>
        <v>2,626,996</v>
      </c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  <c r="BK511" s="79"/>
      <c r="BL511" s="79"/>
      <c r="BM511" s="79"/>
      <c r="BN511" s="79"/>
      <c r="BO511" s="79"/>
      <c r="BP511" s="79"/>
      <c r="BQ511" s="79"/>
      <c r="BR511" s="79"/>
      <c r="BS511" s="79"/>
      <c r="BT511" s="79"/>
      <c r="BU511" s="79"/>
      <c r="BV511" s="79"/>
      <c r="BW511" s="79"/>
      <c r="BX511" s="79"/>
      <c r="BY511" s="79"/>
      <c r="BZ511" s="79"/>
      <c r="CA511" s="79"/>
      <c r="CB511" s="79"/>
      <c r="CC511" s="79"/>
      <c r="CD511" s="79"/>
      <c r="CE511" s="79"/>
      <c r="CF511" s="79"/>
      <c r="CG511" s="79"/>
      <c r="CH511" s="79"/>
      <c r="CI511" s="79"/>
      <c r="CJ511" s="79"/>
      <c r="CK511" s="79"/>
      <c r="CL511" s="79"/>
      <c r="CM511" s="79"/>
      <c r="CN511" s="79"/>
      <c r="CO511" s="79"/>
      <c r="CP511" s="79"/>
      <c r="CQ511" s="79"/>
      <c r="CR511" s="79"/>
      <c r="CS511" s="79"/>
      <c r="CT511" s="79"/>
      <c r="CU511" s="79"/>
      <c r="CV511" s="79"/>
      <c r="CW511" s="79"/>
      <c r="CX511" s="89">
        <f>CY511+CZ511+DA511</f>
        <v>2626996</v>
      </c>
      <c r="CY511" s="85" t="str">
        <f>TEXT(Q508,"#,##0")</f>
        <v>810,756</v>
      </c>
      <c r="CZ511" s="85" t="str">
        <f>TEXT(Q509,"#,##0")</f>
        <v>132,160</v>
      </c>
      <c r="DA511" s="86" t="str">
        <f>TEXT(Q510,"#,##0")</f>
        <v>1,684,080</v>
      </c>
      <c r="DB511" s="84"/>
    </row>
    <row r="512" spans="2:106" ht="11.25" customHeight="1">
      <c r="B512" s="78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  <c r="BK512" s="79"/>
      <c r="BL512" s="79"/>
      <c r="BM512" s="79"/>
      <c r="BN512" s="79"/>
      <c r="BO512" s="79"/>
      <c r="BP512" s="79"/>
      <c r="BQ512" s="79"/>
      <c r="BR512" s="79"/>
      <c r="BS512" s="79"/>
      <c r="BT512" s="79"/>
      <c r="BU512" s="79"/>
      <c r="BV512" s="79"/>
      <c r="BW512" s="79"/>
      <c r="BX512" s="79"/>
      <c r="BY512" s="79"/>
      <c r="BZ512" s="79"/>
      <c r="CA512" s="79"/>
      <c r="CB512" s="79"/>
      <c r="CC512" s="79"/>
      <c r="CD512" s="79"/>
      <c r="CE512" s="79"/>
      <c r="CF512" s="79"/>
      <c r="CG512" s="79"/>
      <c r="CH512" s="79"/>
      <c r="CI512" s="79"/>
      <c r="CJ512" s="79"/>
      <c r="CK512" s="79"/>
      <c r="CL512" s="79"/>
      <c r="CM512" s="79"/>
      <c r="CN512" s="79"/>
      <c r="CO512" s="79"/>
      <c r="CP512" s="79"/>
      <c r="CQ512" s="79"/>
      <c r="CR512" s="79"/>
      <c r="CS512" s="79"/>
      <c r="CT512" s="79"/>
      <c r="CU512" s="79"/>
      <c r="CV512" s="79"/>
      <c r="CW512" s="79"/>
      <c r="CX512" s="85"/>
      <c r="CY512" s="85"/>
      <c r="CZ512" s="85"/>
      <c r="DA512" s="86"/>
      <c r="DB512" s="84"/>
    </row>
    <row r="513" spans="2:106" ht="11.25" customHeight="1">
      <c r="B513" s="81" t="s">
        <v>277</v>
      </c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  <c r="BK513" s="79"/>
      <c r="BL513" s="79"/>
      <c r="BM513" s="79"/>
      <c r="BN513" s="79"/>
      <c r="BO513" s="79"/>
      <c r="BP513" s="79"/>
      <c r="BQ513" s="79"/>
      <c r="BR513" s="79"/>
      <c r="BS513" s="79"/>
      <c r="BT513" s="79"/>
      <c r="BU513" s="79"/>
      <c r="BV513" s="79"/>
      <c r="BW513" s="79"/>
      <c r="BX513" s="79"/>
      <c r="BY513" s="79"/>
      <c r="BZ513" s="79"/>
      <c r="CA513" s="79"/>
      <c r="CB513" s="79"/>
      <c r="CC513" s="79"/>
      <c r="CD513" s="79"/>
      <c r="CE513" s="79"/>
      <c r="CF513" s="79"/>
      <c r="CG513" s="79"/>
      <c r="CH513" s="79"/>
      <c r="CI513" s="79"/>
      <c r="CJ513" s="79"/>
      <c r="CK513" s="79"/>
      <c r="CL513" s="79"/>
      <c r="CM513" s="79"/>
      <c r="CN513" s="79"/>
      <c r="CO513" s="79"/>
      <c r="CP513" s="79"/>
      <c r="CQ513" s="79"/>
      <c r="CR513" s="79"/>
      <c r="CS513" s="79"/>
      <c r="CT513" s="79"/>
      <c r="CU513" s="79"/>
      <c r="CV513" s="79"/>
      <c r="CW513" s="79"/>
      <c r="CX513" s="82">
        <f>CX535</f>
        <v>4436</v>
      </c>
      <c r="CY513" s="82" t="str">
        <f>CY535</f>
        <v>2,541</v>
      </c>
      <c r="CZ513" s="82" t="str">
        <f>CZ535</f>
        <v>838</v>
      </c>
      <c r="DA513" s="83" t="str">
        <f>DA535</f>
        <v>1,057</v>
      </c>
      <c r="DB513" s="84"/>
    </row>
    <row r="514" spans="2:106" ht="11.25" customHeight="1">
      <c r="B514" s="78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  <c r="BK514" s="79"/>
      <c r="BL514" s="79"/>
      <c r="BM514" s="79"/>
      <c r="BN514" s="79"/>
      <c r="BO514" s="79"/>
      <c r="BP514" s="79"/>
      <c r="BQ514" s="79"/>
      <c r="BR514" s="79"/>
      <c r="BS514" s="79"/>
      <c r="BT514" s="79"/>
      <c r="BU514" s="79"/>
      <c r="BV514" s="79"/>
      <c r="BW514" s="79"/>
      <c r="BX514" s="79"/>
      <c r="BY514" s="79"/>
      <c r="BZ514" s="79"/>
      <c r="CA514" s="79"/>
      <c r="CB514" s="79"/>
      <c r="CC514" s="79"/>
      <c r="CD514" s="79"/>
      <c r="CE514" s="79"/>
      <c r="CF514" s="79"/>
      <c r="CG514" s="79"/>
      <c r="CH514" s="79"/>
      <c r="CI514" s="79"/>
      <c r="CJ514" s="79"/>
      <c r="CK514" s="79"/>
      <c r="CL514" s="79"/>
      <c r="CM514" s="79"/>
      <c r="CN514" s="79"/>
      <c r="CO514" s="79"/>
      <c r="CP514" s="79"/>
      <c r="CQ514" s="79"/>
      <c r="CR514" s="79"/>
      <c r="CS514" s="79"/>
      <c r="CT514" s="79"/>
      <c r="CU514" s="79"/>
      <c r="CV514" s="79"/>
      <c r="CW514" s="79"/>
      <c r="CX514" s="85"/>
      <c r="CY514" s="85"/>
      <c r="CZ514" s="85"/>
      <c r="DA514" s="86"/>
      <c r="DB514" s="84"/>
    </row>
    <row r="515" spans="2:106" ht="11.25" customHeight="1">
      <c r="B515" s="78"/>
      <c r="C515" s="79"/>
      <c r="D515" s="79" t="s">
        <v>401</v>
      </c>
      <c r="E515" s="79"/>
      <c r="F515" s="79"/>
      <c r="G515" s="79" t="s">
        <v>246</v>
      </c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 t="s">
        <v>653</v>
      </c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  <c r="BK515" s="79"/>
      <c r="BL515" s="79"/>
      <c r="BM515" s="79"/>
      <c r="BN515" s="79"/>
      <c r="BO515" s="79"/>
      <c r="BP515" s="79"/>
      <c r="BQ515" s="79"/>
      <c r="BR515" s="79"/>
      <c r="BS515" s="79"/>
      <c r="BT515" s="79"/>
      <c r="BU515" s="79"/>
      <c r="BV515" s="79"/>
      <c r="BW515" s="79"/>
      <c r="BX515" s="79"/>
      <c r="BY515" s="79"/>
      <c r="BZ515" s="79"/>
      <c r="CA515" s="79"/>
      <c r="CB515" s="79"/>
      <c r="CC515" s="79"/>
      <c r="CD515" s="79"/>
      <c r="CE515" s="79"/>
      <c r="CF515" s="79"/>
      <c r="CG515" s="79"/>
      <c r="CH515" s="79"/>
      <c r="CI515" s="79"/>
      <c r="CJ515" s="79"/>
      <c r="CK515" s="79"/>
      <c r="CL515" s="79"/>
      <c r="CM515" s="79"/>
      <c r="CN515" s="79"/>
      <c r="CO515" s="79"/>
      <c r="CP515" s="79"/>
      <c r="CQ515" s="79"/>
      <c r="CR515" s="79"/>
      <c r="CS515" s="79"/>
      <c r="CT515" s="79"/>
      <c r="CU515" s="79"/>
      <c r="CV515" s="79"/>
      <c r="CW515" s="79"/>
      <c r="CX515" s="85"/>
      <c r="CY515" s="85"/>
      <c r="CZ515" s="85"/>
      <c r="DA515" s="86"/>
      <c r="DB515" s="84"/>
    </row>
    <row r="516" spans="2:106" ht="11.25" customHeight="1">
      <c r="B516" s="78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  <c r="BK516" s="79"/>
      <c r="BL516" s="79"/>
      <c r="BM516" s="79"/>
      <c r="BN516" s="79"/>
      <c r="BO516" s="79"/>
      <c r="BP516" s="79"/>
      <c r="BQ516" s="79"/>
      <c r="BR516" s="79"/>
      <c r="BS516" s="79"/>
      <c r="BT516" s="79"/>
      <c r="BU516" s="79"/>
      <c r="BV516" s="79"/>
      <c r="BW516" s="79"/>
      <c r="BX516" s="79"/>
      <c r="BY516" s="79"/>
      <c r="BZ516" s="79"/>
      <c r="CA516" s="79"/>
      <c r="CB516" s="79"/>
      <c r="CC516" s="79"/>
      <c r="CD516" s="79"/>
      <c r="CE516" s="79"/>
      <c r="CF516" s="79"/>
      <c r="CG516" s="79"/>
      <c r="CH516" s="79"/>
      <c r="CI516" s="79"/>
      <c r="CJ516" s="79"/>
      <c r="CK516" s="79"/>
      <c r="CL516" s="79"/>
      <c r="CM516" s="79"/>
      <c r="CN516" s="79"/>
      <c r="CO516" s="79"/>
      <c r="CP516" s="79"/>
      <c r="CQ516" s="79"/>
      <c r="CR516" s="79"/>
      <c r="CS516" s="79"/>
      <c r="CT516" s="79"/>
      <c r="CU516" s="79"/>
      <c r="CV516" s="79"/>
      <c r="CW516" s="79"/>
      <c r="CX516" s="85"/>
      <c r="CY516" s="85"/>
      <c r="CZ516" s="85"/>
      <c r="DA516" s="86"/>
      <c r="DB516" s="84"/>
    </row>
    <row r="517" spans="2:106" ht="11.25" customHeight="1">
      <c r="B517" s="78"/>
      <c r="C517" s="79"/>
      <c r="D517" s="79"/>
      <c r="E517" s="79"/>
      <c r="F517" s="79"/>
      <c r="G517" s="79" t="s">
        <v>697</v>
      </c>
      <c r="H517" s="79"/>
      <c r="I517" s="79" t="s">
        <v>309</v>
      </c>
      <c r="J517" s="79"/>
      <c r="K517" s="79" t="str">
        <f>TEXT(0.7,"#,##0.#######")</f>
        <v>0.7</v>
      </c>
      <c r="L517" s="79"/>
      <c r="M517" s="79"/>
      <c r="N517" s="79"/>
      <c r="O517" s="79"/>
      <c r="P517" s="79"/>
      <c r="Q517" s="79"/>
      <c r="R517" s="79"/>
      <c r="S517" s="79"/>
      <c r="T517" s="79" t="s">
        <v>91</v>
      </c>
      <c r="U517" s="79"/>
      <c r="V517" s="79" t="s">
        <v>309</v>
      </c>
      <c r="W517" s="79"/>
      <c r="X517" s="79" t="str">
        <f>TEXT(1,"#,##0.#######")</f>
        <v>1.</v>
      </c>
      <c r="Y517" s="79"/>
      <c r="Z517" s="79" t="s">
        <v>123</v>
      </c>
      <c r="AA517" s="79"/>
      <c r="AB517" s="79" t="str">
        <f>TEXT(1.5,"#,##0.#######")</f>
        <v>1.5</v>
      </c>
      <c r="AC517" s="79"/>
      <c r="AD517" s="79"/>
      <c r="AE517" s="79"/>
      <c r="AF517" s="79" t="s">
        <v>309</v>
      </c>
      <c r="AG517" s="79"/>
      <c r="AH517" s="79" t="str">
        <f>TEXT(ROUND(X517/AB517,2),"#,##0.#######")</f>
        <v>0.67</v>
      </c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 t="s">
        <v>335</v>
      </c>
      <c r="AT517" s="79"/>
      <c r="AU517" s="79" t="s">
        <v>309</v>
      </c>
      <c r="AV517" s="79"/>
      <c r="AW517" s="79" t="str">
        <f>TEXT(0.55,"#,##0.#######")</f>
        <v>0.55</v>
      </c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  <c r="BK517" s="79"/>
      <c r="BL517" s="79"/>
      <c r="BM517" s="79"/>
      <c r="BN517" s="79"/>
      <c r="BO517" s="79"/>
      <c r="BP517" s="79"/>
      <c r="BQ517" s="79"/>
      <c r="BR517" s="79"/>
      <c r="BS517" s="79"/>
      <c r="BT517" s="79"/>
      <c r="BU517" s="79"/>
      <c r="BV517" s="79"/>
      <c r="BW517" s="79"/>
      <c r="BX517" s="79"/>
      <c r="BY517" s="79"/>
      <c r="BZ517" s="79"/>
      <c r="CA517" s="79"/>
      <c r="CB517" s="79"/>
      <c r="CC517" s="79"/>
      <c r="CD517" s="79"/>
      <c r="CE517" s="79"/>
      <c r="CF517" s="79"/>
      <c r="CG517" s="79"/>
      <c r="CH517" s="79"/>
      <c r="CI517" s="79"/>
      <c r="CJ517" s="79"/>
      <c r="CK517" s="79"/>
      <c r="CL517" s="79"/>
      <c r="CM517" s="79"/>
      <c r="CN517" s="79"/>
      <c r="CO517" s="79"/>
      <c r="CP517" s="79"/>
      <c r="CQ517" s="79"/>
      <c r="CR517" s="79"/>
      <c r="CS517" s="79"/>
      <c r="CT517" s="79"/>
      <c r="CU517" s="79"/>
      <c r="CV517" s="79"/>
      <c r="CW517" s="79"/>
      <c r="CX517" s="85"/>
      <c r="CY517" s="85"/>
      <c r="CZ517" s="85"/>
      <c r="DA517" s="86"/>
      <c r="DB517" s="84"/>
    </row>
    <row r="518" spans="2:106" ht="11.25" customHeight="1">
      <c r="B518" s="78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  <c r="BK518" s="79"/>
      <c r="BL518" s="79"/>
      <c r="BM518" s="79"/>
      <c r="BN518" s="79"/>
      <c r="BO518" s="79"/>
      <c r="BP518" s="79"/>
      <c r="BQ518" s="79"/>
      <c r="BR518" s="79"/>
      <c r="BS518" s="79"/>
      <c r="BT518" s="79"/>
      <c r="BU518" s="79"/>
      <c r="BV518" s="79"/>
      <c r="BW518" s="79"/>
      <c r="BX518" s="79"/>
      <c r="BY518" s="79"/>
      <c r="BZ518" s="79"/>
      <c r="CA518" s="79"/>
      <c r="CB518" s="79"/>
      <c r="CC518" s="79"/>
      <c r="CD518" s="79"/>
      <c r="CE518" s="79"/>
      <c r="CF518" s="79"/>
      <c r="CG518" s="79"/>
      <c r="CH518" s="79"/>
      <c r="CI518" s="79"/>
      <c r="CJ518" s="79"/>
      <c r="CK518" s="79"/>
      <c r="CL518" s="79"/>
      <c r="CM518" s="79"/>
      <c r="CN518" s="79"/>
      <c r="CO518" s="79"/>
      <c r="CP518" s="79"/>
      <c r="CQ518" s="79"/>
      <c r="CR518" s="79"/>
      <c r="CS518" s="79"/>
      <c r="CT518" s="79"/>
      <c r="CU518" s="79"/>
      <c r="CV518" s="79"/>
      <c r="CW518" s="79"/>
      <c r="CX518" s="85"/>
      <c r="CY518" s="85"/>
      <c r="CZ518" s="85"/>
      <c r="DA518" s="86"/>
      <c r="DB518" s="84"/>
    </row>
    <row r="519" spans="2:106" ht="11.25" customHeight="1">
      <c r="B519" s="78"/>
      <c r="C519" s="79"/>
      <c r="D519" s="79"/>
      <c r="E519" s="79"/>
      <c r="F519" s="79"/>
      <c r="G519" s="79" t="s">
        <v>342</v>
      </c>
      <c r="H519" s="79"/>
      <c r="I519" s="79" t="s">
        <v>309</v>
      </c>
      <c r="J519" s="79"/>
      <c r="K519" s="79" t="str">
        <f>TEXT(0.45,"#,##0.#######")</f>
        <v>0.45</v>
      </c>
      <c r="L519" s="79"/>
      <c r="M519" s="79"/>
      <c r="N519" s="79"/>
      <c r="O519" s="79"/>
      <c r="P519" s="79"/>
      <c r="Q519" s="79"/>
      <c r="R519" s="79"/>
      <c r="S519" s="79"/>
      <c r="T519" s="79" t="s">
        <v>103</v>
      </c>
      <c r="U519" s="79"/>
      <c r="V519" s="79"/>
      <c r="W519" s="79" t="s">
        <v>309</v>
      </c>
      <c r="X519" s="79"/>
      <c r="Y519" s="79" t="str">
        <f>TEXT(18,"#,##0.#######")</f>
        <v>18.</v>
      </c>
      <c r="Z519" s="79"/>
      <c r="AA519" s="79" t="s">
        <v>731</v>
      </c>
      <c r="AB519" s="79"/>
      <c r="AC519" s="79"/>
      <c r="AD519" s="79"/>
      <c r="AE519" s="79" t="s">
        <v>431</v>
      </c>
      <c r="AF519" s="79" t="s">
        <v>68</v>
      </c>
      <c r="AG519" s="79"/>
      <c r="AH519" s="79" t="s">
        <v>572</v>
      </c>
      <c r="AI519" s="79"/>
      <c r="AJ519" s="79" t="s">
        <v>89</v>
      </c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  <c r="BY519" s="79"/>
      <c r="BZ519" s="79"/>
      <c r="CA519" s="79"/>
      <c r="CB519" s="79"/>
      <c r="CC519" s="79"/>
      <c r="CD519" s="79"/>
      <c r="CE519" s="79"/>
      <c r="CF519" s="79"/>
      <c r="CG519" s="79"/>
      <c r="CH519" s="79"/>
      <c r="CI519" s="79"/>
      <c r="CJ519" s="79"/>
      <c r="CK519" s="79"/>
      <c r="CL519" s="79"/>
      <c r="CM519" s="79"/>
      <c r="CN519" s="79"/>
      <c r="CO519" s="79"/>
      <c r="CP519" s="79"/>
      <c r="CQ519" s="79"/>
      <c r="CR519" s="79"/>
      <c r="CS519" s="79"/>
      <c r="CT519" s="79"/>
      <c r="CU519" s="79"/>
      <c r="CV519" s="79"/>
      <c r="CW519" s="79"/>
      <c r="CX519" s="85"/>
      <c r="CY519" s="85"/>
      <c r="CZ519" s="85"/>
      <c r="DA519" s="86"/>
      <c r="DB519" s="84"/>
    </row>
    <row r="520" spans="2:106" ht="11.25" customHeight="1">
      <c r="B520" s="80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  <c r="BS520" s="72"/>
      <c r="BT520" s="72"/>
      <c r="BU520" s="72"/>
      <c r="BV520" s="72"/>
      <c r="BW520" s="72"/>
      <c r="BX520" s="72"/>
      <c r="BY520" s="72"/>
      <c r="BZ520" s="72"/>
      <c r="CA520" s="72"/>
      <c r="CB520" s="72"/>
      <c r="CC520" s="72"/>
      <c r="CD520" s="72"/>
      <c r="CE520" s="72"/>
      <c r="CF520" s="72"/>
      <c r="CG520" s="72"/>
      <c r="CH520" s="72"/>
      <c r="CI520" s="72"/>
      <c r="CJ520" s="72"/>
      <c r="CK520" s="72"/>
      <c r="CL520" s="72"/>
      <c r="CM520" s="72"/>
      <c r="CN520" s="72"/>
      <c r="CO520" s="72"/>
      <c r="CP520" s="72"/>
      <c r="CQ520" s="72"/>
      <c r="CR520" s="72"/>
      <c r="CS520" s="72"/>
      <c r="CT520" s="72"/>
      <c r="CU520" s="72"/>
      <c r="CV520" s="72"/>
      <c r="CW520" s="72"/>
      <c r="CX520" s="87"/>
      <c r="CY520" s="87"/>
      <c r="CZ520" s="87"/>
      <c r="DA520" s="88"/>
      <c r="DB520" s="84"/>
    </row>
    <row r="521" spans="2:106" ht="11.25" customHeight="1">
      <c r="B521" s="78"/>
      <c r="C521" s="79"/>
      <c r="D521" s="79"/>
      <c r="E521" s="79"/>
      <c r="F521" s="79"/>
      <c r="G521" s="79"/>
      <c r="H521" s="79"/>
      <c r="I521" s="79"/>
      <c r="J521" s="79"/>
      <c r="K521" s="79"/>
      <c r="L521" s="79" t="str">
        <f>TEXT(3600,"#,##0.#######")</f>
        <v>3,600.</v>
      </c>
      <c r="M521" s="79"/>
      <c r="N521" s="79"/>
      <c r="O521" s="79"/>
      <c r="P521" s="79"/>
      <c r="Q521" s="79" t="s">
        <v>699</v>
      </c>
      <c r="R521" s="79"/>
      <c r="S521" s="79" t="s">
        <v>697</v>
      </c>
      <c r="T521" s="79" t="s">
        <v>699</v>
      </c>
      <c r="U521" s="79"/>
      <c r="V521" s="79" t="s">
        <v>335</v>
      </c>
      <c r="W521" s="79" t="s">
        <v>699</v>
      </c>
      <c r="X521" s="79"/>
      <c r="Y521" s="79" t="s">
        <v>91</v>
      </c>
      <c r="Z521" s="79" t="s">
        <v>699</v>
      </c>
      <c r="AA521" s="79"/>
      <c r="AB521" s="79" t="s">
        <v>342</v>
      </c>
      <c r="AC521" s="79"/>
      <c r="AD521" s="79"/>
      <c r="AE521" s="79"/>
      <c r="AF521" s="79"/>
      <c r="AG521" s="79"/>
      <c r="AH521" s="79"/>
      <c r="AI521" s="79" t="str">
        <f>TEXT(L521,"#,##0.#######")</f>
        <v>3,600.</v>
      </c>
      <c r="AJ521" s="79"/>
      <c r="AK521" s="79"/>
      <c r="AL521" s="79"/>
      <c r="AM521" s="79"/>
      <c r="AN521" s="79" t="s">
        <v>699</v>
      </c>
      <c r="AO521" s="79"/>
      <c r="AP521" s="79" t="str">
        <f>TEXT(K517,"#,##0.#######")</f>
        <v>0.7</v>
      </c>
      <c r="AQ521" s="79"/>
      <c r="AR521" s="79"/>
      <c r="AS521" s="79" t="s">
        <v>699</v>
      </c>
      <c r="AT521" s="79"/>
      <c r="AU521" s="79" t="str">
        <f>TEXT(AW517,"#,##0.#######")</f>
        <v>0.55</v>
      </c>
      <c r="AV521" s="79"/>
      <c r="AW521" s="79"/>
      <c r="AX521" s="79"/>
      <c r="AY521" s="79" t="s">
        <v>699</v>
      </c>
      <c r="AZ521" s="79"/>
      <c r="BA521" s="79" t="str">
        <f>TEXT(AH517,"#,##0.#######")</f>
        <v>0.67</v>
      </c>
      <c r="BB521" s="79"/>
      <c r="BC521" s="79"/>
      <c r="BD521" s="79"/>
      <c r="BE521" s="79" t="s">
        <v>699</v>
      </c>
      <c r="BF521" s="79"/>
      <c r="BG521" s="79" t="str">
        <f>TEXT(K519,"#,##0.#######")</f>
        <v>0.45</v>
      </c>
      <c r="BH521" s="79"/>
      <c r="BI521" s="79"/>
      <c r="BJ521" s="79"/>
      <c r="BK521" s="79"/>
      <c r="BL521" s="79"/>
      <c r="BM521" s="79"/>
      <c r="BN521" s="79"/>
      <c r="BO521" s="79"/>
      <c r="BP521" s="79"/>
      <c r="BQ521" s="79"/>
      <c r="BR521" s="79"/>
      <c r="BS521" s="79"/>
      <c r="BT521" s="79"/>
      <c r="BU521" s="79"/>
      <c r="BV521" s="79"/>
      <c r="BW521" s="79"/>
      <c r="BX521" s="79"/>
      <c r="BY521" s="79"/>
      <c r="BZ521" s="79"/>
      <c r="CA521" s="79"/>
      <c r="CB521" s="79"/>
      <c r="CC521" s="79"/>
      <c r="CD521" s="79"/>
      <c r="CE521" s="79"/>
      <c r="CF521" s="79"/>
      <c r="CG521" s="79"/>
      <c r="CH521" s="79"/>
      <c r="CI521" s="79"/>
      <c r="CJ521" s="79"/>
      <c r="CK521" s="79"/>
      <c r="CL521" s="79"/>
      <c r="CM521" s="79"/>
      <c r="CN521" s="79"/>
      <c r="CO521" s="79"/>
      <c r="CP521" s="79"/>
      <c r="CQ521" s="79"/>
      <c r="CR521" s="79"/>
      <c r="CS521" s="79"/>
      <c r="CT521" s="79"/>
      <c r="CU521" s="79"/>
      <c r="CV521" s="79"/>
      <c r="CW521" s="79"/>
      <c r="CX521" s="85"/>
      <c r="CY521" s="85"/>
      <c r="CZ521" s="85"/>
      <c r="DA521" s="86"/>
      <c r="DB521" s="84"/>
    </row>
    <row r="522" spans="2:106" ht="11.25" customHeight="1">
      <c r="B522" s="78"/>
      <c r="C522" s="79"/>
      <c r="D522" s="79"/>
      <c r="E522" s="79"/>
      <c r="F522" s="79"/>
      <c r="G522" s="79" t="s">
        <v>49</v>
      </c>
      <c r="H522" s="79"/>
      <c r="I522" s="79" t="s">
        <v>309</v>
      </c>
      <c r="J522" s="79"/>
      <c r="K522" s="79" t="s">
        <v>218</v>
      </c>
      <c r="L522" s="79"/>
      <c r="M522" s="79" t="s">
        <v>218</v>
      </c>
      <c r="N522" s="79"/>
      <c r="O522" s="79" t="s">
        <v>218</v>
      </c>
      <c r="P522" s="79"/>
      <c r="Q522" s="79" t="s">
        <v>218</v>
      </c>
      <c r="R522" s="79"/>
      <c r="S522" s="79" t="s">
        <v>218</v>
      </c>
      <c r="T522" s="79"/>
      <c r="U522" s="79" t="s">
        <v>218</v>
      </c>
      <c r="V522" s="79"/>
      <c r="W522" s="79" t="s">
        <v>218</v>
      </c>
      <c r="X522" s="79"/>
      <c r="Y522" s="79" t="s">
        <v>218</v>
      </c>
      <c r="Z522" s="79"/>
      <c r="AA522" s="79" t="s">
        <v>218</v>
      </c>
      <c r="AB522" s="79"/>
      <c r="AC522" s="79" t="s">
        <v>218</v>
      </c>
      <c r="AD522" s="79"/>
      <c r="AE522" s="79"/>
      <c r="AF522" s="79" t="s">
        <v>309</v>
      </c>
      <c r="AG522" s="79"/>
      <c r="AH522" s="79" t="s">
        <v>218</v>
      </c>
      <c r="AI522" s="79"/>
      <c r="AJ522" s="79" t="s">
        <v>218</v>
      </c>
      <c r="AK522" s="79"/>
      <c r="AL522" s="79" t="s">
        <v>218</v>
      </c>
      <c r="AM522" s="79"/>
      <c r="AN522" s="79" t="s">
        <v>218</v>
      </c>
      <c r="AO522" s="79"/>
      <c r="AP522" s="79" t="s">
        <v>218</v>
      </c>
      <c r="AQ522" s="79"/>
      <c r="AR522" s="79" t="s">
        <v>218</v>
      </c>
      <c r="AS522" s="79"/>
      <c r="AT522" s="79" t="s">
        <v>218</v>
      </c>
      <c r="AU522" s="79"/>
      <c r="AV522" s="79" t="s">
        <v>218</v>
      </c>
      <c r="AW522" s="79"/>
      <c r="AX522" s="79" t="s">
        <v>218</v>
      </c>
      <c r="AY522" s="79"/>
      <c r="AZ522" s="79" t="s">
        <v>218</v>
      </c>
      <c r="BA522" s="79"/>
      <c r="BB522" s="79" t="s">
        <v>218</v>
      </c>
      <c r="BC522" s="79"/>
      <c r="BD522" s="79" t="s">
        <v>218</v>
      </c>
      <c r="BE522" s="79"/>
      <c r="BF522" s="79" t="s">
        <v>218</v>
      </c>
      <c r="BG522" s="79"/>
      <c r="BH522" s="79" t="s">
        <v>218</v>
      </c>
      <c r="BI522" s="79"/>
      <c r="BJ522" s="79" t="s">
        <v>218</v>
      </c>
      <c r="BK522" s="79"/>
      <c r="BL522" s="79"/>
      <c r="BM522" s="79" t="s">
        <v>309</v>
      </c>
      <c r="BN522" s="79"/>
      <c r="BO522" s="79" t="str">
        <f>TEXT(ROUND((3600*K517*AW517*AH517*K519)/(Y519),2),"#,##0.#######")</f>
        <v>23.22</v>
      </c>
      <c r="BP522" s="79"/>
      <c r="BQ522" s="79"/>
      <c r="BR522" s="79"/>
      <c r="BS522" s="79"/>
      <c r="BT522" s="79"/>
      <c r="BU522" s="79"/>
      <c r="BV522" s="79"/>
      <c r="BW522" s="79" t="s">
        <v>574</v>
      </c>
      <c r="BX522" s="79"/>
      <c r="BY522" s="79" t="s">
        <v>123</v>
      </c>
      <c r="BZ522" s="79" t="s">
        <v>598</v>
      </c>
      <c r="CA522" s="79"/>
      <c r="CB522" s="79"/>
      <c r="CC522" s="79"/>
      <c r="CD522" s="79"/>
      <c r="CE522" s="79"/>
      <c r="CF522" s="79"/>
      <c r="CG522" s="79"/>
      <c r="CH522" s="79"/>
      <c r="CI522" s="79"/>
      <c r="CJ522" s="79"/>
      <c r="CK522" s="79"/>
      <c r="CL522" s="79"/>
      <c r="CM522" s="79"/>
      <c r="CN522" s="79"/>
      <c r="CO522" s="79"/>
      <c r="CP522" s="79"/>
      <c r="CQ522" s="79"/>
      <c r="CR522" s="79"/>
      <c r="CS522" s="79"/>
      <c r="CT522" s="79"/>
      <c r="CU522" s="79"/>
      <c r="CV522" s="79"/>
      <c r="CW522" s="79"/>
      <c r="CX522" s="85"/>
      <c r="CY522" s="85"/>
      <c r="CZ522" s="85"/>
      <c r="DA522" s="86"/>
      <c r="DB522" s="84"/>
    </row>
    <row r="523" spans="2:106" ht="11.25" customHeight="1">
      <c r="B523" s="78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 t="s">
        <v>103</v>
      </c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 t="str">
        <f>TEXT(Y519,"#,##0.#######")</f>
        <v>18.</v>
      </c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  <c r="BK523" s="79"/>
      <c r="BL523" s="79"/>
      <c r="BM523" s="79"/>
      <c r="BN523" s="79"/>
      <c r="BO523" s="79"/>
      <c r="BP523" s="79"/>
      <c r="BQ523" s="79"/>
      <c r="BR523" s="79"/>
      <c r="BS523" s="79"/>
      <c r="BT523" s="79"/>
      <c r="BU523" s="79"/>
      <c r="BV523" s="79"/>
      <c r="BW523" s="79"/>
      <c r="BX523" s="79"/>
      <c r="BY523" s="79"/>
      <c r="BZ523" s="79"/>
      <c r="CA523" s="79"/>
      <c r="CB523" s="79"/>
      <c r="CC523" s="79"/>
      <c r="CD523" s="79"/>
      <c r="CE523" s="79"/>
      <c r="CF523" s="79"/>
      <c r="CG523" s="79"/>
      <c r="CH523" s="79"/>
      <c r="CI523" s="79"/>
      <c r="CJ523" s="79"/>
      <c r="CK523" s="79"/>
      <c r="CL523" s="79"/>
      <c r="CM523" s="79"/>
      <c r="CN523" s="79"/>
      <c r="CO523" s="79"/>
      <c r="CP523" s="79"/>
      <c r="CQ523" s="79"/>
      <c r="CR523" s="79"/>
      <c r="CS523" s="79"/>
      <c r="CT523" s="79"/>
      <c r="CU523" s="79"/>
      <c r="CV523" s="79"/>
      <c r="CW523" s="79"/>
      <c r="CX523" s="85"/>
      <c r="CY523" s="85"/>
      <c r="CZ523" s="85"/>
      <c r="DA523" s="86"/>
      <c r="DB523" s="84"/>
    </row>
    <row r="524" spans="2:106" ht="11.25" customHeight="1">
      <c r="B524" s="78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  <c r="BK524" s="79"/>
      <c r="BL524" s="79"/>
      <c r="BM524" s="79"/>
      <c r="BN524" s="79"/>
      <c r="BO524" s="79"/>
      <c r="BP524" s="79"/>
      <c r="BQ524" s="79"/>
      <c r="BR524" s="79"/>
      <c r="BS524" s="79"/>
      <c r="BT524" s="79"/>
      <c r="BU524" s="79"/>
      <c r="BV524" s="79"/>
      <c r="BW524" s="79"/>
      <c r="BX524" s="79"/>
      <c r="BY524" s="79"/>
      <c r="BZ524" s="79"/>
      <c r="CA524" s="79"/>
      <c r="CB524" s="79"/>
      <c r="CC524" s="79"/>
      <c r="CD524" s="79"/>
      <c r="CE524" s="79"/>
      <c r="CF524" s="79"/>
      <c r="CG524" s="79"/>
      <c r="CH524" s="79"/>
      <c r="CI524" s="79"/>
      <c r="CJ524" s="79"/>
      <c r="CK524" s="79"/>
      <c r="CL524" s="79"/>
      <c r="CM524" s="79"/>
      <c r="CN524" s="79"/>
      <c r="CO524" s="79"/>
      <c r="CP524" s="79"/>
      <c r="CQ524" s="79"/>
      <c r="CR524" s="79"/>
      <c r="CS524" s="79"/>
      <c r="CT524" s="79"/>
      <c r="CU524" s="79"/>
      <c r="CV524" s="79"/>
      <c r="CW524" s="79"/>
      <c r="CX524" s="85"/>
      <c r="CY524" s="85"/>
      <c r="CZ524" s="85"/>
      <c r="DA524" s="86"/>
      <c r="DB524" s="84"/>
    </row>
    <row r="525" spans="2:106" ht="11.25" customHeight="1">
      <c r="B525" s="78"/>
      <c r="C525" s="79"/>
      <c r="D525" s="79"/>
      <c r="E525" s="79"/>
      <c r="F525" s="79"/>
      <c r="G525" s="79" t="s">
        <v>700</v>
      </c>
      <c r="H525" s="79"/>
      <c r="I525" s="79"/>
      <c r="J525" s="79"/>
      <c r="K525" s="79"/>
      <c r="L525" s="79"/>
      <c r="M525" s="79"/>
      <c r="N525" s="79" t="s">
        <v>604</v>
      </c>
      <c r="O525" s="79"/>
      <c r="P525" s="79" t="str">
        <f>TEXT(기계경비총괄표!G22,"#,##0")</f>
        <v>59,020</v>
      </c>
      <c r="Q525" s="79"/>
      <c r="R525" s="79"/>
      <c r="S525" s="79"/>
      <c r="T525" s="79"/>
      <c r="U525" s="79"/>
      <c r="V525" s="79"/>
      <c r="W525" s="79"/>
      <c r="X525" s="79"/>
      <c r="Y525" s="79" t="s">
        <v>391</v>
      </c>
      <c r="Z525" s="79"/>
      <c r="AA525" s="79"/>
      <c r="AB525" s="79" t="str">
        <f>TEXT(BO522,"#,##0.#######")</f>
        <v>23.22</v>
      </c>
      <c r="AC525" s="79"/>
      <c r="AD525" s="79"/>
      <c r="AE525" s="79"/>
      <c r="AF525" s="79"/>
      <c r="AG525" s="79"/>
      <c r="AH525" s="79"/>
      <c r="AI525" s="79"/>
      <c r="AJ525" s="79" t="s">
        <v>309</v>
      </c>
      <c r="AK525" s="79"/>
      <c r="AL525" s="79" t="str">
        <f>TEXT(TRUNC(P525/BO522,1),"#,##0.#")</f>
        <v>2,541.7</v>
      </c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  <c r="BK525" s="79"/>
      <c r="BL525" s="79"/>
      <c r="BM525" s="79"/>
      <c r="BN525" s="79"/>
      <c r="BO525" s="79"/>
      <c r="BP525" s="79"/>
      <c r="BQ525" s="79"/>
      <c r="BR525" s="79"/>
      <c r="BS525" s="79"/>
      <c r="BT525" s="79"/>
      <c r="BU525" s="79"/>
      <c r="BV525" s="79"/>
      <c r="BW525" s="79"/>
      <c r="BX525" s="79"/>
      <c r="BY525" s="79"/>
      <c r="BZ525" s="79"/>
      <c r="CA525" s="79"/>
      <c r="CB525" s="79"/>
      <c r="CC525" s="79"/>
      <c r="CD525" s="79"/>
      <c r="CE525" s="79"/>
      <c r="CF525" s="79"/>
      <c r="CG525" s="79"/>
      <c r="CH525" s="79"/>
      <c r="CI525" s="79"/>
      <c r="CJ525" s="79"/>
      <c r="CK525" s="79"/>
      <c r="CL525" s="79"/>
      <c r="CM525" s="79"/>
      <c r="CN525" s="79"/>
      <c r="CO525" s="79"/>
      <c r="CP525" s="79"/>
      <c r="CQ525" s="79"/>
      <c r="CR525" s="79"/>
      <c r="CS525" s="79"/>
      <c r="CT525" s="79"/>
      <c r="CU525" s="79"/>
      <c r="CV525" s="79"/>
      <c r="CW525" s="79"/>
      <c r="CX525" s="85"/>
      <c r="CY525" s="85"/>
      <c r="CZ525" s="85"/>
      <c r="DA525" s="86"/>
      <c r="DB525" s="84"/>
    </row>
    <row r="526" spans="2:106" ht="11.25" customHeight="1">
      <c r="B526" s="78"/>
      <c r="C526" s="79"/>
      <c r="D526" s="79"/>
      <c r="E526" s="79"/>
      <c r="F526" s="79"/>
      <c r="G526" s="79" t="s">
        <v>498</v>
      </c>
      <c r="H526" s="79"/>
      <c r="I526" s="79"/>
      <c r="J526" s="79"/>
      <c r="K526" s="79"/>
      <c r="L526" s="79"/>
      <c r="M526" s="79"/>
      <c r="N526" s="79" t="s">
        <v>604</v>
      </c>
      <c r="O526" s="79"/>
      <c r="P526" s="79" t="str">
        <f>TEXT(기계경비총괄표!H22,"#,##0")</f>
        <v>19,473</v>
      </c>
      <c r="Q526" s="79"/>
      <c r="R526" s="79"/>
      <c r="S526" s="79"/>
      <c r="T526" s="79"/>
      <c r="U526" s="79"/>
      <c r="V526" s="79"/>
      <c r="W526" s="79"/>
      <c r="X526" s="79"/>
      <c r="Y526" s="79" t="s">
        <v>391</v>
      </c>
      <c r="Z526" s="79"/>
      <c r="AA526" s="79"/>
      <c r="AB526" s="79" t="str">
        <f>TEXT(BO522,"#,##0.#######")</f>
        <v>23.22</v>
      </c>
      <c r="AC526" s="79"/>
      <c r="AD526" s="79"/>
      <c r="AE526" s="79"/>
      <c r="AF526" s="79"/>
      <c r="AG526" s="79"/>
      <c r="AH526" s="79"/>
      <c r="AI526" s="79"/>
      <c r="AJ526" s="79" t="s">
        <v>309</v>
      </c>
      <c r="AK526" s="79"/>
      <c r="AL526" s="79"/>
      <c r="AM526" s="79"/>
      <c r="AN526" s="79" t="str">
        <f>TEXT(TRUNC(P526/BO522,1),"#,##0.#")</f>
        <v>838.6</v>
      </c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  <c r="BK526" s="79"/>
      <c r="BL526" s="79"/>
      <c r="BM526" s="79"/>
      <c r="BN526" s="79"/>
      <c r="BO526" s="79"/>
      <c r="BP526" s="79"/>
      <c r="BQ526" s="79"/>
      <c r="BR526" s="79"/>
      <c r="BS526" s="79"/>
      <c r="BT526" s="79"/>
      <c r="BU526" s="79"/>
      <c r="BV526" s="79"/>
      <c r="BW526" s="79"/>
      <c r="BX526" s="79"/>
      <c r="BY526" s="79"/>
      <c r="BZ526" s="79"/>
      <c r="CA526" s="79"/>
      <c r="CB526" s="79"/>
      <c r="CC526" s="79"/>
      <c r="CD526" s="79"/>
      <c r="CE526" s="79"/>
      <c r="CF526" s="79"/>
      <c r="CG526" s="79"/>
      <c r="CH526" s="79"/>
      <c r="CI526" s="79"/>
      <c r="CJ526" s="79"/>
      <c r="CK526" s="79"/>
      <c r="CL526" s="79"/>
      <c r="CM526" s="79"/>
      <c r="CN526" s="79"/>
      <c r="CO526" s="79"/>
      <c r="CP526" s="79"/>
      <c r="CQ526" s="79"/>
      <c r="CR526" s="79"/>
      <c r="CS526" s="79"/>
      <c r="CT526" s="79"/>
      <c r="CU526" s="79"/>
      <c r="CV526" s="79"/>
      <c r="CW526" s="79"/>
      <c r="CX526" s="85"/>
      <c r="CY526" s="85"/>
      <c r="CZ526" s="85"/>
      <c r="DA526" s="86"/>
      <c r="DB526" s="84"/>
    </row>
    <row r="527" spans="2:106" ht="11.25" customHeight="1">
      <c r="B527" s="78"/>
      <c r="C527" s="79"/>
      <c r="D527" s="79"/>
      <c r="E527" s="79"/>
      <c r="F527" s="79"/>
      <c r="G527" s="79" t="s">
        <v>160</v>
      </c>
      <c r="H527" s="79"/>
      <c r="I527" s="79"/>
      <c r="J527" s="79"/>
      <c r="K527" s="79" t="s">
        <v>440</v>
      </c>
      <c r="L527" s="79"/>
      <c r="M527" s="79"/>
      <c r="N527" s="79" t="s">
        <v>604</v>
      </c>
      <c r="O527" s="79"/>
      <c r="P527" s="79" t="str">
        <f>TEXT(기계경비총괄표!I22,"#,##0")</f>
        <v>24,554</v>
      </c>
      <c r="Q527" s="79"/>
      <c r="R527" s="79"/>
      <c r="S527" s="79"/>
      <c r="T527" s="79"/>
      <c r="U527" s="79"/>
      <c r="V527" s="79"/>
      <c r="W527" s="79"/>
      <c r="X527" s="79"/>
      <c r="Y527" s="79" t="s">
        <v>391</v>
      </c>
      <c r="Z527" s="79"/>
      <c r="AA527" s="79"/>
      <c r="AB527" s="79" t="str">
        <f>TEXT(BO522,"#,##0.#######")</f>
        <v>23.22</v>
      </c>
      <c r="AC527" s="79"/>
      <c r="AD527" s="79"/>
      <c r="AE527" s="79"/>
      <c r="AF527" s="79"/>
      <c r="AG527" s="79"/>
      <c r="AH527" s="79"/>
      <c r="AI527" s="79"/>
      <c r="AJ527" s="79" t="s">
        <v>309</v>
      </c>
      <c r="AK527" s="79"/>
      <c r="AL527" s="79" t="str">
        <f>TEXT(TRUNC(P527/BO522,1),"#,##0.#")</f>
        <v>1,057.4</v>
      </c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  <c r="BK527" s="79"/>
      <c r="BL527" s="79"/>
      <c r="BM527" s="79"/>
      <c r="BN527" s="79"/>
      <c r="BO527" s="79"/>
      <c r="BP527" s="79"/>
      <c r="BQ527" s="79"/>
      <c r="BR527" s="79"/>
      <c r="BS527" s="79"/>
      <c r="BT527" s="79"/>
      <c r="BU527" s="79"/>
      <c r="BV527" s="79"/>
      <c r="BW527" s="79"/>
      <c r="BX527" s="79"/>
      <c r="BY527" s="79"/>
      <c r="BZ527" s="79"/>
      <c r="CA527" s="79"/>
      <c r="CB527" s="79"/>
      <c r="CC527" s="79"/>
      <c r="CD527" s="79"/>
      <c r="CE527" s="79"/>
      <c r="CF527" s="79"/>
      <c r="CG527" s="79"/>
      <c r="CH527" s="79"/>
      <c r="CI527" s="79"/>
      <c r="CJ527" s="79"/>
      <c r="CK527" s="79"/>
      <c r="CL527" s="79"/>
      <c r="CM527" s="79"/>
      <c r="CN527" s="79"/>
      <c r="CO527" s="79"/>
      <c r="CP527" s="79"/>
      <c r="CQ527" s="79"/>
      <c r="CR527" s="79"/>
      <c r="CS527" s="79"/>
      <c r="CT527" s="79"/>
      <c r="CU527" s="79"/>
      <c r="CV527" s="79"/>
      <c r="CW527" s="79"/>
      <c r="CX527" s="85"/>
      <c r="CY527" s="85"/>
      <c r="CZ527" s="85"/>
      <c r="DA527" s="86"/>
      <c r="DB527" s="84"/>
    </row>
    <row r="528" spans="2:106" ht="11.25" customHeight="1">
      <c r="B528" s="78"/>
      <c r="C528" s="79"/>
      <c r="D528" s="79"/>
      <c r="E528" s="79"/>
      <c r="F528" s="79"/>
      <c r="G528" s="79" t="s">
        <v>305</v>
      </c>
      <c r="H528" s="79"/>
      <c r="I528" s="79"/>
      <c r="J528" s="79"/>
      <c r="K528" s="79" t="s">
        <v>436</v>
      </c>
      <c r="L528" s="79"/>
      <c r="M528" s="79"/>
      <c r="N528" s="79" t="s">
        <v>604</v>
      </c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 t="str">
        <f>TEXT(AL525+AN526+AL527,"#,##0.#######")</f>
        <v>4,437.7</v>
      </c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  <c r="BK528" s="79"/>
      <c r="BL528" s="79"/>
      <c r="BM528" s="79"/>
      <c r="BN528" s="79"/>
      <c r="BO528" s="79"/>
      <c r="BP528" s="79"/>
      <c r="BQ528" s="79"/>
      <c r="BR528" s="79"/>
      <c r="BS528" s="79"/>
      <c r="BT528" s="79"/>
      <c r="BU528" s="79"/>
      <c r="BV528" s="79"/>
      <c r="BW528" s="79"/>
      <c r="BX528" s="79"/>
      <c r="BY528" s="79"/>
      <c r="BZ528" s="79"/>
      <c r="CA528" s="79"/>
      <c r="CB528" s="79"/>
      <c r="CC528" s="79"/>
      <c r="CD528" s="79"/>
      <c r="CE528" s="79"/>
      <c r="CF528" s="79"/>
      <c r="CG528" s="79"/>
      <c r="CH528" s="79"/>
      <c r="CI528" s="79"/>
      <c r="CJ528" s="79"/>
      <c r="CK528" s="79"/>
      <c r="CL528" s="79"/>
      <c r="CM528" s="79"/>
      <c r="CN528" s="79"/>
      <c r="CO528" s="79"/>
      <c r="CP528" s="79"/>
      <c r="CQ528" s="79"/>
      <c r="CR528" s="79"/>
      <c r="CS528" s="79"/>
      <c r="CT528" s="79"/>
      <c r="CU528" s="79"/>
      <c r="CV528" s="79"/>
      <c r="CW528" s="79"/>
      <c r="CX528" s="85">
        <f>CY528+CZ528+DA528</f>
        <v>4437.7</v>
      </c>
      <c r="CY528" s="85" t="str">
        <f>TEXT(AL525,"#,###.0")</f>
        <v>2,541.7</v>
      </c>
      <c r="CZ528" s="85" t="str">
        <f>TEXT(AN526,"#,###.0")</f>
        <v>838.6</v>
      </c>
      <c r="DA528" s="86" t="str">
        <f>TEXT(AL527,"#,###.0")</f>
        <v>1,057.4</v>
      </c>
      <c r="DB528" s="84"/>
    </row>
    <row r="529" spans="2:106" ht="11.25" customHeight="1">
      <c r="B529" s="78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  <c r="BK529" s="79"/>
      <c r="BL529" s="79"/>
      <c r="BM529" s="79"/>
      <c r="BN529" s="79"/>
      <c r="BO529" s="79"/>
      <c r="BP529" s="79"/>
      <c r="BQ529" s="79"/>
      <c r="BR529" s="79"/>
      <c r="BS529" s="79"/>
      <c r="BT529" s="79"/>
      <c r="BU529" s="79"/>
      <c r="BV529" s="79"/>
      <c r="BW529" s="79"/>
      <c r="BX529" s="79"/>
      <c r="BY529" s="79"/>
      <c r="BZ529" s="79"/>
      <c r="CA529" s="79"/>
      <c r="CB529" s="79"/>
      <c r="CC529" s="79"/>
      <c r="CD529" s="79"/>
      <c r="CE529" s="79"/>
      <c r="CF529" s="79"/>
      <c r="CG529" s="79"/>
      <c r="CH529" s="79"/>
      <c r="CI529" s="79"/>
      <c r="CJ529" s="79"/>
      <c r="CK529" s="79"/>
      <c r="CL529" s="79"/>
      <c r="CM529" s="79"/>
      <c r="CN529" s="79"/>
      <c r="CO529" s="79"/>
      <c r="CP529" s="79"/>
      <c r="CQ529" s="79"/>
      <c r="CR529" s="79"/>
      <c r="CS529" s="79"/>
      <c r="CT529" s="79"/>
      <c r="CU529" s="79"/>
      <c r="CV529" s="79"/>
      <c r="CW529" s="79"/>
      <c r="CX529" s="85"/>
      <c r="CY529" s="85"/>
      <c r="CZ529" s="85"/>
      <c r="DA529" s="86"/>
      <c r="DB529" s="84"/>
    </row>
    <row r="530" spans="2:106" ht="11.25" customHeight="1">
      <c r="B530" s="78"/>
      <c r="C530" s="79"/>
      <c r="D530" s="79" t="s">
        <v>594</v>
      </c>
      <c r="E530" s="79"/>
      <c r="F530" s="79"/>
      <c r="G530" s="79" t="s">
        <v>557</v>
      </c>
      <c r="H530" s="79"/>
      <c r="I530" s="79"/>
      <c r="J530" s="79"/>
      <c r="K530" s="79" t="s">
        <v>436</v>
      </c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  <c r="BK530" s="79"/>
      <c r="BL530" s="79"/>
      <c r="BM530" s="79"/>
      <c r="BN530" s="79"/>
      <c r="BO530" s="79"/>
      <c r="BP530" s="79"/>
      <c r="BQ530" s="79"/>
      <c r="BR530" s="79"/>
      <c r="BS530" s="79"/>
      <c r="BT530" s="79"/>
      <c r="BU530" s="79"/>
      <c r="BV530" s="79"/>
      <c r="BW530" s="79"/>
      <c r="BX530" s="79"/>
      <c r="BY530" s="79"/>
      <c r="BZ530" s="79"/>
      <c r="CA530" s="79"/>
      <c r="CB530" s="79"/>
      <c r="CC530" s="79"/>
      <c r="CD530" s="79"/>
      <c r="CE530" s="79"/>
      <c r="CF530" s="79"/>
      <c r="CG530" s="79"/>
      <c r="CH530" s="79"/>
      <c r="CI530" s="79"/>
      <c r="CJ530" s="79"/>
      <c r="CK530" s="79"/>
      <c r="CL530" s="79"/>
      <c r="CM530" s="79"/>
      <c r="CN530" s="79"/>
      <c r="CO530" s="79"/>
      <c r="CP530" s="79"/>
      <c r="CQ530" s="79"/>
      <c r="CR530" s="79"/>
      <c r="CS530" s="79"/>
      <c r="CT530" s="79"/>
      <c r="CU530" s="79"/>
      <c r="CV530" s="79"/>
      <c r="CW530" s="79"/>
      <c r="CX530" s="85"/>
      <c r="CY530" s="85"/>
      <c r="CZ530" s="85"/>
      <c r="DA530" s="86"/>
      <c r="DB530" s="84"/>
    </row>
    <row r="531" spans="2:106" ht="11.25" customHeight="1">
      <c r="B531" s="78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  <c r="BK531" s="79"/>
      <c r="BL531" s="79"/>
      <c r="BM531" s="79"/>
      <c r="BN531" s="79"/>
      <c r="BO531" s="79"/>
      <c r="BP531" s="79"/>
      <c r="BQ531" s="79"/>
      <c r="BR531" s="79"/>
      <c r="BS531" s="79"/>
      <c r="BT531" s="79"/>
      <c r="BU531" s="79"/>
      <c r="BV531" s="79"/>
      <c r="BW531" s="79"/>
      <c r="BX531" s="79"/>
      <c r="BY531" s="79"/>
      <c r="BZ531" s="79"/>
      <c r="CA531" s="79"/>
      <c r="CB531" s="79"/>
      <c r="CC531" s="79"/>
      <c r="CD531" s="79"/>
      <c r="CE531" s="79"/>
      <c r="CF531" s="79"/>
      <c r="CG531" s="79"/>
      <c r="CH531" s="79"/>
      <c r="CI531" s="79"/>
      <c r="CJ531" s="79"/>
      <c r="CK531" s="79"/>
      <c r="CL531" s="79"/>
      <c r="CM531" s="79"/>
      <c r="CN531" s="79"/>
      <c r="CO531" s="79"/>
      <c r="CP531" s="79"/>
      <c r="CQ531" s="79"/>
      <c r="CR531" s="79"/>
      <c r="CS531" s="79"/>
      <c r="CT531" s="79"/>
      <c r="CU531" s="79"/>
      <c r="CV531" s="79"/>
      <c r="CW531" s="79"/>
      <c r="CX531" s="85"/>
      <c r="CY531" s="85"/>
      <c r="CZ531" s="85"/>
      <c r="DA531" s="86"/>
      <c r="DB531" s="84"/>
    </row>
    <row r="532" spans="2:106" ht="11.25" customHeight="1">
      <c r="B532" s="78"/>
      <c r="C532" s="79"/>
      <c r="D532" s="79"/>
      <c r="E532" s="79"/>
      <c r="F532" s="79"/>
      <c r="G532" s="79"/>
      <c r="H532" s="79" t="s">
        <v>700</v>
      </c>
      <c r="I532" s="79"/>
      <c r="J532" s="79"/>
      <c r="K532" s="79"/>
      <c r="L532" s="79"/>
      <c r="M532" s="79"/>
      <c r="N532" s="79"/>
      <c r="O532" s="79" t="s">
        <v>604</v>
      </c>
      <c r="P532" s="79"/>
      <c r="Q532" s="79" t="str">
        <f>TEXT(TRUNC(CY528,0),"#,##0")</f>
        <v>2,541</v>
      </c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  <c r="BK532" s="79"/>
      <c r="BL532" s="79"/>
      <c r="BM532" s="79"/>
      <c r="BN532" s="79"/>
      <c r="BO532" s="79"/>
      <c r="BP532" s="79"/>
      <c r="BQ532" s="79"/>
      <c r="BR532" s="79"/>
      <c r="BS532" s="79"/>
      <c r="BT532" s="79"/>
      <c r="BU532" s="79"/>
      <c r="BV532" s="79"/>
      <c r="BW532" s="79"/>
      <c r="BX532" s="79"/>
      <c r="BY532" s="79"/>
      <c r="BZ532" s="79"/>
      <c r="CA532" s="79"/>
      <c r="CB532" s="79"/>
      <c r="CC532" s="79"/>
      <c r="CD532" s="79"/>
      <c r="CE532" s="79"/>
      <c r="CF532" s="79"/>
      <c r="CG532" s="79"/>
      <c r="CH532" s="79"/>
      <c r="CI532" s="79"/>
      <c r="CJ532" s="79"/>
      <c r="CK532" s="79"/>
      <c r="CL532" s="79"/>
      <c r="CM532" s="79"/>
      <c r="CN532" s="79"/>
      <c r="CO532" s="79"/>
      <c r="CP532" s="79"/>
      <c r="CQ532" s="79"/>
      <c r="CR532" s="79"/>
      <c r="CS532" s="79"/>
      <c r="CT532" s="79"/>
      <c r="CU532" s="79"/>
      <c r="CV532" s="79"/>
      <c r="CW532" s="79"/>
      <c r="CX532" s="85"/>
      <c r="CY532" s="85"/>
      <c r="CZ532" s="85"/>
      <c r="DA532" s="86"/>
      <c r="DB532" s="84"/>
    </row>
    <row r="533" spans="2:106" ht="11.25" customHeight="1">
      <c r="B533" s="78"/>
      <c r="C533" s="79"/>
      <c r="D533" s="79"/>
      <c r="E533" s="79"/>
      <c r="F533" s="79"/>
      <c r="G533" s="79"/>
      <c r="H533" s="79" t="s">
        <v>498</v>
      </c>
      <c r="I533" s="79"/>
      <c r="J533" s="79"/>
      <c r="K533" s="79"/>
      <c r="L533" s="79"/>
      <c r="M533" s="79"/>
      <c r="N533" s="79"/>
      <c r="O533" s="79" t="s">
        <v>604</v>
      </c>
      <c r="P533" s="79"/>
      <c r="Q533" s="79" t="str">
        <f>TEXT(TRUNC(CZ528,0),"#,##0")</f>
        <v>838</v>
      </c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  <c r="BK533" s="79"/>
      <c r="BL533" s="79"/>
      <c r="BM533" s="79"/>
      <c r="BN533" s="79"/>
      <c r="BO533" s="79"/>
      <c r="BP533" s="79"/>
      <c r="BQ533" s="79"/>
      <c r="BR533" s="79"/>
      <c r="BS533" s="79"/>
      <c r="BT533" s="79"/>
      <c r="BU533" s="79"/>
      <c r="BV533" s="79"/>
      <c r="BW533" s="79"/>
      <c r="BX533" s="79"/>
      <c r="BY533" s="79"/>
      <c r="BZ533" s="79"/>
      <c r="CA533" s="79"/>
      <c r="CB533" s="79"/>
      <c r="CC533" s="79"/>
      <c r="CD533" s="79"/>
      <c r="CE533" s="79"/>
      <c r="CF533" s="79"/>
      <c r="CG533" s="79"/>
      <c r="CH533" s="79"/>
      <c r="CI533" s="79"/>
      <c r="CJ533" s="79"/>
      <c r="CK533" s="79"/>
      <c r="CL533" s="79"/>
      <c r="CM533" s="79"/>
      <c r="CN533" s="79"/>
      <c r="CO533" s="79"/>
      <c r="CP533" s="79"/>
      <c r="CQ533" s="79"/>
      <c r="CR533" s="79"/>
      <c r="CS533" s="79"/>
      <c r="CT533" s="79"/>
      <c r="CU533" s="79"/>
      <c r="CV533" s="79"/>
      <c r="CW533" s="79"/>
      <c r="CX533" s="85"/>
      <c r="CY533" s="85"/>
      <c r="CZ533" s="85"/>
      <c r="DA533" s="86"/>
      <c r="DB533" s="84"/>
    </row>
    <row r="534" spans="2:106" ht="11.25" customHeight="1">
      <c r="B534" s="78"/>
      <c r="C534" s="79"/>
      <c r="D534" s="79"/>
      <c r="E534" s="79"/>
      <c r="F534" s="79"/>
      <c r="G534" s="79"/>
      <c r="H534" s="79" t="s">
        <v>160</v>
      </c>
      <c r="I534" s="79"/>
      <c r="J534" s="79"/>
      <c r="K534" s="79"/>
      <c r="L534" s="79" t="s">
        <v>440</v>
      </c>
      <c r="M534" s="79"/>
      <c r="N534" s="79"/>
      <c r="O534" s="79" t="s">
        <v>604</v>
      </c>
      <c r="P534" s="79"/>
      <c r="Q534" s="79" t="str">
        <f>TEXT(TRUNC(DA528,0),"#,##0")</f>
        <v>1,057</v>
      </c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  <c r="BK534" s="79"/>
      <c r="BL534" s="79"/>
      <c r="BM534" s="79"/>
      <c r="BN534" s="79"/>
      <c r="BO534" s="79"/>
      <c r="BP534" s="79"/>
      <c r="BQ534" s="79"/>
      <c r="BR534" s="79"/>
      <c r="BS534" s="79"/>
      <c r="BT534" s="79"/>
      <c r="BU534" s="79"/>
      <c r="BV534" s="79"/>
      <c r="BW534" s="79"/>
      <c r="BX534" s="79"/>
      <c r="BY534" s="79"/>
      <c r="BZ534" s="79"/>
      <c r="CA534" s="79"/>
      <c r="CB534" s="79"/>
      <c r="CC534" s="79"/>
      <c r="CD534" s="79"/>
      <c r="CE534" s="79"/>
      <c r="CF534" s="79"/>
      <c r="CG534" s="79"/>
      <c r="CH534" s="79"/>
      <c r="CI534" s="79"/>
      <c r="CJ534" s="79"/>
      <c r="CK534" s="79"/>
      <c r="CL534" s="79"/>
      <c r="CM534" s="79"/>
      <c r="CN534" s="79"/>
      <c r="CO534" s="79"/>
      <c r="CP534" s="79"/>
      <c r="CQ534" s="79"/>
      <c r="CR534" s="79"/>
      <c r="CS534" s="79"/>
      <c r="CT534" s="79"/>
      <c r="CU534" s="79"/>
      <c r="CV534" s="79"/>
      <c r="CW534" s="79"/>
      <c r="CX534" s="85"/>
      <c r="CY534" s="85"/>
      <c r="CZ534" s="85"/>
      <c r="DA534" s="86"/>
      <c r="DB534" s="84"/>
    </row>
    <row r="535" spans="2:106" ht="11.25" customHeight="1">
      <c r="B535" s="78"/>
      <c r="C535" s="79"/>
      <c r="D535" s="79"/>
      <c r="E535" s="79"/>
      <c r="F535" s="79"/>
      <c r="G535" s="79"/>
      <c r="H535" s="79"/>
      <c r="I535" s="79"/>
      <c r="J535" s="79" t="s">
        <v>436</v>
      </c>
      <c r="K535" s="79"/>
      <c r="L535" s="79"/>
      <c r="M535" s="79"/>
      <c r="N535" s="79"/>
      <c r="O535" s="79" t="s">
        <v>604</v>
      </c>
      <c r="P535" s="79"/>
      <c r="Q535" s="79"/>
      <c r="R535" s="79" t="str">
        <f>TEXT(Q532+Q533+Q534,"#,##0")</f>
        <v>4,436</v>
      </c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  <c r="BK535" s="79"/>
      <c r="BL535" s="79"/>
      <c r="BM535" s="79"/>
      <c r="BN535" s="79"/>
      <c r="BO535" s="79"/>
      <c r="BP535" s="79"/>
      <c r="BQ535" s="79"/>
      <c r="BR535" s="79"/>
      <c r="BS535" s="79"/>
      <c r="BT535" s="79"/>
      <c r="BU535" s="79"/>
      <c r="BV535" s="79"/>
      <c r="BW535" s="79"/>
      <c r="BX535" s="79"/>
      <c r="BY535" s="79"/>
      <c r="BZ535" s="79"/>
      <c r="CA535" s="79"/>
      <c r="CB535" s="79"/>
      <c r="CC535" s="79"/>
      <c r="CD535" s="79"/>
      <c r="CE535" s="79"/>
      <c r="CF535" s="79"/>
      <c r="CG535" s="79"/>
      <c r="CH535" s="79"/>
      <c r="CI535" s="79"/>
      <c r="CJ535" s="79"/>
      <c r="CK535" s="79"/>
      <c r="CL535" s="79"/>
      <c r="CM535" s="79"/>
      <c r="CN535" s="79"/>
      <c r="CO535" s="79"/>
      <c r="CP535" s="79"/>
      <c r="CQ535" s="79"/>
      <c r="CR535" s="79"/>
      <c r="CS535" s="79"/>
      <c r="CT535" s="79"/>
      <c r="CU535" s="79"/>
      <c r="CV535" s="79"/>
      <c r="CW535" s="79"/>
      <c r="CX535" s="89">
        <f>CY535+CZ535+DA535</f>
        <v>4436</v>
      </c>
      <c r="CY535" s="85" t="str">
        <f>TEXT(Q532,"#,##0")</f>
        <v>2,541</v>
      </c>
      <c r="CZ535" s="85" t="str">
        <f>TEXT(Q533,"#,##0")</f>
        <v>838</v>
      </c>
      <c r="DA535" s="86" t="str">
        <f>TEXT(Q534,"#,##0")</f>
        <v>1,057</v>
      </c>
      <c r="DB535" s="84"/>
    </row>
    <row r="536" spans="2:106" ht="11.25" customHeight="1">
      <c r="B536" s="78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  <c r="BK536" s="79"/>
      <c r="BL536" s="79"/>
      <c r="BM536" s="79"/>
      <c r="BN536" s="79"/>
      <c r="BO536" s="79"/>
      <c r="BP536" s="79"/>
      <c r="BQ536" s="79"/>
      <c r="BR536" s="79"/>
      <c r="BS536" s="79"/>
      <c r="BT536" s="79"/>
      <c r="BU536" s="79"/>
      <c r="BV536" s="79"/>
      <c r="BW536" s="79"/>
      <c r="BX536" s="79"/>
      <c r="BY536" s="79"/>
      <c r="BZ536" s="79"/>
      <c r="CA536" s="79"/>
      <c r="CB536" s="79"/>
      <c r="CC536" s="79"/>
      <c r="CD536" s="79"/>
      <c r="CE536" s="79"/>
      <c r="CF536" s="79"/>
      <c r="CG536" s="79"/>
      <c r="CH536" s="79"/>
      <c r="CI536" s="79"/>
      <c r="CJ536" s="79"/>
      <c r="CK536" s="79"/>
      <c r="CL536" s="79"/>
      <c r="CM536" s="79"/>
      <c r="CN536" s="79"/>
      <c r="CO536" s="79"/>
      <c r="CP536" s="79"/>
      <c r="CQ536" s="79"/>
      <c r="CR536" s="79"/>
      <c r="CS536" s="79"/>
      <c r="CT536" s="79"/>
      <c r="CU536" s="79"/>
      <c r="CV536" s="79"/>
      <c r="CW536" s="79"/>
      <c r="CX536" s="85"/>
      <c r="CY536" s="85"/>
      <c r="CZ536" s="85"/>
      <c r="DA536" s="86"/>
      <c r="DB536" s="84"/>
    </row>
    <row r="537" spans="2:106" ht="11.25" customHeight="1">
      <c r="B537" s="78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  <c r="BK537" s="79"/>
      <c r="BL537" s="79"/>
      <c r="BM537" s="79"/>
      <c r="BN537" s="79"/>
      <c r="BO537" s="79"/>
      <c r="BP537" s="79"/>
      <c r="BQ537" s="79"/>
      <c r="BR537" s="79"/>
      <c r="BS537" s="79"/>
      <c r="BT537" s="79"/>
      <c r="BU537" s="79"/>
      <c r="BV537" s="79"/>
      <c r="BW537" s="79"/>
      <c r="BX537" s="79"/>
      <c r="BY537" s="79"/>
      <c r="BZ537" s="79"/>
      <c r="CA537" s="79"/>
      <c r="CB537" s="79"/>
      <c r="CC537" s="79"/>
      <c r="CD537" s="79"/>
      <c r="CE537" s="79"/>
      <c r="CF537" s="79"/>
      <c r="CG537" s="79"/>
      <c r="CH537" s="79"/>
      <c r="CI537" s="79"/>
      <c r="CJ537" s="79"/>
      <c r="CK537" s="79"/>
      <c r="CL537" s="79"/>
      <c r="CM537" s="79"/>
      <c r="CN537" s="79"/>
      <c r="CO537" s="79"/>
      <c r="CP537" s="79"/>
      <c r="CQ537" s="79"/>
      <c r="CR537" s="79"/>
      <c r="CS537" s="79"/>
      <c r="CT537" s="79"/>
      <c r="CU537" s="79"/>
      <c r="CV537" s="79"/>
      <c r="CW537" s="79"/>
      <c r="CX537" s="85"/>
      <c r="CY537" s="85"/>
      <c r="CZ537" s="85"/>
      <c r="DA537" s="86"/>
      <c r="DB537" s="84"/>
    </row>
    <row r="538" spans="2:106" ht="11.25" customHeight="1">
      <c r="B538" s="80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  <c r="BS538" s="72"/>
      <c r="BT538" s="72"/>
      <c r="BU538" s="72"/>
      <c r="BV538" s="72"/>
      <c r="BW538" s="72"/>
      <c r="BX538" s="72"/>
      <c r="BY538" s="72"/>
      <c r="BZ538" s="72"/>
      <c r="CA538" s="72"/>
      <c r="CB538" s="72"/>
      <c r="CC538" s="72"/>
      <c r="CD538" s="72"/>
      <c r="CE538" s="72"/>
      <c r="CF538" s="72"/>
      <c r="CG538" s="72"/>
      <c r="CH538" s="72"/>
      <c r="CI538" s="72"/>
      <c r="CJ538" s="72"/>
      <c r="CK538" s="72"/>
      <c r="CL538" s="72"/>
      <c r="CM538" s="72"/>
      <c r="CN538" s="72"/>
      <c r="CO538" s="72"/>
      <c r="CP538" s="72"/>
      <c r="CQ538" s="72"/>
      <c r="CR538" s="72"/>
      <c r="CS538" s="72"/>
      <c r="CT538" s="72"/>
      <c r="CU538" s="72"/>
      <c r="CV538" s="72"/>
      <c r="CW538" s="72"/>
      <c r="CX538" s="87"/>
      <c r="CY538" s="87"/>
      <c r="CZ538" s="87"/>
      <c r="DA538" s="88"/>
      <c r="DB538" s="84"/>
    </row>
    <row r="539" spans="2:106">
      <c r="B539" s="23"/>
      <c r="C539" s="23"/>
      <c r="D539" s="23"/>
      <c r="E539" s="23"/>
      <c r="F539" s="23"/>
    </row>
  </sheetData>
  <mergeCells count="2">
    <mergeCell ref="B3:CW3"/>
    <mergeCell ref="B1:DA2"/>
  </mergeCells>
  <phoneticPr fontId="8" type="noConversion"/>
  <pageMargins left="0.51181102362204722" right="3.937007874015748E-2" top="0.94488188976377963" bottom="0.59055118110236215" header="0.5" footer="0.5"/>
  <pageSetup paperSize="9" scale="70" orientation="portrait" copies="0"/>
  <headerFooter alignWithMargins="0"/>
  <rowBreaks count="6" manualBreakCount="6">
    <brk id="90" min="2" max="105" man="1"/>
    <brk id="176" min="2" max="105" man="1"/>
    <brk id="262" min="2" max="105" man="1"/>
    <brk id="348" min="2" max="105" man="1"/>
    <brk id="434" min="2" max="105" man="1"/>
    <brk id="520" min="2" max="10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9B61-A88C-4A59-846C-85AA74A9B701}">
  <dimension ref="B1:AC23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7.140625" customWidth="1"/>
    <col min="3" max="3" width="30.85546875" customWidth="1"/>
    <col min="4" max="4" width="28.28515625" customWidth="1"/>
    <col min="5" max="5" width="10.28515625" customWidth="1"/>
    <col min="6" max="9" width="19.28515625" customWidth="1"/>
  </cols>
  <sheetData>
    <row r="1" spans="2:29" ht="24.95" customHeight="1">
      <c r="B1" s="343" t="s">
        <v>394</v>
      </c>
      <c r="C1" s="343"/>
      <c r="D1" s="343"/>
      <c r="E1" s="343"/>
      <c r="F1" s="343"/>
      <c r="G1" s="343"/>
      <c r="H1" s="343"/>
      <c r="I1" s="343"/>
    </row>
    <row r="2" spans="2:29" ht="9.9499999999999993" customHeight="1">
      <c r="B2" s="344"/>
      <c r="C2" s="344"/>
      <c r="D2" s="344"/>
      <c r="E2" s="344"/>
      <c r="F2" s="344"/>
      <c r="G2" s="344"/>
      <c r="H2" s="344"/>
      <c r="I2" s="344"/>
    </row>
    <row r="3" spans="2:29" ht="30.75" customHeight="1">
      <c r="B3" s="24" t="s">
        <v>197</v>
      </c>
      <c r="C3" s="17" t="s">
        <v>520</v>
      </c>
      <c r="D3" s="17" t="s">
        <v>649</v>
      </c>
      <c r="E3" s="17" t="s">
        <v>294</v>
      </c>
      <c r="F3" s="17" t="s">
        <v>801</v>
      </c>
      <c r="G3" s="17" t="s">
        <v>700</v>
      </c>
      <c r="H3" s="17" t="s">
        <v>498</v>
      </c>
      <c r="I3" s="18" t="s">
        <v>55</v>
      </c>
      <c r="Z3" t="s">
        <v>511</v>
      </c>
      <c r="AA3" t="s">
        <v>578</v>
      </c>
      <c r="AB3" t="s">
        <v>824</v>
      </c>
      <c r="AC3" t="s">
        <v>540</v>
      </c>
    </row>
    <row r="4" spans="2:29" ht="19.7" customHeight="1">
      <c r="B4" s="28" t="s">
        <v>225</v>
      </c>
      <c r="C4" s="29" t="s">
        <v>382</v>
      </c>
      <c r="D4" s="29" t="s">
        <v>158</v>
      </c>
      <c r="E4" s="30" t="s">
        <v>598</v>
      </c>
      <c r="F4" s="65">
        <f t="shared" ref="F4:F22" si="0">G4+H4+I4</f>
        <v>319882</v>
      </c>
      <c r="G4" s="65">
        <f>기계경비!AA4</f>
        <v>59020</v>
      </c>
      <c r="H4" s="65">
        <f>기계경비!AB4</f>
        <v>84117</v>
      </c>
      <c r="I4" s="73">
        <f>기계경비!AC4</f>
        <v>176745</v>
      </c>
      <c r="Z4" s="27">
        <v>319882</v>
      </c>
      <c r="AA4" s="27">
        <v>59020</v>
      </c>
      <c r="AB4" s="27">
        <v>84117</v>
      </c>
      <c r="AC4" s="27">
        <v>176745</v>
      </c>
    </row>
    <row r="5" spans="2:29" ht="19.7" customHeight="1">
      <c r="B5" s="28" t="s">
        <v>782</v>
      </c>
      <c r="C5" s="29" t="s">
        <v>610</v>
      </c>
      <c r="D5" s="29" t="s">
        <v>480</v>
      </c>
      <c r="E5" s="30" t="s">
        <v>598</v>
      </c>
      <c r="F5" s="65">
        <f t="shared" si="0"/>
        <v>92808</v>
      </c>
      <c r="G5" s="65">
        <f>기계경비!AA10</f>
        <v>59020</v>
      </c>
      <c r="H5" s="65">
        <f>기계경비!AB10</f>
        <v>12284</v>
      </c>
      <c r="I5" s="73">
        <f>기계경비!AC10</f>
        <v>21504</v>
      </c>
      <c r="Z5" s="27">
        <v>92808</v>
      </c>
      <c r="AA5" s="27">
        <v>59020</v>
      </c>
      <c r="AB5" s="27">
        <v>12284</v>
      </c>
      <c r="AC5" s="27">
        <v>21504</v>
      </c>
    </row>
    <row r="6" spans="2:29" ht="19.7" customHeight="1">
      <c r="B6" s="28" t="s">
        <v>312</v>
      </c>
      <c r="C6" s="29" t="s">
        <v>755</v>
      </c>
      <c r="D6" s="29" t="s">
        <v>330</v>
      </c>
      <c r="E6" s="30" t="s">
        <v>598</v>
      </c>
      <c r="F6" s="65">
        <f t="shared" si="0"/>
        <v>73460</v>
      </c>
      <c r="G6" s="65">
        <f>기계경비!AA17</f>
        <v>59020</v>
      </c>
      <c r="H6" s="65">
        <f>기계경비!AB17</f>
        <v>6935</v>
      </c>
      <c r="I6" s="73">
        <f>기계경비!AC17</f>
        <v>7505</v>
      </c>
      <c r="Z6" s="27">
        <v>73460</v>
      </c>
      <c r="AA6" s="27">
        <v>59020</v>
      </c>
      <c r="AB6" s="27">
        <v>6935</v>
      </c>
      <c r="AC6" s="27">
        <v>7505</v>
      </c>
    </row>
    <row r="7" spans="2:29" ht="19.7" customHeight="1">
      <c r="B7" s="28" t="s">
        <v>644</v>
      </c>
      <c r="C7" s="29" t="s">
        <v>95</v>
      </c>
      <c r="D7" s="29" t="s">
        <v>250</v>
      </c>
      <c r="E7" s="30" t="s">
        <v>598</v>
      </c>
      <c r="F7" s="65">
        <f t="shared" si="0"/>
        <v>137301</v>
      </c>
      <c r="G7" s="65">
        <f>기계경비!AA23</f>
        <v>59020</v>
      </c>
      <c r="H7" s="65">
        <f>기계경비!AB23</f>
        <v>19140</v>
      </c>
      <c r="I7" s="73">
        <f>기계경비!AC23</f>
        <v>59141</v>
      </c>
      <c r="Z7" s="27">
        <v>137301</v>
      </c>
      <c r="AA7" s="27">
        <v>59020</v>
      </c>
      <c r="AB7" s="27">
        <v>19140</v>
      </c>
      <c r="AC7" s="27">
        <v>59141</v>
      </c>
    </row>
    <row r="8" spans="2:29" ht="19.7" customHeight="1">
      <c r="B8" s="28" t="s">
        <v>253</v>
      </c>
      <c r="C8" s="29" t="s">
        <v>509</v>
      </c>
      <c r="D8" s="29" t="s">
        <v>673</v>
      </c>
      <c r="E8" s="30" t="s">
        <v>598</v>
      </c>
      <c r="F8" s="65">
        <f t="shared" si="0"/>
        <v>86977</v>
      </c>
      <c r="G8" s="65">
        <f>기계경비!AA29</f>
        <v>59020</v>
      </c>
      <c r="H8" s="65">
        <f>기계경비!AB29</f>
        <v>15100</v>
      </c>
      <c r="I8" s="73">
        <f>기계경비!AC29</f>
        <v>12857</v>
      </c>
      <c r="Z8" s="27">
        <v>86977</v>
      </c>
      <c r="AA8" s="27">
        <v>59020</v>
      </c>
      <c r="AB8" s="27">
        <v>15100</v>
      </c>
      <c r="AC8" s="27">
        <v>12857</v>
      </c>
    </row>
    <row r="9" spans="2:29" ht="19.7" customHeight="1">
      <c r="B9" s="28" t="s">
        <v>760</v>
      </c>
      <c r="C9" s="29" t="s">
        <v>808</v>
      </c>
      <c r="D9" s="29" t="s">
        <v>814</v>
      </c>
      <c r="E9" s="30" t="s">
        <v>598</v>
      </c>
      <c r="F9" s="65">
        <f t="shared" si="0"/>
        <v>91695</v>
      </c>
      <c r="G9" s="65">
        <f>기계경비!AA35</f>
        <v>59020</v>
      </c>
      <c r="H9" s="65">
        <f>기계경비!AB35</f>
        <v>13539</v>
      </c>
      <c r="I9" s="73">
        <f>기계경비!AC35</f>
        <v>19136</v>
      </c>
      <c r="Z9" s="27">
        <v>91695</v>
      </c>
      <c r="AA9" s="27">
        <v>59020</v>
      </c>
      <c r="AB9" s="27">
        <v>13539</v>
      </c>
      <c r="AC9" s="27">
        <v>19136</v>
      </c>
    </row>
    <row r="10" spans="2:29" ht="19.7" customHeight="1">
      <c r="B10" s="28" t="s">
        <v>402</v>
      </c>
      <c r="C10" s="29" t="s">
        <v>805</v>
      </c>
      <c r="D10" s="29" t="s">
        <v>806</v>
      </c>
      <c r="E10" s="30" t="s">
        <v>598</v>
      </c>
      <c r="F10" s="65">
        <f t="shared" si="0"/>
        <v>76175</v>
      </c>
      <c r="G10" s="65">
        <f>기계경비!AA41</f>
        <v>59020</v>
      </c>
      <c r="H10" s="65">
        <f>기계경비!AB41</f>
        <v>8118</v>
      </c>
      <c r="I10" s="73">
        <f>기계경비!AC41</f>
        <v>9037</v>
      </c>
      <c r="Z10" s="27">
        <v>76175</v>
      </c>
      <c r="AA10" s="27">
        <v>59020</v>
      </c>
      <c r="AB10" s="27">
        <v>8118</v>
      </c>
      <c r="AC10" s="27">
        <v>9037</v>
      </c>
    </row>
    <row r="11" spans="2:29" ht="19.7" customHeight="1">
      <c r="B11" s="28" t="s">
        <v>764</v>
      </c>
      <c r="C11" s="29" t="s">
        <v>634</v>
      </c>
      <c r="D11" s="29" t="s">
        <v>576</v>
      </c>
      <c r="E11" s="30" t="s">
        <v>598</v>
      </c>
      <c r="F11" s="65">
        <f t="shared" si="0"/>
        <v>94238</v>
      </c>
      <c r="G11" s="65">
        <f>기계경비!AA47</f>
        <v>59020</v>
      </c>
      <c r="H11" s="65">
        <f>기계경비!AB47</f>
        <v>18748</v>
      </c>
      <c r="I11" s="73">
        <f>기계경비!AC47</f>
        <v>16470</v>
      </c>
      <c r="Z11" s="27">
        <v>94238</v>
      </c>
      <c r="AA11" s="27">
        <v>59020</v>
      </c>
      <c r="AB11" s="27">
        <v>18748</v>
      </c>
      <c r="AC11" s="27">
        <v>16470</v>
      </c>
    </row>
    <row r="12" spans="2:29" ht="19.7" customHeight="1">
      <c r="B12" s="28" t="s">
        <v>392</v>
      </c>
      <c r="C12" s="29" t="s">
        <v>8</v>
      </c>
      <c r="D12" s="29" t="s">
        <v>171</v>
      </c>
      <c r="E12" s="30" t="s">
        <v>598</v>
      </c>
      <c r="F12" s="65">
        <f t="shared" si="0"/>
        <v>92007</v>
      </c>
      <c r="G12" s="65">
        <f>기계경비!AA53</f>
        <v>49778</v>
      </c>
      <c r="H12" s="65">
        <f>기계경비!AB53</f>
        <v>23075</v>
      </c>
      <c r="I12" s="73">
        <f>기계경비!AC53</f>
        <v>19154</v>
      </c>
      <c r="Z12" s="27">
        <v>92007</v>
      </c>
      <c r="AA12" s="27">
        <v>49778</v>
      </c>
      <c r="AB12" s="27">
        <v>23075</v>
      </c>
      <c r="AC12" s="27">
        <v>19154</v>
      </c>
    </row>
    <row r="13" spans="2:29" ht="19.7" customHeight="1">
      <c r="B13" s="28" t="s">
        <v>90</v>
      </c>
      <c r="C13" s="29" t="s">
        <v>353</v>
      </c>
      <c r="D13" s="29" t="s">
        <v>232</v>
      </c>
      <c r="E13" s="30" t="s">
        <v>598</v>
      </c>
      <c r="F13" s="65">
        <f t="shared" si="0"/>
        <v>66885</v>
      </c>
      <c r="G13" s="65">
        <f>기계경비!AA59</f>
        <v>49778</v>
      </c>
      <c r="H13" s="65">
        <f>기계경비!AB59</f>
        <v>9494</v>
      </c>
      <c r="I13" s="73">
        <f>기계경비!AC59</f>
        <v>7613</v>
      </c>
      <c r="Z13" s="27">
        <v>66885</v>
      </c>
      <c r="AA13" s="27">
        <v>49778</v>
      </c>
      <c r="AB13" s="27">
        <v>9494</v>
      </c>
      <c r="AC13" s="27">
        <v>7613</v>
      </c>
    </row>
    <row r="14" spans="2:29" ht="19.7" customHeight="1">
      <c r="B14" s="28" t="s">
        <v>433</v>
      </c>
      <c r="C14" s="29" t="s">
        <v>353</v>
      </c>
      <c r="D14" s="29" t="s">
        <v>273</v>
      </c>
      <c r="E14" s="30" t="s">
        <v>598</v>
      </c>
      <c r="F14" s="65">
        <f t="shared" si="0"/>
        <v>61806</v>
      </c>
      <c r="G14" s="65">
        <f>기계경비!AA65</f>
        <v>49778</v>
      </c>
      <c r="H14" s="65">
        <f>기계경비!AB65</f>
        <v>5506</v>
      </c>
      <c r="I14" s="73">
        <f>기계경비!AC65</f>
        <v>6522</v>
      </c>
      <c r="Z14" s="27">
        <v>61806</v>
      </c>
      <c r="AA14" s="27">
        <v>49778</v>
      </c>
      <c r="AB14" s="27">
        <v>5506</v>
      </c>
      <c r="AC14" s="27">
        <v>6522</v>
      </c>
    </row>
    <row r="15" spans="2:29" ht="19.7" customHeight="1">
      <c r="B15" s="28" t="s">
        <v>151</v>
      </c>
      <c r="C15" s="29" t="s">
        <v>301</v>
      </c>
      <c r="D15" s="29" t="s">
        <v>823</v>
      </c>
      <c r="E15" s="30" t="s">
        <v>598</v>
      </c>
      <c r="F15" s="65">
        <f t="shared" si="0"/>
        <v>66591</v>
      </c>
      <c r="G15" s="65">
        <f>기계경비!AA71</f>
        <v>49778</v>
      </c>
      <c r="H15" s="65">
        <f>기계경비!AB71</f>
        <v>6274</v>
      </c>
      <c r="I15" s="73">
        <f>기계경비!AC71</f>
        <v>10539</v>
      </c>
      <c r="Z15" s="27">
        <v>66591</v>
      </c>
      <c r="AA15" s="27">
        <v>49778</v>
      </c>
      <c r="AB15" s="27">
        <v>6274</v>
      </c>
      <c r="AC15" s="27">
        <v>10539</v>
      </c>
    </row>
    <row r="16" spans="2:29" ht="19.7" customHeight="1">
      <c r="B16" s="28" t="s">
        <v>517</v>
      </c>
      <c r="C16" s="29" t="s">
        <v>347</v>
      </c>
      <c r="D16" s="29" t="s">
        <v>827</v>
      </c>
      <c r="E16" s="30" t="s">
        <v>598</v>
      </c>
      <c r="F16" s="65">
        <f t="shared" si="0"/>
        <v>107892</v>
      </c>
      <c r="G16" s="65">
        <f>기계경비!AA77</f>
        <v>59020</v>
      </c>
      <c r="H16" s="65">
        <f>기계경비!AB77</f>
        <v>31558</v>
      </c>
      <c r="I16" s="73">
        <f>기계경비!AC77</f>
        <v>17314</v>
      </c>
      <c r="Z16" s="27">
        <v>107892</v>
      </c>
      <c r="AA16" s="27">
        <v>59020</v>
      </c>
      <c r="AB16" s="27">
        <v>31558</v>
      </c>
      <c r="AC16" s="27">
        <v>17314</v>
      </c>
    </row>
    <row r="17" spans="2:29" ht="19.7" customHeight="1">
      <c r="B17" s="28" t="s">
        <v>26</v>
      </c>
      <c r="C17" s="29" t="s">
        <v>11</v>
      </c>
      <c r="D17" s="29" t="s">
        <v>196</v>
      </c>
      <c r="E17" s="30" t="s">
        <v>598</v>
      </c>
      <c r="F17" s="65">
        <f t="shared" si="0"/>
        <v>136855</v>
      </c>
      <c r="G17" s="65">
        <f>기계경비!AA83</f>
        <v>59020</v>
      </c>
      <c r="H17" s="65">
        <f>기계경비!AB83</f>
        <v>30984</v>
      </c>
      <c r="I17" s="73">
        <f>기계경비!AC83</f>
        <v>46851</v>
      </c>
      <c r="Z17" s="27">
        <v>136855</v>
      </c>
      <c r="AA17" s="27">
        <v>59020</v>
      </c>
      <c r="AB17" s="27">
        <v>30984</v>
      </c>
      <c r="AC17" s="27">
        <v>46851</v>
      </c>
    </row>
    <row r="18" spans="2:29" ht="19.7" customHeight="1">
      <c r="B18" s="28" t="s">
        <v>462</v>
      </c>
      <c r="C18" s="29" t="s">
        <v>672</v>
      </c>
      <c r="D18" s="29" t="s">
        <v>685</v>
      </c>
      <c r="E18" s="30" t="s">
        <v>598</v>
      </c>
      <c r="F18" s="65">
        <f t="shared" si="0"/>
        <v>43664</v>
      </c>
      <c r="G18" s="65">
        <f>기계경비!AA89</f>
        <v>36248</v>
      </c>
      <c r="H18" s="65">
        <f>기계경비!AB89</f>
        <v>0</v>
      </c>
      <c r="I18" s="73">
        <f>기계경비!AC89</f>
        <v>7416</v>
      </c>
      <c r="Z18" s="27">
        <v>43664</v>
      </c>
      <c r="AA18" s="27">
        <v>36248</v>
      </c>
      <c r="AC18" s="27">
        <v>7416</v>
      </c>
    </row>
    <row r="19" spans="2:29" ht="19.7" customHeight="1">
      <c r="B19" s="28" t="s">
        <v>125</v>
      </c>
      <c r="C19" s="29" t="s">
        <v>80</v>
      </c>
      <c r="D19" s="29" t="s">
        <v>708</v>
      </c>
      <c r="E19" s="30" t="s">
        <v>598</v>
      </c>
      <c r="F19" s="65">
        <f t="shared" si="0"/>
        <v>54971</v>
      </c>
      <c r="G19" s="65">
        <f>기계경비!AA93</f>
        <v>36248</v>
      </c>
      <c r="H19" s="65">
        <f>기계경비!AB93</f>
        <v>14477</v>
      </c>
      <c r="I19" s="73">
        <f>기계경비!AC93</f>
        <v>4246</v>
      </c>
      <c r="Z19" s="27">
        <v>54971</v>
      </c>
      <c r="AA19" s="27">
        <v>36248</v>
      </c>
      <c r="AB19" s="27">
        <v>14477</v>
      </c>
      <c r="AC19" s="27">
        <v>4246</v>
      </c>
    </row>
    <row r="20" spans="2:29" ht="19.7" customHeight="1">
      <c r="B20" s="28" t="s">
        <v>589</v>
      </c>
      <c r="C20" s="29" t="s">
        <v>639</v>
      </c>
      <c r="D20" s="29" t="s">
        <v>823</v>
      </c>
      <c r="E20" s="30" t="s">
        <v>598</v>
      </c>
      <c r="F20" s="65">
        <f t="shared" si="0"/>
        <v>294593</v>
      </c>
      <c r="G20" s="65">
        <f>기계경비!AA99</f>
        <v>67563</v>
      </c>
      <c r="H20" s="65">
        <f>기계경비!AB99</f>
        <v>16520</v>
      </c>
      <c r="I20" s="73">
        <f>기계경비!AC99</f>
        <v>210510</v>
      </c>
      <c r="Z20" s="27">
        <v>294593</v>
      </c>
      <c r="AA20" s="27">
        <v>67563</v>
      </c>
      <c r="AB20" s="27">
        <v>16520</v>
      </c>
      <c r="AC20" s="27">
        <v>210510</v>
      </c>
    </row>
    <row r="21" spans="2:29" ht="19.7" customHeight="1">
      <c r="B21" s="28" t="s">
        <v>127</v>
      </c>
      <c r="C21" s="29" t="s">
        <v>698</v>
      </c>
      <c r="D21" s="29" t="s">
        <v>155</v>
      </c>
      <c r="E21" s="30" t="s">
        <v>598</v>
      </c>
      <c r="F21" s="65">
        <f t="shared" si="0"/>
        <v>106815</v>
      </c>
      <c r="G21" s="65">
        <f>기계경비!AA106</f>
        <v>59020</v>
      </c>
      <c r="H21" s="65">
        <f>기계경비!AB106</f>
        <v>19473</v>
      </c>
      <c r="I21" s="73">
        <f>기계경비!AC106</f>
        <v>28322</v>
      </c>
      <c r="Z21" s="27">
        <v>106815</v>
      </c>
      <c r="AA21" s="27">
        <v>59020</v>
      </c>
      <c r="AB21" s="27">
        <v>19473</v>
      </c>
      <c r="AC21" s="27">
        <v>28322</v>
      </c>
    </row>
    <row r="22" spans="2:29" ht="19.7" customHeight="1">
      <c r="B22" s="33" t="s">
        <v>577</v>
      </c>
      <c r="C22" s="34" t="s">
        <v>246</v>
      </c>
      <c r="D22" s="34" t="s">
        <v>46</v>
      </c>
      <c r="E22" s="35" t="s">
        <v>598</v>
      </c>
      <c r="F22" s="74">
        <f t="shared" si="0"/>
        <v>103047</v>
      </c>
      <c r="G22" s="74">
        <f>기계경비!AA112</f>
        <v>59020</v>
      </c>
      <c r="H22" s="74">
        <f>기계경비!AB112</f>
        <v>19473</v>
      </c>
      <c r="I22" s="75">
        <f>기계경비!AC112</f>
        <v>24554</v>
      </c>
      <c r="Z22" s="27">
        <v>103047</v>
      </c>
      <c r="AA22" s="27">
        <v>59020</v>
      </c>
      <c r="AB22" s="27">
        <v>19473</v>
      </c>
      <c r="AC22" s="27">
        <v>24554</v>
      </c>
    </row>
    <row r="23" spans="2:29">
      <c r="B23" s="23"/>
      <c r="C23" s="23"/>
      <c r="D23" s="23"/>
      <c r="E23" s="23"/>
      <c r="F23" s="23"/>
      <c r="G23" s="23"/>
      <c r="H23" s="23"/>
      <c r="I23" s="23"/>
    </row>
  </sheetData>
  <mergeCells count="1">
    <mergeCell ref="B1:I2"/>
  </mergeCells>
  <phoneticPr fontId="8" type="noConversion"/>
  <pageMargins left="0.78740157480314965" right="7.874015748031496E-2" top="0.6692913385826772" bottom="0.59055118110236215" header="0.5" footer="0.5"/>
  <pageSetup paperSize="9" scale="85" orientation="landscape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8D72-D16D-47DF-B492-C85E9C2ED050}">
  <dimension ref="B1:AD118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30" customWidth="1"/>
    <col min="3" max="3" width="24.42578125" customWidth="1"/>
    <col min="4" max="25" width="2" customWidth="1"/>
    <col min="26" max="26" width="13.85546875" customWidth="1"/>
    <col min="27" max="29" width="10.28515625" customWidth="1"/>
    <col min="30" max="30" width="12" customWidth="1"/>
  </cols>
  <sheetData>
    <row r="1" spans="2:30" ht="24.95" customHeight="1">
      <c r="B1" s="343" t="s">
        <v>106</v>
      </c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</row>
    <row r="2" spans="2:30" ht="9.9499999999999993" customHeight="1"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</row>
    <row r="3" spans="2:30" ht="30.75" customHeight="1">
      <c r="B3" s="24" t="s">
        <v>555</v>
      </c>
      <c r="C3" s="17" t="s">
        <v>649</v>
      </c>
      <c r="D3" s="342" t="s">
        <v>821</v>
      </c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16" t="s">
        <v>801</v>
      </c>
      <c r="AA3" s="17" t="s">
        <v>700</v>
      </c>
      <c r="AB3" s="17" t="s">
        <v>498</v>
      </c>
      <c r="AC3" s="17" t="s">
        <v>55</v>
      </c>
      <c r="AD3" s="18" t="s">
        <v>10</v>
      </c>
    </row>
    <row r="4" spans="2:30" ht="19.7" customHeight="1">
      <c r="B4" s="61" t="s">
        <v>426</v>
      </c>
      <c r="C4" s="62" t="s">
        <v>158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4">
        <f>AA4+AB4+AC4</f>
        <v>319882</v>
      </c>
      <c r="AA4" s="65">
        <f>TRUNC(AA5+AA6+AA7+AA8)</f>
        <v>59020</v>
      </c>
      <c r="AB4" s="65">
        <f>TRUNC(AB5+AB6+AB7+AB8)</f>
        <v>84117</v>
      </c>
      <c r="AC4" s="65">
        <f>TRUNC(AC5+AC6+AC7+AC8)</f>
        <v>176745</v>
      </c>
      <c r="AD4" s="66"/>
    </row>
    <row r="5" spans="2:30" ht="19.7" customHeight="1">
      <c r="B5" s="67" t="s">
        <v>239</v>
      </c>
      <c r="C5" s="29" t="s">
        <v>834</v>
      </c>
      <c r="D5" s="372">
        <v>438356000</v>
      </c>
      <c r="E5" s="372"/>
      <c r="F5" s="372"/>
      <c r="G5" s="372"/>
      <c r="H5" s="372"/>
      <c r="I5" s="372" t="s">
        <v>149</v>
      </c>
      <c r="J5" s="372"/>
      <c r="K5" s="372">
        <v>4032</v>
      </c>
      <c r="L5" s="372"/>
      <c r="M5" s="372"/>
      <c r="N5" s="63" t="s">
        <v>699</v>
      </c>
      <c r="O5" s="372" t="s">
        <v>745</v>
      </c>
      <c r="P5" s="372"/>
      <c r="Q5" s="372"/>
      <c r="R5" s="63"/>
      <c r="S5" s="63"/>
      <c r="T5" s="63"/>
      <c r="U5" s="63"/>
      <c r="V5" s="63"/>
      <c r="W5" s="63"/>
      <c r="X5" s="63"/>
      <c r="Y5" s="63"/>
      <c r="Z5" s="64">
        <f>AA5+AB5+AC5</f>
        <v>176745.1</v>
      </c>
      <c r="AA5" s="68"/>
      <c r="AB5" s="68"/>
      <c r="AC5" s="68">
        <f>TRUNC(D5*K5*0.0000001,1)</f>
        <v>176745.1</v>
      </c>
      <c r="AD5" s="32" t="s">
        <v>635</v>
      </c>
    </row>
    <row r="6" spans="2:30" ht="19.7" customHeight="1">
      <c r="B6" s="67" t="s">
        <v>688</v>
      </c>
      <c r="C6" s="29" t="s">
        <v>53</v>
      </c>
      <c r="D6" s="373">
        <v>52.7</v>
      </c>
      <c r="E6" s="372"/>
      <c r="F6" s="372"/>
      <c r="G6" s="372"/>
      <c r="H6" s="63" t="s">
        <v>660</v>
      </c>
      <c r="I6" s="63" t="s">
        <v>699</v>
      </c>
      <c r="J6" s="372">
        <f>자재단가!R6</f>
        <v>1376</v>
      </c>
      <c r="K6" s="372"/>
      <c r="L6" s="372"/>
      <c r="M6" s="372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4">
        <f>AA6+AB6+AC6</f>
        <v>72515.199999999997</v>
      </c>
      <c r="AA6" s="68"/>
      <c r="AB6" s="68">
        <f>TRUNC(D6*J6,1)</f>
        <v>72515.199999999997</v>
      </c>
      <c r="AC6" s="68"/>
      <c r="AD6" s="32" t="s">
        <v>834</v>
      </c>
    </row>
    <row r="7" spans="2:30" ht="19.7" customHeight="1">
      <c r="B7" s="67" t="s">
        <v>61</v>
      </c>
      <c r="C7" s="29" t="s">
        <v>467</v>
      </c>
      <c r="D7" s="373">
        <v>16</v>
      </c>
      <c r="E7" s="372"/>
      <c r="F7" s="372"/>
      <c r="G7" s="372"/>
      <c r="H7" s="63" t="s">
        <v>157</v>
      </c>
      <c r="I7" s="63" t="s">
        <v>699</v>
      </c>
      <c r="J7" s="372">
        <f>AB6</f>
        <v>72515.199999999997</v>
      </c>
      <c r="K7" s="372"/>
      <c r="L7" s="372"/>
      <c r="M7" s="372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4">
        <f>AA7+AB7+AC7</f>
        <v>11602.4</v>
      </c>
      <c r="AA7" s="68"/>
      <c r="AB7" s="68">
        <f>TRUNC(D7/100*J7,1)</f>
        <v>11602.4</v>
      </c>
      <c r="AC7" s="68"/>
      <c r="AD7" s="32" t="s">
        <v>834</v>
      </c>
    </row>
    <row r="8" spans="2:30" ht="19.7" customHeight="1">
      <c r="B8" s="67" t="s">
        <v>177</v>
      </c>
      <c r="C8" s="29" t="s">
        <v>834</v>
      </c>
      <c r="D8" s="374">
        <v>1</v>
      </c>
      <c r="E8" s="372"/>
      <c r="F8" s="372"/>
      <c r="G8" s="63" t="s">
        <v>767</v>
      </c>
      <c r="H8" s="63" t="s">
        <v>699</v>
      </c>
      <c r="I8" s="372">
        <f>노임단가!F6</f>
        <v>283297</v>
      </c>
      <c r="J8" s="372"/>
      <c r="K8" s="372"/>
      <c r="L8" s="372"/>
      <c r="M8" s="63" t="s">
        <v>699</v>
      </c>
      <c r="N8" s="372" t="s">
        <v>570</v>
      </c>
      <c r="O8" s="372"/>
      <c r="P8" s="372"/>
      <c r="Q8" s="372"/>
      <c r="R8" s="372"/>
      <c r="S8" s="372"/>
      <c r="T8" s="372"/>
      <c r="U8" s="372"/>
      <c r="V8" s="372"/>
      <c r="W8" s="63"/>
      <c r="X8" s="63"/>
      <c r="Y8" s="63"/>
      <c r="Z8" s="64">
        <f>AA8+AB8+AC8</f>
        <v>59020.2</v>
      </c>
      <c r="AA8" s="68">
        <f>TRUNC(D8*I8*기계경비적용기준!E21,1)</f>
        <v>59020.2</v>
      </c>
      <c r="AB8" s="68"/>
      <c r="AC8" s="68"/>
      <c r="AD8" s="32" t="s">
        <v>834</v>
      </c>
    </row>
    <row r="9" spans="2:30" ht="19.7" customHeight="1">
      <c r="B9" s="67" t="s">
        <v>834</v>
      </c>
      <c r="C9" s="29" t="s">
        <v>834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37"/>
      <c r="AA9" s="31"/>
      <c r="AB9" s="31"/>
      <c r="AC9" s="31"/>
      <c r="AD9" s="32" t="s">
        <v>834</v>
      </c>
    </row>
    <row r="10" spans="2:30" ht="19.7" customHeight="1">
      <c r="B10" s="61" t="s">
        <v>611</v>
      </c>
      <c r="C10" s="62" t="s">
        <v>480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4">
        <f t="shared" ref="Z10:Z15" si="0">AA10+AB10+AC10</f>
        <v>92808</v>
      </c>
      <c r="AA10" s="65">
        <f>TRUNC(AA11+AA12+AA13+AA14+AA15)</f>
        <v>59020</v>
      </c>
      <c r="AB10" s="65">
        <f>TRUNC(AB11+AB12+AB13+AB14+AB15)</f>
        <v>12284</v>
      </c>
      <c r="AC10" s="65">
        <f>TRUNC(AC11+AC12+AC13+AC14+AC15)</f>
        <v>21504</v>
      </c>
      <c r="AD10" s="66"/>
    </row>
    <row r="11" spans="2:30" ht="19.7" customHeight="1">
      <c r="B11" s="67" t="s">
        <v>794</v>
      </c>
      <c r="C11" s="29" t="s">
        <v>834</v>
      </c>
      <c r="D11" s="372">
        <v>46576000</v>
      </c>
      <c r="E11" s="372"/>
      <c r="F11" s="372"/>
      <c r="G11" s="372"/>
      <c r="H11" s="372"/>
      <c r="I11" s="372" t="s">
        <v>149</v>
      </c>
      <c r="J11" s="372"/>
      <c r="K11" s="372">
        <v>2085</v>
      </c>
      <c r="L11" s="372"/>
      <c r="M11" s="372"/>
      <c r="N11" s="63" t="s">
        <v>699</v>
      </c>
      <c r="O11" s="372" t="s">
        <v>745</v>
      </c>
      <c r="P11" s="372"/>
      <c r="Q11" s="372"/>
      <c r="R11" s="63"/>
      <c r="S11" s="63"/>
      <c r="T11" s="63"/>
      <c r="U11" s="63"/>
      <c r="V11" s="63"/>
      <c r="W11" s="63"/>
      <c r="X11" s="63"/>
      <c r="Y11" s="63"/>
      <c r="Z11" s="64">
        <f t="shared" si="0"/>
        <v>9711</v>
      </c>
      <c r="AA11" s="68"/>
      <c r="AB11" s="68"/>
      <c r="AC11" s="68">
        <f>TRUNC(D11*K11*0.0000001,1)</f>
        <v>9711</v>
      </c>
      <c r="AD11" s="32" t="s">
        <v>635</v>
      </c>
    </row>
    <row r="12" spans="2:30" ht="19.7" customHeight="1">
      <c r="B12" s="67" t="s">
        <v>286</v>
      </c>
      <c r="C12" s="29" t="s">
        <v>834</v>
      </c>
      <c r="D12" s="372">
        <v>29250000</v>
      </c>
      <c r="E12" s="372"/>
      <c r="F12" s="372"/>
      <c r="G12" s="372"/>
      <c r="H12" s="372"/>
      <c r="I12" s="372" t="s">
        <v>149</v>
      </c>
      <c r="J12" s="372"/>
      <c r="K12" s="372">
        <v>4032</v>
      </c>
      <c r="L12" s="372"/>
      <c r="M12" s="372"/>
      <c r="N12" s="63" t="s">
        <v>699</v>
      </c>
      <c r="O12" s="372" t="s">
        <v>745</v>
      </c>
      <c r="P12" s="372"/>
      <c r="Q12" s="372"/>
      <c r="R12" s="63"/>
      <c r="S12" s="63"/>
      <c r="T12" s="63"/>
      <c r="U12" s="63"/>
      <c r="V12" s="63"/>
      <c r="W12" s="63"/>
      <c r="X12" s="63"/>
      <c r="Y12" s="63"/>
      <c r="Z12" s="64">
        <f t="shared" si="0"/>
        <v>11793.6</v>
      </c>
      <c r="AA12" s="68"/>
      <c r="AB12" s="68"/>
      <c r="AC12" s="68">
        <f>TRUNC(D12*K12*0.0000001,1)</f>
        <v>11793.6</v>
      </c>
      <c r="AD12" s="32" t="s">
        <v>635</v>
      </c>
    </row>
    <row r="13" spans="2:30" ht="19.7" customHeight="1">
      <c r="B13" s="67" t="s">
        <v>688</v>
      </c>
      <c r="C13" s="29" t="s">
        <v>53</v>
      </c>
      <c r="D13" s="373">
        <v>6.2</v>
      </c>
      <c r="E13" s="372"/>
      <c r="F13" s="372"/>
      <c r="G13" s="372"/>
      <c r="H13" s="63" t="s">
        <v>660</v>
      </c>
      <c r="I13" s="63" t="s">
        <v>699</v>
      </c>
      <c r="J13" s="372">
        <f>자재단가!R6</f>
        <v>1376</v>
      </c>
      <c r="K13" s="372"/>
      <c r="L13" s="372"/>
      <c r="M13" s="372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4">
        <f t="shared" si="0"/>
        <v>8531.2000000000007</v>
      </c>
      <c r="AA13" s="68"/>
      <c r="AB13" s="68">
        <f>TRUNC(D13*J13,1)</f>
        <v>8531.2000000000007</v>
      </c>
      <c r="AC13" s="68"/>
      <c r="AD13" s="32" t="s">
        <v>834</v>
      </c>
    </row>
    <row r="14" spans="2:30" ht="19.7" customHeight="1">
      <c r="B14" s="67" t="s">
        <v>61</v>
      </c>
      <c r="C14" s="29" t="s">
        <v>467</v>
      </c>
      <c r="D14" s="373">
        <v>44</v>
      </c>
      <c r="E14" s="372"/>
      <c r="F14" s="372"/>
      <c r="G14" s="372"/>
      <c r="H14" s="63" t="s">
        <v>157</v>
      </c>
      <c r="I14" s="63" t="s">
        <v>699</v>
      </c>
      <c r="J14" s="372">
        <f>AB13</f>
        <v>8531.2000000000007</v>
      </c>
      <c r="K14" s="372"/>
      <c r="L14" s="372"/>
      <c r="M14" s="372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4">
        <f t="shared" si="0"/>
        <v>3753.7</v>
      </c>
      <c r="AA14" s="68"/>
      <c r="AB14" s="68">
        <f>TRUNC(D14/100*J14,1)</f>
        <v>3753.7</v>
      </c>
      <c r="AC14" s="68"/>
      <c r="AD14" s="32" t="s">
        <v>834</v>
      </c>
    </row>
    <row r="15" spans="2:30" ht="19.7" customHeight="1">
      <c r="B15" s="67" t="s">
        <v>177</v>
      </c>
      <c r="C15" s="29" t="s">
        <v>834</v>
      </c>
      <c r="D15" s="374">
        <v>1</v>
      </c>
      <c r="E15" s="372"/>
      <c r="F15" s="372"/>
      <c r="G15" s="63" t="s">
        <v>767</v>
      </c>
      <c r="H15" s="63" t="s">
        <v>699</v>
      </c>
      <c r="I15" s="372">
        <f>노임단가!F6</f>
        <v>283297</v>
      </c>
      <c r="J15" s="372"/>
      <c r="K15" s="372"/>
      <c r="L15" s="372"/>
      <c r="M15" s="63" t="s">
        <v>699</v>
      </c>
      <c r="N15" s="372" t="s">
        <v>570</v>
      </c>
      <c r="O15" s="372"/>
      <c r="P15" s="372"/>
      <c r="Q15" s="372"/>
      <c r="R15" s="372"/>
      <c r="S15" s="372"/>
      <c r="T15" s="372"/>
      <c r="U15" s="372"/>
      <c r="V15" s="372"/>
      <c r="W15" s="63"/>
      <c r="X15" s="63"/>
      <c r="Y15" s="63"/>
      <c r="Z15" s="64">
        <f t="shared" si="0"/>
        <v>59020.2</v>
      </c>
      <c r="AA15" s="68">
        <f>TRUNC(D15*I15*기계경비적용기준!E21,1)</f>
        <v>59020.2</v>
      </c>
      <c r="AB15" s="68"/>
      <c r="AC15" s="68"/>
      <c r="AD15" s="32" t="s">
        <v>834</v>
      </c>
    </row>
    <row r="16" spans="2:30" ht="19.7" customHeight="1">
      <c r="B16" s="67" t="s">
        <v>834</v>
      </c>
      <c r="C16" s="29" t="s">
        <v>834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37"/>
      <c r="AA16" s="31"/>
      <c r="AB16" s="31"/>
      <c r="AC16" s="31"/>
      <c r="AD16" s="32" t="s">
        <v>834</v>
      </c>
    </row>
    <row r="17" spans="2:30" ht="19.7" customHeight="1">
      <c r="B17" s="61" t="s">
        <v>607</v>
      </c>
      <c r="C17" s="62" t="s">
        <v>330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4">
        <f>AA17+AB17+AC17</f>
        <v>73460</v>
      </c>
      <c r="AA17" s="65">
        <f>TRUNC(AA18+AA19+AA20+AA21)</f>
        <v>59020</v>
      </c>
      <c r="AB17" s="65">
        <f>TRUNC(AB18+AB19+AB20+AB21)</f>
        <v>6935</v>
      </c>
      <c r="AC17" s="65">
        <f>TRUNC(AC18+AC19+AC20+AC21)</f>
        <v>7505</v>
      </c>
      <c r="AD17" s="66"/>
    </row>
    <row r="18" spans="2:30" ht="19.7" customHeight="1">
      <c r="B18" s="67" t="s">
        <v>239</v>
      </c>
      <c r="C18" s="29" t="s">
        <v>834</v>
      </c>
      <c r="D18" s="372">
        <v>35999000</v>
      </c>
      <c r="E18" s="372"/>
      <c r="F18" s="372"/>
      <c r="G18" s="372"/>
      <c r="H18" s="372"/>
      <c r="I18" s="372" t="s">
        <v>149</v>
      </c>
      <c r="J18" s="372"/>
      <c r="K18" s="372">
        <v>2085</v>
      </c>
      <c r="L18" s="372"/>
      <c r="M18" s="372"/>
      <c r="N18" s="63" t="s">
        <v>699</v>
      </c>
      <c r="O18" s="372" t="s">
        <v>745</v>
      </c>
      <c r="P18" s="372"/>
      <c r="Q18" s="372"/>
      <c r="R18" s="63"/>
      <c r="S18" s="63"/>
      <c r="T18" s="63"/>
      <c r="U18" s="63"/>
      <c r="V18" s="63"/>
      <c r="W18" s="63"/>
      <c r="X18" s="63"/>
      <c r="Y18" s="63"/>
      <c r="Z18" s="64">
        <f>AA18+AB18+AC18</f>
        <v>7505.7</v>
      </c>
      <c r="AA18" s="68"/>
      <c r="AB18" s="68"/>
      <c r="AC18" s="68">
        <f>TRUNC(D18*K18*0.0000001,1)</f>
        <v>7505.7</v>
      </c>
      <c r="AD18" s="32" t="s">
        <v>635</v>
      </c>
    </row>
    <row r="19" spans="2:30" ht="19.7" customHeight="1">
      <c r="B19" s="67" t="s">
        <v>688</v>
      </c>
      <c r="C19" s="29" t="s">
        <v>53</v>
      </c>
      <c r="D19" s="373">
        <v>3.5</v>
      </c>
      <c r="E19" s="372"/>
      <c r="F19" s="372"/>
      <c r="G19" s="372"/>
      <c r="H19" s="63" t="s">
        <v>660</v>
      </c>
      <c r="I19" s="63" t="s">
        <v>699</v>
      </c>
      <c r="J19" s="372">
        <f>자재단가!R6</f>
        <v>1376</v>
      </c>
      <c r="K19" s="372"/>
      <c r="L19" s="372"/>
      <c r="M19" s="372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4">
        <f>AA19+AB19+AC19</f>
        <v>4816</v>
      </c>
      <c r="AA19" s="68"/>
      <c r="AB19" s="68">
        <f>TRUNC(D19*J19,1)</f>
        <v>4816</v>
      </c>
      <c r="AC19" s="68"/>
      <c r="AD19" s="32" t="s">
        <v>834</v>
      </c>
    </row>
    <row r="20" spans="2:30" ht="19.7" customHeight="1">
      <c r="B20" s="67" t="s">
        <v>61</v>
      </c>
      <c r="C20" s="29" t="s">
        <v>467</v>
      </c>
      <c r="D20" s="373">
        <v>44</v>
      </c>
      <c r="E20" s="372"/>
      <c r="F20" s="372"/>
      <c r="G20" s="372"/>
      <c r="H20" s="63" t="s">
        <v>157</v>
      </c>
      <c r="I20" s="63" t="s">
        <v>699</v>
      </c>
      <c r="J20" s="372">
        <f>AB19</f>
        <v>4816</v>
      </c>
      <c r="K20" s="372"/>
      <c r="L20" s="372"/>
      <c r="M20" s="372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4">
        <f>AA20+AB20+AC20</f>
        <v>2119</v>
      </c>
      <c r="AA20" s="68"/>
      <c r="AB20" s="68">
        <f>TRUNC(D20/100*J20,1)</f>
        <v>2119</v>
      </c>
      <c r="AC20" s="68"/>
      <c r="AD20" s="32" t="s">
        <v>834</v>
      </c>
    </row>
    <row r="21" spans="2:30" ht="19.7" customHeight="1">
      <c r="B21" s="67" t="s">
        <v>177</v>
      </c>
      <c r="C21" s="29" t="s">
        <v>834</v>
      </c>
      <c r="D21" s="374">
        <v>1</v>
      </c>
      <c r="E21" s="372"/>
      <c r="F21" s="372"/>
      <c r="G21" s="63" t="s">
        <v>767</v>
      </c>
      <c r="H21" s="63" t="s">
        <v>699</v>
      </c>
      <c r="I21" s="372">
        <f>노임단가!F6</f>
        <v>283297</v>
      </c>
      <c r="J21" s="372"/>
      <c r="K21" s="372"/>
      <c r="L21" s="372"/>
      <c r="M21" s="63" t="s">
        <v>699</v>
      </c>
      <c r="N21" s="372" t="s">
        <v>570</v>
      </c>
      <c r="O21" s="372"/>
      <c r="P21" s="372"/>
      <c r="Q21" s="372"/>
      <c r="R21" s="372"/>
      <c r="S21" s="372"/>
      <c r="T21" s="372"/>
      <c r="U21" s="372"/>
      <c r="V21" s="372"/>
      <c r="W21" s="63"/>
      <c r="X21" s="63"/>
      <c r="Y21" s="63"/>
      <c r="Z21" s="64">
        <f>AA21+AB21+AC21</f>
        <v>59020.2</v>
      </c>
      <c r="AA21" s="68">
        <f>TRUNC(D21*I21*기계경비적용기준!E21,1)</f>
        <v>59020.2</v>
      </c>
      <c r="AB21" s="68"/>
      <c r="AC21" s="68"/>
      <c r="AD21" s="32" t="s">
        <v>834</v>
      </c>
    </row>
    <row r="22" spans="2:30" ht="19.7" customHeight="1">
      <c r="B22" s="67" t="s">
        <v>834</v>
      </c>
      <c r="C22" s="29" t="s">
        <v>834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37"/>
      <c r="AA22" s="31"/>
      <c r="AB22" s="31"/>
      <c r="AC22" s="31"/>
      <c r="AD22" s="32" t="s">
        <v>834</v>
      </c>
    </row>
    <row r="23" spans="2:30" ht="19.7" customHeight="1">
      <c r="B23" s="61" t="s">
        <v>107</v>
      </c>
      <c r="C23" s="62" t="s">
        <v>250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4">
        <f>AA23+AB23+AC23</f>
        <v>137301</v>
      </c>
      <c r="AA23" s="65">
        <f>TRUNC(AA24+AA25+AA26+AA27)</f>
        <v>59020</v>
      </c>
      <c r="AB23" s="65">
        <f>TRUNC(AB24+AB25+AB26+AB27)</f>
        <v>19140</v>
      </c>
      <c r="AC23" s="65">
        <f>TRUNC(AC24+AC25+AC26+AC27)</f>
        <v>59141</v>
      </c>
      <c r="AD23" s="66"/>
    </row>
    <row r="24" spans="2:30" ht="19.7" customHeight="1">
      <c r="B24" s="67" t="s">
        <v>239</v>
      </c>
      <c r="C24" s="29" t="s">
        <v>834</v>
      </c>
      <c r="D24" s="372">
        <v>250388000</v>
      </c>
      <c r="E24" s="372"/>
      <c r="F24" s="372"/>
      <c r="G24" s="372"/>
      <c r="H24" s="372"/>
      <c r="I24" s="372" t="s">
        <v>149</v>
      </c>
      <c r="J24" s="372"/>
      <c r="K24" s="372">
        <v>2362</v>
      </c>
      <c r="L24" s="372"/>
      <c r="M24" s="372"/>
      <c r="N24" s="63" t="s">
        <v>699</v>
      </c>
      <c r="O24" s="372" t="s">
        <v>745</v>
      </c>
      <c r="P24" s="372"/>
      <c r="Q24" s="372"/>
      <c r="R24" s="63"/>
      <c r="S24" s="63"/>
      <c r="T24" s="63"/>
      <c r="U24" s="63"/>
      <c r="V24" s="63"/>
      <c r="W24" s="63"/>
      <c r="X24" s="63"/>
      <c r="Y24" s="63"/>
      <c r="Z24" s="64">
        <f>AA24+AB24+AC24</f>
        <v>59141.599999999999</v>
      </c>
      <c r="AA24" s="68"/>
      <c r="AB24" s="68"/>
      <c r="AC24" s="68">
        <f>TRUNC(D24*K24*0.0000001,1)</f>
        <v>59141.599999999999</v>
      </c>
      <c r="AD24" s="32" t="s">
        <v>635</v>
      </c>
    </row>
    <row r="25" spans="2:30" ht="19.7" customHeight="1">
      <c r="B25" s="67" t="s">
        <v>688</v>
      </c>
      <c r="C25" s="29" t="s">
        <v>53</v>
      </c>
      <c r="D25" s="373">
        <v>13</v>
      </c>
      <c r="E25" s="372"/>
      <c r="F25" s="372"/>
      <c r="G25" s="372"/>
      <c r="H25" s="63" t="s">
        <v>660</v>
      </c>
      <c r="I25" s="63" t="s">
        <v>699</v>
      </c>
      <c r="J25" s="372">
        <f>자재단가!R6</f>
        <v>1376</v>
      </c>
      <c r="K25" s="372"/>
      <c r="L25" s="372"/>
      <c r="M25" s="372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4">
        <f>AA25+AB25+AC25</f>
        <v>17888</v>
      </c>
      <c r="AA25" s="68"/>
      <c r="AB25" s="68">
        <f>TRUNC(D25*J25,1)</f>
        <v>17888</v>
      </c>
      <c r="AC25" s="68"/>
      <c r="AD25" s="32" t="s">
        <v>834</v>
      </c>
    </row>
    <row r="26" spans="2:30" ht="19.7" customHeight="1">
      <c r="B26" s="67" t="s">
        <v>61</v>
      </c>
      <c r="C26" s="29" t="s">
        <v>467</v>
      </c>
      <c r="D26" s="373">
        <v>7</v>
      </c>
      <c r="E26" s="372"/>
      <c r="F26" s="372"/>
      <c r="G26" s="372"/>
      <c r="H26" s="63" t="s">
        <v>157</v>
      </c>
      <c r="I26" s="63" t="s">
        <v>699</v>
      </c>
      <c r="J26" s="372">
        <f>AB25</f>
        <v>17888</v>
      </c>
      <c r="K26" s="372"/>
      <c r="L26" s="372"/>
      <c r="M26" s="372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4">
        <f>AA26+AB26+AC26</f>
        <v>1252.0999999999999</v>
      </c>
      <c r="AA26" s="68"/>
      <c r="AB26" s="68">
        <f>TRUNC(D26/100*J26,1)</f>
        <v>1252.0999999999999</v>
      </c>
      <c r="AC26" s="68"/>
      <c r="AD26" s="32" t="s">
        <v>834</v>
      </c>
    </row>
    <row r="27" spans="2:30" ht="19.7" customHeight="1">
      <c r="B27" s="67" t="s">
        <v>177</v>
      </c>
      <c r="C27" s="29" t="s">
        <v>834</v>
      </c>
      <c r="D27" s="374">
        <v>1</v>
      </c>
      <c r="E27" s="372"/>
      <c r="F27" s="372"/>
      <c r="G27" s="63" t="s">
        <v>767</v>
      </c>
      <c r="H27" s="63" t="s">
        <v>699</v>
      </c>
      <c r="I27" s="372">
        <f>노임단가!F6</f>
        <v>283297</v>
      </c>
      <c r="J27" s="372"/>
      <c r="K27" s="372"/>
      <c r="L27" s="372"/>
      <c r="M27" s="63" t="s">
        <v>699</v>
      </c>
      <c r="N27" s="372" t="s">
        <v>570</v>
      </c>
      <c r="O27" s="372"/>
      <c r="P27" s="372"/>
      <c r="Q27" s="372"/>
      <c r="R27" s="372"/>
      <c r="S27" s="372"/>
      <c r="T27" s="372"/>
      <c r="U27" s="372"/>
      <c r="V27" s="372"/>
      <c r="W27" s="63"/>
      <c r="X27" s="63"/>
      <c r="Y27" s="63"/>
      <c r="Z27" s="64">
        <f>AA27+AB27+AC27</f>
        <v>59020.2</v>
      </c>
      <c r="AA27" s="68">
        <f>TRUNC(D27*I27*기계경비적용기준!E21,1)</f>
        <v>59020.2</v>
      </c>
      <c r="AB27" s="68"/>
      <c r="AC27" s="68"/>
      <c r="AD27" s="32" t="s">
        <v>834</v>
      </c>
    </row>
    <row r="28" spans="2:30" ht="19.7" customHeight="1">
      <c r="B28" s="67" t="s">
        <v>834</v>
      </c>
      <c r="C28" s="29" t="s">
        <v>834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37"/>
      <c r="AA28" s="31"/>
      <c r="AB28" s="31"/>
      <c r="AC28" s="31"/>
      <c r="AD28" s="32" t="s">
        <v>834</v>
      </c>
    </row>
    <row r="29" spans="2:30" ht="19.7" customHeight="1">
      <c r="B29" s="61" t="s">
        <v>535</v>
      </c>
      <c r="C29" s="62" t="s">
        <v>673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4">
        <f>AA29+AB29+AC29</f>
        <v>86977</v>
      </c>
      <c r="AA29" s="65">
        <f>TRUNC(AA30+AA31+AA32+AA33)</f>
        <v>59020</v>
      </c>
      <c r="AB29" s="65">
        <f>TRUNC(AB30+AB31+AB32+AB33)</f>
        <v>15100</v>
      </c>
      <c r="AC29" s="65">
        <f>TRUNC(AC30+AC31+AC32+AC33)</f>
        <v>12857</v>
      </c>
      <c r="AD29" s="66"/>
    </row>
    <row r="30" spans="2:30" ht="19.7" customHeight="1">
      <c r="B30" s="69" t="s">
        <v>239</v>
      </c>
      <c r="C30" s="34" t="s">
        <v>834</v>
      </c>
      <c r="D30" s="375">
        <v>71351000</v>
      </c>
      <c r="E30" s="375"/>
      <c r="F30" s="375"/>
      <c r="G30" s="375"/>
      <c r="H30" s="375"/>
      <c r="I30" s="375" t="s">
        <v>149</v>
      </c>
      <c r="J30" s="375"/>
      <c r="K30" s="375">
        <v>1802</v>
      </c>
      <c r="L30" s="375"/>
      <c r="M30" s="375"/>
      <c r="N30" s="20" t="s">
        <v>699</v>
      </c>
      <c r="O30" s="375" t="s">
        <v>745</v>
      </c>
      <c r="P30" s="375"/>
      <c r="Q30" s="375"/>
      <c r="R30" s="20"/>
      <c r="S30" s="20"/>
      <c r="T30" s="20"/>
      <c r="U30" s="20"/>
      <c r="V30" s="20"/>
      <c r="W30" s="20"/>
      <c r="X30" s="20"/>
      <c r="Y30" s="20"/>
      <c r="Z30" s="70">
        <f>AA30+AB30+AC30</f>
        <v>12857.4</v>
      </c>
      <c r="AA30" s="71"/>
      <c r="AB30" s="71"/>
      <c r="AC30" s="71">
        <f>TRUNC(D30*K30*0.0000001,1)</f>
        <v>12857.4</v>
      </c>
      <c r="AD30" s="36" t="s">
        <v>635</v>
      </c>
    </row>
    <row r="31" spans="2:30" ht="19.7" customHeight="1">
      <c r="B31" s="67" t="s">
        <v>688</v>
      </c>
      <c r="C31" s="29" t="s">
        <v>53</v>
      </c>
      <c r="D31" s="373">
        <v>9.3000000000000007</v>
      </c>
      <c r="E31" s="372"/>
      <c r="F31" s="372"/>
      <c r="G31" s="372"/>
      <c r="H31" s="63" t="s">
        <v>660</v>
      </c>
      <c r="I31" s="63" t="s">
        <v>699</v>
      </c>
      <c r="J31" s="372">
        <f>자재단가!R6</f>
        <v>1376</v>
      </c>
      <c r="K31" s="372"/>
      <c r="L31" s="372"/>
      <c r="M31" s="372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4">
        <f>AA31+AB31+AC31</f>
        <v>12796.8</v>
      </c>
      <c r="AA31" s="68"/>
      <c r="AB31" s="68">
        <f>TRUNC(D31*J31,1)</f>
        <v>12796.8</v>
      </c>
      <c r="AC31" s="68"/>
      <c r="AD31" s="32" t="s">
        <v>834</v>
      </c>
    </row>
    <row r="32" spans="2:30" ht="19.7" customHeight="1">
      <c r="B32" s="67" t="s">
        <v>61</v>
      </c>
      <c r="C32" s="29" t="s">
        <v>467</v>
      </c>
      <c r="D32" s="373">
        <v>18</v>
      </c>
      <c r="E32" s="372"/>
      <c r="F32" s="372"/>
      <c r="G32" s="372"/>
      <c r="H32" s="63" t="s">
        <v>157</v>
      </c>
      <c r="I32" s="63" t="s">
        <v>699</v>
      </c>
      <c r="J32" s="372">
        <f>AB31</f>
        <v>12796.8</v>
      </c>
      <c r="K32" s="372"/>
      <c r="L32" s="372"/>
      <c r="M32" s="372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4">
        <f>AA32+AB32+AC32</f>
        <v>2303.4</v>
      </c>
      <c r="AA32" s="68"/>
      <c r="AB32" s="68">
        <f>TRUNC(D32/100*J32,1)</f>
        <v>2303.4</v>
      </c>
      <c r="AC32" s="68"/>
      <c r="AD32" s="32" t="s">
        <v>834</v>
      </c>
    </row>
    <row r="33" spans="2:30" ht="19.7" customHeight="1">
      <c r="B33" s="67" t="s">
        <v>177</v>
      </c>
      <c r="C33" s="29" t="s">
        <v>834</v>
      </c>
      <c r="D33" s="374">
        <v>1</v>
      </c>
      <c r="E33" s="372"/>
      <c r="F33" s="372"/>
      <c r="G33" s="63" t="s">
        <v>767</v>
      </c>
      <c r="H33" s="63" t="s">
        <v>699</v>
      </c>
      <c r="I33" s="372">
        <f>노임단가!F6</f>
        <v>283297</v>
      </c>
      <c r="J33" s="372"/>
      <c r="K33" s="372"/>
      <c r="L33" s="372"/>
      <c r="M33" s="63" t="s">
        <v>699</v>
      </c>
      <c r="N33" s="372" t="s">
        <v>570</v>
      </c>
      <c r="O33" s="372"/>
      <c r="P33" s="372"/>
      <c r="Q33" s="372"/>
      <c r="R33" s="372"/>
      <c r="S33" s="372"/>
      <c r="T33" s="372"/>
      <c r="U33" s="372"/>
      <c r="V33" s="372"/>
      <c r="W33" s="63"/>
      <c r="X33" s="63"/>
      <c r="Y33" s="63"/>
      <c r="Z33" s="64">
        <f>AA33+AB33+AC33</f>
        <v>59020.2</v>
      </c>
      <c r="AA33" s="68">
        <f>TRUNC(D33*I33*기계경비적용기준!E21,1)</f>
        <v>59020.2</v>
      </c>
      <c r="AB33" s="68"/>
      <c r="AC33" s="68"/>
      <c r="AD33" s="32" t="s">
        <v>834</v>
      </c>
    </row>
    <row r="34" spans="2:30" ht="19.7" customHeight="1">
      <c r="B34" s="67" t="s">
        <v>834</v>
      </c>
      <c r="C34" s="29" t="s">
        <v>834</v>
      </c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37"/>
      <c r="AA34" s="31"/>
      <c r="AB34" s="31"/>
      <c r="AC34" s="31"/>
      <c r="AD34" s="32" t="s">
        <v>834</v>
      </c>
    </row>
    <row r="35" spans="2:30" ht="19.7" customHeight="1">
      <c r="B35" s="61" t="s">
        <v>770</v>
      </c>
      <c r="C35" s="62" t="s">
        <v>814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4">
        <f>AA35+AB35+AC35</f>
        <v>91695</v>
      </c>
      <c r="AA35" s="65">
        <f>TRUNC(AA36+AA37+AA38+AA39)</f>
        <v>59020</v>
      </c>
      <c r="AB35" s="65">
        <f>TRUNC(AB36+AB37+AB38+AB39)</f>
        <v>13539</v>
      </c>
      <c r="AC35" s="65">
        <f>TRUNC(AC36+AC37+AC38+AC39)</f>
        <v>19136</v>
      </c>
      <c r="AD35" s="66"/>
    </row>
    <row r="36" spans="2:30" ht="19.7" customHeight="1">
      <c r="B36" s="67" t="s">
        <v>239</v>
      </c>
      <c r="C36" s="29" t="s">
        <v>834</v>
      </c>
      <c r="D36" s="372">
        <v>98388000</v>
      </c>
      <c r="E36" s="372"/>
      <c r="F36" s="372"/>
      <c r="G36" s="372"/>
      <c r="H36" s="372"/>
      <c r="I36" s="372" t="s">
        <v>149</v>
      </c>
      <c r="J36" s="372"/>
      <c r="K36" s="372">
        <v>1945</v>
      </c>
      <c r="L36" s="372"/>
      <c r="M36" s="372"/>
      <c r="N36" s="63" t="s">
        <v>699</v>
      </c>
      <c r="O36" s="372" t="s">
        <v>745</v>
      </c>
      <c r="P36" s="372"/>
      <c r="Q36" s="372"/>
      <c r="R36" s="63"/>
      <c r="S36" s="63"/>
      <c r="T36" s="63"/>
      <c r="U36" s="63"/>
      <c r="V36" s="63"/>
      <c r="W36" s="63"/>
      <c r="X36" s="63"/>
      <c r="Y36" s="63"/>
      <c r="Z36" s="64">
        <f>AA36+AB36+AC36</f>
        <v>19136.400000000001</v>
      </c>
      <c r="AA36" s="68"/>
      <c r="AB36" s="68"/>
      <c r="AC36" s="68">
        <f>TRUNC(D36*K36*0.0000001,1)</f>
        <v>19136.400000000001</v>
      </c>
      <c r="AD36" s="32" t="s">
        <v>635</v>
      </c>
    </row>
    <row r="37" spans="2:30" ht="19.7" customHeight="1">
      <c r="B37" s="67" t="s">
        <v>688</v>
      </c>
      <c r="C37" s="29" t="s">
        <v>53</v>
      </c>
      <c r="D37" s="373">
        <v>8</v>
      </c>
      <c r="E37" s="372"/>
      <c r="F37" s="372"/>
      <c r="G37" s="372"/>
      <c r="H37" s="63" t="s">
        <v>660</v>
      </c>
      <c r="I37" s="63" t="s">
        <v>699</v>
      </c>
      <c r="J37" s="372">
        <f>자재단가!R6</f>
        <v>1376</v>
      </c>
      <c r="K37" s="372"/>
      <c r="L37" s="372"/>
      <c r="M37" s="372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4">
        <f>AA37+AB37+AC37</f>
        <v>11008</v>
      </c>
      <c r="AA37" s="68"/>
      <c r="AB37" s="68">
        <f>TRUNC(D37*J37,1)</f>
        <v>11008</v>
      </c>
      <c r="AC37" s="68"/>
      <c r="AD37" s="32" t="s">
        <v>834</v>
      </c>
    </row>
    <row r="38" spans="2:30" ht="19.7" customHeight="1">
      <c r="B38" s="67" t="s">
        <v>61</v>
      </c>
      <c r="C38" s="29" t="s">
        <v>467</v>
      </c>
      <c r="D38" s="373">
        <v>23</v>
      </c>
      <c r="E38" s="372"/>
      <c r="F38" s="372"/>
      <c r="G38" s="372"/>
      <c r="H38" s="63" t="s">
        <v>157</v>
      </c>
      <c r="I38" s="63" t="s">
        <v>699</v>
      </c>
      <c r="J38" s="372">
        <f>AB37</f>
        <v>11008</v>
      </c>
      <c r="K38" s="372"/>
      <c r="L38" s="372"/>
      <c r="M38" s="372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4">
        <f>AA38+AB38+AC38</f>
        <v>2531.8000000000002</v>
      </c>
      <c r="AA38" s="68"/>
      <c r="AB38" s="68">
        <f>TRUNC(D38/100*J38,1)</f>
        <v>2531.8000000000002</v>
      </c>
      <c r="AC38" s="68"/>
      <c r="AD38" s="32" t="s">
        <v>834</v>
      </c>
    </row>
    <row r="39" spans="2:30" ht="19.7" customHeight="1">
      <c r="B39" s="67" t="s">
        <v>177</v>
      </c>
      <c r="C39" s="29" t="s">
        <v>834</v>
      </c>
      <c r="D39" s="374">
        <v>1</v>
      </c>
      <c r="E39" s="372"/>
      <c r="F39" s="372"/>
      <c r="G39" s="63" t="s">
        <v>767</v>
      </c>
      <c r="H39" s="63" t="s">
        <v>699</v>
      </c>
      <c r="I39" s="372">
        <f>노임단가!F6</f>
        <v>283297</v>
      </c>
      <c r="J39" s="372"/>
      <c r="K39" s="372"/>
      <c r="L39" s="372"/>
      <c r="M39" s="63" t="s">
        <v>699</v>
      </c>
      <c r="N39" s="372" t="s">
        <v>570</v>
      </c>
      <c r="O39" s="372"/>
      <c r="P39" s="372"/>
      <c r="Q39" s="372"/>
      <c r="R39" s="372"/>
      <c r="S39" s="372"/>
      <c r="T39" s="372"/>
      <c r="U39" s="372"/>
      <c r="V39" s="372"/>
      <c r="W39" s="63"/>
      <c r="X39" s="63"/>
      <c r="Y39" s="63"/>
      <c r="Z39" s="64">
        <f>AA39+AB39+AC39</f>
        <v>59020.2</v>
      </c>
      <c r="AA39" s="68">
        <f>TRUNC(D39*I39*기계경비적용기준!E21,1)</f>
        <v>59020.2</v>
      </c>
      <c r="AB39" s="68"/>
      <c r="AC39" s="68"/>
      <c r="AD39" s="32" t="s">
        <v>834</v>
      </c>
    </row>
    <row r="40" spans="2:30" ht="19.7" customHeight="1">
      <c r="B40" s="67" t="s">
        <v>834</v>
      </c>
      <c r="C40" s="29" t="s">
        <v>834</v>
      </c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37"/>
      <c r="AA40" s="31"/>
      <c r="AB40" s="31"/>
      <c r="AC40" s="31"/>
      <c r="AD40" s="32" t="s">
        <v>834</v>
      </c>
    </row>
    <row r="41" spans="2:30" ht="19.7" customHeight="1">
      <c r="B41" s="61" t="s">
        <v>66</v>
      </c>
      <c r="C41" s="62" t="s">
        <v>806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4">
        <f>AA41+AB41+AC41</f>
        <v>76175</v>
      </c>
      <c r="AA41" s="65">
        <f>TRUNC(AA42+AA43+AA44+AA45)</f>
        <v>59020</v>
      </c>
      <c r="AB41" s="65">
        <f>TRUNC(AB42+AB43+AB44+AB45)</f>
        <v>8118</v>
      </c>
      <c r="AC41" s="65">
        <f>TRUNC(AC42+AC43+AC44+AC45)</f>
        <v>9037</v>
      </c>
      <c r="AD41" s="66"/>
    </row>
    <row r="42" spans="2:30" ht="19.7" customHeight="1">
      <c r="B42" s="67" t="s">
        <v>239</v>
      </c>
      <c r="C42" s="29" t="s">
        <v>834</v>
      </c>
      <c r="D42" s="372">
        <v>48513000</v>
      </c>
      <c r="E42" s="372"/>
      <c r="F42" s="372"/>
      <c r="G42" s="372"/>
      <c r="H42" s="372"/>
      <c r="I42" s="372" t="s">
        <v>149</v>
      </c>
      <c r="J42" s="372"/>
      <c r="K42" s="372">
        <v>1863</v>
      </c>
      <c r="L42" s="372"/>
      <c r="M42" s="372"/>
      <c r="N42" s="63" t="s">
        <v>699</v>
      </c>
      <c r="O42" s="372" t="s">
        <v>745</v>
      </c>
      <c r="P42" s="372"/>
      <c r="Q42" s="372"/>
      <c r="R42" s="63"/>
      <c r="S42" s="63"/>
      <c r="T42" s="63"/>
      <c r="U42" s="63"/>
      <c r="V42" s="63"/>
      <c r="W42" s="63"/>
      <c r="X42" s="63"/>
      <c r="Y42" s="63"/>
      <c r="Z42" s="64">
        <f>AA42+AB42+AC42</f>
        <v>9037.9</v>
      </c>
      <c r="AA42" s="68"/>
      <c r="AB42" s="68"/>
      <c r="AC42" s="68">
        <f>TRUNC(D42*K42*0.0000001,1)</f>
        <v>9037.9</v>
      </c>
      <c r="AD42" s="32" t="s">
        <v>635</v>
      </c>
    </row>
    <row r="43" spans="2:30" ht="19.7" customHeight="1">
      <c r="B43" s="67" t="s">
        <v>688</v>
      </c>
      <c r="C43" s="29" t="s">
        <v>53</v>
      </c>
      <c r="D43" s="373">
        <v>5</v>
      </c>
      <c r="E43" s="372"/>
      <c r="F43" s="372"/>
      <c r="G43" s="372"/>
      <c r="H43" s="63" t="s">
        <v>660</v>
      </c>
      <c r="I43" s="63" t="s">
        <v>699</v>
      </c>
      <c r="J43" s="372">
        <f>자재단가!R6</f>
        <v>1376</v>
      </c>
      <c r="K43" s="372"/>
      <c r="L43" s="372"/>
      <c r="M43" s="372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4">
        <f>AA43+AB43+AC43</f>
        <v>6880</v>
      </c>
      <c r="AA43" s="68"/>
      <c r="AB43" s="68">
        <f>TRUNC(D43*J43,1)</f>
        <v>6880</v>
      </c>
      <c r="AC43" s="68"/>
      <c r="AD43" s="32" t="s">
        <v>834</v>
      </c>
    </row>
    <row r="44" spans="2:30" ht="19.7" customHeight="1">
      <c r="B44" s="67" t="s">
        <v>61</v>
      </c>
      <c r="C44" s="29" t="s">
        <v>467</v>
      </c>
      <c r="D44" s="373">
        <v>18</v>
      </c>
      <c r="E44" s="372"/>
      <c r="F44" s="372"/>
      <c r="G44" s="372"/>
      <c r="H44" s="63" t="s">
        <v>157</v>
      </c>
      <c r="I44" s="63" t="s">
        <v>699</v>
      </c>
      <c r="J44" s="372">
        <f>AB43</f>
        <v>6880</v>
      </c>
      <c r="K44" s="372"/>
      <c r="L44" s="372"/>
      <c r="M44" s="372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4">
        <f>AA44+AB44+AC44</f>
        <v>1238.4000000000001</v>
      </c>
      <c r="AA44" s="68"/>
      <c r="AB44" s="68">
        <f>TRUNC(D44/100*J44,1)</f>
        <v>1238.4000000000001</v>
      </c>
      <c r="AC44" s="68"/>
      <c r="AD44" s="32" t="s">
        <v>834</v>
      </c>
    </row>
    <row r="45" spans="2:30" ht="19.7" customHeight="1">
      <c r="B45" s="67" t="s">
        <v>177</v>
      </c>
      <c r="C45" s="29" t="s">
        <v>834</v>
      </c>
      <c r="D45" s="374">
        <v>1</v>
      </c>
      <c r="E45" s="372"/>
      <c r="F45" s="372"/>
      <c r="G45" s="63" t="s">
        <v>767</v>
      </c>
      <c r="H45" s="63" t="s">
        <v>699</v>
      </c>
      <c r="I45" s="372">
        <f>노임단가!F6</f>
        <v>283297</v>
      </c>
      <c r="J45" s="372"/>
      <c r="K45" s="372"/>
      <c r="L45" s="372"/>
      <c r="M45" s="63" t="s">
        <v>699</v>
      </c>
      <c r="N45" s="372" t="s">
        <v>570</v>
      </c>
      <c r="O45" s="372"/>
      <c r="P45" s="372"/>
      <c r="Q45" s="372"/>
      <c r="R45" s="372"/>
      <c r="S45" s="372"/>
      <c r="T45" s="372"/>
      <c r="U45" s="372"/>
      <c r="V45" s="372"/>
      <c r="W45" s="63"/>
      <c r="X45" s="63"/>
      <c r="Y45" s="63"/>
      <c r="Z45" s="64">
        <f>AA45+AB45+AC45</f>
        <v>59020.2</v>
      </c>
      <c r="AA45" s="68">
        <f>TRUNC(D45*I45*기계경비적용기준!E21,1)</f>
        <v>59020.2</v>
      </c>
      <c r="AB45" s="68"/>
      <c r="AC45" s="68"/>
      <c r="AD45" s="32" t="s">
        <v>834</v>
      </c>
    </row>
    <row r="46" spans="2:30" ht="19.7" customHeight="1">
      <c r="B46" s="67" t="s">
        <v>834</v>
      </c>
      <c r="C46" s="29" t="s">
        <v>834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37"/>
      <c r="AA46" s="31"/>
      <c r="AB46" s="31"/>
      <c r="AC46" s="31"/>
      <c r="AD46" s="32" t="s">
        <v>834</v>
      </c>
    </row>
    <row r="47" spans="2:30" ht="19.7" customHeight="1">
      <c r="B47" s="61" t="s">
        <v>457</v>
      </c>
      <c r="C47" s="62" t="s">
        <v>576</v>
      </c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4">
        <f>AA47+AB47+AC47</f>
        <v>94238</v>
      </c>
      <c r="AA47" s="65">
        <f>TRUNC(AA48+AA49+AA50+AA51)</f>
        <v>59020</v>
      </c>
      <c r="AB47" s="65">
        <f>TRUNC(AB48+AB49+AB50+AB51)</f>
        <v>18748</v>
      </c>
      <c r="AC47" s="65">
        <f>TRUNC(AC48+AC49+AC50+AC51)</f>
        <v>16470</v>
      </c>
      <c r="AD47" s="66"/>
    </row>
    <row r="48" spans="2:30" ht="19.7" customHeight="1">
      <c r="B48" s="67" t="s">
        <v>239</v>
      </c>
      <c r="C48" s="29" t="s">
        <v>834</v>
      </c>
      <c r="D48" s="372">
        <v>64113000</v>
      </c>
      <c r="E48" s="372"/>
      <c r="F48" s="372"/>
      <c r="G48" s="372"/>
      <c r="H48" s="372"/>
      <c r="I48" s="372" t="s">
        <v>149</v>
      </c>
      <c r="J48" s="372"/>
      <c r="K48" s="372">
        <v>2569</v>
      </c>
      <c r="L48" s="372"/>
      <c r="M48" s="372"/>
      <c r="N48" s="63" t="s">
        <v>699</v>
      </c>
      <c r="O48" s="372" t="s">
        <v>745</v>
      </c>
      <c r="P48" s="372"/>
      <c r="Q48" s="372"/>
      <c r="R48" s="63"/>
      <c r="S48" s="63"/>
      <c r="T48" s="63"/>
      <c r="U48" s="63"/>
      <c r="V48" s="63"/>
      <c r="W48" s="63"/>
      <c r="X48" s="63"/>
      <c r="Y48" s="63"/>
      <c r="Z48" s="64">
        <f>AA48+AB48+AC48</f>
        <v>16470.599999999999</v>
      </c>
      <c r="AA48" s="68"/>
      <c r="AB48" s="68"/>
      <c r="AC48" s="68">
        <f>TRUNC(D48*K48*0.0000001,1)</f>
        <v>16470.599999999999</v>
      </c>
      <c r="AD48" s="32" t="s">
        <v>635</v>
      </c>
    </row>
    <row r="49" spans="2:30" ht="19.7" customHeight="1">
      <c r="B49" s="67" t="s">
        <v>688</v>
      </c>
      <c r="C49" s="29" t="s">
        <v>53</v>
      </c>
      <c r="D49" s="373">
        <v>10.9</v>
      </c>
      <c r="E49" s="372"/>
      <c r="F49" s="372"/>
      <c r="G49" s="372"/>
      <c r="H49" s="63" t="s">
        <v>660</v>
      </c>
      <c r="I49" s="63" t="s">
        <v>699</v>
      </c>
      <c r="J49" s="372">
        <f>자재단가!R6</f>
        <v>1376</v>
      </c>
      <c r="K49" s="372"/>
      <c r="L49" s="372"/>
      <c r="M49" s="372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4">
        <f>AA49+AB49+AC49</f>
        <v>14998.4</v>
      </c>
      <c r="AA49" s="68"/>
      <c r="AB49" s="68">
        <f>TRUNC(D49*J49,1)</f>
        <v>14998.4</v>
      </c>
      <c r="AC49" s="68"/>
      <c r="AD49" s="32" t="s">
        <v>834</v>
      </c>
    </row>
    <row r="50" spans="2:30" ht="19.7" customHeight="1">
      <c r="B50" s="67" t="s">
        <v>61</v>
      </c>
      <c r="C50" s="29" t="s">
        <v>467</v>
      </c>
      <c r="D50" s="373">
        <v>25</v>
      </c>
      <c r="E50" s="372"/>
      <c r="F50" s="372"/>
      <c r="G50" s="372"/>
      <c r="H50" s="63" t="s">
        <v>157</v>
      </c>
      <c r="I50" s="63" t="s">
        <v>699</v>
      </c>
      <c r="J50" s="372">
        <f>AB49</f>
        <v>14998.4</v>
      </c>
      <c r="K50" s="372"/>
      <c r="L50" s="372"/>
      <c r="M50" s="372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4">
        <f>AA50+AB50+AC50</f>
        <v>3749.6</v>
      </c>
      <c r="AA50" s="68"/>
      <c r="AB50" s="68">
        <f>TRUNC(D50/100*J50,1)</f>
        <v>3749.6</v>
      </c>
      <c r="AC50" s="68"/>
      <c r="AD50" s="32" t="s">
        <v>834</v>
      </c>
    </row>
    <row r="51" spans="2:30" ht="19.7" customHeight="1">
      <c r="B51" s="67" t="s">
        <v>177</v>
      </c>
      <c r="C51" s="29" t="s">
        <v>834</v>
      </c>
      <c r="D51" s="374">
        <v>1</v>
      </c>
      <c r="E51" s="372"/>
      <c r="F51" s="372"/>
      <c r="G51" s="63" t="s">
        <v>767</v>
      </c>
      <c r="H51" s="63" t="s">
        <v>699</v>
      </c>
      <c r="I51" s="372">
        <f>노임단가!F6</f>
        <v>283297</v>
      </c>
      <c r="J51" s="372"/>
      <c r="K51" s="372"/>
      <c r="L51" s="372"/>
      <c r="M51" s="63" t="s">
        <v>699</v>
      </c>
      <c r="N51" s="372" t="s">
        <v>570</v>
      </c>
      <c r="O51" s="372"/>
      <c r="P51" s="372"/>
      <c r="Q51" s="372"/>
      <c r="R51" s="372"/>
      <c r="S51" s="372"/>
      <c r="T51" s="372"/>
      <c r="U51" s="372"/>
      <c r="V51" s="372"/>
      <c r="W51" s="63"/>
      <c r="X51" s="63"/>
      <c r="Y51" s="63"/>
      <c r="Z51" s="64">
        <f>AA51+AB51+AC51</f>
        <v>59020.2</v>
      </c>
      <c r="AA51" s="68">
        <f>TRUNC(D51*I51*기계경비적용기준!E21,1)</f>
        <v>59020.2</v>
      </c>
      <c r="AB51" s="68"/>
      <c r="AC51" s="68"/>
      <c r="AD51" s="32" t="s">
        <v>834</v>
      </c>
    </row>
    <row r="52" spans="2:30" ht="19.7" customHeight="1">
      <c r="B52" s="67" t="s">
        <v>834</v>
      </c>
      <c r="C52" s="29" t="s">
        <v>834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37"/>
      <c r="AA52" s="31"/>
      <c r="AB52" s="31"/>
      <c r="AC52" s="31"/>
      <c r="AD52" s="32" t="s">
        <v>834</v>
      </c>
    </row>
    <row r="53" spans="2:30" ht="19.7" customHeight="1">
      <c r="B53" s="61" t="s">
        <v>348</v>
      </c>
      <c r="C53" s="62" t="s">
        <v>171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4">
        <f>AA53+AB53+AC53</f>
        <v>92007</v>
      </c>
      <c r="AA53" s="65">
        <f>TRUNC(AA54+AA55+AA56+AA57)</f>
        <v>49778</v>
      </c>
      <c r="AB53" s="65">
        <f>TRUNC(AB54+AB55+AB56+AB57)</f>
        <v>23075</v>
      </c>
      <c r="AC53" s="65">
        <f>TRUNC(AC54+AC55+AC56+AC57)</f>
        <v>19154</v>
      </c>
      <c r="AD53" s="66"/>
    </row>
    <row r="54" spans="2:30" ht="19.7" customHeight="1">
      <c r="B54" s="67" t="s">
        <v>239</v>
      </c>
      <c r="C54" s="29" t="s">
        <v>834</v>
      </c>
      <c r="D54" s="372">
        <v>90649000</v>
      </c>
      <c r="E54" s="372"/>
      <c r="F54" s="372"/>
      <c r="G54" s="372"/>
      <c r="H54" s="372"/>
      <c r="I54" s="372" t="s">
        <v>149</v>
      </c>
      <c r="J54" s="372"/>
      <c r="K54" s="372">
        <v>2113</v>
      </c>
      <c r="L54" s="372"/>
      <c r="M54" s="372"/>
      <c r="N54" s="63" t="s">
        <v>699</v>
      </c>
      <c r="O54" s="372" t="s">
        <v>745</v>
      </c>
      <c r="P54" s="372"/>
      <c r="Q54" s="372"/>
      <c r="R54" s="63"/>
      <c r="S54" s="63"/>
      <c r="T54" s="63"/>
      <c r="U54" s="63"/>
      <c r="V54" s="63"/>
      <c r="W54" s="63"/>
      <c r="X54" s="63"/>
      <c r="Y54" s="63"/>
      <c r="Z54" s="64">
        <f>AA54+AB54+AC54</f>
        <v>19154.099999999999</v>
      </c>
      <c r="AA54" s="68"/>
      <c r="AB54" s="68"/>
      <c r="AC54" s="68">
        <f>TRUNC(D54*K54*0.0000001,1)</f>
        <v>19154.099999999999</v>
      </c>
      <c r="AD54" s="32" t="s">
        <v>635</v>
      </c>
    </row>
    <row r="55" spans="2:30" ht="19.7" customHeight="1">
      <c r="B55" s="67" t="s">
        <v>688</v>
      </c>
      <c r="C55" s="29" t="s">
        <v>53</v>
      </c>
      <c r="D55" s="373">
        <v>12.9</v>
      </c>
      <c r="E55" s="372"/>
      <c r="F55" s="372"/>
      <c r="G55" s="372"/>
      <c r="H55" s="63" t="s">
        <v>660</v>
      </c>
      <c r="I55" s="63" t="s">
        <v>699</v>
      </c>
      <c r="J55" s="372">
        <f>자재단가!R6</f>
        <v>1376</v>
      </c>
      <c r="K55" s="372"/>
      <c r="L55" s="372"/>
      <c r="M55" s="372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4">
        <f>AA55+AB55+AC55</f>
        <v>17750.400000000001</v>
      </c>
      <c r="AA55" s="68"/>
      <c r="AB55" s="68">
        <f>TRUNC(D55*J55,1)</f>
        <v>17750.400000000001</v>
      </c>
      <c r="AC55" s="68"/>
      <c r="AD55" s="32" t="s">
        <v>834</v>
      </c>
    </row>
    <row r="56" spans="2:30" ht="19.7" customHeight="1">
      <c r="B56" s="69" t="s">
        <v>61</v>
      </c>
      <c r="C56" s="34" t="s">
        <v>467</v>
      </c>
      <c r="D56" s="376">
        <v>30</v>
      </c>
      <c r="E56" s="375"/>
      <c r="F56" s="375"/>
      <c r="G56" s="375"/>
      <c r="H56" s="20" t="s">
        <v>157</v>
      </c>
      <c r="I56" s="20" t="s">
        <v>699</v>
      </c>
      <c r="J56" s="375">
        <f>AB55</f>
        <v>17750.400000000001</v>
      </c>
      <c r="K56" s="375"/>
      <c r="L56" s="375"/>
      <c r="M56" s="37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70">
        <f>AA56+AB56+AC56</f>
        <v>5325.1</v>
      </c>
      <c r="AA56" s="71"/>
      <c r="AB56" s="71">
        <f>TRUNC(D56/100*J56,1)</f>
        <v>5325.1</v>
      </c>
      <c r="AC56" s="71"/>
      <c r="AD56" s="36" t="s">
        <v>834</v>
      </c>
    </row>
    <row r="57" spans="2:30" ht="19.7" customHeight="1">
      <c r="B57" s="67" t="s">
        <v>60</v>
      </c>
      <c r="C57" s="29" t="s">
        <v>834</v>
      </c>
      <c r="D57" s="374">
        <v>1</v>
      </c>
      <c r="E57" s="372"/>
      <c r="F57" s="372"/>
      <c r="G57" s="63" t="s">
        <v>767</v>
      </c>
      <c r="H57" s="63" t="s">
        <v>699</v>
      </c>
      <c r="I57" s="372">
        <f>노임단가!F7</f>
        <v>238936</v>
      </c>
      <c r="J57" s="372"/>
      <c r="K57" s="372"/>
      <c r="L57" s="372"/>
      <c r="M57" s="63" t="s">
        <v>699</v>
      </c>
      <c r="N57" s="372" t="s">
        <v>570</v>
      </c>
      <c r="O57" s="372"/>
      <c r="P57" s="372"/>
      <c r="Q57" s="372"/>
      <c r="R57" s="372"/>
      <c r="S57" s="372"/>
      <c r="T57" s="372"/>
      <c r="U57" s="372"/>
      <c r="V57" s="372"/>
      <c r="W57" s="63"/>
      <c r="X57" s="63"/>
      <c r="Y57" s="63"/>
      <c r="Z57" s="64">
        <f>AA57+AB57+AC57</f>
        <v>49778.3</v>
      </c>
      <c r="AA57" s="68">
        <f>TRUNC(D57*I57*기계경비적용기준!E21,1)</f>
        <v>49778.3</v>
      </c>
      <c r="AB57" s="68"/>
      <c r="AC57" s="68"/>
      <c r="AD57" s="32" t="s">
        <v>834</v>
      </c>
    </row>
    <row r="58" spans="2:30" ht="19.7" customHeight="1">
      <c r="B58" s="67" t="s">
        <v>834</v>
      </c>
      <c r="C58" s="29" t="s">
        <v>834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37"/>
      <c r="AA58" s="31"/>
      <c r="AB58" s="31"/>
      <c r="AC58" s="31"/>
      <c r="AD58" s="32" t="s">
        <v>834</v>
      </c>
    </row>
    <row r="59" spans="2:30" ht="19.7" customHeight="1">
      <c r="B59" s="61" t="s">
        <v>582</v>
      </c>
      <c r="C59" s="62" t="s">
        <v>232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4">
        <f>AA59+AB59+AC59</f>
        <v>66885</v>
      </c>
      <c r="AA59" s="65">
        <f>TRUNC(AA60+AA61+AA62+AA63)</f>
        <v>49778</v>
      </c>
      <c r="AB59" s="65">
        <f>TRUNC(AB60+AB61+AB62+AB63)</f>
        <v>9494</v>
      </c>
      <c r="AC59" s="65">
        <f>TRUNC(AC60+AC61+AC62+AC63)</f>
        <v>7613</v>
      </c>
      <c r="AD59" s="66"/>
    </row>
    <row r="60" spans="2:30" ht="19.7" customHeight="1">
      <c r="B60" s="67" t="s">
        <v>651</v>
      </c>
      <c r="C60" s="29" t="s">
        <v>834</v>
      </c>
      <c r="D60" s="372">
        <v>25662000</v>
      </c>
      <c r="E60" s="372"/>
      <c r="F60" s="372"/>
      <c r="G60" s="372"/>
      <c r="H60" s="372"/>
      <c r="I60" s="372" t="s">
        <v>149</v>
      </c>
      <c r="J60" s="372"/>
      <c r="K60" s="372">
        <v>2967</v>
      </c>
      <c r="L60" s="372"/>
      <c r="M60" s="372"/>
      <c r="N60" s="63" t="s">
        <v>699</v>
      </c>
      <c r="O60" s="372" t="s">
        <v>745</v>
      </c>
      <c r="P60" s="372"/>
      <c r="Q60" s="372"/>
      <c r="R60" s="63"/>
      <c r="S60" s="63"/>
      <c r="T60" s="63"/>
      <c r="U60" s="63"/>
      <c r="V60" s="63"/>
      <c r="W60" s="63"/>
      <c r="X60" s="63"/>
      <c r="Y60" s="63"/>
      <c r="Z60" s="64">
        <f>AA60+AB60+AC60</f>
        <v>7613.9</v>
      </c>
      <c r="AA60" s="68"/>
      <c r="AB60" s="68"/>
      <c r="AC60" s="68">
        <f>TRUNC(D60*K60*0.0000001,1)</f>
        <v>7613.9</v>
      </c>
      <c r="AD60" s="32" t="s">
        <v>635</v>
      </c>
    </row>
    <row r="61" spans="2:30" ht="19.7" customHeight="1">
      <c r="B61" s="67" t="s">
        <v>688</v>
      </c>
      <c r="C61" s="29" t="s">
        <v>122</v>
      </c>
      <c r="D61" s="373">
        <v>5</v>
      </c>
      <c r="E61" s="372"/>
      <c r="F61" s="372"/>
      <c r="G61" s="372"/>
      <c r="H61" s="63" t="s">
        <v>660</v>
      </c>
      <c r="I61" s="63" t="s">
        <v>699</v>
      </c>
      <c r="J61" s="372">
        <f>자재단가!R6</f>
        <v>1376</v>
      </c>
      <c r="K61" s="372"/>
      <c r="L61" s="372"/>
      <c r="M61" s="372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4">
        <f>AA61+AB61+AC61</f>
        <v>6880</v>
      </c>
      <c r="AA61" s="68"/>
      <c r="AB61" s="68">
        <f>TRUNC(D61*J61,1)</f>
        <v>6880</v>
      </c>
      <c r="AC61" s="68"/>
      <c r="AD61" s="32" t="s">
        <v>834</v>
      </c>
    </row>
    <row r="62" spans="2:30" ht="19.7" customHeight="1">
      <c r="B62" s="67" t="s">
        <v>24</v>
      </c>
      <c r="C62" s="29" t="s">
        <v>467</v>
      </c>
      <c r="D62" s="373">
        <v>38</v>
      </c>
      <c r="E62" s="372"/>
      <c r="F62" s="372"/>
      <c r="G62" s="372"/>
      <c r="H62" s="63" t="s">
        <v>157</v>
      </c>
      <c r="I62" s="63" t="s">
        <v>699</v>
      </c>
      <c r="J62" s="372">
        <f>AB61</f>
        <v>6880</v>
      </c>
      <c r="K62" s="372"/>
      <c r="L62" s="372"/>
      <c r="M62" s="372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4">
        <f>AA62+AB62+AC62</f>
        <v>2614.4</v>
      </c>
      <c r="AA62" s="68"/>
      <c r="AB62" s="68">
        <f>TRUNC(D62/100*J62,1)</f>
        <v>2614.4</v>
      </c>
      <c r="AC62" s="68"/>
      <c r="AD62" s="32" t="s">
        <v>834</v>
      </c>
    </row>
    <row r="63" spans="2:30" ht="19.7" customHeight="1">
      <c r="B63" s="67" t="s">
        <v>60</v>
      </c>
      <c r="C63" s="29" t="s">
        <v>834</v>
      </c>
      <c r="D63" s="374">
        <v>1</v>
      </c>
      <c r="E63" s="372"/>
      <c r="F63" s="372"/>
      <c r="G63" s="63" t="s">
        <v>767</v>
      </c>
      <c r="H63" s="63" t="s">
        <v>699</v>
      </c>
      <c r="I63" s="372">
        <f>노임단가!F7</f>
        <v>238936</v>
      </c>
      <c r="J63" s="372"/>
      <c r="K63" s="372"/>
      <c r="L63" s="372"/>
      <c r="M63" s="63" t="s">
        <v>699</v>
      </c>
      <c r="N63" s="372" t="s">
        <v>570</v>
      </c>
      <c r="O63" s="372"/>
      <c r="P63" s="372"/>
      <c r="Q63" s="372"/>
      <c r="R63" s="372"/>
      <c r="S63" s="372"/>
      <c r="T63" s="372"/>
      <c r="U63" s="372"/>
      <c r="V63" s="372"/>
      <c r="W63" s="63"/>
      <c r="X63" s="63"/>
      <c r="Y63" s="63"/>
      <c r="Z63" s="64">
        <f>AA63+AB63+AC63</f>
        <v>49778.3</v>
      </c>
      <c r="AA63" s="68">
        <f>TRUNC(D63*I63*기계경비적용기준!E21,1)</f>
        <v>49778.3</v>
      </c>
      <c r="AB63" s="68"/>
      <c r="AC63" s="68"/>
      <c r="AD63" s="32" t="s">
        <v>834</v>
      </c>
    </row>
    <row r="64" spans="2:30" ht="19.7" customHeight="1">
      <c r="B64" s="67" t="s">
        <v>834</v>
      </c>
      <c r="C64" s="29" t="s">
        <v>834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37"/>
      <c r="AA64" s="31"/>
      <c r="AB64" s="31"/>
      <c r="AC64" s="31"/>
      <c r="AD64" s="32" t="s">
        <v>834</v>
      </c>
    </row>
    <row r="65" spans="2:30" ht="19.7" customHeight="1">
      <c r="B65" s="61" t="s">
        <v>654</v>
      </c>
      <c r="C65" s="62" t="s">
        <v>273</v>
      </c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4">
        <f>AA65+AB65+AC65</f>
        <v>61806</v>
      </c>
      <c r="AA65" s="65">
        <f>TRUNC(AA66+AA67+AA68+AA69)</f>
        <v>49778</v>
      </c>
      <c r="AB65" s="65">
        <f>TRUNC(AB66+AB67+AB68+AB69)</f>
        <v>5506</v>
      </c>
      <c r="AC65" s="65">
        <f>TRUNC(AC66+AC67+AC68+AC69)</f>
        <v>6522</v>
      </c>
      <c r="AD65" s="66"/>
    </row>
    <row r="66" spans="2:30" ht="19.7" customHeight="1">
      <c r="B66" s="67" t="s">
        <v>651</v>
      </c>
      <c r="C66" s="29" t="s">
        <v>834</v>
      </c>
      <c r="D66" s="372">
        <v>21982000</v>
      </c>
      <c r="E66" s="372"/>
      <c r="F66" s="372"/>
      <c r="G66" s="372"/>
      <c r="H66" s="372"/>
      <c r="I66" s="372" t="s">
        <v>149</v>
      </c>
      <c r="J66" s="372"/>
      <c r="K66" s="372">
        <v>2967</v>
      </c>
      <c r="L66" s="372"/>
      <c r="M66" s="372"/>
      <c r="N66" s="63" t="s">
        <v>699</v>
      </c>
      <c r="O66" s="372" t="s">
        <v>745</v>
      </c>
      <c r="P66" s="372"/>
      <c r="Q66" s="372"/>
      <c r="R66" s="63"/>
      <c r="S66" s="63"/>
      <c r="T66" s="63"/>
      <c r="U66" s="63"/>
      <c r="V66" s="63"/>
      <c r="W66" s="63"/>
      <c r="X66" s="63"/>
      <c r="Y66" s="63"/>
      <c r="Z66" s="64">
        <f>AA66+AB66+AC66</f>
        <v>6522</v>
      </c>
      <c r="AA66" s="68"/>
      <c r="AB66" s="68"/>
      <c r="AC66" s="68">
        <f>TRUNC(D66*K66*0.0000001,1)</f>
        <v>6522</v>
      </c>
      <c r="AD66" s="32" t="s">
        <v>635</v>
      </c>
    </row>
    <row r="67" spans="2:30" ht="19.7" customHeight="1">
      <c r="B67" s="67" t="s">
        <v>688</v>
      </c>
      <c r="C67" s="29" t="s">
        <v>122</v>
      </c>
      <c r="D67" s="373">
        <v>2.9</v>
      </c>
      <c r="E67" s="372"/>
      <c r="F67" s="372"/>
      <c r="G67" s="372"/>
      <c r="H67" s="63" t="s">
        <v>660</v>
      </c>
      <c r="I67" s="63" t="s">
        <v>699</v>
      </c>
      <c r="J67" s="372">
        <f>자재단가!R6</f>
        <v>1376</v>
      </c>
      <c r="K67" s="372"/>
      <c r="L67" s="372"/>
      <c r="M67" s="372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4">
        <f>AA67+AB67+AC67</f>
        <v>3990.4</v>
      </c>
      <c r="AA67" s="68"/>
      <c r="AB67" s="68">
        <f>TRUNC(D67*J67,1)</f>
        <v>3990.4</v>
      </c>
      <c r="AC67" s="68"/>
      <c r="AD67" s="32" t="s">
        <v>834</v>
      </c>
    </row>
    <row r="68" spans="2:30" ht="19.7" customHeight="1">
      <c r="B68" s="67" t="s">
        <v>24</v>
      </c>
      <c r="C68" s="29" t="s">
        <v>467</v>
      </c>
      <c r="D68" s="373">
        <v>38</v>
      </c>
      <c r="E68" s="372"/>
      <c r="F68" s="372"/>
      <c r="G68" s="372"/>
      <c r="H68" s="63" t="s">
        <v>157</v>
      </c>
      <c r="I68" s="63" t="s">
        <v>699</v>
      </c>
      <c r="J68" s="372">
        <f>AB67</f>
        <v>3990.4</v>
      </c>
      <c r="K68" s="372"/>
      <c r="L68" s="372"/>
      <c r="M68" s="372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4">
        <f>AA68+AB68+AC68</f>
        <v>1516.3</v>
      </c>
      <c r="AA68" s="68"/>
      <c r="AB68" s="68">
        <f>TRUNC(D68/100*J68,1)</f>
        <v>1516.3</v>
      </c>
      <c r="AC68" s="68"/>
      <c r="AD68" s="32" t="s">
        <v>834</v>
      </c>
    </row>
    <row r="69" spans="2:30" ht="19.7" customHeight="1">
      <c r="B69" s="67" t="s">
        <v>60</v>
      </c>
      <c r="C69" s="29" t="s">
        <v>834</v>
      </c>
      <c r="D69" s="374">
        <v>1</v>
      </c>
      <c r="E69" s="372"/>
      <c r="F69" s="372"/>
      <c r="G69" s="63" t="s">
        <v>767</v>
      </c>
      <c r="H69" s="63" t="s">
        <v>699</v>
      </c>
      <c r="I69" s="372">
        <f>노임단가!F7</f>
        <v>238936</v>
      </c>
      <c r="J69" s="372"/>
      <c r="K69" s="372"/>
      <c r="L69" s="372"/>
      <c r="M69" s="63" t="s">
        <v>699</v>
      </c>
      <c r="N69" s="372" t="s">
        <v>570</v>
      </c>
      <c r="O69" s="372"/>
      <c r="P69" s="372"/>
      <c r="Q69" s="372"/>
      <c r="R69" s="372"/>
      <c r="S69" s="372"/>
      <c r="T69" s="372"/>
      <c r="U69" s="372"/>
      <c r="V69" s="372"/>
      <c r="W69" s="63"/>
      <c r="X69" s="63"/>
      <c r="Y69" s="63"/>
      <c r="Z69" s="64">
        <f>AA69+AB69+AC69</f>
        <v>49778.3</v>
      </c>
      <c r="AA69" s="68">
        <f>TRUNC(D69*I69*기계경비적용기준!E21,1)</f>
        <v>49778.3</v>
      </c>
      <c r="AB69" s="68"/>
      <c r="AC69" s="68"/>
      <c r="AD69" s="32" t="s">
        <v>834</v>
      </c>
    </row>
    <row r="70" spans="2:30" ht="19.7" customHeight="1">
      <c r="B70" s="67" t="s">
        <v>834</v>
      </c>
      <c r="C70" s="29" t="s">
        <v>834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37"/>
      <c r="AA70" s="31"/>
      <c r="AB70" s="31"/>
      <c r="AC70" s="31"/>
      <c r="AD70" s="32" t="s">
        <v>834</v>
      </c>
    </row>
    <row r="71" spans="2:30" ht="19.7" customHeight="1">
      <c r="B71" s="61" t="s">
        <v>326</v>
      </c>
      <c r="C71" s="62" t="s">
        <v>823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4">
        <f>AA71+AB71+AC71</f>
        <v>66591</v>
      </c>
      <c r="AA71" s="65">
        <f>TRUNC(AA72+AA73+AA74+AA75)</f>
        <v>49778</v>
      </c>
      <c r="AB71" s="65">
        <f>TRUNC(AB72+AB73+AB74+AB75)</f>
        <v>6274</v>
      </c>
      <c r="AC71" s="65">
        <f>TRUNC(AC72+AC73+AC74+AC75)</f>
        <v>10539</v>
      </c>
      <c r="AD71" s="66"/>
    </row>
    <row r="72" spans="2:30" ht="19.7" customHeight="1">
      <c r="B72" s="67" t="s">
        <v>239</v>
      </c>
      <c r="C72" s="29" t="s">
        <v>834</v>
      </c>
      <c r="D72" s="372">
        <v>29358000</v>
      </c>
      <c r="E72" s="372"/>
      <c r="F72" s="372"/>
      <c r="G72" s="372"/>
      <c r="H72" s="372"/>
      <c r="I72" s="372" t="s">
        <v>149</v>
      </c>
      <c r="J72" s="372"/>
      <c r="K72" s="372">
        <v>3590</v>
      </c>
      <c r="L72" s="372"/>
      <c r="M72" s="372"/>
      <c r="N72" s="63" t="s">
        <v>699</v>
      </c>
      <c r="O72" s="372" t="s">
        <v>745</v>
      </c>
      <c r="P72" s="372"/>
      <c r="Q72" s="372"/>
      <c r="R72" s="63"/>
      <c r="S72" s="63"/>
      <c r="T72" s="63"/>
      <c r="U72" s="63"/>
      <c r="V72" s="63"/>
      <c r="W72" s="63"/>
      <c r="X72" s="63"/>
      <c r="Y72" s="63"/>
      <c r="Z72" s="64">
        <f>AA72+AB72+AC72</f>
        <v>10539.5</v>
      </c>
      <c r="AA72" s="68"/>
      <c r="AB72" s="68"/>
      <c r="AC72" s="68">
        <f>TRUNC(D72*K72*0.0000001,1)</f>
        <v>10539.5</v>
      </c>
      <c r="AD72" s="32" t="s">
        <v>834</v>
      </c>
    </row>
    <row r="73" spans="2:30" ht="19.7" customHeight="1">
      <c r="B73" s="67" t="s">
        <v>688</v>
      </c>
      <c r="C73" s="29" t="s">
        <v>53</v>
      </c>
      <c r="D73" s="373">
        <v>3.8</v>
      </c>
      <c r="E73" s="372"/>
      <c r="F73" s="372"/>
      <c r="G73" s="372"/>
      <c r="H73" s="63" t="s">
        <v>660</v>
      </c>
      <c r="I73" s="63" t="s">
        <v>699</v>
      </c>
      <c r="J73" s="372">
        <f>자재단가!R6</f>
        <v>1376</v>
      </c>
      <c r="K73" s="372"/>
      <c r="L73" s="372"/>
      <c r="M73" s="372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4">
        <f>AA73+AB73+AC73</f>
        <v>5228.8</v>
      </c>
      <c r="AA73" s="68"/>
      <c r="AB73" s="68">
        <f>TRUNC(D73*J73,1)</f>
        <v>5228.8</v>
      </c>
      <c r="AC73" s="68"/>
      <c r="AD73" s="32" t="s">
        <v>834</v>
      </c>
    </row>
    <row r="74" spans="2:30" ht="19.7" customHeight="1">
      <c r="B74" s="67" t="s">
        <v>646</v>
      </c>
      <c r="C74" s="29" t="s">
        <v>467</v>
      </c>
      <c r="D74" s="373">
        <v>20</v>
      </c>
      <c r="E74" s="372"/>
      <c r="F74" s="372"/>
      <c r="G74" s="372"/>
      <c r="H74" s="63" t="s">
        <v>157</v>
      </c>
      <c r="I74" s="63" t="s">
        <v>699</v>
      </c>
      <c r="J74" s="372">
        <f>AB73</f>
        <v>5228.8</v>
      </c>
      <c r="K74" s="372"/>
      <c r="L74" s="372"/>
      <c r="M74" s="372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4">
        <f>AA74+AB74+AC74</f>
        <v>1045.7</v>
      </c>
      <c r="AA74" s="68"/>
      <c r="AB74" s="68">
        <f>TRUNC(D74/100*J74,1)</f>
        <v>1045.7</v>
      </c>
      <c r="AC74" s="68"/>
      <c r="AD74" s="32" t="s">
        <v>834</v>
      </c>
    </row>
    <row r="75" spans="2:30" ht="19.7" customHeight="1">
      <c r="B75" s="67" t="s">
        <v>60</v>
      </c>
      <c r="C75" s="29" t="s">
        <v>834</v>
      </c>
      <c r="D75" s="374">
        <v>1</v>
      </c>
      <c r="E75" s="372"/>
      <c r="F75" s="372"/>
      <c r="G75" s="63" t="s">
        <v>767</v>
      </c>
      <c r="H75" s="63" t="s">
        <v>699</v>
      </c>
      <c r="I75" s="372">
        <f>노임단가!F7</f>
        <v>238936</v>
      </c>
      <c r="J75" s="372"/>
      <c r="K75" s="372"/>
      <c r="L75" s="372"/>
      <c r="M75" s="63" t="s">
        <v>699</v>
      </c>
      <c r="N75" s="372" t="s">
        <v>570</v>
      </c>
      <c r="O75" s="372"/>
      <c r="P75" s="372"/>
      <c r="Q75" s="372"/>
      <c r="R75" s="372"/>
      <c r="S75" s="372"/>
      <c r="T75" s="372"/>
      <c r="U75" s="372"/>
      <c r="V75" s="372"/>
      <c r="W75" s="63"/>
      <c r="X75" s="63"/>
      <c r="Y75" s="63"/>
      <c r="Z75" s="64">
        <f>AA75+AB75+AC75</f>
        <v>49778.3</v>
      </c>
      <c r="AA75" s="68">
        <f>TRUNC(D75*I75*기계경비적용기준!E21,1)</f>
        <v>49778.3</v>
      </c>
      <c r="AB75" s="68"/>
      <c r="AC75" s="68"/>
      <c r="AD75" s="32" t="s">
        <v>834</v>
      </c>
    </row>
    <row r="76" spans="2:30" ht="19.7" customHeight="1">
      <c r="B76" s="67" t="s">
        <v>834</v>
      </c>
      <c r="C76" s="29" t="s">
        <v>834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37"/>
      <c r="AA76" s="31"/>
      <c r="AB76" s="31"/>
      <c r="AC76" s="31"/>
      <c r="AD76" s="32" t="s">
        <v>834</v>
      </c>
    </row>
    <row r="77" spans="2:30" ht="19.7" customHeight="1">
      <c r="B77" s="61" t="s">
        <v>709</v>
      </c>
      <c r="C77" s="62" t="s">
        <v>827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4">
        <f>AA77+AB77+AC77</f>
        <v>107892</v>
      </c>
      <c r="AA77" s="65">
        <f>TRUNC(AA78+AA79+AA80+AA81)</f>
        <v>59020</v>
      </c>
      <c r="AB77" s="65">
        <f>TRUNC(AB78+AB79+AB80+AB81)</f>
        <v>31558</v>
      </c>
      <c r="AC77" s="65">
        <f>TRUNC(AC78+AC79+AC80+AC81)</f>
        <v>17314</v>
      </c>
      <c r="AD77" s="66"/>
    </row>
    <row r="78" spans="2:30" ht="19.7" customHeight="1">
      <c r="B78" s="67" t="s">
        <v>239</v>
      </c>
      <c r="C78" s="29" t="s">
        <v>834</v>
      </c>
      <c r="D78" s="372">
        <v>67216000</v>
      </c>
      <c r="E78" s="372"/>
      <c r="F78" s="372"/>
      <c r="G78" s="372"/>
      <c r="H78" s="372"/>
      <c r="I78" s="372" t="s">
        <v>149</v>
      </c>
      <c r="J78" s="372"/>
      <c r="K78" s="372">
        <v>2576</v>
      </c>
      <c r="L78" s="372"/>
      <c r="M78" s="372"/>
      <c r="N78" s="63" t="s">
        <v>699</v>
      </c>
      <c r="O78" s="372" t="s">
        <v>745</v>
      </c>
      <c r="P78" s="372"/>
      <c r="Q78" s="372"/>
      <c r="R78" s="63"/>
      <c r="S78" s="63"/>
      <c r="T78" s="63"/>
      <c r="U78" s="63"/>
      <c r="V78" s="63"/>
      <c r="W78" s="63"/>
      <c r="X78" s="63"/>
      <c r="Y78" s="63"/>
      <c r="Z78" s="64">
        <f>AA78+AB78+AC78</f>
        <v>17314.8</v>
      </c>
      <c r="AA78" s="68"/>
      <c r="AB78" s="68"/>
      <c r="AC78" s="68">
        <f>TRUNC(D78*K78*0.0000001,1)</f>
        <v>17314.8</v>
      </c>
      <c r="AD78" s="32" t="s">
        <v>635</v>
      </c>
    </row>
    <row r="79" spans="2:30" ht="19.7" customHeight="1">
      <c r="B79" s="67" t="s">
        <v>688</v>
      </c>
      <c r="C79" s="29" t="s">
        <v>53</v>
      </c>
      <c r="D79" s="373">
        <v>16.5</v>
      </c>
      <c r="E79" s="372"/>
      <c r="F79" s="372"/>
      <c r="G79" s="372"/>
      <c r="H79" s="63" t="s">
        <v>660</v>
      </c>
      <c r="I79" s="63" t="s">
        <v>699</v>
      </c>
      <c r="J79" s="372">
        <f>자재단가!R6</f>
        <v>1376</v>
      </c>
      <c r="K79" s="372"/>
      <c r="L79" s="372"/>
      <c r="M79" s="372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4">
        <f>AA79+AB79+AC79</f>
        <v>22704</v>
      </c>
      <c r="AA79" s="68"/>
      <c r="AB79" s="68">
        <f>TRUNC(D79*J79,1)</f>
        <v>22704</v>
      </c>
      <c r="AC79" s="68"/>
      <c r="AD79" s="32" t="s">
        <v>834</v>
      </c>
    </row>
    <row r="80" spans="2:30" ht="19.7" customHeight="1">
      <c r="B80" s="67" t="s">
        <v>61</v>
      </c>
      <c r="C80" s="29" t="s">
        <v>467</v>
      </c>
      <c r="D80" s="373">
        <v>39</v>
      </c>
      <c r="E80" s="372"/>
      <c r="F80" s="372"/>
      <c r="G80" s="372"/>
      <c r="H80" s="63" t="s">
        <v>157</v>
      </c>
      <c r="I80" s="63" t="s">
        <v>699</v>
      </c>
      <c r="J80" s="372">
        <f>AB79</f>
        <v>22704</v>
      </c>
      <c r="K80" s="372"/>
      <c r="L80" s="372"/>
      <c r="M80" s="372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4">
        <f>AA80+AB80+AC80</f>
        <v>8854.5</v>
      </c>
      <c r="AA80" s="68"/>
      <c r="AB80" s="68">
        <f>TRUNC(D80/100*J80,1)</f>
        <v>8854.5</v>
      </c>
      <c r="AC80" s="68"/>
      <c r="AD80" s="32" t="s">
        <v>834</v>
      </c>
    </row>
    <row r="81" spans="2:30" ht="19.7" customHeight="1">
      <c r="B81" s="67" t="s">
        <v>177</v>
      </c>
      <c r="C81" s="29" t="s">
        <v>834</v>
      </c>
      <c r="D81" s="374">
        <v>1</v>
      </c>
      <c r="E81" s="372"/>
      <c r="F81" s="372"/>
      <c r="G81" s="63" t="s">
        <v>767</v>
      </c>
      <c r="H81" s="63" t="s">
        <v>699</v>
      </c>
      <c r="I81" s="372">
        <f>노임단가!F6</f>
        <v>283297</v>
      </c>
      <c r="J81" s="372"/>
      <c r="K81" s="372"/>
      <c r="L81" s="372"/>
      <c r="M81" s="63" t="s">
        <v>699</v>
      </c>
      <c r="N81" s="372" t="s">
        <v>570</v>
      </c>
      <c r="O81" s="372"/>
      <c r="P81" s="372"/>
      <c r="Q81" s="372"/>
      <c r="R81" s="372"/>
      <c r="S81" s="372"/>
      <c r="T81" s="372"/>
      <c r="U81" s="372"/>
      <c r="V81" s="372"/>
      <c r="W81" s="63"/>
      <c r="X81" s="63"/>
      <c r="Y81" s="63"/>
      <c r="Z81" s="64">
        <f>AA81+AB81+AC81</f>
        <v>59020.2</v>
      </c>
      <c r="AA81" s="68">
        <f>TRUNC(D81*I81*기계경비적용기준!E21,1)</f>
        <v>59020.2</v>
      </c>
      <c r="AB81" s="68"/>
      <c r="AC81" s="68"/>
      <c r="AD81" s="32" t="s">
        <v>834</v>
      </c>
    </row>
    <row r="82" spans="2:30" ht="19.7" customHeight="1">
      <c r="B82" s="69" t="s">
        <v>834</v>
      </c>
      <c r="C82" s="34" t="s">
        <v>834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1"/>
      <c r="AA82" s="22"/>
      <c r="AB82" s="22"/>
      <c r="AC82" s="22"/>
      <c r="AD82" s="36" t="s">
        <v>834</v>
      </c>
    </row>
    <row r="83" spans="2:30" ht="19.7" customHeight="1">
      <c r="B83" s="61" t="s">
        <v>678</v>
      </c>
      <c r="C83" s="62" t="s">
        <v>196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4">
        <f>AA83+AB83+AC83</f>
        <v>136855</v>
      </c>
      <c r="AA83" s="65">
        <f>TRUNC(AA84+AA85+AA86+AA87)</f>
        <v>59020</v>
      </c>
      <c r="AB83" s="65">
        <f>TRUNC(AB84+AB85+AB86+AB87)</f>
        <v>30984</v>
      </c>
      <c r="AC83" s="65">
        <f>TRUNC(AC84+AC85+AC86+AC87)</f>
        <v>46851</v>
      </c>
      <c r="AD83" s="66"/>
    </row>
    <row r="84" spans="2:30" ht="19.7" customHeight="1">
      <c r="B84" s="67" t="s">
        <v>239</v>
      </c>
      <c r="C84" s="29" t="s">
        <v>834</v>
      </c>
      <c r="D84" s="372">
        <v>310687000</v>
      </c>
      <c r="E84" s="372"/>
      <c r="F84" s="372"/>
      <c r="G84" s="372"/>
      <c r="H84" s="372"/>
      <c r="I84" s="372" t="s">
        <v>149</v>
      </c>
      <c r="J84" s="372"/>
      <c r="K84" s="372">
        <v>1508</v>
      </c>
      <c r="L84" s="372"/>
      <c r="M84" s="372"/>
      <c r="N84" s="63" t="s">
        <v>699</v>
      </c>
      <c r="O84" s="372" t="s">
        <v>745</v>
      </c>
      <c r="P84" s="372"/>
      <c r="Q84" s="372"/>
      <c r="R84" s="63"/>
      <c r="S84" s="63"/>
      <c r="T84" s="63"/>
      <c r="U84" s="63"/>
      <c r="V84" s="63"/>
      <c r="W84" s="63"/>
      <c r="X84" s="63"/>
      <c r="Y84" s="63"/>
      <c r="Z84" s="64">
        <f>AA84+AB84+AC84</f>
        <v>46851.5</v>
      </c>
      <c r="AA84" s="68"/>
      <c r="AB84" s="68"/>
      <c r="AC84" s="68">
        <f>TRUNC(D84*K84*0.0000001,1)</f>
        <v>46851.5</v>
      </c>
      <c r="AD84" s="32" t="s">
        <v>635</v>
      </c>
    </row>
    <row r="85" spans="2:30" ht="19.7" customHeight="1">
      <c r="B85" s="67" t="s">
        <v>688</v>
      </c>
      <c r="C85" s="29" t="s">
        <v>53</v>
      </c>
      <c r="D85" s="373">
        <v>16.2</v>
      </c>
      <c r="E85" s="372"/>
      <c r="F85" s="372"/>
      <c r="G85" s="372"/>
      <c r="H85" s="63" t="s">
        <v>660</v>
      </c>
      <c r="I85" s="63" t="s">
        <v>699</v>
      </c>
      <c r="J85" s="372">
        <f>자재단가!R6</f>
        <v>1376</v>
      </c>
      <c r="K85" s="372"/>
      <c r="L85" s="372"/>
      <c r="M85" s="372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4">
        <f>AA85+AB85+AC85</f>
        <v>22291.200000000001</v>
      </c>
      <c r="AA85" s="68"/>
      <c r="AB85" s="68">
        <f>TRUNC(D85*J85,1)</f>
        <v>22291.200000000001</v>
      </c>
      <c r="AC85" s="68"/>
      <c r="AD85" s="32" t="s">
        <v>834</v>
      </c>
    </row>
    <row r="86" spans="2:30" ht="19.7" customHeight="1">
      <c r="B86" s="67" t="s">
        <v>61</v>
      </c>
      <c r="C86" s="29" t="s">
        <v>467</v>
      </c>
      <c r="D86" s="373">
        <v>39</v>
      </c>
      <c r="E86" s="372"/>
      <c r="F86" s="372"/>
      <c r="G86" s="372"/>
      <c r="H86" s="63" t="s">
        <v>157</v>
      </c>
      <c r="I86" s="63" t="s">
        <v>699</v>
      </c>
      <c r="J86" s="372">
        <f>AB85</f>
        <v>22291.200000000001</v>
      </c>
      <c r="K86" s="372"/>
      <c r="L86" s="372"/>
      <c r="M86" s="372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4">
        <f>AA86+AB86+AC86</f>
        <v>8693.5</v>
      </c>
      <c r="AA86" s="68"/>
      <c r="AB86" s="68">
        <f>TRUNC(D86/100*J86,1)</f>
        <v>8693.5</v>
      </c>
      <c r="AC86" s="68"/>
      <c r="AD86" s="32" t="s">
        <v>834</v>
      </c>
    </row>
    <row r="87" spans="2:30" ht="19.7" customHeight="1">
      <c r="B87" s="67" t="s">
        <v>177</v>
      </c>
      <c r="C87" s="29" t="s">
        <v>834</v>
      </c>
      <c r="D87" s="374">
        <v>1</v>
      </c>
      <c r="E87" s="372"/>
      <c r="F87" s="372"/>
      <c r="G87" s="63" t="s">
        <v>767</v>
      </c>
      <c r="H87" s="63" t="s">
        <v>699</v>
      </c>
      <c r="I87" s="372">
        <f>노임단가!F6</f>
        <v>283297</v>
      </c>
      <c r="J87" s="372"/>
      <c r="K87" s="372"/>
      <c r="L87" s="372"/>
      <c r="M87" s="63" t="s">
        <v>699</v>
      </c>
      <c r="N87" s="372" t="s">
        <v>570</v>
      </c>
      <c r="O87" s="372"/>
      <c r="P87" s="372"/>
      <c r="Q87" s="372"/>
      <c r="R87" s="372"/>
      <c r="S87" s="372"/>
      <c r="T87" s="372"/>
      <c r="U87" s="372"/>
      <c r="V87" s="372"/>
      <c r="W87" s="63"/>
      <c r="X87" s="63"/>
      <c r="Y87" s="63"/>
      <c r="Z87" s="64">
        <f>AA87+AB87+AC87</f>
        <v>59020.2</v>
      </c>
      <c r="AA87" s="68">
        <f>TRUNC(D87*I87*기계경비적용기준!E21,1)</f>
        <v>59020.2</v>
      </c>
      <c r="AB87" s="68"/>
      <c r="AC87" s="68"/>
      <c r="AD87" s="32" t="s">
        <v>834</v>
      </c>
    </row>
    <row r="88" spans="2:30" ht="19.7" customHeight="1">
      <c r="B88" s="67" t="s">
        <v>834</v>
      </c>
      <c r="C88" s="29" t="s">
        <v>834</v>
      </c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37"/>
      <c r="AA88" s="31"/>
      <c r="AB88" s="31"/>
      <c r="AC88" s="31"/>
      <c r="AD88" s="32" t="s">
        <v>834</v>
      </c>
    </row>
    <row r="89" spans="2:30" ht="19.7" customHeight="1">
      <c r="B89" s="61" t="s">
        <v>337</v>
      </c>
      <c r="C89" s="62" t="s">
        <v>685</v>
      </c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4">
        <f>AA89+AB89+AC89</f>
        <v>43664</v>
      </c>
      <c r="AA89" s="65">
        <f>TRUNC(AA90+AA91)</f>
        <v>36248</v>
      </c>
      <c r="AB89" s="65">
        <f>TRUNC(AB90+AB91)</f>
        <v>0</v>
      </c>
      <c r="AC89" s="65">
        <f>TRUNC(AC90+AC91)</f>
        <v>7416</v>
      </c>
      <c r="AD89" s="66"/>
    </row>
    <row r="90" spans="2:30" ht="19.7" customHeight="1">
      <c r="B90" s="67" t="s">
        <v>659</v>
      </c>
      <c r="C90" s="29" t="s">
        <v>834</v>
      </c>
      <c r="D90" s="372">
        <v>20000000</v>
      </c>
      <c r="E90" s="372"/>
      <c r="F90" s="372"/>
      <c r="G90" s="372"/>
      <c r="H90" s="372"/>
      <c r="I90" s="372" t="s">
        <v>149</v>
      </c>
      <c r="J90" s="372"/>
      <c r="K90" s="372">
        <v>3708</v>
      </c>
      <c r="L90" s="372"/>
      <c r="M90" s="372"/>
      <c r="N90" s="63" t="s">
        <v>699</v>
      </c>
      <c r="O90" s="372" t="s">
        <v>745</v>
      </c>
      <c r="P90" s="372"/>
      <c r="Q90" s="372"/>
      <c r="R90" s="63"/>
      <c r="S90" s="63"/>
      <c r="T90" s="63"/>
      <c r="U90" s="63"/>
      <c r="V90" s="63"/>
      <c r="W90" s="63"/>
      <c r="X90" s="63"/>
      <c r="Y90" s="63"/>
      <c r="Z90" s="64">
        <f>AA90+AB90+AC90</f>
        <v>7416</v>
      </c>
      <c r="AA90" s="68"/>
      <c r="AB90" s="68"/>
      <c r="AC90" s="68">
        <f>TRUNC(D90*K90*0.0000001,1)</f>
        <v>7416</v>
      </c>
      <c r="AD90" s="32" t="s">
        <v>834</v>
      </c>
    </row>
    <row r="91" spans="2:30" ht="19.7" customHeight="1">
      <c r="B91" s="67" t="s">
        <v>414</v>
      </c>
      <c r="C91" s="29" t="s">
        <v>834</v>
      </c>
      <c r="D91" s="374">
        <v>1</v>
      </c>
      <c r="E91" s="372"/>
      <c r="F91" s="372"/>
      <c r="G91" s="63" t="s">
        <v>767</v>
      </c>
      <c r="H91" s="63" t="s">
        <v>699</v>
      </c>
      <c r="I91" s="372">
        <v>173995</v>
      </c>
      <c r="J91" s="372"/>
      <c r="K91" s="372"/>
      <c r="L91" s="372"/>
      <c r="M91" s="63" t="s">
        <v>699</v>
      </c>
      <c r="N91" s="372" t="s">
        <v>570</v>
      </c>
      <c r="O91" s="372"/>
      <c r="P91" s="372"/>
      <c r="Q91" s="372"/>
      <c r="R91" s="372"/>
      <c r="S91" s="372"/>
      <c r="T91" s="372"/>
      <c r="U91" s="372"/>
      <c r="V91" s="372"/>
      <c r="W91" s="63"/>
      <c r="X91" s="63"/>
      <c r="Y91" s="63"/>
      <c r="Z91" s="64">
        <f>AA91+AB91+AC91</f>
        <v>36248.9</v>
      </c>
      <c r="AA91" s="68">
        <f>TRUNC(D91*I91*기계경비적용기준!E21,1)</f>
        <v>36248.9</v>
      </c>
      <c r="AB91" s="68"/>
      <c r="AC91" s="68"/>
      <c r="AD91" s="32" t="s">
        <v>834</v>
      </c>
    </row>
    <row r="92" spans="2:30" ht="19.7" customHeight="1">
      <c r="B92" s="67" t="s">
        <v>834</v>
      </c>
      <c r="C92" s="29" t="s">
        <v>834</v>
      </c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37"/>
      <c r="AA92" s="31"/>
      <c r="AB92" s="31"/>
      <c r="AC92" s="31"/>
      <c r="AD92" s="32" t="s">
        <v>834</v>
      </c>
    </row>
    <row r="93" spans="2:30" ht="19.7" customHeight="1">
      <c r="B93" s="61" t="s">
        <v>343</v>
      </c>
      <c r="C93" s="62" t="s">
        <v>708</v>
      </c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4">
        <f>AA93+AB93+AC93</f>
        <v>54971</v>
      </c>
      <c r="AA93" s="65">
        <f>TRUNC(AA94+AA95+AA96+AA97)</f>
        <v>36248</v>
      </c>
      <c r="AB93" s="65">
        <f>TRUNC(AB94+AB95+AB96+AB97)</f>
        <v>14477</v>
      </c>
      <c r="AC93" s="65">
        <f>TRUNC(AC94+AC95+AC96+AC97)</f>
        <v>4246</v>
      </c>
      <c r="AD93" s="66"/>
    </row>
    <row r="94" spans="2:30" ht="19.7" customHeight="1">
      <c r="B94" s="67" t="s">
        <v>239</v>
      </c>
      <c r="C94" s="29" t="s">
        <v>834</v>
      </c>
      <c r="D94" s="372">
        <v>17978000</v>
      </c>
      <c r="E94" s="372"/>
      <c r="F94" s="372"/>
      <c r="G94" s="372"/>
      <c r="H94" s="372"/>
      <c r="I94" s="372" t="s">
        <v>149</v>
      </c>
      <c r="J94" s="372"/>
      <c r="K94" s="372">
        <v>2362</v>
      </c>
      <c r="L94" s="372"/>
      <c r="M94" s="372"/>
      <c r="N94" s="63" t="s">
        <v>699</v>
      </c>
      <c r="O94" s="372" t="s">
        <v>745</v>
      </c>
      <c r="P94" s="372"/>
      <c r="Q94" s="372"/>
      <c r="R94" s="63"/>
      <c r="S94" s="63"/>
      <c r="T94" s="63"/>
      <c r="U94" s="63"/>
      <c r="V94" s="63"/>
      <c r="W94" s="63"/>
      <c r="X94" s="63"/>
      <c r="Y94" s="63"/>
      <c r="Z94" s="64">
        <f>AA94+AB94+AC94</f>
        <v>4246.3999999999996</v>
      </c>
      <c r="AA94" s="68"/>
      <c r="AB94" s="68"/>
      <c r="AC94" s="68">
        <f>TRUNC(D94*K94*0.0000001,1)</f>
        <v>4246.3999999999996</v>
      </c>
      <c r="AD94" s="32" t="s">
        <v>635</v>
      </c>
    </row>
    <row r="95" spans="2:30" ht="19.7" customHeight="1">
      <c r="B95" s="67" t="s">
        <v>688</v>
      </c>
      <c r="C95" s="29" t="s">
        <v>53</v>
      </c>
      <c r="D95" s="373">
        <v>8.6999999999999993</v>
      </c>
      <c r="E95" s="372"/>
      <c r="F95" s="372"/>
      <c r="G95" s="372"/>
      <c r="H95" s="63" t="s">
        <v>660</v>
      </c>
      <c r="I95" s="63" t="s">
        <v>699</v>
      </c>
      <c r="J95" s="372">
        <v>1342</v>
      </c>
      <c r="K95" s="372"/>
      <c r="L95" s="372"/>
      <c r="M95" s="372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4">
        <f>AA95+AB95+AC95</f>
        <v>11675.4</v>
      </c>
      <c r="AA95" s="68"/>
      <c r="AB95" s="68">
        <f>TRUNC(D95*J95,1)</f>
        <v>11675.4</v>
      </c>
      <c r="AC95" s="68"/>
      <c r="AD95" s="32" t="s">
        <v>834</v>
      </c>
    </row>
    <row r="96" spans="2:30" ht="19.7" customHeight="1">
      <c r="B96" s="67" t="s">
        <v>61</v>
      </c>
      <c r="C96" s="29" t="s">
        <v>467</v>
      </c>
      <c r="D96" s="373">
        <v>24</v>
      </c>
      <c r="E96" s="372"/>
      <c r="F96" s="372"/>
      <c r="G96" s="372"/>
      <c r="H96" s="63" t="s">
        <v>157</v>
      </c>
      <c r="I96" s="63" t="s">
        <v>699</v>
      </c>
      <c r="J96" s="372">
        <f>AB95</f>
        <v>11675.4</v>
      </c>
      <c r="K96" s="372"/>
      <c r="L96" s="372"/>
      <c r="M96" s="372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4">
        <f>AA96+AB96+AC96</f>
        <v>2802</v>
      </c>
      <c r="AA96" s="68"/>
      <c r="AB96" s="68">
        <f>TRUNC(D96/100*J96,1)</f>
        <v>2802</v>
      </c>
      <c r="AC96" s="68"/>
      <c r="AD96" s="32" t="s">
        <v>834</v>
      </c>
    </row>
    <row r="97" spans="2:30" ht="19.7" customHeight="1">
      <c r="B97" s="67" t="s">
        <v>414</v>
      </c>
      <c r="C97" s="29" t="s">
        <v>834</v>
      </c>
      <c r="D97" s="374">
        <v>1</v>
      </c>
      <c r="E97" s="372"/>
      <c r="F97" s="372"/>
      <c r="G97" s="63" t="s">
        <v>767</v>
      </c>
      <c r="H97" s="63" t="s">
        <v>699</v>
      </c>
      <c r="I97" s="372">
        <f>노임단가!F11</f>
        <v>173995</v>
      </c>
      <c r="J97" s="372"/>
      <c r="K97" s="372"/>
      <c r="L97" s="372"/>
      <c r="M97" s="63" t="s">
        <v>699</v>
      </c>
      <c r="N97" s="372" t="s">
        <v>570</v>
      </c>
      <c r="O97" s="372"/>
      <c r="P97" s="372"/>
      <c r="Q97" s="372"/>
      <c r="R97" s="372"/>
      <c r="S97" s="372"/>
      <c r="T97" s="372"/>
      <c r="U97" s="372"/>
      <c r="V97" s="372"/>
      <c r="W97" s="63"/>
      <c r="X97" s="63"/>
      <c r="Y97" s="63"/>
      <c r="Z97" s="64">
        <f>AA97+AB97+AC97</f>
        <v>36248.9</v>
      </c>
      <c r="AA97" s="68">
        <f>TRUNC(D97*I97*기계경비적용기준!E21,1)</f>
        <v>36248.9</v>
      </c>
      <c r="AB97" s="68"/>
      <c r="AC97" s="68"/>
      <c r="AD97" s="32" t="s">
        <v>834</v>
      </c>
    </row>
    <row r="98" spans="2:30" ht="19.7" customHeight="1">
      <c r="B98" s="67" t="s">
        <v>834</v>
      </c>
      <c r="C98" s="29" t="s">
        <v>834</v>
      </c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37"/>
      <c r="AA98" s="31"/>
      <c r="AB98" s="31"/>
      <c r="AC98" s="31"/>
      <c r="AD98" s="32" t="s">
        <v>834</v>
      </c>
    </row>
    <row r="99" spans="2:30" ht="19.7" customHeight="1">
      <c r="B99" s="61" t="s">
        <v>9</v>
      </c>
      <c r="C99" s="62" t="s">
        <v>823</v>
      </c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4">
        <f t="shared" ref="Z99:Z104" si="1">AA99+AB99+AC99</f>
        <v>294593</v>
      </c>
      <c r="AA99" s="65">
        <f>TRUNC(AA100+AA101+AA102+AA103+AA104)</f>
        <v>67563</v>
      </c>
      <c r="AB99" s="65">
        <f>TRUNC(AB100+AB101+AB102+AB103+AB104)</f>
        <v>16520</v>
      </c>
      <c r="AC99" s="65">
        <f>TRUNC(AC100+AC101+AC102+AC103+AC104)</f>
        <v>210510</v>
      </c>
      <c r="AD99" s="66"/>
    </row>
    <row r="100" spans="2:30" ht="19.7" customHeight="1">
      <c r="B100" s="67" t="s">
        <v>239</v>
      </c>
      <c r="C100" s="29" t="s">
        <v>834</v>
      </c>
      <c r="D100" s="372">
        <v>900000000</v>
      </c>
      <c r="E100" s="372"/>
      <c r="F100" s="372"/>
      <c r="G100" s="372"/>
      <c r="H100" s="372"/>
      <c r="I100" s="372" t="s">
        <v>149</v>
      </c>
      <c r="J100" s="372"/>
      <c r="K100" s="372">
        <v>2339</v>
      </c>
      <c r="L100" s="372"/>
      <c r="M100" s="372"/>
      <c r="N100" s="63" t="s">
        <v>699</v>
      </c>
      <c r="O100" s="372" t="s">
        <v>745</v>
      </c>
      <c r="P100" s="372"/>
      <c r="Q100" s="372"/>
      <c r="R100" s="63"/>
      <c r="S100" s="63"/>
      <c r="T100" s="63"/>
      <c r="U100" s="63"/>
      <c r="V100" s="63"/>
      <c r="W100" s="63"/>
      <c r="X100" s="63"/>
      <c r="Y100" s="63"/>
      <c r="Z100" s="64">
        <f t="shared" si="1"/>
        <v>210510</v>
      </c>
      <c r="AA100" s="68"/>
      <c r="AB100" s="68"/>
      <c r="AC100" s="68">
        <f>TRUNC(D100*K100*0.0000001,1)</f>
        <v>210510</v>
      </c>
      <c r="AD100" s="32" t="s">
        <v>834</v>
      </c>
    </row>
    <row r="101" spans="2:30" ht="19.7" customHeight="1">
      <c r="B101" s="67" t="s">
        <v>688</v>
      </c>
      <c r="C101" s="29" t="s">
        <v>53</v>
      </c>
      <c r="D101" s="373">
        <v>8.6999999999999993</v>
      </c>
      <c r="E101" s="372"/>
      <c r="F101" s="372"/>
      <c r="G101" s="372"/>
      <c r="H101" s="63" t="s">
        <v>660</v>
      </c>
      <c r="I101" s="63" t="s">
        <v>699</v>
      </c>
      <c r="J101" s="372">
        <f>자재단가!R6</f>
        <v>1376</v>
      </c>
      <c r="K101" s="372"/>
      <c r="L101" s="372"/>
      <c r="M101" s="372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4">
        <f t="shared" si="1"/>
        <v>11971.2</v>
      </c>
      <c r="AA101" s="68"/>
      <c r="AB101" s="68">
        <f>TRUNC(D101*J101,1)</f>
        <v>11971.2</v>
      </c>
      <c r="AC101" s="68"/>
      <c r="AD101" s="32" t="s">
        <v>834</v>
      </c>
    </row>
    <row r="102" spans="2:30" ht="19.7" customHeight="1">
      <c r="B102" s="67" t="s">
        <v>646</v>
      </c>
      <c r="C102" s="29" t="s">
        <v>467</v>
      </c>
      <c r="D102" s="373">
        <v>38</v>
      </c>
      <c r="E102" s="372"/>
      <c r="F102" s="372"/>
      <c r="G102" s="372"/>
      <c r="H102" s="63" t="s">
        <v>157</v>
      </c>
      <c r="I102" s="63" t="s">
        <v>699</v>
      </c>
      <c r="J102" s="372">
        <f>AB101</f>
        <v>11971.2</v>
      </c>
      <c r="K102" s="372"/>
      <c r="L102" s="372"/>
      <c r="M102" s="372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4">
        <f t="shared" si="1"/>
        <v>4549</v>
      </c>
      <c r="AA102" s="68"/>
      <c r="AB102" s="68">
        <f>TRUNC(D102/100*J102,1)</f>
        <v>4549</v>
      </c>
      <c r="AC102" s="68"/>
      <c r="AD102" s="32" t="s">
        <v>834</v>
      </c>
    </row>
    <row r="103" spans="2:30" ht="19.7" customHeight="1">
      <c r="B103" s="67" t="s">
        <v>472</v>
      </c>
      <c r="C103" s="29" t="s">
        <v>834</v>
      </c>
      <c r="D103" s="374">
        <v>0.2</v>
      </c>
      <c r="E103" s="372"/>
      <c r="F103" s="372"/>
      <c r="G103" s="63" t="s">
        <v>767</v>
      </c>
      <c r="H103" s="63" t="s">
        <v>699</v>
      </c>
      <c r="I103" s="372">
        <f>노임단가!F13</f>
        <v>205028</v>
      </c>
      <c r="J103" s="372"/>
      <c r="K103" s="372"/>
      <c r="L103" s="372"/>
      <c r="M103" s="63" t="s">
        <v>699</v>
      </c>
      <c r="N103" s="372" t="s">
        <v>570</v>
      </c>
      <c r="O103" s="372"/>
      <c r="P103" s="372"/>
      <c r="Q103" s="372"/>
      <c r="R103" s="372"/>
      <c r="S103" s="372"/>
      <c r="T103" s="372"/>
      <c r="U103" s="372"/>
      <c r="V103" s="372"/>
      <c r="W103" s="63"/>
      <c r="X103" s="63"/>
      <c r="Y103" s="63"/>
      <c r="Z103" s="64">
        <f t="shared" si="1"/>
        <v>8542.7999999999993</v>
      </c>
      <c r="AA103" s="68">
        <f>TRUNC(D103*I103*기계경비적용기준!E21,1)</f>
        <v>8542.7999999999993</v>
      </c>
      <c r="AB103" s="68"/>
      <c r="AC103" s="68"/>
      <c r="AD103" s="32" t="s">
        <v>834</v>
      </c>
    </row>
    <row r="104" spans="2:30" ht="19.7" customHeight="1">
      <c r="B104" s="67" t="s">
        <v>177</v>
      </c>
      <c r="C104" s="29" t="s">
        <v>834</v>
      </c>
      <c r="D104" s="374">
        <v>1</v>
      </c>
      <c r="E104" s="372"/>
      <c r="F104" s="372"/>
      <c r="G104" s="63" t="s">
        <v>767</v>
      </c>
      <c r="H104" s="63" t="s">
        <v>699</v>
      </c>
      <c r="I104" s="372">
        <f>노임단가!F6</f>
        <v>283297</v>
      </c>
      <c r="J104" s="372"/>
      <c r="K104" s="372"/>
      <c r="L104" s="372"/>
      <c r="M104" s="63" t="s">
        <v>699</v>
      </c>
      <c r="N104" s="372" t="s">
        <v>570</v>
      </c>
      <c r="O104" s="372"/>
      <c r="P104" s="372"/>
      <c r="Q104" s="372"/>
      <c r="R104" s="372"/>
      <c r="S104" s="372"/>
      <c r="T104" s="372"/>
      <c r="U104" s="372"/>
      <c r="V104" s="372"/>
      <c r="W104" s="63"/>
      <c r="X104" s="63"/>
      <c r="Y104" s="63"/>
      <c r="Z104" s="64">
        <f t="shared" si="1"/>
        <v>59020.2</v>
      </c>
      <c r="AA104" s="68">
        <f>TRUNC(D104*I104*기계경비적용기준!E21,1)</f>
        <v>59020.2</v>
      </c>
      <c r="AB104" s="68"/>
      <c r="AC104" s="68"/>
      <c r="AD104" s="32" t="s">
        <v>834</v>
      </c>
    </row>
    <row r="105" spans="2:30" ht="19.7" customHeight="1">
      <c r="B105" s="67" t="s">
        <v>834</v>
      </c>
      <c r="C105" s="29" t="s">
        <v>834</v>
      </c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37"/>
      <c r="AA105" s="31"/>
      <c r="AB105" s="31"/>
      <c r="AC105" s="31"/>
      <c r="AD105" s="32" t="s">
        <v>834</v>
      </c>
    </row>
    <row r="106" spans="2:30" ht="19.7" customHeight="1">
      <c r="B106" s="61" t="s">
        <v>223</v>
      </c>
      <c r="C106" s="62" t="s">
        <v>155</v>
      </c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4">
        <f>AA106+AB106+AC106</f>
        <v>106815</v>
      </c>
      <c r="AA106" s="65">
        <f>TRUNC(AA107+AA108+AA109+AA110)</f>
        <v>59020</v>
      </c>
      <c r="AB106" s="65">
        <f>TRUNC(AB107+AB108+AB109+AB110)</f>
        <v>19473</v>
      </c>
      <c r="AC106" s="65">
        <f>TRUNC(AC107+AC108+AC109+AC110)</f>
        <v>28322</v>
      </c>
      <c r="AD106" s="66"/>
    </row>
    <row r="107" spans="2:30" ht="19.7" customHeight="1">
      <c r="B107" s="67" t="s">
        <v>239</v>
      </c>
      <c r="C107" s="29" t="s">
        <v>834</v>
      </c>
      <c r="D107" s="372">
        <v>117766000</v>
      </c>
      <c r="E107" s="372"/>
      <c r="F107" s="372"/>
      <c r="G107" s="372"/>
      <c r="H107" s="372"/>
      <c r="I107" s="372" t="s">
        <v>149</v>
      </c>
      <c r="J107" s="372"/>
      <c r="K107" s="372">
        <v>2405</v>
      </c>
      <c r="L107" s="372"/>
      <c r="M107" s="372"/>
      <c r="N107" s="63" t="s">
        <v>699</v>
      </c>
      <c r="O107" s="372" t="s">
        <v>745</v>
      </c>
      <c r="P107" s="372"/>
      <c r="Q107" s="372"/>
      <c r="R107" s="63"/>
      <c r="S107" s="63"/>
      <c r="T107" s="63"/>
      <c r="U107" s="63"/>
      <c r="V107" s="63"/>
      <c r="W107" s="63"/>
      <c r="X107" s="63"/>
      <c r="Y107" s="63"/>
      <c r="Z107" s="64">
        <f>AA107+AB107+AC107</f>
        <v>28322.7</v>
      </c>
      <c r="AA107" s="68"/>
      <c r="AB107" s="68"/>
      <c r="AC107" s="68">
        <f>TRUNC(D107*K107*0.0000001,1)</f>
        <v>28322.7</v>
      </c>
      <c r="AD107" s="32" t="s">
        <v>635</v>
      </c>
    </row>
    <row r="108" spans="2:30" ht="19.7" customHeight="1">
      <c r="B108" s="69" t="s">
        <v>688</v>
      </c>
      <c r="C108" s="34" t="s">
        <v>53</v>
      </c>
      <c r="D108" s="376">
        <v>11.6</v>
      </c>
      <c r="E108" s="375"/>
      <c r="F108" s="375"/>
      <c r="G108" s="375"/>
      <c r="H108" s="20" t="s">
        <v>660</v>
      </c>
      <c r="I108" s="20" t="s">
        <v>699</v>
      </c>
      <c r="J108" s="375">
        <f>자재단가!R6</f>
        <v>1376</v>
      </c>
      <c r="K108" s="375"/>
      <c r="L108" s="375"/>
      <c r="M108" s="37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70">
        <f>AA108+AB108+AC108</f>
        <v>15961.6</v>
      </c>
      <c r="AA108" s="71"/>
      <c r="AB108" s="71">
        <f>TRUNC(D108*J108,1)</f>
        <v>15961.6</v>
      </c>
      <c r="AC108" s="71"/>
      <c r="AD108" s="36" t="s">
        <v>834</v>
      </c>
    </row>
    <row r="109" spans="2:30" ht="19.7" customHeight="1">
      <c r="B109" s="67" t="s">
        <v>61</v>
      </c>
      <c r="C109" s="29" t="s">
        <v>467</v>
      </c>
      <c r="D109" s="373">
        <v>22</v>
      </c>
      <c r="E109" s="372"/>
      <c r="F109" s="372"/>
      <c r="G109" s="372"/>
      <c r="H109" s="63" t="s">
        <v>157</v>
      </c>
      <c r="I109" s="63" t="s">
        <v>699</v>
      </c>
      <c r="J109" s="372">
        <f>AB108</f>
        <v>15961.6</v>
      </c>
      <c r="K109" s="372"/>
      <c r="L109" s="372"/>
      <c r="M109" s="372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4">
        <f>AA109+AB109+AC109</f>
        <v>3511.5</v>
      </c>
      <c r="AA109" s="68"/>
      <c r="AB109" s="68">
        <f>TRUNC(D109/100*J109,1)</f>
        <v>3511.5</v>
      </c>
      <c r="AC109" s="68"/>
      <c r="AD109" s="32" t="s">
        <v>834</v>
      </c>
    </row>
    <row r="110" spans="2:30" ht="19.7" customHeight="1">
      <c r="B110" s="67" t="s">
        <v>177</v>
      </c>
      <c r="C110" s="29" t="s">
        <v>834</v>
      </c>
      <c r="D110" s="374">
        <v>1</v>
      </c>
      <c r="E110" s="372"/>
      <c r="F110" s="372"/>
      <c r="G110" s="63" t="s">
        <v>767</v>
      </c>
      <c r="H110" s="63" t="s">
        <v>699</v>
      </c>
      <c r="I110" s="372">
        <f>노임단가!F6</f>
        <v>283297</v>
      </c>
      <c r="J110" s="372"/>
      <c r="K110" s="372"/>
      <c r="L110" s="372"/>
      <c r="M110" s="63" t="s">
        <v>699</v>
      </c>
      <c r="N110" s="372" t="s">
        <v>570</v>
      </c>
      <c r="O110" s="372"/>
      <c r="P110" s="372"/>
      <c r="Q110" s="372"/>
      <c r="R110" s="372"/>
      <c r="S110" s="372"/>
      <c r="T110" s="372"/>
      <c r="U110" s="372"/>
      <c r="V110" s="372"/>
      <c r="W110" s="63"/>
      <c r="X110" s="63"/>
      <c r="Y110" s="63"/>
      <c r="Z110" s="64">
        <f>AA110+AB110+AC110</f>
        <v>59020.2</v>
      </c>
      <c r="AA110" s="68">
        <f>TRUNC(D110*I110*기계경비적용기준!E21,1)</f>
        <v>59020.2</v>
      </c>
      <c r="AB110" s="68"/>
      <c r="AC110" s="68"/>
      <c r="AD110" s="32" t="s">
        <v>834</v>
      </c>
    </row>
    <row r="111" spans="2:30" ht="19.7" customHeight="1">
      <c r="B111" s="67" t="s">
        <v>834</v>
      </c>
      <c r="C111" s="29" t="s">
        <v>834</v>
      </c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37"/>
      <c r="AA111" s="31"/>
      <c r="AB111" s="31"/>
      <c r="AC111" s="31"/>
      <c r="AD111" s="32" t="s">
        <v>834</v>
      </c>
    </row>
    <row r="112" spans="2:30" ht="19.7" customHeight="1">
      <c r="B112" s="61" t="s">
        <v>803</v>
      </c>
      <c r="C112" s="62" t="s">
        <v>46</v>
      </c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4">
        <f>AA112+AB112+AC112</f>
        <v>103047</v>
      </c>
      <c r="AA112" s="65">
        <f>TRUNC(AA113+AA114+AA115+AA116)</f>
        <v>59020</v>
      </c>
      <c r="AB112" s="65">
        <f>TRUNC(AB113+AB114+AB115+AB116)</f>
        <v>19473</v>
      </c>
      <c r="AC112" s="65">
        <f>TRUNC(AC113+AC114+AC115+AC116)</f>
        <v>24554</v>
      </c>
      <c r="AD112" s="66"/>
    </row>
    <row r="113" spans="2:30" ht="19.7" customHeight="1">
      <c r="B113" s="67" t="s">
        <v>239</v>
      </c>
      <c r="C113" s="29" t="s">
        <v>834</v>
      </c>
      <c r="D113" s="372">
        <v>117766000</v>
      </c>
      <c r="E113" s="372"/>
      <c r="F113" s="372"/>
      <c r="G113" s="372"/>
      <c r="H113" s="372"/>
      <c r="I113" s="372" t="s">
        <v>149</v>
      </c>
      <c r="J113" s="372"/>
      <c r="K113" s="372">
        <v>2085</v>
      </c>
      <c r="L113" s="372"/>
      <c r="M113" s="372"/>
      <c r="N113" s="63" t="s">
        <v>699</v>
      </c>
      <c r="O113" s="372" t="s">
        <v>745</v>
      </c>
      <c r="P113" s="372"/>
      <c r="Q113" s="372"/>
      <c r="R113" s="63"/>
      <c r="S113" s="63"/>
      <c r="T113" s="63"/>
      <c r="U113" s="63"/>
      <c r="V113" s="63"/>
      <c r="W113" s="63"/>
      <c r="X113" s="63"/>
      <c r="Y113" s="63"/>
      <c r="Z113" s="64">
        <f>AA113+AB113+AC113</f>
        <v>24554.2</v>
      </c>
      <c r="AA113" s="68"/>
      <c r="AB113" s="68"/>
      <c r="AC113" s="68">
        <f>TRUNC(D113*K113*0.0000001,1)</f>
        <v>24554.2</v>
      </c>
      <c r="AD113" s="32" t="s">
        <v>635</v>
      </c>
    </row>
    <row r="114" spans="2:30" ht="19.7" customHeight="1">
      <c r="B114" s="67" t="s">
        <v>688</v>
      </c>
      <c r="C114" s="29" t="s">
        <v>53</v>
      </c>
      <c r="D114" s="373">
        <v>11.6</v>
      </c>
      <c r="E114" s="372"/>
      <c r="F114" s="372"/>
      <c r="G114" s="372"/>
      <c r="H114" s="63" t="s">
        <v>660</v>
      </c>
      <c r="I114" s="63" t="s">
        <v>699</v>
      </c>
      <c r="J114" s="372">
        <f>자재단가!R6</f>
        <v>1376</v>
      </c>
      <c r="K114" s="372"/>
      <c r="L114" s="372"/>
      <c r="M114" s="372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4">
        <f>AA114+AB114+AC114</f>
        <v>15961.6</v>
      </c>
      <c r="AA114" s="68"/>
      <c r="AB114" s="68">
        <f>TRUNC(D114*J114,1)</f>
        <v>15961.6</v>
      </c>
      <c r="AC114" s="68"/>
      <c r="AD114" s="32" t="s">
        <v>834</v>
      </c>
    </row>
    <row r="115" spans="2:30" ht="19.7" customHeight="1">
      <c r="B115" s="67" t="s">
        <v>61</v>
      </c>
      <c r="C115" s="29" t="s">
        <v>467</v>
      </c>
      <c r="D115" s="373">
        <v>22</v>
      </c>
      <c r="E115" s="372"/>
      <c r="F115" s="372"/>
      <c r="G115" s="372"/>
      <c r="H115" s="63" t="s">
        <v>157</v>
      </c>
      <c r="I115" s="63" t="s">
        <v>699</v>
      </c>
      <c r="J115" s="372">
        <f>AB114</f>
        <v>15961.6</v>
      </c>
      <c r="K115" s="372"/>
      <c r="L115" s="372"/>
      <c r="M115" s="372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4">
        <f>AA115+AB115+AC115</f>
        <v>3511.5</v>
      </c>
      <c r="AA115" s="68"/>
      <c r="AB115" s="68">
        <f>TRUNC(D115/100*J115,1)</f>
        <v>3511.5</v>
      </c>
      <c r="AC115" s="68"/>
      <c r="AD115" s="32" t="s">
        <v>834</v>
      </c>
    </row>
    <row r="116" spans="2:30" ht="19.7" customHeight="1">
      <c r="B116" s="67" t="s">
        <v>177</v>
      </c>
      <c r="C116" s="29" t="s">
        <v>834</v>
      </c>
      <c r="D116" s="374">
        <v>1</v>
      </c>
      <c r="E116" s="372"/>
      <c r="F116" s="372"/>
      <c r="G116" s="63" t="s">
        <v>767</v>
      </c>
      <c r="H116" s="63" t="s">
        <v>699</v>
      </c>
      <c r="I116" s="372">
        <f>노임단가!F6</f>
        <v>283297</v>
      </c>
      <c r="J116" s="372"/>
      <c r="K116" s="372"/>
      <c r="L116" s="372"/>
      <c r="M116" s="63" t="s">
        <v>699</v>
      </c>
      <c r="N116" s="372" t="s">
        <v>570</v>
      </c>
      <c r="O116" s="372"/>
      <c r="P116" s="372"/>
      <c r="Q116" s="372"/>
      <c r="R116" s="372"/>
      <c r="S116" s="372"/>
      <c r="T116" s="372"/>
      <c r="U116" s="372"/>
      <c r="V116" s="372"/>
      <c r="W116" s="63"/>
      <c r="X116" s="63"/>
      <c r="Y116" s="63"/>
      <c r="Z116" s="64">
        <f>AA116+AB116+AC116</f>
        <v>59020.2</v>
      </c>
      <c r="AA116" s="68">
        <f>TRUNC(D116*I116*기계경비적용기준!E21,1)</f>
        <v>59020.2</v>
      </c>
      <c r="AB116" s="68"/>
      <c r="AC116" s="68"/>
      <c r="AD116" s="32" t="s">
        <v>834</v>
      </c>
    </row>
    <row r="117" spans="2:30" ht="19.7" customHeight="1">
      <c r="B117" s="69" t="s">
        <v>834</v>
      </c>
      <c r="C117" s="34" t="s">
        <v>834</v>
      </c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1"/>
      <c r="AA117" s="22"/>
      <c r="AB117" s="22"/>
      <c r="AC117" s="22"/>
      <c r="AD117" s="36" t="s">
        <v>834</v>
      </c>
    </row>
    <row r="118" spans="2:30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</sheetData>
  <mergeCells count="214">
    <mergeCell ref="D115:G115"/>
    <mergeCell ref="J115:M115"/>
    <mergeCell ref="D116:F116"/>
    <mergeCell ref="I116:L116"/>
    <mergeCell ref="N116:V116"/>
    <mergeCell ref="N110:V110"/>
    <mergeCell ref="D113:H113"/>
    <mergeCell ref="I113:J113"/>
    <mergeCell ref="K113:M113"/>
    <mergeCell ref="O113:Q113"/>
    <mergeCell ref="D107:H107"/>
    <mergeCell ref="I107:J107"/>
    <mergeCell ref="K107:M107"/>
    <mergeCell ref="O107:Q107"/>
    <mergeCell ref="D114:G114"/>
    <mergeCell ref="J114:M114"/>
    <mergeCell ref="D108:G108"/>
    <mergeCell ref="J108:M108"/>
    <mergeCell ref="D109:G109"/>
    <mergeCell ref="J109:M109"/>
    <mergeCell ref="D110:F110"/>
    <mergeCell ref="I110:L110"/>
    <mergeCell ref="D101:G101"/>
    <mergeCell ref="J101:M101"/>
    <mergeCell ref="D102:G102"/>
    <mergeCell ref="J102:M102"/>
    <mergeCell ref="D103:F103"/>
    <mergeCell ref="I103:L103"/>
    <mergeCell ref="N103:V103"/>
    <mergeCell ref="D104:F104"/>
    <mergeCell ref="I104:L104"/>
    <mergeCell ref="N104:V104"/>
    <mergeCell ref="D96:G96"/>
    <mergeCell ref="J96:M96"/>
    <mergeCell ref="D97:F97"/>
    <mergeCell ref="I97:L97"/>
    <mergeCell ref="N97:V97"/>
    <mergeCell ref="D100:H100"/>
    <mergeCell ref="I100:J100"/>
    <mergeCell ref="K100:M100"/>
    <mergeCell ref="O100:Q100"/>
    <mergeCell ref="D91:F91"/>
    <mergeCell ref="I91:L91"/>
    <mergeCell ref="N91:V91"/>
    <mergeCell ref="D94:H94"/>
    <mergeCell ref="I94:J94"/>
    <mergeCell ref="K94:M94"/>
    <mergeCell ref="O94:Q94"/>
    <mergeCell ref="D95:G95"/>
    <mergeCell ref="J95:M95"/>
    <mergeCell ref="D85:G85"/>
    <mergeCell ref="J85:M85"/>
    <mergeCell ref="D86:G86"/>
    <mergeCell ref="J86:M86"/>
    <mergeCell ref="D87:F87"/>
    <mergeCell ref="I87:L87"/>
    <mergeCell ref="N87:V87"/>
    <mergeCell ref="D90:H90"/>
    <mergeCell ref="I90:J90"/>
    <mergeCell ref="K90:M90"/>
    <mergeCell ref="O90:Q90"/>
    <mergeCell ref="D79:G79"/>
    <mergeCell ref="J79:M79"/>
    <mergeCell ref="D80:G80"/>
    <mergeCell ref="J80:M80"/>
    <mergeCell ref="D81:F81"/>
    <mergeCell ref="I81:L81"/>
    <mergeCell ref="N81:V81"/>
    <mergeCell ref="D84:H84"/>
    <mergeCell ref="I84:J84"/>
    <mergeCell ref="K84:M84"/>
    <mergeCell ref="O84:Q84"/>
    <mergeCell ref="D73:G73"/>
    <mergeCell ref="J73:M73"/>
    <mergeCell ref="D74:G74"/>
    <mergeCell ref="J74:M74"/>
    <mergeCell ref="D75:F75"/>
    <mergeCell ref="I75:L75"/>
    <mergeCell ref="N75:V75"/>
    <mergeCell ref="D78:H78"/>
    <mergeCell ref="I78:J78"/>
    <mergeCell ref="K78:M78"/>
    <mergeCell ref="O78:Q78"/>
    <mergeCell ref="D67:G67"/>
    <mergeCell ref="J67:M67"/>
    <mergeCell ref="D68:G68"/>
    <mergeCell ref="J68:M68"/>
    <mergeCell ref="D69:F69"/>
    <mergeCell ref="I69:L69"/>
    <mergeCell ref="N69:V69"/>
    <mergeCell ref="D72:H72"/>
    <mergeCell ref="I72:J72"/>
    <mergeCell ref="K72:M72"/>
    <mergeCell ref="O72:Q72"/>
    <mergeCell ref="D61:G61"/>
    <mergeCell ref="J61:M61"/>
    <mergeCell ref="D62:G62"/>
    <mergeCell ref="J62:M62"/>
    <mergeCell ref="D63:F63"/>
    <mergeCell ref="I63:L63"/>
    <mergeCell ref="N63:V63"/>
    <mergeCell ref="D66:H66"/>
    <mergeCell ref="I66:J66"/>
    <mergeCell ref="K66:M66"/>
    <mergeCell ref="O66:Q66"/>
    <mergeCell ref="D55:G55"/>
    <mergeCell ref="J55:M55"/>
    <mergeCell ref="D56:G56"/>
    <mergeCell ref="J56:M56"/>
    <mergeCell ref="D57:F57"/>
    <mergeCell ref="I57:L57"/>
    <mergeCell ref="N57:V57"/>
    <mergeCell ref="D60:H60"/>
    <mergeCell ref="I60:J60"/>
    <mergeCell ref="K60:M60"/>
    <mergeCell ref="O60:Q60"/>
    <mergeCell ref="D49:G49"/>
    <mergeCell ref="J49:M49"/>
    <mergeCell ref="D50:G50"/>
    <mergeCell ref="J50:M50"/>
    <mergeCell ref="D51:F51"/>
    <mergeCell ref="I51:L51"/>
    <mergeCell ref="N51:V51"/>
    <mergeCell ref="D54:H54"/>
    <mergeCell ref="I54:J54"/>
    <mergeCell ref="K54:M54"/>
    <mergeCell ref="O54:Q54"/>
    <mergeCell ref="D43:G43"/>
    <mergeCell ref="J43:M43"/>
    <mergeCell ref="D44:G44"/>
    <mergeCell ref="J44:M44"/>
    <mergeCell ref="D45:F45"/>
    <mergeCell ref="I45:L45"/>
    <mergeCell ref="N45:V45"/>
    <mergeCell ref="D48:H48"/>
    <mergeCell ref="I48:J48"/>
    <mergeCell ref="K48:M48"/>
    <mergeCell ref="O48:Q48"/>
    <mergeCell ref="D37:G37"/>
    <mergeCell ref="J37:M37"/>
    <mergeCell ref="D38:G38"/>
    <mergeCell ref="J38:M38"/>
    <mergeCell ref="D39:F39"/>
    <mergeCell ref="I39:L39"/>
    <mergeCell ref="N39:V39"/>
    <mergeCell ref="D42:H42"/>
    <mergeCell ref="I42:J42"/>
    <mergeCell ref="K42:M42"/>
    <mergeCell ref="O42:Q42"/>
    <mergeCell ref="D31:G31"/>
    <mergeCell ref="J31:M31"/>
    <mergeCell ref="D32:G32"/>
    <mergeCell ref="J32:M32"/>
    <mergeCell ref="D33:F33"/>
    <mergeCell ref="I33:L33"/>
    <mergeCell ref="N33:V33"/>
    <mergeCell ref="D36:H36"/>
    <mergeCell ref="I36:J36"/>
    <mergeCell ref="K36:M36"/>
    <mergeCell ref="O36:Q36"/>
    <mergeCell ref="D25:G25"/>
    <mergeCell ref="J25:M25"/>
    <mergeCell ref="D26:G26"/>
    <mergeCell ref="J26:M26"/>
    <mergeCell ref="D27:F27"/>
    <mergeCell ref="I27:L27"/>
    <mergeCell ref="N27:V27"/>
    <mergeCell ref="D30:H30"/>
    <mergeCell ref="I30:J30"/>
    <mergeCell ref="K30:M30"/>
    <mergeCell ref="O30:Q30"/>
    <mergeCell ref="D19:G19"/>
    <mergeCell ref="J19:M19"/>
    <mergeCell ref="D20:G20"/>
    <mergeCell ref="J20:M20"/>
    <mergeCell ref="D21:F21"/>
    <mergeCell ref="I21:L21"/>
    <mergeCell ref="N21:V21"/>
    <mergeCell ref="D24:H24"/>
    <mergeCell ref="I24:J24"/>
    <mergeCell ref="K24:M24"/>
    <mergeCell ref="O24:Q24"/>
    <mergeCell ref="D13:G13"/>
    <mergeCell ref="J13:M13"/>
    <mergeCell ref="D14:G14"/>
    <mergeCell ref="J14:M14"/>
    <mergeCell ref="D15:F15"/>
    <mergeCell ref="I15:L15"/>
    <mergeCell ref="N15:V15"/>
    <mergeCell ref="D18:H18"/>
    <mergeCell ref="I18:J18"/>
    <mergeCell ref="K18:M18"/>
    <mergeCell ref="O18:Q18"/>
    <mergeCell ref="D8:F8"/>
    <mergeCell ref="I8:L8"/>
    <mergeCell ref="N8:V8"/>
    <mergeCell ref="D11:H11"/>
    <mergeCell ref="I11:J11"/>
    <mergeCell ref="K11:M11"/>
    <mergeCell ref="O11:Q11"/>
    <mergeCell ref="D12:H12"/>
    <mergeCell ref="I12:J12"/>
    <mergeCell ref="K12:M12"/>
    <mergeCell ref="O12:Q12"/>
    <mergeCell ref="D3:Y3"/>
    <mergeCell ref="B1:AD2"/>
    <mergeCell ref="D5:H5"/>
    <mergeCell ref="I5:J5"/>
    <mergeCell ref="K5:M5"/>
    <mergeCell ref="O5:Q5"/>
    <mergeCell ref="D6:G6"/>
    <mergeCell ref="J6:M6"/>
    <mergeCell ref="D7:G7"/>
    <mergeCell ref="J7:M7"/>
  </mergeCells>
  <phoneticPr fontId="8" type="noConversion"/>
  <pageMargins left="0.78740157480314965" right="7.874015748031496E-2" top="0.6692913385826772" bottom="0.59055118110236215" header="0.5" footer="0.5"/>
  <pageSetup paperSize="9" scale="85" orientation="landscape" copies="0"/>
  <headerFooter alignWithMargins="0"/>
  <rowBreaks count="4" manualBreakCount="4">
    <brk id="30" min="2" max="30" man="1"/>
    <brk id="56" min="2" max="30" man="1"/>
    <brk id="82" min="2" max="30" man="1"/>
    <brk id="108" min="2" max="30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4B58-4C20-4895-8137-373D9845F39B}">
  <dimension ref="B1:N31"/>
  <sheetViews>
    <sheetView workbookViewId="0">
      <selection activeCell="A4" sqref="A4"/>
    </sheetView>
  </sheetViews>
  <sheetFormatPr defaultRowHeight="12.75"/>
  <cols>
    <col min="1" max="1" width="0.7109375" customWidth="1"/>
    <col min="2" max="2" width="2.140625" customWidth="1"/>
    <col min="3" max="3" width="10.42578125" customWidth="1"/>
    <col min="4" max="5" width="25" customWidth="1"/>
    <col min="6" max="6" width="2.140625" customWidth="1"/>
    <col min="7" max="7" width="4.140625" customWidth="1"/>
    <col min="8" max="8" width="16.5703125" customWidth="1"/>
    <col min="9" max="9" width="12.42578125" customWidth="1"/>
    <col min="10" max="10" width="6.28515625" customWidth="1"/>
    <col min="11" max="11" width="16.5703125" customWidth="1"/>
    <col min="12" max="12" width="2.140625" customWidth="1"/>
  </cols>
  <sheetData>
    <row r="1" spans="2:14" ht="24.95" customHeight="1">
      <c r="B1" s="343" t="s">
        <v>525</v>
      </c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8"/>
      <c r="N1" s="38"/>
    </row>
    <row r="2" spans="2:14" ht="9.9499999999999993" customHeight="1"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</row>
    <row r="3" spans="2:14" ht="30" customHeight="1">
      <c r="B3" s="57"/>
      <c r="C3" s="56"/>
      <c r="D3" s="56"/>
      <c r="E3" s="56"/>
      <c r="F3" s="56"/>
      <c r="G3" s="56"/>
      <c r="H3" s="56"/>
      <c r="I3" s="56"/>
      <c r="J3" s="56"/>
      <c r="K3" s="56"/>
      <c r="L3" s="58"/>
    </row>
    <row r="4" spans="2:14" ht="16.5">
      <c r="B4" s="14"/>
      <c r="C4" s="380" t="s">
        <v>738</v>
      </c>
      <c r="D4" s="380"/>
      <c r="E4" s="380"/>
      <c r="G4" s="380" t="s">
        <v>112</v>
      </c>
      <c r="H4" s="380"/>
      <c r="I4" s="380"/>
      <c r="L4" s="12"/>
    </row>
    <row r="5" spans="2:14" ht="7.5" customHeight="1">
      <c r="B5" s="14"/>
      <c r="L5" s="12"/>
    </row>
    <row r="6" spans="2:14" ht="19.7" customHeight="1">
      <c r="B6" s="14"/>
      <c r="C6" s="40" t="s">
        <v>114</v>
      </c>
      <c r="D6" s="40" t="s">
        <v>124</v>
      </c>
      <c r="E6" s="40" t="s">
        <v>10</v>
      </c>
      <c r="F6" s="44"/>
      <c r="G6" s="40" t="s">
        <v>197</v>
      </c>
      <c r="H6" s="40" t="s">
        <v>447</v>
      </c>
      <c r="I6" s="40" t="s">
        <v>2</v>
      </c>
      <c r="J6" s="40" t="s">
        <v>294</v>
      </c>
      <c r="K6" s="40" t="s">
        <v>3</v>
      </c>
      <c r="L6" s="59"/>
    </row>
    <row r="7" spans="2:14" ht="15.95" customHeight="1">
      <c r="B7" s="14"/>
      <c r="C7" s="41" t="s">
        <v>553</v>
      </c>
      <c r="D7" s="43">
        <v>1436.7</v>
      </c>
      <c r="E7" s="41" t="s">
        <v>763</v>
      </c>
      <c r="F7" s="44"/>
      <c r="G7" s="45" t="s">
        <v>782</v>
      </c>
      <c r="H7" s="41" t="s">
        <v>53</v>
      </c>
      <c r="I7" s="41" t="s">
        <v>834</v>
      </c>
      <c r="J7" s="40" t="s">
        <v>660</v>
      </c>
      <c r="K7" s="46">
        <f>자재단가!R6</f>
        <v>1376</v>
      </c>
      <c r="L7" s="59"/>
    </row>
    <row r="8" spans="2:14" ht="15.95" customHeight="1">
      <c r="B8" s="14"/>
      <c r="C8" s="41" t="s">
        <v>138</v>
      </c>
      <c r="D8" s="43">
        <v>924.01</v>
      </c>
      <c r="E8" s="41" t="s">
        <v>763</v>
      </c>
      <c r="F8" s="44"/>
      <c r="G8" s="42"/>
      <c r="H8" s="42"/>
      <c r="I8" s="42"/>
      <c r="J8" s="42"/>
      <c r="K8" s="42"/>
      <c r="L8" s="59"/>
    </row>
    <row r="9" spans="2:14" ht="15.95" customHeight="1">
      <c r="B9" s="14"/>
      <c r="C9" s="41" t="s">
        <v>118</v>
      </c>
      <c r="D9" s="43">
        <v>1701.2</v>
      </c>
      <c r="E9" s="41" t="s">
        <v>763</v>
      </c>
      <c r="F9" s="44"/>
      <c r="G9" s="42"/>
      <c r="H9" s="42"/>
      <c r="I9" s="42"/>
      <c r="J9" s="42"/>
      <c r="K9" s="42"/>
      <c r="L9" s="59"/>
    </row>
    <row r="10" spans="2:14" ht="15.95" customHeight="1">
      <c r="B10" s="14"/>
      <c r="C10" s="41" t="s">
        <v>588</v>
      </c>
      <c r="D10" s="42"/>
      <c r="E10" s="41" t="s">
        <v>834</v>
      </c>
      <c r="F10" s="44"/>
      <c r="G10" s="42"/>
      <c r="H10" s="42"/>
      <c r="I10" s="42"/>
      <c r="J10" s="42"/>
      <c r="K10" s="42"/>
      <c r="L10" s="59"/>
    </row>
    <row r="11" spans="2:14" ht="15.95" customHeight="1">
      <c r="B11" s="14"/>
      <c r="C11" s="41" t="s">
        <v>833</v>
      </c>
      <c r="D11" s="43">
        <v>1963.18</v>
      </c>
      <c r="E11" s="41" t="s">
        <v>763</v>
      </c>
      <c r="F11" s="44"/>
      <c r="G11" s="42"/>
      <c r="H11" s="42"/>
      <c r="I11" s="42"/>
      <c r="J11" s="42"/>
      <c r="K11" s="42"/>
      <c r="L11" s="59"/>
    </row>
    <row r="12" spans="2:14" ht="15.95" customHeight="1">
      <c r="B12" s="14"/>
      <c r="C12" s="41" t="s">
        <v>834</v>
      </c>
      <c r="D12" s="42"/>
      <c r="E12" s="41" t="s">
        <v>834</v>
      </c>
      <c r="F12" s="44"/>
      <c r="G12" s="42"/>
      <c r="H12" s="42"/>
      <c r="I12" s="42"/>
      <c r="J12" s="42"/>
      <c r="K12" s="42"/>
      <c r="L12" s="59"/>
    </row>
    <row r="13" spans="2:14" ht="15.95" customHeight="1">
      <c r="B13" s="14"/>
      <c r="C13" s="42"/>
      <c r="D13" s="42"/>
      <c r="E13" s="42"/>
      <c r="F13" s="44"/>
      <c r="G13" s="42"/>
      <c r="H13" s="42"/>
      <c r="I13" s="42"/>
      <c r="J13" s="42"/>
      <c r="K13" s="42"/>
      <c r="L13" s="59"/>
    </row>
    <row r="14" spans="2:14" ht="15.95" customHeight="1">
      <c r="B14" s="14"/>
      <c r="C14" s="42"/>
      <c r="D14" s="42"/>
      <c r="E14" s="42"/>
      <c r="F14" s="44"/>
      <c r="G14" s="42"/>
      <c r="H14" s="42"/>
      <c r="I14" s="42"/>
      <c r="J14" s="42"/>
      <c r="K14" s="42"/>
      <c r="L14" s="59"/>
    </row>
    <row r="15" spans="2:14" ht="15.95" customHeight="1">
      <c r="B15" s="14"/>
      <c r="C15" s="42"/>
      <c r="D15" s="42"/>
      <c r="E15" s="42"/>
      <c r="F15" s="44"/>
      <c r="G15" s="42"/>
      <c r="H15" s="42"/>
      <c r="I15" s="42"/>
      <c r="J15" s="42"/>
      <c r="K15" s="42"/>
      <c r="L15" s="59"/>
    </row>
    <row r="16" spans="2:14" ht="15.95" customHeight="1">
      <c r="B16" s="14"/>
      <c r="C16" s="42"/>
      <c r="D16" s="42"/>
      <c r="E16" s="42"/>
      <c r="F16" s="44"/>
      <c r="G16" s="42"/>
      <c r="H16" s="42"/>
      <c r="I16" s="42"/>
      <c r="J16" s="42"/>
      <c r="K16" s="42"/>
      <c r="L16" s="59"/>
    </row>
    <row r="17" spans="2:12" ht="30" customHeight="1">
      <c r="B17" s="14"/>
      <c r="C17" s="39"/>
      <c r="D17" s="39"/>
      <c r="E17" s="39"/>
      <c r="G17" s="39"/>
      <c r="H17" s="39"/>
      <c r="I17" s="39"/>
      <c r="J17" s="39"/>
      <c r="K17" s="39"/>
      <c r="L17" s="12"/>
    </row>
    <row r="18" spans="2:12" ht="16.5">
      <c r="B18" s="14"/>
      <c r="C18" s="380" t="s">
        <v>150</v>
      </c>
      <c r="D18" s="380"/>
      <c r="E18" s="380"/>
      <c r="G18" s="380" t="s">
        <v>427</v>
      </c>
      <c r="H18" s="380"/>
      <c r="I18" s="380"/>
      <c r="L18" s="12"/>
    </row>
    <row r="19" spans="2:12" ht="7.5" customHeight="1">
      <c r="B19" s="14"/>
      <c r="L19" s="12"/>
    </row>
    <row r="20" spans="2:12" ht="19.7" customHeight="1">
      <c r="B20" s="14"/>
      <c r="C20" s="40" t="s">
        <v>197</v>
      </c>
      <c r="D20" s="40" t="s">
        <v>150</v>
      </c>
      <c r="E20" s="40" t="s">
        <v>514</v>
      </c>
      <c r="F20" s="44"/>
      <c r="G20" s="40"/>
      <c r="H20" s="49"/>
      <c r="I20" s="49"/>
      <c r="J20" s="49"/>
      <c r="K20" s="51"/>
      <c r="L20" s="12"/>
    </row>
    <row r="21" spans="2:12" ht="15.95" customHeight="1">
      <c r="B21" s="14"/>
      <c r="C21" s="45" t="s">
        <v>225</v>
      </c>
      <c r="D21" s="41" t="s">
        <v>570</v>
      </c>
      <c r="E21" s="43">
        <f>1/8*16/12*25/20</f>
        <v>0.20833333333333331</v>
      </c>
      <c r="F21" s="44"/>
      <c r="G21" s="50"/>
      <c r="H21" s="48"/>
      <c r="I21" s="48"/>
      <c r="J21" s="48"/>
      <c r="K21" s="52"/>
      <c r="L21" s="12"/>
    </row>
    <row r="22" spans="2:12" ht="15.95" customHeight="1">
      <c r="B22" s="14"/>
      <c r="C22" s="45" t="s">
        <v>782</v>
      </c>
      <c r="D22" s="41" t="s">
        <v>510</v>
      </c>
      <c r="E22" s="43">
        <f>1/8*16/12*25/20*24/15</f>
        <v>0.33333333333333331</v>
      </c>
      <c r="F22" s="44"/>
      <c r="G22" s="377" t="s">
        <v>717</v>
      </c>
      <c r="H22" s="378"/>
      <c r="I22" s="378"/>
      <c r="J22" s="378"/>
      <c r="K22" s="379"/>
      <c r="L22" s="12"/>
    </row>
    <row r="23" spans="2:12" ht="15.95" customHeight="1">
      <c r="B23" s="14"/>
      <c r="C23" s="45" t="s">
        <v>312</v>
      </c>
      <c r="D23" s="41" t="s">
        <v>96</v>
      </c>
      <c r="E23" s="43">
        <f>1/8*16/12*25/20*12/10</f>
        <v>0.25</v>
      </c>
      <c r="F23" s="44"/>
      <c r="G23" s="50"/>
      <c r="H23" s="48"/>
      <c r="I23" s="48"/>
      <c r="J23" s="48"/>
      <c r="K23" s="52"/>
      <c r="L23" s="12"/>
    </row>
    <row r="24" spans="2:12" ht="15.95" customHeight="1">
      <c r="B24" s="14"/>
      <c r="C24" s="45" t="s">
        <v>644</v>
      </c>
      <c r="D24" s="41" t="s">
        <v>674</v>
      </c>
      <c r="E24" s="43">
        <f>1/8*16/12*25/20*14/12</f>
        <v>0.24305555555555555</v>
      </c>
      <c r="F24" s="44"/>
      <c r="G24" s="377" t="s">
        <v>36</v>
      </c>
      <c r="H24" s="378"/>
      <c r="I24" s="378"/>
      <c r="J24" s="378"/>
      <c r="K24" s="379"/>
      <c r="L24" s="12"/>
    </row>
    <row r="25" spans="2:12" ht="15.95" customHeight="1">
      <c r="B25" s="14"/>
      <c r="C25" s="45" t="s">
        <v>253</v>
      </c>
      <c r="D25" s="41" t="s">
        <v>310</v>
      </c>
      <c r="E25" s="47">
        <f>1/8*16/12*25/20*24/5</f>
        <v>1</v>
      </c>
      <c r="F25" s="44"/>
      <c r="G25" s="50"/>
      <c r="H25" s="48"/>
      <c r="I25" s="48"/>
      <c r="J25" s="48"/>
      <c r="K25" s="52"/>
      <c r="L25" s="12"/>
    </row>
    <row r="26" spans="2:12" ht="15.95" customHeight="1">
      <c r="B26" s="14"/>
      <c r="C26" s="42"/>
      <c r="D26" s="42"/>
      <c r="E26" s="42"/>
      <c r="F26" s="44"/>
      <c r="G26" s="377" t="s">
        <v>220</v>
      </c>
      <c r="H26" s="378"/>
      <c r="I26" s="378"/>
      <c r="J26" s="378"/>
      <c r="K26" s="379"/>
      <c r="L26" s="12"/>
    </row>
    <row r="27" spans="2:12" ht="15.95" customHeight="1">
      <c r="B27" s="14"/>
      <c r="C27" s="42"/>
      <c r="D27" s="42"/>
      <c r="E27" s="42"/>
      <c r="F27" s="44"/>
      <c r="G27" s="50"/>
      <c r="H27" s="48"/>
      <c r="I27" s="48"/>
      <c r="J27" s="48"/>
      <c r="K27" s="52"/>
      <c r="L27" s="12"/>
    </row>
    <row r="28" spans="2:12" ht="15.95" customHeight="1">
      <c r="B28" s="14"/>
      <c r="C28" s="42"/>
      <c r="D28" s="42"/>
      <c r="E28" s="42"/>
      <c r="F28" s="44"/>
      <c r="G28" s="50"/>
      <c r="H28" s="48"/>
      <c r="I28" s="48"/>
      <c r="J28" s="48"/>
      <c r="K28" s="52"/>
      <c r="L28" s="12"/>
    </row>
    <row r="29" spans="2:12" ht="15.95" customHeight="1">
      <c r="B29" s="14"/>
      <c r="C29" s="42"/>
      <c r="D29" s="42"/>
      <c r="E29" s="42"/>
      <c r="F29" s="44"/>
      <c r="G29" s="50"/>
      <c r="H29" s="48"/>
      <c r="I29" s="48"/>
      <c r="J29" s="48"/>
      <c r="K29" s="52"/>
      <c r="L29" s="12"/>
    </row>
    <row r="30" spans="2:12" ht="15.95" customHeight="1">
      <c r="B30" s="14"/>
      <c r="C30" s="42"/>
      <c r="D30" s="42"/>
      <c r="E30" s="42"/>
      <c r="F30" s="44"/>
      <c r="G30" s="53"/>
      <c r="H30" s="54"/>
      <c r="I30" s="54"/>
      <c r="J30" s="54"/>
      <c r="K30" s="55"/>
      <c r="L30" s="12"/>
    </row>
    <row r="31" spans="2:12" ht="15" customHeight="1">
      <c r="B31" s="15"/>
      <c r="C31" s="60"/>
      <c r="D31" s="60"/>
      <c r="E31" s="60"/>
      <c r="F31" s="11"/>
      <c r="G31" s="11"/>
      <c r="H31" s="11"/>
      <c r="I31" s="11"/>
      <c r="J31" s="11"/>
      <c r="K31" s="11"/>
      <c r="L31" s="13"/>
    </row>
  </sheetData>
  <mergeCells count="8">
    <mergeCell ref="G24:K24"/>
    <mergeCell ref="G26:K26"/>
    <mergeCell ref="B1:L2"/>
    <mergeCell ref="C4:E4"/>
    <mergeCell ref="G4:I4"/>
    <mergeCell ref="C18:E18"/>
    <mergeCell ref="G18:I18"/>
    <mergeCell ref="G22:K22"/>
  </mergeCells>
  <phoneticPr fontId="8" type="noConversion"/>
  <pageMargins left="0.78740157480314965" right="7.874015748031496E-2" top="0.6692913385826772" bottom="0.59055118110236215" header="0.5" footer="0.5"/>
  <pageSetup paperSize="9" orientation="landscape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BCC7-DB52-4F13-B9D6-ACED56CF2A84}">
  <dimension ref="B1:AC37"/>
  <sheetViews>
    <sheetView workbookViewId="0">
      <pane ySplit="4" topLeftCell="A5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3.5703125" customWidth="1"/>
    <col min="3" max="3" width="20.42578125" customWidth="1"/>
    <col min="4" max="4" width="21.7109375" customWidth="1"/>
    <col min="5" max="5" width="4.28515625" customWidth="1"/>
    <col min="6" max="6" width="7.42578125" customWidth="1"/>
    <col min="7" max="7" width="7.140625" customWidth="1"/>
    <col min="8" max="8" width="5.42578125" customWidth="1"/>
    <col min="9" max="9" width="10.5703125" customWidth="1"/>
    <col min="10" max="10" width="8" customWidth="1"/>
    <col min="11" max="11" width="6.42578125" customWidth="1"/>
    <col min="12" max="12" width="8" customWidth="1"/>
    <col min="13" max="13" width="6.42578125" customWidth="1"/>
    <col min="14" max="14" width="7.42578125" customWidth="1"/>
    <col min="15" max="17" width="6.42578125" customWidth="1"/>
    <col min="18" max="18" width="8.28515625" customWidth="1"/>
    <col min="19" max="19" width="10.140625" customWidth="1"/>
  </cols>
  <sheetData>
    <row r="1" spans="2:29" ht="24.95" customHeight="1">
      <c r="B1" s="343" t="s">
        <v>271</v>
      </c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</row>
    <row r="2" spans="2:29" ht="9.9499999999999993" customHeight="1"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</row>
    <row r="3" spans="2:29" ht="15.4" customHeight="1">
      <c r="B3" s="366" t="s">
        <v>197</v>
      </c>
      <c r="C3" s="368" t="s">
        <v>795</v>
      </c>
      <c r="D3" s="368" t="s">
        <v>649</v>
      </c>
      <c r="E3" s="368" t="s">
        <v>294</v>
      </c>
      <c r="F3" s="361" t="s">
        <v>379</v>
      </c>
      <c r="G3" s="362"/>
      <c r="H3" s="361" t="s">
        <v>792</v>
      </c>
      <c r="I3" s="362"/>
      <c r="J3" s="361" t="s">
        <v>608</v>
      </c>
      <c r="K3" s="362"/>
      <c r="L3" s="361" t="s">
        <v>101</v>
      </c>
      <c r="M3" s="362"/>
      <c r="N3" s="361" t="s">
        <v>254</v>
      </c>
      <c r="O3" s="362"/>
      <c r="P3" s="361" t="s">
        <v>214</v>
      </c>
      <c r="Q3" s="362"/>
      <c r="R3" s="368" t="s">
        <v>686</v>
      </c>
      <c r="S3" s="363" t="s">
        <v>133</v>
      </c>
      <c r="Z3" t="s">
        <v>511</v>
      </c>
      <c r="AA3" t="s">
        <v>578</v>
      </c>
      <c r="AB3" t="s">
        <v>824</v>
      </c>
      <c r="AC3" t="s">
        <v>540</v>
      </c>
    </row>
    <row r="4" spans="2:29" ht="19.7" customHeight="1">
      <c r="B4" s="367"/>
      <c r="C4" s="369"/>
      <c r="D4" s="369"/>
      <c r="E4" s="369"/>
      <c r="F4" s="26" t="s">
        <v>3</v>
      </c>
      <c r="G4" s="25" t="s">
        <v>721</v>
      </c>
      <c r="H4" s="26" t="s">
        <v>3</v>
      </c>
      <c r="I4" s="25" t="s">
        <v>721</v>
      </c>
      <c r="J4" s="26" t="s">
        <v>3</v>
      </c>
      <c r="K4" s="25" t="s">
        <v>721</v>
      </c>
      <c r="L4" s="26" t="s">
        <v>3</v>
      </c>
      <c r="M4" s="25" t="s">
        <v>721</v>
      </c>
      <c r="N4" s="26" t="s">
        <v>3</v>
      </c>
      <c r="O4" s="25" t="s">
        <v>721</v>
      </c>
      <c r="P4" s="26" t="s">
        <v>3</v>
      </c>
      <c r="Q4" s="25" t="s">
        <v>721</v>
      </c>
      <c r="R4" s="369"/>
      <c r="S4" s="364"/>
    </row>
    <row r="5" spans="2:29" ht="19.7" customHeight="1">
      <c r="B5" s="28" t="s">
        <v>225</v>
      </c>
      <c r="C5" s="29" t="s">
        <v>374</v>
      </c>
      <c r="D5" s="29" t="s">
        <v>432</v>
      </c>
      <c r="E5" s="30" t="s">
        <v>497</v>
      </c>
      <c r="F5" s="37"/>
      <c r="G5" s="29" t="s">
        <v>834</v>
      </c>
      <c r="H5" s="37"/>
      <c r="I5" s="29" t="s">
        <v>834</v>
      </c>
      <c r="J5" s="37"/>
      <c r="K5" s="29" t="s">
        <v>834</v>
      </c>
      <c r="L5" s="37">
        <v>6000</v>
      </c>
      <c r="M5" s="29" t="s">
        <v>642</v>
      </c>
      <c r="N5" s="37"/>
      <c r="O5" s="29" t="s">
        <v>834</v>
      </c>
      <c r="P5" s="37"/>
      <c r="Q5" s="29" t="s">
        <v>834</v>
      </c>
      <c r="R5" s="31">
        <f t="shared" ref="R5:R36" si="0">MIN(F5,H5,J5,L5,N5,P5)</f>
        <v>6000</v>
      </c>
      <c r="S5" s="32" t="s">
        <v>834</v>
      </c>
      <c r="Z5" s="27">
        <v>6000</v>
      </c>
    </row>
    <row r="6" spans="2:29" ht="19.7" customHeight="1">
      <c r="B6" s="28" t="s">
        <v>782</v>
      </c>
      <c r="C6" s="29" t="s">
        <v>53</v>
      </c>
      <c r="D6" s="29" t="s">
        <v>834</v>
      </c>
      <c r="E6" s="30" t="s">
        <v>660</v>
      </c>
      <c r="F6" s="37">
        <v>1376</v>
      </c>
      <c r="G6" s="29" t="s">
        <v>287</v>
      </c>
      <c r="H6" s="37"/>
      <c r="I6" s="29" t="s">
        <v>834</v>
      </c>
      <c r="J6" s="37"/>
      <c r="K6" s="29" t="s">
        <v>834</v>
      </c>
      <c r="L6" s="37"/>
      <c r="M6" s="29" t="s">
        <v>834</v>
      </c>
      <c r="N6" s="37"/>
      <c r="O6" s="29" t="s">
        <v>834</v>
      </c>
      <c r="P6" s="37"/>
      <c r="Q6" s="29" t="s">
        <v>834</v>
      </c>
      <c r="R6" s="31">
        <f t="shared" si="0"/>
        <v>1376</v>
      </c>
      <c r="S6" s="32" t="s">
        <v>213</v>
      </c>
      <c r="Z6" s="27">
        <v>1376</v>
      </c>
    </row>
    <row r="7" spans="2:29" ht="19.7" customHeight="1">
      <c r="B7" s="28" t="s">
        <v>312</v>
      </c>
      <c r="C7" s="29" t="s">
        <v>429</v>
      </c>
      <c r="D7" s="29" t="s">
        <v>550</v>
      </c>
      <c r="E7" s="30" t="s">
        <v>132</v>
      </c>
      <c r="F7" s="37"/>
      <c r="G7" s="29" t="s">
        <v>834</v>
      </c>
      <c r="H7" s="37"/>
      <c r="I7" s="29" t="s">
        <v>834</v>
      </c>
      <c r="J7" s="37"/>
      <c r="K7" s="29" t="s">
        <v>834</v>
      </c>
      <c r="L7" s="37"/>
      <c r="M7" s="29" t="s">
        <v>834</v>
      </c>
      <c r="N7" s="37">
        <v>79200</v>
      </c>
      <c r="O7" s="29" t="s">
        <v>306</v>
      </c>
      <c r="P7" s="37"/>
      <c r="Q7" s="29" t="s">
        <v>834</v>
      </c>
      <c r="R7" s="31">
        <f t="shared" si="0"/>
        <v>79200</v>
      </c>
      <c r="S7" s="32" t="s">
        <v>834</v>
      </c>
      <c r="Z7" s="27">
        <v>79200</v>
      </c>
    </row>
    <row r="8" spans="2:29" ht="19.7" customHeight="1">
      <c r="B8" s="28" t="s">
        <v>644</v>
      </c>
      <c r="C8" s="29" t="s">
        <v>720</v>
      </c>
      <c r="D8" s="29" t="s">
        <v>241</v>
      </c>
      <c r="E8" s="30" t="s">
        <v>477</v>
      </c>
      <c r="F8" s="37"/>
      <c r="G8" s="29" t="s">
        <v>834</v>
      </c>
      <c r="H8" s="37"/>
      <c r="I8" s="29" t="s">
        <v>834</v>
      </c>
      <c r="J8" s="37"/>
      <c r="K8" s="29" t="s">
        <v>834</v>
      </c>
      <c r="L8" s="37"/>
      <c r="M8" s="29" t="s">
        <v>834</v>
      </c>
      <c r="N8" s="37"/>
      <c r="O8" s="29" t="s">
        <v>834</v>
      </c>
      <c r="P8" s="37">
        <v>6500</v>
      </c>
      <c r="Q8" s="29" t="s">
        <v>834</v>
      </c>
      <c r="R8" s="31">
        <f t="shared" si="0"/>
        <v>6500</v>
      </c>
      <c r="S8" s="32" t="s">
        <v>834</v>
      </c>
      <c r="Z8" s="27">
        <v>6500</v>
      </c>
    </row>
    <row r="9" spans="2:29" ht="19.7" customHeight="1">
      <c r="B9" s="28" t="s">
        <v>253</v>
      </c>
      <c r="C9" s="29" t="s">
        <v>156</v>
      </c>
      <c r="D9" s="29" t="s">
        <v>224</v>
      </c>
      <c r="E9" s="30" t="s">
        <v>596</v>
      </c>
      <c r="F9" s="37"/>
      <c r="G9" s="29" t="s">
        <v>834</v>
      </c>
      <c r="H9" s="37"/>
      <c r="I9" s="29" t="s">
        <v>834</v>
      </c>
      <c r="J9" s="37"/>
      <c r="K9" s="29" t="s">
        <v>834</v>
      </c>
      <c r="L9" s="37"/>
      <c r="M9" s="29" t="s">
        <v>834</v>
      </c>
      <c r="N9" s="37"/>
      <c r="O9" s="29" t="s">
        <v>834</v>
      </c>
      <c r="P9" s="37">
        <v>8000</v>
      </c>
      <c r="Q9" s="29" t="s">
        <v>834</v>
      </c>
      <c r="R9" s="31">
        <f t="shared" si="0"/>
        <v>8000</v>
      </c>
      <c r="S9" s="32" t="s">
        <v>834</v>
      </c>
      <c r="Z9" s="27">
        <v>8000</v>
      </c>
    </row>
    <row r="10" spans="2:29" ht="19.7" customHeight="1">
      <c r="B10" s="28" t="s">
        <v>760</v>
      </c>
      <c r="C10" s="29" t="s">
        <v>317</v>
      </c>
      <c r="D10" s="29" t="s">
        <v>409</v>
      </c>
      <c r="E10" s="30" t="s">
        <v>296</v>
      </c>
      <c r="F10" s="37"/>
      <c r="G10" s="29" t="s">
        <v>834</v>
      </c>
      <c r="H10" s="37"/>
      <c r="I10" s="29" t="s">
        <v>834</v>
      </c>
      <c r="J10" s="37">
        <v>9170</v>
      </c>
      <c r="K10" s="29" t="s">
        <v>417</v>
      </c>
      <c r="L10" s="37"/>
      <c r="M10" s="29" t="s">
        <v>834</v>
      </c>
      <c r="N10" s="37">
        <v>9170</v>
      </c>
      <c r="O10" s="29" t="s">
        <v>749</v>
      </c>
      <c r="P10" s="37"/>
      <c r="Q10" s="29" t="s">
        <v>834</v>
      </c>
      <c r="R10" s="31">
        <f t="shared" si="0"/>
        <v>9170</v>
      </c>
      <c r="S10" s="32" t="s">
        <v>834</v>
      </c>
      <c r="Z10" s="27">
        <v>9170</v>
      </c>
    </row>
    <row r="11" spans="2:29" ht="19.7" customHeight="1">
      <c r="B11" s="28" t="s">
        <v>402</v>
      </c>
      <c r="C11" s="29" t="s">
        <v>39</v>
      </c>
      <c r="D11" s="29" t="s">
        <v>424</v>
      </c>
      <c r="E11" s="30" t="s">
        <v>212</v>
      </c>
      <c r="F11" s="37"/>
      <c r="G11" s="29" t="s">
        <v>834</v>
      </c>
      <c r="H11" s="37">
        <v>200</v>
      </c>
      <c r="I11" s="29" t="s">
        <v>493</v>
      </c>
      <c r="J11" s="37">
        <v>200</v>
      </c>
      <c r="K11" s="29" t="s">
        <v>98</v>
      </c>
      <c r="L11" s="37">
        <v>220</v>
      </c>
      <c r="M11" s="29" t="s">
        <v>569</v>
      </c>
      <c r="N11" s="37"/>
      <c r="O11" s="29" t="s">
        <v>834</v>
      </c>
      <c r="P11" s="37">
        <v>106</v>
      </c>
      <c r="Q11" s="29" t="s">
        <v>834</v>
      </c>
      <c r="R11" s="31">
        <f t="shared" si="0"/>
        <v>106</v>
      </c>
      <c r="S11" s="32" t="s">
        <v>834</v>
      </c>
      <c r="Z11" s="27">
        <v>106</v>
      </c>
    </row>
    <row r="12" spans="2:29" ht="19.7" customHeight="1">
      <c r="B12" s="28" t="s">
        <v>764</v>
      </c>
      <c r="C12" s="29" t="s">
        <v>206</v>
      </c>
      <c r="D12" s="29" t="s">
        <v>632</v>
      </c>
      <c r="E12" s="30" t="s">
        <v>542</v>
      </c>
      <c r="F12" s="37"/>
      <c r="G12" s="29" t="s">
        <v>834</v>
      </c>
      <c r="H12" s="37">
        <v>230000</v>
      </c>
      <c r="I12" s="29" t="s">
        <v>267</v>
      </c>
      <c r="J12" s="37">
        <v>230000</v>
      </c>
      <c r="K12" s="29" t="s">
        <v>522</v>
      </c>
      <c r="L12" s="37">
        <v>180000</v>
      </c>
      <c r="M12" s="29" t="s">
        <v>746</v>
      </c>
      <c r="N12" s="37">
        <v>230000</v>
      </c>
      <c r="O12" s="29" t="s">
        <v>247</v>
      </c>
      <c r="P12" s="37"/>
      <c r="Q12" s="29" t="s">
        <v>834</v>
      </c>
      <c r="R12" s="31">
        <f t="shared" si="0"/>
        <v>180000</v>
      </c>
      <c r="S12" s="32" t="s">
        <v>834</v>
      </c>
      <c r="Z12" s="27">
        <v>180000</v>
      </c>
    </row>
    <row r="13" spans="2:29" ht="19.7" customHeight="1">
      <c r="B13" s="28" t="s">
        <v>392</v>
      </c>
      <c r="C13" s="29" t="s">
        <v>373</v>
      </c>
      <c r="D13" s="29" t="s">
        <v>260</v>
      </c>
      <c r="E13" s="30" t="s">
        <v>477</v>
      </c>
      <c r="F13" s="37"/>
      <c r="G13" s="29" t="s">
        <v>834</v>
      </c>
      <c r="H13" s="37">
        <v>4550</v>
      </c>
      <c r="I13" s="29" t="s">
        <v>356</v>
      </c>
      <c r="J13" s="37">
        <v>4550</v>
      </c>
      <c r="K13" s="29" t="s">
        <v>174</v>
      </c>
      <c r="L13" s="37"/>
      <c r="M13" s="29" t="s">
        <v>834</v>
      </c>
      <c r="N13" s="37"/>
      <c r="O13" s="29" t="s">
        <v>834</v>
      </c>
      <c r="P13" s="37"/>
      <c r="Q13" s="29" t="s">
        <v>834</v>
      </c>
      <c r="R13" s="31">
        <f t="shared" si="0"/>
        <v>4550</v>
      </c>
      <c r="S13" s="32" t="s">
        <v>834</v>
      </c>
      <c r="Z13" s="27">
        <v>4550</v>
      </c>
    </row>
    <row r="14" spans="2:29" ht="19.7" customHeight="1">
      <c r="B14" s="28" t="s">
        <v>90</v>
      </c>
      <c r="C14" s="29" t="s">
        <v>558</v>
      </c>
      <c r="D14" s="29" t="s">
        <v>146</v>
      </c>
      <c r="E14" s="30" t="s">
        <v>477</v>
      </c>
      <c r="F14" s="37"/>
      <c r="G14" s="29" t="s">
        <v>834</v>
      </c>
      <c r="H14" s="37">
        <v>5000</v>
      </c>
      <c r="I14" s="29" t="s">
        <v>356</v>
      </c>
      <c r="J14" s="37">
        <v>5000</v>
      </c>
      <c r="K14" s="29" t="s">
        <v>25</v>
      </c>
      <c r="L14" s="37">
        <v>5000</v>
      </c>
      <c r="M14" s="29" t="s">
        <v>549</v>
      </c>
      <c r="N14" s="37">
        <v>5000</v>
      </c>
      <c r="O14" s="29" t="s">
        <v>791</v>
      </c>
      <c r="P14" s="37"/>
      <c r="Q14" s="29" t="s">
        <v>834</v>
      </c>
      <c r="R14" s="31">
        <f t="shared" si="0"/>
        <v>5000</v>
      </c>
      <c r="S14" s="32" t="s">
        <v>834</v>
      </c>
      <c r="Z14" s="27">
        <v>5000</v>
      </c>
    </row>
    <row r="15" spans="2:29" ht="19.7" customHeight="1">
      <c r="B15" s="28" t="s">
        <v>433</v>
      </c>
      <c r="C15" s="29" t="s">
        <v>828</v>
      </c>
      <c r="D15" s="29" t="s">
        <v>332</v>
      </c>
      <c r="E15" s="30" t="s">
        <v>660</v>
      </c>
      <c r="F15" s="37"/>
      <c r="G15" s="29" t="s">
        <v>834</v>
      </c>
      <c r="H15" s="37">
        <v>4500</v>
      </c>
      <c r="I15" s="29" t="s">
        <v>356</v>
      </c>
      <c r="J15" s="37">
        <v>4500</v>
      </c>
      <c r="K15" s="29" t="s">
        <v>174</v>
      </c>
      <c r="L15" s="37">
        <v>4500</v>
      </c>
      <c r="M15" s="29" t="s">
        <v>549</v>
      </c>
      <c r="N15" s="37">
        <v>4550</v>
      </c>
      <c r="O15" s="29" t="s">
        <v>791</v>
      </c>
      <c r="P15" s="37"/>
      <c r="Q15" s="29" t="s">
        <v>834</v>
      </c>
      <c r="R15" s="31">
        <f t="shared" si="0"/>
        <v>4500</v>
      </c>
      <c r="S15" s="32" t="s">
        <v>834</v>
      </c>
      <c r="Z15" s="27">
        <v>4500</v>
      </c>
    </row>
    <row r="16" spans="2:29" ht="19.7" customHeight="1">
      <c r="B16" s="28" t="s">
        <v>151</v>
      </c>
      <c r="C16" s="29" t="s">
        <v>533</v>
      </c>
      <c r="D16" s="29" t="s">
        <v>38</v>
      </c>
      <c r="E16" s="30" t="s">
        <v>477</v>
      </c>
      <c r="F16" s="37"/>
      <c r="G16" s="29" t="s">
        <v>834</v>
      </c>
      <c r="H16" s="37">
        <v>2224</v>
      </c>
      <c r="I16" s="29" t="s">
        <v>293</v>
      </c>
      <c r="J16" s="37">
        <v>2222</v>
      </c>
      <c r="K16" s="29" t="s">
        <v>302</v>
      </c>
      <c r="L16" s="37">
        <v>2311</v>
      </c>
      <c r="M16" s="29" t="s">
        <v>663</v>
      </c>
      <c r="N16" s="37">
        <v>1887</v>
      </c>
      <c r="O16" s="29" t="s">
        <v>481</v>
      </c>
      <c r="P16" s="37"/>
      <c r="Q16" s="29" t="s">
        <v>834</v>
      </c>
      <c r="R16" s="31">
        <f t="shared" si="0"/>
        <v>1887</v>
      </c>
      <c r="S16" s="32" t="s">
        <v>834</v>
      </c>
      <c r="Z16" s="27">
        <v>1887</v>
      </c>
    </row>
    <row r="17" spans="2:26" ht="19.7" customHeight="1">
      <c r="B17" s="28" t="s">
        <v>517</v>
      </c>
      <c r="C17" s="29" t="s">
        <v>50</v>
      </c>
      <c r="D17" s="29" t="s">
        <v>703</v>
      </c>
      <c r="E17" s="30" t="s">
        <v>212</v>
      </c>
      <c r="F17" s="37"/>
      <c r="G17" s="29" t="s">
        <v>834</v>
      </c>
      <c r="H17" s="37"/>
      <c r="I17" s="29" t="s">
        <v>834</v>
      </c>
      <c r="J17" s="37">
        <v>111900</v>
      </c>
      <c r="K17" s="29" t="s">
        <v>633</v>
      </c>
      <c r="L17" s="37">
        <v>93500</v>
      </c>
      <c r="M17" s="29" t="s">
        <v>62</v>
      </c>
      <c r="N17" s="37">
        <v>110600</v>
      </c>
      <c r="O17" s="29" t="s">
        <v>331</v>
      </c>
      <c r="P17" s="37"/>
      <c r="Q17" s="29" t="s">
        <v>834</v>
      </c>
      <c r="R17" s="31">
        <f t="shared" si="0"/>
        <v>93500</v>
      </c>
      <c r="S17" s="32" t="s">
        <v>834</v>
      </c>
      <c r="Z17" s="27">
        <v>93500</v>
      </c>
    </row>
    <row r="18" spans="2:26" ht="19.7" customHeight="1">
      <c r="B18" s="28" t="s">
        <v>26</v>
      </c>
      <c r="C18" s="29" t="s">
        <v>50</v>
      </c>
      <c r="D18" s="29" t="s">
        <v>568</v>
      </c>
      <c r="E18" s="30" t="s">
        <v>212</v>
      </c>
      <c r="F18" s="37"/>
      <c r="G18" s="29" t="s">
        <v>834</v>
      </c>
      <c r="H18" s="37"/>
      <c r="I18" s="29" t="s">
        <v>834</v>
      </c>
      <c r="J18" s="37">
        <v>113400</v>
      </c>
      <c r="K18" s="29" t="s">
        <v>633</v>
      </c>
      <c r="L18" s="37">
        <v>93500</v>
      </c>
      <c r="M18" s="29" t="s">
        <v>62</v>
      </c>
      <c r="N18" s="37">
        <v>79800</v>
      </c>
      <c r="O18" s="29" t="s">
        <v>331</v>
      </c>
      <c r="P18" s="37"/>
      <c r="Q18" s="29" t="s">
        <v>834</v>
      </c>
      <c r="R18" s="31">
        <f t="shared" si="0"/>
        <v>79800</v>
      </c>
      <c r="S18" s="32" t="s">
        <v>834</v>
      </c>
      <c r="Z18" s="27">
        <v>79800</v>
      </c>
    </row>
    <row r="19" spans="2:26" ht="19.7" customHeight="1">
      <c r="B19" s="28" t="s">
        <v>462</v>
      </c>
      <c r="C19" s="29" t="s">
        <v>50</v>
      </c>
      <c r="D19" s="29" t="s">
        <v>257</v>
      </c>
      <c r="E19" s="30" t="s">
        <v>212</v>
      </c>
      <c r="F19" s="37"/>
      <c r="G19" s="29" t="s">
        <v>834</v>
      </c>
      <c r="H19" s="37"/>
      <c r="I19" s="29" t="s">
        <v>834</v>
      </c>
      <c r="J19" s="37"/>
      <c r="K19" s="29" t="s">
        <v>834</v>
      </c>
      <c r="L19" s="37">
        <v>154000</v>
      </c>
      <c r="M19" s="29" t="s">
        <v>62</v>
      </c>
      <c r="N19" s="37"/>
      <c r="O19" s="29" t="s">
        <v>834</v>
      </c>
      <c r="P19" s="37"/>
      <c r="Q19" s="29" t="s">
        <v>834</v>
      </c>
      <c r="R19" s="31">
        <f t="shared" si="0"/>
        <v>154000</v>
      </c>
      <c r="S19" s="32" t="s">
        <v>834</v>
      </c>
      <c r="Z19" s="27">
        <v>154000</v>
      </c>
    </row>
    <row r="20" spans="2:26" ht="19.7" customHeight="1">
      <c r="B20" s="28" t="s">
        <v>125</v>
      </c>
      <c r="C20" s="29" t="s">
        <v>670</v>
      </c>
      <c r="D20" s="29" t="s">
        <v>834</v>
      </c>
      <c r="E20" s="30" t="s">
        <v>497</v>
      </c>
      <c r="F20" s="37"/>
      <c r="G20" s="29" t="s">
        <v>834</v>
      </c>
      <c r="H20" s="37"/>
      <c r="I20" s="29" t="s">
        <v>834</v>
      </c>
      <c r="J20" s="37"/>
      <c r="K20" s="29" t="s">
        <v>834</v>
      </c>
      <c r="L20" s="37"/>
      <c r="M20" s="29" t="s">
        <v>834</v>
      </c>
      <c r="N20" s="37">
        <v>64200</v>
      </c>
      <c r="O20" s="29" t="s">
        <v>139</v>
      </c>
      <c r="P20" s="37"/>
      <c r="Q20" s="29" t="s">
        <v>834</v>
      </c>
      <c r="R20" s="31">
        <f t="shared" si="0"/>
        <v>64200</v>
      </c>
      <c r="S20" s="32" t="s">
        <v>834</v>
      </c>
      <c r="Z20" s="27">
        <v>64200</v>
      </c>
    </row>
    <row r="21" spans="2:26" ht="19.7" customHeight="1">
      <c r="B21" s="28" t="s">
        <v>589</v>
      </c>
      <c r="C21" s="29" t="s">
        <v>104</v>
      </c>
      <c r="D21" s="29" t="s">
        <v>702</v>
      </c>
      <c r="E21" s="30" t="s">
        <v>212</v>
      </c>
      <c r="F21" s="37"/>
      <c r="G21" s="29" t="s">
        <v>834</v>
      </c>
      <c r="H21" s="37"/>
      <c r="I21" s="29" t="s">
        <v>834</v>
      </c>
      <c r="J21" s="37"/>
      <c r="K21" s="29" t="s">
        <v>834</v>
      </c>
      <c r="L21" s="37">
        <v>9000</v>
      </c>
      <c r="M21" s="29" t="s">
        <v>834</v>
      </c>
      <c r="N21" s="37"/>
      <c r="O21" s="29" t="s">
        <v>834</v>
      </c>
      <c r="P21" s="37"/>
      <c r="Q21" s="29" t="s">
        <v>834</v>
      </c>
      <c r="R21" s="31">
        <f t="shared" si="0"/>
        <v>9000</v>
      </c>
      <c r="S21" s="32" t="s">
        <v>834</v>
      </c>
      <c r="Z21" s="27">
        <v>9000</v>
      </c>
    </row>
    <row r="22" spans="2:26" ht="19.7" customHeight="1">
      <c r="B22" s="28" t="s">
        <v>127</v>
      </c>
      <c r="C22" s="29" t="s">
        <v>93</v>
      </c>
      <c r="D22" s="29" t="s">
        <v>771</v>
      </c>
      <c r="E22" s="30" t="s">
        <v>212</v>
      </c>
      <c r="F22" s="37"/>
      <c r="G22" s="29" t="s">
        <v>834</v>
      </c>
      <c r="H22" s="37">
        <v>18000</v>
      </c>
      <c r="I22" s="29" t="s">
        <v>676</v>
      </c>
      <c r="J22" s="37"/>
      <c r="K22" s="29" t="s">
        <v>834</v>
      </c>
      <c r="L22" s="37">
        <v>18000</v>
      </c>
      <c r="M22" s="29" t="s">
        <v>766</v>
      </c>
      <c r="N22" s="37"/>
      <c r="O22" s="29" t="s">
        <v>834</v>
      </c>
      <c r="P22" s="37"/>
      <c r="Q22" s="29" t="s">
        <v>834</v>
      </c>
      <c r="R22" s="31">
        <f t="shared" si="0"/>
        <v>18000</v>
      </c>
      <c r="S22" s="32" t="s">
        <v>834</v>
      </c>
      <c r="Z22" s="27">
        <v>18000</v>
      </c>
    </row>
    <row r="23" spans="2:26" ht="19.7" customHeight="1">
      <c r="B23" s="28" t="s">
        <v>577</v>
      </c>
      <c r="C23" s="29" t="s">
        <v>282</v>
      </c>
      <c r="D23" s="29" t="s">
        <v>696</v>
      </c>
      <c r="E23" s="30" t="s">
        <v>366</v>
      </c>
      <c r="F23" s="37"/>
      <c r="G23" s="29" t="s">
        <v>834</v>
      </c>
      <c r="H23" s="37"/>
      <c r="I23" s="29" t="s">
        <v>834</v>
      </c>
      <c r="J23" s="37"/>
      <c r="K23" s="29" t="s">
        <v>834</v>
      </c>
      <c r="L23" s="37">
        <v>1500000</v>
      </c>
      <c r="M23" s="29" t="s">
        <v>666</v>
      </c>
      <c r="N23" s="37"/>
      <c r="O23" s="29" t="s">
        <v>834</v>
      </c>
      <c r="P23" s="37"/>
      <c r="Q23" s="29" t="s">
        <v>834</v>
      </c>
      <c r="R23" s="31">
        <f t="shared" si="0"/>
        <v>1500000</v>
      </c>
      <c r="S23" s="32" t="s">
        <v>834</v>
      </c>
      <c r="Z23" s="27">
        <v>1500000</v>
      </c>
    </row>
    <row r="24" spans="2:26" ht="19.7" customHeight="1">
      <c r="B24" s="28" t="s">
        <v>713</v>
      </c>
      <c r="C24" s="29" t="s">
        <v>454</v>
      </c>
      <c r="D24" s="29" t="s">
        <v>85</v>
      </c>
      <c r="E24" s="30" t="s">
        <v>212</v>
      </c>
      <c r="F24" s="37"/>
      <c r="G24" s="29" t="s">
        <v>834</v>
      </c>
      <c r="H24" s="37"/>
      <c r="I24" s="29" t="s">
        <v>834</v>
      </c>
      <c r="J24" s="37"/>
      <c r="K24" s="29" t="s">
        <v>834</v>
      </c>
      <c r="L24" s="37">
        <v>190000</v>
      </c>
      <c r="M24" s="29" t="s">
        <v>666</v>
      </c>
      <c r="N24" s="37"/>
      <c r="O24" s="29" t="s">
        <v>834</v>
      </c>
      <c r="P24" s="37"/>
      <c r="Q24" s="29" t="s">
        <v>834</v>
      </c>
      <c r="R24" s="31">
        <f t="shared" si="0"/>
        <v>190000</v>
      </c>
      <c r="S24" s="32" t="s">
        <v>834</v>
      </c>
      <c r="Z24" s="27">
        <v>190000</v>
      </c>
    </row>
    <row r="25" spans="2:26" ht="19.7" customHeight="1">
      <c r="B25" s="28" t="s">
        <v>235</v>
      </c>
      <c r="C25" s="29" t="s">
        <v>323</v>
      </c>
      <c r="D25" s="29" t="s">
        <v>20</v>
      </c>
      <c r="E25" s="30" t="s">
        <v>477</v>
      </c>
      <c r="F25" s="37"/>
      <c r="G25" s="29" t="s">
        <v>834</v>
      </c>
      <c r="H25" s="37"/>
      <c r="I25" s="29" t="s">
        <v>834</v>
      </c>
      <c r="J25" s="37"/>
      <c r="K25" s="29" t="s">
        <v>834</v>
      </c>
      <c r="L25" s="37"/>
      <c r="M25" s="29" t="s">
        <v>834</v>
      </c>
      <c r="N25" s="37">
        <v>25000</v>
      </c>
      <c r="O25" s="29" t="s">
        <v>162</v>
      </c>
      <c r="P25" s="37"/>
      <c r="Q25" s="29" t="s">
        <v>834</v>
      </c>
      <c r="R25" s="31">
        <f t="shared" si="0"/>
        <v>25000</v>
      </c>
      <c r="S25" s="32" t="s">
        <v>834</v>
      </c>
      <c r="Z25" s="27">
        <v>25000</v>
      </c>
    </row>
    <row r="26" spans="2:26" ht="19.7" customHeight="1">
      <c r="B26" s="28" t="s">
        <v>780</v>
      </c>
      <c r="C26" s="29" t="s">
        <v>631</v>
      </c>
      <c r="D26" s="29" t="s">
        <v>647</v>
      </c>
      <c r="E26" s="30" t="s">
        <v>477</v>
      </c>
      <c r="F26" s="37"/>
      <c r="G26" s="29" t="s">
        <v>834</v>
      </c>
      <c r="H26" s="37"/>
      <c r="I26" s="29" t="s">
        <v>834</v>
      </c>
      <c r="J26" s="37"/>
      <c r="K26" s="29" t="s">
        <v>834</v>
      </c>
      <c r="L26" s="37"/>
      <c r="M26" s="29" t="s">
        <v>834</v>
      </c>
      <c r="N26" s="37">
        <v>2500</v>
      </c>
      <c r="O26" s="29" t="s">
        <v>18</v>
      </c>
      <c r="P26" s="37"/>
      <c r="Q26" s="29" t="s">
        <v>834</v>
      </c>
      <c r="R26" s="31">
        <f t="shared" si="0"/>
        <v>2500</v>
      </c>
      <c r="S26" s="32" t="s">
        <v>834</v>
      </c>
      <c r="Z26" s="27">
        <v>2500</v>
      </c>
    </row>
    <row r="27" spans="2:26" ht="19.7" customHeight="1">
      <c r="B27" s="28" t="s">
        <v>324</v>
      </c>
      <c r="C27" s="29" t="s">
        <v>359</v>
      </c>
      <c r="D27" s="29" t="s">
        <v>728</v>
      </c>
      <c r="E27" s="30" t="s">
        <v>477</v>
      </c>
      <c r="F27" s="37"/>
      <c r="G27" s="29" t="s">
        <v>834</v>
      </c>
      <c r="H27" s="37"/>
      <c r="I27" s="29" t="s">
        <v>834</v>
      </c>
      <c r="J27" s="37"/>
      <c r="K27" s="29" t="s">
        <v>834</v>
      </c>
      <c r="L27" s="37"/>
      <c r="M27" s="29" t="s">
        <v>834</v>
      </c>
      <c r="N27" s="37">
        <v>69000</v>
      </c>
      <c r="O27" s="29" t="s">
        <v>18</v>
      </c>
      <c r="P27" s="37"/>
      <c r="Q27" s="29" t="s">
        <v>834</v>
      </c>
      <c r="R27" s="31">
        <f t="shared" si="0"/>
        <v>69000</v>
      </c>
      <c r="S27" s="32" t="s">
        <v>834</v>
      </c>
      <c r="Z27" s="27">
        <v>69000</v>
      </c>
    </row>
    <row r="28" spans="2:26" ht="19.7" customHeight="1">
      <c r="B28" s="28" t="s">
        <v>621</v>
      </c>
      <c r="C28" s="29" t="s">
        <v>675</v>
      </c>
      <c r="D28" s="29" t="s">
        <v>185</v>
      </c>
      <c r="E28" s="30" t="s">
        <v>477</v>
      </c>
      <c r="F28" s="37"/>
      <c r="G28" s="29" t="s">
        <v>834</v>
      </c>
      <c r="H28" s="37"/>
      <c r="I28" s="29" t="s">
        <v>834</v>
      </c>
      <c r="J28" s="37"/>
      <c r="K28" s="29" t="s">
        <v>834</v>
      </c>
      <c r="L28" s="37"/>
      <c r="M28" s="29" t="s">
        <v>834</v>
      </c>
      <c r="N28" s="37">
        <v>68000</v>
      </c>
      <c r="O28" s="29" t="s">
        <v>18</v>
      </c>
      <c r="P28" s="37"/>
      <c r="Q28" s="29" t="s">
        <v>834</v>
      </c>
      <c r="R28" s="31">
        <f t="shared" si="0"/>
        <v>68000</v>
      </c>
      <c r="S28" s="32" t="s">
        <v>834</v>
      </c>
      <c r="Z28" s="27">
        <v>68000</v>
      </c>
    </row>
    <row r="29" spans="2:26" ht="19.7" customHeight="1">
      <c r="B29" s="28" t="s">
        <v>258</v>
      </c>
      <c r="C29" s="29" t="s">
        <v>637</v>
      </c>
      <c r="D29" s="29" t="s">
        <v>809</v>
      </c>
      <c r="E29" s="30" t="s">
        <v>477</v>
      </c>
      <c r="F29" s="37"/>
      <c r="G29" s="29" t="s">
        <v>834</v>
      </c>
      <c r="H29" s="37"/>
      <c r="I29" s="29" t="s">
        <v>834</v>
      </c>
      <c r="J29" s="37"/>
      <c r="K29" s="29" t="s">
        <v>834</v>
      </c>
      <c r="L29" s="37"/>
      <c r="M29" s="29" t="s">
        <v>834</v>
      </c>
      <c r="N29" s="37">
        <v>68000</v>
      </c>
      <c r="O29" s="29" t="s">
        <v>18</v>
      </c>
      <c r="P29" s="37"/>
      <c r="Q29" s="29" t="s">
        <v>834</v>
      </c>
      <c r="R29" s="31">
        <f t="shared" si="0"/>
        <v>68000</v>
      </c>
      <c r="S29" s="32" t="s">
        <v>834</v>
      </c>
      <c r="Z29" s="27">
        <v>68000</v>
      </c>
    </row>
    <row r="30" spans="2:26" ht="19.7" customHeight="1">
      <c r="B30" s="33" t="s">
        <v>747</v>
      </c>
      <c r="C30" s="34" t="s">
        <v>372</v>
      </c>
      <c r="D30" s="34" t="s">
        <v>371</v>
      </c>
      <c r="E30" s="35" t="s">
        <v>477</v>
      </c>
      <c r="F30" s="21"/>
      <c r="G30" s="34" t="s">
        <v>834</v>
      </c>
      <c r="H30" s="21"/>
      <c r="I30" s="34" t="s">
        <v>834</v>
      </c>
      <c r="J30" s="21">
        <v>6111</v>
      </c>
      <c r="K30" s="34" t="s">
        <v>615</v>
      </c>
      <c r="L30" s="21">
        <v>6111</v>
      </c>
      <c r="M30" s="34" t="s">
        <v>636</v>
      </c>
      <c r="N30" s="21">
        <v>4400</v>
      </c>
      <c r="O30" s="34" t="s">
        <v>208</v>
      </c>
      <c r="P30" s="21"/>
      <c r="Q30" s="34" t="s">
        <v>834</v>
      </c>
      <c r="R30" s="22">
        <f t="shared" si="0"/>
        <v>4400</v>
      </c>
      <c r="S30" s="36" t="s">
        <v>834</v>
      </c>
      <c r="Z30" s="27">
        <v>4400</v>
      </c>
    </row>
    <row r="31" spans="2:26" ht="19.7" customHeight="1">
      <c r="B31" s="28" t="s">
        <v>410</v>
      </c>
      <c r="C31" s="29" t="s">
        <v>97</v>
      </c>
      <c r="D31" s="29" t="s">
        <v>834</v>
      </c>
      <c r="E31" s="30" t="s">
        <v>477</v>
      </c>
      <c r="F31" s="37"/>
      <c r="G31" s="29" t="s">
        <v>834</v>
      </c>
      <c r="H31" s="37"/>
      <c r="I31" s="29" t="s">
        <v>834</v>
      </c>
      <c r="J31" s="37"/>
      <c r="K31" s="29" t="s">
        <v>834</v>
      </c>
      <c r="L31" s="37"/>
      <c r="M31" s="29" t="s">
        <v>834</v>
      </c>
      <c r="N31" s="37"/>
      <c r="O31" s="29" t="s">
        <v>834</v>
      </c>
      <c r="P31" s="37">
        <v>22000</v>
      </c>
      <c r="Q31" s="29" t="s">
        <v>834</v>
      </c>
      <c r="R31" s="31">
        <f t="shared" si="0"/>
        <v>22000</v>
      </c>
      <c r="S31" s="32" t="s">
        <v>834</v>
      </c>
      <c r="Z31" s="27">
        <v>22000</v>
      </c>
    </row>
    <row r="32" spans="2:26" ht="19.7" customHeight="1">
      <c r="B32" s="28" t="s">
        <v>772</v>
      </c>
      <c r="C32" s="29" t="s">
        <v>548</v>
      </c>
      <c r="D32" s="29" t="s">
        <v>595</v>
      </c>
      <c r="E32" s="30" t="s">
        <v>652</v>
      </c>
      <c r="F32" s="37"/>
      <c r="G32" s="29" t="s">
        <v>834</v>
      </c>
      <c r="H32" s="37"/>
      <c r="I32" s="29" t="s">
        <v>834</v>
      </c>
      <c r="J32" s="37"/>
      <c r="K32" s="29" t="s">
        <v>834</v>
      </c>
      <c r="L32" s="37"/>
      <c r="M32" s="29" t="s">
        <v>834</v>
      </c>
      <c r="N32" s="37"/>
      <c r="O32" s="29" t="s">
        <v>834</v>
      </c>
      <c r="P32" s="37">
        <v>6737</v>
      </c>
      <c r="Q32" s="29" t="s">
        <v>834</v>
      </c>
      <c r="R32" s="31">
        <f t="shared" si="0"/>
        <v>6737</v>
      </c>
      <c r="S32" s="32" t="s">
        <v>834</v>
      </c>
      <c r="Z32" s="27">
        <v>6737</v>
      </c>
    </row>
    <row r="33" spans="2:26" ht="19.7" customHeight="1">
      <c r="B33" s="28" t="s">
        <v>390</v>
      </c>
      <c r="C33" s="29" t="s">
        <v>408</v>
      </c>
      <c r="D33" s="29" t="s">
        <v>834</v>
      </c>
      <c r="E33" s="30" t="s">
        <v>212</v>
      </c>
      <c r="F33" s="37"/>
      <c r="G33" s="29" t="s">
        <v>834</v>
      </c>
      <c r="H33" s="37"/>
      <c r="I33" s="29" t="s">
        <v>834</v>
      </c>
      <c r="J33" s="37"/>
      <c r="K33" s="29" t="s">
        <v>834</v>
      </c>
      <c r="L33" s="37"/>
      <c r="M33" s="29" t="s">
        <v>834</v>
      </c>
      <c r="N33" s="37"/>
      <c r="O33" s="29" t="s">
        <v>834</v>
      </c>
      <c r="P33" s="37">
        <v>1000</v>
      </c>
      <c r="Q33" s="29" t="s">
        <v>834</v>
      </c>
      <c r="R33" s="31">
        <f t="shared" si="0"/>
        <v>1000</v>
      </c>
      <c r="S33" s="32" t="s">
        <v>834</v>
      </c>
      <c r="Z33" s="27">
        <v>1000</v>
      </c>
    </row>
    <row r="34" spans="2:26" ht="19.7" customHeight="1">
      <c r="B34" s="28" t="s">
        <v>490</v>
      </c>
      <c r="C34" s="29" t="s">
        <v>554</v>
      </c>
      <c r="D34" s="29" t="s">
        <v>189</v>
      </c>
      <c r="E34" s="30" t="s">
        <v>566</v>
      </c>
      <c r="F34" s="37"/>
      <c r="G34" s="29" t="s">
        <v>834</v>
      </c>
      <c r="H34" s="37">
        <v>31142</v>
      </c>
      <c r="I34" s="29" t="s">
        <v>718</v>
      </c>
      <c r="J34" s="37"/>
      <c r="K34" s="29" t="s">
        <v>834</v>
      </c>
      <c r="L34" s="37">
        <v>31142</v>
      </c>
      <c r="M34" s="29" t="s">
        <v>355</v>
      </c>
      <c r="N34" s="37">
        <v>31142</v>
      </c>
      <c r="O34" s="29" t="s">
        <v>281</v>
      </c>
      <c r="P34" s="37"/>
      <c r="Q34" s="29" t="s">
        <v>834</v>
      </c>
      <c r="R34" s="31">
        <f t="shared" si="0"/>
        <v>31142</v>
      </c>
      <c r="S34" s="32" t="s">
        <v>240</v>
      </c>
      <c r="Z34" s="27">
        <v>31142</v>
      </c>
    </row>
    <row r="35" spans="2:26" ht="19.7" customHeight="1">
      <c r="B35" s="28" t="s">
        <v>31</v>
      </c>
      <c r="C35" s="29" t="s">
        <v>119</v>
      </c>
      <c r="D35" s="29" t="s">
        <v>383</v>
      </c>
      <c r="E35" s="30" t="s">
        <v>566</v>
      </c>
      <c r="F35" s="37"/>
      <c r="G35" s="29" t="s">
        <v>834</v>
      </c>
      <c r="H35" s="37">
        <v>19700</v>
      </c>
      <c r="I35" s="29" t="s">
        <v>526</v>
      </c>
      <c r="J35" s="37"/>
      <c r="K35" s="29" t="s">
        <v>834</v>
      </c>
      <c r="L35" s="37"/>
      <c r="M35" s="29" t="s">
        <v>834</v>
      </c>
      <c r="N35" s="37">
        <v>19700</v>
      </c>
      <c r="O35" s="29" t="s">
        <v>620</v>
      </c>
      <c r="P35" s="37"/>
      <c r="Q35" s="29" t="s">
        <v>834</v>
      </c>
      <c r="R35" s="31">
        <f t="shared" si="0"/>
        <v>19700</v>
      </c>
      <c r="S35" s="32" t="s">
        <v>240</v>
      </c>
      <c r="Z35" s="27">
        <v>19700</v>
      </c>
    </row>
    <row r="36" spans="2:26">
      <c r="B36" s="33" t="s">
        <v>539</v>
      </c>
      <c r="C36" s="34" t="s">
        <v>790</v>
      </c>
      <c r="D36" s="34" t="s">
        <v>37</v>
      </c>
      <c r="E36" s="35" t="s">
        <v>537</v>
      </c>
      <c r="F36" s="21">
        <v>100120</v>
      </c>
      <c r="G36" s="34" t="s">
        <v>488</v>
      </c>
      <c r="H36" s="21"/>
      <c r="I36" s="34" t="s">
        <v>834</v>
      </c>
      <c r="J36" s="21"/>
      <c r="K36" s="34" t="s">
        <v>834</v>
      </c>
      <c r="L36" s="21"/>
      <c r="M36" s="34" t="s">
        <v>834</v>
      </c>
      <c r="N36" s="21"/>
      <c r="O36" s="34" t="s">
        <v>834</v>
      </c>
      <c r="P36" s="21"/>
      <c r="Q36" s="34" t="s">
        <v>834</v>
      </c>
      <c r="R36" s="22">
        <f t="shared" si="0"/>
        <v>100120</v>
      </c>
      <c r="S36" s="36" t="s">
        <v>626</v>
      </c>
      <c r="Z36" s="27">
        <v>100120</v>
      </c>
    </row>
    <row r="37" spans="2:26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</sheetData>
  <mergeCells count="13">
    <mergeCell ref="B1:S2"/>
    <mergeCell ref="J3:K3"/>
    <mergeCell ref="L3:M3"/>
    <mergeCell ref="N3:O3"/>
    <mergeCell ref="P3:Q3"/>
    <mergeCell ref="R3:R4"/>
    <mergeCell ref="S3:S4"/>
    <mergeCell ref="B3:B4"/>
    <mergeCell ref="C3:C4"/>
    <mergeCell ref="D3:D4"/>
    <mergeCell ref="E3:E4"/>
    <mergeCell ref="F3:G3"/>
    <mergeCell ref="H3:I3"/>
  </mergeCells>
  <phoneticPr fontId="8" type="noConversion"/>
  <pageMargins left="0.78740157480314965" right="7.874015748031496E-2" top="0.6692913385826772" bottom="0.59055118110236215" header="0.5" footer="0.5"/>
  <pageSetup paperSize="9" scale="85" orientation="landscape" copies="0"/>
  <headerFooter alignWithMargins="0"/>
  <rowBreaks count="1" manualBreakCount="1">
    <brk id="30" min="2" max="19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FDBF-5828-4857-BAE5-7C0D47C0BBDE}">
  <dimension ref="B1:AC34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6.7109375" customWidth="1"/>
    <col min="3" max="3" width="30.140625" customWidth="1"/>
    <col min="4" max="4" width="24.5703125" customWidth="1"/>
    <col min="5" max="5" width="6.7109375" customWidth="1"/>
    <col min="6" max="6" width="12.7109375" customWidth="1"/>
    <col min="7" max="7" width="20.140625" customWidth="1"/>
  </cols>
  <sheetData>
    <row r="1" spans="2:29" ht="24.95" customHeight="1">
      <c r="B1" s="343" t="s">
        <v>648</v>
      </c>
      <c r="C1" s="343"/>
      <c r="D1" s="343"/>
      <c r="E1" s="343"/>
      <c r="F1" s="343"/>
      <c r="G1" s="343"/>
    </row>
    <row r="2" spans="2:29" ht="9.9499999999999993" customHeight="1">
      <c r="B2" s="344"/>
      <c r="C2" s="344"/>
      <c r="D2" s="344"/>
      <c r="E2" s="344"/>
      <c r="F2" s="344"/>
      <c r="G2" s="344"/>
    </row>
    <row r="3" spans="2:29" ht="27.95" customHeight="1">
      <c r="B3" s="24" t="s">
        <v>197</v>
      </c>
      <c r="C3" s="17" t="s">
        <v>795</v>
      </c>
      <c r="D3" s="17" t="s">
        <v>297</v>
      </c>
      <c r="E3" s="17" t="s">
        <v>294</v>
      </c>
      <c r="F3" s="17" t="s">
        <v>686</v>
      </c>
      <c r="G3" s="18" t="s">
        <v>178</v>
      </c>
      <c r="Z3" t="s">
        <v>511</v>
      </c>
      <c r="AA3" t="s">
        <v>578</v>
      </c>
      <c r="AB3" t="s">
        <v>824</v>
      </c>
      <c r="AC3" t="s">
        <v>540</v>
      </c>
    </row>
    <row r="4" spans="2:29" ht="22.35" customHeight="1">
      <c r="B4" s="28" t="s">
        <v>225</v>
      </c>
      <c r="C4" s="29" t="s">
        <v>248</v>
      </c>
      <c r="D4" s="29" t="s">
        <v>834</v>
      </c>
      <c r="E4" s="30" t="s">
        <v>767</v>
      </c>
      <c r="F4" s="31">
        <v>273308</v>
      </c>
      <c r="G4" s="32" t="s">
        <v>756</v>
      </c>
      <c r="Z4" s="27">
        <v>273308</v>
      </c>
    </row>
    <row r="5" spans="2:29" ht="22.35" customHeight="1">
      <c r="B5" s="28" t="s">
        <v>782</v>
      </c>
      <c r="C5" s="29" t="s">
        <v>54</v>
      </c>
      <c r="D5" s="29" t="s">
        <v>834</v>
      </c>
      <c r="E5" s="30" t="s">
        <v>767</v>
      </c>
      <c r="F5" s="31">
        <v>172068</v>
      </c>
      <c r="G5" s="32" t="s">
        <v>756</v>
      </c>
      <c r="Z5" s="27">
        <v>172068</v>
      </c>
    </row>
    <row r="6" spans="2:29" ht="22.35" customHeight="1">
      <c r="B6" s="28" t="s">
        <v>312</v>
      </c>
      <c r="C6" s="29" t="s">
        <v>177</v>
      </c>
      <c r="D6" s="29" t="s">
        <v>834</v>
      </c>
      <c r="E6" s="30" t="s">
        <v>767</v>
      </c>
      <c r="F6" s="31">
        <v>283297</v>
      </c>
      <c r="G6" s="32" t="s">
        <v>756</v>
      </c>
      <c r="Z6" s="27">
        <v>283297</v>
      </c>
    </row>
    <row r="7" spans="2:29" ht="22.35" customHeight="1">
      <c r="B7" s="28" t="s">
        <v>644</v>
      </c>
      <c r="C7" s="29" t="s">
        <v>60</v>
      </c>
      <c r="D7" s="29" t="s">
        <v>834</v>
      </c>
      <c r="E7" s="30" t="s">
        <v>767</v>
      </c>
      <c r="F7" s="31">
        <v>238936</v>
      </c>
      <c r="G7" s="32" t="s">
        <v>756</v>
      </c>
      <c r="Z7" s="27">
        <v>238936</v>
      </c>
    </row>
    <row r="8" spans="2:29" ht="22.35" customHeight="1">
      <c r="B8" s="28" t="s">
        <v>253</v>
      </c>
      <c r="C8" s="29" t="s">
        <v>12</v>
      </c>
      <c r="D8" s="29" t="s">
        <v>834</v>
      </c>
      <c r="E8" s="30" t="s">
        <v>767</v>
      </c>
      <c r="F8" s="31">
        <v>228286</v>
      </c>
      <c r="G8" s="32" t="s">
        <v>756</v>
      </c>
      <c r="Z8" s="27">
        <v>228286</v>
      </c>
    </row>
    <row r="9" spans="2:29" ht="22.35" customHeight="1">
      <c r="B9" s="28" t="s">
        <v>760</v>
      </c>
      <c r="C9" s="29" t="s">
        <v>43</v>
      </c>
      <c r="D9" s="29" t="s">
        <v>834</v>
      </c>
      <c r="E9" s="30" t="s">
        <v>767</v>
      </c>
      <c r="F9" s="31">
        <v>226122</v>
      </c>
      <c r="G9" s="32" t="s">
        <v>756</v>
      </c>
      <c r="Z9" s="27">
        <v>226122</v>
      </c>
    </row>
    <row r="10" spans="2:29" ht="22.35" customHeight="1">
      <c r="B10" s="28" t="s">
        <v>402</v>
      </c>
      <c r="C10" s="29" t="s">
        <v>667</v>
      </c>
      <c r="D10" s="29" t="s">
        <v>834</v>
      </c>
      <c r="E10" s="30" t="s">
        <v>767</v>
      </c>
      <c r="F10" s="31">
        <v>263017</v>
      </c>
      <c r="G10" s="32" t="s">
        <v>756</v>
      </c>
      <c r="Z10" s="27">
        <v>263017</v>
      </c>
    </row>
    <row r="11" spans="2:29" ht="22.35" customHeight="1">
      <c r="B11" s="28" t="s">
        <v>764</v>
      </c>
      <c r="C11" s="29" t="s">
        <v>414</v>
      </c>
      <c r="D11" s="29" t="s">
        <v>834</v>
      </c>
      <c r="E11" s="30" t="s">
        <v>767</v>
      </c>
      <c r="F11" s="31">
        <v>173995</v>
      </c>
      <c r="G11" s="32" t="s">
        <v>756</v>
      </c>
      <c r="Z11" s="27">
        <v>173995</v>
      </c>
    </row>
    <row r="12" spans="2:29" ht="22.35" customHeight="1">
      <c r="B12" s="28" t="s">
        <v>392</v>
      </c>
      <c r="C12" s="29" t="s">
        <v>307</v>
      </c>
      <c r="D12" s="29" t="s">
        <v>834</v>
      </c>
      <c r="E12" s="30" t="s">
        <v>767</v>
      </c>
      <c r="F12" s="31">
        <v>277276</v>
      </c>
      <c r="G12" s="32" t="s">
        <v>756</v>
      </c>
      <c r="Z12" s="27">
        <v>277276</v>
      </c>
    </row>
    <row r="13" spans="2:29" ht="22.35" customHeight="1">
      <c r="B13" s="28" t="s">
        <v>90</v>
      </c>
      <c r="C13" s="29" t="s">
        <v>472</v>
      </c>
      <c r="D13" s="29" t="s">
        <v>834</v>
      </c>
      <c r="E13" s="30" t="s">
        <v>767</v>
      </c>
      <c r="F13" s="31">
        <v>205028</v>
      </c>
      <c r="G13" s="32" t="s">
        <v>759</v>
      </c>
      <c r="Z13" s="27">
        <v>205028</v>
      </c>
    </row>
    <row r="14" spans="2:29" ht="22.35" customHeight="1">
      <c r="B14" s="28" t="s">
        <v>433</v>
      </c>
      <c r="C14" s="29" t="s">
        <v>172</v>
      </c>
      <c r="D14" s="29" t="s">
        <v>834</v>
      </c>
      <c r="E14" s="30" t="s">
        <v>767</v>
      </c>
      <c r="F14" s="31">
        <v>235459</v>
      </c>
      <c r="G14" s="32" t="s">
        <v>268</v>
      </c>
      <c r="Z14" s="27">
        <v>235459</v>
      </c>
    </row>
    <row r="15" spans="2:29" ht="22.35" customHeight="1">
      <c r="B15" s="28" t="s">
        <v>151</v>
      </c>
      <c r="C15" s="29" t="s">
        <v>288</v>
      </c>
      <c r="D15" s="29" t="s">
        <v>834</v>
      </c>
      <c r="E15" s="30" t="s">
        <v>767</v>
      </c>
      <c r="F15" s="31">
        <v>310884</v>
      </c>
      <c r="G15" s="32" t="s">
        <v>268</v>
      </c>
      <c r="Z15" s="27">
        <v>310884</v>
      </c>
    </row>
    <row r="16" spans="2:29" ht="22.35" customHeight="1">
      <c r="B16" s="28" t="s">
        <v>517</v>
      </c>
      <c r="C16" s="29" t="s">
        <v>70</v>
      </c>
      <c r="D16" s="29" t="s">
        <v>834</v>
      </c>
      <c r="E16" s="30" t="s">
        <v>767</v>
      </c>
      <c r="F16" s="31">
        <v>295138</v>
      </c>
      <c r="G16" s="32" t="s">
        <v>268</v>
      </c>
      <c r="Z16" s="27">
        <v>295138</v>
      </c>
    </row>
    <row r="17" spans="2:7" ht="22.35" customHeight="1">
      <c r="B17" s="28" t="s">
        <v>26</v>
      </c>
      <c r="C17" s="29" t="s">
        <v>834</v>
      </c>
      <c r="D17" s="29" t="s">
        <v>834</v>
      </c>
      <c r="E17" s="30" t="s">
        <v>834</v>
      </c>
      <c r="F17" s="31"/>
      <c r="G17" s="32" t="s">
        <v>834</v>
      </c>
    </row>
    <row r="18" spans="2:7" ht="22.35" customHeight="1">
      <c r="B18" s="28" t="s">
        <v>462</v>
      </c>
      <c r="C18" s="29" t="s">
        <v>834</v>
      </c>
      <c r="D18" s="29" t="s">
        <v>834</v>
      </c>
      <c r="E18" s="30" t="s">
        <v>834</v>
      </c>
      <c r="F18" s="31"/>
      <c r="G18" s="32" t="s">
        <v>834</v>
      </c>
    </row>
    <row r="19" spans="2:7" ht="22.35" customHeight="1">
      <c r="B19" s="28" t="s">
        <v>125</v>
      </c>
      <c r="C19" s="29" t="s">
        <v>834</v>
      </c>
      <c r="D19" s="29" t="s">
        <v>834</v>
      </c>
      <c r="E19" s="30" t="s">
        <v>834</v>
      </c>
      <c r="F19" s="31"/>
      <c r="G19" s="32" t="s">
        <v>834</v>
      </c>
    </row>
    <row r="20" spans="2:7" ht="22.35" customHeight="1">
      <c r="B20" s="28" t="s">
        <v>589</v>
      </c>
      <c r="C20" s="29" t="s">
        <v>834</v>
      </c>
      <c r="D20" s="29" t="s">
        <v>834</v>
      </c>
      <c r="E20" s="30" t="s">
        <v>834</v>
      </c>
      <c r="F20" s="31"/>
      <c r="G20" s="32" t="s">
        <v>834</v>
      </c>
    </row>
    <row r="21" spans="2:7" ht="22.35" customHeight="1">
      <c r="B21" s="28" t="s">
        <v>127</v>
      </c>
      <c r="C21" s="29" t="s">
        <v>834</v>
      </c>
      <c r="D21" s="29" t="s">
        <v>834</v>
      </c>
      <c r="E21" s="30" t="s">
        <v>834</v>
      </c>
      <c r="F21" s="31"/>
      <c r="G21" s="32" t="s">
        <v>834</v>
      </c>
    </row>
    <row r="22" spans="2:7" ht="22.35" customHeight="1">
      <c r="B22" s="28" t="s">
        <v>577</v>
      </c>
      <c r="C22" s="29" t="s">
        <v>834</v>
      </c>
      <c r="D22" s="29" t="s">
        <v>834</v>
      </c>
      <c r="E22" s="30" t="s">
        <v>834</v>
      </c>
      <c r="F22" s="31"/>
      <c r="G22" s="32" t="s">
        <v>834</v>
      </c>
    </row>
    <row r="23" spans="2:7" ht="22.35" customHeight="1">
      <c r="B23" s="28" t="s">
        <v>713</v>
      </c>
      <c r="C23" s="29" t="s">
        <v>834</v>
      </c>
      <c r="D23" s="29" t="s">
        <v>834</v>
      </c>
      <c r="E23" s="30" t="s">
        <v>834</v>
      </c>
      <c r="F23" s="31"/>
      <c r="G23" s="32" t="s">
        <v>834</v>
      </c>
    </row>
    <row r="24" spans="2:7" ht="22.35" customHeight="1">
      <c r="B24" s="28" t="s">
        <v>235</v>
      </c>
      <c r="C24" s="29" t="s">
        <v>834</v>
      </c>
      <c r="D24" s="29" t="s">
        <v>834</v>
      </c>
      <c r="E24" s="30" t="s">
        <v>834</v>
      </c>
      <c r="F24" s="31"/>
      <c r="G24" s="32" t="s">
        <v>834</v>
      </c>
    </row>
    <row r="25" spans="2:7" ht="22.35" customHeight="1">
      <c r="B25" s="28" t="s">
        <v>780</v>
      </c>
      <c r="C25" s="29" t="s">
        <v>834</v>
      </c>
      <c r="D25" s="29" t="s">
        <v>834</v>
      </c>
      <c r="E25" s="30" t="s">
        <v>834</v>
      </c>
      <c r="F25" s="31"/>
      <c r="G25" s="32" t="s">
        <v>834</v>
      </c>
    </row>
    <row r="26" spans="2:7" ht="22.35" customHeight="1">
      <c r="B26" s="28" t="s">
        <v>324</v>
      </c>
      <c r="C26" s="29" t="s">
        <v>834</v>
      </c>
      <c r="D26" s="29" t="s">
        <v>834</v>
      </c>
      <c r="E26" s="30" t="s">
        <v>834</v>
      </c>
      <c r="F26" s="31"/>
      <c r="G26" s="32" t="s">
        <v>834</v>
      </c>
    </row>
    <row r="27" spans="2:7" ht="22.35" customHeight="1">
      <c r="B27" s="28" t="s">
        <v>621</v>
      </c>
      <c r="C27" s="29" t="s">
        <v>834</v>
      </c>
      <c r="D27" s="29" t="s">
        <v>834</v>
      </c>
      <c r="E27" s="30" t="s">
        <v>834</v>
      </c>
      <c r="F27" s="31"/>
      <c r="G27" s="32" t="s">
        <v>834</v>
      </c>
    </row>
    <row r="28" spans="2:7" ht="22.35" customHeight="1">
      <c r="B28" s="28" t="s">
        <v>258</v>
      </c>
      <c r="C28" s="29" t="s">
        <v>834</v>
      </c>
      <c r="D28" s="29" t="s">
        <v>834</v>
      </c>
      <c r="E28" s="30" t="s">
        <v>834</v>
      </c>
      <c r="F28" s="31"/>
      <c r="G28" s="32" t="s">
        <v>834</v>
      </c>
    </row>
    <row r="29" spans="2:7" ht="22.35" customHeight="1">
      <c r="B29" s="28" t="s">
        <v>747</v>
      </c>
      <c r="C29" s="29" t="s">
        <v>834</v>
      </c>
      <c r="D29" s="29" t="s">
        <v>834</v>
      </c>
      <c r="E29" s="30" t="s">
        <v>834</v>
      </c>
      <c r="F29" s="31"/>
      <c r="G29" s="32" t="s">
        <v>834</v>
      </c>
    </row>
    <row r="30" spans="2:7" ht="22.35" customHeight="1">
      <c r="B30" s="28" t="s">
        <v>410</v>
      </c>
      <c r="C30" s="29" t="s">
        <v>834</v>
      </c>
      <c r="D30" s="29" t="s">
        <v>834</v>
      </c>
      <c r="E30" s="30" t="s">
        <v>834</v>
      </c>
      <c r="F30" s="31"/>
      <c r="G30" s="32" t="s">
        <v>834</v>
      </c>
    </row>
    <row r="31" spans="2:7" ht="22.35" customHeight="1">
      <c r="B31" s="28" t="s">
        <v>772</v>
      </c>
      <c r="C31" s="29" t="s">
        <v>834</v>
      </c>
      <c r="D31" s="29" t="s">
        <v>834</v>
      </c>
      <c r="E31" s="30" t="s">
        <v>834</v>
      </c>
      <c r="F31" s="31"/>
      <c r="G31" s="32" t="s">
        <v>834</v>
      </c>
    </row>
    <row r="32" spans="2:7" ht="22.35" customHeight="1">
      <c r="B32" s="28" t="s">
        <v>390</v>
      </c>
      <c r="C32" s="29" t="s">
        <v>834</v>
      </c>
      <c r="D32" s="29" t="s">
        <v>834</v>
      </c>
      <c r="E32" s="30" t="s">
        <v>834</v>
      </c>
      <c r="F32" s="31"/>
      <c r="G32" s="32" t="s">
        <v>834</v>
      </c>
    </row>
    <row r="33" spans="2:7" ht="22.35" customHeight="1">
      <c r="B33" s="33" t="s">
        <v>490</v>
      </c>
      <c r="C33" s="34" t="s">
        <v>834</v>
      </c>
      <c r="D33" s="34" t="s">
        <v>834</v>
      </c>
      <c r="E33" s="35" t="s">
        <v>834</v>
      </c>
      <c r="F33" s="22"/>
      <c r="G33" s="36" t="s">
        <v>834</v>
      </c>
    </row>
    <row r="34" spans="2:7">
      <c r="B34" s="23"/>
      <c r="C34" s="23"/>
      <c r="D34" s="23"/>
      <c r="E34" s="23"/>
      <c r="F34" s="23"/>
      <c r="G34" s="23"/>
    </row>
  </sheetData>
  <mergeCells count="1">
    <mergeCell ref="B1:G2"/>
  </mergeCells>
  <phoneticPr fontId="8" type="noConversion"/>
  <pageMargins left="0.78740157480314965" right="7.874015748031496E-2" top="0.94488188976377963" bottom="0.59055118110236215" header="0.5" footer="0.5"/>
  <pageSetup paperSize="9" scale="85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 지정된 범위</vt:lpstr>
      </vt:variant>
      <vt:variant>
        <vt:i4>26</vt:i4>
      </vt:variant>
    </vt:vector>
  </HeadingPairs>
  <TitlesOfParts>
    <vt:vector size="43" baseType="lpstr">
      <vt:lpstr>표지</vt:lpstr>
      <vt:lpstr>갑지(도급)</vt:lpstr>
      <vt:lpstr>원가계산서</vt:lpstr>
      <vt:lpstr>내역서총괄표(도급)</vt:lpstr>
      <vt:lpstr>도급계약내역서</vt:lpstr>
      <vt:lpstr>제경비산출서(전체)</vt:lpstr>
      <vt:lpstr>적용제경비산출서</vt:lpstr>
      <vt:lpstr>설계내역서</vt:lpstr>
      <vt:lpstr>일위대가총괄표</vt:lpstr>
      <vt:lpstr>일위대가</vt:lpstr>
      <vt:lpstr>단가산출총괄표</vt:lpstr>
      <vt:lpstr>단가산출</vt:lpstr>
      <vt:lpstr>기계경비총괄표</vt:lpstr>
      <vt:lpstr>기계경비</vt:lpstr>
      <vt:lpstr>기계경비적용기준</vt:lpstr>
      <vt:lpstr>자재단가</vt:lpstr>
      <vt:lpstr>노임단가</vt:lpstr>
      <vt:lpstr>기계경비!Print_Area</vt:lpstr>
      <vt:lpstr>기계경비총괄표!Print_Area</vt:lpstr>
      <vt:lpstr>'내역서총괄표(도급)'!Print_Area</vt:lpstr>
      <vt:lpstr>노임단가!Print_Area</vt:lpstr>
      <vt:lpstr>단가산출!Print_Area</vt:lpstr>
      <vt:lpstr>단가산출총괄표!Print_Area</vt:lpstr>
      <vt:lpstr>도급계약내역서!Print_Area</vt:lpstr>
      <vt:lpstr>설계내역서!Print_Area</vt:lpstr>
      <vt:lpstr>원가계산서!Print_Area</vt:lpstr>
      <vt:lpstr>일위대가!Print_Area</vt:lpstr>
      <vt:lpstr>일위대가총괄표!Print_Area</vt:lpstr>
      <vt:lpstr>자재단가!Print_Area</vt:lpstr>
      <vt:lpstr>적용제경비산출서!Print_Area</vt:lpstr>
      <vt:lpstr>'제경비산출서(전체)'!Print_Area</vt:lpstr>
      <vt:lpstr>기계경비!Print_Titles</vt:lpstr>
      <vt:lpstr>기계경비총괄표!Print_Titles</vt:lpstr>
      <vt:lpstr>'내역서총괄표(도급)'!Print_Titles</vt:lpstr>
      <vt:lpstr>노임단가!Print_Titles</vt:lpstr>
      <vt:lpstr>단가산출!Print_Titles</vt:lpstr>
      <vt:lpstr>단가산출총괄표!Print_Titles</vt:lpstr>
      <vt:lpstr>도급계약내역서!Print_Titles</vt:lpstr>
      <vt:lpstr>설계내역서!Print_Titles</vt:lpstr>
      <vt:lpstr>원가계산서!Print_Titles</vt:lpstr>
      <vt:lpstr>일위대가!Print_Titles</vt:lpstr>
      <vt:lpstr>일위대가총괄표!Print_Titles</vt:lpstr>
      <vt:lpstr>자재단가!Print_Titles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이규호</dc:creator>
  <cp:lastModifiedBy>Jeonghun Lee</cp:lastModifiedBy>
  <cp:lastPrinted>2026-04-02T07:51:23Z</cp:lastPrinted>
  <dcterms:created xsi:type="dcterms:W3CDTF">2026-05-22T08:26:50Z</dcterms:created>
  <dcterms:modified xsi:type="dcterms:W3CDTF">2026-05-29T02:17:58Z</dcterms:modified>
</cp:coreProperties>
</file>