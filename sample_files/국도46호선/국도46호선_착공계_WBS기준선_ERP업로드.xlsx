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projects\construction-erp\sample_files\시나리오 테스트\"/>
    </mc:Choice>
  </mc:AlternateContent>
  <xr:revisionPtr revIDLastSave="0" documentId="13_ncr:1_{84757563-F831-4647-8729-532B808325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_사용안내" sheetId="1" r:id="rId1"/>
    <sheet name="01_프로젝트정보" sheetId="2" r:id="rId2"/>
    <sheet name="02_WBS기준선_착공계" sheetId="3" r:id="rId3"/>
    <sheet name="03_예정공정표_반영" sheetId="4" r:id="rId4"/>
    <sheet name="04_동원_장비계획" sheetId="5" r:id="rId5"/>
    <sheet name="05_검증요약" sheetId="6" r:id="rId6"/>
  </sheets>
  <calcPr calcId="191029"/>
</workbook>
</file>

<file path=xl/calcChain.xml><?xml version="1.0" encoding="utf-8"?>
<calcChain xmlns="http://schemas.openxmlformats.org/spreadsheetml/2006/main">
  <c r="J7" i="4" l="1"/>
  <c r="I7" i="4"/>
  <c r="J6" i="4"/>
  <c r="I6" i="4"/>
  <c r="I5" i="4"/>
  <c r="J5" i="4" s="1"/>
  <c r="I4" i="4"/>
  <c r="J4" i="4" s="1"/>
  <c r="B21" i="3"/>
  <c r="D21" i="3" s="1"/>
  <c r="B20" i="3"/>
  <c r="D20" i="3" s="1"/>
  <c r="B19" i="3"/>
  <c r="D19" i="3" s="1"/>
  <c r="B8" i="6" l="1"/>
  <c r="D8" i="6" s="1"/>
</calcChain>
</file>

<file path=xl/sharedStrings.xml><?xml version="1.0" encoding="utf-8"?>
<sst xmlns="http://schemas.openxmlformats.org/spreadsheetml/2006/main" count="464" uniqueCount="282">
  <si>
    <t>WBS 기준선 착공계 Excel 업로드 파일 — 사용안내</t>
  </si>
  <si>
    <t>구분</t>
  </si>
  <si>
    <t>내용</t>
  </si>
  <si>
    <t>비고</t>
  </si>
  <si>
    <t>작성 목적</t>
  </si>
  <si>
    <t>첨부 PDF 착공계의 착공신고서·예정공정표·동원인력·장비투입계획 내용을 ERP WBS 기준선 업로드용 Excel로 정리</t>
  </si>
  <si>
    <t>원천 PDF: 국도46호선_착공계_제출.pdf</t>
  </si>
  <si>
    <t>공사명</t>
  </si>
  <si>
    <t>국도46호선 호평IC교(상) 등 포장 및 시설물 보수공사</t>
  </si>
  <si>
    <t>착공신고서 기준</t>
  </si>
  <si>
    <t>계약금액</t>
  </si>
  <si>
    <t>착공신고서/공사계약서 기준</t>
  </si>
  <si>
    <t>계약일</t>
  </si>
  <si>
    <t>공사계약서 기준</t>
  </si>
  <si>
    <t>착공일</t>
  </si>
  <si>
    <t>준공예정일</t>
  </si>
  <si>
    <t>공사기간</t>
  </si>
  <si>
    <t>착공일로부터 금차 120일, 총공사 120일</t>
  </si>
  <si>
    <t>예정공정표</t>
  </si>
  <si>
    <t>공종 2개: 국도46호선 호평IC교(상) 63.4%, 국도46호선 신규운교 등 36.6%</t>
  </si>
  <si>
    <t>예정공정표 기준</t>
  </si>
  <si>
    <t>업로드 정책</t>
  </si>
  <si>
    <t>WBS 기준선은 착공계 일정 기준으로 작성하며, 세부 CBS/금액 예산은 별도 계약내역서 import와 대사</t>
  </si>
  <si>
    <t>금액 예산이 아닌 일정 기준선 목적</t>
  </si>
  <si>
    <t>주의사항</t>
  </si>
  <si>
    <t>PDF가 스캔본이므로 세부 수량·단가 전체 자동추출이 아닌 착공계에서 확인 가능한 WBS/일정/동원정보 중심으로 구성</t>
  </si>
  <si>
    <t>ERP preview에서 미매칭/누락 검증 필요</t>
  </si>
  <si>
    <t>시트명</t>
  </si>
  <si>
    <t>사용 목적</t>
  </si>
  <si>
    <t>ERP 업로드/검증 포인트</t>
  </si>
  <si>
    <t>01_프로젝트정보</t>
  </si>
  <si>
    <t>공사명, 계약금액, 착공일, 준공예정일 등 프로젝트 헤더 정보</t>
  </si>
  <si>
    <t>프로젝트 신규 등록 또는 기준선 import 전 확인</t>
  </si>
  <si>
    <t>02_WBS기준선_착공계</t>
  </si>
  <si>
    <t>WBS 기준선 업로드용 본표</t>
  </si>
  <si>
    <t>WBS 코드, 시작일, 종료일, 비중, 진행률 적용 여부 확인</t>
  </si>
  <si>
    <t>03_예정공정표_반영</t>
  </si>
  <si>
    <t>착수 20/40/60/80/100/120일 milestone별 계획 진행률</t>
  </si>
  <si>
    <t>CEO/FIELD 예정공정률 대사</t>
  </si>
  <si>
    <t>04_동원_장비계획</t>
  </si>
  <si>
    <t>동원인력 산출표 및 장비투입계획서 요약</t>
  </si>
  <si>
    <t>자원계획 참고, WBS 기준선 직접 업로드 대상은 아님</t>
  </si>
  <si>
    <t>05_검증요약</t>
  </si>
  <si>
    <t>계약금액·기간·WBS 비중·진행률 적용대상 검증</t>
  </si>
  <si>
    <t>업로드 전 PASS/HOLD 판단</t>
  </si>
  <si>
    <t>원천: 국도46호선_착공계_제출.pdf / 작성일: 2026-08-14 / 용도: WBS 기준선 착공계 Excel 업로드 준비</t>
  </si>
  <si>
    <t>프로젝트 정보 — 착공계 원천 반영</t>
  </si>
  <si>
    <t>항목</t>
  </si>
  <si>
    <t>값</t>
  </si>
  <si>
    <t>원천/근거</t>
  </si>
  <si>
    <t>ERP 입력/확인</t>
  </si>
  <si>
    <t>검증상태</t>
  </si>
  <si>
    <t>프로젝트 코드</t>
  </si>
  <si>
    <t>N46-HOPYEONG-20260401</t>
  </si>
  <si>
    <t>착공계 기반 신규 코드</t>
  </si>
  <si>
    <t>프로젝트 코드 또는 외부참조코드</t>
  </si>
  <si>
    <t>사용자 정책에 따라 변경 가능</t>
  </si>
  <si>
    <t>확인필요</t>
  </si>
  <si>
    <t>착공신고서/계약서</t>
  </si>
  <si>
    <t>프로젝트명</t>
  </si>
  <si>
    <t>PASS</t>
  </si>
  <si>
    <t>발주처/기관명</t>
  </si>
  <si>
    <t>국토교통부 서울지방국토관리청 의정부국토관리사무소</t>
  </si>
  <si>
    <t>공사계약서</t>
  </si>
  <si>
    <t>발주처</t>
  </si>
  <si>
    <t>계약상대자</t>
  </si>
  <si>
    <t>주식회사 아산</t>
  </si>
  <si>
    <t>착공계 표지/계약서</t>
  </si>
  <si>
    <t>시공사</t>
  </si>
  <si>
    <t>착공신고서/공사계약서</t>
  </si>
  <si>
    <t>착공신고서</t>
  </si>
  <si>
    <t>프로젝트 시작일</t>
  </si>
  <si>
    <t>프로젝트 종료일</t>
  </si>
  <si>
    <t>120일</t>
  </si>
  <si>
    <t>기간</t>
  </si>
  <si>
    <t>착공일로부터 금차 120일</t>
  </si>
  <si>
    <t>대표 위치 1</t>
  </si>
  <si>
    <t>경기도 남양주시 호평동 [호평IC교(상)]</t>
  </si>
  <si>
    <t>현장 위치</t>
  </si>
  <si>
    <t>대표 위치 2</t>
  </si>
  <si>
    <t>경기도 가평군 청평면 대성리 [신구운교(춘천)]</t>
  </si>
  <si>
    <t>대표 위치 3</t>
  </si>
  <si>
    <t>경기도 가평군 가평면 외서면 청평 [조종교]</t>
  </si>
  <si>
    <t>대표 위치 4</t>
  </si>
  <si>
    <t>경기도 남양주시 평내동 [사능1교(상)/(하)]</t>
  </si>
  <si>
    <t>대표 위치 5</t>
  </si>
  <si>
    <t>경기도 남양주시 진건읍 적성교</t>
  </si>
  <si>
    <t>대표 위치 6</t>
  </si>
  <si>
    <t>경기도 남양주시 호평동 [호평IC교(하)]</t>
  </si>
  <si>
    <t>공사개요</t>
  </si>
  <si>
    <t>호평 IC교(상): 아스팔트 포장 절삭 후 덧씌우기, 국도46호선 신규운교 등 시설물 보수</t>
  </si>
  <si>
    <t>계약내역서 표지/공사개요</t>
  </si>
  <si>
    <t>프로젝트 설명</t>
  </si>
  <si>
    <t>스캔본 일부 우측 잘림</t>
  </si>
  <si>
    <t>WBS 기준선 업로드용 — 착공계 기반</t>
  </si>
  <si>
    <t>ERP업로드상태</t>
  </si>
  <si>
    <t>원천문서</t>
  </si>
  <si>
    <t>원본페이지</t>
  </si>
  <si>
    <t>레벨</t>
  </si>
  <si>
    <t>상위WBS코드</t>
  </si>
  <si>
    <t>WBS코드</t>
  </si>
  <si>
    <t>WBS명</t>
  </si>
  <si>
    <t>공종/구간</t>
  </si>
  <si>
    <t>시작일</t>
  </si>
  <si>
    <t>종료일</t>
  </si>
  <si>
    <t>기간일수</t>
  </si>
  <si>
    <t>기준비중(%)</t>
  </si>
  <si>
    <t>진행률적용대상</t>
  </si>
  <si>
    <t>공정표 D+60(%)</t>
  </si>
  <si>
    <t>공정표 D+80(%)</t>
  </si>
  <si>
    <t>공정표 D+100(%)</t>
  </si>
  <si>
    <t>공정표 D+120(%)</t>
  </si>
  <si>
    <t>업로드대상</t>
  </si>
  <si>
    <t>착공신고서/예정공정표</t>
  </si>
  <si>
    <t>p.4,p.30</t>
  </si>
  <si>
    <t>WBS-00</t>
  </si>
  <si>
    <t>착공 준비 및 현장관리</t>
  </si>
  <si>
    <t>공통</t>
  </si>
  <si>
    <t>N</t>
  </si>
  <si>
    <t>p.30</t>
  </si>
  <si>
    <t>WBS-01</t>
  </si>
  <si>
    <t>국도46호선 호평IC교(상)</t>
  </si>
  <si>
    <t>호평IC교(상)</t>
  </si>
  <si>
    <t>착공전사진대지/계약내역서</t>
  </si>
  <si>
    <t>p.37,p.43,p.44</t>
  </si>
  <si>
    <t>WBS-01-01</t>
  </si>
  <si>
    <t>호평IC교(상) 아스팔트 포장 절삭 후 덧씌우기</t>
  </si>
  <si>
    <t>포장</t>
  </si>
  <si>
    <t>Y</t>
  </si>
  <si>
    <t>계약내역서</t>
  </si>
  <si>
    <t>p.52</t>
  </si>
  <si>
    <t>WBS-01-02</t>
  </si>
  <si>
    <t>호평IC교(상) 교면방수 및 교면 포장</t>
  </si>
  <si>
    <t>교면방수/포장</t>
  </si>
  <si>
    <t>WBS-01-03</t>
  </si>
  <si>
    <t>호평IC교(상) 부대공 및 교통안전관리</t>
  </si>
  <si>
    <t>부대공/교통안전</t>
  </si>
  <si>
    <t>WBS-02</t>
  </si>
  <si>
    <t>국도46호선 신규운교 등</t>
  </si>
  <si>
    <t>신규운교 등</t>
  </si>
  <si>
    <t>착공신고서/계약내역서</t>
  </si>
  <si>
    <t>p.4,p.52</t>
  </si>
  <si>
    <t>WBS-02-01</t>
  </si>
  <si>
    <t>신구운교(춘천) 보수공</t>
  </si>
  <si>
    <t>신구운교(춘천)</t>
  </si>
  <si>
    <t>p.4,p.53</t>
  </si>
  <si>
    <t>WBS-02-02</t>
  </si>
  <si>
    <t>조종교 보수공</t>
  </si>
  <si>
    <t>조종교</t>
  </si>
  <si>
    <t>착공신고서/착공전사진대지</t>
  </si>
  <si>
    <t>p.4,p.40</t>
  </si>
  <si>
    <t>WBS-02-03</t>
  </si>
  <si>
    <t>사능1교(상)/(하) 보수공</t>
  </si>
  <si>
    <t>사능1교</t>
  </si>
  <si>
    <t>p.4,p.41,p.42</t>
  </si>
  <si>
    <t>WBS-02-04</t>
  </si>
  <si>
    <t>적성교 보수공</t>
  </si>
  <si>
    <t>적성교</t>
  </si>
  <si>
    <t>p.4,p.45,p.46</t>
  </si>
  <si>
    <t>WBS-02-05</t>
  </si>
  <si>
    <t>호평IC교(하) 보수공</t>
  </si>
  <si>
    <t>호평IC교(하)</t>
  </si>
  <si>
    <t>참고</t>
  </si>
  <si>
    <t>동원인력/장비계획</t>
  </si>
  <si>
    <t>p.32,p.34</t>
  </si>
  <si>
    <t>WBS-RS</t>
  </si>
  <si>
    <t>동원 인력·장비 계획</t>
  </si>
  <si>
    <t>자원계획</t>
  </si>
  <si>
    <t>검증항목</t>
  </si>
  <si>
    <t>기준</t>
  </si>
  <si>
    <t>판정</t>
  </si>
  <si>
    <t>진행률 적용 WBS 비중 합계</t>
  </si>
  <si>
    <t>100.0</t>
  </si>
  <si>
    <t>비적용/참고 WBS 비중 합계</t>
  </si>
  <si>
    <t>0.0</t>
  </si>
  <si>
    <t>업로드 대상 행 수</t>
  </si>
  <si>
    <t>11</t>
  </si>
  <si>
    <t>2026-04-01</t>
  </si>
  <si>
    <t>2026-07-29</t>
  </si>
  <si>
    <t>예정공정표 반영 — 착수일 기준 Milestone</t>
  </si>
  <si>
    <t>공종/WBS</t>
  </si>
  <si>
    <t>비중(%)</t>
  </si>
  <si>
    <t>착수20일
2026-04-20</t>
  </si>
  <si>
    <t>착수40일
2026-05-10</t>
  </si>
  <si>
    <t>착수60일
2026-05-30</t>
  </si>
  <si>
    <t>착수80일
2026-06-19</t>
  </si>
  <si>
    <t>착수100일
2026-07-09</t>
  </si>
  <si>
    <t>착수120일
2026-07-29</t>
  </si>
  <si>
    <t>계획합계</t>
  </si>
  <si>
    <t>누계합계</t>
  </si>
  <si>
    <t>WBS-01 국도46호선 호평IC교(상)</t>
  </si>
  <si>
    <t>PDF 예정공정표에는 60/80일 15.8%가 보이며 100/120일은 총비중 기준 균등 배분</t>
  </si>
  <si>
    <t>WBS-02 국도46호선 신규운교 등</t>
  </si>
  <si>
    <t>PDF 예정공정표에는 60/80일 9.2%가 보이며 100/120일은 총비중 기준 균등 배분</t>
  </si>
  <si>
    <t>소계</t>
  </si>
  <si>
    <t>계획 진행률 소계</t>
  </si>
  <si>
    <t>누계</t>
  </si>
  <si>
    <t>누계 예정공정률</t>
  </si>
  <si>
    <t>Milestone</t>
  </si>
  <si>
    <t>기준일</t>
  </si>
  <si>
    <t>주요내용</t>
  </si>
  <si>
    <t>예정공정률(해당기간)</t>
  </si>
  <si>
    <t>예정공정률(누계)</t>
  </si>
  <si>
    <t>착수 20일</t>
  </si>
  <si>
    <t>자재 및 현장준비</t>
  </si>
  <si>
    <t>예정공정표 p.30</t>
  </si>
  <si>
    <t>착수 40일</t>
  </si>
  <si>
    <t>착수 60일</t>
  </si>
  <si>
    <t>호평IC교(상) 15.8%, 신규운교 등 9.2%</t>
  </si>
  <si>
    <t>착수 80일</t>
  </si>
  <si>
    <t>착수 100일</t>
  </si>
  <si>
    <t>잔여 공정 25% 계획</t>
  </si>
  <si>
    <t>계획보정</t>
  </si>
  <si>
    <t>착수 120일</t>
  </si>
  <si>
    <t>준공 예정 100%</t>
  </si>
  <si>
    <t>계약서/착공신고서</t>
  </si>
  <si>
    <t>동원 인력 및 장비 투입 계획 — 착공계 요약</t>
  </si>
  <si>
    <t>세부항목</t>
  </si>
  <si>
    <t>계</t>
  </si>
  <si>
    <t>착수20일</t>
  </si>
  <si>
    <t>착수40일</t>
  </si>
  <si>
    <t>착수60일</t>
  </si>
  <si>
    <t>착수80일</t>
  </si>
  <si>
    <t>착수100일</t>
  </si>
  <si>
    <t>착수120일</t>
  </si>
  <si>
    <t>WBS연계</t>
  </si>
  <si>
    <t>원천페이지</t>
  </si>
  <si>
    <t>동원인력</t>
  </si>
  <si>
    <t>보통인부</t>
  </si>
  <si>
    <t>WBS-01/WBS-02</t>
  </si>
  <si>
    <t>p.32</t>
  </si>
  <si>
    <t>PDF 동원인력 산출표</t>
  </si>
  <si>
    <t>특별인부</t>
  </si>
  <si>
    <t>총 620</t>
  </si>
  <si>
    <t>장비</t>
  </si>
  <si>
    <t>노면파쇄기</t>
  </si>
  <si>
    <t>p.34</t>
  </si>
  <si>
    <t>로더(타이어)</t>
  </si>
  <si>
    <t>아스팔트 피니셔</t>
  </si>
  <si>
    <t>머캐덤롤러</t>
  </si>
  <si>
    <t>타이어롤러</t>
  </si>
  <si>
    <t>탠덤롤러</t>
  </si>
  <si>
    <t>굴착기(타이어)</t>
  </si>
  <si>
    <t>쿠커</t>
  </si>
  <si>
    <t>살수차</t>
  </si>
  <si>
    <t>QRA장비</t>
  </si>
  <si>
    <t>착수80/100/120일</t>
  </si>
  <si>
    <t>유압잭</t>
  </si>
  <si>
    <t>검증요약 — 업로드 전 확인</t>
  </si>
  <si>
    <t>값/결과</t>
  </si>
  <si>
    <t>조치</t>
  </si>
  <si>
    <t>원천</t>
  </si>
  <si>
    <t>담당</t>
  </si>
  <si>
    <t>착공계와 일치</t>
  </si>
  <si>
    <t>p.4,p.48,p.50</t>
  </si>
  <si>
    <t>HQ</t>
  </si>
  <si>
    <t>571,022,700</t>
  </si>
  <si>
    <t>p.4,p.48</t>
  </si>
  <si>
    <t>WBS 진행률 적용 비중 합계</t>
  </si>
  <si>
    <t>100.0%</t>
  </si>
  <si>
    <t>02_WBS기준선_착공계 시트 확인</t>
  </si>
  <si>
    <t>WBS-00 준비/자원계획 비중</t>
  </si>
  <si>
    <t>진행률 산정 제외</t>
  </si>
  <si>
    <t>p.30,p.32,p.34</t>
  </si>
  <si>
    <t>D+60 예정공정률</t>
  </si>
  <si>
    <t>25.0%</t>
  </si>
  <si>
    <t>D+80 누계 예정공정률</t>
  </si>
  <si>
    <t>50.0%</t>
  </si>
  <si>
    <t>D+120 누계 예정공정률</t>
  </si>
  <si>
    <t>D+100/D+120은 총 120일 기간 완성을 위해 계획 보정</t>
  </si>
  <si>
    <t>p.30,p.48</t>
  </si>
  <si>
    <t>스캔본 p.30은 우측 일부가 잘려 보임</t>
  </si>
  <si>
    <t>개인정보</t>
  </si>
  <si>
    <t>착공계 원본에는 개인 성명/연락처/주소가 있으나 본 Excel에는 현장조직 연락처를 제외하고 WBS 업로드 필수정보 중심으로 작성</t>
  </si>
  <si>
    <t>불필요 개인정보 최소화</t>
  </si>
  <si>
    <t>p.6~p.28</t>
  </si>
  <si>
    <t>운영 업로드 시 PII 별도 통제</t>
  </si>
  <si>
    <t>상위 WBS 비중 처리</t>
  </si>
  <si>
    <t>WBS-01/WBS-02 상위 행은 구조 행으로 두고, 진행률 비중은 하위 leaf WBS에만 배분</t>
  </si>
  <si>
    <t>leaf WBS 비중 합계 100%</t>
  </si>
  <si>
    <t>ERP 업로드 정책</t>
  </si>
  <si>
    <t>상위행 중복산정 방지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</si>
</sst>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yy\-mm\-dd"/>
    <numFmt numFmtId="177" formatCode="0.0"/>
  </numFmts>
  <fonts count="6">
    <font>
      <sz val="11"/>
      <name val="Carlito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i/>
      <sz val="10"/>
      <color rgb="FF595959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41" fontId="4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3" fontId="2" fillId="0" borderId="0" xfId="1" applyNumberFormat="1" applyFont="1" applyAlignment="1">
      <alignment vertical="center" wrapText="1"/>
    </xf>
    <xf numFmtId="176" fontId="2" fillId="0" borderId="0" xfId="1" applyNumberFormat="1" applyFont="1" applyAlignment="1">
      <alignment vertical="center" wrapText="1"/>
    </xf>
    <xf numFmtId="1" fontId="2" fillId="0" borderId="0" xfId="1" applyNumberFormat="1" applyFont="1" applyAlignment="1">
      <alignment vertical="center" wrapText="1"/>
    </xf>
    <xf numFmtId="177" fontId="2" fillId="0" borderId="0" xfId="1" applyNumberFormat="1" applyFont="1" applyAlignment="1">
      <alignment vertical="center" wrapText="1"/>
    </xf>
    <xf numFmtId="0" fontId="3" fillId="3" borderId="0" xfId="1" applyFont="1" applyFill="1" applyAlignment="1">
      <alignment vertical="center" wrapText="1"/>
    </xf>
    <xf numFmtId="0" fontId="1" fillId="2" borderId="0" xfId="1" applyFont="1" applyFill="1" applyAlignment="1">
      <alignment horizontal="center" vertical="center" wrapText="1"/>
    </xf>
    <xf numFmtId="14" fontId="2" fillId="0" borderId="0" xfId="1" applyNumberFormat="1" applyFont="1" applyAlignment="1">
      <alignment vertical="center" wrapText="1"/>
    </xf>
    <xf numFmtId="0" fontId="3" fillId="3" borderId="0" xfId="1" applyFont="1" applyFill="1" applyAlignment="1">
      <alignment vertical="center"/>
    </xf>
    <xf numFmtId="41" fontId="2" fillId="0" borderId="0" xfId="2" applyFont="1" applyAlignment="1">
      <alignment vertical="center" wrapText="1"/>
    </xf>
  </cellXfs>
  <cellStyles count="3">
    <cellStyle name="Normal" xfId="1" xr:uid="{00000000-0005-0000-0000-000000000000}"/>
    <cellStyle name="쉼표 [0]" xfId="2" builtinId="6"/>
    <cellStyle name="표준" xfId="0" builtinId="0"/>
  </cellStyles>
  <dxfs count="9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6500"/>
      </font>
      <fill>
        <patternFill patternType="solid">
          <bgColor rgb="FFFFF2CC"/>
        </patternFill>
      </fill>
    </dxf>
    <dxf>
      <font>
        <b/>
        <color rgb="FF006100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deMain" displayName="GuideMain" ref="A3:C13" totalsRowShown="0">
  <tableColumns count="3">
    <tableColumn id="1" xr3:uid="{00000000-0010-0000-0000-000001000000}" name="구분"/>
    <tableColumn id="2" xr3:uid="{00000000-0010-0000-0000-000002000000}" name="내용"/>
    <tableColumn id="3" xr3:uid="{00000000-0010-0000-0000-000003000000}" name="비고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uideSheets" displayName="GuideSheets" ref="A15:C20" totalsRowShown="0">
  <tableColumns count="3">
    <tableColumn id="1" xr3:uid="{00000000-0010-0000-0100-000001000000}" name="시트명"/>
    <tableColumn id="2" xr3:uid="{00000000-0010-0000-0100-000002000000}" name="사용 목적"/>
    <tableColumn id="3" xr3:uid="{00000000-0010-0000-0100-000003000000}" name="ERP 업로드/검증 포인트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jectInfo" displayName="ProjectInfo" ref="A3:F19" totalsRowShown="0">
  <tableColumns count="6">
    <tableColumn id="1" xr3:uid="{00000000-0010-0000-0200-000001000000}" name="항목"/>
    <tableColumn id="2" xr3:uid="{00000000-0010-0000-0200-000002000000}" name="값"/>
    <tableColumn id="3" xr3:uid="{00000000-0010-0000-0200-000003000000}" name="원천/근거"/>
    <tableColumn id="4" xr3:uid="{00000000-0010-0000-0200-000004000000}" name="ERP 입력/확인"/>
    <tableColumn id="5" xr3:uid="{00000000-0010-0000-0200-000005000000}" name="비고"/>
    <tableColumn id="6" xr3:uid="{00000000-0010-0000-0200-000006000000}" name="검증상태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BSBaselineUpload" displayName="WBSBaselineUpload" ref="A3:Q15" totalsRowShown="0">
  <tableColumns count="17">
    <tableColumn id="1" xr3:uid="{00000000-0010-0000-0300-000001000000}" name="ERP업로드상태"/>
    <tableColumn id="2" xr3:uid="{00000000-0010-0000-0300-000002000000}" name="원천문서"/>
    <tableColumn id="3" xr3:uid="{00000000-0010-0000-0300-000003000000}" name="원본페이지"/>
    <tableColumn id="4" xr3:uid="{00000000-0010-0000-0300-000004000000}" name="레벨"/>
    <tableColumn id="5" xr3:uid="{00000000-0010-0000-0300-000005000000}" name="상위WBS코드"/>
    <tableColumn id="6" xr3:uid="{00000000-0010-0000-0300-000006000000}" name="WBS코드"/>
    <tableColumn id="7" xr3:uid="{00000000-0010-0000-0300-000007000000}" name="WBS명"/>
    <tableColumn id="8" xr3:uid="{00000000-0010-0000-0300-000008000000}" name="공종/구간"/>
    <tableColumn id="9" xr3:uid="{00000000-0010-0000-0300-000009000000}" name="시작일"/>
    <tableColumn id="10" xr3:uid="{00000000-0010-0000-0300-00000A000000}" name="종료일"/>
    <tableColumn id="11" xr3:uid="{00000000-0010-0000-0300-00000B000000}" name="기간일수"/>
    <tableColumn id="12" xr3:uid="{00000000-0010-0000-0300-00000C000000}" name="기준비중(%)"/>
    <tableColumn id="13" xr3:uid="{00000000-0010-0000-0300-00000D000000}" name="진행률적용대상"/>
    <tableColumn id="14" xr3:uid="{00000000-0010-0000-0300-00000E000000}" name="공정표 D+60(%)"/>
    <tableColumn id="15" xr3:uid="{00000000-0010-0000-0300-00000F000000}" name="공정표 D+80(%)"/>
    <tableColumn id="16" xr3:uid="{00000000-0010-0000-0300-000010000000}" name="공정표 D+100(%)"/>
    <tableColumn id="17" xr3:uid="{00000000-0010-0000-0300-000011000000}" name="공정표 D+120(%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cheduleSummary" displayName="ScheduleSummary" ref="A3:K7" totalsRowShown="0">
  <tableColumns count="11">
    <tableColumn id="1" xr3:uid="{00000000-0010-0000-0400-000001000000}" name="공종/WBS"/>
    <tableColumn id="2" xr3:uid="{00000000-0010-0000-0400-000002000000}" name="비중(%)"/>
    <tableColumn id="3" xr3:uid="{00000000-0010-0000-0400-000003000000}" name="착수20일_x000a_2026-04-20"/>
    <tableColumn id="4" xr3:uid="{00000000-0010-0000-0400-000004000000}" name="착수40일_x000a_2026-05-10"/>
    <tableColumn id="5" xr3:uid="{00000000-0010-0000-0400-000005000000}" name="착수60일_x000a_2026-05-30"/>
    <tableColumn id="6" xr3:uid="{00000000-0010-0000-0400-000006000000}" name="착수80일_x000a_2026-06-19"/>
    <tableColumn id="7" xr3:uid="{00000000-0010-0000-0400-000007000000}" name="착수100일_x000a_2026-07-09"/>
    <tableColumn id="8" xr3:uid="{00000000-0010-0000-0400-000008000000}" name="착수120일_x000a_2026-07-29"/>
    <tableColumn id="9" xr3:uid="{00000000-0010-0000-0400-000009000000}" name="계획합계"/>
    <tableColumn id="10" xr3:uid="{00000000-0010-0000-0400-00000A000000}" name="누계합계"/>
    <tableColumn id="11" xr3:uid="{00000000-0010-0000-0400-00000B000000}" name="비고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Milestones" displayName="Milestones" ref="A10:F16" totalsRowShown="0">
  <tableColumns count="6">
    <tableColumn id="1" xr3:uid="{00000000-0010-0000-0500-000001000000}" name="Milestone"/>
    <tableColumn id="2" xr3:uid="{00000000-0010-0000-0500-000002000000}" name="기준일"/>
    <tableColumn id="3" xr3:uid="{00000000-0010-0000-0500-000003000000}" name="주요내용"/>
    <tableColumn id="4" xr3:uid="{00000000-0010-0000-0500-000004000000}" name="예정공정률(해당기간)"/>
    <tableColumn id="5" xr3:uid="{00000000-0010-0000-0500-000005000000}" name="예정공정률(누계)"/>
    <tableColumn id="6" xr3:uid="{00000000-0010-0000-0500-000006000000}" name="원천문서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obilizationPlan" displayName="MobilizationPlan" ref="A3:L17" totalsRowShown="0">
  <tableColumns count="12">
    <tableColumn id="1" xr3:uid="{00000000-0010-0000-0600-000001000000}" name="구분"/>
    <tableColumn id="2" xr3:uid="{00000000-0010-0000-0600-000002000000}" name="세부항목"/>
    <tableColumn id="3" xr3:uid="{00000000-0010-0000-0600-000003000000}" name="계"/>
    <tableColumn id="4" xr3:uid="{00000000-0010-0000-0600-000004000000}" name="착수20일"/>
    <tableColumn id="5" xr3:uid="{00000000-0010-0000-0600-000005000000}" name="착수40일"/>
    <tableColumn id="6" xr3:uid="{00000000-0010-0000-0600-000006000000}" name="착수60일"/>
    <tableColumn id="7" xr3:uid="{00000000-0010-0000-0600-000007000000}" name="착수80일"/>
    <tableColumn id="8" xr3:uid="{00000000-0010-0000-0600-000008000000}" name="착수100일"/>
    <tableColumn id="9" xr3:uid="{00000000-0010-0000-0600-000009000000}" name="착수120일"/>
    <tableColumn id="10" xr3:uid="{00000000-0010-0000-0600-00000A000000}" name="WBS연계"/>
    <tableColumn id="11" xr3:uid="{00000000-0010-0000-0600-00000B000000}" name="원천페이지"/>
    <tableColumn id="12" xr3:uid="{00000000-0010-0000-0600-00000C000000}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ValidationSummary" displayName="ValidationSummary" ref="A3:H13" totalsRowShown="0">
  <tableColumns count="8">
    <tableColumn id="1" xr3:uid="{00000000-0010-0000-0700-000001000000}" name="검증항목"/>
    <tableColumn id="2" xr3:uid="{00000000-0010-0000-0700-000002000000}" name="값/결과"/>
    <tableColumn id="3" xr3:uid="{00000000-0010-0000-0700-000003000000}" name="기준"/>
    <tableColumn id="4" xr3:uid="{00000000-0010-0000-0700-000004000000}" name="판정"/>
    <tableColumn id="5" xr3:uid="{00000000-0010-0000-0700-000005000000}" name="조치"/>
    <tableColumn id="6" xr3:uid="{00000000-0010-0000-0700-000006000000}" name="원천"/>
    <tableColumn id="7" xr3:uid="{00000000-0010-0000-0700-000007000000}" name="비고"/>
    <tableColumn id="8" xr3:uid="{00000000-0010-0000-0700-000008000000}" name="담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00"/>
  <sheetViews>
    <sheetView tabSelected="1" workbookViewId="0">
      <selection sqref="A1:H1"/>
    </sheetView>
  </sheetViews>
  <sheetFormatPr defaultRowHeight="14.25"/>
  <cols>
    <col min="1" max="1" width="23.125" customWidth="1"/>
    <col min="2" max="2" width="96.75" bestFit="1" customWidth="1"/>
    <col min="3" max="3" width="42" customWidth="1"/>
  </cols>
  <sheetData>
    <row r="1" spans="1:26" ht="15" customHeight="1">
      <c r="A1" s="8" t="s">
        <v>0</v>
      </c>
      <c r="B1" s="8"/>
      <c r="C1" s="8"/>
      <c r="D1" s="8"/>
      <c r="E1" s="8"/>
      <c r="F1" s="8"/>
      <c r="G1" s="8"/>
      <c r="H1" s="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" t="s">
        <v>1</v>
      </c>
      <c r="B3" s="1" t="s">
        <v>2</v>
      </c>
      <c r="C3" s="1" t="s">
        <v>3</v>
      </c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2" t="s">
        <v>4</v>
      </c>
      <c r="B4" s="2" t="s">
        <v>5</v>
      </c>
      <c r="C4" s="2" t="s">
        <v>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 t="s">
        <v>7</v>
      </c>
      <c r="B5" s="3" t="s">
        <v>8</v>
      </c>
      <c r="C5" s="2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 t="s">
        <v>10</v>
      </c>
      <c r="B6" s="11">
        <v>571022700</v>
      </c>
      <c r="C6" s="2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 t="s">
        <v>12</v>
      </c>
      <c r="B7" s="4">
        <v>46108</v>
      </c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" t="s">
        <v>14</v>
      </c>
      <c r="B8" s="9">
        <v>46113</v>
      </c>
      <c r="C8" s="2" t="s">
        <v>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" t="s">
        <v>15</v>
      </c>
      <c r="B9" s="9">
        <v>46232</v>
      </c>
      <c r="C9" s="2" t="s">
        <v>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 t="s">
        <v>16</v>
      </c>
      <c r="B10" s="2" t="s">
        <v>17</v>
      </c>
      <c r="C10" s="2" t="s">
        <v>13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 t="s">
        <v>18</v>
      </c>
      <c r="B11" s="2" t="s">
        <v>19</v>
      </c>
      <c r="C11" s="2" t="s">
        <v>20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 t="s">
        <v>21</v>
      </c>
      <c r="B12" s="2" t="s">
        <v>22</v>
      </c>
      <c r="C12" s="2" t="s">
        <v>23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 t="s">
        <v>24</v>
      </c>
      <c r="B13" s="2" t="s">
        <v>25</v>
      </c>
      <c r="C13" s="2" t="s">
        <v>26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1" t="s">
        <v>27</v>
      </c>
      <c r="B15" s="1" t="s">
        <v>28</v>
      </c>
      <c r="C15" s="1" t="s">
        <v>29</v>
      </c>
      <c r="D15" s="1"/>
      <c r="E15" s="1"/>
      <c r="F15" s="1"/>
      <c r="G15" s="1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 t="s">
        <v>30</v>
      </c>
      <c r="B16" s="2" t="s">
        <v>31</v>
      </c>
      <c r="C16" s="2" t="s">
        <v>32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 t="s">
        <v>33</v>
      </c>
      <c r="B17" s="2" t="s">
        <v>34</v>
      </c>
      <c r="C17" s="2" t="s">
        <v>35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 t="s">
        <v>36</v>
      </c>
      <c r="B18" s="2" t="s">
        <v>37</v>
      </c>
      <c r="C18" s="2" t="s">
        <v>38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 t="s">
        <v>39</v>
      </c>
      <c r="B19" s="2" t="s">
        <v>40</v>
      </c>
      <c r="C19" s="2" t="s">
        <v>41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 t="s">
        <v>42</v>
      </c>
      <c r="B20" s="2" t="s">
        <v>43</v>
      </c>
      <c r="C20" s="2" t="s">
        <v>44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10" t="s">
        <v>45</v>
      </c>
      <c r="B28" s="7"/>
      <c r="C28" s="7"/>
      <c r="D28" s="7"/>
      <c r="E28" s="7"/>
      <c r="F28" s="7"/>
      <c r="G28" s="7"/>
      <c r="H28" s="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H1"/>
  </mergeCells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00"/>
  <sheetViews>
    <sheetView workbookViewId="0">
      <selection activeCell="B32" sqref="B32"/>
    </sheetView>
  </sheetViews>
  <sheetFormatPr defaultRowHeight="14.25"/>
  <cols>
    <col min="1" max="1" width="18" customWidth="1"/>
    <col min="2" max="2" width="55" customWidth="1"/>
    <col min="3" max="6" width="24" customWidth="1"/>
  </cols>
  <sheetData>
    <row r="1" spans="1:26" ht="15" customHeight="1">
      <c r="A1" s="8" t="s">
        <v>46</v>
      </c>
      <c r="B1" s="8"/>
      <c r="C1" s="8"/>
      <c r="D1" s="8"/>
      <c r="E1" s="8"/>
      <c r="F1" s="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" t="s">
        <v>47</v>
      </c>
      <c r="B3" s="1" t="s">
        <v>48</v>
      </c>
      <c r="C3" s="1" t="s">
        <v>49</v>
      </c>
      <c r="D3" s="1" t="s">
        <v>50</v>
      </c>
      <c r="E3" s="1" t="s">
        <v>3</v>
      </c>
      <c r="F3" s="1" t="s">
        <v>51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2" t="s">
        <v>52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57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 t="s">
        <v>7</v>
      </c>
      <c r="B5" s="2" t="s">
        <v>8</v>
      </c>
      <c r="C5" s="2" t="s">
        <v>58</v>
      </c>
      <c r="D5" s="2" t="s">
        <v>59</v>
      </c>
      <c r="E5" s="2"/>
      <c r="F5" s="2" t="s">
        <v>60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 t="s">
        <v>61</v>
      </c>
      <c r="B6" s="2" t="s">
        <v>62</v>
      </c>
      <c r="C6" s="2" t="s">
        <v>63</v>
      </c>
      <c r="D6" s="2" t="s">
        <v>64</v>
      </c>
      <c r="E6" s="2"/>
      <c r="F6" s="2" t="s">
        <v>60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 t="s">
        <v>65</v>
      </c>
      <c r="B7" s="2" t="s">
        <v>66</v>
      </c>
      <c r="C7" s="2" t="s">
        <v>67</v>
      </c>
      <c r="D7" s="2" t="s">
        <v>68</v>
      </c>
      <c r="E7" s="2"/>
      <c r="F7" s="2" t="s">
        <v>60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" t="s">
        <v>10</v>
      </c>
      <c r="B8" s="3">
        <v>571022700</v>
      </c>
      <c r="C8" s="2" t="s">
        <v>69</v>
      </c>
      <c r="D8" s="2" t="s">
        <v>10</v>
      </c>
      <c r="E8" s="2"/>
      <c r="F8" s="2" t="s">
        <v>60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" t="s">
        <v>12</v>
      </c>
      <c r="B9" s="4">
        <v>46108</v>
      </c>
      <c r="C9" s="2" t="s">
        <v>63</v>
      </c>
      <c r="D9" s="2" t="s">
        <v>12</v>
      </c>
      <c r="E9" s="2"/>
      <c r="F9" s="2" t="s">
        <v>60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 t="s">
        <v>14</v>
      </c>
      <c r="B10" s="4">
        <v>46113</v>
      </c>
      <c r="C10" s="2" t="s">
        <v>70</v>
      </c>
      <c r="D10" s="2" t="s">
        <v>71</v>
      </c>
      <c r="E10" s="2"/>
      <c r="F10" s="2" t="s">
        <v>60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 t="s">
        <v>15</v>
      </c>
      <c r="B11" s="9">
        <v>46232</v>
      </c>
      <c r="C11" s="2" t="s">
        <v>69</v>
      </c>
      <c r="D11" s="2" t="s">
        <v>72</v>
      </c>
      <c r="E11" s="2"/>
      <c r="F11" s="2" t="s">
        <v>60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 t="s">
        <v>16</v>
      </c>
      <c r="B12" s="2" t="s">
        <v>73</v>
      </c>
      <c r="C12" s="2" t="s">
        <v>63</v>
      </c>
      <c r="D12" s="2" t="s">
        <v>74</v>
      </c>
      <c r="E12" s="2" t="s">
        <v>75</v>
      </c>
      <c r="F12" s="2" t="s">
        <v>60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 t="s">
        <v>76</v>
      </c>
      <c r="B13" s="2" t="s">
        <v>77</v>
      </c>
      <c r="C13" s="2" t="s">
        <v>70</v>
      </c>
      <c r="D13" s="2" t="s">
        <v>78</v>
      </c>
      <c r="E13" s="2"/>
      <c r="F13" s="2" t="s">
        <v>60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 t="s">
        <v>79</v>
      </c>
      <c r="B14" s="2" t="s">
        <v>80</v>
      </c>
      <c r="C14" s="2" t="s">
        <v>70</v>
      </c>
      <c r="D14" s="2" t="s">
        <v>78</v>
      </c>
      <c r="E14" s="2"/>
      <c r="F14" s="2" t="s">
        <v>60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 t="s">
        <v>81</v>
      </c>
      <c r="B15" s="2" t="s">
        <v>82</v>
      </c>
      <c r="C15" s="2" t="s">
        <v>70</v>
      </c>
      <c r="D15" s="2" t="s">
        <v>78</v>
      </c>
      <c r="E15" s="2"/>
      <c r="F15" s="2" t="s">
        <v>60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 t="s">
        <v>83</v>
      </c>
      <c r="B16" s="2" t="s">
        <v>84</v>
      </c>
      <c r="C16" s="2" t="s">
        <v>70</v>
      </c>
      <c r="D16" s="2" t="s">
        <v>78</v>
      </c>
      <c r="E16" s="2"/>
      <c r="F16" s="2" t="s">
        <v>60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 t="s">
        <v>85</v>
      </c>
      <c r="B17" s="2" t="s">
        <v>86</v>
      </c>
      <c r="C17" s="2" t="s">
        <v>70</v>
      </c>
      <c r="D17" s="2" t="s">
        <v>78</v>
      </c>
      <c r="E17" s="2"/>
      <c r="F17" s="2" t="s">
        <v>60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 t="s">
        <v>87</v>
      </c>
      <c r="B18" s="2" t="s">
        <v>88</v>
      </c>
      <c r="C18" s="2" t="s">
        <v>70</v>
      </c>
      <c r="D18" s="2" t="s">
        <v>78</v>
      </c>
      <c r="E18" s="2"/>
      <c r="F18" s="2" t="s">
        <v>60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7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s">
        <v>57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10" t="s">
        <v>45</v>
      </c>
      <c r="B28" s="7"/>
      <c r="C28" s="7"/>
      <c r="D28" s="7"/>
      <c r="E28" s="7"/>
      <c r="F28" s="7"/>
      <c r="G28" s="7"/>
      <c r="H28" s="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F1"/>
  </mergeCells>
  <phoneticPr fontId="5" type="noConversion"/>
  <conditionalFormatting sqref="F4:F25">
    <cfRule type="expression" dxfId="8" priority="1">
      <formula>F4="PASS"</formula>
    </cfRule>
    <cfRule type="expression" dxfId="7" priority="2">
      <formula>F4="HOLD"</formula>
    </cfRule>
    <cfRule type="expression" dxfId="6" priority="3">
      <formula>F4="FAIL"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00"/>
  <sheetViews>
    <sheetView workbookViewId="0">
      <selection activeCell="A26" sqref="A26"/>
    </sheetView>
  </sheetViews>
  <sheetFormatPr defaultRowHeight="14.25"/>
  <cols>
    <col min="1" max="1" width="13" customWidth="1"/>
    <col min="2" max="2" width="18" customWidth="1"/>
    <col min="3" max="3" width="13" customWidth="1"/>
    <col min="4" max="6" width="12" customWidth="1"/>
    <col min="7" max="7" width="36" customWidth="1"/>
    <col min="8" max="8" width="20" customWidth="1"/>
    <col min="9" max="10" width="13" customWidth="1"/>
    <col min="11" max="17" width="12" customWidth="1"/>
  </cols>
  <sheetData>
    <row r="1" spans="1:26" ht="15" customHeight="1">
      <c r="A1" s="8" t="s">
        <v>94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" t="s">
        <v>95</v>
      </c>
      <c r="B3" s="1" t="s">
        <v>96</v>
      </c>
      <c r="C3" s="1" t="s">
        <v>97</v>
      </c>
      <c r="D3" s="1" t="s">
        <v>98</v>
      </c>
      <c r="E3" s="1" t="s">
        <v>99</v>
      </c>
      <c r="F3" s="1" t="s">
        <v>100</v>
      </c>
      <c r="G3" s="1" t="s">
        <v>101</v>
      </c>
      <c r="H3" s="1" t="s">
        <v>102</v>
      </c>
      <c r="I3" s="1" t="s">
        <v>103</v>
      </c>
      <c r="J3" s="1" t="s">
        <v>104</v>
      </c>
      <c r="K3" s="1" t="s">
        <v>105</v>
      </c>
      <c r="L3" s="1" t="s">
        <v>106</v>
      </c>
      <c r="M3" s="1" t="s">
        <v>107</v>
      </c>
      <c r="N3" s="1" t="s">
        <v>108</v>
      </c>
      <c r="O3" s="1" t="s">
        <v>109</v>
      </c>
      <c r="P3" s="1" t="s">
        <v>110</v>
      </c>
      <c r="Q3" s="1" t="s">
        <v>111</v>
      </c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2" t="s">
        <v>112</v>
      </c>
      <c r="B4" s="2" t="s">
        <v>113</v>
      </c>
      <c r="C4" s="2" t="s">
        <v>114</v>
      </c>
      <c r="D4" s="2">
        <v>1</v>
      </c>
      <c r="E4" s="2"/>
      <c r="F4" s="2" t="s">
        <v>115</v>
      </c>
      <c r="G4" s="2" t="s">
        <v>116</v>
      </c>
      <c r="H4" s="2" t="s">
        <v>117</v>
      </c>
      <c r="I4" s="4">
        <v>46113</v>
      </c>
      <c r="J4" s="4">
        <v>46152</v>
      </c>
      <c r="K4" s="5">
        <v>40</v>
      </c>
      <c r="L4" s="6">
        <v>0</v>
      </c>
      <c r="M4" s="6" t="s">
        <v>118</v>
      </c>
      <c r="N4" s="6">
        <v>0</v>
      </c>
      <c r="O4" s="6">
        <v>0</v>
      </c>
      <c r="P4" s="6">
        <v>0</v>
      </c>
      <c r="Q4" s="6">
        <v>0</v>
      </c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 t="s">
        <v>112</v>
      </c>
      <c r="B5" s="2" t="s">
        <v>18</v>
      </c>
      <c r="C5" s="2" t="s">
        <v>119</v>
      </c>
      <c r="D5" s="2">
        <v>1</v>
      </c>
      <c r="E5" s="2"/>
      <c r="F5" s="2" t="s">
        <v>120</v>
      </c>
      <c r="G5" s="2" t="s">
        <v>121</v>
      </c>
      <c r="H5" s="2" t="s">
        <v>122</v>
      </c>
      <c r="I5" s="4">
        <v>46172</v>
      </c>
      <c r="J5" s="4">
        <v>46232</v>
      </c>
      <c r="K5" s="5">
        <v>61</v>
      </c>
      <c r="L5" s="6">
        <v>0</v>
      </c>
      <c r="M5" s="6" t="s">
        <v>118</v>
      </c>
      <c r="N5" s="6">
        <v>0</v>
      </c>
      <c r="O5" s="6">
        <v>0</v>
      </c>
      <c r="P5" s="6">
        <v>0</v>
      </c>
      <c r="Q5" s="6">
        <v>0</v>
      </c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 t="s">
        <v>112</v>
      </c>
      <c r="B6" s="2" t="s">
        <v>123</v>
      </c>
      <c r="C6" s="2" t="s">
        <v>124</v>
      </c>
      <c r="D6" s="2">
        <v>2</v>
      </c>
      <c r="E6" s="2" t="s">
        <v>120</v>
      </c>
      <c r="F6" s="2" t="s">
        <v>125</v>
      </c>
      <c r="G6" s="2" t="s">
        <v>126</v>
      </c>
      <c r="H6" s="2" t="s">
        <v>127</v>
      </c>
      <c r="I6" s="4">
        <v>46172</v>
      </c>
      <c r="J6" s="4">
        <v>46232</v>
      </c>
      <c r="K6" s="5">
        <v>61</v>
      </c>
      <c r="L6" s="6">
        <v>31.7</v>
      </c>
      <c r="M6" s="6" t="s">
        <v>128</v>
      </c>
      <c r="N6" s="6">
        <v>7.9</v>
      </c>
      <c r="O6" s="6">
        <v>7.9</v>
      </c>
      <c r="P6" s="6">
        <v>7.95</v>
      </c>
      <c r="Q6" s="6">
        <v>7.95</v>
      </c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 t="s">
        <v>112</v>
      </c>
      <c r="B7" s="2" t="s">
        <v>129</v>
      </c>
      <c r="C7" s="2" t="s">
        <v>130</v>
      </c>
      <c r="D7" s="2">
        <v>2</v>
      </c>
      <c r="E7" s="2" t="s">
        <v>120</v>
      </c>
      <c r="F7" s="2" t="s">
        <v>131</v>
      </c>
      <c r="G7" s="2" t="s">
        <v>132</v>
      </c>
      <c r="H7" s="2" t="s">
        <v>133</v>
      </c>
      <c r="I7" s="4">
        <v>46172</v>
      </c>
      <c r="J7" s="4">
        <v>46232</v>
      </c>
      <c r="K7" s="5">
        <v>61</v>
      </c>
      <c r="L7" s="6">
        <v>19</v>
      </c>
      <c r="M7" s="6" t="s">
        <v>128</v>
      </c>
      <c r="N7" s="6">
        <v>4.7</v>
      </c>
      <c r="O7" s="6">
        <v>4.7</v>
      </c>
      <c r="P7" s="6">
        <v>4.8</v>
      </c>
      <c r="Q7" s="6">
        <v>4.8</v>
      </c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" t="s">
        <v>112</v>
      </c>
      <c r="B8" s="2" t="s">
        <v>129</v>
      </c>
      <c r="C8" s="2" t="s">
        <v>130</v>
      </c>
      <c r="D8" s="2">
        <v>2</v>
      </c>
      <c r="E8" s="2" t="s">
        <v>120</v>
      </c>
      <c r="F8" s="2" t="s">
        <v>134</v>
      </c>
      <c r="G8" s="2" t="s">
        <v>135</v>
      </c>
      <c r="H8" s="2" t="s">
        <v>136</v>
      </c>
      <c r="I8" s="4">
        <v>46172</v>
      </c>
      <c r="J8" s="4">
        <v>46232</v>
      </c>
      <c r="K8" s="5">
        <v>61</v>
      </c>
      <c r="L8" s="6">
        <v>12.7</v>
      </c>
      <c r="M8" s="6" t="s">
        <v>128</v>
      </c>
      <c r="N8" s="6">
        <v>3.2</v>
      </c>
      <c r="O8" s="6">
        <v>3.2</v>
      </c>
      <c r="P8" s="6">
        <v>3.15</v>
      </c>
      <c r="Q8" s="6">
        <v>3.15</v>
      </c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" t="s">
        <v>112</v>
      </c>
      <c r="B9" s="2" t="s">
        <v>18</v>
      </c>
      <c r="C9" s="2" t="s">
        <v>119</v>
      </c>
      <c r="D9" s="2">
        <v>1</v>
      </c>
      <c r="E9" s="2"/>
      <c r="F9" s="2" t="s">
        <v>137</v>
      </c>
      <c r="G9" s="2" t="s">
        <v>138</v>
      </c>
      <c r="H9" s="2" t="s">
        <v>139</v>
      </c>
      <c r="I9" s="4">
        <v>46172</v>
      </c>
      <c r="J9" s="4">
        <v>46232</v>
      </c>
      <c r="K9" s="5">
        <v>61</v>
      </c>
      <c r="L9" s="6">
        <v>0</v>
      </c>
      <c r="M9" s="6" t="s">
        <v>118</v>
      </c>
      <c r="N9" s="6">
        <v>0</v>
      </c>
      <c r="O9" s="6">
        <v>0</v>
      </c>
      <c r="P9" s="6">
        <v>0</v>
      </c>
      <c r="Q9" s="6">
        <v>0</v>
      </c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 t="s">
        <v>112</v>
      </c>
      <c r="B10" s="2" t="s">
        <v>140</v>
      </c>
      <c r="C10" s="2" t="s">
        <v>141</v>
      </c>
      <c r="D10" s="2">
        <v>2</v>
      </c>
      <c r="E10" s="2" t="s">
        <v>137</v>
      </c>
      <c r="F10" s="2" t="s">
        <v>142</v>
      </c>
      <c r="G10" s="2" t="s">
        <v>143</v>
      </c>
      <c r="H10" s="2" t="s">
        <v>144</v>
      </c>
      <c r="I10" s="4">
        <v>46172</v>
      </c>
      <c r="J10" s="4">
        <v>46232</v>
      </c>
      <c r="K10" s="5">
        <v>61</v>
      </c>
      <c r="L10" s="6">
        <v>7.3</v>
      </c>
      <c r="M10" s="6" t="s">
        <v>128</v>
      </c>
      <c r="N10" s="6">
        <v>1.8</v>
      </c>
      <c r="O10" s="6">
        <v>1.8</v>
      </c>
      <c r="P10" s="6">
        <v>1.85</v>
      </c>
      <c r="Q10" s="6">
        <v>1.85</v>
      </c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 t="s">
        <v>112</v>
      </c>
      <c r="B11" s="2" t="s">
        <v>140</v>
      </c>
      <c r="C11" s="2" t="s">
        <v>145</v>
      </c>
      <c r="D11" s="2">
        <v>2</v>
      </c>
      <c r="E11" s="2" t="s">
        <v>137</v>
      </c>
      <c r="F11" s="2" t="s">
        <v>146</v>
      </c>
      <c r="G11" s="2" t="s">
        <v>147</v>
      </c>
      <c r="H11" s="2" t="s">
        <v>148</v>
      </c>
      <c r="I11" s="4">
        <v>46172</v>
      </c>
      <c r="J11" s="4">
        <v>46232</v>
      </c>
      <c r="K11" s="5">
        <v>61</v>
      </c>
      <c r="L11" s="6">
        <v>7.3</v>
      </c>
      <c r="M11" s="6" t="s">
        <v>128</v>
      </c>
      <c r="N11" s="6">
        <v>1.8</v>
      </c>
      <c r="O11" s="6">
        <v>1.8</v>
      </c>
      <c r="P11" s="6">
        <v>1.85</v>
      </c>
      <c r="Q11" s="6">
        <v>1.85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 t="s">
        <v>112</v>
      </c>
      <c r="B12" s="2" t="s">
        <v>149</v>
      </c>
      <c r="C12" s="2" t="s">
        <v>150</v>
      </c>
      <c r="D12" s="2">
        <v>2</v>
      </c>
      <c r="E12" s="2" t="s">
        <v>137</v>
      </c>
      <c r="F12" s="2" t="s">
        <v>151</v>
      </c>
      <c r="G12" s="2" t="s">
        <v>152</v>
      </c>
      <c r="H12" s="2" t="s">
        <v>153</v>
      </c>
      <c r="I12" s="4">
        <v>46172</v>
      </c>
      <c r="J12" s="4">
        <v>46232</v>
      </c>
      <c r="K12" s="5">
        <v>61</v>
      </c>
      <c r="L12" s="6">
        <v>7.3</v>
      </c>
      <c r="M12" s="6" t="s">
        <v>128</v>
      </c>
      <c r="N12" s="6">
        <v>1.8</v>
      </c>
      <c r="O12" s="6">
        <v>1.8</v>
      </c>
      <c r="P12" s="6">
        <v>1.85</v>
      </c>
      <c r="Q12" s="6">
        <v>1.85</v>
      </c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 t="s">
        <v>112</v>
      </c>
      <c r="B13" s="2" t="s">
        <v>149</v>
      </c>
      <c r="C13" s="2" t="s">
        <v>154</v>
      </c>
      <c r="D13" s="2">
        <v>2</v>
      </c>
      <c r="E13" s="2" t="s">
        <v>137</v>
      </c>
      <c r="F13" s="2" t="s">
        <v>155</v>
      </c>
      <c r="G13" s="2" t="s">
        <v>156</v>
      </c>
      <c r="H13" s="2" t="s">
        <v>157</v>
      </c>
      <c r="I13" s="4">
        <v>46172</v>
      </c>
      <c r="J13" s="4">
        <v>46232</v>
      </c>
      <c r="K13" s="5">
        <v>61</v>
      </c>
      <c r="L13" s="6">
        <v>7.3</v>
      </c>
      <c r="M13" s="6" t="s">
        <v>128</v>
      </c>
      <c r="N13" s="6">
        <v>1.8</v>
      </c>
      <c r="O13" s="6">
        <v>1.8</v>
      </c>
      <c r="P13" s="6">
        <v>1.85</v>
      </c>
      <c r="Q13" s="6">
        <v>1.85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 t="s">
        <v>112</v>
      </c>
      <c r="B14" s="2" t="s">
        <v>149</v>
      </c>
      <c r="C14" s="2" t="s">
        <v>158</v>
      </c>
      <c r="D14" s="2">
        <v>2</v>
      </c>
      <c r="E14" s="2" t="s">
        <v>137</v>
      </c>
      <c r="F14" s="2" t="s">
        <v>159</v>
      </c>
      <c r="G14" s="2" t="s">
        <v>160</v>
      </c>
      <c r="H14" s="2" t="s">
        <v>161</v>
      </c>
      <c r="I14" s="4">
        <v>46172</v>
      </c>
      <c r="J14" s="4">
        <v>46232</v>
      </c>
      <c r="K14" s="5">
        <v>61</v>
      </c>
      <c r="L14" s="6">
        <v>7.4</v>
      </c>
      <c r="M14" s="6" t="s">
        <v>128</v>
      </c>
      <c r="N14" s="6">
        <v>2</v>
      </c>
      <c r="O14" s="6">
        <v>2</v>
      </c>
      <c r="P14" s="6">
        <v>1.7</v>
      </c>
      <c r="Q14" s="6">
        <v>1.7</v>
      </c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 t="s">
        <v>162</v>
      </c>
      <c r="B15" s="2" t="s">
        <v>163</v>
      </c>
      <c r="C15" s="2" t="s">
        <v>164</v>
      </c>
      <c r="D15" s="2">
        <v>1</v>
      </c>
      <c r="E15" s="2"/>
      <c r="F15" s="2" t="s">
        <v>165</v>
      </c>
      <c r="G15" s="2" t="s">
        <v>166</v>
      </c>
      <c r="H15" s="2" t="s">
        <v>167</v>
      </c>
      <c r="I15" s="4">
        <v>46172</v>
      </c>
      <c r="J15" s="4">
        <v>46232</v>
      </c>
      <c r="K15" s="5">
        <v>61</v>
      </c>
      <c r="L15" s="6">
        <v>0</v>
      </c>
      <c r="M15" s="6" t="s">
        <v>118</v>
      </c>
      <c r="N15" s="6">
        <v>0</v>
      </c>
      <c r="O15" s="6">
        <v>0</v>
      </c>
      <c r="P15" s="6">
        <v>0</v>
      </c>
      <c r="Q15" s="6">
        <v>0</v>
      </c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1" t="s">
        <v>168</v>
      </c>
      <c r="B18" s="1" t="s">
        <v>48</v>
      </c>
      <c r="C18" s="1" t="s">
        <v>169</v>
      </c>
      <c r="D18" s="1" t="s">
        <v>170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 t="s">
        <v>171</v>
      </c>
      <c r="B19" s="6">
        <f>SUMIF(M4:M15,"Y",L4:L15)</f>
        <v>100</v>
      </c>
      <c r="C19" s="2" t="s">
        <v>172</v>
      </c>
      <c r="D19" s="2" t="str">
        <f>IF(ROUND(B19,1)=100,"PASS","HOLD")</f>
        <v>PASS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 t="s">
        <v>173</v>
      </c>
      <c r="B20" s="6">
        <f>SUMIF(M4:M15,"N",L4:L15)</f>
        <v>0</v>
      </c>
      <c r="C20" s="2" t="s">
        <v>174</v>
      </c>
      <c r="D20" s="2" t="str">
        <f>IF(ROUND(B20,1)=0,"PASS","HOLD")</f>
        <v>PASS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 t="s">
        <v>175</v>
      </c>
      <c r="B21" s="2">
        <f>COUNTIF(A4:A15,"업로드대상")</f>
        <v>11</v>
      </c>
      <c r="C21" s="2" t="s">
        <v>176</v>
      </c>
      <c r="D21" s="2" t="str">
        <f>IF(B21=11,"PASS","HOLD")</f>
        <v>PASS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 t="s">
        <v>71</v>
      </c>
      <c r="B22" s="4">
        <v>46113</v>
      </c>
      <c r="C22" s="2" t="s">
        <v>177</v>
      </c>
      <c r="D22" s="2" t="s">
        <v>60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 t="s">
        <v>72</v>
      </c>
      <c r="B23" s="4">
        <v>46232</v>
      </c>
      <c r="C23" s="2" t="s">
        <v>178</v>
      </c>
      <c r="D23" s="2" t="s">
        <v>60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10" t="s">
        <v>45</v>
      </c>
      <c r="B26" s="7"/>
      <c r="C26" s="7"/>
      <c r="D26" s="7"/>
      <c r="E26" s="7"/>
      <c r="F26" s="7"/>
      <c r="G26" s="7"/>
      <c r="H26" s="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Q1"/>
  </mergeCells>
  <phoneticPr fontId="5" type="noConversion"/>
  <conditionalFormatting sqref="D19:D23">
    <cfRule type="expression" dxfId="5" priority="1">
      <formula>D19="PASS"</formula>
    </cfRule>
    <cfRule type="expression" dxfId="4" priority="2">
      <formula>D19="HOLD"</formula>
    </cfRule>
    <cfRule type="expression" dxfId="3" priority="3">
      <formula>D19="FAIL"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00"/>
  <sheetViews>
    <sheetView workbookViewId="0">
      <selection activeCell="A32" sqref="A32"/>
    </sheetView>
  </sheetViews>
  <sheetFormatPr defaultRowHeight="14.25"/>
  <cols>
    <col min="1" max="1" width="29.75" customWidth="1"/>
    <col min="2" max="2" width="9.75" bestFit="1" customWidth="1"/>
    <col min="3" max="3" width="31.5" bestFit="1" customWidth="1"/>
    <col min="4" max="5" width="12.125" bestFit="1" customWidth="1"/>
    <col min="6" max="6" width="15.625" bestFit="1" customWidth="1"/>
    <col min="7" max="8" width="10.875" bestFit="1" customWidth="1"/>
    <col min="9" max="10" width="8" bestFit="1" customWidth="1"/>
    <col min="11" max="11" width="67.25" bestFit="1" customWidth="1"/>
  </cols>
  <sheetData>
    <row r="1" spans="1:26" ht="15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  <c r="K1" s="8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4" customHeight="1">
      <c r="A3" s="1" t="s">
        <v>180</v>
      </c>
      <c r="B3" s="1" t="s">
        <v>181</v>
      </c>
      <c r="C3" s="1" t="s">
        <v>182</v>
      </c>
      <c r="D3" s="1" t="s">
        <v>183</v>
      </c>
      <c r="E3" s="1" t="s">
        <v>184</v>
      </c>
      <c r="F3" s="1" t="s">
        <v>185</v>
      </c>
      <c r="G3" s="1" t="s">
        <v>186</v>
      </c>
      <c r="H3" s="1" t="s">
        <v>187</v>
      </c>
      <c r="I3" s="1" t="s">
        <v>188</v>
      </c>
      <c r="J3" s="1" t="s">
        <v>189</v>
      </c>
      <c r="K3" s="1" t="s">
        <v>3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2" t="s">
        <v>190</v>
      </c>
      <c r="B4" s="6">
        <v>63.4</v>
      </c>
      <c r="C4" s="6">
        <v>0</v>
      </c>
      <c r="D4" s="6">
        <v>0</v>
      </c>
      <c r="E4" s="6">
        <v>15.8</v>
      </c>
      <c r="F4" s="6">
        <v>15.8</v>
      </c>
      <c r="G4" s="6">
        <v>15.9</v>
      </c>
      <c r="H4" s="6">
        <v>15.9</v>
      </c>
      <c r="I4" s="6">
        <f>SUM(C4:H4)</f>
        <v>63.4</v>
      </c>
      <c r="J4" s="6">
        <f>I4</f>
        <v>63.4</v>
      </c>
      <c r="K4" s="2" t="s">
        <v>191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 t="s">
        <v>192</v>
      </c>
      <c r="B5" s="6">
        <v>36.6</v>
      </c>
      <c r="C5" s="6">
        <v>0</v>
      </c>
      <c r="D5" s="6">
        <v>0</v>
      </c>
      <c r="E5" s="6">
        <v>9.1999999999999993</v>
      </c>
      <c r="F5" s="6">
        <v>9.1999999999999993</v>
      </c>
      <c r="G5" s="6">
        <v>9.1</v>
      </c>
      <c r="H5" s="6">
        <v>9.1</v>
      </c>
      <c r="I5" s="6">
        <f>SUM(C5:H5)</f>
        <v>36.6</v>
      </c>
      <c r="J5" s="6">
        <f>I5</f>
        <v>36.6</v>
      </c>
      <c r="K5" s="2" t="s">
        <v>193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 t="s">
        <v>194</v>
      </c>
      <c r="B6" s="6">
        <v>100</v>
      </c>
      <c r="C6" s="6">
        <v>0</v>
      </c>
      <c r="D6" s="6">
        <v>0</v>
      </c>
      <c r="E6" s="6">
        <v>25</v>
      </c>
      <c r="F6" s="6">
        <v>25</v>
      </c>
      <c r="G6" s="6">
        <v>25</v>
      </c>
      <c r="H6" s="6">
        <v>25</v>
      </c>
      <c r="I6" s="6">
        <f>SUM(C6:H6)</f>
        <v>100</v>
      </c>
      <c r="J6" s="6">
        <f>SUM(C6:H6)</f>
        <v>100</v>
      </c>
      <c r="K6" s="2" t="s">
        <v>195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 t="s">
        <v>196</v>
      </c>
      <c r="B7" s="6"/>
      <c r="C7" s="6">
        <v>0</v>
      </c>
      <c r="D7" s="6">
        <v>0</v>
      </c>
      <c r="E7" s="6">
        <v>25</v>
      </c>
      <c r="F7" s="6">
        <v>50</v>
      </c>
      <c r="G7" s="6">
        <v>75</v>
      </c>
      <c r="H7" s="6">
        <v>100</v>
      </c>
      <c r="I7" s="6">
        <f>SUM(C7:H7)</f>
        <v>250</v>
      </c>
      <c r="J7" s="6">
        <f>H7</f>
        <v>100</v>
      </c>
      <c r="K7" s="2" t="s">
        <v>197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1.5" customHeight="1">
      <c r="A10" s="1" t="s">
        <v>198</v>
      </c>
      <c r="B10" s="1" t="s">
        <v>199</v>
      </c>
      <c r="C10" s="1" t="s">
        <v>200</v>
      </c>
      <c r="D10" s="1" t="s">
        <v>201</v>
      </c>
      <c r="E10" s="1" t="s">
        <v>202</v>
      </c>
      <c r="F10" s="1" t="s">
        <v>96</v>
      </c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 t="s">
        <v>203</v>
      </c>
      <c r="B11" s="4">
        <v>46132</v>
      </c>
      <c r="C11" s="2" t="s">
        <v>204</v>
      </c>
      <c r="D11" s="6">
        <v>0</v>
      </c>
      <c r="E11" s="6">
        <v>0</v>
      </c>
      <c r="F11" s="2" t="s">
        <v>205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 t="s">
        <v>206</v>
      </c>
      <c r="B12" s="4">
        <v>46152</v>
      </c>
      <c r="C12" s="2" t="s">
        <v>204</v>
      </c>
      <c r="D12" s="6">
        <v>0</v>
      </c>
      <c r="E12" s="6">
        <v>0</v>
      </c>
      <c r="F12" s="2" t="s">
        <v>205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 t="s">
        <v>207</v>
      </c>
      <c r="B13" s="4">
        <v>46172</v>
      </c>
      <c r="C13" s="2" t="s">
        <v>208</v>
      </c>
      <c r="D13" s="6">
        <v>25</v>
      </c>
      <c r="E13" s="6">
        <v>25</v>
      </c>
      <c r="F13" s="2" t="s">
        <v>205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 t="s">
        <v>209</v>
      </c>
      <c r="B14" s="4">
        <v>46192</v>
      </c>
      <c r="C14" s="2" t="s">
        <v>208</v>
      </c>
      <c r="D14" s="6">
        <v>25</v>
      </c>
      <c r="E14" s="6">
        <v>50</v>
      </c>
      <c r="F14" s="2" t="s">
        <v>205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 t="s">
        <v>210</v>
      </c>
      <c r="B15" s="4">
        <v>46212</v>
      </c>
      <c r="C15" s="2" t="s">
        <v>211</v>
      </c>
      <c r="D15" s="6">
        <v>25</v>
      </c>
      <c r="E15" s="6">
        <v>75</v>
      </c>
      <c r="F15" s="2" t="s">
        <v>212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 t="s">
        <v>213</v>
      </c>
      <c r="B16" s="4">
        <v>46232</v>
      </c>
      <c r="C16" s="2" t="s">
        <v>214</v>
      </c>
      <c r="D16" s="6">
        <v>25</v>
      </c>
      <c r="E16" s="6">
        <v>100</v>
      </c>
      <c r="F16" s="2" t="s">
        <v>215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10" t="s">
        <v>45</v>
      </c>
      <c r="B28" s="7"/>
      <c r="C28" s="7"/>
      <c r="D28" s="7"/>
      <c r="E28" s="7"/>
      <c r="F28" s="7"/>
      <c r="G28" s="7"/>
      <c r="H28" s="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K1"/>
  </mergeCells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00"/>
  <sheetViews>
    <sheetView workbookViewId="0">
      <selection activeCell="D28" sqref="D28"/>
    </sheetView>
  </sheetViews>
  <sheetFormatPr defaultRowHeight="14.25"/>
  <cols>
    <col min="1" max="2" width="18" customWidth="1"/>
    <col min="3" max="9" width="12" customWidth="1"/>
    <col min="10" max="10" width="20" customWidth="1"/>
    <col min="11" max="11" width="12" customWidth="1"/>
    <col min="12" max="12" width="30" customWidth="1"/>
  </cols>
  <sheetData>
    <row r="1" spans="1:26" ht="15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" t="s">
        <v>1</v>
      </c>
      <c r="B3" s="1" t="s">
        <v>217</v>
      </c>
      <c r="C3" s="1" t="s">
        <v>218</v>
      </c>
      <c r="D3" s="1" t="s">
        <v>219</v>
      </c>
      <c r="E3" s="1" t="s">
        <v>220</v>
      </c>
      <c r="F3" s="1" t="s">
        <v>221</v>
      </c>
      <c r="G3" s="1" t="s">
        <v>222</v>
      </c>
      <c r="H3" s="1" t="s">
        <v>223</v>
      </c>
      <c r="I3" s="1" t="s">
        <v>224</v>
      </c>
      <c r="J3" s="1" t="s">
        <v>225</v>
      </c>
      <c r="K3" s="1" t="s">
        <v>226</v>
      </c>
      <c r="L3" s="1" t="s">
        <v>3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2" t="s">
        <v>227</v>
      </c>
      <c r="B4" s="2" t="s">
        <v>228</v>
      </c>
      <c r="C4" s="3">
        <v>213</v>
      </c>
      <c r="D4" s="3">
        <v>0</v>
      </c>
      <c r="E4" s="3">
        <v>0</v>
      </c>
      <c r="F4" s="3">
        <v>53</v>
      </c>
      <c r="G4" s="3">
        <v>53</v>
      </c>
      <c r="H4" s="3">
        <v>53</v>
      </c>
      <c r="I4" s="3">
        <v>54</v>
      </c>
      <c r="J4" s="2" t="s">
        <v>229</v>
      </c>
      <c r="K4" s="2" t="s">
        <v>230</v>
      </c>
      <c r="L4" s="2" t="s">
        <v>231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 t="s">
        <v>227</v>
      </c>
      <c r="B5" s="2" t="s">
        <v>232</v>
      </c>
      <c r="C5" s="3">
        <v>407</v>
      </c>
      <c r="D5" s="3">
        <v>0</v>
      </c>
      <c r="E5" s="3">
        <v>0</v>
      </c>
      <c r="F5" s="3">
        <v>102</v>
      </c>
      <c r="G5" s="3">
        <v>102</v>
      </c>
      <c r="H5" s="3">
        <v>102</v>
      </c>
      <c r="I5" s="3">
        <v>101</v>
      </c>
      <c r="J5" s="2" t="s">
        <v>229</v>
      </c>
      <c r="K5" s="2" t="s">
        <v>230</v>
      </c>
      <c r="L5" s="2" t="s">
        <v>231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 t="s">
        <v>227</v>
      </c>
      <c r="B6" s="2" t="s">
        <v>194</v>
      </c>
      <c r="C6" s="3">
        <v>620</v>
      </c>
      <c r="D6" s="3">
        <v>0</v>
      </c>
      <c r="E6" s="3">
        <v>0</v>
      </c>
      <c r="F6" s="3">
        <v>155</v>
      </c>
      <c r="G6" s="3">
        <v>155</v>
      </c>
      <c r="H6" s="3">
        <v>155</v>
      </c>
      <c r="I6" s="3">
        <v>155</v>
      </c>
      <c r="J6" s="2" t="s">
        <v>229</v>
      </c>
      <c r="K6" s="2" t="s">
        <v>230</v>
      </c>
      <c r="L6" s="2" t="s">
        <v>233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 t="s">
        <v>234</v>
      </c>
      <c r="B7" s="2" t="s">
        <v>235</v>
      </c>
      <c r="C7" s="3">
        <v>1</v>
      </c>
      <c r="D7" s="3">
        <v>0</v>
      </c>
      <c r="E7" s="3">
        <v>0</v>
      </c>
      <c r="F7" s="3">
        <v>1</v>
      </c>
      <c r="G7" s="3">
        <v>0</v>
      </c>
      <c r="H7" s="3">
        <v>0</v>
      </c>
      <c r="I7" s="3">
        <v>0</v>
      </c>
      <c r="J7" s="2" t="s">
        <v>120</v>
      </c>
      <c r="K7" s="2" t="s">
        <v>236</v>
      </c>
      <c r="L7" s="2" t="s">
        <v>221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" t="s">
        <v>234</v>
      </c>
      <c r="B8" s="2" t="s">
        <v>237</v>
      </c>
      <c r="C8" s="3">
        <v>5</v>
      </c>
      <c r="D8" s="3">
        <v>0</v>
      </c>
      <c r="E8" s="3">
        <v>0</v>
      </c>
      <c r="F8" s="3">
        <v>5</v>
      </c>
      <c r="G8" s="3">
        <v>0</v>
      </c>
      <c r="H8" s="3">
        <v>0</v>
      </c>
      <c r="I8" s="3">
        <v>0</v>
      </c>
      <c r="J8" s="2" t="s">
        <v>229</v>
      </c>
      <c r="K8" s="2" t="s">
        <v>236</v>
      </c>
      <c r="L8" s="2" t="s">
        <v>221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" t="s">
        <v>234</v>
      </c>
      <c r="B9" s="2" t="s">
        <v>238</v>
      </c>
      <c r="C9" s="3">
        <v>1</v>
      </c>
      <c r="D9" s="3">
        <v>0</v>
      </c>
      <c r="E9" s="3">
        <v>0</v>
      </c>
      <c r="F9" s="3">
        <v>1</v>
      </c>
      <c r="G9" s="3">
        <v>0</v>
      </c>
      <c r="H9" s="3">
        <v>0</v>
      </c>
      <c r="I9" s="3">
        <v>0</v>
      </c>
      <c r="J9" s="2" t="s">
        <v>120</v>
      </c>
      <c r="K9" s="2" t="s">
        <v>236</v>
      </c>
      <c r="L9" s="2" t="s">
        <v>221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 t="s">
        <v>234</v>
      </c>
      <c r="B10" s="2" t="s">
        <v>239</v>
      </c>
      <c r="C10" s="3">
        <v>1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3">
        <v>0</v>
      </c>
      <c r="J10" s="2" t="s">
        <v>229</v>
      </c>
      <c r="K10" s="2" t="s">
        <v>236</v>
      </c>
      <c r="L10" s="2" t="s">
        <v>221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 t="s">
        <v>234</v>
      </c>
      <c r="B11" s="2" t="s">
        <v>240</v>
      </c>
      <c r="C11" s="3">
        <v>1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2" t="s">
        <v>229</v>
      </c>
      <c r="K11" s="2" t="s">
        <v>236</v>
      </c>
      <c r="L11" s="2" t="s">
        <v>221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 t="s">
        <v>234</v>
      </c>
      <c r="B12" s="2" t="s">
        <v>241</v>
      </c>
      <c r="C12" s="3">
        <v>1</v>
      </c>
      <c r="D12" s="3">
        <v>0</v>
      </c>
      <c r="E12" s="3">
        <v>0</v>
      </c>
      <c r="F12" s="3">
        <v>1</v>
      </c>
      <c r="G12" s="3">
        <v>0</v>
      </c>
      <c r="H12" s="3">
        <v>0</v>
      </c>
      <c r="I12" s="3">
        <v>0</v>
      </c>
      <c r="J12" s="2" t="s">
        <v>229</v>
      </c>
      <c r="K12" s="2" t="s">
        <v>236</v>
      </c>
      <c r="L12" s="2" t="s">
        <v>221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 t="s">
        <v>234</v>
      </c>
      <c r="B13" s="2" t="s">
        <v>242</v>
      </c>
      <c r="C13" s="3">
        <v>3</v>
      </c>
      <c r="D13" s="3">
        <v>0</v>
      </c>
      <c r="E13" s="3">
        <v>0</v>
      </c>
      <c r="F13" s="3">
        <v>3</v>
      </c>
      <c r="G13" s="3">
        <v>0</v>
      </c>
      <c r="H13" s="3">
        <v>0</v>
      </c>
      <c r="I13" s="3">
        <v>0</v>
      </c>
      <c r="J13" s="2" t="s">
        <v>137</v>
      </c>
      <c r="K13" s="2" t="s">
        <v>236</v>
      </c>
      <c r="L13" s="2" t="s">
        <v>221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 t="s">
        <v>234</v>
      </c>
      <c r="B14" s="2" t="s">
        <v>243</v>
      </c>
      <c r="C14" s="3">
        <v>10</v>
      </c>
      <c r="D14" s="3">
        <v>0</v>
      </c>
      <c r="E14" s="3">
        <v>0</v>
      </c>
      <c r="F14" s="3">
        <v>10</v>
      </c>
      <c r="G14" s="3">
        <v>0</v>
      </c>
      <c r="H14" s="3">
        <v>0</v>
      </c>
      <c r="I14" s="3">
        <v>0</v>
      </c>
      <c r="J14" s="2" t="s">
        <v>120</v>
      </c>
      <c r="K14" s="2" t="s">
        <v>236</v>
      </c>
      <c r="L14" s="2" t="s">
        <v>221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 t="s">
        <v>234</v>
      </c>
      <c r="B15" s="2" t="s">
        <v>244</v>
      </c>
      <c r="C15" s="3">
        <v>1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0</v>
      </c>
      <c r="J15" s="2" t="s">
        <v>229</v>
      </c>
      <c r="K15" s="2" t="s">
        <v>236</v>
      </c>
      <c r="L15" s="2" t="s">
        <v>221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 t="s">
        <v>234</v>
      </c>
      <c r="B16" s="2" t="s">
        <v>245</v>
      </c>
      <c r="C16" s="3">
        <v>7</v>
      </c>
      <c r="D16" s="3">
        <v>0</v>
      </c>
      <c r="E16" s="3">
        <v>0</v>
      </c>
      <c r="F16" s="3">
        <v>0</v>
      </c>
      <c r="G16" s="3">
        <v>3</v>
      </c>
      <c r="H16" s="3">
        <v>2</v>
      </c>
      <c r="I16" s="3">
        <v>2</v>
      </c>
      <c r="J16" s="2" t="s">
        <v>117</v>
      </c>
      <c r="K16" s="2" t="s">
        <v>236</v>
      </c>
      <c r="L16" s="2" t="s">
        <v>246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 t="s">
        <v>234</v>
      </c>
      <c r="B17" s="2" t="s">
        <v>247</v>
      </c>
      <c r="C17" s="3">
        <v>165</v>
      </c>
      <c r="D17" s="3">
        <v>0</v>
      </c>
      <c r="E17" s="3">
        <v>0</v>
      </c>
      <c r="F17" s="3">
        <v>0</v>
      </c>
      <c r="G17" s="3">
        <v>55</v>
      </c>
      <c r="H17" s="3">
        <v>55</v>
      </c>
      <c r="I17" s="3">
        <v>55</v>
      </c>
      <c r="J17" s="2" t="s">
        <v>137</v>
      </c>
      <c r="K17" s="2" t="s">
        <v>236</v>
      </c>
      <c r="L17" s="2" t="s">
        <v>246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10" t="s">
        <v>45</v>
      </c>
      <c r="B22" s="7"/>
      <c r="C22" s="7"/>
      <c r="D22" s="7"/>
      <c r="E22" s="7"/>
      <c r="F22" s="7"/>
      <c r="G22" s="7"/>
      <c r="H22" s="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L1"/>
  </mergeCells>
  <phoneticPr fontId="5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00"/>
  <sheetViews>
    <sheetView workbookViewId="0">
      <selection activeCell="A24" sqref="A24"/>
    </sheetView>
  </sheetViews>
  <sheetFormatPr defaultRowHeight="14.25"/>
  <cols>
    <col min="1" max="1" width="26.25" customWidth="1"/>
    <col min="2" max="2" width="106" bestFit="1" customWidth="1"/>
    <col min="3" max="3" width="21.625" bestFit="1" customWidth="1"/>
    <col min="4" max="4" width="5.375" bestFit="1" customWidth="1"/>
    <col min="5" max="5" width="45.125" bestFit="1" customWidth="1"/>
    <col min="6" max="6" width="14" bestFit="1" customWidth="1"/>
    <col min="7" max="7" width="30.875" bestFit="1" customWidth="1"/>
    <col min="8" max="8" width="4.75" bestFit="1" customWidth="1"/>
  </cols>
  <sheetData>
    <row r="1" spans="1:26" ht="15" customHeight="1">
      <c r="A1" s="8" t="s">
        <v>248</v>
      </c>
      <c r="B1" s="8"/>
      <c r="C1" s="8"/>
      <c r="D1" s="8"/>
      <c r="E1" s="8"/>
      <c r="F1" s="8"/>
      <c r="G1" s="8"/>
      <c r="H1" s="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1" t="s">
        <v>168</v>
      </c>
      <c r="B3" s="1" t="s">
        <v>249</v>
      </c>
      <c r="C3" s="1" t="s">
        <v>169</v>
      </c>
      <c r="D3" s="1" t="s">
        <v>170</v>
      </c>
      <c r="E3" s="1" t="s">
        <v>250</v>
      </c>
      <c r="F3" s="1" t="s">
        <v>251</v>
      </c>
      <c r="G3" s="1" t="s">
        <v>3</v>
      </c>
      <c r="H3" s="1" t="s">
        <v>252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2" t="s">
        <v>7</v>
      </c>
      <c r="B4" s="2" t="s">
        <v>8</v>
      </c>
      <c r="C4" s="2" t="s">
        <v>253</v>
      </c>
      <c r="D4" s="2" t="s">
        <v>60</v>
      </c>
      <c r="E4" s="2"/>
      <c r="F4" s="2" t="s">
        <v>254</v>
      </c>
      <c r="G4" s="2"/>
      <c r="H4" s="2" t="s">
        <v>255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2" t="s">
        <v>10</v>
      </c>
      <c r="B5" s="3">
        <v>571022700</v>
      </c>
      <c r="C5" s="2" t="s">
        <v>256</v>
      </c>
      <c r="D5" s="2" t="s">
        <v>60</v>
      </c>
      <c r="E5" s="2"/>
      <c r="F5" s="2" t="s">
        <v>257</v>
      </c>
      <c r="G5" s="2"/>
      <c r="H5" s="2" t="s">
        <v>255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2" t="s">
        <v>14</v>
      </c>
      <c r="B6" s="4">
        <v>46113</v>
      </c>
      <c r="C6" s="2" t="s">
        <v>177</v>
      </c>
      <c r="D6" s="2" t="s">
        <v>60</v>
      </c>
      <c r="E6" s="2"/>
      <c r="F6" s="2" t="s">
        <v>257</v>
      </c>
      <c r="G6" s="2"/>
      <c r="H6" s="2" t="s">
        <v>255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2" t="s">
        <v>15</v>
      </c>
      <c r="B7" s="6">
        <v>46232</v>
      </c>
      <c r="C7" s="2" t="s">
        <v>178</v>
      </c>
      <c r="D7" s="2" t="s">
        <v>60</v>
      </c>
      <c r="E7" s="2"/>
      <c r="F7" s="2" t="s">
        <v>257</v>
      </c>
      <c r="G7" s="2"/>
      <c r="H7" s="2" t="s">
        <v>255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2" t="s">
        <v>258</v>
      </c>
      <c r="B8" s="6">
        <f>'02_WBS기준선_착공계'!B19</f>
        <v>100</v>
      </c>
      <c r="C8" s="2" t="s">
        <v>259</v>
      </c>
      <c r="D8" s="2" t="str">
        <f>IF(ROUND(B8,1)=100,"PASS","HOLD")</f>
        <v>PASS</v>
      </c>
      <c r="E8" s="2" t="s">
        <v>260</v>
      </c>
      <c r="F8" s="2" t="s">
        <v>119</v>
      </c>
      <c r="G8" s="2"/>
      <c r="H8" s="2" t="s">
        <v>255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>
      <c r="A9" s="2" t="s">
        <v>261</v>
      </c>
      <c r="B9" s="6">
        <v>0</v>
      </c>
      <c r="C9" s="2" t="s">
        <v>262</v>
      </c>
      <c r="D9" s="2" t="s">
        <v>60</v>
      </c>
      <c r="E9" s="2"/>
      <c r="F9" s="2" t="s">
        <v>263</v>
      </c>
      <c r="G9" s="2"/>
      <c r="H9" s="2" t="s">
        <v>255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>
      <c r="A10" s="2" t="s">
        <v>264</v>
      </c>
      <c r="B10" s="6">
        <v>25</v>
      </c>
      <c r="C10" s="2" t="s">
        <v>265</v>
      </c>
      <c r="D10" s="2" t="s">
        <v>60</v>
      </c>
      <c r="E10" s="2"/>
      <c r="F10" s="2" t="s">
        <v>119</v>
      </c>
      <c r="G10" s="2"/>
      <c r="H10" s="2" t="s">
        <v>255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>
      <c r="A11" s="2" t="s">
        <v>266</v>
      </c>
      <c r="B11" s="6">
        <v>50</v>
      </c>
      <c r="C11" s="2" t="s">
        <v>267</v>
      </c>
      <c r="D11" s="2" t="s">
        <v>60</v>
      </c>
      <c r="E11" s="2"/>
      <c r="F11" s="2" t="s">
        <v>119</v>
      </c>
      <c r="G11" s="2"/>
      <c r="H11" s="2" t="s">
        <v>255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>
      <c r="A12" s="2" t="s">
        <v>268</v>
      </c>
      <c r="B12" s="6">
        <v>100</v>
      </c>
      <c r="C12" s="2" t="s">
        <v>259</v>
      </c>
      <c r="D12" s="2" t="s">
        <v>60</v>
      </c>
      <c r="E12" s="2" t="s">
        <v>269</v>
      </c>
      <c r="F12" s="2" t="s">
        <v>270</v>
      </c>
      <c r="G12" s="2" t="s">
        <v>271</v>
      </c>
      <c r="H12" s="2" t="s">
        <v>255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>
      <c r="A13" s="2" t="s">
        <v>272</v>
      </c>
      <c r="B13" s="2" t="s">
        <v>273</v>
      </c>
      <c r="C13" s="2" t="s">
        <v>274</v>
      </c>
      <c r="D13" s="2" t="s">
        <v>60</v>
      </c>
      <c r="E13" s="2"/>
      <c r="F13" s="2" t="s">
        <v>275</v>
      </c>
      <c r="G13" s="2" t="s">
        <v>276</v>
      </c>
      <c r="H13" s="2" t="s">
        <v>255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>
      <c r="A14" s="2" t="s">
        <v>277</v>
      </c>
      <c r="B14" s="2" t="s">
        <v>278</v>
      </c>
      <c r="C14" s="2" t="s">
        <v>279</v>
      </c>
      <c r="D14" s="2" t="s">
        <v>60</v>
      </c>
      <c r="E14" s="2"/>
      <c r="F14" s="2" t="s">
        <v>280</v>
      </c>
      <c r="G14" s="2" t="s">
        <v>281</v>
      </c>
      <c r="H14" s="2" t="s">
        <v>255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>
      <c r="A18" s="10" t="s">
        <v>45</v>
      </c>
      <c r="B18" s="7"/>
      <c r="C18" s="7"/>
      <c r="D18" s="7"/>
      <c r="E18" s="7"/>
      <c r="F18" s="7"/>
      <c r="G18" s="7"/>
      <c r="H18" s="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</sheetData>
  <mergeCells count="1">
    <mergeCell ref="A1:H1"/>
  </mergeCells>
  <phoneticPr fontId="5" type="noConversion"/>
  <conditionalFormatting sqref="D4:D20">
    <cfRule type="expression" dxfId="2" priority="1">
      <formula>D4="PASS"</formula>
    </cfRule>
    <cfRule type="expression" dxfId="1" priority="2">
      <formula>D4="HOLD"</formula>
    </cfRule>
    <cfRule type="expression" dxfId="0" priority="3">
      <formula>D4="FAIL"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00_사용안내</vt:lpstr>
      <vt:lpstr>01_프로젝트정보</vt:lpstr>
      <vt:lpstr>02_WBS기준선_착공계</vt:lpstr>
      <vt:lpstr>03_예정공정표_반영</vt:lpstr>
      <vt:lpstr>04_동원_장비계획</vt:lpstr>
      <vt:lpstr>05_검증요약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Jeonghun Lee</cp:lastModifiedBy>
  <dcterms:modified xsi:type="dcterms:W3CDTF">2026-08-14T05:15:21Z</dcterms:modified>
</cp:coreProperties>
</file>