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72.30.1.58\d\(주)아산\영업\1.노무비 직불이행\1.각현장별 노무비 명세표(본사작성)\2026년\5월\"/>
    </mc:Choice>
  </mc:AlternateContent>
  <xr:revisionPtr revIDLastSave="0" documentId="13_ncr:1_{A03CEDE5-0F6C-46EA-9287-2C4878EBF01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서식" sheetId="3" r:id="rId1"/>
    <sheet name="작성방법" sheetId="2" r:id="rId2"/>
    <sheet name="작성예시" sheetId="1" r:id="rId3"/>
    <sheet name="국적, 직종, 보험료부과구분코드" sheetId="9" r:id="rId4"/>
    <sheet name="체류자격" sheetId="10" r:id="rId5"/>
    <sheet name="Sheet1" sheetId="11" state="hidden" r:id="rId6"/>
  </sheets>
  <calcPr calcId="191029"/>
</workbook>
</file>

<file path=xl/calcChain.xml><?xml version="1.0" encoding="utf-8"?>
<calcChain xmlns="http://schemas.openxmlformats.org/spreadsheetml/2006/main">
  <c r="AR12" i="3" l="1"/>
  <c r="AR11" i="3"/>
  <c r="AR9" i="3"/>
  <c r="AR8" i="3"/>
  <c r="AR7" i="3"/>
  <c r="AR6" i="3"/>
  <c r="AR5" i="3"/>
  <c r="AR4" i="3"/>
  <c r="AR2" i="3"/>
  <c r="AO8" i="3" l="1"/>
  <c r="AO9" i="3"/>
  <c r="AQ9" i="3" s="1"/>
  <c r="AO10" i="3"/>
  <c r="AO11" i="3"/>
  <c r="AO12" i="3"/>
  <c r="AQ12" i="3" s="1"/>
  <c r="AO7" i="3"/>
  <c r="AO3" i="3"/>
  <c r="AO4" i="3"/>
  <c r="AQ4" i="3" s="1"/>
  <c r="AO5" i="3"/>
  <c r="AO6" i="3"/>
  <c r="AO2" i="3"/>
  <c r="AQ2" i="3" s="1"/>
  <c r="AS2" i="3" s="1"/>
  <c r="AQ6" i="3" l="1"/>
  <c r="AS6" i="3" s="1"/>
  <c r="AS4" i="3"/>
  <c r="AQ5" i="3"/>
  <c r="AS5" i="3" s="1"/>
  <c r="AS12" i="3"/>
  <c r="AQ11" i="3"/>
  <c r="AS11" i="3" s="1"/>
  <c r="AQ10" i="3"/>
  <c r="AR10" i="3" s="1"/>
  <c r="AS10" i="3" s="1"/>
  <c r="AS9" i="3"/>
  <c r="AQ8" i="3"/>
  <c r="AS8" i="3" s="1"/>
  <c r="AQ7" i="3"/>
  <c r="AS7" i="3" s="1"/>
  <c r="AQ3" i="3"/>
  <c r="AR3" i="3" s="1"/>
  <c r="AS3" i="3" s="1"/>
</calcChain>
</file>

<file path=xl/sharedStrings.xml><?xml version="1.0" encoding="utf-8"?>
<sst xmlns="http://schemas.openxmlformats.org/spreadsheetml/2006/main" count="1044" uniqueCount="873">
  <si>
    <t>7801015555561</t>
    <phoneticPr fontId="4" type="noConversion"/>
  </si>
  <si>
    <t>A1</t>
    <phoneticPr fontId="4" type="noConversion"/>
  </si>
  <si>
    <t>010</t>
    <phoneticPr fontId="4" type="noConversion"/>
  </si>
  <si>
    <t>1111</t>
    <phoneticPr fontId="4" type="noConversion"/>
  </si>
  <si>
    <t>1</t>
    <phoneticPr fontId="4" type="noConversion"/>
  </si>
  <si>
    <t>7801015555562</t>
    <phoneticPr fontId="4" type="noConversion"/>
  </si>
  <si>
    <t>7801015555563</t>
    <phoneticPr fontId="4" type="noConversion"/>
  </si>
  <si>
    <t>7801015555564</t>
    <phoneticPr fontId="4" type="noConversion"/>
  </si>
  <si>
    <t>7801015555565</t>
    <phoneticPr fontId="4" type="noConversion"/>
  </si>
  <si>
    <t>7801015555566</t>
    <phoneticPr fontId="4" type="noConversion"/>
  </si>
  <si>
    <t>7801015555567</t>
    <phoneticPr fontId="4" type="noConversion"/>
  </si>
  <si>
    <t>7801015555568</t>
    <phoneticPr fontId="4" type="noConversion"/>
  </si>
  <si>
    <t>7801015555569</t>
    <phoneticPr fontId="4" type="noConversion"/>
  </si>
  <si>
    <t>7801015555570</t>
    <phoneticPr fontId="4" type="noConversion"/>
  </si>
  <si>
    <t>국적코드</t>
  </si>
  <si>
    <t>체류자격코드</t>
  </si>
  <si>
    <t>직종코드</t>
  </si>
  <si>
    <t>4일</t>
  </si>
  <si>
    <t>5일</t>
  </si>
  <si>
    <t>6일</t>
  </si>
  <si>
    <t>7일</t>
  </si>
  <si>
    <t>8일</t>
  </si>
  <si>
    <t>9일</t>
  </si>
  <si>
    <t>10일</t>
  </si>
  <si>
    <t>11일</t>
  </si>
  <si>
    <t>12일</t>
  </si>
  <si>
    <t>13일</t>
  </si>
  <si>
    <t>14일</t>
  </si>
  <si>
    <t>15일</t>
  </si>
  <si>
    <t>16일</t>
  </si>
  <si>
    <t>17일</t>
  </si>
  <si>
    <t>18일</t>
  </si>
  <si>
    <t>19일</t>
  </si>
  <si>
    <t>20일</t>
  </si>
  <si>
    <t>21일</t>
  </si>
  <si>
    <t>22일</t>
  </si>
  <si>
    <t>23일</t>
  </si>
  <si>
    <t>24일</t>
  </si>
  <si>
    <t>25일</t>
  </si>
  <si>
    <t>26일</t>
  </si>
  <si>
    <t>27일</t>
  </si>
  <si>
    <t>28일</t>
  </si>
  <si>
    <t>29일</t>
  </si>
  <si>
    <t>30일</t>
  </si>
  <si>
    <t>근로일수</t>
  </si>
  <si>
    <t>보수총액</t>
  </si>
  <si>
    <t>임금총액</t>
  </si>
  <si>
    <t>이직사유코드</t>
  </si>
  <si>
    <t>보험구분</t>
  </si>
  <si>
    <t>성명</t>
  </si>
  <si>
    <t>1~31일</t>
    <phoneticPr fontId="1" type="noConversion"/>
  </si>
  <si>
    <t>전화(지역번호)</t>
    <phoneticPr fontId="1" type="noConversion"/>
  </si>
  <si>
    <t>전화(지역번호)</t>
    <phoneticPr fontId="1" type="noConversion"/>
  </si>
  <si>
    <t>전화(국번)</t>
    <phoneticPr fontId="1" type="noConversion"/>
  </si>
  <si>
    <t>전화(국번)</t>
    <phoneticPr fontId="1" type="noConversion"/>
  </si>
  <si>
    <t>전화(뒷번호)</t>
    <phoneticPr fontId="1" type="noConversion"/>
  </si>
  <si>
    <t>전화(뒷번호)</t>
    <phoneticPr fontId="1" type="noConversion"/>
  </si>
  <si>
    <t>주민(외국인)등록번호</t>
  </si>
  <si>
    <t>보험구분</t>
    <phoneticPr fontId="4" type="noConversion"/>
  </si>
  <si>
    <t>성명</t>
    <phoneticPr fontId="4" type="noConversion"/>
  </si>
  <si>
    <t>주민(외국인)등록번호</t>
    <phoneticPr fontId="1" type="noConversion"/>
  </si>
  <si>
    <t>국적코드</t>
    <phoneticPr fontId="4" type="noConversion"/>
  </si>
  <si>
    <t>체류자격코드</t>
    <phoneticPr fontId="4" type="noConversion"/>
  </si>
  <si>
    <t>직종코드</t>
    <phoneticPr fontId="4" type="noConversion"/>
  </si>
  <si>
    <t>1일</t>
    <phoneticPr fontId="4" type="noConversion"/>
  </si>
  <si>
    <t>2일</t>
    <phoneticPr fontId="4" type="noConversion"/>
  </si>
  <si>
    <t>3일</t>
    <phoneticPr fontId="4" type="noConversion"/>
  </si>
  <si>
    <t>31일</t>
    <phoneticPr fontId="1" type="noConversion"/>
  </si>
  <si>
    <t>근로일수</t>
    <phoneticPr fontId="1" type="noConversion"/>
  </si>
  <si>
    <t>보수총액</t>
    <phoneticPr fontId="1" type="noConversion"/>
  </si>
  <si>
    <t>임금총액</t>
    <phoneticPr fontId="1" type="noConversion"/>
  </si>
  <si>
    <t>이직사유코드</t>
    <phoneticPr fontId="1" type="noConversion"/>
  </si>
  <si>
    <t>013</t>
    <phoneticPr fontId="1" type="noConversion"/>
  </si>
  <si>
    <t>100</t>
    <phoneticPr fontId="4" type="noConversion"/>
  </si>
  <si>
    <t>보험구분</t>
    <phoneticPr fontId="1" type="noConversion"/>
  </si>
  <si>
    <t>보험료부과구분
부호</t>
    <phoneticPr fontId="1" type="noConversion"/>
  </si>
  <si>
    <t>보험료부과구분
사유</t>
    <phoneticPr fontId="1" type="noConversion"/>
  </si>
  <si>
    <t>일평균근로시간</t>
    <phoneticPr fontId="1" type="noConversion"/>
  </si>
  <si>
    <t>보험료부과구분 부호
(해당자만 기재)</t>
    <phoneticPr fontId="1" type="noConversion"/>
  </si>
  <si>
    <t>5</t>
  </si>
  <si>
    <t>5</t>
    <phoneticPr fontId="1" type="noConversion"/>
  </si>
  <si>
    <t>51</t>
    <phoneticPr fontId="1" type="noConversion"/>
  </si>
  <si>
    <t>09</t>
    <phoneticPr fontId="1" type="noConversion"/>
  </si>
  <si>
    <t>57</t>
    <phoneticPr fontId="1" type="noConversion"/>
  </si>
  <si>
    <t>14</t>
    <phoneticPr fontId="1" type="noConversion"/>
  </si>
  <si>
    <t>1</t>
    <phoneticPr fontId="1" type="noConversion"/>
  </si>
  <si>
    <t>3</t>
    <phoneticPr fontId="1" type="noConversion"/>
  </si>
  <si>
    <t>56</t>
    <phoneticPr fontId="1" type="noConversion"/>
  </si>
  <si>
    <t>01</t>
    <phoneticPr fontId="1" type="noConversion"/>
  </si>
  <si>
    <t>주민등록표(외국인등록증 또는 국내거소신고증)상의 성명를 적습니다.</t>
    <phoneticPr fontId="1" type="noConversion"/>
  </si>
  <si>
    <t>홍길동1</t>
    <phoneticPr fontId="4" type="noConversion"/>
  </si>
  <si>
    <t>홍길동2</t>
  </si>
  <si>
    <t>홍길동3</t>
  </si>
  <si>
    <t>홍길동4</t>
  </si>
  <si>
    <t>홍길동5</t>
  </si>
  <si>
    <t>홍길동6</t>
  </si>
  <si>
    <t>홍길동7</t>
  </si>
  <si>
    <t>홍길동8</t>
  </si>
  <si>
    <t>홍길동9</t>
  </si>
  <si>
    <t>홍길동10</t>
  </si>
  <si>
    <t>고용/산재보험 직종 :</t>
  </si>
  <si>
    <t>고용/산재보험 보험료부과구분 :</t>
  </si>
  <si>
    <t>2</t>
    <phoneticPr fontId="1" type="noConversion"/>
  </si>
  <si>
    <t>국적, 직종, 보험료부과구분코드 조회</t>
    <phoneticPr fontId="1" type="noConversion"/>
  </si>
  <si>
    <t>국적 :</t>
    <phoneticPr fontId="1" type="noConversion"/>
  </si>
  <si>
    <t>보수총액
(과세소득)</t>
    <phoneticPr fontId="1" type="noConversion"/>
  </si>
  <si>
    <t>비과세소득</t>
    <phoneticPr fontId="1" type="noConversion"/>
  </si>
  <si>
    <t>소득세</t>
    <phoneticPr fontId="1" type="noConversion"/>
  </si>
  <si>
    <t>지방소득세</t>
    <phoneticPr fontId="1" type="noConversion"/>
  </si>
  <si>
    <t xml:space="preserve">보험료 부과구분 사유
(해당자만 기재) </t>
    <phoneticPr fontId="1" type="noConversion"/>
  </si>
  <si>
    <t>비과세소득
(해당자만 기재)</t>
    <phoneticPr fontId="1" type="noConversion"/>
  </si>
  <si>
    <t>소득세
(해당자만 기재)</t>
    <phoneticPr fontId="1" type="noConversion"/>
  </si>
  <si>
    <t>지방소득세
(해당자만 기재)</t>
    <phoneticPr fontId="1" type="noConversion"/>
  </si>
  <si>
    <t>생산직 일용근로자에게 지급한 야간근로수당 등 비과세소득의 해당 월의 합계금액</t>
    <phoneticPr fontId="1" type="noConversion"/>
  </si>
  <si>
    <t>[근로소득금액×원천징수세율(6%)]-세액공제(산출세액의 55%)를 적용하여 계산한 해당 월의 금액
 이 경우 근로소득금액은 1일 급여액에서 1일 10만원을 공제한 금액의 합계</t>
    <phoneticPr fontId="1" type="noConversion"/>
  </si>
  <si>
    <t>국세청
일용근로소득
신고여부</t>
    <phoneticPr fontId="1" type="noConversion"/>
  </si>
  <si>
    <t>Y</t>
    <phoneticPr fontId="1" type="noConversion"/>
  </si>
  <si>
    <t>신고시 Y 기재</t>
    <phoneticPr fontId="1" type="noConversion"/>
  </si>
  <si>
    <t>국세청
일용근로소득
신고여부</t>
    <phoneticPr fontId="1" type="noConversion"/>
  </si>
  <si>
    <t>보수지급기초일수</t>
    <phoneticPr fontId="1" type="noConversion"/>
  </si>
  <si>
    <t>지급월</t>
    <phoneticPr fontId="1" type="noConversion"/>
  </si>
  <si>
    <t>총지급액(과세소득)</t>
  </si>
  <si>
    <t>총지급액(과세소득)</t>
    <phoneticPr fontId="1" type="noConversion"/>
  </si>
  <si>
    <t>1000000</t>
    <phoneticPr fontId="1" type="noConversion"/>
  </si>
  <si>
    <t>4</t>
    <phoneticPr fontId="1" type="noConversion"/>
  </si>
  <si>
    <t>체류자격코드</t>
    <phoneticPr fontId="1" type="noConversion"/>
  </si>
  <si>
    <t>체류자격명</t>
    <phoneticPr fontId="1" type="noConversion"/>
  </si>
  <si>
    <t>체류자격설명</t>
    <phoneticPr fontId="1" type="noConversion"/>
  </si>
  <si>
    <t xml:space="preserve">0-0    </t>
  </si>
  <si>
    <t xml:space="preserve">체류자격없음 </t>
  </si>
  <si>
    <t>체류자격없음</t>
  </si>
  <si>
    <t xml:space="preserve">A-1    </t>
  </si>
  <si>
    <t xml:space="preserve">외교 </t>
  </si>
  <si>
    <t>외교</t>
  </si>
  <si>
    <t xml:space="preserve">A-2    </t>
  </si>
  <si>
    <t xml:space="preserve">공무 </t>
  </si>
  <si>
    <t>공무</t>
  </si>
  <si>
    <t xml:space="preserve">A-3-1  </t>
  </si>
  <si>
    <t xml:space="preserve">미군현역 </t>
  </si>
  <si>
    <t>주한미군(현역및예비역)</t>
  </si>
  <si>
    <t xml:space="preserve">A-3-2  </t>
  </si>
  <si>
    <t xml:space="preserve">미군군속 </t>
  </si>
  <si>
    <t>주한미군군속,초청계약자,가족</t>
  </si>
  <si>
    <t xml:space="preserve">A-3-99 </t>
  </si>
  <si>
    <t xml:space="preserve">기타협정 </t>
  </si>
  <si>
    <t>기타협정</t>
  </si>
  <si>
    <t xml:space="preserve">B-1    </t>
  </si>
  <si>
    <t xml:space="preserve">사증면제 </t>
  </si>
  <si>
    <t>사증면제</t>
  </si>
  <si>
    <t xml:space="preserve">B-2-1  </t>
  </si>
  <si>
    <t xml:space="preserve">일반무사증 </t>
  </si>
  <si>
    <t>일반무사증입국</t>
  </si>
  <si>
    <t xml:space="preserve">B-2-2  </t>
  </si>
  <si>
    <t xml:space="preserve">제주무사증 </t>
  </si>
  <si>
    <t>제주무사증입국</t>
  </si>
  <si>
    <t xml:space="preserve">C-1    </t>
  </si>
  <si>
    <t xml:space="preserve">일시취재 </t>
  </si>
  <si>
    <t>일시취재</t>
  </si>
  <si>
    <t xml:space="preserve">C-2-1  </t>
  </si>
  <si>
    <t xml:space="preserve">단기상용 </t>
  </si>
  <si>
    <t>단기상용</t>
  </si>
  <si>
    <t xml:space="preserve">C-2-2  </t>
  </si>
  <si>
    <t xml:space="preserve">우대기업 </t>
  </si>
  <si>
    <t>우대기업초청단기상용</t>
  </si>
  <si>
    <t xml:space="preserve">C-2-91 </t>
  </si>
  <si>
    <t>FTA상용</t>
  </si>
  <si>
    <t xml:space="preserve"> FTA상용방문자</t>
  </si>
  <si>
    <t xml:space="preserve">C-3    </t>
  </si>
  <si>
    <t xml:space="preserve">단기종합 </t>
  </si>
  <si>
    <t>자진출국단기종합</t>
  </si>
  <si>
    <t xml:space="preserve">C-3-1  </t>
  </si>
  <si>
    <t xml:space="preserve">단기일반 </t>
  </si>
  <si>
    <t xml:space="preserve">단기일반단체관광등(C-3-2)~일반관광(C-3-9)을제외 </t>
  </si>
  <si>
    <t xml:space="preserve">C-3-2  </t>
  </si>
  <si>
    <t xml:space="preserve">단체관광등 </t>
  </si>
  <si>
    <t>단체관광등</t>
  </si>
  <si>
    <t xml:space="preserve">C-3-3  </t>
  </si>
  <si>
    <t xml:space="preserve">의료관광 </t>
  </si>
  <si>
    <t>의료관광</t>
  </si>
  <si>
    <t xml:space="preserve">C-3-4  </t>
  </si>
  <si>
    <t xml:space="preserve">일반상용 </t>
  </si>
  <si>
    <t>일반상용</t>
  </si>
  <si>
    <t xml:space="preserve">C-3-5  </t>
  </si>
  <si>
    <t xml:space="preserve">협정단기상용 </t>
  </si>
  <si>
    <t>협정상단기상용</t>
  </si>
  <si>
    <t xml:space="preserve">C-3-6  </t>
  </si>
  <si>
    <t xml:space="preserve">C-3-7  </t>
  </si>
  <si>
    <t xml:space="preserve">도착관광 </t>
  </si>
  <si>
    <t>도착관광</t>
  </si>
  <si>
    <t xml:space="preserve">C-3-8  </t>
  </si>
  <si>
    <t xml:space="preserve">동포방문 </t>
  </si>
  <si>
    <t xml:space="preserve"> 외국국적동포3년간90일이내복수로국내출입국</t>
  </si>
  <si>
    <t xml:space="preserve">C-3-9  </t>
  </si>
  <si>
    <t xml:space="preserve">일반관광 </t>
  </si>
  <si>
    <t xml:space="preserve">C-3-2(단체관광등),의료관광(C-3-3)에포함안된일반관광 </t>
  </si>
  <si>
    <t xml:space="preserve">C-3-M  </t>
  </si>
  <si>
    <t xml:space="preserve">C-4    </t>
  </si>
  <si>
    <t xml:space="preserve">단기취업 </t>
  </si>
  <si>
    <t>단기취업</t>
  </si>
  <si>
    <t xml:space="preserve">D-1    </t>
  </si>
  <si>
    <t xml:space="preserve">문화예술 </t>
  </si>
  <si>
    <t>문화예술</t>
  </si>
  <si>
    <t xml:space="preserve">D-10   </t>
  </si>
  <si>
    <t>구직</t>
  </si>
  <si>
    <t>구직</t>
    <phoneticPr fontId="1" type="noConversion"/>
  </si>
  <si>
    <t xml:space="preserve">D-10-1 </t>
  </si>
  <si>
    <t xml:space="preserve">구직활동 </t>
  </si>
  <si>
    <t>구직활동자</t>
  </si>
  <si>
    <t xml:space="preserve">D-10-2 </t>
  </si>
  <si>
    <t xml:space="preserve">기술창업활동 </t>
  </si>
  <si>
    <t>기술창업활동자</t>
  </si>
  <si>
    <t xml:space="preserve">D-2    </t>
  </si>
  <si>
    <t xml:space="preserve">유학 </t>
  </si>
  <si>
    <t>유학</t>
  </si>
  <si>
    <t xml:space="preserve">D-2-1  </t>
  </si>
  <si>
    <t xml:space="preserve">전문학사 </t>
  </si>
  <si>
    <t>전문학사과정</t>
  </si>
  <si>
    <t xml:space="preserve">D-2-2  </t>
  </si>
  <si>
    <t xml:space="preserve">학사유학 </t>
  </si>
  <si>
    <t>학사과정</t>
  </si>
  <si>
    <t xml:space="preserve">D-2-3  </t>
  </si>
  <si>
    <t xml:space="preserve">석사유학 </t>
  </si>
  <si>
    <t>석사과정</t>
  </si>
  <si>
    <t xml:space="preserve">D-2-4  </t>
  </si>
  <si>
    <t xml:space="preserve">박사유학 </t>
  </si>
  <si>
    <t>박사과정</t>
  </si>
  <si>
    <t xml:space="preserve">D-2-5  </t>
  </si>
  <si>
    <t xml:space="preserve">연구유학 </t>
  </si>
  <si>
    <t>학술연구기관특정연구자</t>
  </si>
  <si>
    <t xml:space="preserve">D-2-6  </t>
  </si>
  <si>
    <t xml:space="preserve">교환학생 </t>
  </si>
  <si>
    <t>교환학생</t>
  </si>
  <si>
    <t xml:space="preserve">D-2-F  </t>
  </si>
  <si>
    <t>(구)교환학생</t>
  </si>
  <si>
    <t xml:space="preserve">D-2-S  </t>
  </si>
  <si>
    <t xml:space="preserve">시간취업 </t>
  </si>
  <si>
    <t>시간제아르바이트</t>
  </si>
  <si>
    <t xml:space="preserve">D-3-1  </t>
  </si>
  <si>
    <t xml:space="preserve">해투기술연수 </t>
  </si>
  <si>
    <t>해외투자,기술수출,산업설비수출</t>
  </si>
  <si>
    <t xml:space="preserve">D-3-B  </t>
  </si>
  <si>
    <t xml:space="preserve">중기협 </t>
  </si>
  <si>
    <t>수자</t>
  </si>
  <si>
    <t xml:space="preserve">D-3-C  </t>
  </si>
  <si>
    <t xml:space="preserve">수산협 </t>
  </si>
  <si>
    <t>수산업협동중앙회장연수자</t>
  </si>
  <si>
    <t xml:space="preserve">D-3-D  </t>
  </si>
  <si>
    <t xml:space="preserve">각부처 </t>
  </si>
  <si>
    <t>주무부처의장추천연수자</t>
  </si>
  <si>
    <t xml:space="preserve">D-3-E  </t>
  </si>
  <si>
    <t xml:space="preserve">건설협 </t>
  </si>
  <si>
    <t>건설협회추천</t>
  </si>
  <si>
    <t xml:space="preserve">D-3-F  </t>
  </si>
  <si>
    <t xml:space="preserve">농협 </t>
  </si>
  <si>
    <t>농업중앙회추천</t>
  </si>
  <si>
    <t xml:space="preserve">D-3-11 </t>
  </si>
  <si>
    <t xml:space="preserve">해외직접 </t>
  </si>
  <si>
    <t>해외직접투자</t>
  </si>
  <si>
    <t xml:space="preserve">D-3-12 </t>
  </si>
  <si>
    <t xml:space="preserve">기술수출 </t>
  </si>
  <si>
    <t>기술수출</t>
  </si>
  <si>
    <t xml:space="preserve">D-3-13 </t>
  </si>
  <si>
    <t xml:space="preserve">플랜트수출 </t>
  </si>
  <si>
    <t>플랜트수출</t>
  </si>
  <si>
    <t xml:space="preserve">D-4    </t>
  </si>
  <si>
    <t xml:space="preserve">일반연수 </t>
  </si>
  <si>
    <t>일반연수미상(미분류)</t>
  </si>
  <si>
    <t xml:space="preserve">D-4-1  </t>
  </si>
  <si>
    <t xml:space="preserve">대학부설어학원연수 </t>
  </si>
  <si>
    <t>대학부설어학원연수</t>
  </si>
  <si>
    <t xml:space="preserve">D-4-2  </t>
  </si>
  <si>
    <t xml:space="preserve">기타기관연수 </t>
  </si>
  <si>
    <t>대학부설어학원제외기타기관</t>
  </si>
  <si>
    <t xml:space="preserve">D-4-3  </t>
  </si>
  <si>
    <t xml:space="preserve">초중고생 </t>
  </si>
  <si>
    <t>고등학교이하재학생</t>
  </si>
  <si>
    <t xml:space="preserve">D-4-4  </t>
  </si>
  <si>
    <t xml:space="preserve">동포연수 </t>
  </si>
  <si>
    <t>무연고동포연수자</t>
  </si>
  <si>
    <t xml:space="preserve">D-4-5  </t>
  </si>
  <si>
    <t xml:space="preserve">한식조리연수 </t>
  </si>
  <si>
    <t>한식조리연수생</t>
  </si>
  <si>
    <t xml:space="preserve">D-4-6  </t>
  </si>
  <si>
    <t xml:space="preserve">사설기관연수 </t>
  </si>
  <si>
    <t>우수사설기관의외국인연수</t>
  </si>
  <si>
    <t xml:space="preserve">D-4-7  </t>
  </si>
  <si>
    <t xml:space="preserve">외국어연수 </t>
  </si>
  <si>
    <t>외국어연수생</t>
  </si>
  <si>
    <t xml:space="preserve">D-5    </t>
  </si>
  <si>
    <t xml:space="preserve">취재 </t>
  </si>
  <si>
    <t>취재</t>
  </si>
  <si>
    <t xml:space="preserve">D-6    </t>
  </si>
  <si>
    <t xml:space="preserve">종교 </t>
  </si>
  <si>
    <t>종교</t>
  </si>
  <si>
    <t xml:space="preserve">D-7    </t>
  </si>
  <si>
    <t xml:space="preserve">상사주재 </t>
  </si>
  <si>
    <t>상사주재</t>
  </si>
  <si>
    <t xml:space="preserve">D-7-1  </t>
  </si>
  <si>
    <t xml:space="preserve">외국기업 </t>
  </si>
  <si>
    <t>외국기업국내지사등에서주재</t>
  </si>
  <si>
    <t xml:space="preserve">D-7-2  </t>
  </si>
  <si>
    <t xml:space="preserve">내국기업 </t>
  </si>
  <si>
    <t>해외진출기업근무외국인력국내본사주재</t>
  </si>
  <si>
    <t xml:space="preserve">D-7-91 </t>
  </si>
  <si>
    <t>FTA전근</t>
  </si>
  <si>
    <t xml:space="preserve"> FTA기업내전근자</t>
  </si>
  <si>
    <t xml:space="preserve">D-7-92 </t>
  </si>
  <si>
    <t>FTA계약</t>
  </si>
  <si>
    <t xml:space="preserve"> FTA계약서비스공급자</t>
  </si>
  <si>
    <t xml:space="preserve">D-8    </t>
  </si>
  <si>
    <t xml:space="preserve">기업투자 </t>
  </si>
  <si>
    <t>기업투자</t>
  </si>
  <si>
    <t xml:space="preserve">D-8-1  </t>
  </si>
  <si>
    <t xml:space="preserve">법인에투자 </t>
  </si>
  <si>
    <t>법인에투자</t>
  </si>
  <si>
    <t xml:space="preserve">D-8-2  </t>
  </si>
  <si>
    <t xml:space="preserve">벤처투자 </t>
  </si>
  <si>
    <t>벤처투자</t>
  </si>
  <si>
    <t xml:space="preserve">D-8-3  </t>
  </si>
  <si>
    <t xml:space="preserve">개인기업투자 </t>
  </si>
  <si>
    <t>개인기업에투자</t>
  </si>
  <si>
    <t xml:space="preserve">D-8-4  </t>
  </si>
  <si>
    <t xml:space="preserve">기술창업 </t>
  </si>
  <si>
    <t>기술창업</t>
  </si>
  <si>
    <t xml:space="preserve">D-8-91 </t>
  </si>
  <si>
    <t xml:space="preserve">D-9    </t>
  </si>
  <si>
    <t xml:space="preserve">무역경영 </t>
  </si>
  <si>
    <t>무역경영</t>
  </si>
  <si>
    <t xml:space="preserve">D-9-1  </t>
  </si>
  <si>
    <t xml:space="preserve">무역고유거래 </t>
  </si>
  <si>
    <t>무역업고유번호를부여받은무역거래자</t>
  </si>
  <si>
    <t xml:space="preserve">D-9-2  </t>
  </si>
  <si>
    <t xml:space="preserve">수출설비 </t>
  </si>
  <si>
    <t>수출설비기계의설치운영보수자</t>
  </si>
  <si>
    <t xml:space="preserve">D-9-3  </t>
  </si>
  <si>
    <t xml:space="preserve">선박설비 </t>
  </si>
  <si>
    <t>선박건조설비제작감독</t>
  </si>
  <si>
    <t xml:space="preserve">D-9-4  </t>
  </si>
  <si>
    <t xml:space="preserve">경영영리사업 </t>
  </si>
  <si>
    <t>회사경영및영리사업자</t>
  </si>
  <si>
    <t xml:space="preserve">E-1    </t>
  </si>
  <si>
    <t xml:space="preserve">교수 </t>
  </si>
  <si>
    <t>교수</t>
  </si>
  <si>
    <t xml:space="preserve">E-10-1 </t>
  </si>
  <si>
    <t xml:space="preserve">내항선원 </t>
  </si>
  <si>
    <t>내항선원</t>
  </si>
  <si>
    <t xml:space="preserve">E-10-2 </t>
  </si>
  <si>
    <t xml:space="preserve">어선원 </t>
  </si>
  <si>
    <t>어선원</t>
  </si>
  <si>
    <t xml:space="preserve">E-10-3 </t>
  </si>
  <si>
    <t xml:space="preserve">순항선원 </t>
  </si>
  <si>
    <t>순항여객선(크루즈)취업선원</t>
  </si>
  <si>
    <t xml:space="preserve">E-2-1  </t>
  </si>
  <si>
    <t xml:space="preserve">일반회화강사 </t>
  </si>
  <si>
    <t>일반회화지도강사</t>
  </si>
  <si>
    <t xml:space="preserve">E-2-2  </t>
  </si>
  <si>
    <t xml:space="preserve">학교보조교사 </t>
  </si>
  <si>
    <t>정부초청초중고교영어보조교사</t>
  </si>
  <si>
    <t xml:space="preserve">E-2-91 </t>
  </si>
  <si>
    <t>FTA영어</t>
  </si>
  <si>
    <t xml:space="preserve"> FTA영어보조교사</t>
  </si>
  <si>
    <t xml:space="preserve">E-3    </t>
  </si>
  <si>
    <t xml:space="preserve">연구 </t>
  </si>
  <si>
    <t>연구</t>
  </si>
  <si>
    <t xml:space="preserve">E-4    </t>
  </si>
  <si>
    <t xml:space="preserve">기술지도 </t>
  </si>
  <si>
    <t>기술지도</t>
  </si>
  <si>
    <t xml:space="preserve">E-5    </t>
  </si>
  <si>
    <t xml:space="preserve">전문직업 </t>
  </si>
  <si>
    <t>전문직업</t>
  </si>
  <si>
    <t xml:space="preserve">E-6    </t>
  </si>
  <si>
    <t xml:space="preserve">예술흥행 </t>
  </si>
  <si>
    <t>예술흥행미상(미분류)</t>
  </si>
  <si>
    <t xml:space="preserve">E-6-1  </t>
  </si>
  <si>
    <t xml:space="preserve">예술연예 </t>
  </si>
  <si>
    <t xml:space="preserve">음악,미술,문학등의예술,방송연예활동 </t>
  </si>
  <si>
    <t xml:space="preserve">E-6-2  </t>
  </si>
  <si>
    <t xml:space="preserve">호텔유흥 </t>
  </si>
  <si>
    <t xml:space="preserve">호텔업시설,유흥업소등에서의공연 </t>
  </si>
  <si>
    <t xml:space="preserve">E-6-3  </t>
  </si>
  <si>
    <t xml:space="preserve">운동 </t>
  </si>
  <si>
    <t>운동선수,프로팀감독,매니저</t>
  </si>
  <si>
    <t xml:space="preserve">E-7-1  </t>
  </si>
  <si>
    <t xml:space="preserve">특정활동 </t>
  </si>
  <si>
    <t>특정활동</t>
  </si>
  <si>
    <t xml:space="preserve">E-7-2  </t>
  </si>
  <si>
    <t xml:space="preserve">의료코디 </t>
  </si>
  <si>
    <t>의료코디네이터</t>
  </si>
  <si>
    <t xml:space="preserve">E-7-3  </t>
  </si>
  <si>
    <t xml:space="preserve">해삼양식 </t>
  </si>
  <si>
    <t>해삼양식기술자</t>
  </si>
  <si>
    <t xml:space="preserve">E-7-91 </t>
  </si>
  <si>
    <t>FTA독립</t>
  </si>
  <si>
    <t xml:space="preserve"> FTA독립전문가</t>
  </si>
  <si>
    <t xml:space="preserve">E-9-1  </t>
  </si>
  <si>
    <t xml:space="preserve">제조업 </t>
  </si>
  <si>
    <t>제조업</t>
  </si>
  <si>
    <t xml:space="preserve">E-9-2  </t>
  </si>
  <si>
    <t xml:space="preserve">건설업 </t>
  </si>
  <si>
    <t>건설업</t>
  </si>
  <si>
    <t xml:space="preserve">E-9-3  </t>
  </si>
  <si>
    <t xml:space="preserve">농업 </t>
  </si>
  <si>
    <t>비전문취업농업종사자</t>
  </si>
  <si>
    <t xml:space="preserve">E-9-4  </t>
  </si>
  <si>
    <t xml:space="preserve">어업 </t>
  </si>
  <si>
    <t>어업</t>
  </si>
  <si>
    <t xml:space="preserve">E-9-5  </t>
  </si>
  <si>
    <t xml:space="preserve">서비스업 </t>
  </si>
  <si>
    <t xml:space="preserve">냉장,냉동창고업 </t>
  </si>
  <si>
    <t xml:space="preserve">E-9-6  </t>
  </si>
  <si>
    <t xml:space="preserve">재료수집 </t>
  </si>
  <si>
    <t>재생용재료수집업</t>
  </si>
  <si>
    <t xml:space="preserve">E-9-7  </t>
  </si>
  <si>
    <t xml:space="preserve">관광호텔 </t>
  </si>
  <si>
    <t>관광호텔업</t>
  </si>
  <si>
    <t xml:space="preserve">E-9-8  </t>
  </si>
  <si>
    <t>축산업</t>
    <phoneticPr fontId="1" type="noConversion"/>
  </si>
  <si>
    <t xml:space="preserve"> 비전문취업축산업종사자</t>
    <phoneticPr fontId="1" type="noConversion"/>
  </si>
  <si>
    <t xml:space="preserve">E-9-A  </t>
  </si>
  <si>
    <t xml:space="preserve">음식업 </t>
  </si>
  <si>
    <t xml:space="preserve">외국국적동포일반,기타음식업종 </t>
  </si>
  <si>
    <t xml:space="preserve">E-9-B  </t>
  </si>
  <si>
    <t xml:space="preserve">청소업 </t>
  </si>
  <si>
    <t>외국국적동포청소관련서비스업</t>
  </si>
  <si>
    <t xml:space="preserve">E-9-C  </t>
  </si>
  <si>
    <t xml:space="preserve">간병가사 </t>
  </si>
  <si>
    <t>외국국적동포개인간병가사서비스업</t>
  </si>
  <si>
    <t xml:space="preserve">E-9-D  </t>
  </si>
  <si>
    <t>외국국적동포건설업</t>
  </si>
  <si>
    <t xml:space="preserve">E-9-E  </t>
  </si>
  <si>
    <t xml:space="preserve">자차수리 </t>
  </si>
  <si>
    <t>외국국적동포자동차수리업</t>
  </si>
  <si>
    <t xml:space="preserve">E-9-F  </t>
  </si>
  <si>
    <t>외국국적동포제조업</t>
  </si>
  <si>
    <t xml:space="preserve">E-9-G  </t>
  </si>
  <si>
    <t xml:space="preserve">농축산업 </t>
  </si>
  <si>
    <t>외국국적동포농축산업</t>
  </si>
  <si>
    <t xml:space="preserve">E-9-H  </t>
  </si>
  <si>
    <t xml:space="preserve">연근해업 </t>
  </si>
  <si>
    <t>외국국적동포연근해어업</t>
  </si>
  <si>
    <t xml:space="preserve">E-9-I  </t>
  </si>
  <si>
    <t xml:space="preserve">욕탕업 </t>
  </si>
  <si>
    <t>외국국적동포욕탕업</t>
  </si>
  <si>
    <t xml:space="preserve">E-9-J  </t>
  </si>
  <si>
    <t>외국국적동포재생용재료수집및판매업</t>
  </si>
  <si>
    <t xml:space="preserve">E-9-K  </t>
  </si>
  <si>
    <t xml:space="preserve">냉장냉동 </t>
  </si>
  <si>
    <t xml:space="preserve">외국국적동포냉장,냉동창고업 </t>
  </si>
  <si>
    <t xml:space="preserve">E-9-L  </t>
  </si>
  <si>
    <t xml:space="preserve">비전문취업 </t>
  </si>
  <si>
    <t>비전문취업(합법화조치등)</t>
  </si>
  <si>
    <t xml:space="preserve">E-9-95 </t>
  </si>
  <si>
    <t xml:space="preserve">과거추천연수 </t>
  </si>
  <si>
    <t>과거단체추천형산업연수생</t>
  </si>
  <si>
    <t xml:space="preserve">E-9-96 </t>
  </si>
  <si>
    <t xml:space="preserve">과거연수취업 </t>
  </si>
  <si>
    <t>과거연수취업자격소지자</t>
  </si>
  <si>
    <t xml:space="preserve">E-9-97 </t>
  </si>
  <si>
    <t xml:space="preserve">과거특례고용 </t>
  </si>
  <si>
    <t>과거외국적동포비전문취업특례고용</t>
  </si>
  <si>
    <t xml:space="preserve">E-9-98 </t>
  </si>
  <si>
    <t xml:space="preserve">과거합법조치 </t>
  </si>
  <si>
    <t>과거합법조치후불법체류자</t>
  </si>
  <si>
    <t xml:space="preserve">F-1    </t>
  </si>
  <si>
    <t xml:space="preserve">방문동거 </t>
  </si>
  <si>
    <t>방문동거미분류</t>
  </si>
  <si>
    <t xml:space="preserve">F-1-1  </t>
  </si>
  <si>
    <t xml:space="preserve">친척방문,가족동거,피부양,가사정리등 </t>
  </si>
  <si>
    <t xml:space="preserve">F-1-2  </t>
  </si>
  <si>
    <t xml:space="preserve">가사보조 </t>
  </si>
  <si>
    <t>주한외국공관원등의가사보조인</t>
  </si>
  <si>
    <t xml:space="preserve">F-1-3  </t>
  </si>
  <si>
    <t xml:space="preserve">외교동거 </t>
  </si>
  <si>
    <t>주한외국공관원드의비세대동거인</t>
  </si>
  <si>
    <t xml:space="preserve">F-1-5  </t>
  </si>
  <si>
    <t xml:space="preserve">결혼이민가족 </t>
  </si>
  <si>
    <t>결혼이민자부모및가족</t>
  </si>
  <si>
    <t xml:space="preserve">F-1-6  </t>
  </si>
  <si>
    <t xml:space="preserve">결혼가사정리 </t>
  </si>
  <si>
    <t>결혼이민자이혼후가서정리등</t>
  </si>
  <si>
    <t xml:space="preserve">F-1-7  </t>
  </si>
  <si>
    <t xml:space="preserve">국적신청 </t>
  </si>
  <si>
    <t>국적신청자</t>
  </si>
  <si>
    <t xml:space="preserve">F-1-8  </t>
  </si>
  <si>
    <t xml:space="preserve">합법출생자녀 </t>
  </si>
  <si>
    <t xml:space="preserve"> 합법체류자의국내출생자녀 </t>
  </si>
  <si>
    <t xml:space="preserve">F-1-9  </t>
  </si>
  <si>
    <t xml:space="preserve">동포배우자등 </t>
  </si>
  <si>
    <t>F4의배우자및미성년자녀</t>
  </si>
  <si>
    <t xml:space="preserve">F-1-10 </t>
  </si>
  <si>
    <t xml:space="preserve">동포고령 </t>
  </si>
  <si>
    <t>중국및구소련동포고령자</t>
  </si>
  <si>
    <t xml:space="preserve">F-1-11 </t>
  </si>
  <si>
    <t xml:space="preserve">방문취업자녀 </t>
  </si>
  <si>
    <t>H2의19세미만자녀</t>
  </si>
  <si>
    <t xml:space="preserve">F-1-12 </t>
  </si>
  <si>
    <t xml:space="preserve">거주배우자 </t>
  </si>
  <si>
    <t xml:space="preserve">F-2의배우자 </t>
  </si>
  <si>
    <t xml:space="preserve">F-1-13 </t>
  </si>
  <si>
    <t xml:space="preserve">유학생부모 </t>
  </si>
  <si>
    <t>미성년유학생부모</t>
  </si>
  <si>
    <t xml:space="preserve">F-1-14 </t>
  </si>
  <si>
    <t xml:space="preserve">입양외국인 </t>
  </si>
  <si>
    <t>입양된외국인</t>
  </si>
  <si>
    <t xml:space="preserve">F-1-21 </t>
  </si>
  <si>
    <t xml:space="preserve">외교가사보조 </t>
  </si>
  <si>
    <t>주한외국공관원의가사보조인</t>
  </si>
  <si>
    <t xml:space="preserve">F-1-22 </t>
  </si>
  <si>
    <t xml:space="preserve">고액가사보조 </t>
  </si>
  <si>
    <t>고액투자가의가사보조인</t>
  </si>
  <si>
    <t xml:space="preserve">F-1-23 </t>
  </si>
  <si>
    <t xml:space="preserve">첨단가사보조 </t>
  </si>
  <si>
    <t>첨단투자가의가사보조인</t>
  </si>
  <si>
    <t xml:space="preserve">F-1-24 </t>
  </si>
  <si>
    <t xml:space="preserve">전문가사보조 </t>
  </si>
  <si>
    <t>전문인력등의가사보조인</t>
  </si>
  <si>
    <t xml:space="preserve">F-1-71 </t>
  </si>
  <si>
    <t xml:space="preserve">국적신청가족 </t>
  </si>
  <si>
    <t xml:space="preserve">국적신청자(외국국적동포)의배우자,자녀 </t>
  </si>
  <si>
    <t xml:space="preserve">F-1-72 </t>
  </si>
  <si>
    <t xml:space="preserve">영주신청가족 </t>
  </si>
  <si>
    <t>영주자격(F-5-7)을신청한자의배우자,자녀</t>
  </si>
  <si>
    <t xml:space="preserve">F-1-99 </t>
  </si>
  <si>
    <t xml:space="preserve">기타동거 </t>
  </si>
  <si>
    <t>기타동거</t>
  </si>
  <si>
    <t xml:space="preserve">F-2    </t>
  </si>
  <si>
    <t xml:space="preserve">거주 </t>
  </si>
  <si>
    <t>거주미분류</t>
  </si>
  <si>
    <t xml:space="preserve">F-2-1  </t>
  </si>
  <si>
    <t xml:space="preserve">국민배우자 </t>
  </si>
  <si>
    <t>국민의배우자</t>
  </si>
  <si>
    <t xml:space="preserve">F-2-2  </t>
  </si>
  <si>
    <t xml:space="preserve">국민자녀 </t>
  </si>
  <si>
    <t xml:space="preserve">국민의미성년자녀,국민과혼인관계에서출생한사람 </t>
  </si>
  <si>
    <t xml:space="preserve">F-2-3  </t>
  </si>
  <si>
    <t xml:space="preserve">영주자가족 </t>
  </si>
  <si>
    <t>영주자격소지자의배우자및미성년자녀</t>
  </si>
  <si>
    <t xml:space="preserve">F-2-4  </t>
  </si>
  <si>
    <t xml:space="preserve">난민 </t>
  </si>
  <si>
    <t>난민인정을받은자</t>
  </si>
  <si>
    <t xml:space="preserve">F-2-5  </t>
  </si>
  <si>
    <t xml:space="preserve">고액투자 </t>
  </si>
  <si>
    <t xml:space="preserve">고액투자장기체류외국인(3년이상) </t>
  </si>
  <si>
    <t xml:space="preserve">F-2-6  </t>
  </si>
  <si>
    <t xml:space="preserve">숙련기능 </t>
  </si>
  <si>
    <t>숙련생산기능외국인력</t>
  </si>
  <si>
    <t xml:space="preserve">F-2-7  </t>
  </si>
  <si>
    <t xml:space="preserve">점수우수인력 </t>
  </si>
  <si>
    <t>점수제에의한우수전문인력</t>
  </si>
  <si>
    <t xml:space="preserve">F-2-8  </t>
  </si>
  <si>
    <t xml:space="preserve">부동산투자 </t>
  </si>
  <si>
    <t>부동산투자이민자</t>
  </si>
  <si>
    <t xml:space="preserve">F-2-9  </t>
  </si>
  <si>
    <t xml:space="preserve">영주상실 </t>
  </si>
  <si>
    <t>영주자격상실자</t>
  </si>
  <si>
    <t xml:space="preserve">F-2-10 </t>
  </si>
  <si>
    <t xml:space="preserve">자녀양육 </t>
  </si>
  <si>
    <t>국민과의혼인관계에서출생한자를양육하고있는부또는모</t>
  </si>
  <si>
    <t xml:space="preserve">F-2-11 </t>
  </si>
  <si>
    <t xml:space="preserve">공무임용 </t>
  </si>
  <si>
    <t>공무원으로임용된자</t>
  </si>
  <si>
    <t xml:space="preserve">F-2-12 </t>
  </si>
  <si>
    <t xml:space="preserve">공익사업투자 </t>
  </si>
  <si>
    <t>공익사업투자이민자</t>
  </si>
  <si>
    <t xml:space="preserve">F-2-13 </t>
  </si>
  <si>
    <t xml:space="preserve">공익은퇴가족 </t>
  </si>
  <si>
    <t>공익사업투자이민자나은퇴이민자의배우자및미성년자녀</t>
  </si>
  <si>
    <t xml:space="preserve">F-2-14 </t>
  </si>
  <si>
    <t xml:space="preserve">은퇴이민투자 </t>
  </si>
  <si>
    <t>은퇴이민투자자</t>
  </si>
  <si>
    <t xml:space="preserve">F-2-71 </t>
  </si>
  <si>
    <t xml:space="preserve">점수가족 </t>
  </si>
  <si>
    <t>점수제해당자의배우자및미성년자녀</t>
  </si>
  <si>
    <t xml:space="preserve">F-2-81 </t>
  </si>
  <si>
    <t xml:space="preserve">부동가족 </t>
  </si>
  <si>
    <t>부동산투자이민자의배우자및미성년자녀</t>
  </si>
  <si>
    <t xml:space="preserve">F-2-99 </t>
  </si>
  <si>
    <t xml:space="preserve">기타장기 </t>
  </si>
  <si>
    <t>기타장기체류자</t>
  </si>
  <si>
    <t xml:space="preserve">F-3-1  </t>
  </si>
  <si>
    <t xml:space="preserve">동반 </t>
  </si>
  <si>
    <t>동반</t>
  </si>
  <si>
    <t xml:space="preserve">F-3-91 </t>
  </si>
  <si>
    <t>FTA동반</t>
  </si>
  <si>
    <t xml:space="preserve"> FTA동반</t>
  </si>
  <si>
    <t xml:space="preserve">F-4-1  </t>
  </si>
  <si>
    <t xml:space="preserve">기여동포 </t>
  </si>
  <si>
    <t>국익기여재외동포</t>
  </si>
  <si>
    <t xml:space="preserve">F-4-2  </t>
  </si>
  <si>
    <t xml:space="preserve">일반동포 </t>
  </si>
  <si>
    <t>일반재외동포</t>
  </si>
  <si>
    <t xml:space="preserve">F-4-11 </t>
  </si>
  <si>
    <t xml:space="preserve">재외동포본인 </t>
  </si>
  <si>
    <t>비고시본인</t>
  </si>
  <si>
    <t xml:space="preserve">F-4-12 </t>
  </si>
  <si>
    <t xml:space="preserve">재외동포직계가족 </t>
  </si>
  <si>
    <t>비고시부모</t>
  </si>
  <si>
    <t xml:space="preserve">F-4-13 </t>
  </si>
  <si>
    <t>DE계열6개월이상체류자</t>
  </si>
  <si>
    <t xml:space="preserve"> DE체류자 </t>
  </si>
  <si>
    <t xml:space="preserve">F-4-14 </t>
  </si>
  <si>
    <t xml:space="preserve">대학졸업자 </t>
  </si>
  <si>
    <t>대학졸업자</t>
  </si>
  <si>
    <t xml:space="preserve">F-4-15 </t>
  </si>
  <si>
    <t xml:space="preserve">OECD영주자 </t>
  </si>
  <si>
    <t>OECD영주자</t>
  </si>
  <si>
    <t xml:space="preserve">F-4-16 </t>
  </si>
  <si>
    <t xml:space="preserve">법인대표등 </t>
  </si>
  <si>
    <t>법인대표등</t>
  </si>
  <si>
    <t xml:space="preserve">F-4-17 </t>
  </si>
  <si>
    <t xml:space="preserve">10만불기업가 </t>
  </si>
  <si>
    <t>10만불기업가</t>
  </si>
  <si>
    <t xml:space="preserve">F-4-18 </t>
  </si>
  <si>
    <t xml:space="preserve">다국적기업 </t>
  </si>
  <si>
    <t>다국적기업임원등</t>
  </si>
  <si>
    <t xml:space="preserve">F-4-19 </t>
  </si>
  <si>
    <t xml:space="preserve">동포단체대표 </t>
  </si>
  <si>
    <t>동포단체대표등</t>
  </si>
  <si>
    <t xml:space="preserve">F-4-20 </t>
  </si>
  <si>
    <t xml:space="preserve">공무원등 </t>
  </si>
  <si>
    <t>공무원등</t>
  </si>
  <si>
    <t xml:space="preserve">F-4-21 </t>
  </si>
  <si>
    <t xml:space="preserve">교원 </t>
  </si>
  <si>
    <t>교원</t>
  </si>
  <si>
    <t xml:space="preserve">F-4-22 </t>
  </si>
  <si>
    <t xml:space="preserve">개인사업가 </t>
  </si>
  <si>
    <t>개인사업가</t>
  </si>
  <si>
    <t xml:space="preserve">F-4-23 </t>
  </si>
  <si>
    <t xml:space="preserve">빈번출입자 </t>
  </si>
  <si>
    <t>빈번출입자</t>
  </si>
  <si>
    <t xml:space="preserve">F-4-24 </t>
  </si>
  <si>
    <t xml:space="preserve">제조등근속자 </t>
  </si>
  <si>
    <t>제조업등근속자</t>
  </si>
  <si>
    <t xml:space="preserve">F-4-25 </t>
  </si>
  <si>
    <t xml:space="preserve">60세이상자 </t>
  </si>
  <si>
    <t>60세이상자</t>
  </si>
  <si>
    <t xml:space="preserve">F-4-26 </t>
  </si>
  <si>
    <t xml:space="preserve">수교전입국자 </t>
  </si>
  <si>
    <t>수교전입국자</t>
  </si>
  <si>
    <t xml:space="preserve">F-4-27 </t>
  </si>
  <si>
    <t xml:space="preserve">자격증소지자 </t>
  </si>
  <si>
    <t>자격증소지자</t>
  </si>
  <si>
    <t xml:space="preserve">F-4-99 </t>
  </si>
  <si>
    <t xml:space="preserve">재외동포기타 </t>
  </si>
  <si>
    <t>재외동포기타</t>
  </si>
  <si>
    <t xml:space="preserve">F-5    </t>
  </si>
  <si>
    <t xml:space="preserve">영주 </t>
  </si>
  <si>
    <t>영주미분류</t>
  </si>
  <si>
    <t xml:space="preserve">F-5-1  </t>
  </si>
  <si>
    <t xml:space="preserve">장기체류 </t>
  </si>
  <si>
    <t xml:space="preserve">5년이상대한민국에체류하고있는자 </t>
  </si>
  <si>
    <t xml:space="preserve">F-5-2  </t>
  </si>
  <si>
    <t xml:space="preserve">F-5-3  </t>
  </si>
  <si>
    <t>국민의미성년자녀</t>
  </si>
  <si>
    <t xml:space="preserve">F-5-4  </t>
  </si>
  <si>
    <t xml:space="preserve">영주가족 </t>
  </si>
  <si>
    <t xml:space="preserve">F-5-5  </t>
  </si>
  <si>
    <t xml:space="preserve">고액투자자로서5인이상국민고용자 </t>
  </si>
  <si>
    <t xml:space="preserve">F-5-6  </t>
  </si>
  <si>
    <t>재외동포2년</t>
  </si>
  <si>
    <t xml:space="preserve"> 재외동포자격으로2년이상체류자</t>
  </si>
  <si>
    <t xml:space="preserve">F-5-7  </t>
  </si>
  <si>
    <t xml:space="preserve">동포국적요건 </t>
  </si>
  <si>
    <t>외국국적동포로서국적취득요건을갖춘자</t>
  </si>
  <si>
    <t xml:space="preserve">F-5-8  </t>
  </si>
  <si>
    <t xml:space="preserve">재한화교 </t>
  </si>
  <si>
    <t>대한민국출생재한화교</t>
  </si>
  <si>
    <t xml:space="preserve">F-5-9  </t>
  </si>
  <si>
    <t xml:space="preserve">첨단박사 </t>
  </si>
  <si>
    <t>첨단산업분야박사학위소지자</t>
  </si>
  <si>
    <t xml:space="preserve">F-5-10 </t>
  </si>
  <si>
    <t xml:space="preserve">첨단학사 </t>
  </si>
  <si>
    <t>첨단산업분야학사학위또는자격증소지자</t>
  </si>
  <si>
    <t xml:space="preserve">F-5-11 </t>
  </si>
  <si>
    <t xml:space="preserve">특정능력 </t>
  </si>
  <si>
    <t>특정분야능력소유자</t>
  </si>
  <si>
    <t xml:space="preserve">F-5-12 </t>
  </si>
  <si>
    <t xml:space="preserve">특별공로 </t>
  </si>
  <si>
    <t>특별공로자</t>
  </si>
  <si>
    <t xml:space="preserve">F-5-13 </t>
  </si>
  <si>
    <t xml:space="preserve">연금수혜 </t>
  </si>
  <si>
    <t>연금수혜자</t>
  </si>
  <si>
    <t xml:space="preserve">F-5-14 </t>
  </si>
  <si>
    <t>방문취업4년</t>
  </si>
  <si>
    <t xml:space="preserve"> 방문취업자격으로4년이상제조업종등근무자</t>
  </si>
  <si>
    <t xml:space="preserve">F-5-15 </t>
  </si>
  <si>
    <t xml:space="preserve">국내박사 </t>
  </si>
  <si>
    <t>국내대학원에서정규과정을마치고박사학위를취득한자</t>
  </si>
  <si>
    <t xml:space="preserve">F-5-16 </t>
  </si>
  <si>
    <t xml:space="preserve">점수제 </t>
  </si>
  <si>
    <t xml:space="preserve">점수제로거주자격취득후3년이상체류자 </t>
  </si>
  <si>
    <t xml:space="preserve">F-5-17 </t>
  </si>
  <si>
    <t>부동산투자자와그배우자및미성년자녀</t>
  </si>
  <si>
    <t xml:space="preserve">F-5-18 </t>
  </si>
  <si>
    <t>점수제로영주자격취득자의배우자및미성년자녀</t>
  </si>
  <si>
    <t xml:space="preserve">F-5-19 </t>
  </si>
  <si>
    <t>부동산투자자로영주자격취득자의배우자및미성년자녀</t>
  </si>
  <si>
    <t xml:space="preserve">F-5-20 </t>
  </si>
  <si>
    <t xml:space="preserve">영주출생 </t>
  </si>
  <si>
    <t>영주자격자의국내출생자녀</t>
  </si>
  <si>
    <t xml:space="preserve">F-5-21 </t>
  </si>
  <si>
    <t xml:space="preserve">공익사업투자자로5년이상계속투자상태를유지한상태 </t>
  </si>
  <si>
    <t xml:space="preserve">F-5-22 </t>
  </si>
  <si>
    <t>공익사업투자자로영주자격취득자의배우자및미성년자녀</t>
  </si>
  <si>
    <t xml:space="preserve">F-5-23 </t>
  </si>
  <si>
    <t>은퇴이민투자자로투자상태유지등요건을갖춘사람</t>
  </si>
  <si>
    <t xml:space="preserve">F-5-24 </t>
  </si>
  <si>
    <t xml:space="preserve">법인창업영주 </t>
  </si>
  <si>
    <t xml:space="preserve">법인창업자격으로3년이상체류자 </t>
  </si>
  <si>
    <t xml:space="preserve">F-5-25 </t>
  </si>
  <si>
    <t xml:space="preserve">고액투자조건부영주 </t>
  </si>
  <si>
    <t xml:space="preserve">15억원이상을투자하고5년간투자유지서약자 </t>
  </si>
  <si>
    <t xml:space="preserve">F-6-1  </t>
  </si>
  <si>
    <t xml:space="preserve">F-6-2  </t>
  </si>
  <si>
    <t>자녀양육</t>
  </si>
  <si>
    <t xml:space="preserve">F-6-3  </t>
  </si>
  <si>
    <t xml:space="preserve">혼인단절 </t>
  </si>
  <si>
    <t>혼인단절</t>
  </si>
  <si>
    <t xml:space="preserve">G-1    </t>
  </si>
  <si>
    <t xml:space="preserve">기타 </t>
  </si>
  <si>
    <t>기타</t>
  </si>
  <si>
    <t xml:space="preserve">G-1-1  </t>
  </si>
  <si>
    <t xml:space="preserve">산재보상 </t>
  </si>
  <si>
    <t>산재보상청구및치료중인자와보호자</t>
  </si>
  <si>
    <t xml:space="preserve">G-1-2  </t>
  </si>
  <si>
    <t xml:space="preserve">질병사고 </t>
  </si>
  <si>
    <t xml:space="preserve">질병,사고로치료중인자와보호자 </t>
  </si>
  <si>
    <t xml:space="preserve">G-1-3  </t>
  </si>
  <si>
    <t xml:space="preserve">소송진행 </t>
  </si>
  <si>
    <t>각종소송진행중인자</t>
  </si>
  <si>
    <t xml:space="preserve">G-1-4  </t>
  </si>
  <si>
    <t xml:space="preserve">체임중재 </t>
  </si>
  <si>
    <t>체불임금노동관서중재중인자</t>
  </si>
  <si>
    <t xml:space="preserve">G-1-5  </t>
  </si>
  <si>
    <t xml:space="preserve">난민신청 </t>
  </si>
  <si>
    <t>난민신청자</t>
  </si>
  <si>
    <t xml:space="preserve">G-1-6  </t>
  </si>
  <si>
    <t xml:space="preserve">난민인허 </t>
  </si>
  <si>
    <t>난민불인정자중인도적체류허가자</t>
  </si>
  <si>
    <t xml:space="preserve">G-1-7  </t>
  </si>
  <si>
    <t xml:space="preserve">가족사망 </t>
  </si>
  <si>
    <t>사고등으로사망한자의가족</t>
  </si>
  <si>
    <t xml:space="preserve">G-1-9  </t>
  </si>
  <si>
    <t xml:space="preserve">임신출산 </t>
  </si>
  <si>
    <t xml:space="preserve">임신,출산등인도적체류허가자 </t>
  </si>
  <si>
    <t xml:space="preserve">G-1-M  </t>
  </si>
  <si>
    <t xml:space="preserve">치료,요양하고자하는자및동반가족 </t>
  </si>
  <si>
    <t xml:space="preserve">G-1-10 </t>
  </si>
  <si>
    <t xml:space="preserve">치료요양 </t>
  </si>
  <si>
    <t>외국인환자</t>
  </si>
  <si>
    <t xml:space="preserve">G-1-11 </t>
  </si>
  <si>
    <t xml:space="preserve">성매매피해자 </t>
  </si>
  <si>
    <t>성매매피해외국인여성등인도적고려가필요한자</t>
  </si>
  <si>
    <t xml:space="preserve">G-1-99 </t>
  </si>
  <si>
    <t xml:space="preserve">H-1    </t>
  </si>
  <si>
    <t xml:space="preserve">관광취업 </t>
  </si>
  <si>
    <t>관광취업</t>
  </si>
  <si>
    <t xml:space="preserve">H-2-1  </t>
  </si>
  <si>
    <t xml:space="preserve">연고방취 </t>
  </si>
  <si>
    <t>연고자또는국가유공자</t>
  </si>
  <si>
    <t xml:space="preserve">H-2-2  </t>
  </si>
  <si>
    <t xml:space="preserve">유학방취 </t>
  </si>
  <si>
    <t>유학생의부모또는배우자</t>
  </si>
  <si>
    <t xml:space="preserve">H-2-3  </t>
  </si>
  <si>
    <t xml:space="preserve">자진방취 </t>
  </si>
  <si>
    <t>2006년자진출국자</t>
  </si>
  <si>
    <t xml:space="preserve">H-2-4  </t>
  </si>
  <si>
    <t xml:space="preserve">연수방취 </t>
  </si>
  <si>
    <t>연수취업후자진귀국자</t>
  </si>
  <si>
    <t xml:space="preserve">H-2-5  </t>
  </si>
  <si>
    <t xml:space="preserve">추첨방취 </t>
  </si>
  <si>
    <t>한국말시험등으로선발된자</t>
  </si>
  <si>
    <t xml:space="preserve">H-2-6  </t>
  </si>
  <si>
    <t xml:space="preserve">변경방취 </t>
  </si>
  <si>
    <t>무연고동포연수후자격변경자</t>
  </si>
  <si>
    <t xml:space="preserve">H-2-7  </t>
  </si>
  <si>
    <t xml:space="preserve">만기방취 </t>
  </si>
  <si>
    <t>만기출국자재입국자</t>
  </si>
  <si>
    <t xml:space="preserve">H-2-99 </t>
  </si>
  <si>
    <t xml:space="preserve">기타방취 </t>
  </si>
  <si>
    <t>기타(자격변경자포함)</t>
  </si>
  <si>
    <t xml:space="preserve">T-1-1  </t>
  </si>
  <si>
    <t xml:space="preserve">관광상륙 </t>
  </si>
  <si>
    <t>선박도착관광상륙허가자</t>
  </si>
  <si>
    <t>국세청 일용근로소득 신고여부</t>
    <phoneticPr fontId="1" type="noConversion"/>
  </si>
  <si>
    <t>소득세의 10%</t>
    <phoneticPr fontId="1" type="noConversion"/>
  </si>
  <si>
    <t>총지급액
(과세소득)</t>
    <phoneticPr fontId="1" type="noConversion"/>
  </si>
  <si>
    <r>
      <t xml:space="preserve">피보험기간 중 </t>
    </r>
    <r>
      <rPr>
        <sz val="10"/>
        <color indexed="8"/>
        <rFont val="맑은 고딕"/>
        <family val="3"/>
        <charset val="129"/>
      </rPr>
      <t>"보수지급의 기초가 된 일수"를 말하며, 이 경우 "보수지급의 기초가 된 일수"에는 현실적으로 근로하지 아니한 C10날이 포함될 수 있습니다. 무급휴일, 무급휴무일 또는 결근일 등 보수지급일수에서 제외하는 경우에는 그 일수를 제외한 일수가 됩니다.</t>
    </r>
    <phoneticPr fontId="1" type="noConversion"/>
  </si>
  <si>
    <r>
      <t>일용근로자에게 지급한 급여액</t>
    </r>
    <r>
      <rPr>
        <sz val="10"/>
        <color indexed="8"/>
        <rFont val="맑은 고딕"/>
        <family val="3"/>
        <charset val="129"/>
      </rPr>
      <t>(비과세소득 제외)의 월별 합계금액을 적습니다.</t>
    </r>
  </si>
  <si>
    <t>&lt;작성법&gt; 근로내용확인신고서</t>
    <phoneticPr fontId="1" type="noConversion"/>
  </si>
  <si>
    <t>2</t>
    <phoneticPr fontId="1" type="noConversion"/>
  </si>
  <si>
    <t>3</t>
    <phoneticPr fontId="1" type="noConversion"/>
  </si>
  <si>
    <t>4</t>
    <phoneticPr fontId="1" type="noConversion"/>
  </si>
  <si>
    <t>보험구분</t>
    <phoneticPr fontId="22" type="noConversion"/>
  </si>
  <si>
    <t>5</t>
    <phoneticPr fontId="1" type="noConversion"/>
  </si>
  <si>
    <t>산재보험</t>
    <phoneticPr fontId="22" type="noConversion"/>
  </si>
  <si>
    <t>고용보험</t>
    <phoneticPr fontId="22" type="noConversion"/>
  </si>
  <si>
    <t>산재 및 고용보험</t>
    <phoneticPr fontId="22" type="noConversion"/>
  </si>
  <si>
    <t>내용</t>
    <phoneticPr fontId="22" type="noConversion"/>
  </si>
  <si>
    <t>코드</t>
    <phoneticPr fontId="22" type="noConversion"/>
  </si>
  <si>
    <t>이직사유</t>
    <phoneticPr fontId="22" type="noConversion"/>
  </si>
  <si>
    <t>회사의 사정에 의한 이직 - 폐업, 공사중단, 공사종료, 계약기간 만료 등</t>
    <phoneticPr fontId="22" type="noConversion"/>
  </si>
  <si>
    <t>부득이한 개인 사정에 의한 이직 - 질병, 부상, 출산 등</t>
    <phoneticPr fontId="22" type="noConversion"/>
  </si>
  <si>
    <t>기타 개인사정에 의한 이직 - 전직, 자영업을 위한 이직 등</t>
    <phoneticPr fontId="22" type="noConversion"/>
  </si>
  <si>
    <t>H-2-91</t>
    <phoneticPr fontId="7" type="noConversion"/>
  </si>
  <si>
    <t xml:space="preserve">기타방취 </t>
    <phoneticPr fontId="7" type="noConversion"/>
  </si>
  <si>
    <t>기타(자격변경자포함)</t>
    <phoneticPr fontId="7" type="noConversion"/>
  </si>
  <si>
    <t>체류자격</t>
    <phoneticPr fontId="1" type="noConversion"/>
  </si>
  <si>
    <t>보수지급기초일수</t>
    <phoneticPr fontId="1" type="noConversion"/>
  </si>
  <si>
    <t>임금총액</t>
    <phoneticPr fontId="1" type="noConversion"/>
  </si>
  <si>
    <t>일평균
근로시간</t>
    <phoneticPr fontId="1" type="noConversion"/>
  </si>
  <si>
    <t>보수지급
기초일수</t>
    <phoneticPr fontId="1" type="noConversion"/>
  </si>
  <si>
    <t>근로자의 국적코드 (국적코드표 참조)</t>
    <phoneticPr fontId="1" type="noConversion"/>
  </si>
  <si>
    <t>체류자격코드 시트 참조("-" 제외)</t>
    <phoneticPr fontId="1" type="noConversion"/>
  </si>
  <si>
    <t>지역번호 (휴대폰의 경우 01x)</t>
    <phoneticPr fontId="1" type="noConversion"/>
  </si>
  <si>
    <t>국번</t>
    <phoneticPr fontId="1" type="noConversion"/>
  </si>
  <si>
    <t>전화번호 뒷자리</t>
    <phoneticPr fontId="1" type="noConversion"/>
  </si>
  <si>
    <t>근로한 날짜에 "1" 기재</t>
    <phoneticPr fontId="1" type="noConversion"/>
  </si>
  <si>
    <t>13자리 숫자만 적습니다.("-" 제외)</t>
    <phoneticPr fontId="1" type="noConversion"/>
  </si>
  <si>
    <t>한달간 근로한 일 수</t>
    <phoneticPr fontId="1" type="noConversion"/>
  </si>
  <si>
    <t>일평균근로시간</t>
    <phoneticPr fontId="1" type="noConversion"/>
  </si>
  <si>
    <t>"소득세법" 제20조에 따른 근로소득에서 같은 법 제12조제3호에 따른 비과세 근로소득을 뺀 금액으로서, 
  해당 월에 발생된 금액</t>
    <phoneticPr fontId="1" type="noConversion"/>
  </si>
  <si>
    <t>"근로기준법" 제2조에 따른 임금으로서, 해당 월에 발생된 금액 기재</t>
    <phoneticPr fontId="1" type="noConversion"/>
  </si>
  <si>
    <r>
      <t xml:space="preserve">고용보험, 산재보험 구분
- 1 : 산재보험
- 3 : 고용보험 
- 5 : 산재,고용보험 
</t>
    </r>
    <r>
      <rPr>
        <b/>
        <sz val="10"/>
        <color rgb="FFFF0000"/>
        <rFont val="맑은 고딕"/>
        <family val="3"/>
        <charset val="129"/>
      </rPr>
      <t xml:space="preserve">* 보험구분이 1번인 경우(산재보험만 신고하는 경우) : 음영 표시된 항목만 작성하시기 바랍니다.
</t>
    </r>
    <r>
      <rPr>
        <b/>
        <sz val="10"/>
        <color indexed="53"/>
        <rFont val="맑은 고딕"/>
        <family val="3"/>
        <charset val="129"/>
      </rPr>
      <t>* 토탈서비스 이용이 아닌 전자매체신고(CD)의 경우 산재보험만 신고 가능합니다.</t>
    </r>
    <phoneticPr fontId="1" type="noConversion"/>
  </si>
  <si>
    <r>
      <t xml:space="preserve">1. 회사의 사정에 의한 이직 (폐업, 공사중단, 공사종료, 계약기간 만료 등)
2. 부득이한 개인 사정에 의한 이직 (질병ㆍ부상, 출산 등)
3. 기타 개인사정에 의한 이직 (전직, 자영업을 위한 이직 등)
</t>
    </r>
    <r>
      <rPr>
        <b/>
        <sz val="10"/>
        <color rgb="FFFF0000"/>
        <rFont val="맑은 고딕"/>
        <family val="3"/>
        <charset val="129"/>
        <scheme val="minor"/>
      </rPr>
      <t>* 보험구분이 3 또는 5인 경우(고용보험 신고하는 경우) : 이직사유코드를 적습니다.(필수값)</t>
    </r>
    <phoneticPr fontId="1" type="noConversion"/>
  </si>
  <si>
    <t>보험료 부과구분 부호를 참고하여 해당자만 기재</t>
    <phoneticPr fontId="1" type="noConversion"/>
  </si>
  <si>
    <t>보험료 부과구분 부호를 참고하여 해당자만 기재</t>
    <phoneticPr fontId="1" type="noConversion"/>
  </si>
  <si>
    <t>※ 21 ~ 25 항목에 대한 궁금한 사항은 국세청(국번없이 126번)으로 문의하시기 바랍니다.</t>
    <phoneticPr fontId="1" type="noConversion"/>
  </si>
  <si>
    <r>
      <t>"</t>
    </r>
    <r>
      <rPr>
        <sz val="10"/>
        <color indexed="8"/>
        <rFont val="맑은 고딕"/>
        <family val="3"/>
        <charset val="129"/>
      </rPr>
      <t xml:space="preserve">지급월"은 일용근로자에게 급여를 지급한 월(12월 말일까지 미지급한 금액은 12월)을 적습니다. </t>
    </r>
    <phoneticPr fontId="1" type="noConversion"/>
  </si>
  <si>
    <t>"지급월" 항목이 
기재되지 않으면
국세청으로 
전송되지 
않습니다.
(나머지 항목은
미기재시 
0원신고로
전송됨에 유의)</t>
    <phoneticPr fontId="1" type="noConversion"/>
  </si>
  <si>
    <t>http://www.4insure.or.kr/pbiz/cmmn/selectComCdList.do?comCdClsfId=A151</t>
  </si>
  <si>
    <t>http://www.4insure.or.kr/pbiz/cmmn/selectComCdList.do?comCdClsfId=D108</t>
  </si>
  <si>
    <t>http://www.4insure.or.kr/pbiz/cmmn/selectComCdList.do?comCdClsfId=C201</t>
  </si>
  <si>
    <t>한국고용직업분류(KECO, 2025) 중 소분류(140개) 직종현황 참고하여 기재</t>
    <phoneticPr fontId="1" type="noConversion"/>
  </si>
  <si>
    <t>E-9-9</t>
    <phoneticPr fontId="7" type="noConversion"/>
  </si>
  <si>
    <t>임업</t>
    <phoneticPr fontId="1" type="noConversion"/>
  </si>
  <si>
    <t>E-9-10</t>
    <phoneticPr fontId="7" type="noConversion"/>
  </si>
  <si>
    <t>광업</t>
    <phoneticPr fontId="1" type="noConversion"/>
  </si>
  <si>
    <t xml:space="preserve"> 비전문취업임업종사자</t>
    <phoneticPr fontId="1" type="noConversion"/>
  </si>
  <si>
    <t xml:space="preserve"> 비전문취업광업종사자</t>
    <phoneticPr fontId="1" type="noConversion"/>
  </si>
  <si>
    <t>8</t>
    <phoneticPr fontId="1" type="noConversion"/>
  </si>
  <si>
    <t>F-3-18</t>
    <phoneticPr fontId="7" type="noConversion"/>
  </si>
  <si>
    <t>F-3-19</t>
    <phoneticPr fontId="7" type="noConversion"/>
  </si>
  <si>
    <t>F-3-20</t>
    <phoneticPr fontId="7" type="noConversion"/>
  </si>
  <si>
    <t>F27가족90일동반</t>
    <phoneticPr fontId="7" type="noConversion"/>
  </si>
  <si>
    <t>F4가족1년동반</t>
    <phoneticPr fontId="7" type="noConversion"/>
  </si>
  <si>
    <t>H2가족1년동반</t>
    <phoneticPr fontId="7" type="noConversion"/>
  </si>
  <si>
    <t>재외동포(F-4) 자격을 취득한 자의 가족에 대한 1년간 유효한 동반 복수사증</t>
    <phoneticPr fontId="7" type="noConversion"/>
  </si>
  <si>
    <t>방문취업(H-2) 자격을 취득한 자의 가족에 대한 1년간 유효한 동반 복수사증</t>
    <phoneticPr fontId="7" type="noConversion"/>
  </si>
  <si>
    <t>점수제 우수인재(F-2-7)의 배우자 및 미성년자녀에 대한 90일간 유효한 단수사증</t>
    <phoneticPr fontId="7" type="noConversion"/>
  </si>
  <si>
    <t>202504</t>
    <phoneticPr fontId="1" type="noConversion"/>
  </si>
  <si>
    <t>김방수</t>
  </si>
  <si>
    <t>오부택</t>
    <phoneticPr fontId="1" type="noConversion"/>
  </si>
  <si>
    <t>하해군</t>
    <phoneticPr fontId="1" type="noConversion"/>
  </si>
  <si>
    <t>유수진</t>
    <phoneticPr fontId="1" type="noConversion"/>
  </si>
  <si>
    <t>류시현</t>
    <phoneticPr fontId="1" type="noConversion"/>
  </si>
  <si>
    <t>651015-1333111</t>
    <phoneticPr fontId="1" type="noConversion"/>
  </si>
  <si>
    <t>630816-1221210</t>
    <phoneticPr fontId="1" type="noConversion"/>
  </si>
  <si>
    <t>701126-1241813</t>
    <phoneticPr fontId="1" type="noConversion"/>
  </si>
  <si>
    <t>610927-1784016</t>
    <phoneticPr fontId="1" type="noConversion"/>
  </si>
  <si>
    <t>650604-1622312</t>
    <phoneticPr fontId="1" type="noConversion"/>
  </si>
  <si>
    <t>박찬구</t>
  </si>
  <si>
    <t>570411-1640313</t>
  </si>
  <si>
    <t>박찬식</t>
  </si>
  <si>
    <t>590407-1906717</t>
  </si>
  <si>
    <t>정연복</t>
  </si>
  <si>
    <t>640909-1324212</t>
  </si>
  <si>
    <t>김학춘</t>
  </si>
  <si>
    <t>690525-1321017</t>
  </si>
  <si>
    <t>이찬석</t>
  </si>
  <si>
    <t>651110-1232814</t>
  </si>
  <si>
    <t>이기연</t>
  </si>
  <si>
    <t>590120-1244816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</si>
</sst>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_);[Red]\(0\)"/>
  </numFmts>
  <fonts count="29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4"/>
      <color indexed="8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sz val="8"/>
      <name val="맑은 고딕"/>
      <family val="3"/>
      <charset val="129"/>
    </font>
    <font>
      <b/>
      <sz val="10"/>
      <color indexed="53"/>
      <name val="맑은 고딕"/>
      <family val="3"/>
      <charset val="129"/>
    </font>
    <font>
      <sz val="10"/>
      <color rgb="FF000000"/>
      <name val="맑은 고딕"/>
      <family val="3"/>
      <charset val="129"/>
      <scheme val="minor"/>
    </font>
    <font>
      <b/>
      <sz val="10"/>
      <name val="맑은 고딕"/>
      <family val="3"/>
      <charset val="129"/>
      <scheme val="major"/>
    </font>
    <font>
      <b/>
      <sz val="10"/>
      <color indexed="8"/>
      <name val="맑은 고딕"/>
      <family val="3"/>
      <charset val="129"/>
      <scheme val="major"/>
    </font>
    <font>
      <sz val="10"/>
      <color indexed="8"/>
      <name val="맑은 고딕"/>
      <family val="3"/>
      <charset val="129"/>
      <scheme val="major"/>
    </font>
    <font>
      <sz val="10"/>
      <color indexed="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ajor"/>
    </font>
    <font>
      <sz val="1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ajor"/>
    </font>
    <font>
      <b/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ajor"/>
    </font>
    <font>
      <b/>
      <sz val="14"/>
      <color rgb="FF000000"/>
      <name val="맑은 고딕"/>
      <family val="3"/>
      <charset val="129"/>
      <scheme val="major"/>
    </font>
    <font>
      <sz val="8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</font>
    <font>
      <sz val="10"/>
      <name val="Arial"/>
      <family val="2"/>
    </font>
    <font>
      <u/>
      <sz val="10"/>
      <color indexed="12"/>
      <name val="Arial"/>
      <family val="2"/>
    </font>
    <font>
      <sz val="12"/>
      <name val="Arial"/>
      <family val="2"/>
    </font>
    <font>
      <sz val="11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465926084170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>
      <alignment vertical="center"/>
    </xf>
    <xf numFmtId="0" fontId="3" fillId="0" borderId="0">
      <alignment vertical="center"/>
    </xf>
    <xf numFmtId="0" fontId="25" fillId="0" borderId="0"/>
    <xf numFmtId="0" fontId="26" fillId="0" borderId="0" applyNumberFormat="0" applyFill="0" applyBorder="0" applyAlignment="0" applyProtection="0">
      <alignment vertical="top"/>
      <protection locked="0"/>
    </xf>
    <xf numFmtId="0" fontId="28" fillId="0" borderId="0">
      <alignment vertical="center"/>
    </xf>
  </cellStyleXfs>
  <cellXfs count="73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>
      <alignment vertical="center"/>
    </xf>
    <xf numFmtId="0" fontId="5" fillId="0" borderId="0" xfId="0" applyFont="1">
      <alignment vertical="center"/>
    </xf>
    <xf numFmtId="49" fontId="6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>
      <alignment vertical="center"/>
    </xf>
    <xf numFmtId="0" fontId="0" fillId="0" borderId="0" xfId="0" applyAlignment="1"/>
    <xf numFmtId="0" fontId="9" fillId="0" borderId="1" xfId="0" applyFont="1" applyBorder="1" applyAlignment="1">
      <alignment horizontal="justify" vertical="center"/>
    </xf>
    <xf numFmtId="49" fontId="10" fillId="0" borderId="1" xfId="0" applyNumberFormat="1" applyFont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49" fontId="12" fillId="0" borderId="0" xfId="0" applyNumberFormat="1" applyFont="1" applyAlignment="1">
      <alignment horizontal="center" vertical="center"/>
    </xf>
    <xf numFmtId="49" fontId="12" fillId="0" borderId="0" xfId="0" applyNumberFormat="1" applyFont="1">
      <alignment vertical="center"/>
    </xf>
    <xf numFmtId="49" fontId="11" fillId="2" borderId="1" xfId="0" applyNumberFormat="1" applyFont="1" applyFill="1" applyBorder="1" applyAlignment="1">
      <alignment horizontal="center" vertical="center"/>
    </xf>
    <xf numFmtId="49" fontId="10" fillId="2" borderId="1" xfId="1" applyNumberFormat="1" applyFont="1" applyFill="1" applyBorder="1" applyAlignment="1">
      <alignment horizontal="center" vertical="center"/>
    </xf>
    <xf numFmtId="49" fontId="10" fillId="0" borderId="1" xfId="1" applyNumberFormat="1" applyFont="1" applyBorder="1" applyAlignment="1">
      <alignment horizontal="center" vertical="center"/>
    </xf>
    <xf numFmtId="49" fontId="11" fillId="0" borderId="1" xfId="0" applyNumberFormat="1" applyFont="1" applyBorder="1" applyAlignment="1">
      <alignment horizontal="center" vertical="center"/>
    </xf>
    <xf numFmtId="49" fontId="10" fillId="3" borderId="1" xfId="1" applyNumberFormat="1" applyFont="1" applyFill="1" applyBorder="1" applyAlignment="1">
      <alignment horizontal="center" vertical="center" wrapText="1"/>
    </xf>
    <xf numFmtId="49" fontId="10" fillId="2" borderId="1" xfId="1" applyNumberFormat="1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/>
    </xf>
    <xf numFmtId="49" fontId="13" fillId="0" borderId="1" xfId="0" applyNumberFormat="1" applyFont="1" applyBorder="1">
      <alignment vertical="center"/>
    </xf>
    <xf numFmtId="49" fontId="13" fillId="0" borderId="1" xfId="0" applyNumberFormat="1" applyFont="1" applyBorder="1" applyAlignment="1">
      <alignment vertical="center" wrapText="1"/>
    </xf>
    <xf numFmtId="49" fontId="14" fillId="0" borderId="1" xfId="0" applyNumberFormat="1" applyFont="1" applyBorder="1">
      <alignment vertical="center"/>
    </xf>
    <xf numFmtId="49" fontId="14" fillId="0" borderId="2" xfId="0" applyNumberFormat="1" applyFont="1" applyBorder="1">
      <alignment vertical="center"/>
    </xf>
    <xf numFmtId="49" fontId="14" fillId="0" borderId="2" xfId="0" applyNumberFormat="1" applyFont="1" applyBorder="1" applyAlignment="1">
      <alignment horizontal="center" vertical="center"/>
    </xf>
    <xf numFmtId="49" fontId="14" fillId="0" borderId="1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0" xfId="0" applyFont="1">
      <alignment vertical="center"/>
    </xf>
    <xf numFmtId="0" fontId="14" fillId="0" borderId="0" xfId="0" applyFont="1" applyAlignment="1"/>
    <xf numFmtId="0" fontId="14" fillId="0" borderId="1" xfId="0" applyFont="1" applyBorder="1">
      <alignment vertical="center"/>
    </xf>
    <xf numFmtId="0" fontId="14" fillId="0" borderId="1" xfId="0" applyFont="1" applyBorder="1" applyAlignment="1">
      <alignment horizontal="left" vertical="center"/>
    </xf>
    <xf numFmtId="0" fontId="13" fillId="2" borderId="1" xfId="0" applyFont="1" applyFill="1" applyBorder="1" applyAlignment="1">
      <alignment horizontal="center" vertical="center"/>
    </xf>
    <xf numFmtId="49" fontId="13" fillId="0" borderId="1" xfId="0" quotePrefix="1" applyNumberFormat="1" applyFont="1" applyBorder="1">
      <alignment vertical="center"/>
    </xf>
    <xf numFmtId="49" fontId="13" fillId="0" borderId="1" xfId="0" quotePrefix="1" applyNumberFormat="1" applyFont="1" applyBorder="1" applyAlignment="1">
      <alignment vertical="center" wrapText="1"/>
    </xf>
    <xf numFmtId="0" fontId="13" fillId="0" borderId="1" xfId="0" applyFont="1" applyBorder="1" applyAlignment="1">
      <alignment horizontal="center" vertical="center"/>
    </xf>
    <xf numFmtId="49" fontId="15" fillId="0" borderId="1" xfId="0" applyNumberFormat="1" applyFont="1" applyBorder="1" applyAlignment="1">
      <alignment vertical="center" wrapText="1"/>
    </xf>
    <xf numFmtId="0" fontId="16" fillId="0" borderId="1" xfId="0" applyFont="1" applyBorder="1">
      <alignment vertical="center"/>
    </xf>
    <xf numFmtId="0" fontId="17" fillId="2" borderId="1" xfId="1" applyFont="1" applyFill="1" applyBorder="1" applyAlignment="1">
      <alignment horizontal="center" vertical="center"/>
    </xf>
    <xf numFmtId="176" fontId="17" fillId="2" borderId="1" xfId="1" applyNumberFormat="1" applyFont="1" applyFill="1" applyBorder="1" applyAlignment="1">
      <alignment horizontal="center" vertical="center"/>
    </xf>
    <xf numFmtId="177" fontId="17" fillId="2" borderId="1" xfId="1" applyNumberFormat="1" applyFont="1" applyFill="1" applyBorder="1" applyAlignment="1">
      <alignment horizontal="center" vertical="center"/>
    </xf>
    <xf numFmtId="49" fontId="17" fillId="0" borderId="1" xfId="1" applyNumberFormat="1" applyFont="1" applyBorder="1" applyAlignment="1">
      <alignment horizontal="center" vertical="center"/>
    </xf>
    <xf numFmtId="177" fontId="17" fillId="0" borderId="1" xfId="1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 wrapText="1"/>
    </xf>
    <xf numFmtId="49" fontId="10" fillId="5" borderId="1" xfId="0" applyNumberFormat="1" applyFont="1" applyFill="1" applyBorder="1" applyAlignment="1">
      <alignment horizontal="left" vertical="center"/>
    </xf>
    <xf numFmtId="0" fontId="16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14" fillId="0" borderId="0" xfId="0" applyNumberFormat="1" applyFont="1">
      <alignment vertical="center"/>
    </xf>
    <xf numFmtId="0" fontId="9" fillId="6" borderId="1" xfId="0" applyFont="1" applyFill="1" applyBorder="1" applyAlignment="1">
      <alignment horizontal="justify" vertical="center"/>
    </xf>
    <xf numFmtId="0" fontId="13" fillId="6" borderId="1" xfId="0" applyFont="1" applyFill="1" applyBorder="1" applyAlignment="1">
      <alignment horizontal="center" vertical="center"/>
    </xf>
    <xf numFmtId="177" fontId="17" fillId="6" borderId="1" xfId="1" applyNumberFormat="1" applyFont="1" applyFill="1" applyBorder="1" applyAlignment="1">
      <alignment horizontal="center" vertical="center"/>
    </xf>
    <xf numFmtId="0" fontId="2" fillId="0" borderId="1" xfId="0" applyFont="1" applyBorder="1">
      <alignment vertical="center"/>
    </xf>
    <xf numFmtId="49" fontId="23" fillId="0" borderId="1" xfId="0" applyNumberFormat="1" applyFont="1" applyBorder="1">
      <alignment vertical="center"/>
    </xf>
    <xf numFmtId="49" fontId="25" fillId="6" borderId="0" xfId="2" applyNumberFormat="1" applyFill="1"/>
    <xf numFmtId="49" fontId="27" fillId="6" borderId="0" xfId="2" applyNumberFormat="1" applyFont="1" applyFill="1"/>
    <xf numFmtId="0" fontId="27" fillId="6" borderId="0" xfId="2" applyFont="1" applyFill="1"/>
    <xf numFmtId="49" fontId="27" fillId="6" borderId="1" xfId="3" applyNumberFormat="1" applyFont="1" applyFill="1" applyBorder="1" applyAlignment="1" applyProtection="1"/>
    <xf numFmtId="0" fontId="0" fillId="0" borderId="1" xfId="0" applyBorder="1">
      <alignment vertical="center"/>
    </xf>
    <xf numFmtId="0" fontId="12" fillId="0" borderId="0" xfId="0" applyFont="1" applyAlignment="1">
      <alignment horizontal="center" vertical="center"/>
    </xf>
    <xf numFmtId="177" fontId="12" fillId="0" borderId="0" xfId="0" applyNumberFormat="1" applyFont="1">
      <alignment vertical="center"/>
    </xf>
    <xf numFmtId="0" fontId="24" fillId="0" borderId="6" xfId="0" applyFont="1" applyBorder="1" applyAlignment="1">
      <alignment horizontal="center" vertical="center" wrapText="1"/>
    </xf>
    <xf numFmtId="0" fontId="24" fillId="0" borderId="3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19" fillId="0" borderId="4" xfId="0" applyFont="1" applyBorder="1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0" fontId="21" fillId="0" borderId="5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2" fillId="0" borderId="0" xfId="0" applyNumberFormat="1" applyFont="1" applyAlignment="1">
      <alignment horizontal="center" vertical="center"/>
    </xf>
  </cellXfs>
  <cellStyles count="5">
    <cellStyle name="표준" xfId="0" builtinId="0"/>
    <cellStyle name="표준 2" xfId="2" xr:uid="{00000000-0005-0000-0000-000001000000}"/>
    <cellStyle name="표준 6" xfId="4" xr:uid="{0D6A005C-BB82-4A56-8791-5BFF995E74CC}"/>
    <cellStyle name="표준_작성예" xfId="1" xr:uid="{00000000-0005-0000-0000-000002000000}"/>
    <cellStyle name="하이퍼링크 2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B20"/>
  <sheetViews>
    <sheetView tabSelected="1" zoomScale="90" zoomScaleNormal="90" workbookViewId="0">
      <pane ySplit="1" topLeftCell="A2" activePane="bottomLeft" state="frozen"/>
      <selection pane="bottomLeft" activeCell="A13" sqref="A13"/>
    </sheetView>
  </sheetViews>
  <sheetFormatPr defaultRowHeight="13.5" x14ac:dyDescent="0.3"/>
  <cols>
    <col min="1" max="1" width="8" style="14" bestFit="1" customWidth="1"/>
    <col min="2" max="2" width="13.875" style="14" bestFit="1" customWidth="1"/>
    <col min="3" max="3" width="18.125" style="14" bestFit="1" customWidth="1"/>
    <col min="4" max="4" width="8" style="14" hidden="1" customWidth="1"/>
    <col min="5" max="5" width="11.375" style="14" hidden="1" customWidth="1"/>
    <col min="6" max="6" width="12.75" style="14" hidden="1" customWidth="1"/>
    <col min="7" max="7" width="9.25" style="14" hidden="1" customWidth="1"/>
    <col min="8" max="8" width="11" style="14" hidden="1" customWidth="1"/>
    <col min="9" max="9" width="8" style="14" hidden="1" customWidth="1"/>
    <col min="10" max="18" width="4.125" style="14" customWidth="1"/>
    <col min="19" max="40" width="5.125" style="14" bestFit="1" customWidth="1"/>
    <col min="41" max="43" width="8" style="14" bestFit="1" customWidth="1"/>
    <col min="44" max="44" width="9.25" style="15" bestFit="1" customWidth="1"/>
    <col min="45" max="45" width="8" style="15" bestFit="1" customWidth="1"/>
    <col min="46" max="46" width="11.375" style="14" bestFit="1" customWidth="1"/>
    <col min="47" max="48" width="13.125" style="14" bestFit="1" customWidth="1"/>
    <col min="49" max="49" width="11.375" style="15" bestFit="1" customWidth="1"/>
    <col min="50" max="50" width="6.375" style="15" bestFit="1" customWidth="1"/>
    <col min="51" max="51" width="9.25" style="15" bestFit="1" customWidth="1"/>
    <col min="52" max="52" width="9.625" style="15" bestFit="1" customWidth="1"/>
    <col min="53" max="53" width="6.375" style="15" bestFit="1" customWidth="1"/>
    <col min="54" max="54" width="9.625" style="15" bestFit="1" customWidth="1"/>
    <col min="55" max="16384" width="9" style="15"/>
  </cols>
  <sheetData>
    <row r="1" spans="1:54" s="13" customFormat="1" ht="51.75" customHeight="1" x14ac:dyDescent="0.3">
      <c r="A1" s="16" t="s">
        <v>74</v>
      </c>
      <c r="B1" s="17" t="s">
        <v>59</v>
      </c>
      <c r="C1" s="17" t="s">
        <v>60</v>
      </c>
      <c r="D1" s="18" t="s">
        <v>61</v>
      </c>
      <c r="E1" s="18" t="s">
        <v>62</v>
      </c>
      <c r="F1" s="19" t="s">
        <v>51</v>
      </c>
      <c r="G1" s="19" t="s">
        <v>53</v>
      </c>
      <c r="H1" s="19" t="s">
        <v>55</v>
      </c>
      <c r="I1" s="18" t="s">
        <v>63</v>
      </c>
      <c r="J1" s="17" t="s">
        <v>64</v>
      </c>
      <c r="K1" s="17" t="s">
        <v>65</v>
      </c>
      <c r="L1" s="17" t="s">
        <v>66</v>
      </c>
      <c r="M1" s="17" t="s">
        <v>17</v>
      </c>
      <c r="N1" s="17" t="s">
        <v>18</v>
      </c>
      <c r="O1" s="17" t="s">
        <v>19</v>
      </c>
      <c r="P1" s="17" t="s">
        <v>20</v>
      </c>
      <c r="Q1" s="17" t="s">
        <v>21</v>
      </c>
      <c r="R1" s="17" t="s">
        <v>22</v>
      </c>
      <c r="S1" s="17" t="s">
        <v>23</v>
      </c>
      <c r="T1" s="17" t="s">
        <v>24</v>
      </c>
      <c r="U1" s="17" t="s">
        <v>25</v>
      </c>
      <c r="V1" s="17" t="s">
        <v>26</v>
      </c>
      <c r="W1" s="17" t="s">
        <v>27</v>
      </c>
      <c r="X1" s="17" t="s">
        <v>28</v>
      </c>
      <c r="Y1" s="17" t="s">
        <v>29</v>
      </c>
      <c r="Z1" s="17" t="s">
        <v>30</v>
      </c>
      <c r="AA1" s="17" t="s">
        <v>31</v>
      </c>
      <c r="AB1" s="17" t="s">
        <v>32</v>
      </c>
      <c r="AC1" s="17" t="s">
        <v>33</v>
      </c>
      <c r="AD1" s="17" t="s">
        <v>34</v>
      </c>
      <c r="AE1" s="17" t="s">
        <v>35</v>
      </c>
      <c r="AF1" s="17" t="s">
        <v>36</v>
      </c>
      <c r="AG1" s="17" t="s">
        <v>37</v>
      </c>
      <c r="AH1" s="17" t="s">
        <v>38</v>
      </c>
      <c r="AI1" s="17" t="s">
        <v>39</v>
      </c>
      <c r="AJ1" s="17" t="s">
        <v>40</v>
      </c>
      <c r="AK1" s="17" t="s">
        <v>41</v>
      </c>
      <c r="AL1" s="17" t="s">
        <v>42</v>
      </c>
      <c r="AM1" s="17" t="s">
        <v>43</v>
      </c>
      <c r="AN1" s="17" t="s">
        <v>67</v>
      </c>
      <c r="AO1" s="17" t="s">
        <v>68</v>
      </c>
      <c r="AP1" s="21" t="s">
        <v>810</v>
      </c>
      <c r="AQ1" s="21" t="s">
        <v>811</v>
      </c>
      <c r="AR1" s="21" t="s">
        <v>105</v>
      </c>
      <c r="AS1" s="21" t="s">
        <v>809</v>
      </c>
      <c r="AT1" s="18" t="s">
        <v>71</v>
      </c>
      <c r="AU1" s="21" t="s">
        <v>75</v>
      </c>
      <c r="AV1" s="21" t="s">
        <v>76</v>
      </c>
      <c r="AW1" s="11" t="s">
        <v>118</v>
      </c>
      <c r="AX1" s="11" t="s">
        <v>120</v>
      </c>
      <c r="AY1" s="11" t="s">
        <v>786</v>
      </c>
      <c r="AZ1" s="12" t="s">
        <v>106</v>
      </c>
      <c r="BA1" s="12" t="s">
        <v>107</v>
      </c>
      <c r="BB1" s="12" t="s">
        <v>108</v>
      </c>
    </row>
    <row r="2" spans="1:54" x14ac:dyDescent="0.3">
      <c r="A2" s="62">
        <v>3</v>
      </c>
      <c r="B2" s="14" t="s">
        <v>852</v>
      </c>
      <c r="C2" s="14" t="s">
        <v>856</v>
      </c>
      <c r="I2" s="62">
        <v>706</v>
      </c>
      <c r="O2" s="14">
        <v>1</v>
      </c>
      <c r="P2" s="14">
        <v>1</v>
      </c>
      <c r="Q2" s="14">
        <v>1</v>
      </c>
      <c r="R2" s="72">
        <v>1</v>
      </c>
      <c r="S2" s="62">
        <v>1</v>
      </c>
      <c r="T2" s="62">
        <v>1</v>
      </c>
      <c r="U2" s="62">
        <v>1</v>
      </c>
      <c r="V2" s="62">
        <v>1</v>
      </c>
      <c r="W2" s="62">
        <v>1</v>
      </c>
      <c r="X2" s="14">
        <v>1</v>
      </c>
      <c r="Y2" s="62">
        <v>1</v>
      </c>
      <c r="Z2" s="62">
        <v>1</v>
      </c>
      <c r="AA2" s="14">
        <v>1</v>
      </c>
      <c r="AB2" s="62"/>
      <c r="AC2" s="62">
        <v>1</v>
      </c>
      <c r="AD2" s="14">
        <v>1</v>
      </c>
      <c r="AE2" s="14">
        <v>1</v>
      </c>
      <c r="AF2" s="62">
        <v>1</v>
      </c>
      <c r="AG2" s="62">
        <v>1</v>
      </c>
      <c r="AH2" s="14">
        <v>1</v>
      </c>
      <c r="AJ2" s="14">
        <v>1</v>
      </c>
      <c r="AL2" s="14">
        <v>1</v>
      </c>
      <c r="AM2" s="14">
        <v>1</v>
      </c>
      <c r="AO2" s="14">
        <f>COUNTA(J2:AN2)</f>
        <v>22</v>
      </c>
      <c r="AP2" s="62">
        <v>8</v>
      </c>
      <c r="AQ2" s="14">
        <f>AO2</f>
        <v>22</v>
      </c>
      <c r="AR2" s="63">
        <f>5375000</f>
        <v>5375000</v>
      </c>
      <c r="AS2" s="63">
        <f>AR2</f>
        <v>5375000</v>
      </c>
      <c r="AT2" s="62">
        <v>1</v>
      </c>
    </row>
    <row r="3" spans="1:54" x14ac:dyDescent="0.3">
      <c r="A3" s="62">
        <v>3</v>
      </c>
      <c r="B3" s="14" t="s">
        <v>853</v>
      </c>
      <c r="C3" s="14" t="s">
        <v>857</v>
      </c>
      <c r="I3" s="62">
        <v>706</v>
      </c>
      <c r="O3" s="14">
        <v>1</v>
      </c>
      <c r="P3" s="14">
        <v>1</v>
      </c>
      <c r="Q3" s="14">
        <v>1</v>
      </c>
      <c r="S3" s="62"/>
      <c r="T3" s="62">
        <v>1</v>
      </c>
      <c r="U3" s="62">
        <v>1</v>
      </c>
      <c r="V3" s="62">
        <v>1</v>
      </c>
      <c r="W3" s="62">
        <v>1</v>
      </c>
      <c r="X3" s="14">
        <v>1</v>
      </c>
      <c r="Y3" s="62">
        <v>1</v>
      </c>
      <c r="Z3" s="62">
        <v>1</v>
      </c>
      <c r="AA3" s="14">
        <v>1</v>
      </c>
      <c r="AB3" s="62"/>
      <c r="AC3" s="62">
        <v>1</v>
      </c>
      <c r="AD3" s="62">
        <v>1</v>
      </c>
      <c r="AE3" s="14">
        <v>1</v>
      </c>
      <c r="AF3" s="62">
        <v>1</v>
      </c>
      <c r="AG3" s="14">
        <v>1</v>
      </c>
      <c r="AH3" s="14">
        <v>1</v>
      </c>
      <c r="AM3" s="14">
        <v>1</v>
      </c>
      <c r="AO3" s="14">
        <f t="shared" ref="AO3:AO7" si="0">COUNTA(J3:AN3)</f>
        <v>18</v>
      </c>
      <c r="AP3" s="62">
        <v>8</v>
      </c>
      <c r="AQ3" s="14">
        <f t="shared" ref="AQ3:AQ7" si="1">AO3</f>
        <v>18</v>
      </c>
      <c r="AR3" s="63">
        <f>AQ3*190000</f>
        <v>3420000</v>
      </c>
      <c r="AS3" s="63">
        <f t="shared" ref="AS3:AS17" si="2">AR3</f>
        <v>3420000</v>
      </c>
      <c r="AT3" s="62">
        <v>1</v>
      </c>
    </row>
    <row r="4" spans="1:54" x14ac:dyDescent="0.3">
      <c r="A4" s="62">
        <v>3</v>
      </c>
      <c r="B4" s="14" t="s">
        <v>851</v>
      </c>
      <c r="C4" s="14" t="s">
        <v>860</v>
      </c>
      <c r="I4" s="62">
        <v>706</v>
      </c>
      <c r="O4" s="14">
        <v>1</v>
      </c>
      <c r="P4" s="14">
        <v>1</v>
      </c>
      <c r="Q4" s="14">
        <v>1</v>
      </c>
      <c r="R4" s="72">
        <v>1</v>
      </c>
      <c r="S4" s="62">
        <v>1</v>
      </c>
      <c r="T4" s="62">
        <v>1</v>
      </c>
      <c r="U4" s="62">
        <v>1</v>
      </c>
      <c r="V4" s="62">
        <v>1</v>
      </c>
      <c r="W4" s="62">
        <v>1</v>
      </c>
      <c r="X4" s="14">
        <v>1</v>
      </c>
      <c r="Y4" s="62">
        <v>1</v>
      </c>
      <c r="Z4" s="62">
        <v>1</v>
      </c>
      <c r="AA4" s="14">
        <v>1</v>
      </c>
      <c r="AB4" s="62"/>
      <c r="AC4" s="62">
        <v>1</v>
      </c>
      <c r="AD4" s="62">
        <v>1</v>
      </c>
      <c r="AE4" s="14">
        <v>1</v>
      </c>
      <c r="AF4" s="62">
        <v>1</v>
      </c>
      <c r="AG4" s="62">
        <v>1</v>
      </c>
      <c r="AH4" s="14">
        <v>1</v>
      </c>
      <c r="AJ4" s="14">
        <v>1</v>
      </c>
      <c r="AL4" s="14">
        <v>1</v>
      </c>
      <c r="AM4" s="14">
        <v>1</v>
      </c>
      <c r="AO4" s="14">
        <f t="shared" si="0"/>
        <v>22</v>
      </c>
      <c r="AP4" s="62">
        <v>8</v>
      </c>
      <c r="AQ4" s="14">
        <f t="shared" si="1"/>
        <v>22</v>
      </c>
      <c r="AR4" s="63">
        <f>4085000</f>
        <v>4085000</v>
      </c>
      <c r="AS4" s="63">
        <f t="shared" si="2"/>
        <v>4085000</v>
      </c>
      <c r="AT4" s="62">
        <v>1</v>
      </c>
    </row>
    <row r="5" spans="1:54" x14ac:dyDescent="0.3">
      <c r="A5" s="62">
        <v>3</v>
      </c>
      <c r="B5" s="14" t="s">
        <v>854</v>
      </c>
      <c r="C5" s="14" t="s">
        <v>858</v>
      </c>
      <c r="I5" s="62">
        <v>706</v>
      </c>
      <c r="O5" s="14">
        <v>1</v>
      </c>
      <c r="P5" s="14">
        <v>1</v>
      </c>
      <c r="Q5" s="14">
        <v>1</v>
      </c>
      <c r="R5" s="72">
        <v>1</v>
      </c>
      <c r="S5" s="62">
        <v>1</v>
      </c>
      <c r="T5" s="62">
        <v>1</v>
      </c>
      <c r="U5" s="62">
        <v>1</v>
      </c>
      <c r="V5" s="62">
        <v>1</v>
      </c>
      <c r="W5" s="62">
        <v>1</v>
      </c>
      <c r="X5" s="14">
        <v>1</v>
      </c>
      <c r="Y5" s="62">
        <v>1</v>
      </c>
      <c r="Z5" s="62">
        <v>1</v>
      </c>
      <c r="AA5" s="14">
        <v>1</v>
      </c>
      <c r="AB5" s="62"/>
      <c r="AC5" s="62">
        <v>1</v>
      </c>
      <c r="AD5" s="62">
        <v>1</v>
      </c>
      <c r="AE5" s="14">
        <v>1</v>
      </c>
      <c r="AF5" s="62">
        <v>1</v>
      </c>
      <c r="AG5" s="62">
        <v>1</v>
      </c>
      <c r="AH5" s="14">
        <v>1</v>
      </c>
      <c r="AJ5" s="14">
        <v>1</v>
      </c>
      <c r="AL5" s="14">
        <v>1</v>
      </c>
      <c r="AM5" s="14">
        <v>1</v>
      </c>
      <c r="AO5" s="14">
        <f t="shared" si="0"/>
        <v>22</v>
      </c>
      <c r="AP5" s="62">
        <v>8</v>
      </c>
      <c r="AQ5" s="14">
        <f t="shared" si="1"/>
        <v>22</v>
      </c>
      <c r="AR5" s="63">
        <f>4085000</f>
        <v>4085000</v>
      </c>
      <c r="AS5" s="63">
        <f t="shared" si="2"/>
        <v>4085000</v>
      </c>
      <c r="AT5" s="62">
        <v>1</v>
      </c>
    </row>
    <row r="6" spans="1:54" x14ac:dyDescent="0.3">
      <c r="A6" s="62">
        <v>3</v>
      </c>
      <c r="B6" s="14" t="s">
        <v>855</v>
      </c>
      <c r="C6" s="14" t="s">
        <v>859</v>
      </c>
      <c r="I6" s="62">
        <v>706</v>
      </c>
      <c r="O6" s="14">
        <v>1</v>
      </c>
      <c r="P6" s="14">
        <v>1</v>
      </c>
      <c r="Q6" s="14">
        <v>1</v>
      </c>
      <c r="R6" s="72">
        <v>1</v>
      </c>
      <c r="S6" s="62">
        <v>1</v>
      </c>
      <c r="T6" s="62">
        <v>1</v>
      </c>
      <c r="U6" s="62">
        <v>1</v>
      </c>
      <c r="V6" s="62">
        <v>1</v>
      </c>
      <c r="W6" s="62">
        <v>1</v>
      </c>
      <c r="X6" s="14">
        <v>1</v>
      </c>
      <c r="Y6" s="62">
        <v>1</v>
      </c>
      <c r="Z6" s="62">
        <v>1</v>
      </c>
      <c r="AA6" s="14">
        <v>1</v>
      </c>
      <c r="AB6" s="62"/>
      <c r="AC6" s="62">
        <v>1</v>
      </c>
      <c r="AD6" s="62">
        <v>1</v>
      </c>
      <c r="AE6" s="14">
        <v>1</v>
      </c>
      <c r="AF6" s="62">
        <v>1</v>
      </c>
      <c r="AG6" s="62">
        <v>1</v>
      </c>
      <c r="AH6" s="14">
        <v>1</v>
      </c>
      <c r="AJ6" s="14">
        <v>1</v>
      </c>
      <c r="AL6" s="14">
        <v>1</v>
      </c>
      <c r="AM6" s="14">
        <v>1</v>
      </c>
      <c r="AO6" s="14">
        <f t="shared" si="0"/>
        <v>22</v>
      </c>
      <c r="AP6" s="62">
        <v>8</v>
      </c>
      <c r="AQ6" s="14">
        <f t="shared" si="1"/>
        <v>22</v>
      </c>
      <c r="AR6" s="63">
        <f>4515000</f>
        <v>4515000</v>
      </c>
      <c r="AS6" s="63">
        <f t="shared" si="2"/>
        <v>4515000</v>
      </c>
      <c r="AT6" s="62">
        <v>1</v>
      </c>
    </row>
    <row r="7" spans="1:54" x14ac:dyDescent="0.3">
      <c r="A7" s="62">
        <v>3</v>
      </c>
      <c r="B7" s="14" t="s">
        <v>861</v>
      </c>
      <c r="C7" s="14" t="s">
        <v>862</v>
      </c>
      <c r="I7" s="62">
        <v>706</v>
      </c>
      <c r="V7" s="62"/>
      <c r="W7" s="62"/>
      <c r="X7" s="14">
        <v>1</v>
      </c>
      <c r="Y7" s="14">
        <v>1</v>
      </c>
      <c r="AO7" s="14">
        <f t="shared" si="0"/>
        <v>2</v>
      </c>
      <c r="AP7" s="62">
        <v>8</v>
      </c>
      <c r="AQ7" s="14">
        <f t="shared" si="1"/>
        <v>2</v>
      </c>
      <c r="AR7" s="63">
        <f>AQ7*210000</f>
        <v>420000</v>
      </c>
      <c r="AS7" s="63">
        <f t="shared" si="2"/>
        <v>420000</v>
      </c>
      <c r="AT7" s="62">
        <v>1</v>
      </c>
    </row>
    <row r="8" spans="1:54" x14ac:dyDescent="0.3">
      <c r="A8" s="62">
        <v>3</v>
      </c>
      <c r="B8" s="14" t="s">
        <v>863</v>
      </c>
      <c r="C8" s="14" t="s">
        <v>864</v>
      </c>
      <c r="I8" s="62">
        <v>706</v>
      </c>
      <c r="V8" s="62"/>
      <c r="W8" s="62"/>
      <c r="Y8" s="62">
        <v>1</v>
      </c>
      <c r="Z8" s="62"/>
      <c r="AB8" s="62"/>
      <c r="AC8" s="62"/>
      <c r="AD8" s="62"/>
      <c r="AO8" s="14">
        <f t="shared" ref="AO8:AO17" si="3">COUNTA(J8:AN8)</f>
        <v>1</v>
      </c>
      <c r="AP8" s="62">
        <v>8</v>
      </c>
      <c r="AQ8" s="14">
        <f t="shared" ref="AQ8:AQ17" si="4">AO8</f>
        <v>1</v>
      </c>
      <c r="AR8" s="63">
        <f>AQ8*195000</f>
        <v>195000</v>
      </c>
      <c r="AS8" s="63">
        <f t="shared" si="2"/>
        <v>195000</v>
      </c>
      <c r="AT8" s="62">
        <v>1</v>
      </c>
    </row>
    <row r="9" spans="1:54" x14ac:dyDescent="0.3">
      <c r="A9" s="62">
        <v>3</v>
      </c>
      <c r="B9" s="14" t="s">
        <v>865</v>
      </c>
      <c r="C9" s="14" t="s">
        <v>866</v>
      </c>
      <c r="I9" s="62">
        <v>706</v>
      </c>
      <c r="S9" s="14">
        <v>1</v>
      </c>
      <c r="T9" s="14">
        <v>1</v>
      </c>
      <c r="U9" s="14">
        <v>1</v>
      </c>
      <c r="V9" s="62">
        <v>1</v>
      </c>
      <c r="W9" s="62">
        <v>1</v>
      </c>
      <c r="X9" s="14">
        <v>1</v>
      </c>
      <c r="Y9" s="62">
        <v>1</v>
      </c>
      <c r="Z9" s="62"/>
      <c r="AB9" s="62"/>
      <c r="AC9" s="62"/>
      <c r="AD9" s="62">
        <v>1</v>
      </c>
      <c r="AO9" s="14">
        <f t="shared" si="3"/>
        <v>8</v>
      </c>
      <c r="AP9" s="62">
        <v>8</v>
      </c>
      <c r="AQ9" s="14">
        <f t="shared" si="4"/>
        <v>8</v>
      </c>
      <c r="AR9" s="63">
        <f>AQ9*200000</f>
        <v>1600000</v>
      </c>
      <c r="AS9" s="63">
        <f t="shared" si="2"/>
        <v>1600000</v>
      </c>
      <c r="AT9" s="62">
        <v>1</v>
      </c>
    </row>
    <row r="10" spans="1:54" x14ac:dyDescent="0.3">
      <c r="A10" s="62">
        <v>3</v>
      </c>
      <c r="B10" s="14" t="s">
        <v>867</v>
      </c>
      <c r="C10" s="14" t="s">
        <v>868</v>
      </c>
      <c r="I10" s="62">
        <v>706</v>
      </c>
      <c r="S10" s="14">
        <v>1</v>
      </c>
      <c r="T10" s="14">
        <v>1</v>
      </c>
      <c r="U10" s="14">
        <v>1</v>
      </c>
      <c r="V10" s="62">
        <v>1</v>
      </c>
      <c r="W10" s="62">
        <v>1</v>
      </c>
      <c r="X10" s="14">
        <v>1</v>
      </c>
      <c r="Y10" s="62">
        <v>1</v>
      </c>
      <c r="Z10" s="62">
        <v>1</v>
      </c>
      <c r="AA10" s="14">
        <v>1</v>
      </c>
      <c r="AB10" s="62"/>
      <c r="AC10" s="62">
        <v>1</v>
      </c>
      <c r="AD10" s="62">
        <v>1</v>
      </c>
      <c r="AE10" s="14">
        <v>1</v>
      </c>
      <c r="AF10" s="14">
        <v>1</v>
      </c>
      <c r="AG10" s="14">
        <v>1</v>
      </c>
      <c r="AH10" s="14">
        <v>1</v>
      </c>
      <c r="AO10" s="14">
        <f t="shared" si="3"/>
        <v>15</v>
      </c>
      <c r="AP10" s="62">
        <v>8</v>
      </c>
      <c r="AQ10" s="14">
        <f t="shared" si="4"/>
        <v>15</v>
      </c>
      <c r="AR10" s="63">
        <f>AQ10*200000</f>
        <v>3000000</v>
      </c>
      <c r="AS10" s="63">
        <f t="shared" si="2"/>
        <v>3000000</v>
      </c>
      <c r="AT10" s="62">
        <v>1</v>
      </c>
    </row>
    <row r="11" spans="1:54" x14ac:dyDescent="0.3">
      <c r="A11" s="62">
        <v>3</v>
      </c>
      <c r="B11" s="14" t="s">
        <v>869</v>
      </c>
      <c r="C11" s="14" t="s">
        <v>870</v>
      </c>
      <c r="I11" s="62">
        <v>706</v>
      </c>
      <c r="V11" s="62"/>
      <c r="W11" s="62"/>
      <c r="X11" s="14">
        <v>1</v>
      </c>
      <c r="Y11" s="62">
        <v>1</v>
      </c>
      <c r="Z11" s="62"/>
      <c r="AB11" s="62"/>
      <c r="AC11" s="62"/>
      <c r="AD11" s="62"/>
      <c r="AO11" s="14">
        <f t="shared" si="3"/>
        <v>2</v>
      </c>
      <c r="AP11" s="62">
        <v>8</v>
      </c>
      <c r="AQ11" s="14">
        <f t="shared" si="4"/>
        <v>2</v>
      </c>
      <c r="AR11" s="63">
        <f>AQ11*195000</f>
        <v>390000</v>
      </c>
      <c r="AS11" s="63">
        <f t="shared" si="2"/>
        <v>390000</v>
      </c>
      <c r="AT11" s="62">
        <v>1</v>
      </c>
    </row>
    <row r="12" spans="1:54" x14ac:dyDescent="0.3">
      <c r="A12" s="62">
        <v>3</v>
      </c>
      <c r="B12" s="14" t="s">
        <v>871</v>
      </c>
      <c r="C12" s="14" t="s">
        <v>872</v>
      </c>
      <c r="I12" s="62">
        <v>706</v>
      </c>
      <c r="W12" s="62"/>
      <c r="X12" s="14">
        <v>1</v>
      </c>
      <c r="Y12" s="62">
        <v>1</v>
      </c>
      <c r="Z12" s="62"/>
      <c r="AB12" s="62"/>
      <c r="AC12" s="62"/>
      <c r="AD12" s="62"/>
      <c r="AO12" s="14">
        <f t="shared" si="3"/>
        <v>2</v>
      </c>
      <c r="AP12" s="62">
        <v>8</v>
      </c>
      <c r="AQ12" s="14">
        <f t="shared" si="4"/>
        <v>2</v>
      </c>
      <c r="AR12" s="63">
        <f>AQ12*180000</f>
        <v>360000</v>
      </c>
      <c r="AS12" s="63">
        <f t="shared" si="2"/>
        <v>360000</v>
      </c>
      <c r="AT12" s="62">
        <v>1</v>
      </c>
    </row>
    <row r="13" spans="1:54" x14ac:dyDescent="0.3">
      <c r="A13" s="62"/>
      <c r="I13" s="62">
        <v>706</v>
      </c>
      <c r="W13" s="62"/>
      <c r="AP13" s="62"/>
      <c r="AR13" s="63"/>
      <c r="AS13" s="63"/>
      <c r="AT13" s="62"/>
    </row>
    <row r="14" spans="1:54" x14ac:dyDescent="0.3">
      <c r="A14" s="62"/>
      <c r="I14" s="62">
        <v>706</v>
      </c>
      <c r="Y14" s="62"/>
      <c r="Z14" s="62"/>
      <c r="AB14" s="62"/>
      <c r="AC14" s="62"/>
      <c r="AD14" s="62"/>
      <c r="AP14" s="62"/>
      <c r="AR14" s="63"/>
      <c r="AS14" s="63"/>
      <c r="AT14" s="62"/>
    </row>
    <row r="15" spans="1:54" x14ac:dyDescent="0.3">
      <c r="A15" s="62"/>
      <c r="I15" s="62">
        <v>706</v>
      </c>
      <c r="AH15" s="62"/>
      <c r="AI15" s="62"/>
      <c r="AJ15" s="62"/>
      <c r="AK15" s="62"/>
      <c r="AP15" s="62"/>
      <c r="AR15" s="63"/>
      <c r="AS15" s="63"/>
      <c r="AT15" s="62"/>
    </row>
    <row r="16" spans="1:54" x14ac:dyDescent="0.3">
      <c r="A16" s="62"/>
      <c r="I16" s="62">
        <v>706</v>
      </c>
      <c r="AH16" s="62"/>
      <c r="AP16" s="62"/>
      <c r="AR16" s="63"/>
      <c r="AS16" s="63"/>
      <c r="AT16" s="62"/>
    </row>
    <row r="17" spans="1:46" x14ac:dyDescent="0.3">
      <c r="A17" s="62"/>
      <c r="I17" s="62">
        <v>706</v>
      </c>
      <c r="AH17" s="62"/>
      <c r="AI17" s="62"/>
      <c r="AJ17" s="62"/>
      <c r="AK17" s="62"/>
      <c r="AM17" s="62"/>
      <c r="AP17" s="62"/>
      <c r="AR17" s="63"/>
      <c r="AS17" s="63"/>
      <c r="AT17" s="62"/>
    </row>
    <row r="20" spans="1:46" x14ac:dyDescent="0.3">
      <c r="A20" s="62"/>
    </row>
  </sheetData>
  <phoneticPr fontId="1" type="noConversion"/>
  <dataValidations xWindow="1560" yWindow="251" count="15">
    <dataValidation allowBlank="1" showInputMessage="1" showErrorMessage="1" promptTitle="주민(외국인)등록번호" prompt="'-' 제외한 13자리 숫자만 입력" sqref="C1" xr:uid="{00000000-0002-0000-0000-000000000000}"/>
    <dataValidation allowBlank="1" showInputMessage="1" showErrorMessage="1" promptTitle="신고 근로자의 국적" prompt="국적,직종,보험료부과구분코드 시트 참고_x000a_" sqref="D1" xr:uid="{00000000-0002-0000-0000-000001000000}"/>
    <dataValidation allowBlank="1" showInputMessage="1" showErrorMessage="1" promptTitle="근로자의 체류자격" prompt="체류자격 시트 참고, '-' 제외한 코드 기재" sqref="E1" xr:uid="{00000000-0002-0000-0000-000002000000}"/>
    <dataValidation allowBlank="1" showInputMessage="1" showErrorMessage="1" promptTitle="전화번호의 지역번호" prompt="휴대전화인 경우, 011,010 등 기재" sqref="F1" xr:uid="{00000000-0002-0000-0000-000003000000}"/>
    <dataValidation allowBlank="1" showInputMessage="1" showErrorMessage="1" promptTitle="근로자의 직종코드" prompt="국적,직종,보험료부과구분코드 시트 및 한국고용직업분류 중 소분류(136개) 직종현황 참고_x000a_" sqref="I1" xr:uid="{00000000-0002-0000-0000-000004000000}"/>
    <dataValidation allowBlank="1" showInputMessage="1" showErrorMessage="1" promptTitle="실제 근로를 제공한 날" prompt="해당 날짜에 '1' 기재" sqref="J1:AN1" xr:uid="{00000000-0002-0000-0000-000005000000}"/>
    <dataValidation allowBlank="1" showInputMessage="1" showErrorMessage="1" promptTitle="근로날짜의 합" prompt="신고 근로년월에 실제 근로를 제공한 일수" sqref="AO1" xr:uid="{00000000-0002-0000-0000-000006000000}"/>
    <dataValidation allowBlank="1" showInputMessage="1" showErrorMessage="1" promptTitle="피보험기간 중 보수지급의 기초가 된 일수" prompt="현실적으로 근로하지 않았으나 보수를 지급한 날(유급휴일 등)은 포함되며, 무급휴일 등 보수를 지급하지 않은 경우는 제외" sqref="AQ1" xr:uid="{00000000-0002-0000-0000-000007000000}"/>
    <dataValidation allowBlank="1" showInputMessage="1" showErrorMessage="1" promptTitle="해당 월에 발생된 과세소득 금액" prompt="근로소득(소득세법 제20조) - 비과세 근로소득(소득세법 제12조제3호)" sqref="AR1" xr:uid="{00000000-0002-0000-0000-000008000000}"/>
    <dataValidation allowBlank="1" showInputMessage="1" showErrorMessage="1" promptTitle="해당 월에 발생한 임금 총액" prompt="근로기준법 제2조에 따른 임금" sqref="AS1" xr:uid="{00000000-0002-0000-0000-000009000000}"/>
    <dataValidation allowBlank="1" showInputMessage="1" showErrorMessage="1" promptTitle="해당자만 기재" prompt="보험료부과구분 코드 시트 참고" sqref="AU1" xr:uid="{00000000-0002-0000-0000-00000A000000}"/>
    <dataValidation allowBlank="1" showInputMessage="1" showErrorMessage="1" promptTitle="해당자만 기재" prompt="보험료부과구분코드 시트 참고" sqref="AV1" xr:uid="{00000000-0002-0000-0000-00000B000000}"/>
    <dataValidation allowBlank="1" showInputMessage="1" showErrorMessage="1" promptTitle="신고시 Y 기재" prompt="Y 기재시, 이하 지급월 ~ 지방소득세 부분을 반드시 기재_x000a_지급월 기재하지 않으면 전송대상에서 제외_x000a_지급월만 기재되고 나머지 사항 미기재시 0원 신고로 전송" sqref="AW1" xr:uid="{00000000-0002-0000-0000-00000C000000}"/>
    <dataValidation allowBlank="1" showInputMessage="1" showErrorMessage="1" promptTitle="보험구분 선택" prompt="1. 산재보험_x000a_3. 고용보험_x000a_5. 산재 및 고용보험" sqref="A1" xr:uid="{00000000-0002-0000-0000-00000D000000}"/>
    <dataValidation allowBlank="1" showInputMessage="1" showErrorMessage="1" promptTitle="이직사유코드(고용보험 신고시)" prompt="1. 회사의 사정에 의한 이직_x000a_2. 부득이한 개인 사정에 의한 이직_x000a_3. 기타 개인사정에 의한 이직_x000a_* 작성방법 시트 참조_x000a_" sqref="AT1" xr:uid="{00000000-0002-0000-0000-00000E000000}"/>
  </dataValidations>
  <pageMargins left="0.7" right="0.7" top="0.75" bottom="0.75" header="0.3" footer="0.3"/>
  <pageSetup paperSize="9" orientation="portrait" r:id="rId1"/>
  <ignoredErrors>
    <ignoredError sqref="AR4 AR11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D27"/>
  <sheetViews>
    <sheetView zoomScaleNormal="100" zoomScaleSheetLayoutView="100" workbookViewId="0">
      <selection activeCell="C20" sqref="C20"/>
    </sheetView>
  </sheetViews>
  <sheetFormatPr defaultRowHeight="13.5" x14ac:dyDescent="0.3"/>
  <cols>
    <col min="1" max="1" width="7.375" style="1" customWidth="1"/>
    <col min="2" max="2" width="25.375" style="2" bestFit="1" customWidth="1"/>
    <col min="3" max="3" width="86.5" style="3" bestFit="1" customWidth="1"/>
    <col min="4" max="4" width="16.125" style="1" bestFit="1" customWidth="1"/>
    <col min="5" max="16384" width="9" style="1"/>
  </cols>
  <sheetData>
    <row r="1" spans="1:4" ht="30" customHeight="1" x14ac:dyDescent="0.3">
      <c r="A1" s="4" t="s">
        <v>789</v>
      </c>
      <c r="C1" s="1"/>
    </row>
    <row r="2" spans="1:4" ht="5.0999999999999996" customHeight="1" x14ac:dyDescent="0.3">
      <c r="A2" s="4"/>
      <c r="C2" s="1"/>
    </row>
    <row r="3" spans="1:4" ht="103.5" customHeight="1" x14ac:dyDescent="0.3">
      <c r="A3" s="34">
        <v>1</v>
      </c>
      <c r="B3" s="40" t="s">
        <v>48</v>
      </c>
      <c r="C3" s="24" t="s">
        <v>823</v>
      </c>
      <c r="D3" s="55"/>
    </row>
    <row r="4" spans="1:4" ht="30" customHeight="1" x14ac:dyDescent="0.3">
      <c r="A4" s="34">
        <v>2</v>
      </c>
      <c r="B4" s="40" t="s">
        <v>49</v>
      </c>
      <c r="C4" s="23" t="s">
        <v>89</v>
      </c>
      <c r="D4" s="55"/>
    </row>
    <row r="5" spans="1:4" ht="30" customHeight="1" x14ac:dyDescent="0.3">
      <c r="A5" s="34">
        <v>3</v>
      </c>
      <c r="B5" s="41" t="s">
        <v>57</v>
      </c>
      <c r="C5" s="35" t="s">
        <v>818</v>
      </c>
      <c r="D5" s="55"/>
    </row>
    <row r="6" spans="1:4" ht="30" customHeight="1" x14ac:dyDescent="0.3">
      <c r="A6" s="37">
        <v>4</v>
      </c>
      <c r="B6" s="43" t="s">
        <v>14</v>
      </c>
      <c r="C6" s="35" t="s">
        <v>812</v>
      </c>
      <c r="D6" s="55"/>
    </row>
    <row r="7" spans="1:4" ht="30" customHeight="1" x14ac:dyDescent="0.3">
      <c r="A7" s="37">
        <v>5</v>
      </c>
      <c r="B7" s="43" t="s">
        <v>15</v>
      </c>
      <c r="C7" s="23" t="s">
        <v>813</v>
      </c>
      <c r="D7" s="55"/>
    </row>
    <row r="8" spans="1:4" ht="30" customHeight="1" x14ac:dyDescent="0.3">
      <c r="A8" s="37">
        <v>6</v>
      </c>
      <c r="B8" s="44" t="s">
        <v>52</v>
      </c>
      <c r="C8" s="36" t="s">
        <v>814</v>
      </c>
      <c r="D8" s="55"/>
    </row>
    <row r="9" spans="1:4" ht="30" customHeight="1" x14ac:dyDescent="0.3">
      <c r="A9" s="37">
        <v>7</v>
      </c>
      <c r="B9" s="43" t="s">
        <v>54</v>
      </c>
      <c r="C9" s="35" t="s">
        <v>815</v>
      </c>
      <c r="D9" s="55"/>
    </row>
    <row r="10" spans="1:4" ht="30" customHeight="1" x14ac:dyDescent="0.3">
      <c r="A10" s="37">
        <v>8</v>
      </c>
      <c r="B10" s="43" t="s">
        <v>56</v>
      </c>
      <c r="C10" s="36" t="s">
        <v>816</v>
      </c>
      <c r="D10" s="55"/>
    </row>
    <row r="11" spans="1:4" ht="30" customHeight="1" x14ac:dyDescent="0.3">
      <c r="A11" s="53">
        <v>9</v>
      </c>
      <c r="B11" s="54" t="s">
        <v>16</v>
      </c>
      <c r="C11" s="23" t="s">
        <v>833</v>
      </c>
      <c r="D11" s="55"/>
    </row>
    <row r="12" spans="1:4" ht="30" customHeight="1" x14ac:dyDescent="0.3">
      <c r="A12" s="34">
        <v>10</v>
      </c>
      <c r="B12" s="42" t="s">
        <v>50</v>
      </c>
      <c r="C12" s="35" t="s">
        <v>817</v>
      </c>
      <c r="D12" s="55"/>
    </row>
    <row r="13" spans="1:4" ht="30" customHeight="1" x14ac:dyDescent="0.3">
      <c r="A13" s="34">
        <v>11</v>
      </c>
      <c r="B13" s="42" t="s">
        <v>44</v>
      </c>
      <c r="C13" s="35" t="s">
        <v>819</v>
      </c>
      <c r="D13" s="55"/>
    </row>
    <row r="14" spans="1:4" ht="30" customHeight="1" x14ac:dyDescent="0.3">
      <c r="A14" s="34">
        <v>12</v>
      </c>
      <c r="B14" s="42" t="s">
        <v>77</v>
      </c>
      <c r="C14" s="36" t="s">
        <v>820</v>
      </c>
      <c r="D14" s="55"/>
    </row>
    <row r="15" spans="1:4" ht="50.1" customHeight="1" x14ac:dyDescent="0.3">
      <c r="A15" s="34">
        <v>13</v>
      </c>
      <c r="B15" s="42" t="s">
        <v>808</v>
      </c>
      <c r="C15" s="52" t="s">
        <v>787</v>
      </c>
      <c r="D15" s="55"/>
    </row>
    <row r="16" spans="1:4" ht="30" customHeight="1" x14ac:dyDescent="0.3">
      <c r="A16" s="34">
        <v>14</v>
      </c>
      <c r="B16" s="42" t="s">
        <v>45</v>
      </c>
      <c r="C16" s="36" t="s">
        <v>821</v>
      </c>
      <c r="D16" s="55"/>
    </row>
    <row r="17" spans="1:4" ht="30" customHeight="1" x14ac:dyDescent="0.3">
      <c r="A17" s="34">
        <v>15</v>
      </c>
      <c r="B17" s="42" t="s">
        <v>46</v>
      </c>
      <c r="C17" s="35" t="s">
        <v>822</v>
      </c>
      <c r="D17" s="55"/>
    </row>
    <row r="18" spans="1:4" ht="60" customHeight="1" x14ac:dyDescent="0.3">
      <c r="A18" s="37">
        <v>16</v>
      </c>
      <c r="B18" s="45" t="s">
        <v>47</v>
      </c>
      <c r="C18" s="38" t="s">
        <v>824</v>
      </c>
      <c r="D18" s="55"/>
    </row>
    <row r="19" spans="1:4" ht="30" customHeight="1" x14ac:dyDescent="0.3">
      <c r="A19" s="34">
        <v>17</v>
      </c>
      <c r="B19" s="46" t="s">
        <v>78</v>
      </c>
      <c r="C19" s="23" t="s">
        <v>825</v>
      </c>
      <c r="D19" s="55"/>
    </row>
    <row r="20" spans="1:4" ht="30" customHeight="1" x14ac:dyDescent="0.3">
      <c r="A20" s="34">
        <v>18</v>
      </c>
      <c r="B20" s="46" t="s">
        <v>109</v>
      </c>
      <c r="C20" s="23" t="s">
        <v>826</v>
      </c>
      <c r="D20" s="55"/>
    </row>
    <row r="21" spans="1:4" ht="30" customHeight="1" x14ac:dyDescent="0.3">
      <c r="A21" s="22">
        <v>19</v>
      </c>
      <c r="B21" s="47" t="s">
        <v>784</v>
      </c>
      <c r="C21" s="56" t="s">
        <v>117</v>
      </c>
      <c r="D21" s="64" t="s">
        <v>829</v>
      </c>
    </row>
    <row r="22" spans="1:4" ht="30" customHeight="1" x14ac:dyDescent="0.3">
      <c r="A22" s="22">
        <v>20</v>
      </c>
      <c r="B22" s="47" t="s">
        <v>122</v>
      </c>
      <c r="C22" s="10" t="s">
        <v>788</v>
      </c>
      <c r="D22" s="65"/>
    </row>
    <row r="23" spans="1:4" ht="30" customHeight="1" x14ac:dyDescent="0.3">
      <c r="A23" s="22">
        <v>21</v>
      </c>
      <c r="B23" s="47" t="s">
        <v>120</v>
      </c>
      <c r="C23" s="10" t="s">
        <v>828</v>
      </c>
      <c r="D23" s="65"/>
    </row>
    <row r="24" spans="1:4" ht="30" customHeight="1" x14ac:dyDescent="0.3">
      <c r="A24" s="22">
        <v>22</v>
      </c>
      <c r="B24" s="47" t="s">
        <v>110</v>
      </c>
      <c r="C24" s="23" t="s">
        <v>113</v>
      </c>
      <c r="D24" s="65"/>
    </row>
    <row r="25" spans="1:4" ht="30" customHeight="1" x14ac:dyDescent="0.3">
      <c r="A25" s="22">
        <v>23</v>
      </c>
      <c r="B25" s="47" t="s">
        <v>111</v>
      </c>
      <c r="C25" s="24" t="s">
        <v>114</v>
      </c>
      <c r="D25" s="65"/>
    </row>
    <row r="26" spans="1:4" ht="30" customHeight="1" x14ac:dyDescent="0.3">
      <c r="A26" s="22">
        <v>24</v>
      </c>
      <c r="B26" s="47" t="s">
        <v>112</v>
      </c>
      <c r="C26" s="23" t="s">
        <v>785</v>
      </c>
      <c r="D26" s="66"/>
    </row>
    <row r="27" spans="1:4" ht="16.5" customHeight="1" x14ac:dyDescent="0.3">
      <c r="A27" s="67" t="s">
        <v>827</v>
      </c>
      <c r="B27" s="67"/>
      <c r="C27" s="67"/>
    </row>
  </sheetData>
  <mergeCells count="2">
    <mergeCell ref="D21:D26"/>
    <mergeCell ref="A27:C27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5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B11"/>
  <sheetViews>
    <sheetView topLeftCell="AA1" zoomScaleNormal="100" workbookViewId="0">
      <pane ySplit="1" topLeftCell="A2" activePane="bottomLeft" state="frozen"/>
      <selection pane="bottomLeft" activeCell="AY3" sqref="AY3"/>
    </sheetView>
  </sheetViews>
  <sheetFormatPr defaultRowHeight="16.5" x14ac:dyDescent="0.3"/>
  <cols>
    <col min="1" max="1" width="8.25" style="8" bestFit="1" customWidth="1"/>
    <col min="2" max="2" width="8.375" style="8" bestFit="1" customWidth="1"/>
    <col min="3" max="3" width="18.375" style="8" bestFit="1" customWidth="1"/>
    <col min="4" max="4" width="8.25" style="8" bestFit="1" customWidth="1"/>
    <col min="5" max="5" width="11.625" style="8" bestFit="1" customWidth="1"/>
    <col min="6" max="6" width="12.875" style="8" bestFit="1" customWidth="1"/>
    <col min="7" max="7" width="9.375" style="8" bestFit="1" customWidth="1"/>
    <col min="8" max="8" width="11" style="8" bestFit="1" customWidth="1"/>
    <col min="9" max="9" width="8.25" style="8" bestFit="1" customWidth="1"/>
    <col min="10" max="18" width="4.25" style="7" bestFit="1" customWidth="1"/>
    <col min="19" max="40" width="5.125" style="7" bestFit="1" customWidth="1"/>
    <col min="41" max="41" width="8.25" style="7" bestFit="1" customWidth="1"/>
    <col min="42" max="42" width="13.375" style="7" bestFit="1" customWidth="1"/>
    <col min="43" max="43" width="13.375" style="6" bestFit="1" customWidth="1"/>
    <col min="44" max="45" width="8.25" style="8" bestFit="1" customWidth="1"/>
    <col min="46" max="46" width="11.625" style="7" bestFit="1" customWidth="1"/>
    <col min="47" max="48" width="13.375" style="7" bestFit="1" customWidth="1"/>
    <col min="49" max="49" width="11.625" style="7" bestFit="1" customWidth="1"/>
    <col min="50" max="50" width="7" style="7" bestFit="1" customWidth="1"/>
    <col min="51" max="51" width="16.625" style="7" bestFit="1" customWidth="1"/>
    <col min="52" max="52" width="9.875" style="8" bestFit="1" customWidth="1"/>
    <col min="53" max="53" width="6.625" style="8" bestFit="1" customWidth="1"/>
    <col min="54" max="54" width="9.875" style="8" bestFit="1" customWidth="1"/>
    <col min="55" max="16384" width="9" style="8"/>
  </cols>
  <sheetData>
    <row r="1" spans="1:54" s="5" customFormat="1" ht="47.25" customHeight="1" x14ac:dyDescent="0.3">
      <c r="A1" s="17" t="s">
        <v>58</v>
      </c>
      <c r="B1" s="17" t="s">
        <v>59</v>
      </c>
      <c r="C1" s="17" t="s">
        <v>60</v>
      </c>
      <c r="D1" s="18" t="s">
        <v>61</v>
      </c>
      <c r="E1" s="18" t="s">
        <v>62</v>
      </c>
      <c r="F1" s="19" t="s">
        <v>51</v>
      </c>
      <c r="G1" s="19" t="s">
        <v>53</v>
      </c>
      <c r="H1" s="19" t="s">
        <v>55</v>
      </c>
      <c r="I1" s="18" t="s">
        <v>63</v>
      </c>
      <c r="J1" s="17" t="s">
        <v>64</v>
      </c>
      <c r="K1" s="17" t="s">
        <v>65</v>
      </c>
      <c r="L1" s="17" t="s">
        <v>66</v>
      </c>
      <c r="M1" s="17" t="s">
        <v>17</v>
      </c>
      <c r="N1" s="17" t="s">
        <v>18</v>
      </c>
      <c r="O1" s="17" t="s">
        <v>19</v>
      </c>
      <c r="P1" s="17" t="s">
        <v>20</v>
      </c>
      <c r="Q1" s="17" t="s">
        <v>21</v>
      </c>
      <c r="R1" s="17" t="s">
        <v>22</v>
      </c>
      <c r="S1" s="17" t="s">
        <v>23</v>
      </c>
      <c r="T1" s="17" t="s">
        <v>24</v>
      </c>
      <c r="U1" s="17" t="s">
        <v>25</v>
      </c>
      <c r="V1" s="17" t="s">
        <v>26</v>
      </c>
      <c r="W1" s="17" t="s">
        <v>27</v>
      </c>
      <c r="X1" s="17" t="s">
        <v>28</v>
      </c>
      <c r="Y1" s="17" t="s">
        <v>29</v>
      </c>
      <c r="Z1" s="17" t="s">
        <v>30</v>
      </c>
      <c r="AA1" s="17" t="s">
        <v>31</v>
      </c>
      <c r="AB1" s="17" t="s">
        <v>32</v>
      </c>
      <c r="AC1" s="17" t="s">
        <v>33</v>
      </c>
      <c r="AD1" s="17" t="s">
        <v>34</v>
      </c>
      <c r="AE1" s="17" t="s">
        <v>35</v>
      </c>
      <c r="AF1" s="17" t="s">
        <v>36</v>
      </c>
      <c r="AG1" s="17" t="s">
        <v>37</v>
      </c>
      <c r="AH1" s="17" t="s">
        <v>38</v>
      </c>
      <c r="AI1" s="17" t="s">
        <v>39</v>
      </c>
      <c r="AJ1" s="17" t="s">
        <v>40</v>
      </c>
      <c r="AK1" s="17" t="s">
        <v>41</v>
      </c>
      <c r="AL1" s="17" t="s">
        <v>42</v>
      </c>
      <c r="AM1" s="17" t="s">
        <v>43</v>
      </c>
      <c r="AN1" s="17" t="s">
        <v>67</v>
      </c>
      <c r="AO1" s="17" t="s">
        <v>68</v>
      </c>
      <c r="AP1" s="18" t="s">
        <v>77</v>
      </c>
      <c r="AQ1" s="20" t="s">
        <v>119</v>
      </c>
      <c r="AR1" s="17" t="s">
        <v>69</v>
      </c>
      <c r="AS1" s="18" t="s">
        <v>70</v>
      </c>
      <c r="AT1" s="18" t="s">
        <v>71</v>
      </c>
      <c r="AU1" s="21" t="s">
        <v>75</v>
      </c>
      <c r="AV1" s="21" t="s">
        <v>76</v>
      </c>
      <c r="AW1" s="11" t="s">
        <v>115</v>
      </c>
      <c r="AX1" s="11" t="s">
        <v>120</v>
      </c>
      <c r="AY1" s="11" t="s">
        <v>121</v>
      </c>
      <c r="AZ1" s="12" t="s">
        <v>106</v>
      </c>
      <c r="BA1" s="12" t="s">
        <v>107</v>
      </c>
      <c r="BB1" s="12" t="s">
        <v>108</v>
      </c>
    </row>
    <row r="2" spans="1:54" x14ac:dyDescent="0.3">
      <c r="A2" s="25" t="s">
        <v>85</v>
      </c>
      <c r="B2" s="25" t="s">
        <v>90</v>
      </c>
      <c r="C2" s="25" t="s">
        <v>0</v>
      </c>
      <c r="D2" s="25" t="s">
        <v>73</v>
      </c>
      <c r="E2" s="25" t="s">
        <v>1</v>
      </c>
      <c r="F2" s="25" t="s">
        <v>2</v>
      </c>
      <c r="G2" s="25" t="s">
        <v>3</v>
      </c>
      <c r="H2" s="25" t="s">
        <v>3</v>
      </c>
      <c r="I2" s="25" t="s">
        <v>72</v>
      </c>
      <c r="J2" s="28">
        <v>1</v>
      </c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>
        <v>1</v>
      </c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 t="s">
        <v>102</v>
      </c>
      <c r="AP2" s="28" t="s">
        <v>840</v>
      </c>
      <c r="AQ2" s="28" t="s">
        <v>102</v>
      </c>
      <c r="AR2" s="26">
        <v>1000000</v>
      </c>
      <c r="AS2" s="25">
        <v>1000000</v>
      </c>
      <c r="AT2" s="27" t="s">
        <v>4</v>
      </c>
      <c r="AU2" s="27" t="s">
        <v>81</v>
      </c>
      <c r="AV2" s="27" t="s">
        <v>82</v>
      </c>
      <c r="AW2" s="27"/>
      <c r="AX2" s="27"/>
      <c r="AY2" s="27"/>
      <c r="AZ2" s="25"/>
      <c r="BA2" s="25"/>
      <c r="BB2" s="25"/>
    </row>
    <row r="3" spans="1:54" x14ac:dyDescent="0.3">
      <c r="A3" s="25" t="s">
        <v>80</v>
      </c>
      <c r="B3" s="25" t="s">
        <v>91</v>
      </c>
      <c r="C3" s="25" t="s">
        <v>5</v>
      </c>
      <c r="D3" s="25" t="s">
        <v>73</v>
      </c>
      <c r="E3" s="25" t="s">
        <v>1</v>
      </c>
      <c r="F3" s="25" t="s">
        <v>2</v>
      </c>
      <c r="G3" s="25" t="s">
        <v>3</v>
      </c>
      <c r="H3" s="25">
        <v>1111</v>
      </c>
      <c r="I3" s="25" t="s">
        <v>72</v>
      </c>
      <c r="J3" s="28"/>
      <c r="K3" s="28"/>
      <c r="L3" s="28"/>
      <c r="M3" s="28"/>
      <c r="N3" s="28"/>
      <c r="O3" s="28"/>
      <c r="P3" s="28">
        <v>1</v>
      </c>
      <c r="Q3" s="28"/>
      <c r="R3" s="28"/>
      <c r="S3" s="28"/>
      <c r="T3" s="28"/>
      <c r="U3" s="28"/>
      <c r="V3" s="28"/>
      <c r="W3" s="28"/>
      <c r="X3" s="28"/>
      <c r="Y3" s="28"/>
      <c r="Z3" s="28">
        <v>1</v>
      </c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 t="s">
        <v>790</v>
      </c>
      <c r="AP3" s="28" t="s">
        <v>840</v>
      </c>
      <c r="AQ3" s="28" t="s">
        <v>790</v>
      </c>
      <c r="AR3" s="25">
        <v>1000000</v>
      </c>
      <c r="AS3" s="25">
        <v>1000000</v>
      </c>
      <c r="AT3" s="28" t="s">
        <v>4</v>
      </c>
      <c r="AU3" s="28"/>
      <c r="AV3" s="28"/>
      <c r="AW3" s="28" t="s">
        <v>116</v>
      </c>
      <c r="AX3" s="27" t="s">
        <v>850</v>
      </c>
      <c r="AY3" s="28" t="s">
        <v>123</v>
      </c>
      <c r="AZ3" s="25"/>
      <c r="BA3" s="25"/>
      <c r="BB3" s="25"/>
    </row>
    <row r="4" spans="1:54" x14ac:dyDescent="0.3">
      <c r="A4" s="25" t="s">
        <v>79</v>
      </c>
      <c r="B4" s="25" t="s">
        <v>92</v>
      </c>
      <c r="C4" s="25" t="s">
        <v>6</v>
      </c>
      <c r="D4" s="25" t="s">
        <v>73</v>
      </c>
      <c r="E4" s="25" t="s">
        <v>1</v>
      </c>
      <c r="F4" s="25" t="s">
        <v>2</v>
      </c>
      <c r="G4" s="25" t="s">
        <v>3</v>
      </c>
      <c r="H4" s="25">
        <v>1111</v>
      </c>
      <c r="I4" s="25" t="s">
        <v>72</v>
      </c>
      <c r="J4" s="28"/>
      <c r="K4" s="28"/>
      <c r="L4" s="28"/>
      <c r="M4" s="28">
        <v>1</v>
      </c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>
        <v>1</v>
      </c>
      <c r="AB4" s="28"/>
      <c r="AC4" s="28"/>
      <c r="AD4" s="28"/>
      <c r="AE4" s="28">
        <v>1</v>
      </c>
      <c r="AF4" s="28"/>
      <c r="AG4" s="28"/>
      <c r="AH4" s="28"/>
      <c r="AI4" s="28"/>
      <c r="AJ4" s="28"/>
      <c r="AK4" s="28"/>
      <c r="AL4" s="28"/>
      <c r="AM4" s="28"/>
      <c r="AN4" s="28"/>
      <c r="AO4" s="28" t="s">
        <v>791</v>
      </c>
      <c r="AP4" s="28" t="s">
        <v>840</v>
      </c>
      <c r="AQ4" s="28" t="s">
        <v>791</v>
      </c>
      <c r="AR4" s="25">
        <v>1000000</v>
      </c>
      <c r="AS4" s="25">
        <v>1000000</v>
      </c>
      <c r="AT4" s="28" t="s">
        <v>4</v>
      </c>
      <c r="AU4" s="28"/>
      <c r="AV4" s="28"/>
      <c r="AW4" s="28"/>
      <c r="AX4" s="27"/>
      <c r="AY4" s="28"/>
      <c r="AZ4" s="25"/>
      <c r="BA4" s="25"/>
      <c r="BB4" s="25"/>
    </row>
    <row r="5" spans="1:54" x14ac:dyDescent="0.3">
      <c r="A5" s="25" t="s">
        <v>79</v>
      </c>
      <c r="B5" s="25" t="s">
        <v>93</v>
      </c>
      <c r="C5" s="25" t="s">
        <v>7</v>
      </c>
      <c r="D5" s="25" t="s">
        <v>73</v>
      </c>
      <c r="E5" s="25" t="s">
        <v>1</v>
      </c>
      <c r="F5" s="25" t="s">
        <v>2</v>
      </c>
      <c r="G5" s="25" t="s">
        <v>3</v>
      </c>
      <c r="H5" s="25">
        <v>1111</v>
      </c>
      <c r="I5" s="25" t="s">
        <v>72</v>
      </c>
      <c r="J5" s="28"/>
      <c r="K5" s="28"/>
      <c r="L5" s="28"/>
      <c r="M5" s="28"/>
      <c r="N5" s="28"/>
      <c r="O5" s="28">
        <v>1</v>
      </c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>
        <v>1</v>
      </c>
      <c r="AK5" s="28"/>
      <c r="AL5" s="28"/>
      <c r="AM5" s="28"/>
      <c r="AN5" s="28"/>
      <c r="AO5" s="28" t="s">
        <v>102</v>
      </c>
      <c r="AP5" s="28" t="s">
        <v>840</v>
      </c>
      <c r="AQ5" s="28" t="s">
        <v>102</v>
      </c>
      <c r="AR5" s="25">
        <v>1000000</v>
      </c>
      <c r="AS5" s="25">
        <v>1000000</v>
      </c>
      <c r="AT5" s="28" t="s">
        <v>4</v>
      </c>
      <c r="AU5" s="28"/>
      <c r="AV5" s="28"/>
      <c r="AW5" s="28"/>
      <c r="AX5" s="27"/>
      <c r="AY5" s="28"/>
      <c r="AZ5" s="25"/>
      <c r="BA5" s="25"/>
      <c r="BB5" s="25"/>
    </row>
    <row r="6" spans="1:54" x14ac:dyDescent="0.3">
      <c r="A6" s="25" t="s">
        <v>79</v>
      </c>
      <c r="B6" s="25" t="s">
        <v>94</v>
      </c>
      <c r="C6" s="25" t="s">
        <v>8</v>
      </c>
      <c r="D6" s="25" t="s">
        <v>73</v>
      </c>
      <c r="E6" s="25" t="s">
        <v>1</v>
      </c>
      <c r="F6" s="25" t="s">
        <v>2</v>
      </c>
      <c r="G6" s="25" t="s">
        <v>3</v>
      </c>
      <c r="H6" s="25">
        <v>1111</v>
      </c>
      <c r="I6" s="25" t="s">
        <v>72</v>
      </c>
      <c r="J6" s="28"/>
      <c r="K6" s="28"/>
      <c r="L6" s="28" t="s">
        <v>4</v>
      </c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>
        <v>1</v>
      </c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 t="s">
        <v>790</v>
      </c>
      <c r="AP6" s="28" t="s">
        <v>840</v>
      </c>
      <c r="AQ6" s="28" t="s">
        <v>790</v>
      </c>
      <c r="AR6" s="25">
        <v>1000000</v>
      </c>
      <c r="AS6" s="25">
        <v>1000000</v>
      </c>
      <c r="AT6" s="28" t="s">
        <v>4</v>
      </c>
      <c r="AU6" s="28" t="s">
        <v>83</v>
      </c>
      <c r="AV6" s="28" t="s">
        <v>84</v>
      </c>
      <c r="AW6" s="28"/>
      <c r="AX6" s="27"/>
      <c r="AY6" s="28"/>
      <c r="AZ6" s="25"/>
      <c r="BA6" s="25"/>
      <c r="BB6" s="25"/>
    </row>
    <row r="7" spans="1:54" x14ac:dyDescent="0.3">
      <c r="A7" s="25" t="s">
        <v>79</v>
      </c>
      <c r="B7" s="25" t="s">
        <v>95</v>
      </c>
      <c r="C7" s="25" t="s">
        <v>9</v>
      </c>
      <c r="D7" s="25" t="s">
        <v>73</v>
      </c>
      <c r="E7" s="25" t="s">
        <v>1</v>
      </c>
      <c r="F7" s="25" t="s">
        <v>2</v>
      </c>
      <c r="G7" s="25" t="s">
        <v>3</v>
      </c>
      <c r="H7" s="25">
        <v>1111</v>
      </c>
      <c r="I7" s="25" t="s">
        <v>72</v>
      </c>
      <c r="J7" s="28"/>
      <c r="K7" s="28"/>
      <c r="L7" s="28"/>
      <c r="M7" s="28"/>
      <c r="N7" s="28"/>
      <c r="O7" s="28"/>
      <c r="P7" s="28">
        <v>1</v>
      </c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>
        <v>1</v>
      </c>
      <c r="AG7" s="28"/>
      <c r="AH7" s="28"/>
      <c r="AI7" s="28"/>
      <c r="AJ7" s="28"/>
      <c r="AK7" s="28"/>
      <c r="AL7" s="28"/>
      <c r="AM7" s="28"/>
      <c r="AN7" s="28"/>
      <c r="AO7" s="28" t="s">
        <v>790</v>
      </c>
      <c r="AP7" s="28" t="s">
        <v>840</v>
      </c>
      <c r="AQ7" s="28" t="s">
        <v>790</v>
      </c>
      <c r="AR7" s="25">
        <v>1000000</v>
      </c>
      <c r="AS7" s="25">
        <v>1000000</v>
      </c>
      <c r="AT7" s="28" t="s">
        <v>4</v>
      </c>
      <c r="AU7" s="28"/>
      <c r="AV7" s="28"/>
      <c r="AW7" s="28"/>
      <c r="AX7" s="27"/>
      <c r="AY7" s="28"/>
      <c r="AZ7" s="25"/>
      <c r="BA7" s="25"/>
      <c r="BB7" s="25"/>
    </row>
    <row r="8" spans="1:54" x14ac:dyDescent="0.3">
      <c r="A8" s="25" t="s">
        <v>79</v>
      </c>
      <c r="B8" s="25" t="s">
        <v>96</v>
      </c>
      <c r="C8" s="25" t="s">
        <v>10</v>
      </c>
      <c r="D8" s="25" t="s">
        <v>73</v>
      </c>
      <c r="E8" s="25" t="s">
        <v>1</v>
      </c>
      <c r="F8" s="25" t="s">
        <v>2</v>
      </c>
      <c r="G8" s="25" t="s">
        <v>3</v>
      </c>
      <c r="H8" s="25">
        <v>1111</v>
      </c>
      <c r="I8" s="25" t="s">
        <v>72</v>
      </c>
      <c r="J8" s="28"/>
      <c r="K8" s="28"/>
      <c r="L8" s="28"/>
      <c r="M8" s="28">
        <v>1</v>
      </c>
      <c r="N8" s="28"/>
      <c r="O8" s="28">
        <v>1</v>
      </c>
      <c r="P8" s="28"/>
      <c r="Q8" s="28"/>
      <c r="R8" s="28"/>
      <c r="S8" s="28"/>
      <c r="T8" s="28"/>
      <c r="U8" s="28"/>
      <c r="V8" s="28"/>
      <c r="W8" s="28"/>
      <c r="X8" s="28"/>
      <c r="Y8" s="28"/>
      <c r="Z8" s="28">
        <v>1</v>
      </c>
      <c r="AA8" s="28"/>
      <c r="AB8" s="28"/>
      <c r="AC8" s="28"/>
      <c r="AD8" s="28"/>
      <c r="AE8" s="28"/>
      <c r="AF8" s="28"/>
      <c r="AG8" s="28"/>
      <c r="AH8" s="28"/>
      <c r="AI8" s="28"/>
      <c r="AJ8" s="28">
        <v>1</v>
      </c>
      <c r="AK8" s="28"/>
      <c r="AL8" s="28"/>
      <c r="AM8" s="28"/>
      <c r="AN8" s="28"/>
      <c r="AO8" s="28">
        <v>4</v>
      </c>
      <c r="AP8" s="28" t="s">
        <v>840</v>
      </c>
      <c r="AQ8" s="28">
        <v>4</v>
      </c>
      <c r="AR8" s="25">
        <v>1000000</v>
      </c>
      <c r="AS8" s="25">
        <v>1000000</v>
      </c>
      <c r="AT8" s="28" t="s">
        <v>4</v>
      </c>
      <c r="AU8" s="28"/>
      <c r="AV8" s="28"/>
      <c r="AW8" s="28" t="s">
        <v>116</v>
      </c>
      <c r="AX8" s="27" t="s">
        <v>850</v>
      </c>
      <c r="AY8" s="28">
        <v>1000000</v>
      </c>
      <c r="AZ8" s="25"/>
      <c r="BA8" s="25"/>
      <c r="BB8" s="25"/>
    </row>
    <row r="9" spans="1:54" x14ac:dyDescent="0.3">
      <c r="A9" s="25" t="s">
        <v>79</v>
      </c>
      <c r="B9" s="25" t="s">
        <v>97</v>
      </c>
      <c r="C9" s="25" t="s">
        <v>11</v>
      </c>
      <c r="D9" s="25" t="s">
        <v>73</v>
      </c>
      <c r="E9" s="25" t="s">
        <v>1</v>
      </c>
      <c r="F9" s="25" t="s">
        <v>2</v>
      </c>
      <c r="G9" s="25" t="s">
        <v>3</v>
      </c>
      <c r="H9" s="25">
        <v>1111</v>
      </c>
      <c r="I9" s="25" t="s">
        <v>72</v>
      </c>
      <c r="J9" s="28"/>
      <c r="K9" s="28"/>
      <c r="L9" s="28"/>
      <c r="M9" s="28">
        <v>1</v>
      </c>
      <c r="N9" s="28"/>
      <c r="O9" s="28"/>
      <c r="P9" s="28">
        <v>1</v>
      </c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 t="s">
        <v>790</v>
      </c>
      <c r="AP9" s="28" t="s">
        <v>840</v>
      </c>
      <c r="AQ9" s="28" t="s">
        <v>790</v>
      </c>
      <c r="AR9" s="25">
        <v>1000000</v>
      </c>
      <c r="AS9" s="25">
        <v>1000000</v>
      </c>
      <c r="AT9" s="28" t="s">
        <v>4</v>
      </c>
      <c r="AU9" s="28"/>
      <c r="AV9" s="28"/>
      <c r="AW9" s="28"/>
      <c r="AX9" s="27"/>
      <c r="AY9" s="28"/>
      <c r="AZ9" s="25"/>
      <c r="BA9" s="25"/>
      <c r="BB9" s="25"/>
    </row>
    <row r="10" spans="1:54" x14ac:dyDescent="0.3">
      <c r="A10" s="25" t="s">
        <v>79</v>
      </c>
      <c r="B10" s="25" t="s">
        <v>98</v>
      </c>
      <c r="C10" s="25" t="s">
        <v>12</v>
      </c>
      <c r="D10" s="25" t="s">
        <v>73</v>
      </c>
      <c r="E10" s="25" t="s">
        <v>1</v>
      </c>
      <c r="F10" s="25" t="s">
        <v>2</v>
      </c>
      <c r="G10" s="25" t="s">
        <v>3</v>
      </c>
      <c r="H10" s="25">
        <v>1111</v>
      </c>
      <c r="I10" s="25" t="s">
        <v>72</v>
      </c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>
        <v>1</v>
      </c>
      <c r="AB10" s="28"/>
      <c r="AC10" s="28">
        <v>1</v>
      </c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 t="s">
        <v>790</v>
      </c>
      <c r="AP10" s="28" t="s">
        <v>840</v>
      </c>
      <c r="AQ10" s="28" t="s">
        <v>790</v>
      </c>
      <c r="AR10" s="25">
        <v>1000000</v>
      </c>
      <c r="AS10" s="25">
        <v>1000000</v>
      </c>
      <c r="AT10" s="28" t="s">
        <v>4</v>
      </c>
      <c r="AU10" s="28"/>
      <c r="AV10" s="28"/>
      <c r="AW10" s="28"/>
      <c r="AX10" s="27"/>
      <c r="AY10" s="28"/>
      <c r="AZ10" s="25"/>
      <c r="BA10" s="25"/>
      <c r="BB10" s="25"/>
    </row>
    <row r="11" spans="1:54" x14ac:dyDescent="0.3">
      <c r="A11" s="25" t="s">
        <v>86</v>
      </c>
      <c r="B11" s="25" t="s">
        <v>99</v>
      </c>
      <c r="C11" s="25" t="s">
        <v>13</v>
      </c>
      <c r="D11" s="25" t="s">
        <v>73</v>
      </c>
      <c r="E11" s="25" t="s">
        <v>1</v>
      </c>
      <c r="F11" s="25" t="s">
        <v>2</v>
      </c>
      <c r="G11" s="25" t="s">
        <v>3</v>
      </c>
      <c r="H11" s="25">
        <v>1111</v>
      </c>
      <c r="I11" s="25" t="s">
        <v>72</v>
      </c>
      <c r="J11" s="28"/>
      <c r="K11" s="28"/>
      <c r="L11" s="28" t="s">
        <v>4</v>
      </c>
      <c r="M11" s="28"/>
      <c r="N11" s="28"/>
      <c r="O11" s="28"/>
      <c r="P11" s="28">
        <v>1</v>
      </c>
      <c r="Q11" s="28"/>
      <c r="R11" s="28"/>
      <c r="S11" s="28"/>
      <c r="T11" s="28">
        <v>1</v>
      </c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>
        <v>1</v>
      </c>
      <c r="AI11" s="28"/>
      <c r="AJ11" s="28"/>
      <c r="AK11" s="28"/>
      <c r="AL11" s="28"/>
      <c r="AM11" s="28"/>
      <c r="AN11" s="28"/>
      <c r="AO11" s="28" t="s">
        <v>792</v>
      </c>
      <c r="AP11" s="28" t="s">
        <v>840</v>
      </c>
      <c r="AQ11" s="28" t="s">
        <v>124</v>
      </c>
      <c r="AR11" s="25">
        <v>1000000</v>
      </c>
      <c r="AS11" s="25">
        <v>1000000</v>
      </c>
      <c r="AT11" s="28" t="s">
        <v>4</v>
      </c>
      <c r="AU11" s="28" t="s">
        <v>87</v>
      </c>
      <c r="AV11" s="28" t="s">
        <v>88</v>
      </c>
      <c r="AW11" s="28"/>
      <c r="AX11" s="27"/>
      <c r="AY11" s="28"/>
      <c r="AZ11" s="25"/>
      <c r="BA11" s="25"/>
      <c r="BB11" s="25"/>
    </row>
  </sheetData>
  <phoneticPr fontId="1" type="noConversion"/>
  <dataValidations count="14">
    <dataValidation allowBlank="1" showInputMessage="1" showErrorMessage="1" prompt="*상실(이직)사유코드 시트 참조 (코드 변경 검토)_x000a_1. 회사의 사정에 의한 이직 (폐업, 공사중단, 공사종료, 계약기간 만료 등)_x000a_2. 부득이한 개인 사정에 의한 이직 (질병ㆍ부상, 출산 등)_x000a_3. 기타 개인사정에 의한 이직 (전직, 자영업을 위한 이직 등)" sqref="AT1" xr:uid="{00000000-0002-0000-0200-000000000000}"/>
    <dataValidation allowBlank="1" showInputMessage="1" showErrorMessage="1" prompt="-&quot;근로기준법&quot; 제2조에 따른 임금으로서, 해당 월에 발생된 금액 기재" sqref="AS1" xr:uid="{00000000-0002-0000-0200-000001000000}"/>
    <dataValidation allowBlank="1" showInputMessage="1" showErrorMessage="1" prompt="-&quot;소득세법&quot; 제20조에 따른 근로소득에서 같은 법 제12조제3호에 따른 비과세 근로소득을 뺀 금액으로서, _x000a_  해당 월에 발생된 금액" sqref="AR1" xr:uid="{00000000-0002-0000-0200-000002000000}"/>
    <dataValidation allowBlank="1" showInputMessage="1" showErrorMessage="1" prompt="-한달간 근로한 일 수" sqref="AO1" xr:uid="{00000000-0002-0000-0200-000003000000}"/>
    <dataValidation allowBlank="1" showInputMessage="1" showErrorMessage="1" prompt="-근로한 날짜에 &quot;1&quot; 기재" sqref="J1:AN1" xr:uid="{00000000-0002-0000-0200-000004000000}"/>
    <dataValidation allowBlank="1" showInputMessage="1" showErrorMessage="1" prompt="*한국고용직업분류 중 소분류(119개) 직종현황 참고하여 기재" sqref="I1" xr:uid="{00000000-0002-0000-0200-000005000000}"/>
    <dataValidation allowBlank="1" showInputMessage="1" showErrorMessage="1" prompt="*체류자격코드 시트 참조" sqref="E1" xr:uid="{00000000-0002-0000-0200-000006000000}"/>
    <dataValidation allowBlank="1" showInputMessage="1" showErrorMessage="1" prompt="-근로자의 국적코드 (국적코드시트 참조)" sqref="D1" xr:uid="{00000000-0002-0000-0200-000007000000}"/>
    <dataValidation allowBlank="1" showInputMessage="1" showErrorMessage="1" prompt="-1234561234567 형식" sqref="C1" xr:uid="{00000000-0002-0000-0200-000008000000}"/>
    <dataValidation allowBlank="1" showInputMessage="1" showErrorMessage="1" prompt="-지역번호 (휴대폰의 경우 01x)" sqref="F1" xr:uid="{00000000-0002-0000-0200-000009000000}"/>
    <dataValidation allowBlank="1" showInputMessage="1" showErrorMessage="1" prompt="-국번" sqref="G1" xr:uid="{00000000-0002-0000-0200-00000A000000}"/>
    <dataValidation allowBlank="1" showInputMessage="1" showErrorMessage="1" prompt="-전화번호 뒷자리" sqref="H1" xr:uid="{00000000-0002-0000-0200-00000B000000}"/>
    <dataValidation allowBlank="1" showInputMessage="1" showErrorMessage="1" prompt="*보험료부과구분부호 (해당자만 기재)_x000a_ 보험료부과구분 코드 시트 참조_x000a_" sqref="AU1:AV1" xr:uid="{00000000-0002-0000-0200-00000C000000}"/>
    <dataValidation allowBlank="1" showInputMessage="1" showErrorMessage="1" prompt="- 일평균근무시간" sqref="AQ1" xr:uid="{00000000-0002-0000-0200-00000D000000}"/>
  </dataValidation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/>
  <dimension ref="A1:H4"/>
  <sheetViews>
    <sheetView workbookViewId="0">
      <selection activeCell="B3" sqref="B3"/>
    </sheetView>
  </sheetViews>
  <sheetFormatPr defaultRowHeight="13.5" x14ac:dyDescent="0.25"/>
  <cols>
    <col min="1" max="1" width="29.625" style="31" customWidth="1"/>
    <col min="2" max="2" width="75.625" style="31" customWidth="1"/>
    <col min="3" max="16384" width="9" style="30"/>
  </cols>
  <sheetData>
    <row r="1" spans="1:8" ht="30" customHeight="1" x14ac:dyDescent="0.3">
      <c r="A1" s="68" t="s">
        <v>103</v>
      </c>
      <c r="B1" s="68"/>
      <c r="C1" s="29"/>
      <c r="D1" s="29"/>
      <c r="E1" s="29"/>
      <c r="F1" s="29"/>
      <c r="G1" s="29"/>
      <c r="H1" s="29"/>
    </row>
    <row r="2" spans="1:8" ht="20.100000000000001" customHeight="1" x14ac:dyDescent="0.2">
      <c r="A2" s="48" t="s">
        <v>100</v>
      </c>
      <c r="B2" s="60" t="s">
        <v>831</v>
      </c>
      <c r="C2" s="58"/>
      <c r="D2" s="58"/>
      <c r="E2" s="58"/>
    </row>
    <row r="3" spans="1:8" ht="20.100000000000001" customHeight="1" x14ac:dyDescent="0.2">
      <c r="A3" s="48" t="s">
        <v>101</v>
      </c>
      <c r="B3" s="60" t="s">
        <v>832</v>
      </c>
      <c r="C3" s="59"/>
      <c r="D3" s="59"/>
      <c r="E3" s="59"/>
    </row>
    <row r="4" spans="1:8" ht="20.100000000000001" customHeight="1" x14ac:dyDescent="0.2">
      <c r="A4" s="48" t="s">
        <v>104</v>
      </c>
      <c r="B4" s="61" t="s">
        <v>830</v>
      </c>
      <c r="C4" s="57"/>
      <c r="D4" s="57"/>
      <c r="E4" s="57"/>
    </row>
  </sheetData>
  <mergeCells count="1">
    <mergeCell ref="A1:B1"/>
  </mergeCells>
  <phoneticPr fontId="1" type="noConversion"/>
  <pageMargins left="0.25" right="0.25" top="0.75" bottom="0.75" header="0.3" footer="0.3"/>
  <pageSetup paperSize="9" orientation="landscape" horizontalDpi="0" verticalDpi="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37"/>
  <sheetViews>
    <sheetView topLeftCell="A138" workbookViewId="0">
      <selection activeCell="H149" sqref="H149"/>
    </sheetView>
  </sheetViews>
  <sheetFormatPr defaultRowHeight="16.5" x14ac:dyDescent="0.3"/>
  <cols>
    <col min="1" max="1" width="17.75" style="9" customWidth="1"/>
    <col min="2" max="2" width="20" style="9" bestFit="1" customWidth="1"/>
    <col min="3" max="3" width="61.875" style="9" bestFit="1" customWidth="1"/>
  </cols>
  <sheetData>
    <row r="1" spans="1:3" x14ac:dyDescent="0.3">
      <c r="A1" s="69" t="s">
        <v>807</v>
      </c>
      <c r="B1" s="69"/>
      <c r="C1" s="69"/>
    </row>
    <row r="2" spans="1:3" x14ac:dyDescent="0.3">
      <c r="A2" s="70"/>
      <c r="B2" s="70"/>
      <c r="C2" s="70"/>
    </row>
    <row r="3" spans="1:3" x14ac:dyDescent="0.3">
      <c r="A3" s="49" t="s">
        <v>125</v>
      </c>
      <c r="B3" s="49" t="s">
        <v>126</v>
      </c>
      <c r="C3" s="49" t="s">
        <v>127</v>
      </c>
    </row>
    <row r="4" spans="1:3" x14ac:dyDescent="0.3">
      <c r="A4" s="39" t="s">
        <v>128</v>
      </c>
      <c r="B4" s="32" t="s">
        <v>129</v>
      </c>
      <c r="C4" s="33" t="s">
        <v>130</v>
      </c>
    </row>
    <row r="5" spans="1:3" x14ac:dyDescent="0.3">
      <c r="A5" s="39" t="s">
        <v>131</v>
      </c>
      <c r="B5" s="32" t="s">
        <v>132</v>
      </c>
      <c r="C5" s="33" t="s">
        <v>133</v>
      </c>
    </row>
    <row r="6" spans="1:3" x14ac:dyDescent="0.3">
      <c r="A6" s="39" t="s">
        <v>134</v>
      </c>
      <c r="B6" s="32" t="s">
        <v>135</v>
      </c>
      <c r="C6" s="33" t="s">
        <v>136</v>
      </c>
    </row>
    <row r="7" spans="1:3" x14ac:dyDescent="0.3">
      <c r="A7" s="39" t="s">
        <v>137</v>
      </c>
      <c r="B7" s="32" t="s">
        <v>138</v>
      </c>
      <c r="C7" s="33" t="s">
        <v>139</v>
      </c>
    </row>
    <row r="8" spans="1:3" x14ac:dyDescent="0.3">
      <c r="A8" s="39" t="s">
        <v>140</v>
      </c>
      <c r="B8" s="32" t="s">
        <v>141</v>
      </c>
      <c r="C8" s="33" t="s">
        <v>142</v>
      </c>
    </row>
    <row r="9" spans="1:3" x14ac:dyDescent="0.3">
      <c r="A9" s="39" t="s">
        <v>143</v>
      </c>
      <c r="B9" s="32" t="s">
        <v>144</v>
      </c>
      <c r="C9" s="33" t="s">
        <v>145</v>
      </c>
    </row>
    <row r="10" spans="1:3" x14ac:dyDescent="0.3">
      <c r="A10" s="39" t="s">
        <v>146</v>
      </c>
      <c r="B10" s="32" t="s">
        <v>147</v>
      </c>
      <c r="C10" s="33" t="s">
        <v>148</v>
      </c>
    </row>
    <row r="11" spans="1:3" x14ac:dyDescent="0.3">
      <c r="A11" s="39" t="s">
        <v>149</v>
      </c>
      <c r="B11" s="32" t="s">
        <v>150</v>
      </c>
      <c r="C11" s="33" t="s">
        <v>151</v>
      </c>
    </row>
    <row r="12" spans="1:3" x14ac:dyDescent="0.3">
      <c r="A12" s="39" t="s">
        <v>152</v>
      </c>
      <c r="B12" s="32" t="s">
        <v>153</v>
      </c>
      <c r="C12" s="33" t="s">
        <v>154</v>
      </c>
    </row>
    <row r="13" spans="1:3" x14ac:dyDescent="0.3">
      <c r="A13" s="39" t="s">
        <v>155</v>
      </c>
      <c r="B13" s="32" t="s">
        <v>156</v>
      </c>
      <c r="C13" s="33" t="s">
        <v>157</v>
      </c>
    </row>
    <row r="14" spans="1:3" x14ac:dyDescent="0.3">
      <c r="A14" s="39" t="s">
        <v>158</v>
      </c>
      <c r="B14" s="32" t="s">
        <v>159</v>
      </c>
      <c r="C14" s="33" t="s">
        <v>160</v>
      </c>
    </row>
    <row r="15" spans="1:3" x14ac:dyDescent="0.3">
      <c r="A15" s="39" t="s">
        <v>161</v>
      </c>
      <c r="B15" s="32" t="s">
        <v>162</v>
      </c>
      <c r="C15" s="33" t="s">
        <v>163</v>
      </c>
    </row>
    <row r="16" spans="1:3" x14ac:dyDescent="0.3">
      <c r="A16" s="39" t="s">
        <v>164</v>
      </c>
      <c r="B16" s="32" t="s">
        <v>165</v>
      </c>
      <c r="C16" s="33" t="s">
        <v>166</v>
      </c>
    </row>
    <row r="17" spans="1:3" x14ac:dyDescent="0.3">
      <c r="A17" s="39" t="s">
        <v>167</v>
      </c>
      <c r="B17" s="32" t="s">
        <v>168</v>
      </c>
      <c r="C17" s="33" t="s">
        <v>169</v>
      </c>
    </row>
    <row r="18" spans="1:3" x14ac:dyDescent="0.3">
      <c r="A18" s="39" t="s">
        <v>170</v>
      </c>
      <c r="B18" s="32" t="s">
        <v>171</v>
      </c>
      <c r="C18" s="33" t="s">
        <v>172</v>
      </c>
    </row>
    <row r="19" spans="1:3" x14ac:dyDescent="0.3">
      <c r="A19" s="39" t="s">
        <v>173</v>
      </c>
      <c r="B19" s="32" t="s">
        <v>174</v>
      </c>
      <c r="C19" s="33" t="s">
        <v>175</v>
      </c>
    </row>
    <row r="20" spans="1:3" x14ac:dyDescent="0.3">
      <c r="A20" s="39" t="s">
        <v>176</v>
      </c>
      <c r="B20" s="32" t="s">
        <v>177</v>
      </c>
      <c r="C20" s="33" t="s">
        <v>178</v>
      </c>
    </row>
    <row r="21" spans="1:3" x14ac:dyDescent="0.3">
      <c r="A21" s="39" t="s">
        <v>179</v>
      </c>
      <c r="B21" s="32" t="s">
        <v>180</v>
      </c>
      <c r="C21" s="33" t="s">
        <v>181</v>
      </c>
    </row>
    <row r="22" spans="1:3" x14ac:dyDescent="0.3">
      <c r="A22" s="39" t="s">
        <v>182</v>
      </c>
      <c r="B22" s="32" t="s">
        <v>183</v>
      </c>
      <c r="C22" s="33" t="s">
        <v>184</v>
      </c>
    </row>
    <row r="23" spans="1:3" x14ac:dyDescent="0.3">
      <c r="A23" s="39" t="s">
        <v>185</v>
      </c>
      <c r="B23" s="32" t="s">
        <v>159</v>
      </c>
      <c r="C23" s="33" t="s">
        <v>163</v>
      </c>
    </row>
    <row r="24" spans="1:3" x14ac:dyDescent="0.3">
      <c r="A24" s="39" t="s">
        <v>186</v>
      </c>
      <c r="B24" s="32" t="s">
        <v>187</v>
      </c>
      <c r="C24" s="33" t="s">
        <v>188</v>
      </c>
    </row>
    <row r="25" spans="1:3" x14ac:dyDescent="0.3">
      <c r="A25" s="39" t="s">
        <v>189</v>
      </c>
      <c r="B25" s="32" t="s">
        <v>190</v>
      </c>
      <c r="C25" s="33" t="s">
        <v>191</v>
      </c>
    </row>
    <row r="26" spans="1:3" x14ac:dyDescent="0.3">
      <c r="A26" s="39" t="s">
        <v>192</v>
      </c>
      <c r="B26" s="32" t="s">
        <v>193</v>
      </c>
      <c r="C26" s="33" t="s">
        <v>194</v>
      </c>
    </row>
    <row r="27" spans="1:3" x14ac:dyDescent="0.3">
      <c r="A27" s="39" t="s">
        <v>195</v>
      </c>
      <c r="B27" s="32" t="s">
        <v>177</v>
      </c>
      <c r="C27" s="33" t="s">
        <v>178</v>
      </c>
    </row>
    <row r="28" spans="1:3" x14ac:dyDescent="0.3">
      <c r="A28" s="39" t="s">
        <v>196</v>
      </c>
      <c r="B28" s="32" t="s">
        <v>197</v>
      </c>
      <c r="C28" s="33" t="s">
        <v>198</v>
      </c>
    </row>
    <row r="29" spans="1:3" x14ac:dyDescent="0.3">
      <c r="A29" s="39" t="s">
        <v>199</v>
      </c>
      <c r="B29" s="32" t="s">
        <v>200</v>
      </c>
      <c r="C29" s="33" t="s">
        <v>201</v>
      </c>
    </row>
    <row r="30" spans="1:3" x14ac:dyDescent="0.3">
      <c r="A30" s="39" t="s">
        <v>202</v>
      </c>
      <c r="B30" s="32" t="s">
        <v>203</v>
      </c>
      <c r="C30" s="33" t="s">
        <v>204</v>
      </c>
    </row>
    <row r="31" spans="1:3" x14ac:dyDescent="0.3">
      <c r="A31" s="39" t="s">
        <v>205</v>
      </c>
      <c r="B31" s="32" t="s">
        <v>206</v>
      </c>
      <c r="C31" s="33" t="s">
        <v>207</v>
      </c>
    </row>
    <row r="32" spans="1:3" x14ac:dyDescent="0.3">
      <c r="A32" s="39" t="s">
        <v>208</v>
      </c>
      <c r="B32" s="32" t="s">
        <v>209</v>
      </c>
      <c r="C32" s="33" t="s">
        <v>210</v>
      </c>
    </row>
    <row r="33" spans="1:3" x14ac:dyDescent="0.3">
      <c r="A33" s="39" t="s">
        <v>211</v>
      </c>
      <c r="B33" s="32" t="s">
        <v>212</v>
      </c>
      <c r="C33" s="33" t="s">
        <v>213</v>
      </c>
    </row>
    <row r="34" spans="1:3" x14ac:dyDescent="0.3">
      <c r="A34" s="39" t="s">
        <v>214</v>
      </c>
      <c r="B34" s="32" t="s">
        <v>215</v>
      </c>
      <c r="C34" s="33" t="s">
        <v>216</v>
      </c>
    </row>
    <row r="35" spans="1:3" x14ac:dyDescent="0.3">
      <c r="A35" s="39" t="s">
        <v>217</v>
      </c>
      <c r="B35" s="32" t="s">
        <v>218</v>
      </c>
      <c r="C35" s="33" t="s">
        <v>219</v>
      </c>
    </row>
    <row r="36" spans="1:3" x14ac:dyDescent="0.3">
      <c r="A36" s="39" t="s">
        <v>220</v>
      </c>
      <c r="B36" s="32" t="s">
        <v>221</v>
      </c>
      <c r="C36" s="33" t="s">
        <v>222</v>
      </c>
    </row>
    <row r="37" spans="1:3" x14ac:dyDescent="0.3">
      <c r="A37" s="39" t="s">
        <v>223</v>
      </c>
      <c r="B37" s="32" t="s">
        <v>224</v>
      </c>
      <c r="C37" s="33" t="s">
        <v>225</v>
      </c>
    </row>
    <row r="38" spans="1:3" x14ac:dyDescent="0.3">
      <c r="A38" s="39" t="s">
        <v>226</v>
      </c>
      <c r="B38" s="32" t="s">
        <v>227</v>
      </c>
      <c r="C38" s="33" t="s">
        <v>228</v>
      </c>
    </row>
    <row r="39" spans="1:3" x14ac:dyDescent="0.3">
      <c r="A39" s="39" t="s">
        <v>229</v>
      </c>
      <c r="B39" s="32" t="s">
        <v>230</v>
      </c>
      <c r="C39" s="33" t="s">
        <v>231</v>
      </c>
    </row>
    <row r="40" spans="1:3" x14ac:dyDescent="0.3">
      <c r="A40" s="39" t="s">
        <v>232</v>
      </c>
      <c r="B40" s="32" t="s">
        <v>230</v>
      </c>
      <c r="C40" s="33" t="s">
        <v>233</v>
      </c>
    </row>
    <row r="41" spans="1:3" x14ac:dyDescent="0.3">
      <c r="A41" s="39" t="s">
        <v>234</v>
      </c>
      <c r="B41" s="32" t="s">
        <v>235</v>
      </c>
      <c r="C41" s="33" t="s">
        <v>236</v>
      </c>
    </row>
    <row r="42" spans="1:3" x14ac:dyDescent="0.3">
      <c r="A42" s="39" t="s">
        <v>237</v>
      </c>
      <c r="B42" s="32" t="s">
        <v>238</v>
      </c>
      <c r="C42" s="33" t="s">
        <v>239</v>
      </c>
    </row>
    <row r="43" spans="1:3" x14ac:dyDescent="0.3">
      <c r="A43" s="39" t="s">
        <v>240</v>
      </c>
      <c r="B43" s="32" t="s">
        <v>241</v>
      </c>
      <c r="C43" s="33" t="s">
        <v>242</v>
      </c>
    </row>
    <row r="44" spans="1:3" x14ac:dyDescent="0.3">
      <c r="A44" s="39" t="s">
        <v>243</v>
      </c>
      <c r="B44" s="32" t="s">
        <v>244</v>
      </c>
      <c r="C44" s="33" t="s">
        <v>245</v>
      </c>
    </row>
    <row r="45" spans="1:3" x14ac:dyDescent="0.3">
      <c r="A45" s="39" t="s">
        <v>246</v>
      </c>
      <c r="B45" s="32" t="s">
        <v>247</v>
      </c>
      <c r="C45" s="33" t="s">
        <v>248</v>
      </c>
    </row>
    <row r="46" spans="1:3" x14ac:dyDescent="0.3">
      <c r="A46" s="39" t="s">
        <v>249</v>
      </c>
      <c r="B46" s="32" t="s">
        <v>250</v>
      </c>
      <c r="C46" s="33" t="s">
        <v>251</v>
      </c>
    </row>
    <row r="47" spans="1:3" x14ac:dyDescent="0.3">
      <c r="A47" s="39" t="s">
        <v>252</v>
      </c>
      <c r="B47" s="32" t="s">
        <v>253</v>
      </c>
      <c r="C47" s="33" t="s">
        <v>254</v>
      </c>
    </row>
    <row r="48" spans="1:3" x14ac:dyDescent="0.3">
      <c r="A48" s="39" t="s">
        <v>255</v>
      </c>
      <c r="B48" s="32" t="s">
        <v>256</v>
      </c>
      <c r="C48" s="33" t="s">
        <v>257</v>
      </c>
    </row>
    <row r="49" spans="1:3" x14ac:dyDescent="0.3">
      <c r="A49" s="39" t="s">
        <v>258</v>
      </c>
      <c r="B49" s="32" t="s">
        <v>259</v>
      </c>
      <c r="C49" s="33" t="s">
        <v>260</v>
      </c>
    </row>
    <row r="50" spans="1:3" x14ac:dyDescent="0.3">
      <c r="A50" s="39" t="s">
        <v>261</v>
      </c>
      <c r="B50" s="32" t="s">
        <v>262</v>
      </c>
      <c r="C50" s="33" t="s">
        <v>263</v>
      </c>
    </row>
    <row r="51" spans="1:3" x14ac:dyDescent="0.3">
      <c r="A51" s="39" t="s">
        <v>264</v>
      </c>
      <c r="B51" s="32" t="s">
        <v>265</v>
      </c>
      <c r="C51" s="33" t="s">
        <v>266</v>
      </c>
    </row>
    <row r="52" spans="1:3" x14ac:dyDescent="0.3">
      <c r="A52" s="39" t="s">
        <v>267</v>
      </c>
      <c r="B52" s="32" t="s">
        <v>268</v>
      </c>
      <c r="C52" s="33" t="s">
        <v>269</v>
      </c>
    </row>
    <row r="53" spans="1:3" x14ac:dyDescent="0.3">
      <c r="A53" s="39" t="s">
        <v>270</v>
      </c>
      <c r="B53" s="32" t="s">
        <v>271</v>
      </c>
      <c r="C53" s="33" t="s">
        <v>272</v>
      </c>
    </row>
    <row r="54" spans="1:3" x14ac:dyDescent="0.3">
      <c r="A54" s="39" t="s">
        <v>273</v>
      </c>
      <c r="B54" s="32" t="s">
        <v>274</v>
      </c>
      <c r="C54" s="33" t="s">
        <v>275</v>
      </c>
    </row>
    <row r="55" spans="1:3" x14ac:dyDescent="0.3">
      <c r="A55" s="39" t="s">
        <v>276</v>
      </c>
      <c r="B55" s="32" t="s">
        <v>277</v>
      </c>
      <c r="C55" s="33" t="s">
        <v>278</v>
      </c>
    </row>
    <row r="56" spans="1:3" x14ac:dyDescent="0.3">
      <c r="A56" s="39" t="s">
        <v>279</v>
      </c>
      <c r="B56" s="32" t="s">
        <v>280</v>
      </c>
      <c r="C56" s="33" t="s">
        <v>281</v>
      </c>
    </row>
    <row r="57" spans="1:3" x14ac:dyDescent="0.3">
      <c r="A57" s="39" t="s">
        <v>282</v>
      </c>
      <c r="B57" s="32" t="s">
        <v>283</v>
      </c>
      <c r="C57" s="33" t="s">
        <v>284</v>
      </c>
    </row>
    <row r="58" spans="1:3" x14ac:dyDescent="0.3">
      <c r="A58" s="39" t="s">
        <v>285</v>
      </c>
      <c r="B58" s="32" t="s">
        <v>286</v>
      </c>
      <c r="C58" s="33" t="s">
        <v>287</v>
      </c>
    </row>
    <row r="59" spans="1:3" x14ac:dyDescent="0.3">
      <c r="A59" s="39" t="s">
        <v>288</v>
      </c>
      <c r="B59" s="32" t="s">
        <v>289</v>
      </c>
      <c r="C59" s="33" t="s">
        <v>290</v>
      </c>
    </row>
    <row r="60" spans="1:3" x14ac:dyDescent="0.3">
      <c r="A60" s="39" t="s">
        <v>291</v>
      </c>
      <c r="B60" s="32" t="s">
        <v>292</v>
      </c>
      <c r="C60" s="33" t="s">
        <v>293</v>
      </c>
    </row>
    <row r="61" spans="1:3" x14ac:dyDescent="0.3">
      <c r="A61" s="39" t="s">
        <v>294</v>
      </c>
      <c r="B61" s="32" t="s">
        <v>295</v>
      </c>
      <c r="C61" s="33" t="s">
        <v>296</v>
      </c>
    </row>
    <row r="62" spans="1:3" x14ac:dyDescent="0.3">
      <c r="A62" s="39" t="s">
        <v>297</v>
      </c>
      <c r="B62" s="32" t="s">
        <v>298</v>
      </c>
      <c r="C62" s="33" t="s">
        <v>299</v>
      </c>
    </row>
    <row r="63" spans="1:3" x14ac:dyDescent="0.3">
      <c r="A63" s="39" t="s">
        <v>300</v>
      </c>
      <c r="B63" s="32" t="s">
        <v>301</v>
      </c>
      <c r="C63" s="33" t="s">
        <v>302</v>
      </c>
    </row>
    <row r="64" spans="1:3" x14ac:dyDescent="0.3">
      <c r="A64" s="39" t="s">
        <v>303</v>
      </c>
      <c r="B64" s="32" t="s">
        <v>304</v>
      </c>
      <c r="C64" s="33" t="s">
        <v>305</v>
      </c>
    </row>
    <row r="65" spans="1:3" x14ac:dyDescent="0.3">
      <c r="A65" s="39" t="s">
        <v>306</v>
      </c>
      <c r="B65" s="32" t="s">
        <v>307</v>
      </c>
      <c r="C65" s="33" t="s">
        <v>308</v>
      </c>
    </row>
    <row r="66" spans="1:3" x14ac:dyDescent="0.3">
      <c r="A66" s="39" t="s">
        <v>309</v>
      </c>
      <c r="B66" s="32" t="s">
        <v>310</v>
      </c>
      <c r="C66" s="33" t="s">
        <v>311</v>
      </c>
    </row>
    <row r="67" spans="1:3" x14ac:dyDescent="0.3">
      <c r="A67" s="39" t="s">
        <v>312</v>
      </c>
      <c r="B67" s="32" t="s">
        <v>313</v>
      </c>
      <c r="C67" s="33" t="s">
        <v>314</v>
      </c>
    </row>
    <row r="68" spans="1:3" x14ac:dyDescent="0.3">
      <c r="A68" s="39" t="s">
        <v>315</v>
      </c>
      <c r="B68" s="32" t="s">
        <v>316</v>
      </c>
      <c r="C68" s="33" t="s">
        <v>317</v>
      </c>
    </row>
    <row r="69" spans="1:3" x14ac:dyDescent="0.3">
      <c r="A69" s="39" t="s">
        <v>318</v>
      </c>
      <c r="B69" s="32" t="s">
        <v>319</v>
      </c>
      <c r="C69" s="33" t="s">
        <v>320</v>
      </c>
    </row>
    <row r="70" spans="1:3" x14ac:dyDescent="0.3">
      <c r="A70" s="39" t="s">
        <v>321</v>
      </c>
      <c r="B70" s="32" t="s">
        <v>322</v>
      </c>
      <c r="C70" s="33" t="s">
        <v>323</v>
      </c>
    </row>
    <row r="71" spans="1:3" x14ac:dyDescent="0.3">
      <c r="A71" s="39" t="s">
        <v>324</v>
      </c>
      <c r="B71" s="32" t="s">
        <v>304</v>
      </c>
      <c r="C71" s="33" t="s">
        <v>305</v>
      </c>
    </row>
    <row r="72" spans="1:3" x14ac:dyDescent="0.3">
      <c r="A72" s="39" t="s">
        <v>325</v>
      </c>
      <c r="B72" s="32" t="s">
        <v>326</v>
      </c>
      <c r="C72" s="33" t="s">
        <v>327</v>
      </c>
    </row>
    <row r="73" spans="1:3" x14ac:dyDescent="0.3">
      <c r="A73" s="39" t="s">
        <v>328</v>
      </c>
      <c r="B73" s="32" t="s">
        <v>329</v>
      </c>
      <c r="C73" s="33" t="s">
        <v>330</v>
      </c>
    </row>
    <row r="74" spans="1:3" x14ac:dyDescent="0.3">
      <c r="A74" s="39" t="s">
        <v>331</v>
      </c>
      <c r="B74" s="32" t="s">
        <v>332</v>
      </c>
      <c r="C74" s="33" t="s">
        <v>333</v>
      </c>
    </row>
    <row r="75" spans="1:3" x14ac:dyDescent="0.3">
      <c r="A75" s="39" t="s">
        <v>334</v>
      </c>
      <c r="B75" s="32" t="s">
        <v>335</v>
      </c>
      <c r="C75" s="33" t="s">
        <v>336</v>
      </c>
    </row>
    <row r="76" spans="1:3" x14ac:dyDescent="0.3">
      <c r="A76" s="39" t="s">
        <v>337</v>
      </c>
      <c r="B76" s="32" t="s">
        <v>338</v>
      </c>
      <c r="C76" s="33" t="s">
        <v>339</v>
      </c>
    </row>
    <row r="77" spans="1:3" x14ac:dyDescent="0.3">
      <c r="A77" s="39" t="s">
        <v>340</v>
      </c>
      <c r="B77" s="32" t="s">
        <v>341</v>
      </c>
      <c r="C77" s="33" t="s">
        <v>342</v>
      </c>
    </row>
    <row r="78" spans="1:3" x14ac:dyDescent="0.3">
      <c r="A78" s="39" t="s">
        <v>343</v>
      </c>
      <c r="B78" s="32" t="s">
        <v>344</v>
      </c>
      <c r="C78" s="33" t="s">
        <v>345</v>
      </c>
    </row>
    <row r="79" spans="1:3" x14ac:dyDescent="0.3">
      <c r="A79" s="39" t="s">
        <v>346</v>
      </c>
      <c r="B79" s="32" t="s">
        <v>347</v>
      </c>
      <c r="C79" s="33" t="s">
        <v>348</v>
      </c>
    </row>
    <row r="80" spans="1:3" x14ac:dyDescent="0.3">
      <c r="A80" s="39" t="s">
        <v>349</v>
      </c>
      <c r="B80" s="32" t="s">
        <v>350</v>
      </c>
      <c r="C80" s="33" t="s">
        <v>351</v>
      </c>
    </row>
    <row r="81" spans="1:3" x14ac:dyDescent="0.3">
      <c r="A81" s="39" t="s">
        <v>352</v>
      </c>
      <c r="B81" s="32" t="s">
        <v>353</v>
      </c>
      <c r="C81" s="33" t="s">
        <v>354</v>
      </c>
    </row>
    <row r="82" spans="1:3" x14ac:dyDescent="0.3">
      <c r="A82" s="39" t="s">
        <v>355</v>
      </c>
      <c r="B82" s="32" t="s">
        <v>356</v>
      </c>
      <c r="C82" s="33" t="s">
        <v>357</v>
      </c>
    </row>
    <row r="83" spans="1:3" x14ac:dyDescent="0.3">
      <c r="A83" s="39" t="s">
        <v>358</v>
      </c>
      <c r="B83" s="32" t="s">
        <v>359</v>
      </c>
      <c r="C83" s="33" t="s">
        <v>360</v>
      </c>
    </row>
    <row r="84" spans="1:3" x14ac:dyDescent="0.3">
      <c r="A84" s="39" t="s">
        <v>361</v>
      </c>
      <c r="B84" s="32" t="s">
        <v>362</v>
      </c>
      <c r="C84" s="33" t="s">
        <v>363</v>
      </c>
    </row>
    <row r="85" spans="1:3" x14ac:dyDescent="0.3">
      <c r="A85" s="39" t="s">
        <v>364</v>
      </c>
      <c r="B85" s="32" t="s">
        <v>365</v>
      </c>
      <c r="C85" s="33" t="s">
        <v>366</v>
      </c>
    </row>
    <row r="86" spans="1:3" x14ac:dyDescent="0.3">
      <c r="A86" s="39" t="s">
        <v>367</v>
      </c>
      <c r="B86" s="32" t="s">
        <v>368</v>
      </c>
      <c r="C86" s="33" t="s">
        <v>369</v>
      </c>
    </row>
    <row r="87" spans="1:3" x14ac:dyDescent="0.3">
      <c r="A87" s="39" t="s">
        <v>370</v>
      </c>
      <c r="B87" s="32" t="s">
        <v>371</v>
      </c>
      <c r="C87" s="33" t="s">
        <v>372</v>
      </c>
    </row>
    <row r="88" spans="1:3" x14ac:dyDescent="0.3">
      <c r="A88" s="39" t="s">
        <v>373</v>
      </c>
      <c r="B88" s="32" t="s">
        <v>374</v>
      </c>
      <c r="C88" s="33" t="s">
        <v>375</v>
      </c>
    </row>
    <row r="89" spans="1:3" x14ac:dyDescent="0.3">
      <c r="A89" s="39" t="s">
        <v>376</v>
      </c>
      <c r="B89" s="32" t="s">
        <v>377</v>
      </c>
      <c r="C89" s="33" t="s">
        <v>378</v>
      </c>
    </row>
    <row r="90" spans="1:3" x14ac:dyDescent="0.3">
      <c r="A90" s="39" t="s">
        <v>379</v>
      </c>
      <c r="B90" s="32" t="s">
        <v>380</v>
      </c>
      <c r="C90" s="33" t="s">
        <v>381</v>
      </c>
    </row>
    <row r="91" spans="1:3" x14ac:dyDescent="0.3">
      <c r="A91" s="39" t="s">
        <v>382</v>
      </c>
      <c r="B91" s="32" t="s">
        <v>383</v>
      </c>
      <c r="C91" s="33" t="s">
        <v>384</v>
      </c>
    </row>
    <row r="92" spans="1:3" x14ac:dyDescent="0.3">
      <c r="A92" s="39" t="s">
        <v>385</v>
      </c>
      <c r="B92" s="32" t="s">
        <v>386</v>
      </c>
      <c r="C92" s="33" t="s">
        <v>387</v>
      </c>
    </row>
    <row r="93" spans="1:3" x14ac:dyDescent="0.3">
      <c r="A93" s="39" t="s">
        <v>388</v>
      </c>
      <c r="B93" s="32" t="s">
        <v>389</v>
      </c>
      <c r="C93" s="33" t="s">
        <v>390</v>
      </c>
    </row>
    <row r="94" spans="1:3" x14ac:dyDescent="0.3">
      <c r="A94" s="39" t="s">
        <v>391</v>
      </c>
      <c r="B94" s="32" t="s">
        <v>392</v>
      </c>
      <c r="C94" s="33" t="s">
        <v>393</v>
      </c>
    </row>
    <row r="95" spans="1:3" x14ac:dyDescent="0.3">
      <c r="A95" s="39" t="s">
        <v>394</v>
      </c>
      <c r="B95" s="32" t="s">
        <v>395</v>
      </c>
      <c r="C95" s="33" t="s">
        <v>396</v>
      </c>
    </row>
    <row r="96" spans="1:3" x14ac:dyDescent="0.3">
      <c r="A96" s="39" t="s">
        <v>397</v>
      </c>
      <c r="B96" s="32" t="s">
        <v>398</v>
      </c>
      <c r="C96" s="33" t="s">
        <v>399</v>
      </c>
    </row>
    <row r="97" spans="1:3" x14ac:dyDescent="0.3">
      <c r="A97" s="39" t="s">
        <v>400</v>
      </c>
      <c r="B97" s="32" t="s">
        <v>401</v>
      </c>
      <c r="C97" s="33" t="s">
        <v>402</v>
      </c>
    </row>
    <row r="98" spans="1:3" x14ac:dyDescent="0.3">
      <c r="A98" s="39" t="s">
        <v>403</v>
      </c>
      <c r="B98" s="32" t="s">
        <v>404</v>
      </c>
      <c r="C98" s="33" t="s">
        <v>405</v>
      </c>
    </row>
    <row r="99" spans="1:3" x14ac:dyDescent="0.3">
      <c r="A99" s="39" t="s">
        <v>406</v>
      </c>
      <c r="B99" s="32" t="s">
        <v>407</v>
      </c>
      <c r="C99" s="33" t="s">
        <v>408</v>
      </c>
    </row>
    <row r="100" spans="1:3" x14ac:dyDescent="0.3">
      <c r="A100" s="39" t="s">
        <v>409</v>
      </c>
      <c r="B100" s="32" t="s">
        <v>410</v>
      </c>
      <c r="C100" s="33" t="s">
        <v>411</v>
      </c>
    </row>
    <row r="101" spans="1:3" x14ac:dyDescent="0.3">
      <c r="A101" s="39" t="s">
        <v>412</v>
      </c>
      <c r="B101" s="32" t="s">
        <v>413</v>
      </c>
      <c r="C101" s="33" t="s">
        <v>414</v>
      </c>
    </row>
    <row r="102" spans="1:3" x14ac:dyDescent="0.3">
      <c r="A102" s="39" t="s">
        <v>415</v>
      </c>
      <c r="B102" s="32" t="s">
        <v>416</v>
      </c>
      <c r="C102" s="32" t="s">
        <v>417</v>
      </c>
    </row>
    <row r="103" spans="1:3" x14ac:dyDescent="0.3">
      <c r="A103" s="39" t="s">
        <v>834</v>
      </c>
      <c r="B103" s="32" t="s">
        <v>835</v>
      </c>
      <c r="C103" s="32" t="s">
        <v>838</v>
      </c>
    </row>
    <row r="104" spans="1:3" x14ac:dyDescent="0.3">
      <c r="A104" s="39" t="s">
        <v>836</v>
      </c>
      <c r="B104" s="32" t="s">
        <v>837</v>
      </c>
      <c r="C104" s="32" t="s">
        <v>839</v>
      </c>
    </row>
    <row r="105" spans="1:3" x14ac:dyDescent="0.3">
      <c r="A105" s="39" t="s">
        <v>418</v>
      </c>
      <c r="B105" s="32" t="s">
        <v>419</v>
      </c>
      <c r="C105" s="33" t="s">
        <v>420</v>
      </c>
    </row>
    <row r="106" spans="1:3" x14ac:dyDescent="0.3">
      <c r="A106" s="39" t="s">
        <v>421</v>
      </c>
      <c r="B106" s="32" t="s">
        <v>422</v>
      </c>
      <c r="C106" s="33" t="s">
        <v>423</v>
      </c>
    </row>
    <row r="107" spans="1:3" x14ac:dyDescent="0.3">
      <c r="A107" s="39" t="s">
        <v>424</v>
      </c>
      <c r="B107" s="32" t="s">
        <v>425</v>
      </c>
      <c r="C107" s="33" t="s">
        <v>426</v>
      </c>
    </row>
    <row r="108" spans="1:3" x14ac:dyDescent="0.3">
      <c r="A108" s="39" t="s">
        <v>427</v>
      </c>
      <c r="B108" s="32" t="s">
        <v>398</v>
      </c>
      <c r="C108" s="33" t="s">
        <v>428</v>
      </c>
    </row>
    <row r="109" spans="1:3" x14ac:dyDescent="0.3">
      <c r="A109" s="39" t="s">
        <v>429</v>
      </c>
      <c r="B109" s="32" t="s">
        <v>430</v>
      </c>
      <c r="C109" s="33" t="s">
        <v>431</v>
      </c>
    </row>
    <row r="110" spans="1:3" x14ac:dyDescent="0.3">
      <c r="A110" s="39" t="s">
        <v>432</v>
      </c>
      <c r="B110" s="32" t="s">
        <v>395</v>
      </c>
      <c r="C110" s="33" t="s">
        <v>433</v>
      </c>
    </row>
    <row r="111" spans="1:3" x14ac:dyDescent="0.3">
      <c r="A111" s="39" t="s">
        <v>434</v>
      </c>
      <c r="B111" s="32" t="s">
        <v>435</v>
      </c>
      <c r="C111" s="33" t="s">
        <v>436</v>
      </c>
    </row>
    <row r="112" spans="1:3" x14ac:dyDescent="0.3">
      <c r="A112" s="39" t="s">
        <v>437</v>
      </c>
      <c r="B112" s="32" t="s">
        <v>438</v>
      </c>
      <c r="C112" s="33" t="s">
        <v>439</v>
      </c>
    </row>
    <row r="113" spans="1:3" x14ac:dyDescent="0.3">
      <c r="A113" s="39" t="s">
        <v>440</v>
      </c>
      <c r="B113" s="32" t="s">
        <v>441</v>
      </c>
      <c r="C113" s="33" t="s">
        <v>442</v>
      </c>
    </row>
    <row r="114" spans="1:3" x14ac:dyDescent="0.3">
      <c r="A114" s="39" t="s">
        <v>443</v>
      </c>
      <c r="B114" s="32" t="s">
        <v>410</v>
      </c>
      <c r="C114" s="33" t="s">
        <v>444</v>
      </c>
    </row>
    <row r="115" spans="1:3" x14ac:dyDescent="0.3">
      <c r="A115" s="39" t="s">
        <v>445</v>
      </c>
      <c r="B115" s="32" t="s">
        <v>446</v>
      </c>
      <c r="C115" s="33" t="s">
        <v>447</v>
      </c>
    </row>
    <row r="116" spans="1:3" x14ac:dyDescent="0.3">
      <c r="A116" s="39" t="s">
        <v>448</v>
      </c>
      <c r="B116" s="32" t="s">
        <v>449</v>
      </c>
      <c r="C116" s="33" t="s">
        <v>450</v>
      </c>
    </row>
    <row r="117" spans="1:3" x14ac:dyDescent="0.3">
      <c r="A117" s="39" t="s">
        <v>451</v>
      </c>
      <c r="B117" s="32" t="s">
        <v>452</v>
      </c>
      <c r="C117" s="33" t="s">
        <v>453</v>
      </c>
    </row>
    <row r="118" spans="1:3" x14ac:dyDescent="0.3">
      <c r="A118" s="39" t="s">
        <v>454</v>
      </c>
      <c r="B118" s="32" t="s">
        <v>455</v>
      </c>
      <c r="C118" s="33" t="s">
        <v>456</v>
      </c>
    </row>
    <row r="119" spans="1:3" x14ac:dyDescent="0.3">
      <c r="A119" s="39" t="s">
        <v>457</v>
      </c>
      <c r="B119" s="32" t="s">
        <v>458</v>
      </c>
      <c r="C119" s="33" t="s">
        <v>459</v>
      </c>
    </row>
    <row r="120" spans="1:3" x14ac:dyDescent="0.3">
      <c r="A120" s="39" t="s">
        <v>460</v>
      </c>
      <c r="B120" s="32" t="s">
        <v>461</v>
      </c>
      <c r="C120" s="33" t="s">
        <v>462</v>
      </c>
    </row>
    <row r="121" spans="1:3" x14ac:dyDescent="0.3">
      <c r="A121" s="39" t="s">
        <v>463</v>
      </c>
      <c r="B121" s="32" t="s">
        <v>464</v>
      </c>
      <c r="C121" s="33" t="s">
        <v>465</v>
      </c>
    </row>
    <row r="122" spans="1:3" x14ac:dyDescent="0.3">
      <c r="A122" s="39" t="s">
        <v>466</v>
      </c>
      <c r="B122" s="32" t="s">
        <v>464</v>
      </c>
      <c r="C122" s="33" t="s">
        <v>467</v>
      </c>
    </row>
    <row r="123" spans="1:3" x14ac:dyDescent="0.3">
      <c r="A123" s="39" t="s">
        <v>468</v>
      </c>
      <c r="B123" s="32" t="s">
        <v>469</v>
      </c>
      <c r="C123" s="33" t="s">
        <v>470</v>
      </c>
    </row>
    <row r="124" spans="1:3" x14ac:dyDescent="0.3">
      <c r="A124" s="39" t="s">
        <v>471</v>
      </c>
      <c r="B124" s="32" t="s">
        <v>472</v>
      </c>
      <c r="C124" s="33" t="s">
        <v>473</v>
      </c>
    </row>
    <row r="125" spans="1:3" x14ac:dyDescent="0.3">
      <c r="A125" s="39" t="s">
        <v>474</v>
      </c>
      <c r="B125" s="32" t="s">
        <v>475</v>
      </c>
      <c r="C125" s="33" t="s">
        <v>476</v>
      </c>
    </row>
    <row r="126" spans="1:3" x14ac:dyDescent="0.3">
      <c r="A126" s="39" t="s">
        <v>477</v>
      </c>
      <c r="B126" s="32" t="s">
        <v>478</v>
      </c>
      <c r="C126" s="33" t="s">
        <v>479</v>
      </c>
    </row>
    <row r="127" spans="1:3" x14ac:dyDescent="0.3">
      <c r="A127" s="39" t="s">
        <v>480</v>
      </c>
      <c r="B127" s="32" t="s">
        <v>481</v>
      </c>
      <c r="C127" s="33" t="s">
        <v>482</v>
      </c>
    </row>
    <row r="128" spans="1:3" x14ac:dyDescent="0.3">
      <c r="A128" s="39" t="s">
        <v>483</v>
      </c>
      <c r="B128" s="32" t="s">
        <v>484</v>
      </c>
      <c r="C128" s="33" t="s">
        <v>485</v>
      </c>
    </row>
    <row r="129" spans="1:3" x14ac:dyDescent="0.3">
      <c r="A129" s="39" t="s">
        <v>486</v>
      </c>
      <c r="B129" s="32" t="s">
        <v>487</v>
      </c>
      <c r="C129" s="33" t="s">
        <v>488</v>
      </c>
    </row>
    <row r="130" spans="1:3" x14ac:dyDescent="0.3">
      <c r="A130" s="39" t="s">
        <v>489</v>
      </c>
      <c r="B130" s="32" t="s">
        <v>490</v>
      </c>
      <c r="C130" s="33" t="s">
        <v>491</v>
      </c>
    </row>
    <row r="131" spans="1:3" x14ac:dyDescent="0.3">
      <c r="A131" s="39" t="s">
        <v>492</v>
      </c>
      <c r="B131" s="32" t="s">
        <v>493</v>
      </c>
      <c r="C131" s="33" t="s">
        <v>494</v>
      </c>
    </row>
    <row r="132" spans="1:3" x14ac:dyDescent="0.3">
      <c r="A132" s="39" t="s">
        <v>495</v>
      </c>
      <c r="B132" s="32" t="s">
        <v>496</v>
      </c>
      <c r="C132" s="33" t="s">
        <v>497</v>
      </c>
    </row>
    <row r="133" spans="1:3" x14ac:dyDescent="0.3">
      <c r="A133" s="39" t="s">
        <v>498</v>
      </c>
      <c r="B133" s="32" t="s">
        <v>499</v>
      </c>
      <c r="C133" s="33" t="s">
        <v>500</v>
      </c>
    </row>
    <row r="134" spans="1:3" x14ac:dyDescent="0.3">
      <c r="A134" s="39" t="s">
        <v>501</v>
      </c>
      <c r="B134" s="32" t="s">
        <v>502</v>
      </c>
      <c r="C134" s="33" t="s">
        <v>503</v>
      </c>
    </row>
    <row r="135" spans="1:3" x14ac:dyDescent="0.3">
      <c r="A135" s="39" t="s">
        <v>504</v>
      </c>
      <c r="B135" s="32" t="s">
        <v>505</v>
      </c>
      <c r="C135" s="33" t="s">
        <v>506</v>
      </c>
    </row>
    <row r="136" spans="1:3" x14ac:dyDescent="0.3">
      <c r="A136" s="39" t="s">
        <v>507</v>
      </c>
      <c r="B136" s="32" t="s">
        <v>508</v>
      </c>
      <c r="C136" s="33" t="s">
        <v>509</v>
      </c>
    </row>
    <row r="137" spans="1:3" x14ac:dyDescent="0.3">
      <c r="A137" s="39" t="s">
        <v>510</v>
      </c>
      <c r="B137" s="32" t="s">
        <v>511</v>
      </c>
      <c r="C137" s="33" t="s">
        <v>512</v>
      </c>
    </row>
    <row r="138" spans="1:3" x14ac:dyDescent="0.3">
      <c r="A138" s="39" t="s">
        <v>513</v>
      </c>
      <c r="B138" s="32" t="s">
        <v>514</v>
      </c>
      <c r="C138" s="33" t="s">
        <v>515</v>
      </c>
    </row>
    <row r="139" spans="1:3" x14ac:dyDescent="0.3">
      <c r="A139" s="39" t="s">
        <v>516</v>
      </c>
      <c r="B139" s="32" t="s">
        <v>517</v>
      </c>
      <c r="C139" s="33" t="s">
        <v>518</v>
      </c>
    </row>
    <row r="140" spans="1:3" x14ac:dyDescent="0.3">
      <c r="A140" s="39" t="s">
        <v>519</v>
      </c>
      <c r="B140" s="32" t="s">
        <v>520</v>
      </c>
      <c r="C140" s="33" t="s">
        <v>521</v>
      </c>
    </row>
    <row r="141" spans="1:3" x14ac:dyDescent="0.3">
      <c r="A141" s="39" t="s">
        <v>522</v>
      </c>
      <c r="B141" s="32" t="s">
        <v>523</v>
      </c>
      <c r="C141" s="33" t="s">
        <v>524</v>
      </c>
    </row>
    <row r="142" spans="1:3" x14ac:dyDescent="0.3">
      <c r="A142" s="39" t="s">
        <v>525</v>
      </c>
      <c r="B142" s="32" t="s">
        <v>526</v>
      </c>
      <c r="C142" s="33" t="s">
        <v>527</v>
      </c>
    </row>
    <row r="143" spans="1:3" x14ac:dyDescent="0.3">
      <c r="A143" s="39" t="s">
        <v>528</v>
      </c>
      <c r="B143" s="32" t="s">
        <v>529</v>
      </c>
      <c r="C143" s="33" t="s">
        <v>530</v>
      </c>
    </row>
    <row r="144" spans="1:3" x14ac:dyDescent="0.3">
      <c r="A144" s="39" t="s">
        <v>531</v>
      </c>
      <c r="B144" s="32" t="s">
        <v>532</v>
      </c>
      <c r="C144" s="33" t="s">
        <v>533</v>
      </c>
    </row>
    <row r="145" spans="1:3" x14ac:dyDescent="0.3">
      <c r="A145" s="39" t="s">
        <v>534</v>
      </c>
      <c r="B145" s="32" t="s">
        <v>535</v>
      </c>
      <c r="C145" s="33" t="s">
        <v>536</v>
      </c>
    </row>
    <row r="146" spans="1:3" x14ac:dyDescent="0.3">
      <c r="A146" s="39" t="s">
        <v>537</v>
      </c>
      <c r="B146" s="32" t="s">
        <v>538</v>
      </c>
      <c r="C146" s="33" t="s">
        <v>539</v>
      </c>
    </row>
    <row r="147" spans="1:3" x14ac:dyDescent="0.3">
      <c r="A147" s="39" t="s">
        <v>540</v>
      </c>
      <c r="B147" s="32" t="s">
        <v>541</v>
      </c>
      <c r="C147" s="33" t="s">
        <v>542</v>
      </c>
    </row>
    <row r="148" spans="1:3" x14ac:dyDescent="0.3">
      <c r="A148" s="39" t="s">
        <v>543</v>
      </c>
      <c r="B148" s="32" t="s">
        <v>544</v>
      </c>
      <c r="C148" s="33" t="s">
        <v>545</v>
      </c>
    </row>
    <row r="149" spans="1:3" x14ac:dyDescent="0.3">
      <c r="A149" s="39" t="s">
        <v>546</v>
      </c>
      <c r="B149" s="32" t="s">
        <v>547</v>
      </c>
      <c r="C149" s="33" t="s">
        <v>548</v>
      </c>
    </row>
    <row r="150" spans="1:3" x14ac:dyDescent="0.3">
      <c r="A150" s="39" t="s">
        <v>549</v>
      </c>
      <c r="B150" s="32" t="s">
        <v>550</v>
      </c>
      <c r="C150" s="33" t="s">
        <v>551</v>
      </c>
    </row>
    <row r="151" spans="1:3" x14ac:dyDescent="0.3">
      <c r="A151" s="39" t="s">
        <v>552</v>
      </c>
      <c r="B151" s="32" t="s">
        <v>553</v>
      </c>
      <c r="C151" s="33" t="s">
        <v>554</v>
      </c>
    </row>
    <row r="152" spans="1:3" x14ac:dyDescent="0.3">
      <c r="A152" s="39" t="s">
        <v>555</v>
      </c>
      <c r="B152" s="32" t="s">
        <v>556</v>
      </c>
      <c r="C152" s="33" t="s">
        <v>557</v>
      </c>
    </row>
    <row r="153" spans="1:3" x14ac:dyDescent="0.3">
      <c r="A153" s="39" t="s">
        <v>558</v>
      </c>
      <c r="B153" s="32" t="s">
        <v>559</v>
      </c>
      <c r="C153" s="33" t="s">
        <v>560</v>
      </c>
    </row>
    <row r="154" spans="1:3" x14ac:dyDescent="0.3">
      <c r="A154" s="39" t="s">
        <v>561</v>
      </c>
      <c r="B154" s="32" t="s">
        <v>562</v>
      </c>
      <c r="C154" s="33" t="s">
        <v>563</v>
      </c>
    </row>
    <row r="155" spans="1:3" x14ac:dyDescent="0.3">
      <c r="A155" s="39" t="s">
        <v>564</v>
      </c>
      <c r="B155" s="32" t="s">
        <v>565</v>
      </c>
      <c r="C155" s="33" t="s">
        <v>566</v>
      </c>
    </row>
    <row r="156" spans="1:3" x14ac:dyDescent="0.3">
      <c r="A156" s="39" t="s">
        <v>567</v>
      </c>
      <c r="B156" s="32" t="s">
        <v>568</v>
      </c>
      <c r="C156" s="33" t="s">
        <v>569</v>
      </c>
    </row>
    <row r="157" spans="1:3" x14ac:dyDescent="0.3">
      <c r="A157" s="39" t="s">
        <v>570</v>
      </c>
      <c r="B157" s="32" t="s">
        <v>571</v>
      </c>
      <c r="C157" s="33" t="s">
        <v>572</v>
      </c>
    </row>
    <row r="158" spans="1:3" x14ac:dyDescent="0.3">
      <c r="A158" s="39" t="s">
        <v>573</v>
      </c>
      <c r="B158" s="32" t="s">
        <v>574</v>
      </c>
      <c r="C158" s="33" t="s">
        <v>575</v>
      </c>
    </row>
    <row r="159" spans="1:3" x14ac:dyDescent="0.3">
      <c r="A159" s="39" t="s">
        <v>576</v>
      </c>
      <c r="B159" s="32" t="s">
        <v>577</v>
      </c>
      <c r="C159" s="33" t="s">
        <v>578</v>
      </c>
    </row>
    <row r="160" spans="1:3" x14ac:dyDescent="0.3">
      <c r="A160" s="39" t="s">
        <v>579</v>
      </c>
      <c r="B160" s="32" t="s">
        <v>580</v>
      </c>
      <c r="C160" s="33" t="s">
        <v>581</v>
      </c>
    </row>
    <row r="161" spans="1:3" x14ac:dyDescent="0.3">
      <c r="A161" s="39" t="s">
        <v>582</v>
      </c>
      <c r="B161" s="32" t="s">
        <v>583</v>
      </c>
      <c r="C161" s="33" t="s">
        <v>584</v>
      </c>
    </row>
    <row r="162" spans="1:3" x14ac:dyDescent="0.3">
      <c r="A162" s="39" t="s">
        <v>841</v>
      </c>
      <c r="B162" s="32" t="s">
        <v>844</v>
      </c>
      <c r="C162" s="33" t="s">
        <v>849</v>
      </c>
    </row>
    <row r="163" spans="1:3" x14ac:dyDescent="0.3">
      <c r="A163" s="39" t="s">
        <v>842</v>
      </c>
      <c r="B163" s="32" t="s">
        <v>845</v>
      </c>
      <c r="C163" s="33" t="s">
        <v>847</v>
      </c>
    </row>
    <row r="164" spans="1:3" x14ac:dyDescent="0.3">
      <c r="A164" s="39" t="s">
        <v>843</v>
      </c>
      <c r="B164" s="32" t="s">
        <v>846</v>
      </c>
      <c r="C164" s="33" t="s">
        <v>848</v>
      </c>
    </row>
    <row r="165" spans="1:3" x14ac:dyDescent="0.3">
      <c r="A165" s="39" t="s">
        <v>585</v>
      </c>
      <c r="B165" s="32" t="s">
        <v>586</v>
      </c>
      <c r="C165" s="33" t="s">
        <v>587</v>
      </c>
    </row>
    <row r="166" spans="1:3" x14ac:dyDescent="0.3">
      <c r="A166" s="39" t="s">
        <v>588</v>
      </c>
      <c r="B166" s="32" t="s">
        <v>589</v>
      </c>
      <c r="C166" s="33" t="s">
        <v>590</v>
      </c>
    </row>
    <row r="167" spans="1:3" x14ac:dyDescent="0.3">
      <c r="A167" s="39" t="s">
        <v>591</v>
      </c>
      <c r="B167" s="32" t="s">
        <v>592</v>
      </c>
      <c r="C167" s="33" t="s">
        <v>593</v>
      </c>
    </row>
    <row r="168" spans="1:3" x14ac:dyDescent="0.3">
      <c r="A168" s="39" t="s">
        <v>594</v>
      </c>
      <c r="B168" s="32" t="s">
        <v>595</v>
      </c>
      <c r="C168" s="33" t="s">
        <v>596</v>
      </c>
    </row>
    <row r="169" spans="1:3" x14ac:dyDescent="0.3">
      <c r="A169" s="39" t="s">
        <v>597</v>
      </c>
      <c r="B169" s="32" t="s">
        <v>598</v>
      </c>
      <c r="C169" s="33" t="s">
        <v>599</v>
      </c>
    </row>
    <row r="170" spans="1:3" x14ac:dyDescent="0.3">
      <c r="A170" s="39" t="s">
        <v>600</v>
      </c>
      <c r="B170" s="32" t="s">
        <v>601</v>
      </c>
      <c r="C170" s="33" t="s">
        <v>602</v>
      </c>
    </row>
    <row r="171" spans="1:3" x14ac:dyDescent="0.3">
      <c r="A171" s="39" t="s">
        <v>603</v>
      </c>
      <c r="B171" s="32" t="s">
        <v>604</v>
      </c>
      <c r="C171" s="33" t="s">
        <v>605</v>
      </c>
    </row>
    <row r="172" spans="1:3" x14ac:dyDescent="0.3">
      <c r="A172" s="39" t="s">
        <v>606</v>
      </c>
      <c r="B172" s="32" t="s">
        <v>607</v>
      </c>
      <c r="C172" s="33" t="s">
        <v>608</v>
      </c>
    </row>
    <row r="173" spans="1:3" x14ac:dyDescent="0.3">
      <c r="A173" s="39" t="s">
        <v>609</v>
      </c>
      <c r="B173" s="32" t="s">
        <v>610</v>
      </c>
      <c r="C173" s="33" t="s">
        <v>611</v>
      </c>
    </row>
    <row r="174" spans="1:3" x14ac:dyDescent="0.3">
      <c r="A174" s="39" t="s">
        <v>612</v>
      </c>
      <c r="B174" s="32" t="s">
        <v>613</v>
      </c>
      <c r="C174" s="33" t="s">
        <v>614</v>
      </c>
    </row>
    <row r="175" spans="1:3" x14ac:dyDescent="0.3">
      <c r="A175" s="39" t="s">
        <v>615</v>
      </c>
      <c r="B175" s="32" t="s">
        <v>616</v>
      </c>
      <c r="C175" s="33" t="s">
        <v>617</v>
      </c>
    </row>
    <row r="176" spans="1:3" x14ac:dyDescent="0.3">
      <c r="A176" s="39" t="s">
        <v>618</v>
      </c>
      <c r="B176" s="32" t="s">
        <v>619</v>
      </c>
      <c r="C176" s="33" t="s">
        <v>620</v>
      </c>
    </row>
    <row r="177" spans="1:3" x14ac:dyDescent="0.3">
      <c r="A177" s="39" t="s">
        <v>621</v>
      </c>
      <c r="B177" s="32" t="s">
        <v>622</v>
      </c>
      <c r="C177" s="33" t="s">
        <v>623</v>
      </c>
    </row>
    <row r="178" spans="1:3" x14ac:dyDescent="0.3">
      <c r="A178" s="39" t="s">
        <v>624</v>
      </c>
      <c r="B178" s="32" t="s">
        <v>625</v>
      </c>
      <c r="C178" s="33" t="s">
        <v>626</v>
      </c>
    </row>
    <row r="179" spans="1:3" x14ac:dyDescent="0.3">
      <c r="A179" s="39" t="s">
        <v>627</v>
      </c>
      <c r="B179" s="32" t="s">
        <v>628</v>
      </c>
      <c r="C179" s="33" t="s">
        <v>629</v>
      </c>
    </row>
    <row r="180" spans="1:3" x14ac:dyDescent="0.3">
      <c r="A180" s="39" t="s">
        <v>630</v>
      </c>
      <c r="B180" s="32" t="s">
        <v>631</v>
      </c>
      <c r="C180" s="33" t="s">
        <v>632</v>
      </c>
    </row>
    <row r="181" spans="1:3" x14ac:dyDescent="0.3">
      <c r="A181" s="39" t="s">
        <v>633</v>
      </c>
      <c r="B181" s="32" t="s">
        <v>634</v>
      </c>
      <c r="C181" s="33" t="s">
        <v>635</v>
      </c>
    </row>
    <row r="182" spans="1:3" x14ac:dyDescent="0.3">
      <c r="A182" s="39" t="s">
        <v>636</v>
      </c>
      <c r="B182" s="32" t="s">
        <v>637</v>
      </c>
      <c r="C182" s="33" t="s">
        <v>638</v>
      </c>
    </row>
    <row r="183" spans="1:3" x14ac:dyDescent="0.3">
      <c r="A183" s="39" t="s">
        <v>639</v>
      </c>
      <c r="B183" s="32" t="s">
        <v>640</v>
      </c>
      <c r="C183" s="33" t="s">
        <v>641</v>
      </c>
    </row>
    <row r="184" spans="1:3" x14ac:dyDescent="0.3">
      <c r="A184" s="39" t="s">
        <v>642</v>
      </c>
      <c r="B184" s="32" t="s">
        <v>643</v>
      </c>
      <c r="C184" s="33" t="s">
        <v>644</v>
      </c>
    </row>
    <row r="185" spans="1:3" x14ac:dyDescent="0.3">
      <c r="A185" s="39" t="s">
        <v>645</v>
      </c>
      <c r="B185" s="32" t="s">
        <v>646</v>
      </c>
      <c r="C185" s="33" t="s">
        <v>647</v>
      </c>
    </row>
    <row r="186" spans="1:3" x14ac:dyDescent="0.3">
      <c r="A186" s="39" t="s">
        <v>648</v>
      </c>
      <c r="B186" s="32" t="s">
        <v>649</v>
      </c>
      <c r="C186" s="33" t="s">
        <v>650</v>
      </c>
    </row>
    <row r="187" spans="1:3" x14ac:dyDescent="0.3">
      <c r="A187" s="39" t="s">
        <v>651</v>
      </c>
      <c r="B187" s="32" t="s">
        <v>529</v>
      </c>
      <c r="C187" s="33" t="s">
        <v>530</v>
      </c>
    </row>
    <row r="188" spans="1:3" x14ac:dyDescent="0.3">
      <c r="A188" s="39" t="s">
        <v>652</v>
      </c>
      <c r="B188" s="32" t="s">
        <v>532</v>
      </c>
      <c r="C188" s="33" t="s">
        <v>653</v>
      </c>
    </row>
    <row r="189" spans="1:3" x14ac:dyDescent="0.3">
      <c r="A189" s="39" t="s">
        <v>654</v>
      </c>
      <c r="B189" s="32" t="s">
        <v>655</v>
      </c>
      <c r="C189" s="33" t="s">
        <v>536</v>
      </c>
    </row>
    <row r="190" spans="1:3" x14ac:dyDescent="0.3">
      <c r="A190" s="39" t="s">
        <v>656</v>
      </c>
      <c r="B190" s="32" t="s">
        <v>541</v>
      </c>
      <c r="C190" s="33" t="s">
        <v>657</v>
      </c>
    </row>
    <row r="191" spans="1:3" x14ac:dyDescent="0.3">
      <c r="A191" s="39" t="s">
        <v>658</v>
      </c>
      <c r="B191" s="32" t="s">
        <v>659</v>
      </c>
      <c r="C191" s="33" t="s">
        <v>660</v>
      </c>
    </row>
    <row r="192" spans="1:3" x14ac:dyDescent="0.3">
      <c r="A192" s="39" t="s">
        <v>661</v>
      </c>
      <c r="B192" s="32" t="s">
        <v>662</v>
      </c>
      <c r="C192" s="33" t="s">
        <v>663</v>
      </c>
    </row>
    <row r="193" spans="1:3" x14ac:dyDescent="0.3">
      <c r="A193" s="39" t="s">
        <v>664</v>
      </c>
      <c r="B193" s="32" t="s">
        <v>665</v>
      </c>
      <c r="C193" s="33" t="s">
        <v>666</v>
      </c>
    </row>
    <row r="194" spans="1:3" x14ac:dyDescent="0.3">
      <c r="A194" s="39" t="s">
        <v>667</v>
      </c>
      <c r="B194" s="32" t="s">
        <v>668</v>
      </c>
      <c r="C194" s="33" t="s">
        <v>669</v>
      </c>
    </row>
    <row r="195" spans="1:3" x14ac:dyDescent="0.3">
      <c r="A195" s="39" t="s">
        <v>670</v>
      </c>
      <c r="B195" s="32" t="s">
        <v>671</v>
      </c>
      <c r="C195" s="33" t="s">
        <v>672</v>
      </c>
    </row>
    <row r="196" spans="1:3" x14ac:dyDescent="0.3">
      <c r="A196" s="39" t="s">
        <v>673</v>
      </c>
      <c r="B196" s="32" t="s">
        <v>674</v>
      </c>
      <c r="C196" s="33" t="s">
        <v>675</v>
      </c>
    </row>
    <row r="197" spans="1:3" x14ac:dyDescent="0.3">
      <c r="A197" s="39" t="s">
        <v>676</v>
      </c>
      <c r="B197" s="32" t="s">
        <v>677</v>
      </c>
      <c r="C197" s="33" t="s">
        <v>678</v>
      </c>
    </row>
    <row r="198" spans="1:3" x14ac:dyDescent="0.3">
      <c r="A198" s="39" t="s">
        <v>679</v>
      </c>
      <c r="B198" s="32" t="s">
        <v>680</v>
      </c>
      <c r="C198" s="33" t="s">
        <v>681</v>
      </c>
    </row>
    <row r="199" spans="1:3" x14ac:dyDescent="0.3">
      <c r="A199" s="39" t="s">
        <v>682</v>
      </c>
      <c r="B199" s="32" t="s">
        <v>683</v>
      </c>
      <c r="C199" s="33" t="s">
        <v>684</v>
      </c>
    </row>
    <row r="200" spans="1:3" x14ac:dyDescent="0.3">
      <c r="A200" s="39" t="s">
        <v>685</v>
      </c>
      <c r="B200" s="32" t="s">
        <v>686</v>
      </c>
      <c r="C200" s="33" t="s">
        <v>687</v>
      </c>
    </row>
    <row r="201" spans="1:3" x14ac:dyDescent="0.3">
      <c r="A201" s="39" t="s">
        <v>688</v>
      </c>
      <c r="B201" s="32" t="s">
        <v>689</v>
      </c>
      <c r="C201" s="33" t="s">
        <v>690</v>
      </c>
    </row>
    <row r="202" spans="1:3" x14ac:dyDescent="0.3">
      <c r="A202" s="39" t="s">
        <v>691</v>
      </c>
      <c r="B202" s="32" t="s">
        <v>550</v>
      </c>
      <c r="C202" s="33" t="s">
        <v>692</v>
      </c>
    </row>
    <row r="203" spans="1:3" x14ac:dyDescent="0.3">
      <c r="A203" s="39" t="s">
        <v>693</v>
      </c>
      <c r="B203" s="32" t="s">
        <v>571</v>
      </c>
      <c r="C203" s="33" t="s">
        <v>694</v>
      </c>
    </row>
    <row r="204" spans="1:3" x14ac:dyDescent="0.3">
      <c r="A204" s="39" t="s">
        <v>695</v>
      </c>
      <c r="B204" s="32" t="s">
        <v>574</v>
      </c>
      <c r="C204" s="33" t="s">
        <v>696</v>
      </c>
    </row>
    <row r="205" spans="1:3" x14ac:dyDescent="0.3">
      <c r="A205" s="39" t="s">
        <v>697</v>
      </c>
      <c r="B205" s="32" t="s">
        <v>698</v>
      </c>
      <c r="C205" s="33" t="s">
        <v>699</v>
      </c>
    </row>
    <row r="206" spans="1:3" x14ac:dyDescent="0.3">
      <c r="A206" s="39" t="s">
        <v>700</v>
      </c>
      <c r="B206" s="32" t="s">
        <v>562</v>
      </c>
      <c r="C206" s="33" t="s">
        <v>701</v>
      </c>
    </row>
    <row r="207" spans="1:3" x14ac:dyDescent="0.3">
      <c r="A207" s="39" t="s">
        <v>702</v>
      </c>
      <c r="B207" s="32" t="s">
        <v>565</v>
      </c>
      <c r="C207" s="33" t="s">
        <v>703</v>
      </c>
    </row>
    <row r="208" spans="1:3" x14ac:dyDescent="0.3">
      <c r="A208" s="39" t="s">
        <v>704</v>
      </c>
      <c r="B208" s="32" t="s">
        <v>568</v>
      </c>
      <c r="C208" s="33" t="s">
        <v>705</v>
      </c>
    </row>
    <row r="209" spans="1:3" x14ac:dyDescent="0.3">
      <c r="A209" s="39" t="s">
        <v>706</v>
      </c>
      <c r="B209" s="32" t="s">
        <v>707</v>
      </c>
      <c r="C209" s="33" t="s">
        <v>708</v>
      </c>
    </row>
    <row r="210" spans="1:3" x14ac:dyDescent="0.3">
      <c r="A210" s="39" t="s">
        <v>709</v>
      </c>
      <c r="B210" s="32" t="s">
        <v>710</v>
      </c>
      <c r="C210" s="33" t="s">
        <v>711</v>
      </c>
    </row>
    <row r="211" spans="1:3" x14ac:dyDescent="0.3">
      <c r="A211" s="39" t="s">
        <v>712</v>
      </c>
      <c r="B211" s="32" t="s">
        <v>529</v>
      </c>
      <c r="C211" s="33" t="s">
        <v>530</v>
      </c>
    </row>
    <row r="212" spans="1:3" x14ac:dyDescent="0.3">
      <c r="A212" s="39" t="s">
        <v>713</v>
      </c>
      <c r="B212" s="32" t="s">
        <v>556</v>
      </c>
      <c r="C212" s="33" t="s">
        <v>714</v>
      </c>
    </row>
    <row r="213" spans="1:3" x14ac:dyDescent="0.3">
      <c r="A213" s="39" t="s">
        <v>715</v>
      </c>
      <c r="B213" s="32" t="s">
        <v>716</v>
      </c>
      <c r="C213" s="33" t="s">
        <v>717</v>
      </c>
    </row>
    <row r="214" spans="1:3" x14ac:dyDescent="0.3">
      <c r="A214" s="39" t="s">
        <v>718</v>
      </c>
      <c r="B214" s="32" t="s">
        <v>719</v>
      </c>
      <c r="C214" s="33" t="s">
        <v>720</v>
      </c>
    </row>
    <row r="215" spans="1:3" x14ac:dyDescent="0.3">
      <c r="A215" s="39" t="s">
        <v>721</v>
      </c>
      <c r="B215" s="32" t="s">
        <v>722</v>
      </c>
      <c r="C215" s="33" t="s">
        <v>723</v>
      </c>
    </row>
    <row r="216" spans="1:3" x14ac:dyDescent="0.3">
      <c r="A216" s="39" t="s">
        <v>724</v>
      </c>
      <c r="B216" s="32" t="s">
        <v>725</v>
      </c>
      <c r="C216" s="33" t="s">
        <v>726</v>
      </c>
    </row>
    <row r="217" spans="1:3" x14ac:dyDescent="0.3">
      <c r="A217" s="39" t="s">
        <v>727</v>
      </c>
      <c r="B217" s="32" t="s">
        <v>728</v>
      </c>
      <c r="C217" s="33" t="s">
        <v>729</v>
      </c>
    </row>
    <row r="218" spans="1:3" x14ac:dyDescent="0.3">
      <c r="A218" s="39" t="s">
        <v>730</v>
      </c>
      <c r="B218" s="32" t="s">
        <v>731</v>
      </c>
      <c r="C218" s="33" t="s">
        <v>732</v>
      </c>
    </row>
    <row r="219" spans="1:3" x14ac:dyDescent="0.3">
      <c r="A219" s="39" t="s">
        <v>733</v>
      </c>
      <c r="B219" s="32" t="s">
        <v>734</v>
      </c>
      <c r="C219" s="33" t="s">
        <v>735</v>
      </c>
    </row>
    <row r="220" spans="1:3" x14ac:dyDescent="0.3">
      <c r="A220" s="39" t="s">
        <v>736</v>
      </c>
      <c r="B220" s="32" t="s">
        <v>737</v>
      </c>
      <c r="C220" s="33" t="s">
        <v>738</v>
      </c>
    </row>
    <row r="221" spans="1:3" x14ac:dyDescent="0.3">
      <c r="A221" s="39" t="s">
        <v>739</v>
      </c>
      <c r="B221" s="32" t="s">
        <v>740</v>
      </c>
      <c r="C221" s="33" t="s">
        <v>741</v>
      </c>
    </row>
    <row r="222" spans="1:3" x14ac:dyDescent="0.3">
      <c r="A222" s="39" t="s">
        <v>742</v>
      </c>
      <c r="B222" s="32" t="s">
        <v>743</v>
      </c>
      <c r="C222" s="33" t="s">
        <v>744</v>
      </c>
    </row>
    <row r="223" spans="1:3" x14ac:dyDescent="0.3">
      <c r="A223" s="39" t="s">
        <v>745</v>
      </c>
      <c r="B223" s="32" t="s">
        <v>177</v>
      </c>
      <c r="C223" s="33" t="s">
        <v>746</v>
      </c>
    </row>
    <row r="224" spans="1:3" x14ac:dyDescent="0.3">
      <c r="A224" s="39" t="s">
        <v>747</v>
      </c>
      <c r="B224" s="32" t="s">
        <v>748</v>
      </c>
      <c r="C224" s="33" t="s">
        <v>749</v>
      </c>
    </row>
    <row r="225" spans="1:3" x14ac:dyDescent="0.3">
      <c r="A225" s="39" t="s">
        <v>750</v>
      </c>
      <c r="B225" s="32" t="s">
        <v>751</v>
      </c>
      <c r="C225" s="33" t="s">
        <v>752</v>
      </c>
    </row>
    <row r="226" spans="1:3" x14ac:dyDescent="0.3">
      <c r="A226" s="39" t="s">
        <v>753</v>
      </c>
      <c r="B226" s="32" t="s">
        <v>719</v>
      </c>
      <c r="C226" s="33" t="s">
        <v>720</v>
      </c>
    </row>
    <row r="227" spans="1:3" x14ac:dyDescent="0.3">
      <c r="A227" s="39" t="s">
        <v>754</v>
      </c>
      <c r="B227" s="32" t="s">
        <v>755</v>
      </c>
      <c r="C227" s="33" t="s">
        <v>756</v>
      </c>
    </row>
    <row r="228" spans="1:3" x14ac:dyDescent="0.3">
      <c r="A228" s="39" t="s">
        <v>757</v>
      </c>
      <c r="B228" s="32" t="s">
        <v>758</v>
      </c>
      <c r="C228" s="33" t="s">
        <v>759</v>
      </c>
    </row>
    <row r="229" spans="1:3" x14ac:dyDescent="0.3">
      <c r="A229" s="39" t="s">
        <v>760</v>
      </c>
      <c r="B229" s="32" t="s">
        <v>761</v>
      </c>
      <c r="C229" s="33" t="s">
        <v>762</v>
      </c>
    </row>
    <row r="230" spans="1:3" x14ac:dyDescent="0.3">
      <c r="A230" s="39" t="s">
        <v>763</v>
      </c>
      <c r="B230" s="32" t="s">
        <v>764</v>
      </c>
      <c r="C230" s="33" t="s">
        <v>765</v>
      </c>
    </row>
    <row r="231" spans="1:3" x14ac:dyDescent="0.3">
      <c r="A231" s="39" t="s">
        <v>766</v>
      </c>
      <c r="B231" s="32" t="s">
        <v>767</v>
      </c>
      <c r="C231" s="33" t="s">
        <v>768</v>
      </c>
    </row>
    <row r="232" spans="1:3" x14ac:dyDescent="0.3">
      <c r="A232" s="39" t="s">
        <v>769</v>
      </c>
      <c r="B232" s="32" t="s">
        <v>770</v>
      </c>
      <c r="C232" s="33" t="s">
        <v>771</v>
      </c>
    </row>
    <row r="233" spans="1:3" x14ac:dyDescent="0.3">
      <c r="A233" s="39" t="s">
        <v>772</v>
      </c>
      <c r="B233" s="32" t="s">
        <v>773</v>
      </c>
      <c r="C233" s="33" t="s">
        <v>774</v>
      </c>
    </row>
    <row r="234" spans="1:3" x14ac:dyDescent="0.3">
      <c r="A234" s="39" t="s">
        <v>775</v>
      </c>
      <c r="B234" s="32" t="s">
        <v>776</v>
      </c>
      <c r="C234" s="33" t="s">
        <v>777</v>
      </c>
    </row>
    <row r="235" spans="1:3" x14ac:dyDescent="0.3">
      <c r="A235" s="39" t="s">
        <v>804</v>
      </c>
      <c r="B235" s="32" t="s">
        <v>805</v>
      </c>
      <c r="C235" s="33" t="s">
        <v>806</v>
      </c>
    </row>
    <row r="236" spans="1:3" x14ac:dyDescent="0.3">
      <c r="A236" s="39" t="s">
        <v>778</v>
      </c>
      <c r="B236" s="32" t="s">
        <v>779</v>
      </c>
      <c r="C236" s="33" t="s">
        <v>780</v>
      </c>
    </row>
    <row r="237" spans="1:3" x14ac:dyDescent="0.3">
      <c r="A237" s="39" t="s">
        <v>781</v>
      </c>
      <c r="B237" s="32" t="s">
        <v>782</v>
      </c>
      <c r="C237" s="33" t="s">
        <v>783</v>
      </c>
    </row>
  </sheetData>
  <mergeCells count="1">
    <mergeCell ref="A1:C2"/>
  </mergeCells>
  <phoneticPr fontId="7" type="noConversion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H12"/>
  <sheetViews>
    <sheetView workbookViewId="0">
      <selection activeCell="B13" sqref="B13"/>
    </sheetView>
  </sheetViews>
  <sheetFormatPr defaultRowHeight="16.5" x14ac:dyDescent="0.3"/>
  <cols>
    <col min="2" max="2" width="16.5" bestFit="1" customWidth="1"/>
  </cols>
  <sheetData>
    <row r="2" spans="1:8" x14ac:dyDescent="0.3">
      <c r="A2" t="s">
        <v>793</v>
      </c>
    </row>
    <row r="3" spans="1:8" x14ac:dyDescent="0.3">
      <c r="A3" s="50" t="s">
        <v>799</v>
      </c>
      <c r="B3" s="50" t="s">
        <v>798</v>
      </c>
    </row>
    <row r="4" spans="1:8" x14ac:dyDescent="0.3">
      <c r="A4" s="25" t="s">
        <v>85</v>
      </c>
      <c r="B4" s="50" t="s">
        <v>795</v>
      </c>
    </row>
    <row r="5" spans="1:8" x14ac:dyDescent="0.3">
      <c r="A5" s="25" t="s">
        <v>86</v>
      </c>
      <c r="B5" s="50" t="s">
        <v>796</v>
      </c>
    </row>
    <row r="6" spans="1:8" x14ac:dyDescent="0.3">
      <c r="A6" s="25" t="s">
        <v>794</v>
      </c>
      <c r="B6" s="50" t="s">
        <v>797</v>
      </c>
    </row>
    <row r="8" spans="1:8" x14ac:dyDescent="0.3">
      <c r="A8" s="51" t="s">
        <v>800</v>
      </c>
    </row>
    <row r="9" spans="1:8" x14ac:dyDescent="0.3">
      <c r="A9" s="50" t="s">
        <v>799</v>
      </c>
      <c r="B9" s="71" t="s">
        <v>798</v>
      </c>
      <c r="C9" s="71"/>
      <c r="D9" s="71"/>
      <c r="E9" s="71"/>
      <c r="F9" s="71"/>
      <c r="G9" s="71"/>
      <c r="H9" s="71"/>
    </row>
    <row r="10" spans="1:8" x14ac:dyDescent="0.3">
      <c r="A10" s="25" t="s">
        <v>85</v>
      </c>
      <c r="B10" s="71" t="s">
        <v>801</v>
      </c>
      <c r="C10" s="71"/>
      <c r="D10" s="71"/>
      <c r="E10" s="71"/>
      <c r="F10" s="71"/>
      <c r="G10" s="71"/>
      <c r="H10" s="71"/>
    </row>
    <row r="11" spans="1:8" x14ac:dyDescent="0.3">
      <c r="A11" s="25" t="s">
        <v>790</v>
      </c>
      <c r="B11" s="71" t="s">
        <v>802</v>
      </c>
      <c r="C11" s="71"/>
      <c r="D11" s="71"/>
      <c r="E11" s="71"/>
      <c r="F11" s="71"/>
      <c r="G11" s="71"/>
      <c r="H11" s="71"/>
    </row>
    <row r="12" spans="1:8" x14ac:dyDescent="0.3">
      <c r="A12" s="25" t="s">
        <v>791</v>
      </c>
      <c r="B12" s="71" t="s">
        <v>803</v>
      </c>
      <c r="C12" s="71"/>
      <c r="D12" s="71"/>
      <c r="E12" s="71"/>
      <c r="F12" s="71"/>
      <c r="G12" s="71"/>
      <c r="H12" s="71"/>
    </row>
  </sheetData>
  <mergeCells count="4">
    <mergeCell ref="B10:H10"/>
    <mergeCell ref="B9:H9"/>
    <mergeCell ref="B11:H11"/>
    <mergeCell ref="B12:H12"/>
  </mergeCells>
  <phoneticPr fontId="2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서식</vt:lpstr>
      <vt:lpstr>작성방법</vt:lpstr>
      <vt:lpstr>작성예시</vt:lpstr>
      <vt:lpstr>국적, 직종, 보험료부과구분코드</vt:lpstr>
      <vt:lpstr>체류자격</vt:lpstr>
      <vt:lpstr>Sheet1</vt:lpstr>
    </vt:vector>
  </TitlesOfParts>
  <Company>intel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Jeonghun Lee</cp:lastModifiedBy>
  <cp:lastPrinted>2024-12-23T01:41:24Z</cp:lastPrinted>
  <dcterms:created xsi:type="dcterms:W3CDTF">2010-12-02T06:37:40Z</dcterms:created>
  <dcterms:modified xsi:type="dcterms:W3CDTF">2026-05-07T05:18:52Z</dcterms:modified>
</cp:coreProperties>
</file>