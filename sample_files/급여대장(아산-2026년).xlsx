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projects\construction-erp\sample_files\"/>
    </mc:Choice>
  </mc:AlternateContent>
  <xr:revisionPtr revIDLastSave="0" documentId="13_ncr:1_{2819AF69-0EE7-4642-A610-D8F705649383}" xr6:coauthVersionLast="47" xr6:coauthVersionMax="47" xr10:uidLastSave="{00000000-0000-0000-0000-000000000000}"/>
  <bookViews>
    <workbookView xWindow="-120" yWindow="-120" windowWidth="29040" windowHeight="15720" tabRatio="790" activeTab="8" xr2:uid="{00000000-000D-0000-FFFF-FFFF00000000}"/>
  </bookViews>
  <sheets>
    <sheet name="결재" sheetId="41" r:id="rId1"/>
    <sheet name="26년01월" sheetId="108" r:id="rId2"/>
    <sheet name="26년02월" sheetId="109" r:id="rId3"/>
    <sheet name="26년03월 " sheetId="110" r:id="rId4"/>
    <sheet name="26년04월" sheetId="111" r:id="rId5"/>
    <sheet name="26년05월" sheetId="112" r:id="rId6"/>
    <sheet name="26년06월" sheetId="113" r:id="rId7"/>
    <sheet name="26년07월" sheetId="114" r:id="rId8"/>
    <sheet name="26년08월" sheetId="115" r:id="rId9"/>
  </sheets>
  <definedNames>
    <definedName name="_xlnm.Print_Area" localSheetId="1">'26년01월'!$A$1:$T$29</definedName>
    <definedName name="_xlnm.Print_Area" localSheetId="2">'26년02월'!$A$1:$W$29</definedName>
    <definedName name="_xlnm.Print_Area" localSheetId="3">'26년03월 '!$A$1:$T$30</definedName>
    <definedName name="_xlnm.Print_Area" localSheetId="4">'26년04월'!$A$1:$T$30</definedName>
    <definedName name="_xlnm.Print_Area" localSheetId="5">'26년05월'!$A$1:$T$31</definedName>
    <definedName name="_xlnm.Print_Area" localSheetId="6">'26년06월'!$A$1:$T$30</definedName>
    <definedName name="_xlnm.Print_Area" localSheetId="7">'26년07월'!$A$1:$T$29</definedName>
    <definedName name="_xlnm.Print_Area" localSheetId="8">'26년08월'!$A$1:$T$28</definedName>
  </definedNames>
  <calcPr calcId="191029"/>
</workbook>
</file>

<file path=xl/calcChain.xml><?xml version="1.0" encoding="utf-8"?>
<calcChain xmlns="http://schemas.openxmlformats.org/spreadsheetml/2006/main">
  <c r="M21" i="115" l="1"/>
  <c r="M23" i="115"/>
  <c r="M25" i="115"/>
  <c r="N22" i="115"/>
  <c r="O22" i="115"/>
  <c r="P22" i="115"/>
  <c r="Q22" i="115"/>
  <c r="R22" i="115"/>
  <c r="S22" i="115"/>
  <c r="M22" i="115"/>
  <c r="N21" i="115"/>
  <c r="O21" i="115"/>
  <c r="P21" i="115"/>
  <c r="Q21" i="115"/>
  <c r="R21" i="115"/>
  <c r="S21" i="115"/>
  <c r="L17" i="115"/>
  <c r="M17" i="115"/>
  <c r="N17" i="115"/>
  <c r="P17" i="115" s="1"/>
  <c r="O17" i="115"/>
  <c r="A9" i="115"/>
  <c r="Q23" i="115"/>
  <c r="Q19" i="115"/>
  <c r="K19" i="115"/>
  <c r="J19" i="115"/>
  <c r="I19" i="115"/>
  <c r="H19" i="115"/>
  <c r="R18" i="115"/>
  <c r="N18" i="115"/>
  <c r="L18" i="115"/>
  <c r="R16" i="115"/>
  <c r="O16" i="115"/>
  <c r="N16" i="115"/>
  <c r="P16" i="115" s="1"/>
  <c r="M16" i="115"/>
  <c r="L16" i="115"/>
  <c r="R15" i="115"/>
  <c r="O15" i="115"/>
  <c r="N15" i="115"/>
  <c r="P15" i="115" s="1"/>
  <c r="M15" i="115"/>
  <c r="L15" i="115"/>
  <c r="R14" i="115"/>
  <c r="O14" i="115"/>
  <c r="N14" i="115"/>
  <c r="P14" i="115" s="1"/>
  <c r="M14" i="115"/>
  <c r="L14" i="115"/>
  <c r="R13" i="115"/>
  <c r="O13" i="115"/>
  <c r="N13" i="115"/>
  <c r="L13" i="115"/>
  <c r="R12" i="115"/>
  <c r="O12" i="115"/>
  <c r="N12" i="115"/>
  <c r="P12" i="115" s="1"/>
  <c r="M12" i="115"/>
  <c r="L12" i="115"/>
  <c r="R11" i="115"/>
  <c r="R23" i="115" s="1"/>
  <c r="O11" i="115"/>
  <c r="O23" i="115" s="1"/>
  <c r="N11" i="115"/>
  <c r="P11" i="115" s="1"/>
  <c r="P23" i="115" s="1"/>
  <c r="M11" i="115"/>
  <c r="L11" i="115"/>
  <c r="R10" i="115"/>
  <c r="O10" i="115"/>
  <c r="N10" i="115"/>
  <c r="P10" i="115" s="1"/>
  <c r="M10" i="115"/>
  <c r="L10" i="115"/>
  <c r="R9" i="115"/>
  <c r="O9" i="115"/>
  <c r="N9" i="115"/>
  <c r="P9" i="115" s="1"/>
  <c r="M9" i="115"/>
  <c r="L9" i="115"/>
  <c r="R8" i="115"/>
  <c r="O8" i="115"/>
  <c r="N8" i="115"/>
  <c r="L8" i="115"/>
  <c r="A8" i="115"/>
  <c r="R7" i="115"/>
  <c r="N7" i="115"/>
  <c r="L7" i="115"/>
  <c r="G26" i="114"/>
  <c r="M23" i="114"/>
  <c r="O23" i="114"/>
  <c r="P23" i="114"/>
  <c r="Q23" i="114"/>
  <c r="R23" i="114"/>
  <c r="S23" i="114"/>
  <c r="M22" i="114"/>
  <c r="O22" i="114"/>
  <c r="P22" i="114"/>
  <c r="Q22" i="114"/>
  <c r="R22" i="114"/>
  <c r="S22" i="114"/>
  <c r="N22" i="114"/>
  <c r="N23" i="114"/>
  <c r="Q24" i="114"/>
  <c r="Q26" i="114"/>
  <c r="Q20" i="114"/>
  <c r="K20" i="114"/>
  <c r="J20" i="114"/>
  <c r="I20" i="114"/>
  <c r="H20" i="114"/>
  <c r="R19" i="114"/>
  <c r="N19" i="114"/>
  <c r="L19" i="114"/>
  <c r="R18" i="114"/>
  <c r="O18" i="114"/>
  <c r="N18" i="114"/>
  <c r="P18" i="114" s="1"/>
  <c r="M18" i="114"/>
  <c r="L18" i="114"/>
  <c r="R17" i="114"/>
  <c r="O17" i="114"/>
  <c r="N17" i="114"/>
  <c r="P17" i="114" s="1"/>
  <c r="M17" i="114"/>
  <c r="L17" i="114"/>
  <c r="R16" i="114"/>
  <c r="O16" i="114"/>
  <c r="N16" i="114"/>
  <c r="L16" i="114"/>
  <c r="R15" i="114"/>
  <c r="P15" i="114"/>
  <c r="O15" i="114"/>
  <c r="N15" i="114"/>
  <c r="M15" i="114"/>
  <c r="L15" i="114"/>
  <c r="R14" i="114"/>
  <c r="P14" i="114"/>
  <c r="O14" i="114"/>
  <c r="N14" i="114"/>
  <c r="L14" i="114"/>
  <c r="R13" i="114"/>
  <c r="O13" i="114"/>
  <c r="N13" i="114"/>
  <c r="P13" i="114" s="1"/>
  <c r="M13" i="114"/>
  <c r="L13" i="114"/>
  <c r="R12" i="114"/>
  <c r="R24" i="114" s="1"/>
  <c r="O12" i="114"/>
  <c r="O24" i="114" s="1"/>
  <c r="N12" i="114"/>
  <c r="P12" i="114" s="1"/>
  <c r="P24" i="114" s="1"/>
  <c r="M12" i="114"/>
  <c r="M24" i="114" s="1"/>
  <c r="L12" i="114"/>
  <c r="R11" i="114"/>
  <c r="O11" i="114"/>
  <c r="N11" i="114"/>
  <c r="P11" i="114" s="1"/>
  <c r="M11" i="114"/>
  <c r="L11" i="114"/>
  <c r="O10" i="114"/>
  <c r="N10" i="114"/>
  <c r="P10" i="114" s="1"/>
  <c r="M10" i="114"/>
  <c r="L10" i="114"/>
  <c r="R9" i="114"/>
  <c r="O9" i="114"/>
  <c r="N9" i="114"/>
  <c r="P9" i="114" s="1"/>
  <c r="M9" i="114"/>
  <c r="L9" i="114"/>
  <c r="R8" i="114"/>
  <c r="O8" i="114"/>
  <c r="O26" i="114" s="1"/>
  <c r="N8" i="114"/>
  <c r="P8" i="114" s="1"/>
  <c r="L8" i="114"/>
  <c r="A8" i="114"/>
  <c r="A9" i="114" s="1"/>
  <c r="R7" i="114"/>
  <c r="N7" i="114"/>
  <c r="P7" i="114" s="1"/>
  <c r="L7" i="114"/>
  <c r="N9" i="113"/>
  <c r="N24" i="113" s="1"/>
  <c r="R20" i="113"/>
  <c r="I21" i="113"/>
  <c r="J21" i="113"/>
  <c r="K21" i="113"/>
  <c r="Q21" i="113"/>
  <c r="H21" i="113"/>
  <c r="N20" i="113"/>
  <c r="P20" i="113" s="1"/>
  <c r="L20" i="113"/>
  <c r="Q26" i="113"/>
  <c r="Q25" i="113"/>
  <c r="Q24" i="113"/>
  <c r="Q23" i="113"/>
  <c r="M23" i="113"/>
  <c r="R19" i="113"/>
  <c r="O19" i="113"/>
  <c r="O26" i="113" s="1"/>
  <c r="N19" i="113"/>
  <c r="P19" i="113" s="1"/>
  <c r="M19" i="113"/>
  <c r="L19" i="113"/>
  <c r="R18" i="113"/>
  <c r="O18" i="113"/>
  <c r="N18" i="113"/>
  <c r="P18" i="113" s="1"/>
  <c r="S18" i="113" s="1"/>
  <c r="T18" i="113" s="1"/>
  <c r="M18" i="113"/>
  <c r="L18" i="113"/>
  <c r="R17" i="113"/>
  <c r="O17" i="113"/>
  <c r="N17" i="113"/>
  <c r="P17" i="113" s="1"/>
  <c r="M17" i="113"/>
  <c r="L17" i="113"/>
  <c r="R16" i="113"/>
  <c r="O16" i="113"/>
  <c r="N16" i="113"/>
  <c r="P16" i="113" s="1"/>
  <c r="L16" i="113"/>
  <c r="R15" i="113"/>
  <c r="O15" i="113"/>
  <c r="N15" i="113"/>
  <c r="P15" i="113" s="1"/>
  <c r="S15" i="113" s="1"/>
  <c r="T15" i="113" s="1"/>
  <c r="M15" i="113"/>
  <c r="L15" i="113"/>
  <c r="R14" i="113"/>
  <c r="P14" i="113"/>
  <c r="O14" i="113"/>
  <c r="N14" i="113"/>
  <c r="L14" i="113"/>
  <c r="R13" i="113"/>
  <c r="O13" i="113"/>
  <c r="N13" i="113"/>
  <c r="P13" i="113" s="1"/>
  <c r="M13" i="113"/>
  <c r="L13" i="113"/>
  <c r="R12" i="113"/>
  <c r="R25" i="113" s="1"/>
  <c r="O12" i="113"/>
  <c r="O25" i="113" s="1"/>
  <c r="N12" i="113"/>
  <c r="N25" i="113" s="1"/>
  <c r="M12" i="113"/>
  <c r="M25" i="113" s="1"/>
  <c r="L12" i="113"/>
  <c r="R11" i="113"/>
  <c r="O11" i="113"/>
  <c r="N11" i="113"/>
  <c r="P11" i="113" s="1"/>
  <c r="M11" i="113"/>
  <c r="L11" i="113"/>
  <c r="L21" i="113" s="1"/>
  <c r="R10" i="113"/>
  <c r="P10" i="113"/>
  <c r="O10" i="113"/>
  <c r="N10" i="113"/>
  <c r="M10" i="113"/>
  <c r="L10" i="113"/>
  <c r="R9" i="113"/>
  <c r="O9" i="113"/>
  <c r="M9" i="113"/>
  <c r="L9" i="113"/>
  <c r="R8" i="113"/>
  <c r="O8" i="113"/>
  <c r="N8" i="113"/>
  <c r="P8" i="113" s="1"/>
  <c r="S8" i="113" s="1"/>
  <c r="T8" i="113" s="1"/>
  <c r="L8" i="113"/>
  <c r="A8" i="113"/>
  <c r="A9" i="113" s="1"/>
  <c r="R7" i="113"/>
  <c r="N7" i="113"/>
  <c r="P7" i="113" s="1"/>
  <c r="L7" i="113"/>
  <c r="Q27" i="112"/>
  <c r="Q26" i="112"/>
  <c r="Q25" i="112"/>
  <c r="Q24" i="112"/>
  <c r="Q22" i="112"/>
  <c r="K22" i="112"/>
  <c r="J22" i="112"/>
  <c r="I22" i="112"/>
  <c r="H22" i="112"/>
  <c r="R20" i="112"/>
  <c r="O20" i="112"/>
  <c r="N20" i="112"/>
  <c r="P20" i="112" s="1"/>
  <c r="M20" i="112"/>
  <c r="L20" i="112"/>
  <c r="R19" i="112"/>
  <c r="O19" i="112"/>
  <c r="N19" i="112"/>
  <c r="P19" i="112" s="1"/>
  <c r="M19" i="112"/>
  <c r="L19" i="112"/>
  <c r="R18" i="112"/>
  <c r="O18" i="112"/>
  <c r="N18" i="112"/>
  <c r="P18" i="112" s="1"/>
  <c r="M18" i="112"/>
  <c r="S18" i="112" s="1"/>
  <c r="L18" i="112"/>
  <c r="R17" i="112"/>
  <c r="O17" i="112"/>
  <c r="N17" i="112"/>
  <c r="L17" i="112"/>
  <c r="R16" i="112"/>
  <c r="O16" i="112"/>
  <c r="N16" i="112"/>
  <c r="P16" i="112" s="1"/>
  <c r="M16" i="112"/>
  <c r="L16" i="112"/>
  <c r="R15" i="112"/>
  <c r="O15" i="112"/>
  <c r="N15" i="112"/>
  <c r="P15" i="112" s="1"/>
  <c r="M15" i="112"/>
  <c r="L15" i="112"/>
  <c r="R14" i="112"/>
  <c r="O14" i="112"/>
  <c r="N14" i="112"/>
  <c r="L14" i="112"/>
  <c r="R13" i="112"/>
  <c r="O13" i="112"/>
  <c r="N13" i="112"/>
  <c r="P13" i="112" s="1"/>
  <c r="M13" i="112"/>
  <c r="L13" i="112"/>
  <c r="R12" i="112"/>
  <c r="R26" i="112" s="1"/>
  <c r="O12" i="112"/>
  <c r="O26" i="112" s="1"/>
  <c r="N12" i="112"/>
  <c r="N26" i="112" s="1"/>
  <c r="M12" i="112"/>
  <c r="M26" i="112" s="1"/>
  <c r="L12" i="112"/>
  <c r="R11" i="112"/>
  <c r="O11" i="112"/>
  <c r="N11" i="112"/>
  <c r="P11" i="112" s="1"/>
  <c r="M11" i="112"/>
  <c r="S11" i="112" s="1"/>
  <c r="L11" i="112"/>
  <c r="R10" i="112"/>
  <c r="O10" i="112"/>
  <c r="N10" i="112"/>
  <c r="P10" i="112" s="1"/>
  <c r="M10" i="112"/>
  <c r="M24" i="112" s="1"/>
  <c r="L10" i="112"/>
  <c r="R9" i="112"/>
  <c r="O9" i="112"/>
  <c r="N9" i="112"/>
  <c r="M9" i="112"/>
  <c r="L9" i="112"/>
  <c r="R8" i="112"/>
  <c r="O8" i="112"/>
  <c r="O24" i="112" s="1"/>
  <c r="N8" i="112"/>
  <c r="L8" i="112"/>
  <c r="A8" i="112"/>
  <c r="A9" i="112" s="1"/>
  <c r="R7" i="112"/>
  <c r="N7" i="112"/>
  <c r="L7" i="112"/>
  <c r="Q26" i="111"/>
  <c r="Q25" i="111"/>
  <c r="Q24" i="111"/>
  <c r="R23" i="111"/>
  <c r="Q23" i="111"/>
  <c r="Q27" i="111" s="1"/>
  <c r="R21" i="111"/>
  <c r="Q21" i="111"/>
  <c r="K21" i="111"/>
  <c r="J21" i="111"/>
  <c r="I21" i="111"/>
  <c r="H21" i="111"/>
  <c r="R20" i="111"/>
  <c r="R26" i="111" s="1"/>
  <c r="O20" i="111"/>
  <c r="O26" i="111" s="1"/>
  <c r="N20" i="111"/>
  <c r="P20" i="111" s="1"/>
  <c r="P26" i="111" s="1"/>
  <c r="M20" i="111"/>
  <c r="L20" i="111"/>
  <c r="R19" i="111"/>
  <c r="O19" i="111"/>
  <c r="N19" i="111"/>
  <c r="P19" i="111" s="1"/>
  <c r="M19" i="111"/>
  <c r="S19" i="111" s="1"/>
  <c r="L19" i="111"/>
  <c r="R18" i="111"/>
  <c r="O18" i="111"/>
  <c r="N18" i="111"/>
  <c r="P18" i="111" s="1"/>
  <c r="M18" i="111"/>
  <c r="S18" i="111" s="1"/>
  <c r="L18" i="111"/>
  <c r="R17" i="111"/>
  <c r="O17" i="111"/>
  <c r="N17" i="111"/>
  <c r="L17" i="111"/>
  <c r="S16" i="111"/>
  <c r="R16" i="111"/>
  <c r="P16" i="111"/>
  <c r="O16" i="111"/>
  <c r="N16" i="111"/>
  <c r="M16" i="111"/>
  <c r="M26" i="111" s="1"/>
  <c r="L16" i="111"/>
  <c r="T16" i="111" s="1"/>
  <c r="R15" i="111"/>
  <c r="O15" i="111"/>
  <c r="N15" i="111"/>
  <c r="P15" i="111" s="1"/>
  <c r="M15" i="111"/>
  <c r="L15" i="111"/>
  <c r="R14" i="111"/>
  <c r="P14" i="111"/>
  <c r="O14" i="111"/>
  <c r="N14" i="111"/>
  <c r="S14" i="111" s="1"/>
  <c r="L14" i="111"/>
  <c r="T14" i="111" s="1"/>
  <c r="R13" i="111"/>
  <c r="O13" i="111"/>
  <c r="N13" i="111"/>
  <c r="P13" i="111" s="1"/>
  <c r="M13" i="111"/>
  <c r="S13" i="111" s="1"/>
  <c r="L13" i="111"/>
  <c r="R12" i="111"/>
  <c r="R25" i="111" s="1"/>
  <c r="O12" i="111"/>
  <c r="O25" i="111" s="1"/>
  <c r="N12" i="111"/>
  <c r="P12" i="111" s="1"/>
  <c r="P25" i="111" s="1"/>
  <c r="M12" i="111"/>
  <c r="S12" i="111" s="1"/>
  <c r="S25" i="111" s="1"/>
  <c r="L12" i="111"/>
  <c r="R11" i="111"/>
  <c r="O11" i="111"/>
  <c r="N11" i="111"/>
  <c r="P11" i="111" s="1"/>
  <c r="M11" i="111"/>
  <c r="S11" i="111" s="1"/>
  <c r="L11" i="111"/>
  <c r="R10" i="111"/>
  <c r="O10" i="111"/>
  <c r="N10" i="111"/>
  <c r="P10" i="111" s="1"/>
  <c r="M10" i="111"/>
  <c r="S10" i="111" s="1"/>
  <c r="L10" i="111"/>
  <c r="T10" i="111" s="1"/>
  <c r="R9" i="111"/>
  <c r="R24" i="111" s="1"/>
  <c r="O9" i="111"/>
  <c r="O24" i="111" s="1"/>
  <c r="N9" i="111"/>
  <c r="P9" i="111" s="1"/>
  <c r="M9" i="111"/>
  <c r="S9" i="111" s="1"/>
  <c r="L9" i="111"/>
  <c r="T9" i="111" s="1"/>
  <c r="R8" i="111"/>
  <c r="P8" i="111"/>
  <c r="O8" i="111"/>
  <c r="N8" i="111"/>
  <c r="S8" i="111" s="1"/>
  <c r="L8" i="111"/>
  <c r="T8" i="111" s="1"/>
  <c r="A8" i="111"/>
  <c r="A9" i="111" s="1"/>
  <c r="R7" i="111"/>
  <c r="P7" i="111"/>
  <c r="N7" i="111"/>
  <c r="S7" i="111" s="1"/>
  <c r="L7" i="111"/>
  <c r="T7" i="111" s="1"/>
  <c r="Q26" i="110"/>
  <c r="Q25" i="110"/>
  <c r="Q24" i="110"/>
  <c r="Q23" i="110"/>
  <c r="Q21" i="110"/>
  <c r="K21" i="110"/>
  <c r="J21" i="110"/>
  <c r="I21" i="110"/>
  <c r="H21" i="110"/>
  <c r="R20" i="110"/>
  <c r="O20" i="110"/>
  <c r="N20" i="110"/>
  <c r="P20" i="110" s="1"/>
  <c r="M20" i="110"/>
  <c r="L20" i="110"/>
  <c r="R19" i="110"/>
  <c r="O19" i="110"/>
  <c r="N19" i="110"/>
  <c r="P19" i="110" s="1"/>
  <c r="M19" i="110"/>
  <c r="L19" i="110"/>
  <c r="R18" i="110"/>
  <c r="P18" i="110"/>
  <c r="O18" i="110"/>
  <c r="N18" i="110"/>
  <c r="M18" i="110"/>
  <c r="L18" i="110"/>
  <c r="R17" i="110"/>
  <c r="O17" i="110"/>
  <c r="N17" i="110"/>
  <c r="L17" i="110"/>
  <c r="R16" i="110"/>
  <c r="O16" i="110"/>
  <c r="N16" i="110"/>
  <c r="P16" i="110" s="1"/>
  <c r="M16" i="110"/>
  <c r="L16" i="110"/>
  <c r="R15" i="110"/>
  <c r="O15" i="110"/>
  <c r="N15" i="110"/>
  <c r="M15" i="110"/>
  <c r="L15" i="110"/>
  <c r="R14" i="110"/>
  <c r="O14" i="110"/>
  <c r="N14" i="110"/>
  <c r="L14" i="110"/>
  <c r="R13" i="110"/>
  <c r="O13" i="110"/>
  <c r="N13" i="110"/>
  <c r="M13" i="110"/>
  <c r="L13" i="110"/>
  <c r="R12" i="110"/>
  <c r="R25" i="110" s="1"/>
  <c r="O12" i="110"/>
  <c r="O25" i="110" s="1"/>
  <c r="N12" i="110"/>
  <c r="N25" i="110" s="1"/>
  <c r="M12" i="110"/>
  <c r="M25" i="110" s="1"/>
  <c r="L12" i="110"/>
  <c r="R11" i="110"/>
  <c r="O11" i="110"/>
  <c r="N11" i="110"/>
  <c r="P11" i="110" s="1"/>
  <c r="S11" i="110" s="1"/>
  <c r="M11" i="110"/>
  <c r="L11" i="110"/>
  <c r="R10" i="110"/>
  <c r="O10" i="110"/>
  <c r="N10" i="110"/>
  <c r="P10" i="110" s="1"/>
  <c r="S10" i="110" s="1"/>
  <c r="T10" i="110" s="1"/>
  <c r="M10" i="110"/>
  <c r="L10" i="110"/>
  <c r="R9" i="110"/>
  <c r="O9" i="110"/>
  <c r="N9" i="110"/>
  <c r="M9" i="110"/>
  <c r="L9" i="110"/>
  <c r="R8" i="110"/>
  <c r="O8" i="110"/>
  <c r="N8" i="110"/>
  <c r="L8" i="110"/>
  <c r="A8" i="110"/>
  <c r="A9" i="110" s="1"/>
  <c r="R7" i="110"/>
  <c r="N7" i="110"/>
  <c r="L7" i="110"/>
  <c r="V21" i="109"/>
  <c r="U21" i="109"/>
  <c r="W18" i="109"/>
  <c r="W19" i="109"/>
  <c r="W20" i="109"/>
  <c r="W17" i="109"/>
  <c r="W16" i="109"/>
  <c r="W15" i="109"/>
  <c r="W14" i="109"/>
  <c r="W13" i="109"/>
  <c r="W12" i="109"/>
  <c r="W11" i="109"/>
  <c r="W10" i="109"/>
  <c r="W9" i="109"/>
  <c r="W8" i="109"/>
  <c r="W7" i="109"/>
  <c r="S16" i="115" l="1"/>
  <c r="T16" i="115" s="1"/>
  <c r="S12" i="115"/>
  <c r="Q25" i="115"/>
  <c r="S14" i="115"/>
  <c r="T14" i="115" s="1"/>
  <c r="M19" i="115"/>
  <c r="L19" i="115"/>
  <c r="S10" i="115"/>
  <c r="T10" i="115" s="1"/>
  <c r="P13" i="115"/>
  <c r="S13" i="115" s="1"/>
  <c r="T13" i="115" s="1"/>
  <c r="S11" i="115"/>
  <c r="S23" i="115" s="1"/>
  <c r="S15" i="115"/>
  <c r="T15" i="115" s="1"/>
  <c r="T12" i="115"/>
  <c r="S9" i="115"/>
  <c r="P18" i="115"/>
  <c r="S18" i="115" s="1"/>
  <c r="T18" i="115" s="1"/>
  <c r="N23" i="115"/>
  <c r="N19" i="115"/>
  <c r="O19" i="115"/>
  <c r="P7" i="115"/>
  <c r="S7" i="115" s="1"/>
  <c r="P8" i="115"/>
  <c r="S8" i="115" s="1"/>
  <c r="T8" i="115" s="1"/>
  <c r="R19" i="115"/>
  <c r="M26" i="114"/>
  <c r="H26" i="114" s="1"/>
  <c r="R26" i="114"/>
  <c r="M20" i="114"/>
  <c r="S14" i="114"/>
  <c r="S18" i="114"/>
  <c r="T18" i="114" s="1"/>
  <c r="L20" i="114"/>
  <c r="S15" i="114"/>
  <c r="T15" i="114" s="1"/>
  <c r="S11" i="114"/>
  <c r="T11" i="114" s="1"/>
  <c r="S13" i="114"/>
  <c r="T13" i="114" s="1"/>
  <c r="P26" i="114"/>
  <c r="T14" i="114"/>
  <c r="S17" i="114"/>
  <c r="T17" i="114" s="1"/>
  <c r="T7" i="114"/>
  <c r="S9" i="114"/>
  <c r="S10" i="114"/>
  <c r="T10" i="114" s="1"/>
  <c r="S12" i="114"/>
  <c r="R20" i="114"/>
  <c r="S7" i="114"/>
  <c r="S8" i="114"/>
  <c r="T8" i="114" s="1"/>
  <c r="P19" i="114"/>
  <c r="S19" i="114" s="1"/>
  <c r="T19" i="114" s="1"/>
  <c r="N24" i="114"/>
  <c r="P16" i="114"/>
  <c r="S16" i="114" s="1"/>
  <c r="T16" i="114" s="1"/>
  <c r="N20" i="114"/>
  <c r="N26" i="114"/>
  <c r="O20" i="114"/>
  <c r="O21" i="113"/>
  <c r="M21" i="113"/>
  <c r="S7" i="113"/>
  <c r="S16" i="113"/>
  <c r="T16" i="113" s="1"/>
  <c r="S13" i="113"/>
  <c r="T13" i="113" s="1"/>
  <c r="R26" i="113"/>
  <c r="N21" i="113"/>
  <c r="R24" i="113"/>
  <c r="N23" i="113"/>
  <c r="P12" i="113"/>
  <c r="P25" i="113" s="1"/>
  <c r="S20" i="113"/>
  <c r="T20" i="113" s="1"/>
  <c r="P9" i="113"/>
  <c r="P21" i="113" s="1"/>
  <c r="S11" i="113"/>
  <c r="T11" i="113" s="1"/>
  <c r="S17" i="113"/>
  <c r="T17" i="113" s="1"/>
  <c r="M26" i="113"/>
  <c r="M24" i="113"/>
  <c r="S10" i="113"/>
  <c r="T10" i="113" s="1"/>
  <c r="S14" i="113"/>
  <c r="T14" i="113" s="1"/>
  <c r="Q27" i="113"/>
  <c r="R21" i="113"/>
  <c r="S23" i="113"/>
  <c r="T7" i="113"/>
  <c r="M27" i="113"/>
  <c r="H27" i="113" s="1"/>
  <c r="N27" i="113"/>
  <c r="P24" i="113"/>
  <c r="S19" i="113"/>
  <c r="P26" i="113"/>
  <c r="O24" i="113"/>
  <c r="O23" i="113"/>
  <c r="O27" i="113" s="1"/>
  <c r="S12" i="113"/>
  <c r="P23" i="113"/>
  <c r="P27" i="113" s="1"/>
  <c r="R23" i="113"/>
  <c r="R27" i="113" s="1"/>
  <c r="N26" i="113"/>
  <c r="S13" i="112"/>
  <c r="M22" i="112"/>
  <c r="P12" i="112"/>
  <c r="P26" i="112" s="1"/>
  <c r="Q28" i="112"/>
  <c r="O28" i="112"/>
  <c r="T11" i="112"/>
  <c r="L22" i="112"/>
  <c r="R24" i="112"/>
  <c r="O27" i="112"/>
  <c r="O25" i="112"/>
  <c r="S12" i="112"/>
  <c r="S26" i="112" s="1"/>
  <c r="R27" i="112"/>
  <c r="N25" i="112"/>
  <c r="P9" i="112"/>
  <c r="S9" i="112" s="1"/>
  <c r="T9" i="112" s="1"/>
  <c r="T13" i="112"/>
  <c r="R25" i="112"/>
  <c r="S10" i="112"/>
  <c r="T10" i="112" s="1"/>
  <c r="S15" i="112"/>
  <c r="T15" i="112" s="1"/>
  <c r="S20" i="112"/>
  <c r="P27" i="112"/>
  <c r="S19" i="112"/>
  <c r="T19" i="112" s="1"/>
  <c r="S16" i="112"/>
  <c r="T16" i="112" s="1"/>
  <c r="T18" i="112"/>
  <c r="R22" i="112"/>
  <c r="M27" i="112"/>
  <c r="N27" i="112"/>
  <c r="P17" i="112"/>
  <c r="P25" i="112" s="1"/>
  <c r="M25" i="112"/>
  <c r="P7" i="112"/>
  <c r="S7" i="112" s="1"/>
  <c r="P8" i="112"/>
  <c r="S8" i="112" s="1"/>
  <c r="T8" i="112" s="1"/>
  <c r="P14" i="112"/>
  <c r="S14" i="112" s="1"/>
  <c r="T14" i="112" s="1"/>
  <c r="N22" i="112"/>
  <c r="N24" i="112"/>
  <c r="O22" i="112"/>
  <c r="S15" i="111"/>
  <c r="T15" i="111" s="1"/>
  <c r="P23" i="111"/>
  <c r="O23" i="111"/>
  <c r="O27" i="111" s="1"/>
  <c r="P24" i="111"/>
  <c r="T11" i="111"/>
  <c r="S20" i="111"/>
  <c r="S26" i="111" s="1"/>
  <c r="T13" i="111"/>
  <c r="S17" i="111"/>
  <c r="T17" i="111" s="1"/>
  <c r="T19" i="111"/>
  <c r="R27" i="111"/>
  <c r="T12" i="111"/>
  <c r="T18" i="111"/>
  <c r="M25" i="111"/>
  <c r="N26" i="111"/>
  <c r="P17" i="111"/>
  <c r="P21" i="111" s="1"/>
  <c r="L21" i="111"/>
  <c r="M24" i="111"/>
  <c r="N25" i="111"/>
  <c r="M21" i="111"/>
  <c r="M23" i="111"/>
  <c r="N24" i="111"/>
  <c r="N21" i="111"/>
  <c r="N23" i="111"/>
  <c r="O21" i="111"/>
  <c r="O23" i="110"/>
  <c r="S18" i="110"/>
  <c r="T18" i="110" s="1"/>
  <c r="R21" i="110"/>
  <c r="N24" i="110"/>
  <c r="P9" i="110"/>
  <c r="S9" i="110" s="1"/>
  <c r="T9" i="110" s="1"/>
  <c r="P12" i="110"/>
  <c r="P25" i="110" s="1"/>
  <c r="M26" i="110"/>
  <c r="R24" i="110"/>
  <c r="T11" i="110"/>
  <c r="P26" i="110"/>
  <c r="Q27" i="110"/>
  <c r="P13" i="110"/>
  <c r="S13" i="110" s="1"/>
  <c r="T13" i="110" s="1"/>
  <c r="S19" i="110"/>
  <c r="T19" i="110" s="1"/>
  <c r="O26" i="110"/>
  <c r="O27" i="110" s="1"/>
  <c r="O24" i="110"/>
  <c r="L21" i="110"/>
  <c r="M23" i="110"/>
  <c r="P14" i="110"/>
  <c r="S14" i="110" s="1"/>
  <c r="T14" i="110" s="1"/>
  <c r="R26" i="110"/>
  <c r="S15" i="110"/>
  <c r="T15" i="110" s="1"/>
  <c r="S16" i="110"/>
  <c r="T16" i="110" s="1"/>
  <c r="S20" i="110"/>
  <c r="M21" i="110"/>
  <c r="R23" i="110"/>
  <c r="R27" i="110" s="1"/>
  <c r="N21" i="110"/>
  <c r="N26" i="110"/>
  <c r="O21" i="110"/>
  <c r="M24" i="110"/>
  <c r="P7" i="110"/>
  <c r="S7" i="110" s="1"/>
  <c r="S12" i="110"/>
  <c r="S25" i="110" s="1"/>
  <c r="P15" i="110"/>
  <c r="P8" i="110"/>
  <c r="S8" i="110" s="1"/>
  <c r="T8" i="110" s="1"/>
  <c r="P17" i="110"/>
  <c r="P24" i="110" s="1"/>
  <c r="N23" i="110"/>
  <c r="W21" i="109"/>
  <c r="R25" i="115" l="1"/>
  <c r="N25" i="115"/>
  <c r="O25" i="115"/>
  <c r="T9" i="115"/>
  <c r="S25" i="115"/>
  <c r="S19" i="115"/>
  <c r="T7" i="115"/>
  <c r="H25" i="115"/>
  <c r="P25" i="115"/>
  <c r="P19" i="115"/>
  <c r="T11" i="115"/>
  <c r="P20" i="114"/>
  <c r="S24" i="114"/>
  <c r="T12" i="114"/>
  <c r="T9" i="114"/>
  <c r="T20" i="114" s="1"/>
  <c r="S26" i="114"/>
  <c r="S20" i="114"/>
  <c r="S9" i="113"/>
  <c r="G27" i="113"/>
  <c r="T12" i="113"/>
  <c r="S25" i="113"/>
  <c r="S26" i="113"/>
  <c r="S27" i="113" s="1"/>
  <c r="T19" i="113"/>
  <c r="S17" i="112"/>
  <c r="T17" i="112" s="1"/>
  <c r="T12" i="112"/>
  <c r="R28" i="112"/>
  <c r="M28" i="112"/>
  <c r="H28" i="112" s="1"/>
  <c r="S22" i="112"/>
  <c r="S24" i="112"/>
  <c r="T7" i="112"/>
  <c r="P24" i="112"/>
  <c r="P28" i="112" s="1"/>
  <c r="P22" i="112"/>
  <c r="S27" i="112"/>
  <c r="S25" i="112"/>
  <c r="N28" i="112"/>
  <c r="T20" i="112"/>
  <c r="P27" i="111"/>
  <c r="S21" i="111"/>
  <c r="S23" i="111"/>
  <c r="T21" i="111"/>
  <c r="M27" i="111"/>
  <c r="H27" i="111" s="1"/>
  <c r="S24" i="111"/>
  <c r="N27" i="111"/>
  <c r="G27" i="111" s="1"/>
  <c r="T20" i="111"/>
  <c r="N27" i="110"/>
  <c r="M27" i="110"/>
  <c r="H27" i="110" s="1"/>
  <c r="S26" i="110"/>
  <c r="T20" i="110"/>
  <c r="S17" i="110"/>
  <c r="P23" i="110"/>
  <c r="P27" i="110" s="1"/>
  <c r="G27" i="110" s="1"/>
  <c r="P21" i="110"/>
  <c r="S21" i="110"/>
  <c r="S23" i="110"/>
  <c r="T7" i="110"/>
  <c r="T12" i="110"/>
  <c r="Q26" i="109"/>
  <c r="Q25" i="109"/>
  <c r="Q24" i="109"/>
  <c r="O24" i="109"/>
  <c r="Q23" i="109"/>
  <c r="Q27" i="109" s="1"/>
  <c r="Q21" i="109"/>
  <c r="K21" i="109"/>
  <c r="J21" i="109"/>
  <c r="I21" i="109"/>
  <c r="H21" i="109"/>
  <c r="R20" i="109"/>
  <c r="R26" i="109" s="1"/>
  <c r="O20" i="109"/>
  <c r="O26" i="109" s="1"/>
  <c r="N20" i="109"/>
  <c r="M20" i="109"/>
  <c r="L20" i="109"/>
  <c r="R19" i="109"/>
  <c r="O19" i="109"/>
  <c r="N19" i="109"/>
  <c r="M19" i="109"/>
  <c r="L19" i="109"/>
  <c r="R18" i="109"/>
  <c r="O18" i="109"/>
  <c r="N18" i="109"/>
  <c r="M18" i="109"/>
  <c r="L18" i="109"/>
  <c r="R17" i="109"/>
  <c r="O17" i="109"/>
  <c r="N17" i="109"/>
  <c r="N21" i="109" s="1"/>
  <c r="L17" i="109"/>
  <c r="R16" i="109"/>
  <c r="O16" i="109"/>
  <c r="N16" i="109"/>
  <c r="P16" i="109" s="1"/>
  <c r="M16" i="109"/>
  <c r="L16" i="109"/>
  <c r="R15" i="109"/>
  <c r="O15" i="109"/>
  <c r="N15" i="109"/>
  <c r="P15" i="109" s="1"/>
  <c r="M15" i="109"/>
  <c r="S15" i="109" s="1"/>
  <c r="L15" i="109"/>
  <c r="T15" i="109" s="1"/>
  <c r="R14" i="109"/>
  <c r="O14" i="109"/>
  <c r="N14" i="109"/>
  <c r="L14" i="109"/>
  <c r="R13" i="109"/>
  <c r="P13" i="109"/>
  <c r="O13" i="109"/>
  <c r="N13" i="109"/>
  <c r="M13" i="109"/>
  <c r="S13" i="109" s="1"/>
  <c r="L13" i="109"/>
  <c r="R12" i="109"/>
  <c r="R25" i="109" s="1"/>
  <c r="P12" i="109"/>
  <c r="P25" i="109" s="1"/>
  <c r="O12" i="109"/>
  <c r="O25" i="109" s="1"/>
  <c r="N12" i="109"/>
  <c r="N25" i="109" s="1"/>
  <c r="M12" i="109"/>
  <c r="S12" i="109" s="1"/>
  <c r="S25" i="109" s="1"/>
  <c r="L12" i="109"/>
  <c r="T12" i="109" s="1"/>
  <c r="R11" i="109"/>
  <c r="P11" i="109"/>
  <c r="O11" i="109"/>
  <c r="N11" i="109"/>
  <c r="M11" i="109"/>
  <c r="S11" i="109" s="1"/>
  <c r="L11" i="109"/>
  <c r="T11" i="109" s="1"/>
  <c r="R10" i="109"/>
  <c r="P10" i="109"/>
  <c r="O10" i="109"/>
  <c r="N10" i="109"/>
  <c r="M10" i="109"/>
  <c r="S10" i="109" s="1"/>
  <c r="L10" i="109"/>
  <c r="R9" i="109"/>
  <c r="R24" i="109" s="1"/>
  <c r="P9" i="109"/>
  <c r="O9" i="109"/>
  <c r="N9" i="109"/>
  <c r="N24" i="109" s="1"/>
  <c r="M9" i="109"/>
  <c r="S9" i="109" s="1"/>
  <c r="L9" i="109"/>
  <c r="R8" i="109"/>
  <c r="O8" i="109"/>
  <c r="O23" i="109" s="1"/>
  <c r="O27" i="109" s="1"/>
  <c r="N8" i="109"/>
  <c r="L8" i="109"/>
  <c r="A8" i="109"/>
  <c r="A9" i="109" s="1"/>
  <c r="R7" i="109"/>
  <c r="R23" i="109" s="1"/>
  <c r="R27" i="109" s="1"/>
  <c r="N7" i="109"/>
  <c r="L7" i="109"/>
  <c r="P8" i="108"/>
  <c r="P9" i="108"/>
  <c r="P10" i="108"/>
  <c r="P11" i="108"/>
  <c r="P12" i="108"/>
  <c r="P13" i="108"/>
  <c r="P14" i="108"/>
  <c r="P15" i="108"/>
  <c r="P16" i="108"/>
  <c r="P18" i="108"/>
  <c r="P19" i="108"/>
  <c r="P20" i="108"/>
  <c r="P7" i="108"/>
  <c r="N8" i="108"/>
  <c r="N9" i="108"/>
  <c r="N10" i="108"/>
  <c r="N11" i="108"/>
  <c r="N12" i="108"/>
  <c r="N13" i="108"/>
  <c r="N14" i="108"/>
  <c r="N15" i="108"/>
  <c r="N16" i="108"/>
  <c r="N17" i="108"/>
  <c r="P17" i="108" s="1"/>
  <c r="N18" i="108"/>
  <c r="N19" i="108"/>
  <c r="N20" i="108"/>
  <c r="N7" i="108"/>
  <c r="M19" i="108"/>
  <c r="M20" i="108"/>
  <c r="M18" i="108"/>
  <c r="M16" i="108"/>
  <c r="M15" i="108"/>
  <c r="M11" i="108"/>
  <c r="M12" i="108"/>
  <c r="M25" i="108" s="1"/>
  <c r="M13" i="108"/>
  <c r="M10" i="108"/>
  <c r="M9" i="108"/>
  <c r="Q26" i="108"/>
  <c r="Q25" i="108"/>
  <c r="Q24" i="108"/>
  <c r="Q23" i="108"/>
  <c r="Q27" i="108" s="1"/>
  <c r="R21" i="108"/>
  <c r="Q21" i="108"/>
  <c r="K21" i="108"/>
  <c r="J21" i="108"/>
  <c r="I21" i="108"/>
  <c r="H21" i="108"/>
  <c r="R20" i="108"/>
  <c r="R26" i="108" s="1"/>
  <c r="O20" i="108"/>
  <c r="O26" i="108" s="1"/>
  <c r="L20" i="108"/>
  <c r="R19" i="108"/>
  <c r="O19" i="108"/>
  <c r="L19" i="108"/>
  <c r="R18" i="108"/>
  <c r="O18" i="108"/>
  <c r="L18" i="108"/>
  <c r="R17" i="108"/>
  <c r="O17" i="108"/>
  <c r="L17" i="108"/>
  <c r="R16" i="108"/>
  <c r="O16" i="108"/>
  <c r="L16" i="108"/>
  <c r="R15" i="108"/>
  <c r="O15" i="108"/>
  <c r="L15" i="108"/>
  <c r="R14" i="108"/>
  <c r="O14" i="108"/>
  <c r="L14" i="108"/>
  <c r="R13" i="108"/>
  <c r="O13" i="108"/>
  <c r="L13" i="108"/>
  <c r="R12" i="108"/>
  <c r="R25" i="108" s="1"/>
  <c r="O12" i="108"/>
  <c r="O25" i="108" s="1"/>
  <c r="L12" i="108"/>
  <c r="R11" i="108"/>
  <c r="O11" i="108"/>
  <c r="L11" i="108"/>
  <c r="R10" i="108"/>
  <c r="O10" i="108"/>
  <c r="L10" i="108"/>
  <c r="R9" i="108"/>
  <c r="R24" i="108" s="1"/>
  <c r="O9" i="108"/>
  <c r="L9" i="108"/>
  <c r="R8" i="108"/>
  <c r="O8" i="108"/>
  <c r="L8" i="108"/>
  <c r="A8" i="108"/>
  <c r="A9" i="108" s="1"/>
  <c r="R7" i="108"/>
  <c r="R23" i="108" s="1"/>
  <c r="L7" i="108"/>
  <c r="G25" i="115" l="1"/>
  <c r="T19" i="115"/>
  <c r="T22" i="112"/>
  <c r="S24" i="113"/>
  <c r="S21" i="113"/>
  <c r="T9" i="113"/>
  <c r="T21" i="113" s="1"/>
  <c r="G28" i="112"/>
  <c r="S28" i="112"/>
  <c r="S27" i="111"/>
  <c r="T17" i="110"/>
  <c r="T21" i="110" s="1"/>
  <c r="S24" i="110"/>
  <c r="S27" i="110" s="1"/>
  <c r="T10" i="109"/>
  <c r="P24" i="109"/>
  <c r="T9" i="109"/>
  <c r="T13" i="109"/>
  <c r="S16" i="109"/>
  <c r="T16" i="109" s="1"/>
  <c r="M26" i="109"/>
  <c r="M25" i="109"/>
  <c r="N26" i="109"/>
  <c r="R21" i="109"/>
  <c r="P17" i="109"/>
  <c r="P18" i="109"/>
  <c r="S18" i="109" s="1"/>
  <c r="T18" i="109" s="1"/>
  <c r="P19" i="109"/>
  <c r="S19" i="109" s="1"/>
  <c r="T19" i="109" s="1"/>
  <c r="P20" i="109"/>
  <c r="P26" i="109" s="1"/>
  <c r="L21" i="109"/>
  <c r="M24" i="109"/>
  <c r="P7" i="109"/>
  <c r="P8" i="109"/>
  <c r="S8" i="109" s="1"/>
  <c r="T8" i="109" s="1"/>
  <c r="P14" i="109"/>
  <c r="S14" i="109" s="1"/>
  <c r="M21" i="109"/>
  <c r="M23" i="109"/>
  <c r="S17" i="109"/>
  <c r="T17" i="109" s="1"/>
  <c r="N23" i="109"/>
  <c r="O21" i="109"/>
  <c r="O21" i="108"/>
  <c r="O24" i="108"/>
  <c r="S15" i="108"/>
  <c r="T15" i="108" s="1"/>
  <c r="S16" i="108"/>
  <c r="T16" i="108" s="1"/>
  <c r="N21" i="108"/>
  <c r="M26" i="108"/>
  <c r="M24" i="108"/>
  <c r="M23" i="108"/>
  <c r="M27" i="108" s="1"/>
  <c r="H27" i="108" s="1"/>
  <c r="M21" i="108"/>
  <c r="S12" i="108"/>
  <c r="R27" i="108"/>
  <c r="N26" i="108"/>
  <c r="N24" i="108"/>
  <c r="N25" i="108"/>
  <c r="S10" i="108"/>
  <c r="T10" i="108" s="1"/>
  <c r="S11" i="108"/>
  <c r="T11" i="108" s="1"/>
  <c r="P25" i="108"/>
  <c r="S13" i="108"/>
  <c r="T13" i="108" s="1"/>
  <c r="S14" i="108"/>
  <c r="T14" i="108" s="1"/>
  <c r="S17" i="108"/>
  <c r="T17" i="108" s="1"/>
  <c r="S18" i="108"/>
  <c r="T18" i="108" s="1"/>
  <c r="S19" i="108"/>
  <c r="T19" i="108" s="1"/>
  <c r="P26" i="108"/>
  <c r="L21" i="108"/>
  <c r="N23" i="108"/>
  <c r="S8" i="108"/>
  <c r="T8" i="108" s="1"/>
  <c r="O23" i="108"/>
  <c r="S24" i="109" l="1"/>
  <c r="T14" i="109"/>
  <c r="P23" i="109"/>
  <c r="P27" i="109" s="1"/>
  <c r="P21" i="109"/>
  <c r="S7" i="109"/>
  <c r="S20" i="109"/>
  <c r="N27" i="109"/>
  <c r="G27" i="109" s="1"/>
  <c r="M27" i="109"/>
  <c r="H27" i="109" s="1"/>
  <c r="O27" i="108"/>
  <c r="S25" i="108"/>
  <c r="T12" i="108"/>
  <c r="P24" i="108"/>
  <c r="S9" i="108"/>
  <c r="P21" i="108"/>
  <c r="P23" i="108"/>
  <c r="S7" i="108"/>
  <c r="N27" i="108"/>
  <c r="S20" i="108"/>
  <c r="S23" i="109" l="1"/>
  <c r="S21" i="109"/>
  <c r="T7" i="109"/>
  <c r="S26" i="109"/>
  <c r="T20" i="109"/>
  <c r="P27" i="108"/>
  <c r="G27" i="108" s="1"/>
  <c r="S24" i="108"/>
  <c r="T9" i="108"/>
  <c r="S21" i="108"/>
  <c r="S23" i="108"/>
  <c r="T7" i="108"/>
  <c r="S26" i="108"/>
  <c r="T20" i="108"/>
  <c r="T21" i="109" l="1"/>
  <c r="S27" i="109"/>
  <c r="S27" i="108"/>
  <c r="T21" i="10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7" authorId="0" shapeId="0" xr:uid="{35265D8B-BC5B-4FD1-AEE3-67725C398D19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7" authorId="0" shapeId="0" xr:uid="{BA29C078-CB15-4506-97A4-03223E7486F6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7" authorId="0" shapeId="0" xr:uid="{B7F38B78-1D26-4052-950E-CBBD46B3C2DD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7" authorId="0" shapeId="0" xr:uid="{AE3A60AB-BA4E-4304-A716-2C78541304C2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7" authorId="0" shapeId="0" xr:uid="{E6B8BB54-2D37-4819-B42D-1FF61FBCA757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7" authorId="0" shapeId="0" xr:uid="{2DD2E716-3F09-4AE7-B91B-EB429BC0DCA0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7" authorId="0" shapeId="0" xr:uid="{A0211D28-6F8C-486A-B2A7-71E4DE159770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7" authorId="0" shapeId="0" xr:uid="{70CF2EE2-6247-4A59-AC73-0B586B6BFAC9}">
      <text>
        <r>
          <rPr>
            <b/>
            <sz val="9"/>
            <color indexed="81"/>
            <rFont val="Tahoma"/>
            <family val="2"/>
          </rPr>
          <t xml:space="preserve">Windows </t>
        </r>
        <r>
          <rPr>
            <b/>
            <sz val="9"/>
            <color indexed="81"/>
            <rFont val="돋움"/>
            <family val="3"/>
            <charset val="129"/>
          </rPr>
          <t>사용자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</commentList>
</comments>
</file>

<file path=xl/sharedStrings.xml><?xml version="1.0" encoding="utf-8"?>
<sst xmlns="http://schemas.openxmlformats.org/spreadsheetml/2006/main" count="761" uniqueCount="125">
  <si>
    <t>제    공    제    및    차    인    지    급    액</t>
    <phoneticPr fontId="3" type="noConversion"/>
  </si>
  <si>
    <t>국민연금</t>
    <phoneticPr fontId="3" type="noConversion"/>
  </si>
  <si>
    <t>공제합계</t>
    <phoneticPr fontId="3" type="noConversion"/>
  </si>
  <si>
    <t>소득세</t>
    <phoneticPr fontId="3" type="noConversion"/>
  </si>
  <si>
    <t>지방소득세</t>
    <phoneticPr fontId="3" type="noConversion"/>
  </si>
  <si>
    <t>NO</t>
    <phoneticPr fontId="2" type="noConversion"/>
  </si>
  <si>
    <t>입사일</t>
    <phoneticPr fontId="2" type="noConversion"/>
  </si>
  <si>
    <t>퇴사일</t>
    <phoneticPr fontId="2" type="noConversion"/>
  </si>
  <si>
    <t>성명</t>
    <phoneticPr fontId="2" type="noConversion"/>
  </si>
  <si>
    <t>주민번호</t>
    <phoneticPr fontId="2" type="noConversion"/>
  </si>
  <si>
    <t>기본급</t>
    <phoneticPr fontId="2" type="noConversion"/>
  </si>
  <si>
    <t>식대</t>
    <phoneticPr fontId="2" type="noConversion"/>
  </si>
  <si>
    <t>주유대</t>
    <phoneticPr fontId="2" type="noConversion"/>
  </si>
  <si>
    <t>기본급여 및 제수당</t>
    <phoneticPr fontId="2" type="noConversion"/>
  </si>
  <si>
    <t>인적사항</t>
    <phoneticPr fontId="2" type="noConversion"/>
  </si>
  <si>
    <t>2013.02.02</t>
  </si>
  <si>
    <t>진익주</t>
  </si>
  <si>
    <t>600304-</t>
  </si>
  <si>
    <t>2020.06.15</t>
  </si>
  <si>
    <t>송영용</t>
  </si>
  <si>
    <t>820611-</t>
  </si>
  <si>
    <t xml:space="preserve">고용보험 </t>
    <phoneticPr fontId="3" type="noConversion"/>
  </si>
  <si>
    <t xml:space="preserve">건강보험 </t>
    <phoneticPr fontId="3" type="noConversion"/>
  </si>
  <si>
    <t xml:space="preserve">요양보험 </t>
    <phoneticPr fontId="3" type="noConversion"/>
  </si>
  <si>
    <t>본사</t>
    <phoneticPr fontId="2" type="noConversion"/>
  </si>
  <si>
    <t>차인
지급액</t>
    <phoneticPr fontId="3" type="noConversion"/>
  </si>
  <si>
    <t>합계금액</t>
    <phoneticPr fontId="2" type="noConversion"/>
  </si>
  <si>
    <t>㈜ 아 산</t>
    <phoneticPr fontId="2" type="noConversion"/>
  </si>
  <si>
    <t>구분</t>
    <phoneticPr fontId="2" type="noConversion"/>
  </si>
  <si>
    <t>전수빈</t>
    <phoneticPr fontId="2" type="noConversion"/>
  </si>
  <si>
    <t>721010-</t>
    <phoneticPr fontId="2" type="noConversion"/>
  </si>
  <si>
    <t>담당</t>
    <phoneticPr fontId="2" type="noConversion"/>
  </si>
  <si>
    <t>과장</t>
    <phoneticPr fontId="2" type="noConversion"/>
  </si>
  <si>
    <t>차장</t>
    <phoneticPr fontId="2" type="noConversion"/>
  </si>
  <si>
    <t>이사</t>
    <phoneticPr fontId="2" type="noConversion"/>
  </si>
  <si>
    <t>상무</t>
    <phoneticPr fontId="2" type="noConversion"/>
  </si>
  <si>
    <t>대표이사</t>
    <phoneticPr fontId="2" type="noConversion"/>
  </si>
  <si>
    <t>결
재</t>
    <phoneticPr fontId="2" type="noConversion"/>
  </si>
  <si>
    <t>도농</t>
    <phoneticPr fontId="2" type="noConversion"/>
  </si>
  <si>
    <t>정봉선</t>
    <phoneticPr fontId="2" type="noConversion"/>
  </si>
  <si>
    <t>본사2</t>
    <phoneticPr fontId="2" type="noConversion"/>
  </si>
  <si>
    <t>국민연금</t>
    <phoneticPr fontId="2" type="noConversion"/>
  </si>
  <si>
    <t>지급(예정)일 :</t>
    <phoneticPr fontId="2" type="noConversion"/>
  </si>
  <si>
    <t>본사소계</t>
    <phoneticPr fontId="2" type="noConversion"/>
  </si>
  <si>
    <t>건강,요양</t>
    <phoneticPr fontId="2" type="noConversion"/>
  </si>
  <si>
    <t>고지금액</t>
    <phoneticPr fontId="2" type="noConversion"/>
  </si>
  <si>
    <t>건강연금</t>
    <phoneticPr fontId="2" type="noConversion"/>
  </si>
  <si>
    <t>2021.12.01</t>
  </si>
  <si>
    <t>유병화</t>
    <phoneticPr fontId="2" type="noConversion"/>
  </si>
  <si>
    <t>630612-</t>
    <phoneticPr fontId="2" type="noConversion"/>
  </si>
  <si>
    <t>2021.01.01</t>
  </si>
  <si>
    <t>현장수당</t>
    <phoneticPr fontId="2" type="noConversion"/>
  </si>
  <si>
    <t>2022.01.01</t>
    <phoneticPr fontId="2" type="noConversion"/>
  </si>
  <si>
    <t>670222-</t>
    <phoneticPr fontId="2" type="noConversion"/>
  </si>
  <si>
    <t>부장</t>
    <phoneticPr fontId="2" type="noConversion"/>
  </si>
  <si>
    <t>2022.02.07</t>
    <phoneticPr fontId="2" type="noConversion"/>
  </si>
  <si>
    <t>이인근</t>
    <phoneticPr fontId="2" type="noConversion"/>
  </si>
  <si>
    <t>610228-</t>
    <phoneticPr fontId="2" type="noConversion"/>
  </si>
  <si>
    <t>2022.05.01</t>
    <phoneticPr fontId="2" type="noConversion"/>
  </si>
  <si>
    <t>이승란</t>
    <phoneticPr fontId="2" type="noConversion"/>
  </si>
  <si>
    <t>750203-</t>
    <phoneticPr fontId="2" type="noConversion"/>
  </si>
  <si>
    <t>2024.01.01</t>
    <phoneticPr fontId="2" type="noConversion"/>
  </si>
  <si>
    <t>정상영</t>
    <phoneticPr fontId="2" type="noConversion"/>
  </si>
  <si>
    <t>진경원</t>
    <phoneticPr fontId="2" type="noConversion"/>
  </si>
  <si>
    <t>2024.10.10</t>
    <phoneticPr fontId="2" type="noConversion"/>
  </si>
  <si>
    <t>2025.01.01</t>
    <phoneticPr fontId="2" type="noConversion"/>
  </si>
  <si>
    <t>정용원</t>
    <phoneticPr fontId="2" type="noConversion"/>
  </si>
  <si>
    <t>751130-</t>
    <phoneticPr fontId="2" type="noConversion"/>
  </si>
  <si>
    <t>고색</t>
    <phoneticPr fontId="2" type="noConversion"/>
  </si>
  <si>
    <t>2025.04.01</t>
    <phoneticPr fontId="2" type="noConversion"/>
  </si>
  <si>
    <t>송주석</t>
    <phoneticPr fontId="2" type="noConversion"/>
  </si>
  <si>
    <t>고기근린</t>
    <phoneticPr fontId="2" type="noConversion"/>
  </si>
  <si>
    <t>2025.09.06</t>
    <phoneticPr fontId="2" type="noConversion"/>
  </si>
  <si>
    <t>유병훈</t>
    <phoneticPr fontId="2" type="noConversion"/>
  </si>
  <si>
    <t>631014-</t>
    <phoneticPr fontId="2" type="noConversion"/>
  </si>
  <si>
    <t>2025.09.01</t>
    <phoneticPr fontId="2" type="noConversion"/>
  </si>
  <si>
    <t>이정훈</t>
    <phoneticPr fontId="2" type="noConversion"/>
  </si>
  <si>
    <t>700708-</t>
    <phoneticPr fontId="2" type="noConversion"/>
  </si>
  <si>
    <t>이헌</t>
    <phoneticPr fontId="2" type="noConversion"/>
  </si>
  <si>
    <t>051226-</t>
    <phoneticPr fontId="2" type="noConversion"/>
  </si>
  <si>
    <t>2026.01월분 급여대장</t>
    <phoneticPr fontId="3" type="noConversion"/>
  </si>
  <si>
    <t>(2026.01.01~01.31)</t>
    <phoneticPr fontId="2" type="noConversion"/>
  </si>
  <si>
    <t>26/02/05  : 본사, 본사2, 토목</t>
    <phoneticPr fontId="2" type="noConversion"/>
  </si>
  <si>
    <t>2026.02월분 급여대장</t>
    <phoneticPr fontId="3" type="noConversion"/>
  </si>
  <si>
    <t>(2026.02.01~02.28)</t>
    <phoneticPr fontId="2" type="noConversion"/>
  </si>
  <si>
    <t>연말정산
환입(-)</t>
    <phoneticPr fontId="2" type="noConversion"/>
  </si>
  <si>
    <t>연말정산
환출(+)</t>
    <phoneticPr fontId="2" type="noConversion"/>
  </si>
  <si>
    <t>차인 
지급액</t>
    <phoneticPr fontId="2" type="noConversion"/>
  </si>
  <si>
    <t>2026.03월분 급여대장</t>
    <phoneticPr fontId="3" type="noConversion"/>
  </si>
  <si>
    <t>(2026.03.01~03.31)</t>
    <phoneticPr fontId="2" type="noConversion"/>
  </si>
  <si>
    <t>26/04/03  : 본사, 본사2, 토목</t>
    <phoneticPr fontId="2" type="noConversion"/>
  </si>
  <si>
    <t>2026.04월분 급여대장</t>
    <phoneticPr fontId="3" type="noConversion"/>
  </si>
  <si>
    <t>(2026.04.01~04.30)</t>
    <phoneticPr fontId="2" type="noConversion"/>
  </si>
  <si>
    <t>2026.05월분 급여대장</t>
    <phoneticPr fontId="3" type="noConversion"/>
  </si>
  <si>
    <t>(2026.05.01~05.31)</t>
    <phoneticPr fontId="2" type="noConversion"/>
  </si>
  <si>
    <t>26/06/05  : 본사, 본사2, 토목</t>
    <phoneticPr fontId="2" type="noConversion"/>
  </si>
  <si>
    <t>2026.06.01</t>
    <phoneticPr fontId="2" type="noConversion"/>
  </si>
  <si>
    <t>현경순</t>
    <phoneticPr fontId="2" type="noConversion"/>
  </si>
  <si>
    <t>2026.05.31</t>
    <phoneticPr fontId="2" type="noConversion"/>
  </si>
  <si>
    <t>2026.07월분 급여대장</t>
    <phoneticPr fontId="3" type="noConversion"/>
  </si>
  <si>
    <t>(2026.07.01~07.31)</t>
    <phoneticPr fontId="2" type="noConversion"/>
  </si>
  <si>
    <t>2026.07.15</t>
    <phoneticPr fontId="2" type="noConversion"/>
  </si>
  <si>
    <t>2026.06월분 급여대장</t>
    <phoneticPr fontId="3" type="noConversion"/>
  </si>
  <si>
    <t>(2026.06.01~06.30)</t>
    <phoneticPr fontId="2" type="noConversion"/>
  </si>
  <si>
    <t>2026.07.31</t>
    <phoneticPr fontId="2" type="noConversion"/>
  </si>
  <si>
    <t>2026.06.30</t>
    <phoneticPr fontId="2" type="noConversion"/>
  </si>
  <si>
    <t>26/08/05  : 본사, 본사2, 토목</t>
    <phoneticPr fontId="2" type="noConversion"/>
  </si>
  <si>
    <t>2026.08월분 급여대장</t>
    <phoneticPr fontId="3" type="noConversion"/>
  </si>
  <si>
    <t>(2026.08.01~08.31)</t>
    <phoneticPr fontId="2" type="noConversion"/>
  </si>
  <si>
    <t>2026.08.21</t>
    <phoneticPr fontId="2" type="noConversion"/>
  </si>
  <si>
    <t>790412-</t>
    <phoneticPr fontId="2" type="noConversion"/>
  </si>
  <si>
    <t>진**</t>
    <phoneticPr fontId="2" type="noConversion"/>
  </si>
  <si>
    <t>이**</t>
    <phoneticPr fontId="2" type="noConversion"/>
  </si>
  <si>
    <t>이승*</t>
    <phoneticPr fontId="2" type="noConversion"/>
  </si>
  <si>
    <t>정*</t>
    <phoneticPr fontId="2" type="noConversion"/>
  </si>
  <si>
    <t>정봉*</t>
    <phoneticPr fontId="2" type="noConversion"/>
  </si>
  <si>
    <t>전*</t>
    <phoneticPr fontId="2" type="noConversion"/>
  </si>
  <si>
    <t>유**</t>
    <phoneticPr fontId="2" type="noConversion"/>
  </si>
  <si>
    <t>정용*</t>
    <phoneticPr fontId="2" type="noConversion"/>
  </si>
  <si>
    <t>이정*</t>
    <phoneticPr fontId="2" type="noConversion"/>
  </si>
  <si>
    <t>이*</t>
    <phoneticPr fontId="2" type="noConversion"/>
  </si>
  <si>
    <t>권*</t>
    <phoneticPr fontId="2" type="noConversion"/>
  </si>
  <si>
    <t>현**</t>
    <phoneticPr fontId="2" type="noConversion"/>
  </si>
  <si>
    <t>1******</t>
    <phoneticPr fontId="2" type="noConversion"/>
  </si>
  <si>
    <t>2******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</si>
</sst>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;[Red]\-#,##0\ "/>
    <numFmt numFmtId="177" formatCode="_ * #,##0_ ;_ * \-#,##0_ ;_ * &quot;-&quot;_ ;_ @_ "/>
    <numFmt numFmtId="178" formatCode="_ * #,##0.00_ ;_ * \-#,##0.00_ ;_ * &quot;-&quot;??_ ;_ @_ "/>
    <numFmt numFmtId="179" formatCode="_-* #,##0_-;&quot;₩&quot;&quot;₩&quot;\-* #,##0_-;_-* &quot;-&quot;_-;_-@_-"/>
    <numFmt numFmtId="180" formatCode="_-* #,##0.00_-;&quot;₩&quot;&quot;₩&quot;\-* #,##0.00_-;_-* &quot;-&quot;??_-;_-@_-"/>
    <numFmt numFmtId="181" formatCode="&quot;US$&quot;#,##0_);\(&quot;US$&quot;#,##0\)"/>
    <numFmt numFmtId="182" formatCode="0.0%"/>
  </numFmts>
  <fonts count="35" x14ac:knownFonts="1">
    <font>
      <sz val="11"/>
      <color theme="1"/>
      <name val="맑은 고딕"/>
      <family val="2"/>
      <charset val="129"/>
      <scheme val="minor"/>
    </font>
    <font>
      <sz val="9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굴림"/>
      <family val="3"/>
      <charset val="129"/>
    </font>
    <font>
      <sz val="12"/>
      <name val="바탕체"/>
      <family val="1"/>
      <charset val="129"/>
    </font>
    <font>
      <b/>
      <sz val="10"/>
      <name val="Helv"/>
      <family val="2"/>
    </font>
    <font>
      <sz val="10"/>
      <name val="Arial"/>
      <family val="2"/>
    </font>
    <font>
      <sz val="11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color theme="1"/>
      <name val="맑은 고딕"/>
      <family val="2"/>
      <charset val="129"/>
      <scheme val="minor"/>
    </font>
    <font>
      <b/>
      <sz val="24"/>
      <name val="굴림체"/>
      <family val="3"/>
      <charset val="129"/>
    </font>
    <font>
      <sz val="11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20"/>
      <name val="굴림체"/>
      <family val="3"/>
      <charset val="129"/>
    </font>
    <font>
      <b/>
      <sz val="16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9"/>
      <color theme="1"/>
      <name val="굴림체"/>
      <family val="3"/>
      <charset val="129"/>
    </font>
    <font>
      <b/>
      <sz val="9"/>
      <name val="굴림체"/>
      <family val="3"/>
      <charset val="129"/>
    </font>
    <font>
      <sz val="9"/>
      <color theme="1"/>
      <name val="굴림체"/>
      <family val="3"/>
      <charset val="129"/>
    </font>
    <font>
      <sz val="10"/>
      <name val="굴림체"/>
      <family val="3"/>
      <charset val="129"/>
    </font>
    <font>
      <sz val="10"/>
      <color theme="1"/>
      <name val="굴림체"/>
      <family val="3"/>
      <charset val="129"/>
    </font>
    <font>
      <sz val="8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9"/>
      <color rgb="FFFF0000"/>
      <name val="굴림체"/>
      <family val="3"/>
      <charset val="129"/>
    </font>
    <font>
      <sz val="9"/>
      <color rgb="FFFFFF00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2"/>
      <name val="굴림체"/>
      <family val="3"/>
      <charset val="129"/>
    </font>
    <font>
      <b/>
      <sz val="10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38" fontId="8" fillId="2" borderId="0" applyNumberFormat="0" applyBorder="0" applyAlignment="0" applyProtection="0"/>
    <xf numFmtId="0" fontId="9" fillId="0" borderId="0">
      <alignment horizontal="left"/>
    </xf>
    <xf numFmtId="10" fontId="8" fillId="2" borderId="1" applyNumberFormat="0" applyBorder="0" applyAlignment="0" applyProtection="0"/>
    <xf numFmtId="0" fontId="10" fillId="0" borderId="4"/>
    <xf numFmtId="181" fontId="7" fillId="0" borderId="0"/>
    <xf numFmtId="0" fontId="6" fillId="0" borderId="0"/>
    <xf numFmtId="10" fontId="6" fillId="0" borderId="0" applyFont="0" applyFill="0" applyBorder="0" applyAlignment="0" applyProtection="0"/>
    <xf numFmtId="0" fontId="10" fillId="0" borderId="0"/>
    <xf numFmtId="0" fontId="4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1" fillId="0" borderId="0">
      <alignment vertical="center"/>
    </xf>
  </cellStyleXfs>
  <cellXfs count="19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3" fillId="0" borderId="0" xfId="0" applyFont="1">
      <alignment vertical="center"/>
    </xf>
    <xf numFmtId="41" fontId="13" fillId="0" borderId="0" xfId="1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3" fontId="16" fillId="0" borderId="0" xfId="1" applyNumberFormat="1" applyFont="1" applyBorder="1" applyAlignment="1">
      <alignment vertical="center"/>
    </xf>
    <xf numFmtId="3" fontId="16" fillId="0" borderId="0" xfId="1" applyNumberFormat="1" applyFont="1" applyBorder="1" applyAlignment="1">
      <alignment vertical="center" shrinkToFit="1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1" fontId="20" fillId="0" borderId="0" xfId="1" applyFont="1">
      <alignment vertical="center"/>
    </xf>
    <xf numFmtId="0" fontId="20" fillId="0" borderId="0" xfId="0" applyFont="1">
      <alignment vertical="center"/>
    </xf>
    <xf numFmtId="41" fontId="20" fillId="0" borderId="0" xfId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right" vertical="center" shrinkToFit="1"/>
    </xf>
    <xf numFmtId="0" fontId="14" fillId="0" borderId="13" xfId="0" applyFont="1" applyBorder="1" applyAlignment="1">
      <alignment horizontal="left" vertical="center" shrinkToFit="1"/>
    </xf>
    <xf numFmtId="41" fontId="14" fillId="0" borderId="13" xfId="1" applyFont="1" applyFill="1" applyBorder="1" applyAlignment="1">
      <alignment vertical="center" shrinkToFit="1"/>
    </xf>
    <xf numFmtId="176" fontId="14" fillId="0" borderId="13" xfId="1" applyNumberFormat="1" applyFont="1" applyFill="1" applyBorder="1" applyAlignment="1">
      <alignment horizontal="right" vertical="center" shrinkToFit="1"/>
    </xf>
    <xf numFmtId="41" fontId="14" fillId="0" borderId="0" xfId="0" applyNumberFormat="1" applyFont="1">
      <alignment vertical="center"/>
    </xf>
    <xf numFmtId="41" fontId="19" fillId="6" borderId="0" xfId="1" applyFont="1" applyFill="1">
      <alignment vertical="center"/>
    </xf>
    <xf numFmtId="0" fontId="19" fillId="6" borderId="0" xfId="0" applyFont="1" applyFill="1">
      <alignment vertical="center"/>
    </xf>
    <xf numFmtId="0" fontId="13" fillId="0" borderId="0" xfId="0" applyFont="1" applyAlignment="1">
      <alignment vertical="center" shrinkToFit="1"/>
    </xf>
    <xf numFmtId="0" fontId="13" fillId="4" borderId="12" xfId="0" applyFont="1" applyFill="1" applyBorder="1" applyAlignment="1">
      <alignment horizontal="center" vertical="center"/>
    </xf>
    <xf numFmtId="41" fontId="13" fillId="0" borderId="12" xfId="1" applyFont="1" applyBorder="1" applyAlignment="1">
      <alignment vertical="center" shrinkToFit="1"/>
    </xf>
    <xf numFmtId="41" fontId="13" fillId="0" borderId="0" xfId="0" applyNumberFormat="1" applyFont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41" fontId="13" fillId="0" borderId="13" xfId="1" applyFont="1" applyBorder="1" applyAlignment="1">
      <alignment vertical="center" shrinkToFit="1"/>
    </xf>
    <xf numFmtId="41" fontId="20" fillId="0" borderId="0" xfId="0" applyNumberFormat="1" applyFont="1">
      <alignment vertical="center"/>
    </xf>
    <xf numFmtId="0" fontId="23" fillId="0" borderId="0" xfId="0" applyFont="1">
      <alignment vertical="center"/>
    </xf>
    <xf numFmtId="41" fontId="22" fillId="8" borderId="1" xfId="0" applyNumberFormat="1" applyFont="1" applyFill="1" applyBorder="1">
      <alignment vertical="center"/>
    </xf>
    <xf numFmtId="41" fontId="22" fillId="8" borderId="1" xfId="0" applyNumberFormat="1" applyFont="1" applyFill="1" applyBorder="1" applyAlignment="1">
      <alignment vertical="center" shrinkToFit="1"/>
    </xf>
    <xf numFmtId="41" fontId="19" fillId="6" borderId="16" xfId="1" applyFont="1" applyFill="1" applyBorder="1" applyAlignment="1">
      <alignment vertical="center" shrinkToFit="1"/>
    </xf>
    <xf numFmtId="0" fontId="18" fillId="5" borderId="6" xfId="0" applyFont="1" applyFill="1" applyBorder="1" applyAlignment="1">
      <alignment horizontal="center" vertical="center" shrinkToFit="1"/>
    </xf>
    <xf numFmtId="3" fontId="19" fillId="5" borderId="6" xfId="1" applyNumberFormat="1" applyFont="1" applyFill="1" applyBorder="1" applyAlignment="1">
      <alignment horizontal="center" vertical="center"/>
    </xf>
    <xf numFmtId="3" fontId="19" fillId="5" borderId="6" xfId="1" applyNumberFormat="1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41" fontId="13" fillId="0" borderId="11" xfId="1" applyFont="1" applyBorder="1" applyAlignment="1">
      <alignment vertical="center" shrinkToFit="1"/>
    </xf>
    <xf numFmtId="0" fontId="24" fillId="7" borderId="1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 shrinkToFit="1"/>
    </xf>
    <xf numFmtId="0" fontId="24" fillId="7" borderId="2" xfId="0" applyFont="1" applyFill="1" applyBorder="1" applyAlignment="1">
      <alignment horizontal="center" vertical="center" shrinkToFit="1"/>
    </xf>
    <xf numFmtId="0" fontId="24" fillId="7" borderId="2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41" fontId="25" fillId="3" borderId="16" xfId="1" applyFont="1" applyFill="1" applyBorder="1" applyAlignment="1">
      <alignment vertical="center" shrinkToFit="1"/>
    </xf>
    <xf numFmtId="41" fontId="25" fillId="3" borderId="17" xfId="1" applyFont="1" applyFill="1" applyBorder="1" applyAlignment="1">
      <alignment vertical="center" shrinkToFit="1"/>
    </xf>
    <xf numFmtId="0" fontId="24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shrinkToFit="1"/>
    </xf>
    <xf numFmtId="41" fontId="22" fillId="0" borderId="0" xfId="0" applyNumberFormat="1" applyFont="1" applyAlignment="1">
      <alignment vertical="center" shrinkToFit="1"/>
    </xf>
    <xf numFmtId="182" fontId="27" fillId="3" borderId="0" xfId="0" applyNumberFormat="1" applyFont="1" applyFill="1" applyAlignment="1">
      <alignment horizontal="left" vertical="center"/>
    </xf>
    <xf numFmtId="41" fontId="26" fillId="0" borderId="13" xfId="1" applyFont="1" applyFill="1" applyBorder="1" applyAlignment="1">
      <alignment vertical="center" shrinkToFit="1"/>
    </xf>
    <xf numFmtId="0" fontId="14" fillId="9" borderId="10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right" vertical="center" shrinkToFit="1"/>
    </xf>
    <xf numFmtId="0" fontId="14" fillId="9" borderId="13" xfId="0" applyFont="1" applyFill="1" applyBorder="1" applyAlignment="1">
      <alignment horizontal="left" vertical="center" shrinkToFit="1"/>
    </xf>
    <xf numFmtId="41" fontId="14" fillId="9" borderId="13" xfId="1" applyFont="1" applyFill="1" applyBorder="1" applyAlignment="1">
      <alignment vertical="center" shrinkToFit="1"/>
    </xf>
    <xf numFmtId="176" fontId="14" fillId="9" borderId="13" xfId="1" applyNumberFormat="1" applyFont="1" applyFill="1" applyBorder="1" applyAlignment="1">
      <alignment horizontal="right" vertical="center" shrinkToFit="1"/>
    </xf>
    <xf numFmtId="41" fontId="26" fillId="9" borderId="13" xfId="1" applyFont="1" applyFill="1" applyBorder="1" applyAlignment="1">
      <alignment vertical="center" shrinkToFit="1"/>
    </xf>
    <xf numFmtId="0" fontId="14" fillId="9" borderId="0" xfId="0" applyFont="1" applyFill="1">
      <alignment vertical="center"/>
    </xf>
    <xf numFmtId="41" fontId="14" fillId="9" borderId="0" xfId="0" applyNumberFormat="1" applyFont="1" applyFill="1">
      <alignment vertical="center"/>
    </xf>
    <xf numFmtId="41" fontId="13" fillId="0" borderId="0" xfId="0" applyNumberFormat="1" applyFont="1">
      <alignment vertical="center"/>
    </xf>
    <xf numFmtId="0" fontId="26" fillId="0" borderId="13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41" fontId="13" fillId="0" borderId="0" xfId="0" applyNumberFormat="1" applyFont="1" applyAlignment="1">
      <alignment vertical="center" shrinkToFit="1"/>
    </xf>
    <xf numFmtId="176" fontId="13" fillId="0" borderId="0" xfId="0" applyNumberFormat="1" applyFont="1">
      <alignment vertical="center"/>
    </xf>
    <xf numFmtId="41" fontId="14" fillId="0" borderId="0" xfId="1" applyFont="1" applyFill="1" applyBorder="1" applyAlignment="1">
      <alignment horizontal="center" vertical="center" shrinkToFit="1"/>
    </xf>
    <xf numFmtId="41" fontId="14" fillId="9" borderId="20" xfId="1" applyFont="1" applyFill="1" applyBorder="1" applyAlignment="1">
      <alignment vertical="center" shrinkToFit="1"/>
    </xf>
    <xf numFmtId="41" fontId="14" fillId="0" borderId="20" xfId="1" applyFont="1" applyFill="1" applyBorder="1" applyAlignment="1">
      <alignment vertical="center" shrinkToFit="1"/>
    </xf>
    <xf numFmtId="41" fontId="26" fillId="0" borderId="20" xfId="1" applyFont="1" applyFill="1" applyBorder="1" applyAlignment="1">
      <alignment vertical="center" shrinkToFit="1"/>
    </xf>
    <xf numFmtId="0" fontId="26" fillId="9" borderId="20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right" vertical="center" shrinkToFit="1"/>
    </xf>
    <xf numFmtId="0" fontId="14" fillId="9" borderId="20" xfId="0" applyFont="1" applyFill="1" applyBorder="1" applyAlignment="1">
      <alignment horizontal="left" vertical="center" shrinkToFit="1"/>
    </xf>
    <xf numFmtId="0" fontId="19" fillId="5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26" fillId="9" borderId="13" xfId="0" applyFont="1" applyFill="1" applyBorder="1" applyAlignment="1">
      <alignment horizontal="center" vertical="center"/>
    </xf>
    <xf numFmtId="0" fontId="20" fillId="9" borderId="0" xfId="0" applyFont="1" applyFill="1">
      <alignment vertical="center"/>
    </xf>
    <xf numFmtId="0" fontId="13" fillId="9" borderId="0" xfId="0" applyFont="1" applyFill="1">
      <alignment vertical="center"/>
    </xf>
    <xf numFmtId="0" fontId="13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41" fontId="22" fillId="9" borderId="0" xfId="0" applyNumberFormat="1" applyFont="1" applyFill="1">
      <alignment vertical="center"/>
    </xf>
    <xf numFmtId="41" fontId="22" fillId="9" borderId="0" xfId="0" applyNumberFormat="1" applyFont="1" applyFill="1" applyAlignment="1">
      <alignment vertical="center" shrinkToFit="1"/>
    </xf>
    <xf numFmtId="0" fontId="25" fillId="9" borderId="0" xfId="0" applyFont="1" applyFill="1" applyAlignment="1">
      <alignment horizontal="center" vertical="center"/>
    </xf>
    <xf numFmtId="41" fontId="25" fillId="9" borderId="0" xfId="1" applyFont="1" applyFill="1" applyBorder="1" applyAlignment="1">
      <alignment vertical="center" shrinkToFit="1"/>
    </xf>
    <xf numFmtId="0" fontId="22" fillId="9" borderId="0" xfId="0" applyFont="1" applyFill="1">
      <alignment vertical="center"/>
    </xf>
    <xf numFmtId="0" fontId="22" fillId="9" borderId="0" xfId="0" applyFont="1" applyFill="1" applyAlignment="1">
      <alignment vertical="center" shrinkToFit="1"/>
    </xf>
    <xf numFmtId="41" fontId="13" fillId="9" borderId="0" xfId="0" applyNumberFormat="1" applyFont="1" applyFill="1">
      <alignment vertical="center"/>
    </xf>
    <xf numFmtId="0" fontId="27" fillId="3" borderId="21" xfId="0" applyFont="1" applyFill="1" applyBorder="1" applyAlignment="1">
      <alignment horizontal="left" vertical="center"/>
    </xf>
    <xf numFmtId="0" fontId="27" fillId="0" borderId="22" xfId="0" applyFont="1" applyBorder="1" applyAlignment="1">
      <alignment horizontal="left" vertical="center"/>
    </xf>
    <xf numFmtId="0" fontId="14" fillId="9" borderId="22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41" fontId="14" fillId="0" borderId="23" xfId="1" applyFont="1" applyFill="1" applyBorder="1" applyAlignment="1">
      <alignment horizontal="center" vertical="center" shrinkToFit="1"/>
    </xf>
    <xf numFmtId="0" fontId="27" fillId="0" borderId="19" xfId="0" applyFont="1" applyBorder="1" applyAlignment="1">
      <alignment horizontal="center" vertical="center"/>
    </xf>
    <xf numFmtId="41" fontId="14" fillId="0" borderId="0" xfId="1" applyFont="1">
      <alignment vertical="center"/>
    </xf>
    <xf numFmtId="41" fontId="22" fillId="0" borderId="0" xfId="0" applyNumberFormat="1" applyFont="1">
      <alignment vertical="center"/>
    </xf>
    <xf numFmtId="0" fontId="33" fillId="0" borderId="24" xfId="0" applyFont="1" applyBorder="1" applyAlignment="1">
      <alignment horizontal="center" vertical="center"/>
    </xf>
    <xf numFmtId="0" fontId="33" fillId="9" borderId="25" xfId="0" applyFont="1" applyFill="1" applyBorder="1" applyAlignment="1">
      <alignment horizontal="center" vertical="center"/>
    </xf>
    <xf numFmtId="0" fontId="26" fillId="9" borderId="25" xfId="0" applyFont="1" applyFill="1" applyBorder="1" applyAlignment="1">
      <alignment horizontal="center" vertical="center"/>
    </xf>
    <xf numFmtId="0" fontId="14" fillId="9" borderId="25" xfId="0" applyFont="1" applyFill="1" applyBorder="1" applyAlignment="1">
      <alignment horizontal="center" vertical="center"/>
    </xf>
    <xf numFmtId="0" fontId="14" fillId="9" borderId="25" xfId="0" applyFont="1" applyFill="1" applyBorder="1" applyAlignment="1">
      <alignment horizontal="right" vertical="center" shrinkToFit="1"/>
    </xf>
    <xf numFmtId="0" fontId="14" fillId="9" borderId="25" xfId="0" applyFont="1" applyFill="1" applyBorder="1" applyAlignment="1">
      <alignment horizontal="left" vertical="center" shrinkToFit="1"/>
    </xf>
    <xf numFmtId="41" fontId="14" fillId="9" borderId="25" xfId="1" applyFont="1" applyFill="1" applyBorder="1" applyAlignment="1">
      <alignment vertical="center" shrinkToFit="1"/>
    </xf>
    <xf numFmtId="41" fontId="26" fillId="9" borderId="25" xfId="1" applyFont="1" applyFill="1" applyBorder="1" applyAlignment="1">
      <alignment vertical="center" shrinkToFit="1"/>
    </xf>
    <xf numFmtId="41" fontId="21" fillId="0" borderId="26" xfId="1" applyFont="1" applyFill="1" applyBorder="1" applyAlignment="1">
      <alignment vertical="center" shrinkToFit="1"/>
    </xf>
    <xf numFmtId="0" fontId="21" fillId="9" borderId="2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41" fontId="21" fillId="0" borderId="27" xfId="1" applyFont="1" applyFill="1" applyBorder="1" applyAlignment="1">
      <alignment vertical="center" shrinkToFit="1"/>
    </xf>
    <xf numFmtId="41" fontId="21" fillId="9" borderId="29" xfId="1" applyFont="1" applyFill="1" applyBorder="1" applyAlignment="1">
      <alignment vertical="center" shrinkToFit="1"/>
    </xf>
    <xf numFmtId="41" fontId="21" fillId="9" borderId="27" xfId="1" applyFont="1" applyFill="1" applyBorder="1" applyAlignment="1">
      <alignment vertical="center" shrinkToFit="1"/>
    </xf>
    <xf numFmtId="0" fontId="21" fillId="9" borderId="11" xfId="0" applyFont="1" applyFill="1" applyBorder="1" applyAlignment="1">
      <alignment horizontal="center" vertical="center"/>
    </xf>
    <xf numFmtId="0" fontId="26" fillId="9" borderId="11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right" vertical="center" shrinkToFit="1"/>
    </xf>
    <xf numFmtId="0" fontId="14" fillId="9" borderId="11" xfId="0" applyFont="1" applyFill="1" applyBorder="1" applyAlignment="1">
      <alignment horizontal="left" vertical="center" shrinkToFit="1"/>
    </xf>
    <xf numFmtId="41" fontId="14" fillId="9" borderId="11" xfId="1" applyFont="1" applyFill="1" applyBorder="1" applyAlignment="1">
      <alignment vertical="center" shrinkToFit="1"/>
    </xf>
    <xf numFmtId="41" fontId="26" fillId="9" borderId="11" xfId="1" applyFont="1" applyFill="1" applyBorder="1" applyAlignment="1">
      <alignment vertical="center" shrinkToFit="1"/>
    </xf>
    <xf numFmtId="49" fontId="14" fillId="9" borderId="11" xfId="0" applyNumberFormat="1" applyFont="1" applyFill="1" applyBorder="1" applyAlignment="1">
      <alignment horizontal="right" vertical="center" shrinkToFit="1"/>
    </xf>
    <xf numFmtId="41" fontId="21" fillId="9" borderId="30" xfId="1" applyFont="1" applyFill="1" applyBorder="1" applyAlignment="1">
      <alignment vertical="center" shrinkToFit="1"/>
    </xf>
    <xf numFmtId="41" fontId="19" fillId="6" borderId="32" xfId="1" applyFont="1" applyFill="1" applyBorder="1" applyAlignment="1">
      <alignment vertical="center" shrinkToFit="1"/>
    </xf>
    <xf numFmtId="41" fontId="14" fillId="9" borderId="13" xfId="1" applyFont="1" applyFill="1" applyBorder="1">
      <alignment vertical="center"/>
    </xf>
    <xf numFmtId="41" fontId="14" fillId="9" borderId="10" xfId="1" applyFont="1" applyFill="1" applyBorder="1" applyAlignment="1">
      <alignment horizontal="center" vertical="center" shrinkToFit="1"/>
    </xf>
    <xf numFmtId="41" fontId="14" fillId="0" borderId="36" xfId="1" applyFont="1" applyFill="1" applyBorder="1" applyAlignment="1">
      <alignment horizontal="center" vertical="center" shrinkToFit="1"/>
    </xf>
    <xf numFmtId="41" fontId="14" fillId="0" borderId="11" xfId="1" applyFont="1" applyBorder="1">
      <alignment vertical="center"/>
    </xf>
    <xf numFmtId="41" fontId="19" fillId="6" borderId="15" xfId="1" applyFont="1" applyFill="1" applyBorder="1">
      <alignment vertical="center"/>
    </xf>
    <xf numFmtId="41" fontId="19" fillId="6" borderId="16" xfId="1" applyFont="1" applyFill="1" applyBorder="1">
      <alignment vertical="center"/>
    </xf>
    <xf numFmtId="41" fontId="21" fillId="9" borderId="33" xfId="1" applyFont="1" applyFill="1" applyBorder="1" applyAlignment="1">
      <alignment vertical="center" shrinkToFit="1"/>
    </xf>
    <xf numFmtId="41" fontId="21" fillId="9" borderId="34" xfId="1" applyFont="1" applyFill="1" applyBorder="1" applyAlignment="1">
      <alignment vertical="center" shrinkToFit="1"/>
    </xf>
    <xf numFmtId="41" fontId="21" fillId="9" borderId="35" xfId="1" applyFont="1" applyFill="1" applyBorder="1" applyAlignment="1">
      <alignment vertical="center" shrinkToFit="1"/>
    </xf>
    <xf numFmtId="41" fontId="21" fillId="9" borderId="10" xfId="1" applyFont="1" applyFill="1" applyBorder="1" applyAlignment="1">
      <alignment vertical="center" shrinkToFit="1"/>
    </xf>
    <xf numFmtId="41" fontId="21" fillId="9" borderId="13" xfId="1" applyFont="1" applyFill="1" applyBorder="1" applyAlignment="1">
      <alignment vertical="center" shrinkToFit="1"/>
    </xf>
    <xf numFmtId="41" fontId="21" fillId="9" borderId="36" xfId="1" applyFont="1" applyFill="1" applyBorder="1" applyAlignment="1">
      <alignment vertical="center" shrinkToFit="1"/>
    </xf>
    <xf numFmtId="41" fontId="21" fillId="9" borderId="11" xfId="1" applyFont="1" applyFill="1" applyBorder="1" applyAlignment="1">
      <alignment vertical="center" shrinkToFit="1"/>
    </xf>
    <xf numFmtId="41" fontId="34" fillId="10" borderId="17" xfId="1" applyFont="1" applyFill="1" applyBorder="1" applyAlignment="1">
      <alignment vertical="center" shrinkToFit="1"/>
    </xf>
    <xf numFmtId="41" fontId="23" fillId="0" borderId="0" xfId="0" applyNumberFormat="1" applyFont="1">
      <alignment vertical="center"/>
    </xf>
    <xf numFmtId="41" fontId="21" fillId="9" borderId="43" xfId="1" applyFont="1" applyFill="1" applyBorder="1" applyAlignment="1">
      <alignment vertical="center" shrinkToFit="1"/>
    </xf>
    <xf numFmtId="41" fontId="21" fillId="9" borderId="45" xfId="1" applyFont="1" applyFill="1" applyBorder="1" applyAlignment="1">
      <alignment vertical="center" shrinkToFit="1"/>
    </xf>
    <xf numFmtId="41" fontId="21" fillId="9" borderId="46" xfId="1" applyFont="1" applyFill="1" applyBorder="1" applyAlignment="1">
      <alignment vertical="center" shrinkToFit="1"/>
    </xf>
    <xf numFmtId="41" fontId="21" fillId="9" borderId="47" xfId="1" applyFont="1" applyFill="1" applyBorder="1" applyAlignment="1">
      <alignment vertical="center" shrinkToFit="1"/>
    </xf>
    <xf numFmtId="41" fontId="21" fillId="0" borderId="48" xfId="1" applyFont="1" applyFill="1" applyBorder="1" applyAlignment="1">
      <alignment vertical="center" shrinkToFit="1"/>
    </xf>
    <xf numFmtId="41" fontId="19" fillId="6" borderId="17" xfId="1" applyFont="1" applyFill="1" applyBorder="1" applyAlignment="1">
      <alignment vertical="center" shrinkToFit="1"/>
    </xf>
    <xf numFmtId="0" fontId="14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6" fillId="9" borderId="50" xfId="0" applyFont="1" applyFill="1" applyBorder="1" applyAlignment="1">
      <alignment horizontal="center" vertical="center"/>
    </xf>
    <xf numFmtId="0" fontId="14" fillId="9" borderId="50" xfId="0" applyFont="1" applyFill="1" applyBorder="1" applyAlignment="1">
      <alignment horizontal="center" vertical="center"/>
    </xf>
    <xf numFmtId="0" fontId="14" fillId="9" borderId="50" xfId="0" applyFont="1" applyFill="1" applyBorder="1" applyAlignment="1">
      <alignment horizontal="right" vertical="center" shrinkToFit="1"/>
    </xf>
    <xf numFmtId="0" fontId="14" fillId="9" borderId="50" xfId="0" applyFont="1" applyFill="1" applyBorder="1" applyAlignment="1">
      <alignment horizontal="left" vertical="center" shrinkToFit="1"/>
    </xf>
    <xf numFmtId="41" fontId="14" fillId="9" borderId="50" xfId="1" applyFont="1" applyFill="1" applyBorder="1" applyAlignment="1">
      <alignment vertical="center" shrinkToFit="1"/>
    </xf>
    <xf numFmtId="41" fontId="14" fillId="0" borderId="50" xfId="1" applyFont="1" applyFill="1" applyBorder="1" applyAlignment="1">
      <alignment vertical="center" shrinkToFit="1"/>
    </xf>
    <xf numFmtId="176" fontId="14" fillId="9" borderId="50" xfId="1" applyNumberFormat="1" applyFont="1" applyFill="1" applyBorder="1" applyAlignment="1">
      <alignment horizontal="right" vertical="center" shrinkToFit="1"/>
    </xf>
    <xf numFmtId="41" fontId="26" fillId="0" borderId="50" xfId="1" applyFont="1" applyFill="1" applyBorder="1" applyAlignment="1">
      <alignment vertical="center" shrinkToFit="1"/>
    </xf>
    <xf numFmtId="41" fontId="21" fillId="0" borderId="51" xfId="1" applyFont="1" applyFill="1" applyBorder="1" applyAlignment="1">
      <alignment vertical="center" shrinkToFit="1"/>
    </xf>
    <xf numFmtId="0" fontId="14" fillId="0" borderId="9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6" fillId="9" borderId="6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right" vertical="center" shrinkToFit="1"/>
    </xf>
    <xf numFmtId="0" fontId="14" fillId="9" borderId="6" xfId="0" applyFont="1" applyFill="1" applyBorder="1" applyAlignment="1">
      <alignment horizontal="left" vertical="center" shrinkToFit="1"/>
    </xf>
    <xf numFmtId="41" fontId="14" fillId="9" borderId="6" xfId="1" applyFont="1" applyFill="1" applyBorder="1" applyAlignment="1">
      <alignment vertical="center" shrinkToFit="1"/>
    </xf>
    <xf numFmtId="41" fontId="14" fillId="0" borderId="6" xfId="1" applyFont="1" applyFill="1" applyBorder="1" applyAlignment="1">
      <alignment vertical="center" shrinkToFit="1"/>
    </xf>
    <xf numFmtId="176" fontId="14" fillId="9" borderId="6" xfId="1" applyNumberFormat="1" applyFont="1" applyFill="1" applyBorder="1" applyAlignment="1">
      <alignment horizontal="right" vertical="center" shrinkToFit="1"/>
    </xf>
    <xf numFmtId="41" fontId="26" fillId="0" borderId="6" xfId="1" applyFont="1" applyFill="1" applyBorder="1" applyAlignment="1">
      <alignment vertical="center" shrinkToFit="1"/>
    </xf>
    <xf numFmtId="41" fontId="21" fillId="0" borderId="44" xfId="1" applyFont="1" applyFill="1" applyBorder="1" applyAlignment="1">
      <alignment vertical="center" shrinkToFit="1"/>
    </xf>
    <xf numFmtId="41" fontId="21" fillId="0" borderId="46" xfId="1" applyFont="1" applyFill="1" applyBorder="1" applyAlignment="1">
      <alignment vertical="center" shrinkToFit="1"/>
    </xf>
    <xf numFmtId="176" fontId="14" fillId="9" borderId="20" xfId="1" applyNumberFormat="1" applyFont="1" applyFill="1" applyBorder="1" applyAlignment="1">
      <alignment horizontal="right" vertical="center" shrinkToFit="1"/>
    </xf>
    <xf numFmtId="176" fontId="14" fillId="9" borderId="11" xfId="1" applyNumberFormat="1" applyFont="1" applyFill="1" applyBorder="1" applyAlignment="1">
      <alignment horizontal="right" vertical="center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19" fillId="5" borderId="14" xfId="1" applyNumberFormat="1" applyFont="1" applyFill="1" applyBorder="1" applyAlignment="1">
      <alignment horizontal="center" vertical="center" wrapText="1"/>
    </xf>
    <xf numFmtId="3" fontId="19" fillId="5" borderId="28" xfId="1" applyNumberFormat="1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3" fontId="12" fillId="0" borderId="0" xfId="1" applyNumberFormat="1" applyFont="1" applyBorder="1" applyAlignment="1">
      <alignment horizontal="center" vertical="center"/>
    </xf>
    <xf numFmtId="3" fontId="15" fillId="0" borderId="0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3" fontId="19" fillId="5" borderId="8" xfId="1" applyNumberFormat="1" applyFont="1" applyFill="1" applyBorder="1" applyAlignment="1">
      <alignment horizontal="center" vertical="center"/>
    </xf>
    <xf numFmtId="3" fontId="19" fillId="5" borderId="37" xfId="1" applyNumberFormat="1" applyFont="1" applyFill="1" applyBorder="1" applyAlignment="1">
      <alignment horizontal="center" vertical="center" wrapText="1"/>
    </xf>
    <xf numFmtId="3" fontId="19" fillId="5" borderId="38" xfId="1" applyNumberFormat="1" applyFont="1" applyFill="1" applyBorder="1" applyAlignment="1">
      <alignment horizontal="center" vertical="center" wrapText="1"/>
    </xf>
    <xf numFmtId="3" fontId="19" fillId="5" borderId="39" xfId="1" applyNumberFormat="1" applyFont="1" applyFill="1" applyBorder="1" applyAlignment="1">
      <alignment horizontal="center" vertical="center" wrapText="1"/>
    </xf>
    <xf numFmtId="3" fontId="19" fillId="5" borderId="40" xfId="1" applyNumberFormat="1" applyFont="1" applyFill="1" applyBorder="1" applyAlignment="1">
      <alignment horizontal="center" vertical="center" wrapText="1"/>
    </xf>
    <xf numFmtId="3" fontId="19" fillId="5" borderId="41" xfId="1" applyNumberFormat="1" applyFont="1" applyFill="1" applyBorder="1" applyAlignment="1">
      <alignment horizontal="center" vertical="center" wrapText="1"/>
    </xf>
    <xf numFmtId="3" fontId="19" fillId="5" borderId="42" xfId="1" applyNumberFormat="1" applyFont="1" applyFill="1" applyBorder="1" applyAlignment="1">
      <alignment horizontal="center" vertical="center" wrapText="1"/>
    </xf>
    <xf numFmtId="3" fontId="19" fillId="5" borderId="31" xfId="1" applyNumberFormat="1" applyFont="1" applyFill="1" applyBorder="1" applyAlignment="1">
      <alignment horizontal="center" vertical="center" wrapText="1"/>
    </xf>
    <xf numFmtId="0" fontId="22" fillId="9" borderId="0" xfId="0" applyFont="1" applyFill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3" fontId="19" fillId="5" borderId="44" xfId="1" applyNumberFormat="1" applyFont="1" applyFill="1" applyBorder="1" applyAlignment="1">
      <alignment horizontal="center" vertical="center"/>
    </xf>
  </cellXfs>
  <cellStyles count="21">
    <cellStyle name="category" xfId="3" xr:uid="{00000000-0005-0000-0000-000000000000}"/>
    <cellStyle name="Comma [0]_ SG&amp;A Bridge " xfId="4" xr:uid="{00000000-0005-0000-0000-000001000000}"/>
    <cellStyle name="Comma_ SG&amp;A Bridge " xfId="5" xr:uid="{00000000-0005-0000-0000-000002000000}"/>
    <cellStyle name="Currency [0]_ SG&amp;A Bridge " xfId="6" xr:uid="{00000000-0005-0000-0000-000003000000}"/>
    <cellStyle name="Currency_ SG&amp;A Bridge " xfId="7" xr:uid="{00000000-0005-0000-0000-000004000000}"/>
    <cellStyle name="Grey" xfId="8" xr:uid="{00000000-0005-0000-0000-000005000000}"/>
    <cellStyle name="HEADER" xfId="9" xr:uid="{00000000-0005-0000-0000-000006000000}"/>
    <cellStyle name="Input [yellow]" xfId="10" xr:uid="{00000000-0005-0000-0000-000007000000}"/>
    <cellStyle name="Model" xfId="11" xr:uid="{00000000-0005-0000-0000-000008000000}"/>
    <cellStyle name="Normal - Style1" xfId="12" xr:uid="{00000000-0005-0000-0000-000009000000}"/>
    <cellStyle name="Normal_ SG&amp;A Bridge " xfId="13" xr:uid="{00000000-0005-0000-0000-00000A000000}"/>
    <cellStyle name="Percent [2]" xfId="14" xr:uid="{00000000-0005-0000-0000-00000B000000}"/>
    <cellStyle name="subhead" xfId="15" xr:uid="{00000000-0005-0000-0000-00000C000000}"/>
    <cellStyle name="쉼표 [0]" xfId="1" builtinId="6"/>
    <cellStyle name="쉼표 [0] 2" xfId="16" xr:uid="{00000000-0005-0000-0000-00000E000000}"/>
    <cellStyle name="스타일 1" xfId="17" xr:uid="{00000000-0005-0000-0000-00000F000000}"/>
    <cellStyle name="콤마 [0]_04목표" xfId="18" xr:uid="{00000000-0005-0000-0000-000010000000}"/>
    <cellStyle name="콤마_04목표" xfId="19" xr:uid="{00000000-0005-0000-0000-000011000000}"/>
    <cellStyle name="표준" xfId="0" builtinId="0"/>
    <cellStyle name="표준 2" xfId="2" xr:uid="{00000000-0005-0000-0000-000013000000}"/>
    <cellStyle name="표준 3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742950</xdr:colOff>
          <xdr:row>0</xdr:row>
          <xdr:rowOff>66675</xdr:rowOff>
        </xdr:from>
        <xdr:to>
          <xdr:col>18</xdr:col>
          <xdr:colOff>596348</xdr:colOff>
          <xdr:row>3</xdr:row>
          <xdr:rowOff>192985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07BDA2B-9395-4CE8-B07F-46DA6E602F3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!$B$14:$I$15" spid="_x0000_s1250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962900" y="66675"/>
              <a:ext cx="5149298" cy="9073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12</xdr:col>
      <xdr:colOff>0</xdr:colOff>
      <xdr:row>13</xdr:row>
      <xdr:rowOff>0</xdr:rowOff>
    </xdr:from>
    <xdr:to>
      <xdr:col>13</xdr:col>
      <xdr:colOff>8283</xdr:colOff>
      <xdr:row>13</xdr:row>
      <xdr:rowOff>223631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1A63DA48-3B52-4209-AC52-D764C1B1C6D3}"/>
            </a:ext>
          </a:extLst>
        </xdr:cNvPr>
        <xdr:cNvCxnSpPr/>
      </xdr:nvCxnSpPr>
      <xdr:spPr>
        <a:xfrm flipV="1">
          <a:off x="8058150" y="34480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819978</xdr:colOff>
      <xdr:row>6</xdr:row>
      <xdr:rowOff>41413</xdr:rowOff>
    </xdr:from>
    <xdr:to>
      <xdr:col>12</xdr:col>
      <xdr:colOff>728870</xdr:colOff>
      <xdr:row>7</xdr:row>
      <xdr:rowOff>1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C01DF107-DCD5-496B-94CD-514392643C1B}"/>
            </a:ext>
          </a:extLst>
        </xdr:cNvPr>
        <xdr:cNvCxnSpPr/>
      </xdr:nvCxnSpPr>
      <xdr:spPr>
        <a:xfrm flipV="1">
          <a:off x="8039928" y="1622563"/>
          <a:ext cx="747092" cy="225288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24848</xdr:colOff>
      <xdr:row>7</xdr:row>
      <xdr:rowOff>49696</xdr:rowOff>
    </xdr:from>
    <xdr:to>
      <xdr:col>13</xdr:col>
      <xdr:colOff>33131</xdr:colOff>
      <xdr:row>8</xdr:row>
      <xdr:rowOff>8283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B0C36BD2-C4A2-46C2-86D3-CDC1B59E6245}"/>
            </a:ext>
          </a:extLst>
        </xdr:cNvPr>
        <xdr:cNvCxnSpPr/>
      </xdr:nvCxnSpPr>
      <xdr:spPr>
        <a:xfrm flipV="1">
          <a:off x="8082998" y="1897546"/>
          <a:ext cx="741708" cy="225287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778566</xdr:colOff>
      <xdr:row>6</xdr:row>
      <xdr:rowOff>24848</xdr:rowOff>
    </xdr:from>
    <xdr:to>
      <xdr:col>15</xdr:col>
      <xdr:colOff>1</xdr:colOff>
      <xdr:row>6</xdr:row>
      <xdr:rowOff>248479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6FC053A6-D2B0-4991-B18D-C3FB34F48235}"/>
            </a:ext>
          </a:extLst>
        </xdr:cNvPr>
        <xdr:cNvCxnSpPr/>
      </xdr:nvCxnSpPr>
      <xdr:spPr>
        <a:xfrm flipV="1">
          <a:off x="9574696" y="1598544"/>
          <a:ext cx="745435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8283</xdr:colOff>
      <xdr:row>16</xdr:row>
      <xdr:rowOff>24847</xdr:rowOff>
    </xdr:from>
    <xdr:to>
      <xdr:col>13</xdr:col>
      <xdr:colOff>16566</xdr:colOff>
      <xdr:row>16</xdr:row>
      <xdr:rowOff>248478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39D1ABFD-8E98-4249-AEFC-909884F23180}"/>
            </a:ext>
          </a:extLst>
        </xdr:cNvPr>
        <xdr:cNvCxnSpPr/>
      </xdr:nvCxnSpPr>
      <xdr:spPr>
        <a:xfrm flipV="1">
          <a:off x="8066433" y="4272997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742950</xdr:colOff>
          <xdr:row>0</xdr:row>
          <xdr:rowOff>66675</xdr:rowOff>
        </xdr:from>
        <xdr:to>
          <xdr:col>18</xdr:col>
          <xdr:colOff>596348</xdr:colOff>
          <xdr:row>3</xdr:row>
          <xdr:rowOff>192985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590AF17-F219-4E65-9968-BD066E25A1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!$B$14:$I$15" spid="_x0000_s1260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962900" y="66675"/>
              <a:ext cx="5149298" cy="9073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12</xdr:col>
      <xdr:colOff>0</xdr:colOff>
      <xdr:row>13</xdr:row>
      <xdr:rowOff>0</xdr:rowOff>
    </xdr:from>
    <xdr:to>
      <xdr:col>13</xdr:col>
      <xdr:colOff>8283</xdr:colOff>
      <xdr:row>13</xdr:row>
      <xdr:rowOff>223631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F82C6C51-32E9-470A-95DF-82AF7E89E826}"/>
            </a:ext>
          </a:extLst>
        </xdr:cNvPr>
        <xdr:cNvCxnSpPr/>
      </xdr:nvCxnSpPr>
      <xdr:spPr>
        <a:xfrm flipV="1">
          <a:off x="8058150" y="34480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819978</xdr:colOff>
      <xdr:row>6</xdr:row>
      <xdr:rowOff>41413</xdr:rowOff>
    </xdr:from>
    <xdr:to>
      <xdr:col>12</xdr:col>
      <xdr:colOff>728870</xdr:colOff>
      <xdr:row>7</xdr:row>
      <xdr:rowOff>1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FC2830AD-DD47-4F7E-9BD7-8920F558402F}"/>
            </a:ext>
          </a:extLst>
        </xdr:cNvPr>
        <xdr:cNvCxnSpPr/>
      </xdr:nvCxnSpPr>
      <xdr:spPr>
        <a:xfrm flipV="1">
          <a:off x="8039928" y="1622563"/>
          <a:ext cx="747092" cy="225288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24848</xdr:colOff>
      <xdr:row>7</xdr:row>
      <xdr:rowOff>49696</xdr:rowOff>
    </xdr:from>
    <xdr:to>
      <xdr:col>13</xdr:col>
      <xdr:colOff>33131</xdr:colOff>
      <xdr:row>8</xdr:row>
      <xdr:rowOff>8283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C6E515AE-A052-4231-B0A2-9A7FC732B3FE}"/>
            </a:ext>
          </a:extLst>
        </xdr:cNvPr>
        <xdr:cNvCxnSpPr/>
      </xdr:nvCxnSpPr>
      <xdr:spPr>
        <a:xfrm flipV="1">
          <a:off x="8082998" y="1897546"/>
          <a:ext cx="741708" cy="225287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778566</xdr:colOff>
      <xdr:row>6</xdr:row>
      <xdr:rowOff>24848</xdr:rowOff>
    </xdr:from>
    <xdr:to>
      <xdr:col>15</xdr:col>
      <xdr:colOff>1</xdr:colOff>
      <xdr:row>6</xdr:row>
      <xdr:rowOff>248479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8B9526E7-2429-45FD-B793-3BE8BE83116F}"/>
            </a:ext>
          </a:extLst>
        </xdr:cNvPr>
        <xdr:cNvCxnSpPr/>
      </xdr:nvCxnSpPr>
      <xdr:spPr>
        <a:xfrm flipV="1">
          <a:off x="9570141" y="1605998"/>
          <a:ext cx="745435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8283</xdr:colOff>
      <xdr:row>16</xdr:row>
      <xdr:rowOff>24847</xdr:rowOff>
    </xdr:from>
    <xdr:to>
      <xdr:col>13</xdr:col>
      <xdr:colOff>16566</xdr:colOff>
      <xdr:row>16</xdr:row>
      <xdr:rowOff>248478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EED96702-7F16-4EBE-98AE-67CA92C592F2}"/>
            </a:ext>
          </a:extLst>
        </xdr:cNvPr>
        <xdr:cNvCxnSpPr/>
      </xdr:nvCxnSpPr>
      <xdr:spPr>
        <a:xfrm flipV="1">
          <a:off x="8066433" y="4272997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742950</xdr:colOff>
          <xdr:row>0</xdr:row>
          <xdr:rowOff>66675</xdr:rowOff>
        </xdr:from>
        <xdr:to>
          <xdr:col>18</xdr:col>
          <xdr:colOff>596348</xdr:colOff>
          <xdr:row>3</xdr:row>
          <xdr:rowOff>192985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F2B97157-F8B1-4E55-BB85-23B118A60E4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!$B$14:$I$15" spid="_x0000_s1270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962900" y="66675"/>
              <a:ext cx="5149298" cy="9073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12</xdr:col>
      <xdr:colOff>0</xdr:colOff>
      <xdr:row>13</xdr:row>
      <xdr:rowOff>0</xdr:rowOff>
    </xdr:from>
    <xdr:to>
      <xdr:col>13</xdr:col>
      <xdr:colOff>8283</xdr:colOff>
      <xdr:row>13</xdr:row>
      <xdr:rowOff>223631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FBB66077-59CA-4936-8765-F1DD1B4379A7}"/>
            </a:ext>
          </a:extLst>
        </xdr:cNvPr>
        <xdr:cNvCxnSpPr/>
      </xdr:nvCxnSpPr>
      <xdr:spPr>
        <a:xfrm flipV="1">
          <a:off x="8058150" y="34480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819978</xdr:colOff>
      <xdr:row>6</xdr:row>
      <xdr:rowOff>41413</xdr:rowOff>
    </xdr:from>
    <xdr:to>
      <xdr:col>12</xdr:col>
      <xdr:colOff>728870</xdr:colOff>
      <xdr:row>7</xdr:row>
      <xdr:rowOff>1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E579B31-64EE-4663-B4E4-60F0BDDAA2D0}"/>
            </a:ext>
          </a:extLst>
        </xdr:cNvPr>
        <xdr:cNvCxnSpPr/>
      </xdr:nvCxnSpPr>
      <xdr:spPr>
        <a:xfrm flipV="1">
          <a:off x="8039928" y="1622563"/>
          <a:ext cx="747092" cy="225288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24848</xdr:colOff>
      <xdr:row>7</xdr:row>
      <xdr:rowOff>49696</xdr:rowOff>
    </xdr:from>
    <xdr:to>
      <xdr:col>13</xdr:col>
      <xdr:colOff>33131</xdr:colOff>
      <xdr:row>8</xdr:row>
      <xdr:rowOff>8283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B8E0FE24-67F5-4CE8-9ABD-3930070144F0}"/>
            </a:ext>
          </a:extLst>
        </xdr:cNvPr>
        <xdr:cNvCxnSpPr/>
      </xdr:nvCxnSpPr>
      <xdr:spPr>
        <a:xfrm flipV="1">
          <a:off x="8082998" y="1897546"/>
          <a:ext cx="741708" cy="225287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778566</xdr:colOff>
      <xdr:row>6</xdr:row>
      <xdr:rowOff>24848</xdr:rowOff>
    </xdr:from>
    <xdr:to>
      <xdr:col>15</xdr:col>
      <xdr:colOff>1</xdr:colOff>
      <xdr:row>6</xdr:row>
      <xdr:rowOff>248479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FE8E41A3-4186-4E5A-9D43-AD35EB5E7C78}"/>
            </a:ext>
          </a:extLst>
        </xdr:cNvPr>
        <xdr:cNvCxnSpPr/>
      </xdr:nvCxnSpPr>
      <xdr:spPr>
        <a:xfrm flipV="1">
          <a:off x="9570141" y="1605998"/>
          <a:ext cx="745435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8283</xdr:colOff>
      <xdr:row>16</xdr:row>
      <xdr:rowOff>24847</xdr:rowOff>
    </xdr:from>
    <xdr:to>
      <xdr:col>13</xdr:col>
      <xdr:colOff>16566</xdr:colOff>
      <xdr:row>16</xdr:row>
      <xdr:rowOff>248478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B40B1B1-E8FF-443E-B956-C9EE12F42B88}"/>
            </a:ext>
          </a:extLst>
        </xdr:cNvPr>
        <xdr:cNvCxnSpPr/>
      </xdr:nvCxnSpPr>
      <xdr:spPr>
        <a:xfrm flipV="1">
          <a:off x="8066433" y="4272997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742950</xdr:colOff>
          <xdr:row>0</xdr:row>
          <xdr:rowOff>66675</xdr:rowOff>
        </xdr:from>
        <xdr:to>
          <xdr:col>18</xdr:col>
          <xdr:colOff>596348</xdr:colOff>
          <xdr:row>3</xdr:row>
          <xdr:rowOff>192985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9961D4E0-64AE-488D-A4BC-FC897FE8652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!$B$14:$I$15" spid="_x0000_s1280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962900" y="66675"/>
              <a:ext cx="5149298" cy="9073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12</xdr:col>
      <xdr:colOff>0</xdr:colOff>
      <xdr:row>13</xdr:row>
      <xdr:rowOff>0</xdr:rowOff>
    </xdr:from>
    <xdr:to>
      <xdr:col>13</xdr:col>
      <xdr:colOff>8283</xdr:colOff>
      <xdr:row>13</xdr:row>
      <xdr:rowOff>223631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49948A3B-D60C-4878-B56E-D096E1BBB036}"/>
            </a:ext>
          </a:extLst>
        </xdr:cNvPr>
        <xdr:cNvCxnSpPr/>
      </xdr:nvCxnSpPr>
      <xdr:spPr>
        <a:xfrm flipV="1">
          <a:off x="8058150" y="34480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819978</xdr:colOff>
      <xdr:row>6</xdr:row>
      <xdr:rowOff>41413</xdr:rowOff>
    </xdr:from>
    <xdr:to>
      <xdr:col>12</xdr:col>
      <xdr:colOff>728870</xdr:colOff>
      <xdr:row>7</xdr:row>
      <xdr:rowOff>1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5F06E30B-B7D3-46BA-A8BF-87842D9BEA09}"/>
            </a:ext>
          </a:extLst>
        </xdr:cNvPr>
        <xdr:cNvCxnSpPr/>
      </xdr:nvCxnSpPr>
      <xdr:spPr>
        <a:xfrm flipV="1">
          <a:off x="8039928" y="1622563"/>
          <a:ext cx="747092" cy="225288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24848</xdr:colOff>
      <xdr:row>7</xdr:row>
      <xdr:rowOff>49696</xdr:rowOff>
    </xdr:from>
    <xdr:to>
      <xdr:col>13</xdr:col>
      <xdr:colOff>33131</xdr:colOff>
      <xdr:row>8</xdr:row>
      <xdr:rowOff>8283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753A2234-393B-482B-8F67-3E04C6B57BAD}"/>
            </a:ext>
          </a:extLst>
        </xdr:cNvPr>
        <xdr:cNvCxnSpPr/>
      </xdr:nvCxnSpPr>
      <xdr:spPr>
        <a:xfrm flipV="1">
          <a:off x="8082998" y="1897546"/>
          <a:ext cx="741708" cy="225287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778566</xdr:colOff>
      <xdr:row>6</xdr:row>
      <xdr:rowOff>24848</xdr:rowOff>
    </xdr:from>
    <xdr:to>
      <xdr:col>15</xdr:col>
      <xdr:colOff>1</xdr:colOff>
      <xdr:row>6</xdr:row>
      <xdr:rowOff>248479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54781DA-1D72-4E5F-9A40-609F02FDC1C6}"/>
            </a:ext>
          </a:extLst>
        </xdr:cNvPr>
        <xdr:cNvCxnSpPr/>
      </xdr:nvCxnSpPr>
      <xdr:spPr>
        <a:xfrm flipV="1">
          <a:off x="9570141" y="1605998"/>
          <a:ext cx="745435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8283</xdr:colOff>
      <xdr:row>16</xdr:row>
      <xdr:rowOff>24847</xdr:rowOff>
    </xdr:from>
    <xdr:to>
      <xdr:col>13</xdr:col>
      <xdr:colOff>16566</xdr:colOff>
      <xdr:row>16</xdr:row>
      <xdr:rowOff>248478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64D55B8E-2056-4418-81FD-8652FCDF3F7A}"/>
            </a:ext>
          </a:extLst>
        </xdr:cNvPr>
        <xdr:cNvCxnSpPr/>
      </xdr:nvCxnSpPr>
      <xdr:spPr>
        <a:xfrm flipV="1">
          <a:off x="8066433" y="4272997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742950</xdr:colOff>
          <xdr:row>0</xdr:row>
          <xdr:rowOff>66675</xdr:rowOff>
        </xdr:from>
        <xdr:to>
          <xdr:col>18</xdr:col>
          <xdr:colOff>596348</xdr:colOff>
          <xdr:row>3</xdr:row>
          <xdr:rowOff>192985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F9D24F7D-1E8E-40F9-A54F-67246FE3EFB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!$B$14:$I$15" spid="_x0000_s1290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962900" y="66675"/>
              <a:ext cx="5149298" cy="9073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12</xdr:col>
      <xdr:colOff>0</xdr:colOff>
      <xdr:row>13</xdr:row>
      <xdr:rowOff>0</xdr:rowOff>
    </xdr:from>
    <xdr:to>
      <xdr:col>13</xdr:col>
      <xdr:colOff>8283</xdr:colOff>
      <xdr:row>13</xdr:row>
      <xdr:rowOff>223631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E474F716-2F6A-4B01-AC3D-6846D6CB2B1F}"/>
            </a:ext>
          </a:extLst>
        </xdr:cNvPr>
        <xdr:cNvCxnSpPr/>
      </xdr:nvCxnSpPr>
      <xdr:spPr>
        <a:xfrm flipV="1">
          <a:off x="8058150" y="34480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819978</xdr:colOff>
      <xdr:row>6</xdr:row>
      <xdr:rowOff>41413</xdr:rowOff>
    </xdr:from>
    <xdr:to>
      <xdr:col>12</xdr:col>
      <xdr:colOff>728870</xdr:colOff>
      <xdr:row>7</xdr:row>
      <xdr:rowOff>1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BF6B1B1D-918C-4573-A7A5-F26004D7A2F4}"/>
            </a:ext>
          </a:extLst>
        </xdr:cNvPr>
        <xdr:cNvCxnSpPr/>
      </xdr:nvCxnSpPr>
      <xdr:spPr>
        <a:xfrm flipV="1">
          <a:off x="8039928" y="1622563"/>
          <a:ext cx="747092" cy="225288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24848</xdr:colOff>
      <xdr:row>7</xdr:row>
      <xdr:rowOff>49696</xdr:rowOff>
    </xdr:from>
    <xdr:to>
      <xdr:col>13</xdr:col>
      <xdr:colOff>33131</xdr:colOff>
      <xdr:row>8</xdr:row>
      <xdr:rowOff>8283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7410BB53-FF83-439C-BACE-089B11361798}"/>
            </a:ext>
          </a:extLst>
        </xdr:cNvPr>
        <xdr:cNvCxnSpPr/>
      </xdr:nvCxnSpPr>
      <xdr:spPr>
        <a:xfrm flipV="1">
          <a:off x="8082998" y="1897546"/>
          <a:ext cx="741708" cy="225287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778566</xdr:colOff>
      <xdr:row>6</xdr:row>
      <xdr:rowOff>24848</xdr:rowOff>
    </xdr:from>
    <xdr:to>
      <xdr:col>15</xdr:col>
      <xdr:colOff>1</xdr:colOff>
      <xdr:row>6</xdr:row>
      <xdr:rowOff>248479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31D2C4C4-93A6-427D-AEF1-15FE014ECA9E}"/>
            </a:ext>
          </a:extLst>
        </xdr:cNvPr>
        <xdr:cNvCxnSpPr/>
      </xdr:nvCxnSpPr>
      <xdr:spPr>
        <a:xfrm flipV="1">
          <a:off x="9570141" y="1605998"/>
          <a:ext cx="745435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8283</xdr:colOff>
      <xdr:row>16</xdr:row>
      <xdr:rowOff>24847</xdr:rowOff>
    </xdr:from>
    <xdr:to>
      <xdr:col>13</xdr:col>
      <xdr:colOff>16566</xdr:colOff>
      <xdr:row>16</xdr:row>
      <xdr:rowOff>248478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9B74DC9F-5B53-479D-920A-9F252ABE9C5C}"/>
            </a:ext>
          </a:extLst>
        </xdr:cNvPr>
        <xdr:cNvCxnSpPr/>
      </xdr:nvCxnSpPr>
      <xdr:spPr>
        <a:xfrm flipV="1">
          <a:off x="8066433" y="4272997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742950</xdr:colOff>
          <xdr:row>0</xdr:row>
          <xdr:rowOff>66675</xdr:rowOff>
        </xdr:from>
        <xdr:to>
          <xdr:col>18</xdr:col>
          <xdr:colOff>596348</xdr:colOff>
          <xdr:row>3</xdr:row>
          <xdr:rowOff>192985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904DB88B-1834-4380-A552-8ACC8E688E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!$B$14:$I$15" spid="_x0000_s1301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962900" y="66675"/>
              <a:ext cx="5149298" cy="9073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12</xdr:col>
      <xdr:colOff>0</xdr:colOff>
      <xdr:row>13</xdr:row>
      <xdr:rowOff>0</xdr:rowOff>
    </xdr:from>
    <xdr:to>
      <xdr:col>13</xdr:col>
      <xdr:colOff>8283</xdr:colOff>
      <xdr:row>13</xdr:row>
      <xdr:rowOff>223631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B9323C72-CE01-4AA1-9E43-44FDC6763774}"/>
            </a:ext>
          </a:extLst>
        </xdr:cNvPr>
        <xdr:cNvCxnSpPr/>
      </xdr:nvCxnSpPr>
      <xdr:spPr>
        <a:xfrm flipV="1">
          <a:off x="8058150" y="34480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819978</xdr:colOff>
      <xdr:row>6</xdr:row>
      <xdr:rowOff>41413</xdr:rowOff>
    </xdr:from>
    <xdr:to>
      <xdr:col>12</xdr:col>
      <xdr:colOff>728870</xdr:colOff>
      <xdr:row>7</xdr:row>
      <xdr:rowOff>1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889B4AAE-2CF3-4E6F-B5A1-4878C49FA384}"/>
            </a:ext>
          </a:extLst>
        </xdr:cNvPr>
        <xdr:cNvCxnSpPr/>
      </xdr:nvCxnSpPr>
      <xdr:spPr>
        <a:xfrm flipV="1">
          <a:off x="8039928" y="1622563"/>
          <a:ext cx="747092" cy="225288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24848</xdr:colOff>
      <xdr:row>7</xdr:row>
      <xdr:rowOff>49696</xdr:rowOff>
    </xdr:from>
    <xdr:to>
      <xdr:col>13</xdr:col>
      <xdr:colOff>33131</xdr:colOff>
      <xdr:row>8</xdr:row>
      <xdr:rowOff>8283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116367AA-F2EB-4053-B24F-9F40C2BD44FC}"/>
            </a:ext>
          </a:extLst>
        </xdr:cNvPr>
        <xdr:cNvCxnSpPr/>
      </xdr:nvCxnSpPr>
      <xdr:spPr>
        <a:xfrm flipV="1">
          <a:off x="8082998" y="1897546"/>
          <a:ext cx="741708" cy="225287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778566</xdr:colOff>
      <xdr:row>6</xdr:row>
      <xdr:rowOff>24848</xdr:rowOff>
    </xdr:from>
    <xdr:to>
      <xdr:col>15</xdr:col>
      <xdr:colOff>1</xdr:colOff>
      <xdr:row>6</xdr:row>
      <xdr:rowOff>248479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0B59391-65E3-4C7D-AE41-33EC2D0AC094}"/>
            </a:ext>
          </a:extLst>
        </xdr:cNvPr>
        <xdr:cNvCxnSpPr/>
      </xdr:nvCxnSpPr>
      <xdr:spPr>
        <a:xfrm flipV="1">
          <a:off x="9570141" y="1605998"/>
          <a:ext cx="745435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8283</xdr:colOff>
      <xdr:row>15</xdr:row>
      <xdr:rowOff>24847</xdr:rowOff>
    </xdr:from>
    <xdr:to>
      <xdr:col>13</xdr:col>
      <xdr:colOff>16566</xdr:colOff>
      <xdr:row>15</xdr:row>
      <xdr:rowOff>248478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7D91AE49-90AA-4F39-A141-E9D0A2312B23}"/>
            </a:ext>
          </a:extLst>
        </xdr:cNvPr>
        <xdr:cNvCxnSpPr/>
      </xdr:nvCxnSpPr>
      <xdr:spPr>
        <a:xfrm flipV="1">
          <a:off x="8066433" y="4272997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8283</xdr:colOff>
      <xdr:row>19</xdr:row>
      <xdr:rowOff>223631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ED9E0DAD-7789-43B6-826C-0FEEA72690BD}"/>
            </a:ext>
          </a:extLst>
        </xdr:cNvPr>
        <xdr:cNvCxnSpPr/>
      </xdr:nvCxnSpPr>
      <xdr:spPr>
        <a:xfrm flipV="1">
          <a:off x="8058978" y="5284304"/>
          <a:ext cx="745435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</xdr:row>
      <xdr:rowOff>0</xdr:rowOff>
    </xdr:from>
    <xdr:to>
      <xdr:col>15</xdr:col>
      <xdr:colOff>8283</xdr:colOff>
      <xdr:row>19</xdr:row>
      <xdr:rowOff>223631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BF6E7EA4-7140-4794-BB44-FE3894F0180F}"/>
            </a:ext>
          </a:extLst>
        </xdr:cNvPr>
        <xdr:cNvCxnSpPr/>
      </xdr:nvCxnSpPr>
      <xdr:spPr>
        <a:xfrm flipV="1">
          <a:off x="9582978" y="5284304"/>
          <a:ext cx="745435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742950</xdr:colOff>
          <xdr:row>0</xdr:row>
          <xdr:rowOff>66675</xdr:rowOff>
        </xdr:from>
        <xdr:to>
          <xdr:col>18</xdr:col>
          <xdr:colOff>596348</xdr:colOff>
          <xdr:row>3</xdr:row>
          <xdr:rowOff>192985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55AEE913-51B6-4C4A-A446-5ECB0767524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!$B$14:$I$15" spid="_x0000_s1310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962900" y="66675"/>
              <a:ext cx="5149298" cy="9073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12</xdr:col>
      <xdr:colOff>0</xdr:colOff>
      <xdr:row>13</xdr:row>
      <xdr:rowOff>0</xdr:rowOff>
    </xdr:from>
    <xdr:to>
      <xdr:col>13</xdr:col>
      <xdr:colOff>8283</xdr:colOff>
      <xdr:row>13</xdr:row>
      <xdr:rowOff>223631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7374722B-EE2F-41AD-AAFA-09D0699D7035}"/>
            </a:ext>
          </a:extLst>
        </xdr:cNvPr>
        <xdr:cNvCxnSpPr/>
      </xdr:nvCxnSpPr>
      <xdr:spPr>
        <a:xfrm flipV="1">
          <a:off x="8058150" y="34480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819978</xdr:colOff>
      <xdr:row>6</xdr:row>
      <xdr:rowOff>41413</xdr:rowOff>
    </xdr:from>
    <xdr:to>
      <xdr:col>12</xdr:col>
      <xdr:colOff>728870</xdr:colOff>
      <xdr:row>7</xdr:row>
      <xdr:rowOff>1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4C4794F1-8293-4340-BA67-41E4258E7B06}"/>
            </a:ext>
          </a:extLst>
        </xdr:cNvPr>
        <xdr:cNvCxnSpPr/>
      </xdr:nvCxnSpPr>
      <xdr:spPr>
        <a:xfrm flipV="1">
          <a:off x="8039928" y="1622563"/>
          <a:ext cx="747092" cy="225288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24848</xdr:colOff>
      <xdr:row>7</xdr:row>
      <xdr:rowOff>49696</xdr:rowOff>
    </xdr:from>
    <xdr:to>
      <xdr:col>13</xdr:col>
      <xdr:colOff>33131</xdr:colOff>
      <xdr:row>8</xdr:row>
      <xdr:rowOff>8283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3EAA1119-7DA9-424A-9DB7-C77456281ED8}"/>
            </a:ext>
          </a:extLst>
        </xdr:cNvPr>
        <xdr:cNvCxnSpPr/>
      </xdr:nvCxnSpPr>
      <xdr:spPr>
        <a:xfrm flipV="1">
          <a:off x="8082998" y="1897546"/>
          <a:ext cx="741708" cy="225287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778566</xdr:colOff>
      <xdr:row>6</xdr:row>
      <xdr:rowOff>24848</xdr:rowOff>
    </xdr:from>
    <xdr:to>
      <xdr:col>15</xdr:col>
      <xdr:colOff>1</xdr:colOff>
      <xdr:row>6</xdr:row>
      <xdr:rowOff>248479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10E28D2A-466D-4107-BE45-A06F21F39902}"/>
            </a:ext>
          </a:extLst>
        </xdr:cNvPr>
        <xdr:cNvCxnSpPr/>
      </xdr:nvCxnSpPr>
      <xdr:spPr>
        <a:xfrm flipV="1">
          <a:off x="9570141" y="1605998"/>
          <a:ext cx="745435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8283</xdr:colOff>
      <xdr:row>15</xdr:row>
      <xdr:rowOff>24847</xdr:rowOff>
    </xdr:from>
    <xdr:to>
      <xdr:col>13</xdr:col>
      <xdr:colOff>16566</xdr:colOff>
      <xdr:row>15</xdr:row>
      <xdr:rowOff>248478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7CC28AF8-BEE1-4836-B39B-36D460BB09AC}"/>
            </a:ext>
          </a:extLst>
        </xdr:cNvPr>
        <xdr:cNvCxnSpPr/>
      </xdr:nvCxnSpPr>
      <xdr:spPr>
        <a:xfrm flipV="1">
          <a:off x="8066433" y="4006297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0</xdr:rowOff>
    </xdr:from>
    <xdr:to>
      <xdr:col>13</xdr:col>
      <xdr:colOff>8283</xdr:colOff>
      <xdr:row>18</xdr:row>
      <xdr:rowOff>223631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54736C32-7E1A-4ABE-BE49-AB4B87D34055}"/>
            </a:ext>
          </a:extLst>
        </xdr:cNvPr>
        <xdr:cNvCxnSpPr/>
      </xdr:nvCxnSpPr>
      <xdr:spPr>
        <a:xfrm flipV="1">
          <a:off x="8058150" y="50482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</xdr:row>
      <xdr:rowOff>0</xdr:rowOff>
    </xdr:from>
    <xdr:to>
      <xdr:col>15</xdr:col>
      <xdr:colOff>8283</xdr:colOff>
      <xdr:row>18</xdr:row>
      <xdr:rowOff>223631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AECBD7EB-A178-4F30-A3FF-F282EA40EA38}"/>
            </a:ext>
          </a:extLst>
        </xdr:cNvPr>
        <xdr:cNvCxnSpPr/>
      </xdr:nvCxnSpPr>
      <xdr:spPr>
        <a:xfrm flipV="1">
          <a:off x="9582150" y="50482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742950</xdr:colOff>
          <xdr:row>0</xdr:row>
          <xdr:rowOff>66675</xdr:rowOff>
        </xdr:from>
        <xdr:to>
          <xdr:col>18</xdr:col>
          <xdr:colOff>596348</xdr:colOff>
          <xdr:row>3</xdr:row>
          <xdr:rowOff>192985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C81ADDB1-D8BD-4B0D-A32D-F460EB4893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!$B$14:$I$15" spid="_x0000_s1321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962900" y="66675"/>
              <a:ext cx="5149298" cy="90736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12</xdr:col>
      <xdr:colOff>0</xdr:colOff>
      <xdr:row>12</xdr:row>
      <xdr:rowOff>0</xdr:rowOff>
    </xdr:from>
    <xdr:to>
      <xdr:col>13</xdr:col>
      <xdr:colOff>8283</xdr:colOff>
      <xdr:row>12</xdr:row>
      <xdr:rowOff>223631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5A59E5B6-3674-4995-8D04-8CAFA8FC9CE8}"/>
            </a:ext>
          </a:extLst>
        </xdr:cNvPr>
        <xdr:cNvCxnSpPr/>
      </xdr:nvCxnSpPr>
      <xdr:spPr>
        <a:xfrm flipV="1">
          <a:off x="8058150" y="34480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819978</xdr:colOff>
      <xdr:row>6</xdr:row>
      <xdr:rowOff>41413</xdr:rowOff>
    </xdr:from>
    <xdr:to>
      <xdr:col>12</xdr:col>
      <xdr:colOff>728870</xdr:colOff>
      <xdr:row>7</xdr:row>
      <xdr:rowOff>1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9AD91E57-8490-49AF-9928-B7306FC79097}"/>
            </a:ext>
          </a:extLst>
        </xdr:cNvPr>
        <xdr:cNvCxnSpPr/>
      </xdr:nvCxnSpPr>
      <xdr:spPr>
        <a:xfrm flipV="1">
          <a:off x="8039928" y="1622563"/>
          <a:ext cx="747092" cy="225288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24848</xdr:colOff>
      <xdr:row>7</xdr:row>
      <xdr:rowOff>49696</xdr:rowOff>
    </xdr:from>
    <xdr:to>
      <xdr:col>13</xdr:col>
      <xdr:colOff>33131</xdr:colOff>
      <xdr:row>8</xdr:row>
      <xdr:rowOff>8283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B44B12E2-A02D-4EC4-9790-DD2CD2AE96D7}"/>
            </a:ext>
          </a:extLst>
        </xdr:cNvPr>
        <xdr:cNvCxnSpPr/>
      </xdr:nvCxnSpPr>
      <xdr:spPr>
        <a:xfrm flipV="1">
          <a:off x="8082998" y="1897546"/>
          <a:ext cx="741708" cy="225287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778566</xdr:colOff>
      <xdr:row>6</xdr:row>
      <xdr:rowOff>24848</xdr:rowOff>
    </xdr:from>
    <xdr:to>
      <xdr:col>15</xdr:col>
      <xdr:colOff>1</xdr:colOff>
      <xdr:row>6</xdr:row>
      <xdr:rowOff>248479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5497B78C-0319-428E-9DBF-454F067E3EA5}"/>
            </a:ext>
          </a:extLst>
        </xdr:cNvPr>
        <xdr:cNvCxnSpPr/>
      </xdr:nvCxnSpPr>
      <xdr:spPr>
        <a:xfrm flipV="1">
          <a:off x="9570141" y="1605998"/>
          <a:ext cx="745435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13</xdr:col>
      <xdr:colOff>8283</xdr:colOff>
      <xdr:row>17</xdr:row>
      <xdr:rowOff>223631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59786BB6-DE61-4D71-AF72-F4126CDB1027}"/>
            </a:ext>
          </a:extLst>
        </xdr:cNvPr>
        <xdr:cNvCxnSpPr/>
      </xdr:nvCxnSpPr>
      <xdr:spPr>
        <a:xfrm flipV="1">
          <a:off x="8058150" y="47815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8283</xdr:colOff>
      <xdr:row>17</xdr:row>
      <xdr:rowOff>223631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22F0BEF8-B86C-4333-8885-B95DDBB2AEFE}"/>
            </a:ext>
          </a:extLst>
        </xdr:cNvPr>
        <xdr:cNvCxnSpPr/>
      </xdr:nvCxnSpPr>
      <xdr:spPr>
        <a:xfrm flipV="1">
          <a:off x="9582150" y="4781550"/>
          <a:ext cx="741708" cy="223631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4:I15"/>
  <sheetViews>
    <sheetView workbookViewId="0">
      <selection activeCell="M23" sqref="M23"/>
    </sheetView>
  </sheetViews>
  <sheetFormatPr defaultRowHeight="16.5" x14ac:dyDescent="0.3"/>
  <cols>
    <col min="2" max="2" width="4.75" customWidth="1"/>
  </cols>
  <sheetData>
    <row r="14" spans="2:9" ht="21.75" customHeight="1" x14ac:dyDescent="0.3">
      <c r="B14" s="172" t="s">
        <v>37</v>
      </c>
      <c r="C14" s="1" t="s">
        <v>31</v>
      </c>
      <c r="D14" s="1" t="s">
        <v>32</v>
      </c>
      <c r="E14" s="1" t="s">
        <v>33</v>
      </c>
      <c r="F14" s="1" t="s">
        <v>54</v>
      </c>
      <c r="G14" s="1" t="s">
        <v>34</v>
      </c>
      <c r="H14" s="1" t="s">
        <v>35</v>
      </c>
      <c r="I14" s="1" t="s">
        <v>36</v>
      </c>
    </row>
    <row r="15" spans="2:9" ht="49.5" customHeight="1" x14ac:dyDescent="0.3">
      <c r="B15" s="173"/>
      <c r="C15" s="1"/>
      <c r="D15" s="1"/>
      <c r="E15" s="1"/>
      <c r="F15" s="1"/>
      <c r="G15" s="1"/>
      <c r="H15" s="1"/>
      <c r="I15" s="1"/>
    </row>
  </sheetData>
  <mergeCells count="1">
    <mergeCell ref="B14:B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B92C-15A5-489D-AE48-F31E860466AB}">
  <sheetPr>
    <tabColor rgb="FFFFFF00"/>
    <pageSetUpPr fitToPage="1"/>
  </sheetPr>
  <dimension ref="A1:AK31"/>
  <sheetViews>
    <sheetView view="pageBreakPreview" zoomScale="115" zoomScaleNormal="100" zoomScaleSheetLayoutView="115" workbookViewId="0">
      <selection activeCell="H18" sqref="H18"/>
    </sheetView>
  </sheetViews>
  <sheetFormatPr defaultRowHeight="21.6" customHeight="1" x14ac:dyDescent="0.3"/>
  <cols>
    <col min="1" max="1" width="3" style="10" customWidth="1"/>
    <col min="2" max="2" width="6.25" style="10" customWidth="1"/>
    <col min="3" max="3" width="8.75" style="2" customWidth="1"/>
    <col min="4" max="4" width="9" style="2" customWidth="1"/>
    <col min="5" max="5" width="7.5" style="10" customWidth="1"/>
    <col min="6" max="6" width="7.75" style="2" customWidth="1"/>
    <col min="7" max="8" width="11.625" style="2" customWidth="1"/>
    <col min="9" max="9" width="10.25" style="25" customWidth="1"/>
    <col min="10" max="11" width="9.5" style="2" customWidth="1"/>
    <col min="12" max="12" width="11" style="2" customWidth="1"/>
    <col min="13" max="13" width="9.625" style="2" customWidth="1"/>
    <col min="14" max="14" width="10.375" style="2" customWidth="1"/>
    <col min="15" max="18" width="9.625" style="2" customWidth="1"/>
    <col min="19" max="19" width="9.25" style="2" customWidth="1"/>
    <col min="20" max="20" width="13.875" style="2" bestFit="1" customWidth="1"/>
    <col min="21" max="21" width="15.5" style="3" customWidth="1"/>
    <col min="22" max="22" width="15.625" style="2" customWidth="1"/>
    <col min="23" max="23" width="9.75" style="4" bestFit="1" customWidth="1"/>
    <col min="24" max="24" width="12" style="4" bestFit="1" customWidth="1"/>
    <col min="25" max="25" width="9" style="4"/>
    <col min="26" max="37" width="9" style="5"/>
    <col min="38" max="16384" width="9" style="2"/>
  </cols>
  <sheetData>
    <row r="1" spans="1:37" ht="30.75" customHeight="1" x14ac:dyDescent="0.3">
      <c r="A1" s="179" t="s">
        <v>80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37" ht="21.6" customHeight="1" x14ac:dyDescent="0.3">
      <c r="A2" s="180" t="s">
        <v>81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37" ht="9.75" customHeight="1" x14ac:dyDescent="0.3">
      <c r="A3" s="6"/>
      <c r="B3" s="7"/>
      <c r="C3" s="7"/>
      <c r="D3" s="7"/>
      <c r="E3" s="7"/>
      <c r="F3" s="7"/>
      <c r="G3" s="7"/>
      <c r="H3" s="7"/>
      <c r="I3" s="8"/>
      <c r="J3" s="7"/>
      <c r="K3" s="7"/>
    </row>
    <row r="4" spans="1:37" ht="21.6" customHeight="1" thickBot="1" x14ac:dyDescent="0.35">
      <c r="A4" s="9" t="s">
        <v>27</v>
      </c>
      <c r="H4" s="181"/>
      <c r="I4" s="181"/>
      <c r="J4" s="181"/>
      <c r="K4" s="181"/>
      <c r="L4" s="181"/>
      <c r="M4" s="181"/>
    </row>
    <row r="5" spans="1:37" s="12" customFormat="1" ht="21.6" customHeight="1" x14ac:dyDescent="0.3">
      <c r="A5" s="182" t="s">
        <v>5</v>
      </c>
      <c r="B5" s="184" t="s">
        <v>28</v>
      </c>
      <c r="C5" s="186" t="s">
        <v>14</v>
      </c>
      <c r="D5" s="186"/>
      <c r="E5" s="186"/>
      <c r="F5" s="186"/>
      <c r="G5" s="186"/>
      <c r="H5" s="186" t="s">
        <v>13</v>
      </c>
      <c r="I5" s="186"/>
      <c r="J5" s="186"/>
      <c r="K5" s="186"/>
      <c r="L5" s="186"/>
      <c r="M5" s="187" t="s">
        <v>0</v>
      </c>
      <c r="N5" s="187"/>
      <c r="O5" s="187"/>
      <c r="P5" s="187"/>
      <c r="Q5" s="187"/>
      <c r="R5" s="187"/>
      <c r="S5" s="187"/>
      <c r="T5" s="174" t="s">
        <v>25</v>
      </c>
      <c r="U5" s="11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4" customFormat="1" ht="21.6" customHeight="1" thickBot="1" x14ac:dyDescent="0.35">
      <c r="A6" s="183"/>
      <c r="B6" s="185"/>
      <c r="C6" s="79" t="s">
        <v>6</v>
      </c>
      <c r="D6" s="79" t="s">
        <v>7</v>
      </c>
      <c r="E6" s="79" t="s">
        <v>8</v>
      </c>
      <c r="F6" s="176" t="s">
        <v>9</v>
      </c>
      <c r="G6" s="176"/>
      <c r="H6" s="79" t="s">
        <v>10</v>
      </c>
      <c r="I6" s="36" t="s">
        <v>11</v>
      </c>
      <c r="J6" s="79" t="s">
        <v>12</v>
      </c>
      <c r="K6" s="79" t="s">
        <v>51</v>
      </c>
      <c r="L6" s="78" t="s">
        <v>26</v>
      </c>
      <c r="M6" s="37" t="s">
        <v>1</v>
      </c>
      <c r="N6" s="37" t="s">
        <v>22</v>
      </c>
      <c r="O6" s="37" t="s">
        <v>21</v>
      </c>
      <c r="P6" s="38" t="s">
        <v>23</v>
      </c>
      <c r="Q6" s="37" t="s">
        <v>3</v>
      </c>
      <c r="R6" s="37" t="s">
        <v>4</v>
      </c>
      <c r="S6" s="37" t="s">
        <v>2</v>
      </c>
      <c r="T6" s="175"/>
      <c r="U6" s="13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 spans="1:37" s="4" customFormat="1" ht="21.6" customHeight="1" x14ac:dyDescent="0.3">
      <c r="A7" s="100">
        <v>1</v>
      </c>
      <c r="B7" s="109" t="s">
        <v>24</v>
      </c>
      <c r="C7" s="102" t="s">
        <v>15</v>
      </c>
      <c r="D7" s="101"/>
      <c r="E7" s="103" t="s">
        <v>16</v>
      </c>
      <c r="F7" s="104" t="s">
        <v>17</v>
      </c>
      <c r="G7" s="105">
        <v>1011355</v>
      </c>
      <c r="H7" s="106">
        <v>5300000</v>
      </c>
      <c r="I7" s="106">
        <v>200000</v>
      </c>
      <c r="J7" s="106">
        <v>100000</v>
      </c>
      <c r="K7" s="106"/>
      <c r="L7" s="106">
        <f>J7+I7+H7+K7</f>
        <v>5600000</v>
      </c>
      <c r="M7" s="106"/>
      <c r="N7" s="106">
        <f>TRUNC((H7+K7)*3.595%,-1)</f>
        <v>190530</v>
      </c>
      <c r="O7" s="106"/>
      <c r="P7" s="106">
        <f>ROUNDDOWN(N7*13.14%,-1)</f>
        <v>25030</v>
      </c>
      <c r="Q7" s="107">
        <v>406570</v>
      </c>
      <c r="R7" s="106">
        <f t="shared" ref="R7:R20" si="0">ROUNDDOWN(Q7*0.1,-1)</f>
        <v>40650</v>
      </c>
      <c r="S7" s="106">
        <f t="shared" ref="S7:S20" si="1">SUM(M7:R7)</f>
        <v>662780</v>
      </c>
      <c r="T7" s="114">
        <f t="shared" ref="T7:T20" si="2">L7-S7</f>
        <v>4937220</v>
      </c>
      <c r="U7" s="92"/>
      <c r="W7" s="53"/>
    </row>
    <row r="8" spans="1:37" s="4" customFormat="1" ht="21.6" customHeight="1" x14ac:dyDescent="0.3">
      <c r="A8" s="16">
        <f>A7+1</f>
        <v>2</v>
      </c>
      <c r="B8" s="110" t="s">
        <v>24</v>
      </c>
      <c r="C8" s="65" t="s">
        <v>55</v>
      </c>
      <c r="D8" s="17"/>
      <c r="E8" s="17" t="s">
        <v>56</v>
      </c>
      <c r="F8" s="18" t="s">
        <v>57</v>
      </c>
      <c r="G8" s="19">
        <v>1018325</v>
      </c>
      <c r="H8" s="20">
        <v>3000000</v>
      </c>
      <c r="I8" s="20">
        <v>200000</v>
      </c>
      <c r="J8" s="20">
        <v>100000</v>
      </c>
      <c r="K8" s="59"/>
      <c r="L8" s="20">
        <f>J8+I8+H8+K8</f>
        <v>3300000</v>
      </c>
      <c r="M8" s="20"/>
      <c r="N8" s="59">
        <f t="shared" ref="N8:N20" si="3">TRUNC((H8+K8)*3.595%,-1)</f>
        <v>107850</v>
      </c>
      <c r="O8" s="20">
        <f>ROUNDDOWN(H8*0.9%,-1)</f>
        <v>27000</v>
      </c>
      <c r="P8" s="59">
        <f t="shared" ref="P8:P20" si="4">ROUNDDOWN(N8*13.14%,-1)</f>
        <v>14170</v>
      </c>
      <c r="Q8" s="54">
        <v>129440</v>
      </c>
      <c r="R8" s="20">
        <f t="shared" si="0"/>
        <v>12940</v>
      </c>
      <c r="S8" s="20">
        <f t="shared" si="1"/>
        <v>291400</v>
      </c>
      <c r="T8" s="115">
        <f t="shared" si="2"/>
        <v>3008600</v>
      </c>
      <c r="U8" s="92"/>
      <c r="W8" s="53"/>
    </row>
    <row r="9" spans="1:37" s="4" customFormat="1" ht="21.6" customHeight="1" x14ac:dyDescent="0.3">
      <c r="A9" s="16">
        <f t="shared" ref="A9" si="5">A8+1</f>
        <v>3</v>
      </c>
      <c r="B9" s="110" t="s">
        <v>40</v>
      </c>
      <c r="C9" s="65" t="s">
        <v>58</v>
      </c>
      <c r="D9" s="65"/>
      <c r="E9" s="56" t="s">
        <v>59</v>
      </c>
      <c r="F9" s="57" t="s">
        <v>60</v>
      </c>
      <c r="G9" s="58">
        <v>2011325</v>
      </c>
      <c r="H9" s="20">
        <v>2100000</v>
      </c>
      <c r="I9" s="20">
        <v>200000</v>
      </c>
      <c r="J9" s="20">
        <v>100000</v>
      </c>
      <c r="K9" s="59"/>
      <c r="L9" s="20">
        <f t="shared" ref="L9:L20" si="6">J9+I9+H9+K9</f>
        <v>2400000</v>
      </c>
      <c r="M9" s="21">
        <f>TRUNC((H9+K9)*4.75%,-1)</f>
        <v>99750</v>
      </c>
      <c r="N9" s="59">
        <f t="shared" si="3"/>
        <v>75490</v>
      </c>
      <c r="O9" s="20">
        <f t="shared" ref="O9:O20" si="7">ROUNDDOWN(H9*0.9%,-1)</f>
        <v>18900</v>
      </c>
      <c r="P9" s="59">
        <f t="shared" si="4"/>
        <v>9910</v>
      </c>
      <c r="Q9" s="54">
        <v>25950</v>
      </c>
      <c r="R9" s="20">
        <f t="shared" si="0"/>
        <v>2590</v>
      </c>
      <c r="S9" s="20">
        <f t="shared" si="1"/>
        <v>232590</v>
      </c>
      <c r="T9" s="115">
        <f t="shared" si="2"/>
        <v>2167410</v>
      </c>
      <c r="U9" s="93"/>
      <c r="V9" s="97"/>
    </row>
    <row r="10" spans="1:37" s="62" customFormat="1" ht="21.6" customHeight="1" x14ac:dyDescent="0.3">
      <c r="A10" s="55">
        <v>4</v>
      </c>
      <c r="B10" s="111" t="s">
        <v>24</v>
      </c>
      <c r="C10" s="80" t="s">
        <v>18</v>
      </c>
      <c r="D10" s="56"/>
      <c r="E10" s="56" t="s">
        <v>19</v>
      </c>
      <c r="F10" s="57" t="s">
        <v>20</v>
      </c>
      <c r="G10" s="58">
        <v>1261415</v>
      </c>
      <c r="H10" s="59">
        <v>4900000</v>
      </c>
      <c r="I10" s="59">
        <v>200000</v>
      </c>
      <c r="J10" s="59">
        <v>100000</v>
      </c>
      <c r="K10" s="59"/>
      <c r="L10" s="59">
        <f t="shared" si="6"/>
        <v>5200000</v>
      </c>
      <c r="M10" s="60">
        <f>TRUNC((H10+K10)*4.75%,-1)</f>
        <v>232750</v>
      </c>
      <c r="N10" s="59">
        <f t="shared" si="3"/>
        <v>176150</v>
      </c>
      <c r="O10" s="20">
        <f t="shared" si="7"/>
        <v>44100</v>
      </c>
      <c r="P10" s="59">
        <f t="shared" si="4"/>
        <v>23140</v>
      </c>
      <c r="Q10" s="61">
        <v>185850</v>
      </c>
      <c r="R10" s="59">
        <f t="shared" si="0"/>
        <v>18580</v>
      </c>
      <c r="S10" s="59">
        <f t="shared" si="1"/>
        <v>680570</v>
      </c>
      <c r="T10" s="115">
        <f t="shared" si="2"/>
        <v>4519430</v>
      </c>
      <c r="U10" s="94"/>
    </row>
    <row r="11" spans="1:37" s="4" customFormat="1" ht="21.6" customHeight="1" x14ac:dyDescent="0.3">
      <c r="A11" s="55">
        <v>5</v>
      </c>
      <c r="B11" s="110" t="s">
        <v>40</v>
      </c>
      <c r="C11" s="65" t="s">
        <v>61</v>
      </c>
      <c r="D11" s="17"/>
      <c r="E11" s="17" t="s">
        <v>62</v>
      </c>
      <c r="F11" s="18">
        <v>940531</v>
      </c>
      <c r="G11" s="19">
        <v>1009610</v>
      </c>
      <c r="H11" s="20">
        <v>2000000</v>
      </c>
      <c r="I11" s="20">
        <v>200000</v>
      </c>
      <c r="J11" s="20">
        <v>100000</v>
      </c>
      <c r="K11" s="59"/>
      <c r="L11" s="20">
        <f t="shared" si="6"/>
        <v>2300000</v>
      </c>
      <c r="M11" s="60">
        <f t="shared" ref="M11:M13" si="8">TRUNC((H11+K11)*4.75%,-1)</f>
        <v>95000</v>
      </c>
      <c r="N11" s="59">
        <f t="shared" si="3"/>
        <v>71900</v>
      </c>
      <c r="O11" s="20">
        <f t="shared" si="7"/>
        <v>18000</v>
      </c>
      <c r="P11" s="59">
        <f t="shared" si="4"/>
        <v>9440</v>
      </c>
      <c r="Q11" s="54">
        <v>19520</v>
      </c>
      <c r="R11" s="20">
        <f t="shared" si="0"/>
        <v>1950</v>
      </c>
      <c r="S11" s="20">
        <f t="shared" si="1"/>
        <v>215810</v>
      </c>
      <c r="T11" s="115">
        <f t="shared" si="2"/>
        <v>2084190</v>
      </c>
      <c r="U11" s="95"/>
    </row>
    <row r="12" spans="1:37" s="62" customFormat="1" ht="21.6" customHeight="1" x14ac:dyDescent="0.3">
      <c r="A12" s="16">
        <v>6</v>
      </c>
      <c r="B12" s="111" t="s">
        <v>24</v>
      </c>
      <c r="C12" s="80" t="s">
        <v>52</v>
      </c>
      <c r="D12" s="56"/>
      <c r="E12" s="56" t="s">
        <v>39</v>
      </c>
      <c r="F12" s="57" t="s">
        <v>53</v>
      </c>
      <c r="G12" s="58">
        <v>1055911</v>
      </c>
      <c r="H12" s="59">
        <v>6050000</v>
      </c>
      <c r="I12" s="59">
        <v>200000</v>
      </c>
      <c r="J12" s="59">
        <v>100000</v>
      </c>
      <c r="K12" s="59"/>
      <c r="L12" s="59">
        <f t="shared" si="6"/>
        <v>6350000</v>
      </c>
      <c r="M12" s="60">
        <f t="shared" si="8"/>
        <v>287370</v>
      </c>
      <c r="N12" s="59">
        <f t="shared" si="3"/>
        <v>217490</v>
      </c>
      <c r="O12" s="20">
        <f t="shared" si="7"/>
        <v>54450</v>
      </c>
      <c r="P12" s="59">
        <f t="shared" si="4"/>
        <v>28570</v>
      </c>
      <c r="Q12" s="61">
        <v>286900</v>
      </c>
      <c r="R12" s="59">
        <f t="shared" si="0"/>
        <v>28690</v>
      </c>
      <c r="S12" s="59">
        <f t="shared" si="1"/>
        <v>903470</v>
      </c>
      <c r="T12" s="115">
        <f t="shared" si="2"/>
        <v>5446530</v>
      </c>
      <c r="U12" s="94"/>
      <c r="W12" s="63"/>
    </row>
    <row r="13" spans="1:37" s="4" customFormat="1" ht="21.6" customHeight="1" x14ac:dyDescent="0.3">
      <c r="A13" s="55">
        <v>7</v>
      </c>
      <c r="B13" s="110" t="s">
        <v>38</v>
      </c>
      <c r="C13" s="65" t="s">
        <v>50</v>
      </c>
      <c r="D13" s="17"/>
      <c r="E13" s="17" t="s">
        <v>29</v>
      </c>
      <c r="F13" s="18" t="s">
        <v>30</v>
      </c>
      <c r="G13" s="19">
        <v>2810140</v>
      </c>
      <c r="H13" s="20">
        <v>3200000</v>
      </c>
      <c r="I13" s="20">
        <v>200000</v>
      </c>
      <c r="J13" s="20"/>
      <c r="K13" s="59"/>
      <c r="L13" s="20">
        <f t="shared" si="6"/>
        <v>3400000</v>
      </c>
      <c r="M13" s="60">
        <f t="shared" si="8"/>
        <v>152000</v>
      </c>
      <c r="N13" s="59">
        <f t="shared" si="3"/>
        <v>115040</v>
      </c>
      <c r="O13" s="20">
        <f t="shared" si="7"/>
        <v>28800</v>
      </c>
      <c r="P13" s="59">
        <f t="shared" si="4"/>
        <v>15110</v>
      </c>
      <c r="Q13" s="54">
        <v>117770</v>
      </c>
      <c r="R13" s="20">
        <f t="shared" si="0"/>
        <v>11770</v>
      </c>
      <c r="S13" s="20">
        <f t="shared" si="1"/>
        <v>440490</v>
      </c>
      <c r="T13" s="115">
        <f t="shared" si="2"/>
        <v>2959510</v>
      </c>
      <c r="U13" s="95"/>
      <c r="V13" s="98"/>
      <c r="W13" s="98"/>
      <c r="X13" s="98"/>
    </row>
    <row r="14" spans="1:37" s="4" customFormat="1" ht="21.6" customHeight="1" x14ac:dyDescent="0.3">
      <c r="A14" s="16">
        <v>8</v>
      </c>
      <c r="B14" s="110" t="s">
        <v>40</v>
      </c>
      <c r="C14" s="65" t="s">
        <v>47</v>
      </c>
      <c r="D14" s="17"/>
      <c r="E14" s="56" t="s">
        <v>48</v>
      </c>
      <c r="F14" s="57" t="s">
        <v>49</v>
      </c>
      <c r="G14" s="58">
        <v>1222414</v>
      </c>
      <c r="H14" s="59">
        <v>1900000</v>
      </c>
      <c r="I14" s="20">
        <v>200000</v>
      </c>
      <c r="J14" s="20">
        <v>100000</v>
      </c>
      <c r="K14" s="59"/>
      <c r="L14" s="20">
        <f t="shared" si="6"/>
        <v>2200000</v>
      </c>
      <c r="M14" s="21"/>
      <c r="N14" s="59">
        <f t="shared" si="3"/>
        <v>68300</v>
      </c>
      <c r="O14" s="20">
        <f t="shared" si="7"/>
        <v>17100</v>
      </c>
      <c r="P14" s="59">
        <f t="shared" si="4"/>
        <v>8970</v>
      </c>
      <c r="Q14" s="54">
        <v>19520</v>
      </c>
      <c r="R14" s="20">
        <f t="shared" si="0"/>
        <v>1950</v>
      </c>
      <c r="S14" s="20">
        <f t="shared" si="1"/>
        <v>115840</v>
      </c>
      <c r="T14" s="115">
        <f t="shared" si="2"/>
        <v>2084160</v>
      </c>
      <c r="U14" s="96"/>
      <c r="V14" s="98"/>
      <c r="W14" s="98"/>
      <c r="X14" s="98"/>
    </row>
    <row r="15" spans="1:37" s="4" customFormat="1" ht="21.6" customHeight="1" x14ac:dyDescent="0.3">
      <c r="A15" s="55">
        <v>9</v>
      </c>
      <c r="B15" s="110" t="s">
        <v>24</v>
      </c>
      <c r="C15" s="80" t="s">
        <v>64</v>
      </c>
      <c r="D15" s="80"/>
      <c r="E15" s="56" t="s">
        <v>63</v>
      </c>
      <c r="F15" s="57">
        <v>840410</v>
      </c>
      <c r="G15" s="58">
        <v>1240711</v>
      </c>
      <c r="H15" s="59">
        <v>4700000</v>
      </c>
      <c r="I15" s="20">
        <v>200000</v>
      </c>
      <c r="J15" s="20">
        <v>100000</v>
      </c>
      <c r="K15" s="59"/>
      <c r="L15" s="20">
        <f t="shared" si="6"/>
        <v>5000000</v>
      </c>
      <c r="M15" s="21">
        <f>TRUNC((H15+K15)*4.75%,-1)</f>
        <v>223250</v>
      </c>
      <c r="N15" s="59">
        <f t="shared" si="3"/>
        <v>168960</v>
      </c>
      <c r="O15" s="20">
        <f t="shared" si="7"/>
        <v>42300</v>
      </c>
      <c r="P15" s="59">
        <f t="shared" si="4"/>
        <v>22200</v>
      </c>
      <c r="Q15" s="54">
        <v>249460</v>
      </c>
      <c r="R15" s="20">
        <f t="shared" si="0"/>
        <v>24940</v>
      </c>
      <c r="S15" s="20">
        <f t="shared" si="1"/>
        <v>731110</v>
      </c>
      <c r="T15" s="113">
        <f t="shared" si="2"/>
        <v>4268890</v>
      </c>
      <c r="U15" s="70"/>
      <c r="V15" s="98"/>
      <c r="W15" s="98"/>
      <c r="X15" s="98"/>
    </row>
    <row r="16" spans="1:37" s="4" customFormat="1" ht="21.6" customHeight="1" x14ac:dyDescent="0.3">
      <c r="A16" s="16">
        <v>10</v>
      </c>
      <c r="B16" s="110" t="s">
        <v>24</v>
      </c>
      <c r="C16" s="80" t="s">
        <v>65</v>
      </c>
      <c r="D16" s="80"/>
      <c r="E16" s="56" t="s">
        <v>66</v>
      </c>
      <c r="F16" s="57" t="s">
        <v>67</v>
      </c>
      <c r="G16" s="58">
        <v>1067322</v>
      </c>
      <c r="H16" s="59">
        <v>5000000</v>
      </c>
      <c r="I16" s="20">
        <v>200000</v>
      </c>
      <c r="J16" s="20">
        <v>100000</v>
      </c>
      <c r="K16" s="59"/>
      <c r="L16" s="20">
        <f t="shared" si="6"/>
        <v>5300000</v>
      </c>
      <c r="M16" s="21">
        <f>TRUNC((H16+K16)*4.75%,-1)</f>
        <v>237500</v>
      </c>
      <c r="N16" s="59">
        <f t="shared" si="3"/>
        <v>179750</v>
      </c>
      <c r="O16" s="20">
        <f t="shared" si="7"/>
        <v>45000</v>
      </c>
      <c r="P16" s="59">
        <f t="shared" si="4"/>
        <v>23610</v>
      </c>
      <c r="Q16" s="54">
        <v>157900</v>
      </c>
      <c r="R16" s="20">
        <f t="shared" si="0"/>
        <v>15790</v>
      </c>
      <c r="S16" s="20">
        <f t="shared" si="1"/>
        <v>659550</v>
      </c>
      <c r="T16" s="113">
        <f t="shared" si="2"/>
        <v>4640450</v>
      </c>
      <c r="U16" s="70"/>
      <c r="V16" s="98"/>
      <c r="W16" s="98"/>
      <c r="X16" s="98"/>
    </row>
    <row r="17" spans="1:37" s="4" customFormat="1" ht="21.6" customHeight="1" x14ac:dyDescent="0.3">
      <c r="A17" s="55">
        <v>11</v>
      </c>
      <c r="B17" s="116" t="s">
        <v>40</v>
      </c>
      <c r="C17" s="117" t="s">
        <v>72</v>
      </c>
      <c r="D17" s="117"/>
      <c r="E17" s="118" t="s">
        <v>73</v>
      </c>
      <c r="F17" s="119" t="s">
        <v>74</v>
      </c>
      <c r="G17" s="120">
        <v>1222415</v>
      </c>
      <c r="H17" s="121">
        <v>1900000</v>
      </c>
      <c r="I17" s="121">
        <v>200000</v>
      </c>
      <c r="J17" s="121">
        <v>100000</v>
      </c>
      <c r="K17" s="121"/>
      <c r="L17" s="121">
        <f t="shared" si="6"/>
        <v>2200000</v>
      </c>
      <c r="M17" s="60"/>
      <c r="N17" s="59">
        <f t="shared" si="3"/>
        <v>68300</v>
      </c>
      <c r="O17" s="121">
        <f t="shared" si="7"/>
        <v>17100</v>
      </c>
      <c r="P17" s="59">
        <f t="shared" si="4"/>
        <v>8970</v>
      </c>
      <c r="Q17" s="122">
        <v>35600</v>
      </c>
      <c r="R17" s="121">
        <f t="shared" si="0"/>
        <v>3560</v>
      </c>
      <c r="S17" s="59">
        <f t="shared" si="1"/>
        <v>133530</v>
      </c>
      <c r="T17" s="115">
        <f t="shared" si="2"/>
        <v>2066470</v>
      </c>
      <c r="U17" s="70"/>
      <c r="V17" s="98"/>
      <c r="W17" s="98"/>
      <c r="X17" s="98"/>
    </row>
    <row r="18" spans="1:37" s="4" customFormat="1" ht="21.6" customHeight="1" x14ac:dyDescent="0.3">
      <c r="A18" s="16">
        <v>12</v>
      </c>
      <c r="B18" s="116" t="s">
        <v>40</v>
      </c>
      <c r="C18" s="117" t="s">
        <v>75</v>
      </c>
      <c r="D18" s="117"/>
      <c r="E18" s="118" t="s">
        <v>76</v>
      </c>
      <c r="F18" s="119" t="s">
        <v>77</v>
      </c>
      <c r="G18" s="120">
        <v>1046917</v>
      </c>
      <c r="H18" s="121">
        <v>3100000</v>
      </c>
      <c r="I18" s="121">
        <v>200000</v>
      </c>
      <c r="J18" s="121">
        <v>100000</v>
      </c>
      <c r="K18" s="121"/>
      <c r="L18" s="121">
        <f t="shared" si="6"/>
        <v>3400000</v>
      </c>
      <c r="M18" s="60">
        <f>TRUNC((H18+K18)*4.75%,-1)</f>
        <v>147250</v>
      </c>
      <c r="N18" s="59">
        <f t="shared" si="3"/>
        <v>111440</v>
      </c>
      <c r="O18" s="121">
        <f t="shared" si="7"/>
        <v>27900</v>
      </c>
      <c r="P18" s="59">
        <f t="shared" si="4"/>
        <v>14640</v>
      </c>
      <c r="Q18" s="122">
        <v>89220</v>
      </c>
      <c r="R18" s="121">
        <f t="shared" si="0"/>
        <v>8920</v>
      </c>
      <c r="S18" s="59">
        <f t="shared" si="1"/>
        <v>399370</v>
      </c>
      <c r="T18" s="115">
        <f t="shared" si="2"/>
        <v>3000630</v>
      </c>
      <c r="U18" s="70"/>
      <c r="V18" s="98"/>
      <c r="W18" s="98"/>
      <c r="X18" s="98"/>
    </row>
    <row r="19" spans="1:37" s="4" customFormat="1" ht="21.6" customHeight="1" x14ac:dyDescent="0.3">
      <c r="A19" s="55">
        <v>13</v>
      </c>
      <c r="B19" s="116" t="s">
        <v>40</v>
      </c>
      <c r="C19" s="117" t="s">
        <v>75</v>
      </c>
      <c r="D19" s="117"/>
      <c r="E19" s="118" t="s">
        <v>78</v>
      </c>
      <c r="F19" s="123" t="s">
        <v>79</v>
      </c>
      <c r="G19" s="120">
        <v>3079513</v>
      </c>
      <c r="H19" s="121">
        <v>2200000</v>
      </c>
      <c r="I19" s="121">
        <v>200000</v>
      </c>
      <c r="J19" s="121">
        <v>100000</v>
      </c>
      <c r="K19" s="121"/>
      <c r="L19" s="121">
        <f t="shared" si="6"/>
        <v>2500000</v>
      </c>
      <c r="M19" s="60">
        <f t="shared" ref="M19:M20" si="9">TRUNC((H19+K19)*4.75%,-1)</f>
        <v>104500</v>
      </c>
      <c r="N19" s="59">
        <f t="shared" si="3"/>
        <v>79090</v>
      </c>
      <c r="O19" s="121">
        <f t="shared" si="7"/>
        <v>19800</v>
      </c>
      <c r="P19" s="59">
        <f t="shared" si="4"/>
        <v>10390</v>
      </c>
      <c r="Q19" s="122">
        <v>25950</v>
      </c>
      <c r="R19" s="121">
        <f t="shared" si="0"/>
        <v>2590</v>
      </c>
      <c r="S19" s="121">
        <f t="shared" si="1"/>
        <v>242320</v>
      </c>
      <c r="T19" s="124">
        <f t="shared" si="2"/>
        <v>2257680</v>
      </c>
      <c r="U19" s="70"/>
      <c r="V19" s="98"/>
      <c r="W19" s="98"/>
      <c r="X19" s="98"/>
    </row>
    <row r="20" spans="1:37" s="4" customFormat="1" ht="21.6" customHeight="1" thickBot="1" x14ac:dyDescent="0.35">
      <c r="A20" s="16">
        <v>14</v>
      </c>
      <c r="B20" s="112" t="s">
        <v>68</v>
      </c>
      <c r="C20" s="74" t="s">
        <v>69</v>
      </c>
      <c r="D20" s="74"/>
      <c r="E20" s="75" t="s">
        <v>70</v>
      </c>
      <c r="F20" s="76">
        <v>740221</v>
      </c>
      <c r="G20" s="77">
        <v>1031512</v>
      </c>
      <c r="H20" s="71">
        <v>4700000</v>
      </c>
      <c r="I20" s="72">
        <v>200000</v>
      </c>
      <c r="J20" s="72">
        <v>100000</v>
      </c>
      <c r="K20" s="71"/>
      <c r="L20" s="72">
        <f t="shared" si="6"/>
        <v>5000000</v>
      </c>
      <c r="M20" s="60">
        <f t="shared" si="9"/>
        <v>223250</v>
      </c>
      <c r="N20" s="71">
        <f t="shared" si="3"/>
        <v>168960</v>
      </c>
      <c r="O20" s="72">
        <f t="shared" si="7"/>
        <v>42300</v>
      </c>
      <c r="P20" s="71">
        <f t="shared" si="4"/>
        <v>22200</v>
      </c>
      <c r="Q20" s="73">
        <v>225350</v>
      </c>
      <c r="R20" s="72">
        <f t="shared" si="0"/>
        <v>22530</v>
      </c>
      <c r="S20" s="72">
        <f t="shared" si="1"/>
        <v>704590</v>
      </c>
      <c r="T20" s="108">
        <f t="shared" si="2"/>
        <v>4295410</v>
      </c>
      <c r="U20" s="70"/>
      <c r="V20" s="98"/>
      <c r="W20" s="98"/>
      <c r="X20" s="98"/>
    </row>
    <row r="21" spans="1:37" s="24" customFormat="1" ht="21.6" customHeight="1" thickBot="1" x14ac:dyDescent="0.35">
      <c r="A21" s="177"/>
      <c r="B21" s="178"/>
      <c r="C21" s="178"/>
      <c r="D21" s="178"/>
      <c r="E21" s="178"/>
      <c r="F21" s="178"/>
      <c r="G21" s="178"/>
      <c r="H21" s="35">
        <f>SUM(H7:H20)</f>
        <v>50050000</v>
      </c>
      <c r="I21" s="35">
        <f>SUM(I7:I20)</f>
        <v>2800000</v>
      </c>
      <c r="J21" s="35">
        <f>SUM(J7:J20)</f>
        <v>1300000</v>
      </c>
      <c r="K21" s="35">
        <f>SUM(K7:K16)</f>
        <v>0</v>
      </c>
      <c r="L21" s="35">
        <f t="shared" ref="L21:T21" si="10">SUM(L7:L20)</f>
        <v>54150000</v>
      </c>
      <c r="M21" s="35">
        <f t="shared" si="10"/>
        <v>1802620</v>
      </c>
      <c r="N21" s="35">
        <f t="shared" si="10"/>
        <v>1799250</v>
      </c>
      <c r="O21" s="35">
        <f t="shared" si="10"/>
        <v>402750</v>
      </c>
      <c r="P21" s="35">
        <f t="shared" si="10"/>
        <v>236350</v>
      </c>
      <c r="Q21" s="35">
        <f t="shared" si="10"/>
        <v>1975000</v>
      </c>
      <c r="R21" s="35">
        <f t="shared" si="10"/>
        <v>197450</v>
      </c>
      <c r="S21" s="35">
        <f t="shared" si="10"/>
        <v>6413420</v>
      </c>
      <c r="T21" s="35">
        <f t="shared" si="10"/>
        <v>47736580</v>
      </c>
      <c r="U21" s="23"/>
      <c r="V21" s="23"/>
      <c r="W21" s="23"/>
      <c r="X21" s="98"/>
    </row>
    <row r="22" spans="1:37" s="4" customFormat="1" ht="15" customHeight="1" x14ac:dyDescent="0.3">
      <c r="A22" s="10"/>
      <c r="B22" s="10"/>
      <c r="C22" s="2"/>
      <c r="D22" s="2"/>
      <c r="E22" s="10"/>
      <c r="F22" s="2"/>
      <c r="G22" s="2"/>
      <c r="H22" s="2"/>
      <c r="I22" s="25"/>
      <c r="J22" s="2"/>
      <c r="K22" s="2"/>
      <c r="L22" s="2"/>
      <c r="M22" s="2"/>
      <c r="N22" s="2"/>
      <c r="O22" s="2"/>
      <c r="P22" s="2"/>
      <c r="Q22" s="2"/>
      <c r="R22" s="64"/>
      <c r="S22" s="2"/>
      <c r="T22" s="2"/>
      <c r="U22" s="3"/>
      <c r="V22" s="3"/>
      <c r="W22" s="3"/>
      <c r="X22" s="9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s="4" customFormat="1" ht="22.5" customHeight="1" x14ac:dyDescent="0.3">
      <c r="A23" s="10"/>
      <c r="B23" s="12"/>
      <c r="C23" s="66"/>
      <c r="D23" s="66"/>
      <c r="E23" s="67"/>
      <c r="F23" s="66"/>
      <c r="G23" s="2"/>
      <c r="H23" s="2"/>
      <c r="I23" s="68"/>
      <c r="J23" s="69"/>
      <c r="K23" s="2"/>
      <c r="L23" s="26" t="s">
        <v>24</v>
      </c>
      <c r="M23" s="27">
        <f t="shared" ref="M23:S23" si="11">M7+M8+M10+M15</f>
        <v>456000</v>
      </c>
      <c r="N23" s="27">
        <f t="shared" si="11"/>
        <v>643490</v>
      </c>
      <c r="O23" s="27">
        <f t="shared" si="11"/>
        <v>113400</v>
      </c>
      <c r="P23" s="27">
        <f t="shared" si="11"/>
        <v>84540</v>
      </c>
      <c r="Q23" s="27">
        <f t="shared" si="11"/>
        <v>971320</v>
      </c>
      <c r="R23" s="27">
        <f t="shared" si="11"/>
        <v>97110</v>
      </c>
      <c r="S23" s="27">
        <f t="shared" si="11"/>
        <v>2365860</v>
      </c>
      <c r="T23" s="99"/>
      <c r="U23" s="3"/>
      <c r="V23" s="12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s="4" customFormat="1" ht="22.5" customHeight="1" x14ac:dyDescent="0.3">
      <c r="A24" s="10"/>
      <c r="B24" s="12"/>
      <c r="C24" s="2"/>
      <c r="D24" s="2" t="s">
        <v>42</v>
      </c>
      <c r="E24" s="28"/>
      <c r="F24" s="2"/>
      <c r="G24" s="2"/>
      <c r="H24" s="2"/>
      <c r="I24" s="25"/>
      <c r="J24" s="2"/>
      <c r="K24" s="2"/>
      <c r="L24" s="29" t="s">
        <v>40</v>
      </c>
      <c r="M24" s="30">
        <f>M9+M11+M13+M14+M17+M18+M19</f>
        <v>598500</v>
      </c>
      <c r="N24" s="30">
        <f t="shared" ref="N24:S24" si="12">N9+N11+N13+N14+N17+N18+N19</f>
        <v>589560</v>
      </c>
      <c r="O24" s="30">
        <f t="shared" si="12"/>
        <v>147600</v>
      </c>
      <c r="P24" s="30">
        <f t="shared" si="12"/>
        <v>77430</v>
      </c>
      <c r="Q24" s="30">
        <f t="shared" si="12"/>
        <v>333530</v>
      </c>
      <c r="R24" s="30">
        <f t="shared" si="12"/>
        <v>33330</v>
      </c>
      <c r="S24" s="30">
        <f t="shared" si="12"/>
        <v>1779950</v>
      </c>
      <c r="T24" s="2"/>
      <c r="U24" s="3"/>
      <c r="V24" s="31"/>
      <c r="X24" s="22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s="4" customFormat="1" ht="22.5" customHeight="1" x14ac:dyDescent="0.3">
      <c r="A25" s="10"/>
      <c r="B25" s="12"/>
      <c r="C25" s="2"/>
      <c r="D25" s="2" t="s">
        <v>82</v>
      </c>
      <c r="E25" s="10"/>
      <c r="F25" s="2"/>
      <c r="G25" s="2"/>
      <c r="H25" s="2"/>
      <c r="I25" s="45" t="s">
        <v>46</v>
      </c>
      <c r="J25" s="46" t="s">
        <v>41</v>
      </c>
      <c r="K25" s="50"/>
      <c r="L25" s="29" t="s">
        <v>71</v>
      </c>
      <c r="M25" s="30">
        <f t="shared" ref="M25:S25" si="13">M12</f>
        <v>287370</v>
      </c>
      <c r="N25" s="30">
        <f t="shared" si="13"/>
        <v>217490</v>
      </c>
      <c r="O25" s="30">
        <f t="shared" si="13"/>
        <v>54450</v>
      </c>
      <c r="P25" s="30">
        <f t="shared" si="13"/>
        <v>28570</v>
      </c>
      <c r="Q25" s="30">
        <f t="shared" si="13"/>
        <v>286900</v>
      </c>
      <c r="R25" s="30">
        <f t="shared" si="13"/>
        <v>28690</v>
      </c>
      <c r="S25" s="30">
        <f t="shared" si="13"/>
        <v>903470</v>
      </c>
      <c r="T25" s="64"/>
      <c r="U25" s="3"/>
      <c r="V25" s="2"/>
      <c r="W25" s="32"/>
      <c r="X25" s="22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s="4" customFormat="1" ht="22.5" customHeight="1" thickBot="1" x14ac:dyDescent="0.35">
      <c r="A26" s="10"/>
      <c r="B26" s="12"/>
      <c r="C26" s="2"/>
      <c r="D26" s="2"/>
      <c r="E26" s="10"/>
      <c r="F26" s="42" t="s">
        <v>28</v>
      </c>
      <c r="G26" s="42" t="s">
        <v>44</v>
      </c>
      <c r="H26" s="43" t="s">
        <v>41</v>
      </c>
      <c r="I26" s="44" t="s">
        <v>45</v>
      </c>
      <c r="J26" s="44" t="s">
        <v>45</v>
      </c>
      <c r="K26" s="51"/>
      <c r="L26" s="40" t="s">
        <v>68</v>
      </c>
      <c r="M26" s="41">
        <f t="shared" ref="M26:S26" si="14">M20+M16</f>
        <v>460750</v>
      </c>
      <c r="N26" s="41">
        <f t="shared" si="14"/>
        <v>348710</v>
      </c>
      <c r="O26" s="41">
        <f t="shared" si="14"/>
        <v>87300</v>
      </c>
      <c r="P26" s="41">
        <f t="shared" si="14"/>
        <v>45810</v>
      </c>
      <c r="Q26" s="41">
        <f t="shared" si="14"/>
        <v>383250</v>
      </c>
      <c r="R26" s="41">
        <f t="shared" si="14"/>
        <v>38320</v>
      </c>
      <c r="S26" s="41">
        <f t="shared" si="14"/>
        <v>1364140</v>
      </c>
      <c r="T26" s="2"/>
      <c r="U26" s="3"/>
      <c r="V26" s="31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s="4" customFormat="1" ht="22.5" customHeight="1" thickBot="1" x14ac:dyDescent="0.35">
      <c r="A27" s="10"/>
      <c r="B27" s="12"/>
      <c r="C27" s="2"/>
      <c r="D27" s="2"/>
      <c r="E27" s="10"/>
      <c r="F27" s="39" t="s">
        <v>24</v>
      </c>
      <c r="G27" s="33">
        <f>N27+O27+P27</f>
        <v>2438350</v>
      </c>
      <c r="H27" s="33">
        <f>M27</f>
        <v>1802620</v>
      </c>
      <c r="I27" s="34"/>
      <c r="J27" s="34"/>
      <c r="K27" s="52"/>
      <c r="L27" s="47" t="s">
        <v>43</v>
      </c>
      <c r="M27" s="48">
        <f>SUM(M23:M26)</f>
        <v>1802620</v>
      </c>
      <c r="N27" s="48">
        <f t="shared" ref="N27:S27" si="15">SUM(N23:N26)</f>
        <v>1799250</v>
      </c>
      <c r="O27" s="48">
        <f t="shared" si="15"/>
        <v>402750</v>
      </c>
      <c r="P27" s="48">
        <f t="shared" si="15"/>
        <v>236350</v>
      </c>
      <c r="Q27" s="48">
        <f t="shared" si="15"/>
        <v>1975000</v>
      </c>
      <c r="R27" s="48">
        <f t="shared" si="15"/>
        <v>197450</v>
      </c>
      <c r="S27" s="49">
        <f t="shared" si="15"/>
        <v>6413420</v>
      </c>
      <c r="T27" s="2"/>
      <c r="U27" s="3"/>
      <c r="V27" s="31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s="4" customFormat="1" ht="22.5" customHeight="1" x14ac:dyDescent="0.3">
      <c r="A28" s="10"/>
      <c r="B28" s="81"/>
      <c r="C28" s="82"/>
      <c r="D28" s="82"/>
      <c r="E28" s="83"/>
      <c r="F28" s="84"/>
      <c r="G28" s="85"/>
      <c r="H28" s="85"/>
      <c r="I28" s="86"/>
      <c r="J28" s="86"/>
      <c r="K28" s="86"/>
      <c r="L28" s="87"/>
      <c r="M28" s="88"/>
      <c r="N28" s="88"/>
      <c r="O28" s="88"/>
      <c r="P28" s="88"/>
      <c r="Q28" s="88"/>
      <c r="R28" s="88"/>
      <c r="S28" s="88"/>
      <c r="T28" s="82"/>
      <c r="U28" s="3"/>
      <c r="V28" s="31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s="4" customFormat="1" ht="21.6" customHeight="1" x14ac:dyDescent="0.3">
      <c r="A29" s="10"/>
      <c r="B29" s="83"/>
      <c r="C29" s="82"/>
      <c r="D29" s="82"/>
      <c r="E29" s="83"/>
      <c r="F29" s="82"/>
      <c r="G29" s="89"/>
      <c r="H29" s="89"/>
      <c r="I29" s="90"/>
      <c r="J29" s="89"/>
      <c r="K29" s="89"/>
      <c r="L29" s="82"/>
      <c r="M29" s="82"/>
      <c r="N29" s="91"/>
      <c r="O29" s="82"/>
      <c r="P29" s="82"/>
      <c r="Q29" s="82"/>
      <c r="R29" s="82"/>
      <c r="S29" s="82"/>
      <c r="T29" s="82"/>
      <c r="U29" s="3"/>
      <c r="V29" s="2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1" spans="1:37" ht="21.6" customHeight="1" x14ac:dyDescent="0.3">
      <c r="I31" s="68"/>
      <c r="K31" s="64"/>
    </row>
  </sheetData>
  <mergeCells count="11">
    <mergeCell ref="T5:T6"/>
    <mergeCell ref="F6:G6"/>
    <mergeCell ref="A21:G21"/>
    <mergeCell ref="A1:L1"/>
    <mergeCell ref="A2:L2"/>
    <mergeCell ref="H4:M4"/>
    <mergeCell ref="A5:A6"/>
    <mergeCell ref="B5:B6"/>
    <mergeCell ref="C5:G5"/>
    <mergeCell ref="H5:L5"/>
    <mergeCell ref="M5:S5"/>
  </mergeCells>
  <phoneticPr fontId="2" type="noConversion"/>
  <printOptions horizontalCentered="1"/>
  <pageMargins left="0.11811023622047245" right="0" top="0.74803149606299213" bottom="0.55118110236220474" header="0.31496062992125984" footer="0.31496062992125984"/>
  <pageSetup paperSize="9" scale="72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4B11-D359-4995-B9D2-C5CF779B1574}">
  <sheetPr>
    <tabColor rgb="FFFFFF00"/>
    <pageSetUpPr fitToPage="1"/>
  </sheetPr>
  <dimension ref="A1:AK31"/>
  <sheetViews>
    <sheetView view="pageBreakPreview" zoomScale="115" zoomScaleNormal="100" zoomScaleSheetLayoutView="115" workbookViewId="0">
      <selection activeCell="G23" sqref="G23"/>
    </sheetView>
  </sheetViews>
  <sheetFormatPr defaultRowHeight="21.6" customHeight="1" x14ac:dyDescent="0.3"/>
  <cols>
    <col min="1" max="1" width="3" style="10" customWidth="1"/>
    <col min="2" max="2" width="6.25" style="10" customWidth="1"/>
    <col min="3" max="3" width="8.75" style="2" customWidth="1"/>
    <col min="4" max="4" width="9" style="2" customWidth="1"/>
    <col min="5" max="5" width="7.5" style="10" customWidth="1"/>
    <col min="6" max="6" width="7.75" style="2" customWidth="1"/>
    <col min="7" max="8" width="11.625" style="2" customWidth="1"/>
    <col min="9" max="9" width="10.25" style="25" customWidth="1"/>
    <col min="10" max="11" width="9.5" style="2" customWidth="1"/>
    <col min="12" max="12" width="11" style="2" customWidth="1"/>
    <col min="13" max="13" width="9.625" style="2" customWidth="1"/>
    <col min="14" max="14" width="10.375" style="2" customWidth="1"/>
    <col min="15" max="18" width="9.625" style="2" customWidth="1"/>
    <col min="19" max="19" width="9.25" style="2" customWidth="1"/>
    <col min="20" max="20" width="11.75" style="2" customWidth="1"/>
    <col min="21" max="21" width="10.625" style="3" customWidth="1"/>
    <col min="22" max="22" width="11.625" style="2" customWidth="1"/>
    <col min="23" max="23" width="13.5" style="4" customWidth="1"/>
    <col min="24" max="24" width="12" style="4" bestFit="1" customWidth="1"/>
    <col min="25" max="25" width="9" style="4"/>
    <col min="26" max="37" width="9" style="5"/>
    <col min="38" max="16384" width="9" style="2"/>
  </cols>
  <sheetData>
    <row r="1" spans="1:37" ht="30.75" customHeight="1" x14ac:dyDescent="0.3">
      <c r="A1" s="179" t="s">
        <v>83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37" ht="21.6" customHeight="1" x14ac:dyDescent="0.3">
      <c r="A2" s="180" t="s">
        <v>84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37" ht="9.75" customHeight="1" x14ac:dyDescent="0.3">
      <c r="A3" s="6"/>
      <c r="B3" s="7"/>
      <c r="C3" s="7"/>
      <c r="D3" s="7"/>
      <c r="E3" s="7"/>
      <c r="F3" s="7"/>
      <c r="G3" s="7"/>
      <c r="H3" s="7"/>
      <c r="I3" s="8"/>
      <c r="J3" s="7"/>
      <c r="K3" s="7"/>
    </row>
    <row r="4" spans="1:37" ht="21.6" customHeight="1" thickBot="1" x14ac:dyDescent="0.35">
      <c r="A4" s="9" t="s">
        <v>27</v>
      </c>
      <c r="H4" s="181"/>
      <c r="I4" s="181"/>
      <c r="J4" s="181"/>
      <c r="K4" s="181"/>
      <c r="L4" s="181"/>
      <c r="M4" s="181"/>
    </row>
    <row r="5" spans="1:37" s="12" customFormat="1" ht="21.6" customHeight="1" x14ac:dyDescent="0.3">
      <c r="A5" s="182" t="s">
        <v>5</v>
      </c>
      <c r="B5" s="184" t="s">
        <v>28</v>
      </c>
      <c r="C5" s="186" t="s">
        <v>14</v>
      </c>
      <c r="D5" s="186"/>
      <c r="E5" s="186"/>
      <c r="F5" s="186"/>
      <c r="G5" s="186"/>
      <c r="H5" s="186" t="s">
        <v>13</v>
      </c>
      <c r="I5" s="186"/>
      <c r="J5" s="186"/>
      <c r="K5" s="186"/>
      <c r="L5" s="186"/>
      <c r="M5" s="187" t="s">
        <v>0</v>
      </c>
      <c r="N5" s="187"/>
      <c r="O5" s="187"/>
      <c r="P5" s="187"/>
      <c r="Q5" s="187"/>
      <c r="R5" s="187"/>
      <c r="S5" s="187"/>
      <c r="T5" s="194" t="s">
        <v>25</v>
      </c>
      <c r="U5" s="188" t="s">
        <v>85</v>
      </c>
      <c r="V5" s="190" t="s">
        <v>86</v>
      </c>
      <c r="W5" s="192" t="s">
        <v>87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4" customFormat="1" ht="21.6" customHeight="1" thickBot="1" x14ac:dyDescent="0.35">
      <c r="A6" s="183"/>
      <c r="B6" s="185"/>
      <c r="C6" s="79" t="s">
        <v>6</v>
      </c>
      <c r="D6" s="79" t="s">
        <v>7</v>
      </c>
      <c r="E6" s="79" t="s">
        <v>8</v>
      </c>
      <c r="F6" s="176" t="s">
        <v>9</v>
      </c>
      <c r="G6" s="176"/>
      <c r="H6" s="79" t="s">
        <v>10</v>
      </c>
      <c r="I6" s="36" t="s">
        <v>11</v>
      </c>
      <c r="J6" s="79" t="s">
        <v>12</v>
      </c>
      <c r="K6" s="79" t="s">
        <v>51</v>
      </c>
      <c r="L6" s="78" t="s">
        <v>26</v>
      </c>
      <c r="M6" s="37" t="s">
        <v>1</v>
      </c>
      <c r="N6" s="37" t="s">
        <v>22</v>
      </c>
      <c r="O6" s="37" t="s">
        <v>21</v>
      </c>
      <c r="P6" s="38" t="s">
        <v>23</v>
      </c>
      <c r="Q6" s="37" t="s">
        <v>3</v>
      </c>
      <c r="R6" s="37" t="s">
        <v>4</v>
      </c>
      <c r="S6" s="37" t="s">
        <v>2</v>
      </c>
      <c r="T6" s="175"/>
      <c r="U6" s="189"/>
      <c r="V6" s="191"/>
      <c r="W6" s="193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 spans="1:37" s="4" customFormat="1" ht="21.6" customHeight="1" x14ac:dyDescent="0.3">
      <c r="A7" s="100">
        <v>1</v>
      </c>
      <c r="B7" s="109" t="s">
        <v>24</v>
      </c>
      <c r="C7" s="102" t="s">
        <v>15</v>
      </c>
      <c r="D7" s="101"/>
      <c r="E7" s="103" t="s">
        <v>16</v>
      </c>
      <c r="F7" s="104" t="s">
        <v>17</v>
      </c>
      <c r="G7" s="105">
        <v>1011355</v>
      </c>
      <c r="H7" s="106">
        <v>5300000</v>
      </c>
      <c r="I7" s="106">
        <v>200000</v>
      </c>
      <c r="J7" s="106">
        <v>100000</v>
      </c>
      <c r="K7" s="106"/>
      <c r="L7" s="106">
        <f>J7+I7+H7+K7</f>
        <v>5600000</v>
      </c>
      <c r="M7" s="106"/>
      <c r="N7" s="106">
        <f>TRUNC((H7+K7)*3.595%,-1)</f>
        <v>190530</v>
      </c>
      <c r="O7" s="106"/>
      <c r="P7" s="106">
        <f>ROUNDDOWN(N7*13.14%,-1)</f>
        <v>25030</v>
      </c>
      <c r="Q7" s="107">
        <v>406570</v>
      </c>
      <c r="R7" s="106">
        <f t="shared" ref="R7:R20" si="0">ROUNDDOWN(Q7*0.1,-1)</f>
        <v>40650</v>
      </c>
      <c r="S7" s="106">
        <f t="shared" ref="S7:S20" si="1">SUM(M7:R7)</f>
        <v>662780</v>
      </c>
      <c r="T7" s="114">
        <f t="shared" ref="T7:T20" si="2">L7-S7</f>
        <v>4937220</v>
      </c>
      <c r="U7" s="132"/>
      <c r="V7" s="133">
        <v>1716770</v>
      </c>
      <c r="W7" s="134">
        <f>T7-U7+V7</f>
        <v>6653990</v>
      </c>
    </row>
    <row r="8" spans="1:37" s="4" customFormat="1" ht="21.6" customHeight="1" x14ac:dyDescent="0.3">
      <c r="A8" s="16">
        <f>A7+1</f>
        <v>2</v>
      </c>
      <c r="B8" s="110" t="s">
        <v>24</v>
      </c>
      <c r="C8" s="65" t="s">
        <v>55</v>
      </c>
      <c r="D8" s="17"/>
      <c r="E8" s="17" t="s">
        <v>56</v>
      </c>
      <c r="F8" s="18" t="s">
        <v>57</v>
      </c>
      <c r="G8" s="19">
        <v>1018325</v>
      </c>
      <c r="H8" s="20">
        <v>3000000</v>
      </c>
      <c r="I8" s="20">
        <v>200000</v>
      </c>
      <c r="J8" s="20">
        <v>100000</v>
      </c>
      <c r="K8" s="59"/>
      <c r="L8" s="20">
        <f>J8+I8+H8+K8</f>
        <v>3300000</v>
      </c>
      <c r="M8" s="20"/>
      <c r="N8" s="59">
        <f t="shared" ref="N8:N20" si="3">TRUNC((H8+K8)*3.595%,-1)</f>
        <v>107850</v>
      </c>
      <c r="O8" s="20">
        <f>ROUNDDOWN(H8*0.9%,-1)</f>
        <v>27000</v>
      </c>
      <c r="P8" s="59">
        <f t="shared" ref="P8:P20" si="4">ROUNDDOWN(N8*13.14%,-1)</f>
        <v>14170</v>
      </c>
      <c r="Q8" s="54">
        <v>129440</v>
      </c>
      <c r="R8" s="20">
        <f t="shared" si="0"/>
        <v>12940</v>
      </c>
      <c r="S8" s="20">
        <f t="shared" si="1"/>
        <v>291400</v>
      </c>
      <c r="T8" s="115">
        <f t="shared" si="2"/>
        <v>3008600</v>
      </c>
      <c r="U8" s="132"/>
      <c r="V8" s="133">
        <v>1120020</v>
      </c>
      <c r="W8" s="134">
        <f t="shared" ref="W8:W21" si="5">T8-U8+V8</f>
        <v>4128620</v>
      </c>
    </row>
    <row r="9" spans="1:37" s="4" customFormat="1" ht="21.6" customHeight="1" x14ac:dyDescent="0.3">
      <c r="A9" s="16">
        <f t="shared" ref="A9" si="6">A8+1</f>
        <v>3</v>
      </c>
      <c r="B9" s="110" t="s">
        <v>40</v>
      </c>
      <c r="C9" s="65" t="s">
        <v>58</v>
      </c>
      <c r="D9" s="65"/>
      <c r="E9" s="56" t="s">
        <v>59</v>
      </c>
      <c r="F9" s="57" t="s">
        <v>60</v>
      </c>
      <c r="G9" s="58">
        <v>2011325</v>
      </c>
      <c r="H9" s="20">
        <v>2100000</v>
      </c>
      <c r="I9" s="20">
        <v>200000</v>
      </c>
      <c r="J9" s="20">
        <v>100000</v>
      </c>
      <c r="K9" s="59"/>
      <c r="L9" s="20">
        <f t="shared" ref="L9:L20" si="7">J9+I9+H9+K9</f>
        <v>2400000</v>
      </c>
      <c r="M9" s="21">
        <f>TRUNC((H9+K9)*4.75%,-1)</f>
        <v>99750</v>
      </c>
      <c r="N9" s="59">
        <f t="shared" si="3"/>
        <v>75490</v>
      </c>
      <c r="O9" s="20">
        <f t="shared" ref="O9:O20" si="8">ROUNDDOWN(H9*0.9%,-1)</f>
        <v>18900</v>
      </c>
      <c r="P9" s="59">
        <f t="shared" si="4"/>
        <v>9910</v>
      </c>
      <c r="Q9" s="54">
        <v>25950</v>
      </c>
      <c r="R9" s="20">
        <f t="shared" si="0"/>
        <v>2590</v>
      </c>
      <c r="S9" s="20">
        <f t="shared" si="1"/>
        <v>232590</v>
      </c>
      <c r="T9" s="115">
        <f t="shared" si="2"/>
        <v>2167410</v>
      </c>
      <c r="U9" s="135"/>
      <c r="V9" s="136"/>
      <c r="W9" s="134">
        <f t="shared" si="5"/>
        <v>2167410</v>
      </c>
    </row>
    <row r="10" spans="1:37" s="62" customFormat="1" ht="21.6" customHeight="1" x14ac:dyDescent="0.3">
      <c r="A10" s="55">
        <v>4</v>
      </c>
      <c r="B10" s="111" t="s">
        <v>24</v>
      </c>
      <c r="C10" s="80" t="s">
        <v>18</v>
      </c>
      <c r="D10" s="56"/>
      <c r="E10" s="56" t="s">
        <v>19</v>
      </c>
      <c r="F10" s="57" t="s">
        <v>20</v>
      </c>
      <c r="G10" s="58">
        <v>1261415</v>
      </c>
      <c r="H10" s="59">
        <v>4900000</v>
      </c>
      <c r="I10" s="59">
        <v>200000</v>
      </c>
      <c r="J10" s="59">
        <v>100000</v>
      </c>
      <c r="K10" s="59"/>
      <c r="L10" s="59">
        <f t="shared" si="7"/>
        <v>5200000</v>
      </c>
      <c r="M10" s="60">
        <f>TRUNC((H10+K10)*4.75%,-1)</f>
        <v>232750</v>
      </c>
      <c r="N10" s="59">
        <f t="shared" si="3"/>
        <v>176150</v>
      </c>
      <c r="O10" s="20">
        <f t="shared" si="8"/>
        <v>44100</v>
      </c>
      <c r="P10" s="59">
        <f t="shared" si="4"/>
        <v>23140</v>
      </c>
      <c r="Q10" s="61">
        <v>185850</v>
      </c>
      <c r="R10" s="59">
        <f t="shared" si="0"/>
        <v>18580</v>
      </c>
      <c r="S10" s="59">
        <f t="shared" si="1"/>
        <v>680570</v>
      </c>
      <c r="T10" s="115">
        <f t="shared" si="2"/>
        <v>4519430</v>
      </c>
      <c r="U10" s="135">
        <v>460480</v>
      </c>
      <c r="V10" s="136"/>
      <c r="W10" s="134">
        <f t="shared" si="5"/>
        <v>4058950</v>
      </c>
    </row>
    <row r="11" spans="1:37" s="4" customFormat="1" ht="21.6" customHeight="1" x14ac:dyDescent="0.3">
      <c r="A11" s="55">
        <v>5</v>
      </c>
      <c r="B11" s="110" t="s">
        <v>40</v>
      </c>
      <c r="C11" s="65" t="s">
        <v>61</v>
      </c>
      <c r="D11" s="17"/>
      <c r="E11" s="17" t="s">
        <v>62</v>
      </c>
      <c r="F11" s="18">
        <v>940531</v>
      </c>
      <c r="G11" s="19">
        <v>1009610</v>
      </c>
      <c r="H11" s="20">
        <v>2000000</v>
      </c>
      <c r="I11" s="20">
        <v>200000</v>
      </c>
      <c r="J11" s="20">
        <v>100000</v>
      </c>
      <c r="K11" s="59"/>
      <c r="L11" s="20">
        <f t="shared" si="7"/>
        <v>2300000</v>
      </c>
      <c r="M11" s="60">
        <f t="shared" ref="M11:M13" si="9">TRUNC((H11+K11)*4.75%,-1)</f>
        <v>95000</v>
      </c>
      <c r="N11" s="59">
        <f t="shared" si="3"/>
        <v>71900</v>
      </c>
      <c r="O11" s="20">
        <f t="shared" si="8"/>
        <v>18000</v>
      </c>
      <c r="P11" s="59">
        <f t="shared" si="4"/>
        <v>9440</v>
      </c>
      <c r="Q11" s="54">
        <v>19520</v>
      </c>
      <c r="R11" s="20">
        <f t="shared" si="0"/>
        <v>1950</v>
      </c>
      <c r="S11" s="20">
        <f t="shared" si="1"/>
        <v>215810</v>
      </c>
      <c r="T11" s="115">
        <f t="shared" si="2"/>
        <v>2084190</v>
      </c>
      <c r="U11" s="135"/>
      <c r="V11" s="136"/>
      <c r="W11" s="134">
        <f t="shared" si="5"/>
        <v>2084190</v>
      </c>
    </row>
    <row r="12" spans="1:37" s="62" customFormat="1" ht="21.6" customHeight="1" x14ac:dyDescent="0.3">
      <c r="A12" s="16">
        <v>6</v>
      </c>
      <c r="B12" s="111" t="s">
        <v>24</v>
      </c>
      <c r="C12" s="80" t="s">
        <v>52</v>
      </c>
      <c r="D12" s="56"/>
      <c r="E12" s="56" t="s">
        <v>39</v>
      </c>
      <c r="F12" s="57" t="s">
        <v>53</v>
      </c>
      <c r="G12" s="58">
        <v>1055911</v>
      </c>
      <c r="H12" s="59">
        <v>6050000</v>
      </c>
      <c r="I12" s="59">
        <v>200000</v>
      </c>
      <c r="J12" s="59">
        <v>100000</v>
      </c>
      <c r="K12" s="59"/>
      <c r="L12" s="59">
        <f t="shared" si="7"/>
        <v>6350000</v>
      </c>
      <c r="M12" s="60">
        <f t="shared" si="9"/>
        <v>287370</v>
      </c>
      <c r="N12" s="59">
        <f t="shared" si="3"/>
        <v>217490</v>
      </c>
      <c r="O12" s="20">
        <f t="shared" si="8"/>
        <v>54450</v>
      </c>
      <c r="P12" s="59">
        <f t="shared" si="4"/>
        <v>28570</v>
      </c>
      <c r="Q12" s="61">
        <v>286900</v>
      </c>
      <c r="R12" s="59">
        <f t="shared" si="0"/>
        <v>28690</v>
      </c>
      <c r="S12" s="59">
        <f t="shared" si="1"/>
        <v>903470</v>
      </c>
      <c r="T12" s="115">
        <f t="shared" si="2"/>
        <v>5446530</v>
      </c>
      <c r="U12" s="135"/>
      <c r="V12" s="136">
        <v>536010</v>
      </c>
      <c r="W12" s="134">
        <f t="shared" si="5"/>
        <v>5982540</v>
      </c>
    </row>
    <row r="13" spans="1:37" s="4" customFormat="1" ht="21.6" customHeight="1" x14ac:dyDescent="0.3">
      <c r="A13" s="55">
        <v>7</v>
      </c>
      <c r="B13" s="110" t="s">
        <v>38</v>
      </c>
      <c r="C13" s="65" t="s">
        <v>50</v>
      </c>
      <c r="D13" s="17"/>
      <c r="E13" s="17" t="s">
        <v>29</v>
      </c>
      <c r="F13" s="18" t="s">
        <v>30</v>
      </c>
      <c r="G13" s="19">
        <v>2810140</v>
      </c>
      <c r="H13" s="20">
        <v>3200000</v>
      </c>
      <c r="I13" s="20">
        <v>200000</v>
      </c>
      <c r="J13" s="20"/>
      <c r="K13" s="59"/>
      <c r="L13" s="20">
        <f t="shared" si="7"/>
        <v>3400000</v>
      </c>
      <c r="M13" s="60">
        <f t="shared" si="9"/>
        <v>152000</v>
      </c>
      <c r="N13" s="59">
        <f t="shared" si="3"/>
        <v>115040</v>
      </c>
      <c r="O13" s="20">
        <f t="shared" si="8"/>
        <v>28800</v>
      </c>
      <c r="P13" s="59">
        <f t="shared" si="4"/>
        <v>15110</v>
      </c>
      <c r="Q13" s="54">
        <v>117770</v>
      </c>
      <c r="R13" s="20">
        <f t="shared" si="0"/>
        <v>11770</v>
      </c>
      <c r="S13" s="20">
        <f t="shared" si="1"/>
        <v>440490</v>
      </c>
      <c r="T13" s="115">
        <f t="shared" si="2"/>
        <v>2959510</v>
      </c>
      <c r="U13" s="135"/>
      <c r="V13" s="136"/>
      <c r="W13" s="134">
        <f t="shared" si="5"/>
        <v>2959510</v>
      </c>
      <c r="X13" s="98"/>
    </row>
    <row r="14" spans="1:37" s="4" customFormat="1" ht="21.6" customHeight="1" x14ac:dyDescent="0.3">
      <c r="A14" s="16">
        <v>8</v>
      </c>
      <c r="B14" s="110" t="s">
        <v>40</v>
      </c>
      <c r="C14" s="65" t="s">
        <v>47</v>
      </c>
      <c r="D14" s="17"/>
      <c r="E14" s="56" t="s">
        <v>48</v>
      </c>
      <c r="F14" s="57" t="s">
        <v>49</v>
      </c>
      <c r="G14" s="58">
        <v>1222414</v>
      </c>
      <c r="H14" s="59">
        <v>1900000</v>
      </c>
      <c r="I14" s="20">
        <v>200000</v>
      </c>
      <c r="J14" s="20">
        <v>100000</v>
      </c>
      <c r="K14" s="59"/>
      <c r="L14" s="20">
        <f t="shared" si="7"/>
        <v>2200000</v>
      </c>
      <c r="M14" s="21"/>
      <c r="N14" s="59">
        <f t="shared" si="3"/>
        <v>68300</v>
      </c>
      <c r="O14" s="20">
        <f t="shared" si="8"/>
        <v>17100</v>
      </c>
      <c r="P14" s="59">
        <f t="shared" si="4"/>
        <v>8970</v>
      </c>
      <c r="Q14" s="54">
        <v>19520</v>
      </c>
      <c r="R14" s="20">
        <f t="shared" si="0"/>
        <v>1950</v>
      </c>
      <c r="S14" s="20">
        <f t="shared" si="1"/>
        <v>115840</v>
      </c>
      <c r="T14" s="115">
        <f t="shared" si="2"/>
        <v>2084160</v>
      </c>
      <c r="U14" s="135"/>
      <c r="V14" s="136"/>
      <c r="W14" s="134">
        <f t="shared" si="5"/>
        <v>2084160</v>
      </c>
      <c r="X14" s="98"/>
    </row>
    <row r="15" spans="1:37" s="4" customFormat="1" ht="21.6" customHeight="1" x14ac:dyDescent="0.3">
      <c r="A15" s="55">
        <v>9</v>
      </c>
      <c r="B15" s="110" t="s">
        <v>24</v>
      </c>
      <c r="C15" s="80" t="s">
        <v>64</v>
      </c>
      <c r="D15" s="80"/>
      <c r="E15" s="56" t="s">
        <v>63</v>
      </c>
      <c r="F15" s="57">
        <v>840410</v>
      </c>
      <c r="G15" s="58">
        <v>1240711</v>
      </c>
      <c r="H15" s="59">
        <v>4700000</v>
      </c>
      <c r="I15" s="20">
        <v>200000</v>
      </c>
      <c r="J15" s="20">
        <v>100000</v>
      </c>
      <c r="K15" s="59"/>
      <c r="L15" s="20">
        <f t="shared" si="7"/>
        <v>5000000</v>
      </c>
      <c r="M15" s="21">
        <f>TRUNC((H15+K15)*4.75%,-1)</f>
        <v>223250</v>
      </c>
      <c r="N15" s="59">
        <f t="shared" si="3"/>
        <v>168960</v>
      </c>
      <c r="O15" s="20">
        <f t="shared" si="8"/>
        <v>42300</v>
      </c>
      <c r="P15" s="59">
        <f t="shared" si="4"/>
        <v>22200</v>
      </c>
      <c r="Q15" s="54">
        <v>249460</v>
      </c>
      <c r="R15" s="20">
        <f t="shared" si="0"/>
        <v>24940</v>
      </c>
      <c r="S15" s="20">
        <f t="shared" si="1"/>
        <v>731110</v>
      </c>
      <c r="T15" s="113">
        <f t="shared" si="2"/>
        <v>4268890</v>
      </c>
      <c r="U15" s="135"/>
      <c r="V15" s="136">
        <v>673530</v>
      </c>
      <c r="W15" s="134">
        <f t="shared" si="5"/>
        <v>4942420</v>
      </c>
      <c r="X15" s="98"/>
    </row>
    <row r="16" spans="1:37" s="4" customFormat="1" ht="21.6" customHeight="1" x14ac:dyDescent="0.3">
      <c r="A16" s="16">
        <v>10</v>
      </c>
      <c r="B16" s="110" t="s">
        <v>24</v>
      </c>
      <c r="C16" s="80" t="s">
        <v>65</v>
      </c>
      <c r="D16" s="80"/>
      <c r="E16" s="56" t="s">
        <v>66</v>
      </c>
      <c r="F16" s="57" t="s">
        <v>67</v>
      </c>
      <c r="G16" s="58">
        <v>1067322</v>
      </c>
      <c r="H16" s="59">
        <v>5000000</v>
      </c>
      <c r="I16" s="20">
        <v>200000</v>
      </c>
      <c r="J16" s="20">
        <v>100000</v>
      </c>
      <c r="K16" s="59"/>
      <c r="L16" s="20">
        <f t="shared" si="7"/>
        <v>5300000</v>
      </c>
      <c r="M16" s="21">
        <f>TRUNC((H16+K16)*4.75%,-1)</f>
        <v>237500</v>
      </c>
      <c r="N16" s="59">
        <f t="shared" si="3"/>
        <v>179750</v>
      </c>
      <c r="O16" s="20">
        <f t="shared" si="8"/>
        <v>45000</v>
      </c>
      <c r="P16" s="59">
        <f t="shared" si="4"/>
        <v>23610</v>
      </c>
      <c r="Q16" s="54">
        <v>157900</v>
      </c>
      <c r="R16" s="20">
        <f t="shared" si="0"/>
        <v>15790</v>
      </c>
      <c r="S16" s="20">
        <f t="shared" si="1"/>
        <v>659550</v>
      </c>
      <c r="T16" s="113">
        <f t="shared" si="2"/>
        <v>4640450</v>
      </c>
      <c r="U16" s="135"/>
      <c r="V16" s="136">
        <v>262430</v>
      </c>
      <c r="W16" s="134">
        <f t="shared" si="5"/>
        <v>4902880</v>
      </c>
      <c r="X16" s="98"/>
    </row>
    <row r="17" spans="1:37" s="4" customFormat="1" ht="21.6" customHeight="1" x14ac:dyDescent="0.3">
      <c r="A17" s="55">
        <v>11</v>
      </c>
      <c r="B17" s="116" t="s">
        <v>40</v>
      </c>
      <c r="C17" s="117" t="s">
        <v>72</v>
      </c>
      <c r="D17" s="117"/>
      <c r="E17" s="118" t="s">
        <v>73</v>
      </c>
      <c r="F17" s="119" t="s">
        <v>74</v>
      </c>
      <c r="G17" s="120">
        <v>1222415</v>
      </c>
      <c r="H17" s="121">
        <v>1900000</v>
      </c>
      <c r="I17" s="121">
        <v>200000</v>
      </c>
      <c r="J17" s="121">
        <v>100000</v>
      </c>
      <c r="K17" s="121"/>
      <c r="L17" s="121">
        <f t="shared" si="7"/>
        <v>2200000</v>
      </c>
      <c r="M17" s="60"/>
      <c r="N17" s="59">
        <f t="shared" si="3"/>
        <v>68300</v>
      </c>
      <c r="O17" s="121">
        <f t="shared" si="8"/>
        <v>17100</v>
      </c>
      <c r="P17" s="59">
        <f t="shared" si="4"/>
        <v>8970</v>
      </c>
      <c r="Q17" s="122">
        <v>35600</v>
      </c>
      <c r="R17" s="121">
        <f t="shared" si="0"/>
        <v>3560</v>
      </c>
      <c r="S17" s="59">
        <f t="shared" si="1"/>
        <v>133530</v>
      </c>
      <c r="T17" s="115">
        <f t="shared" si="2"/>
        <v>2066470</v>
      </c>
      <c r="U17" s="137"/>
      <c r="V17" s="138"/>
      <c r="W17" s="134">
        <f t="shared" si="5"/>
        <v>2066470</v>
      </c>
      <c r="X17" s="98"/>
    </row>
    <row r="18" spans="1:37" s="4" customFormat="1" ht="21.6" customHeight="1" x14ac:dyDescent="0.3">
      <c r="A18" s="16">
        <v>12</v>
      </c>
      <c r="B18" s="116" t="s">
        <v>40</v>
      </c>
      <c r="C18" s="117" t="s">
        <v>75</v>
      </c>
      <c r="D18" s="117"/>
      <c r="E18" s="118" t="s">
        <v>76</v>
      </c>
      <c r="F18" s="119" t="s">
        <v>77</v>
      </c>
      <c r="G18" s="120">
        <v>1046917</v>
      </c>
      <c r="H18" s="121">
        <v>3100000</v>
      </c>
      <c r="I18" s="121">
        <v>200000</v>
      </c>
      <c r="J18" s="121">
        <v>100000</v>
      </c>
      <c r="K18" s="121"/>
      <c r="L18" s="121">
        <f t="shared" si="7"/>
        <v>3400000</v>
      </c>
      <c r="M18" s="60">
        <f>TRUNC((H18+K18)*4.75%,-1)</f>
        <v>147250</v>
      </c>
      <c r="N18" s="59">
        <f t="shared" si="3"/>
        <v>111440</v>
      </c>
      <c r="O18" s="121">
        <f t="shared" si="8"/>
        <v>27900</v>
      </c>
      <c r="P18" s="59">
        <f t="shared" si="4"/>
        <v>14640</v>
      </c>
      <c r="Q18" s="122">
        <v>89220</v>
      </c>
      <c r="R18" s="121">
        <f t="shared" si="0"/>
        <v>8920</v>
      </c>
      <c r="S18" s="59">
        <f t="shared" si="1"/>
        <v>399370</v>
      </c>
      <c r="T18" s="115">
        <f t="shared" si="2"/>
        <v>3000630</v>
      </c>
      <c r="U18" s="127"/>
      <c r="V18" s="126">
        <v>454100</v>
      </c>
      <c r="W18" s="134">
        <f t="shared" si="5"/>
        <v>3454730</v>
      </c>
      <c r="X18" s="98"/>
    </row>
    <row r="19" spans="1:37" s="4" customFormat="1" ht="21.6" customHeight="1" x14ac:dyDescent="0.3">
      <c r="A19" s="55">
        <v>13</v>
      </c>
      <c r="B19" s="116" t="s">
        <v>40</v>
      </c>
      <c r="C19" s="117" t="s">
        <v>75</v>
      </c>
      <c r="D19" s="117"/>
      <c r="E19" s="118" t="s">
        <v>78</v>
      </c>
      <c r="F19" s="123" t="s">
        <v>79</v>
      </c>
      <c r="G19" s="120">
        <v>3079513</v>
      </c>
      <c r="H19" s="121">
        <v>2200000</v>
      </c>
      <c r="I19" s="121">
        <v>200000</v>
      </c>
      <c r="J19" s="121">
        <v>100000</v>
      </c>
      <c r="K19" s="121"/>
      <c r="L19" s="121">
        <f t="shared" si="7"/>
        <v>2500000</v>
      </c>
      <c r="M19" s="60">
        <f t="shared" ref="M19:M20" si="10">TRUNC((H19+K19)*4.75%,-1)</f>
        <v>104500</v>
      </c>
      <c r="N19" s="59">
        <f t="shared" si="3"/>
        <v>79090</v>
      </c>
      <c r="O19" s="121">
        <f t="shared" si="8"/>
        <v>19800</v>
      </c>
      <c r="P19" s="59">
        <f t="shared" si="4"/>
        <v>10390</v>
      </c>
      <c r="Q19" s="122">
        <v>25950</v>
      </c>
      <c r="R19" s="121">
        <f t="shared" si="0"/>
        <v>2590</v>
      </c>
      <c r="S19" s="121">
        <f t="shared" si="1"/>
        <v>242320</v>
      </c>
      <c r="T19" s="124">
        <f t="shared" si="2"/>
        <v>2257680</v>
      </c>
      <c r="U19" s="127"/>
      <c r="V19" s="126"/>
      <c r="W19" s="134">
        <f t="shared" si="5"/>
        <v>2257680</v>
      </c>
      <c r="X19" s="98"/>
    </row>
    <row r="20" spans="1:37" s="4" customFormat="1" ht="21.6" customHeight="1" thickBot="1" x14ac:dyDescent="0.35">
      <c r="A20" s="16">
        <v>14</v>
      </c>
      <c r="B20" s="112" t="s">
        <v>68</v>
      </c>
      <c r="C20" s="74" t="s">
        <v>69</v>
      </c>
      <c r="D20" s="74"/>
      <c r="E20" s="75" t="s">
        <v>70</v>
      </c>
      <c r="F20" s="76">
        <v>740221</v>
      </c>
      <c r="G20" s="77">
        <v>1031512</v>
      </c>
      <c r="H20" s="71">
        <v>4700000</v>
      </c>
      <c r="I20" s="72">
        <v>200000</v>
      </c>
      <c r="J20" s="72">
        <v>100000</v>
      </c>
      <c r="K20" s="71"/>
      <c r="L20" s="72">
        <f t="shared" si="7"/>
        <v>5000000</v>
      </c>
      <c r="M20" s="60">
        <f t="shared" si="10"/>
        <v>223250</v>
      </c>
      <c r="N20" s="71">
        <f t="shared" si="3"/>
        <v>168960</v>
      </c>
      <c r="O20" s="72">
        <f t="shared" si="8"/>
        <v>42300</v>
      </c>
      <c r="P20" s="71">
        <f t="shared" si="4"/>
        <v>22200</v>
      </c>
      <c r="Q20" s="73">
        <v>225350</v>
      </c>
      <c r="R20" s="72">
        <f t="shared" si="0"/>
        <v>22530</v>
      </c>
      <c r="S20" s="72">
        <f t="shared" si="1"/>
        <v>704590</v>
      </c>
      <c r="T20" s="108">
        <f t="shared" si="2"/>
        <v>4295410</v>
      </c>
      <c r="U20" s="128"/>
      <c r="V20" s="129">
        <v>1519570</v>
      </c>
      <c r="W20" s="141">
        <f t="shared" si="5"/>
        <v>5814980</v>
      </c>
      <c r="X20" s="98"/>
    </row>
    <row r="21" spans="1:37" s="24" customFormat="1" ht="21.6" customHeight="1" thickBot="1" x14ac:dyDescent="0.35">
      <c r="A21" s="177"/>
      <c r="B21" s="178"/>
      <c r="C21" s="178"/>
      <c r="D21" s="178"/>
      <c r="E21" s="178"/>
      <c r="F21" s="178"/>
      <c r="G21" s="178"/>
      <c r="H21" s="35">
        <f>SUM(H7:H20)</f>
        <v>50050000</v>
      </c>
      <c r="I21" s="35">
        <f>SUM(I7:I20)</f>
        <v>2800000</v>
      </c>
      <c r="J21" s="35">
        <f>SUM(J7:J20)</f>
        <v>1300000</v>
      </c>
      <c r="K21" s="35">
        <f>SUM(K7:K16)</f>
        <v>0</v>
      </c>
      <c r="L21" s="35">
        <f t="shared" ref="L21:T21" si="11">SUM(L7:L20)</f>
        <v>54150000</v>
      </c>
      <c r="M21" s="35">
        <f t="shared" si="11"/>
        <v>1802620</v>
      </c>
      <c r="N21" s="35">
        <f t="shared" si="11"/>
        <v>1799250</v>
      </c>
      <c r="O21" s="35">
        <f t="shared" si="11"/>
        <v>402750</v>
      </c>
      <c r="P21" s="35">
        <f t="shared" si="11"/>
        <v>236350</v>
      </c>
      <c r="Q21" s="35">
        <f t="shared" si="11"/>
        <v>1975000</v>
      </c>
      <c r="R21" s="35">
        <f t="shared" si="11"/>
        <v>197450</v>
      </c>
      <c r="S21" s="35">
        <f t="shared" si="11"/>
        <v>6413420</v>
      </c>
      <c r="T21" s="125">
        <f t="shared" si="11"/>
        <v>47736580</v>
      </c>
      <c r="U21" s="130">
        <f>SUM(U7:U20)</f>
        <v>460480</v>
      </c>
      <c r="V21" s="131">
        <f>SUM(V7:V20)</f>
        <v>6282430</v>
      </c>
      <c r="W21" s="139">
        <f t="shared" si="5"/>
        <v>53558530</v>
      </c>
      <c r="X21" s="98"/>
    </row>
    <row r="22" spans="1:37" s="4" customFormat="1" ht="15" customHeight="1" x14ac:dyDescent="0.3">
      <c r="A22" s="10"/>
      <c r="B22" s="10"/>
      <c r="C22" s="2"/>
      <c r="D22" s="2"/>
      <c r="E22" s="10"/>
      <c r="F22" s="2"/>
      <c r="G22" s="2"/>
      <c r="H22" s="2"/>
      <c r="I22" s="25"/>
      <c r="J22" s="2"/>
      <c r="K22" s="2"/>
      <c r="L22" s="2"/>
      <c r="M22" s="2"/>
      <c r="N22" s="2"/>
      <c r="O22" s="2"/>
      <c r="P22" s="2"/>
      <c r="Q22" s="2"/>
      <c r="R22" s="64"/>
      <c r="S22" s="2"/>
      <c r="T22" s="2"/>
      <c r="U22" s="3"/>
      <c r="V22" s="3"/>
      <c r="W22" s="3"/>
      <c r="X22" s="9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s="4" customFormat="1" ht="22.5" customHeight="1" x14ac:dyDescent="0.3">
      <c r="A23" s="10"/>
      <c r="B23" s="12"/>
      <c r="C23" s="66"/>
      <c r="D23" s="66"/>
      <c r="E23" s="67"/>
      <c r="F23" s="66"/>
      <c r="G23" s="2"/>
      <c r="H23" s="2"/>
      <c r="I23" s="68"/>
      <c r="J23" s="69"/>
      <c r="K23" s="2"/>
      <c r="L23" s="26" t="s">
        <v>24</v>
      </c>
      <c r="M23" s="27">
        <f t="shared" ref="M23:S23" si="12">M7+M8+M10+M15</f>
        <v>456000</v>
      </c>
      <c r="N23" s="27">
        <f t="shared" si="12"/>
        <v>643490</v>
      </c>
      <c r="O23" s="27">
        <f t="shared" si="12"/>
        <v>113400</v>
      </c>
      <c r="P23" s="27">
        <f t="shared" si="12"/>
        <v>84540</v>
      </c>
      <c r="Q23" s="27">
        <f t="shared" si="12"/>
        <v>971320</v>
      </c>
      <c r="R23" s="27">
        <f t="shared" si="12"/>
        <v>97110</v>
      </c>
      <c r="S23" s="27">
        <f t="shared" si="12"/>
        <v>2365860</v>
      </c>
      <c r="T23" s="99"/>
      <c r="U23" s="3"/>
      <c r="V23" s="12"/>
      <c r="W23" s="22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s="4" customFormat="1" ht="22.5" customHeight="1" x14ac:dyDescent="0.3">
      <c r="A24" s="10"/>
      <c r="B24" s="12"/>
      <c r="C24" s="2"/>
      <c r="D24" s="2" t="s">
        <v>42</v>
      </c>
      <c r="E24" s="28"/>
      <c r="F24" s="2"/>
      <c r="G24" s="2"/>
      <c r="H24" s="2"/>
      <c r="I24" s="25"/>
      <c r="J24" s="2"/>
      <c r="K24" s="2"/>
      <c r="L24" s="29" t="s">
        <v>40</v>
      </c>
      <c r="M24" s="30">
        <f>M9+M11+M13+M14+M17+M18+M19</f>
        <v>598500</v>
      </c>
      <c r="N24" s="30">
        <f t="shared" ref="N24:S24" si="13">N9+N11+N13+N14+N17+N18+N19</f>
        <v>589560</v>
      </c>
      <c r="O24" s="30">
        <f t="shared" si="13"/>
        <v>147600</v>
      </c>
      <c r="P24" s="30">
        <f t="shared" si="13"/>
        <v>77430</v>
      </c>
      <c r="Q24" s="30">
        <f t="shared" si="13"/>
        <v>333530</v>
      </c>
      <c r="R24" s="30">
        <f t="shared" si="13"/>
        <v>33330</v>
      </c>
      <c r="S24" s="30">
        <f t="shared" si="13"/>
        <v>1779950</v>
      </c>
      <c r="T24" s="2"/>
      <c r="U24" s="3"/>
      <c r="V24" s="31"/>
      <c r="W24" s="22"/>
      <c r="X24" s="22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s="4" customFormat="1" ht="22.5" customHeight="1" x14ac:dyDescent="0.3">
      <c r="A25" s="10"/>
      <c r="B25" s="12"/>
      <c r="C25" s="2"/>
      <c r="D25" s="2" t="s">
        <v>82</v>
      </c>
      <c r="E25" s="10"/>
      <c r="F25" s="2"/>
      <c r="G25" s="2"/>
      <c r="H25" s="2"/>
      <c r="I25" s="45" t="s">
        <v>46</v>
      </c>
      <c r="J25" s="46" t="s">
        <v>41</v>
      </c>
      <c r="K25" s="50"/>
      <c r="L25" s="29" t="s">
        <v>71</v>
      </c>
      <c r="M25" s="30">
        <f t="shared" ref="M25:S25" si="14">M12</f>
        <v>287370</v>
      </c>
      <c r="N25" s="30">
        <f t="shared" si="14"/>
        <v>217490</v>
      </c>
      <c r="O25" s="30">
        <f t="shared" si="14"/>
        <v>54450</v>
      </c>
      <c r="P25" s="30">
        <f t="shared" si="14"/>
        <v>28570</v>
      </c>
      <c r="Q25" s="30">
        <f t="shared" si="14"/>
        <v>286900</v>
      </c>
      <c r="R25" s="30">
        <f t="shared" si="14"/>
        <v>28690</v>
      </c>
      <c r="S25" s="30">
        <f t="shared" si="14"/>
        <v>903470</v>
      </c>
      <c r="T25" s="64"/>
      <c r="U25" s="3"/>
      <c r="V25" s="2"/>
      <c r="W25" s="140"/>
      <c r="X25" s="22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s="4" customFormat="1" ht="22.5" customHeight="1" thickBot="1" x14ac:dyDescent="0.35">
      <c r="A26" s="10"/>
      <c r="B26" s="12"/>
      <c r="C26" s="2"/>
      <c r="D26" s="2"/>
      <c r="E26" s="10"/>
      <c r="F26" s="42" t="s">
        <v>28</v>
      </c>
      <c r="G26" s="42" t="s">
        <v>44</v>
      </c>
      <c r="H26" s="43" t="s">
        <v>41</v>
      </c>
      <c r="I26" s="44" t="s">
        <v>45</v>
      </c>
      <c r="J26" s="44" t="s">
        <v>45</v>
      </c>
      <c r="K26" s="51"/>
      <c r="L26" s="40" t="s">
        <v>68</v>
      </c>
      <c r="M26" s="41">
        <f t="shared" ref="M26:S26" si="15">M20+M16</f>
        <v>460750</v>
      </c>
      <c r="N26" s="41">
        <f t="shared" si="15"/>
        <v>348710</v>
      </c>
      <c r="O26" s="41">
        <f t="shared" si="15"/>
        <v>87300</v>
      </c>
      <c r="P26" s="41">
        <f t="shared" si="15"/>
        <v>45810</v>
      </c>
      <c r="Q26" s="41">
        <f t="shared" si="15"/>
        <v>383250</v>
      </c>
      <c r="R26" s="41">
        <f t="shared" si="15"/>
        <v>38320</v>
      </c>
      <c r="S26" s="41">
        <f t="shared" si="15"/>
        <v>1364140</v>
      </c>
      <c r="T26" s="2"/>
      <c r="U26" s="3"/>
      <c r="V26" s="31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s="4" customFormat="1" ht="22.5" customHeight="1" thickBot="1" x14ac:dyDescent="0.35">
      <c r="A27" s="10"/>
      <c r="B27" s="12"/>
      <c r="C27" s="2"/>
      <c r="D27" s="2"/>
      <c r="E27" s="10"/>
      <c r="F27" s="39" t="s">
        <v>24</v>
      </c>
      <c r="G27" s="33">
        <f>N27+O27+P27</f>
        <v>2438350</v>
      </c>
      <c r="H27" s="33">
        <f>M27</f>
        <v>1802620</v>
      </c>
      <c r="I27" s="34"/>
      <c r="J27" s="34"/>
      <c r="K27" s="52"/>
      <c r="L27" s="47" t="s">
        <v>43</v>
      </c>
      <c r="M27" s="48">
        <f>SUM(M23:M26)</f>
        <v>1802620</v>
      </c>
      <c r="N27" s="48">
        <f t="shared" ref="N27:S27" si="16">SUM(N23:N26)</f>
        <v>1799250</v>
      </c>
      <c r="O27" s="48">
        <f t="shared" si="16"/>
        <v>402750</v>
      </c>
      <c r="P27" s="48">
        <f t="shared" si="16"/>
        <v>236350</v>
      </c>
      <c r="Q27" s="48">
        <f t="shared" si="16"/>
        <v>1975000</v>
      </c>
      <c r="R27" s="48">
        <f t="shared" si="16"/>
        <v>197450</v>
      </c>
      <c r="S27" s="49">
        <f t="shared" si="16"/>
        <v>6413420</v>
      </c>
      <c r="T27" s="2"/>
      <c r="U27" s="3"/>
      <c r="V27" s="31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s="4" customFormat="1" ht="22.5" customHeight="1" x14ac:dyDescent="0.3">
      <c r="A28" s="10"/>
      <c r="B28" s="81"/>
      <c r="C28" s="82"/>
      <c r="D28" s="82"/>
      <c r="E28" s="83"/>
      <c r="F28" s="84"/>
      <c r="G28" s="85"/>
      <c r="H28" s="85"/>
      <c r="I28" s="86"/>
      <c r="J28" s="86"/>
      <c r="K28" s="86"/>
      <c r="L28" s="87"/>
      <c r="M28" s="88"/>
      <c r="N28" s="88"/>
      <c r="O28" s="88"/>
      <c r="P28" s="88"/>
      <c r="Q28" s="88"/>
      <c r="R28" s="88"/>
      <c r="S28" s="88"/>
      <c r="T28" s="82"/>
      <c r="U28" s="3"/>
      <c r="V28" s="31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s="4" customFormat="1" ht="21.6" customHeight="1" x14ac:dyDescent="0.3">
      <c r="A29" s="10"/>
      <c r="B29" s="83"/>
      <c r="C29" s="82"/>
      <c r="D29" s="82"/>
      <c r="E29" s="83"/>
      <c r="F29" s="82"/>
      <c r="G29" s="89"/>
      <c r="H29" s="89"/>
      <c r="I29" s="90"/>
      <c r="J29" s="89"/>
      <c r="K29" s="89"/>
      <c r="L29" s="82"/>
      <c r="M29" s="82"/>
      <c r="N29" s="91"/>
      <c r="O29" s="82"/>
      <c r="P29" s="82"/>
      <c r="Q29" s="82"/>
      <c r="R29" s="82"/>
      <c r="S29" s="82"/>
      <c r="T29" s="82"/>
      <c r="U29" s="3"/>
      <c r="V29" s="2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1" spans="1:37" ht="21.6" customHeight="1" x14ac:dyDescent="0.3">
      <c r="I31" s="68"/>
      <c r="K31" s="64"/>
    </row>
  </sheetData>
  <mergeCells count="14">
    <mergeCell ref="A21:G21"/>
    <mergeCell ref="U5:U6"/>
    <mergeCell ref="V5:V6"/>
    <mergeCell ref="W5:W6"/>
    <mergeCell ref="A1:L1"/>
    <mergeCell ref="A2:L2"/>
    <mergeCell ref="H4:M4"/>
    <mergeCell ref="A5:A6"/>
    <mergeCell ref="B5:B6"/>
    <mergeCell ref="C5:G5"/>
    <mergeCell ref="H5:L5"/>
    <mergeCell ref="M5:S5"/>
    <mergeCell ref="T5:T6"/>
    <mergeCell ref="F6:G6"/>
  </mergeCells>
  <phoneticPr fontId="2" type="noConversion"/>
  <printOptions horizontalCentered="1"/>
  <pageMargins left="0.11811023622047245" right="0" top="0.74803149606299213" bottom="0.55118110236220474" header="0.31496062992125984" footer="0.31496062992125984"/>
  <pageSetup paperSize="9" scale="61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C1CA-2343-42DB-837A-CAFDB0FE5800}">
  <sheetPr>
    <tabColor rgb="FFFFFF00"/>
    <pageSetUpPr fitToPage="1"/>
  </sheetPr>
  <dimension ref="A1:AH31"/>
  <sheetViews>
    <sheetView view="pageBreakPreview" zoomScale="115" zoomScaleNormal="100" zoomScaleSheetLayoutView="115" workbookViewId="0">
      <selection activeCell="F23" sqref="F23"/>
    </sheetView>
  </sheetViews>
  <sheetFormatPr defaultRowHeight="21.6" customHeight="1" x14ac:dyDescent="0.3"/>
  <cols>
    <col min="1" max="1" width="3" style="10" customWidth="1"/>
    <col min="2" max="2" width="6.25" style="10" customWidth="1"/>
    <col min="3" max="3" width="8.75" style="2" customWidth="1"/>
    <col min="4" max="4" width="9" style="2" customWidth="1"/>
    <col min="5" max="5" width="7.5" style="10" customWidth="1"/>
    <col min="6" max="6" width="7.75" style="2" customWidth="1"/>
    <col min="7" max="8" width="11.625" style="2" customWidth="1"/>
    <col min="9" max="9" width="10.25" style="25" customWidth="1"/>
    <col min="10" max="11" width="9.5" style="2" customWidth="1"/>
    <col min="12" max="12" width="11" style="2" customWidth="1"/>
    <col min="13" max="13" width="9.625" style="2" customWidth="1"/>
    <col min="14" max="14" width="10.375" style="2" customWidth="1"/>
    <col min="15" max="18" width="9.625" style="2" customWidth="1"/>
    <col min="19" max="19" width="9.25" style="2" customWidth="1"/>
    <col min="20" max="20" width="11.75" style="2" customWidth="1"/>
    <col min="21" max="21" width="12" style="4" bestFit="1" customWidth="1"/>
    <col min="22" max="22" width="9" style="4"/>
    <col min="23" max="34" width="9" style="5"/>
    <col min="35" max="16384" width="9" style="2"/>
  </cols>
  <sheetData>
    <row r="1" spans="1:34" ht="30.75" customHeight="1" x14ac:dyDescent="0.3">
      <c r="A1" s="179" t="s">
        <v>88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34" ht="21.6" customHeight="1" x14ac:dyDescent="0.3">
      <c r="A2" s="180" t="s">
        <v>89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34" ht="9.75" customHeight="1" x14ac:dyDescent="0.3">
      <c r="A3" s="6"/>
      <c r="B3" s="7"/>
      <c r="C3" s="7"/>
      <c r="D3" s="7"/>
      <c r="E3" s="7"/>
      <c r="F3" s="7"/>
      <c r="G3" s="7"/>
      <c r="H3" s="7"/>
      <c r="I3" s="8"/>
      <c r="J3" s="7"/>
      <c r="K3" s="7"/>
    </row>
    <row r="4" spans="1:34" ht="21.6" customHeight="1" thickBot="1" x14ac:dyDescent="0.35">
      <c r="A4" s="9" t="s">
        <v>27</v>
      </c>
      <c r="H4" s="181"/>
      <c r="I4" s="181"/>
      <c r="J4" s="181"/>
      <c r="K4" s="181"/>
      <c r="L4" s="181"/>
      <c r="M4" s="181"/>
    </row>
    <row r="5" spans="1:34" s="12" customFormat="1" ht="21.6" customHeight="1" x14ac:dyDescent="0.3">
      <c r="A5" s="182" t="s">
        <v>5</v>
      </c>
      <c r="B5" s="184" t="s">
        <v>28</v>
      </c>
      <c r="C5" s="186" t="s">
        <v>14</v>
      </c>
      <c r="D5" s="186"/>
      <c r="E5" s="186"/>
      <c r="F5" s="186"/>
      <c r="G5" s="186"/>
      <c r="H5" s="186" t="s">
        <v>13</v>
      </c>
      <c r="I5" s="186"/>
      <c r="J5" s="186"/>
      <c r="K5" s="186"/>
      <c r="L5" s="186"/>
      <c r="M5" s="187" t="s">
        <v>0</v>
      </c>
      <c r="N5" s="187"/>
      <c r="O5" s="187"/>
      <c r="P5" s="187"/>
      <c r="Q5" s="187"/>
      <c r="R5" s="187"/>
      <c r="S5" s="187"/>
      <c r="T5" s="174" t="s">
        <v>25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s="14" customFormat="1" ht="21.6" customHeight="1" thickBot="1" x14ac:dyDescent="0.35">
      <c r="A6" s="183"/>
      <c r="B6" s="185"/>
      <c r="C6" s="79" t="s">
        <v>6</v>
      </c>
      <c r="D6" s="79" t="s">
        <v>7</v>
      </c>
      <c r="E6" s="79" t="s">
        <v>8</v>
      </c>
      <c r="F6" s="176" t="s">
        <v>9</v>
      </c>
      <c r="G6" s="176"/>
      <c r="H6" s="79" t="s">
        <v>10</v>
      </c>
      <c r="I6" s="36" t="s">
        <v>11</v>
      </c>
      <c r="J6" s="79" t="s">
        <v>12</v>
      </c>
      <c r="K6" s="79" t="s">
        <v>51</v>
      </c>
      <c r="L6" s="78" t="s">
        <v>26</v>
      </c>
      <c r="M6" s="37" t="s">
        <v>1</v>
      </c>
      <c r="N6" s="37" t="s">
        <v>22</v>
      </c>
      <c r="O6" s="37" t="s">
        <v>21</v>
      </c>
      <c r="P6" s="38" t="s">
        <v>23</v>
      </c>
      <c r="Q6" s="37" t="s">
        <v>3</v>
      </c>
      <c r="R6" s="37" t="s">
        <v>4</v>
      </c>
      <c r="S6" s="37" t="s">
        <v>2</v>
      </c>
      <c r="T6" s="197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s="4" customFormat="1" ht="21.6" customHeight="1" x14ac:dyDescent="0.3">
      <c r="A7" s="100">
        <v>1</v>
      </c>
      <c r="B7" s="109" t="s">
        <v>24</v>
      </c>
      <c r="C7" s="102" t="s">
        <v>15</v>
      </c>
      <c r="D7" s="101"/>
      <c r="E7" s="103" t="s">
        <v>16</v>
      </c>
      <c r="F7" s="104" t="s">
        <v>17</v>
      </c>
      <c r="G7" s="105">
        <v>1011355</v>
      </c>
      <c r="H7" s="106">
        <v>5300000</v>
      </c>
      <c r="I7" s="106">
        <v>200000</v>
      </c>
      <c r="J7" s="106">
        <v>100000</v>
      </c>
      <c r="K7" s="106"/>
      <c r="L7" s="106">
        <f>J7+I7+H7+K7</f>
        <v>5600000</v>
      </c>
      <c r="M7" s="106"/>
      <c r="N7" s="106">
        <f>TRUNC((H7+K7)*3.595%,-1)</f>
        <v>190530</v>
      </c>
      <c r="O7" s="106"/>
      <c r="P7" s="106">
        <f>ROUNDDOWN(N7*13.14%,-1)</f>
        <v>25030</v>
      </c>
      <c r="Q7" s="107">
        <v>406570</v>
      </c>
      <c r="R7" s="106">
        <f t="shared" ref="R7:R20" si="0">ROUNDDOWN(Q7*0.1,-1)</f>
        <v>40650</v>
      </c>
      <c r="S7" s="106">
        <f t="shared" ref="S7:S20" si="1">SUM(M7:R7)</f>
        <v>662780</v>
      </c>
      <c r="T7" s="142">
        <f t="shared" ref="T7:T20" si="2">L7-S7</f>
        <v>4937220</v>
      </c>
    </row>
    <row r="8" spans="1:34" s="4" customFormat="1" ht="21.6" customHeight="1" x14ac:dyDescent="0.3">
      <c r="A8" s="16">
        <f>A7+1</f>
        <v>2</v>
      </c>
      <c r="B8" s="110" t="s">
        <v>24</v>
      </c>
      <c r="C8" s="65" t="s">
        <v>55</v>
      </c>
      <c r="D8" s="17"/>
      <c r="E8" s="17" t="s">
        <v>56</v>
      </c>
      <c r="F8" s="18" t="s">
        <v>57</v>
      </c>
      <c r="G8" s="19">
        <v>1018325</v>
      </c>
      <c r="H8" s="20">
        <v>3000000</v>
      </c>
      <c r="I8" s="20">
        <v>200000</v>
      </c>
      <c r="J8" s="20">
        <v>100000</v>
      </c>
      <c r="K8" s="59"/>
      <c r="L8" s="20">
        <f>J8+I8+H8+K8</f>
        <v>3300000</v>
      </c>
      <c r="M8" s="20"/>
      <c r="N8" s="59">
        <f t="shared" ref="N8:N20" si="3">TRUNC((H8+K8)*3.595%,-1)</f>
        <v>107850</v>
      </c>
      <c r="O8" s="20">
        <f>ROUNDDOWN(H8*0.9%,-1)</f>
        <v>27000</v>
      </c>
      <c r="P8" s="59">
        <f t="shared" ref="P8:P20" si="4">ROUNDDOWN(N8*13.14%,-1)</f>
        <v>14170</v>
      </c>
      <c r="Q8" s="54">
        <v>129440</v>
      </c>
      <c r="R8" s="20">
        <f t="shared" si="0"/>
        <v>12940</v>
      </c>
      <c r="S8" s="20">
        <f t="shared" si="1"/>
        <v>291400</v>
      </c>
      <c r="T8" s="143">
        <f t="shared" si="2"/>
        <v>3008600</v>
      </c>
    </row>
    <row r="9" spans="1:34" s="4" customFormat="1" ht="21.6" customHeight="1" x14ac:dyDescent="0.3">
      <c r="A9" s="16">
        <f t="shared" ref="A9" si="5">A8+1</f>
        <v>3</v>
      </c>
      <c r="B9" s="110" t="s">
        <v>40</v>
      </c>
      <c r="C9" s="65" t="s">
        <v>58</v>
      </c>
      <c r="D9" s="65"/>
      <c r="E9" s="56" t="s">
        <v>59</v>
      </c>
      <c r="F9" s="57" t="s">
        <v>60</v>
      </c>
      <c r="G9" s="58">
        <v>2011325</v>
      </c>
      <c r="H9" s="20">
        <v>2100000</v>
      </c>
      <c r="I9" s="20">
        <v>200000</v>
      </c>
      <c r="J9" s="20">
        <v>100000</v>
      </c>
      <c r="K9" s="59"/>
      <c r="L9" s="20">
        <f t="shared" ref="L9:L20" si="6">J9+I9+H9+K9</f>
        <v>2400000</v>
      </c>
      <c r="M9" s="21">
        <f>TRUNC((H9+K9)*4.75%,-1)</f>
        <v>99750</v>
      </c>
      <c r="N9" s="59">
        <f t="shared" si="3"/>
        <v>75490</v>
      </c>
      <c r="O9" s="20">
        <f t="shared" ref="O9:O20" si="7">ROUNDDOWN(H9*0.9%,-1)</f>
        <v>18900</v>
      </c>
      <c r="P9" s="59">
        <f t="shared" si="4"/>
        <v>9910</v>
      </c>
      <c r="Q9" s="54">
        <v>25950</v>
      </c>
      <c r="R9" s="20">
        <f t="shared" si="0"/>
        <v>2590</v>
      </c>
      <c r="S9" s="20">
        <f t="shared" si="1"/>
        <v>232590</v>
      </c>
      <c r="T9" s="143">
        <f t="shared" si="2"/>
        <v>2167410</v>
      </c>
    </row>
    <row r="10" spans="1:34" s="62" customFormat="1" ht="21.6" customHeight="1" x14ac:dyDescent="0.3">
      <c r="A10" s="55">
        <v>4</v>
      </c>
      <c r="B10" s="111" t="s">
        <v>24</v>
      </c>
      <c r="C10" s="80" t="s">
        <v>18</v>
      </c>
      <c r="D10" s="56"/>
      <c r="E10" s="56" t="s">
        <v>19</v>
      </c>
      <c r="F10" s="57" t="s">
        <v>20</v>
      </c>
      <c r="G10" s="58">
        <v>1261415</v>
      </c>
      <c r="H10" s="59">
        <v>4900000</v>
      </c>
      <c r="I10" s="59">
        <v>200000</v>
      </c>
      <c r="J10" s="59">
        <v>100000</v>
      </c>
      <c r="K10" s="59"/>
      <c r="L10" s="59">
        <f t="shared" si="6"/>
        <v>5200000</v>
      </c>
      <c r="M10" s="60">
        <f>TRUNC((H10+K10)*4.75%,-1)</f>
        <v>232750</v>
      </c>
      <c r="N10" s="59">
        <f t="shared" si="3"/>
        <v>176150</v>
      </c>
      <c r="O10" s="20">
        <f t="shared" si="7"/>
        <v>44100</v>
      </c>
      <c r="P10" s="59">
        <f t="shared" si="4"/>
        <v>23140</v>
      </c>
      <c r="Q10" s="61">
        <v>185850</v>
      </c>
      <c r="R10" s="59">
        <f t="shared" si="0"/>
        <v>18580</v>
      </c>
      <c r="S10" s="59">
        <f t="shared" si="1"/>
        <v>680570</v>
      </c>
      <c r="T10" s="143">
        <f t="shared" si="2"/>
        <v>4519430</v>
      </c>
    </row>
    <row r="11" spans="1:34" s="4" customFormat="1" ht="21.6" customHeight="1" x14ac:dyDescent="0.3">
      <c r="A11" s="55">
        <v>5</v>
      </c>
      <c r="B11" s="110" t="s">
        <v>40</v>
      </c>
      <c r="C11" s="65" t="s">
        <v>61</v>
      </c>
      <c r="D11" s="17"/>
      <c r="E11" s="17" t="s">
        <v>62</v>
      </c>
      <c r="F11" s="18">
        <v>940531</v>
      </c>
      <c r="G11" s="19">
        <v>1009610</v>
      </c>
      <c r="H11" s="20">
        <v>2000000</v>
      </c>
      <c r="I11" s="20">
        <v>200000</v>
      </c>
      <c r="J11" s="20">
        <v>100000</v>
      </c>
      <c r="K11" s="59"/>
      <c r="L11" s="20">
        <f t="shared" si="6"/>
        <v>2300000</v>
      </c>
      <c r="M11" s="60">
        <f t="shared" ref="M11:M13" si="8">TRUNC((H11+K11)*4.75%,-1)</f>
        <v>95000</v>
      </c>
      <c r="N11" s="59">
        <f t="shared" si="3"/>
        <v>71900</v>
      </c>
      <c r="O11" s="20">
        <f t="shared" si="7"/>
        <v>18000</v>
      </c>
      <c r="P11" s="59">
        <f t="shared" si="4"/>
        <v>9440</v>
      </c>
      <c r="Q11" s="54">
        <v>19520</v>
      </c>
      <c r="R11" s="20">
        <f t="shared" si="0"/>
        <v>1950</v>
      </c>
      <c r="S11" s="20">
        <f t="shared" si="1"/>
        <v>215810</v>
      </c>
      <c r="T11" s="143">
        <f t="shared" si="2"/>
        <v>2084190</v>
      </c>
    </row>
    <row r="12" spans="1:34" s="62" customFormat="1" ht="21.6" customHeight="1" x14ac:dyDescent="0.3">
      <c r="A12" s="16">
        <v>6</v>
      </c>
      <c r="B12" s="111" t="s">
        <v>24</v>
      </c>
      <c r="C12" s="80" t="s">
        <v>52</v>
      </c>
      <c r="D12" s="56"/>
      <c r="E12" s="56" t="s">
        <v>39</v>
      </c>
      <c r="F12" s="57" t="s">
        <v>53</v>
      </c>
      <c r="G12" s="58">
        <v>1055911</v>
      </c>
      <c r="H12" s="59">
        <v>6050000</v>
      </c>
      <c r="I12" s="59">
        <v>200000</v>
      </c>
      <c r="J12" s="59">
        <v>100000</v>
      </c>
      <c r="K12" s="59"/>
      <c r="L12" s="59">
        <f t="shared" si="6"/>
        <v>6350000</v>
      </c>
      <c r="M12" s="60">
        <f t="shared" si="8"/>
        <v>287370</v>
      </c>
      <c r="N12" s="59">
        <f t="shared" si="3"/>
        <v>217490</v>
      </c>
      <c r="O12" s="20">
        <f t="shared" si="7"/>
        <v>54450</v>
      </c>
      <c r="P12" s="59">
        <f t="shared" si="4"/>
        <v>28570</v>
      </c>
      <c r="Q12" s="61">
        <v>286900</v>
      </c>
      <c r="R12" s="59">
        <f t="shared" si="0"/>
        <v>28690</v>
      </c>
      <c r="S12" s="59">
        <f t="shared" si="1"/>
        <v>903470</v>
      </c>
      <c r="T12" s="143">
        <f t="shared" si="2"/>
        <v>5446530</v>
      </c>
    </row>
    <row r="13" spans="1:34" s="4" customFormat="1" ht="21.6" customHeight="1" x14ac:dyDescent="0.3">
      <c r="A13" s="55">
        <v>7</v>
      </c>
      <c r="B13" s="110" t="s">
        <v>38</v>
      </c>
      <c r="C13" s="65" t="s">
        <v>50</v>
      </c>
      <c r="D13" s="17"/>
      <c r="E13" s="17" t="s">
        <v>29</v>
      </c>
      <c r="F13" s="18" t="s">
        <v>30</v>
      </c>
      <c r="G13" s="19">
        <v>2810140</v>
      </c>
      <c r="H13" s="20">
        <v>3200000</v>
      </c>
      <c r="I13" s="20">
        <v>200000</v>
      </c>
      <c r="J13" s="20"/>
      <c r="K13" s="59"/>
      <c r="L13" s="20">
        <f t="shared" si="6"/>
        <v>3400000</v>
      </c>
      <c r="M13" s="60">
        <f t="shared" si="8"/>
        <v>152000</v>
      </c>
      <c r="N13" s="59">
        <f t="shared" si="3"/>
        <v>115040</v>
      </c>
      <c r="O13" s="20">
        <f t="shared" si="7"/>
        <v>28800</v>
      </c>
      <c r="P13" s="59">
        <f t="shared" si="4"/>
        <v>15110</v>
      </c>
      <c r="Q13" s="54">
        <v>117770</v>
      </c>
      <c r="R13" s="20">
        <f t="shared" si="0"/>
        <v>11770</v>
      </c>
      <c r="S13" s="20">
        <f t="shared" si="1"/>
        <v>440490</v>
      </c>
      <c r="T13" s="143">
        <f t="shared" si="2"/>
        <v>2959510</v>
      </c>
      <c r="U13" s="98"/>
    </row>
    <row r="14" spans="1:34" s="4" customFormat="1" ht="21.6" customHeight="1" x14ac:dyDescent="0.3">
      <c r="A14" s="16">
        <v>8</v>
      </c>
      <c r="B14" s="110" t="s">
        <v>40</v>
      </c>
      <c r="C14" s="65" t="s">
        <v>47</v>
      </c>
      <c r="D14" s="17"/>
      <c r="E14" s="56" t="s">
        <v>48</v>
      </c>
      <c r="F14" s="57" t="s">
        <v>49</v>
      </c>
      <c r="G14" s="58">
        <v>1222414</v>
      </c>
      <c r="H14" s="59">
        <v>1900000</v>
      </c>
      <c r="I14" s="20">
        <v>200000</v>
      </c>
      <c r="J14" s="20">
        <v>100000</v>
      </c>
      <c r="K14" s="59"/>
      <c r="L14" s="20">
        <f t="shared" si="6"/>
        <v>2200000</v>
      </c>
      <c r="M14" s="21"/>
      <c r="N14" s="59">
        <f t="shared" si="3"/>
        <v>68300</v>
      </c>
      <c r="O14" s="20">
        <f t="shared" si="7"/>
        <v>17100</v>
      </c>
      <c r="P14" s="59">
        <f t="shared" si="4"/>
        <v>8970</v>
      </c>
      <c r="Q14" s="54">
        <v>19520</v>
      </c>
      <c r="R14" s="20">
        <f t="shared" si="0"/>
        <v>1950</v>
      </c>
      <c r="S14" s="20">
        <f t="shared" si="1"/>
        <v>115840</v>
      </c>
      <c r="T14" s="143">
        <f t="shared" si="2"/>
        <v>2084160</v>
      </c>
      <c r="U14" s="98"/>
    </row>
    <row r="15" spans="1:34" s="4" customFormat="1" ht="21.6" customHeight="1" x14ac:dyDescent="0.3">
      <c r="A15" s="55">
        <v>9</v>
      </c>
      <c r="B15" s="111" t="s">
        <v>24</v>
      </c>
      <c r="C15" s="80" t="s">
        <v>64</v>
      </c>
      <c r="D15" s="80"/>
      <c r="E15" s="56" t="s">
        <v>63</v>
      </c>
      <c r="F15" s="57">
        <v>840410</v>
      </c>
      <c r="G15" s="58">
        <v>1240711</v>
      </c>
      <c r="H15" s="59">
        <v>4700000</v>
      </c>
      <c r="I15" s="59">
        <v>200000</v>
      </c>
      <c r="J15" s="59">
        <v>100000</v>
      </c>
      <c r="K15" s="59"/>
      <c r="L15" s="59">
        <f t="shared" si="6"/>
        <v>5000000</v>
      </c>
      <c r="M15" s="60">
        <f>TRUNC((H15+K15)*4.75%,-1)</f>
        <v>223250</v>
      </c>
      <c r="N15" s="59">
        <f t="shared" si="3"/>
        <v>168960</v>
      </c>
      <c r="O15" s="59">
        <f t="shared" si="7"/>
        <v>42300</v>
      </c>
      <c r="P15" s="59">
        <f t="shared" si="4"/>
        <v>22200</v>
      </c>
      <c r="Q15" s="61">
        <v>249460</v>
      </c>
      <c r="R15" s="59">
        <f t="shared" si="0"/>
        <v>24940</v>
      </c>
      <c r="S15" s="59">
        <f t="shared" si="1"/>
        <v>731110</v>
      </c>
      <c r="T15" s="143">
        <f t="shared" si="2"/>
        <v>4268890</v>
      </c>
      <c r="U15" s="98"/>
    </row>
    <row r="16" spans="1:34" s="4" customFormat="1" ht="21.6" customHeight="1" x14ac:dyDescent="0.3">
      <c r="A16" s="55">
        <v>10</v>
      </c>
      <c r="B16" s="111" t="s">
        <v>24</v>
      </c>
      <c r="C16" s="80" t="s">
        <v>65</v>
      </c>
      <c r="D16" s="80"/>
      <c r="E16" s="56" t="s">
        <v>66</v>
      </c>
      <c r="F16" s="57" t="s">
        <v>67</v>
      </c>
      <c r="G16" s="58">
        <v>1067322</v>
      </c>
      <c r="H16" s="59">
        <v>5000000</v>
      </c>
      <c r="I16" s="59">
        <v>200000</v>
      </c>
      <c r="J16" s="59">
        <v>100000</v>
      </c>
      <c r="K16" s="59"/>
      <c r="L16" s="59">
        <f t="shared" si="6"/>
        <v>5300000</v>
      </c>
      <c r="M16" s="60">
        <f>TRUNC((H16+K16)*4.75%,-1)</f>
        <v>237500</v>
      </c>
      <c r="N16" s="59">
        <f t="shared" si="3"/>
        <v>179750</v>
      </c>
      <c r="O16" s="59">
        <f t="shared" si="7"/>
        <v>45000</v>
      </c>
      <c r="P16" s="59">
        <f t="shared" si="4"/>
        <v>23610</v>
      </c>
      <c r="Q16" s="61">
        <v>157900</v>
      </c>
      <c r="R16" s="59">
        <f t="shared" si="0"/>
        <v>15790</v>
      </c>
      <c r="S16" s="59">
        <f t="shared" si="1"/>
        <v>659550</v>
      </c>
      <c r="T16" s="143">
        <f t="shared" si="2"/>
        <v>4640450</v>
      </c>
      <c r="U16" s="98"/>
    </row>
    <row r="17" spans="1:34" s="4" customFormat="1" ht="21.6" customHeight="1" x14ac:dyDescent="0.3">
      <c r="A17" s="55">
        <v>11</v>
      </c>
      <c r="B17" s="116" t="s">
        <v>40</v>
      </c>
      <c r="C17" s="117" t="s">
        <v>72</v>
      </c>
      <c r="D17" s="117"/>
      <c r="E17" s="118" t="s">
        <v>73</v>
      </c>
      <c r="F17" s="119" t="s">
        <v>74</v>
      </c>
      <c r="G17" s="120">
        <v>1222415</v>
      </c>
      <c r="H17" s="121">
        <v>1900000</v>
      </c>
      <c r="I17" s="121">
        <v>200000</v>
      </c>
      <c r="J17" s="121">
        <v>100000</v>
      </c>
      <c r="K17" s="121"/>
      <c r="L17" s="121">
        <f t="shared" si="6"/>
        <v>2200000</v>
      </c>
      <c r="M17" s="60"/>
      <c r="N17" s="59">
        <f t="shared" si="3"/>
        <v>68300</v>
      </c>
      <c r="O17" s="121">
        <f t="shared" si="7"/>
        <v>17100</v>
      </c>
      <c r="P17" s="59">
        <f t="shared" si="4"/>
        <v>8970</v>
      </c>
      <c r="Q17" s="122">
        <v>35600</v>
      </c>
      <c r="R17" s="121">
        <f t="shared" si="0"/>
        <v>3560</v>
      </c>
      <c r="S17" s="59">
        <f t="shared" si="1"/>
        <v>133530</v>
      </c>
      <c r="T17" s="143">
        <f t="shared" si="2"/>
        <v>2066470</v>
      </c>
      <c r="U17" s="98"/>
    </row>
    <row r="18" spans="1:34" s="4" customFormat="1" ht="21.6" customHeight="1" x14ac:dyDescent="0.3">
      <c r="A18" s="16">
        <v>12</v>
      </c>
      <c r="B18" s="116" t="s">
        <v>40</v>
      </c>
      <c r="C18" s="117" t="s">
        <v>75</v>
      </c>
      <c r="D18" s="117"/>
      <c r="E18" s="118" t="s">
        <v>76</v>
      </c>
      <c r="F18" s="119" t="s">
        <v>77</v>
      </c>
      <c r="G18" s="120">
        <v>1046917</v>
      </c>
      <c r="H18" s="121">
        <v>3100000</v>
      </c>
      <c r="I18" s="121">
        <v>200000</v>
      </c>
      <c r="J18" s="121">
        <v>100000</v>
      </c>
      <c r="K18" s="121"/>
      <c r="L18" s="121">
        <f t="shared" si="6"/>
        <v>3400000</v>
      </c>
      <c r="M18" s="60">
        <f>TRUNC((H18+K18)*4.75%,-1)</f>
        <v>147250</v>
      </c>
      <c r="N18" s="59">
        <f t="shared" si="3"/>
        <v>111440</v>
      </c>
      <c r="O18" s="121">
        <f t="shared" si="7"/>
        <v>27900</v>
      </c>
      <c r="P18" s="59">
        <f t="shared" si="4"/>
        <v>14640</v>
      </c>
      <c r="Q18" s="122">
        <v>89220</v>
      </c>
      <c r="R18" s="121">
        <f t="shared" si="0"/>
        <v>8920</v>
      </c>
      <c r="S18" s="59">
        <f t="shared" si="1"/>
        <v>399370</v>
      </c>
      <c r="T18" s="143">
        <f t="shared" si="2"/>
        <v>3000630</v>
      </c>
      <c r="U18" s="98"/>
    </row>
    <row r="19" spans="1:34" s="4" customFormat="1" ht="21.6" customHeight="1" x14ac:dyDescent="0.3">
      <c r="A19" s="55">
        <v>13</v>
      </c>
      <c r="B19" s="116" t="s">
        <v>40</v>
      </c>
      <c r="C19" s="117" t="s">
        <v>75</v>
      </c>
      <c r="D19" s="117"/>
      <c r="E19" s="118" t="s">
        <v>78</v>
      </c>
      <c r="F19" s="123" t="s">
        <v>79</v>
      </c>
      <c r="G19" s="120">
        <v>3079513</v>
      </c>
      <c r="H19" s="121">
        <v>2200000</v>
      </c>
      <c r="I19" s="121">
        <v>200000</v>
      </c>
      <c r="J19" s="121">
        <v>100000</v>
      </c>
      <c r="K19" s="121"/>
      <c r="L19" s="121">
        <f t="shared" si="6"/>
        <v>2500000</v>
      </c>
      <c r="M19" s="60">
        <f t="shared" ref="M19:M20" si="9">TRUNC((H19+K19)*4.75%,-1)</f>
        <v>104500</v>
      </c>
      <c r="N19" s="59">
        <f t="shared" si="3"/>
        <v>79090</v>
      </c>
      <c r="O19" s="121">
        <f t="shared" si="7"/>
        <v>19800</v>
      </c>
      <c r="P19" s="59">
        <f t="shared" si="4"/>
        <v>10390</v>
      </c>
      <c r="Q19" s="122">
        <v>25950</v>
      </c>
      <c r="R19" s="121">
        <f t="shared" si="0"/>
        <v>2590</v>
      </c>
      <c r="S19" s="121">
        <f t="shared" si="1"/>
        <v>242320</v>
      </c>
      <c r="T19" s="144">
        <f t="shared" si="2"/>
        <v>2257680</v>
      </c>
      <c r="U19" s="98"/>
    </row>
    <row r="20" spans="1:34" s="4" customFormat="1" ht="21.6" customHeight="1" thickBot="1" x14ac:dyDescent="0.35">
      <c r="A20" s="16">
        <v>14</v>
      </c>
      <c r="B20" s="112" t="s">
        <v>68</v>
      </c>
      <c r="C20" s="74" t="s">
        <v>69</v>
      </c>
      <c r="D20" s="74"/>
      <c r="E20" s="75" t="s">
        <v>70</v>
      </c>
      <c r="F20" s="76">
        <v>740221</v>
      </c>
      <c r="G20" s="77">
        <v>1031512</v>
      </c>
      <c r="H20" s="71">
        <v>4700000</v>
      </c>
      <c r="I20" s="72">
        <v>200000</v>
      </c>
      <c r="J20" s="72">
        <v>100000</v>
      </c>
      <c r="K20" s="71"/>
      <c r="L20" s="72">
        <f t="shared" si="6"/>
        <v>5000000</v>
      </c>
      <c r="M20" s="60">
        <f t="shared" si="9"/>
        <v>223250</v>
      </c>
      <c r="N20" s="71">
        <f t="shared" si="3"/>
        <v>168960</v>
      </c>
      <c r="O20" s="72">
        <f t="shared" si="7"/>
        <v>42300</v>
      </c>
      <c r="P20" s="71">
        <f t="shared" si="4"/>
        <v>22200</v>
      </c>
      <c r="Q20" s="73">
        <v>225350</v>
      </c>
      <c r="R20" s="72">
        <f t="shared" si="0"/>
        <v>22530</v>
      </c>
      <c r="S20" s="72">
        <f t="shared" si="1"/>
        <v>704590</v>
      </c>
      <c r="T20" s="145">
        <f t="shared" si="2"/>
        <v>4295410</v>
      </c>
      <c r="U20" s="98"/>
    </row>
    <row r="21" spans="1:34" s="24" customFormat="1" ht="21.6" customHeight="1" thickBot="1" x14ac:dyDescent="0.35">
      <c r="A21" s="177"/>
      <c r="B21" s="178"/>
      <c r="C21" s="178"/>
      <c r="D21" s="178"/>
      <c r="E21" s="178"/>
      <c r="F21" s="178"/>
      <c r="G21" s="178"/>
      <c r="H21" s="35">
        <f>SUM(H7:H20)</f>
        <v>50050000</v>
      </c>
      <c r="I21" s="35">
        <f>SUM(I7:I20)</f>
        <v>2800000</v>
      </c>
      <c r="J21" s="35">
        <f>SUM(J7:J20)</f>
        <v>1300000</v>
      </c>
      <c r="K21" s="35">
        <f>SUM(K7:K16)</f>
        <v>0</v>
      </c>
      <c r="L21" s="35">
        <f t="shared" ref="L21:T21" si="10">SUM(L7:L20)</f>
        <v>54150000</v>
      </c>
      <c r="M21" s="35">
        <f t="shared" si="10"/>
        <v>1802620</v>
      </c>
      <c r="N21" s="35">
        <f t="shared" si="10"/>
        <v>1799250</v>
      </c>
      <c r="O21" s="35">
        <f t="shared" si="10"/>
        <v>402750</v>
      </c>
      <c r="P21" s="35">
        <f t="shared" si="10"/>
        <v>236350</v>
      </c>
      <c r="Q21" s="35">
        <f t="shared" si="10"/>
        <v>1975000</v>
      </c>
      <c r="R21" s="35">
        <f t="shared" si="10"/>
        <v>197450</v>
      </c>
      <c r="S21" s="35">
        <f t="shared" si="10"/>
        <v>6413420</v>
      </c>
      <c r="T21" s="146">
        <f t="shared" si="10"/>
        <v>47736580</v>
      </c>
      <c r="U21" s="98"/>
    </row>
    <row r="22" spans="1:34" s="4" customFormat="1" ht="15" customHeight="1" x14ac:dyDescent="0.3">
      <c r="A22" s="10"/>
      <c r="B22" s="10"/>
      <c r="C22" s="2"/>
      <c r="D22" s="2"/>
      <c r="E22" s="10"/>
      <c r="F22" s="2"/>
      <c r="G22" s="2"/>
      <c r="H22" s="2"/>
      <c r="I22" s="25"/>
      <c r="J22" s="2"/>
      <c r="K22" s="2"/>
      <c r="L22" s="2"/>
      <c r="M22" s="2"/>
      <c r="N22" s="2"/>
      <c r="O22" s="2"/>
      <c r="P22" s="2"/>
      <c r="Q22" s="2"/>
      <c r="R22" s="64"/>
      <c r="S22" s="2"/>
      <c r="T22" s="2"/>
      <c r="U22" s="98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s="4" customFormat="1" ht="22.5" customHeight="1" x14ac:dyDescent="0.3">
      <c r="A23" s="10"/>
      <c r="B23" s="12"/>
      <c r="C23" s="66"/>
      <c r="D23" s="66"/>
      <c r="E23" s="67"/>
      <c r="F23" s="66"/>
      <c r="G23" s="2"/>
      <c r="H23" s="2"/>
      <c r="I23" s="68"/>
      <c r="J23" s="69"/>
      <c r="K23" s="2"/>
      <c r="L23" s="26" t="s">
        <v>24</v>
      </c>
      <c r="M23" s="27">
        <f t="shared" ref="M23:S23" si="11">M7+M8+M10+M15</f>
        <v>456000</v>
      </c>
      <c r="N23" s="27">
        <f t="shared" si="11"/>
        <v>643490</v>
      </c>
      <c r="O23" s="27">
        <f t="shared" si="11"/>
        <v>113400</v>
      </c>
      <c r="P23" s="27">
        <f t="shared" si="11"/>
        <v>84540</v>
      </c>
      <c r="Q23" s="27">
        <f t="shared" si="11"/>
        <v>971320</v>
      </c>
      <c r="R23" s="27">
        <f t="shared" si="11"/>
        <v>97110</v>
      </c>
      <c r="S23" s="27">
        <f t="shared" si="11"/>
        <v>2365860</v>
      </c>
      <c r="T23" s="9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s="4" customFormat="1" ht="22.5" customHeight="1" x14ac:dyDescent="0.3">
      <c r="A24" s="10"/>
      <c r="B24" s="12"/>
      <c r="C24" s="2"/>
      <c r="D24" s="2" t="s">
        <v>42</v>
      </c>
      <c r="E24" s="28"/>
      <c r="F24" s="2"/>
      <c r="G24" s="2"/>
      <c r="H24" s="2"/>
      <c r="I24" s="25"/>
      <c r="J24" s="2"/>
      <c r="K24" s="2"/>
      <c r="L24" s="29" t="s">
        <v>40</v>
      </c>
      <c r="M24" s="30">
        <f>M9+M11+M13+M14+M17+M18+M19</f>
        <v>598500</v>
      </c>
      <c r="N24" s="30">
        <f t="shared" ref="N24:S24" si="12">N9+N11+N13+N14+N17+N18+N19</f>
        <v>589560</v>
      </c>
      <c r="O24" s="30">
        <f t="shared" si="12"/>
        <v>147600</v>
      </c>
      <c r="P24" s="30">
        <f t="shared" si="12"/>
        <v>77430</v>
      </c>
      <c r="Q24" s="30">
        <f t="shared" si="12"/>
        <v>333530</v>
      </c>
      <c r="R24" s="30">
        <f t="shared" si="12"/>
        <v>33330</v>
      </c>
      <c r="S24" s="30">
        <f t="shared" si="12"/>
        <v>1779950</v>
      </c>
      <c r="T24" s="2"/>
      <c r="U24" s="2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s="4" customFormat="1" ht="22.5" customHeight="1" x14ac:dyDescent="0.3">
      <c r="A25" s="10"/>
      <c r="B25" s="12"/>
      <c r="C25" s="2"/>
      <c r="D25" s="2" t="s">
        <v>90</v>
      </c>
      <c r="E25" s="10"/>
      <c r="F25" s="2"/>
      <c r="G25" s="2"/>
      <c r="H25" s="2"/>
      <c r="I25" s="45" t="s">
        <v>46</v>
      </c>
      <c r="J25" s="46" t="s">
        <v>41</v>
      </c>
      <c r="K25" s="50"/>
      <c r="L25" s="29" t="s">
        <v>71</v>
      </c>
      <c r="M25" s="30">
        <f t="shared" ref="M25:S25" si="13">M12</f>
        <v>287370</v>
      </c>
      <c r="N25" s="30">
        <f t="shared" si="13"/>
        <v>217490</v>
      </c>
      <c r="O25" s="30">
        <f t="shared" si="13"/>
        <v>54450</v>
      </c>
      <c r="P25" s="30">
        <f t="shared" si="13"/>
        <v>28570</v>
      </c>
      <c r="Q25" s="30">
        <f t="shared" si="13"/>
        <v>286900</v>
      </c>
      <c r="R25" s="30">
        <f t="shared" si="13"/>
        <v>28690</v>
      </c>
      <c r="S25" s="30">
        <f t="shared" si="13"/>
        <v>903470</v>
      </c>
      <c r="T25" s="64"/>
      <c r="U25" s="2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s="4" customFormat="1" ht="22.5" customHeight="1" thickBot="1" x14ac:dyDescent="0.35">
      <c r="A26" s="10"/>
      <c r="B26" s="12"/>
      <c r="C26" s="2"/>
      <c r="D26" s="2"/>
      <c r="E26" s="10"/>
      <c r="F26" s="42" t="s">
        <v>28</v>
      </c>
      <c r="G26" s="42" t="s">
        <v>44</v>
      </c>
      <c r="H26" s="43" t="s">
        <v>41</v>
      </c>
      <c r="I26" s="44" t="s">
        <v>45</v>
      </c>
      <c r="J26" s="44" t="s">
        <v>45</v>
      </c>
      <c r="K26" s="51"/>
      <c r="L26" s="40" t="s">
        <v>68</v>
      </c>
      <c r="M26" s="41">
        <f t="shared" ref="M26:S26" si="14">M20+M16</f>
        <v>460750</v>
      </c>
      <c r="N26" s="41">
        <f t="shared" si="14"/>
        <v>348710</v>
      </c>
      <c r="O26" s="41">
        <f t="shared" si="14"/>
        <v>87300</v>
      </c>
      <c r="P26" s="41">
        <f t="shared" si="14"/>
        <v>45810</v>
      </c>
      <c r="Q26" s="41">
        <f t="shared" si="14"/>
        <v>383250</v>
      </c>
      <c r="R26" s="41">
        <f t="shared" si="14"/>
        <v>38320</v>
      </c>
      <c r="S26" s="41">
        <f t="shared" si="14"/>
        <v>1364140</v>
      </c>
      <c r="T26" s="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s="4" customFormat="1" ht="22.5" customHeight="1" thickBot="1" x14ac:dyDescent="0.35">
      <c r="A27" s="10"/>
      <c r="B27" s="12"/>
      <c r="C27" s="2"/>
      <c r="D27" s="2"/>
      <c r="E27" s="10"/>
      <c r="F27" s="39" t="s">
        <v>24</v>
      </c>
      <c r="G27" s="33">
        <f>N27+O27+P27</f>
        <v>2438350</v>
      </c>
      <c r="H27" s="33">
        <f>M27</f>
        <v>1802620</v>
      </c>
      <c r="I27" s="34"/>
      <c r="J27" s="34"/>
      <c r="K27" s="52"/>
      <c r="L27" s="47" t="s">
        <v>43</v>
      </c>
      <c r="M27" s="48">
        <f>SUM(M23:M26)</f>
        <v>1802620</v>
      </c>
      <c r="N27" s="48">
        <f t="shared" ref="N27:S27" si="15">SUM(N23:N26)</f>
        <v>1799250</v>
      </c>
      <c r="O27" s="48">
        <f t="shared" si="15"/>
        <v>402750</v>
      </c>
      <c r="P27" s="48">
        <f t="shared" si="15"/>
        <v>236350</v>
      </c>
      <c r="Q27" s="48">
        <f t="shared" si="15"/>
        <v>1975000</v>
      </c>
      <c r="R27" s="48">
        <f t="shared" si="15"/>
        <v>197450</v>
      </c>
      <c r="S27" s="49">
        <f t="shared" si="15"/>
        <v>6413420</v>
      </c>
      <c r="T27" s="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s="4" customFormat="1" ht="22.5" customHeight="1" x14ac:dyDescent="0.3">
      <c r="A28" s="10"/>
      <c r="B28" s="81"/>
      <c r="C28" s="82"/>
      <c r="D28" s="82"/>
      <c r="E28" s="83"/>
      <c r="F28" s="84"/>
      <c r="G28" s="85"/>
      <c r="H28" s="85"/>
      <c r="I28" s="86"/>
      <c r="J28" s="86"/>
      <c r="K28" s="86"/>
      <c r="L28" s="87"/>
      <c r="M28" s="88"/>
      <c r="N28" s="88"/>
      <c r="O28" s="88"/>
      <c r="P28" s="88"/>
      <c r="Q28" s="88"/>
      <c r="R28" s="88"/>
      <c r="S28" s="88"/>
      <c r="T28" s="8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s="4" customFormat="1" ht="21.6" customHeight="1" x14ac:dyDescent="0.3">
      <c r="A29" s="10"/>
      <c r="B29" s="83"/>
      <c r="C29" s="82"/>
      <c r="D29" s="82"/>
      <c r="E29" s="83"/>
      <c r="F29" s="82"/>
      <c r="G29" s="89"/>
      <c r="H29" s="84"/>
      <c r="I29" s="195"/>
      <c r="J29" s="195"/>
      <c r="K29" s="89"/>
      <c r="L29" s="82"/>
      <c r="M29" s="82"/>
      <c r="N29" s="91"/>
      <c r="O29" s="82"/>
      <c r="P29" s="82"/>
      <c r="Q29" s="82"/>
      <c r="R29" s="82"/>
      <c r="S29" s="82"/>
      <c r="T29" s="8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ht="21.6" customHeight="1" x14ac:dyDescent="0.3">
      <c r="H30" s="10"/>
      <c r="I30" s="196"/>
      <c r="J30" s="196"/>
    </row>
    <row r="31" spans="1:34" ht="21.6" customHeight="1" x14ac:dyDescent="0.3">
      <c r="I31" s="68"/>
      <c r="K31" s="64"/>
    </row>
  </sheetData>
  <mergeCells count="13">
    <mergeCell ref="I29:J29"/>
    <mergeCell ref="I30:J30"/>
    <mergeCell ref="T5:T6"/>
    <mergeCell ref="F6:G6"/>
    <mergeCell ref="A21:G21"/>
    <mergeCell ref="A1:L1"/>
    <mergeCell ref="A2:L2"/>
    <mergeCell ref="H4:M4"/>
    <mergeCell ref="A5:A6"/>
    <mergeCell ref="B5:B6"/>
    <mergeCell ref="C5:G5"/>
    <mergeCell ref="H5:L5"/>
    <mergeCell ref="M5:S5"/>
  </mergeCells>
  <phoneticPr fontId="2" type="noConversion"/>
  <printOptions horizontalCentered="1"/>
  <pageMargins left="0.11811023622047245" right="0" top="0.74803149606299213" bottom="0.55118110236220474" header="0.31496062992125984" footer="0.31496062992125984"/>
  <pageSetup paperSize="9" scale="73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5F40-E509-4EF5-AC39-408C069386DE}">
  <sheetPr>
    <tabColor rgb="FFFFFF00"/>
    <pageSetUpPr fitToPage="1"/>
  </sheetPr>
  <dimension ref="A1:AH31"/>
  <sheetViews>
    <sheetView view="pageBreakPreview" zoomScale="115" zoomScaleNormal="100" zoomScaleSheetLayoutView="115" workbookViewId="0">
      <selection activeCell="I23" sqref="I23"/>
    </sheetView>
  </sheetViews>
  <sheetFormatPr defaultRowHeight="21.6" customHeight="1" x14ac:dyDescent="0.3"/>
  <cols>
    <col min="1" max="1" width="3" style="10" customWidth="1"/>
    <col min="2" max="2" width="6.25" style="10" customWidth="1"/>
    <col min="3" max="3" width="8.75" style="2" customWidth="1"/>
    <col min="4" max="4" width="9" style="2" customWidth="1"/>
    <col min="5" max="5" width="7.5" style="10" customWidth="1"/>
    <col min="6" max="6" width="7.75" style="2" customWidth="1"/>
    <col min="7" max="8" width="11.625" style="2" customWidth="1"/>
    <col min="9" max="9" width="10.25" style="25" customWidth="1"/>
    <col min="10" max="11" width="9.5" style="2" customWidth="1"/>
    <col min="12" max="12" width="11" style="2" customWidth="1"/>
    <col min="13" max="13" width="9.625" style="2" customWidth="1"/>
    <col min="14" max="14" width="10.375" style="2" customWidth="1"/>
    <col min="15" max="18" width="9.625" style="2" customWidth="1"/>
    <col min="19" max="19" width="9.25" style="2" customWidth="1"/>
    <col min="20" max="20" width="11.75" style="2" customWidth="1"/>
    <col min="21" max="21" width="12" style="4" bestFit="1" customWidth="1"/>
    <col min="22" max="22" width="9" style="4"/>
    <col min="23" max="34" width="9" style="5"/>
    <col min="35" max="16384" width="9" style="2"/>
  </cols>
  <sheetData>
    <row r="1" spans="1:34" ht="30.75" customHeight="1" x14ac:dyDescent="0.3">
      <c r="A1" s="179" t="s">
        <v>91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34" ht="21.6" customHeight="1" x14ac:dyDescent="0.3">
      <c r="A2" s="180" t="s">
        <v>92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34" ht="9.75" customHeight="1" x14ac:dyDescent="0.3">
      <c r="A3" s="6"/>
      <c r="B3" s="7"/>
      <c r="C3" s="7"/>
      <c r="D3" s="7"/>
      <c r="E3" s="7"/>
      <c r="F3" s="7"/>
      <c r="G3" s="7"/>
      <c r="H3" s="7"/>
      <c r="I3" s="8"/>
      <c r="J3" s="7"/>
      <c r="K3" s="7"/>
    </row>
    <row r="4" spans="1:34" ht="21.6" customHeight="1" thickBot="1" x14ac:dyDescent="0.35">
      <c r="A4" s="9" t="s">
        <v>27</v>
      </c>
      <c r="H4" s="181"/>
      <c r="I4" s="181"/>
      <c r="J4" s="181"/>
      <c r="K4" s="181"/>
      <c r="L4" s="181"/>
      <c r="M4" s="181"/>
    </row>
    <row r="5" spans="1:34" s="12" customFormat="1" ht="21.6" customHeight="1" x14ac:dyDescent="0.3">
      <c r="A5" s="182" t="s">
        <v>5</v>
      </c>
      <c r="B5" s="184" t="s">
        <v>28</v>
      </c>
      <c r="C5" s="186" t="s">
        <v>14</v>
      </c>
      <c r="D5" s="186"/>
      <c r="E5" s="186"/>
      <c r="F5" s="186"/>
      <c r="G5" s="186"/>
      <c r="H5" s="186" t="s">
        <v>13</v>
      </c>
      <c r="I5" s="186"/>
      <c r="J5" s="186"/>
      <c r="K5" s="186"/>
      <c r="L5" s="186"/>
      <c r="M5" s="187" t="s">
        <v>0</v>
      </c>
      <c r="N5" s="187"/>
      <c r="O5" s="187"/>
      <c r="P5" s="187"/>
      <c r="Q5" s="187"/>
      <c r="R5" s="187"/>
      <c r="S5" s="187"/>
      <c r="T5" s="174" t="s">
        <v>25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s="14" customFormat="1" ht="21.6" customHeight="1" thickBot="1" x14ac:dyDescent="0.35">
      <c r="A6" s="183"/>
      <c r="B6" s="185"/>
      <c r="C6" s="79" t="s">
        <v>6</v>
      </c>
      <c r="D6" s="79" t="s">
        <v>7</v>
      </c>
      <c r="E6" s="79" t="s">
        <v>8</v>
      </c>
      <c r="F6" s="176" t="s">
        <v>9</v>
      </c>
      <c r="G6" s="176"/>
      <c r="H6" s="79" t="s">
        <v>10</v>
      </c>
      <c r="I6" s="36" t="s">
        <v>11</v>
      </c>
      <c r="J6" s="79" t="s">
        <v>12</v>
      </c>
      <c r="K6" s="79" t="s">
        <v>51</v>
      </c>
      <c r="L6" s="78" t="s">
        <v>26</v>
      </c>
      <c r="M6" s="37" t="s">
        <v>1</v>
      </c>
      <c r="N6" s="37" t="s">
        <v>22</v>
      </c>
      <c r="O6" s="37" t="s">
        <v>21</v>
      </c>
      <c r="P6" s="38" t="s">
        <v>23</v>
      </c>
      <c r="Q6" s="37" t="s">
        <v>3</v>
      </c>
      <c r="R6" s="37" t="s">
        <v>4</v>
      </c>
      <c r="S6" s="37" t="s">
        <v>2</v>
      </c>
      <c r="T6" s="197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s="4" customFormat="1" ht="21.6" customHeight="1" x14ac:dyDescent="0.3">
      <c r="A7" s="100">
        <v>1</v>
      </c>
      <c r="B7" s="109" t="s">
        <v>24</v>
      </c>
      <c r="C7" s="102" t="s">
        <v>15</v>
      </c>
      <c r="D7" s="101"/>
      <c r="E7" s="103" t="s">
        <v>16</v>
      </c>
      <c r="F7" s="104" t="s">
        <v>17</v>
      </c>
      <c r="G7" s="105">
        <v>1011355</v>
      </c>
      <c r="H7" s="106">
        <v>5300000</v>
      </c>
      <c r="I7" s="106">
        <v>200000</v>
      </c>
      <c r="J7" s="106">
        <v>100000</v>
      </c>
      <c r="K7" s="106"/>
      <c r="L7" s="106">
        <f>J7+I7+H7+K7</f>
        <v>5600000</v>
      </c>
      <c r="M7" s="106"/>
      <c r="N7" s="106">
        <f>TRUNC((H7+K7)*3.595%,-1)</f>
        <v>190530</v>
      </c>
      <c r="O7" s="106"/>
      <c r="P7" s="106">
        <f>ROUNDDOWN(N7*13.14%,-1)</f>
        <v>25030</v>
      </c>
      <c r="Q7" s="107">
        <v>406570</v>
      </c>
      <c r="R7" s="106">
        <f t="shared" ref="R7:R20" si="0">ROUNDDOWN(Q7*0.1,-1)</f>
        <v>40650</v>
      </c>
      <c r="S7" s="106">
        <f t="shared" ref="S7:S20" si="1">SUM(M7:R7)</f>
        <v>662780</v>
      </c>
      <c r="T7" s="142">
        <f t="shared" ref="T7:T20" si="2">L7-S7</f>
        <v>4937220</v>
      </c>
    </row>
    <row r="8" spans="1:34" s="4" customFormat="1" ht="21.6" customHeight="1" x14ac:dyDescent="0.3">
      <c r="A8" s="16">
        <f>A7+1</f>
        <v>2</v>
      </c>
      <c r="B8" s="110" t="s">
        <v>24</v>
      </c>
      <c r="C8" s="65" t="s">
        <v>55</v>
      </c>
      <c r="D8" s="17"/>
      <c r="E8" s="17" t="s">
        <v>56</v>
      </c>
      <c r="F8" s="18" t="s">
        <v>57</v>
      </c>
      <c r="G8" s="19">
        <v>1018325</v>
      </c>
      <c r="H8" s="20">
        <v>3000000</v>
      </c>
      <c r="I8" s="20">
        <v>200000</v>
      </c>
      <c r="J8" s="20">
        <v>100000</v>
      </c>
      <c r="K8" s="59"/>
      <c r="L8" s="20">
        <f>J8+I8+H8+K8</f>
        <v>3300000</v>
      </c>
      <c r="M8" s="20"/>
      <c r="N8" s="59">
        <f t="shared" ref="N8:N20" si="3">TRUNC((H8+K8)*3.595%,-1)</f>
        <v>107850</v>
      </c>
      <c r="O8" s="20">
        <f>ROUNDDOWN(H8*0.9%,-1)</f>
        <v>27000</v>
      </c>
      <c r="P8" s="59">
        <f t="shared" ref="P8:P20" si="4">ROUNDDOWN(N8*13.14%,-1)</f>
        <v>14170</v>
      </c>
      <c r="Q8" s="54">
        <v>129440</v>
      </c>
      <c r="R8" s="20">
        <f t="shared" si="0"/>
        <v>12940</v>
      </c>
      <c r="S8" s="20">
        <f t="shared" si="1"/>
        <v>291400</v>
      </c>
      <c r="T8" s="143">
        <f t="shared" si="2"/>
        <v>3008600</v>
      </c>
    </row>
    <row r="9" spans="1:34" s="4" customFormat="1" ht="21.6" customHeight="1" x14ac:dyDescent="0.3">
      <c r="A9" s="16">
        <f t="shared" ref="A9" si="5">A8+1</f>
        <v>3</v>
      </c>
      <c r="B9" s="110" t="s">
        <v>40</v>
      </c>
      <c r="C9" s="65" t="s">
        <v>58</v>
      </c>
      <c r="D9" s="65"/>
      <c r="E9" s="56" t="s">
        <v>59</v>
      </c>
      <c r="F9" s="57" t="s">
        <v>60</v>
      </c>
      <c r="G9" s="58">
        <v>2011325</v>
      </c>
      <c r="H9" s="20">
        <v>2100000</v>
      </c>
      <c r="I9" s="20">
        <v>200000</v>
      </c>
      <c r="J9" s="20">
        <v>100000</v>
      </c>
      <c r="K9" s="59"/>
      <c r="L9" s="20">
        <f t="shared" ref="L9:L20" si="6">J9+I9+H9+K9</f>
        <v>2400000</v>
      </c>
      <c r="M9" s="21">
        <f>TRUNC((H9+K9)*4.75%,-1)</f>
        <v>99750</v>
      </c>
      <c r="N9" s="59">
        <f t="shared" si="3"/>
        <v>75490</v>
      </c>
      <c r="O9" s="20">
        <f t="shared" ref="O9:O20" si="7">ROUNDDOWN(H9*0.9%,-1)</f>
        <v>18900</v>
      </c>
      <c r="P9" s="59">
        <f t="shared" si="4"/>
        <v>9910</v>
      </c>
      <c r="Q9" s="54">
        <v>25950</v>
      </c>
      <c r="R9" s="20">
        <f t="shared" si="0"/>
        <v>2590</v>
      </c>
      <c r="S9" s="20">
        <f t="shared" si="1"/>
        <v>232590</v>
      </c>
      <c r="T9" s="143">
        <f t="shared" si="2"/>
        <v>2167410</v>
      </c>
    </row>
    <row r="10" spans="1:34" s="62" customFormat="1" ht="21.6" customHeight="1" x14ac:dyDescent="0.3">
      <c r="A10" s="55">
        <v>4</v>
      </c>
      <c r="B10" s="111" t="s">
        <v>24</v>
      </c>
      <c r="C10" s="80" t="s">
        <v>18</v>
      </c>
      <c r="D10" s="56"/>
      <c r="E10" s="56" t="s">
        <v>19</v>
      </c>
      <c r="F10" s="57" t="s">
        <v>20</v>
      </c>
      <c r="G10" s="58">
        <v>1261415</v>
      </c>
      <c r="H10" s="59">
        <v>4900000</v>
      </c>
      <c r="I10" s="59">
        <v>200000</v>
      </c>
      <c r="J10" s="59">
        <v>100000</v>
      </c>
      <c r="K10" s="59"/>
      <c r="L10" s="59">
        <f t="shared" si="6"/>
        <v>5200000</v>
      </c>
      <c r="M10" s="60">
        <f>TRUNC((H10+K10)*4.75%,-1)</f>
        <v>232750</v>
      </c>
      <c r="N10" s="59">
        <f t="shared" si="3"/>
        <v>176150</v>
      </c>
      <c r="O10" s="20">
        <f t="shared" si="7"/>
        <v>44100</v>
      </c>
      <c r="P10" s="59">
        <f t="shared" si="4"/>
        <v>23140</v>
      </c>
      <c r="Q10" s="61">
        <v>185850</v>
      </c>
      <c r="R10" s="59">
        <f t="shared" si="0"/>
        <v>18580</v>
      </c>
      <c r="S10" s="59">
        <f t="shared" si="1"/>
        <v>680570</v>
      </c>
      <c r="T10" s="143">
        <f t="shared" si="2"/>
        <v>4519430</v>
      </c>
    </row>
    <row r="11" spans="1:34" s="4" customFormat="1" ht="21.6" customHeight="1" x14ac:dyDescent="0.3">
      <c r="A11" s="55">
        <v>5</v>
      </c>
      <c r="B11" s="110" t="s">
        <v>40</v>
      </c>
      <c r="C11" s="65" t="s">
        <v>61</v>
      </c>
      <c r="D11" s="17"/>
      <c r="E11" s="17" t="s">
        <v>62</v>
      </c>
      <c r="F11" s="18">
        <v>940531</v>
      </c>
      <c r="G11" s="19">
        <v>1009610</v>
      </c>
      <c r="H11" s="20">
        <v>2000000</v>
      </c>
      <c r="I11" s="20">
        <v>200000</v>
      </c>
      <c r="J11" s="20">
        <v>100000</v>
      </c>
      <c r="K11" s="59"/>
      <c r="L11" s="20">
        <f t="shared" si="6"/>
        <v>2300000</v>
      </c>
      <c r="M11" s="60">
        <f t="shared" ref="M11:M13" si="8">TRUNC((H11+K11)*4.75%,-1)</f>
        <v>95000</v>
      </c>
      <c r="N11" s="59">
        <f t="shared" si="3"/>
        <v>71900</v>
      </c>
      <c r="O11" s="20">
        <f t="shared" si="7"/>
        <v>18000</v>
      </c>
      <c r="P11" s="59">
        <f t="shared" si="4"/>
        <v>9440</v>
      </c>
      <c r="Q11" s="54">
        <v>19520</v>
      </c>
      <c r="R11" s="20">
        <f t="shared" si="0"/>
        <v>1950</v>
      </c>
      <c r="S11" s="20">
        <f t="shared" si="1"/>
        <v>215810</v>
      </c>
      <c r="T11" s="143">
        <f t="shared" si="2"/>
        <v>2084190</v>
      </c>
    </row>
    <row r="12" spans="1:34" s="62" customFormat="1" ht="21.6" customHeight="1" x14ac:dyDescent="0.3">
      <c r="A12" s="16">
        <v>6</v>
      </c>
      <c r="B12" s="111" t="s">
        <v>24</v>
      </c>
      <c r="C12" s="80" t="s">
        <v>52</v>
      </c>
      <c r="D12" s="56"/>
      <c r="E12" s="56" t="s">
        <v>39</v>
      </c>
      <c r="F12" s="57" t="s">
        <v>53</v>
      </c>
      <c r="G12" s="58">
        <v>1055911</v>
      </c>
      <c r="H12" s="59">
        <v>6050000</v>
      </c>
      <c r="I12" s="59">
        <v>200000</v>
      </c>
      <c r="J12" s="59">
        <v>100000</v>
      </c>
      <c r="K12" s="59"/>
      <c r="L12" s="59">
        <f t="shared" si="6"/>
        <v>6350000</v>
      </c>
      <c r="M12" s="60">
        <f t="shared" si="8"/>
        <v>287370</v>
      </c>
      <c r="N12" s="59">
        <f t="shared" si="3"/>
        <v>217490</v>
      </c>
      <c r="O12" s="20">
        <f t="shared" si="7"/>
        <v>54450</v>
      </c>
      <c r="P12" s="59">
        <f t="shared" si="4"/>
        <v>28570</v>
      </c>
      <c r="Q12" s="61">
        <v>286900</v>
      </c>
      <c r="R12" s="59">
        <f t="shared" si="0"/>
        <v>28690</v>
      </c>
      <c r="S12" s="59">
        <f t="shared" si="1"/>
        <v>903470</v>
      </c>
      <c r="T12" s="143">
        <f t="shared" si="2"/>
        <v>5446530</v>
      </c>
    </row>
    <row r="13" spans="1:34" s="4" customFormat="1" ht="21.6" customHeight="1" x14ac:dyDescent="0.3">
      <c r="A13" s="55">
        <v>7</v>
      </c>
      <c r="B13" s="110" t="s">
        <v>38</v>
      </c>
      <c r="C13" s="65" t="s">
        <v>50</v>
      </c>
      <c r="D13" s="17"/>
      <c r="E13" s="17" t="s">
        <v>29</v>
      </c>
      <c r="F13" s="18" t="s">
        <v>30</v>
      </c>
      <c r="G13" s="19">
        <v>2810140</v>
      </c>
      <c r="H13" s="20">
        <v>3200000</v>
      </c>
      <c r="I13" s="20">
        <v>200000</v>
      </c>
      <c r="J13" s="20"/>
      <c r="K13" s="59"/>
      <c r="L13" s="20">
        <f t="shared" si="6"/>
        <v>3400000</v>
      </c>
      <c r="M13" s="60">
        <f t="shared" si="8"/>
        <v>152000</v>
      </c>
      <c r="N13" s="59">
        <f t="shared" si="3"/>
        <v>115040</v>
      </c>
      <c r="O13" s="20">
        <f t="shared" si="7"/>
        <v>28800</v>
      </c>
      <c r="P13" s="59">
        <f t="shared" si="4"/>
        <v>15110</v>
      </c>
      <c r="Q13" s="54">
        <v>117770</v>
      </c>
      <c r="R13" s="20">
        <f t="shared" si="0"/>
        <v>11770</v>
      </c>
      <c r="S13" s="20">
        <f t="shared" si="1"/>
        <v>440490</v>
      </c>
      <c r="T13" s="143">
        <f t="shared" si="2"/>
        <v>2959510</v>
      </c>
      <c r="U13" s="98"/>
    </row>
    <row r="14" spans="1:34" s="4" customFormat="1" ht="21.6" customHeight="1" x14ac:dyDescent="0.3">
      <c r="A14" s="16">
        <v>8</v>
      </c>
      <c r="B14" s="110" t="s">
        <v>40</v>
      </c>
      <c r="C14" s="65" t="s">
        <v>47</v>
      </c>
      <c r="D14" s="17"/>
      <c r="E14" s="56" t="s">
        <v>48</v>
      </c>
      <c r="F14" s="57" t="s">
        <v>49</v>
      </c>
      <c r="G14" s="58">
        <v>1222414</v>
      </c>
      <c r="H14" s="59">
        <v>1900000</v>
      </c>
      <c r="I14" s="20">
        <v>200000</v>
      </c>
      <c r="J14" s="20">
        <v>100000</v>
      </c>
      <c r="K14" s="59"/>
      <c r="L14" s="20">
        <f t="shared" si="6"/>
        <v>2200000</v>
      </c>
      <c r="M14" s="21"/>
      <c r="N14" s="59">
        <f t="shared" si="3"/>
        <v>68300</v>
      </c>
      <c r="O14" s="20">
        <f t="shared" si="7"/>
        <v>17100</v>
      </c>
      <c r="P14" s="59">
        <f t="shared" si="4"/>
        <v>8970</v>
      </c>
      <c r="Q14" s="54">
        <v>19520</v>
      </c>
      <c r="R14" s="20">
        <f t="shared" si="0"/>
        <v>1950</v>
      </c>
      <c r="S14" s="20">
        <f t="shared" si="1"/>
        <v>115840</v>
      </c>
      <c r="T14" s="143">
        <f t="shared" si="2"/>
        <v>2084160</v>
      </c>
      <c r="U14" s="98"/>
    </row>
    <row r="15" spans="1:34" s="4" customFormat="1" ht="21.6" customHeight="1" x14ac:dyDescent="0.3">
      <c r="A15" s="55">
        <v>9</v>
      </c>
      <c r="B15" s="111" t="s">
        <v>24</v>
      </c>
      <c r="C15" s="80" t="s">
        <v>64</v>
      </c>
      <c r="D15" s="80"/>
      <c r="E15" s="56" t="s">
        <v>63</v>
      </c>
      <c r="F15" s="57">
        <v>840410</v>
      </c>
      <c r="G15" s="58">
        <v>1240711</v>
      </c>
      <c r="H15" s="59">
        <v>4900000</v>
      </c>
      <c r="I15" s="59">
        <v>200000</v>
      </c>
      <c r="J15" s="59">
        <v>100000</v>
      </c>
      <c r="K15" s="59"/>
      <c r="L15" s="59">
        <f t="shared" si="6"/>
        <v>5200000</v>
      </c>
      <c r="M15" s="60">
        <f>TRUNC((H15+K15)*4.75%,-1)</f>
        <v>232750</v>
      </c>
      <c r="N15" s="59">
        <f t="shared" si="3"/>
        <v>176150</v>
      </c>
      <c r="O15" s="59">
        <f t="shared" si="7"/>
        <v>44100</v>
      </c>
      <c r="P15" s="59">
        <f t="shared" si="4"/>
        <v>23140</v>
      </c>
      <c r="Q15" s="61">
        <v>249460</v>
      </c>
      <c r="R15" s="59">
        <f t="shared" si="0"/>
        <v>24940</v>
      </c>
      <c r="S15" s="59">
        <f t="shared" si="1"/>
        <v>750540</v>
      </c>
      <c r="T15" s="143">
        <f t="shared" si="2"/>
        <v>4449460</v>
      </c>
      <c r="U15" s="98"/>
    </row>
    <row r="16" spans="1:34" s="4" customFormat="1" ht="21.6" customHeight="1" x14ac:dyDescent="0.3">
      <c r="A16" s="55">
        <v>10</v>
      </c>
      <c r="B16" s="111" t="s">
        <v>24</v>
      </c>
      <c r="C16" s="80" t="s">
        <v>65</v>
      </c>
      <c r="D16" s="80"/>
      <c r="E16" s="56" t="s">
        <v>66</v>
      </c>
      <c r="F16" s="57" t="s">
        <v>67</v>
      </c>
      <c r="G16" s="58">
        <v>1067322</v>
      </c>
      <c r="H16" s="59">
        <v>5000000</v>
      </c>
      <c r="I16" s="59">
        <v>200000</v>
      </c>
      <c r="J16" s="59">
        <v>100000</v>
      </c>
      <c r="K16" s="59"/>
      <c r="L16" s="59">
        <f t="shared" si="6"/>
        <v>5300000</v>
      </c>
      <c r="M16" s="60">
        <f>TRUNC((H16+K16)*4.75%,-1)</f>
        <v>237500</v>
      </c>
      <c r="N16" s="59">
        <f t="shared" si="3"/>
        <v>179750</v>
      </c>
      <c r="O16" s="59">
        <f t="shared" si="7"/>
        <v>45000</v>
      </c>
      <c r="P16" s="59">
        <f t="shared" si="4"/>
        <v>23610</v>
      </c>
      <c r="Q16" s="61">
        <v>157900</v>
      </c>
      <c r="R16" s="59">
        <f t="shared" si="0"/>
        <v>15790</v>
      </c>
      <c r="S16" s="59">
        <f t="shared" si="1"/>
        <v>659550</v>
      </c>
      <c r="T16" s="143">
        <f t="shared" si="2"/>
        <v>4640450</v>
      </c>
      <c r="U16" s="98"/>
    </row>
    <row r="17" spans="1:34" s="4" customFormat="1" ht="21.6" customHeight="1" x14ac:dyDescent="0.3">
      <c r="A17" s="55">
        <v>11</v>
      </c>
      <c r="B17" s="116" t="s">
        <v>40</v>
      </c>
      <c r="C17" s="117" t="s">
        <v>72</v>
      </c>
      <c r="D17" s="117"/>
      <c r="E17" s="118" t="s">
        <v>73</v>
      </c>
      <c r="F17" s="119" t="s">
        <v>74</v>
      </c>
      <c r="G17" s="120">
        <v>1222415</v>
      </c>
      <c r="H17" s="121">
        <v>1900000</v>
      </c>
      <c r="I17" s="121">
        <v>200000</v>
      </c>
      <c r="J17" s="121">
        <v>100000</v>
      </c>
      <c r="K17" s="121"/>
      <c r="L17" s="121">
        <f t="shared" si="6"/>
        <v>2200000</v>
      </c>
      <c r="M17" s="60"/>
      <c r="N17" s="59">
        <f t="shared" si="3"/>
        <v>68300</v>
      </c>
      <c r="O17" s="121">
        <f t="shared" si="7"/>
        <v>17100</v>
      </c>
      <c r="P17" s="59">
        <f t="shared" si="4"/>
        <v>8970</v>
      </c>
      <c r="Q17" s="122">
        <v>35600</v>
      </c>
      <c r="R17" s="121">
        <f t="shared" si="0"/>
        <v>3560</v>
      </c>
      <c r="S17" s="59">
        <f t="shared" si="1"/>
        <v>133530</v>
      </c>
      <c r="T17" s="143">
        <f t="shared" si="2"/>
        <v>2066470</v>
      </c>
      <c r="U17" s="98"/>
    </row>
    <row r="18" spans="1:34" s="4" customFormat="1" ht="21.6" customHeight="1" x14ac:dyDescent="0.3">
      <c r="A18" s="16">
        <v>12</v>
      </c>
      <c r="B18" s="116" t="s">
        <v>40</v>
      </c>
      <c r="C18" s="117" t="s">
        <v>75</v>
      </c>
      <c r="D18" s="117"/>
      <c r="E18" s="118" t="s">
        <v>76</v>
      </c>
      <c r="F18" s="119" t="s">
        <v>77</v>
      </c>
      <c r="G18" s="120">
        <v>1046917</v>
      </c>
      <c r="H18" s="121">
        <v>3100000</v>
      </c>
      <c r="I18" s="121">
        <v>200000</v>
      </c>
      <c r="J18" s="121">
        <v>100000</v>
      </c>
      <c r="K18" s="121"/>
      <c r="L18" s="121">
        <f t="shared" si="6"/>
        <v>3400000</v>
      </c>
      <c r="M18" s="60">
        <f>TRUNC((H18+K18)*4.75%,-1)</f>
        <v>147250</v>
      </c>
      <c r="N18" s="59">
        <f t="shared" si="3"/>
        <v>111440</v>
      </c>
      <c r="O18" s="121">
        <f t="shared" si="7"/>
        <v>27900</v>
      </c>
      <c r="P18" s="59">
        <f t="shared" si="4"/>
        <v>14640</v>
      </c>
      <c r="Q18" s="122">
        <v>89220</v>
      </c>
      <c r="R18" s="121">
        <f t="shared" si="0"/>
        <v>8920</v>
      </c>
      <c r="S18" s="59">
        <f t="shared" si="1"/>
        <v>399370</v>
      </c>
      <c r="T18" s="143">
        <f t="shared" si="2"/>
        <v>3000630</v>
      </c>
      <c r="U18" s="98"/>
    </row>
    <row r="19" spans="1:34" s="4" customFormat="1" ht="21.6" customHeight="1" x14ac:dyDescent="0.3">
      <c r="A19" s="55">
        <v>13</v>
      </c>
      <c r="B19" s="116" t="s">
        <v>40</v>
      </c>
      <c r="C19" s="117" t="s">
        <v>75</v>
      </c>
      <c r="D19" s="117"/>
      <c r="E19" s="118" t="s">
        <v>78</v>
      </c>
      <c r="F19" s="123" t="s">
        <v>79</v>
      </c>
      <c r="G19" s="120">
        <v>3079513</v>
      </c>
      <c r="H19" s="121">
        <v>2200000</v>
      </c>
      <c r="I19" s="121">
        <v>200000</v>
      </c>
      <c r="J19" s="121">
        <v>100000</v>
      </c>
      <c r="K19" s="121"/>
      <c r="L19" s="121">
        <f t="shared" si="6"/>
        <v>2500000</v>
      </c>
      <c r="M19" s="60">
        <f t="shared" ref="M19:M20" si="9">TRUNC((H19+K19)*4.75%,-1)</f>
        <v>104500</v>
      </c>
      <c r="N19" s="59">
        <f t="shared" si="3"/>
        <v>79090</v>
      </c>
      <c r="O19" s="121">
        <f t="shared" si="7"/>
        <v>19800</v>
      </c>
      <c r="P19" s="59">
        <f t="shared" si="4"/>
        <v>10390</v>
      </c>
      <c r="Q19" s="122">
        <v>25950</v>
      </c>
      <c r="R19" s="121">
        <f t="shared" si="0"/>
        <v>2590</v>
      </c>
      <c r="S19" s="121">
        <f t="shared" si="1"/>
        <v>242320</v>
      </c>
      <c r="T19" s="144">
        <f t="shared" si="2"/>
        <v>2257680</v>
      </c>
      <c r="U19" s="98"/>
    </row>
    <row r="20" spans="1:34" s="4" customFormat="1" ht="21.6" customHeight="1" thickBot="1" x14ac:dyDescent="0.35">
      <c r="A20" s="16">
        <v>14</v>
      </c>
      <c r="B20" s="112" t="s">
        <v>68</v>
      </c>
      <c r="C20" s="74" t="s">
        <v>69</v>
      </c>
      <c r="D20" s="74"/>
      <c r="E20" s="75" t="s">
        <v>70</v>
      </c>
      <c r="F20" s="76">
        <v>740221</v>
      </c>
      <c r="G20" s="77">
        <v>1031512</v>
      </c>
      <c r="H20" s="71">
        <v>4700000</v>
      </c>
      <c r="I20" s="72">
        <v>200000</v>
      </c>
      <c r="J20" s="72">
        <v>100000</v>
      </c>
      <c r="K20" s="71"/>
      <c r="L20" s="72">
        <f t="shared" si="6"/>
        <v>5000000</v>
      </c>
      <c r="M20" s="60">
        <f t="shared" si="9"/>
        <v>223250</v>
      </c>
      <c r="N20" s="71">
        <f t="shared" si="3"/>
        <v>168960</v>
      </c>
      <c r="O20" s="72">
        <f t="shared" si="7"/>
        <v>42300</v>
      </c>
      <c r="P20" s="71">
        <f t="shared" si="4"/>
        <v>22200</v>
      </c>
      <c r="Q20" s="73">
        <v>225350</v>
      </c>
      <c r="R20" s="72">
        <f t="shared" si="0"/>
        <v>22530</v>
      </c>
      <c r="S20" s="72">
        <f t="shared" si="1"/>
        <v>704590</v>
      </c>
      <c r="T20" s="145">
        <f t="shared" si="2"/>
        <v>4295410</v>
      </c>
      <c r="U20" s="98"/>
    </row>
    <row r="21" spans="1:34" s="24" customFormat="1" ht="21.6" customHeight="1" thickBot="1" x14ac:dyDescent="0.35">
      <c r="A21" s="177"/>
      <c r="B21" s="178"/>
      <c r="C21" s="178"/>
      <c r="D21" s="178"/>
      <c r="E21" s="178"/>
      <c r="F21" s="178"/>
      <c r="G21" s="178"/>
      <c r="H21" s="35">
        <f>SUM(H7:H20)</f>
        <v>50250000</v>
      </c>
      <c r="I21" s="35">
        <f>SUM(I7:I20)</f>
        <v>2800000</v>
      </c>
      <c r="J21" s="35">
        <f>SUM(J7:J20)</f>
        <v>1300000</v>
      </c>
      <c r="K21" s="35">
        <f>SUM(K7:K16)</f>
        <v>0</v>
      </c>
      <c r="L21" s="35">
        <f t="shared" ref="L21:T21" si="10">SUM(L7:L20)</f>
        <v>54350000</v>
      </c>
      <c r="M21" s="35">
        <f t="shared" si="10"/>
        <v>1812120</v>
      </c>
      <c r="N21" s="35">
        <f t="shared" si="10"/>
        <v>1806440</v>
      </c>
      <c r="O21" s="35">
        <f t="shared" si="10"/>
        <v>404550</v>
      </c>
      <c r="P21" s="35">
        <f t="shared" si="10"/>
        <v>237290</v>
      </c>
      <c r="Q21" s="35">
        <f t="shared" si="10"/>
        <v>1975000</v>
      </c>
      <c r="R21" s="35">
        <f t="shared" si="10"/>
        <v>197450</v>
      </c>
      <c r="S21" s="35">
        <f t="shared" si="10"/>
        <v>6432850</v>
      </c>
      <c r="T21" s="146">
        <f t="shared" si="10"/>
        <v>47917150</v>
      </c>
      <c r="U21" s="98"/>
    </row>
    <row r="22" spans="1:34" s="4" customFormat="1" ht="15" customHeight="1" x14ac:dyDescent="0.3">
      <c r="A22" s="10"/>
      <c r="B22" s="10"/>
      <c r="C22" s="2"/>
      <c r="D22" s="2"/>
      <c r="E22" s="10"/>
      <c r="F22" s="2"/>
      <c r="G22" s="2"/>
      <c r="H22" s="2"/>
      <c r="I22" s="25"/>
      <c r="J22" s="2"/>
      <c r="K22" s="2"/>
      <c r="L22" s="2"/>
      <c r="M22" s="2"/>
      <c r="N22" s="2"/>
      <c r="O22" s="2"/>
      <c r="P22" s="2"/>
      <c r="Q22" s="2"/>
      <c r="R22" s="64"/>
      <c r="S22" s="2"/>
      <c r="T22" s="2"/>
      <c r="U22" s="98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s="4" customFormat="1" ht="22.5" customHeight="1" x14ac:dyDescent="0.3">
      <c r="A23" s="10"/>
      <c r="B23" s="12"/>
      <c r="C23" s="66"/>
      <c r="D23" s="66"/>
      <c r="E23" s="67"/>
      <c r="F23" s="66"/>
      <c r="G23" s="2"/>
      <c r="H23" s="2"/>
      <c r="I23" s="68"/>
      <c r="J23" s="69"/>
      <c r="K23" s="2"/>
      <c r="L23" s="26" t="s">
        <v>24</v>
      </c>
      <c r="M23" s="27">
        <f t="shared" ref="M23:S23" si="11">M7+M8+M10+M15</f>
        <v>465500</v>
      </c>
      <c r="N23" s="27">
        <f t="shared" si="11"/>
        <v>650680</v>
      </c>
      <c r="O23" s="27">
        <f t="shared" si="11"/>
        <v>115200</v>
      </c>
      <c r="P23" s="27">
        <f t="shared" si="11"/>
        <v>85480</v>
      </c>
      <c r="Q23" s="27">
        <f t="shared" si="11"/>
        <v>971320</v>
      </c>
      <c r="R23" s="27">
        <f t="shared" si="11"/>
        <v>97110</v>
      </c>
      <c r="S23" s="27">
        <f t="shared" si="11"/>
        <v>2385290</v>
      </c>
      <c r="T23" s="9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s="4" customFormat="1" ht="22.5" customHeight="1" x14ac:dyDescent="0.3">
      <c r="A24" s="10"/>
      <c r="B24" s="12"/>
      <c r="C24" s="2"/>
      <c r="D24" s="2" t="s">
        <v>42</v>
      </c>
      <c r="E24" s="28"/>
      <c r="F24" s="2"/>
      <c r="G24" s="2"/>
      <c r="H24" s="2"/>
      <c r="I24" s="25"/>
      <c r="J24" s="2"/>
      <c r="K24" s="2"/>
      <c r="L24" s="29" t="s">
        <v>40</v>
      </c>
      <c r="M24" s="30">
        <f>M9+M11+M13+M14+M17+M18+M19</f>
        <v>598500</v>
      </c>
      <c r="N24" s="30">
        <f t="shared" ref="N24:S24" si="12">N9+N11+N13+N14+N17+N18+N19</f>
        <v>589560</v>
      </c>
      <c r="O24" s="30">
        <f t="shared" si="12"/>
        <v>147600</v>
      </c>
      <c r="P24" s="30">
        <f t="shared" si="12"/>
        <v>77430</v>
      </c>
      <c r="Q24" s="30">
        <f t="shared" si="12"/>
        <v>333530</v>
      </c>
      <c r="R24" s="30">
        <f t="shared" si="12"/>
        <v>33330</v>
      </c>
      <c r="S24" s="30">
        <f t="shared" si="12"/>
        <v>1779950</v>
      </c>
      <c r="T24" s="2"/>
      <c r="U24" s="2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s="4" customFormat="1" ht="22.5" customHeight="1" x14ac:dyDescent="0.3">
      <c r="A25" s="10"/>
      <c r="B25" s="12"/>
      <c r="C25" s="2"/>
      <c r="D25" s="2" t="s">
        <v>90</v>
      </c>
      <c r="E25" s="10"/>
      <c r="F25" s="2"/>
      <c r="G25" s="2"/>
      <c r="H25" s="2"/>
      <c r="I25" s="45" t="s">
        <v>46</v>
      </c>
      <c r="J25" s="46" t="s">
        <v>41</v>
      </c>
      <c r="K25" s="50"/>
      <c r="L25" s="29" t="s">
        <v>71</v>
      </c>
      <c r="M25" s="30">
        <f t="shared" ref="M25:S25" si="13">M12</f>
        <v>287370</v>
      </c>
      <c r="N25" s="30">
        <f t="shared" si="13"/>
        <v>217490</v>
      </c>
      <c r="O25" s="30">
        <f t="shared" si="13"/>
        <v>54450</v>
      </c>
      <c r="P25" s="30">
        <f t="shared" si="13"/>
        <v>28570</v>
      </c>
      <c r="Q25" s="30">
        <f t="shared" si="13"/>
        <v>286900</v>
      </c>
      <c r="R25" s="30">
        <f t="shared" si="13"/>
        <v>28690</v>
      </c>
      <c r="S25" s="30">
        <f t="shared" si="13"/>
        <v>903470</v>
      </c>
      <c r="T25" s="64"/>
      <c r="U25" s="2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s="4" customFormat="1" ht="22.5" customHeight="1" thickBot="1" x14ac:dyDescent="0.35">
      <c r="A26" s="10"/>
      <c r="B26" s="12"/>
      <c r="C26" s="2"/>
      <c r="D26" s="2"/>
      <c r="E26" s="10"/>
      <c r="F26" s="42" t="s">
        <v>28</v>
      </c>
      <c r="G26" s="42" t="s">
        <v>44</v>
      </c>
      <c r="H26" s="43" t="s">
        <v>41</v>
      </c>
      <c r="I26" s="44" t="s">
        <v>45</v>
      </c>
      <c r="J26" s="44" t="s">
        <v>45</v>
      </c>
      <c r="K26" s="51"/>
      <c r="L26" s="40" t="s">
        <v>68</v>
      </c>
      <c r="M26" s="41">
        <f t="shared" ref="M26:S26" si="14">M20+M16</f>
        <v>460750</v>
      </c>
      <c r="N26" s="41">
        <f t="shared" si="14"/>
        <v>348710</v>
      </c>
      <c r="O26" s="41">
        <f t="shared" si="14"/>
        <v>87300</v>
      </c>
      <c r="P26" s="41">
        <f t="shared" si="14"/>
        <v>45810</v>
      </c>
      <c r="Q26" s="41">
        <f t="shared" si="14"/>
        <v>383250</v>
      </c>
      <c r="R26" s="41">
        <f t="shared" si="14"/>
        <v>38320</v>
      </c>
      <c r="S26" s="41">
        <f t="shared" si="14"/>
        <v>1364140</v>
      </c>
      <c r="T26" s="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s="4" customFormat="1" ht="22.5" customHeight="1" thickBot="1" x14ac:dyDescent="0.35">
      <c r="A27" s="10"/>
      <c r="B27" s="12"/>
      <c r="C27" s="2"/>
      <c r="D27" s="2"/>
      <c r="E27" s="10"/>
      <c r="F27" s="39" t="s">
        <v>24</v>
      </c>
      <c r="G27" s="33">
        <f>N27+O27+P27</f>
        <v>2448280</v>
      </c>
      <c r="H27" s="33">
        <f>M27</f>
        <v>1812120</v>
      </c>
      <c r="I27" s="34"/>
      <c r="J27" s="34"/>
      <c r="K27" s="52"/>
      <c r="L27" s="47" t="s">
        <v>43</v>
      </c>
      <c r="M27" s="48">
        <f>SUM(M23:M26)</f>
        <v>1812120</v>
      </c>
      <c r="N27" s="48">
        <f t="shared" ref="N27:S27" si="15">SUM(N23:N26)</f>
        <v>1806440</v>
      </c>
      <c r="O27" s="48">
        <f t="shared" si="15"/>
        <v>404550</v>
      </c>
      <c r="P27" s="48">
        <f t="shared" si="15"/>
        <v>237290</v>
      </c>
      <c r="Q27" s="48">
        <f t="shared" si="15"/>
        <v>1975000</v>
      </c>
      <c r="R27" s="48">
        <f t="shared" si="15"/>
        <v>197450</v>
      </c>
      <c r="S27" s="49">
        <f t="shared" si="15"/>
        <v>6432850</v>
      </c>
      <c r="T27" s="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s="4" customFormat="1" ht="22.5" customHeight="1" x14ac:dyDescent="0.3">
      <c r="A28" s="10"/>
      <c r="B28" s="81"/>
      <c r="C28" s="82"/>
      <c r="D28" s="82"/>
      <c r="E28" s="83"/>
      <c r="F28" s="84"/>
      <c r="G28" s="85"/>
      <c r="H28" s="85"/>
      <c r="I28" s="86"/>
      <c r="J28" s="86"/>
      <c r="K28" s="86"/>
      <c r="L28" s="87"/>
      <c r="M28" s="88"/>
      <c r="N28" s="88"/>
      <c r="O28" s="88"/>
      <c r="P28" s="88"/>
      <c r="Q28" s="88"/>
      <c r="R28" s="88"/>
      <c r="S28" s="88"/>
      <c r="T28" s="8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s="4" customFormat="1" ht="21.6" customHeight="1" x14ac:dyDescent="0.3">
      <c r="A29" s="10"/>
      <c r="B29" s="83"/>
      <c r="C29" s="82"/>
      <c r="D29" s="82"/>
      <c r="E29" s="83"/>
      <c r="F29" s="82"/>
      <c r="G29" s="89"/>
      <c r="H29" s="84"/>
      <c r="I29" s="195"/>
      <c r="J29" s="195"/>
      <c r="K29" s="89"/>
      <c r="L29" s="82"/>
      <c r="M29" s="82"/>
      <c r="N29" s="91"/>
      <c r="O29" s="82"/>
      <c r="P29" s="82"/>
      <c r="Q29" s="82"/>
      <c r="R29" s="82"/>
      <c r="S29" s="82"/>
      <c r="T29" s="8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ht="21.6" customHeight="1" x14ac:dyDescent="0.3">
      <c r="H30" s="10"/>
      <c r="I30" s="196"/>
      <c r="J30" s="196"/>
    </row>
    <row r="31" spans="1:34" ht="21.6" customHeight="1" x14ac:dyDescent="0.3">
      <c r="I31" s="68"/>
      <c r="K31" s="64"/>
    </row>
  </sheetData>
  <mergeCells count="13">
    <mergeCell ref="T5:T6"/>
    <mergeCell ref="F6:G6"/>
    <mergeCell ref="A21:G21"/>
    <mergeCell ref="I29:J29"/>
    <mergeCell ref="I30:J30"/>
    <mergeCell ref="A1:L1"/>
    <mergeCell ref="A2:L2"/>
    <mergeCell ref="H4:M4"/>
    <mergeCell ref="A5:A6"/>
    <mergeCell ref="B5:B6"/>
    <mergeCell ref="C5:G5"/>
    <mergeCell ref="H5:L5"/>
    <mergeCell ref="M5:S5"/>
  </mergeCells>
  <phoneticPr fontId="2" type="noConversion"/>
  <printOptions horizontalCentered="1"/>
  <pageMargins left="0.11811023622047245" right="0" top="0.74803149606299213" bottom="0.55118110236220474" header="0.31496062992125984" footer="0.31496062992125984"/>
  <pageSetup paperSize="9" scale="73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91E5-C601-49C0-B23C-0435F688253A}">
  <sheetPr>
    <tabColor rgb="FFFFFF00"/>
    <pageSetUpPr fitToPage="1"/>
  </sheetPr>
  <dimension ref="A1:AH32"/>
  <sheetViews>
    <sheetView view="pageBreakPreview" zoomScale="115" zoomScaleNormal="100" zoomScaleSheetLayoutView="115" workbookViewId="0">
      <selection activeCell="L16" sqref="L16"/>
    </sheetView>
  </sheetViews>
  <sheetFormatPr defaultRowHeight="21.6" customHeight="1" x14ac:dyDescent="0.3"/>
  <cols>
    <col min="1" max="1" width="3" style="10" customWidth="1"/>
    <col min="2" max="2" width="6.25" style="10" customWidth="1"/>
    <col min="3" max="3" width="8.75" style="2" customWidth="1"/>
    <col min="4" max="4" width="9" style="2" customWidth="1"/>
    <col min="5" max="5" width="7.5" style="10" customWidth="1"/>
    <col min="6" max="6" width="7.75" style="2" customWidth="1"/>
    <col min="7" max="8" width="11.625" style="2" customWidth="1"/>
    <col min="9" max="9" width="10.25" style="25" customWidth="1"/>
    <col min="10" max="11" width="9.5" style="2" customWidth="1"/>
    <col min="12" max="12" width="11" style="2" customWidth="1"/>
    <col min="13" max="13" width="9.625" style="2" customWidth="1"/>
    <col min="14" max="14" width="10.375" style="2" customWidth="1"/>
    <col min="15" max="18" width="9.625" style="2" customWidth="1"/>
    <col min="19" max="19" width="9.25" style="2" customWidth="1"/>
    <col min="20" max="20" width="11.75" style="2" customWidth="1"/>
    <col min="21" max="21" width="12" style="4" bestFit="1" customWidth="1"/>
    <col min="22" max="22" width="9" style="4"/>
    <col min="23" max="34" width="9" style="5"/>
    <col min="35" max="16384" width="9" style="2"/>
  </cols>
  <sheetData>
    <row r="1" spans="1:34" ht="30.75" customHeight="1" x14ac:dyDescent="0.3">
      <c r="A1" s="179" t="s">
        <v>93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34" ht="21.6" customHeight="1" x14ac:dyDescent="0.3">
      <c r="A2" s="180" t="s">
        <v>94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34" ht="9.75" customHeight="1" x14ac:dyDescent="0.3">
      <c r="A3" s="6"/>
      <c r="B3" s="7"/>
      <c r="C3" s="7"/>
      <c r="D3" s="7"/>
      <c r="E3" s="7"/>
      <c r="F3" s="7"/>
      <c r="G3" s="7"/>
      <c r="H3" s="7"/>
      <c r="I3" s="8"/>
      <c r="J3" s="7"/>
      <c r="K3" s="7"/>
    </row>
    <row r="4" spans="1:34" ht="21.6" customHeight="1" thickBot="1" x14ac:dyDescent="0.35">
      <c r="A4" s="9" t="s">
        <v>27</v>
      </c>
      <c r="H4" s="181"/>
      <c r="I4" s="181"/>
      <c r="J4" s="181"/>
      <c r="K4" s="181"/>
      <c r="L4" s="181"/>
      <c r="M4" s="181"/>
    </row>
    <row r="5" spans="1:34" s="12" customFormat="1" ht="21.6" customHeight="1" x14ac:dyDescent="0.3">
      <c r="A5" s="182" t="s">
        <v>5</v>
      </c>
      <c r="B5" s="184" t="s">
        <v>28</v>
      </c>
      <c r="C5" s="186" t="s">
        <v>14</v>
      </c>
      <c r="D5" s="186"/>
      <c r="E5" s="186"/>
      <c r="F5" s="186"/>
      <c r="G5" s="186"/>
      <c r="H5" s="186" t="s">
        <v>13</v>
      </c>
      <c r="I5" s="186"/>
      <c r="J5" s="186"/>
      <c r="K5" s="186"/>
      <c r="L5" s="186"/>
      <c r="M5" s="187" t="s">
        <v>0</v>
      </c>
      <c r="N5" s="187"/>
      <c r="O5" s="187"/>
      <c r="P5" s="187"/>
      <c r="Q5" s="187"/>
      <c r="R5" s="187"/>
      <c r="S5" s="187"/>
      <c r="T5" s="174" t="s">
        <v>25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s="14" customFormat="1" ht="21.6" customHeight="1" thickBot="1" x14ac:dyDescent="0.35">
      <c r="A6" s="183"/>
      <c r="B6" s="185"/>
      <c r="C6" s="79" t="s">
        <v>6</v>
      </c>
      <c r="D6" s="79" t="s">
        <v>7</v>
      </c>
      <c r="E6" s="79" t="s">
        <v>8</v>
      </c>
      <c r="F6" s="176" t="s">
        <v>9</v>
      </c>
      <c r="G6" s="176"/>
      <c r="H6" s="79" t="s">
        <v>10</v>
      </c>
      <c r="I6" s="36" t="s">
        <v>11</v>
      </c>
      <c r="J6" s="79" t="s">
        <v>12</v>
      </c>
      <c r="K6" s="79" t="s">
        <v>51</v>
      </c>
      <c r="L6" s="78" t="s">
        <v>26</v>
      </c>
      <c r="M6" s="37" t="s">
        <v>1</v>
      </c>
      <c r="N6" s="37" t="s">
        <v>22</v>
      </c>
      <c r="O6" s="37" t="s">
        <v>21</v>
      </c>
      <c r="P6" s="38" t="s">
        <v>23</v>
      </c>
      <c r="Q6" s="37" t="s">
        <v>3</v>
      </c>
      <c r="R6" s="37" t="s">
        <v>4</v>
      </c>
      <c r="S6" s="37" t="s">
        <v>2</v>
      </c>
      <c r="T6" s="197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s="4" customFormat="1" ht="21.6" customHeight="1" x14ac:dyDescent="0.3">
      <c r="A7" s="100">
        <v>1</v>
      </c>
      <c r="B7" s="109" t="s">
        <v>24</v>
      </c>
      <c r="C7" s="102" t="s">
        <v>15</v>
      </c>
      <c r="D7" s="101"/>
      <c r="E7" s="103" t="s">
        <v>16</v>
      </c>
      <c r="F7" s="104" t="s">
        <v>17</v>
      </c>
      <c r="G7" s="105">
        <v>1011355</v>
      </c>
      <c r="H7" s="106">
        <v>5300000</v>
      </c>
      <c r="I7" s="106">
        <v>200000</v>
      </c>
      <c r="J7" s="106">
        <v>100000</v>
      </c>
      <c r="K7" s="106"/>
      <c r="L7" s="106">
        <f>J7+I7+H7+K7</f>
        <v>5600000</v>
      </c>
      <c r="M7" s="106"/>
      <c r="N7" s="106">
        <f>TRUNC((H7+K7)*3.595%,-1)</f>
        <v>190530</v>
      </c>
      <c r="O7" s="106"/>
      <c r="P7" s="106">
        <f>ROUNDDOWN(N7*13.14%,-1)</f>
        <v>25030</v>
      </c>
      <c r="Q7" s="107">
        <v>406570</v>
      </c>
      <c r="R7" s="106">
        <f t="shared" ref="R7:R20" si="0">ROUNDDOWN(Q7*0.1,-1)</f>
        <v>40650</v>
      </c>
      <c r="S7" s="106">
        <f t="shared" ref="S7:S20" si="1">SUM(M7:R7)</f>
        <v>662780</v>
      </c>
      <c r="T7" s="142">
        <f t="shared" ref="T7:T20" si="2">L7-S7</f>
        <v>4937220</v>
      </c>
    </row>
    <row r="8" spans="1:34" s="4" customFormat="1" ht="21.6" customHeight="1" x14ac:dyDescent="0.3">
      <c r="A8" s="16">
        <f>A7+1</f>
        <v>2</v>
      </c>
      <c r="B8" s="110" t="s">
        <v>24</v>
      </c>
      <c r="C8" s="65" t="s">
        <v>55</v>
      </c>
      <c r="D8" s="17"/>
      <c r="E8" s="17" t="s">
        <v>56</v>
      </c>
      <c r="F8" s="18" t="s">
        <v>57</v>
      </c>
      <c r="G8" s="19">
        <v>1018325</v>
      </c>
      <c r="H8" s="20">
        <v>3000000</v>
      </c>
      <c r="I8" s="20">
        <v>200000</v>
      </c>
      <c r="J8" s="20">
        <v>100000</v>
      </c>
      <c r="K8" s="59"/>
      <c r="L8" s="20">
        <f>J8+I8+H8+K8</f>
        <v>3300000</v>
      </c>
      <c r="M8" s="20"/>
      <c r="N8" s="59">
        <f t="shared" ref="N8:N20" si="3">TRUNC((H8+K8)*3.595%,-1)</f>
        <v>107850</v>
      </c>
      <c r="O8" s="20">
        <f>ROUNDDOWN(H8*0.9%,-1)</f>
        <v>27000</v>
      </c>
      <c r="P8" s="59">
        <f t="shared" ref="P8:P20" si="4">ROUNDDOWN(N8*13.14%,-1)</f>
        <v>14170</v>
      </c>
      <c r="Q8" s="54">
        <v>129440</v>
      </c>
      <c r="R8" s="20">
        <f t="shared" si="0"/>
        <v>12940</v>
      </c>
      <c r="S8" s="20">
        <f t="shared" si="1"/>
        <v>291400</v>
      </c>
      <c r="T8" s="143">
        <f t="shared" si="2"/>
        <v>3008600</v>
      </c>
    </row>
    <row r="9" spans="1:34" s="4" customFormat="1" ht="21.6" customHeight="1" x14ac:dyDescent="0.3">
      <c r="A9" s="16">
        <f t="shared" ref="A9" si="5">A8+1</f>
        <v>3</v>
      </c>
      <c r="B9" s="110" t="s">
        <v>40</v>
      </c>
      <c r="C9" s="65" t="s">
        <v>58</v>
      </c>
      <c r="D9" s="65"/>
      <c r="E9" s="56" t="s">
        <v>59</v>
      </c>
      <c r="F9" s="57" t="s">
        <v>60</v>
      </c>
      <c r="G9" s="58">
        <v>2011325</v>
      </c>
      <c r="H9" s="20">
        <v>2100000</v>
      </c>
      <c r="I9" s="20">
        <v>200000</v>
      </c>
      <c r="J9" s="20">
        <v>100000</v>
      </c>
      <c r="K9" s="59"/>
      <c r="L9" s="20">
        <f t="shared" ref="L9:L20" si="6">J9+I9+H9+K9</f>
        <v>2400000</v>
      </c>
      <c r="M9" s="21">
        <f>TRUNC((H9+K9)*4.75%,-1)</f>
        <v>99750</v>
      </c>
      <c r="N9" s="59">
        <f t="shared" si="3"/>
        <v>75490</v>
      </c>
      <c r="O9" s="20">
        <f t="shared" ref="O9:O20" si="7">ROUNDDOWN(H9*0.9%,-1)</f>
        <v>18900</v>
      </c>
      <c r="P9" s="59">
        <f t="shared" si="4"/>
        <v>9910</v>
      </c>
      <c r="Q9" s="54">
        <v>25950</v>
      </c>
      <c r="R9" s="20">
        <f t="shared" si="0"/>
        <v>2590</v>
      </c>
      <c r="S9" s="20">
        <f t="shared" si="1"/>
        <v>232590</v>
      </c>
      <c r="T9" s="143">
        <f t="shared" si="2"/>
        <v>2167410</v>
      </c>
    </row>
    <row r="10" spans="1:34" s="62" customFormat="1" ht="21.6" customHeight="1" x14ac:dyDescent="0.3">
      <c r="A10" s="55">
        <v>4</v>
      </c>
      <c r="B10" s="111" t="s">
        <v>24</v>
      </c>
      <c r="C10" s="80" t="s">
        <v>18</v>
      </c>
      <c r="D10" s="56"/>
      <c r="E10" s="56" t="s">
        <v>19</v>
      </c>
      <c r="F10" s="57" t="s">
        <v>20</v>
      </c>
      <c r="G10" s="58">
        <v>1261415</v>
      </c>
      <c r="H10" s="59">
        <v>4900000</v>
      </c>
      <c r="I10" s="59">
        <v>200000</v>
      </c>
      <c r="J10" s="59">
        <v>100000</v>
      </c>
      <c r="K10" s="59"/>
      <c r="L10" s="59">
        <f t="shared" si="6"/>
        <v>5200000</v>
      </c>
      <c r="M10" s="60">
        <f>TRUNC((H10+K10)*4.75%,-1)</f>
        <v>232750</v>
      </c>
      <c r="N10" s="59">
        <f t="shared" si="3"/>
        <v>176150</v>
      </c>
      <c r="O10" s="20">
        <f t="shared" si="7"/>
        <v>44100</v>
      </c>
      <c r="P10" s="59">
        <f t="shared" si="4"/>
        <v>23140</v>
      </c>
      <c r="Q10" s="61">
        <v>185850</v>
      </c>
      <c r="R10" s="59">
        <f t="shared" si="0"/>
        <v>18580</v>
      </c>
      <c r="S10" s="59">
        <f t="shared" si="1"/>
        <v>680570</v>
      </c>
      <c r="T10" s="143">
        <f t="shared" si="2"/>
        <v>4519430</v>
      </c>
    </row>
    <row r="11" spans="1:34" s="4" customFormat="1" ht="21.6" customHeight="1" x14ac:dyDescent="0.3">
      <c r="A11" s="55">
        <v>5</v>
      </c>
      <c r="B11" s="110" t="s">
        <v>40</v>
      </c>
      <c r="C11" s="65" t="s">
        <v>61</v>
      </c>
      <c r="D11" s="17"/>
      <c r="E11" s="17" t="s">
        <v>62</v>
      </c>
      <c r="F11" s="18">
        <v>940531</v>
      </c>
      <c r="G11" s="19">
        <v>1009610</v>
      </c>
      <c r="H11" s="20">
        <v>2000000</v>
      </c>
      <c r="I11" s="20">
        <v>200000</v>
      </c>
      <c r="J11" s="20">
        <v>100000</v>
      </c>
      <c r="K11" s="59"/>
      <c r="L11" s="20">
        <f t="shared" si="6"/>
        <v>2300000</v>
      </c>
      <c r="M11" s="60">
        <f t="shared" ref="M11:M13" si="8">TRUNC((H11+K11)*4.75%,-1)</f>
        <v>95000</v>
      </c>
      <c r="N11" s="59">
        <f t="shared" si="3"/>
        <v>71900</v>
      </c>
      <c r="O11" s="20">
        <f t="shared" si="7"/>
        <v>18000</v>
      </c>
      <c r="P11" s="59">
        <f t="shared" si="4"/>
        <v>9440</v>
      </c>
      <c r="Q11" s="54">
        <v>19520</v>
      </c>
      <c r="R11" s="20">
        <f t="shared" si="0"/>
        <v>1950</v>
      </c>
      <c r="S11" s="20">
        <f t="shared" si="1"/>
        <v>215810</v>
      </c>
      <c r="T11" s="143">
        <f t="shared" si="2"/>
        <v>2084190</v>
      </c>
    </row>
    <row r="12" spans="1:34" s="62" customFormat="1" ht="21.6" customHeight="1" x14ac:dyDescent="0.3">
      <c r="A12" s="16">
        <v>6</v>
      </c>
      <c r="B12" s="111" t="s">
        <v>24</v>
      </c>
      <c r="C12" s="80" t="s">
        <v>52</v>
      </c>
      <c r="D12" s="56"/>
      <c r="E12" s="56" t="s">
        <v>39</v>
      </c>
      <c r="F12" s="57" t="s">
        <v>53</v>
      </c>
      <c r="G12" s="58">
        <v>1055911</v>
      </c>
      <c r="H12" s="59">
        <v>6050000</v>
      </c>
      <c r="I12" s="59">
        <v>200000</v>
      </c>
      <c r="J12" s="59">
        <v>100000</v>
      </c>
      <c r="K12" s="59"/>
      <c r="L12" s="59">
        <f t="shared" si="6"/>
        <v>6350000</v>
      </c>
      <c r="M12" s="60">
        <f t="shared" si="8"/>
        <v>287370</v>
      </c>
      <c r="N12" s="59">
        <f t="shared" si="3"/>
        <v>217490</v>
      </c>
      <c r="O12" s="20">
        <f t="shared" si="7"/>
        <v>54450</v>
      </c>
      <c r="P12" s="59">
        <f t="shared" si="4"/>
        <v>28570</v>
      </c>
      <c r="Q12" s="61">
        <v>286900</v>
      </c>
      <c r="R12" s="59">
        <f t="shared" si="0"/>
        <v>28690</v>
      </c>
      <c r="S12" s="59">
        <f t="shared" si="1"/>
        <v>903470</v>
      </c>
      <c r="T12" s="143">
        <f t="shared" si="2"/>
        <v>5446530</v>
      </c>
    </row>
    <row r="13" spans="1:34" s="4" customFormat="1" ht="21.6" customHeight="1" x14ac:dyDescent="0.3">
      <c r="A13" s="55">
        <v>7</v>
      </c>
      <c r="B13" s="110" t="s">
        <v>38</v>
      </c>
      <c r="C13" s="65" t="s">
        <v>50</v>
      </c>
      <c r="D13" s="17"/>
      <c r="E13" s="17" t="s">
        <v>29</v>
      </c>
      <c r="F13" s="18" t="s">
        <v>30</v>
      </c>
      <c r="G13" s="19">
        <v>2810140</v>
      </c>
      <c r="H13" s="20">
        <v>3200000</v>
      </c>
      <c r="I13" s="20">
        <v>200000</v>
      </c>
      <c r="J13" s="20"/>
      <c r="K13" s="59"/>
      <c r="L13" s="20">
        <f t="shared" si="6"/>
        <v>3400000</v>
      </c>
      <c r="M13" s="60">
        <f t="shared" si="8"/>
        <v>152000</v>
      </c>
      <c r="N13" s="59">
        <f t="shared" si="3"/>
        <v>115040</v>
      </c>
      <c r="O13" s="20">
        <f t="shared" si="7"/>
        <v>28800</v>
      </c>
      <c r="P13" s="59">
        <f t="shared" si="4"/>
        <v>15110</v>
      </c>
      <c r="Q13" s="54">
        <v>117770</v>
      </c>
      <c r="R13" s="20">
        <f t="shared" si="0"/>
        <v>11770</v>
      </c>
      <c r="S13" s="20">
        <f t="shared" si="1"/>
        <v>440490</v>
      </c>
      <c r="T13" s="143">
        <f t="shared" si="2"/>
        <v>2959510</v>
      </c>
      <c r="U13" s="98"/>
    </row>
    <row r="14" spans="1:34" s="4" customFormat="1" ht="21.6" customHeight="1" x14ac:dyDescent="0.3">
      <c r="A14" s="16">
        <v>8</v>
      </c>
      <c r="B14" s="110" t="s">
        <v>40</v>
      </c>
      <c r="C14" s="65" t="s">
        <v>47</v>
      </c>
      <c r="D14" s="17"/>
      <c r="E14" s="56" t="s">
        <v>48</v>
      </c>
      <c r="F14" s="57" t="s">
        <v>49</v>
      </c>
      <c r="G14" s="58">
        <v>1222414</v>
      </c>
      <c r="H14" s="59">
        <v>1900000</v>
      </c>
      <c r="I14" s="20">
        <v>200000</v>
      </c>
      <c r="J14" s="20">
        <v>100000</v>
      </c>
      <c r="K14" s="59"/>
      <c r="L14" s="20">
        <f t="shared" si="6"/>
        <v>2200000</v>
      </c>
      <c r="M14" s="21"/>
      <c r="N14" s="59">
        <f t="shared" si="3"/>
        <v>68300</v>
      </c>
      <c r="O14" s="20">
        <f t="shared" si="7"/>
        <v>17100</v>
      </c>
      <c r="P14" s="59">
        <f t="shared" si="4"/>
        <v>8970</v>
      </c>
      <c r="Q14" s="54">
        <v>19520</v>
      </c>
      <c r="R14" s="20">
        <f t="shared" si="0"/>
        <v>1950</v>
      </c>
      <c r="S14" s="20">
        <f t="shared" si="1"/>
        <v>115840</v>
      </c>
      <c r="T14" s="143">
        <f t="shared" si="2"/>
        <v>2084160</v>
      </c>
      <c r="U14" s="98"/>
    </row>
    <row r="15" spans="1:34" s="4" customFormat="1" ht="21.6" customHeight="1" x14ac:dyDescent="0.3">
      <c r="A15" s="55">
        <v>9</v>
      </c>
      <c r="B15" s="111" t="s">
        <v>24</v>
      </c>
      <c r="C15" s="80" t="s">
        <v>64</v>
      </c>
      <c r="D15" s="80" t="s">
        <v>98</v>
      </c>
      <c r="E15" s="56" t="s">
        <v>63</v>
      </c>
      <c r="F15" s="57">
        <v>840410</v>
      </c>
      <c r="G15" s="58">
        <v>1240711</v>
      </c>
      <c r="H15" s="59">
        <v>4900000</v>
      </c>
      <c r="I15" s="59">
        <v>200000</v>
      </c>
      <c r="J15" s="59">
        <v>100000</v>
      </c>
      <c r="K15" s="59"/>
      <c r="L15" s="59">
        <f t="shared" si="6"/>
        <v>5200000</v>
      </c>
      <c r="M15" s="60">
        <f>TRUNC((H15+K15)*4.75%,-1)</f>
        <v>232750</v>
      </c>
      <c r="N15" s="59">
        <f t="shared" si="3"/>
        <v>176150</v>
      </c>
      <c r="O15" s="59">
        <f t="shared" si="7"/>
        <v>44100</v>
      </c>
      <c r="P15" s="59">
        <f t="shared" si="4"/>
        <v>23140</v>
      </c>
      <c r="Q15" s="61">
        <v>249460</v>
      </c>
      <c r="R15" s="59">
        <f t="shared" si="0"/>
        <v>24940</v>
      </c>
      <c r="S15" s="59">
        <f t="shared" si="1"/>
        <v>750540</v>
      </c>
      <c r="T15" s="143">
        <f t="shared" si="2"/>
        <v>4449460</v>
      </c>
      <c r="U15" s="98"/>
    </row>
    <row r="16" spans="1:34" s="4" customFormat="1" ht="21.6" customHeight="1" x14ac:dyDescent="0.3">
      <c r="A16" s="55">
        <v>10</v>
      </c>
      <c r="B16" s="111" t="s">
        <v>24</v>
      </c>
      <c r="C16" s="80" t="s">
        <v>65</v>
      </c>
      <c r="D16" s="80"/>
      <c r="E16" s="56" t="s">
        <v>66</v>
      </c>
      <c r="F16" s="57" t="s">
        <v>67</v>
      </c>
      <c r="G16" s="58">
        <v>1067322</v>
      </c>
      <c r="H16" s="59">
        <v>5000000</v>
      </c>
      <c r="I16" s="59">
        <v>200000</v>
      </c>
      <c r="J16" s="59">
        <v>100000</v>
      </c>
      <c r="K16" s="59"/>
      <c r="L16" s="59">
        <f t="shared" si="6"/>
        <v>5300000</v>
      </c>
      <c r="M16" s="60">
        <f>TRUNC((H16+K16)*4.75%,-1)</f>
        <v>237500</v>
      </c>
      <c r="N16" s="59">
        <f t="shared" si="3"/>
        <v>179750</v>
      </c>
      <c r="O16" s="59">
        <f t="shared" si="7"/>
        <v>45000</v>
      </c>
      <c r="P16" s="59">
        <f t="shared" si="4"/>
        <v>23610</v>
      </c>
      <c r="Q16" s="61">
        <v>157900</v>
      </c>
      <c r="R16" s="59">
        <f t="shared" si="0"/>
        <v>15790</v>
      </c>
      <c r="S16" s="59">
        <f t="shared" si="1"/>
        <v>659550</v>
      </c>
      <c r="T16" s="143">
        <f t="shared" si="2"/>
        <v>4640450</v>
      </c>
      <c r="U16" s="98"/>
    </row>
    <row r="17" spans="1:34" s="4" customFormat="1" ht="21.6" customHeight="1" x14ac:dyDescent="0.3">
      <c r="A17" s="55">
        <v>11</v>
      </c>
      <c r="B17" s="116" t="s">
        <v>40</v>
      </c>
      <c r="C17" s="117" t="s">
        <v>72</v>
      </c>
      <c r="D17" s="117"/>
      <c r="E17" s="118" t="s">
        <v>73</v>
      </c>
      <c r="F17" s="119" t="s">
        <v>74</v>
      </c>
      <c r="G17" s="120">
        <v>1222415</v>
      </c>
      <c r="H17" s="121">
        <v>1900000</v>
      </c>
      <c r="I17" s="121">
        <v>200000</v>
      </c>
      <c r="J17" s="121">
        <v>100000</v>
      </c>
      <c r="K17" s="121"/>
      <c r="L17" s="121">
        <f t="shared" si="6"/>
        <v>2200000</v>
      </c>
      <c r="M17" s="60"/>
      <c r="N17" s="59">
        <f t="shared" si="3"/>
        <v>68300</v>
      </c>
      <c r="O17" s="121">
        <f t="shared" si="7"/>
        <v>17100</v>
      </c>
      <c r="P17" s="59">
        <f t="shared" si="4"/>
        <v>8970</v>
      </c>
      <c r="Q17" s="122">
        <v>35600</v>
      </c>
      <c r="R17" s="121">
        <f t="shared" si="0"/>
        <v>3560</v>
      </c>
      <c r="S17" s="59">
        <f t="shared" si="1"/>
        <v>133530</v>
      </c>
      <c r="T17" s="143">
        <f t="shared" si="2"/>
        <v>2066470</v>
      </c>
      <c r="U17" s="98"/>
    </row>
    <row r="18" spans="1:34" s="4" customFormat="1" ht="21.6" customHeight="1" x14ac:dyDescent="0.3">
      <c r="A18" s="16">
        <v>12</v>
      </c>
      <c r="B18" s="116" t="s">
        <v>40</v>
      </c>
      <c r="C18" s="117" t="s">
        <v>75</v>
      </c>
      <c r="D18" s="117"/>
      <c r="E18" s="118" t="s">
        <v>76</v>
      </c>
      <c r="F18" s="119" t="s">
        <v>77</v>
      </c>
      <c r="G18" s="120">
        <v>1046917</v>
      </c>
      <c r="H18" s="121">
        <v>3100000</v>
      </c>
      <c r="I18" s="121">
        <v>200000</v>
      </c>
      <c r="J18" s="121">
        <v>100000</v>
      </c>
      <c r="K18" s="121"/>
      <c r="L18" s="121">
        <f t="shared" si="6"/>
        <v>3400000</v>
      </c>
      <c r="M18" s="60">
        <f>TRUNC((H18+K18)*4.75%,-1)</f>
        <v>147250</v>
      </c>
      <c r="N18" s="59">
        <f t="shared" si="3"/>
        <v>111440</v>
      </c>
      <c r="O18" s="121">
        <f t="shared" si="7"/>
        <v>27900</v>
      </c>
      <c r="P18" s="59">
        <f t="shared" si="4"/>
        <v>14640</v>
      </c>
      <c r="Q18" s="122">
        <v>89220</v>
      </c>
      <c r="R18" s="121">
        <f t="shared" si="0"/>
        <v>8920</v>
      </c>
      <c r="S18" s="59">
        <f t="shared" si="1"/>
        <v>399370</v>
      </c>
      <c r="T18" s="143">
        <f t="shared" si="2"/>
        <v>3000630</v>
      </c>
      <c r="U18" s="98"/>
    </row>
    <row r="19" spans="1:34" s="4" customFormat="1" ht="21.6" customHeight="1" x14ac:dyDescent="0.3">
      <c r="A19" s="55">
        <v>13</v>
      </c>
      <c r="B19" s="116" t="s">
        <v>40</v>
      </c>
      <c r="C19" s="117" t="s">
        <v>75</v>
      </c>
      <c r="D19" s="117"/>
      <c r="E19" s="118" t="s">
        <v>78</v>
      </c>
      <c r="F19" s="123" t="s">
        <v>79</v>
      </c>
      <c r="G19" s="120">
        <v>3079513</v>
      </c>
      <c r="H19" s="121">
        <v>2200000</v>
      </c>
      <c r="I19" s="121">
        <v>200000</v>
      </c>
      <c r="J19" s="121">
        <v>100000</v>
      </c>
      <c r="K19" s="121"/>
      <c r="L19" s="121">
        <f t="shared" si="6"/>
        <v>2500000</v>
      </c>
      <c r="M19" s="60">
        <f t="shared" ref="M19:M20" si="9">TRUNC((H19+K19)*4.75%,-1)</f>
        <v>104500</v>
      </c>
      <c r="N19" s="59">
        <f t="shared" si="3"/>
        <v>79090</v>
      </c>
      <c r="O19" s="121">
        <f t="shared" si="7"/>
        <v>19800</v>
      </c>
      <c r="P19" s="59">
        <f t="shared" si="4"/>
        <v>10390</v>
      </c>
      <c r="Q19" s="122">
        <v>25950</v>
      </c>
      <c r="R19" s="121">
        <f t="shared" si="0"/>
        <v>2590</v>
      </c>
      <c r="S19" s="121">
        <f t="shared" si="1"/>
        <v>242320</v>
      </c>
      <c r="T19" s="144">
        <f t="shared" si="2"/>
        <v>2257680</v>
      </c>
      <c r="U19" s="98"/>
    </row>
    <row r="20" spans="1:34" s="4" customFormat="1" ht="21.6" customHeight="1" x14ac:dyDescent="0.3">
      <c r="A20" s="147">
        <v>14</v>
      </c>
      <c r="B20" s="148" t="s">
        <v>68</v>
      </c>
      <c r="C20" s="149" t="s">
        <v>69</v>
      </c>
      <c r="D20" s="149"/>
      <c r="E20" s="150" t="s">
        <v>70</v>
      </c>
      <c r="F20" s="151">
        <v>740221</v>
      </c>
      <c r="G20" s="152">
        <v>1031512</v>
      </c>
      <c r="H20" s="153">
        <v>5055000</v>
      </c>
      <c r="I20" s="154">
        <v>200000</v>
      </c>
      <c r="J20" s="154">
        <v>100000</v>
      </c>
      <c r="K20" s="153"/>
      <c r="L20" s="154">
        <f t="shared" si="6"/>
        <v>5355000</v>
      </c>
      <c r="M20" s="155">
        <f t="shared" si="9"/>
        <v>240110</v>
      </c>
      <c r="N20" s="153">
        <f t="shared" si="3"/>
        <v>181720</v>
      </c>
      <c r="O20" s="154">
        <f t="shared" si="7"/>
        <v>45490</v>
      </c>
      <c r="P20" s="153">
        <f t="shared" si="4"/>
        <v>23870</v>
      </c>
      <c r="Q20" s="156">
        <v>225350</v>
      </c>
      <c r="R20" s="154">
        <f t="shared" si="0"/>
        <v>22530</v>
      </c>
      <c r="S20" s="154">
        <f t="shared" si="1"/>
        <v>739070</v>
      </c>
      <c r="T20" s="157">
        <f t="shared" si="2"/>
        <v>4615930</v>
      </c>
      <c r="U20" s="98"/>
    </row>
    <row r="21" spans="1:34" s="4" customFormat="1" ht="21.6" customHeight="1" thickBot="1" x14ac:dyDescent="0.35">
      <c r="A21" s="158"/>
      <c r="B21" s="159"/>
      <c r="C21" s="160"/>
      <c r="D21" s="160"/>
      <c r="E21" s="161"/>
      <c r="F21" s="162"/>
      <c r="G21" s="163"/>
      <c r="H21" s="164"/>
      <c r="I21" s="165"/>
      <c r="J21" s="165"/>
      <c r="K21" s="164"/>
      <c r="L21" s="165"/>
      <c r="M21" s="166"/>
      <c r="N21" s="164"/>
      <c r="O21" s="165"/>
      <c r="P21" s="164"/>
      <c r="Q21" s="167"/>
      <c r="R21" s="165"/>
      <c r="S21" s="165"/>
      <c r="T21" s="168"/>
      <c r="U21" s="98"/>
    </row>
    <row r="22" spans="1:34" s="24" customFormat="1" ht="21.6" customHeight="1" thickBot="1" x14ac:dyDescent="0.35">
      <c r="A22" s="177"/>
      <c r="B22" s="178"/>
      <c r="C22" s="178"/>
      <c r="D22" s="178"/>
      <c r="E22" s="178"/>
      <c r="F22" s="178"/>
      <c r="G22" s="178"/>
      <c r="H22" s="35">
        <f>SUM(H7:H20)</f>
        <v>50605000</v>
      </c>
      <c r="I22" s="35">
        <f>SUM(I7:I20)</f>
        <v>2800000</v>
      </c>
      <c r="J22" s="35">
        <f>SUM(J7:J20)</f>
        <v>1300000</v>
      </c>
      <c r="K22" s="35">
        <f>SUM(K7:K16)</f>
        <v>0</v>
      </c>
      <c r="L22" s="35">
        <f t="shared" ref="L22:T22" si="10">SUM(L7:L20)</f>
        <v>54705000</v>
      </c>
      <c r="M22" s="35">
        <f t="shared" si="10"/>
        <v>1828980</v>
      </c>
      <c r="N22" s="35">
        <f t="shared" si="10"/>
        <v>1819200</v>
      </c>
      <c r="O22" s="35">
        <f t="shared" si="10"/>
        <v>407740</v>
      </c>
      <c r="P22" s="35">
        <f t="shared" si="10"/>
        <v>238960</v>
      </c>
      <c r="Q22" s="35">
        <f t="shared" si="10"/>
        <v>1975000</v>
      </c>
      <c r="R22" s="35">
        <f t="shared" si="10"/>
        <v>197450</v>
      </c>
      <c r="S22" s="35">
        <f t="shared" si="10"/>
        <v>6467330</v>
      </c>
      <c r="T22" s="146">
        <f t="shared" si="10"/>
        <v>48237670</v>
      </c>
      <c r="U22" s="98"/>
    </row>
    <row r="23" spans="1:34" s="4" customFormat="1" ht="15" customHeight="1" x14ac:dyDescent="0.3">
      <c r="A23" s="10"/>
      <c r="B23" s="10"/>
      <c r="C23" s="2"/>
      <c r="D23" s="2"/>
      <c r="E23" s="10"/>
      <c r="F23" s="2"/>
      <c r="G23" s="2"/>
      <c r="H23" s="2"/>
      <c r="I23" s="25"/>
      <c r="J23" s="2"/>
      <c r="K23" s="2"/>
      <c r="L23" s="2"/>
      <c r="M23" s="2"/>
      <c r="N23" s="2"/>
      <c r="O23" s="2"/>
      <c r="P23" s="2"/>
      <c r="Q23" s="2"/>
      <c r="R23" s="64"/>
      <c r="S23" s="2"/>
      <c r="T23" s="2"/>
      <c r="U23" s="98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s="4" customFormat="1" ht="22.5" customHeight="1" x14ac:dyDescent="0.3">
      <c r="A24" s="10"/>
      <c r="B24" s="12"/>
      <c r="C24" s="66"/>
      <c r="D24" s="66"/>
      <c r="E24" s="67"/>
      <c r="F24" s="66"/>
      <c r="G24" s="2"/>
      <c r="H24" s="2"/>
      <c r="I24" s="68"/>
      <c r="J24" s="69"/>
      <c r="K24" s="2"/>
      <c r="L24" s="26" t="s">
        <v>24</v>
      </c>
      <c r="M24" s="27">
        <f t="shared" ref="M24:S24" si="11">M7+M8+M10+M15</f>
        <v>465500</v>
      </c>
      <c r="N24" s="27">
        <f t="shared" si="11"/>
        <v>650680</v>
      </c>
      <c r="O24" s="27">
        <f t="shared" si="11"/>
        <v>115200</v>
      </c>
      <c r="P24" s="27">
        <f t="shared" si="11"/>
        <v>85480</v>
      </c>
      <c r="Q24" s="27">
        <f t="shared" si="11"/>
        <v>971320</v>
      </c>
      <c r="R24" s="27">
        <f t="shared" si="11"/>
        <v>97110</v>
      </c>
      <c r="S24" s="27">
        <f t="shared" si="11"/>
        <v>2385290</v>
      </c>
      <c r="T24" s="9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s="4" customFormat="1" ht="22.5" customHeight="1" x14ac:dyDescent="0.3">
      <c r="A25" s="10"/>
      <c r="B25" s="12"/>
      <c r="C25" s="2"/>
      <c r="D25" s="2" t="s">
        <v>42</v>
      </c>
      <c r="E25" s="28"/>
      <c r="F25" s="2"/>
      <c r="G25" s="2"/>
      <c r="H25" s="2"/>
      <c r="I25" s="25"/>
      <c r="J25" s="2"/>
      <c r="K25" s="2"/>
      <c r="L25" s="29" t="s">
        <v>40</v>
      </c>
      <c r="M25" s="30">
        <f>M9+M11+M13+M14+M17+M18+M19</f>
        <v>598500</v>
      </c>
      <c r="N25" s="30">
        <f t="shared" ref="N25:S25" si="12">N9+N11+N13+N14+N17+N18+N19</f>
        <v>589560</v>
      </c>
      <c r="O25" s="30">
        <f t="shared" si="12"/>
        <v>147600</v>
      </c>
      <c r="P25" s="30">
        <f t="shared" si="12"/>
        <v>77430</v>
      </c>
      <c r="Q25" s="30">
        <f t="shared" si="12"/>
        <v>333530</v>
      </c>
      <c r="R25" s="30">
        <f t="shared" si="12"/>
        <v>33330</v>
      </c>
      <c r="S25" s="30">
        <f t="shared" si="12"/>
        <v>1779950</v>
      </c>
      <c r="T25" s="2"/>
      <c r="U25" s="2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s="4" customFormat="1" ht="22.5" customHeight="1" x14ac:dyDescent="0.3">
      <c r="A26" s="10"/>
      <c r="B26" s="12"/>
      <c r="C26" s="2"/>
      <c r="D26" s="2" t="s">
        <v>95</v>
      </c>
      <c r="E26" s="10"/>
      <c r="F26" s="2"/>
      <c r="G26" s="2"/>
      <c r="H26" s="2"/>
      <c r="I26" s="45" t="s">
        <v>46</v>
      </c>
      <c r="J26" s="46" t="s">
        <v>41</v>
      </c>
      <c r="K26" s="50"/>
      <c r="L26" s="29" t="s">
        <v>71</v>
      </c>
      <c r="M26" s="30">
        <f t="shared" ref="M26:S26" si="13">M12</f>
        <v>287370</v>
      </c>
      <c r="N26" s="30">
        <f t="shared" si="13"/>
        <v>217490</v>
      </c>
      <c r="O26" s="30">
        <f t="shared" si="13"/>
        <v>54450</v>
      </c>
      <c r="P26" s="30">
        <f t="shared" si="13"/>
        <v>28570</v>
      </c>
      <c r="Q26" s="30">
        <f t="shared" si="13"/>
        <v>286900</v>
      </c>
      <c r="R26" s="30">
        <f t="shared" si="13"/>
        <v>28690</v>
      </c>
      <c r="S26" s="30">
        <f t="shared" si="13"/>
        <v>903470</v>
      </c>
      <c r="T26" s="64"/>
      <c r="U26" s="2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s="4" customFormat="1" ht="22.5" customHeight="1" thickBot="1" x14ac:dyDescent="0.35">
      <c r="A27" s="10"/>
      <c r="B27" s="12"/>
      <c r="C27" s="2"/>
      <c r="D27" s="2"/>
      <c r="E27" s="10"/>
      <c r="F27" s="42" t="s">
        <v>28</v>
      </c>
      <c r="G27" s="42" t="s">
        <v>44</v>
      </c>
      <c r="H27" s="43" t="s">
        <v>41</v>
      </c>
      <c r="I27" s="44" t="s">
        <v>45</v>
      </c>
      <c r="J27" s="44" t="s">
        <v>45</v>
      </c>
      <c r="K27" s="51"/>
      <c r="L27" s="40" t="s">
        <v>68</v>
      </c>
      <c r="M27" s="41">
        <f t="shared" ref="M27:S27" si="14">M20+M16</f>
        <v>477610</v>
      </c>
      <c r="N27" s="41">
        <f t="shared" si="14"/>
        <v>361470</v>
      </c>
      <c r="O27" s="41">
        <f t="shared" si="14"/>
        <v>90490</v>
      </c>
      <c r="P27" s="41">
        <f t="shared" si="14"/>
        <v>47480</v>
      </c>
      <c r="Q27" s="41">
        <f t="shared" si="14"/>
        <v>383250</v>
      </c>
      <c r="R27" s="41">
        <f t="shared" si="14"/>
        <v>38320</v>
      </c>
      <c r="S27" s="41">
        <f t="shared" si="14"/>
        <v>1398620</v>
      </c>
      <c r="T27" s="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s="4" customFormat="1" ht="22.5" customHeight="1" thickBot="1" x14ac:dyDescent="0.35">
      <c r="A28" s="10"/>
      <c r="B28" s="12"/>
      <c r="C28" s="2"/>
      <c r="D28" s="2"/>
      <c r="E28" s="10"/>
      <c r="F28" s="39" t="s">
        <v>24</v>
      </c>
      <c r="G28" s="33">
        <f>N28+O28+P28</f>
        <v>2465900</v>
      </c>
      <c r="H28" s="33">
        <f>M28</f>
        <v>1828980</v>
      </c>
      <c r="I28" s="34"/>
      <c r="J28" s="34"/>
      <c r="K28" s="52"/>
      <c r="L28" s="47" t="s">
        <v>43</v>
      </c>
      <c r="M28" s="48">
        <f>SUM(M24:M27)</f>
        <v>1828980</v>
      </c>
      <c r="N28" s="48">
        <f t="shared" ref="N28:S28" si="15">SUM(N24:N27)</f>
        <v>1819200</v>
      </c>
      <c r="O28" s="48">
        <f t="shared" si="15"/>
        <v>407740</v>
      </c>
      <c r="P28" s="48">
        <f t="shared" si="15"/>
        <v>238960</v>
      </c>
      <c r="Q28" s="48">
        <f t="shared" si="15"/>
        <v>1975000</v>
      </c>
      <c r="R28" s="48">
        <f t="shared" si="15"/>
        <v>197450</v>
      </c>
      <c r="S28" s="49">
        <f t="shared" si="15"/>
        <v>6467330</v>
      </c>
      <c r="T28" s="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s="4" customFormat="1" ht="22.5" customHeight="1" x14ac:dyDescent="0.3">
      <c r="A29" s="10"/>
      <c r="B29" s="81"/>
      <c r="C29" s="82"/>
      <c r="D29" s="82"/>
      <c r="E29" s="83"/>
      <c r="F29" s="84"/>
      <c r="G29" s="85"/>
      <c r="H29" s="85"/>
      <c r="I29" s="86"/>
      <c r="J29" s="86"/>
      <c r="K29" s="86"/>
      <c r="L29" s="87"/>
      <c r="M29" s="88"/>
      <c r="N29" s="88"/>
      <c r="O29" s="88"/>
      <c r="P29" s="88"/>
      <c r="Q29" s="88"/>
      <c r="R29" s="88"/>
      <c r="S29" s="88"/>
      <c r="T29" s="8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s="4" customFormat="1" ht="21.6" customHeight="1" x14ac:dyDescent="0.3">
      <c r="A30" s="10"/>
      <c r="B30" s="83"/>
      <c r="C30" s="82"/>
      <c r="D30" s="82"/>
      <c r="E30" s="83"/>
      <c r="F30" s="82"/>
      <c r="G30" s="89"/>
      <c r="H30" s="84"/>
      <c r="I30" s="195"/>
      <c r="J30" s="195"/>
      <c r="K30" s="89"/>
      <c r="L30" s="82"/>
      <c r="M30" s="82"/>
      <c r="N30" s="91"/>
      <c r="O30" s="82"/>
      <c r="P30" s="82"/>
      <c r="Q30" s="82"/>
      <c r="R30" s="82"/>
      <c r="S30" s="82"/>
      <c r="T30" s="82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21.6" customHeight="1" x14ac:dyDescent="0.3">
      <c r="H31" s="10"/>
      <c r="I31" s="196"/>
      <c r="J31" s="196"/>
    </row>
    <row r="32" spans="1:34" ht="21.6" customHeight="1" x14ac:dyDescent="0.3">
      <c r="I32" s="68"/>
      <c r="K32" s="64"/>
    </row>
  </sheetData>
  <mergeCells count="13">
    <mergeCell ref="T5:T6"/>
    <mergeCell ref="F6:G6"/>
    <mergeCell ref="A22:G22"/>
    <mergeCell ref="I30:J30"/>
    <mergeCell ref="I31:J31"/>
    <mergeCell ref="A1:L1"/>
    <mergeCell ref="A2:L2"/>
    <mergeCell ref="H4:M4"/>
    <mergeCell ref="A5:A6"/>
    <mergeCell ref="B5:B6"/>
    <mergeCell ref="C5:G5"/>
    <mergeCell ref="H5:L5"/>
    <mergeCell ref="M5:S5"/>
  </mergeCells>
  <phoneticPr fontId="2" type="noConversion"/>
  <printOptions horizontalCentered="1"/>
  <pageMargins left="0.11811023622047245" right="0" top="0.74803149606299213" bottom="0.55118110236220474" header="0.31496062992125984" footer="0.31496062992125984"/>
  <pageSetup paperSize="9" scale="73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9956-D9CD-4B1F-9E34-C542A553AEAA}">
  <sheetPr>
    <tabColor rgb="FFFFFF00"/>
    <pageSetUpPr fitToPage="1"/>
  </sheetPr>
  <dimension ref="A1:AH31"/>
  <sheetViews>
    <sheetView view="pageBreakPreview" topLeftCell="A7" zoomScale="115" zoomScaleNormal="100" zoomScaleSheetLayoutView="115" workbookViewId="0">
      <selection activeCell="D20" sqref="D20"/>
    </sheetView>
  </sheetViews>
  <sheetFormatPr defaultRowHeight="21.6" customHeight="1" x14ac:dyDescent="0.3"/>
  <cols>
    <col min="1" max="1" width="3" style="10" customWidth="1"/>
    <col min="2" max="2" width="6.25" style="10" customWidth="1"/>
    <col min="3" max="3" width="8.75" style="2" customWidth="1"/>
    <col min="4" max="4" width="9" style="2" customWidth="1"/>
    <col min="5" max="5" width="7.5" style="10" customWidth="1"/>
    <col min="6" max="6" width="7.75" style="2" customWidth="1"/>
    <col min="7" max="8" width="11.625" style="2" customWidth="1"/>
    <col min="9" max="9" width="10.25" style="25" customWidth="1"/>
    <col min="10" max="11" width="9.5" style="2" customWidth="1"/>
    <col min="12" max="12" width="11" style="2" customWidth="1"/>
    <col min="13" max="13" width="9.625" style="2" customWidth="1"/>
    <col min="14" max="14" width="10.375" style="2" customWidth="1"/>
    <col min="15" max="18" width="9.625" style="2" customWidth="1"/>
    <col min="19" max="19" width="9.25" style="2" customWidth="1"/>
    <col min="20" max="20" width="11.75" style="2" customWidth="1"/>
    <col min="21" max="21" width="12" style="4" bestFit="1" customWidth="1"/>
    <col min="22" max="22" width="9" style="4"/>
    <col min="23" max="34" width="9" style="5"/>
    <col min="35" max="16384" width="9" style="2"/>
  </cols>
  <sheetData>
    <row r="1" spans="1:34" ht="30.75" customHeight="1" x14ac:dyDescent="0.3">
      <c r="A1" s="179" t="s">
        <v>102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34" ht="21.6" customHeight="1" x14ac:dyDescent="0.3">
      <c r="A2" s="180" t="s">
        <v>103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34" ht="9.75" customHeight="1" x14ac:dyDescent="0.3">
      <c r="A3" s="6"/>
      <c r="B3" s="7"/>
      <c r="C3" s="7"/>
      <c r="D3" s="7"/>
      <c r="E3" s="7"/>
      <c r="F3" s="7"/>
      <c r="G3" s="7"/>
      <c r="H3" s="7"/>
      <c r="I3" s="8"/>
      <c r="J3" s="7"/>
      <c r="K3" s="7"/>
    </row>
    <row r="4" spans="1:34" ht="21.6" customHeight="1" thickBot="1" x14ac:dyDescent="0.35">
      <c r="A4" s="9" t="s">
        <v>27</v>
      </c>
      <c r="H4" s="181"/>
      <c r="I4" s="181"/>
      <c r="J4" s="181"/>
      <c r="K4" s="181"/>
      <c r="L4" s="181"/>
      <c r="M4" s="181"/>
    </row>
    <row r="5" spans="1:34" s="12" customFormat="1" ht="21.6" customHeight="1" x14ac:dyDescent="0.3">
      <c r="A5" s="182" t="s">
        <v>5</v>
      </c>
      <c r="B5" s="184" t="s">
        <v>28</v>
      </c>
      <c r="C5" s="186" t="s">
        <v>14</v>
      </c>
      <c r="D5" s="186"/>
      <c r="E5" s="186"/>
      <c r="F5" s="186"/>
      <c r="G5" s="186"/>
      <c r="H5" s="186" t="s">
        <v>13</v>
      </c>
      <c r="I5" s="186"/>
      <c r="J5" s="186"/>
      <c r="K5" s="186"/>
      <c r="L5" s="186"/>
      <c r="M5" s="187" t="s">
        <v>0</v>
      </c>
      <c r="N5" s="187"/>
      <c r="O5" s="187"/>
      <c r="P5" s="187"/>
      <c r="Q5" s="187"/>
      <c r="R5" s="187"/>
      <c r="S5" s="187"/>
      <c r="T5" s="174" t="s">
        <v>25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s="14" customFormat="1" ht="21.6" customHeight="1" thickBot="1" x14ac:dyDescent="0.35">
      <c r="A6" s="183"/>
      <c r="B6" s="185"/>
      <c r="C6" s="79" t="s">
        <v>6</v>
      </c>
      <c r="D6" s="79" t="s">
        <v>7</v>
      </c>
      <c r="E6" s="79" t="s">
        <v>8</v>
      </c>
      <c r="F6" s="176" t="s">
        <v>9</v>
      </c>
      <c r="G6" s="176"/>
      <c r="H6" s="79" t="s">
        <v>10</v>
      </c>
      <c r="I6" s="36" t="s">
        <v>11</v>
      </c>
      <c r="J6" s="79" t="s">
        <v>12</v>
      </c>
      <c r="K6" s="79" t="s">
        <v>51</v>
      </c>
      <c r="L6" s="78" t="s">
        <v>26</v>
      </c>
      <c r="M6" s="37" t="s">
        <v>1</v>
      </c>
      <c r="N6" s="37" t="s">
        <v>22</v>
      </c>
      <c r="O6" s="37" t="s">
        <v>21</v>
      </c>
      <c r="P6" s="38" t="s">
        <v>23</v>
      </c>
      <c r="Q6" s="37" t="s">
        <v>3</v>
      </c>
      <c r="R6" s="37" t="s">
        <v>4</v>
      </c>
      <c r="S6" s="37" t="s">
        <v>2</v>
      </c>
      <c r="T6" s="197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s="4" customFormat="1" ht="21.6" customHeight="1" x14ac:dyDescent="0.3">
      <c r="A7" s="100">
        <v>1</v>
      </c>
      <c r="B7" s="109" t="s">
        <v>24</v>
      </c>
      <c r="C7" s="102" t="s">
        <v>15</v>
      </c>
      <c r="D7" s="101"/>
      <c r="E7" s="103" t="s">
        <v>16</v>
      </c>
      <c r="F7" s="104" t="s">
        <v>17</v>
      </c>
      <c r="G7" s="105">
        <v>1011355</v>
      </c>
      <c r="H7" s="106">
        <v>5300000</v>
      </c>
      <c r="I7" s="106">
        <v>200000</v>
      </c>
      <c r="J7" s="106">
        <v>100000</v>
      </c>
      <c r="K7" s="106"/>
      <c r="L7" s="106">
        <f>J7+I7+H7+K7</f>
        <v>5600000</v>
      </c>
      <c r="M7" s="106"/>
      <c r="N7" s="106">
        <f>TRUNC((H7+K7)*3.595%,-1)</f>
        <v>190530</v>
      </c>
      <c r="O7" s="106"/>
      <c r="P7" s="106">
        <f>ROUNDDOWN(N7*13.14%,-1)</f>
        <v>25030</v>
      </c>
      <c r="Q7" s="107">
        <v>406570</v>
      </c>
      <c r="R7" s="106">
        <f t="shared" ref="R7:R20" si="0">ROUNDDOWN(Q7*0.1,-1)</f>
        <v>40650</v>
      </c>
      <c r="S7" s="106">
        <f t="shared" ref="S7:S20" si="1">SUM(M7:R7)</f>
        <v>662780</v>
      </c>
      <c r="T7" s="142">
        <f t="shared" ref="T7:T20" si="2">L7-S7</f>
        <v>4937220</v>
      </c>
    </row>
    <row r="8" spans="1:34" s="4" customFormat="1" ht="21.6" customHeight="1" x14ac:dyDescent="0.3">
      <c r="A8" s="16">
        <f>A7+1</f>
        <v>2</v>
      </c>
      <c r="B8" s="110" t="s">
        <v>24</v>
      </c>
      <c r="C8" s="65" t="s">
        <v>55</v>
      </c>
      <c r="D8" s="17"/>
      <c r="E8" s="17" t="s">
        <v>56</v>
      </c>
      <c r="F8" s="18" t="s">
        <v>57</v>
      </c>
      <c r="G8" s="19">
        <v>1018325</v>
      </c>
      <c r="H8" s="20">
        <v>3000000</v>
      </c>
      <c r="I8" s="20">
        <v>200000</v>
      </c>
      <c r="J8" s="20">
        <v>100000</v>
      </c>
      <c r="K8" s="59"/>
      <c r="L8" s="20">
        <f>J8+I8+H8+K8</f>
        <v>3300000</v>
      </c>
      <c r="M8" s="20"/>
      <c r="N8" s="59">
        <f t="shared" ref="N8:N20" si="3">TRUNC((H8+K8)*3.595%,-1)</f>
        <v>107850</v>
      </c>
      <c r="O8" s="20">
        <f>ROUNDDOWN(H8*0.9%,-1)</f>
        <v>27000</v>
      </c>
      <c r="P8" s="59">
        <f t="shared" ref="P8:P20" si="4">ROUNDDOWN(N8*13.14%,-1)</f>
        <v>14170</v>
      </c>
      <c r="Q8" s="54">
        <v>129440</v>
      </c>
      <c r="R8" s="20">
        <f t="shared" si="0"/>
        <v>12940</v>
      </c>
      <c r="S8" s="20">
        <f t="shared" si="1"/>
        <v>291400</v>
      </c>
      <c r="T8" s="143">
        <f t="shared" si="2"/>
        <v>3008600</v>
      </c>
    </row>
    <row r="9" spans="1:34" s="4" customFormat="1" ht="21.6" customHeight="1" x14ac:dyDescent="0.3">
      <c r="A9" s="16">
        <f t="shared" ref="A9" si="5">A8+1</f>
        <v>3</v>
      </c>
      <c r="B9" s="110" t="s">
        <v>40</v>
      </c>
      <c r="C9" s="65" t="s">
        <v>58</v>
      </c>
      <c r="D9" s="65"/>
      <c r="E9" s="56" t="s">
        <v>59</v>
      </c>
      <c r="F9" s="57" t="s">
        <v>60</v>
      </c>
      <c r="G9" s="58">
        <v>2011325</v>
      </c>
      <c r="H9" s="20">
        <v>2100000</v>
      </c>
      <c r="I9" s="20">
        <v>200000</v>
      </c>
      <c r="J9" s="20">
        <v>100000</v>
      </c>
      <c r="K9" s="59"/>
      <c r="L9" s="20">
        <f t="shared" ref="L9:L20" si="6">J9+I9+H9+K9</f>
        <v>2400000</v>
      </c>
      <c r="M9" s="21">
        <f>TRUNC((H9+K9)*4.75%,-1)</f>
        <v>99750</v>
      </c>
      <c r="N9" s="59">
        <f>TRUNC((H9+K9)*3.595%,-1)</f>
        <v>75490</v>
      </c>
      <c r="O9" s="20">
        <f t="shared" ref="O9:O19" si="7">ROUNDDOWN(H9*0.9%,-1)</f>
        <v>18900</v>
      </c>
      <c r="P9" s="59">
        <f t="shared" si="4"/>
        <v>9910</v>
      </c>
      <c r="Q9" s="54">
        <v>25950</v>
      </c>
      <c r="R9" s="20">
        <f t="shared" si="0"/>
        <v>2590</v>
      </c>
      <c r="S9" s="20">
        <f t="shared" si="1"/>
        <v>232590</v>
      </c>
      <c r="T9" s="143">
        <f t="shared" si="2"/>
        <v>2167410</v>
      </c>
    </row>
    <row r="10" spans="1:34" s="62" customFormat="1" ht="21.6" customHeight="1" x14ac:dyDescent="0.3">
      <c r="A10" s="55">
        <v>4</v>
      </c>
      <c r="B10" s="111" t="s">
        <v>24</v>
      </c>
      <c r="C10" s="80" t="s">
        <v>18</v>
      </c>
      <c r="D10" s="56"/>
      <c r="E10" s="56" t="s">
        <v>19</v>
      </c>
      <c r="F10" s="57" t="s">
        <v>20</v>
      </c>
      <c r="G10" s="58">
        <v>1261415</v>
      </c>
      <c r="H10" s="59">
        <v>4900000</v>
      </c>
      <c r="I10" s="59">
        <v>200000</v>
      </c>
      <c r="J10" s="59">
        <v>100000</v>
      </c>
      <c r="K10" s="59"/>
      <c r="L10" s="59">
        <f t="shared" si="6"/>
        <v>5200000</v>
      </c>
      <c r="M10" s="60">
        <f>TRUNC((H10+K10)*4.75%,-1)</f>
        <v>232750</v>
      </c>
      <c r="N10" s="59">
        <f t="shared" si="3"/>
        <v>176150</v>
      </c>
      <c r="O10" s="20">
        <f t="shared" si="7"/>
        <v>44100</v>
      </c>
      <c r="P10" s="59">
        <f t="shared" si="4"/>
        <v>23140</v>
      </c>
      <c r="Q10" s="61">
        <v>185850</v>
      </c>
      <c r="R10" s="59">
        <f t="shared" si="0"/>
        <v>18580</v>
      </c>
      <c r="S10" s="59">
        <f t="shared" si="1"/>
        <v>680570</v>
      </c>
      <c r="T10" s="143">
        <f t="shared" si="2"/>
        <v>4519430</v>
      </c>
    </row>
    <row r="11" spans="1:34" s="4" customFormat="1" ht="21.6" customHeight="1" x14ac:dyDescent="0.3">
      <c r="A11" s="55">
        <v>5</v>
      </c>
      <c r="B11" s="110" t="s">
        <v>40</v>
      </c>
      <c r="C11" s="65" t="s">
        <v>61</v>
      </c>
      <c r="D11" s="17"/>
      <c r="E11" s="17" t="s">
        <v>62</v>
      </c>
      <c r="F11" s="18">
        <v>940531</v>
      </c>
      <c r="G11" s="19">
        <v>1009610</v>
      </c>
      <c r="H11" s="20">
        <v>2000000</v>
      </c>
      <c r="I11" s="20">
        <v>200000</v>
      </c>
      <c r="J11" s="20">
        <v>100000</v>
      </c>
      <c r="K11" s="59"/>
      <c r="L11" s="20">
        <f t="shared" si="6"/>
        <v>2300000</v>
      </c>
      <c r="M11" s="60">
        <f t="shared" ref="M11:M13" si="8">TRUNC((H11+K11)*4.75%,-1)</f>
        <v>95000</v>
      </c>
      <c r="N11" s="59">
        <f t="shared" si="3"/>
        <v>71900</v>
      </c>
      <c r="O11" s="20">
        <f t="shared" si="7"/>
        <v>18000</v>
      </c>
      <c r="P11" s="59">
        <f t="shared" si="4"/>
        <v>9440</v>
      </c>
      <c r="Q11" s="54">
        <v>19520</v>
      </c>
      <c r="R11" s="20">
        <f t="shared" si="0"/>
        <v>1950</v>
      </c>
      <c r="S11" s="20">
        <f t="shared" si="1"/>
        <v>215810</v>
      </c>
      <c r="T11" s="143">
        <f t="shared" si="2"/>
        <v>2084190</v>
      </c>
    </row>
    <row r="12" spans="1:34" s="62" customFormat="1" ht="21.6" customHeight="1" x14ac:dyDescent="0.3">
      <c r="A12" s="16">
        <v>6</v>
      </c>
      <c r="B12" s="111" t="s">
        <v>24</v>
      </c>
      <c r="C12" s="80" t="s">
        <v>52</v>
      </c>
      <c r="D12" s="56"/>
      <c r="E12" s="56" t="s">
        <v>39</v>
      </c>
      <c r="F12" s="57" t="s">
        <v>53</v>
      </c>
      <c r="G12" s="58">
        <v>1055911</v>
      </c>
      <c r="H12" s="59">
        <v>6050000</v>
      </c>
      <c r="I12" s="59">
        <v>200000</v>
      </c>
      <c r="J12" s="59">
        <v>100000</v>
      </c>
      <c r="K12" s="59"/>
      <c r="L12" s="59">
        <f t="shared" si="6"/>
        <v>6350000</v>
      </c>
      <c r="M12" s="60">
        <f t="shared" si="8"/>
        <v>287370</v>
      </c>
      <c r="N12" s="59">
        <f t="shared" si="3"/>
        <v>217490</v>
      </c>
      <c r="O12" s="20">
        <f t="shared" si="7"/>
        <v>54450</v>
      </c>
      <c r="P12" s="59">
        <f t="shared" si="4"/>
        <v>28570</v>
      </c>
      <c r="Q12" s="61">
        <v>286900</v>
      </c>
      <c r="R12" s="59">
        <f t="shared" si="0"/>
        <v>28690</v>
      </c>
      <c r="S12" s="59">
        <f t="shared" si="1"/>
        <v>903470</v>
      </c>
      <c r="T12" s="143">
        <f t="shared" si="2"/>
        <v>5446530</v>
      </c>
    </row>
    <row r="13" spans="1:34" s="4" customFormat="1" ht="21.6" customHeight="1" x14ac:dyDescent="0.3">
      <c r="A13" s="55">
        <v>7</v>
      </c>
      <c r="B13" s="110" t="s">
        <v>38</v>
      </c>
      <c r="C13" s="65" t="s">
        <v>50</v>
      </c>
      <c r="D13" s="17"/>
      <c r="E13" s="17" t="s">
        <v>29</v>
      </c>
      <c r="F13" s="18" t="s">
        <v>30</v>
      </c>
      <c r="G13" s="19">
        <v>2810140</v>
      </c>
      <c r="H13" s="20">
        <v>3200000</v>
      </c>
      <c r="I13" s="20">
        <v>200000</v>
      </c>
      <c r="J13" s="20"/>
      <c r="K13" s="59"/>
      <c r="L13" s="20">
        <f t="shared" si="6"/>
        <v>3400000</v>
      </c>
      <c r="M13" s="60">
        <f t="shared" si="8"/>
        <v>152000</v>
      </c>
      <c r="N13" s="59">
        <f t="shared" si="3"/>
        <v>115040</v>
      </c>
      <c r="O13" s="20">
        <f t="shared" si="7"/>
        <v>28800</v>
      </c>
      <c r="P13" s="59">
        <f t="shared" si="4"/>
        <v>15110</v>
      </c>
      <c r="Q13" s="54">
        <v>117770</v>
      </c>
      <c r="R13" s="20">
        <f t="shared" si="0"/>
        <v>11770</v>
      </c>
      <c r="S13" s="20">
        <f t="shared" si="1"/>
        <v>440490</v>
      </c>
      <c r="T13" s="143">
        <f t="shared" si="2"/>
        <v>2959510</v>
      </c>
      <c r="U13" s="98"/>
    </row>
    <row r="14" spans="1:34" s="4" customFormat="1" ht="21.6" customHeight="1" x14ac:dyDescent="0.3">
      <c r="A14" s="16">
        <v>8</v>
      </c>
      <c r="B14" s="110" t="s">
        <v>40</v>
      </c>
      <c r="C14" s="65" t="s">
        <v>47</v>
      </c>
      <c r="D14" s="17"/>
      <c r="E14" s="56" t="s">
        <v>48</v>
      </c>
      <c r="F14" s="57" t="s">
        <v>49</v>
      </c>
      <c r="G14" s="58">
        <v>1222414</v>
      </c>
      <c r="H14" s="59">
        <v>1900000</v>
      </c>
      <c r="I14" s="20">
        <v>200000</v>
      </c>
      <c r="J14" s="20">
        <v>100000</v>
      </c>
      <c r="K14" s="59"/>
      <c r="L14" s="20">
        <f t="shared" si="6"/>
        <v>2200000</v>
      </c>
      <c r="M14" s="21"/>
      <c r="N14" s="59">
        <f t="shared" si="3"/>
        <v>68300</v>
      </c>
      <c r="O14" s="20">
        <f t="shared" si="7"/>
        <v>17100</v>
      </c>
      <c r="P14" s="59">
        <f t="shared" si="4"/>
        <v>8970</v>
      </c>
      <c r="Q14" s="54">
        <v>19520</v>
      </c>
      <c r="R14" s="20">
        <f t="shared" si="0"/>
        <v>1950</v>
      </c>
      <c r="S14" s="20">
        <f t="shared" si="1"/>
        <v>115840</v>
      </c>
      <c r="T14" s="143">
        <f t="shared" si="2"/>
        <v>2084160</v>
      </c>
      <c r="U14" s="98"/>
    </row>
    <row r="15" spans="1:34" s="4" customFormat="1" ht="21.6" customHeight="1" x14ac:dyDescent="0.3">
      <c r="A15" s="16">
        <v>9</v>
      </c>
      <c r="B15" s="111" t="s">
        <v>24</v>
      </c>
      <c r="C15" s="80" t="s">
        <v>65</v>
      </c>
      <c r="D15" s="80"/>
      <c r="E15" s="56" t="s">
        <v>66</v>
      </c>
      <c r="F15" s="57" t="s">
        <v>67</v>
      </c>
      <c r="G15" s="58">
        <v>1067322</v>
      </c>
      <c r="H15" s="59">
        <v>5000000</v>
      </c>
      <c r="I15" s="59">
        <v>200000</v>
      </c>
      <c r="J15" s="59">
        <v>100000</v>
      </c>
      <c r="K15" s="59"/>
      <c r="L15" s="59">
        <f t="shared" si="6"/>
        <v>5300000</v>
      </c>
      <c r="M15" s="60">
        <f>TRUNC((H15+K15)*4.75%,-1)</f>
        <v>237500</v>
      </c>
      <c r="N15" s="59">
        <f t="shared" si="3"/>
        <v>179750</v>
      </c>
      <c r="O15" s="59">
        <f t="shared" si="7"/>
        <v>45000</v>
      </c>
      <c r="P15" s="59">
        <f t="shared" si="4"/>
        <v>23610</v>
      </c>
      <c r="Q15" s="61">
        <v>157900</v>
      </c>
      <c r="R15" s="59">
        <f t="shared" si="0"/>
        <v>15790</v>
      </c>
      <c r="S15" s="59">
        <f t="shared" si="1"/>
        <v>659550</v>
      </c>
      <c r="T15" s="143">
        <f t="shared" si="2"/>
        <v>4640450</v>
      </c>
      <c r="U15" s="98"/>
    </row>
    <row r="16" spans="1:34" s="4" customFormat="1" ht="21.6" customHeight="1" x14ac:dyDescent="0.3">
      <c r="A16" s="55">
        <v>10</v>
      </c>
      <c r="B16" s="116" t="s">
        <v>40</v>
      </c>
      <c r="C16" s="117" t="s">
        <v>72</v>
      </c>
      <c r="D16" s="117"/>
      <c r="E16" s="118" t="s">
        <v>73</v>
      </c>
      <c r="F16" s="119" t="s">
        <v>74</v>
      </c>
      <c r="G16" s="120">
        <v>1222415</v>
      </c>
      <c r="H16" s="121">
        <v>1900000</v>
      </c>
      <c r="I16" s="121">
        <v>200000</v>
      </c>
      <c r="J16" s="121">
        <v>100000</v>
      </c>
      <c r="K16" s="121"/>
      <c r="L16" s="121">
        <f t="shared" si="6"/>
        <v>2200000</v>
      </c>
      <c r="M16" s="60"/>
      <c r="N16" s="59">
        <f t="shared" si="3"/>
        <v>68300</v>
      </c>
      <c r="O16" s="121">
        <f t="shared" si="7"/>
        <v>17100</v>
      </c>
      <c r="P16" s="59">
        <f t="shared" si="4"/>
        <v>8970</v>
      </c>
      <c r="Q16" s="122">
        <v>35600</v>
      </c>
      <c r="R16" s="121">
        <f t="shared" si="0"/>
        <v>3560</v>
      </c>
      <c r="S16" s="59">
        <f t="shared" si="1"/>
        <v>133530</v>
      </c>
      <c r="T16" s="143">
        <f t="shared" si="2"/>
        <v>2066470</v>
      </c>
      <c r="U16" s="98"/>
    </row>
    <row r="17" spans="1:34" s="4" customFormat="1" ht="21.6" customHeight="1" x14ac:dyDescent="0.3">
      <c r="A17" s="16">
        <v>11</v>
      </c>
      <c r="B17" s="116" t="s">
        <v>40</v>
      </c>
      <c r="C17" s="117" t="s">
        <v>75</v>
      </c>
      <c r="D17" s="117"/>
      <c r="E17" s="118" t="s">
        <v>76</v>
      </c>
      <c r="F17" s="119" t="s">
        <v>77</v>
      </c>
      <c r="G17" s="120">
        <v>1046917</v>
      </c>
      <c r="H17" s="121">
        <v>3100000</v>
      </c>
      <c r="I17" s="121">
        <v>200000</v>
      </c>
      <c r="J17" s="121">
        <v>100000</v>
      </c>
      <c r="K17" s="121"/>
      <c r="L17" s="121">
        <f t="shared" si="6"/>
        <v>3400000</v>
      </c>
      <c r="M17" s="60">
        <f>TRUNC((H17+K17)*4.75%,-1)</f>
        <v>147250</v>
      </c>
      <c r="N17" s="59">
        <f t="shared" si="3"/>
        <v>111440</v>
      </c>
      <c r="O17" s="121">
        <f t="shared" si="7"/>
        <v>27900</v>
      </c>
      <c r="P17" s="59">
        <f t="shared" si="4"/>
        <v>14640</v>
      </c>
      <c r="Q17" s="122">
        <v>89220</v>
      </c>
      <c r="R17" s="121">
        <f t="shared" si="0"/>
        <v>8920</v>
      </c>
      <c r="S17" s="59">
        <f t="shared" si="1"/>
        <v>399370</v>
      </c>
      <c r="T17" s="143">
        <f t="shared" si="2"/>
        <v>3000630</v>
      </c>
      <c r="U17" s="98"/>
    </row>
    <row r="18" spans="1:34" s="4" customFormat="1" ht="21.6" customHeight="1" x14ac:dyDescent="0.3">
      <c r="A18" s="16">
        <v>12</v>
      </c>
      <c r="B18" s="116" t="s">
        <v>40</v>
      </c>
      <c r="C18" s="117" t="s">
        <v>75</v>
      </c>
      <c r="D18" s="117"/>
      <c r="E18" s="118" t="s">
        <v>78</v>
      </c>
      <c r="F18" s="123" t="s">
        <v>79</v>
      </c>
      <c r="G18" s="120">
        <v>3079513</v>
      </c>
      <c r="H18" s="121">
        <v>2200000</v>
      </c>
      <c r="I18" s="121">
        <v>200000</v>
      </c>
      <c r="J18" s="121">
        <v>100000</v>
      </c>
      <c r="K18" s="121"/>
      <c r="L18" s="121">
        <f t="shared" si="6"/>
        <v>2500000</v>
      </c>
      <c r="M18" s="60">
        <f t="shared" ref="M18:M19" si="9">TRUNC((H18+K18)*4.75%,-1)</f>
        <v>104500</v>
      </c>
      <c r="N18" s="59">
        <f t="shared" si="3"/>
        <v>79090</v>
      </c>
      <c r="O18" s="121">
        <f t="shared" si="7"/>
        <v>19800</v>
      </c>
      <c r="P18" s="59">
        <f t="shared" si="4"/>
        <v>10390</v>
      </c>
      <c r="Q18" s="122">
        <v>25950</v>
      </c>
      <c r="R18" s="121">
        <f t="shared" si="0"/>
        <v>2590</v>
      </c>
      <c r="S18" s="121">
        <f t="shared" si="1"/>
        <v>242320</v>
      </c>
      <c r="T18" s="144">
        <f t="shared" si="2"/>
        <v>2257680</v>
      </c>
      <c r="U18" s="98"/>
    </row>
    <row r="19" spans="1:34" s="4" customFormat="1" ht="21.6" customHeight="1" x14ac:dyDescent="0.3">
      <c r="A19" s="55">
        <v>13</v>
      </c>
      <c r="B19" s="110" t="s">
        <v>68</v>
      </c>
      <c r="C19" s="80" t="s">
        <v>69</v>
      </c>
      <c r="D19" s="80" t="s">
        <v>105</v>
      </c>
      <c r="E19" s="56" t="s">
        <v>70</v>
      </c>
      <c r="F19" s="57">
        <v>740221</v>
      </c>
      <c r="G19" s="58">
        <v>1031512</v>
      </c>
      <c r="H19" s="59">
        <v>5700000</v>
      </c>
      <c r="I19" s="20">
        <v>200000</v>
      </c>
      <c r="J19" s="20">
        <v>100000</v>
      </c>
      <c r="K19" s="59"/>
      <c r="L19" s="20">
        <f t="shared" si="6"/>
        <v>6000000</v>
      </c>
      <c r="M19" s="60">
        <f t="shared" si="9"/>
        <v>270750</v>
      </c>
      <c r="N19" s="59">
        <f t="shared" si="3"/>
        <v>204910</v>
      </c>
      <c r="O19" s="20">
        <f t="shared" si="7"/>
        <v>51300</v>
      </c>
      <c r="P19" s="59">
        <f t="shared" si="4"/>
        <v>26920</v>
      </c>
      <c r="Q19" s="54">
        <v>225350</v>
      </c>
      <c r="R19" s="20">
        <f t="shared" si="0"/>
        <v>22530</v>
      </c>
      <c r="S19" s="20">
        <f t="shared" si="1"/>
        <v>801760</v>
      </c>
      <c r="T19" s="169">
        <f t="shared" si="2"/>
        <v>5198240</v>
      </c>
      <c r="U19" s="98"/>
    </row>
    <row r="20" spans="1:34" s="4" customFormat="1" ht="21.6" customHeight="1" thickBot="1" x14ac:dyDescent="0.35">
      <c r="A20" s="16">
        <v>14</v>
      </c>
      <c r="B20" s="112" t="s">
        <v>24</v>
      </c>
      <c r="C20" s="74" t="s">
        <v>96</v>
      </c>
      <c r="D20" s="74"/>
      <c r="E20" s="75" t="s">
        <v>97</v>
      </c>
      <c r="F20" s="76">
        <v>600901</v>
      </c>
      <c r="G20" s="77">
        <v>1053029</v>
      </c>
      <c r="H20" s="71">
        <v>2200000</v>
      </c>
      <c r="I20" s="71">
        <v>200000</v>
      </c>
      <c r="J20" s="71">
        <v>100000</v>
      </c>
      <c r="K20" s="71"/>
      <c r="L20" s="72">
        <f t="shared" si="6"/>
        <v>2500000</v>
      </c>
      <c r="M20" s="170"/>
      <c r="N20" s="71">
        <f t="shared" si="3"/>
        <v>79090</v>
      </c>
      <c r="O20" s="72"/>
      <c r="P20" s="71">
        <f t="shared" si="4"/>
        <v>10390</v>
      </c>
      <c r="Q20" s="73">
        <v>31140</v>
      </c>
      <c r="R20" s="72">
        <f t="shared" si="0"/>
        <v>3110</v>
      </c>
      <c r="S20" s="20">
        <f t="shared" si="1"/>
        <v>123730</v>
      </c>
      <c r="T20" s="169">
        <f t="shared" si="2"/>
        <v>2376270</v>
      </c>
      <c r="U20" s="98"/>
    </row>
    <row r="21" spans="1:34" s="24" customFormat="1" ht="21.6" customHeight="1" thickBot="1" x14ac:dyDescent="0.35">
      <c r="A21" s="177"/>
      <c r="B21" s="178"/>
      <c r="C21" s="178"/>
      <c r="D21" s="178"/>
      <c r="E21" s="178"/>
      <c r="F21" s="178"/>
      <c r="G21" s="178"/>
      <c r="H21" s="35">
        <f t="shared" ref="H21:T21" si="10">SUM(H7:H20)</f>
        <v>48550000</v>
      </c>
      <c r="I21" s="35">
        <f t="shared" si="10"/>
        <v>2800000</v>
      </c>
      <c r="J21" s="35">
        <f t="shared" si="10"/>
        <v>1300000</v>
      </c>
      <c r="K21" s="35">
        <f t="shared" si="10"/>
        <v>0</v>
      </c>
      <c r="L21" s="35">
        <f t="shared" si="10"/>
        <v>52650000</v>
      </c>
      <c r="M21" s="35">
        <f t="shared" si="10"/>
        <v>1626870</v>
      </c>
      <c r="N21" s="35">
        <f t="shared" si="10"/>
        <v>1745330</v>
      </c>
      <c r="O21" s="35">
        <f t="shared" si="10"/>
        <v>369450</v>
      </c>
      <c r="P21" s="35">
        <f t="shared" si="10"/>
        <v>229260</v>
      </c>
      <c r="Q21" s="35">
        <f t="shared" si="10"/>
        <v>1756680</v>
      </c>
      <c r="R21" s="35">
        <f t="shared" si="10"/>
        <v>175620</v>
      </c>
      <c r="S21" s="35">
        <f t="shared" si="10"/>
        <v>5903210</v>
      </c>
      <c r="T21" s="35">
        <f t="shared" si="10"/>
        <v>46746790</v>
      </c>
      <c r="U21" s="98"/>
    </row>
    <row r="22" spans="1:34" s="4" customFormat="1" ht="15" customHeight="1" x14ac:dyDescent="0.3">
      <c r="A22" s="10"/>
      <c r="B22" s="10"/>
      <c r="C22" s="2"/>
      <c r="D22" s="2"/>
      <c r="E22" s="10"/>
      <c r="F22" s="2"/>
      <c r="G22" s="2"/>
      <c r="H22" s="2"/>
      <c r="I22" s="25"/>
      <c r="J22" s="2"/>
      <c r="K22" s="2"/>
      <c r="L22" s="2"/>
      <c r="M22" s="2"/>
      <c r="N22" s="2"/>
      <c r="O22" s="2"/>
      <c r="P22" s="2"/>
      <c r="Q22" s="2"/>
      <c r="R22" s="64"/>
      <c r="S22" s="2"/>
      <c r="T22" s="2"/>
      <c r="U22" s="98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s="4" customFormat="1" ht="22.5" customHeight="1" x14ac:dyDescent="0.3">
      <c r="A23" s="10"/>
      <c r="B23" s="12"/>
      <c r="C23" s="66"/>
      <c r="D23" s="66"/>
      <c r="E23" s="67"/>
      <c r="F23" s="66"/>
      <c r="G23" s="2"/>
      <c r="H23" s="2"/>
      <c r="I23" s="68"/>
      <c r="J23" s="69"/>
      <c r="K23" s="2"/>
      <c r="L23" s="26" t="s">
        <v>24</v>
      </c>
      <c r="M23" s="27" t="e">
        <f>M7+M8+M10+#REF!</f>
        <v>#REF!</v>
      </c>
      <c r="N23" s="27" t="e">
        <f>N7+N8+N10+#REF!</f>
        <v>#REF!</v>
      </c>
      <c r="O23" s="27" t="e">
        <f>O7+O8+O10+#REF!</f>
        <v>#REF!</v>
      </c>
      <c r="P23" s="27" t="e">
        <f>P7+P8+P10+#REF!</f>
        <v>#REF!</v>
      </c>
      <c r="Q23" s="27" t="e">
        <f>Q7+Q8+Q10+#REF!</f>
        <v>#REF!</v>
      </c>
      <c r="R23" s="27" t="e">
        <f>R7+R8+R10+#REF!</f>
        <v>#REF!</v>
      </c>
      <c r="S23" s="27" t="e">
        <f>S7+S8+S10+#REF!</f>
        <v>#REF!</v>
      </c>
      <c r="T23" s="9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s="4" customFormat="1" ht="22.5" customHeight="1" x14ac:dyDescent="0.3">
      <c r="A24" s="10"/>
      <c r="B24" s="12"/>
      <c r="C24" s="2"/>
      <c r="D24" s="2" t="s">
        <v>42</v>
      </c>
      <c r="E24" s="28"/>
      <c r="F24" s="2"/>
      <c r="G24" s="2"/>
      <c r="H24" s="2"/>
      <c r="I24" s="25"/>
      <c r="J24" s="2"/>
      <c r="K24" s="2"/>
      <c r="L24" s="29" t="s">
        <v>40</v>
      </c>
      <c r="M24" s="30">
        <f t="shared" ref="M24:S24" si="11">M9+M11+M13+M14+M16+M17+M18</f>
        <v>598500</v>
      </c>
      <c r="N24" s="30">
        <f t="shared" si="11"/>
        <v>589560</v>
      </c>
      <c r="O24" s="30">
        <f t="shared" si="11"/>
        <v>147600</v>
      </c>
      <c r="P24" s="30">
        <f t="shared" si="11"/>
        <v>77430</v>
      </c>
      <c r="Q24" s="30">
        <f t="shared" si="11"/>
        <v>333530</v>
      </c>
      <c r="R24" s="30">
        <f t="shared" si="11"/>
        <v>33330</v>
      </c>
      <c r="S24" s="30">
        <f t="shared" si="11"/>
        <v>1779950</v>
      </c>
      <c r="T24" s="2"/>
      <c r="U24" s="2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s="4" customFormat="1" ht="22.5" customHeight="1" x14ac:dyDescent="0.3">
      <c r="A25" s="10"/>
      <c r="B25" s="12"/>
      <c r="C25" s="2"/>
      <c r="D25" s="2" t="s">
        <v>95</v>
      </c>
      <c r="E25" s="10"/>
      <c r="F25" s="2"/>
      <c r="G25" s="2"/>
      <c r="H25" s="2"/>
      <c r="I25" s="45" t="s">
        <v>46</v>
      </c>
      <c r="J25" s="46" t="s">
        <v>41</v>
      </c>
      <c r="K25" s="50"/>
      <c r="L25" s="29" t="s">
        <v>71</v>
      </c>
      <c r="M25" s="30">
        <f t="shared" ref="M25:S25" si="12">M12</f>
        <v>287370</v>
      </c>
      <c r="N25" s="30">
        <f t="shared" si="12"/>
        <v>217490</v>
      </c>
      <c r="O25" s="30">
        <f t="shared" si="12"/>
        <v>54450</v>
      </c>
      <c r="P25" s="30">
        <f t="shared" si="12"/>
        <v>28570</v>
      </c>
      <c r="Q25" s="30">
        <f t="shared" si="12"/>
        <v>286900</v>
      </c>
      <c r="R25" s="30">
        <f t="shared" si="12"/>
        <v>28690</v>
      </c>
      <c r="S25" s="30">
        <f t="shared" si="12"/>
        <v>903470</v>
      </c>
      <c r="T25" s="64"/>
      <c r="U25" s="2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s="4" customFormat="1" ht="22.5" customHeight="1" thickBot="1" x14ac:dyDescent="0.35">
      <c r="A26" s="10"/>
      <c r="B26" s="12"/>
      <c r="C26" s="2"/>
      <c r="D26" s="2"/>
      <c r="E26" s="10"/>
      <c r="F26" s="42" t="s">
        <v>28</v>
      </c>
      <c r="G26" s="42" t="s">
        <v>44</v>
      </c>
      <c r="H26" s="43" t="s">
        <v>41</v>
      </c>
      <c r="I26" s="44" t="s">
        <v>45</v>
      </c>
      <c r="J26" s="44" t="s">
        <v>45</v>
      </c>
      <c r="K26" s="51"/>
      <c r="L26" s="40" t="s">
        <v>68</v>
      </c>
      <c r="M26" s="41">
        <f t="shared" ref="M26:S26" si="13">M19+M15</f>
        <v>508250</v>
      </c>
      <c r="N26" s="41">
        <f t="shared" si="13"/>
        <v>384660</v>
      </c>
      <c r="O26" s="41">
        <f t="shared" si="13"/>
        <v>96300</v>
      </c>
      <c r="P26" s="41">
        <f t="shared" si="13"/>
        <v>50530</v>
      </c>
      <c r="Q26" s="41">
        <f t="shared" si="13"/>
        <v>383250</v>
      </c>
      <c r="R26" s="41">
        <f t="shared" si="13"/>
        <v>38320</v>
      </c>
      <c r="S26" s="41">
        <f t="shared" si="13"/>
        <v>1461310</v>
      </c>
      <c r="T26" s="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s="4" customFormat="1" ht="22.5" customHeight="1" thickBot="1" x14ac:dyDescent="0.35">
      <c r="A27" s="10"/>
      <c r="B27" s="12"/>
      <c r="C27" s="2"/>
      <c r="D27" s="2"/>
      <c r="E27" s="10"/>
      <c r="F27" s="39" t="s">
        <v>24</v>
      </c>
      <c r="G27" s="33" t="e">
        <f>N27+O27+P27</f>
        <v>#REF!</v>
      </c>
      <c r="H27" s="33" t="e">
        <f>M27</f>
        <v>#REF!</v>
      </c>
      <c r="I27" s="34"/>
      <c r="J27" s="34"/>
      <c r="K27" s="52"/>
      <c r="L27" s="47" t="s">
        <v>43</v>
      </c>
      <c r="M27" s="48" t="e">
        <f>SUM(M23:M26)</f>
        <v>#REF!</v>
      </c>
      <c r="N27" s="48" t="e">
        <f t="shared" ref="N27:S27" si="14">SUM(N23:N26)</f>
        <v>#REF!</v>
      </c>
      <c r="O27" s="48" t="e">
        <f t="shared" si="14"/>
        <v>#REF!</v>
      </c>
      <c r="P27" s="48" t="e">
        <f t="shared" si="14"/>
        <v>#REF!</v>
      </c>
      <c r="Q27" s="48" t="e">
        <f t="shared" si="14"/>
        <v>#REF!</v>
      </c>
      <c r="R27" s="48" t="e">
        <f t="shared" si="14"/>
        <v>#REF!</v>
      </c>
      <c r="S27" s="49" t="e">
        <f t="shared" si="14"/>
        <v>#REF!</v>
      </c>
      <c r="T27" s="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s="4" customFormat="1" ht="22.5" customHeight="1" x14ac:dyDescent="0.3">
      <c r="A28" s="10"/>
      <c r="B28" s="81"/>
      <c r="C28" s="82"/>
      <c r="D28" s="82"/>
      <c r="E28" s="83"/>
      <c r="F28" s="84"/>
      <c r="G28" s="85"/>
      <c r="H28" s="85"/>
      <c r="I28" s="86"/>
      <c r="J28" s="86"/>
      <c r="K28" s="86"/>
      <c r="L28" s="87"/>
      <c r="M28" s="88"/>
      <c r="N28" s="88"/>
      <c r="O28" s="88"/>
      <c r="P28" s="88"/>
      <c r="Q28" s="88"/>
      <c r="R28" s="88"/>
      <c r="S28" s="88"/>
      <c r="T28" s="8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s="4" customFormat="1" ht="21.6" customHeight="1" x14ac:dyDescent="0.3">
      <c r="A29" s="10"/>
      <c r="B29" s="83"/>
      <c r="C29" s="82"/>
      <c r="D29" s="82"/>
      <c r="E29" s="83"/>
      <c r="F29" s="82"/>
      <c r="G29" s="89"/>
      <c r="H29" s="84"/>
      <c r="I29" s="195"/>
      <c r="J29" s="195"/>
      <c r="K29" s="89"/>
      <c r="L29" s="82"/>
      <c r="M29" s="82"/>
      <c r="N29" s="91"/>
      <c r="O29" s="82"/>
      <c r="P29" s="82"/>
      <c r="Q29" s="82"/>
      <c r="R29" s="82"/>
      <c r="S29" s="82"/>
      <c r="T29" s="8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ht="21.6" customHeight="1" x14ac:dyDescent="0.3">
      <c r="H30" s="10"/>
      <c r="I30" s="196"/>
      <c r="J30" s="196"/>
    </row>
    <row r="31" spans="1:34" ht="21.6" customHeight="1" x14ac:dyDescent="0.3">
      <c r="I31" s="68"/>
      <c r="K31" s="64"/>
    </row>
  </sheetData>
  <mergeCells count="13">
    <mergeCell ref="T5:T6"/>
    <mergeCell ref="F6:G6"/>
    <mergeCell ref="A21:G21"/>
    <mergeCell ref="I29:J29"/>
    <mergeCell ref="I30:J30"/>
    <mergeCell ref="A1:L1"/>
    <mergeCell ref="A2:L2"/>
    <mergeCell ref="H4:M4"/>
    <mergeCell ref="A5:A6"/>
    <mergeCell ref="B5:B6"/>
    <mergeCell ref="C5:G5"/>
    <mergeCell ref="H5:L5"/>
    <mergeCell ref="M5:S5"/>
  </mergeCells>
  <phoneticPr fontId="2" type="noConversion"/>
  <printOptions horizontalCentered="1"/>
  <pageMargins left="0.11811023622047245" right="0" top="0.74803149606299213" bottom="0.55118110236220474" header="0.31496062992125984" footer="0.31496062992125984"/>
  <pageSetup paperSize="9" scale="73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EA05-DDC7-450D-BDAB-695FAA2873C7}">
  <sheetPr>
    <tabColor rgb="FFFFFF00"/>
    <pageSetUpPr fitToPage="1"/>
  </sheetPr>
  <dimension ref="A1:AH30"/>
  <sheetViews>
    <sheetView view="pageBreakPreview" zoomScale="115" zoomScaleNormal="100" zoomScaleSheetLayoutView="115" workbookViewId="0">
      <selection activeCell="O27" sqref="O27"/>
    </sheetView>
  </sheetViews>
  <sheetFormatPr defaultRowHeight="21.6" customHeight="1" x14ac:dyDescent="0.3"/>
  <cols>
    <col min="1" max="1" width="3" style="10" customWidth="1"/>
    <col min="2" max="2" width="6.25" style="10" customWidth="1"/>
    <col min="3" max="3" width="8.75" style="2" customWidth="1"/>
    <col min="4" max="4" width="9" style="2" customWidth="1"/>
    <col min="5" max="5" width="7.5" style="10" customWidth="1"/>
    <col min="6" max="6" width="7.75" style="2" customWidth="1"/>
    <col min="7" max="8" width="11.625" style="2" customWidth="1"/>
    <col min="9" max="9" width="10.25" style="25" customWidth="1"/>
    <col min="10" max="11" width="9.5" style="2" customWidth="1"/>
    <col min="12" max="12" width="11" style="2" customWidth="1"/>
    <col min="13" max="13" width="9.625" style="2" customWidth="1"/>
    <col min="14" max="14" width="10.375" style="2" customWidth="1"/>
    <col min="15" max="18" width="9.625" style="2" customWidth="1"/>
    <col min="19" max="19" width="9.25" style="2" customWidth="1"/>
    <col min="20" max="20" width="11.75" style="2" customWidth="1"/>
    <col min="21" max="21" width="12" style="4" bestFit="1" customWidth="1"/>
    <col min="22" max="22" width="9" style="4"/>
    <col min="23" max="34" width="9" style="5"/>
    <col min="35" max="16384" width="9" style="2"/>
  </cols>
  <sheetData>
    <row r="1" spans="1:34" ht="30.75" customHeight="1" x14ac:dyDescent="0.3">
      <c r="A1" s="179" t="s">
        <v>99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34" ht="21.6" customHeight="1" x14ac:dyDescent="0.3">
      <c r="A2" s="180" t="s">
        <v>100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34" ht="9.75" customHeight="1" x14ac:dyDescent="0.3">
      <c r="A3" s="6"/>
      <c r="B3" s="7"/>
      <c r="C3" s="7"/>
      <c r="D3" s="7"/>
      <c r="E3" s="7"/>
      <c r="F3" s="7"/>
      <c r="G3" s="7"/>
      <c r="H3" s="7"/>
      <c r="I3" s="8"/>
      <c r="J3" s="7"/>
      <c r="K3" s="7"/>
    </row>
    <row r="4" spans="1:34" ht="21.6" customHeight="1" thickBot="1" x14ac:dyDescent="0.35">
      <c r="A4" s="9" t="s">
        <v>27</v>
      </c>
      <c r="H4" s="181"/>
      <c r="I4" s="181"/>
      <c r="J4" s="181"/>
      <c r="K4" s="181"/>
      <c r="L4" s="181"/>
      <c r="M4" s="181"/>
    </row>
    <row r="5" spans="1:34" s="12" customFormat="1" ht="21.6" customHeight="1" x14ac:dyDescent="0.3">
      <c r="A5" s="182" t="s">
        <v>5</v>
      </c>
      <c r="B5" s="184" t="s">
        <v>28</v>
      </c>
      <c r="C5" s="186" t="s">
        <v>14</v>
      </c>
      <c r="D5" s="186"/>
      <c r="E5" s="186"/>
      <c r="F5" s="186"/>
      <c r="G5" s="186"/>
      <c r="H5" s="186" t="s">
        <v>13</v>
      </c>
      <c r="I5" s="186"/>
      <c r="J5" s="186"/>
      <c r="K5" s="186"/>
      <c r="L5" s="186"/>
      <c r="M5" s="187" t="s">
        <v>0</v>
      </c>
      <c r="N5" s="187"/>
      <c r="O5" s="187"/>
      <c r="P5" s="187"/>
      <c r="Q5" s="187"/>
      <c r="R5" s="187"/>
      <c r="S5" s="187"/>
      <c r="T5" s="174" t="s">
        <v>25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s="14" customFormat="1" ht="21.6" customHeight="1" thickBot="1" x14ac:dyDescent="0.35">
      <c r="A6" s="183"/>
      <c r="B6" s="185"/>
      <c r="C6" s="79" t="s">
        <v>6</v>
      </c>
      <c r="D6" s="79" t="s">
        <v>7</v>
      </c>
      <c r="E6" s="79" t="s">
        <v>8</v>
      </c>
      <c r="F6" s="176" t="s">
        <v>9</v>
      </c>
      <c r="G6" s="176"/>
      <c r="H6" s="79" t="s">
        <v>10</v>
      </c>
      <c r="I6" s="36" t="s">
        <v>11</v>
      </c>
      <c r="J6" s="79" t="s">
        <v>12</v>
      </c>
      <c r="K6" s="79" t="s">
        <v>51</v>
      </c>
      <c r="L6" s="78" t="s">
        <v>26</v>
      </c>
      <c r="M6" s="37" t="s">
        <v>1</v>
      </c>
      <c r="N6" s="37" t="s">
        <v>22</v>
      </c>
      <c r="O6" s="37" t="s">
        <v>21</v>
      </c>
      <c r="P6" s="38" t="s">
        <v>23</v>
      </c>
      <c r="Q6" s="37" t="s">
        <v>3</v>
      </c>
      <c r="R6" s="37" t="s">
        <v>4</v>
      </c>
      <c r="S6" s="37" t="s">
        <v>2</v>
      </c>
      <c r="T6" s="197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s="4" customFormat="1" ht="21.6" customHeight="1" x14ac:dyDescent="0.3">
      <c r="A7" s="100">
        <v>1</v>
      </c>
      <c r="B7" s="109" t="s">
        <v>24</v>
      </c>
      <c r="C7" s="102" t="s">
        <v>15</v>
      </c>
      <c r="D7" s="101"/>
      <c r="E7" s="103" t="s">
        <v>16</v>
      </c>
      <c r="F7" s="104" t="s">
        <v>17</v>
      </c>
      <c r="G7" s="105">
        <v>1011355</v>
      </c>
      <c r="H7" s="106">
        <v>5300000</v>
      </c>
      <c r="I7" s="106">
        <v>200000</v>
      </c>
      <c r="J7" s="106">
        <v>100000</v>
      </c>
      <c r="K7" s="106"/>
      <c r="L7" s="106">
        <f>J7+I7+H7+K7</f>
        <v>5600000</v>
      </c>
      <c r="M7" s="106"/>
      <c r="N7" s="106">
        <f>TRUNC((H7+K7)*3.595%,-1)</f>
        <v>190530</v>
      </c>
      <c r="O7" s="106"/>
      <c r="P7" s="106">
        <f>ROUNDDOWN(N7*13.14%,-1)</f>
        <v>25030</v>
      </c>
      <c r="Q7" s="107">
        <v>406570</v>
      </c>
      <c r="R7" s="106">
        <f t="shared" ref="R7:R19" si="0">ROUNDDOWN(Q7*0.1,-1)</f>
        <v>40650</v>
      </c>
      <c r="S7" s="106">
        <f t="shared" ref="S7:S19" si="1">SUM(M7:R7)</f>
        <v>662780</v>
      </c>
      <c r="T7" s="142">
        <f t="shared" ref="T7:T19" si="2">L7-S7</f>
        <v>4937220</v>
      </c>
    </row>
    <row r="8" spans="1:34" s="4" customFormat="1" ht="21.6" customHeight="1" x14ac:dyDescent="0.3">
      <c r="A8" s="16">
        <f>A7+1</f>
        <v>2</v>
      </c>
      <c r="B8" s="110" t="s">
        <v>24</v>
      </c>
      <c r="C8" s="65" t="s">
        <v>55</v>
      </c>
      <c r="D8" s="17"/>
      <c r="E8" s="17" t="s">
        <v>56</v>
      </c>
      <c r="F8" s="18" t="s">
        <v>57</v>
      </c>
      <c r="G8" s="19">
        <v>1018325</v>
      </c>
      <c r="H8" s="20">
        <v>3000000</v>
      </c>
      <c r="I8" s="20">
        <v>200000</v>
      </c>
      <c r="J8" s="20">
        <v>100000</v>
      </c>
      <c r="K8" s="59"/>
      <c r="L8" s="20">
        <f>J8+I8+H8+K8</f>
        <v>3300000</v>
      </c>
      <c r="M8" s="20"/>
      <c r="N8" s="59">
        <f t="shared" ref="N8:N19" si="3">TRUNC((H8+K8)*3.595%,-1)</f>
        <v>107850</v>
      </c>
      <c r="O8" s="20">
        <f>ROUNDDOWN(H8*0.9%,-1)</f>
        <v>27000</v>
      </c>
      <c r="P8" s="59">
        <f t="shared" ref="P8:P19" si="4">ROUNDDOWN(N8*13.14%,-1)</f>
        <v>14170</v>
      </c>
      <c r="Q8" s="54">
        <v>129440</v>
      </c>
      <c r="R8" s="20">
        <f t="shared" si="0"/>
        <v>12940</v>
      </c>
      <c r="S8" s="20">
        <f t="shared" si="1"/>
        <v>291400</v>
      </c>
      <c r="T8" s="143">
        <f t="shared" si="2"/>
        <v>3008600</v>
      </c>
    </row>
    <row r="9" spans="1:34" s="4" customFormat="1" ht="21.6" customHeight="1" x14ac:dyDescent="0.3">
      <c r="A9" s="16">
        <f t="shared" ref="A9" si="5">A8+1</f>
        <v>3</v>
      </c>
      <c r="B9" s="110" t="s">
        <v>40</v>
      </c>
      <c r="C9" s="65" t="s">
        <v>58</v>
      </c>
      <c r="D9" s="65"/>
      <c r="E9" s="56" t="s">
        <v>59</v>
      </c>
      <c r="F9" s="57" t="s">
        <v>60</v>
      </c>
      <c r="G9" s="58">
        <v>2011325</v>
      </c>
      <c r="H9" s="20">
        <v>2100000</v>
      </c>
      <c r="I9" s="20">
        <v>200000</v>
      </c>
      <c r="J9" s="20">
        <v>100000</v>
      </c>
      <c r="K9" s="59"/>
      <c r="L9" s="20">
        <f t="shared" ref="L9:L19" si="6">J9+I9+H9+K9</f>
        <v>2400000</v>
      </c>
      <c r="M9" s="21">
        <f>TRUNC((H9+K9)*4.75%,-1)</f>
        <v>99750</v>
      </c>
      <c r="N9" s="59">
        <f>TRUNC((H9+K9)*3.595%,-1)</f>
        <v>75490</v>
      </c>
      <c r="O9" s="20">
        <f t="shared" ref="O9:O18" si="7">ROUNDDOWN(H9*0.9%,-1)</f>
        <v>18900</v>
      </c>
      <c r="P9" s="59">
        <f t="shared" si="4"/>
        <v>9910</v>
      </c>
      <c r="Q9" s="54">
        <v>25950</v>
      </c>
      <c r="R9" s="20">
        <f t="shared" si="0"/>
        <v>2590</v>
      </c>
      <c r="S9" s="20">
        <f t="shared" si="1"/>
        <v>232590</v>
      </c>
      <c r="T9" s="143">
        <f t="shared" si="2"/>
        <v>2167410</v>
      </c>
    </row>
    <row r="10" spans="1:34" s="62" customFormat="1" ht="21.6" customHeight="1" x14ac:dyDescent="0.3">
      <c r="A10" s="55">
        <v>4</v>
      </c>
      <c r="B10" s="111" t="s">
        <v>24</v>
      </c>
      <c r="C10" s="80" t="s">
        <v>18</v>
      </c>
      <c r="D10" s="80" t="s">
        <v>104</v>
      </c>
      <c r="E10" s="56" t="s">
        <v>19</v>
      </c>
      <c r="F10" s="57" t="s">
        <v>20</v>
      </c>
      <c r="G10" s="58">
        <v>1261415</v>
      </c>
      <c r="H10" s="59">
        <v>4900000</v>
      </c>
      <c r="I10" s="59">
        <v>200000</v>
      </c>
      <c r="J10" s="59">
        <v>100000</v>
      </c>
      <c r="K10" s="59"/>
      <c r="L10" s="59">
        <f t="shared" si="6"/>
        <v>5200000</v>
      </c>
      <c r="M10" s="60">
        <f>TRUNC((H10+K10)*4.75%,-1)</f>
        <v>232750</v>
      </c>
      <c r="N10" s="59">
        <f t="shared" si="3"/>
        <v>176150</v>
      </c>
      <c r="O10" s="20">
        <f t="shared" si="7"/>
        <v>44100</v>
      </c>
      <c r="P10" s="59">
        <f t="shared" si="4"/>
        <v>23140</v>
      </c>
      <c r="Q10" s="61">
        <v>-627610</v>
      </c>
      <c r="R10" s="59">
        <v>-62730</v>
      </c>
      <c r="S10" s="59">
        <f t="shared" si="1"/>
        <v>-214200</v>
      </c>
      <c r="T10" s="143">
        <f t="shared" si="2"/>
        <v>5414200</v>
      </c>
    </row>
    <row r="11" spans="1:34" s="4" customFormat="1" ht="21.6" customHeight="1" x14ac:dyDescent="0.3">
      <c r="A11" s="55">
        <v>5</v>
      </c>
      <c r="B11" s="110" t="s">
        <v>40</v>
      </c>
      <c r="C11" s="65" t="s">
        <v>61</v>
      </c>
      <c r="D11" s="17"/>
      <c r="E11" s="17" t="s">
        <v>62</v>
      </c>
      <c r="F11" s="18">
        <v>940531</v>
      </c>
      <c r="G11" s="19">
        <v>1009610</v>
      </c>
      <c r="H11" s="20">
        <v>2000000</v>
      </c>
      <c r="I11" s="20">
        <v>200000</v>
      </c>
      <c r="J11" s="20">
        <v>100000</v>
      </c>
      <c r="K11" s="59"/>
      <c r="L11" s="20">
        <f t="shared" si="6"/>
        <v>2300000</v>
      </c>
      <c r="M11" s="60">
        <f t="shared" ref="M11:M13" si="8">TRUNC((H11+K11)*4.75%,-1)</f>
        <v>95000</v>
      </c>
      <c r="N11" s="59">
        <f t="shared" si="3"/>
        <v>71900</v>
      </c>
      <c r="O11" s="20">
        <f t="shared" si="7"/>
        <v>18000</v>
      </c>
      <c r="P11" s="59">
        <f t="shared" si="4"/>
        <v>9440</v>
      </c>
      <c r="Q11" s="54">
        <v>19520</v>
      </c>
      <c r="R11" s="20">
        <f t="shared" si="0"/>
        <v>1950</v>
      </c>
      <c r="S11" s="20">
        <f t="shared" si="1"/>
        <v>215810</v>
      </c>
      <c r="T11" s="143">
        <f t="shared" si="2"/>
        <v>2084190</v>
      </c>
    </row>
    <row r="12" spans="1:34" s="62" customFormat="1" ht="21.6" customHeight="1" x14ac:dyDescent="0.3">
      <c r="A12" s="16">
        <v>6</v>
      </c>
      <c r="B12" s="111" t="s">
        <v>24</v>
      </c>
      <c r="C12" s="80" t="s">
        <v>52</v>
      </c>
      <c r="D12" s="56"/>
      <c r="E12" s="56" t="s">
        <v>39</v>
      </c>
      <c r="F12" s="57" t="s">
        <v>53</v>
      </c>
      <c r="G12" s="58">
        <v>1055911</v>
      </c>
      <c r="H12" s="59">
        <v>6050000</v>
      </c>
      <c r="I12" s="59">
        <v>200000</v>
      </c>
      <c r="J12" s="59">
        <v>100000</v>
      </c>
      <c r="K12" s="59"/>
      <c r="L12" s="59">
        <f t="shared" si="6"/>
        <v>6350000</v>
      </c>
      <c r="M12" s="60">
        <f t="shared" si="8"/>
        <v>287370</v>
      </c>
      <c r="N12" s="59">
        <f t="shared" si="3"/>
        <v>217490</v>
      </c>
      <c r="O12" s="20">
        <f t="shared" si="7"/>
        <v>54450</v>
      </c>
      <c r="P12" s="59">
        <f t="shared" si="4"/>
        <v>28570</v>
      </c>
      <c r="Q12" s="61">
        <v>286900</v>
      </c>
      <c r="R12" s="59">
        <f t="shared" si="0"/>
        <v>28690</v>
      </c>
      <c r="S12" s="59">
        <f t="shared" si="1"/>
        <v>903470</v>
      </c>
      <c r="T12" s="143">
        <f t="shared" si="2"/>
        <v>5446530</v>
      </c>
    </row>
    <row r="13" spans="1:34" s="4" customFormat="1" ht="21.6" customHeight="1" x14ac:dyDescent="0.3">
      <c r="A13" s="55">
        <v>7</v>
      </c>
      <c r="B13" s="110" t="s">
        <v>38</v>
      </c>
      <c r="C13" s="65" t="s">
        <v>50</v>
      </c>
      <c r="D13" s="17"/>
      <c r="E13" s="17" t="s">
        <v>29</v>
      </c>
      <c r="F13" s="18" t="s">
        <v>30</v>
      </c>
      <c r="G13" s="19">
        <v>2810140</v>
      </c>
      <c r="H13" s="20">
        <v>3200000</v>
      </c>
      <c r="I13" s="20">
        <v>200000</v>
      </c>
      <c r="J13" s="20"/>
      <c r="K13" s="59"/>
      <c r="L13" s="20">
        <f t="shared" si="6"/>
        <v>3400000</v>
      </c>
      <c r="M13" s="60">
        <f t="shared" si="8"/>
        <v>152000</v>
      </c>
      <c r="N13" s="59">
        <f t="shared" si="3"/>
        <v>115040</v>
      </c>
      <c r="O13" s="20">
        <f t="shared" si="7"/>
        <v>28800</v>
      </c>
      <c r="P13" s="59">
        <f t="shared" si="4"/>
        <v>15110</v>
      </c>
      <c r="Q13" s="54">
        <v>117770</v>
      </c>
      <c r="R13" s="20">
        <f t="shared" si="0"/>
        <v>11770</v>
      </c>
      <c r="S13" s="20">
        <f t="shared" si="1"/>
        <v>440490</v>
      </c>
      <c r="T13" s="143">
        <f t="shared" si="2"/>
        <v>2959510</v>
      </c>
      <c r="U13" s="98"/>
    </row>
    <row r="14" spans="1:34" s="4" customFormat="1" ht="21.6" customHeight="1" x14ac:dyDescent="0.3">
      <c r="A14" s="16">
        <v>8</v>
      </c>
      <c r="B14" s="110" t="s">
        <v>40</v>
      </c>
      <c r="C14" s="65" t="s">
        <v>47</v>
      </c>
      <c r="D14" s="17"/>
      <c r="E14" s="56" t="s">
        <v>48</v>
      </c>
      <c r="F14" s="57" t="s">
        <v>49</v>
      </c>
      <c r="G14" s="58">
        <v>1222414</v>
      </c>
      <c r="H14" s="59">
        <v>1900000</v>
      </c>
      <c r="I14" s="20">
        <v>200000</v>
      </c>
      <c r="J14" s="20">
        <v>100000</v>
      </c>
      <c r="K14" s="59"/>
      <c r="L14" s="20">
        <f t="shared" si="6"/>
        <v>2200000</v>
      </c>
      <c r="M14" s="21"/>
      <c r="N14" s="59">
        <f t="shared" si="3"/>
        <v>68300</v>
      </c>
      <c r="O14" s="20">
        <f t="shared" si="7"/>
        <v>17100</v>
      </c>
      <c r="P14" s="59">
        <f t="shared" si="4"/>
        <v>8970</v>
      </c>
      <c r="Q14" s="54">
        <v>19520</v>
      </c>
      <c r="R14" s="20">
        <f t="shared" si="0"/>
        <v>1950</v>
      </c>
      <c r="S14" s="20">
        <f t="shared" si="1"/>
        <v>115840</v>
      </c>
      <c r="T14" s="143">
        <f t="shared" si="2"/>
        <v>2084160</v>
      </c>
      <c r="U14" s="98"/>
    </row>
    <row r="15" spans="1:34" s="4" customFormat="1" ht="21.6" customHeight="1" x14ac:dyDescent="0.3">
      <c r="A15" s="16">
        <v>9</v>
      </c>
      <c r="B15" s="111" t="s">
        <v>24</v>
      </c>
      <c r="C15" s="80" t="s">
        <v>65</v>
      </c>
      <c r="D15" s="80"/>
      <c r="E15" s="56" t="s">
        <v>66</v>
      </c>
      <c r="F15" s="57" t="s">
        <v>67</v>
      </c>
      <c r="G15" s="58">
        <v>1067322</v>
      </c>
      <c r="H15" s="59">
        <v>5000000</v>
      </c>
      <c r="I15" s="59">
        <v>200000</v>
      </c>
      <c r="J15" s="59">
        <v>100000</v>
      </c>
      <c r="K15" s="59"/>
      <c r="L15" s="59">
        <f t="shared" si="6"/>
        <v>5300000</v>
      </c>
      <c r="M15" s="60">
        <f>TRUNC((H15+K15)*4.75%,-1)</f>
        <v>237500</v>
      </c>
      <c r="N15" s="59">
        <f t="shared" si="3"/>
        <v>179750</v>
      </c>
      <c r="O15" s="59">
        <f t="shared" si="7"/>
        <v>45000</v>
      </c>
      <c r="P15" s="59">
        <f t="shared" si="4"/>
        <v>23610</v>
      </c>
      <c r="Q15" s="61">
        <v>157900</v>
      </c>
      <c r="R15" s="59">
        <f t="shared" si="0"/>
        <v>15790</v>
      </c>
      <c r="S15" s="59">
        <f t="shared" si="1"/>
        <v>659550</v>
      </c>
      <c r="T15" s="143">
        <f t="shared" si="2"/>
        <v>4640450</v>
      </c>
      <c r="U15" s="98"/>
    </row>
    <row r="16" spans="1:34" s="4" customFormat="1" ht="21.6" customHeight="1" x14ac:dyDescent="0.3">
      <c r="A16" s="55">
        <v>10</v>
      </c>
      <c r="B16" s="116" t="s">
        <v>40</v>
      </c>
      <c r="C16" s="117" t="s">
        <v>72</v>
      </c>
      <c r="D16" s="117" t="s">
        <v>101</v>
      </c>
      <c r="E16" s="118" t="s">
        <v>73</v>
      </c>
      <c r="F16" s="119" t="s">
        <v>74</v>
      </c>
      <c r="G16" s="120">
        <v>1222415</v>
      </c>
      <c r="H16" s="121">
        <v>950000</v>
      </c>
      <c r="I16" s="121">
        <v>100000</v>
      </c>
      <c r="J16" s="121">
        <v>50000</v>
      </c>
      <c r="K16" s="121"/>
      <c r="L16" s="121">
        <f t="shared" si="6"/>
        <v>1100000</v>
      </c>
      <c r="M16" s="60"/>
      <c r="N16" s="59">
        <f t="shared" si="3"/>
        <v>34150</v>
      </c>
      <c r="O16" s="121">
        <f t="shared" si="7"/>
        <v>8550</v>
      </c>
      <c r="P16" s="59">
        <f t="shared" si="4"/>
        <v>4480</v>
      </c>
      <c r="Q16" s="122">
        <v>35600</v>
      </c>
      <c r="R16" s="121">
        <f t="shared" si="0"/>
        <v>3560</v>
      </c>
      <c r="S16" s="59">
        <f t="shared" si="1"/>
        <v>86340</v>
      </c>
      <c r="T16" s="143">
        <f t="shared" si="2"/>
        <v>1013660</v>
      </c>
      <c r="U16" s="98"/>
    </row>
    <row r="17" spans="1:34" s="4" customFormat="1" ht="21.6" customHeight="1" x14ac:dyDescent="0.3">
      <c r="A17" s="16">
        <v>11</v>
      </c>
      <c r="B17" s="116" t="s">
        <v>40</v>
      </c>
      <c r="C17" s="117" t="s">
        <v>75</v>
      </c>
      <c r="D17" s="117"/>
      <c r="E17" s="118" t="s">
        <v>76</v>
      </c>
      <c r="F17" s="119" t="s">
        <v>77</v>
      </c>
      <c r="G17" s="120">
        <v>1046917</v>
      </c>
      <c r="H17" s="121">
        <v>3100000</v>
      </c>
      <c r="I17" s="121">
        <v>200000</v>
      </c>
      <c r="J17" s="121">
        <v>100000</v>
      </c>
      <c r="K17" s="121"/>
      <c r="L17" s="121">
        <f t="shared" si="6"/>
        <v>3400000</v>
      </c>
      <c r="M17" s="60">
        <f>TRUNC((H17+K17)*4.75%,-1)</f>
        <v>147250</v>
      </c>
      <c r="N17" s="59">
        <f t="shared" si="3"/>
        <v>111440</v>
      </c>
      <c r="O17" s="121">
        <f t="shared" si="7"/>
        <v>27900</v>
      </c>
      <c r="P17" s="59">
        <f t="shared" si="4"/>
        <v>14640</v>
      </c>
      <c r="Q17" s="122">
        <v>89220</v>
      </c>
      <c r="R17" s="121">
        <f t="shared" si="0"/>
        <v>8920</v>
      </c>
      <c r="S17" s="59">
        <f t="shared" si="1"/>
        <v>399370</v>
      </c>
      <c r="T17" s="143">
        <f t="shared" si="2"/>
        <v>3000630</v>
      </c>
      <c r="U17" s="98"/>
    </row>
    <row r="18" spans="1:34" s="4" customFormat="1" ht="21.6" customHeight="1" x14ac:dyDescent="0.3">
      <c r="A18" s="16">
        <v>12</v>
      </c>
      <c r="B18" s="116" t="s">
        <v>40</v>
      </c>
      <c r="C18" s="117" t="s">
        <v>75</v>
      </c>
      <c r="D18" s="117"/>
      <c r="E18" s="118" t="s">
        <v>78</v>
      </c>
      <c r="F18" s="123" t="s">
        <v>79</v>
      </c>
      <c r="G18" s="120">
        <v>3079513</v>
      </c>
      <c r="H18" s="121">
        <v>2200000</v>
      </c>
      <c r="I18" s="121">
        <v>200000</v>
      </c>
      <c r="J18" s="121">
        <v>100000</v>
      </c>
      <c r="K18" s="121"/>
      <c r="L18" s="121">
        <f t="shared" si="6"/>
        <v>2500000</v>
      </c>
      <c r="M18" s="60">
        <f t="shared" ref="M18" si="9">TRUNC((H18+K18)*4.75%,-1)</f>
        <v>104500</v>
      </c>
      <c r="N18" s="59">
        <f t="shared" si="3"/>
        <v>79090</v>
      </c>
      <c r="O18" s="121">
        <f t="shared" si="7"/>
        <v>19800</v>
      </c>
      <c r="P18" s="59">
        <f t="shared" si="4"/>
        <v>10390</v>
      </c>
      <c r="Q18" s="122">
        <v>25950</v>
      </c>
      <c r="R18" s="121">
        <f t="shared" si="0"/>
        <v>2590</v>
      </c>
      <c r="S18" s="121">
        <f t="shared" si="1"/>
        <v>242320</v>
      </c>
      <c r="T18" s="144">
        <f t="shared" si="2"/>
        <v>2257680</v>
      </c>
      <c r="U18" s="98"/>
    </row>
    <row r="19" spans="1:34" s="4" customFormat="1" ht="21.6" customHeight="1" thickBot="1" x14ac:dyDescent="0.35">
      <c r="A19" s="16">
        <v>13</v>
      </c>
      <c r="B19" s="112" t="s">
        <v>24</v>
      </c>
      <c r="C19" s="74" t="s">
        <v>96</v>
      </c>
      <c r="D19" s="74"/>
      <c r="E19" s="75" t="s">
        <v>97</v>
      </c>
      <c r="F19" s="76">
        <v>600901</v>
      </c>
      <c r="G19" s="77">
        <v>1053029</v>
      </c>
      <c r="H19" s="71">
        <v>2200000</v>
      </c>
      <c r="I19" s="71">
        <v>200000</v>
      </c>
      <c r="J19" s="71">
        <v>100000</v>
      </c>
      <c r="K19" s="71"/>
      <c r="L19" s="72">
        <f t="shared" si="6"/>
        <v>2500000</v>
      </c>
      <c r="M19" s="170"/>
      <c r="N19" s="71">
        <f t="shared" si="3"/>
        <v>79090</v>
      </c>
      <c r="O19" s="72"/>
      <c r="P19" s="71">
        <f t="shared" si="4"/>
        <v>10390</v>
      </c>
      <c r="Q19" s="73">
        <v>31140</v>
      </c>
      <c r="R19" s="72">
        <f t="shared" si="0"/>
        <v>3110</v>
      </c>
      <c r="S19" s="20">
        <f t="shared" si="1"/>
        <v>123730</v>
      </c>
      <c r="T19" s="169">
        <f t="shared" si="2"/>
        <v>2376270</v>
      </c>
      <c r="U19" s="98"/>
    </row>
    <row r="20" spans="1:34" s="24" customFormat="1" ht="21.6" customHeight="1" thickBot="1" x14ac:dyDescent="0.35">
      <c r="A20" s="177"/>
      <c r="B20" s="178"/>
      <c r="C20" s="178"/>
      <c r="D20" s="178"/>
      <c r="E20" s="178"/>
      <c r="F20" s="178"/>
      <c r="G20" s="178"/>
      <c r="H20" s="35">
        <f t="shared" ref="H20:T20" si="10">SUM(H7:H19)</f>
        <v>41900000</v>
      </c>
      <c r="I20" s="35">
        <f t="shared" si="10"/>
        <v>2500000</v>
      </c>
      <c r="J20" s="35">
        <f t="shared" si="10"/>
        <v>1150000</v>
      </c>
      <c r="K20" s="35">
        <f t="shared" si="10"/>
        <v>0</v>
      </c>
      <c r="L20" s="35">
        <f t="shared" si="10"/>
        <v>45550000</v>
      </c>
      <c r="M20" s="35">
        <f t="shared" si="10"/>
        <v>1356120</v>
      </c>
      <c r="N20" s="35">
        <f t="shared" si="10"/>
        <v>1506270</v>
      </c>
      <c r="O20" s="35">
        <f t="shared" si="10"/>
        <v>309600</v>
      </c>
      <c r="P20" s="35">
        <f t="shared" si="10"/>
        <v>197850</v>
      </c>
      <c r="Q20" s="35">
        <f t="shared" si="10"/>
        <v>717870</v>
      </c>
      <c r="R20" s="35">
        <f t="shared" si="10"/>
        <v>71780</v>
      </c>
      <c r="S20" s="35">
        <f t="shared" si="10"/>
        <v>4159490</v>
      </c>
      <c r="T20" s="35">
        <f t="shared" si="10"/>
        <v>41390510</v>
      </c>
      <c r="U20" s="98"/>
    </row>
    <row r="21" spans="1:34" s="4" customFormat="1" ht="15" customHeight="1" x14ac:dyDescent="0.3">
      <c r="A21" s="10"/>
      <c r="B21" s="10"/>
      <c r="C21" s="2"/>
      <c r="D21" s="2"/>
      <c r="E21" s="10"/>
      <c r="F21" s="2"/>
      <c r="G21" s="2"/>
      <c r="H21" s="2"/>
      <c r="I21" s="25"/>
      <c r="J21" s="2"/>
      <c r="K21" s="2"/>
      <c r="L21" s="2"/>
      <c r="M21" s="2"/>
      <c r="N21" s="2"/>
      <c r="O21" s="2"/>
      <c r="P21" s="2"/>
      <c r="Q21" s="2"/>
      <c r="R21" s="64"/>
      <c r="S21" s="2"/>
      <c r="T21" s="2"/>
      <c r="U21" s="98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s="4" customFormat="1" ht="22.5" customHeight="1" x14ac:dyDescent="0.3">
      <c r="A22" s="10"/>
      <c r="B22" s="12"/>
      <c r="C22" s="66"/>
      <c r="D22" s="66"/>
      <c r="E22" s="67"/>
      <c r="F22" s="66"/>
      <c r="G22" s="2"/>
      <c r="H22" s="2"/>
      <c r="I22" s="68"/>
      <c r="J22" s="69"/>
      <c r="K22" s="2"/>
      <c r="L22" s="26" t="s">
        <v>24</v>
      </c>
      <c r="M22" s="27">
        <f>M7+M8+M10+M15+M13</f>
        <v>622250</v>
      </c>
      <c r="N22" s="27">
        <f>N7+N8+N10+N15+N13</f>
        <v>769320</v>
      </c>
      <c r="O22" s="27">
        <f t="shared" ref="O22:S22" si="11">O7+O8+O10+O15+O13</f>
        <v>144900</v>
      </c>
      <c r="P22" s="27">
        <f t="shared" si="11"/>
        <v>101060</v>
      </c>
      <c r="Q22" s="27">
        <f t="shared" si="11"/>
        <v>184070</v>
      </c>
      <c r="R22" s="27">
        <f t="shared" si="11"/>
        <v>18420</v>
      </c>
      <c r="S22" s="27">
        <f t="shared" si="11"/>
        <v>1840020</v>
      </c>
      <c r="T22" s="9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s="4" customFormat="1" ht="22.5" customHeight="1" x14ac:dyDescent="0.3">
      <c r="A23" s="10"/>
      <c r="B23" s="12"/>
      <c r="C23" s="2"/>
      <c r="D23" s="2" t="s">
        <v>42</v>
      </c>
      <c r="E23" s="28"/>
      <c r="F23" s="2"/>
      <c r="G23" s="2"/>
      <c r="H23" s="2"/>
      <c r="I23" s="25"/>
      <c r="J23" s="2"/>
      <c r="K23" s="2"/>
      <c r="L23" s="29" t="s">
        <v>40</v>
      </c>
      <c r="M23" s="30">
        <f>M9+M11+M14+M16+M17+M18+M19</f>
        <v>446500</v>
      </c>
      <c r="N23" s="30">
        <f>N9+N11+N14+N16+N17+N18+N19</f>
        <v>519460</v>
      </c>
      <c r="O23" s="30">
        <f t="shared" ref="O23:S23" si="12">O9+O11+O14+O16+O17+O18+O19</f>
        <v>110250</v>
      </c>
      <c r="P23" s="30">
        <f t="shared" si="12"/>
        <v>68220</v>
      </c>
      <c r="Q23" s="30">
        <f t="shared" si="12"/>
        <v>246900</v>
      </c>
      <c r="R23" s="30">
        <f t="shared" si="12"/>
        <v>24670</v>
      </c>
      <c r="S23" s="30">
        <f t="shared" si="12"/>
        <v>1416000</v>
      </c>
      <c r="T23" s="30"/>
      <c r="U23" s="2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s="4" customFormat="1" ht="22.5" customHeight="1" x14ac:dyDescent="0.3">
      <c r="A24" s="10"/>
      <c r="B24" s="12"/>
      <c r="C24" s="2"/>
      <c r="D24" s="2" t="s">
        <v>106</v>
      </c>
      <c r="E24" s="10"/>
      <c r="F24" s="2"/>
      <c r="G24" s="2"/>
      <c r="H24" s="2"/>
      <c r="I24" s="45" t="s">
        <v>46</v>
      </c>
      <c r="J24" s="46" t="s">
        <v>41</v>
      </c>
      <c r="K24" s="50"/>
      <c r="L24" s="29" t="s">
        <v>71</v>
      </c>
      <c r="M24" s="30">
        <f t="shared" ref="M24:S24" si="13">M12</f>
        <v>287370</v>
      </c>
      <c r="N24" s="30">
        <f t="shared" si="13"/>
        <v>217490</v>
      </c>
      <c r="O24" s="30">
        <f t="shared" si="13"/>
        <v>54450</v>
      </c>
      <c r="P24" s="30">
        <f t="shared" si="13"/>
        <v>28570</v>
      </c>
      <c r="Q24" s="30">
        <f t="shared" si="13"/>
        <v>286900</v>
      </c>
      <c r="R24" s="30">
        <f t="shared" si="13"/>
        <v>28690</v>
      </c>
      <c r="S24" s="30">
        <f t="shared" si="13"/>
        <v>903470</v>
      </c>
      <c r="T24" s="64"/>
      <c r="U24" s="2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s="4" customFormat="1" ht="22.5" customHeight="1" thickBot="1" x14ac:dyDescent="0.35">
      <c r="A25" s="10"/>
      <c r="B25" s="12"/>
      <c r="C25" s="2"/>
      <c r="D25" s="2"/>
      <c r="E25" s="10"/>
      <c r="F25" s="42" t="s">
        <v>28</v>
      </c>
      <c r="G25" s="42" t="s">
        <v>44</v>
      </c>
      <c r="H25" s="43" t="s">
        <v>41</v>
      </c>
      <c r="I25" s="44" t="s">
        <v>45</v>
      </c>
      <c r="J25" s="44" t="s">
        <v>45</v>
      </c>
      <c r="K25" s="51"/>
      <c r="L25" s="40" t="s">
        <v>68</v>
      </c>
      <c r="M25" s="41"/>
      <c r="N25" s="41"/>
      <c r="O25" s="41"/>
      <c r="P25" s="41"/>
      <c r="Q25" s="41"/>
      <c r="R25" s="41"/>
      <c r="S25" s="41"/>
      <c r="T25" s="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s="4" customFormat="1" ht="22.5" customHeight="1" thickBot="1" x14ac:dyDescent="0.35">
      <c r="A26" s="10"/>
      <c r="B26" s="12"/>
      <c r="C26" s="2"/>
      <c r="D26" s="2"/>
      <c r="E26" s="10"/>
      <c r="F26" s="39" t="s">
        <v>24</v>
      </c>
      <c r="G26" s="33">
        <f>N26+P26</f>
        <v>1704120</v>
      </c>
      <c r="H26" s="33">
        <f>M26</f>
        <v>1356120</v>
      </c>
      <c r="I26" s="34"/>
      <c r="J26" s="34"/>
      <c r="K26" s="52"/>
      <c r="L26" s="47" t="s">
        <v>43</v>
      </c>
      <c r="M26" s="48">
        <f>SUM(M22:M25)</f>
        <v>1356120</v>
      </c>
      <c r="N26" s="48">
        <f t="shared" ref="N26:S26" si="14">SUM(N22:N25)</f>
        <v>1506270</v>
      </c>
      <c r="O26" s="48">
        <f t="shared" si="14"/>
        <v>309600</v>
      </c>
      <c r="P26" s="48">
        <f t="shared" si="14"/>
        <v>197850</v>
      </c>
      <c r="Q26" s="48">
        <f t="shared" si="14"/>
        <v>717870</v>
      </c>
      <c r="R26" s="48">
        <f t="shared" si="14"/>
        <v>71780</v>
      </c>
      <c r="S26" s="49">
        <f t="shared" si="14"/>
        <v>4159490</v>
      </c>
      <c r="T26" s="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s="4" customFormat="1" ht="22.5" customHeight="1" x14ac:dyDescent="0.3">
      <c r="A27" s="10"/>
      <c r="B27" s="81"/>
      <c r="C27" s="82"/>
      <c r="D27" s="82"/>
      <c r="E27" s="83"/>
      <c r="F27" s="84"/>
      <c r="G27" s="85"/>
      <c r="H27" s="85"/>
      <c r="I27" s="86"/>
      <c r="J27" s="86"/>
      <c r="K27" s="86"/>
      <c r="L27" s="87"/>
      <c r="M27" s="88"/>
      <c r="N27" s="88"/>
      <c r="O27" s="88"/>
      <c r="P27" s="88"/>
      <c r="Q27" s="88"/>
      <c r="R27" s="88"/>
      <c r="S27" s="88"/>
      <c r="T27" s="8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s="4" customFormat="1" ht="21.6" customHeight="1" x14ac:dyDescent="0.3">
      <c r="A28" s="10"/>
      <c r="B28" s="83"/>
      <c r="C28" s="82"/>
      <c r="D28" s="82"/>
      <c r="E28" s="83"/>
      <c r="F28" s="82"/>
      <c r="G28" s="89"/>
      <c r="H28" s="84"/>
      <c r="I28" s="195"/>
      <c r="J28" s="195"/>
      <c r="K28" s="89"/>
      <c r="L28" s="82"/>
      <c r="M28" s="82"/>
      <c r="N28" s="91"/>
      <c r="O28" s="82"/>
      <c r="P28" s="82"/>
      <c r="Q28" s="82"/>
      <c r="R28" s="82"/>
      <c r="S28" s="82"/>
      <c r="T28" s="8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21.6" customHeight="1" x14ac:dyDescent="0.3">
      <c r="H29" s="10"/>
      <c r="I29" s="196"/>
      <c r="J29" s="196"/>
    </row>
    <row r="30" spans="1:34" ht="21.6" customHeight="1" x14ac:dyDescent="0.3">
      <c r="I30" s="68"/>
      <c r="K30" s="64"/>
    </row>
  </sheetData>
  <mergeCells count="13">
    <mergeCell ref="A1:L1"/>
    <mergeCell ref="A2:L2"/>
    <mergeCell ref="H4:M4"/>
    <mergeCell ref="A5:A6"/>
    <mergeCell ref="B5:B6"/>
    <mergeCell ref="C5:G5"/>
    <mergeCell ref="H5:L5"/>
    <mergeCell ref="M5:S5"/>
    <mergeCell ref="T5:T6"/>
    <mergeCell ref="F6:G6"/>
    <mergeCell ref="A20:G20"/>
    <mergeCell ref="I28:J28"/>
    <mergeCell ref="I29:J29"/>
  </mergeCells>
  <phoneticPr fontId="2" type="noConversion"/>
  <printOptions horizontalCentered="1"/>
  <pageMargins left="0.11811023622047245" right="0" top="0.74803149606299213" bottom="0.55118110236220474" header="0.31496062992125984" footer="0.31496062992125984"/>
  <pageSetup paperSize="9" scale="73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B492-643D-4431-B0D2-72458574FABA}">
  <sheetPr>
    <tabColor rgb="FFFFFF00"/>
    <pageSetUpPr fitToPage="1"/>
  </sheetPr>
  <dimension ref="A1:AH29"/>
  <sheetViews>
    <sheetView tabSelected="1" view="pageBreakPreview" zoomScaleNormal="100" zoomScaleSheetLayoutView="100" workbookViewId="0">
      <selection activeCell="H7" sqref="H7"/>
    </sheetView>
  </sheetViews>
  <sheetFormatPr defaultRowHeight="21.6" customHeight="1" x14ac:dyDescent="0.3"/>
  <cols>
    <col min="1" max="1" width="3" style="10" customWidth="1"/>
    <col min="2" max="2" width="8.5" style="10" bestFit="1" customWidth="1"/>
    <col min="3" max="3" width="8.75" style="2" customWidth="1"/>
    <col min="4" max="4" width="9" style="2" customWidth="1"/>
    <col min="5" max="5" width="7.5" style="10" customWidth="1"/>
    <col min="6" max="6" width="7.75" style="2" customWidth="1"/>
    <col min="7" max="8" width="11.625" style="2" customWidth="1"/>
    <col min="9" max="9" width="10.25" style="25" customWidth="1"/>
    <col min="10" max="11" width="9.5" style="2" customWidth="1"/>
    <col min="12" max="12" width="11" style="2" customWidth="1"/>
    <col min="13" max="13" width="9.625" style="2" customWidth="1"/>
    <col min="14" max="14" width="10.375" style="2" customWidth="1"/>
    <col min="15" max="18" width="9.625" style="2" customWidth="1"/>
    <col min="19" max="19" width="9.25" style="2" customWidth="1"/>
    <col min="20" max="20" width="11.75" style="2" customWidth="1"/>
    <col min="21" max="21" width="12" style="4" bestFit="1" customWidth="1"/>
    <col min="22" max="22" width="9" style="4"/>
    <col min="23" max="34" width="9" style="5"/>
    <col min="35" max="16384" width="9" style="2"/>
  </cols>
  <sheetData>
    <row r="1" spans="1:34" ht="30.75" customHeight="1" x14ac:dyDescent="0.3">
      <c r="A1" s="179" t="s">
        <v>107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</row>
    <row r="2" spans="1:34" ht="21.6" customHeight="1" x14ac:dyDescent="0.3">
      <c r="A2" s="180" t="s">
        <v>108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</row>
    <row r="3" spans="1:34" ht="9.75" customHeight="1" x14ac:dyDescent="0.3">
      <c r="A3" s="6"/>
      <c r="B3" s="7"/>
      <c r="C3" s="7"/>
      <c r="D3" s="7"/>
      <c r="E3" s="7"/>
      <c r="F3" s="7"/>
      <c r="G3" s="7"/>
      <c r="H3" s="7"/>
      <c r="I3" s="8"/>
      <c r="J3" s="7"/>
      <c r="K3" s="7"/>
    </row>
    <row r="4" spans="1:34" ht="21.6" customHeight="1" thickBot="1" x14ac:dyDescent="0.35">
      <c r="A4" s="9" t="s">
        <v>27</v>
      </c>
      <c r="H4" s="181"/>
      <c r="I4" s="181"/>
      <c r="J4" s="181"/>
      <c r="K4" s="181"/>
      <c r="L4" s="181"/>
      <c r="M4" s="181"/>
    </row>
    <row r="5" spans="1:34" s="12" customFormat="1" ht="21.6" customHeight="1" x14ac:dyDescent="0.3">
      <c r="A5" s="182" t="s">
        <v>5</v>
      </c>
      <c r="B5" s="184" t="s">
        <v>28</v>
      </c>
      <c r="C5" s="186" t="s">
        <v>14</v>
      </c>
      <c r="D5" s="186"/>
      <c r="E5" s="186"/>
      <c r="F5" s="186"/>
      <c r="G5" s="186"/>
      <c r="H5" s="186" t="s">
        <v>13</v>
      </c>
      <c r="I5" s="186"/>
      <c r="J5" s="186"/>
      <c r="K5" s="186"/>
      <c r="L5" s="186"/>
      <c r="M5" s="187" t="s">
        <v>0</v>
      </c>
      <c r="N5" s="187"/>
      <c r="O5" s="187"/>
      <c r="P5" s="187"/>
      <c r="Q5" s="187"/>
      <c r="R5" s="187"/>
      <c r="S5" s="187"/>
      <c r="T5" s="174" t="s">
        <v>25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s="14" customFormat="1" ht="21.6" customHeight="1" thickBot="1" x14ac:dyDescent="0.35">
      <c r="A6" s="183"/>
      <c r="B6" s="185"/>
      <c r="C6" s="79" t="s">
        <v>6</v>
      </c>
      <c r="D6" s="79" t="s">
        <v>7</v>
      </c>
      <c r="E6" s="79" t="s">
        <v>8</v>
      </c>
      <c r="F6" s="176" t="s">
        <v>9</v>
      </c>
      <c r="G6" s="176"/>
      <c r="H6" s="79" t="s">
        <v>10</v>
      </c>
      <c r="I6" s="36" t="s">
        <v>11</v>
      </c>
      <c r="J6" s="79" t="s">
        <v>12</v>
      </c>
      <c r="K6" s="79" t="s">
        <v>51</v>
      </c>
      <c r="L6" s="78" t="s">
        <v>26</v>
      </c>
      <c r="M6" s="37" t="s">
        <v>1</v>
      </c>
      <c r="N6" s="37" t="s">
        <v>22</v>
      </c>
      <c r="O6" s="37" t="s">
        <v>21</v>
      </c>
      <c r="P6" s="38" t="s">
        <v>23</v>
      </c>
      <c r="Q6" s="37" t="s">
        <v>3</v>
      </c>
      <c r="R6" s="37" t="s">
        <v>4</v>
      </c>
      <c r="S6" s="37" t="s">
        <v>2</v>
      </c>
      <c r="T6" s="197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s="4" customFormat="1" ht="21.6" customHeight="1" x14ac:dyDescent="0.3">
      <c r="A7" s="100">
        <v>1</v>
      </c>
      <c r="B7" s="109" t="s">
        <v>24</v>
      </c>
      <c r="C7" s="102" t="s">
        <v>15</v>
      </c>
      <c r="D7" s="101"/>
      <c r="E7" s="103" t="s">
        <v>111</v>
      </c>
      <c r="F7" s="104" t="s">
        <v>17</v>
      </c>
      <c r="G7" s="105" t="s">
        <v>123</v>
      </c>
      <c r="H7" s="106">
        <v>5300000</v>
      </c>
      <c r="I7" s="106">
        <v>200000</v>
      </c>
      <c r="J7" s="106">
        <v>100000</v>
      </c>
      <c r="K7" s="106"/>
      <c r="L7" s="106">
        <f>J7+I7+H7+K7</f>
        <v>5600000</v>
      </c>
      <c r="M7" s="106"/>
      <c r="N7" s="106">
        <f>TRUNC((H7+K7)*3.595%,-1)</f>
        <v>190530</v>
      </c>
      <c r="O7" s="106"/>
      <c r="P7" s="106">
        <f>ROUNDDOWN(N7*13.14%,-1)</f>
        <v>25030</v>
      </c>
      <c r="Q7" s="107">
        <v>406570</v>
      </c>
      <c r="R7" s="106">
        <f t="shared" ref="R7:R18" si="0">ROUNDDOWN(Q7*0.1,-1)</f>
        <v>40650</v>
      </c>
      <c r="S7" s="106">
        <f t="shared" ref="S7:S18" si="1">SUM(M7:R7)</f>
        <v>662780</v>
      </c>
      <c r="T7" s="142">
        <f t="shared" ref="T7:T18" si="2">L7-S7</f>
        <v>4937220</v>
      </c>
    </row>
    <row r="8" spans="1:34" s="4" customFormat="1" ht="21.6" customHeight="1" x14ac:dyDescent="0.3">
      <c r="A8" s="16">
        <f>A7+1</f>
        <v>2</v>
      </c>
      <c r="B8" s="110" t="s">
        <v>24</v>
      </c>
      <c r="C8" s="65" t="s">
        <v>55</v>
      </c>
      <c r="D8" s="17"/>
      <c r="E8" s="17" t="s">
        <v>112</v>
      </c>
      <c r="F8" s="18" t="s">
        <v>57</v>
      </c>
      <c r="G8" s="19" t="s">
        <v>123</v>
      </c>
      <c r="H8" s="20">
        <v>3000000</v>
      </c>
      <c r="I8" s="20">
        <v>200000</v>
      </c>
      <c r="J8" s="20">
        <v>100000</v>
      </c>
      <c r="K8" s="59"/>
      <c r="L8" s="20">
        <f>J8+I8+H8+K8</f>
        <v>3300000</v>
      </c>
      <c r="M8" s="20"/>
      <c r="N8" s="59">
        <f t="shared" ref="N8:N18" si="3">TRUNC((H8+K8)*3.595%,-1)</f>
        <v>107850</v>
      </c>
      <c r="O8" s="20">
        <f>ROUNDDOWN(H8*0.9%,-1)</f>
        <v>27000</v>
      </c>
      <c r="P8" s="59">
        <f t="shared" ref="P8:P18" si="4">ROUNDDOWN(N8*13.14%,-1)</f>
        <v>14170</v>
      </c>
      <c r="Q8" s="54">
        <v>129440</v>
      </c>
      <c r="R8" s="20">
        <f t="shared" si="0"/>
        <v>12940</v>
      </c>
      <c r="S8" s="20">
        <f t="shared" si="1"/>
        <v>291400</v>
      </c>
      <c r="T8" s="143">
        <f t="shared" si="2"/>
        <v>3008600</v>
      </c>
    </row>
    <row r="9" spans="1:34" s="4" customFormat="1" ht="21.6" customHeight="1" x14ac:dyDescent="0.3">
      <c r="A9" s="16">
        <f t="shared" ref="A9" si="5">A8+1</f>
        <v>3</v>
      </c>
      <c r="B9" s="110" t="s">
        <v>40</v>
      </c>
      <c r="C9" s="65" t="s">
        <v>58</v>
      </c>
      <c r="D9" s="65"/>
      <c r="E9" s="56" t="s">
        <v>113</v>
      </c>
      <c r="F9" s="57" t="s">
        <v>60</v>
      </c>
      <c r="G9" s="58" t="s">
        <v>124</v>
      </c>
      <c r="H9" s="20">
        <v>2100000</v>
      </c>
      <c r="I9" s="20">
        <v>200000</v>
      </c>
      <c r="J9" s="20">
        <v>100000</v>
      </c>
      <c r="K9" s="59"/>
      <c r="L9" s="20">
        <f t="shared" ref="L9:L18" si="6">J9+I9+H9+K9</f>
        <v>2400000</v>
      </c>
      <c r="M9" s="21">
        <f>TRUNC((H9+K9)*4.75%,-1)</f>
        <v>99750</v>
      </c>
      <c r="N9" s="59">
        <f>TRUNC((H9+K9)*3.595%,-1)</f>
        <v>75490</v>
      </c>
      <c r="O9" s="20">
        <f t="shared" ref="O9:O17" si="7">ROUNDDOWN(H9*0.9%,-1)</f>
        <v>18900</v>
      </c>
      <c r="P9" s="59">
        <f t="shared" si="4"/>
        <v>9910</v>
      </c>
      <c r="Q9" s="54">
        <v>25950</v>
      </c>
      <c r="R9" s="20">
        <f t="shared" si="0"/>
        <v>2590</v>
      </c>
      <c r="S9" s="20">
        <f t="shared" si="1"/>
        <v>232590</v>
      </c>
      <c r="T9" s="143">
        <f t="shared" si="2"/>
        <v>2167410</v>
      </c>
    </row>
    <row r="10" spans="1:34" s="4" customFormat="1" ht="21.6" customHeight="1" x14ac:dyDescent="0.3">
      <c r="A10" s="55">
        <v>4</v>
      </c>
      <c r="B10" s="110" t="s">
        <v>40</v>
      </c>
      <c r="C10" s="65" t="s">
        <v>61</v>
      </c>
      <c r="D10" s="17"/>
      <c r="E10" s="17" t="s">
        <v>114</v>
      </c>
      <c r="F10" s="18">
        <v>940531</v>
      </c>
      <c r="G10" s="19" t="s">
        <v>123</v>
      </c>
      <c r="H10" s="20">
        <v>2000000</v>
      </c>
      <c r="I10" s="20">
        <v>200000</v>
      </c>
      <c r="J10" s="20">
        <v>100000</v>
      </c>
      <c r="K10" s="59"/>
      <c r="L10" s="20">
        <f t="shared" si="6"/>
        <v>2300000</v>
      </c>
      <c r="M10" s="60">
        <f t="shared" ref="M10:M12" si="8">TRUNC((H10+K10)*4.75%,-1)</f>
        <v>95000</v>
      </c>
      <c r="N10" s="59">
        <f t="shared" si="3"/>
        <v>71900</v>
      </c>
      <c r="O10" s="20">
        <f t="shared" si="7"/>
        <v>18000</v>
      </c>
      <c r="P10" s="59">
        <f t="shared" si="4"/>
        <v>9440</v>
      </c>
      <c r="Q10" s="54">
        <v>19520</v>
      </c>
      <c r="R10" s="20">
        <f t="shared" si="0"/>
        <v>1950</v>
      </c>
      <c r="S10" s="20">
        <f t="shared" si="1"/>
        <v>215810</v>
      </c>
      <c r="T10" s="143">
        <f t="shared" si="2"/>
        <v>2084190</v>
      </c>
    </row>
    <row r="11" spans="1:34" s="62" customFormat="1" ht="21.6" customHeight="1" x14ac:dyDescent="0.3">
      <c r="A11" s="16">
        <v>5</v>
      </c>
      <c r="B11" s="111" t="s">
        <v>71</v>
      </c>
      <c r="C11" s="80" t="s">
        <v>52</v>
      </c>
      <c r="D11" s="56"/>
      <c r="E11" s="56" t="s">
        <v>115</v>
      </c>
      <c r="F11" s="57" t="s">
        <v>53</v>
      </c>
      <c r="G11" s="58" t="s">
        <v>123</v>
      </c>
      <c r="H11" s="59">
        <v>6050000</v>
      </c>
      <c r="I11" s="59">
        <v>200000</v>
      </c>
      <c r="J11" s="59">
        <v>100000</v>
      </c>
      <c r="K11" s="59"/>
      <c r="L11" s="59">
        <f t="shared" si="6"/>
        <v>6350000</v>
      </c>
      <c r="M11" s="60">
        <f t="shared" si="8"/>
        <v>287370</v>
      </c>
      <c r="N11" s="59">
        <f t="shared" si="3"/>
        <v>217490</v>
      </c>
      <c r="O11" s="20">
        <f t="shared" si="7"/>
        <v>54450</v>
      </c>
      <c r="P11" s="59">
        <f t="shared" si="4"/>
        <v>28570</v>
      </c>
      <c r="Q11" s="61">
        <v>286900</v>
      </c>
      <c r="R11" s="59">
        <f t="shared" si="0"/>
        <v>28690</v>
      </c>
      <c r="S11" s="59">
        <f t="shared" si="1"/>
        <v>903470</v>
      </c>
      <c r="T11" s="143">
        <f t="shared" si="2"/>
        <v>5446530</v>
      </c>
    </row>
    <row r="12" spans="1:34" s="4" customFormat="1" ht="21.6" customHeight="1" x14ac:dyDescent="0.3">
      <c r="A12" s="55">
        <v>6</v>
      </c>
      <c r="B12" s="110" t="s">
        <v>24</v>
      </c>
      <c r="C12" s="65" t="s">
        <v>50</v>
      </c>
      <c r="D12" s="17"/>
      <c r="E12" s="17" t="s">
        <v>116</v>
      </c>
      <c r="F12" s="18" t="s">
        <v>30</v>
      </c>
      <c r="G12" s="19" t="s">
        <v>124</v>
      </c>
      <c r="H12" s="20">
        <v>3200000</v>
      </c>
      <c r="I12" s="20">
        <v>200000</v>
      </c>
      <c r="J12" s="20"/>
      <c r="K12" s="59"/>
      <c r="L12" s="20">
        <f t="shared" si="6"/>
        <v>3400000</v>
      </c>
      <c r="M12" s="60">
        <f t="shared" si="8"/>
        <v>152000</v>
      </c>
      <c r="N12" s="59">
        <f t="shared" si="3"/>
        <v>115040</v>
      </c>
      <c r="O12" s="20">
        <f t="shared" si="7"/>
        <v>28800</v>
      </c>
      <c r="P12" s="59">
        <f t="shared" si="4"/>
        <v>15110</v>
      </c>
      <c r="Q12" s="54">
        <v>117770</v>
      </c>
      <c r="R12" s="20">
        <f t="shared" si="0"/>
        <v>11770</v>
      </c>
      <c r="S12" s="20">
        <f t="shared" si="1"/>
        <v>440490</v>
      </c>
      <c r="T12" s="143">
        <f t="shared" si="2"/>
        <v>2959510</v>
      </c>
      <c r="U12" s="98"/>
    </row>
    <row r="13" spans="1:34" s="4" customFormat="1" ht="21.6" customHeight="1" x14ac:dyDescent="0.3">
      <c r="A13" s="16">
        <v>7</v>
      </c>
      <c r="B13" s="110" t="s">
        <v>40</v>
      </c>
      <c r="C13" s="65" t="s">
        <v>47</v>
      </c>
      <c r="D13" s="17"/>
      <c r="E13" s="56" t="s">
        <v>117</v>
      </c>
      <c r="F13" s="57" t="s">
        <v>49</v>
      </c>
      <c r="G13" s="58" t="s">
        <v>123</v>
      </c>
      <c r="H13" s="59">
        <v>1900000</v>
      </c>
      <c r="I13" s="20">
        <v>200000</v>
      </c>
      <c r="J13" s="20">
        <v>100000</v>
      </c>
      <c r="K13" s="59"/>
      <c r="L13" s="20">
        <f t="shared" si="6"/>
        <v>2200000</v>
      </c>
      <c r="M13" s="21"/>
      <c r="N13" s="59">
        <f t="shared" si="3"/>
        <v>68300</v>
      </c>
      <c r="O13" s="20">
        <f t="shared" si="7"/>
        <v>17100</v>
      </c>
      <c r="P13" s="59">
        <f t="shared" si="4"/>
        <v>8970</v>
      </c>
      <c r="Q13" s="54">
        <v>19520</v>
      </c>
      <c r="R13" s="20">
        <f t="shared" si="0"/>
        <v>1950</v>
      </c>
      <c r="S13" s="20">
        <f t="shared" si="1"/>
        <v>115840</v>
      </c>
      <c r="T13" s="143">
        <f t="shared" si="2"/>
        <v>2084160</v>
      </c>
      <c r="U13" s="98"/>
    </row>
    <row r="14" spans="1:34" s="4" customFormat="1" ht="21.6" customHeight="1" x14ac:dyDescent="0.3">
      <c r="A14" s="16">
        <v>8</v>
      </c>
      <c r="B14" s="111" t="s">
        <v>24</v>
      </c>
      <c r="C14" s="80" t="s">
        <v>65</v>
      </c>
      <c r="D14" s="80"/>
      <c r="E14" s="56" t="s">
        <v>118</v>
      </c>
      <c r="F14" s="57" t="s">
        <v>67</v>
      </c>
      <c r="G14" s="58" t="s">
        <v>123</v>
      </c>
      <c r="H14" s="59">
        <v>5000000</v>
      </c>
      <c r="I14" s="59">
        <v>200000</v>
      </c>
      <c r="J14" s="59">
        <v>100000</v>
      </c>
      <c r="K14" s="59"/>
      <c r="L14" s="59">
        <f t="shared" si="6"/>
        <v>5300000</v>
      </c>
      <c r="M14" s="60">
        <f>TRUNC((H14+K14)*4.75%,-1)</f>
        <v>237500</v>
      </c>
      <c r="N14" s="59">
        <f t="shared" si="3"/>
        <v>179750</v>
      </c>
      <c r="O14" s="59">
        <f t="shared" si="7"/>
        <v>45000</v>
      </c>
      <c r="P14" s="59">
        <f t="shared" si="4"/>
        <v>23610</v>
      </c>
      <c r="Q14" s="61">
        <v>157900</v>
      </c>
      <c r="R14" s="59">
        <f t="shared" si="0"/>
        <v>15790</v>
      </c>
      <c r="S14" s="59">
        <f t="shared" si="1"/>
        <v>659550</v>
      </c>
      <c r="T14" s="143">
        <f t="shared" si="2"/>
        <v>4640450</v>
      </c>
      <c r="U14" s="98"/>
    </row>
    <row r="15" spans="1:34" s="4" customFormat="1" ht="21.6" customHeight="1" x14ac:dyDescent="0.3">
      <c r="A15" s="16">
        <v>9</v>
      </c>
      <c r="B15" s="116" t="s">
        <v>40</v>
      </c>
      <c r="C15" s="117" t="s">
        <v>75</v>
      </c>
      <c r="D15" s="117"/>
      <c r="E15" s="118" t="s">
        <v>119</v>
      </c>
      <c r="F15" s="119" t="s">
        <v>77</v>
      </c>
      <c r="G15" s="120" t="s">
        <v>123</v>
      </c>
      <c r="H15" s="121">
        <v>3100000</v>
      </c>
      <c r="I15" s="121">
        <v>200000</v>
      </c>
      <c r="J15" s="121">
        <v>100000</v>
      </c>
      <c r="K15" s="121"/>
      <c r="L15" s="121">
        <f t="shared" si="6"/>
        <v>3400000</v>
      </c>
      <c r="M15" s="60">
        <f>TRUNC((H15+K15)*4.75%,-1)</f>
        <v>147250</v>
      </c>
      <c r="N15" s="59">
        <f t="shared" si="3"/>
        <v>111440</v>
      </c>
      <c r="O15" s="121">
        <f t="shared" si="7"/>
        <v>27900</v>
      </c>
      <c r="P15" s="59">
        <f t="shared" si="4"/>
        <v>14640</v>
      </c>
      <c r="Q15" s="122">
        <v>89220</v>
      </c>
      <c r="R15" s="121">
        <f t="shared" si="0"/>
        <v>8920</v>
      </c>
      <c r="S15" s="59">
        <f t="shared" si="1"/>
        <v>399370</v>
      </c>
      <c r="T15" s="143">
        <f t="shared" si="2"/>
        <v>3000630</v>
      </c>
      <c r="U15" s="98"/>
    </row>
    <row r="16" spans="1:34" s="4" customFormat="1" ht="21.6" customHeight="1" x14ac:dyDescent="0.3">
      <c r="A16" s="16">
        <v>10</v>
      </c>
      <c r="B16" s="116" t="s">
        <v>40</v>
      </c>
      <c r="C16" s="117" t="s">
        <v>75</v>
      </c>
      <c r="D16" s="117"/>
      <c r="E16" s="118" t="s">
        <v>120</v>
      </c>
      <c r="F16" s="123" t="s">
        <v>79</v>
      </c>
      <c r="G16" s="120" t="s">
        <v>123</v>
      </c>
      <c r="H16" s="121">
        <v>2200000</v>
      </c>
      <c r="I16" s="121">
        <v>200000</v>
      </c>
      <c r="J16" s="121">
        <v>100000</v>
      </c>
      <c r="K16" s="121"/>
      <c r="L16" s="121">
        <f t="shared" si="6"/>
        <v>2500000</v>
      </c>
      <c r="M16" s="60">
        <f t="shared" ref="M16:M17" si="9">TRUNC((H16+K16)*4.75%,-1)</f>
        <v>104500</v>
      </c>
      <c r="N16" s="59">
        <f t="shared" si="3"/>
        <v>79090</v>
      </c>
      <c r="O16" s="121">
        <f t="shared" si="7"/>
        <v>19800</v>
      </c>
      <c r="P16" s="59">
        <f t="shared" si="4"/>
        <v>10390</v>
      </c>
      <c r="Q16" s="122">
        <v>25950</v>
      </c>
      <c r="R16" s="121">
        <f t="shared" si="0"/>
        <v>2590</v>
      </c>
      <c r="S16" s="121">
        <f t="shared" si="1"/>
        <v>242320</v>
      </c>
      <c r="T16" s="144">
        <f t="shared" si="2"/>
        <v>2257680</v>
      </c>
      <c r="U16" s="98"/>
    </row>
    <row r="17" spans="1:34" s="4" customFormat="1" ht="21.6" customHeight="1" x14ac:dyDescent="0.3">
      <c r="A17" s="16">
        <v>11</v>
      </c>
      <c r="B17" s="116" t="s">
        <v>24</v>
      </c>
      <c r="C17" s="117" t="s">
        <v>109</v>
      </c>
      <c r="D17" s="117"/>
      <c r="E17" s="118" t="s">
        <v>121</v>
      </c>
      <c r="F17" s="123" t="s">
        <v>110</v>
      </c>
      <c r="G17" s="120" t="s">
        <v>124</v>
      </c>
      <c r="H17" s="121">
        <v>1000000</v>
      </c>
      <c r="I17" s="121">
        <v>67000</v>
      </c>
      <c r="J17" s="121">
        <v>33000</v>
      </c>
      <c r="K17" s="121"/>
      <c r="L17" s="121">
        <f t="shared" si="6"/>
        <v>1100000</v>
      </c>
      <c r="M17" s="171">
        <f t="shared" si="9"/>
        <v>47500</v>
      </c>
      <c r="N17" s="121">
        <f t="shared" si="3"/>
        <v>35950</v>
      </c>
      <c r="O17" s="121">
        <f t="shared" si="7"/>
        <v>9000</v>
      </c>
      <c r="P17" s="121">
        <f t="shared" si="4"/>
        <v>4720</v>
      </c>
      <c r="Q17" s="122"/>
      <c r="R17" s="121"/>
      <c r="S17" s="121"/>
      <c r="T17" s="144"/>
      <c r="U17" s="98"/>
    </row>
    <row r="18" spans="1:34" s="4" customFormat="1" ht="21.6" customHeight="1" thickBot="1" x14ac:dyDescent="0.35">
      <c r="A18" s="16">
        <v>12</v>
      </c>
      <c r="B18" s="112" t="s">
        <v>24</v>
      </c>
      <c r="C18" s="74" t="s">
        <v>96</v>
      </c>
      <c r="D18" s="74"/>
      <c r="E18" s="75" t="s">
        <v>122</v>
      </c>
      <c r="F18" s="76">
        <v>600901</v>
      </c>
      <c r="G18" s="77" t="s">
        <v>123</v>
      </c>
      <c r="H18" s="71">
        <v>2200000</v>
      </c>
      <c r="I18" s="71">
        <v>200000</v>
      </c>
      <c r="J18" s="71">
        <v>100000</v>
      </c>
      <c r="K18" s="71"/>
      <c r="L18" s="72">
        <f t="shared" si="6"/>
        <v>2500000</v>
      </c>
      <c r="M18" s="170"/>
      <c r="N18" s="71">
        <f t="shared" si="3"/>
        <v>79090</v>
      </c>
      <c r="O18" s="72"/>
      <c r="P18" s="71">
        <f t="shared" si="4"/>
        <v>10390</v>
      </c>
      <c r="Q18" s="73">
        <v>31140</v>
      </c>
      <c r="R18" s="72">
        <f t="shared" si="0"/>
        <v>3110</v>
      </c>
      <c r="S18" s="20">
        <f t="shared" si="1"/>
        <v>123730</v>
      </c>
      <c r="T18" s="169">
        <f t="shared" si="2"/>
        <v>2376270</v>
      </c>
      <c r="U18" s="98"/>
    </row>
    <row r="19" spans="1:34" s="24" customFormat="1" ht="21.6" customHeight="1" thickBot="1" x14ac:dyDescent="0.35">
      <c r="A19" s="177"/>
      <c r="B19" s="178"/>
      <c r="C19" s="178"/>
      <c r="D19" s="178"/>
      <c r="E19" s="178"/>
      <c r="F19" s="178"/>
      <c r="G19" s="178"/>
      <c r="H19" s="35">
        <f t="shared" ref="H19:T19" si="10">SUM(H7:H18)</f>
        <v>37050000</v>
      </c>
      <c r="I19" s="35">
        <f t="shared" si="10"/>
        <v>2267000</v>
      </c>
      <c r="J19" s="35">
        <f t="shared" si="10"/>
        <v>1033000</v>
      </c>
      <c r="K19" s="35">
        <f t="shared" si="10"/>
        <v>0</v>
      </c>
      <c r="L19" s="35">
        <f t="shared" si="10"/>
        <v>40350000</v>
      </c>
      <c r="M19" s="35">
        <f t="shared" si="10"/>
        <v>1170870</v>
      </c>
      <c r="N19" s="35">
        <f t="shared" si="10"/>
        <v>1331920</v>
      </c>
      <c r="O19" s="35">
        <f t="shared" si="10"/>
        <v>265950</v>
      </c>
      <c r="P19" s="35">
        <f t="shared" si="10"/>
        <v>174950</v>
      </c>
      <c r="Q19" s="35">
        <f t="shared" si="10"/>
        <v>1309880</v>
      </c>
      <c r="R19" s="35">
        <f t="shared" si="10"/>
        <v>130950</v>
      </c>
      <c r="S19" s="35">
        <f t="shared" si="10"/>
        <v>4287350</v>
      </c>
      <c r="T19" s="35">
        <f t="shared" si="10"/>
        <v>34962650</v>
      </c>
      <c r="U19" s="98"/>
    </row>
    <row r="20" spans="1:34" s="4" customFormat="1" ht="15" customHeight="1" x14ac:dyDescent="0.3">
      <c r="A20" s="10"/>
      <c r="B20" s="10"/>
      <c r="C20" s="2"/>
      <c r="D20" s="2"/>
      <c r="E20" s="10"/>
      <c r="F20" s="2"/>
      <c r="G20" s="2"/>
      <c r="H20" s="2"/>
      <c r="I20" s="25"/>
      <c r="J20" s="2"/>
      <c r="K20" s="2"/>
      <c r="L20" s="2"/>
      <c r="M20" s="2"/>
      <c r="N20" s="2"/>
      <c r="O20" s="2"/>
      <c r="P20" s="2"/>
      <c r="Q20" s="2"/>
      <c r="R20" s="64"/>
      <c r="S20" s="2"/>
      <c r="T20" s="2"/>
      <c r="U20" s="98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s="4" customFormat="1" ht="22.5" customHeight="1" x14ac:dyDescent="0.3">
      <c r="A21" s="10"/>
      <c r="B21" s="12"/>
      <c r="C21" s="66"/>
      <c r="D21" s="66"/>
      <c r="E21" s="67"/>
      <c r="F21" s="66"/>
      <c r="G21" s="2"/>
      <c r="H21" s="2"/>
      <c r="I21" s="68"/>
      <c r="J21" s="69"/>
      <c r="K21" s="2"/>
      <c r="L21" s="26" t="s">
        <v>24</v>
      </c>
      <c r="M21" s="27">
        <f>M7+M8+M14+M12+M17+M18</f>
        <v>437000</v>
      </c>
      <c r="N21" s="27">
        <f>N7+N8+N14+N12+N17+N18</f>
        <v>708210</v>
      </c>
      <c r="O21" s="27">
        <f t="shared" ref="O21:S21" si="11">O7+O8+O14+O12+O17+O18</f>
        <v>109800</v>
      </c>
      <c r="P21" s="27">
        <f t="shared" si="11"/>
        <v>93030</v>
      </c>
      <c r="Q21" s="27">
        <f t="shared" si="11"/>
        <v>842820</v>
      </c>
      <c r="R21" s="27">
        <f t="shared" si="11"/>
        <v>84260</v>
      </c>
      <c r="S21" s="27">
        <f t="shared" si="11"/>
        <v>2177950</v>
      </c>
      <c r="T21" s="9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s="4" customFormat="1" ht="22.5" customHeight="1" x14ac:dyDescent="0.3">
      <c r="A22" s="10"/>
      <c r="B22" s="12"/>
      <c r="C22" s="2"/>
      <c r="D22" s="2" t="s">
        <v>42</v>
      </c>
      <c r="E22" s="28"/>
      <c r="F22" s="2"/>
      <c r="G22" s="2"/>
      <c r="H22" s="2"/>
      <c r="I22" s="25"/>
      <c r="J22" s="2"/>
      <c r="K22" s="2"/>
      <c r="L22" s="29" t="s">
        <v>40</v>
      </c>
      <c r="M22" s="30">
        <f>M9+M10+M13+M15+M16</f>
        <v>446500</v>
      </c>
      <c r="N22" s="30">
        <f t="shared" ref="N22:S22" si="12">N9+N10+N13+N15+N16</f>
        <v>406220</v>
      </c>
      <c r="O22" s="30">
        <f t="shared" si="12"/>
        <v>101700</v>
      </c>
      <c r="P22" s="30">
        <f t="shared" si="12"/>
        <v>53350</v>
      </c>
      <c r="Q22" s="30">
        <f t="shared" si="12"/>
        <v>180160</v>
      </c>
      <c r="R22" s="30">
        <f t="shared" si="12"/>
        <v>18000</v>
      </c>
      <c r="S22" s="30">
        <f t="shared" si="12"/>
        <v>1205930</v>
      </c>
      <c r="T22" s="30"/>
      <c r="U22" s="2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s="4" customFormat="1" ht="22.5" customHeight="1" x14ac:dyDescent="0.3">
      <c r="A23" s="10"/>
      <c r="B23" s="12"/>
      <c r="C23" s="2"/>
      <c r="D23" s="2" t="s">
        <v>106</v>
      </c>
      <c r="E23" s="10"/>
      <c r="F23" s="2"/>
      <c r="G23" s="2"/>
      <c r="H23" s="2"/>
      <c r="I23" s="45" t="s">
        <v>46</v>
      </c>
      <c r="J23" s="46" t="s">
        <v>41</v>
      </c>
      <c r="K23" s="50"/>
      <c r="L23" s="29" t="s">
        <v>71</v>
      </c>
      <c r="M23" s="30">
        <f>M11</f>
        <v>287370</v>
      </c>
      <c r="N23" s="30">
        <f t="shared" ref="N23:S23" si="13">N11</f>
        <v>217490</v>
      </c>
      <c r="O23" s="30">
        <f t="shared" si="13"/>
        <v>54450</v>
      </c>
      <c r="P23" s="30">
        <f t="shared" si="13"/>
        <v>28570</v>
      </c>
      <c r="Q23" s="30">
        <f t="shared" si="13"/>
        <v>286900</v>
      </c>
      <c r="R23" s="30">
        <f t="shared" si="13"/>
        <v>28690</v>
      </c>
      <c r="S23" s="30">
        <f t="shared" si="13"/>
        <v>903470</v>
      </c>
      <c r="T23" s="64"/>
      <c r="U23" s="2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s="4" customFormat="1" ht="22.5" customHeight="1" thickBot="1" x14ac:dyDescent="0.35">
      <c r="A24" s="10"/>
      <c r="B24" s="12"/>
      <c r="C24" s="2"/>
      <c r="D24" s="2"/>
      <c r="E24" s="10"/>
      <c r="F24" s="42" t="s">
        <v>28</v>
      </c>
      <c r="G24" s="42" t="s">
        <v>44</v>
      </c>
      <c r="H24" s="43" t="s">
        <v>41</v>
      </c>
      <c r="I24" s="44" t="s">
        <v>45</v>
      </c>
      <c r="J24" s="44" t="s">
        <v>45</v>
      </c>
      <c r="K24" s="51"/>
      <c r="L24" s="40" t="s">
        <v>68</v>
      </c>
      <c r="M24" s="41"/>
      <c r="N24" s="41"/>
      <c r="O24" s="41"/>
      <c r="P24" s="41"/>
      <c r="Q24" s="41"/>
      <c r="R24" s="41"/>
      <c r="S24" s="41"/>
      <c r="T24" s="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s="4" customFormat="1" ht="22.5" customHeight="1" thickBot="1" x14ac:dyDescent="0.35">
      <c r="A25" s="10"/>
      <c r="B25" s="12"/>
      <c r="C25" s="2"/>
      <c r="D25" s="2"/>
      <c r="E25" s="10"/>
      <c r="F25" s="39" t="s">
        <v>24</v>
      </c>
      <c r="G25" s="33">
        <f>N25+P25</f>
        <v>1506870</v>
      </c>
      <c r="H25" s="33">
        <f>M25</f>
        <v>1170870</v>
      </c>
      <c r="I25" s="34"/>
      <c r="J25" s="34"/>
      <c r="K25" s="52"/>
      <c r="L25" s="47" t="s">
        <v>43</v>
      </c>
      <c r="M25" s="48">
        <f>SUM(M21:M24)</f>
        <v>1170870</v>
      </c>
      <c r="N25" s="48">
        <f t="shared" ref="N25:S25" si="14">SUM(N21:N24)</f>
        <v>1331920</v>
      </c>
      <c r="O25" s="48">
        <f t="shared" si="14"/>
        <v>265950</v>
      </c>
      <c r="P25" s="48">
        <f t="shared" si="14"/>
        <v>174950</v>
      </c>
      <c r="Q25" s="48">
        <f t="shared" si="14"/>
        <v>1309880</v>
      </c>
      <c r="R25" s="48">
        <f t="shared" si="14"/>
        <v>130950</v>
      </c>
      <c r="S25" s="49">
        <f t="shared" si="14"/>
        <v>4287350</v>
      </c>
      <c r="T25" s="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s="4" customFormat="1" ht="22.5" customHeight="1" x14ac:dyDescent="0.3">
      <c r="A26" s="10"/>
      <c r="B26" s="81"/>
      <c r="C26" s="82"/>
      <c r="D26" s="82"/>
      <c r="E26" s="83"/>
      <c r="F26" s="84"/>
      <c r="G26" s="85"/>
      <c r="H26" s="85"/>
      <c r="I26" s="86"/>
      <c r="J26" s="86"/>
      <c r="K26" s="86"/>
      <c r="L26" s="87"/>
      <c r="M26" s="88"/>
      <c r="N26" s="88"/>
      <c r="O26" s="88"/>
      <c r="P26" s="88"/>
      <c r="Q26" s="88"/>
      <c r="R26" s="88"/>
      <c r="S26" s="88"/>
      <c r="T26" s="8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s="4" customFormat="1" ht="21.6" customHeight="1" x14ac:dyDescent="0.3">
      <c r="A27" s="10"/>
      <c r="B27" s="83"/>
      <c r="C27" s="82"/>
      <c r="D27" s="82"/>
      <c r="E27" s="83"/>
      <c r="F27" s="82"/>
      <c r="G27" s="89"/>
      <c r="H27" s="84"/>
      <c r="I27" s="195"/>
      <c r="J27" s="195"/>
      <c r="K27" s="89"/>
      <c r="L27" s="82"/>
      <c r="M27" s="82"/>
      <c r="N27" s="91"/>
      <c r="O27" s="82"/>
      <c r="P27" s="82"/>
      <c r="Q27" s="82"/>
      <c r="R27" s="82"/>
      <c r="S27" s="82"/>
      <c r="T27" s="8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ht="21.6" customHeight="1" x14ac:dyDescent="0.3">
      <c r="H28" s="10"/>
      <c r="I28" s="196"/>
      <c r="J28" s="196"/>
    </row>
    <row r="29" spans="1:34" ht="21.6" customHeight="1" x14ac:dyDescent="0.3">
      <c r="I29" s="68"/>
      <c r="K29" s="64"/>
    </row>
  </sheetData>
  <mergeCells count="13">
    <mergeCell ref="T5:T6"/>
    <mergeCell ref="F6:G6"/>
    <mergeCell ref="A19:G19"/>
    <mergeCell ref="I27:J27"/>
    <mergeCell ref="I28:J28"/>
    <mergeCell ref="A1:L1"/>
    <mergeCell ref="A2:L2"/>
    <mergeCell ref="H4:M4"/>
    <mergeCell ref="A5:A6"/>
    <mergeCell ref="B5:B6"/>
    <mergeCell ref="C5:G5"/>
    <mergeCell ref="H5:L5"/>
    <mergeCell ref="M5:S5"/>
  </mergeCells>
  <phoneticPr fontId="2" type="noConversion"/>
  <printOptions horizontalCentered="1"/>
  <pageMargins left="0.11811023622047245" right="0" top="0.74803149606299213" bottom="0.55118110236220474" header="0.31496062992125984" footer="0.31496062992125984"/>
  <pageSetup paperSize="9" scale="72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8</vt:i4>
      </vt:variant>
    </vt:vector>
  </HeadingPairs>
  <TitlesOfParts>
    <vt:vector size="17" baseType="lpstr">
      <vt:lpstr>결재</vt:lpstr>
      <vt:lpstr>26년01월</vt:lpstr>
      <vt:lpstr>26년02월</vt:lpstr>
      <vt:lpstr>26년03월 </vt:lpstr>
      <vt:lpstr>26년04월</vt:lpstr>
      <vt:lpstr>26년05월</vt:lpstr>
      <vt:lpstr>26년06월</vt:lpstr>
      <vt:lpstr>26년07월</vt:lpstr>
      <vt:lpstr>26년08월</vt:lpstr>
      <vt:lpstr>'26년01월'!Print_Area</vt:lpstr>
      <vt:lpstr>'26년02월'!Print_Area</vt:lpstr>
      <vt:lpstr>'26년03월 '!Print_Area</vt:lpstr>
      <vt:lpstr>'26년04월'!Print_Area</vt:lpstr>
      <vt:lpstr>'26년05월'!Print_Area</vt:lpstr>
      <vt:lpstr>'26년06월'!Print_Area</vt:lpstr>
      <vt:lpstr>'26년07월'!Print_Area</vt:lpstr>
      <vt:lpstr>'26년08월'!Print_Area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</dc:creator>
  <cp:lastModifiedBy>Jeonghun Lee</cp:lastModifiedBy>
  <cp:lastPrinted>2026-08-03T00:21:02Z</cp:lastPrinted>
  <dcterms:created xsi:type="dcterms:W3CDTF">2018-02-05T06:01:50Z</dcterms:created>
  <dcterms:modified xsi:type="dcterms:W3CDTF">2026-08-20T08:49:49Z</dcterms:modified>
</cp:coreProperties>
</file>