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0db9ff0fb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프로젝트_기본정보" sheetId="1" r:id="Re47e92c91cdf45db"/>
    <x:sheet xmlns:r="http://schemas.openxmlformats.org/officeDocument/2006/relationships" name="02_계약내역서" sheetId="2" r:id="R3cbeabf6ebfe411a"/>
    <x:sheet xmlns:r="http://schemas.openxmlformats.org/officeDocument/2006/relationships" name="03_WBS_CBS_예산" sheetId="3" r:id="R25668f5ca2ed4b6b"/>
    <x:sheet xmlns:r="http://schemas.openxmlformats.org/officeDocument/2006/relationships" name="04_검증요약" sheetId="4" r:id="R663d69c9def7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2" fillId="6" borderId="0" xfId="0" applyNumberFormat="1" applyFont="1" applyFill="1" applyBorder="1"/>
    <x:xf numFmtId="201" fontId="2" fillId="6" borderId="0" xfId="0" applyNumberFormat="1" applyFont="1" applyFill="1" applyBorder="1"/>
    <x:xf numFmtId="0" fontId="2" fillId="6" borderId="1" xfId="0" applyNumberFormat="1" applyFont="1" applyFill="1" applyBorder="1"/>
    <x:xf numFmtId="201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vertical="center"/>
    </x:xf>
    <x:xf numFmtId="201" fontId="2" fillId="6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2" fillId="6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0a3de6adb4bed" /><Relationship Type="http://schemas.openxmlformats.org/officeDocument/2006/relationships/theme" Target="/xl/theme/theme1.xml" Id="Raa4e188b0ed84816" /><Relationship Type="http://schemas.openxmlformats.org/officeDocument/2006/relationships/sharedStrings" Target="/xl/sharedStrings.xml" Id="R77ef249a182b4803" /><Relationship Type="http://schemas.openxmlformats.org/officeDocument/2006/relationships/worksheet" Target="/xl/worksheets/sheet1.xml" Id="Re47e92c91cdf45db" /><Relationship Type="http://schemas.openxmlformats.org/officeDocument/2006/relationships/worksheet" Target="/xl/worksheets/sheet2.xml" Id="R3cbeabf6ebfe411a" /><Relationship Type="http://schemas.openxmlformats.org/officeDocument/2006/relationships/worksheet" Target="/xl/worksheets/sheet3.xml" Id="R25668f5ca2ed4b6b" /><Relationship Type="http://schemas.openxmlformats.org/officeDocument/2006/relationships/worksheet" Target="/xl/worksheets/sheet4.xml" Id="R663d69c9def745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6" hidden="0" customWidth="1"/>
    <x:col min="3" max="3" width="12" hidden="0" customWidth="1"/>
    <x:col min="4" max="4" width="12" hidden="0" customWidth="1"/>
  </x:cols>
  <x:sheetData>
    <x:row r="1" ht="28" customHeight="1">
      <x:c r="A1" s="4" t="str">
        <x:v>LAND-OPS-20260820-001 계약내역서 업로드 기본정보</x:v>
      </x:c>
      <x:c r="B1" s="4"/>
      <x:c r="C1" s="4"/>
      <x:c r="D1" s="4"/>
    </x:row>
    <x:row r="3">
      <x:c r="A3" s="9" t="str">
        <x:v>프로젝트 코드</x:v>
      </x:c>
      <x:c r="B3" s="10" t="str">
        <x:v>LAND-OPS-20260820-001</x:v>
      </x:c>
    </x:row>
    <x:row r="4">
      <x:c r="A4" s="9" t="str">
        <x:v>프로젝트명</x:v>
      </x:c>
      <x:c r="B4" s="10" t="str">
        <x:v>2026년 8월 로컬 검증 도시숲 조성공사</x:v>
      </x:c>
    </x:row>
    <x:row r="5">
      <x:c r="A5" s="9" t="str">
        <x:v>발주처</x:v>
      </x:c>
      <x:c r="B5" s="10" t="str">
        <x:v>아산시 공원녹지과</x:v>
      </x:c>
    </x:row>
    <x:row r="6">
      <x:c r="A6" s="9" t="str">
        <x:v>공사 유형</x:v>
      </x:c>
      <x:c r="B6" s="10" t="str">
        <x:v>조경공사</x:v>
      </x:c>
    </x:row>
    <x:row r="7">
      <x:c r="A7" s="9" t="str">
        <x:v>현장 위치</x:v>
      </x:c>
      <x:c r="B7" s="10" t="str">
        <x:v>충청남도 아산시 도시숲 대상지</x:v>
      </x:c>
    </x:row>
    <x:row r="8">
      <x:c r="A8" s="9" t="str">
        <x:v>계약 시작일</x:v>
      </x:c>
      <x:c r="B8" s="11" t="n">
        <x:v>46254</x:v>
      </x:c>
    </x:row>
    <x:row r="9">
      <x:c r="A9" s="9" t="str">
        <x:v>계약 종료일</x:v>
      </x:c>
      <x:c r="B9" s="11" t="n">
        <x:v>46345</x:v>
      </x:c>
    </x:row>
    <x:row r="10">
      <x:c r="A10" s="9" t="str">
        <x:v>계약금액</x:v>
      </x:c>
      <x:c r="B10" s="12" t="n">
        <x:v>1080000000</x:v>
      </x:c>
    </x:row>
    <x:row r="11">
      <x:c r="A11" s="9" t="str">
        <x:v>선급금 비율</x:v>
      </x:c>
      <x:c r="B11" s="13" t="n">
        <x:v>0.3</x:v>
      </x:c>
    </x:row>
    <x:row r="12">
      <x:c r="A12" s="9" t="str">
        <x:v>선급금 예정액</x:v>
      </x:c>
      <x:c r="B12" s="12" t="n">
        <x:f>B10*B11</x:f>
        <x:v>324000000</x:v>
      </x:c>
    </x:row>
    <x:row r="13">
      <x:c r="A13" s="9" t="str">
        <x:v>업로드 구분</x:v>
      </x:c>
      <x:c r="B13" s="10" t="str">
        <x:v>신규 프로젝트 / 기존 LOCAL-OPS 데이터 변경 금지</x:v>
      </x:c>
    </x:row>
    <x:row r="15">
      <x:c r="A15" s="16" t="str">
        <x:v>업로드 전 확인: 계약금액·WBS 예산·CBS 예산의 합계가 모두 일치해야 합니다.</x:v>
      </x:c>
      <x:c r="B15" s="16"/>
      <x:c r="C15" s="16"/>
      <x:c r="D15" s="16"/>
    </x:row>
  </x:sheetData>
  <x:mergeCells>
    <x:mergeCell ref="A1:D1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10" hidden="0" customWidth="1"/>
    <x:col min="7" max="7" width="42" hidden="0" customWidth="1"/>
    <x:col min="8" max="8" width="22" hidden="0" customWidth="1"/>
  </x:cols>
  <x:sheetData>
    <x:row r="1" ht="28" customHeight="1">
      <x:c r="A1" s="4" t="str">
        <x:v>LAND-OPS-20260820-001 계약내역서·CBS 예산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WBS 코드</x:v>
      </x:c>
      <x:c r="B3" s="22" t="str">
        <x:v>CBS 코드</x:v>
      </x:c>
      <x:c r="C3" s="22" t="str">
        <x:v>CBS명</x:v>
      </x:c>
      <x:c r="D3" s="22" t="str">
        <x:v>원가 구분</x:v>
      </x:c>
      <x:c r="E3" s="22" t="str">
        <x:v>계약/예산 금액</x:v>
      </x:c>
      <x:c r="F3" s="22" t="str">
        <x:v>단위</x:v>
      </x:c>
      <x:c r="G3" s="22" t="str">
        <x:v>대표 품목·용도</x:v>
      </x:c>
      <x:c r="H3" s="22" t="str">
        <x:v>비고</x:v>
      </x:c>
    </x:row>
    <x:row r="4">
      <x:c r="A4" s="10" t="str">
        <x:v>LAND-WBS-01</x:v>
      </x:c>
      <x:c r="B4" s="10" t="str">
        <x:v>LAND-SAFE</x:v>
      </x:c>
      <x:c r="C4" s="10" t="str">
        <x:v>안전·가설비</x:v>
      </x:c>
      <x:c r="D4" s="10" t="str">
        <x:v>안전관리비</x:v>
      </x:c>
      <x:c r="E4" s="12" t="n">
        <x:v>18000000</x:v>
      </x:c>
      <x:c r="F4" s="10" t="str">
        <x:v>식</x:v>
      </x:c>
      <x:c r="G4" s="10" t="str">
        <x:v>안전휀스, 표지판, 안전콘</x:v>
      </x:c>
      <x:c r="H4" s="10" t="str">
        <x:v>HQ 예산 기준선 등록</x:v>
      </x:c>
    </x:row>
    <x:row r="5">
      <x:c r="A5" s="10" t="str">
        <x:v>LAND-WBS-01</x:v>
      </x:c>
      <x:c r="B5" s="10" t="str">
        <x:v>LAND-SITE-MGMT</x:v>
      </x:c>
      <x:c r="C5" s="10" t="str">
        <x:v>현장관리비</x:v>
      </x:c>
      <x:c r="D5" s="10" t="str">
        <x:v>현장경비</x:v>
      </x:c>
      <x:c r="E5" s="12" t="n">
        <x:v>12000000</x:v>
      </x:c>
      <x:c r="F5" s="10" t="str">
        <x:v>식</x:v>
      </x:c>
      <x:c r="G5" s="10" t="str">
        <x:v>컨테이너, 임차장비, 소모품</x:v>
      </x:c>
      <x:c r="H5" s="10" t="str">
        <x:v>HQ 예산 기준선 등록</x:v>
      </x:c>
    </x:row>
    <x:row r="6">
      <x:c r="A6" s="10" t="str">
        <x:v>LAND-WBS-01</x:v>
      </x:c>
      <x:c r="B6" s="10" t="str">
        <x:v>LAND-LABOR-SITE</x:v>
      </x:c>
      <x:c r="C6" s="10" t="str">
        <x:v>현장관리 노무</x:v>
      </x:c>
      <x:c r="D6" s="10" t="str">
        <x:v>노무비</x:v>
      </x:c>
      <x:c r="E6" s="12" t="n">
        <x:v>24000000</x:v>
      </x:c>
      <x:c r="F6" s="10" t="str">
        <x:v>식</x:v>
      </x:c>
      <x:c r="G6" s="10" t="str">
        <x:v>현장관리·신호수 인건비</x:v>
      </x:c>
      <x:c r="H6" s="10" t="str">
        <x:v>HQ 예산 기준선 등록</x:v>
      </x:c>
    </x:row>
    <x:row r="7">
      <x:c r="A7" s="10" t="str">
        <x:v>LAND-WBS-02</x:v>
      </x:c>
      <x:c r="B7" s="10" t="str">
        <x:v>LAND-EQP-EARTH</x:v>
      </x:c>
      <x:c r="C7" s="10" t="str">
        <x:v>토공 장비비</x:v>
      </x:c>
      <x:c r="D7" s="10" t="str">
        <x:v>장비비</x:v>
      </x:c>
      <x:c r="E7" s="12" t="n">
        <x:v>40000000</x:v>
      </x:c>
      <x:c r="F7" s="10" t="str">
        <x:v>식</x:v>
      </x:c>
      <x:c r="G7" s="10" t="str">
        <x:v>굴삭기, 덤프트럭, 로더</x:v>
      </x:c>
      <x:c r="H7" s="10" t="str">
        <x:v>HQ 예산 기준선 등록</x:v>
      </x:c>
    </x:row>
    <x:row r="8">
      <x:c r="A8" s="10" t="str">
        <x:v>LAND-WBS-02</x:v>
      </x:c>
      <x:c r="B8" s="10" t="str">
        <x:v>LAND-DRAIN</x:v>
      </x:c>
      <x:c r="C8" s="10" t="str">
        <x:v>배수·토공 자재비</x:v>
      </x:c>
      <x:c r="D8" s="10" t="str">
        <x:v>재료비</x:v>
      </x:c>
      <x:c r="E8" s="12" t="n">
        <x:v>45000000</x:v>
      </x:c>
      <x:c r="F8" s="10" t="str">
        <x:v>식</x:v>
      </x:c>
      <x:c r="G8" s="10" t="str">
        <x:v>배수관, 집수정, 쇄석</x:v>
      </x:c>
      <x:c r="H8" s="10" t="str">
        <x:v>HQ 예산 기준선 등록</x:v>
      </x:c>
    </x:row>
    <x:row r="9">
      <x:c r="A9" s="10" t="str">
        <x:v>LAND-WBS-02</x:v>
      </x:c>
      <x:c r="B9" s="10" t="str">
        <x:v>LAND-LABOR-EARTH</x:v>
      </x:c>
      <x:c r="C9" s="10" t="str">
        <x:v>토공 노무</x:v>
      </x:c>
      <x:c r="D9" s="10" t="str">
        <x:v>노무비</x:v>
      </x:c>
      <x:c r="E9" s="12" t="n">
        <x:v>23000000</x:v>
      </x:c>
      <x:c r="F9" s="10" t="str">
        <x:v>식</x:v>
      </x:c>
      <x:c r="G9" s="10" t="str">
        <x:v>토공·배수 시공 인건비</x:v>
      </x:c>
      <x:c r="H9" s="10" t="str">
        <x:v>HQ 예산 기준선 등록</x:v>
      </x:c>
    </x:row>
    <x:row r="10">
      <x:c r="A10" s="10" t="str">
        <x:v>LAND-WBS-03</x:v>
      </x:c>
      <x:c r="B10" s="10" t="str">
        <x:v>LAND-SOIL</x:v>
      </x:c>
      <x:c r="C10" s="10" t="str">
        <x:v>식재용 토양</x:v>
      </x:c>
      <x:c r="D10" s="10" t="str">
        <x:v>재료비</x:v>
      </x:c>
      <x:c r="E10" s="12" t="n">
        <x:v>95400000</x:v>
      </x:c>
      <x:c r="F10" s="10" t="str">
        <x:v>식</x:v>
      </x:c>
      <x:c r="G10" s="10" t="str">
        <x:v>식재토, 마사토, 객토</x:v>
      </x:c>
      <x:c r="H10" s="10" t="str">
        <x:v>HQ 예산 기준선 등록</x:v>
      </x:c>
    </x:row>
    <x:row r="11">
      <x:c r="A11" s="10" t="str">
        <x:v>LAND-WBS-03</x:v>
      </x:c>
      <x:c r="B11" s="10" t="str">
        <x:v>LAND-FERTILIZER</x:v>
      </x:c>
      <x:c r="C11" s="10" t="str">
        <x:v>토양개량재</x:v>
      </x:c>
      <x:c r="D11" s="10" t="str">
        <x:v>재료비</x:v>
      </x:c>
      <x:c r="E11" s="12" t="n">
        <x:v>30000000</x:v>
      </x:c>
      <x:c r="F11" s="10" t="str">
        <x:v>식</x:v>
      </x:c>
      <x:c r="G11" s="10" t="str">
        <x:v>퇴비, 비료, 토양개량제</x:v>
      </x:c>
      <x:c r="H11" s="10" t="str">
        <x:v>HQ 예산 기준선 등록</x:v>
      </x:c>
    </x:row>
    <x:row r="12">
      <x:c r="A12" s="10" t="str">
        <x:v>LAND-WBS-03</x:v>
      </x:c>
      <x:c r="B12" s="10" t="str">
        <x:v>LAND-LABOR-SOIL</x:v>
      </x:c>
      <x:c r="C12" s="10" t="str">
        <x:v>식재기반 노무</x:v>
      </x:c>
      <x:c r="D12" s="10" t="str">
        <x:v>노무비</x:v>
      </x:c>
      <x:c r="E12" s="12" t="n">
        <x:v>36600000</x:v>
      </x:c>
      <x:c r="F12" s="10" t="str">
        <x:v>식</x:v>
      </x:c>
      <x:c r="G12" s="10" t="str">
        <x:v>정지·객토·토양개량 인건비</x:v>
      </x:c>
      <x:c r="H12" s="10" t="str">
        <x:v>HQ 예산 기준선 등록</x:v>
      </x:c>
    </x:row>
    <x:row r="13">
      <x:c r="A13" s="10" t="str">
        <x:v>LAND-WBS-04</x:v>
      </x:c>
      <x:c r="B13" s="10" t="str">
        <x:v>LAND-TREE</x:v>
      </x:c>
      <x:c r="C13" s="10" t="str">
        <x:v>교목·지주목</x:v>
      </x:c>
      <x:c r="D13" s="10" t="str">
        <x:v>재료비</x:v>
      </x:c>
      <x:c r="E13" s="12" t="n">
        <x:v>170000000</x:v>
      </x:c>
      <x:c r="F13" s="10" t="str">
        <x:v>식</x:v>
      </x:c>
      <x:c r="G13" s="10" t="str">
        <x:v>느티나무, 이팝나무, 소나무, 지주목</x:v>
      </x:c>
      <x:c r="H13" s="10" t="str">
        <x:v>HQ 예산 기준선 등록</x:v>
      </x:c>
    </x:row>
    <x:row r="14">
      <x:c r="A14" s="10" t="str">
        <x:v>LAND-WBS-04</x:v>
      </x:c>
      <x:c r="B14" s="10" t="str">
        <x:v>LAND-EQP-CRANE</x:v>
      </x:c>
      <x:c r="C14" s="10" t="str">
        <x:v>식재 장비비</x:v>
      </x:c>
      <x:c r="D14" s="10" t="str">
        <x:v>장비비</x:v>
      </x:c>
      <x:c r="E14" s="12" t="n">
        <x:v>37600000</x:v>
      </x:c>
      <x:c r="F14" s="10" t="str">
        <x:v>식</x:v>
      </x:c>
      <x:c r="G14" s="10" t="str">
        <x:v>크레인, 굴삭기, 고소작업차</x:v>
      </x:c>
      <x:c r="H14" s="10" t="str">
        <x:v>HQ 예산 기준선 등록</x:v>
      </x:c>
    </x:row>
    <x:row r="15">
      <x:c r="A15" s="10" t="str">
        <x:v>LAND-WBS-04</x:v>
      </x:c>
      <x:c r="B15" s="10" t="str">
        <x:v>LAND-LABOR-TREE</x:v>
      </x:c>
      <x:c r="C15" s="10" t="str">
        <x:v>교목 식재 노무</x:v>
      </x:c>
      <x:c r="D15" s="10" t="str">
        <x:v>노무비</x:v>
      </x:c>
      <x:c r="E15" s="12" t="n">
        <x:v>62400000</x:v>
      </x:c>
      <x:c r="F15" s="10" t="str">
        <x:v>식</x:v>
      </x:c>
      <x:c r="G15" s="10" t="str">
        <x:v>수목식재·굴취·결속 인건비</x:v>
      </x:c>
      <x:c r="H15" s="10" t="str">
        <x:v>HQ 예산 기준선 등록</x:v>
      </x:c>
    </x:row>
    <x:row r="16">
      <x:c r="A16" s="10" t="str">
        <x:v>LAND-WBS-05</x:v>
      </x:c>
      <x:c r="B16" s="10" t="str">
        <x:v>LAND-SHRUB</x:v>
      </x:c>
      <x:c r="C16" s="10" t="str">
        <x:v>관목 식재</x:v>
      </x:c>
      <x:c r="D16" s="10" t="str">
        <x:v>재료비</x:v>
      </x:c>
      <x:c r="E16" s="12" t="n">
        <x:v>85000000</x:v>
      </x:c>
      <x:c r="F16" s="10" t="str">
        <x:v>식</x:v>
      </x:c>
      <x:c r="G16" s="10" t="str">
        <x:v>회양목, 철쭉, 조팝나무</x:v>
      </x:c>
      <x:c r="H16" s="10" t="str">
        <x:v>HQ 예산 기준선 등록</x:v>
      </x:c>
    </x:row>
    <x:row r="17">
      <x:c r="A17" s="10" t="str">
        <x:v>LAND-WBS-05</x:v>
      </x:c>
      <x:c r="B17" s="10" t="str">
        <x:v>LAND-GROUNDCOVER</x:v>
      </x:c>
      <x:c r="C17" s="10" t="str">
        <x:v>초화·지피식물</x:v>
      </x:c>
      <x:c r="D17" s="10" t="str">
        <x:v>재료비</x:v>
      </x:c>
      <x:c r="E17" s="12" t="n">
        <x:v>44200000</x:v>
      </x:c>
      <x:c r="F17" s="10" t="str">
        <x:v>식</x:v>
      </x:c>
      <x:c r="G17" s="10" t="str">
        <x:v>맥문동, 비비추, 초화류</x:v>
      </x:c>
      <x:c r="H17" s="10" t="str">
        <x:v>HQ 예산 기준선 등록</x:v>
      </x:c>
    </x:row>
    <x:row r="18">
      <x:c r="A18" s="10" t="str">
        <x:v>LAND-WBS-05</x:v>
      </x:c>
      <x:c r="B18" s="10" t="str">
        <x:v>LAND-LABOR-SHRUB</x:v>
      </x:c>
      <x:c r="C18" s="10" t="str">
        <x:v>관목·초화 노무</x:v>
      </x:c>
      <x:c r="D18" s="10" t="str">
        <x:v>노무비</x:v>
      </x:c>
      <x:c r="E18" s="12" t="n">
        <x:v>32800000</x:v>
      </x:c>
      <x:c r="F18" s="10" t="str">
        <x:v>식</x:v>
      </x:c>
      <x:c r="G18" s="10" t="str">
        <x:v>식재·복토·관수 인건비</x:v>
      </x:c>
      <x:c r="H18" s="10" t="str">
        <x:v>HQ 예산 기준선 등록</x:v>
      </x:c>
    </x:row>
    <x:row r="19">
      <x:c r="A19" s="10" t="str">
        <x:v>LAND-WBS-06</x:v>
      </x:c>
      <x:c r="B19" s="10" t="str">
        <x:v>LAND-TURF</x:v>
      </x:c>
      <x:c r="C19" s="10" t="str">
        <x:v>잔디·종자</x:v>
      </x:c>
      <x:c r="D19" s="10" t="str">
        <x:v>재료비</x:v>
      </x:c>
      <x:c r="E19" s="12" t="n">
        <x:v>42000000</x:v>
      </x:c>
      <x:c r="F19" s="10" t="str">
        <x:v>식</x:v>
      </x:c>
      <x:c r="G19" s="10" t="str">
        <x:v>한국잔디, 잔디종자</x:v>
      </x:c>
      <x:c r="H19" s="10" t="str">
        <x:v>HQ 예산 기준선 등록</x:v>
      </x:c>
    </x:row>
    <x:row r="20">
      <x:c r="A20" s="10" t="str">
        <x:v>LAND-WBS-06</x:v>
      </x:c>
      <x:c r="B20" s="10" t="str">
        <x:v>LAND-IRRIGATION</x:v>
      </x:c>
      <x:c r="C20" s="10" t="str">
        <x:v>관수시설</x:v>
      </x:c>
      <x:c r="D20" s="10" t="str">
        <x:v>재료비</x:v>
      </x:c>
      <x:c r="E20" s="12" t="n">
        <x:v>45000000</x:v>
      </x:c>
      <x:c r="F20" s="10" t="str">
        <x:v>식</x:v>
      </x:c>
      <x:c r="G20" s="10" t="str">
        <x:v>PE관, 밸브, 스프링클러</x:v>
      </x:c>
      <x:c r="H20" s="10" t="str">
        <x:v>HQ 예산 기준선 등록</x:v>
      </x:c>
    </x:row>
    <x:row r="21">
      <x:c r="A21" s="10" t="str">
        <x:v>LAND-WBS-06</x:v>
      </x:c>
      <x:c r="B21" s="10" t="str">
        <x:v>LAND-LABOR-IRR</x:v>
      </x:c>
      <x:c r="C21" s="10" t="str">
        <x:v>잔디·관수 노무</x:v>
      </x:c>
      <x:c r="D21" s="10" t="str">
        <x:v>노무비</x:v>
      </x:c>
      <x:c r="E21" s="12" t="n">
        <x:v>21000000</x:v>
      </x:c>
      <x:c r="F21" s="10" t="str">
        <x:v>식</x:v>
      </x:c>
      <x:c r="G21" s="10" t="str">
        <x:v>관수 배관·잔디 시공 인건비</x:v>
      </x:c>
      <x:c r="H21" s="10" t="str">
        <x:v>HQ 예산 기준선 등록</x:v>
      </x:c>
    </x:row>
    <x:row r="22">
      <x:c r="A22" s="10" t="str">
        <x:v>LAND-WBS-07</x:v>
      </x:c>
      <x:c r="B22" s="10" t="str">
        <x:v>LAND-FACILITY</x:v>
      </x:c>
      <x:c r="C22" s="10" t="str">
        <x:v>조경시설물</x:v>
      </x:c>
      <x:c r="D22" s="10" t="str">
        <x:v>재료비</x:v>
      </x:c>
      <x:c r="E22" s="12" t="n">
        <x:v>95000000</x:v>
      </x:c>
      <x:c r="F22" s="10" t="str">
        <x:v>식</x:v>
      </x:c>
      <x:c r="G22" s="10" t="str">
        <x:v>벤치, 파고라, 경계석, 데크</x:v>
      </x:c>
      <x:c r="H22" s="10" t="str">
        <x:v>HQ 예산 기준선 등록</x:v>
      </x:c>
    </x:row>
    <x:row r="23">
      <x:c r="A23" s="10" t="str">
        <x:v>LAND-WBS-07</x:v>
      </x:c>
      <x:c r="B23" s="10" t="str">
        <x:v>LAND-LIGHTING</x:v>
      </x:c>
      <x:c r="C23" s="10" t="str">
        <x:v>경관조명</x:v>
      </x:c>
      <x:c r="D23" s="10" t="str">
        <x:v>재료비</x:v>
      </x:c>
      <x:c r="E23" s="12" t="n">
        <x:v>34600000</x:v>
      </x:c>
      <x:c r="F23" s="10" t="str">
        <x:v>식</x:v>
      </x:c>
      <x:c r="G23" s="10" t="str">
        <x:v>LED 조명, 제어함, 케이블</x:v>
      </x:c>
      <x:c r="H23" s="10" t="str">
        <x:v>HQ 예산 기준선 등록</x:v>
      </x:c>
    </x:row>
    <x:row r="24">
      <x:c r="A24" s="10" t="str">
        <x:v>LAND-WBS-07</x:v>
      </x:c>
      <x:c r="B24" s="10" t="str">
        <x:v>LAND-LABOR-FAC</x:v>
      </x:c>
      <x:c r="C24" s="10" t="str">
        <x:v>시설물 노무</x:v>
      </x:c>
      <x:c r="D24" s="10" t="str">
        <x:v>노무비</x:v>
      </x:c>
      <x:c r="E24" s="12" t="n">
        <x:v>32400000</x:v>
      </x:c>
      <x:c r="F24" s="10" t="str">
        <x:v>식</x:v>
      </x:c>
      <x:c r="G24" s="10" t="str">
        <x:v>시설물·전기 보조 인건비</x:v>
      </x:c>
      <x:c r="H24" s="10" t="str">
        <x:v>HQ 예산 기준선 등록</x:v>
      </x:c>
    </x:row>
    <x:row r="25">
      <x:c r="A25" s="10" t="str">
        <x:v>LAND-WBS-08</x:v>
      </x:c>
      <x:c r="B25" s="10" t="str">
        <x:v>LAND-MAINTENANCE</x:v>
      </x:c>
      <x:c r="C25" s="10" t="str">
        <x:v>유지관리</x:v>
      </x:c>
      <x:c r="D25" s="10" t="str">
        <x:v>재료비</x:v>
      </x:c>
      <x:c r="E25" s="12" t="n">
        <x:v>15000000</x:v>
      </x:c>
      <x:c r="F25" s="10" t="str">
        <x:v>식</x:v>
      </x:c>
      <x:c r="G25" s="10" t="str">
        <x:v>관수, 병해충 방제, 보식</x:v>
      </x:c>
      <x:c r="H25" s="10" t="str">
        <x:v>HQ 예산 기준선 등록</x:v>
      </x:c>
    </x:row>
    <x:row r="26">
      <x:c r="A26" s="10" t="str">
        <x:v>LAND-WBS-08</x:v>
      </x:c>
      <x:c r="B26" s="10" t="str">
        <x:v>LAND-CLOSEOUT</x:v>
      </x:c>
      <x:c r="C26" s="10" t="str">
        <x:v>준공·검측</x:v>
      </x:c>
      <x:c r="D26" s="10" t="str">
        <x:v>현장경비</x:v>
      </x:c>
      <x:c r="E26" s="12" t="n">
        <x:v>5400000</x:v>
      </x:c>
      <x:c r="F26" s="10" t="str">
        <x:v>식</x:v>
      </x:c>
      <x:c r="G26" s="10" t="str">
        <x:v>준공도서, 검측, 표지</x:v>
      </x:c>
      <x:c r="H26" s="10" t="str">
        <x:v>HQ 예산 기준선 등록</x:v>
      </x:c>
    </x:row>
    <x:row r="27">
      <x:c r="A27" s="10" t="str">
        <x:v>LAND-WBS-08</x:v>
      </x:c>
      <x:c r="B27" s="10" t="str">
        <x:v>LAND-LABOR-CLOSE</x:v>
      </x:c>
      <x:c r="C27" s="10" t="str">
        <x:v>유지관리·준공 노무</x:v>
      </x:c>
      <x:c r="D27" s="10" t="str">
        <x:v>노무비</x:v>
      </x:c>
      <x:c r="E27" s="12" t="n">
        <x:v>33600000</x:v>
      </x:c>
      <x:c r="F27" s="10" t="str">
        <x:v>식</x:v>
      </x:c>
      <x:c r="G27" s="10" t="str">
        <x:v>관리·정리·준공 인건비</x:v>
      </x:c>
      <x:c r="H27" s="10" t="str">
        <x:v>HQ 예산 기준선 등록</x:v>
      </x:c>
    </x:row>
    <x:row r="28">
      <x:c r="A28" s="30" t="str">
        <x:v>계약내역서 합계</x:v>
      </x:c>
      <x:c r="B28" s="30"/>
      <x:c r="C28" s="30"/>
      <x:c r="D28" s="30"/>
      <x:c r="E28" s="31" t="n">
        <x:f>SUM(E4:E27)</x:f>
        <x:v>1080000000</x:v>
      </x:c>
      <x:c r="F28" s="30"/>
      <x:c r="G28" s="30"/>
      <x:c r="H28" s="30"/>
    </x:row>
  </x:sheetData>
  <x:mergeCells>
    <x:mergeCell ref="A1:H1"/>
    <x:mergeCell ref="A28:D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2" hidden="0" customWidth="1"/>
  </x:cols>
  <x:sheetData>
    <x:row r="1" ht="28" customHeight="1">
      <x:c r="A1" s="4" t="str">
        <x:v>WBS·CBS 예산 기준선</x:v>
      </x:c>
      <x:c r="B1" s="4"/>
      <x:c r="C1" s="4"/>
      <x:c r="D1" s="4"/>
      <x:c r="E1" s="4"/>
      <x:c r="F1" s="4"/>
      <x:c r="G1" s="4"/>
    </x:row>
    <x:row r="3">
      <x:c r="A3" s="22" t="str">
        <x:v>WBS 코드</x:v>
      </x:c>
      <x:c r="B3" s="22" t="str">
        <x:v>WBS명</x:v>
      </x:c>
      <x:c r="C3" s="22" t="str">
        <x:v>진행률 가중치</x:v>
      </x:c>
      <x:c r="D3" s="22" t="str">
        <x:v>WBS 예산</x:v>
      </x:c>
      <x:c r="E3" s="22" t="str">
        <x:v>CBS 예산 합계</x:v>
      </x:c>
      <x:c r="F3" s="22" t="str">
        <x:v>차이</x:v>
      </x:c>
      <x:c r="G3" s="22" t="str">
        <x:v>검증</x:v>
      </x:c>
    </x:row>
    <x:row r="4">
      <x:c r="A4" s="10" t="str">
        <x:v>LAND-WBS-01</x:v>
      </x:c>
      <x:c r="B4" s="10" t="str">
        <x:v>가설·안전·현장관리</x:v>
      </x:c>
      <x:c r="C4" s="32" t="n">
        <x:v>0.05</x:v>
      </x:c>
      <x:c r="D4" s="12" t="n">
        <x:v>54000000</x:v>
      </x:c>
      <x:c r="E4" s="12" t="n">
        <x:f>SUMIF('02_계약내역서'!$A$4:$A$27,A4,'02_계약내역서'!$E$4:$E$27)</x:f>
        <x:v>54000000</x:v>
      </x:c>
      <x:c r="F4" s="12" t="n">
        <x:f>D4-E4</x:f>
        <x:v>0</x:v>
      </x:c>
      <x:c r="G4" s="10" t="str">
        <x:f>IF(F4=0,"PASS","HOLD")</x:f>
        <x:v>PASS</x:v>
      </x:c>
    </x:row>
    <x:row r="5">
      <x:c r="A5" s="10" t="str">
        <x:v>LAND-WBS-02</x:v>
      </x:c>
      <x:c r="B5" s="10" t="str">
        <x:v>토공·배수 기반</x:v>
      </x:c>
      <x:c r="C5" s="32" t="n">
        <x:v>0.1</x:v>
      </x:c>
      <x:c r="D5" s="12" t="n">
        <x:v>108000000</x:v>
      </x:c>
      <x:c r="E5" s="12" t="n">
        <x:f>SUMIF('02_계약내역서'!$A$4:$A$27,A5,'02_계약내역서'!$E$4:$E$27)</x:f>
        <x:v>108000000</x:v>
      </x:c>
      <x:c r="F5" s="12" t="n">
        <x:f>D5-E5</x:f>
        <x:v>0</x:v>
      </x:c>
      <x:c r="G5" s="10" t="str">
        <x:f>IF(F5=0,"PASS","HOLD")</x:f>
        <x:v>PASS</x:v>
      </x:c>
    </x:row>
    <x:row r="6">
      <x:c r="A6" s="10" t="str">
        <x:v>LAND-WBS-03</x:v>
      </x:c>
      <x:c r="B6" s="10" t="str">
        <x:v>식재기반 조성·토양개량</x:v>
      </x:c>
      <x:c r="C6" s="32" t="n">
        <x:v>0.15</x:v>
      </x:c>
      <x:c r="D6" s="12" t="n">
        <x:v>162000000</x:v>
      </x:c>
      <x:c r="E6" s="12" t="n">
        <x:f>SUMIF('02_계약내역서'!$A$4:$A$27,A6,'02_계약내역서'!$E$4:$E$27)</x:f>
        <x:v>162000000</x:v>
      </x:c>
      <x:c r="F6" s="12" t="n">
        <x:f>D6-E6</x:f>
        <x:v>0</x:v>
      </x:c>
      <x:c r="G6" s="10" t="str">
        <x:f>IF(F6=0,"PASS","HOLD")</x:f>
        <x:v>PASS</x:v>
      </x:c>
    </x:row>
    <x:row r="7">
      <x:c r="A7" s="10" t="str">
        <x:v>LAND-WBS-04</x:v>
      </x:c>
      <x:c r="B7" s="10" t="str">
        <x:v>교목 식재</x:v>
      </x:c>
      <x:c r="C7" s="32" t="n">
        <x:v>0.25</x:v>
      </x:c>
      <x:c r="D7" s="12" t="n">
        <x:v>270000000</x:v>
      </x:c>
      <x:c r="E7" s="12" t="n">
        <x:f>SUMIF('02_계약내역서'!$A$4:$A$27,A7,'02_계약내역서'!$E$4:$E$27)</x:f>
        <x:v>270000000</x:v>
      </x:c>
      <x:c r="F7" s="12" t="n">
        <x:f>D7-E7</x:f>
        <x:v>0</x:v>
      </x:c>
      <x:c r="G7" s="10" t="str">
        <x:f>IF(F7=0,"PASS","HOLD")</x:f>
        <x:v>PASS</x:v>
      </x:c>
    </x:row>
    <x:row r="8">
      <x:c r="A8" s="10" t="str">
        <x:v>LAND-WBS-05</x:v>
      </x:c>
      <x:c r="B8" s="10" t="str">
        <x:v>관목·초화·지피 식재</x:v>
      </x:c>
      <x:c r="C8" s="32" t="n">
        <x:v>0.15</x:v>
      </x:c>
      <x:c r="D8" s="12" t="n">
        <x:v>162000000</x:v>
      </x:c>
      <x:c r="E8" s="12" t="n">
        <x:f>SUMIF('02_계약내역서'!$A$4:$A$27,A8,'02_계약내역서'!$E$4:$E$27)</x:f>
        <x:v>162000000</x:v>
      </x:c>
      <x:c r="F8" s="12" t="n">
        <x:f>D8-E8</x:f>
        <x:v>0</x:v>
      </x:c>
      <x:c r="G8" s="10" t="str">
        <x:f>IF(F8=0,"PASS","HOLD")</x:f>
        <x:v>PASS</x:v>
      </x:c>
    </x:row>
    <x:row r="9">
      <x:c r="A9" s="10" t="str">
        <x:v>LAND-WBS-06</x:v>
      </x:c>
      <x:c r="B9" s="10" t="str">
        <x:v>잔디·관수시설</x:v>
      </x:c>
      <x:c r="C9" s="32" t="n">
        <x:v>0.1</x:v>
      </x:c>
      <x:c r="D9" s="12" t="n">
        <x:v>108000000</x:v>
      </x:c>
      <x:c r="E9" s="12" t="n">
        <x:f>SUMIF('02_계약내역서'!$A$4:$A$27,A9,'02_계약내역서'!$E$4:$E$27)</x:f>
        <x:v>108000000</x:v>
      </x:c>
      <x:c r="F9" s="12" t="n">
        <x:f>D9-E9</x:f>
        <x:v>0</x:v>
      </x:c>
      <x:c r="G9" s="10" t="str">
        <x:f>IF(F9=0,"PASS","HOLD")</x:f>
        <x:v>PASS</x:v>
      </x:c>
    </x:row>
    <x:row r="10">
      <x:c r="A10" s="10" t="str">
        <x:v>LAND-WBS-07</x:v>
      </x:c>
      <x:c r="B10" s="10" t="str">
        <x:v>조경시설물·경관조명</x:v>
      </x:c>
      <x:c r="C10" s="32" t="n">
        <x:v>0.15</x:v>
      </x:c>
      <x:c r="D10" s="12" t="n">
        <x:v>162000000</x:v>
      </x:c>
      <x:c r="E10" s="12" t="n">
        <x:f>SUMIF('02_계약내역서'!$A$4:$A$27,A10,'02_계약내역서'!$E$4:$E$27)</x:f>
        <x:v>162000000</x:v>
      </x:c>
      <x:c r="F10" s="12" t="n">
        <x:f>D10-E10</x:f>
        <x:v>0</x:v>
      </x:c>
      <x:c r="G10" s="10" t="str">
        <x:f>IF(F10=0,"PASS","HOLD")</x:f>
        <x:v>PASS</x:v>
      </x:c>
    </x:row>
    <x:row r="11">
      <x:c r="A11" s="10" t="str">
        <x:v>LAND-WBS-08</x:v>
      </x:c>
      <x:c r="B11" s="10" t="str">
        <x:v>유지관리·준공·인계</x:v>
      </x:c>
      <x:c r="C11" s="32" t="n">
        <x:v>0.05</x:v>
      </x:c>
      <x:c r="D11" s="12" t="n">
        <x:v>54000000</x:v>
      </x:c>
      <x:c r="E11" s="12" t="n">
        <x:f>SUMIF('02_계약내역서'!$A$4:$A$27,A11,'02_계약내역서'!$E$4:$E$27)</x:f>
        <x:v>54000000</x:v>
      </x:c>
      <x:c r="F11" s="12" t="n">
        <x:f>D11-E11</x:f>
        <x:v>0</x:v>
      </x:c>
      <x:c r="G11" s="10" t="str">
        <x:f>IF(F11=0,"PASS","HOLD")</x:f>
        <x:v>PASS</x:v>
      </x:c>
    </x:row>
    <x:row r="12">
      <x:c r="A12" s="30" t="str">
        <x:v>합계</x:v>
      </x:c>
      <x:c r="B12" s="30"/>
      <x:c r="C12" s="33" t="n">
        <x:f>SUM(C4:C11)</x:f>
        <x:v>1</x:v>
      </x:c>
      <x:c r="D12" s="31" t="n">
        <x:f>SUM(D4:D11)</x:f>
        <x:v>1080000000</x:v>
      </x:c>
      <x:c r="E12" s="31" t="n">
        <x:f>SUM(E4:E11)</x:f>
        <x:v>1080000000</x:v>
      </x:c>
      <x:c r="F12" s="31" t="n">
        <x:f>D12-E12</x:f>
        <x:v>0</x:v>
      </x:c>
      <x:c r="G12" s="30" t="str">
        <x:f>IF(AND(C12=1,F12=0),"PASS","HOLD")</x:f>
        <x:v>PASS</x:v>
      </x:c>
    </x:row>
  </x:sheetData>
  <x:mergeCells>
    <x:mergeCell ref="A1:G1"/>
    <x:mergeCell ref="A12:B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28" customHeight="1">
      <x:c r="A1" s="4" t="str">
        <x:v>계약내역서 업로드 검증</x:v>
      </x:c>
      <x:c r="B1" s="4"/>
      <x:c r="C1" s="4"/>
      <x:c r="D1" s="4"/>
    </x:row>
    <x:row r="3">
      <x:c r="A3" s="22" t="str">
        <x:v>검증 항목</x:v>
      </x:c>
      <x:c r="B3" s="22" t="str">
        <x:v>기대값</x:v>
      </x:c>
      <x:c r="C3" s="22" t="str">
        <x:v>산출값</x:v>
      </x:c>
      <x:c r="D3" s="22" t="str">
        <x:v>결과</x:v>
      </x:c>
    </x:row>
    <x:row r="4">
      <x:c r="A4" s="10" t="str">
        <x:v>계약금액</x:v>
      </x:c>
      <x:c r="B4" s="12" t="n">
        <x:v>1080000000</x:v>
      </x:c>
      <x:c r="C4" s="12" t="n">
        <x:f>'01_프로젝트_기본정보'!B10</x:f>
        <x:v>1080000000</x:v>
      </x:c>
      <x:c r="D4" s="10" t="str">
        <x:f>IF(B4=C4,"PASS","FAIL")</x:f>
        <x:v>PASS</x:v>
      </x:c>
    </x:row>
    <x:row r="5">
      <x:c r="A5" s="10" t="str">
        <x:v>WBS 예산 합계</x:v>
      </x:c>
      <x:c r="B5" s="12" t="n">
        <x:v>1080000000</x:v>
      </x:c>
      <x:c r="C5" s="12" t="n">
        <x:f>'03_WBS_CBS_예산'!D12</x:f>
        <x:v>1080000000</x:v>
      </x:c>
      <x:c r="D5" s="10" t="str">
        <x:f>IF(B5=C5,"PASS","FAIL")</x:f>
        <x:v>PASS</x:v>
      </x:c>
    </x:row>
    <x:row r="6">
      <x:c r="A6" s="10" t="str">
        <x:v>CBS 예산 합계</x:v>
      </x:c>
      <x:c r="B6" s="12" t="n">
        <x:v>1080000000</x:v>
      </x:c>
      <x:c r="C6" s="12" t="n">
        <x:f>'02_계약내역서'!E28</x:f>
        <x:v>1080000000</x:v>
      </x:c>
      <x:c r="D6" s="10" t="str">
        <x:f>IF(B6=C6,"PASS","FAIL")</x:f>
        <x:v>PASS</x:v>
      </x:c>
    </x:row>
    <x:row r="7">
      <x:c r="A7" s="10" t="str">
        <x:v>WBS 가중치 합계</x:v>
      </x:c>
      <x:c r="B7" s="32" t="n">
        <x:v>1</x:v>
      </x:c>
      <x:c r="C7" s="32" t="n">
        <x:f>'03_WBS_CBS_예산'!C12</x:f>
        <x:v>1</x:v>
      </x:c>
      <x:c r="D7" s="10" t="str">
        <x:f>IF(B7=C7,"PASS","FAIL")</x:f>
        <x:v>PASS</x:v>
      </x:c>
    </x:row>
  </x:sheetData>
  <x:mergeCells>
    <x:mergeCell ref="A1:D1"/>
  </x:mergeCells>
  <x:pageMargins left="0.7" right="0.7" top="0.75" bottom="0.75" header="0.3" footer="0.3"/>
</x:worksheet>
</file>