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f481b9814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착공계" sheetId="1" r:id="Reba778633ff54b92"/>
    <x:sheet xmlns:r="http://schemas.openxmlformats.org/officeDocument/2006/relationships" name="02_WBS_기준선" sheetId="2" r:id="Racaf8b564a334666"/>
    <x:sheet xmlns:r="http://schemas.openxmlformats.org/officeDocument/2006/relationships" name="03_기성_검증계획" sheetId="3" r:id="Ra041727062904233"/>
    <x:sheet xmlns:r="http://schemas.openxmlformats.org/officeDocument/2006/relationships" name="04_직종단가_참조" sheetId="4" r:id="Rc203c619c673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vertical="center"/>
    </x:xf>
    <x:xf numFmtId="202" fontId="2" fillId="6" borderId="1" xfId="0" applyNumberFormat="1" applyFont="1" applyFill="1" applyBorder="1" applyAlignment="1">
      <x:alignment vertical="center"/>
    </x:xf>
    <x:xf numFmtId="201" fontId="2" fillId="6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36fe4bf8a49b3" /><Relationship Type="http://schemas.openxmlformats.org/officeDocument/2006/relationships/theme" Target="/xl/theme/theme1.xml" Id="Rdcf7e75ae2a844cd" /><Relationship Type="http://schemas.openxmlformats.org/officeDocument/2006/relationships/sharedStrings" Target="/xl/sharedStrings.xml" Id="Rd3eb45e3a22047d2" /><Relationship Type="http://schemas.openxmlformats.org/officeDocument/2006/relationships/worksheet" Target="/xl/worksheets/sheet1.xml" Id="Reba778633ff54b92" /><Relationship Type="http://schemas.openxmlformats.org/officeDocument/2006/relationships/worksheet" Target="/xl/worksheets/sheet2.xml" Id="Racaf8b564a334666" /><Relationship Type="http://schemas.openxmlformats.org/officeDocument/2006/relationships/worksheet" Target="/xl/worksheets/sheet3.xml" Id="Ra041727062904233" /><Relationship Type="http://schemas.openxmlformats.org/officeDocument/2006/relationships/worksheet" Target="/xl/worksheets/sheet4.xml" Id="Rc203c619c67342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12" hidden="0" customWidth="1"/>
    <x:col min="4" max="4" width="12" hidden="0" customWidth="1"/>
  </x:cols>
  <x:sheetData>
    <x:row r="1" ht="28" customHeight="1">
      <x:c r="A1" s="4" t="str">
        <x:v>LAND-OPS-20260820-001 착공계</x:v>
      </x:c>
      <x:c r="B1" s="4"/>
      <x:c r="C1" s="4"/>
      <x:c r="D1" s="4"/>
    </x:row>
    <x:row r="3">
      <x:c r="A3" s="9" t="str">
        <x:v>프로젝트 코드</x:v>
      </x:c>
      <x:c r="B3" s="10" t="str">
        <x:v>LAND-OPS-20260820-001</x:v>
      </x:c>
    </x:row>
    <x:row r="4">
      <x:c r="A4" s="9" t="str">
        <x:v>공사명</x:v>
      </x:c>
      <x:c r="B4" s="10" t="str">
        <x:v>2026년 8월 로컬 검증 도시숲 조성공사</x:v>
      </x:c>
    </x:row>
    <x:row r="5">
      <x:c r="A5" s="9" t="str">
        <x:v>발주처</x:v>
      </x:c>
      <x:c r="B5" s="10" t="str">
        <x:v>아산시 공원녹지과</x:v>
      </x:c>
    </x:row>
    <x:row r="6">
      <x:c r="A6" s="9" t="str">
        <x:v>공사 유형</x:v>
      </x:c>
      <x:c r="B6" s="10" t="str">
        <x:v>조경공사</x:v>
      </x:c>
    </x:row>
    <x:row r="7">
      <x:c r="A7" s="9" t="str">
        <x:v>착공일</x:v>
      </x:c>
      <x:c r="B7" s="11" t="n">
        <x:v>46254</x:v>
      </x:c>
    </x:row>
    <x:row r="8">
      <x:c r="A8" s="9" t="str">
        <x:v>준공 예정일</x:v>
      </x:c>
      <x:c r="B8" s="11" t="n">
        <x:v>46345</x:v>
      </x:c>
    </x:row>
    <x:row r="9">
      <x:c r="A9" s="9" t="str">
        <x:v>계약기간</x:v>
      </x:c>
      <x:c r="B9" s="10" t="str">
        <x:v>3개월</x:v>
      </x:c>
    </x:row>
    <x:row r="10">
      <x:c r="A10" s="9" t="str">
        <x:v>계약금액</x:v>
      </x:c>
      <x:c r="B10" s="12" t="n">
        <x:v>1080000000</x:v>
      </x:c>
    </x:row>
    <x:row r="11">
      <x:c r="A11" s="9" t="str">
        <x:v>현장대리인</x:v>
      </x:c>
      <x:c r="B11" s="10" t="str">
        <x:v>김조경 (조경반장)</x:v>
      </x:c>
    </x:row>
    <x:row r="12">
      <x:c r="A12" s="9" t="str">
        <x:v>안전관리 담당</x:v>
      </x:c>
      <x:c r="B12" s="10" t="str">
        <x:v>장안전 (안전관리원)</x:v>
      </x:c>
    </x:row>
    <x:row r="13">
      <x:c r="A13" s="9" t="str">
        <x:v>비고</x:v>
      </x:c>
      <x:c r="B13" s="10" t="str">
        <x:v>기존 LOCAL-OPS-20260814 프로젝트와 별도 생성</x:v>
      </x:c>
    </x:row>
    <x:row r="15">
      <x:c r="A15" s="15" t="str">
        <x:v>착공계 등록 후 HQ가 WBS 기준선·CBS 예산·직종 단가를 확인하고 FIELD 입력을 개시합니다.</x:v>
      </x:c>
      <x:c r="B15" s="15"/>
      <x:c r="C15" s="15"/>
      <x:c r="D15" s="15"/>
    </x:row>
  </x:sheetData>
  <x:mergeCells>
    <x:mergeCell ref="A1:D1"/>
    <x:mergeCell ref="A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26" hidden="0" customWidth="1"/>
  </x:cols>
  <x:sheetData>
    <x:row r="1" ht="28" customHeight="1">
      <x:c r="A1" s="4" t="str">
        <x:v>WBS 기준선 업로드</x:v>
      </x:c>
      <x:c r="B1" s="4"/>
      <x:c r="C1" s="4"/>
      <x:c r="D1" s="4"/>
      <x:c r="E1" s="4"/>
      <x:c r="F1" s="4"/>
      <x:c r="G1" s="4"/>
      <x:c r="H1" s="4"/>
    </x:row>
    <x:row r="3">
      <x:c r="A3" s="21" t="str">
        <x:v>WBS 코드</x:v>
      </x:c>
      <x:c r="B3" s="21" t="str">
        <x:v>WBS명</x:v>
      </x:c>
      <x:c r="C3" s="21" t="str">
        <x:v>가중치</x:v>
      </x:c>
      <x:c r="D3" s="21" t="str">
        <x:v>예산</x:v>
      </x:c>
      <x:c r="E3" s="21" t="str">
        <x:v>계획 시작일</x:v>
      </x:c>
      <x:c r="F3" s="21" t="str">
        <x:v>계획 종료일</x:v>
      </x:c>
      <x:c r="G3" s="21" t="str">
        <x:v>진행률 반영</x:v>
      </x:c>
      <x:c r="H3" s="21" t="str">
        <x:v>비고</x:v>
      </x:c>
    </x:row>
    <x:row r="4">
      <x:c r="A4" s="10" t="str">
        <x:v>LAND-WBS-01</x:v>
      </x:c>
      <x:c r="B4" s="10" t="str">
        <x:v>가설·안전·현장관리</x:v>
      </x:c>
      <x:c r="C4" s="22" t="n">
        <x:v>0.05</x:v>
      </x:c>
      <x:c r="D4" s="12" t="n">
        <x:v>54000000</x:v>
      </x:c>
      <x:c r="E4" s="11" t="n">
        <x:v>46254</x:v>
      </x:c>
      <x:c r="F4" s="11" t="n">
        <x:v>46265</x:v>
      </x:c>
      <x:c r="G4" s="10" t="str">
        <x:v>YES</x:v>
      </x:c>
      <x:c r="H4" s="10" t="str">
        <x:v>가중 진행률 산정 대상</x:v>
      </x:c>
    </x:row>
    <x:row r="5">
      <x:c r="A5" s="10" t="str">
        <x:v>LAND-WBS-02</x:v>
      </x:c>
      <x:c r="B5" s="10" t="str">
        <x:v>토공·배수 기반</x:v>
      </x:c>
      <x:c r="C5" s="22" t="n">
        <x:v>0.1</x:v>
      </x:c>
      <x:c r="D5" s="12" t="n">
        <x:v>108000000</x:v>
      </x:c>
      <x:c r="E5" s="11" t="n">
        <x:v>46258</x:v>
      </x:c>
      <x:c r="F5" s="11" t="n">
        <x:v>46275</x:v>
      </x:c>
      <x:c r="G5" s="10" t="str">
        <x:v>YES</x:v>
      </x:c>
      <x:c r="H5" s="10" t="str">
        <x:v>가중 진행률 산정 대상</x:v>
      </x:c>
    </x:row>
    <x:row r="6">
      <x:c r="A6" s="10" t="str">
        <x:v>LAND-WBS-03</x:v>
      </x:c>
      <x:c r="B6" s="10" t="str">
        <x:v>식재기반 조성·토양개량</x:v>
      </x:c>
      <x:c r="C6" s="22" t="n">
        <x:v>0.15</x:v>
      </x:c>
      <x:c r="D6" s="12" t="n">
        <x:v>162000000</x:v>
      </x:c>
      <x:c r="E6" s="11" t="n">
        <x:v>46262</x:v>
      </x:c>
      <x:c r="F6" s="11" t="n">
        <x:v>46285</x:v>
      </x:c>
      <x:c r="G6" s="10" t="str">
        <x:v>YES</x:v>
      </x:c>
      <x:c r="H6" s="10" t="str">
        <x:v>가중 진행률 산정 대상</x:v>
      </x:c>
    </x:row>
    <x:row r="7">
      <x:c r="A7" s="10" t="str">
        <x:v>LAND-WBS-04</x:v>
      </x:c>
      <x:c r="B7" s="10" t="str">
        <x:v>교목 식재</x:v>
      </x:c>
      <x:c r="C7" s="22" t="n">
        <x:v>0.25</x:v>
      </x:c>
      <x:c r="D7" s="12" t="n">
        <x:v>270000000</x:v>
      </x:c>
      <x:c r="E7" s="11" t="n">
        <x:v>46275</x:v>
      </x:c>
      <x:c r="F7" s="11" t="n">
        <x:v>46300</x:v>
      </x:c>
      <x:c r="G7" s="10" t="str">
        <x:v>YES</x:v>
      </x:c>
      <x:c r="H7" s="10" t="str">
        <x:v>가중 진행률 산정 대상</x:v>
      </x:c>
    </x:row>
    <x:row r="8">
      <x:c r="A8" s="10" t="str">
        <x:v>LAND-WBS-05</x:v>
      </x:c>
      <x:c r="B8" s="10" t="str">
        <x:v>관목·초화·지피 식재</x:v>
      </x:c>
      <x:c r="C8" s="22" t="n">
        <x:v>0.15</x:v>
      </x:c>
      <x:c r="D8" s="12" t="n">
        <x:v>162000000</x:v>
      </x:c>
      <x:c r="E8" s="11" t="n">
        <x:v>46285</x:v>
      </x:c>
      <x:c r="F8" s="11" t="n">
        <x:v>46310</x:v>
      </x:c>
      <x:c r="G8" s="10" t="str">
        <x:v>YES</x:v>
      </x:c>
      <x:c r="H8" s="10" t="str">
        <x:v>가중 진행률 산정 대상</x:v>
      </x:c>
    </x:row>
    <x:row r="9">
      <x:c r="A9" s="10" t="str">
        <x:v>LAND-WBS-06</x:v>
      </x:c>
      <x:c r="B9" s="10" t="str">
        <x:v>잔디·관수시설</x:v>
      </x:c>
      <x:c r="C9" s="22" t="n">
        <x:v>0.1</x:v>
      </x:c>
      <x:c r="D9" s="12" t="n">
        <x:v>108000000</x:v>
      </x:c>
      <x:c r="E9" s="11" t="n">
        <x:v>46280</x:v>
      </x:c>
      <x:c r="F9" s="11" t="n">
        <x:v>46320</x:v>
      </x:c>
      <x:c r="G9" s="10" t="str">
        <x:v>YES</x:v>
      </x:c>
      <x:c r="H9" s="10" t="str">
        <x:v>가중 진행률 산정 대상</x:v>
      </x:c>
    </x:row>
    <x:row r="10">
      <x:c r="A10" s="10" t="str">
        <x:v>LAND-WBS-07</x:v>
      </x:c>
      <x:c r="B10" s="10" t="str">
        <x:v>조경시설물·경관조명</x:v>
      </x:c>
      <x:c r="C10" s="22" t="n">
        <x:v>0.15</x:v>
      </x:c>
      <x:c r="D10" s="12" t="n">
        <x:v>162000000</x:v>
      </x:c>
      <x:c r="E10" s="11" t="n">
        <x:v>46296</x:v>
      </x:c>
      <x:c r="F10" s="11" t="n">
        <x:v>46336</x:v>
      </x:c>
      <x:c r="G10" s="10" t="str">
        <x:v>YES</x:v>
      </x:c>
      <x:c r="H10" s="10" t="str">
        <x:v>가중 진행률 산정 대상</x:v>
      </x:c>
    </x:row>
    <x:row r="11">
      <x:c r="A11" s="10" t="str">
        <x:v>LAND-WBS-08</x:v>
      </x:c>
      <x:c r="B11" s="10" t="str">
        <x:v>유지관리·준공·인계</x:v>
      </x:c>
      <x:c r="C11" s="22" t="n">
        <x:v>0.05</x:v>
      </x:c>
      <x:c r="D11" s="12" t="n">
        <x:v>54000000</x:v>
      </x:c>
      <x:c r="E11" s="11" t="n">
        <x:v>46315</x:v>
      </x:c>
      <x:c r="F11" s="11" t="n">
        <x:v>46345</x:v>
      </x:c>
      <x:c r="G11" s="10" t="str">
        <x:v>YES</x:v>
      </x:c>
      <x:c r="H11" s="10" t="str">
        <x:v>가중 진행률 산정 대상</x:v>
      </x:c>
    </x:row>
    <x:row r="12">
      <x:c r="A12" s="26" t="str">
        <x:v>합계</x:v>
      </x:c>
      <x:c r="B12" s="26"/>
      <x:c r="C12" s="27" t="n">
        <x:f>SUM(C4:C11)</x:f>
        <x:v>1</x:v>
      </x:c>
      <x:c r="D12" s="28" t="n">
        <x:f>SUM(D4:D11)</x:f>
        <x:v>1080000000</x:v>
      </x:c>
      <x:c r="E12" s="26"/>
      <x:c r="F12" s="26"/>
      <x:c r="G12" s="26" t="str">
        <x:f>IF(AND(C12=1,D12=1080000000),"PASS","HOLD")</x:f>
        <x:v>PASS</x:v>
      </x:c>
      <x:c r="H12" s="26"/>
    </x:row>
  </x:sheetData>
  <x:mergeCells>
    <x:mergeCell ref="A1:H1"/>
    <x:mergeCell ref="A12:B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</x:cols>
  <x:sheetData>
    <x:row r="1" ht="28" customHeight="1">
      <x:c r="A1" s="4" t="str">
        <x:v>기성·선급금 검증계획</x:v>
      </x:c>
      <x:c r="B1" s="4"/>
      <x:c r="C1" s="4"/>
      <x:c r="D1" s="4"/>
      <x:c r="E1" s="4"/>
      <x:c r="F1" s="4"/>
      <x:c r="G1" s="4"/>
      <x:c r="H1" s="4"/>
    </x:row>
    <x:row r="3">
      <x:c r="A3" s="21" t="str">
        <x:v>기준일</x:v>
      </x:c>
      <x:c r="B3" s="21" t="str">
        <x:v>누계 진행률</x:v>
      </x:c>
      <x:c r="C3" s="21" t="str">
        <x:v>누계 기성</x:v>
      </x:c>
      <x:c r="D3" s="21" t="str">
        <x:v>누계 선금 공제</x:v>
      </x:c>
      <x:c r="E3" s="21" t="str">
        <x:v>금회 순청구</x:v>
      </x:c>
      <x:c r="F3" s="21" t="str">
        <x:v>선급금 잔액</x:v>
      </x:c>
      <x:c r="G3" s="21" t="str">
        <x:v>검증 상태</x:v>
      </x:c>
      <x:c r="H3" s="21" t="str">
        <x:v>비고</x:v>
      </x:c>
    </x:row>
    <x:row r="4">
      <x:c r="A4" s="11" t="n">
        <x:v>46265</x:v>
      </x:c>
      <x:c r="B4" s="22" t="n">
        <x:v>0.16</x:v>
      </x:c>
      <x:c r="C4" s="12" t="n">
        <x:v>172800000</x:v>
      </x:c>
      <x:c r="D4" s="12" t="n">
        <x:v>51840000</x:v>
      </x:c>
      <x:c r="E4" s="12" t="n">
        <x:v>120960000</x:v>
      </x:c>
      <x:c r="F4" s="12" t="n">
        <x:v>272160000</x:v>
      </x:c>
      <x:c r="G4" s="10" t="str">
        <x:v>예정</x:v>
      </x:c>
      <x:c r="H4" s="10" t="str">
        <x:v>8월 1차 기성</x:v>
      </x:c>
    </x:row>
    <x:row r="5">
      <x:c r="A5" s="11" t="n">
        <x:v>46295</x:v>
      </x:c>
      <x:c r="B5" s="22" t="n">
        <x:v>0.55</x:v>
      </x:c>
      <x:c r="C5" s="12" t="n">
        <x:v>594000000</x:v>
      </x:c>
      <x:c r="D5" s="12" t="n">
        <x:v>178200000</x:v>
      </x:c>
      <x:c r="E5" s="12" t="n">
        <x:v>294840000</x:v>
      </x:c>
      <x:c r="F5" s="12" t="n">
        <x:v>145800000</x:v>
      </x:c>
      <x:c r="G5" s="10" t="str">
        <x:v>예정</x:v>
      </x:c>
      <x:c r="H5" s="10" t="str">
        <x:v>9월 2차 기성</x:v>
      </x:c>
    </x:row>
    <x:row r="6">
      <x:c r="A6" s="11" t="n">
        <x:v>46326</x:v>
      </x:c>
      <x:c r="B6" s="22" t="n">
        <x:v>0.86</x:v>
      </x:c>
      <x:c r="C6" s="12" t="n">
        <x:v>928800000</x:v>
      </x:c>
      <x:c r="D6" s="12" t="n">
        <x:v>278640000</x:v>
      </x:c>
      <x:c r="E6" s="12" t="n">
        <x:v>234360000</x:v>
      </x:c>
      <x:c r="F6" s="12" t="n">
        <x:v>45360000</x:v>
      </x:c>
      <x:c r="G6" s="10" t="str">
        <x:v>예정</x:v>
      </x:c>
      <x:c r="H6" s="10" t="str">
        <x:v>10월 3차 기성</x:v>
      </x:c>
    </x:row>
    <x:row r="7">
      <x:c r="A7" s="11" t="n">
        <x:v>46345</x:v>
      </x:c>
      <x:c r="B7" s="22" t="n">
        <x:v>1</x:v>
      </x:c>
      <x:c r="C7" s="12" t="n">
        <x:v>1080000000</x:v>
      </x:c>
      <x:c r="D7" s="12" t="n">
        <x:v>324000000</x:v>
      </x:c>
      <x:c r="E7" s="12" t="n">
        <x:v>105840000</x:v>
      </x:c>
      <x:c r="F7" s="12" t="n">
        <x:v>0</x:v>
      </x:c>
      <x:c r="G7" s="10" t="str">
        <x:v>준공</x:v>
      </x:c>
      <x:c r="H7" s="10" t="str">
        <x:v>준공 기성</x:v>
      </x:c>
    </x:row>
    <x:row r="10">
      <x:c r="A10" s="14" t="str">
        <x:v>선급금 30% = 324,000,000원. 월마감·기성청구는 승인된 진행률 원본값을 사용합니다.</x:v>
      </x:c>
      <x:c r="B10" s="14"/>
      <x:c r="C10" s="14"/>
      <x:c r="D10" s="14"/>
      <x:c r="E10" s="14"/>
      <x:c r="F10" s="14"/>
      <x:c r="G10" s="14"/>
      <x:c r="H10" s="14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22" hidden="0" customWidth="1"/>
    <x:col min="5" max="5" width="16" hidden="0" customWidth="1"/>
    <x:col min="6" max="6" width="14" hidden="0" customWidth="1"/>
    <x:col min="7" max="7" width="14" hidden="0" customWidth="1"/>
    <x:col min="8" max="8" width="22" hidden="0" customWidth="1"/>
  </x:cols>
  <x:sheetData>
    <x:row r="1" ht="28" customHeight="1">
      <x:c r="A1" s="4" t="str">
        <x:v>직종 단가 참조(업로드 전 HQ 확인용)</x:v>
      </x:c>
      <x:c r="B1" s="4"/>
      <x:c r="C1" s="4"/>
      <x:c r="D1" s="4"/>
      <x:c r="E1" s="4"/>
      <x:c r="F1" s="4"/>
      <x:c r="G1" s="4"/>
      <x:c r="H1" s="4"/>
    </x:row>
    <x:row r="3">
      <x:c r="A3" s="21" t="str">
        <x:v>근로자</x:v>
      </x:c>
      <x:c r="B3" s="21" t="str">
        <x:v>직종 코드</x:v>
      </x:c>
      <x:c r="C3" s="21" t="str">
        <x:v>직종명</x:v>
      </x:c>
      <x:c r="D3" s="21" t="str">
        <x:v>기본 CBS</x:v>
      </x:c>
      <x:c r="E3" s="21" t="str">
        <x:v>일 단가</x:v>
      </x:c>
      <x:c r="F3" s="21" t="str">
        <x:v>적용 시작</x:v>
      </x:c>
      <x:c r="G3" s="21" t="str">
        <x:v>적용 종료</x:v>
      </x:c>
      <x:c r="H3" s="21" t="str">
        <x:v>단가 범위</x:v>
      </x:c>
    </x:row>
    <x:row r="4">
      <x:c r="A4" s="10" t="str">
        <x:v>김조경</x:v>
      </x:c>
      <x:c r="B4" s="10" t="str">
        <x:v>LAND-FOREMAN</x:v>
      </x:c>
      <x:c r="C4" s="10" t="str">
        <x:v>조경반장</x:v>
      </x:c>
      <x:c r="D4" s="10" t="str">
        <x:v>LAND-LABOR-SITE</x:v>
      </x:c>
      <x:c r="E4" s="12" t="n">
        <x:v>300000</x:v>
      </x:c>
      <x:c r="F4" s="11" t="str">
        <x:v>2026-08-20</x:v>
      </x:c>
      <x:c r="G4" s="11" t="str">
        <x:v>2026-11-19</x:v>
      </x:c>
      <x:c r="H4" s="10" t="str">
        <x:v>프로젝트+근로자</x:v>
      </x:c>
    </x:row>
    <x:row r="5">
      <x:c r="A5" s="10" t="str">
        <x:v>이식재</x:v>
      </x:c>
      <x:c r="B5" s="10" t="str">
        <x:v>LAND-PLANTER</x:v>
      </x:c>
      <x:c r="C5" s="10" t="str">
        <x:v>조경식재공</x:v>
      </x:c>
      <x:c r="D5" s="10" t="str">
        <x:v>LAND-LABOR-TREE</x:v>
      </x:c>
      <x:c r="E5" s="12" t="n">
        <x:v>250000</x:v>
      </x:c>
      <x:c r="F5" s="11" t="str">
        <x:v>2026-08-20</x:v>
      </x:c>
      <x:c r="G5" s="11" t="str">
        <x:v>2026-11-19</x:v>
      </x:c>
      <x:c r="H5" s="10" t="str">
        <x:v>프로젝트+근로자</x:v>
      </x:c>
    </x:row>
    <x:row r="6">
      <x:c r="A6" s="10" t="str">
        <x:v>박수목</x:v>
      </x:c>
      <x:c r="B6" s="10" t="str">
        <x:v>LAND-TREE-SPEC</x:v>
      </x:c>
      <x:c r="C6" s="10" t="str">
        <x:v>수목식재특수공</x:v>
      </x:c>
      <x:c r="D6" s="10" t="str">
        <x:v>LAND-LABOR-TREE</x:v>
      </x:c>
      <x:c r="E6" s="12" t="n">
        <x:v>290000</x:v>
      </x:c>
      <x:c r="F6" s="11" t="str">
        <x:v>2026-08-20</x:v>
      </x:c>
      <x:c r="G6" s="11" t="str">
        <x:v>2026-11-19</x:v>
      </x:c>
      <x:c r="H6" s="10" t="str">
        <x:v>프로젝트+근로자</x:v>
      </x:c>
    </x:row>
    <x:row r="7">
      <x:c r="A7" s="10" t="str">
        <x:v>최토공</x:v>
      </x:c>
      <x:c r="B7" s="10" t="str">
        <x:v>LAND-EARTHWORK</x:v>
      </x:c>
      <x:c r="C7" s="10" t="str">
        <x:v>조경토공</x:v>
      </x:c>
      <x:c r="D7" s="10" t="str">
        <x:v>LAND-LABOR-EARTH</x:v>
      </x:c>
      <x:c r="E7" s="12" t="n">
        <x:v>230000</x:v>
      </x:c>
      <x:c r="F7" s="11" t="str">
        <x:v>2026-08-20</x:v>
      </x:c>
      <x:c r="G7" s="11" t="str">
        <x:v>2026-11-19</x:v>
      </x:c>
      <x:c r="H7" s="10" t="str">
        <x:v>프로젝트+직종</x:v>
      </x:c>
    </x:row>
    <x:row r="8">
      <x:c r="A8" s="10" t="str">
        <x:v>정장비</x:v>
      </x:c>
      <x:c r="B8" s="10" t="str">
        <x:v>LAND-EQP-OP</x:v>
      </x:c>
      <x:c r="C8" s="10" t="str">
        <x:v>조경장비운전원</x:v>
      </x:c>
      <x:c r="D8" s="10" t="str">
        <x:v>LAND-EQP-EARTH</x:v>
      </x:c>
      <x:c r="E8" s="12" t="n">
        <x:v>300000</x:v>
      </x:c>
      <x:c r="F8" s="11" t="str">
        <x:v>2026-08-20</x:v>
      </x:c>
      <x:c r="G8" s="11" t="str">
        <x:v>2026-10-31</x:v>
      </x:c>
      <x:c r="H8" s="10" t="str">
        <x:v>프로젝트+근로자</x:v>
      </x:c>
    </x:row>
    <x:row r="9">
      <x:c r="A9" s="10" t="str">
        <x:v>정도현</x:v>
      </x:c>
      <x:c r="B9" s="10" t="str">
        <x:v>LAND-EQP-OP</x:v>
      </x:c>
      <x:c r="C9" s="10" t="str">
        <x:v>조경장비운전원</x:v>
      </x:c>
      <x:c r="D9" s="10" t="str">
        <x:v>LAND-EQP-EARTH</x:v>
      </x:c>
      <x:c r="E9" s="12" t="n">
        <x:v>320000</x:v>
      </x:c>
      <x:c r="F9" s="11" t="str">
        <x:v>2026-11-01</x:v>
      </x:c>
      <x:c r="G9" s="11" t="str">
        <x:v>2026-11-19</x:v>
      </x:c>
      <x:c r="H9" s="10" t="str">
        <x:v>프로젝트+근로자</x:v>
      </x:c>
    </x:row>
    <x:row r="10">
      <x:c r="A10" s="10" t="str">
        <x:v>한관수</x:v>
      </x:c>
      <x:c r="B10" s="10" t="str">
        <x:v>LAND-IRR-TECH</x:v>
      </x:c>
      <x:c r="C10" s="10" t="str">
        <x:v>관수시설기능공</x:v>
      </x:c>
      <x:c r="D10" s="10" t="str">
        <x:v>LAND-LABOR-IRR</x:v>
      </x:c>
      <x:c r="E10" s="12" t="n">
        <x:v>270000</x:v>
      </x:c>
      <x:c r="F10" s="11" t="str">
        <x:v>2026-09-15</x:v>
      </x:c>
      <x:c r="G10" s="11" t="str">
        <x:v>2026-10-31</x:v>
      </x:c>
      <x:c r="H10" s="10" t="str">
        <x:v>프로젝트+근로자</x:v>
      </x:c>
    </x:row>
    <x:row r="11">
      <x:c r="A11" s="10" t="str">
        <x:v>오시설</x:v>
      </x:c>
      <x:c r="B11" s="10" t="str">
        <x:v>LAND-FACILITY</x:v>
      </x:c>
      <x:c r="C11" s="10" t="str">
        <x:v>조경시설물공</x:v>
      </x:c>
      <x:c r="D11" s="10" t="str">
        <x:v>LAND-LABOR-FAC</x:v>
      </x:c>
      <x:c r="E11" s="12" t="n">
        <x:v>260000</x:v>
      </x:c>
      <x:c r="F11" s="11" t="str">
        <x:v>2026-10-01</x:v>
      </x:c>
      <x:c r="G11" s="11" t="str">
        <x:v>2026-11-10</x:v>
      </x:c>
      <x:c r="H11" s="10" t="str">
        <x:v>프로젝트+근로자</x:v>
      </x:c>
    </x:row>
    <x:row r="12">
      <x:c r="A12" s="10" t="str">
        <x:v>윤일반</x:v>
      </x:c>
      <x:c r="B12" s="10" t="str">
        <x:v>LAND-COMMON</x:v>
      </x:c>
      <x:c r="C12" s="10" t="str">
        <x:v>보통인부</x:v>
      </x:c>
      <x:c r="D12" s="10" t="str">
        <x:v>LAND-LABOR-CLOSE</x:v>
      </x:c>
      <x:c r="E12" s="12" t="n">
        <x:v>190000</x:v>
      </x:c>
      <x:c r="F12" s="11" t="str">
        <x:v>2026-08-20</x:v>
      </x:c>
      <x:c r="G12" s="11" t="str">
        <x:v>2026-11-19</x:v>
      </x:c>
      <x:c r="H12" s="10" t="str">
        <x:v>프로젝트+직종</x:v>
      </x:c>
    </x:row>
    <x:row r="13">
      <x:c r="A13" s="10" t="str">
        <x:v>장안전</x:v>
      </x:c>
      <x:c r="B13" s="10" t="str">
        <x:v>LAND-SAFETY</x:v>
      </x:c>
      <x:c r="C13" s="10" t="str">
        <x:v>안전관리원</x:v>
      </x:c>
      <x:c r="D13" s="10" t="str">
        <x:v>LAND-LABOR-SITE</x:v>
      </x:c>
      <x:c r="E13" s="12" t="n">
        <x:v>230000</x:v>
      </x:c>
      <x:c r="F13" s="11" t="str">
        <x:v>2026-08-20</x:v>
      </x:c>
      <x:c r="G13" s="11" t="str">
        <x:v>2026-09-30</x:v>
      </x:c>
      <x:c r="H13" s="10" t="str">
        <x:v>프로젝트+근로자</x:v>
      </x:c>
    </x:row>
  </x:sheetData>
  <x:mergeCells>
    <x:mergeCell ref="A1:H1"/>
  </x:mergeCells>
  <x:pageMargins left="0.7" right="0.7" top="0.75" bottom="0.75" header="0.3" footer="0.3"/>
</x:worksheet>
</file>