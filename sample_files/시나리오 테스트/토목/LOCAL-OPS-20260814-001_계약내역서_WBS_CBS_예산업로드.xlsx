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시나리오 테스트\"/>
    </mc:Choice>
  </mc:AlternateContent>
  <xr:revisionPtr revIDLastSave="0" documentId="13_ncr:1_{D08D7A38-8FFD-4698-B204-49E3AB2D437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0_사용안내" sheetId="1" r:id="rId1"/>
    <sheet name="01_프로젝트정보" sheetId="2" r:id="rId2"/>
    <sheet name="02_계약내역서" sheetId="3" r:id="rId3"/>
    <sheet name="03_WBS_CBS_예산" sheetId="4" r:id="rId4"/>
    <sheet name="04_검증요약" sheetId="5" r:id="rId5"/>
    <sheet name="05_FIELD진행계획" sheetId="6" r:id="rId6"/>
  </sheets>
  <calcPr calcId="191029"/>
</workbook>
</file>

<file path=xl/calcChain.xml><?xml version="1.0" encoding="utf-8"?>
<calcChain xmlns="http://schemas.openxmlformats.org/spreadsheetml/2006/main">
  <c r="G8" i="6" l="1"/>
  <c r="G7" i="6"/>
  <c r="G6" i="6"/>
  <c r="G5" i="6"/>
  <c r="G4" i="6"/>
  <c r="G3" i="6"/>
  <c r="G2" i="6"/>
  <c r="Q13" i="3"/>
  <c r="D6" i="5"/>
  <c r="C4" i="5"/>
  <c r="D4" i="5" s="1"/>
  <c r="C3" i="5"/>
  <c r="D3" i="5" s="1"/>
  <c r="Q12" i="3"/>
  <c r="Q11" i="3"/>
  <c r="Q10" i="3"/>
  <c r="Q9" i="3"/>
  <c r="Q8" i="3"/>
  <c r="Q7" i="3"/>
  <c r="Q6" i="3"/>
  <c r="Q5" i="3"/>
  <c r="Q4" i="3"/>
  <c r="Q3" i="3"/>
  <c r="Q2" i="3"/>
  <c r="C2" i="5" s="1"/>
  <c r="D2" i="5" s="1"/>
  <c r="C5" i="5" l="1"/>
  <c r="D5" i="5" s="1"/>
  <c r="C7" i="5" l="1"/>
  <c r="D7" i="5" s="1"/>
</calcChain>
</file>

<file path=xl/sharedStrings.xml><?xml version="1.0" encoding="utf-8"?>
<sst xmlns="http://schemas.openxmlformats.org/spreadsheetml/2006/main" count="394" uniqueCount="259">
  <si>
    <t>LOCAL-OPS 계약내역서 Excel 업로드 리허설 파일</t>
  </si>
  <si>
    <t>목적</t>
  </si>
  <si>
    <t>HQ 신규 공사 등록 후 WBS/CBS/예산을 Excel로 업로드 또는 수동 대사할 수 있도록 만든 로컬 검증용 계약내역서입니다.</t>
  </si>
  <si>
    <t>대상 프로젝트</t>
  </si>
  <si>
    <t>LOCAL-OPS-20260814-001 / 2026년 8월 로컬 검증 포장보수공사</t>
  </si>
  <si>
    <t>작성 기준</t>
  </si>
  <si>
    <t>2026-08-14 착공, 1개월 공사, 2026-08-31 월마감 리허설</t>
  </si>
  <si>
    <t>주의</t>
  </si>
  <si>
    <t>실제 개인정보·실제 계약금액이 아닌 로컬 테스트 전용 가상 데이터입니다.</t>
  </si>
  <si>
    <t>참고 양식</t>
  </si>
  <si>
    <t>업로드된 실제 계약내역서의 주요 구성(표지, 원가계산서, 내역서총괄표, 도급계약내역서)을 참고하여 ERP 업로드·대사용으로 단순화했습니다.</t>
  </si>
  <si>
    <t>사용 순서</t>
  </si>
  <si>
    <t>업무</t>
  </si>
  <si>
    <t>사용 시트</t>
  </si>
  <si>
    <t>확인 기준</t>
  </si>
  <si>
    <t>담당</t>
  </si>
  <si>
    <t>비고</t>
  </si>
  <si>
    <t>1</t>
  </si>
  <si>
    <t>HQ 신규 공사 기본정보 등록</t>
  </si>
  <si>
    <t>01_프로젝트정보</t>
  </si>
  <si>
    <t>계약금액 132,000,000원 / 기간 2026-08-14~2026-09-13</t>
  </si>
  <si>
    <t>HQ</t>
  </si>
  <si>
    <t>화면에 project code 입력란이 없으면 공사명 또는 비고에 검증코드 기록</t>
  </si>
  <si>
    <t>2</t>
  </si>
  <si>
    <t>계약내역서 Excel 업로드 또는 항목별 수동 입력</t>
  </si>
  <si>
    <t>02_계약내역서</t>
  </si>
  <si>
    <t>도급금액 합계 132,000,000원</t>
  </si>
  <si>
    <t>ERP preview에서 원본 행번호와 WBS/CBS 매핑 확인</t>
  </si>
  <si>
    <t>3</t>
  </si>
  <si>
    <t>WBS/CBS/예산 기준선 확인</t>
  </si>
  <si>
    <t>03_WBS_CBS_예산</t>
  </si>
  <si>
    <t>WBS 가중치 100%, 예산 합계 132,000,000원</t>
  </si>
  <si>
    <t>FIELD 작업 dropdown의 기준</t>
  </si>
  <si>
    <t>4</t>
  </si>
  <si>
    <t>8월 FIELD 진행률 리허설</t>
  </si>
  <si>
    <t>05_FIELD진행계획</t>
  </si>
  <si>
    <t>2026-08-31 기준 가중 진행률 70.5%</t>
  </si>
  <si>
    <t>FIELD</t>
  </si>
  <si>
    <t>CEO 대시보드 검산값</t>
  </si>
  <si>
    <t>5</t>
  </si>
  <si>
    <t>검증요약 확인</t>
  </si>
  <si>
    <t>04_검증요약</t>
  </si>
  <si>
    <t>계약금액=예산합계, WBS=100%</t>
  </si>
  <si>
    <t>HQ/CEO</t>
  </si>
  <si>
    <t>PASS/HOLD 판단</t>
  </si>
  <si>
    <t>항목</t>
  </si>
  <si>
    <t>입력값</t>
  </si>
  <si>
    <t>화면 입력/검증 위치</t>
  </si>
  <si>
    <t>검증코드</t>
  </si>
  <si>
    <t>LOCAL-OPS-20260814-001</t>
  </si>
  <si>
    <t>공사명 또는 비고</t>
  </si>
  <si>
    <t>화면에 프로젝트 코드 입력란이 없으면 공사명 앞 또는 비고에 기록</t>
  </si>
  <si>
    <t>공사명</t>
  </si>
  <si>
    <t>[LOCAL-OPS-20260814-001] 2026년 8월 로컬 검증 포장보수공사</t>
  </si>
  <si>
    <t>HQ 신규 공사 등록 &gt; 공사명</t>
  </si>
  <si>
    <t>코드 추적 목적</t>
  </si>
  <si>
    <t>발주처</t>
  </si>
  <si>
    <t>아산시 도로관리과</t>
  </si>
  <si>
    <t>HQ 신규 공사 등록 &gt; 발주처</t>
  </si>
  <si>
    <t>공사유형</t>
  </si>
  <si>
    <t>포장보수</t>
  </si>
  <si>
    <t>HQ 신규 공사 등록 &gt; 공사유형</t>
  </si>
  <si>
    <t>현장주소</t>
  </si>
  <si>
    <t>충남 아산시 테스트로 46</t>
  </si>
  <si>
    <t>HQ 신규 공사 등록 &gt; 현장주소</t>
  </si>
  <si>
    <t>가상 주소</t>
  </si>
  <si>
    <t>계약일</t>
  </si>
  <si>
    <t>HQ 신규 공사 등록 &gt; 계약일</t>
  </si>
  <si>
    <t>착공일</t>
  </si>
  <si>
    <t>HQ 신규 공사 등록 &gt; 착공일</t>
  </si>
  <si>
    <t>준공예정일</t>
  </si>
  <si>
    <t>HQ 신규 공사 등록 &gt; 준공예정일</t>
  </si>
  <si>
    <t>1개월 기간</t>
  </si>
  <si>
    <t>8월 마감 기준일</t>
  </si>
  <si>
    <t>월마감/CEO KPI 기준</t>
  </si>
  <si>
    <t>계약금액</t>
  </si>
  <si>
    <t>HQ 신규 공사 등록 &gt; 계약금액</t>
  </si>
  <si>
    <t>부가세 포함 가정</t>
  </si>
  <si>
    <t>부가세 포함 여부</t>
  </si>
  <si>
    <t>포함</t>
  </si>
  <si>
    <t>계약 기본정보</t>
  </si>
  <si>
    <t>HQ 담당자</t>
  </si>
  <si>
    <t>hq_test</t>
  </si>
  <si>
    <t>프로젝트 담당자</t>
  </si>
  <si>
    <t>테스트 계정</t>
  </si>
  <si>
    <t>FIELD 담당자</t>
  </si>
  <si>
    <t>field_test</t>
  </si>
  <si>
    <t>FIELD 배정</t>
  </si>
  <si>
    <t>ProjectAssignment 필요</t>
  </si>
  <si>
    <t>CEO 확인자</t>
  </si>
  <si>
    <t>ceo_test</t>
  </si>
  <si>
    <t>CEO 대시보드</t>
  </si>
  <si>
    <t>상태</t>
  </si>
  <si>
    <t>진행중 / Active</t>
  </si>
  <si>
    <t>프로젝트 상태</t>
  </si>
  <si>
    <t>원본행번호</t>
  </si>
  <si>
    <t>레벨</t>
  </si>
  <si>
    <t>공종코드</t>
  </si>
  <si>
    <t>WBS코드</t>
  </si>
  <si>
    <t>WBS명</t>
  </si>
  <si>
    <t>CBS코드</t>
  </si>
  <si>
    <t>CBS명</t>
  </si>
  <si>
    <t>원가구분</t>
  </si>
  <si>
    <t>품명</t>
  </si>
  <si>
    <t>규격</t>
  </si>
  <si>
    <t>수량</t>
  </si>
  <si>
    <t>단위</t>
  </si>
  <si>
    <t>도급단가</t>
  </si>
  <si>
    <t>노무비</t>
  </si>
  <si>
    <t>재료비</t>
  </si>
  <si>
    <t>경비</t>
  </si>
  <si>
    <t>도급금액</t>
  </si>
  <si>
    <t>ERP업로드상태</t>
  </si>
  <si>
    <t>1.</t>
  </si>
  <si>
    <t>WBS-01</t>
  </si>
  <si>
    <t>현장 준비 및 안전관리</t>
  </si>
  <si>
    <t>CIVIL-SAFETY</t>
  </si>
  <si>
    <t>안전관리비</t>
  </si>
  <si>
    <t>현장 인수 및 가설 안전시설</t>
  </si>
  <si>
    <t>작업구간 인수·안전표지·라바콘</t>
  </si>
  <si>
    <t>식</t>
  </si>
  <si>
    <t>2026-08-14 착수</t>
  </si>
  <si>
    <t>업로드대상</t>
  </si>
  <si>
    <t>1-1</t>
  </si>
  <si>
    <t>교통안전시설 설치 및 철거</t>
  </si>
  <si>
    <t>차량부분통제·야간안전 포함</t>
  </si>
  <si>
    <t>안전관리 포함</t>
  </si>
  <si>
    <t>2.</t>
  </si>
  <si>
    <t>WBS-02</t>
  </si>
  <si>
    <t>기존 포장 절삭</t>
  </si>
  <si>
    <t>CIVIL-EQUIP</t>
  </si>
  <si>
    <t>장비비</t>
  </si>
  <si>
    <t>아스팔트 포장 절삭</t>
  </si>
  <si>
    <t>T=5cm, 소규모 보수구간</t>
  </si>
  <si>
    <t>㎡</t>
  </si>
  <si>
    <t>절삭 장비 포함</t>
  </si>
  <si>
    <t>2-1</t>
  </si>
  <si>
    <t>CIVIL-WASTE</t>
  </si>
  <si>
    <t>폐기물처리비</t>
  </si>
  <si>
    <t>폐아스콘 상차 및 운반</t>
  </si>
  <si>
    <t>폐아스콘 임시집하·운반</t>
  </si>
  <si>
    <t>처리비 별도 정산 가능</t>
  </si>
  <si>
    <t>3.</t>
  </si>
  <si>
    <t>WBS-03</t>
  </si>
  <si>
    <t>아스콘 포장</t>
  </si>
  <si>
    <t>CIVIL-MATERIAL</t>
  </si>
  <si>
    <t>택코팅 및 아스팔트 유제</t>
  </si>
  <si>
    <t>RSC-4, 포장 전 처리</t>
  </si>
  <si>
    <t>유제 살포</t>
  </si>
  <si>
    <t>3-1</t>
  </si>
  <si>
    <t>CIVIL-ASCON-PAVING</t>
  </si>
  <si>
    <t>아스콘 포설</t>
  </si>
  <si>
    <t>기층·표층 소규모 포장</t>
  </si>
  <si>
    <t>주요 공정</t>
  </si>
  <si>
    <t>3-2</t>
  </si>
  <si>
    <t>CIVIL-QUALITY</t>
  </si>
  <si>
    <t>품질관리비</t>
  </si>
  <si>
    <t>다짐 및 품질관리</t>
  </si>
  <si>
    <t>다짐장비·현장시험</t>
  </si>
  <si>
    <t>다짐·품질시험</t>
  </si>
  <si>
    <t>4.</t>
  </si>
  <si>
    <t>WBS-04</t>
  </si>
  <si>
    <t>차선도색 및 마감</t>
  </si>
  <si>
    <t>CIVIL-LINE-MARKING</t>
  </si>
  <si>
    <t>차선도색</t>
  </si>
  <si>
    <t>백색/황색 실선 및 기호</t>
  </si>
  <si>
    <t>부분통제 포함</t>
  </si>
  <si>
    <t>4-1</t>
  </si>
  <si>
    <t>CIVIL-FINISH</t>
  </si>
  <si>
    <t>마감공사</t>
  </si>
  <si>
    <t>현장정리 및 마감</t>
  </si>
  <si>
    <t>시설물 원상복구·마감</t>
  </si>
  <si>
    <t>준공 전 정리</t>
  </si>
  <si>
    <t>5.</t>
  </si>
  <si>
    <t>WBS-05</t>
  </si>
  <si>
    <t>정리·검측·준공자료</t>
  </si>
  <si>
    <t>CIVIL-DOCUMENT</t>
  </si>
  <si>
    <t>준공자료</t>
  </si>
  <si>
    <t>검측 및 준공도서 작성</t>
  </si>
  <si>
    <t>검측자료·사진대지·준공서류</t>
  </si>
  <si>
    <t>5-1</t>
  </si>
  <si>
    <t>CIVIL-CLEANUP</t>
  </si>
  <si>
    <t>현장정리</t>
  </si>
  <si>
    <t>준공청소 및 폐기물 정리</t>
  </si>
  <si>
    <t>잔재물 정리·청소</t>
  </si>
  <si>
    <t>마무리</t>
  </si>
  <si>
    <t>공사코드</t>
  </si>
  <si>
    <t>진행률가중치(%)</t>
  </si>
  <si>
    <t>예산금액</t>
  </si>
  <si>
    <t>계약내역서_행번호</t>
  </si>
  <si>
    <t>원본_공종명</t>
  </si>
  <si>
    <t>단가</t>
  </si>
  <si>
    <t>금액</t>
  </si>
  <si>
    <t>ERP지원여부</t>
  </si>
  <si>
    <t>입력방식</t>
  </si>
  <si>
    <t>필수여부</t>
  </si>
  <si>
    <t>검증방법</t>
  </si>
  <si>
    <t>2026년 8월 로컬 검증 포장보수공사</t>
  </si>
  <si>
    <t>1,2</t>
  </si>
  <si>
    <t>지원</t>
  </si>
  <si>
    <t>Excel import 또는 수동</t>
  </si>
  <si>
    <t>필수</t>
  </si>
  <si>
    <t>WBS 가중치와 예산 합계 확인</t>
  </si>
  <si>
    <t>8월 14~17일 FIELD 진행</t>
  </si>
  <si>
    <t>CIVIL-EQUIP/WASTE</t>
  </si>
  <si>
    <t>장비비·폐기물처리비</t>
  </si>
  <si>
    <t>3,4</t>
  </si>
  <si>
    <t>절삭 공정 dropdown 확인</t>
  </si>
  <si>
    <t>8월 18~20일 FIELD 진행</t>
  </si>
  <si>
    <t>5,6,7</t>
  </si>
  <si>
    <t>Excel import 권장</t>
  </si>
  <si>
    <t>주요 공정 예산 대사</t>
  </si>
  <si>
    <t>8월 24~27일 FIELD 진행</t>
  </si>
  <si>
    <t>CIVIL-LINE-MARKING/FINISH</t>
  </si>
  <si>
    <t>차선도색·마감공사</t>
  </si>
  <si>
    <t>8,9</t>
  </si>
  <si>
    <t>마감 공정 확인</t>
  </si>
  <si>
    <t>8월 31일 FIELD 진행</t>
  </si>
  <si>
    <t>CIVIL-DOCUMENT/CLEANUP</t>
  </si>
  <si>
    <t>준공자료·현장정리</t>
  </si>
  <si>
    <t>10,11</t>
  </si>
  <si>
    <t>잔여 WBS 포함 확인</t>
  </si>
  <si>
    <t>9월 예정 공정</t>
  </si>
  <si>
    <t>검증 항목</t>
  </si>
  <si>
    <t>기대값</t>
  </si>
  <si>
    <t>계산값</t>
  </si>
  <si>
    <t>판정</t>
  </si>
  <si>
    <t>계약내역서 도급금액 합계</t>
  </si>
  <si>
    <t>WBS 예산 합계</t>
  </si>
  <si>
    <t>WBS/CBS/예산 시트 합계</t>
  </si>
  <si>
    <t>WBS 가중치 합계</t>
  </si>
  <si>
    <t>FIELD 진행률 계산 기준</t>
  </si>
  <si>
    <t>8월 말 가중 진행률</t>
  </si>
  <si>
    <t>2026-08-31 기준</t>
  </si>
  <si>
    <t>8월 예상 노무비</t>
  </si>
  <si>
    <t>별도 LABPAY 시나리오와 대사</t>
  </si>
  <si>
    <t>잠정 매출</t>
  </si>
  <si>
    <t>PROGRESS_BASED_PROVISIONAL</t>
  </si>
  <si>
    <t>일자</t>
  </si>
  <si>
    <t>WBS비중(%)</t>
  </si>
  <si>
    <t>누적진행률(%)</t>
  </si>
  <si>
    <t>업무내용</t>
  </si>
  <si>
    <t>가중기여도(%)</t>
  </si>
  <si>
    <t>입력담당</t>
  </si>
  <si>
    <t>검증포인트</t>
  </si>
  <si>
    <t>현장 인수, 안전표지 설치, 작업구간 확인</t>
  </si>
  <si>
    <t>임시저장 가능</t>
  </si>
  <si>
    <t>안전시설 설치 완료</t>
  </si>
  <si>
    <t>WBS-01 완료</t>
  </si>
  <si>
    <t>절삭 장비 반입, 일부 구간 절삭</t>
  </si>
  <si>
    <t>작업 dropdown 확인</t>
  </si>
  <si>
    <t>절삭 완료</t>
  </si>
  <si>
    <t>WBS-02 완료</t>
  </si>
  <si>
    <t>1차 아스콘 포장</t>
  </si>
  <si>
    <t>WBS-03 진행</t>
  </si>
  <si>
    <t>2차 아스콘 포장</t>
  </si>
  <si>
    <t>WBS-03 80%</t>
  </si>
  <si>
    <t>일부 차선도색 및 마감 작업</t>
  </si>
  <si>
    <t>8월 마감 전 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</si>
</sst>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center" wrapText="1"/>
    </xf>
    <xf numFmtId="176" fontId="0" fillId="0" borderId="0" xfId="1" applyNumberFormat="1" applyFont="1"/>
    <xf numFmtId="3" fontId="0" fillId="0" borderId="0" xfId="1" applyNumberFormat="1" applyFont="1"/>
    <xf numFmtId="4" fontId="0" fillId="0" borderId="0" xfId="1" applyNumberFormat="1" applyFont="1"/>
    <xf numFmtId="2" fontId="0" fillId="0" borderId="0" xfId="1" applyNumberFormat="1" applyFont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표준" xfId="0" builtinId="0"/>
  </cellStyles>
  <dxfs count="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ctDetailTable" displayName="ContractDetailTable" ref="A1:S13" totalsRowCount="1">
  <tableColumns count="19">
    <tableColumn id="1" xr3:uid="{00000000-0010-0000-0000-000001000000}" name="원본행번호"/>
    <tableColumn id="2" xr3:uid="{00000000-0010-0000-0000-000002000000}" name="레벨"/>
    <tableColumn id="3" xr3:uid="{00000000-0010-0000-0000-000003000000}" name="공종코드"/>
    <tableColumn id="4" xr3:uid="{00000000-0010-0000-0000-000004000000}" name="WBS코드"/>
    <tableColumn id="5" xr3:uid="{00000000-0010-0000-0000-000005000000}" name="WBS명"/>
    <tableColumn id="6" xr3:uid="{00000000-0010-0000-0000-000006000000}" name="CBS코드"/>
    <tableColumn id="7" xr3:uid="{00000000-0010-0000-0000-000007000000}" name="CBS명"/>
    <tableColumn id="8" xr3:uid="{00000000-0010-0000-0000-000008000000}" name="원가구분"/>
    <tableColumn id="9" xr3:uid="{00000000-0010-0000-0000-000009000000}" name="품명"/>
    <tableColumn id="10" xr3:uid="{00000000-0010-0000-0000-00000A000000}" name="규격"/>
    <tableColumn id="11" xr3:uid="{00000000-0010-0000-0000-00000B000000}" name="수량"/>
    <tableColumn id="12" xr3:uid="{00000000-0010-0000-0000-00000C000000}" name="단위"/>
    <tableColumn id="13" xr3:uid="{00000000-0010-0000-0000-00000D000000}" name="도급단가"/>
    <tableColumn id="14" xr3:uid="{00000000-0010-0000-0000-00000E000000}" name="노무비"/>
    <tableColumn id="15" xr3:uid="{00000000-0010-0000-0000-00000F000000}" name="재료비"/>
    <tableColumn id="16" xr3:uid="{00000000-0010-0000-0000-000010000000}" name="경비"/>
    <tableColumn id="17" xr3:uid="{00000000-0010-0000-0000-000011000000}" name="도급금액" totalsRowFunction="sum"/>
    <tableColumn id="18" xr3:uid="{00000000-0010-0000-0000-000012000000}" name="비고"/>
    <tableColumn id="19" xr3:uid="{00000000-0010-0000-0000-000013000000}" name="ERP업로드상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bsCbsBudgetTable" displayName="WbsCbsBudgetTable" ref="A1:T6" totalsRowShown="0">
  <tableColumns count="20">
    <tableColumn id="1" xr3:uid="{00000000-0010-0000-0100-000001000000}" name="공사코드"/>
    <tableColumn id="2" xr3:uid="{00000000-0010-0000-0100-000002000000}" name="공사명"/>
    <tableColumn id="3" xr3:uid="{00000000-0010-0000-0100-000003000000}" name="WBS코드"/>
    <tableColumn id="4" xr3:uid="{00000000-0010-0000-0100-000004000000}" name="WBS명"/>
    <tableColumn id="5" xr3:uid="{00000000-0010-0000-0100-000005000000}" name="진행률가중치(%)"/>
    <tableColumn id="6" xr3:uid="{00000000-0010-0000-0100-000006000000}" name="CBS코드"/>
    <tableColumn id="7" xr3:uid="{00000000-0010-0000-0100-000007000000}" name="CBS명"/>
    <tableColumn id="8" xr3:uid="{00000000-0010-0000-0100-000008000000}" name="원가구분"/>
    <tableColumn id="9" xr3:uid="{00000000-0010-0000-0100-000009000000}" name="예산금액"/>
    <tableColumn id="10" xr3:uid="{00000000-0010-0000-0100-00000A000000}" name="계약내역서_행번호"/>
    <tableColumn id="11" xr3:uid="{00000000-0010-0000-0100-00000B000000}" name="원본_공종명"/>
    <tableColumn id="12" xr3:uid="{00000000-0010-0000-0100-00000C000000}" name="수량"/>
    <tableColumn id="13" xr3:uid="{00000000-0010-0000-0100-00000D000000}" name="단위"/>
    <tableColumn id="14" xr3:uid="{00000000-0010-0000-0100-00000E000000}" name="단가"/>
    <tableColumn id="15" xr3:uid="{00000000-0010-0000-0100-00000F000000}" name="금액"/>
    <tableColumn id="16" xr3:uid="{00000000-0010-0000-0100-000010000000}" name="ERP지원여부"/>
    <tableColumn id="17" xr3:uid="{00000000-0010-0000-0100-000011000000}" name="입력방식"/>
    <tableColumn id="18" xr3:uid="{00000000-0010-0000-0100-000012000000}" name="필수여부"/>
    <tableColumn id="19" xr3:uid="{00000000-0010-0000-0100-000013000000}" name="검증방법"/>
    <tableColumn id="20" xr3:uid="{00000000-0010-0000-0100-000014000000}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ProgressPlanTable" displayName="FieldProgressPlanTable" ref="A1:I8" totalsRowShown="0">
  <tableColumns count="9">
    <tableColumn id="1" xr3:uid="{00000000-0010-0000-0200-000001000000}" name="일자"/>
    <tableColumn id="2" xr3:uid="{00000000-0010-0000-0200-000002000000}" name="WBS코드"/>
    <tableColumn id="3" xr3:uid="{00000000-0010-0000-0200-000003000000}" name="WBS명"/>
    <tableColumn id="4" xr3:uid="{00000000-0010-0000-0200-000004000000}" name="WBS비중(%)"/>
    <tableColumn id="5" xr3:uid="{00000000-0010-0000-0200-000005000000}" name="누적진행률(%)"/>
    <tableColumn id="6" xr3:uid="{00000000-0010-0000-0200-000006000000}" name="업무내용"/>
    <tableColumn id="7" xr3:uid="{00000000-0010-0000-0200-000007000000}" name="가중기여도(%)"/>
    <tableColumn id="8" xr3:uid="{00000000-0010-0000-0200-000008000000}" name="입력담당"/>
    <tableColumn id="9" xr3:uid="{00000000-0010-0000-0200-000009000000}" name="검증포인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A2" sqref="A2"/>
    </sheetView>
  </sheetViews>
  <sheetFormatPr defaultRowHeight="14.25"/>
  <cols>
    <col min="1" max="1" width="14" customWidth="1"/>
    <col min="2" max="2" width="45" customWidth="1"/>
    <col min="3" max="6" width="22" customWidth="1"/>
  </cols>
  <sheetData>
    <row r="1" spans="1:6">
      <c r="A1" s="7" t="s">
        <v>0</v>
      </c>
      <c r="B1" s="8"/>
      <c r="C1" s="8"/>
      <c r="D1" s="8"/>
      <c r="E1" s="8"/>
      <c r="F1" s="8"/>
    </row>
    <row r="2" spans="1:6" ht="42.75">
      <c r="A2" s="1" t="s">
        <v>1</v>
      </c>
      <c r="B2" s="1" t="s">
        <v>2</v>
      </c>
      <c r="C2" s="1"/>
      <c r="D2" s="1"/>
      <c r="E2" s="1"/>
      <c r="F2" s="1"/>
    </row>
    <row r="3" spans="1:6" ht="28.5">
      <c r="A3" s="1" t="s">
        <v>3</v>
      </c>
      <c r="B3" s="1" t="s">
        <v>4</v>
      </c>
      <c r="C3" s="1"/>
      <c r="D3" s="1"/>
      <c r="E3" s="1"/>
      <c r="F3" s="1"/>
    </row>
    <row r="4" spans="1:6" ht="28.5">
      <c r="A4" s="1" t="s">
        <v>5</v>
      </c>
      <c r="B4" s="1" t="s">
        <v>6</v>
      </c>
      <c r="C4" s="1"/>
      <c r="D4" s="1"/>
      <c r="E4" s="1"/>
      <c r="F4" s="1"/>
    </row>
    <row r="5" spans="1:6" ht="28.5">
      <c r="A5" s="1" t="s">
        <v>7</v>
      </c>
      <c r="B5" s="1" t="s">
        <v>8</v>
      </c>
      <c r="C5" s="1"/>
      <c r="D5" s="1"/>
      <c r="E5" s="1"/>
      <c r="F5" s="1"/>
    </row>
    <row r="6" spans="1:6" ht="42.75">
      <c r="A6" s="1" t="s">
        <v>9</v>
      </c>
      <c r="B6" s="1" t="s">
        <v>10</v>
      </c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 ht="15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</row>
    <row r="9" spans="1:6" ht="42.7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</row>
    <row r="10" spans="1:6" ht="42.75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21</v>
      </c>
      <c r="F10" s="1" t="s">
        <v>27</v>
      </c>
    </row>
    <row r="11" spans="1:6" ht="28.5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21</v>
      </c>
      <c r="F11" s="1" t="s">
        <v>32</v>
      </c>
    </row>
    <row r="12" spans="1:6" ht="28.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37</v>
      </c>
      <c r="F12" s="1" t="s">
        <v>38</v>
      </c>
    </row>
    <row r="13" spans="1:6" ht="28.5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defaultRowHeight="14.25"/>
  <cols>
    <col min="1" max="1" width="18" customWidth="1"/>
    <col min="2" max="2" width="48" customWidth="1"/>
    <col min="3" max="3" width="36" customWidth="1"/>
    <col min="4" max="4" width="30" customWidth="1"/>
  </cols>
  <sheetData>
    <row r="1" spans="1:4" ht="15">
      <c r="A1" s="2" t="s">
        <v>45</v>
      </c>
      <c r="B1" s="2" t="s">
        <v>46</v>
      </c>
      <c r="C1" s="2" t="s">
        <v>47</v>
      </c>
      <c r="D1" s="2" t="s">
        <v>16</v>
      </c>
    </row>
    <row r="2" spans="1:4">
      <c r="A2" t="s">
        <v>48</v>
      </c>
      <c r="B2" t="s">
        <v>49</v>
      </c>
      <c r="C2" t="s">
        <v>50</v>
      </c>
      <c r="D2" t="s">
        <v>51</v>
      </c>
    </row>
    <row r="3" spans="1:4">
      <c r="A3" t="s">
        <v>52</v>
      </c>
      <c r="B3" t="s">
        <v>53</v>
      </c>
      <c r="C3" t="s">
        <v>54</v>
      </c>
      <c r="D3" t="s">
        <v>55</v>
      </c>
    </row>
    <row r="4" spans="1:4">
      <c r="A4" t="s">
        <v>56</v>
      </c>
      <c r="B4" t="s">
        <v>57</v>
      </c>
      <c r="C4" t="s">
        <v>58</v>
      </c>
    </row>
    <row r="5" spans="1:4">
      <c r="A5" t="s">
        <v>59</v>
      </c>
      <c r="B5" t="s">
        <v>60</v>
      </c>
      <c r="C5" t="s">
        <v>61</v>
      </c>
    </row>
    <row r="6" spans="1:4">
      <c r="A6" t="s">
        <v>62</v>
      </c>
      <c r="B6" t="s">
        <v>63</v>
      </c>
      <c r="C6" t="s">
        <v>64</v>
      </c>
      <c r="D6" t="s">
        <v>65</v>
      </c>
    </row>
    <row r="7" spans="1:4">
      <c r="A7" t="s">
        <v>66</v>
      </c>
      <c r="B7" s="3">
        <v>46248</v>
      </c>
      <c r="C7" t="s">
        <v>67</v>
      </c>
    </row>
    <row r="8" spans="1:4">
      <c r="A8" t="s">
        <v>68</v>
      </c>
      <c r="B8" s="3">
        <v>46248</v>
      </c>
      <c r="C8" t="s">
        <v>69</v>
      </c>
    </row>
    <row r="9" spans="1:4">
      <c r="A9" t="s">
        <v>70</v>
      </c>
      <c r="B9" s="3">
        <v>46278</v>
      </c>
      <c r="C9" t="s">
        <v>71</v>
      </c>
      <c r="D9" t="s">
        <v>72</v>
      </c>
    </row>
    <row r="10" spans="1:4">
      <c r="A10" t="s">
        <v>73</v>
      </c>
      <c r="B10" s="3">
        <v>46265</v>
      </c>
      <c r="C10" t="s">
        <v>74</v>
      </c>
    </row>
    <row r="11" spans="1:4">
      <c r="A11" t="s">
        <v>75</v>
      </c>
      <c r="B11" s="4">
        <v>132000000</v>
      </c>
      <c r="C11" t="s">
        <v>76</v>
      </c>
      <c r="D11" t="s">
        <v>77</v>
      </c>
    </row>
    <row r="12" spans="1:4">
      <c r="A12" t="s">
        <v>78</v>
      </c>
      <c r="B12" t="s">
        <v>79</v>
      </c>
      <c r="C12" t="s">
        <v>80</v>
      </c>
    </row>
    <row r="13" spans="1:4">
      <c r="A13" t="s">
        <v>81</v>
      </c>
      <c r="B13" t="s">
        <v>82</v>
      </c>
      <c r="C13" t="s">
        <v>83</v>
      </c>
      <c r="D13" t="s">
        <v>84</v>
      </c>
    </row>
    <row r="14" spans="1:4">
      <c r="A14" t="s">
        <v>85</v>
      </c>
      <c r="B14" t="s">
        <v>86</v>
      </c>
      <c r="C14" t="s">
        <v>87</v>
      </c>
      <c r="D14" t="s">
        <v>88</v>
      </c>
    </row>
    <row r="15" spans="1:4">
      <c r="A15" t="s">
        <v>89</v>
      </c>
      <c r="B15" t="s">
        <v>90</v>
      </c>
      <c r="C15" t="s">
        <v>91</v>
      </c>
    </row>
    <row r="16" spans="1:4">
      <c r="A16" t="s">
        <v>92</v>
      </c>
      <c r="B16" t="s">
        <v>93</v>
      </c>
      <c r="C16" t="s">
        <v>94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3"/>
  <sheetViews>
    <sheetView tabSelected="1" zoomScale="90" zoomScaleNormal="90" workbookViewId="0">
      <selection activeCell="G14" sqref="G14"/>
    </sheetView>
  </sheetViews>
  <sheetFormatPr defaultRowHeight="14.25"/>
  <cols>
    <col min="1" max="1" width="11" bestFit="1" customWidth="1"/>
    <col min="2" max="2" width="5.25" bestFit="1" customWidth="1"/>
    <col min="3" max="3" width="9" bestFit="1" customWidth="1"/>
    <col min="4" max="4" width="9.5" bestFit="1" customWidth="1"/>
    <col min="5" max="5" width="21" bestFit="1" customWidth="1"/>
    <col min="6" max="6" width="21.125" bestFit="1" customWidth="1"/>
    <col min="7" max="7" width="13" bestFit="1" customWidth="1"/>
    <col min="8" max="8" width="9" bestFit="1" customWidth="1"/>
    <col min="9" max="9" width="25.625" bestFit="1" customWidth="1"/>
    <col min="10" max="10" width="29.5" bestFit="1" customWidth="1"/>
    <col min="11" max="11" width="7" bestFit="1" customWidth="1"/>
    <col min="12" max="12" width="5.25" bestFit="1" customWidth="1"/>
    <col min="13" max="17" width="10.5" bestFit="1" customWidth="1"/>
    <col min="18" max="18" width="21" bestFit="1" customWidth="1"/>
    <col min="19" max="19" width="15.25" bestFit="1" customWidth="1"/>
  </cols>
  <sheetData>
    <row r="1" spans="1:19" ht="15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  <c r="K1" s="2" t="s">
        <v>105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16</v>
      </c>
      <c r="S1" s="2" t="s">
        <v>112</v>
      </c>
    </row>
    <row r="2" spans="1:19">
      <c r="A2">
        <v>1</v>
      </c>
      <c r="B2">
        <v>1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110</v>
      </c>
      <c r="I2" t="s">
        <v>118</v>
      </c>
      <c r="J2" t="s">
        <v>119</v>
      </c>
      <c r="K2" s="5">
        <v>1</v>
      </c>
      <c r="L2" t="s">
        <v>120</v>
      </c>
      <c r="M2" s="4">
        <v>8000000</v>
      </c>
      <c r="N2" s="4">
        <v>4200000</v>
      </c>
      <c r="O2" s="4">
        <v>2000000</v>
      </c>
      <c r="P2" s="4">
        <v>1800000</v>
      </c>
      <c r="Q2" s="4">
        <f t="shared" ref="Q2:Q12" si="0">N2+O2+P2</f>
        <v>8000000</v>
      </c>
      <c r="R2" t="s">
        <v>121</v>
      </c>
      <c r="S2" t="s">
        <v>122</v>
      </c>
    </row>
    <row r="3" spans="1:19">
      <c r="A3">
        <v>2</v>
      </c>
      <c r="B3">
        <v>2</v>
      </c>
      <c r="C3" t="s">
        <v>123</v>
      </c>
      <c r="D3" t="s">
        <v>114</v>
      </c>
      <c r="E3" t="s">
        <v>115</v>
      </c>
      <c r="F3" t="s">
        <v>116</v>
      </c>
      <c r="G3" t="s">
        <v>117</v>
      </c>
      <c r="H3" t="s">
        <v>110</v>
      </c>
      <c r="I3" t="s">
        <v>124</v>
      </c>
      <c r="J3" t="s">
        <v>125</v>
      </c>
      <c r="K3" s="5">
        <v>1</v>
      </c>
      <c r="L3" t="s">
        <v>120</v>
      </c>
      <c r="M3" s="4">
        <v>5200000</v>
      </c>
      <c r="N3" s="4">
        <v>1800000</v>
      </c>
      <c r="O3" s="4">
        <v>2400000</v>
      </c>
      <c r="P3" s="4">
        <v>1000000</v>
      </c>
      <c r="Q3" s="4">
        <f t="shared" si="0"/>
        <v>5200000</v>
      </c>
      <c r="R3" t="s">
        <v>126</v>
      </c>
      <c r="S3" t="s">
        <v>122</v>
      </c>
    </row>
    <row r="4" spans="1:19">
      <c r="A4">
        <v>3</v>
      </c>
      <c r="B4">
        <v>1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110</v>
      </c>
      <c r="I4" t="s">
        <v>132</v>
      </c>
      <c r="J4" t="s">
        <v>133</v>
      </c>
      <c r="K4" s="5">
        <v>500</v>
      </c>
      <c r="L4" t="s">
        <v>134</v>
      </c>
      <c r="M4" s="4">
        <v>32000</v>
      </c>
      <c r="N4" s="4">
        <v>6000000</v>
      </c>
      <c r="O4" s="4">
        <v>0</v>
      </c>
      <c r="P4" s="4">
        <v>10000000</v>
      </c>
      <c r="Q4" s="4">
        <f t="shared" si="0"/>
        <v>16000000</v>
      </c>
      <c r="R4" t="s">
        <v>135</v>
      </c>
      <c r="S4" t="s">
        <v>122</v>
      </c>
    </row>
    <row r="5" spans="1:19">
      <c r="A5">
        <v>4</v>
      </c>
      <c r="B5">
        <v>2</v>
      </c>
      <c r="C5" t="s">
        <v>136</v>
      </c>
      <c r="D5" t="s">
        <v>128</v>
      </c>
      <c r="E5" t="s">
        <v>129</v>
      </c>
      <c r="F5" t="s">
        <v>137</v>
      </c>
      <c r="G5" t="s">
        <v>138</v>
      </c>
      <c r="H5" t="s">
        <v>110</v>
      </c>
      <c r="I5" t="s">
        <v>139</v>
      </c>
      <c r="J5" t="s">
        <v>140</v>
      </c>
      <c r="K5" s="5">
        <v>1</v>
      </c>
      <c r="L5" t="s">
        <v>120</v>
      </c>
      <c r="M5" s="4">
        <v>10400000</v>
      </c>
      <c r="N5" s="4">
        <v>2000000</v>
      </c>
      <c r="O5" s="4">
        <v>400000</v>
      </c>
      <c r="P5" s="4">
        <v>8000000</v>
      </c>
      <c r="Q5" s="4">
        <f t="shared" si="0"/>
        <v>10400000</v>
      </c>
      <c r="R5" t="s">
        <v>141</v>
      </c>
      <c r="S5" t="s">
        <v>122</v>
      </c>
    </row>
    <row r="6" spans="1:19">
      <c r="A6">
        <v>5</v>
      </c>
      <c r="B6">
        <v>1</v>
      </c>
      <c r="C6" t="s">
        <v>142</v>
      </c>
      <c r="D6" t="s">
        <v>143</v>
      </c>
      <c r="E6" t="s">
        <v>144</v>
      </c>
      <c r="F6" t="s">
        <v>145</v>
      </c>
      <c r="G6" t="s">
        <v>109</v>
      </c>
      <c r="H6" t="s">
        <v>109</v>
      </c>
      <c r="I6" t="s">
        <v>146</v>
      </c>
      <c r="J6" t="s">
        <v>147</v>
      </c>
      <c r="K6" s="5">
        <v>500</v>
      </c>
      <c r="L6" t="s">
        <v>134</v>
      </c>
      <c r="M6" s="4">
        <v>6000</v>
      </c>
      <c r="N6" s="4">
        <v>500000</v>
      </c>
      <c r="O6" s="4">
        <v>2300000</v>
      </c>
      <c r="P6" s="4">
        <v>200000</v>
      </c>
      <c r="Q6" s="4">
        <f t="shared" si="0"/>
        <v>3000000</v>
      </c>
      <c r="R6" t="s">
        <v>148</v>
      </c>
      <c r="S6" t="s">
        <v>122</v>
      </c>
    </row>
    <row r="7" spans="1:19">
      <c r="A7">
        <v>6</v>
      </c>
      <c r="B7">
        <v>2</v>
      </c>
      <c r="C7" t="s">
        <v>149</v>
      </c>
      <c r="D7" t="s">
        <v>143</v>
      </c>
      <c r="E7" t="s">
        <v>144</v>
      </c>
      <c r="F7" t="s">
        <v>150</v>
      </c>
      <c r="G7" t="s">
        <v>144</v>
      </c>
      <c r="H7" t="s">
        <v>109</v>
      </c>
      <c r="I7" t="s">
        <v>151</v>
      </c>
      <c r="J7" t="s">
        <v>152</v>
      </c>
      <c r="K7" s="5">
        <v>500</v>
      </c>
      <c r="L7" t="s">
        <v>134</v>
      </c>
      <c r="M7" s="4">
        <v>96000</v>
      </c>
      <c r="N7" s="4">
        <v>15000000</v>
      </c>
      <c r="O7" s="4">
        <v>28000000</v>
      </c>
      <c r="P7" s="4">
        <v>5000000</v>
      </c>
      <c r="Q7" s="4">
        <f t="shared" si="0"/>
        <v>48000000</v>
      </c>
      <c r="R7" t="s">
        <v>153</v>
      </c>
      <c r="S7" t="s">
        <v>122</v>
      </c>
    </row>
    <row r="8" spans="1:19">
      <c r="A8">
        <v>7</v>
      </c>
      <c r="B8">
        <v>2</v>
      </c>
      <c r="C8" t="s">
        <v>154</v>
      </c>
      <c r="D8" t="s">
        <v>143</v>
      </c>
      <c r="E8" t="s">
        <v>144</v>
      </c>
      <c r="F8" t="s">
        <v>155</v>
      </c>
      <c r="G8" t="s">
        <v>156</v>
      </c>
      <c r="H8" t="s">
        <v>110</v>
      </c>
      <c r="I8" t="s">
        <v>157</v>
      </c>
      <c r="J8" t="s">
        <v>158</v>
      </c>
      <c r="K8" s="5">
        <v>1</v>
      </c>
      <c r="L8" t="s">
        <v>120</v>
      </c>
      <c r="M8" s="4">
        <v>8400000</v>
      </c>
      <c r="N8" s="4">
        <v>3000000</v>
      </c>
      <c r="O8" s="4">
        <v>0</v>
      </c>
      <c r="P8" s="4">
        <v>5400000</v>
      </c>
      <c r="Q8" s="4">
        <f t="shared" si="0"/>
        <v>8400000</v>
      </c>
      <c r="R8" t="s">
        <v>159</v>
      </c>
      <c r="S8" t="s">
        <v>122</v>
      </c>
    </row>
    <row r="9" spans="1:19">
      <c r="A9">
        <v>8</v>
      </c>
      <c r="B9">
        <v>1</v>
      </c>
      <c r="C9" t="s">
        <v>160</v>
      </c>
      <c r="D9" t="s">
        <v>161</v>
      </c>
      <c r="E9" t="s">
        <v>162</v>
      </c>
      <c r="F9" t="s">
        <v>163</v>
      </c>
      <c r="G9" t="s">
        <v>164</v>
      </c>
      <c r="H9" t="s">
        <v>110</v>
      </c>
      <c r="I9" t="s">
        <v>164</v>
      </c>
      <c r="J9" t="s">
        <v>165</v>
      </c>
      <c r="K9" s="5">
        <v>1</v>
      </c>
      <c r="L9" t="s">
        <v>120</v>
      </c>
      <c r="M9" s="4">
        <v>12000000</v>
      </c>
      <c r="N9" s="4">
        <v>3000000</v>
      </c>
      <c r="O9" s="4">
        <v>6000000</v>
      </c>
      <c r="P9" s="4">
        <v>3000000</v>
      </c>
      <c r="Q9" s="4">
        <f t="shared" si="0"/>
        <v>12000000</v>
      </c>
      <c r="R9" t="s">
        <v>166</v>
      </c>
      <c r="S9" t="s">
        <v>122</v>
      </c>
    </row>
    <row r="10" spans="1:19">
      <c r="A10">
        <v>9</v>
      </c>
      <c r="B10">
        <v>2</v>
      </c>
      <c r="C10" t="s">
        <v>167</v>
      </c>
      <c r="D10" t="s">
        <v>161</v>
      </c>
      <c r="E10" t="s">
        <v>162</v>
      </c>
      <c r="F10" t="s">
        <v>168</v>
      </c>
      <c r="G10" t="s">
        <v>169</v>
      </c>
      <c r="H10" t="s">
        <v>110</v>
      </c>
      <c r="I10" t="s">
        <v>170</v>
      </c>
      <c r="J10" t="s">
        <v>171</v>
      </c>
      <c r="K10" s="5">
        <v>1</v>
      </c>
      <c r="L10" t="s">
        <v>120</v>
      </c>
      <c r="M10" s="4">
        <v>7800000</v>
      </c>
      <c r="N10" s="4">
        <v>4000000</v>
      </c>
      <c r="O10" s="4">
        <v>1000000</v>
      </c>
      <c r="P10" s="4">
        <v>2800000</v>
      </c>
      <c r="Q10" s="4">
        <f t="shared" si="0"/>
        <v>7800000</v>
      </c>
      <c r="R10" t="s">
        <v>172</v>
      </c>
      <c r="S10" t="s">
        <v>122</v>
      </c>
    </row>
    <row r="11" spans="1:19">
      <c r="A11">
        <v>10</v>
      </c>
      <c r="B11">
        <v>1</v>
      </c>
      <c r="C11" t="s">
        <v>173</v>
      </c>
      <c r="D11" t="s">
        <v>174</v>
      </c>
      <c r="E11" t="s">
        <v>175</v>
      </c>
      <c r="F11" t="s">
        <v>176</v>
      </c>
      <c r="G11" t="s">
        <v>177</v>
      </c>
      <c r="H11" t="s">
        <v>110</v>
      </c>
      <c r="I11" t="s">
        <v>178</v>
      </c>
      <c r="J11" t="s">
        <v>179</v>
      </c>
      <c r="K11" s="5">
        <v>1</v>
      </c>
      <c r="L11" t="s">
        <v>120</v>
      </c>
      <c r="M11" s="4">
        <v>8000000</v>
      </c>
      <c r="N11" s="4">
        <v>5000000</v>
      </c>
      <c r="O11" s="4">
        <v>0</v>
      </c>
      <c r="P11" s="4">
        <v>3000000</v>
      </c>
      <c r="Q11" s="4">
        <f t="shared" si="0"/>
        <v>8000000</v>
      </c>
      <c r="R11" t="s">
        <v>177</v>
      </c>
      <c r="S11" t="s">
        <v>122</v>
      </c>
    </row>
    <row r="12" spans="1:19">
      <c r="A12">
        <v>11</v>
      </c>
      <c r="B12">
        <v>2</v>
      </c>
      <c r="C12" t="s">
        <v>180</v>
      </c>
      <c r="D12" t="s">
        <v>174</v>
      </c>
      <c r="E12" t="s">
        <v>175</v>
      </c>
      <c r="F12" t="s">
        <v>181</v>
      </c>
      <c r="G12" t="s">
        <v>182</v>
      </c>
      <c r="H12" t="s">
        <v>110</v>
      </c>
      <c r="I12" t="s">
        <v>183</v>
      </c>
      <c r="J12" t="s">
        <v>184</v>
      </c>
      <c r="K12" s="5">
        <v>1</v>
      </c>
      <c r="L12" t="s">
        <v>120</v>
      </c>
      <c r="M12" s="4">
        <v>5200000</v>
      </c>
      <c r="N12" s="4">
        <v>2000000</v>
      </c>
      <c r="O12" s="4">
        <v>700000</v>
      </c>
      <c r="P12" s="4">
        <v>2500000</v>
      </c>
      <c r="Q12" s="4">
        <f t="shared" si="0"/>
        <v>5200000</v>
      </c>
      <c r="R12" t="s">
        <v>185</v>
      </c>
      <c r="S12" t="s">
        <v>122</v>
      </c>
    </row>
    <row r="13" spans="1:19">
      <c r="Q13">
        <f>SUBTOTAL(109,ContractDetailTable[도급금액])</f>
        <v>132000000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"/>
  <sheetViews>
    <sheetView workbookViewId="0">
      <selection activeCell="B11" sqref="B11"/>
    </sheetView>
  </sheetViews>
  <sheetFormatPr defaultRowHeight="14.25"/>
  <cols>
    <col min="1" max="1" width="26" bestFit="1" customWidth="1"/>
    <col min="2" max="2" width="33.25" bestFit="1" customWidth="1"/>
    <col min="3" max="3" width="9.5" bestFit="1" customWidth="1"/>
    <col min="4" max="4" width="21" bestFit="1" customWidth="1"/>
    <col min="5" max="5" width="13" bestFit="1" customWidth="1"/>
    <col min="6" max="6" width="27.625" bestFit="1" customWidth="1"/>
    <col min="7" max="7" width="20" bestFit="1" customWidth="1"/>
    <col min="8" max="8" width="9" bestFit="1" customWidth="1"/>
    <col min="9" max="9" width="10.5" bestFit="1" customWidth="1"/>
    <col min="10" max="10" width="14.125" bestFit="1" customWidth="1"/>
    <col min="11" max="11" width="21" bestFit="1" customWidth="1"/>
    <col min="12" max="13" width="5.25" bestFit="1" customWidth="1"/>
    <col min="14" max="15" width="10.5" bestFit="1" customWidth="1"/>
    <col min="16" max="16" width="13.125" bestFit="1" customWidth="1"/>
    <col min="17" max="17" width="21.25" bestFit="1" customWidth="1"/>
    <col min="18" max="18" width="9" bestFit="1" customWidth="1"/>
    <col min="19" max="19" width="28.375" bestFit="1" customWidth="1"/>
    <col min="20" max="20" width="23" bestFit="1" customWidth="1"/>
  </cols>
  <sheetData>
    <row r="1" spans="1:20" ht="30">
      <c r="A1" s="2" t="s">
        <v>186</v>
      </c>
      <c r="B1" s="2" t="s">
        <v>52</v>
      </c>
      <c r="C1" s="2" t="s">
        <v>98</v>
      </c>
      <c r="D1" s="2" t="s">
        <v>99</v>
      </c>
      <c r="E1" s="2" t="s">
        <v>187</v>
      </c>
      <c r="F1" s="2" t="s">
        <v>100</v>
      </c>
      <c r="G1" s="2" t="s">
        <v>101</v>
      </c>
      <c r="H1" s="2" t="s">
        <v>102</v>
      </c>
      <c r="I1" s="2" t="s">
        <v>188</v>
      </c>
      <c r="J1" s="2" t="s">
        <v>189</v>
      </c>
      <c r="K1" s="2" t="s">
        <v>190</v>
      </c>
      <c r="L1" s="2" t="s">
        <v>105</v>
      </c>
      <c r="M1" s="2" t="s">
        <v>106</v>
      </c>
      <c r="N1" s="2" t="s">
        <v>191</v>
      </c>
      <c r="O1" s="2" t="s">
        <v>192</v>
      </c>
      <c r="P1" s="2" t="s">
        <v>193</v>
      </c>
      <c r="Q1" s="2" t="s">
        <v>194</v>
      </c>
      <c r="R1" s="2" t="s">
        <v>195</v>
      </c>
      <c r="S1" s="2" t="s">
        <v>196</v>
      </c>
      <c r="T1" s="2" t="s">
        <v>16</v>
      </c>
    </row>
    <row r="2" spans="1:20">
      <c r="A2" t="s">
        <v>49</v>
      </c>
      <c r="B2" t="s">
        <v>197</v>
      </c>
      <c r="C2" t="s">
        <v>114</v>
      </c>
      <c r="D2" t="s">
        <v>115</v>
      </c>
      <c r="E2" s="6">
        <v>10</v>
      </c>
      <c r="F2" t="s">
        <v>116</v>
      </c>
      <c r="G2" t="s">
        <v>117</v>
      </c>
      <c r="H2" t="s">
        <v>110</v>
      </c>
      <c r="I2" s="4">
        <v>13200000</v>
      </c>
      <c r="J2" t="s">
        <v>198</v>
      </c>
      <c r="K2" t="s">
        <v>115</v>
      </c>
      <c r="L2">
        <v>2</v>
      </c>
      <c r="M2" t="s">
        <v>120</v>
      </c>
      <c r="N2" s="4">
        <v>6600000</v>
      </c>
      <c r="O2" s="4">
        <v>13200000</v>
      </c>
      <c r="P2" t="s">
        <v>199</v>
      </c>
      <c r="Q2" t="s">
        <v>200</v>
      </c>
      <c r="R2" t="s">
        <v>201</v>
      </c>
      <c r="S2" t="s">
        <v>202</v>
      </c>
      <c r="T2" t="s">
        <v>203</v>
      </c>
    </row>
    <row r="3" spans="1:20">
      <c r="A3" t="s">
        <v>49</v>
      </c>
      <c r="B3" t="s">
        <v>197</v>
      </c>
      <c r="C3" t="s">
        <v>128</v>
      </c>
      <c r="D3" t="s">
        <v>129</v>
      </c>
      <c r="E3" s="6">
        <v>20</v>
      </c>
      <c r="F3" t="s">
        <v>204</v>
      </c>
      <c r="G3" t="s">
        <v>205</v>
      </c>
      <c r="H3" t="s">
        <v>110</v>
      </c>
      <c r="I3" s="4">
        <v>26400000</v>
      </c>
      <c r="J3" t="s">
        <v>206</v>
      </c>
      <c r="K3" t="s">
        <v>129</v>
      </c>
      <c r="L3">
        <v>1</v>
      </c>
      <c r="M3" t="s">
        <v>120</v>
      </c>
      <c r="N3" s="4">
        <v>26400000</v>
      </c>
      <c r="O3" s="4">
        <v>26400000</v>
      </c>
      <c r="P3" t="s">
        <v>199</v>
      </c>
      <c r="Q3" t="s">
        <v>200</v>
      </c>
      <c r="R3" t="s">
        <v>201</v>
      </c>
      <c r="S3" t="s">
        <v>207</v>
      </c>
      <c r="T3" t="s">
        <v>208</v>
      </c>
    </row>
    <row r="4" spans="1:20">
      <c r="A4" t="s">
        <v>49</v>
      </c>
      <c r="B4" t="s">
        <v>197</v>
      </c>
      <c r="C4" t="s">
        <v>143</v>
      </c>
      <c r="D4" t="s">
        <v>144</v>
      </c>
      <c r="E4" s="6">
        <v>45</v>
      </c>
      <c r="F4" t="s">
        <v>150</v>
      </c>
      <c r="G4" t="s">
        <v>144</v>
      </c>
      <c r="H4" t="s">
        <v>109</v>
      </c>
      <c r="I4" s="4">
        <v>59400000</v>
      </c>
      <c r="J4" t="s">
        <v>209</v>
      </c>
      <c r="K4" t="s">
        <v>144</v>
      </c>
      <c r="L4">
        <v>1</v>
      </c>
      <c r="M4" t="s">
        <v>120</v>
      </c>
      <c r="N4" s="4">
        <v>59400000</v>
      </c>
      <c r="O4" s="4">
        <v>59400000</v>
      </c>
      <c r="P4" t="s">
        <v>199</v>
      </c>
      <c r="Q4" t="s">
        <v>210</v>
      </c>
      <c r="R4" t="s">
        <v>201</v>
      </c>
      <c r="S4" t="s">
        <v>211</v>
      </c>
      <c r="T4" t="s">
        <v>212</v>
      </c>
    </row>
    <row r="5" spans="1:20">
      <c r="A5" t="s">
        <v>49</v>
      </c>
      <c r="B5" t="s">
        <v>197</v>
      </c>
      <c r="C5" t="s">
        <v>161</v>
      </c>
      <c r="D5" t="s">
        <v>162</v>
      </c>
      <c r="E5" s="6">
        <v>15</v>
      </c>
      <c r="F5" t="s">
        <v>213</v>
      </c>
      <c r="G5" t="s">
        <v>214</v>
      </c>
      <c r="H5" t="s">
        <v>110</v>
      </c>
      <c r="I5" s="4">
        <v>19800000</v>
      </c>
      <c r="J5" t="s">
        <v>215</v>
      </c>
      <c r="K5" t="s">
        <v>162</v>
      </c>
      <c r="L5">
        <v>1</v>
      </c>
      <c r="M5" t="s">
        <v>120</v>
      </c>
      <c r="N5" s="4">
        <v>19800000</v>
      </c>
      <c r="O5" s="4">
        <v>19800000</v>
      </c>
      <c r="P5" t="s">
        <v>199</v>
      </c>
      <c r="Q5" t="s">
        <v>200</v>
      </c>
      <c r="R5" t="s">
        <v>201</v>
      </c>
      <c r="S5" t="s">
        <v>216</v>
      </c>
      <c r="T5" t="s">
        <v>217</v>
      </c>
    </row>
    <row r="6" spans="1:20">
      <c r="A6" t="s">
        <v>49</v>
      </c>
      <c r="B6" t="s">
        <v>197</v>
      </c>
      <c r="C6" t="s">
        <v>174</v>
      </c>
      <c r="D6" t="s">
        <v>175</v>
      </c>
      <c r="E6" s="6">
        <v>10</v>
      </c>
      <c r="F6" t="s">
        <v>218</v>
      </c>
      <c r="G6" t="s">
        <v>219</v>
      </c>
      <c r="H6" t="s">
        <v>110</v>
      </c>
      <c r="I6" s="4">
        <v>13200000</v>
      </c>
      <c r="J6" t="s">
        <v>220</v>
      </c>
      <c r="K6" t="s">
        <v>175</v>
      </c>
      <c r="L6">
        <v>1</v>
      </c>
      <c r="M6" t="s">
        <v>120</v>
      </c>
      <c r="N6" s="4">
        <v>13200000</v>
      </c>
      <c r="O6" s="4">
        <v>13200000</v>
      </c>
      <c r="P6" t="s">
        <v>199</v>
      </c>
      <c r="Q6" t="s">
        <v>200</v>
      </c>
      <c r="R6" t="s">
        <v>201</v>
      </c>
      <c r="S6" t="s">
        <v>221</v>
      </c>
      <c r="T6" t="s">
        <v>222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C5" sqref="C5"/>
    </sheetView>
  </sheetViews>
  <sheetFormatPr defaultRowHeight="14.25"/>
  <cols>
    <col min="1" max="1" width="24" customWidth="1"/>
    <col min="2" max="3" width="16" customWidth="1"/>
    <col min="4" max="4" width="12" customWidth="1"/>
    <col min="5" max="5" width="40" customWidth="1"/>
  </cols>
  <sheetData>
    <row r="1" spans="1:5" ht="1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16</v>
      </c>
    </row>
    <row r="2" spans="1:5">
      <c r="A2" t="s">
        <v>75</v>
      </c>
      <c r="B2" s="4">
        <v>132000000</v>
      </c>
      <c r="C2" s="4">
        <f>SUM('02_계약내역서'!Q2:Q12)</f>
        <v>132000000</v>
      </c>
      <c r="D2" t="str">
        <f>IF(B2=C2,"PASS","HOLD")</f>
        <v>PASS</v>
      </c>
      <c r="E2" t="s">
        <v>227</v>
      </c>
    </row>
    <row r="3" spans="1:5">
      <c r="A3" t="s">
        <v>228</v>
      </c>
      <c r="B3" s="4">
        <v>132000000</v>
      </c>
      <c r="C3" s="4">
        <f>SUM('03_WBS_CBS_예산'!I2:I6)</f>
        <v>132000000</v>
      </c>
      <c r="D3" t="str">
        <f>IF(B3=C3,"PASS","HOLD")</f>
        <v>PASS</v>
      </c>
      <c r="E3" t="s">
        <v>229</v>
      </c>
    </row>
    <row r="4" spans="1:5">
      <c r="A4" t="s">
        <v>230</v>
      </c>
      <c r="B4" s="6">
        <v>100</v>
      </c>
      <c r="C4" s="6">
        <f>SUM('03_WBS_CBS_예산'!E2:E6)</f>
        <v>100</v>
      </c>
      <c r="D4" t="str">
        <f>IF(B4=C4,"PASS","HOLD")</f>
        <v>PASS</v>
      </c>
      <c r="E4" t="s">
        <v>231</v>
      </c>
    </row>
    <row r="5" spans="1:5">
      <c r="A5" t="s">
        <v>232</v>
      </c>
      <c r="B5" s="6">
        <v>70.5</v>
      </c>
      <c r="C5" s="6">
        <f>SUM('05_FIELD진행계획'!G2:G8)</f>
        <v>70.5</v>
      </c>
      <c r="D5" t="str">
        <f>IF(ABS(B5-C5)&lt;0.001,"PASS","HOLD")</f>
        <v>PASS</v>
      </c>
      <c r="E5" t="s">
        <v>233</v>
      </c>
    </row>
    <row r="6" spans="1:5">
      <c r="A6" t="s">
        <v>234</v>
      </c>
      <c r="B6" s="4">
        <v>1780000</v>
      </c>
      <c r="C6" s="4">
        <v>1780000</v>
      </c>
      <c r="D6" t="str">
        <f>IF(B6=C6,"PASS","HOLD")</f>
        <v>PASS</v>
      </c>
      <c r="E6" t="s">
        <v>235</v>
      </c>
    </row>
    <row r="7" spans="1:5">
      <c r="A7" t="s">
        <v>236</v>
      </c>
      <c r="B7" s="4">
        <v>93060000</v>
      </c>
      <c r="C7" s="4">
        <f>B2*C5/100</f>
        <v>93060000</v>
      </c>
      <c r="D7" t="str">
        <f>IF(ABS(B7-C7)&lt;1,"PASS","HOLD")</f>
        <v>PASS</v>
      </c>
      <c r="E7" t="s">
        <v>237</v>
      </c>
    </row>
  </sheetData>
  <phoneticPr fontId="4" type="noConversion"/>
  <conditionalFormatting sqref="D2:D7">
    <cfRule type="expression" dxfId="1" priority="1">
      <formula>D2="PASS"</formula>
    </cfRule>
    <cfRule type="expression" dxfId="0" priority="2">
      <formula>D2="HOLD"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selection activeCell="G2" sqref="G2"/>
    </sheetView>
  </sheetViews>
  <sheetFormatPr defaultRowHeight="14.25"/>
  <cols>
    <col min="1" max="1" width="14" customWidth="1"/>
    <col min="2" max="2" width="12" customWidth="1"/>
    <col min="3" max="3" width="24" customWidth="1"/>
    <col min="4" max="5" width="14" customWidth="1"/>
    <col min="6" max="6" width="40" customWidth="1"/>
    <col min="7" max="8" width="14" customWidth="1"/>
    <col min="9" max="9" width="22" customWidth="1"/>
  </cols>
  <sheetData>
    <row r="1" spans="1:9" ht="15">
      <c r="A1" s="2" t="s">
        <v>238</v>
      </c>
      <c r="B1" s="2" t="s">
        <v>98</v>
      </c>
      <c r="C1" s="2" t="s">
        <v>99</v>
      </c>
      <c r="D1" s="2" t="s">
        <v>239</v>
      </c>
      <c r="E1" s="2" t="s">
        <v>240</v>
      </c>
      <c r="F1" s="2" t="s">
        <v>241</v>
      </c>
      <c r="G1" s="2" t="s">
        <v>242</v>
      </c>
      <c r="H1" s="2" t="s">
        <v>243</v>
      </c>
      <c r="I1" s="2" t="s">
        <v>244</v>
      </c>
    </row>
    <row r="2" spans="1:9">
      <c r="A2" s="3">
        <v>46248</v>
      </c>
      <c r="B2" t="s">
        <v>114</v>
      </c>
      <c r="C2" t="s">
        <v>115</v>
      </c>
      <c r="D2" s="6">
        <v>10</v>
      </c>
      <c r="E2" s="6">
        <v>30</v>
      </c>
      <c r="F2" s="6" t="s">
        <v>245</v>
      </c>
      <c r="G2" s="6">
        <f>IF(A2=_xlfn.MAXIFS($A$2:$A$8,$B$2:$B$8,B2),D2*E2/100,0)</f>
        <v>0</v>
      </c>
      <c r="H2" t="s">
        <v>86</v>
      </c>
      <c r="I2" t="s">
        <v>246</v>
      </c>
    </row>
    <row r="3" spans="1:9">
      <c r="A3" s="3">
        <v>46251</v>
      </c>
      <c r="B3" t="s">
        <v>114</v>
      </c>
      <c r="C3" t="s">
        <v>115</v>
      </c>
      <c r="D3" s="6">
        <v>10</v>
      </c>
      <c r="E3" s="6">
        <v>100</v>
      </c>
      <c r="F3" s="6" t="s">
        <v>247</v>
      </c>
      <c r="G3" s="6">
        <f>IF(A3=_xlfn.MAXIFS($A$2:$A$8,$B$2:$B$8,B3),D3*E3/100,0)</f>
        <v>10</v>
      </c>
      <c r="H3" t="s">
        <v>86</v>
      </c>
      <c r="I3" t="s">
        <v>248</v>
      </c>
    </row>
    <row r="4" spans="1:9">
      <c r="A4" s="3">
        <v>46252</v>
      </c>
      <c r="B4" t="s">
        <v>128</v>
      </c>
      <c r="C4" t="s">
        <v>129</v>
      </c>
      <c r="D4" s="6">
        <v>20</v>
      </c>
      <c r="E4" s="6">
        <v>25</v>
      </c>
      <c r="F4" s="6" t="s">
        <v>249</v>
      </c>
      <c r="G4" s="6">
        <f>IF(A4=_xlfn.MAXIFS($A$2:$A$8,$B$2:$B$8,B4),D4*E4/100,0)</f>
        <v>0</v>
      </c>
      <c r="H4" t="s">
        <v>86</v>
      </c>
      <c r="I4" t="s">
        <v>250</v>
      </c>
    </row>
    <row r="5" spans="1:9">
      <c r="A5" s="3">
        <v>46254</v>
      </c>
      <c r="B5" t="s">
        <v>128</v>
      </c>
      <c r="C5" t="s">
        <v>129</v>
      </c>
      <c r="D5" s="6">
        <v>20</v>
      </c>
      <c r="E5" s="6">
        <v>100</v>
      </c>
      <c r="F5" s="6" t="s">
        <v>251</v>
      </c>
      <c r="G5" s="6">
        <f>IF(A5=_xlfn.MAXIFS($A$2:$A$8,$B$2:$B$8,B5),D5*E5/100,0)</f>
        <v>20</v>
      </c>
      <c r="H5" t="s">
        <v>86</v>
      </c>
      <c r="I5" t="s">
        <v>252</v>
      </c>
    </row>
    <row r="6" spans="1:9">
      <c r="A6" s="3">
        <v>46258</v>
      </c>
      <c r="B6" t="s">
        <v>143</v>
      </c>
      <c r="C6" t="s">
        <v>144</v>
      </c>
      <c r="D6" s="6">
        <v>45</v>
      </c>
      <c r="E6" s="6">
        <v>40</v>
      </c>
      <c r="F6" s="6" t="s">
        <v>253</v>
      </c>
      <c r="G6" s="6">
        <f>IF(A6=_xlfn.MAXIFS($A$2:$A$8,$B$2:$B$8,B6),D6*E6/100,0)</f>
        <v>0</v>
      </c>
      <c r="H6" t="s">
        <v>86</v>
      </c>
      <c r="I6" t="s">
        <v>254</v>
      </c>
    </row>
    <row r="7" spans="1:9">
      <c r="A7" s="3">
        <v>46261</v>
      </c>
      <c r="B7" t="s">
        <v>143</v>
      </c>
      <c r="C7" t="s">
        <v>144</v>
      </c>
      <c r="D7" s="6">
        <v>45</v>
      </c>
      <c r="E7" s="6">
        <v>80</v>
      </c>
      <c r="F7" s="6" t="s">
        <v>255</v>
      </c>
      <c r="G7" s="6">
        <f>IF(A7=_xlfn.MAXIFS($A$2:$A$8,$B$2:$B$8,B7),D7*E7/100,0)</f>
        <v>36</v>
      </c>
      <c r="H7" t="s">
        <v>86</v>
      </c>
      <c r="I7" t="s">
        <v>256</v>
      </c>
    </row>
    <row r="8" spans="1:9">
      <c r="A8" s="3">
        <v>46265</v>
      </c>
      <c r="B8" t="s">
        <v>161</v>
      </c>
      <c r="C8" t="s">
        <v>162</v>
      </c>
      <c r="D8" s="6">
        <v>15</v>
      </c>
      <c r="E8" s="6">
        <v>30</v>
      </c>
      <c r="F8" s="6" t="s">
        <v>257</v>
      </c>
      <c r="G8" s="6">
        <f>IF(A8=_xlfn.MAXIFS($A$2:$A$8,$B$2:$B$8,B8),D8*E8/100,0)</f>
        <v>4.5</v>
      </c>
      <c r="H8" t="s">
        <v>86</v>
      </c>
      <c r="I8" t="s">
        <v>258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00_사용안내</vt:lpstr>
      <vt:lpstr>01_프로젝트정보</vt:lpstr>
      <vt:lpstr>02_계약내역서</vt:lpstr>
      <vt:lpstr>03_WBS_CBS_예산</vt:lpstr>
      <vt:lpstr>04_검증요약</vt:lpstr>
      <vt:lpstr>05_FIELD진행계획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이규호</dc:creator>
  <cp:lastModifiedBy>Jeonghun Lee</cp:lastModifiedBy>
  <dcterms:created xsi:type="dcterms:W3CDTF">2026-08-14T01:03:48Z</dcterms:created>
  <dcterms:modified xsi:type="dcterms:W3CDTF">2026-08-14T02:27:26Z</dcterms:modified>
</cp:coreProperties>
</file>