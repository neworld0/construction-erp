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시나리오 테스트\"/>
    </mc:Choice>
  </mc:AlternateContent>
  <xr:revisionPtr revIDLastSave="0" documentId="13_ncr:1_{42CE3121-AA08-441D-ABCF-2BBCBCB52C3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0_사용안내" sheetId="1" r:id="rId1"/>
    <sheet name="01_프로젝트정보" sheetId="2" r:id="rId2"/>
    <sheet name="02_계약내역서_v2" sheetId="3" r:id="rId3"/>
    <sheet name="03_WBS_CBS_예산_v2" sheetId="4" r:id="rId4"/>
    <sheet name="04_검증요약_v2" sheetId="5" r:id="rId5"/>
    <sheet name="05_FIELD진행계획_v2" sheetId="6" r:id="rId6"/>
    <sheet name="06_시나리오변경사항" sheetId="7" r:id="rId7"/>
  </sheets>
  <calcPr calcId="191029"/>
</workbook>
</file>

<file path=xl/calcChain.xml><?xml version="1.0" encoding="utf-8"?>
<calcChain xmlns="http://schemas.openxmlformats.org/spreadsheetml/2006/main">
  <c r="D11" i="5" l="1"/>
  <c r="B11" i="5"/>
  <c r="E11" i="5" s="1"/>
  <c r="E10" i="5"/>
  <c r="B8" i="5"/>
  <c r="B9" i="5" s="1"/>
  <c r="E9" i="5" s="1"/>
  <c r="E7" i="5"/>
  <c r="E6" i="5"/>
  <c r="E5" i="5"/>
  <c r="G15" i="4"/>
  <c r="T18" i="3"/>
  <c r="S18" i="3"/>
  <c r="R18" i="3"/>
  <c r="Q18" i="3"/>
  <c r="P18" i="3"/>
  <c r="O18" i="3"/>
  <c r="E8" i="5" l="1"/>
</calcChain>
</file>

<file path=xl/sharedStrings.xml><?xml version="1.0" encoding="utf-8"?>
<sst xmlns="http://schemas.openxmlformats.org/spreadsheetml/2006/main" count="427" uniqueCount="232">
  <si>
    <t>LOCAL-OPS-20260814-001 계약내역서 업로드 시나리오 v2</t>
  </si>
  <si>
    <t>일반관리비·기업이윤 포함 개정판</t>
  </si>
  <si>
    <t>항목</t>
  </si>
  <si>
    <t>내용</t>
  </si>
  <si>
    <t>개정 목적</t>
  </si>
  <si>
    <t>기존 파일에는 도급계약내역서에서 일반적으로 확인되는 일반관리비·기업이윤 항목이 명시되지 않아 v2에서 별도 계약가산항목으로 반영했습니다.</t>
  </si>
  <si>
    <t>핵심 정책</t>
  </si>
  <si>
    <t>직접공사비 107,800,000원 + 계약가산항목 24,200,000원 = 계약금액 132,000,000원</t>
  </si>
  <si>
    <t>기업이윤 처리</t>
  </si>
  <si>
    <t>기업이윤은 실제 집행 원가가 아니라 도급계약 가산/목표이익 성격이므로 WBS-99 및 CIVIL-PROFIT으로 별도 표시했습니다.</t>
  </si>
  <si>
    <t>FIELD 진행률</t>
  </si>
  <si>
    <t>WBS-99는 진행률적용대상=N으로 표시했습니다. FIELD 현장 진행률은 WBS-01~WBS-05 직접 시공 WBS를 기준으로 검증합니다.</t>
  </si>
  <si>
    <t>업로드 확인</t>
  </si>
  <si>
    <t>ERP가 모든 업로드대상 행을 반영하거나, 미매칭 CBS를 명시적으로 표시해야 합니다.</t>
  </si>
  <si>
    <t>프로젝트 기본정보</t>
  </si>
  <si>
    <t>HQ 신규 공사 등록 화면 입력값</t>
  </si>
  <si>
    <t>값</t>
  </si>
  <si>
    <t>비고</t>
  </si>
  <si>
    <t>검증</t>
  </si>
  <si>
    <t>프로젝트 코드</t>
  </si>
  <si>
    <t>LOCAL-OPS-20260814-001</t>
  </si>
  <si>
    <t>화면 입력란이 없으면 상세 화면 표시 또는 공사명 접두어로 확인</t>
  </si>
  <si>
    <t>프로젝트명</t>
  </si>
  <si>
    <t>[LOCAL-OPS-20260814-001] 2026년 8월 로컬 검증 포장보수공사</t>
  </si>
  <si>
    <t>코드 입력란이 없을 때 권장 공사명</t>
  </si>
  <si>
    <t>발주처</t>
  </si>
  <si>
    <t>아산시 도로관리과</t>
  </si>
  <si>
    <t>공사유형</t>
  </si>
  <si>
    <t>포장보수</t>
  </si>
  <si>
    <t>지역</t>
  </si>
  <si>
    <t>충남 아산시</t>
  </si>
  <si>
    <t>계약일</t>
  </si>
  <si>
    <t>착공일</t>
  </si>
  <si>
    <t>준공예정일</t>
  </si>
  <si>
    <t>계약금액</t>
  </si>
  <si>
    <t>도급계약금액</t>
  </si>
  <si>
    <t>직접공사비</t>
  </si>
  <si>
    <t>시공 직접비</t>
  </si>
  <si>
    <t>계약가산항목</t>
  </si>
  <si>
    <t>간접노무비·보험료·공통경비·일반관리비·기업이윤</t>
  </si>
  <si>
    <t>상태</t>
  </si>
  <si>
    <t>진행중 / Active</t>
  </si>
  <si>
    <t>계약내역서 v2</t>
  </si>
  <si>
    <t>직접공사비와 일반관리비·기업이윤을 분리 표시</t>
  </si>
  <si>
    <t>원본행번호</t>
  </si>
  <si>
    <t>구분</t>
  </si>
  <si>
    <t>레벨</t>
  </si>
  <si>
    <t>공종코드</t>
  </si>
  <si>
    <t>WBS코드</t>
  </si>
  <si>
    <t>WBS명</t>
  </si>
  <si>
    <t>CBS코드</t>
  </si>
  <si>
    <t>CBS명</t>
  </si>
  <si>
    <t>원가구분</t>
  </si>
  <si>
    <t>품명</t>
  </si>
  <si>
    <t>규격</t>
  </si>
  <si>
    <t>수량</t>
  </si>
  <si>
    <t>단위</t>
  </si>
  <si>
    <t>도급단가</t>
  </si>
  <si>
    <t>노무비</t>
  </si>
  <si>
    <t>재료비</t>
  </si>
  <si>
    <t>경비</t>
  </si>
  <si>
    <t>하도급</t>
  </si>
  <si>
    <t>기업이윤</t>
  </si>
  <si>
    <t>도급금액</t>
  </si>
  <si>
    <t>ERP업로드상태</t>
  </si>
  <si>
    <t>1.</t>
  </si>
  <si>
    <t>WBS-01</t>
  </si>
  <si>
    <t>현장 준비 및 안전관리</t>
  </si>
  <si>
    <t>CIVIL-SAFETY</t>
  </si>
  <si>
    <t>안전관리비</t>
  </si>
  <si>
    <t>현장 인수 및 가설 안전시설</t>
  </si>
  <si>
    <t>작업구간 인수·안전표지·라바콘</t>
  </si>
  <si>
    <t>식</t>
  </si>
  <si>
    <t>2026-08-14 착수</t>
  </si>
  <si>
    <t>업로드대상</t>
  </si>
  <si>
    <t>1-1</t>
  </si>
  <si>
    <t>교통안전시설 설치 및 철거</t>
  </si>
  <si>
    <t>차량부분통제·야간안전 포함</t>
  </si>
  <si>
    <t>안전관리 포함</t>
  </si>
  <si>
    <t>2.</t>
  </si>
  <si>
    <t>WBS-02</t>
  </si>
  <si>
    <t>기존 포장 절삭</t>
  </si>
  <si>
    <t>CIVIL-EQUIP</t>
  </si>
  <si>
    <t>장비비</t>
  </si>
  <si>
    <t>아스팔트 포장 절삭</t>
  </si>
  <si>
    <t>T=5cm, 소규모 보수구간</t>
  </si>
  <si>
    <t>㎡</t>
  </si>
  <si>
    <t>절삭 장비 포함</t>
  </si>
  <si>
    <t>2-1</t>
  </si>
  <si>
    <t>CIVIL-WASTE</t>
  </si>
  <si>
    <t>폐기물처리비</t>
  </si>
  <si>
    <t>폐아스콘 상차 및 운반</t>
  </si>
  <si>
    <t>폐아스콘 임시집하·운반</t>
  </si>
  <si>
    <t>처리비 별도 정산 가능</t>
  </si>
  <si>
    <t>3.</t>
  </si>
  <si>
    <t>WBS-03</t>
  </si>
  <si>
    <t>아스콘 포장</t>
  </si>
  <si>
    <t>CIVIL-MATERIAL</t>
  </si>
  <si>
    <t>택코팅 및 아스팔트 유제</t>
  </si>
  <si>
    <t>RSC-4, 포장 전 처리</t>
  </si>
  <si>
    <t>유제 살포</t>
  </si>
  <si>
    <t>3-1</t>
  </si>
  <si>
    <t>CIVIL-ASCON-PAVING</t>
  </si>
  <si>
    <t>아스콘 포설</t>
  </si>
  <si>
    <t>기층·표층 소규모 포장</t>
  </si>
  <si>
    <t>주요 공정</t>
  </si>
  <si>
    <t>4.</t>
  </si>
  <si>
    <t>WBS-04</t>
  </si>
  <si>
    <t>차선도색 및 마감</t>
  </si>
  <si>
    <t>CIVIL-LINE-MARKING</t>
  </si>
  <si>
    <t>차선도색</t>
  </si>
  <si>
    <t>백색/황색 실선 및 기호</t>
  </si>
  <si>
    <t>부분통제 포함</t>
  </si>
  <si>
    <t>5-1</t>
  </si>
  <si>
    <t>WBS-05</t>
  </si>
  <si>
    <t>정리·검측·준공자료</t>
  </si>
  <si>
    <t>CIVIL-CLEANUP</t>
  </si>
  <si>
    <t>현장정리</t>
  </si>
  <si>
    <t>준공청소 및 폐기물 정리</t>
  </si>
  <si>
    <t>잔재물 정리·청소</t>
  </si>
  <si>
    <t>마무리</t>
  </si>
  <si>
    <t>6.</t>
  </si>
  <si>
    <t>WBS-99</t>
  </si>
  <si>
    <t>도급 공통비·일반관리·기업이윤</t>
  </si>
  <si>
    <t>CIVIL-INDIRECT-LABOR</t>
  </si>
  <si>
    <t>간접노무비</t>
  </si>
  <si>
    <t>현장관리·간접지원 인건비</t>
  </si>
  <si>
    <t>도급내역서 제경비 항목</t>
  </si>
  <si>
    <t>6-1</t>
  </si>
  <si>
    <t>CIVIL-INSURANCE</t>
  </si>
  <si>
    <t>보험료 및 부담금</t>
  </si>
  <si>
    <t>보험료 및 법정부담금</t>
  </si>
  <si>
    <t>산재·고용 등 공사 관련 부담금</t>
  </si>
  <si>
    <t>6-2</t>
  </si>
  <si>
    <t>CIVIL-COMMON-EXPENSE</t>
  </si>
  <si>
    <t>공통경비</t>
  </si>
  <si>
    <t>현장관리 및 공통경비</t>
  </si>
  <si>
    <t>공통관리·소모품·관리성 경비</t>
  </si>
  <si>
    <t>6-3</t>
  </si>
  <si>
    <t>CIVIL-GENERAL-ADMIN</t>
  </si>
  <si>
    <t>일반관리비</t>
  </si>
  <si>
    <t>본사관리·일반관리성 비용</t>
  </si>
  <si>
    <t>도급내역서 일반관리비</t>
  </si>
  <si>
    <t>6-4</t>
  </si>
  <si>
    <t>CIVIL-PROFIT</t>
  </si>
  <si>
    <t>도급계약 기업이윤</t>
  </si>
  <si>
    <t>도급계약 기업이윤 명시</t>
  </si>
  <si>
    <t>합계</t>
  </si>
  <si>
    <t>계약금액 합계</t>
  </si>
  <si>
    <t>WBS·CBS·예산 업로드 v2</t>
  </si>
  <si>
    <t>WBS-99에 일반관리비·기업이윤 등 계약가산항목을 분리 표시</t>
  </si>
  <si>
    <t>항목명</t>
  </si>
  <si>
    <t>예산금액</t>
  </si>
  <si>
    <t>진행률적용대상</t>
  </si>
  <si>
    <t>시작일</t>
  </si>
  <si>
    <t>종료일</t>
  </si>
  <si>
    <t>Y</t>
  </si>
  <si>
    <t>CIVIL-EQUIP/CIVIL-WASTE</t>
  </si>
  <si>
    <t>장비비/폐기물처리비</t>
  </si>
  <si>
    <t>CIVIL-MATERIAL/CIVIL-ASCON-PAVING</t>
  </si>
  <si>
    <t>재료비/아스콘 포장</t>
  </si>
  <si>
    <t>재료비/경비</t>
  </si>
  <si>
    <t>N</t>
  </si>
  <si>
    <t>검증요약 v2</t>
  </si>
  <si>
    <t>도급계약금액, 직접공사비, 일반관리비·기업이윤 반영 검산</t>
  </si>
  <si>
    <t>검증항목</t>
  </si>
  <si>
    <t>금액/값</t>
  </si>
  <si>
    <t>계산식/출처</t>
  </si>
  <si>
    <t>기대값</t>
  </si>
  <si>
    <t>결과</t>
  </si>
  <si>
    <t>프로젝트정보</t>
  </si>
  <si>
    <t>직접공사비 합계</t>
  </si>
  <si>
    <t>계약내역서 직접공사비</t>
  </si>
  <si>
    <t>WBS-01~WBS-05</t>
  </si>
  <si>
    <t>계약가산항목 합계</t>
  </si>
  <si>
    <t>간접노무비+보험료+공통경비+일반관리비+기업이윤</t>
  </si>
  <si>
    <t>예산 기준선 총합계</t>
  </si>
  <si>
    <t>WBS/CBS/예산 v2</t>
  </si>
  <si>
    <t>계약금액과 일치해야 함</t>
  </si>
  <si>
    <t>계약금액-예산기준선 차이</t>
  </si>
  <si>
    <t>계약금액-예산 기준선</t>
  </si>
  <si>
    <t>명시적 이윤 항목</t>
  </si>
  <si>
    <t>기업이윤율</t>
  </si>
  <si>
    <t>기업이윤/계약금액</t>
  </si>
  <si>
    <t>약 6.59%</t>
  </si>
  <si>
    <t>FIELD 진행계획 v2</t>
  </si>
  <si>
    <t>직접 시공 WBS 기준 현장 진행률 검증 / WBS-99는 진행률 적용 제외</t>
  </si>
  <si>
    <t>일자</t>
  </si>
  <si>
    <t>누적진행률</t>
  </si>
  <si>
    <t>업무내용</t>
  </si>
  <si>
    <t>현장 인수, 안전표지 설치, 작업구간 확인</t>
  </si>
  <si>
    <t>안전시설 설치 완료</t>
  </si>
  <si>
    <t>절삭 장비 반입, 일부 구간 절삭</t>
  </si>
  <si>
    <t>절삭 완료</t>
  </si>
  <si>
    <t>1차 포장</t>
  </si>
  <si>
    <t>2차 포장</t>
  </si>
  <si>
    <t>일부 차선도색 및 마감 작업</t>
  </si>
  <si>
    <t>계약가산항목: FIELD 진행률 입력 제외</t>
  </si>
  <si>
    <t>화면에 표시된다면 입력하지 않음</t>
  </si>
  <si>
    <t>시나리오 변경사항 v2</t>
  </si>
  <si>
    <t>기업이윤 포함 도급계약내역서 반영 내용</t>
  </si>
  <si>
    <t>변경ID</t>
  </si>
  <si>
    <t>변경 전</t>
  </si>
  <si>
    <t>변경 후</t>
  </si>
  <si>
    <t>사유</t>
  </si>
  <si>
    <t>운영 영향</t>
  </si>
  <si>
    <t>검증 포인트</t>
  </si>
  <si>
    <t>CHG-001</t>
  </si>
  <si>
    <t>직접공사비 항목만 계약내역서에 표시</t>
  </si>
  <si>
    <t>계약가산항목 5개 행 추가</t>
  </si>
  <si>
    <t>도급계약내역서에는 일반관리비·기업이윤이 통상 명시됨</t>
  </si>
  <si>
    <t>계약금액과 예산 기준선이 132,000,000원으로 일치</t>
  </si>
  <si>
    <t>기업이윤 8,700,000원 확인</t>
  </si>
  <si>
    <t>적용</t>
  </si>
  <si>
    <t>CHG-002</t>
  </si>
  <si>
    <t>기업이윤 항목 없음</t>
  </si>
  <si>
    <t>CIVIL-PROFIT / 기업이윤 항목 추가</t>
  </si>
  <si>
    <t>CEO가 목표이익 성격을 식별할 수 있어야 함</t>
  </si>
  <si>
    <t>예산·원가 집행 항목과 구분 필요</t>
  </si>
  <si>
    <t>WBS-99 진행률적용대상=N</t>
  </si>
  <si>
    <t>CHG-003</t>
  </si>
  <si>
    <t>WBS-01~WBS-05만 사용</t>
  </si>
  <si>
    <t>WBS-99 도급 공통비·일반관리·기업이윤 추가</t>
  </si>
  <si>
    <t>공통/이윤 항목을 직접 시공 WBS와 분리</t>
  </si>
  <si>
    <t>FIELD 진행률과 계약가산항목 혼동 방지</t>
  </si>
  <si>
    <t>FIELD 진행률에서 WBS-99 제외</t>
  </si>
  <si>
    <t>CHG-004</t>
  </si>
  <si>
    <t>계약금액 차이 원인 불명확</t>
  </si>
  <si>
    <t>직접공사비 107.8M + 가산항목 24.2M 구조화</t>
  </si>
  <si>
    <t>계약금액 차이 설명 가능</t>
  </si>
  <si>
    <t>import preview에서 가산항목 누락 여부 확인 가능</t>
  </si>
  <si>
    <t>예산기준선 총합계 132M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</si>
</sst>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6">
    <font>
      <sz val="11"/>
      <name val="Carlito"/>
    </font>
    <font>
      <b/>
      <sz val="14"/>
      <color rgb="FFFFFFFF"/>
      <name val="Carlito"/>
    </font>
    <font>
      <sz val="11"/>
      <color rgb="FF111827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3" fillId="4" borderId="0" xfId="1" applyFont="1" applyFill="1" applyAlignment="1">
      <alignment horizontal="center" wrapText="1"/>
    </xf>
    <xf numFmtId="3" fontId="0" fillId="0" borderId="0" xfId="1" applyNumberFormat="1" applyFont="1"/>
    <xf numFmtId="176" fontId="0" fillId="0" borderId="0" xfId="1" applyNumberFormat="1" applyFont="1"/>
    <xf numFmtId="10" fontId="0" fillId="0" borderId="0" xfId="1" applyNumberFormat="1" applyFont="1"/>
    <xf numFmtId="0" fontId="1" fillId="2" borderId="0" xfId="1" applyFont="1" applyFill="1"/>
    <xf numFmtId="0" fontId="0" fillId="0" borderId="0" xfId="1" applyFont="1" applyAlignment="1">
      <alignment wrapText="1"/>
    </xf>
    <xf numFmtId="0" fontId="0" fillId="0" borderId="0" xfId="0"/>
    <xf numFmtId="0" fontId="2" fillId="3" borderId="0" xfId="1" applyFont="1" applyFill="1"/>
    <xf numFmtId="2" fontId="0" fillId="0" borderId="0" xfId="1" applyNumberFormat="1" applyFont="1"/>
    <xf numFmtId="3" fontId="0" fillId="0" borderId="0" xfId="1" applyNumberFormat="1" applyFont="1"/>
    <xf numFmtId="176" fontId="0" fillId="0" borderId="0" xfId="1" applyNumberFormat="1" applyFont="1"/>
    <xf numFmtId="176" fontId="1" fillId="2" borderId="0" xfId="1" applyNumberFormat="1" applyFont="1" applyFill="1"/>
    <xf numFmtId="177" fontId="0" fillId="0" borderId="0" xfId="1" applyNumberFormat="1" applyFont="1"/>
    <xf numFmtId="14" fontId="0" fillId="0" borderId="0" xfId="0" applyNumberForma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A11" sqref="A11"/>
    </sheetView>
  </sheetViews>
  <sheetFormatPr defaultRowHeight="14.25"/>
  <cols>
    <col min="1" max="1" width="13.625" bestFit="1" customWidth="1"/>
    <col min="2" max="2" width="135.375" bestFit="1" customWidth="1"/>
  </cols>
  <sheetData>
    <row r="1" spans="1:9" ht="26.1" customHeight="1">
      <c r="A1" s="5" t="s">
        <v>0</v>
      </c>
      <c r="B1" s="6"/>
      <c r="C1" s="7"/>
      <c r="D1" s="7"/>
      <c r="E1" s="7"/>
      <c r="F1" s="7"/>
      <c r="G1" s="7"/>
      <c r="H1" s="7"/>
      <c r="I1" s="7"/>
    </row>
    <row r="2" spans="1:9" ht="21.95" customHeight="1">
      <c r="A2" s="8" t="s">
        <v>1</v>
      </c>
      <c r="B2" s="7"/>
      <c r="C2" s="7"/>
      <c r="D2" s="7"/>
      <c r="E2" s="7"/>
      <c r="F2" s="7"/>
      <c r="G2" s="7"/>
      <c r="H2" s="7"/>
      <c r="I2" s="7"/>
    </row>
    <row r="4" spans="1:9" ht="15">
      <c r="A4" s="1" t="s">
        <v>2</v>
      </c>
      <c r="B4" s="1" t="s">
        <v>3</v>
      </c>
    </row>
    <row r="5" spans="1:9">
      <c r="A5" t="s">
        <v>4</v>
      </c>
      <c r="B5" t="s">
        <v>5</v>
      </c>
    </row>
    <row r="6" spans="1:9">
      <c r="A6" t="s">
        <v>6</v>
      </c>
      <c r="B6" t="s">
        <v>7</v>
      </c>
    </row>
    <row r="7" spans="1:9">
      <c r="A7" t="s">
        <v>8</v>
      </c>
      <c r="B7" t="s">
        <v>9</v>
      </c>
    </row>
    <row r="8" spans="1:9">
      <c r="A8" t="s">
        <v>10</v>
      </c>
      <c r="B8" t="s">
        <v>11</v>
      </c>
    </row>
    <row r="9" spans="1:9">
      <c r="A9" t="s">
        <v>12</v>
      </c>
      <c r="B9" t="s">
        <v>13</v>
      </c>
    </row>
  </sheetData>
  <mergeCells count="2">
    <mergeCell ref="A1:I1"/>
    <mergeCell ref="A2:I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B10" sqref="B10"/>
    </sheetView>
  </sheetViews>
  <sheetFormatPr defaultRowHeight="14.25"/>
  <cols>
    <col min="1" max="1" width="18" customWidth="1"/>
    <col min="2" max="2" width="55" customWidth="1"/>
    <col min="3" max="3" width="50" customWidth="1"/>
    <col min="4" max="4" width="14" customWidth="1"/>
  </cols>
  <sheetData>
    <row r="1" spans="1:4" ht="26.1" customHeight="1">
      <c r="A1" s="5" t="s">
        <v>14</v>
      </c>
      <c r="B1" s="7"/>
      <c r="C1" s="7"/>
      <c r="D1" s="7"/>
    </row>
    <row r="2" spans="1:4" ht="21.95" customHeight="1">
      <c r="A2" s="8" t="s">
        <v>15</v>
      </c>
      <c r="B2" s="7"/>
      <c r="C2" s="7"/>
      <c r="D2" s="7"/>
    </row>
    <row r="4" spans="1:4" ht="15">
      <c r="A4" s="1" t="s">
        <v>2</v>
      </c>
      <c r="B4" s="1" t="s">
        <v>16</v>
      </c>
      <c r="C4" s="1" t="s">
        <v>17</v>
      </c>
      <c r="D4" s="1" t="s">
        <v>18</v>
      </c>
    </row>
    <row r="5" spans="1:4">
      <c r="A5" t="s">
        <v>19</v>
      </c>
      <c r="B5" t="s">
        <v>20</v>
      </c>
      <c r="C5" t="s">
        <v>21</v>
      </c>
    </row>
    <row r="6" spans="1:4">
      <c r="A6" t="s">
        <v>22</v>
      </c>
      <c r="B6" t="s">
        <v>23</v>
      </c>
      <c r="C6" t="s">
        <v>24</v>
      </c>
    </row>
    <row r="7" spans="1:4">
      <c r="A7" t="s">
        <v>25</v>
      </c>
      <c r="B7" s="3" t="s">
        <v>26</v>
      </c>
    </row>
    <row r="8" spans="1:4">
      <c r="A8" t="s">
        <v>27</v>
      </c>
      <c r="B8" s="3" t="s">
        <v>28</v>
      </c>
    </row>
    <row r="9" spans="1:4">
      <c r="A9" t="s">
        <v>29</v>
      </c>
      <c r="B9" s="3" t="s">
        <v>30</v>
      </c>
    </row>
    <row r="10" spans="1:4">
      <c r="A10" t="s">
        <v>31</v>
      </c>
      <c r="B10" s="2">
        <v>46248</v>
      </c>
    </row>
    <row r="11" spans="1:4">
      <c r="A11" t="s">
        <v>32</v>
      </c>
      <c r="B11" s="2">
        <v>46248</v>
      </c>
    </row>
    <row r="12" spans="1:4">
      <c r="A12" t="s">
        <v>33</v>
      </c>
      <c r="B12" s="2">
        <v>46278</v>
      </c>
    </row>
    <row r="13" spans="1:4">
      <c r="A13" t="s">
        <v>34</v>
      </c>
      <c r="B13">
        <v>132000000</v>
      </c>
      <c r="C13" t="s">
        <v>35</v>
      </c>
    </row>
    <row r="14" spans="1:4">
      <c r="A14" t="s">
        <v>36</v>
      </c>
      <c r="B14">
        <v>107800000</v>
      </c>
      <c r="C14" t="s">
        <v>37</v>
      </c>
    </row>
    <row r="15" spans="1:4">
      <c r="A15" t="s">
        <v>38</v>
      </c>
      <c r="B15">
        <v>24200000</v>
      </c>
      <c r="C15" t="s">
        <v>39</v>
      </c>
    </row>
    <row r="16" spans="1:4">
      <c r="A16" t="s">
        <v>40</v>
      </c>
      <c r="B16" t="s">
        <v>41</v>
      </c>
    </row>
  </sheetData>
  <mergeCells count="2">
    <mergeCell ref="A1:D1"/>
    <mergeCell ref="A2:D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"/>
  <sheetViews>
    <sheetView workbookViewId="0">
      <selection activeCell="A19" sqref="A19"/>
    </sheetView>
  </sheetViews>
  <sheetFormatPr defaultRowHeight="14.25"/>
  <cols>
    <col min="1" max="1" width="10" customWidth="1"/>
    <col min="2" max="2" width="14" customWidth="1"/>
    <col min="3" max="3" width="8" customWidth="1"/>
    <col min="4" max="4" width="10" customWidth="1"/>
    <col min="5" max="5" width="12" customWidth="1"/>
    <col min="6" max="6" width="28" customWidth="1"/>
    <col min="7" max="7" width="20" customWidth="1"/>
    <col min="8" max="8" width="22" customWidth="1"/>
    <col min="9" max="9" width="12" customWidth="1"/>
    <col min="10" max="10" width="28" customWidth="1"/>
    <col min="11" max="11" width="32" customWidth="1"/>
    <col min="12" max="12" width="10" customWidth="1"/>
    <col min="13" max="13" width="8" customWidth="1"/>
    <col min="14" max="20" width="12" customWidth="1"/>
    <col min="21" max="21" width="28" customWidth="1"/>
    <col min="22" max="22" width="14" customWidth="1"/>
  </cols>
  <sheetData>
    <row r="1" spans="1:22" ht="26.1" customHeight="1">
      <c r="A1" s="5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  <c r="L1" s="9"/>
      <c r="M1" s="7"/>
      <c r="N1" s="10"/>
      <c r="O1" s="10"/>
      <c r="P1" s="10"/>
      <c r="Q1" s="10"/>
      <c r="R1" s="10"/>
      <c r="S1" s="10"/>
      <c r="T1" s="10"/>
      <c r="U1" s="7"/>
      <c r="V1" s="7"/>
    </row>
    <row r="2" spans="1:22" ht="21.95" customHeight="1">
      <c r="A2" s="8" t="s">
        <v>43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4" spans="1:22" ht="15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17</v>
      </c>
      <c r="V4" s="1" t="s">
        <v>64</v>
      </c>
    </row>
    <row r="5" spans="1:22">
      <c r="A5">
        <v>1</v>
      </c>
      <c r="B5" t="s">
        <v>36</v>
      </c>
      <c r="C5">
        <v>1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60</v>
      </c>
      <c r="J5" t="s">
        <v>70</v>
      </c>
      <c r="K5" t="s">
        <v>71</v>
      </c>
      <c r="L5">
        <v>1</v>
      </c>
      <c r="M5" t="s">
        <v>72</v>
      </c>
      <c r="N5">
        <v>8000000</v>
      </c>
      <c r="O5">
        <v>4200000</v>
      </c>
      <c r="P5">
        <v>2000000</v>
      </c>
      <c r="Q5">
        <v>1800000</v>
      </c>
      <c r="R5">
        <v>0</v>
      </c>
      <c r="S5">
        <v>0</v>
      </c>
      <c r="T5">
        <v>8000000</v>
      </c>
      <c r="U5" t="s">
        <v>73</v>
      </c>
      <c r="V5" t="s">
        <v>74</v>
      </c>
    </row>
    <row r="6" spans="1:22">
      <c r="A6">
        <v>2</v>
      </c>
      <c r="B6" t="s">
        <v>36</v>
      </c>
      <c r="C6">
        <v>2</v>
      </c>
      <c r="D6" t="s">
        <v>75</v>
      </c>
      <c r="E6" t="s">
        <v>66</v>
      </c>
      <c r="F6" t="s">
        <v>67</v>
      </c>
      <c r="G6" t="s">
        <v>68</v>
      </c>
      <c r="H6" t="s">
        <v>69</v>
      </c>
      <c r="I6" t="s">
        <v>60</v>
      </c>
      <c r="J6" t="s">
        <v>76</v>
      </c>
      <c r="K6" t="s">
        <v>77</v>
      </c>
      <c r="L6">
        <v>1</v>
      </c>
      <c r="M6" t="s">
        <v>72</v>
      </c>
      <c r="N6">
        <v>5200000</v>
      </c>
      <c r="O6">
        <v>1800000</v>
      </c>
      <c r="P6">
        <v>2400000</v>
      </c>
      <c r="Q6">
        <v>1000000</v>
      </c>
      <c r="R6">
        <v>0</v>
      </c>
      <c r="S6">
        <v>0</v>
      </c>
      <c r="T6">
        <v>5200000</v>
      </c>
      <c r="U6" t="s">
        <v>78</v>
      </c>
      <c r="V6" t="s">
        <v>74</v>
      </c>
    </row>
    <row r="7" spans="1:22">
      <c r="A7">
        <v>3</v>
      </c>
      <c r="B7" t="s">
        <v>36</v>
      </c>
      <c r="C7">
        <v>1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60</v>
      </c>
      <c r="J7" t="s">
        <v>84</v>
      </c>
      <c r="K7" t="s">
        <v>85</v>
      </c>
      <c r="L7">
        <v>500</v>
      </c>
      <c r="M7" t="s">
        <v>86</v>
      </c>
      <c r="N7">
        <v>32000</v>
      </c>
      <c r="O7">
        <v>6000000</v>
      </c>
      <c r="P7">
        <v>0</v>
      </c>
      <c r="Q7">
        <v>10000000</v>
      </c>
      <c r="R7">
        <v>0</v>
      </c>
      <c r="S7">
        <v>0</v>
      </c>
      <c r="T7">
        <v>16000000</v>
      </c>
      <c r="U7" t="s">
        <v>87</v>
      </c>
      <c r="V7" t="s">
        <v>74</v>
      </c>
    </row>
    <row r="8" spans="1:22">
      <c r="A8">
        <v>4</v>
      </c>
      <c r="B8" t="s">
        <v>36</v>
      </c>
      <c r="C8">
        <v>2</v>
      </c>
      <c r="D8" t="s">
        <v>88</v>
      </c>
      <c r="E8" t="s">
        <v>80</v>
      </c>
      <c r="F8" t="s">
        <v>81</v>
      </c>
      <c r="G8" t="s">
        <v>89</v>
      </c>
      <c r="H8" t="s">
        <v>90</v>
      </c>
      <c r="I8" t="s">
        <v>60</v>
      </c>
      <c r="J8" t="s">
        <v>91</v>
      </c>
      <c r="K8" t="s">
        <v>92</v>
      </c>
      <c r="L8">
        <v>1</v>
      </c>
      <c r="M8" t="s">
        <v>72</v>
      </c>
      <c r="N8">
        <v>10400000</v>
      </c>
      <c r="O8">
        <v>2000000</v>
      </c>
      <c r="P8">
        <v>400000</v>
      </c>
      <c r="Q8">
        <v>8000000</v>
      </c>
      <c r="R8">
        <v>0</v>
      </c>
      <c r="S8">
        <v>0</v>
      </c>
      <c r="T8">
        <v>10400000</v>
      </c>
      <c r="U8" t="s">
        <v>93</v>
      </c>
      <c r="V8" t="s">
        <v>74</v>
      </c>
    </row>
    <row r="9" spans="1:22">
      <c r="A9">
        <v>5</v>
      </c>
      <c r="B9" t="s">
        <v>36</v>
      </c>
      <c r="C9">
        <v>1</v>
      </c>
      <c r="D9" t="s">
        <v>94</v>
      </c>
      <c r="E9" t="s">
        <v>95</v>
      </c>
      <c r="F9" t="s">
        <v>96</v>
      </c>
      <c r="G9" t="s">
        <v>97</v>
      </c>
      <c r="H9" t="s">
        <v>59</v>
      </c>
      <c r="I9" t="s">
        <v>59</v>
      </c>
      <c r="J9" t="s">
        <v>98</v>
      </c>
      <c r="K9" t="s">
        <v>99</v>
      </c>
      <c r="L9">
        <v>500</v>
      </c>
      <c r="M9" t="s">
        <v>86</v>
      </c>
      <c r="N9">
        <v>6000</v>
      </c>
      <c r="O9">
        <v>500000</v>
      </c>
      <c r="P9">
        <v>2300000</v>
      </c>
      <c r="Q9">
        <v>200000</v>
      </c>
      <c r="R9">
        <v>0</v>
      </c>
      <c r="S9">
        <v>0</v>
      </c>
      <c r="T9">
        <v>3000000</v>
      </c>
      <c r="U9" t="s">
        <v>100</v>
      </c>
      <c r="V9" t="s">
        <v>74</v>
      </c>
    </row>
    <row r="10" spans="1:22">
      <c r="A10">
        <v>6</v>
      </c>
      <c r="B10" t="s">
        <v>36</v>
      </c>
      <c r="C10">
        <v>2</v>
      </c>
      <c r="D10" t="s">
        <v>101</v>
      </c>
      <c r="E10" t="s">
        <v>95</v>
      </c>
      <c r="F10" t="s">
        <v>96</v>
      </c>
      <c r="G10" t="s">
        <v>102</v>
      </c>
      <c r="H10" t="s">
        <v>96</v>
      </c>
      <c r="I10" t="s">
        <v>59</v>
      </c>
      <c r="J10" t="s">
        <v>103</v>
      </c>
      <c r="K10" t="s">
        <v>104</v>
      </c>
      <c r="L10">
        <v>500</v>
      </c>
      <c r="M10" t="s">
        <v>86</v>
      </c>
      <c r="N10">
        <v>96000</v>
      </c>
      <c r="O10">
        <v>15000000</v>
      </c>
      <c r="P10">
        <v>28000000</v>
      </c>
      <c r="Q10">
        <v>5000000</v>
      </c>
      <c r="R10">
        <v>0</v>
      </c>
      <c r="S10">
        <v>0</v>
      </c>
      <c r="T10">
        <v>48000000</v>
      </c>
      <c r="U10" t="s">
        <v>105</v>
      </c>
      <c r="V10" t="s">
        <v>74</v>
      </c>
    </row>
    <row r="11" spans="1:22">
      <c r="A11">
        <v>7</v>
      </c>
      <c r="B11" t="s">
        <v>36</v>
      </c>
      <c r="C11">
        <v>1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60</v>
      </c>
      <c r="J11" t="s">
        <v>110</v>
      </c>
      <c r="K11" t="s">
        <v>111</v>
      </c>
      <c r="L11">
        <v>1</v>
      </c>
      <c r="M11" t="s">
        <v>72</v>
      </c>
      <c r="N11">
        <v>12000000</v>
      </c>
      <c r="O11">
        <v>3000000</v>
      </c>
      <c r="P11">
        <v>6000000</v>
      </c>
      <c r="Q11">
        <v>3000000</v>
      </c>
      <c r="R11">
        <v>0</v>
      </c>
      <c r="S11">
        <v>0</v>
      </c>
      <c r="T11">
        <v>12000000</v>
      </c>
      <c r="U11" t="s">
        <v>112</v>
      </c>
      <c r="V11" t="s">
        <v>74</v>
      </c>
    </row>
    <row r="12" spans="1:22">
      <c r="A12">
        <v>8</v>
      </c>
      <c r="B12" t="s">
        <v>36</v>
      </c>
      <c r="C12">
        <v>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60</v>
      </c>
      <c r="J12" t="s">
        <v>118</v>
      </c>
      <c r="K12" t="s">
        <v>119</v>
      </c>
      <c r="L12">
        <v>1</v>
      </c>
      <c r="M12" t="s">
        <v>72</v>
      </c>
      <c r="N12">
        <v>5200000</v>
      </c>
      <c r="O12">
        <v>2000000</v>
      </c>
      <c r="P12">
        <v>700000</v>
      </c>
      <c r="Q12">
        <v>2500000</v>
      </c>
      <c r="R12">
        <v>0</v>
      </c>
      <c r="S12">
        <v>0</v>
      </c>
      <c r="T12">
        <v>5200000</v>
      </c>
      <c r="U12" t="s">
        <v>120</v>
      </c>
      <c r="V12" t="s">
        <v>74</v>
      </c>
    </row>
    <row r="13" spans="1:22">
      <c r="A13">
        <v>9</v>
      </c>
      <c r="B13" t="s">
        <v>38</v>
      </c>
      <c r="C13">
        <v>1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58</v>
      </c>
      <c r="J13" t="s">
        <v>125</v>
      </c>
      <c r="K13" t="s">
        <v>126</v>
      </c>
      <c r="L13">
        <v>1</v>
      </c>
      <c r="M13" t="s">
        <v>72</v>
      </c>
      <c r="N13">
        <v>5000000</v>
      </c>
      <c r="O13">
        <v>5000000</v>
      </c>
      <c r="P13">
        <v>0</v>
      </c>
      <c r="Q13">
        <v>0</v>
      </c>
      <c r="R13">
        <v>0</v>
      </c>
      <c r="S13">
        <v>0</v>
      </c>
      <c r="T13">
        <v>5000000</v>
      </c>
      <c r="U13" t="s">
        <v>127</v>
      </c>
      <c r="V13" t="s">
        <v>74</v>
      </c>
    </row>
    <row r="14" spans="1:22">
      <c r="A14">
        <v>10</v>
      </c>
      <c r="B14" t="s">
        <v>38</v>
      </c>
      <c r="C14">
        <v>1</v>
      </c>
      <c r="D14" t="s">
        <v>128</v>
      </c>
      <c r="E14" t="s">
        <v>122</v>
      </c>
      <c r="F14" t="s">
        <v>123</v>
      </c>
      <c r="G14" t="s">
        <v>129</v>
      </c>
      <c r="H14" t="s">
        <v>130</v>
      </c>
      <c r="I14" t="s">
        <v>60</v>
      </c>
      <c r="J14" t="s">
        <v>131</v>
      </c>
      <c r="K14" t="s">
        <v>132</v>
      </c>
      <c r="L14">
        <v>1</v>
      </c>
      <c r="M14" t="s">
        <v>72</v>
      </c>
      <c r="N14">
        <v>3000000</v>
      </c>
      <c r="O14">
        <v>0</v>
      </c>
      <c r="P14">
        <v>0</v>
      </c>
      <c r="Q14">
        <v>3000000</v>
      </c>
      <c r="R14">
        <v>0</v>
      </c>
      <c r="S14">
        <v>0</v>
      </c>
      <c r="T14">
        <v>3000000</v>
      </c>
      <c r="U14" t="s">
        <v>127</v>
      </c>
      <c r="V14" t="s">
        <v>74</v>
      </c>
    </row>
    <row r="15" spans="1:22">
      <c r="A15">
        <v>11</v>
      </c>
      <c r="B15" t="s">
        <v>38</v>
      </c>
      <c r="C15">
        <v>1</v>
      </c>
      <c r="D15" t="s">
        <v>133</v>
      </c>
      <c r="E15" t="s">
        <v>122</v>
      </c>
      <c r="F15" t="s">
        <v>123</v>
      </c>
      <c r="G15" t="s">
        <v>134</v>
      </c>
      <c r="H15" t="s">
        <v>135</v>
      </c>
      <c r="I15" t="s">
        <v>60</v>
      </c>
      <c r="J15" t="s">
        <v>136</v>
      </c>
      <c r="K15" t="s">
        <v>137</v>
      </c>
      <c r="L15">
        <v>1</v>
      </c>
      <c r="M15" t="s">
        <v>72</v>
      </c>
      <c r="N15">
        <v>2500000</v>
      </c>
      <c r="O15">
        <v>0</v>
      </c>
      <c r="P15">
        <v>0</v>
      </c>
      <c r="Q15">
        <v>2500000</v>
      </c>
      <c r="R15">
        <v>0</v>
      </c>
      <c r="S15">
        <v>0</v>
      </c>
      <c r="T15">
        <v>2500000</v>
      </c>
      <c r="U15" t="s">
        <v>127</v>
      </c>
      <c r="V15" t="s">
        <v>74</v>
      </c>
    </row>
    <row r="16" spans="1:22">
      <c r="A16">
        <v>12</v>
      </c>
      <c r="B16" t="s">
        <v>38</v>
      </c>
      <c r="C16">
        <v>1</v>
      </c>
      <c r="D16" t="s">
        <v>138</v>
      </c>
      <c r="E16" t="s">
        <v>122</v>
      </c>
      <c r="F16" t="s">
        <v>123</v>
      </c>
      <c r="G16" t="s">
        <v>139</v>
      </c>
      <c r="H16" t="s">
        <v>140</v>
      </c>
      <c r="I16" t="s">
        <v>60</v>
      </c>
      <c r="J16" t="s">
        <v>140</v>
      </c>
      <c r="K16" t="s">
        <v>141</v>
      </c>
      <c r="L16">
        <v>1</v>
      </c>
      <c r="M16" t="s">
        <v>72</v>
      </c>
      <c r="N16">
        <v>5000000</v>
      </c>
      <c r="O16">
        <v>0</v>
      </c>
      <c r="P16">
        <v>0</v>
      </c>
      <c r="Q16">
        <v>5000000</v>
      </c>
      <c r="R16">
        <v>0</v>
      </c>
      <c r="S16">
        <v>0</v>
      </c>
      <c r="T16">
        <v>5000000</v>
      </c>
      <c r="U16" t="s">
        <v>142</v>
      </c>
      <c r="V16" t="s">
        <v>74</v>
      </c>
    </row>
    <row r="17" spans="1:22">
      <c r="A17">
        <v>13</v>
      </c>
      <c r="B17" t="s">
        <v>38</v>
      </c>
      <c r="C17">
        <v>1</v>
      </c>
      <c r="D17" t="s">
        <v>143</v>
      </c>
      <c r="E17" t="s">
        <v>122</v>
      </c>
      <c r="F17" t="s">
        <v>123</v>
      </c>
      <c r="G17" t="s">
        <v>144</v>
      </c>
      <c r="H17" t="s">
        <v>62</v>
      </c>
      <c r="I17" t="s">
        <v>62</v>
      </c>
      <c r="J17" t="s">
        <v>62</v>
      </c>
      <c r="K17" t="s">
        <v>145</v>
      </c>
      <c r="L17">
        <v>1</v>
      </c>
      <c r="M17" t="s">
        <v>72</v>
      </c>
      <c r="N17">
        <v>8700000</v>
      </c>
      <c r="O17">
        <v>0</v>
      </c>
      <c r="P17">
        <v>0</v>
      </c>
      <c r="Q17">
        <v>0</v>
      </c>
      <c r="R17">
        <v>0</v>
      </c>
      <c r="S17">
        <v>8700000</v>
      </c>
      <c r="T17">
        <v>8700000</v>
      </c>
      <c r="U17" t="s">
        <v>146</v>
      </c>
      <c r="V17" t="s">
        <v>74</v>
      </c>
    </row>
    <row r="18" spans="1:22">
      <c r="A18" t="s">
        <v>147</v>
      </c>
      <c r="O18">
        <f t="shared" ref="O18:T18" si="0">SUM(O5:O17)</f>
        <v>39500000</v>
      </c>
      <c r="P18">
        <f t="shared" si="0"/>
        <v>41800000</v>
      </c>
      <c r="Q18">
        <f t="shared" si="0"/>
        <v>42000000</v>
      </c>
      <c r="R18">
        <f t="shared" si="0"/>
        <v>0</v>
      </c>
      <c r="S18">
        <f t="shared" si="0"/>
        <v>8700000</v>
      </c>
      <c r="T18">
        <f t="shared" si="0"/>
        <v>132000000</v>
      </c>
      <c r="U18" t="s">
        <v>148</v>
      </c>
    </row>
  </sheetData>
  <mergeCells count="2">
    <mergeCell ref="A1:V1"/>
    <mergeCell ref="A2:V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workbookViewId="0">
      <selection activeCell="E18" sqref="E18"/>
    </sheetView>
  </sheetViews>
  <sheetFormatPr defaultRowHeight="14.25"/>
  <cols>
    <col min="1" max="1" width="12" customWidth="1"/>
    <col min="2" max="2" width="32" customWidth="1"/>
    <col min="3" max="3" width="26" customWidth="1"/>
    <col min="4" max="4" width="24" customWidth="1"/>
    <col min="5" max="5" width="14" customWidth="1"/>
    <col min="6" max="6" width="28" customWidth="1"/>
    <col min="7" max="7" width="14" customWidth="1"/>
    <col min="8" max="8" width="16" customWidth="1"/>
    <col min="9" max="10" width="12" customWidth="1"/>
    <col min="11" max="11" width="30" customWidth="1"/>
  </cols>
  <sheetData>
    <row r="1" spans="1:11" ht="26.1" customHeight="1">
      <c r="A1" s="5" t="s">
        <v>149</v>
      </c>
      <c r="B1" s="7"/>
      <c r="C1" s="7"/>
      <c r="D1" s="7"/>
      <c r="E1" s="7"/>
      <c r="F1" s="7"/>
      <c r="G1" s="10"/>
      <c r="H1" s="7"/>
      <c r="I1" s="11"/>
      <c r="J1" s="11"/>
      <c r="K1" s="7"/>
    </row>
    <row r="2" spans="1:11" ht="21.95" customHeight="1">
      <c r="A2" s="8" t="s">
        <v>150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1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151</v>
      </c>
      <c r="G4" s="1" t="s">
        <v>152</v>
      </c>
      <c r="H4" s="1" t="s">
        <v>153</v>
      </c>
      <c r="I4" s="1" t="s">
        <v>154</v>
      </c>
      <c r="J4" s="1" t="s">
        <v>155</v>
      </c>
      <c r="K4" s="1" t="s">
        <v>17</v>
      </c>
    </row>
    <row r="5" spans="1:11">
      <c r="A5" t="s">
        <v>66</v>
      </c>
      <c r="B5" t="s">
        <v>67</v>
      </c>
      <c r="C5" t="s">
        <v>68</v>
      </c>
      <c r="D5" t="s">
        <v>69</v>
      </c>
      <c r="E5" t="s">
        <v>60</v>
      </c>
      <c r="F5" t="s">
        <v>67</v>
      </c>
      <c r="G5">
        <v>13200000</v>
      </c>
      <c r="H5" t="s">
        <v>156</v>
      </c>
      <c r="I5" s="14">
        <v>46248</v>
      </c>
      <c r="J5" s="14">
        <v>46278</v>
      </c>
      <c r="K5" t="s">
        <v>36</v>
      </c>
    </row>
    <row r="6" spans="1:11">
      <c r="A6" t="s">
        <v>80</v>
      </c>
      <c r="B6" t="s">
        <v>81</v>
      </c>
      <c r="C6" t="s">
        <v>157</v>
      </c>
      <c r="D6" t="s">
        <v>158</v>
      </c>
      <c r="E6" t="s">
        <v>60</v>
      </c>
      <c r="F6" t="s">
        <v>81</v>
      </c>
      <c r="G6">
        <v>26400000</v>
      </c>
      <c r="H6" t="s">
        <v>156</v>
      </c>
      <c r="I6" s="14">
        <v>46248</v>
      </c>
      <c r="J6" s="14">
        <v>46278</v>
      </c>
      <c r="K6" t="s">
        <v>36</v>
      </c>
    </row>
    <row r="7" spans="1:11">
      <c r="A7" t="s">
        <v>95</v>
      </c>
      <c r="B7" t="s">
        <v>96</v>
      </c>
      <c r="C7" t="s">
        <v>159</v>
      </c>
      <c r="D7" t="s">
        <v>160</v>
      </c>
      <c r="E7" t="s">
        <v>161</v>
      </c>
      <c r="F7" t="s">
        <v>96</v>
      </c>
      <c r="G7">
        <v>51000000</v>
      </c>
      <c r="H7" t="s">
        <v>156</v>
      </c>
      <c r="I7" s="14">
        <v>46248</v>
      </c>
      <c r="J7" s="14">
        <v>46278</v>
      </c>
      <c r="K7" t="s">
        <v>36</v>
      </c>
    </row>
    <row r="8" spans="1:11">
      <c r="A8" t="s">
        <v>107</v>
      </c>
      <c r="B8" t="s">
        <v>108</v>
      </c>
      <c r="C8" t="s">
        <v>109</v>
      </c>
      <c r="D8" t="s">
        <v>110</v>
      </c>
      <c r="E8" t="s">
        <v>60</v>
      </c>
      <c r="F8" t="s">
        <v>108</v>
      </c>
      <c r="G8">
        <v>12000000</v>
      </c>
      <c r="H8" t="s">
        <v>156</v>
      </c>
      <c r="I8" s="14">
        <v>46248</v>
      </c>
      <c r="J8" s="14">
        <v>46278</v>
      </c>
      <c r="K8" t="s">
        <v>36</v>
      </c>
    </row>
    <row r="9" spans="1:11">
      <c r="A9" t="s">
        <v>114</v>
      </c>
      <c r="B9" t="s">
        <v>115</v>
      </c>
      <c r="C9" t="s">
        <v>116</v>
      </c>
      <c r="D9" t="s">
        <v>117</v>
      </c>
      <c r="E9" t="s">
        <v>60</v>
      </c>
      <c r="F9" t="s">
        <v>115</v>
      </c>
      <c r="G9">
        <v>5200000</v>
      </c>
      <c r="H9" t="s">
        <v>156</v>
      </c>
      <c r="I9" s="14">
        <v>46248</v>
      </c>
      <c r="J9" s="14">
        <v>46278</v>
      </c>
      <c r="K9" t="s">
        <v>36</v>
      </c>
    </row>
    <row r="10" spans="1:11">
      <c r="A10" t="s">
        <v>122</v>
      </c>
      <c r="B10" t="s">
        <v>123</v>
      </c>
      <c r="C10" t="s">
        <v>124</v>
      </c>
      <c r="D10" t="s">
        <v>125</v>
      </c>
      <c r="E10" t="s">
        <v>58</v>
      </c>
      <c r="F10" t="s">
        <v>125</v>
      </c>
      <c r="G10">
        <v>5000000</v>
      </c>
      <c r="H10" t="s">
        <v>162</v>
      </c>
      <c r="I10" s="14">
        <v>46248</v>
      </c>
      <c r="J10" s="14">
        <v>46278</v>
      </c>
      <c r="K10" t="s">
        <v>38</v>
      </c>
    </row>
    <row r="11" spans="1:11">
      <c r="A11" t="s">
        <v>122</v>
      </c>
      <c r="B11" t="s">
        <v>123</v>
      </c>
      <c r="C11" t="s">
        <v>129</v>
      </c>
      <c r="D11" t="s">
        <v>130</v>
      </c>
      <c r="E11" t="s">
        <v>60</v>
      </c>
      <c r="F11" t="s">
        <v>131</v>
      </c>
      <c r="G11">
        <v>3000000</v>
      </c>
      <c r="H11" t="s">
        <v>162</v>
      </c>
      <c r="I11" s="14">
        <v>46248</v>
      </c>
      <c r="J11" s="14">
        <v>46278</v>
      </c>
      <c r="K11" t="s">
        <v>38</v>
      </c>
    </row>
    <row r="12" spans="1:11">
      <c r="A12" t="s">
        <v>122</v>
      </c>
      <c r="B12" t="s">
        <v>123</v>
      </c>
      <c r="C12" t="s">
        <v>134</v>
      </c>
      <c r="D12" t="s">
        <v>135</v>
      </c>
      <c r="E12" t="s">
        <v>60</v>
      </c>
      <c r="F12" t="s">
        <v>136</v>
      </c>
      <c r="G12">
        <v>2500000</v>
      </c>
      <c r="H12" t="s">
        <v>162</v>
      </c>
      <c r="I12" s="14">
        <v>46248</v>
      </c>
      <c r="J12" s="14">
        <v>46278</v>
      </c>
      <c r="K12" t="s">
        <v>38</v>
      </c>
    </row>
    <row r="13" spans="1:11">
      <c r="A13" t="s">
        <v>122</v>
      </c>
      <c r="B13" t="s">
        <v>123</v>
      </c>
      <c r="C13" t="s">
        <v>139</v>
      </c>
      <c r="D13" t="s">
        <v>140</v>
      </c>
      <c r="E13" t="s">
        <v>60</v>
      </c>
      <c r="F13" t="s">
        <v>140</v>
      </c>
      <c r="G13">
        <v>5000000</v>
      </c>
      <c r="H13" t="s">
        <v>162</v>
      </c>
      <c r="I13" s="14">
        <v>46248</v>
      </c>
      <c r="J13" s="14">
        <v>46278</v>
      </c>
      <c r="K13" t="s">
        <v>38</v>
      </c>
    </row>
    <row r="14" spans="1:11">
      <c r="A14" t="s">
        <v>122</v>
      </c>
      <c r="B14" t="s">
        <v>123</v>
      </c>
      <c r="C14" t="s">
        <v>144</v>
      </c>
      <c r="D14" t="s">
        <v>62</v>
      </c>
      <c r="E14" t="s">
        <v>62</v>
      </c>
      <c r="F14" t="s">
        <v>62</v>
      </c>
      <c r="G14">
        <v>8700000</v>
      </c>
      <c r="H14" t="s">
        <v>162</v>
      </c>
      <c r="I14" s="14">
        <v>46248</v>
      </c>
      <c r="J14" s="14">
        <v>46278</v>
      </c>
      <c r="K14" t="s">
        <v>38</v>
      </c>
    </row>
    <row r="15" spans="1:11">
      <c r="A15" t="s">
        <v>147</v>
      </c>
      <c r="G15">
        <f>SUM(G5:G14)</f>
        <v>132000000</v>
      </c>
    </row>
  </sheetData>
  <mergeCells count="2">
    <mergeCell ref="A1:K1"/>
    <mergeCell ref="A2:K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selection sqref="A1:F1"/>
    </sheetView>
  </sheetViews>
  <sheetFormatPr defaultRowHeight="14.25"/>
  <cols>
    <col min="1" max="1" width="28" customWidth="1"/>
    <col min="2" max="2" width="16" customWidth="1"/>
    <col min="3" max="3" width="45" customWidth="1"/>
    <col min="4" max="4" width="16" customWidth="1"/>
    <col min="5" max="5" width="12" customWidth="1"/>
    <col min="6" max="6" width="36" customWidth="1"/>
  </cols>
  <sheetData>
    <row r="1" spans="1:6" ht="26.1" customHeight="1">
      <c r="A1" s="5" t="s">
        <v>163</v>
      </c>
      <c r="B1" s="7"/>
      <c r="C1" s="7"/>
      <c r="D1" s="7"/>
      <c r="E1" s="7"/>
      <c r="F1" s="7"/>
    </row>
    <row r="2" spans="1:6" ht="21.95" customHeight="1">
      <c r="A2" s="8" t="s">
        <v>164</v>
      </c>
      <c r="B2" s="7"/>
      <c r="C2" s="7"/>
      <c r="D2" s="7"/>
      <c r="E2" s="7"/>
      <c r="F2" s="7"/>
    </row>
    <row r="4" spans="1:6" ht="15">
      <c r="A4" s="1" t="s">
        <v>165</v>
      </c>
      <c r="B4" s="1" t="s">
        <v>166</v>
      </c>
      <c r="C4" s="1" t="s">
        <v>167</v>
      </c>
      <c r="D4" s="1" t="s">
        <v>168</v>
      </c>
      <c r="E4" s="1" t="s">
        <v>169</v>
      </c>
      <c r="F4" s="1" t="s">
        <v>17</v>
      </c>
    </row>
    <row r="5" spans="1:6">
      <c r="A5" t="s">
        <v>34</v>
      </c>
      <c r="B5" s="2">
        <v>132000000</v>
      </c>
      <c r="C5" t="s">
        <v>170</v>
      </c>
      <c r="D5" s="2">
        <v>132000000</v>
      </c>
      <c r="E5" t="str">
        <f t="shared" ref="E5:E10" si="0">IF(B5=D5,"PASS","FAIL")</f>
        <v>PASS</v>
      </c>
      <c r="F5" t="s">
        <v>35</v>
      </c>
    </row>
    <row r="6" spans="1:6">
      <c r="A6" t="s">
        <v>171</v>
      </c>
      <c r="B6" s="2">
        <v>107800000</v>
      </c>
      <c r="C6" t="s">
        <v>172</v>
      </c>
      <c r="D6" s="2">
        <v>107800000</v>
      </c>
      <c r="E6" t="str">
        <f t="shared" si="0"/>
        <v>PASS</v>
      </c>
      <c r="F6" t="s">
        <v>173</v>
      </c>
    </row>
    <row r="7" spans="1:6">
      <c r="A7" t="s">
        <v>174</v>
      </c>
      <c r="B7" s="2">
        <v>24200000</v>
      </c>
      <c r="C7" t="s">
        <v>175</v>
      </c>
      <c r="D7" s="2">
        <v>24200000</v>
      </c>
      <c r="E7" t="str">
        <f t="shared" si="0"/>
        <v>PASS</v>
      </c>
      <c r="F7" t="s">
        <v>122</v>
      </c>
    </row>
    <row r="8" spans="1:6">
      <c r="A8" t="s">
        <v>176</v>
      </c>
      <c r="B8" s="2">
        <f>SUM('03_WBS_CBS_예산_v2'!G5:G14)</f>
        <v>132000000</v>
      </c>
      <c r="C8" t="s">
        <v>177</v>
      </c>
      <c r="D8" s="2">
        <v>132000000</v>
      </c>
      <c r="E8" t="str">
        <f t="shared" si="0"/>
        <v>PASS</v>
      </c>
      <c r="F8" t="s">
        <v>178</v>
      </c>
    </row>
    <row r="9" spans="1:6">
      <c r="A9" t="s">
        <v>179</v>
      </c>
      <c r="B9" s="2">
        <f>B5-B8</f>
        <v>0</v>
      </c>
      <c r="C9" t="s">
        <v>180</v>
      </c>
      <c r="D9" s="2">
        <v>0</v>
      </c>
      <c r="E9" t="str">
        <f t="shared" si="0"/>
        <v>PASS</v>
      </c>
    </row>
    <row r="10" spans="1:6">
      <c r="A10" t="s">
        <v>62</v>
      </c>
      <c r="B10" s="2">
        <v>8700000</v>
      </c>
      <c r="C10" t="s">
        <v>144</v>
      </c>
      <c r="D10" s="2">
        <v>8700000</v>
      </c>
      <c r="E10" t="str">
        <f t="shared" si="0"/>
        <v>PASS</v>
      </c>
      <c r="F10" t="s">
        <v>181</v>
      </c>
    </row>
    <row r="11" spans="1:6">
      <c r="A11" t="s">
        <v>182</v>
      </c>
      <c r="B11" s="4">
        <f>B10/B5</f>
        <v>6.5909090909090903E-2</v>
      </c>
      <c r="C11" s="4" t="s">
        <v>183</v>
      </c>
      <c r="D11" s="4">
        <f>8700000/132000000</f>
        <v>6.5909090909090903E-2</v>
      </c>
      <c r="E11" t="str">
        <f>IF(ROUND(B11,6)=ROUND(D11,6),"PASS","FAIL")</f>
        <v>PASS</v>
      </c>
      <c r="F11" t="s">
        <v>184</v>
      </c>
    </row>
  </sheetData>
  <mergeCells count="2">
    <mergeCell ref="A1:F1"/>
    <mergeCell ref="A2:F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sqref="A1:H1"/>
    </sheetView>
  </sheetViews>
  <sheetFormatPr defaultRowHeight="14.25"/>
  <cols>
    <col min="1" max="2" width="12" customWidth="1"/>
    <col min="3" max="3" width="32" customWidth="1"/>
    <col min="4" max="4" width="12" customWidth="1"/>
    <col min="5" max="5" width="45" customWidth="1"/>
    <col min="6" max="6" width="16" customWidth="1"/>
    <col min="7" max="7" width="30" customWidth="1"/>
    <col min="8" max="8" width="12" customWidth="1"/>
  </cols>
  <sheetData>
    <row r="1" spans="1:8" ht="26.1" customHeight="1">
      <c r="A1" s="12" t="s">
        <v>185</v>
      </c>
      <c r="B1" s="7"/>
      <c r="C1" s="7"/>
      <c r="D1" s="13"/>
      <c r="E1" s="7"/>
      <c r="F1" s="7"/>
      <c r="G1" s="7"/>
      <c r="H1" s="7"/>
    </row>
    <row r="2" spans="1:8" ht="21.95" customHeight="1">
      <c r="A2" s="8" t="s">
        <v>186</v>
      </c>
      <c r="B2" s="7"/>
      <c r="C2" s="7"/>
      <c r="D2" s="7"/>
      <c r="E2" s="7"/>
      <c r="F2" s="7"/>
      <c r="G2" s="7"/>
      <c r="H2" s="7"/>
    </row>
    <row r="4" spans="1:8" ht="15">
      <c r="A4" s="1" t="s">
        <v>187</v>
      </c>
      <c r="B4" s="1" t="s">
        <v>48</v>
      </c>
      <c r="C4" s="1" t="s">
        <v>49</v>
      </c>
      <c r="D4" s="1" t="s">
        <v>188</v>
      </c>
      <c r="E4" s="1" t="s">
        <v>189</v>
      </c>
      <c r="F4" s="1" t="s">
        <v>153</v>
      </c>
      <c r="G4" s="1" t="s">
        <v>17</v>
      </c>
      <c r="H4" s="1" t="s">
        <v>18</v>
      </c>
    </row>
    <row r="5" spans="1:8">
      <c r="A5">
        <v>46248</v>
      </c>
      <c r="B5" t="s">
        <v>66</v>
      </c>
      <c r="C5" t="s">
        <v>67</v>
      </c>
      <c r="D5">
        <v>0.3</v>
      </c>
      <c r="E5" t="s">
        <v>190</v>
      </c>
      <c r="F5" t="s">
        <v>156</v>
      </c>
    </row>
    <row r="6" spans="1:8">
      <c r="A6">
        <v>46251</v>
      </c>
      <c r="B6" t="s">
        <v>66</v>
      </c>
      <c r="C6" t="s">
        <v>67</v>
      </c>
      <c r="D6">
        <v>1</v>
      </c>
      <c r="E6" t="s">
        <v>191</v>
      </c>
      <c r="F6" t="s">
        <v>156</v>
      </c>
    </row>
    <row r="7" spans="1:8">
      <c r="A7">
        <v>46252</v>
      </c>
      <c r="B7" t="s">
        <v>80</v>
      </c>
      <c r="C7" t="s">
        <v>81</v>
      </c>
      <c r="D7">
        <v>0.25</v>
      </c>
      <c r="E7" t="s">
        <v>192</v>
      </c>
      <c r="F7" t="s">
        <v>156</v>
      </c>
    </row>
    <row r="8" spans="1:8">
      <c r="A8">
        <v>46254</v>
      </c>
      <c r="B8" t="s">
        <v>80</v>
      </c>
      <c r="C8" t="s">
        <v>81</v>
      </c>
      <c r="D8">
        <v>1</v>
      </c>
      <c r="E8" t="s">
        <v>193</v>
      </c>
      <c r="F8" t="s">
        <v>156</v>
      </c>
    </row>
    <row r="9" spans="1:8">
      <c r="A9">
        <v>46258</v>
      </c>
      <c r="B9" t="s">
        <v>95</v>
      </c>
      <c r="C9" t="s">
        <v>96</v>
      </c>
      <c r="D9">
        <v>0.4</v>
      </c>
      <c r="E9" t="s">
        <v>194</v>
      </c>
      <c r="F9" t="s">
        <v>156</v>
      </c>
    </row>
    <row r="10" spans="1:8">
      <c r="A10">
        <v>46261</v>
      </c>
      <c r="B10" t="s">
        <v>95</v>
      </c>
      <c r="C10" t="s">
        <v>96</v>
      </c>
      <c r="D10">
        <v>0.8</v>
      </c>
      <c r="E10" t="s">
        <v>195</v>
      </c>
      <c r="F10" t="s">
        <v>156</v>
      </c>
    </row>
    <row r="11" spans="1:8">
      <c r="A11">
        <v>46265</v>
      </c>
      <c r="B11" t="s">
        <v>107</v>
      </c>
      <c r="C11" t="s">
        <v>108</v>
      </c>
      <c r="D11">
        <v>0.3</v>
      </c>
      <c r="E11" t="s">
        <v>196</v>
      </c>
      <c r="F11" t="s">
        <v>156</v>
      </c>
    </row>
    <row r="12" spans="1:8">
      <c r="A12">
        <v>46265</v>
      </c>
      <c r="B12" t="s">
        <v>122</v>
      </c>
      <c r="C12" t="s">
        <v>123</v>
      </c>
      <c r="E12" t="s">
        <v>197</v>
      </c>
      <c r="F12" t="s">
        <v>162</v>
      </c>
      <c r="G12" t="s">
        <v>198</v>
      </c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B17" sqref="B17"/>
    </sheetView>
  </sheetViews>
  <sheetFormatPr defaultRowHeight="14.25"/>
  <cols>
    <col min="1" max="1" width="9.125" bestFit="1" customWidth="1"/>
    <col min="2" max="2" width="35.5" bestFit="1" customWidth="1"/>
    <col min="3" max="3" width="42.625" bestFit="1" customWidth="1"/>
    <col min="4" max="4" width="52.875" bestFit="1" customWidth="1"/>
    <col min="5" max="5" width="47.125" bestFit="1" customWidth="1"/>
    <col min="6" max="6" width="30.25" bestFit="1" customWidth="1"/>
    <col min="7" max="7" width="5.25" bestFit="1" customWidth="1"/>
  </cols>
  <sheetData>
    <row r="1" spans="1:7" ht="26.1" customHeight="1">
      <c r="A1" s="5" t="s">
        <v>199</v>
      </c>
      <c r="B1" s="6"/>
      <c r="C1" s="6"/>
      <c r="D1" s="6"/>
      <c r="E1" s="6"/>
      <c r="F1" s="6"/>
      <c r="G1" s="7"/>
    </row>
    <row r="2" spans="1:7" ht="21.95" customHeight="1">
      <c r="A2" s="8" t="s">
        <v>200</v>
      </c>
      <c r="B2" s="7"/>
      <c r="C2" s="7"/>
      <c r="D2" s="7"/>
      <c r="E2" s="7"/>
      <c r="F2" s="7"/>
      <c r="G2" s="7"/>
    </row>
    <row r="4" spans="1:7" ht="15">
      <c r="A4" s="1" t="s">
        <v>201</v>
      </c>
      <c r="B4" s="1" t="s">
        <v>202</v>
      </c>
      <c r="C4" s="1" t="s">
        <v>203</v>
      </c>
      <c r="D4" s="1" t="s">
        <v>204</v>
      </c>
      <c r="E4" s="1" t="s">
        <v>205</v>
      </c>
      <c r="F4" s="1" t="s">
        <v>206</v>
      </c>
      <c r="G4" s="1" t="s">
        <v>40</v>
      </c>
    </row>
    <row r="5" spans="1:7">
      <c r="A5" t="s">
        <v>207</v>
      </c>
      <c r="B5" t="s">
        <v>208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</row>
    <row r="6" spans="1:7">
      <c r="A6" t="s">
        <v>214</v>
      </c>
      <c r="B6" t="s">
        <v>215</v>
      </c>
      <c r="C6" t="s">
        <v>216</v>
      </c>
      <c r="D6" t="s">
        <v>217</v>
      </c>
      <c r="E6" t="s">
        <v>218</v>
      </c>
      <c r="F6" t="s">
        <v>219</v>
      </c>
      <c r="G6" t="s">
        <v>213</v>
      </c>
    </row>
    <row r="7" spans="1:7">
      <c r="A7" t="s">
        <v>220</v>
      </c>
      <c r="B7" t="s">
        <v>221</v>
      </c>
      <c r="C7" t="s">
        <v>222</v>
      </c>
      <c r="D7" t="s">
        <v>223</v>
      </c>
      <c r="E7" t="s">
        <v>224</v>
      </c>
      <c r="F7" t="s">
        <v>225</v>
      </c>
      <c r="G7" t="s">
        <v>213</v>
      </c>
    </row>
    <row r="8" spans="1:7">
      <c r="A8" t="s">
        <v>226</v>
      </c>
      <c r="B8" t="s">
        <v>227</v>
      </c>
      <c r="C8" t="s">
        <v>228</v>
      </c>
      <c r="D8" t="s">
        <v>229</v>
      </c>
      <c r="E8" t="s">
        <v>230</v>
      </c>
      <c r="F8" t="s">
        <v>231</v>
      </c>
      <c r="G8" t="s">
        <v>213</v>
      </c>
    </row>
  </sheetData>
  <mergeCells count="2">
    <mergeCell ref="A1:G1"/>
    <mergeCell ref="A2:G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00_사용안내</vt:lpstr>
      <vt:lpstr>01_프로젝트정보</vt:lpstr>
      <vt:lpstr>02_계약내역서_v2</vt:lpstr>
      <vt:lpstr>03_WBS_CBS_예산_v2</vt:lpstr>
      <vt:lpstr>04_검증요약_v2</vt:lpstr>
      <vt:lpstr>05_FIELD진행계획_v2</vt:lpstr>
      <vt:lpstr>06_시나리오변경사항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Jeonghun Lee</cp:lastModifiedBy>
  <dcterms:modified xsi:type="dcterms:W3CDTF">2026-08-19T00:20:06Z</dcterms:modified>
</cp:coreProperties>
</file>