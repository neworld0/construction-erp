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"/>
    </mc:Choice>
  </mc:AlternateContent>
  <xr:revisionPtr revIDLastSave="0" documentId="13_ncr:1_{0AC566D1-76E7-4F11-968F-5783135955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사용안내" sheetId="1" r:id="rId1"/>
    <sheet name="01_프로젝트정보" sheetId="2" r:id="rId2"/>
    <sheet name="02_착공신고서" sheetId="3" r:id="rId3"/>
    <sheet name="03_WBS_기준선" sheetId="4" r:id="rId4"/>
    <sheet name="04_예정공정표" sheetId="5" r:id="rId5"/>
    <sheet name="05_현장기술자" sheetId="6" r:id="rId6"/>
    <sheet name="06_현장조직도" sheetId="7" r:id="rId7"/>
    <sheet name="07_동원인력계획" sheetId="8" r:id="rId8"/>
    <sheet name="08_장비투입계획" sheetId="9" r:id="rId9"/>
    <sheet name="09_착공전사진대지" sheetId="10" r:id="rId10"/>
    <sheet name="10_검증요약" sheetId="11" r:id="rId11"/>
    <sheet name="11_업로드체크리스트" sheetId="12" r:id="rId12"/>
  </sheets>
  <calcPr calcId="191029"/>
</workbook>
</file>

<file path=xl/calcChain.xml><?xml version="1.0" encoding="utf-8"?>
<calcChain xmlns="http://schemas.openxmlformats.org/spreadsheetml/2006/main">
  <c r="C12" i="11" l="1"/>
  <c r="D12" i="11" s="1"/>
  <c r="C11" i="11"/>
  <c r="D11" i="11" s="1"/>
  <c r="C10" i="11"/>
  <c r="D10" i="11" s="1"/>
  <c r="C9" i="11"/>
  <c r="D9" i="11" s="1"/>
  <c r="C8" i="11"/>
  <c r="D8" i="11" s="1"/>
  <c r="D6" i="11"/>
  <c r="C6" i="11"/>
  <c r="D5" i="11"/>
  <c r="C5" i="11"/>
  <c r="C7" i="11" s="1"/>
  <c r="D7" i="11" s="1"/>
  <c r="H13" i="9"/>
  <c r="G13" i="9"/>
  <c r="F13" i="9"/>
  <c r="E13" i="9"/>
  <c r="D13" i="9"/>
  <c r="H10" i="8"/>
  <c r="G10" i="8"/>
  <c r="F10" i="8"/>
  <c r="E10" i="8"/>
  <c r="D10" i="8"/>
  <c r="M6" i="5"/>
  <c r="M5" i="5"/>
  <c r="C13" i="11" s="1"/>
  <c r="D13" i="11" s="1"/>
  <c r="Q8" i="4"/>
  <c r="Q6" i="4"/>
  <c r="Q5" i="4"/>
  <c r="Q7" i="4" s="1"/>
  <c r="B22" i="2"/>
</calcChain>
</file>

<file path=xl/sharedStrings.xml><?xml version="1.0" encoding="utf-8"?>
<sst xmlns="http://schemas.openxmlformats.org/spreadsheetml/2006/main" count="538" uniqueCount="371">
  <si>
    <t>LOCAL-OPS-20260814-001 착공계 Excel 업로드 파일</t>
  </si>
  <si>
    <t>WBS 기준선 / 착공계 / 예정공정 / 인력·장비 계획 통합 업로드용</t>
  </si>
  <si>
    <t>구분</t>
  </si>
  <si>
    <t>내용</t>
  </si>
  <si>
    <t>작성 목적</t>
  </si>
  <si>
    <t>LOCAL-OPS-20260814 운영 리허설 상세 시나리오 v2에 맞춰 착공계 Excel 업로드에 사용할 기준 데이터를 제공합니다.</t>
  </si>
  <si>
    <t>참고 자료</t>
  </si>
  <si>
    <t>첨부 PDF: 국도46호선_착공계_제출.pdf — 착공계의 목차, 착공신고서, 현장기술자 지정신고서, 현장조직도, 예정공정표, 동원인력계획표, 장비투입계획서 등의 구조를 참고했습니다.</t>
  </si>
  <si>
    <t>시나리오 적용</t>
  </si>
  <si>
    <t>원본 PDF의 실제 금액·기간·개인정보는 그대로 사용하지 않고, LOCAL-OPS 리허설용 테스트 값으로 변환했습니다.</t>
  </si>
  <si>
    <t>주요 원칙</t>
  </si>
  <si>
    <t>계약금액 132,000,000원 = 예산 기준선 132,000,000원, WBS-99는 계약가산항목으로 포함하되 진행률 산정에서는 제외합니다.</t>
  </si>
  <si>
    <t>개인정보</t>
  </si>
  <si>
    <t>실제 인명, 연락처, 생년월일, 자격번호 등은 사용하지 않습니다. 모든 사람 정보는 테스트용 가명/마스킹 값입니다.</t>
  </si>
  <si>
    <t>업로드 순서</t>
  </si>
  <si>
    <t>01_프로젝트정보 → 02_착공신고서 → 03_WBS_기준선 → 04_예정공정표 → 05~08 인력/조직/장비 → 09 사진대지 메타 순으로 검증합니다.</t>
  </si>
  <si>
    <t>검증 기준</t>
  </si>
  <si>
    <t>10_검증요약과 11_업로드체크리스트에서 계약금액, WBS 합계, WBS 날짜, 진행률 제외 여부, 개인정보 여부를 확인합니다.</t>
  </si>
  <si>
    <t>프로젝트 기본정보</t>
  </si>
  <si>
    <t>HQ 신규 공사 등록 및 착공계 업로드 기준</t>
  </si>
  <si>
    <t>필드</t>
  </si>
  <si>
    <t>값</t>
  </si>
  <si>
    <t>비고</t>
  </si>
  <si>
    <t>리허설 ID</t>
  </si>
  <si>
    <t>LOCAL-OPS-20260814</t>
  </si>
  <si>
    <t>운영 리허설 식별자</t>
  </si>
  <si>
    <t>프로젝트 코드</t>
  </si>
  <si>
    <t>LOCAL-OPS-20260814-001</t>
  </si>
  <si>
    <t>코드 입력란이 없으면 프로젝트명 앞에 표시</t>
  </si>
  <si>
    <t>프로젝트명</t>
  </si>
  <si>
    <t>2026년 8월 로컬 검증 포장보수공사</t>
  </si>
  <si>
    <t>테스트용 프로젝트명</t>
  </si>
  <si>
    <t>착공계 양식상 공사명</t>
  </si>
  <si>
    <t>원본 PDF는 국도46호선 공사명</t>
  </si>
  <si>
    <t>발주처</t>
  </si>
  <si>
    <t>아산시 도로관리과</t>
  </si>
  <si>
    <t>테스트용</t>
  </si>
  <si>
    <t>수요기관</t>
  </si>
  <si>
    <t>공사 위치</t>
  </si>
  <si>
    <t>충남 아산시 일원</t>
  </si>
  <si>
    <t>공사유형</t>
  </si>
  <si>
    <t>포장보수</t>
  </si>
  <si>
    <t>계약방법</t>
  </si>
  <si>
    <t>제한경쟁 / 테스트</t>
  </si>
  <si>
    <t>리허설용</t>
  </si>
  <si>
    <t>계약일</t>
  </si>
  <si>
    <t>2026-08-14</t>
  </si>
  <si>
    <t>착공일</t>
  </si>
  <si>
    <t>WBS 기본 시작일</t>
  </si>
  <si>
    <t>준공예정일</t>
  </si>
  <si>
    <t>2026-09-13</t>
  </si>
  <si>
    <t>WBS 기본 종료일</t>
  </si>
  <si>
    <t>공사기간</t>
  </si>
  <si>
    <t>착공일로부터 31일</t>
  </si>
  <si>
    <t>시나리오 기준</t>
  </si>
  <si>
    <t>계약금액</t>
  </si>
  <si>
    <t>원</t>
  </si>
  <si>
    <t>직접공사비</t>
  </si>
  <si>
    <t>진행률 산정 대상</t>
  </si>
  <si>
    <t>계약가산항목</t>
  </si>
  <si>
    <t>WBS-99</t>
  </si>
  <si>
    <t>예산 기준선 총합계</t>
  </si>
  <si>
    <t>직접공사비 + 계약가산항목</t>
  </si>
  <si>
    <t>계약금액-예산차이</t>
  </si>
  <si>
    <t>0이어야 함</t>
  </si>
  <si>
    <t>HQ 담당자</t>
  </si>
  <si>
    <t>hq_test</t>
  </si>
  <si>
    <t>테스트 계정</t>
  </si>
  <si>
    <t>FIELD 담당자</t>
  </si>
  <si>
    <t>field_test</t>
  </si>
  <si>
    <t>CEO 확인자</t>
  </si>
  <si>
    <t>ceo_test</t>
  </si>
  <si>
    <t>업로드상태</t>
  </si>
  <si>
    <t>업로드대상</t>
  </si>
  <si>
    <t>착공신고서 업로드 데이터</t>
  </si>
  <si>
    <t>첨부 착공계 PDF의 착공신고서 구조를 LOCAL-OPS 시나리오용으로 변환</t>
  </si>
  <si>
    <t>업로드필드명</t>
  </si>
  <si>
    <t>공사명</t>
  </si>
  <si>
    <t>project_name</t>
  </si>
  <si>
    <t>contract_amount</t>
  </si>
  <si>
    <t>공사위치</t>
  </si>
  <si>
    <t>site_location</t>
  </si>
  <si>
    <t>계약년월일</t>
  </si>
  <si>
    <t>contract_date</t>
  </si>
  <si>
    <t>착공년월일</t>
  </si>
  <si>
    <t>start_date</t>
  </si>
  <si>
    <t>WBS 기준선 fallback 시작일</t>
  </si>
  <si>
    <t>준공년월일</t>
  </si>
  <si>
    <t>end_date</t>
  </si>
  <si>
    <t>WBS 기준선 fallback 종료일</t>
  </si>
  <si>
    <t>제출일</t>
  </si>
  <si>
    <t>submitted_at</t>
  </si>
  <si>
    <t>수신기관</t>
  </si>
  <si>
    <t>recipient</t>
  </si>
  <si>
    <t>시공사</t>
  </si>
  <si>
    <t>주식회사 아산 테스트</t>
  </si>
  <si>
    <t>contractor_name</t>
  </si>
  <si>
    <t>대표자</t>
  </si>
  <si>
    <t>테스트 대표</t>
  </si>
  <si>
    <t>contractor_ceo</t>
  </si>
  <si>
    <t>가명</t>
  </si>
  <si>
    <t>사업자등록번호</t>
  </si>
  <si>
    <t>000-00-00000</t>
  </si>
  <si>
    <t>business_no</t>
  </si>
  <si>
    <t>테스트값</t>
  </si>
  <si>
    <t>주소</t>
  </si>
  <si>
    <t>충남 아산시 테스트로 1</t>
  </si>
  <si>
    <t>contractor_address</t>
  </si>
  <si>
    <t>연락처</t>
  </si>
  <si>
    <t>010-0000-0000</t>
  </si>
  <si>
    <t>contractor_phone</t>
  </si>
  <si>
    <t>LOCAL-OPS-20260814 운영 리허설 v2 착공계 업로드</t>
  </si>
  <si>
    <t>notes</t>
  </si>
  <si>
    <t>WBS 기준선 업로드</t>
  </si>
  <si>
    <t>계약금액 132,000,000원과 예산 기준선 합계 132,000,000원 일치</t>
  </si>
  <si>
    <t>WBS코드</t>
  </si>
  <si>
    <t>WBS명</t>
  </si>
  <si>
    <t>상위WBS</t>
  </si>
  <si>
    <t>레벨</t>
  </si>
  <si>
    <t>시작일</t>
  </si>
  <si>
    <t>종료일</t>
  </si>
  <si>
    <t>예산금액</t>
  </si>
  <si>
    <t>계약금액포함</t>
  </si>
  <si>
    <t>진행률적용</t>
  </si>
  <si>
    <t>진행률가중치</t>
  </si>
  <si>
    <t>CBS코드</t>
  </si>
  <si>
    <t>CBS명</t>
  </si>
  <si>
    <t>원가구분</t>
  </si>
  <si>
    <t>검증항목</t>
  </si>
  <si>
    <t>검증값</t>
  </si>
  <si>
    <t>WBS-01</t>
  </si>
  <si>
    <t>현장 준비 및 안전관리</t>
  </si>
  <si>
    <t>Y</t>
  </si>
  <si>
    <t>CIVIL-SAFETY</t>
  </si>
  <si>
    <t>안전관리비</t>
  </si>
  <si>
    <t>경비</t>
  </si>
  <si>
    <t>예산합계</t>
  </si>
  <si>
    <t>WBS-02</t>
  </si>
  <si>
    <t>기존 포장 절삭</t>
  </si>
  <si>
    <t>CIVIL-EQUIP</t>
  </si>
  <si>
    <t>장비비/폐기물처리비</t>
  </si>
  <si>
    <t>WBS-03</t>
  </si>
  <si>
    <t>아스콘 포장</t>
  </si>
  <si>
    <t>CIVIL-ASCON-PAVING</t>
  </si>
  <si>
    <t>재료비</t>
  </si>
  <si>
    <t>차이</t>
  </si>
  <si>
    <t>WBS-04</t>
  </si>
  <si>
    <t>차선도색 및 마감</t>
  </si>
  <si>
    <t>CIVIL-LINE-MARKING</t>
  </si>
  <si>
    <t>차선도색</t>
  </si>
  <si>
    <t>진행률가중치합</t>
  </si>
  <si>
    <t>WBS-05</t>
  </si>
  <si>
    <t>정리·검측·준공자료</t>
  </si>
  <si>
    <t>CIVIL-CLEANUP</t>
  </si>
  <si>
    <t>준공청소 및 폐기물 정리</t>
  </si>
  <si>
    <t>도급 공통비·일반관리·기업이윤</t>
  </si>
  <si>
    <t>N</t>
  </si>
  <si>
    <t>CIVIL-PROFIT</t>
  </si>
  <si>
    <t>일반관리·공통경비·기업이윤</t>
  </si>
  <si>
    <t>진행률 산정 제외</t>
  </si>
  <si>
    <t>예정공정표</t>
  </si>
  <si>
    <t>착공일 2026-08-14, 준공예정일 2026-09-13 기준</t>
  </si>
  <si>
    <t>공종/WBS</t>
  </si>
  <si>
    <t>보할/가중치</t>
  </si>
  <si>
    <t>착수일</t>
  </si>
  <si>
    <t>착수+7일</t>
  </si>
  <si>
    <t>착수+14일</t>
  </si>
  <si>
    <t>착수+21일</t>
  </si>
  <si>
    <t>착수+31일</t>
  </si>
  <si>
    <t>누계목표</t>
  </si>
  <si>
    <t>현장 인수·안전시설</t>
  </si>
  <si>
    <t>8월말 목표 진행률</t>
  </si>
  <si>
    <t>절삭 및 폐아스콘 처리</t>
  </si>
  <si>
    <t>WBS-99 기여도</t>
  </si>
  <si>
    <t>8월 말 80% 목표</t>
  </si>
  <si>
    <t>WBS-01~WBS-05</t>
  </si>
  <si>
    <t>8월 말 30% 목표</t>
  </si>
  <si>
    <t>WBS-99 제외</t>
  </si>
  <si>
    <t>YES</t>
  </si>
  <si>
    <t>8월 말 미착수</t>
  </si>
  <si>
    <t>현장기술자 지정 데이터</t>
  </si>
  <si>
    <t>개인정보는 테스트 가명/마스킹 값 사용</t>
  </si>
  <si>
    <t>성명</t>
  </si>
  <si>
    <t>생년월일</t>
  </si>
  <si>
    <t>자격종목및등급</t>
  </si>
  <si>
    <t>자격번호</t>
  </si>
  <si>
    <t>역할</t>
  </si>
  <si>
    <t>선임일</t>
  </si>
  <si>
    <t>현장대리인</t>
  </si>
  <si>
    <t>김현장</t>
  </si>
  <si>
    <t>900101</t>
  </si>
  <si>
    <t>토목 고급</t>
  </si>
  <si>
    <t>TEST-CIVIL-0001</t>
  </si>
  <si>
    <t>FIELD_MANAGER</t>
  </si>
  <si>
    <t>안전관리자</t>
  </si>
  <si>
    <t>박안전</t>
  </si>
  <si>
    <t>900202</t>
  </si>
  <si>
    <t>충남 아산시 테스트로 2</t>
  </si>
  <si>
    <t>안전관리 초급</t>
  </si>
  <si>
    <t>TEST-SAFE-0001</t>
  </si>
  <si>
    <t>SAFETY_MANAGER</t>
  </si>
  <si>
    <t>품질관리자</t>
  </si>
  <si>
    <t>이품질</t>
  </si>
  <si>
    <t>900303</t>
  </si>
  <si>
    <t>충남 아산시 테스트로 3</t>
  </si>
  <si>
    <t>품질 초급</t>
  </si>
  <si>
    <t>TEST-QA-0001</t>
  </si>
  <si>
    <t>QUALITY_MANAGER</t>
  </si>
  <si>
    <t>공무담당</t>
  </si>
  <si>
    <t>최공무</t>
  </si>
  <si>
    <t>900404</t>
  </si>
  <si>
    <t>충남 아산시 테스트로 4</t>
  </si>
  <si>
    <t>토목 초급</t>
  </si>
  <si>
    <t>TEST-ADMIN-0001</t>
  </si>
  <si>
    <t>SITE_ADMIN</t>
  </si>
  <si>
    <t>현장조직도 업로드 데이터</t>
  </si>
  <si>
    <t>조직도 화면/카드 생성용 구조 데이터</t>
  </si>
  <si>
    <t>조직노드ID</t>
  </si>
  <si>
    <t>상위노드ID</t>
  </si>
  <si>
    <t>직무</t>
  </si>
  <si>
    <t>직책</t>
  </si>
  <si>
    <t>정렬순서</t>
  </si>
  <si>
    <t>ORG-01</t>
  </si>
  <si>
    <t>소장</t>
  </si>
  <si>
    <t>010-0000-1001</t>
  </si>
  <si>
    <t>최상위</t>
  </si>
  <si>
    <t>ORG-02</t>
  </si>
  <si>
    <t>품질관리</t>
  </si>
  <si>
    <t>010-0000-1002</t>
  </si>
  <si>
    <t>ORG-03</t>
  </si>
  <si>
    <t>공사관리</t>
  </si>
  <si>
    <t>유공사</t>
  </si>
  <si>
    <t>공사관리자</t>
  </si>
  <si>
    <t>010-0000-1003</t>
  </si>
  <si>
    <t>ORG-04</t>
  </si>
  <si>
    <t>차장</t>
  </si>
  <si>
    <t>010-0000-1004</t>
  </si>
  <si>
    <t>ORG-05</t>
  </si>
  <si>
    <t>안전관리</t>
  </si>
  <si>
    <t>010-0000-1005</t>
  </si>
  <si>
    <t>동원인력계획</t>
  </si>
  <si>
    <t>시나리오 출역/전자카드와 연결되는 계획 데이터</t>
  </si>
  <si>
    <t>직종</t>
  </si>
  <si>
    <t>계</t>
  </si>
  <si>
    <t>WBS-01 현장 준비 및 안전관리</t>
  </si>
  <si>
    <t>보통인부</t>
  </si>
  <si>
    <t>김로컬, 박포장</t>
  </si>
  <si>
    <t>WBS-02 기존 포장 절삭</t>
  </si>
  <si>
    <t>보통인부/장비공</t>
  </si>
  <si>
    <t>김로컬, 이장비</t>
  </si>
  <si>
    <t>WBS-03 아스콘 포장</t>
  </si>
  <si>
    <t>포장공/다짐공</t>
  </si>
  <si>
    <t>박포장, 최다짐</t>
  </si>
  <si>
    <t>WBS-04 차선도색 및 마감</t>
  </si>
  <si>
    <t>보통인부/도색공</t>
  </si>
  <si>
    <t>김로컬, 정도색</t>
  </si>
  <si>
    <t>WBS-05 정리·검측·준공자료</t>
  </si>
  <si>
    <t>현장관리</t>
  </si>
  <si>
    <t>8월말 미착수</t>
  </si>
  <si>
    <t>합계</t>
  </si>
  <si>
    <t>총 9공수</t>
  </si>
  <si>
    <t>장비투입계획</t>
  </si>
  <si>
    <t>착공계 PDF의 장비투입계획서 구조를 시나리오 장비로 변환</t>
  </si>
  <si>
    <t>장비명</t>
  </si>
  <si>
    <t>규격</t>
  </si>
  <si>
    <t>관련 WBS</t>
  </si>
  <si>
    <t>노면파쇄기</t>
  </si>
  <si>
    <t>소형 절삭기</t>
  </si>
  <si>
    <t>로더</t>
  </si>
  <si>
    <t>타이어식</t>
  </si>
  <si>
    <t>상차</t>
  </si>
  <si>
    <t>덤프트럭</t>
  </si>
  <si>
    <t>15톤</t>
  </si>
  <si>
    <t>폐아스콘 운반</t>
  </si>
  <si>
    <t>아스팔트 피니셔</t>
  </si>
  <si>
    <t>소형</t>
  </si>
  <si>
    <t>아스콘 포설</t>
  </si>
  <si>
    <t>머캐덤롤러</t>
  </si>
  <si>
    <t>10톤</t>
  </si>
  <si>
    <t>다짐</t>
  </si>
  <si>
    <t>타이어롤러</t>
  </si>
  <si>
    <t>8톤</t>
  </si>
  <si>
    <t>살수차</t>
  </si>
  <si>
    <t>5톤</t>
  </si>
  <si>
    <t>현장 살수</t>
  </si>
  <si>
    <t>차선도색 장비</t>
  </si>
  <si>
    <t>수동식</t>
  </si>
  <si>
    <t>착공전사진대지 메타데이터</t>
  </si>
  <si>
    <t>실제 이미지는 업로드 파일/첨부 문서로 별도 관리, ERP에는 메타데이터만 업로드</t>
  </si>
  <si>
    <t>사진ID</t>
  </si>
  <si>
    <t>촬영일</t>
  </si>
  <si>
    <t>위치/대상</t>
  </si>
  <si>
    <t>사진구분</t>
  </si>
  <si>
    <t>파일명</t>
  </si>
  <si>
    <t>설명</t>
  </si>
  <si>
    <t>PHOTO-001</t>
  </si>
  <si>
    <t>현장 전경</t>
  </si>
  <si>
    <t>착공전</t>
  </si>
  <si>
    <t>PHOTO-001_현장전경.jpg</t>
  </si>
  <si>
    <t>현장 인수 전 전경</t>
  </si>
  <si>
    <t>메타업로드대상</t>
  </si>
  <si>
    <t>PHOTO-002</t>
  </si>
  <si>
    <t>기존 포장 상태</t>
  </si>
  <si>
    <t>PHOTO-002_기존포장.jpg</t>
  </si>
  <si>
    <t>절삭 전 포장 상태</t>
  </si>
  <si>
    <t>PHOTO-003</t>
  </si>
  <si>
    <t>아스콘 포장 구간</t>
  </si>
  <si>
    <t>PHOTO-003_포장구간.jpg</t>
  </si>
  <si>
    <t>아스콘 포장 예정 구간</t>
  </si>
  <si>
    <t>PHOTO-004</t>
  </si>
  <si>
    <t>차선도색 구간</t>
  </si>
  <si>
    <t>PHOTO-004_차선구간.jpg</t>
  </si>
  <si>
    <t>차선도색 예정 구간</t>
  </si>
  <si>
    <t>PHOTO-005</t>
  </si>
  <si>
    <t>준공자료 대상 위치</t>
  </si>
  <si>
    <t>PHOTO-005_검측위치.jpg</t>
  </si>
  <si>
    <t>검측/준공자료 관리 대상</t>
  </si>
  <si>
    <t>업로드 검증요약</t>
  </si>
  <si>
    <t>계약금액·WBS 기준선·착공계 필수값 검산</t>
  </si>
  <si>
    <t>기대값/공식</t>
  </si>
  <si>
    <t>현재값</t>
  </si>
  <si>
    <t>판정</t>
  </si>
  <si>
    <t>01_프로젝트정보!B15</t>
  </si>
  <si>
    <t>WBS 예산합계</t>
  </si>
  <si>
    <t>SUM(03_WBS_기준선!G5:G10)</t>
  </si>
  <si>
    <t>0</t>
  </si>
  <si>
    <t>진행률 적용 WBS 합계</t>
  </si>
  <si>
    <t>107,800,000</t>
  </si>
  <si>
    <t>WBS-99 금액</t>
  </si>
  <si>
    <t>24,200,000</t>
  </si>
  <si>
    <t>WBS-99 진행률 제외</t>
  </si>
  <si>
    <t>WBS 시작일 공란</t>
  </si>
  <si>
    <t>없음</t>
  </si>
  <si>
    <t>WBS 종료일 공란</t>
  </si>
  <si>
    <t>예정공정표 계산</t>
  </si>
  <si>
    <t>개인정보 원문 사용</t>
  </si>
  <si>
    <t>금지</t>
  </si>
  <si>
    <t>테스트 가명/마스킹</t>
  </si>
  <si>
    <t>PASS</t>
  </si>
  <si>
    <t>착공계 Excel 업로드 체크리스트</t>
  </si>
  <si>
    <t>업로드 전·후 수동 확인 항목</t>
  </si>
  <si>
    <t>No</t>
  </si>
  <si>
    <t>체크항목</t>
  </si>
  <si>
    <t>기대값</t>
  </si>
  <si>
    <t>확인결과</t>
  </si>
  <si>
    <t>프로젝트 코드/명 일치</t>
  </si>
  <si>
    <t>LOCAL-OPS-20260814-001 / 2026년 8월 로컬 검증 포장보수공사</t>
  </si>
  <si>
    <t>계약금액 입력</t>
  </si>
  <si>
    <t>132,000,000</t>
  </si>
  <si>
    <t>착공일/준공예정일 입력</t>
  </si>
  <si>
    <t>2026-08-14 / 2026-09-13</t>
  </si>
  <si>
    <t>WBS 기준선 합계</t>
  </si>
  <si>
    <t>계약금액-예산기준선 차이</t>
  </si>
  <si>
    <t>WBS-99 포함</t>
  </si>
  <si>
    <t>WBS-99 진행률 산정 제외</t>
  </si>
  <si>
    <t>진행률적용=N</t>
  </si>
  <si>
    <t>WBS 시작일/종료일 공란 없음</t>
  </si>
  <si>
    <t>모든 WBS 날짜 설정</t>
  </si>
  <si>
    <t>CBS 미매칭</t>
  </si>
  <si>
    <t>0건이어야 함</t>
  </si>
  <si>
    <t>현장기술자 개인정보</t>
  </si>
  <si>
    <t>실제 개인정보 사용 금지</t>
  </si>
  <si>
    <t>동원인력/장비 계획</t>
  </si>
  <si>
    <t>시나리오와 일치</t>
  </si>
  <si>
    <t>착공전사진대지</t>
  </si>
  <si>
    <t>메타데이터만 업로드 또는 이미지 별도 첨부</t>
  </si>
  <si>
    <t>CEO/HQ stale 리스크</t>
  </si>
  <si>
    <t>표시 없음</t>
  </si>
  <si>
    <t>최근 승인 stale 내역</t>
  </si>
  <si>
    <t>업로드 후 CEO 대시보드</t>
  </si>
  <si>
    <t>500 없이 정상 표시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</si>
</sst>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&quot;%&quot;"/>
    <numFmt numFmtId="178" formatCode="0.00&quot;%&quot;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3" fontId="0" fillId="0" borderId="0" xfId="1" applyNumberFormat="1" applyFont="1" applyAlignment="1">
      <alignment wrapText="1"/>
    </xf>
    <xf numFmtId="176" fontId="0" fillId="0" borderId="0" xfId="1" applyNumberFormat="1" applyFont="1" applyAlignment="1">
      <alignment wrapText="1"/>
    </xf>
    <xf numFmtId="177" fontId="0" fillId="0" borderId="0" xfId="1" applyNumberFormat="1" applyFont="1" applyAlignment="1">
      <alignment wrapText="1"/>
    </xf>
    <xf numFmtId="178" fontId="0" fillId="0" borderId="0" xfId="1" applyNumberFormat="1" applyFont="1" applyAlignment="1">
      <alignment wrapText="1"/>
    </xf>
    <xf numFmtId="1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sqref="A1:H1"/>
    </sheetView>
  </sheetViews>
  <sheetFormatPr defaultRowHeight="14.25"/>
  <cols>
    <col min="1" max="1" width="22" customWidth="1"/>
    <col min="2" max="2" width="95" customWidth="1"/>
  </cols>
  <sheetData>
    <row r="1" spans="1:17" ht="27.95" customHeight="1">
      <c r="A1" s="8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1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8.5">
      <c r="A5" s="2" t="s">
        <v>4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8.5">
      <c r="A6" s="2" t="s">
        <v>6</v>
      </c>
      <c r="B6" s="2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8.5">
      <c r="A7" s="2" t="s">
        <v>8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28.5">
      <c r="A8" s="2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12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8.5">
      <c r="A10" s="2" t="s">
        <v>14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28.5">
      <c r="A11" s="2" t="s">
        <v>16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workbookViewId="0">
      <selection sqref="A1:H1"/>
    </sheetView>
  </sheetViews>
  <sheetFormatPr defaultRowHeight="14.25"/>
  <cols>
    <col min="1" max="1" width="24" customWidth="1"/>
    <col min="2" max="2" width="42" customWidth="1"/>
    <col min="3" max="3" width="36" customWidth="1"/>
  </cols>
  <sheetData>
    <row r="1" spans="1:17" ht="27.95" customHeight="1">
      <c r="A1" s="8" t="s">
        <v>18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19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20</v>
      </c>
      <c r="B4" s="1" t="s">
        <v>21</v>
      </c>
      <c r="C4" s="1" t="s">
        <v>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23</v>
      </c>
      <c r="B5" s="2" t="s">
        <v>24</v>
      </c>
      <c r="C5" s="2" t="s">
        <v>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8.5">
      <c r="A6" s="2" t="s">
        <v>26</v>
      </c>
      <c r="B6" s="2" t="s">
        <v>27</v>
      </c>
      <c r="C6" s="2" t="s">
        <v>28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29</v>
      </c>
      <c r="B7" s="2" t="s">
        <v>30</v>
      </c>
      <c r="C7" s="2" t="s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32</v>
      </c>
      <c r="B8" s="2" t="s">
        <v>30</v>
      </c>
      <c r="C8" s="2" t="s">
        <v>33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34</v>
      </c>
      <c r="B9" s="2" t="s">
        <v>35</v>
      </c>
      <c r="C9" s="2" t="s">
        <v>36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37</v>
      </c>
      <c r="B10" s="2" t="s">
        <v>35</v>
      </c>
      <c r="C10" s="2" t="s">
        <v>36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38</v>
      </c>
      <c r="B11" s="2" t="s">
        <v>39</v>
      </c>
      <c r="C11" s="2" t="s">
        <v>36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40</v>
      </c>
      <c r="B12" s="2" t="s">
        <v>41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42</v>
      </c>
      <c r="B13" s="2" t="s">
        <v>43</v>
      </c>
      <c r="C13" s="2" t="s">
        <v>44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45</v>
      </c>
      <c r="B14" s="2" t="s">
        <v>46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47</v>
      </c>
      <c r="B15" s="3" t="s">
        <v>46</v>
      </c>
      <c r="C15" s="2" t="s">
        <v>48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49</v>
      </c>
      <c r="B16" s="3" t="s">
        <v>50</v>
      </c>
      <c r="C16" s="2" t="s">
        <v>51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 t="s">
        <v>52</v>
      </c>
      <c r="B17" s="3" t="s">
        <v>53</v>
      </c>
      <c r="C17" s="2" t="s">
        <v>54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55</v>
      </c>
      <c r="B18" s="3">
        <v>132000000</v>
      </c>
      <c r="C18" s="2" t="s">
        <v>56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 t="s">
        <v>57</v>
      </c>
      <c r="B19" s="3">
        <v>107800000</v>
      </c>
      <c r="C19" s="2" t="s">
        <v>58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 t="s">
        <v>59</v>
      </c>
      <c r="B20" s="2">
        <v>24200000</v>
      </c>
      <c r="C20" s="2" t="s">
        <v>60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 t="s">
        <v>61</v>
      </c>
      <c r="B21" s="2">
        <v>132000000</v>
      </c>
      <c r="C21" s="2" t="s">
        <v>62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 t="s">
        <v>63</v>
      </c>
      <c r="B22" s="2">
        <f>B18-B21</f>
        <v>0</v>
      </c>
      <c r="C22" s="2" t="s">
        <v>64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 t="s">
        <v>65</v>
      </c>
      <c r="B23" s="2" t="s">
        <v>66</v>
      </c>
      <c r="C23" s="2" t="s">
        <v>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 t="s">
        <v>68</v>
      </c>
      <c r="B24" s="2" t="s">
        <v>69</v>
      </c>
      <c r="C24" s="2" t="s">
        <v>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 t="s">
        <v>70</v>
      </c>
      <c r="B25" s="2" t="s">
        <v>71</v>
      </c>
      <c r="C25" s="2" t="s">
        <v>67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 t="s">
        <v>72</v>
      </c>
      <c r="B26" s="2" t="s">
        <v>73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"/>
  <sheetViews>
    <sheetView workbookViewId="0">
      <selection sqref="A1:H1"/>
    </sheetView>
  </sheetViews>
  <sheetFormatPr defaultRowHeight="14.25"/>
  <cols>
    <col min="1" max="1" width="24" customWidth="1"/>
    <col min="2" max="2" width="46" customWidth="1"/>
    <col min="3" max="3" width="24" customWidth="1"/>
    <col min="4" max="4" width="42" customWidth="1"/>
  </cols>
  <sheetData>
    <row r="1" spans="1:17" ht="27.95" customHeight="1">
      <c r="A1" s="8" t="s">
        <v>74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75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20</v>
      </c>
      <c r="B4" s="1" t="s">
        <v>21</v>
      </c>
      <c r="C4" s="1" t="s">
        <v>76</v>
      </c>
      <c r="D4" s="1" t="s">
        <v>22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77</v>
      </c>
      <c r="B5" s="2" t="s">
        <v>30</v>
      </c>
      <c r="C5" s="2" t="s">
        <v>78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55</v>
      </c>
      <c r="B6" s="3">
        <v>132000000</v>
      </c>
      <c r="C6" s="2" t="s">
        <v>79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80</v>
      </c>
      <c r="B7" s="2" t="s">
        <v>39</v>
      </c>
      <c r="C7" s="2" t="s">
        <v>81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82</v>
      </c>
      <c r="B8" s="2" t="s">
        <v>46</v>
      </c>
      <c r="C8" s="2" t="s">
        <v>83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84</v>
      </c>
      <c r="B9" s="2" t="s">
        <v>46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87</v>
      </c>
      <c r="B10" s="2" t="s">
        <v>50</v>
      </c>
      <c r="C10" s="2" t="s">
        <v>88</v>
      </c>
      <c r="D10" s="2" t="s">
        <v>89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90</v>
      </c>
      <c r="B11" s="2" t="s">
        <v>46</v>
      </c>
      <c r="C11" s="2" t="s">
        <v>91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92</v>
      </c>
      <c r="B12" s="2" t="s">
        <v>35</v>
      </c>
      <c r="C12" s="2" t="s">
        <v>93</v>
      </c>
      <c r="D12" s="2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94</v>
      </c>
      <c r="B13" s="2" t="s">
        <v>95</v>
      </c>
      <c r="C13" s="2" t="s">
        <v>96</v>
      </c>
      <c r="D13" s="2" t="s">
        <v>36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97</v>
      </c>
      <c r="B14" s="2" t="s">
        <v>98</v>
      </c>
      <c r="C14" s="2" t="s">
        <v>99</v>
      </c>
      <c r="D14" s="2" t="s">
        <v>100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101</v>
      </c>
      <c r="B15" s="2" t="s">
        <v>102</v>
      </c>
      <c r="C15" s="2" t="s">
        <v>103</v>
      </c>
      <c r="D15" s="2" t="s">
        <v>104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105</v>
      </c>
      <c r="B16" s="2" t="s">
        <v>106</v>
      </c>
      <c r="C16" s="2" t="s">
        <v>107</v>
      </c>
      <c r="D16" s="2" t="s">
        <v>104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 t="s">
        <v>108</v>
      </c>
      <c r="B17" s="2" t="s">
        <v>109</v>
      </c>
      <c r="C17" s="2" t="s">
        <v>110</v>
      </c>
      <c r="D17" s="2" t="s">
        <v>104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22</v>
      </c>
      <c r="B18" s="2" t="s">
        <v>111</v>
      </c>
      <c r="C18" s="2" t="s">
        <v>112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workbookViewId="0">
      <selection sqref="A1:H1"/>
    </sheetView>
  </sheetViews>
  <sheetFormatPr defaultRowHeight="14.25"/>
  <cols>
    <col min="1" max="1" width="14" customWidth="1"/>
    <col min="2" max="2" width="28" customWidth="1"/>
    <col min="3" max="3" width="12" customWidth="1"/>
    <col min="4" max="4" width="8" customWidth="1"/>
    <col min="5" max="6" width="14" customWidth="1"/>
    <col min="7" max="7" width="16" customWidth="1"/>
    <col min="8" max="9" width="12" customWidth="1"/>
    <col min="10" max="10" width="14" customWidth="1"/>
    <col min="11" max="11" width="18" customWidth="1"/>
    <col min="12" max="12" width="24" customWidth="1"/>
    <col min="13" max="13" width="18" customWidth="1"/>
    <col min="14" max="14" width="14" customWidth="1"/>
    <col min="15" max="15" width="34" customWidth="1"/>
    <col min="16" max="17" width="18" customWidth="1"/>
  </cols>
  <sheetData>
    <row r="1" spans="1:17" ht="27.95" customHeight="1">
      <c r="A1" s="8" t="s">
        <v>113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114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127</v>
      </c>
      <c r="N4" s="1" t="s">
        <v>72</v>
      </c>
      <c r="O4" s="1" t="s">
        <v>22</v>
      </c>
      <c r="P4" s="1" t="s">
        <v>128</v>
      </c>
      <c r="Q4" s="1" t="s">
        <v>129</v>
      </c>
    </row>
    <row r="5" spans="1:17">
      <c r="A5" s="2" t="s">
        <v>130</v>
      </c>
      <c r="B5" s="2" t="s">
        <v>131</v>
      </c>
      <c r="C5" s="2"/>
      <c r="D5" s="2">
        <v>1</v>
      </c>
      <c r="E5" s="2" t="s">
        <v>46</v>
      </c>
      <c r="F5" s="2" t="s">
        <v>50</v>
      </c>
      <c r="G5" s="3">
        <v>13200000</v>
      </c>
      <c r="H5" s="2" t="s">
        <v>132</v>
      </c>
      <c r="I5" s="2" t="s">
        <v>132</v>
      </c>
      <c r="J5" s="4">
        <v>12.244899999999999</v>
      </c>
      <c r="K5" s="2" t="s">
        <v>133</v>
      </c>
      <c r="L5" s="2" t="s">
        <v>134</v>
      </c>
      <c r="M5" s="2" t="s">
        <v>135</v>
      </c>
      <c r="N5" s="2" t="s">
        <v>73</v>
      </c>
      <c r="O5" s="2" t="s">
        <v>57</v>
      </c>
      <c r="P5" s="2" t="s">
        <v>136</v>
      </c>
      <c r="Q5" s="3">
        <f>SUM(G5:G10)</f>
        <v>132000000</v>
      </c>
    </row>
    <row r="6" spans="1:17">
      <c r="A6" s="2" t="s">
        <v>137</v>
      </c>
      <c r="B6" s="2" t="s">
        <v>138</v>
      </c>
      <c r="C6" s="2"/>
      <c r="D6" s="2">
        <v>1</v>
      </c>
      <c r="E6" s="2" t="s">
        <v>46</v>
      </c>
      <c r="F6" s="2" t="s">
        <v>50</v>
      </c>
      <c r="G6" s="3">
        <v>26400000</v>
      </c>
      <c r="H6" s="2" t="s">
        <v>132</v>
      </c>
      <c r="I6" s="2" t="s">
        <v>132</v>
      </c>
      <c r="J6" s="4">
        <v>24.489799999999999</v>
      </c>
      <c r="K6" s="2" t="s">
        <v>139</v>
      </c>
      <c r="L6" s="2" t="s">
        <v>140</v>
      </c>
      <c r="M6" s="2" t="s">
        <v>135</v>
      </c>
      <c r="N6" s="2" t="s">
        <v>73</v>
      </c>
      <c r="O6" s="2" t="s">
        <v>57</v>
      </c>
      <c r="P6" s="2" t="s">
        <v>55</v>
      </c>
      <c r="Q6" s="3">
        <f>'01_프로젝트정보'!B18</f>
        <v>132000000</v>
      </c>
    </row>
    <row r="7" spans="1:17" ht="28.5">
      <c r="A7" s="2" t="s">
        <v>141</v>
      </c>
      <c r="B7" s="2" t="s">
        <v>142</v>
      </c>
      <c r="C7" s="2"/>
      <c r="D7" s="2">
        <v>1</v>
      </c>
      <c r="E7" s="2" t="s">
        <v>46</v>
      </c>
      <c r="F7" s="2" t="s">
        <v>50</v>
      </c>
      <c r="G7" s="3">
        <v>51000000</v>
      </c>
      <c r="H7" s="2" t="s">
        <v>132</v>
      </c>
      <c r="I7" s="2" t="s">
        <v>132</v>
      </c>
      <c r="J7" s="4">
        <v>47.309800000000003</v>
      </c>
      <c r="K7" s="2" t="s">
        <v>143</v>
      </c>
      <c r="L7" s="2" t="s">
        <v>142</v>
      </c>
      <c r="M7" s="2" t="s">
        <v>144</v>
      </c>
      <c r="N7" s="2" t="s">
        <v>73</v>
      </c>
      <c r="O7" s="2" t="s">
        <v>57</v>
      </c>
      <c r="P7" s="2" t="s">
        <v>145</v>
      </c>
      <c r="Q7" s="3">
        <f>Q6-Q5</f>
        <v>0</v>
      </c>
    </row>
    <row r="8" spans="1:17" ht="28.5">
      <c r="A8" s="2" t="s">
        <v>146</v>
      </c>
      <c r="B8" s="2" t="s">
        <v>147</v>
      </c>
      <c r="C8" s="2"/>
      <c r="D8" s="2">
        <v>1</v>
      </c>
      <c r="E8" s="2" t="s">
        <v>46</v>
      </c>
      <c r="F8" s="2" t="s">
        <v>50</v>
      </c>
      <c r="G8" s="3">
        <v>12000000</v>
      </c>
      <c r="H8" s="2" t="s">
        <v>132</v>
      </c>
      <c r="I8" s="2" t="s">
        <v>132</v>
      </c>
      <c r="J8" s="4">
        <v>11.1317</v>
      </c>
      <c r="K8" s="2" t="s">
        <v>148</v>
      </c>
      <c r="L8" s="2" t="s">
        <v>149</v>
      </c>
      <c r="M8" s="2" t="s">
        <v>135</v>
      </c>
      <c r="N8" s="2" t="s">
        <v>73</v>
      </c>
      <c r="O8" s="2" t="s">
        <v>57</v>
      </c>
      <c r="P8" s="2" t="s">
        <v>150</v>
      </c>
      <c r="Q8" s="4">
        <f>SUMIF(I5:I10,"Y",J5:J10)</f>
        <v>99.999899999999997</v>
      </c>
    </row>
    <row r="9" spans="1:17">
      <c r="A9" s="2" t="s">
        <v>151</v>
      </c>
      <c r="B9" s="2" t="s">
        <v>152</v>
      </c>
      <c r="C9" s="2"/>
      <c r="D9" s="2">
        <v>1</v>
      </c>
      <c r="E9" s="2" t="s">
        <v>46</v>
      </c>
      <c r="F9" s="2" t="s">
        <v>50</v>
      </c>
      <c r="G9" s="3">
        <v>5200000</v>
      </c>
      <c r="H9" s="2" t="s">
        <v>132</v>
      </c>
      <c r="I9" s="2" t="s">
        <v>132</v>
      </c>
      <c r="J9" s="4">
        <v>4.8236999999999997</v>
      </c>
      <c r="K9" s="2" t="s">
        <v>153</v>
      </c>
      <c r="L9" s="2" t="s">
        <v>154</v>
      </c>
      <c r="M9" s="2" t="s">
        <v>135</v>
      </c>
      <c r="N9" s="2" t="s">
        <v>73</v>
      </c>
      <c r="O9" s="2" t="s">
        <v>57</v>
      </c>
      <c r="P9" s="2"/>
      <c r="Q9" s="2"/>
    </row>
    <row r="10" spans="1:17" ht="28.5">
      <c r="A10" s="2" t="s">
        <v>60</v>
      </c>
      <c r="B10" s="2" t="s">
        <v>155</v>
      </c>
      <c r="C10" s="2"/>
      <c r="D10" s="2">
        <v>1</v>
      </c>
      <c r="E10" s="2" t="s">
        <v>46</v>
      </c>
      <c r="F10" s="2" t="s">
        <v>50</v>
      </c>
      <c r="G10" s="3">
        <v>24200000</v>
      </c>
      <c r="H10" s="2" t="s">
        <v>132</v>
      </c>
      <c r="I10" s="2" t="s">
        <v>156</v>
      </c>
      <c r="J10" s="4">
        <v>0</v>
      </c>
      <c r="K10" s="2" t="s">
        <v>157</v>
      </c>
      <c r="L10" s="2" t="s">
        <v>158</v>
      </c>
      <c r="M10" s="2" t="s">
        <v>59</v>
      </c>
      <c r="N10" s="2" t="s">
        <v>73</v>
      </c>
      <c r="O10" s="2" t="s">
        <v>159</v>
      </c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0"/>
  <sheetViews>
    <sheetView workbookViewId="0">
      <selection sqref="A1:H1"/>
    </sheetView>
  </sheetViews>
  <sheetFormatPr defaultRowHeight="14.25"/>
  <cols>
    <col min="1" max="1" width="14" customWidth="1"/>
    <col min="2" max="2" width="30" customWidth="1"/>
    <col min="3" max="3" width="14" customWidth="1"/>
    <col min="4" max="9" width="12" customWidth="1"/>
    <col min="10" max="10" width="32" customWidth="1"/>
    <col min="12" max="13" width="20" customWidth="1"/>
  </cols>
  <sheetData>
    <row r="1" spans="1:17" ht="27.95" customHeight="1">
      <c r="A1" s="8" t="s">
        <v>160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161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115</v>
      </c>
      <c r="B4" s="1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22</v>
      </c>
      <c r="K4" s="2"/>
      <c r="L4" s="1" t="s">
        <v>128</v>
      </c>
      <c r="M4" s="1" t="s">
        <v>21</v>
      </c>
      <c r="N4" s="2"/>
      <c r="O4" s="2"/>
      <c r="P4" s="2"/>
      <c r="Q4" s="2"/>
    </row>
    <row r="5" spans="1:17">
      <c r="A5" s="2" t="s">
        <v>130</v>
      </c>
      <c r="B5" s="2" t="s">
        <v>131</v>
      </c>
      <c r="C5" s="4">
        <v>12.244899999999999</v>
      </c>
      <c r="D5" s="5">
        <v>30</v>
      </c>
      <c r="E5" s="5">
        <v>100</v>
      </c>
      <c r="F5" s="5">
        <v>100</v>
      </c>
      <c r="G5" s="5">
        <v>100</v>
      </c>
      <c r="H5" s="5">
        <v>100</v>
      </c>
      <c r="I5" s="5">
        <v>100</v>
      </c>
      <c r="J5" s="2" t="s">
        <v>170</v>
      </c>
      <c r="K5" s="2"/>
      <c r="L5" s="2" t="s">
        <v>171</v>
      </c>
      <c r="M5" s="6">
        <f>SUMPRODUCT(C5:C9,I5:I9)/100</f>
        <v>77.922050000000013</v>
      </c>
      <c r="N5" s="2"/>
      <c r="O5" s="2"/>
      <c r="P5" s="2"/>
      <c r="Q5" s="2"/>
    </row>
    <row r="6" spans="1:17">
      <c r="A6" s="2" t="s">
        <v>137</v>
      </c>
      <c r="B6" s="2" t="s">
        <v>138</v>
      </c>
      <c r="C6" s="4">
        <v>24.489799999999999</v>
      </c>
      <c r="D6" s="5">
        <v>0</v>
      </c>
      <c r="E6" s="5">
        <v>25</v>
      </c>
      <c r="F6" s="5">
        <v>100</v>
      </c>
      <c r="G6" s="5">
        <v>100</v>
      </c>
      <c r="H6" s="5">
        <v>100</v>
      </c>
      <c r="I6" s="5">
        <v>100</v>
      </c>
      <c r="J6" s="2" t="s">
        <v>172</v>
      </c>
      <c r="K6" s="2"/>
      <c r="L6" s="2" t="s">
        <v>173</v>
      </c>
      <c r="M6" s="6">
        <f>C10*I10/100</f>
        <v>0</v>
      </c>
      <c r="N6" s="2"/>
      <c r="O6" s="2"/>
      <c r="P6" s="2"/>
      <c r="Q6" s="2"/>
    </row>
    <row r="7" spans="1:17">
      <c r="A7" s="2" t="s">
        <v>141</v>
      </c>
      <c r="B7" s="2" t="s">
        <v>142</v>
      </c>
      <c r="C7" s="4">
        <v>47.309800000000003</v>
      </c>
      <c r="D7" s="5">
        <v>0</v>
      </c>
      <c r="E7" s="5">
        <v>0</v>
      </c>
      <c r="F7" s="5">
        <v>40</v>
      </c>
      <c r="G7" s="5">
        <v>80</v>
      </c>
      <c r="H7" s="5">
        <v>100</v>
      </c>
      <c r="I7" s="5">
        <v>80</v>
      </c>
      <c r="J7" s="2" t="s">
        <v>174</v>
      </c>
      <c r="K7" s="2"/>
      <c r="L7" s="2" t="s">
        <v>58</v>
      </c>
      <c r="M7" s="2" t="s">
        <v>175</v>
      </c>
      <c r="N7" s="2"/>
      <c r="O7" s="2"/>
      <c r="P7" s="2"/>
      <c r="Q7" s="2"/>
    </row>
    <row r="8" spans="1:17">
      <c r="A8" s="2" t="s">
        <v>146</v>
      </c>
      <c r="B8" s="2" t="s">
        <v>147</v>
      </c>
      <c r="C8" s="4">
        <v>11.1317</v>
      </c>
      <c r="D8" s="5">
        <v>0</v>
      </c>
      <c r="E8" s="5">
        <v>0</v>
      </c>
      <c r="F8" s="5">
        <v>0</v>
      </c>
      <c r="G8" s="5">
        <v>30</v>
      </c>
      <c r="H8" s="5">
        <v>100</v>
      </c>
      <c r="I8" s="5">
        <v>30</v>
      </c>
      <c r="J8" s="2" t="s">
        <v>176</v>
      </c>
      <c r="K8" s="2"/>
      <c r="L8" s="2" t="s">
        <v>177</v>
      </c>
      <c r="M8" s="2" t="s">
        <v>178</v>
      </c>
      <c r="N8" s="2"/>
      <c r="O8" s="2"/>
      <c r="P8" s="2"/>
      <c r="Q8" s="2"/>
    </row>
    <row r="9" spans="1:17">
      <c r="A9" s="2" t="s">
        <v>151</v>
      </c>
      <c r="B9" s="2" t="s">
        <v>152</v>
      </c>
      <c r="C9" s="4">
        <v>4.8236999999999997</v>
      </c>
      <c r="D9" s="5">
        <v>0</v>
      </c>
      <c r="E9" s="5">
        <v>0</v>
      </c>
      <c r="F9" s="5">
        <v>0</v>
      </c>
      <c r="G9" s="5">
        <v>0</v>
      </c>
      <c r="H9" s="5">
        <v>100</v>
      </c>
      <c r="I9" s="5">
        <v>0</v>
      </c>
      <c r="J9" s="2" t="s">
        <v>179</v>
      </c>
      <c r="K9" s="2"/>
      <c r="L9" s="2"/>
      <c r="M9" s="2"/>
      <c r="N9" s="2"/>
      <c r="O9" s="2"/>
      <c r="P9" s="2"/>
      <c r="Q9" s="2"/>
    </row>
    <row r="10" spans="1:17">
      <c r="A10" s="2" t="s">
        <v>60</v>
      </c>
      <c r="B10" s="2" t="s">
        <v>155</v>
      </c>
      <c r="C10" s="4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2" t="s">
        <v>159</v>
      </c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0"/>
  <sheetViews>
    <sheetView workbookViewId="0">
      <selection sqref="A1:H1"/>
    </sheetView>
  </sheetViews>
  <sheetFormatPr defaultRowHeight="14.25"/>
  <cols>
    <col min="1" max="1" width="16" customWidth="1"/>
    <col min="2" max="3" width="14" customWidth="1"/>
    <col min="4" max="4" width="30" customWidth="1"/>
    <col min="5" max="5" width="18" customWidth="1"/>
    <col min="6" max="7" width="20" customWidth="1"/>
    <col min="8" max="8" width="14" customWidth="1"/>
    <col min="9" max="9" width="20" customWidth="1"/>
  </cols>
  <sheetData>
    <row r="1" spans="1:17" ht="27.95" customHeight="1">
      <c r="A1" s="8" t="s">
        <v>180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181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</v>
      </c>
      <c r="B4" s="1" t="s">
        <v>182</v>
      </c>
      <c r="C4" s="1" t="s">
        <v>183</v>
      </c>
      <c r="D4" s="1" t="s">
        <v>105</v>
      </c>
      <c r="E4" s="1" t="s">
        <v>184</v>
      </c>
      <c r="F4" s="1" t="s">
        <v>185</v>
      </c>
      <c r="G4" s="1" t="s">
        <v>186</v>
      </c>
      <c r="H4" s="1" t="s">
        <v>187</v>
      </c>
      <c r="I4" s="1" t="s">
        <v>22</v>
      </c>
      <c r="J4" s="2"/>
      <c r="K4" s="2"/>
      <c r="L4" s="2"/>
      <c r="M4" s="2"/>
      <c r="N4" s="2"/>
      <c r="O4" s="2"/>
      <c r="P4" s="2"/>
      <c r="Q4" s="2"/>
    </row>
    <row r="5" spans="1:17">
      <c r="A5" s="2" t="s">
        <v>188</v>
      </c>
      <c r="B5" s="2" t="s">
        <v>189</v>
      </c>
      <c r="C5" s="2" t="s">
        <v>190</v>
      </c>
      <c r="D5" s="2" t="s">
        <v>106</v>
      </c>
      <c r="E5" s="2" t="s">
        <v>191</v>
      </c>
      <c r="F5" s="2" t="s">
        <v>192</v>
      </c>
      <c r="G5" s="2" t="s">
        <v>193</v>
      </c>
      <c r="H5" s="2" t="s">
        <v>46</v>
      </c>
      <c r="I5" s="2" t="s">
        <v>100</v>
      </c>
      <c r="J5" s="2"/>
      <c r="K5" s="2"/>
      <c r="L5" s="2"/>
      <c r="M5" s="2"/>
      <c r="N5" s="2"/>
      <c r="O5" s="2"/>
      <c r="P5" s="2"/>
      <c r="Q5" s="2"/>
    </row>
    <row r="6" spans="1:17">
      <c r="A6" s="2" t="s">
        <v>194</v>
      </c>
      <c r="B6" s="2" t="s">
        <v>195</v>
      </c>
      <c r="C6" s="2" t="s">
        <v>196</v>
      </c>
      <c r="D6" s="2" t="s">
        <v>197</v>
      </c>
      <c r="E6" s="2" t="s">
        <v>198</v>
      </c>
      <c r="F6" s="2" t="s">
        <v>199</v>
      </c>
      <c r="G6" s="2" t="s">
        <v>200</v>
      </c>
      <c r="H6" s="2" t="s">
        <v>46</v>
      </c>
      <c r="I6" s="2" t="s">
        <v>100</v>
      </c>
      <c r="J6" s="2"/>
      <c r="K6" s="2"/>
      <c r="L6" s="2"/>
      <c r="M6" s="2"/>
      <c r="N6" s="2"/>
      <c r="O6" s="2"/>
      <c r="P6" s="2"/>
      <c r="Q6" s="2"/>
    </row>
    <row r="7" spans="1:17">
      <c r="A7" s="2" t="s">
        <v>201</v>
      </c>
      <c r="B7" s="2" t="s">
        <v>202</v>
      </c>
      <c r="C7" s="2" t="s">
        <v>203</v>
      </c>
      <c r="D7" s="2" t="s">
        <v>204</v>
      </c>
      <c r="E7" s="2" t="s">
        <v>205</v>
      </c>
      <c r="F7" s="2" t="s">
        <v>206</v>
      </c>
      <c r="G7" s="2" t="s">
        <v>207</v>
      </c>
      <c r="H7" s="2" t="s">
        <v>46</v>
      </c>
      <c r="I7" s="2" t="s">
        <v>100</v>
      </c>
      <c r="J7" s="2"/>
      <c r="K7" s="2"/>
      <c r="L7" s="2"/>
      <c r="M7" s="2"/>
      <c r="N7" s="2"/>
      <c r="O7" s="2"/>
      <c r="P7" s="2"/>
      <c r="Q7" s="2"/>
    </row>
    <row r="8" spans="1:17">
      <c r="A8" s="2" t="s">
        <v>208</v>
      </c>
      <c r="B8" s="2" t="s">
        <v>209</v>
      </c>
      <c r="C8" s="2" t="s">
        <v>210</v>
      </c>
      <c r="D8" s="2" t="s">
        <v>211</v>
      </c>
      <c r="E8" s="2" t="s">
        <v>212</v>
      </c>
      <c r="F8" s="2" t="s">
        <v>213</v>
      </c>
      <c r="G8" s="2" t="s">
        <v>214</v>
      </c>
      <c r="H8" s="2" t="s">
        <v>46</v>
      </c>
      <c r="I8" s="2" t="s">
        <v>100</v>
      </c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0"/>
  <sheetViews>
    <sheetView workbookViewId="0">
      <selection sqref="A1:H1"/>
    </sheetView>
  </sheetViews>
  <sheetFormatPr defaultRowHeight="14.25"/>
  <cols>
    <col min="1" max="2" width="16" customWidth="1"/>
    <col min="3" max="3" width="18" customWidth="1"/>
    <col min="4" max="4" width="14" customWidth="1"/>
    <col min="5" max="6" width="18" customWidth="1"/>
    <col min="7" max="7" width="10" customWidth="1"/>
    <col min="8" max="8" width="24" customWidth="1"/>
  </cols>
  <sheetData>
    <row r="1" spans="1:17" ht="27.95" customHeight="1">
      <c r="A1" s="8" t="s">
        <v>215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216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217</v>
      </c>
      <c r="B4" s="1" t="s">
        <v>218</v>
      </c>
      <c r="C4" s="1" t="s">
        <v>219</v>
      </c>
      <c r="D4" s="1" t="s">
        <v>182</v>
      </c>
      <c r="E4" s="1" t="s">
        <v>220</v>
      </c>
      <c r="F4" s="1" t="s">
        <v>108</v>
      </c>
      <c r="G4" s="1" t="s">
        <v>221</v>
      </c>
      <c r="H4" s="1" t="s">
        <v>22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222</v>
      </c>
      <c r="B5" s="2"/>
      <c r="C5" s="2" t="s">
        <v>188</v>
      </c>
      <c r="D5" s="2" t="s">
        <v>189</v>
      </c>
      <c r="E5" s="2" t="s">
        <v>223</v>
      </c>
      <c r="F5" s="2" t="s">
        <v>224</v>
      </c>
      <c r="G5" s="2">
        <v>1</v>
      </c>
      <c r="H5" s="2" t="s">
        <v>225</v>
      </c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226</v>
      </c>
      <c r="B6" s="2" t="s">
        <v>222</v>
      </c>
      <c r="C6" s="2" t="s">
        <v>227</v>
      </c>
      <c r="D6" s="2" t="s">
        <v>202</v>
      </c>
      <c r="E6" s="2" t="s">
        <v>201</v>
      </c>
      <c r="F6" s="2" t="s">
        <v>228</v>
      </c>
      <c r="G6" s="2">
        <v>2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229</v>
      </c>
      <c r="B7" s="2" t="s">
        <v>222</v>
      </c>
      <c r="C7" s="2" t="s">
        <v>230</v>
      </c>
      <c r="D7" s="2" t="s">
        <v>231</v>
      </c>
      <c r="E7" s="2" t="s">
        <v>232</v>
      </c>
      <c r="F7" s="2" t="s">
        <v>233</v>
      </c>
      <c r="G7" s="2">
        <v>3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234</v>
      </c>
      <c r="B8" s="2" t="s">
        <v>226</v>
      </c>
      <c r="C8" s="2" t="s">
        <v>208</v>
      </c>
      <c r="D8" s="2" t="s">
        <v>209</v>
      </c>
      <c r="E8" s="2" t="s">
        <v>235</v>
      </c>
      <c r="F8" s="2" t="s">
        <v>236</v>
      </c>
      <c r="G8" s="2">
        <v>4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237</v>
      </c>
      <c r="B9" s="2" t="s">
        <v>229</v>
      </c>
      <c r="C9" s="2" t="s">
        <v>238</v>
      </c>
      <c r="D9" s="2" t="s">
        <v>195</v>
      </c>
      <c r="E9" s="2" t="s">
        <v>194</v>
      </c>
      <c r="F9" s="2" t="s">
        <v>239</v>
      </c>
      <c r="G9" s="2">
        <v>5</v>
      </c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0"/>
  <sheetViews>
    <sheetView workbookViewId="0">
      <selection sqref="A1:H1"/>
    </sheetView>
  </sheetViews>
  <sheetFormatPr defaultRowHeight="14.25"/>
  <cols>
    <col min="1" max="1" width="30" customWidth="1"/>
    <col min="2" max="2" width="20" customWidth="1"/>
    <col min="3" max="3" width="10" customWidth="1"/>
    <col min="4" max="8" width="12" customWidth="1"/>
    <col min="9" max="9" width="28" customWidth="1"/>
  </cols>
  <sheetData>
    <row r="1" spans="1:17" ht="27.95" customHeight="1">
      <c r="A1" s="8" t="s">
        <v>240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241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162</v>
      </c>
      <c r="B4" s="1" t="s">
        <v>242</v>
      </c>
      <c r="C4" s="1" t="s">
        <v>243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22</v>
      </c>
      <c r="J4" s="2"/>
      <c r="K4" s="2"/>
      <c r="L4" s="2"/>
      <c r="M4" s="2"/>
      <c r="N4" s="2"/>
      <c r="O4" s="2"/>
      <c r="P4" s="2"/>
      <c r="Q4" s="2"/>
    </row>
    <row r="5" spans="1:17">
      <c r="A5" s="2" t="s">
        <v>244</v>
      </c>
      <c r="B5" s="2" t="s">
        <v>245</v>
      </c>
      <c r="C5" s="7">
        <v>2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2" t="s">
        <v>246</v>
      </c>
      <c r="J5" s="2"/>
      <c r="K5" s="2"/>
      <c r="L5" s="2"/>
      <c r="M5" s="2"/>
      <c r="N5" s="2"/>
      <c r="O5" s="2"/>
      <c r="P5" s="2"/>
      <c r="Q5" s="2"/>
    </row>
    <row r="6" spans="1:17">
      <c r="A6" s="2" t="s">
        <v>247</v>
      </c>
      <c r="B6" s="2" t="s">
        <v>248</v>
      </c>
      <c r="C6" s="7">
        <v>2</v>
      </c>
      <c r="D6" s="7">
        <v>0</v>
      </c>
      <c r="E6" s="7">
        <v>2</v>
      </c>
      <c r="F6" s="7">
        <v>0</v>
      </c>
      <c r="G6" s="7">
        <v>0</v>
      </c>
      <c r="H6" s="7">
        <v>0</v>
      </c>
      <c r="I6" s="2" t="s">
        <v>249</v>
      </c>
      <c r="J6" s="2"/>
      <c r="K6" s="2"/>
      <c r="L6" s="2"/>
      <c r="M6" s="2"/>
      <c r="N6" s="2"/>
      <c r="O6" s="2"/>
      <c r="P6" s="2"/>
      <c r="Q6" s="2"/>
    </row>
    <row r="7" spans="1:17">
      <c r="A7" s="2" t="s">
        <v>250</v>
      </c>
      <c r="B7" s="2" t="s">
        <v>251</v>
      </c>
      <c r="C7" s="7">
        <v>3</v>
      </c>
      <c r="D7" s="7">
        <v>0</v>
      </c>
      <c r="E7" s="7">
        <v>0</v>
      </c>
      <c r="F7" s="7">
        <v>2</v>
      </c>
      <c r="G7" s="7">
        <v>1</v>
      </c>
      <c r="H7" s="7">
        <v>0</v>
      </c>
      <c r="I7" s="2" t="s">
        <v>252</v>
      </c>
      <c r="J7" s="2"/>
      <c r="K7" s="2"/>
      <c r="L7" s="2"/>
      <c r="M7" s="2"/>
      <c r="N7" s="2"/>
      <c r="O7" s="2"/>
      <c r="P7" s="2"/>
      <c r="Q7" s="2"/>
    </row>
    <row r="8" spans="1:17">
      <c r="A8" s="2" t="s">
        <v>253</v>
      </c>
      <c r="B8" s="2" t="s">
        <v>254</v>
      </c>
      <c r="C8" s="7">
        <v>2</v>
      </c>
      <c r="D8" s="7">
        <v>0</v>
      </c>
      <c r="E8" s="7">
        <v>0</v>
      </c>
      <c r="F8" s="7">
        <v>0</v>
      </c>
      <c r="G8" s="7">
        <v>2</v>
      </c>
      <c r="H8" s="7">
        <v>0</v>
      </c>
      <c r="I8" s="2" t="s">
        <v>255</v>
      </c>
      <c r="J8" s="2"/>
      <c r="K8" s="2"/>
      <c r="L8" s="2"/>
      <c r="M8" s="2"/>
      <c r="N8" s="2"/>
      <c r="O8" s="2"/>
      <c r="P8" s="2"/>
      <c r="Q8" s="2"/>
    </row>
    <row r="9" spans="1:17">
      <c r="A9" s="2" t="s">
        <v>256</v>
      </c>
      <c r="B9" s="2" t="s">
        <v>257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2" t="s">
        <v>258</v>
      </c>
      <c r="J9" s="2"/>
      <c r="K9" s="2"/>
      <c r="L9" s="2"/>
      <c r="M9" s="2"/>
      <c r="N9" s="2"/>
      <c r="O9" s="2"/>
      <c r="P9" s="2"/>
      <c r="Q9" s="2"/>
    </row>
    <row r="10" spans="1:17">
      <c r="A10" s="2" t="s">
        <v>259</v>
      </c>
      <c r="B10" s="2"/>
      <c r="C10" s="7">
        <v>9</v>
      </c>
      <c r="D10" s="7">
        <f>SUM(D5:D9)</f>
        <v>2</v>
      </c>
      <c r="E10" s="7">
        <f>SUM(E5:E9)</f>
        <v>2</v>
      </c>
      <c r="F10" s="7">
        <f>SUM(F5:F9)</f>
        <v>2</v>
      </c>
      <c r="G10" s="7">
        <f>SUM(G5:G9)</f>
        <v>3</v>
      </c>
      <c r="H10" s="7">
        <f>SUM(H5:H9)</f>
        <v>0</v>
      </c>
      <c r="I10" s="2" t="s">
        <v>260</v>
      </c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0"/>
  <sheetViews>
    <sheetView workbookViewId="0">
      <selection sqref="A1:H1"/>
    </sheetView>
  </sheetViews>
  <sheetFormatPr defaultRowHeight="14.25"/>
  <cols>
    <col min="1" max="1" width="20" customWidth="1"/>
    <col min="2" max="2" width="18" customWidth="1"/>
    <col min="3" max="3" width="10" customWidth="1"/>
    <col min="4" max="8" width="12" customWidth="1"/>
    <col min="9" max="9" width="14" customWidth="1"/>
    <col min="10" max="10" width="26" customWidth="1"/>
  </cols>
  <sheetData>
    <row r="1" spans="1:17" ht="27.95" customHeight="1">
      <c r="A1" s="8" t="s">
        <v>261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262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263</v>
      </c>
      <c r="B4" s="1" t="s">
        <v>264</v>
      </c>
      <c r="C4" s="1" t="s">
        <v>243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265</v>
      </c>
      <c r="J4" s="1" t="s">
        <v>22</v>
      </c>
      <c r="K4" s="2"/>
      <c r="L4" s="2"/>
      <c r="M4" s="2"/>
      <c r="N4" s="2"/>
      <c r="O4" s="2"/>
      <c r="P4" s="2"/>
      <c r="Q4" s="2"/>
    </row>
    <row r="5" spans="1:17">
      <c r="A5" s="2" t="s">
        <v>266</v>
      </c>
      <c r="B5" s="2" t="s">
        <v>267</v>
      </c>
      <c r="C5" s="7">
        <v>1</v>
      </c>
      <c r="D5" s="7">
        <v>0</v>
      </c>
      <c r="E5" s="7">
        <v>1</v>
      </c>
      <c r="F5" s="7">
        <v>0</v>
      </c>
      <c r="G5" s="7">
        <v>0</v>
      </c>
      <c r="H5" s="7">
        <v>0</v>
      </c>
      <c r="I5" s="2" t="s">
        <v>137</v>
      </c>
      <c r="J5" s="2" t="s">
        <v>138</v>
      </c>
      <c r="K5" s="2"/>
      <c r="L5" s="2"/>
      <c r="M5" s="2"/>
      <c r="N5" s="2"/>
      <c r="O5" s="2"/>
      <c r="P5" s="2"/>
      <c r="Q5" s="2"/>
    </row>
    <row r="6" spans="1:17">
      <c r="A6" s="2" t="s">
        <v>268</v>
      </c>
      <c r="B6" s="2" t="s">
        <v>269</v>
      </c>
      <c r="C6" s="7">
        <v>1</v>
      </c>
      <c r="D6" s="7">
        <v>0</v>
      </c>
      <c r="E6" s="7">
        <v>1</v>
      </c>
      <c r="F6" s="7">
        <v>0</v>
      </c>
      <c r="G6" s="7">
        <v>0</v>
      </c>
      <c r="H6" s="7">
        <v>0</v>
      </c>
      <c r="I6" s="2" t="s">
        <v>137</v>
      </c>
      <c r="J6" s="2" t="s">
        <v>270</v>
      </c>
      <c r="K6" s="2"/>
      <c r="L6" s="2"/>
      <c r="M6" s="2"/>
      <c r="N6" s="2"/>
      <c r="O6" s="2"/>
      <c r="P6" s="2"/>
      <c r="Q6" s="2"/>
    </row>
    <row r="7" spans="1:17">
      <c r="A7" s="2" t="s">
        <v>271</v>
      </c>
      <c r="B7" s="2" t="s">
        <v>272</v>
      </c>
      <c r="C7" s="7">
        <v>2</v>
      </c>
      <c r="D7" s="7">
        <v>0</v>
      </c>
      <c r="E7" s="7">
        <v>2</v>
      </c>
      <c r="F7" s="7">
        <v>0</v>
      </c>
      <c r="G7" s="7">
        <v>0</v>
      </c>
      <c r="H7" s="7">
        <v>0</v>
      </c>
      <c r="I7" s="2" t="s">
        <v>137</v>
      </c>
      <c r="J7" s="2" t="s">
        <v>273</v>
      </c>
      <c r="K7" s="2"/>
      <c r="L7" s="2"/>
      <c r="M7" s="2"/>
      <c r="N7" s="2"/>
      <c r="O7" s="2"/>
      <c r="P7" s="2"/>
      <c r="Q7" s="2"/>
    </row>
    <row r="8" spans="1:17">
      <c r="A8" s="2" t="s">
        <v>274</v>
      </c>
      <c r="B8" s="2" t="s">
        <v>275</v>
      </c>
      <c r="C8" s="7">
        <v>1</v>
      </c>
      <c r="D8" s="7">
        <v>0</v>
      </c>
      <c r="E8" s="7">
        <v>0</v>
      </c>
      <c r="F8" s="7">
        <v>1</v>
      </c>
      <c r="G8" s="7">
        <v>1</v>
      </c>
      <c r="H8" s="7">
        <v>0</v>
      </c>
      <c r="I8" s="2" t="s">
        <v>141</v>
      </c>
      <c r="J8" s="2" t="s">
        <v>276</v>
      </c>
      <c r="K8" s="2"/>
      <c r="L8" s="2"/>
      <c r="M8" s="2"/>
      <c r="N8" s="2"/>
      <c r="O8" s="2"/>
      <c r="P8" s="2"/>
      <c r="Q8" s="2"/>
    </row>
    <row r="9" spans="1:17">
      <c r="A9" s="2" t="s">
        <v>277</v>
      </c>
      <c r="B9" s="2" t="s">
        <v>278</v>
      </c>
      <c r="C9" s="7">
        <v>1</v>
      </c>
      <c r="D9" s="7">
        <v>0</v>
      </c>
      <c r="E9" s="7">
        <v>0</v>
      </c>
      <c r="F9" s="7">
        <v>1</v>
      </c>
      <c r="G9" s="7">
        <v>1</v>
      </c>
      <c r="H9" s="7">
        <v>0</v>
      </c>
      <c r="I9" s="2" t="s">
        <v>141</v>
      </c>
      <c r="J9" s="2" t="s">
        <v>279</v>
      </c>
      <c r="K9" s="2"/>
      <c r="L9" s="2"/>
      <c r="M9" s="2"/>
      <c r="N9" s="2"/>
      <c r="O9" s="2"/>
      <c r="P9" s="2"/>
      <c r="Q9" s="2"/>
    </row>
    <row r="10" spans="1:17">
      <c r="A10" s="2" t="s">
        <v>280</v>
      </c>
      <c r="B10" s="2" t="s">
        <v>281</v>
      </c>
      <c r="C10" s="7">
        <v>1</v>
      </c>
      <c r="D10" s="7">
        <v>0</v>
      </c>
      <c r="E10" s="7">
        <v>0</v>
      </c>
      <c r="F10" s="7">
        <v>1</v>
      </c>
      <c r="G10" s="7">
        <v>1</v>
      </c>
      <c r="H10" s="7">
        <v>0</v>
      </c>
      <c r="I10" s="2" t="s">
        <v>141</v>
      </c>
      <c r="J10" s="2" t="s">
        <v>279</v>
      </c>
      <c r="K10" s="2"/>
      <c r="L10" s="2"/>
      <c r="M10" s="2"/>
      <c r="N10" s="2"/>
      <c r="O10" s="2"/>
      <c r="P10" s="2"/>
      <c r="Q10" s="2"/>
    </row>
    <row r="11" spans="1:17">
      <c r="A11" s="2" t="s">
        <v>282</v>
      </c>
      <c r="B11" s="2" t="s">
        <v>283</v>
      </c>
      <c r="C11" s="7">
        <v>1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2" t="s">
        <v>141</v>
      </c>
      <c r="J11" s="2" t="s">
        <v>284</v>
      </c>
      <c r="K11" s="2"/>
      <c r="L11" s="2"/>
      <c r="M11" s="2"/>
      <c r="N11" s="2"/>
      <c r="O11" s="2"/>
      <c r="P11" s="2"/>
      <c r="Q11" s="2"/>
    </row>
    <row r="12" spans="1:17">
      <c r="A12" s="2" t="s">
        <v>285</v>
      </c>
      <c r="B12" s="2" t="s">
        <v>286</v>
      </c>
      <c r="C12" s="7">
        <v>1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  <c r="I12" s="2" t="s">
        <v>146</v>
      </c>
      <c r="J12" s="2" t="s">
        <v>149</v>
      </c>
      <c r="K12" s="2"/>
      <c r="L12" s="2"/>
      <c r="M12" s="2"/>
      <c r="N12" s="2"/>
      <c r="O12" s="2"/>
      <c r="P12" s="2"/>
      <c r="Q12" s="2"/>
    </row>
    <row r="13" spans="1:17">
      <c r="A13" s="2" t="s">
        <v>259</v>
      </c>
      <c r="B13" s="2"/>
      <c r="C13" s="7">
        <v>9</v>
      </c>
      <c r="D13" s="7">
        <f>SUM(D5:D12)</f>
        <v>0</v>
      </c>
      <c r="E13" s="7">
        <f>SUM(E5:E12)</f>
        <v>4</v>
      </c>
      <c r="F13" s="7">
        <f>SUM(F5:F12)</f>
        <v>4</v>
      </c>
      <c r="G13" s="7">
        <f>SUM(G5:G12)</f>
        <v>4</v>
      </c>
      <c r="H13" s="7">
        <f>SUM(H5:H12)</f>
        <v>0</v>
      </c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0"/>
  <sheetViews>
    <sheetView workbookViewId="0">
      <selection sqref="A1:H1"/>
    </sheetView>
  </sheetViews>
  <sheetFormatPr defaultRowHeight="14.25"/>
  <cols>
    <col min="1" max="2" width="14" customWidth="1"/>
    <col min="3" max="3" width="24" customWidth="1"/>
    <col min="4" max="5" width="14" customWidth="1"/>
    <col min="6" max="6" width="32" customWidth="1"/>
    <col min="7" max="7" width="40" customWidth="1"/>
    <col min="8" max="8" width="18" customWidth="1"/>
  </cols>
  <sheetData>
    <row r="1" spans="1:17" ht="27.95" customHeight="1">
      <c r="A1" s="8" t="s">
        <v>287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288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289</v>
      </c>
      <c r="B4" s="1" t="s">
        <v>290</v>
      </c>
      <c r="C4" s="1" t="s">
        <v>291</v>
      </c>
      <c r="D4" s="1" t="s">
        <v>115</v>
      </c>
      <c r="E4" s="1" t="s">
        <v>292</v>
      </c>
      <c r="F4" s="1" t="s">
        <v>293</v>
      </c>
      <c r="G4" s="1" t="s">
        <v>294</v>
      </c>
      <c r="H4" s="1" t="s">
        <v>72</v>
      </c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295</v>
      </c>
      <c r="B5" s="2" t="s">
        <v>46</v>
      </c>
      <c r="C5" s="2" t="s">
        <v>296</v>
      </c>
      <c r="D5" s="2" t="s">
        <v>130</v>
      </c>
      <c r="E5" s="2" t="s">
        <v>297</v>
      </c>
      <c r="F5" s="2" t="s">
        <v>298</v>
      </c>
      <c r="G5" s="2" t="s">
        <v>299</v>
      </c>
      <c r="H5" s="2" t="s">
        <v>300</v>
      </c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301</v>
      </c>
      <c r="B6" s="2" t="s">
        <v>46</v>
      </c>
      <c r="C6" s="2" t="s">
        <v>302</v>
      </c>
      <c r="D6" s="2" t="s">
        <v>137</v>
      </c>
      <c r="E6" s="2" t="s">
        <v>297</v>
      </c>
      <c r="F6" s="2" t="s">
        <v>303</v>
      </c>
      <c r="G6" s="2" t="s">
        <v>304</v>
      </c>
      <c r="H6" s="2" t="s">
        <v>300</v>
      </c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305</v>
      </c>
      <c r="B7" s="2" t="s">
        <v>46</v>
      </c>
      <c r="C7" s="2" t="s">
        <v>306</v>
      </c>
      <c r="D7" s="2" t="s">
        <v>141</v>
      </c>
      <c r="E7" s="2" t="s">
        <v>297</v>
      </c>
      <c r="F7" s="2" t="s">
        <v>307</v>
      </c>
      <c r="G7" s="2" t="s">
        <v>308</v>
      </c>
      <c r="H7" s="2" t="s">
        <v>300</v>
      </c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309</v>
      </c>
      <c r="B8" s="2" t="s">
        <v>46</v>
      </c>
      <c r="C8" s="2" t="s">
        <v>310</v>
      </c>
      <c r="D8" s="2" t="s">
        <v>146</v>
      </c>
      <c r="E8" s="2" t="s">
        <v>297</v>
      </c>
      <c r="F8" s="2" t="s">
        <v>311</v>
      </c>
      <c r="G8" s="2" t="s">
        <v>312</v>
      </c>
      <c r="H8" s="2" t="s">
        <v>300</v>
      </c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313</v>
      </c>
      <c r="B9" s="2" t="s">
        <v>46</v>
      </c>
      <c r="C9" s="2" t="s">
        <v>314</v>
      </c>
      <c r="D9" s="2" t="s">
        <v>151</v>
      </c>
      <c r="E9" s="2" t="s">
        <v>297</v>
      </c>
      <c r="F9" s="2" t="s">
        <v>315</v>
      </c>
      <c r="G9" s="2" t="s">
        <v>316</v>
      </c>
      <c r="H9" s="2" t="s">
        <v>300</v>
      </c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80"/>
  <sheetViews>
    <sheetView workbookViewId="0">
      <selection sqref="A1:H1"/>
    </sheetView>
  </sheetViews>
  <sheetFormatPr defaultRowHeight="14.25"/>
  <cols>
    <col min="1" max="1" width="26" customWidth="1"/>
    <col min="2" max="2" width="34" customWidth="1"/>
    <col min="3" max="3" width="24" customWidth="1"/>
    <col min="4" max="4" width="16" customWidth="1"/>
  </cols>
  <sheetData>
    <row r="1" spans="1:17" ht="27.95" customHeight="1">
      <c r="A1" s="8" t="s">
        <v>317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318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128</v>
      </c>
      <c r="B4" s="1" t="s">
        <v>319</v>
      </c>
      <c r="C4" s="1" t="s">
        <v>320</v>
      </c>
      <c r="D4" s="1" t="s">
        <v>321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55</v>
      </c>
      <c r="B5" s="2" t="s">
        <v>322</v>
      </c>
      <c r="C5" s="3">
        <f>'01_프로젝트정보'!B18</f>
        <v>132000000</v>
      </c>
      <c r="D5" s="2" t="str">
        <f>IF(C5=132000000,"PASS","FAIL")</f>
        <v>PASS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323</v>
      </c>
      <c r="B6" s="2" t="s">
        <v>324</v>
      </c>
      <c r="C6" s="3">
        <f>SUM('03_WBS_기준선'!G5:G10)</f>
        <v>132000000</v>
      </c>
      <c r="D6" s="2" t="str">
        <f>IF(C6=C5,"PASS","FAIL")</f>
        <v>PASS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63</v>
      </c>
      <c r="B7" s="2" t="s">
        <v>325</v>
      </c>
      <c r="C7" s="3">
        <f>C5-C6</f>
        <v>0</v>
      </c>
      <c r="D7" s="2" t="str">
        <f>IF(C7=0,"PASS","FAIL")</f>
        <v>PASS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326</v>
      </c>
      <c r="B8" s="2" t="s">
        <v>327</v>
      </c>
      <c r="C8" s="3">
        <f>SUMIF('03_WBS_기준선'!I5:I10,"Y",'03_WBS_기준선'!G5:G10)</f>
        <v>107800000</v>
      </c>
      <c r="D8" s="2" t="str">
        <f>IF(C8=107800000,"PASS","FAIL")</f>
        <v>PASS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328</v>
      </c>
      <c r="B9" s="2" t="s">
        <v>329</v>
      </c>
      <c r="C9" s="3">
        <f>SUMIF('03_WBS_기준선'!A5:A10,"WBS-99",'03_WBS_기준선'!G5:G10)</f>
        <v>24200000</v>
      </c>
      <c r="D9" s="2" t="str">
        <f>IF(C9=24200000,"PASS","FAIL")</f>
        <v>PASS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330</v>
      </c>
      <c r="B10" s="2" t="s">
        <v>156</v>
      </c>
      <c r="C10" s="2" t="str">
        <f>INDEX('03_WBS_기준선'!I5:I10,MATCH("WBS-99",'03_WBS_기준선'!A5:A10,0))</f>
        <v>N</v>
      </c>
      <c r="D10" s="2" t="str">
        <f>IF(C10="N","PASS","FAIL")</f>
        <v>PASS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331</v>
      </c>
      <c r="B11" s="2" t="s">
        <v>332</v>
      </c>
      <c r="C11" s="2">
        <f>COUNTBLANK('03_WBS_기준선'!E5:E10)</f>
        <v>0</v>
      </c>
      <c r="D11" s="2" t="str">
        <f>IF(C11=0,"PASS","FAIL")</f>
        <v>PASS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333</v>
      </c>
      <c r="B12" s="2" t="s">
        <v>332</v>
      </c>
      <c r="C12" s="2">
        <f>COUNTBLANK('03_WBS_기준선'!F5:F10)</f>
        <v>0</v>
      </c>
      <c r="D12" s="2" t="str">
        <f>IF(C12=0,"PASS","FAIL")</f>
        <v>PASS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171</v>
      </c>
      <c r="B13" s="2" t="s">
        <v>334</v>
      </c>
      <c r="C13" s="6">
        <f>'04_예정공정표'!M5</f>
        <v>77.922050000000013</v>
      </c>
      <c r="D13" s="2" t="str">
        <f>IF(C13&gt;0,"PASS","CHECK")</f>
        <v>PASS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335</v>
      </c>
      <c r="B14" s="2" t="s">
        <v>336</v>
      </c>
      <c r="C14" s="2" t="s">
        <v>337</v>
      </c>
      <c r="D14" s="2" t="s">
        <v>338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80"/>
  <sheetViews>
    <sheetView workbookViewId="0">
      <selection sqref="A1:H1"/>
    </sheetView>
  </sheetViews>
  <sheetFormatPr defaultRowHeight="14.25"/>
  <cols>
    <col min="1" max="1" width="8" customWidth="1"/>
    <col min="2" max="2" width="34" customWidth="1"/>
    <col min="3" max="3" width="42" customWidth="1"/>
    <col min="4" max="4" width="14" customWidth="1"/>
    <col min="5" max="5" width="30" customWidth="1"/>
  </cols>
  <sheetData>
    <row r="1" spans="1:17" ht="27.95" customHeight="1">
      <c r="A1" s="8" t="s">
        <v>339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</row>
    <row r="2" spans="1:17" ht="21.95" customHeight="1">
      <c r="A2" s="10" t="s">
        <v>340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1" t="s">
        <v>341</v>
      </c>
      <c r="B4" s="1" t="s">
        <v>342</v>
      </c>
      <c r="C4" s="1" t="s">
        <v>343</v>
      </c>
      <c r="D4" s="1" t="s">
        <v>344</v>
      </c>
      <c r="E4" s="1" t="s">
        <v>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8.5">
      <c r="A5" s="2">
        <v>1</v>
      </c>
      <c r="B5" s="2" t="s">
        <v>345</v>
      </c>
      <c r="C5" s="2" t="s">
        <v>346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>
        <v>2</v>
      </c>
      <c r="B6" s="2" t="s">
        <v>347</v>
      </c>
      <c r="C6" s="2" t="s">
        <v>348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>
        <v>3</v>
      </c>
      <c r="B7" s="2" t="s">
        <v>349</v>
      </c>
      <c r="C7" s="2" t="s">
        <v>350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>
        <v>4</v>
      </c>
      <c r="B8" s="2" t="s">
        <v>351</v>
      </c>
      <c r="C8" s="2" t="s">
        <v>348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>
        <v>5</v>
      </c>
      <c r="B9" s="2" t="s">
        <v>352</v>
      </c>
      <c r="C9" s="2" t="s">
        <v>325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>
        <v>6</v>
      </c>
      <c r="B10" s="2" t="s">
        <v>353</v>
      </c>
      <c r="C10" s="2" t="s">
        <v>155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>
        <v>7</v>
      </c>
      <c r="B11" s="2" t="s">
        <v>354</v>
      </c>
      <c r="C11" s="2" t="s">
        <v>355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>
        <v>8</v>
      </c>
      <c r="B12" s="2" t="s">
        <v>356</v>
      </c>
      <c r="C12" s="2" t="s">
        <v>357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>
        <v>9</v>
      </c>
      <c r="B13" s="2" t="s">
        <v>358</v>
      </c>
      <c r="C13" s="2" t="s">
        <v>359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>
        <v>10</v>
      </c>
      <c r="B14" s="2" t="s">
        <v>360</v>
      </c>
      <c r="C14" s="2" t="s">
        <v>361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>
        <v>11</v>
      </c>
      <c r="B15" s="2" t="s">
        <v>362</v>
      </c>
      <c r="C15" s="2" t="s">
        <v>363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>
        <v>12</v>
      </c>
      <c r="B16" s="2" t="s">
        <v>364</v>
      </c>
      <c r="C16" s="2" t="s">
        <v>365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>
        <v>13</v>
      </c>
      <c r="B17" s="2" t="s">
        <v>366</v>
      </c>
      <c r="C17" s="2" t="s">
        <v>367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>
        <v>14</v>
      </c>
      <c r="B18" s="2" t="s">
        <v>368</v>
      </c>
      <c r="C18" s="2" t="s">
        <v>367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>
        <v>15</v>
      </c>
      <c r="B19" s="2" t="s">
        <v>369</v>
      </c>
      <c r="C19" s="2" t="s">
        <v>370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</sheetData>
  <mergeCells count="2">
    <mergeCell ref="A1:H1"/>
    <mergeCell ref="A2:H2"/>
  </mergeCells>
  <phoneticPr fontId="5" type="noConversion"/>
  <dataValidations count="1">
    <dataValidation type="list" sqref="D5:D19" xr:uid="{00000000-0002-0000-0B00-000000000000}">
      <formula1>"PASS,HOLD,FAIL,N/A"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00_사용안내</vt:lpstr>
      <vt:lpstr>01_프로젝트정보</vt:lpstr>
      <vt:lpstr>02_착공신고서</vt:lpstr>
      <vt:lpstr>03_WBS_기준선</vt:lpstr>
      <vt:lpstr>04_예정공정표</vt:lpstr>
      <vt:lpstr>05_현장기술자</vt:lpstr>
      <vt:lpstr>06_현장조직도</vt:lpstr>
      <vt:lpstr>07_동원인력계획</vt:lpstr>
      <vt:lpstr>08_장비투입계획</vt:lpstr>
      <vt:lpstr>09_착공전사진대지</vt:lpstr>
      <vt:lpstr>10_검증요약</vt:lpstr>
      <vt:lpstr>11_업로드체크리스트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Jeonghun Lee</cp:lastModifiedBy>
  <dcterms:modified xsi:type="dcterms:W3CDTF">2026-08-14T05:19:02Z</dcterms:modified>
</cp:coreProperties>
</file>