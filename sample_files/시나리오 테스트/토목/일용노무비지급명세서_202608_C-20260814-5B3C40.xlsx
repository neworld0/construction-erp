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시나리오 테스트\토목\"/>
    </mc:Choice>
  </mc:AlternateContent>
  <xr:revisionPtr revIDLastSave="0" documentId="13_ncr:1_{6CBED5F3-0F7C-497C-B35D-9159AB1C11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8월" sheetId="1" r:id="rId1"/>
    <sheet name="요율" sheetId="2" r:id="rId2"/>
  </sheets>
  <definedNames>
    <definedName name="_xlnm.Print_Titles" localSheetId="0">'8월'!$2:$6</definedName>
  </definedNames>
  <calcPr calcId="191029"/>
</workbook>
</file>

<file path=xl/calcChain.xml><?xml version="1.0" encoding="utf-8"?>
<calcChain xmlns="http://schemas.openxmlformats.org/spreadsheetml/2006/main">
  <c r="AF17" i="1" l="1"/>
  <c r="AA4" i="1"/>
  <c r="AB4" i="1"/>
  <c r="AD4" i="1"/>
  <c r="AE18" i="1"/>
  <c r="AD18" i="1"/>
  <c r="AC18" i="1"/>
  <c r="AB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AF4" i="1"/>
  <c r="AE4" i="1"/>
  <c r="AC4" i="1"/>
</calcChain>
</file>

<file path=xl/sharedStrings.xml><?xml version="1.0" encoding="utf-8"?>
<sst xmlns="http://schemas.openxmlformats.org/spreadsheetml/2006/main" count="102" uniqueCount="93">
  <si>
    <t>일용 노무비 지급 명세서 (2026년 08월)</t>
  </si>
  <si>
    <t>공 사 명</t>
  </si>
  <si>
    <t>2026년 8월 로컬 검증 포장보수공사</t>
  </si>
  <si>
    <t>기 간</t>
  </si>
  <si>
    <t>2026-08-01 ~ 2026-08-31</t>
  </si>
  <si>
    <t>청구금액</t>
  </si>
  <si>
    <t>공제계</t>
  </si>
  <si>
    <t>실 지급액</t>
  </si>
  <si>
    <t>회 사 명</t>
  </si>
  <si>
    <t>지급월</t>
  </si>
  <si>
    <t>2026년 8월</t>
  </si>
  <si>
    <t>번호</t>
  </si>
  <si>
    <t>성명</t>
  </si>
  <si>
    <t>주민번호</t>
  </si>
  <si>
    <t>주소</t>
  </si>
  <si>
    <t>출역일수</t>
  </si>
  <si>
    <t>일급</t>
  </si>
  <si>
    <t>지급총액</t>
  </si>
  <si>
    <t>소득세</t>
  </si>
  <si>
    <t>건강보험</t>
  </si>
  <si>
    <t>국민연금</t>
  </si>
  <si>
    <t>공제소계</t>
  </si>
  <si>
    <t>차감 지급액</t>
  </si>
  <si>
    <t>영수인</t>
  </si>
  <si>
    <t>연락처</t>
  </si>
  <si>
    <t>은행명</t>
  </si>
  <si>
    <t>계좌번호</t>
  </si>
  <si>
    <t>출역공수</t>
  </si>
  <si>
    <t>지방소득세</t>
  </si>
  <si>
    <t>노인장기</t>
  </si>
  <si>
    <t>고용보험</t>
  </si>
  <si>
    <t>기타</t>
  </si>
  <si>
    <t>김로컬</t>
  </si>
  <si>
    <t>900101-1******</t>
  </si>
  <si>
    <t>다산중앙로146번길 70-123
3층</t>
  </si>
  <si>
    <t>보통인부</t>
  </si>
  <si>
    <t>010-0000-0001</t>
  </si>
  <si>
    <t>우리은행</t>
  </si>
  <si>
    <t>***0001</t>
  </si>
  <si>
    <t>박포장</t>
  </si>
  <si>
    <t>910202-1******</t>
  </si>
  <si>
    <t>다산중앙로146번길 70-123
1층</t>
  </si>
  <si>
    <t>포장공</t>
  </si>
  <si>
    <t>010-0000-0002</t>
  </si>
  <si>
    <t>농협중앙회</t>
  </si>
  <si>
    <t>***0002</t>
  </si>
  <si>
    <t>이장비</t>
  </si>
  <si>
    <t>920303-1******</t>
  </si>
  <si>
    <t>다산중앙로146번길 70-123
4층</t>
  </si>
  <si>
    <t>장비공</t>
  </si>
  <si>
    <t>010-0000-0003</t>
  </si>
  <si>
    <t>국민은행</t>
  </si>
  <si>
    <t>***0003</t>
  </si>
  <si>
    <t>정도색</t>
  </si>
  <si>
    <t>940505-1******</t>
  </si>
  <si>
    <t>다산중앙로146번길 70-123
7층</t>
  </si>
  <si>
    <t>도색공</t>
  </si>
  <si>
    <t>010-0000-0005</t>
  </si>
  <si>
    <t>***0005</t>
  </si>
  <si>
    <t>최다짐</t>
  </si>
  <si>
    <t>930404-1******</t>
  </si>
  <si>
    <t>다산중앙로146번길 70-123
5층</t>
  </si>
  <si>
    <t>다짐공</t>
  </si>
  <si>
    <t>010-0000-0004</t>
  </si>
  <si>
    <t>***0004</t>
  </si>
  <si>
    <t>합 계</t>
  </si>
  <si>
    <t>2026년 자동계산 요율 스냅샷</t>
  </si>
  <si>
    <t>항목</t>
  </si>
  <si>
    <t>2026 적용값</t>
  </si>
  <si>
    <t>설명</t>
  </si>
  <si>
    <t>일용 소득공제</t>
  </si>
  <si>
    <t>150,000원/일</t>
  </si>
  <si>
    <t>일용근로소득 원천징수 산식</t>
  </si>
  <si>
    <t>6% × (1-55%)</t>
  </si>
  <si>
    <t>일별 과세표준 기준</t>
  </si>
  <si>
    <t>소득세의 10%</t>
  </si>
  <si>
    <t>10원 미만 절사</t>
  </si>
  <si>
    <t>국민연금(근로자)</t>
  </si>
  <si>
    <t>4.75%</t>
  </si>
  <si>
    <t>8일 이상 근로 시 기준소득월액 범위 적용</t>
  </si>
  <si>
    <t>건강보험(근로자)</t>
  </si>
  <si>
    <t>3.595%</t>
  </si>
  <si>
    <t>8일 이상 근로 시</t>
  </si>
  <si>
    <t>노인장기요양(근로자)</t>
  </si>
  <si>
    <t>0.4724%</t>
  </si>
  <si>
    <t>건강보험료 연동</t>
  </si>
  <si>
    <t>고용보험(근로자)</t>
  </si>
  <si>
    <t>0.9%</t>
  </si>
  <si>
    <t>근로자 부담분</t>
  </si>
  <si>
    <t>소득세
+지방소득세</t>
    <phoneticPr fontId="7" type="noConversion"/>
  </si>
  <si>
    <t>건강보험
+노인장기</t>
    <phoneticPr fontId="7" type="noConversion"/>
  </si>
  <si>
    <t>국민연금
+고용보험</t>
    <phoneticPr fontId="7" type="noConversion"/>
  </si>
  <si>
    <t>주식회사 아산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</si>
</sst>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8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38" fontId="2" fillId="2" borderId="1" xfId="0" applyNumberFormat="1" applyFont="1" applyFill="1" applyBorder="1" applyAlignment="1">
      <alignment horizontal="right"/>
    </xf>
    <xf numFmtId="0" fontId="6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/>
    <xf numFmtId="38" fontId="0" fillId="0" borderId="1" xfId="0" applyNumberFormat="1" applyBorder="1" applyAlignment="1">
      <alignment horizontal="center" vertical="center"/>
    </xf>
    <xf numFmtId="0" fontId="0" fillId="0" borderId="2" xfId="0" applyBorder="1"/>
    <xf numFmtId="38" fontId="0" fillId="0" borderId="1" xfId="0" applyNumberFormat="1" applyBorder="1" applyAlignment="1">
      <alignment horizontal="right" vertical="center"/>
    </xf>
    <xf numFmtId="38" fontId="2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8" fontId="0" fillId="5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8"/>
  <sheetViews>
    <sheetView showGridLines="0" tabSelected="1" workbookViewId="0">
      <pane xSplit="8" ySplit="6" topLeftCell="I7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4.5" bestFit="1" customWidth="1"/>
    <col min="2" max="2" width="9" bestFit="1" customWidth="1"/>
    <col min="3" max="4" width="9.625" customWidth="1"/>
    <col min="5" max="8" width="10.375" customWidth="1"/>
    <col min="9" max="24" width="3.25" bestFit="1" customWidth="1"/>
    <col min="25" max="25" width="7.5" bestFit="1" customWidth="1"/>
    <col min="26" max="27" width="10.625" bestFit="1" customWidth="1"/>
    <col min="28" max="28" width="9.375" bestFit="1" customWidth="1"/>
    <col min="29" max="30" width="8" bestFit="1" customWidth="1"/>
    <col min="31" max="31" width="7.875" bestFit="1" customWidth="1"/>
    <col min="32" max="32" width="10.625" bestFit="1" customWidth="1"/>
    <col min="33" max="33" width="7.125" bestFit="1" customWidth="1"/>
  </cols>
  <sheetData>
    <row r="1" spans="1:33" ht="51" customHeight="1" x14ac:dyDescent="0.3"/>
    <row r="2" spans="1:33" ht="26.25" x14ac:dyDescent="0.3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ht="22.5" x14ac:dyDescent="0.3">
      <c r="A3" s="22" t="s">
        <v>1</v>
      </c>
      <c r="B3" s="22"/>
      <c r="C3" s="14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22" t="s">
        <v>3</v>
      </c>
      <c r="P3" s="22"/>
      <c r="Q3" s="33" t="s">
        <v>4</v>
      </c>
      <c r="R3" s="34"/>
      <c r="S3" s="34"/>
      <c r="T3" s="34"/>
      <c r="U3" s="34"/>
      <c r="V3" s="34"/>
      <c r="W3" s="34"/>
      <c r="X3" s="34"/>
      <c r="Y3" s="34"/>
      <c r="Z3" s="35"/>
      <c r="AA3" s="2" t="s">
        <v>5</v>
      </c>
      <c r="AB3" s="2" t="s">
        <v>89</v>
      </c>
      <c r="AC3" s="2" t="s">
        <v>90</v>
      </c>
      <c r="AD3" s="2" t="s">
        <v>91</v>
      </c>
      <c r="AE3" s="2" t="s">
        <v>6</v>
      </c>
      <c r="AF3" s="26" t="s">
        <v>7</v>
      </c>
      <c r="AG3" s="26"/>
    </row>
    <row r="4" spans="1:33" x14ac:dyDescent="0.3">
      <c r="A4" s="22" t="s">
        <v>8</v>
      </c>
      <c r="B4" s="22"/>
      <c r="C4" s="14" t="s">
        <v>92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22" t="s">
        <v>9</v>
      </c>
      <c r="P4" s="22"/>
      <c r="Q4" s="30" t="s">
        <v>10</v>
      </c>
      <c r="R4" s="31"/>
      <c r="S4" s="31"/>
      <c r="T4" s="31"/>
      <c r="U4" s="31"/>
      <c r="V4" s="31"/>
      <c r="W4" s="31"/>
      <c r="X4" s="31"/>
      <c r="Y4" s="31"/>
      <c r="Z4" s="32"/>
      <c r="AA4" s="3">
        <f>SUM(AA7:AA16)</f>
        <v>1780000</v>
      </c>
      <c r="AB4" s="3">
        <f>SUM(AB7:AB16)</f>
        <v>12730</v>
      </c>
      <c r="AC4" s="3">
        <f t="shared" ref="AC4:AF4" si="0">SUM(AC7:AC16)</f>
        <v>0</v>
      </c>
      <c r="AD4" s="3">
        <f>SUM(AD7:AD16)</f>
        <v>16020</v>
      </c>
      <c r="AE4" s="3">
        <f t="shared" si="0"/>
        <v>28750</v>
      </c>
      <c r="AF4" s="16">
        <f t="shared" si="0"/>
        <v>1751250</v>
      </c>
      <c r="AG4" s="16"/>
    </row>
    <row r="5" spans="1:33" x14ac:dyDescent="0.3">
      <c r="A5" s="23" t="s">
        <v>11</v>
      </c>
      <c r="B5" s="23" t="s">
        <v>12</v>
      </c>
      <c r="C5" s="23" t="s">
        <v>13</v>
      </c>
      <c r="D5" s="23"/>
      <c r="E5" s="23" t="s">
        <v>14</v>
      </c>
      <c r="F5" s="23"/>
      <c r="G5" s="23"/>
      <c r="H5" s="23"/>
      <c r="I5" s="5">
        <v>1</v>
      </c>
      <c r="J5" s="5">
        <v>2</v>
      </c>
      <c r="K5" s="5">
        <v>3</v>
      </c>
      <c r="L5" s="5">
        <v>4</v>
      </c>
      <c r="M5" s="5">
        <v>5</v>
      </c>
      <c r="N5" s="5">
        <v>6</v>
      </c>
      <c r="O5" s="5">
        <v>7</v>
      </c>
      <c r="P5" s="5">
        <v>8</v>
      </c>
      <c r="Q5" s="5">
        <v>9</v>
      </c>
      <c r="R5" s="5">
        <v>10</v>
      </c>
      <c r="S5" s="5">
        <v>11</v>
      </c>
      <c r="T5" s="5">
        <v>12</v>
      </c>
      <c r="U5" s="5">
        <v>13</v>
      </c>
      <c r="V5" s="5">
        <v>14</v>
      </c>
      <c r="W5" s="5">
        <v>15</v>
      </c>
      <c r="X5" s="5"/>
      <c r="Y5" s="4" t="s">
        <v>15</v>
      </c>
      <c r="Z5" s="23" t="s">
        <v>16</v>
      </c>
      <c r="AA5" s="23" t="s">
        <v>17</v>
      </c>
      <c r="AB5" s="4" t="s">
        <v>18</v>
      </c>
      <c r="AC5" s="4" t="s">
        <v>19</v>
      </c>
      <c r="AD5" s="4" t="s">
        <v>20</v>
      </c>
      <c r="AE5" s="4" t="s">
        <v>21</v>
      </c>
      <c r="AF5" s="23" t="s">
        <v>22</v>
      </c>
      <c r="AG5" s="23" t="s">
        <v>23</v>
      </c>
    </row>
    <row r="6" spans="1:33" x14ac:dyDescent="0.3">
      <c r="A6" s="23"/>
      <c r="B6" s="23"/>
      <c r="C6" s="23" t="s">
        <v>24</v>
      </c>
      <c r="D6" s="23"/>
      <c r="E6" s="23" t="s">
        <v>25</v>
      </c>
      <c r="F6" s="23"/>
      <c r="G6" s="23" t="s">
        <v>26</v>
      </c>
      <c r="H6" s="23"/>
      <c r="I6" s="5">
        <v>16</v>
      </c>
      <c r="J6" s="5">
        <v>17</v>
      </c>
      <c r="K6" s="5">
        <v>18</v>
      </c>
      <c r="L6" s="5">
        <v>19</v>
      </c>
      <c r="M6" s="5">
        <v>20</v>
      </c>
      <c r="N6" s="5">
        <v>21</v>
      </c>
      <c r="O6" s="5">
        <v>22</v>
      </c>
      <c r="P6" s="5">
        <v>23</v>
      </c>
      <c r="Q6" s="5">
        <v>24</v>
      </c>
      <c r="R6" s="5">
        <v>25</v>
      </c>
      <c r="S6" s="5">
        <v>26</v>
      </c>
      <c r="T6" s="5">
        <v>27</v>
      </c>
      <c r="U6" s="5">
        <v>28</v>
      </c>
      <c r="V6" s="5">
        <v>29</v>
      </c>
      <c r="W6" s="5">
        <v>30</v>
      </c>
      <c r="X6" s="5">
        <v>31</v>
      </c>
      <c r="Y6" s="4" t="s">
        <v>27</v>
      </c>
      <c r="Z6" s="23"/>
      <c r="AA6" s="23"/>
      <c r="AB6" s="4" t="s">
        <v>28</v>
      </c>
      <c r="AC6" s="4" t="s">
        <v>29</v>
      </c>
      <c r="AD6" s="4" t="s">
        <v>30</v>
      </c>
      <c r="AE6" s="4" t="s">
        <v>31</v>
      </c>
      <c r="AF6" s="23"/>
      <c r="AG6" s="23"/>
    </row>
    <row r="7" spans="1:33" x14ac:dyDescent="0.3">
      <c r="A7" s="14">
        <v>1</v>
      </c>
      <c r="B7" s="6" t="s">
        <v>32</v>
      </c>
      <c r="C7" s="14" t="s">
        <v>33</v>
      </c>
      <c r="D7" s="15"/>
      <c r="E7" s="20" t="s">
        <v>34</v>
      </c>
      <c r="F7" s="21"/>
      <c r="G7" s="21"/>
      <c r="H7" s="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1</v>
      </c>
      <c r="W7" s="7"/>
      <c r="X7" s="7"/>
      <c r="Y7" s="1">
        <v>3</v>
      </c>
      <c r="Z7" s="16">
        <v>160000</v>
      </c>
      <c r="AA7" s="24">
        <v>480000</v>
      </c>
      <c r="AB7" s="8">
        <v>810</v>
      </c>
      <c r="AC7" s="8">
        <v>0</v>
      </c>
      <c r="AD7" s="8">
        <v>0</v>
      </c>
      <c r="AE7" s="8">
        <v>5190</v>
      </c>
      <c r="AF7" s="18">
        <v>474810</v>
      </c>
      <c r="AG7" s="14" t="s">
        <v>32</v>
      </c>
    </row>
    <row r="8" spans="1:33" x14ac:dyDescent="0.3">
      <c r="A8" s="17"/>
      <c r="B8" s="6" t="s">
        <v>35</v>
      </c>
      <c r="C8" s="14" t="s">
        <v>36</v>
      </c>
      <c r="D8" s="15"/>
      <c r="E8" s="20" t="s">
        <v>37</v>
      </c>
      <c r="F8" s="15"/>
      <c r="G8" s="14" t="s">
        <v>38</v>
      </c>
      <c r="H8" s="15"/>
      <c r="I8" s="7"/>
      <c r="J8" s="7"/>
      <c r="K8" s="7">
        <v>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>
        <v>1</v>
      </c>
      <c r="Y8" s="1">
        <v>3</v>
      </c>
      <c r="Z8" s="17"/>
      <c r="AA8" s="17"/>
      <c r="AB8" s="8">
        <v>60</v>
      </c>
      <c r="AC8" s="8">
        <v>0</v>
      </c>
      <c r="AD8" s="8">
        <v>4320</v>
      </c>
      <c r="AE8" s="8">
        <v>0</v>
      </c>
      <c r="AF8" s="17"/>
      <c r="AG8" s="17"/>
    </row>
    <row r="9" spans="1:33" x14ac:dyDescent="0.3">
      <c r="A9" s="14">
        <v>2</v>
      </c>
      <c r="B9" s="6" t="s">
        <v>39</v>
      </c>
      <c r="C9" s="14" t="s">
        <v>40</v>
      </c>
      <c r="D9" s="15"/>
      <c r="E9" s="20" t="s">
        <v>41</v>
      </c>
      <c r="F9" s="21"/>
      <c r="G9" s="21"/>
      <c r="H9" s="1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1</v>
      </c>
      <c r="W9" s="7"/>
      <c r="X9" s="7"/>
      <c r="Y9" s="1">
        <v>3</v>
      </c>
      <c r="Z9" s="16">
        <v>210000</v>
      </c>
      <c r="AA9" s="24">
        <v>630000</v>
      </c>
      <c r="AB9" s="8">
        <v>4860</v>
      </c>
      <c r="AC9" s="8">
        <v>0</v>
      </c>
      <c r="AD9" s="8">
        <v>0</v>
      </c>
      <c r="AE9" s="8">
        <v>11010</v>
      </c>
      <c r="AF9" s="18">
        <v>618990</v>
      </c>
      <c r="AG9" s="14" t="s">
        <v>39</v>
      </c>
    </row>
    <row r="10" spans="1:33" x14ac:dyDescent="0.3">
      <c r="A10" s="17"/>
      <c r="B10" s="6" t="s">
        <v>42</v>
      </c>
      <c r="C10" s="14" t="s">
        <v>43</v>
      </c>
      <c r="D10" s="15"/>
      <c r="E10" s="20" t="s">
        <v>44</v>
      </c>
      <c r="F10" s="15"/>
      <c r="G10" s="14" t="s">
        <v>45</v>
      </c>
      <c r="H10" s="15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/>
      <c r="T10" s="7">
        <v>1</v>
      </c>
      <c r="U10" s="7"/>
      <c r="V10" s="7"/>
      <c r="W10" s="7"/>
      <c r="X10" s="7"/>
      <c r="Y10" s="1">
        <v>3</v>
      </c>
      <c r="Z10" s="17"/>
      <c r="AA10" s="17"/>
      <c r="AB10" s="8">
        <v>480</v>
      </c>
      <c r="AC10" s="8">
        <v>0</v>
      </c>
      <c r="AD10" s="8">
        <v>5670</v>
      </c>
      <c r="AE10" s="8">
        <v>0</v>
      </c>
      <c r="AF10" s="17"/>
      <c r="AG10" s="17"/>
    </row>
    <row r="11" spans="1:33" x14ac:dyDescent="0.3">
      <c r="A11" s="14">
        <v>3</v>
      </c>
      <c r="B11" s="6" t="s">
        <v>46</v>
      </c>
      <c r="C11" s="14" t="s">
        <v>47</v>
      </c>
      <c r="D11" s="15"/>
      <c r="E11" s="20" t="s">
        <v>48</v>
      </c>
      <c r="F11" s="21"/>
      <c r="G11" s="21"/>
      <c r="H11" s="1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">
        <v>1</v>
      </c>
      <c r="Z11" s="16">
        <v>250000</v>
      </c>
      <c r="AA11" s="24">
        <v>250000</v>
      </c>
      <c r="AB11" s="8">
        <v>2700</v>
      </c>
      <c r="AC11" s="8">
        <v>0</v>
      </c>
      <c r="AD11" s="8">
        <v>0</v>
      </c>
      <c r="AE11" s="8">
        <v>5220</v>
      </c>
      <c r="AF11" s="18">
        <v>244780</v>
      </c>
      <c r="AG11" s="14" t="s">
        <v>46</v>
      </c>
    </row>
    <row r="12" spans="1:33" x14ac:dyDescent="0.3">
      <c r="A12" s="17"/>
      <c r="B12" s="6" t="s">
        <v>49</v>
      </c>
      <c r="C12" s="14" t="s">
        <v>50</v>
      </c>
      <c r="D12" s="15"/>
      <c r="E12" s="20" t="s">
        <v>51</v>
      </c>
      <c r="F12" s="15"/>
      <c r="G12" s="14" t="s">
        <v>52</v>
      </c>
      <c r="H12" s="15"/>
      <c r="I12" s="7"/>
      <c r="J12" s="7"/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">
        <v>1</v>
      </c>
      <c r="Z12" s="17"/>
      <c r="AA12" s="17"/>
      <c r="AB12" s="8">
        <v>270</v>
      </c>
      <c r="AC12" s="8">
        <v>0</v>
      </c>
      <c r="AD12" s="8">
        <v>2250</v>
      </c>
      <c r="AE12" s="8">
        <v>0</v>
      </c>
      <c r="AF12" s="17"/>
      <c r="AG12" s="17"/>
    </row>
    <row r="13" spans="1:33" x14ac:dyDescent="0.3">
      <c r="A13" s="14">
        <v>4</v>
      </c>
      <c r="B13" s="6" t="s">
        <v>53</v>
      </c>
      <c r="C13" s="14" t="s">
        <v>54</v>
      </c>
      <c r="D13" s="15"/>
      <c r="E13" s="20" t="s">
        <v>55</v>
      </c>
      <c r="F13" s="21"/>
      <c r="G13" s="21"/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">
        <v>1</v>
      </c>
      <c r="Z13" s="16">
        <v>200000</v>
      </c>
      <c r="AA13" s="24">
        <v>200000</v>
      </c>
      <c r="AB13" s="8">
        <v>1350</v>
      </c>
      <c r="AC13" s="8">
        <v>0</v>
      </c>
      <c r="AD13" s="8">
        <v>0</v>
      </c>
      <c r="AE13" s="8">
        <v>3280</v>
      </c>
      <c r="AF13" s="18">
        <v>196720</v>
      </c>
      <c r="AG13" s="14" t="s">
        <v>53</v>
      </c>
    </row>
    <row r="14" spans="1:33" x14ac:dyDescent="0.3">
      <c r="A14" s="17"/>
      <c r="B14" s="6" t="s">
        <v>56</v>
      </c>
      <c r="C14" s="14" t="s">
        <v>57</v>
      </c>
      <c r="D14" s="15"/>
      <c r="E14" s="20" t="s">
        <v>51</v>
      </c>
      <c r="F14" s="15"/>
      <c r="G14" s="14" t="s">
        <v>58</v>
      </c>
      <c r="H14" s="1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>
        <v>1</v>
      </c>
      <c r="Y14" s="1">
        <v>1</v>
      </c>
      <c r="Z14" s="17"/>
      <c r="AA14" s="17"/>
      <c r="AB14" s="8">
        <v>130</v>
      </c>
      <c r="AC14" s="8">
        <v>0</v>
      </c>
      <c r="AD14" s="8">
        <v>1800</v>
      </c>
      <c r="AE14" s="8">
        <v>0</v>
      </c>
      <c r="AF14" s="17"/>
      <c r="AG14" s="17"/>
    </row>
    <row r="15" spans="1:33" x14ac:dyDescent="0.3">
      <c r="A15" s="14">
        <v>5</v>
      </c>
      <c r="B15" s="6" t="s">
        <v>59</v>
      </c>
      <c r="C15" s="14" t="s">
        <v>60</v>
      </c>
      <c r="D15" s="15"/>
      <c r="E15" s="20" t="s">
        <v>61</v>
      </c>
      <c r="F15" s="21"/>
      <c r="G15" s="21"/>
      <c r="H15" s="1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">
        <v>1</v>
      </c>
      <c r="Z15" s="16">
        <v>220000</v>
      </c>
      <c r="AA15" s="24">
        <v>220000</v>
      </c>
      <c r="AB15" s="8">
        <v>1890</v>
      </c>
      <c r="AC15" s="8">
        <v>0</v>
      </c>
      <c r="AD15" s="8">
        <v>0</v>
      </c>
      <c r="AE15" s="8">
        <v>4050</v>
      </c>
      <c r="AF15" s="18">
        <v>215950</v>
      </c>
      <c r="AG15" s="14" t="s">
        <v>59</v>
      </c>
    </row>
    <row r="16" spans="1:33" x14ac:dyDescent="0.3">
      <c r="A16" s="17"/>
      <c r="B16" s="6" t="s">
        <v>62</v>
      </c>
      <c r="C16" s="14" t="s">
        <v>63</v>
      </c>
      <c r="D16" s="15"/>
      <c r="E16" s="20" t="s">
        <v>51</v>
      </c>
      <c r="F16" s="15"/>
      <c r="G16" s="14" t="s">
        <v>64</v>
      </c>
      <c r="H16" s="15"/>
      <c r="I16" s="7"/>
      <c r="J16" s="7"/>
      <c r="K16" s="7"/>
      <c r="L16" s="7"/>
      <c r="M16" s="7"/>
      <c r="N16" s="7"/>
      <c r="O16" s="7"/>
      <c r="P16" s="7"/>
      <c r="Q16" s="7">
        <v>1</v>
      </c>
      <c r="R16" s="7"/>
      <c r="S16" s="7"/>
      <c r="T16" s="7"/>
      <c r="U16" s="7"/>
      <c r="V16" s="7"/>
      <c r="W16" s="7"/>
      <c r="X16" s="7"/>
      <c r="Y16" s="1">
        <v>1</v>
      </c>
      <c r="Z16" s="17"/>
      <c r="AA16" s="17"/>
      <c r="AB16" s="8">
        <v>180</v>
      </c>
      <c r="AC16" s="8">
        <v>0</v>
      </c>
      <c r="AD16" s="8">
        <v>1980</v>
      </c>
      <c r="AE16" s="8">
        <v>0</v>
      </c>
      <c r="AF16" s="17"/>
      <c r="AG16" s="17"/>
    </row>
    <row r="17" spans="1:33" x14ac:dyDescent="0.3">
      <c r="A17" s="28" t="s">
        <v>65</v>
      </c>
      <c r="B17" s="28"/>
      <c r="C17" s="28"/>
      <c r="D17" s="28"/>
      <c r="E17" s="28"/>
      <c r="F17" s="28"/>
      <c r="G17" s="28"/>
      <c r="H17" s="28"/>
      <c r="I17" s="9">
        <f t="shared" ref="I17:AE17" si="1">SUM(I7,I9,I11,I13,I15)</f>
        <v>0</v>
      </c>
      <c r="J17" s="9">
        <f t="shared" si="1"/>
        <v>0</v>
      </c>
      <c r="K17" s="9">
        <f t="shared" si="1"/>
        <v>0</v>
      </c>
      <c r="L17" s="9">
        <f t="shared" si="1"/>
        <v>0</v>
      </c>
      <c r="M17" s="9">
        <f t="shared" si="1"/>
        <v>0</v>
      </c>
      <c r="N17" s="9">
        <f t="shared" si="1"/>
        <v>0</v>
      </c>
      <c r="O17" s="9">
        <f t="shared" si="1"/>
        <v>0</v>
      </c>
      <c r="P17" s="9">
        <f t="shared" si="1"/>
        <v>0</v>
      </c>
      <c r="Q17" s="9">
        <f t="shared" si="1"/>
        <v>0</v>
      </c>
      <c r="R17" s="9">
        <f t="shared" si="1"/>
        <v>0</v>
      </c>
      <c r="S17" s="9">
        <f t="shared" si="1"/>
        <v>0</v>
      </c>
      <c r="T17" s="9">
        <f t="shared" si="1"/>
        <v>0</v>
      </c>
      <c r="U17" s="9">
        <f t="shared" si="1"/>
        <v>0</v>
      </c>
      <c r="V17" s="9">
        <f t="shared" si="1"/>
        <v>2</v>
      </c>
      <c r="W17" s="9">
        <f t="shared" si="1"/>
        <v>0</v>
      </c>
      <c r="X17" s="9">
        <f t="shared" si="1"/>
        <v>0</v>
      </c>
      <c r="Y17" s="9">
        <f t="shared" si="1"/>
        <v>9</v>
      </c>
      <c r="Z17" s="27">
        <f t="shared" si="1"/>
        <v>1040000</v>
      </c>
      <c r="AA17" s="19">
        <f t="shared" si="1"/>
        <v>1780000</v>
      </c>
      <c r="AB17" s="10">
        <f t="shared" si="1"/>
        <v>11610</v>
      </c>
      <c r="AC17" s="10">
        <f t="shared" si="1"/>
        <v>0</v>
      </c>
      <c r="AD17" s="10">
        <f t="shared" si="1"/>
        <v>0</v>
      </c>
      <c r="AE17" s="10">
        <f t="shared" si="1"/>
        <v>28750</v>
      </c>
      <c r="AF17" s="19">
        <f>SUM(AF7,AF9,AF11,AF13,AF15)</f>
        <v>1751250</v>
      </c>
      <c r="AG17" s="25"/>
    </row>
    <row r="18" spans="1:33" x14ac:dyDescent="0.3">
      <c r="A18" s="28"/>
      <c r="B18" s="28"/>
      <c r="C18" s="28"/>
      <c r="D18" s="28"/>
      <c r="E18" s="28"/>
      <c r="F18" s="28"/>
      <c r="G18" s="28"/>
      <c r="H18" s="28"/>
      <c r="I18" s="9">
        <f t="shared" ref="I18:Y18" si="2">SUM(I8,I10,I12,I14,I16)</f>
        <v>0</v>
      </c>
      <c r="J18" s="9">
        <f t="shared" si="2"/>
        <v>0</v>
      </c>
      <c r="K18" s="9">
        <f t="shared" si="2"/>
        <v>2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9">
        <f t="shared" si="2"/>
        <v>0</v>
      </c>
      <c r="P18" s="9">
        <f t="shared" si="2"/>
        <v>0</v>
      </c>
      <c r="Q18" s="9">
        <f t="shared" si="2"/>
        <v>2</v>
      </c>
      <c r="R18" s="9">
        <f t="shared" si="2"/>
        <v>0</v>
      </c>
      <c r="S18" s="9">
        <f t="shared" si="2"/>
        <v>0</v>
      </c>
      <c r="T18" s="9">
        <f t="shared" si="2"/>
        <v>1</v>
      </c>
      <c r="U18" s="9">
        <f t="shared" si="2"/>
        <v>0</v>
      </c>
      <c r="V18" s="9">
        <f t="shared" si="2"/>
        <v>0</v>
      </c>
      <c r="W18" s="9">
        <f t="shared" si="2"/>
        <v>0</v>
      </c>
      <c r="X18" s="9">
        <f t="shared" si="2"/>
        <v>2</v>
      </c>
      <c r="Y18" s="9">
        <f t="shared" si="2"/>
        <v>9</v>
      </c>
      <c r="Z18" s="17"/>
      <c r="AA18" s="17"/>
      <c r="AB18" s="10">
        <f>SUM(AB8,AB10,AB12,AB14,AB16)</f>
        <v>1120</v>
      </c>
      <c r="AC18" s="10">
        <f>SUM(AC8,AC10,AC12,AC14,AC16)</f>
        <v>0</v>
      </c>
      <c r="AD18" s="10">
        <f>SUM(AD8,AD10,AD12,AD14,AD16)</f>
        <v>16020</v>
      </c>
      <c r="AE18" s="10">
        <f>SUM(AE8,AE10,AE12,AE14,AE16)</f>
        <v>0</v>
      </c>
      <c r="AF18" s="17"/>
      <c r="AG18" s="17"/>
    </row>
  </sheetData>
  <mergeCells count="77">
    <mergeCell ref="A17:H18"/>
    <mergeCell ref="C14:D14"/>
    <mergeCell ref="Q3:Z3"/>
    <mergeCell ref="Q4:Z4"/>
    <mergeCell ref="G6:H6"/>
    <mergeCell ref="AF9:AF10"/>
    <mergeCell ref="AA13:AA14"/>
    <mergeCell ref="C4:N4"/>
    <mergeCell ref="AA15:AA16"/>
    <mergeCell ref="C11:D11"/>
    <mergeCell ref="C10:D10"/>
    <mergeCell ref="E10:F10"/>
    <mergeCell ref="A3:B3"/>
    <mergeCell ref="C12:D12"/>
    <mergeCell ref="E12:F12"/>
    <mergeCell ref="Z17:Z18"/>
    <mergeCell ref="A7:A8"/>
    <mergeCell ref="C3:N3"/>
    <mergeCell ref="A13:A14"/>
    <mergeCell ref="AA5:AA6"/>
    <mergeCell ref="Z9:Z10"/>
    <mergeCell ref="E14:F14"/>
    <mergeCell ref="G14:H14"/>
    <mergeCell ref="A4:B4"/>
    <mergeCell ref="A15:A16"/>
    <mergeCell ref="Z11:Z12"/>
    <mergeCell ref="C13:D13"/>
    <mergeCell ref="E16:F16"/>
    <mergeCell ref="A5:A6"/>
    <mergeCell ref="G16:H16"/>
    <mergeCell ref="AG9:AG10"/>
    <mergeCell ref="A11:A12"/>
    <mergeCell ref="C9:D9"/>
    <mergeCell ref="Z7:Z8"/>
    <mergeCell ref="G10:H10"/>
    <mergeCell ref="G12:H12"/>
    <mergeCell ref="B5:B6"/>
    <mergeCell ref="C8:D8"/>
    <mergeCell ref="E8:F8"/>
    <mergeCell ref="AA9:AA10"/>
    <mergeCell ref="E7:H7"/>
    <mergeCell ref="AG11:AG12"/>
    <mergeCell ref="AA11:AA12"/>
    <mergeCell ref="AF4:AG4"/>
    <mergeCell ref="AF5:AF6"/>
    <mergeCell ref="AA17:AA18"/>
    <mergeCell ref="E9:H9"/>
    <mergeCell ref="AG13:AG14"/>
    <mergeCell ref="E11:H11"/>
    <mergeCell ref="O3:P3"/>
    <mergeCell ref="AG15:AG16"/>
    <mergeCell ref="AG5:AG6"/>
    <mergeCell ref="AG7:AG8"/>
    <mergeCell ref="O4:P4"/>
    <mergeCell ref="AF11:AF12"/>
    <mergeCell ref="E6:F6"/>
    <mergeCell ref="AA7:AA8"/>
    <mergeCell ref="AF17:AF18"/>
    <mergeCell ref="G8:H8"/>
    <mergeCell ref="E13:H13"/>
    <mergeCell ref="AG17:AG18"/>
    <mergeCell ref="A2:AG2"/>
    <mergeCell ref="C7:D7"/>
    <mergeCell ref="C16:D16"/>
    <mergeCell ref="Z13:Z14"/>
    <mergeCell ref="AF7:AF8"/>
    <mergeCell ref="AF15:AF16"/>
    <mergeCell ref="AF13:AF14"/>
    <mergeCell ref="C6:D6"/>
    <mergeCell ref="C15:D15"/>
    <mergeCell ref="C5:D5"/>
    <mergeCell ref="E15:H15"/>
    <mergeCell ref="Z15:Z16"/>
    <mergeCell ref="A9:A10"/>
    <mergeCell ref="E5:H5"/>
    <mergeCell ref="Z5:Z6"/>
    <mergeCell ref="AF3:AG3"/>
  </mergeCells>
  <phoneticPr fontId="7" type="noConversion"/>
  <pageMargins left="0.25" right="0.25" top="0.75" bottom="0.75" header="0.3" footer="0.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0" customWidth="1"/>
    <col min="3" max="3" width="12" customWidth="1"/>
  </cols>
  <sheetData>
    <row r="1" spans="1:3" ht="20.25" x14ac:dyDescent="0.35">
      <c r="A1" s="29" t="s">
        <v>66</v>
      </c>
      <c r="B1" s="13"/>
      <c r="C1" s="13"/>
    </row>
    <row r="3" spans="1:3" x14ac:dyDescent="0.3">
      <c r="A3" s="11" t="s">
        <v>67</v>
      </c>
      <c r="B3" s="11" t="s">
        <v>68</v>
      </c>
      <c r="C3" s="11" t="s">
        <v>69</v>
      </c>
    </row>
    <row r="4" spans="1:3" x14ac:dyDescent="0.3">
      <c r="A4" t="s">
        <v>70</v>
      </c>
      <c r="B4" t="s">
        <v>71</v>
      </c>
      <c r="C4" t="s">
        <v>72</v>
      </c>
    </row>
    <row r="5" spans="1:3" x14ac:dyDescent="0.3">
      <c r="A5" t="s">
        <v>18</v>
      </c>
      <c r="B5" t="s">
        <v>73</v>
      </c>
      <c r="C5" t="s">
        <v>74</v>
      </c>
    </row>
    <row r="6" spans="1:3" x14ac:dyDescent="0.3">
      <c r="A6" t="s">
        <v>28</v>
      </c>
      <c r="B6" t="s">
        <v>75</v>
      </c>
      <c r="C6" t="s">
        <v>76</v>
      </c>
    </row>
    <row r="7" spans="1:3" x14ac:dyDescent="0.3">
      <c r="A7" t="s">
        <v>77</v>
      </c>
      <c r="B7" t="s">
        <v>78</v>
      </c>
      <c r="C7" t="s">
        <v>79</v>
      </c>
    </row>
    <row r="8" spans="1:3" x14ac:dyDescent="0.3">
      <c r="A8" t="s">
        <v>80</v>
      </c>
      <c r="B8" t="s">
        <v>81</v>
      </c>
      <c r="C8" t="s">
        <v>82</v>
      </c>
    </row>
    <row r="9" spans="1:3" x14ac:dyDescent="0.3">
      <c r="A9" t="s">
        <v>83</v>
      </c>
      <c r="B9" t="s">
        <v>84</v>
      </c>
      <c r="C9" t="s">
        <v>85</v>
      </c>
    </row>
    <row r="10" spans="1:3" x14ac:dyDescent="0.3">
      <c r="A10" t="s">
        <v>86</v>
      </c>
      <c r="B10" t="s">
        <v>87</v>
      </c>
      <c r="C10" t="s">
        <v>88</v>
      </c>
    </row>
  </sheetData>
  <mergeCells count="1">
    <mergeCell ref="A1:C1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8월</vt:lpstr>
      <vt:lpstr>요율</vt:lpstr>
      <vt:lpstr>'8월'!Print_Titles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Jeonghun Lee</cp:lastModifiedBy>
  <cp:lastPrinted>2026-08-19T07:12:13Z</cp:lastPrinted>
  <dcterms:created xsi:type="dcterms:W3CDTF">2026-08-19T07:05:48Z</dcterms:created>
  <dcterms:modified xsi:type="dcterms:W3CDTF">2026-08-19T07:16:18Z</dcterms:modified>
</cp:coreProperties>
</file>